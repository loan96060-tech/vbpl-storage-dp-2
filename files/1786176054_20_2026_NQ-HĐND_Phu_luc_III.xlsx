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120" yWindow="-120" windowWidth="20730" windowHeight="11160" firstSheet="1" activeTab="1"/>
  </bookViews>
  <sheets>
    <sheet name="Kangatang" sheetId="6" state="veryHidden" r:id="rId1"/>
    <sheet name="PL III" sheetId="4" r:id="rId2"/>
  </sheets>
  <definedNames>
    <definedName name="_xlnm.Print_Titles" localSheetId="1">'PL III'!$5:$6</definedName>
  </definedNames>
  <calcPr calcId="144525"/>
</workbook>
</file>

<file path=xl/calcChain.xml><?xml version="1.0" encoding="utf-8"?>
<calcChain xmlns="http://schemas.openxmlformats.org/spreadsheetml/2006/main">
  <c r="F9" i="4" l="1"/>
  <c r="G168" i="4"/>
  <c r="F168" i="4"/>
  <c r="G167" i="4"/>
  <c r="F167" i="4"/>
  <c r="G166" i="4"/>
  <c r="F166" i="4"/>
  <c r="G165" i="4"/>
  <c r="F165" i="4"/>
  <c r="G163" i="4"/>
  <c r="F163" i="4"/>
  <c r="G162" i="4"/>
  <c r="F162" i="4"/>
  <c r="G161" i="4"/>
  <c r="F161" i="4"/>
  <c r="G159" i="4"/>
  <c r="F159" i="4"/>
  <c r="G158" i="4"/>
  <c r="F158" i="4"/>
  <c r="G157" i="4"/>
  <c r="F157" i="4"/>
  <c r="G155" i="4"/>
  <c r="F155" i="4"/>
  <c r="G154" i="4"/>
  <c r="F154" i="4"/>
  <c r="G153" i="4"/>
  <c r="F153" i="4"/>
  <c r="G151" i="4"/>
  <c r="F151" i="4"/>
  <c r="G150" i="4"/>
  <c r="F150" i="4"/>
  <c r="G149" i="4"/>
  <c r="F149" i="4"/>
  <c r="G146" i="4"/>
  <c r="F146" i="4"/>
  <c r="G145" i="4"/>
  <c r="F145" i="4"/>
  <c r="G144" i="4"/>
  <c r="F144" i="4"/>
  <c r="G143" i="4"/>
  <c r="F143" i="4"/>
  <c r="G142" i="4"/>
  <c r="F142" i="4"/>
  <c r="G140" i="4"/>
  <c r="F140" i="4"/>
  <c r="G139" i="4"/>
  <c r="F139" i="4"/>
  <c r="G138" i="4"/>
  <c r="F138" i="4"/>
  <c r="G137" i="4"/>
  <c r="F137" i="4"/>
  <c r="G135" i="4"/>
  <c r="F135" i="4"/>
  <c r="G134" i="4"/>
  <c r="F134" i="4"/>
  <c r="G133" i="4"/>
  <c r="F133" i="4"/>
  <c r="G132" i="4"/>
  <c r="F132" i="4"/>
  <c r="G129" i="4"/>
  <c r="F129" i="4"/>
  <c r="G128" i="4"/>
  <c r="F128" i="4"/>
  <c r="G127" i="4"/>
  <c r="F127" i="4"/>
  <c r="G126" i="4"/>
  <c r="F126" i="4"/>
  <c r="G124" i="4"/>
  <c r="F124" i="4"/>
  <c r="G123" i="4"/>
  <c r="F123" i="4"/>
  <c r="G122" i="4"/>
  <c r="F122" i="4"/>
  <c r="G121" i="4"/>
  <c r="F121" i="4"/>
  <c r="G118" i="4"/>
  <c r="F118" i="4"/>
  <c r="G113" i="4"/>
  <c r="F113" i="4"/>
  <c r="G112" i="4"/>
  <c r="F112" i="4"/>
  <c r="G111" i="4"/>
  <c r="F111" i="4"/>
  <c r="G109" i="4"/>
  <c r="F109" i="4"/>
  <c r="G108" i="4"/>
  <c r="F108" i="4"/>
  <c r="G105" i="4"/>
  <c r="F105" i="4"/>
  <c r="G104" i="4"/>
  <c r="F104" i="4"/>
  <c r="G102" i="4"/>
  <c r="F102" i="4"/>
  <c r="G101" i="4"/>
  <c r="F101" i="4"/>
  <c r="G97" i="4"/>
  <c r="F97" i="4"/>
  <c r="G96" i="4"/>
  <c r="F96" i="4"/>
  <c r="G95" i="4"/>
  <c r="F95" i="4"/>
  <c r="G94" i="4"/>
  <c r="F94" i="4"/>
  <c r="G93" i="4"/>
  <c r="F93" i="4"/>
  <c r="G90" i="4"/>
  <c r="F90" i="4"/>
  <c r="G89" i="4"/>
  <c r="F89" i="4"/>
  <c r="G88" i="4"/>
  <c r="F88" i="4"/>
  <c r="G87" i="4"/>
  <c r="F87" i="4"/>
  <c r="G85" i="4"/>
  <c r="F85" i="4"/>
  <c r="G82" i="4"/>
  <c r="F82" i="4"/>
  <c r="G81" i="4"/>
  <c r="F81" i="4"/>
  <c r="G80" i="4"/>
  <c r="F80" i="4"/>
  <c r="G79" i="4"/>
  <c r="F79" i="4"/>
  <c r="G78" i="4"/>
  <c r="F78" i="4"/>
  <c r="G77" i="4"/>
  <c r="F77" i="4"/>
  <c r="G75" i="4"/>
  <c r="F75" i="4"/>
  <c r="G74" i="4"/>
  <c r="F74" i="4"/>
  <c r="G72" i="4"/>
  <c r="F72" i="4"/>
  <c r="G70" i="4"/>
  <c r="F70" i="4"/>
  <c r="G69" i="4"/>
  <c r="F69" i="4"/>
  <c r="G68" i="4"/>
  <c r="F68" i="4"/>
  <c r="G67" i="4"/>
  <c r="F67" i="4"/>
  <c r="G66" i="4"/>
  <c r="F66" i="4"/>
  <c r="G65" i="4"/>
  <c r="F65" i="4"/>
  <c r="G63" i="4"/>
  <c r="F63" i="4"/>
  <c r="G62" i="4"/>
  <c r="F62" i="4"/>
  <c r="G60" i="4"/>
  <c r="F60" i="4"/>
  <c r="G59" i="4"/>
  <c r="F59" i="4"/>
  <c r="G58" i="4"/>
  <c r="F58" i="4"/>
  <c r="G56" i="4"/>
  <c r="F56" i="4"/>
  <c r="G55" i="4"/>
  <c r="F55" i="4"/>
  <c r="G54" i="4"/>
  <c r="F54" i="4"/>
  <c r="G50" i="4"/>
  <c r="F50" i="4"/>
  <c r="G49" i="4"/>
  <c r="F49" i="4"/>
  <c r="G48" i="4"/>
  <c r="F48" i="4"/>
  <c r="G47" i="4"/>
  <c r="F47" i="4"/>
  <c r="G45" i="4"/>
  <c r="F45" i="4"/>
  <c r="G44" i="4"/>
  <c r="F44" i="4"/>
  <c r="G43" i="4"/>
  <c r="F43" i="4"/>
  <c r="G42" i="4"/>
  <c r="F42" i="4"/>
  <c r="G40" i="4"/>
  <c r="F40" i="4"/>
  <c r="G39" i="4"/>
  <c r="F39" i="4"/>
  <c r="G38" i="4"/>
  <c r="F38" i="4"/>
  <c r="G36" i="4"/>
  <c r="F36" i="4"/>
  <c r="G35" i="4"/>
  <c r="F35" i="4"/>
  <c r="G34" i="4"/>
  <c r="F34" i="4"/>
  <c r="G33" i="4"/>
  <c r="F33" i="4"/>
  <c r="G32" i="4"/>
  <c r="F32" i="4"/>
  <c r="G31" i="4"/>
  <c r="F31" i="4"/>
  <c r="G29" i="4"/>
  <c r="F29" i="4"/>
  <c r="G28" i="4"/>
  <c r="F28" i="4"/>
  <c r="G26" i="4"/>
  <c r="F26" i="4"/>
  <c r="G25" i="4"/>
  <c r="F25" i="4"/>
  <c r="G24" i="4"/>
  <c r="F24" i="4"/>
  <c r="G23" i="4"/>
  <c r="F23" i="4"/>
  <c r="G22" i="4"/>
  <c r="F22" i="4"/>
  <c r="G20" i="4"/>
  <c r="F20" i="4"/>
  <c r="G19" i="4"/>
  <c r="F19" i="4"/>
  <c r="G17" i="4"/>
  <c r="F17" i="4"/>
  <c r="G16" i="4"/>
  <c r="F16" i="4"/>
  <c r="G15" i="4"/>
  <c r="F15" i="4"/>
  <c r="G14" i="4"/>
  <c r="F14" i="4"/>
  <c r="G12" i="4"/>
  <c r="F12" i="4"/>
  <c r="G11" i="4"/>
  <c r="F11" i="4"/>
  <c r="G10" i="4"/>
  <c r="F10" i="4"/>
  <c r="G9" i="4"/>
</calcChain>
</file>

<file path=xl/sharedStrings.xml><?xml version="1.0" encoding="utf-8"?>
<sst xmlns="http://schemas.openxmlformats.org/spreadsheetml/2006/main" count="320" uniqueCount="171">
  <si>
    <t>Đơn vị tính</t>
  </si>
  <si>
    <t>người/ngày</t>
  </si>
  <si>
    <t>Phụ lục III</t>
  </si>
  <si>
    <t>STT</t>
  </si>
  <si>
    <t>Ban Tổ chức</t>
  </si>
  <si>
    <t>Cá nhân:</t>
  </si>
  <si>
    <t>- Tiền ăn luyện tập chuẩn bị tham dự</t>
  </si>
  <si>
    <t xml:space="preserve"> - Tiền nước uống trong thời gian tham dự</t>
  </si>
  <si>
    <t>- Tiền ăn (Tính từ ngày đi đến ngày về)</t>
  </si>
  <si>
    <t>- Tiền thuê phòng nghỉ (Tính từ ngày đi đến ngày về)</t>
  </si>
  <si>
    <t>người/buổi</t>
  </si>
  <si>
    <t>- Bảo vệ, phục vụ, y tế</t>
  </si>
  <si>
    <t>Chi khen thưởng cho giáo viên</t>
  </si>
  <si>
    <t>Giáo viên dạy giỏi, tổng phụ trách giỏi, chủ nhiệm giỏi</t>
  </si>
  <si>
    <t>người/giải</t>
  </si>
  <si>
    <t>Tập thể:</t>
  </si>
  <si>
    <t>tập thể/giải</t>
  </si>
  <si>
    <t>giải</t>
  </si>
  <si>
    <t>đồng/câu</t>
  </si>
  <si>
    <t>- Trưởng ban / Chủ tịch Hội đồng</t>
  </si>
  <si>
    <t>- Phó Trưởng ban / Phó Chủ tịch Hội đồng</t>
  </si>
  <si>
    <t xml:space="preserve">người/ giải </t>
  </si>
  <si>
    <t>Chi khen thưởng ý tưởng khởi nghiệp, toàn đoàn</t>
  </si>
  <si>
    <t>Các kỳ thi, hội thi, cuộc thi: đồ dùng dạy học tự làm, xây dựng thiết bị dạy học số và hội thi, cuộc thi phong trào được cấp thẩm quyền quyết định</t>
  </si>
  <si>
    <t>I</t>
  </si>
  <si>
    <t>II</t>
  </si>
  <si>
    <t>Ban chỉ đạo</t>
  </si>
  <si>
    <t>Trưởng ban</t>
  </si>
  <si>
    <t>Phó Trưởng ban</t>
  </si>
  <si>
    <t>Người/trận</t>
  </si>
  <si>
    <t>Người/buổi</t>
  </si>
  <si>
    <t>Giải</t>
  </si>
  <si>
    <t>Giải toàn đoàn</t>
  </si>
  <si>
    <t xml:space="preserve"> người/ngày</t>
  </si>
  <si>
    <t xml:space="preserve"> - Tập luyện</t>
  </si>
  <si>
    <t>Người/ngày</t>
  </si>
  <si>
    <t>III</t>
  </si>
  <si>
    <t>MỨC CHI KHEN THƯỞNG</t>
  </si>
  <si>
    <t>- Đạt giải</t>
  </si>
  <si>
    <t xml:space="preserve"> - Giải nhất</t>
  </si>
  <si>
    <t xml:space="preserve"> - Giải nhì</t>
  </si>
  <si>
    <t xml:space="preserve"> - Giải ba</t>
  </si>
  <si>
    <t xml:space="preserve"> - Giải khuyến khích/ Giải tư</t>
  </si>
  <si>
    <t xml:space="preserve"> - Giải Đặc biệt  </t>
  </si>
  <si>
    <t xml:space="preserve"> - Giải nhất  </t>
  </si>
  <si>
    <t xml:space="preserve"> - Giải nhì  </t>
  </si>
  <si>
    <t>Tổ chức</t>
  </si>
  <si>
    <t>- Đơn vị tổ chức tốt</t>
  </si>
  <si>
    <t>- Trưởng ban/ Chủ tịch hội đồng</t>
  </si>
  <si>
    <t>- Phó Trưởng ban/ Phó Chủ tịch hội đồng</t>
  </si>
  <si>
    <t>- Ủy viên, thành viên, thư ký, hỗ trợ kỹ thuật, công an</t>
  </si>
  <si>
    <t>Các ủy viên, thành viên, thư ký</t>
  </si>
  <si>
    <t>Công an, nhân viên y tế, nhân viên phục vụ, lực lượng làm nhiệm vụ trật tự, bảo vệ.</t>
  </si>
  <si>
    <t>Chi cho cán bộ, thành viên ra đề thi trắc nghiệm</t>
  </si>
  <si>
    <t>Chi cho cán bộ,thành viên ra đề thi tự luận</t>
  </si>
  <si>
    <t xml:space="preserve"> - Thư ký, các trọng tài khác</t>
  </si>
  <si>
    <t>2.1</t>
  </si>
  <si>
    <t>Tập luyện, tập huấn</t>
  </si>
  <si>
    <t>Tiền ở cho HLV, VĐV</t>
  </si>
  <si>
    <t>Thi đấu</t>
  </si>
  <si>
    <t>2.2</t>
  </si>
  <si>
    <t>Tập luyện, Tập huấn</t>
  </si>
  <si>
    <t>Giải đơn/ cá nhân</t>
  </si>
  <si>
    <t>- Giải nhất toàn đoàn/ Hạng nhất toàn đoàn</t>
  </si>
  <si>
    <t>- Giải nhì toàn đoàn/ Hạng nhì toàn đoàn</t>
  </si>
  <si>
    <t>- Giải ba toàn đoàn/ Hạng ba toàn đoàn</t>
  </si>
  <si>
    <t>1.1</t>
  </si>
  <si>
    <t>1.2</t>
  </si>
  <si>
    <t>1.3</t>
  </si>
  <si>
    <t>2.1.1</t>
  </si>
  <si>
    <t>2.1.2</t>
  </si>
  <si>
    <t>2.2.1</t>
  </si>
  <si>
    <t>2.2.2</t>
  </si>
  <si>
    <t>2.3</t>
  </si>
  <si>
    <t>- Hạng ba/ Giải ba/ Huy chương đồng</t>
  </si>
  <si>
    <t>- Hạng nhì/ Giải nhì/ Huy chương bạc</t>
  </si>
  <si>
    <t>- Hạng nhất/ Giải nhất/ Huy chương vàng</t>
  </si>
  <si>
    <t>2.4</t>
  </si>
  <si>
    <r>
      <t xml:space="preserve">- Bảo vệ, phục vụ, </t>
    </r>
    <r>
      <rPr>
        <sz val="13"/>
        <rFont val="Times New Roman"/>
        <family val="1"/>
      </rPr>
      <t>y tế</t>
    </r>
  </si>
  <si>
    <t xml:space="preserve">Huấn luyện viên, giáo viên hướng dẫn, huấn luyện </t>
  </si>
  <si>
    <r>
      <t>- Ủy viên,</t>
    </r>
    <r>
      <rPr>
        <sz val="13"/>
        <rFont val="Times New Roman"/>
        <family val="1"/>
      </rPr>
      <t xml:space="preserve"> thành viên,</t>
    </r>
    <r>
      <rPr>
        <sz val="13"/>
        <rFont val="Times New Roman"/>
        <family val="2"/>
        <charset val="163"/>
      </rPr>
      <t xml:space="preserve"> thư ký, hỗ trợ kỹ thuật, </t>
    </r>
    <r>
      <rPr>
        <sz val="13"/>
        <rFont val="Times New Roman"/>
        <family val="1"/>
      </rPr>
      <t>công an</t>
    </r>
  </si>
  <si>
    <r>
      <t>- Ủy viên,</t>
    </r>
    <r>
      <rPr>
        <sz val="13"/>
        <rFont val="Times New Roman"/>
        <family val="1"/>
      </rPr>
      <t xml:space="preserve"> thành viên,</t>
    </r>
    <r>
      <rPr>
        <sz val="13"/>
        <rFont val="Times New Roman"/>
        <family val="2"/>
        <charset val="163"/>
      </rPr>
      <t xml:space="preserve"> thư ký, hỗ trợ kỹ thuật,</t>
    </r>
    <r>
      <rPr>
        <sz val="13"/>
        <rFont val="Times New Roman"/>
        <family val="1"/>
      </rPr>
      <t xml:space="preserve"> công an</t>
    </r>
  </si>
  <si>
    <r>
      <t xml:space="preserve">- Ủy viên, </t>
    </r>
    <r>
      <rPr>
        <sz val="13"/>
        <rFont val="Times New Roman"/>
        <family val="1"/>
      </rPr>
      <t>thành viên,</t>
    </r>
    <r>
      <rPr>
        <sz val="13"/>
        <rFont val="Times New Roman"/>
        <family val="2"/>
        <charset val="163"/>
      </rPr>
      <t xml:space="preserve"> thư ký, hỗ trợ kỹ thuật,</t>
    </r>
    <r>
      <rPr>
        <sz val="13"/>
        <rFont val="Times New Roman"/>
        <family val="1"/>
      </rPr>
      <t xml:space="preserve"> công an</t>
    </r>
  </si>
  <si>
    <t>Mức chi tổ chức đồng diễn, diễu hành, xếp hình, xếp chữ, thi diễn, biểu diễn, công diễn, hội diễn</t>
  </si>
  <si>
    <t xml:space="preserve">Chế độ dinh dưỡng (tiền ăn) và ở cho huấn luyện viên (HLV), vận động viên (VĐV) </t>
  </si>
  <si>
    <t>Chế độ dinh dưỡng (tiền ăn) cho HLV, VĐV</t>
  </si>
  <si>
    <t>Tiền ở cho HLV, VĐV tại thành phố trực thuộc Trung ương</t>
  </si>
  <si>
    <t>Tiền ở cho HLV, VĐV tại các tỉnh còn lại (kể cả trong tỉnh)</t>
  </si>
  <si>
    <t>Chi khen thưởng cho trẻ em, học sinh, học viên</t>
  </si>
  <si>
    <t>Các cuộc thi, hội thi do Bộ Giáo dục và Đào tạo tổ chức (toàn quốc)</t>
  </si>
  <si>
    <t>Nội dung</t>
  </si>
  <si>
    <t>Cấp xã, phường</t>
  </si>
  <si>
    <t xml:space="preserve">Cấp cơ sở giáo dục </t>
  </si>
  <si>
    <t>Mức chi/ Tiền công đề xuất dự thảo  (ĐVT 1.000đ)</t>
  </si>
  <si>
    <t>Các thành viên/ ủy viên, giám thị, thư ký, kỹ thuật, giám khảo..</t>
  </si>
  <si>
    <t>Công tác trọng tài</t>
  </si>
  <si>
    <t>Mức chi tiền ăn, bồi dưỡng, tổ chức đồng diễn, diễu hành đối với thi đấu thể thao cấp tỉnh, khu vực, toàn quốc cho đối tượng là trọng tài, giám sát điều hành, thư ký các giải đấu</t>
  </si>
  <si>
    <t>Tiền ăn trong quá trình tổ chức giải cho các đối tượng trọng tài, giám sát điều hành, thư ký các giải đấu (gồm thời gian tối đa 02 ngày trước ngày thi đấu để làm công tác chuẩn bị tổ chức giải, tập huấn trọng tài và 01 ngày sau khi tổ chức giải)</t>
  </si>
  <si>
    <t>Tiền bồi dưỡng làm nhiệm vụ trọng tài, giám sát điều hành, thư ký, phục vụ các giải đấu</t>
  </si>
  <si>
    <t>- Giám sát, trọng tài chính bóng đá 11 người</t>
  </si>
  <si>
    <t xml:space="preserve"> - Giám sát, trọng tài chính bóng chuyền, bóng chuyền hơi, bóng rổ, bóng đá 05 - 07 người</t>
  </si>
  <si>
    <t>Công an, nhân viên y tế, nhân viên phục vụ, lực lượng làm nhiệm vụ trật tự, bảo vệ, y tế</t>
  </si>
  <si>
    <t>Người tập</t>
  </si>
  <si>
    <t xml:space="preserve"> - Tổng duyệt (tối đa 02 buổi)</t>
  </si>
  <si>
    <t xml:space="preserve"> - Biểu diễn chính thức</t>
  </si>
  <si>
    <t>Giáo viên quản lý, hướng dẫn</t>
  </si>
  <si>
    <t>người/ ngày</t>
  </si>
  <si>
    <t>- Trưởng đoàn/Tổ trưởng</t>
  </si>
  <si>
    <t xml:space="preserve">- Phó trưởng đoàn/Tổ phó </t>
  </si>
  <si>
    <t>- Thành viên, thư ký</t>
  </si>
  <si>
    <t>1.3.1</t>
  </si>
  <si>
    <t>1.3.2</t>
  </si>
  <si>
    <t>1.3.3</t>
  </si>
  <si>
    <t>1.4</t>
  </si>
  <si>
    <t>- Chủ tịch/Trưởng ban</t>
  </si>
  <si>
    <t>- Phó chủ tịch/Phó Trưởng ban</t>
  </si>
  <si>
    <t>- Ủy viên, thư ký, tổ trưởng</t>
  </si>
  <si>
    <t>- Thành viên, tổ viên, khảo sát viên, cán bộ khảo sát, cán bộ giám sát, điều phối viên, cán bộ hỗ trợ, cán bộ kỹ thuật</t>
  </si>
  <si>
    <t>IV</t>
  </si>
  <si>
    <t>Các kỳ thi, cuộc thi, hội thi Thể dục thể thao, Hội thao Giáo dục quốc phòng và an ninh, Đại hội Thể dục thể thao, các giải thể thao, Hội khỏe Phù Đổng các cấp</t>
  </si>
  <si>
    <t>+ Giám khảo/ Cán bộ chấm thi có trình độ từ Trung cấp đến Đại học và tương đương</t>
  </si>
  <si>
    <t>CÁC KỲ THI, CUỘC THI, HỘI THI THỂ DỤC THỂ THAO, HỘI THAO GIÁO DỤC QUỐC PHÒNG VÀ AN NINH, ĐẠI HỘI THỂ DỤC THỂ THAO, CÁC GIẢI THỂ THAO, HỘI KHỎE PHÙ ĐỔNG CÁC CẤP</t>
  </si>
  <si>
    <t>+ Cán bộ chấm thi có trình độ Thạc sĩ và tương đương</t>
  </si>
  <si>
    <t xml:space="preserve"> + Giám khảo/ Cán bộ chấm thi có trình độ Tiến sĩ và tương đương trở lên</t>
  </si>
  <si>
    <t xml:space="preserve">CÁC KỲ THI, CUỘC THI, HỘI THI, NGÀY HỘI </t>
  </si>
  <si>
    <t xml:space="preserve">Hội đồng/ Ban ra đề </t>
  </si>
  <si>
    <r>
      <t xml:space="preserve">Hội đồng/ Ban </t>
    </r>
    <r>
      <rPr>
        <b/>
        <sz val="13"/>
        <rFont val="Times New Roman"/>
        <family val="1"/>
      </rPr>
      <t xml:space="preserve">chấm </t>
    </r>
  </si>
  <si>
    <t xml:space="preserve">Giám khảo/ Cán bộ chấm </t>
  </si>
  <si>
    <t>+ Giám khảo/ Cán bộ chấm có trình độ từ Trung cấp đến Đại học và tương đương</t>
  </si>
  <si>
    <t>+ Giám khảo/ Cán bộ chấm  có trình độ Tiến sĩ và tương đương trở lên</t>
  </si>
  <si>
    <t>+  Giám khảo/ Cán bộ chấm có trình độ Thạc sĩ và tương đương</t>
  </si>
  <si>
    <t>ĐÁNH GIÁ DIỆN RỘNG CẤP QUỐC GIA</t>
  </si>
  <si>
    <t>- Ra đề</t>
  </si>
  <si>
    <t>+ Tự luận</t>
  </si>
  <si>
    <t>bộ đề</t>
  </si>
  <si>
    <t>Ban Thư ký</t>
  </si>
  <si>
    <t>Thành viên</t>
  </si>
  <si>
    <t>Tiền công ra đề</t>
  </si>
  <si>
    <t>+ Đề thi để xuất đối với đề ti tự luận, trắc nghiệm ( chỉ áp dụng cho các môn thi không có ngân hàng câu hỏi thi)</t>
  </si>
  <si>
    <t>Đề/ môn</t>
  </si>
  <si>
    <t>+ Ra đề thi chính thức và dự bị có kèm theo đáp án, biểu điểm</t>
  </si>
  <si>
    <t xml:space="preserve">         Ra đề tự luận. Đề trắc nghiệm, đề thi nói gồm 10 chủ đề</t>
  </si>
  <si>
    <t xml:space="preserve">         Ra đề thực hành</t>
  </si>
  <si>
    <t>1.5</t>
  </si>
  <si>
    <t>Ban Giám khảo/ Ban chấm thi</t>
  </si>
  <si>
    <t>Trưởng các tiểu ban</t>
  </si>
  <si>
    <t>Thành viên ( Lý thuyết, thực hành)</t>
  </si>
  <si>
    <t xml:space="preserve">Giải đồng đội/ tập thể </t>
  </si>
  <si>
    <t>Mức thưởng chung bằng 60% mức thưởng của nội dung vận đọng viên đạt giải</t>
  </si>
  <si>
    <t>Mức thưởng chung bằng 40% mức thưởng của nội dung vận đọng viên đạt giải</t>
  </si>
  <si>
    <t>Giải đôi, tam</t>
  </si>
  <si>
    <t>2.5</t>
  </si>
  <si>
    <t>+ Trắc nghiệm</t>
  </si>
  <si>
    <t>Môn thể thao tập thể: bóng đá 7 người và 11 người</t>
  </si>
  <si>
    <t>- Giám thị coi thi</t>
  </si>
  <si>
    <t>người/đêm</t>
  </si>
  <si>
    <t xml:space="preserve"> người/đêm</t>
  </si>
  <si>
    <t>NỘI DUNG CHI VÀ MỨC CHI ĐỂ TỔ CHỨC  CÁC KỲ THI, CUỘC THI, HỘI THI, NGÀY HỘI, THỂ DỤC THỂ THAO, HỘI THAO GIÁO DỤC QUỐC PHÒNG VÀ AN NINH, ĐẠI HỘI THỂ DỤC THỂ THAO, CÁC GIẢI THỂ THAO, HỘI KHỎE PHÙ ĐỔNG CÁC CẤP, ĐÁNH GIÁ DIỆN RỘNG CẤP QUỐC GIA TRONG LĨNH VỰC HOẠT ĐỘNG GIÁO DỤC VÀ ĐÀO TẠO</t>
  </si>
  <si>
    <r>
      <t xml:space="preserve">Hội đồng/ Ban </t>
    </r>
    <r>
      <rPr>
        <b/>
        <sz val="13"/>
        <rFont val="Times New Roman"/>
        <family val="1"/>
      </rPr>
      <t>coi</t>
    </r>
    <r>
      <rPr>
        <b/>
        <strike/>
        <sz val="13"/>
        <rFont val="Times New Roman"/>
        <family val="1"/>
      </rPr>
      <t xml:space="preserve"> </t>
    </r>
  </si>
  <si>
    <t>Hỗ trợ tiền ăn và nước uống cho học sinh tham gia (hỗ trợ trong thời gian tham gia chính thức)</t>
  </si>
  <si>
    <t xml:space="preserve">Tiền công chi cho công tác kiểm tra, giám sát trước, trong và khi kết thúc </t>
  </si>
  <si>
    <t>Các tiểu ban (chuyên môn, phục vụ, hỗ trợ và giúp việc), ban sao in, ban ra đề, ban coi thi/ Vận chuyển đề thi</t>
  </si>
  <si>
    <t>Nước uống cho VĐV, HLV tập luyện và thi đấu và biểu diễn</t>
  </si>
  <si>
    <r>
      <t>Các cuộc thi, hội thi, kỳ thi</t>
    </r>
    <r>
      <rPr>
        <b/>
        <strike/>
        <sz val="13"/>
        <rFont val="Times New Roman"/>
        <family val="1"/>
      </rPr>
      <t>,</t>
    </r>
    <r>
      <rPr>
        <b/>
        <sz val="13"/>
        <rFont val="Times New Roman"/>
        <family val="1"/>
      </rPr>
      <t xml:space="preserve"> ngày hội </t>
    </r>
  </si>
  <si>
    <r>
      <rPr>
        <sz val="13"/>
        <rFont val="Times New Roman"/>
        <family val="1"/>
      </rPr>
      <t xml:space="preserve">- Huấn luyện viên, giáo viên hướng dẫn, huấn luyện trực tiếp: </t>
    </r>
  </si>
  <si>
    <r>
      <rPr>
        <sz val="13"/>
        <rFont val="Times New Roman"/>
        <family val="1"/>
      </rPr>
      <t xml:space="preserve">- Huấn luyện viên, giáo viên hướng dẫn, huấn luyện gián tiếp: </t>
    </r>
  </si>
  <si>
    <t>Tham gia trong tỉnh</t>
  </si>
  <si>
    <t>Tham gia thi khu vực và toàn quốc</t>
  </si>
  <si>
    <t>Cấp tỉnh/ Quốc gia/ Khu vực/ toàn quốc</t>
  </si>
  <si>
    <r>
      <t xml:space="preserve">- Bảo vệ, phục vụ, </t>
    </r>
    <r>
      <rPr>
        <sz val="13"/>
        <rFont val="Times New Roman"/>
        <family val="1"/>
      </rPr>
      <t>y tế</t>
    </r>
  </si>
  <si>
    <t>(Ban hành kèm theo Nghị quyết số 20/2026/NQ-HĐND ngày 09 tháng 7 năm 2026  
của Hội đồng nhân dân tỉnh Đồng Tháp)</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</si>
</sst>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0_);_(* \(#,##0\);_(* &quot;-&quot;??_);_(@_)"/>
  </numFmts>
  <fonts count="17">
    <font>
      <sz val="13"/>
      <color theme="1"/>
      <name val="Times New Roman"/>
      <family val="2"/>
      <charset val="163"/>
    </font>
    <font>
      <b/>
      <sz val="14"/>
      <name val="Times New Roman"/>
      <family val="1"/>
      <charset val="163"/>
    </font>
    <font>
      <sz val="13"/>
      <name val="Times New Roman"/>
      <family val="2"/>
      <charset val="163"/>
    </font>
    <font>
      <i/>
      <sz val="14"/>
      <name val="Times New Roman"/>
      <family val="1"/>
      <charset val="163"/>
    </font>
    <font>
      <sz val="14"/>
      <name val="Times New Roman"/>
      <family val="1"/>
      <charset val="163"/>
    </font>
    <font>
      <b/>
      <sz val="12"/>
      <name val="Times New Roman"/>
      <family val="1"/>
    </font>
    <font>
      <b/>
      <sz val="13"/>
      <name val="Times New Roman"/>
      <family val="1"/>
    </font>
    <font>
      <sz val="12"/>
      <name val="Times New Roman"/>
      <family val="2"/>
      <charset val="163"/>
    </font>
    <font>
      <b/>
      <i/>
      <sz val="13"/>
      <name val="Times New Roman"/>
      <family val="1"/>
      <charset val="163"/>
    </font>
    <font>
      <sz val="13"/>
      <name val="Calibri"/>
      <family val="2"/>
      <charset val="163"/>
    </font>
    <font>
      <b/>
      <sz val="13"/>
      <name val="Calibri"/>
      <family val="2"/>
      <charset val="163"/>
    </font>
    <font>
      <i/>
      <sz val="13"/>
      <name val="Times New Roman"/>
      <family val="1"/>
    </font>
    <font>
      <strike/>
      <sz val="13"/>
      <name val="Times New Roman"/>
      <family val="1"/>
    </font>
    <font>
      <sz val="12"/>
      <name val="Aptos Narrow"/>
      <family val="2"/>
      <scheme val="minor"/>
    </font>
    <font>
      <b/>
      <strike/>
      <sz val="13"/>
      <name val="Times New Roman"/>
      <family val="1"/>
    </font>
    <font>
      <sz val="13"/>
      <color theme="1"/>
      <name val="Times New Roman"/>
      <family val="2"/>
      <charset val="163"/>
    </font>
    <font>
      <sz val="13"/>
      <name val="Times New Roman"/>
      <family val="1"/>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164" fontId="15" fillId="0" borderId="0" applyFont="0" applyFill="0" applyBorder="0" applyAlignment="0" applyProtection="0"/>
  </cellStyleXfs>
  <cellXfs count="93">
    <xf numFmtId="0" fontId="0" fillId="0" borderId="0" xfId="0"/>
    <xf numFmtId="165" fontId="2" fillId="0" borderId="1" xfId="1" quotePrefix="1" applyNumberFormat="1" applyFont="1" applyFill="1" applyBorder="1" applyAlignment="1">
      <alignment horizontal="center" vertical="center" wrapText="1"/>
    </xf>
    <xf numFmtId="3" fontId="2" fillId="0" borderId="1" xfId="1" applyNumberFormat="1" applyFont="1" applyFill="1" applyBorder="1" applyAlignment="1">
      <alignment horizontal="right" vertical="center" wrapText="1"/>
    </xf>
    <xf numFmtId="165" fontId="2" fillId="0" borderId="1" xfId="1" quotePrefix="1" applyNumberFormat="1" applyFont="1" applyFill="1" applyBorder="1" applyAlignment="1">
      <alignment horizontal="right" vertical="center" wrapText="1"/>
    </xf>
    <xf numFmtId="0" fontId="2" fillId="0" borderId="1" xfId="1" quotePrefix="1" applyNumberFormat="1" applyFont="1" applyFill="1" applyBorder="1" applyAlignment="1">
      <alignment horizontal="right" vertical="center" wrapText="1"/>
    </xf>
    <xf numFmtId="165" fontId="2" fillId="0" borderId="1" xfId="1" quotePrefix="1" applyNumberFormat="1" applyFont="1" applyFill="1" applyBorder="1" applyAlignment="1">
      <alignment vertical="center" wrapText="1"/>
    </xf>
    <xf numFmtId="0" fontId="2" fillId="0" borderId="0" xfId="0" applyFont="1" applyAlignment="1">
      <alignment vertical="center"/>
    </xf>
    <xf numFmtId="0" fontId="4"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center" wrapText="1" shrinkToFit="1"/>
    </xf>
    <xf numFmtId="0" fontId="2" fillId="0" borderId="1" xfId="0" applyFont="1" applyBorder="1" applyAlignment="1">
      <alignment horizontal="center" vertical="center" wrapText="1"/>
    </xf>
    <xf numFmtId="0" fontId="2" fillId="0" borderId="1" xfId="0" quotePrefix="1" applyFont="1" applyBorder="1" applyAlignment="1">
      <alignment horizontal="right" vertical="center" wrapText="1"/>
    </xf>
    <xf numFmtId="0" fontId="6" fillId="0" borderId="0" xfId="0" applyFont="1" applyAlignment="1">
      <alignment vertical="center" wrapText="1" shrinkToFit="1"/>
    </xf>
    <xf numFmtId="0" fontId="2" fillId="0" borderId="1" xfId="0" applyFont="1" applyBorder="1" applyAlignment="1">
      <alignment horizontal="center" vertical="center"/>
    </xf>
    <xf numFmtId="3" fontId="2" fillId="0" borderId="1" xfId="0" applyNumberFormat="1" applyFont="1" applyBorder="1" applyAlignment="1">
      <alignment horizontal="right" vertical="center" wrapText="1"/>
    </xf>
    <xf numFmtId="0" fontId="7" fillId="0" borderId="1" xfId="0" applyFont="1" applyBorder="1" applyAlignment="1">
      <alignment horizontal="center" vertical="center" wrapText="1"/>
    </xf>
    <xf numFmtId="0" fontId="2" fillId="0" borderId="1" xfId="0" applyFont="1" applyBorder="1" applyAlignment="1">
      <alignment horizontal="right" vertical="center"/>
    </xf>
    <xf numFmtId="0" fontId="2" fillId="0" borderId="1" xfId="0" applyFont="1" applyBorder="1" applyAlignment="1">
      <alignment horizontal="right" vertical="center" wrapText="1"/>
    </xf>
    <xf numFmtId="0" fontId="7" fillId="0" borderId="1" xfId="0" applyFont="1" applyBorder="1" applyAlignment="1">
      <alignment horizontal="center" vertical="center"/>
    </xf>
    <xf numFmtId="0" fontId="7" fillId="0" borderId="1" xfId="0" applyFont="1" applyBorder="1" applyAlignment="1">
      <alignment horizontal="right" vertical="center"/>
    </xf>
    <xf numFmtId="0" fontId="13" fillId="0" borderId="0" xfId="0" applyFont="1" applyAlignment="1">
      <alignment vertical="center" wrapText="1" shrinkToFit="1"/>
    </xf>
    <xf numFmtId="0" fontId="12" fillId="0" borderId="1" xfId="0" applyFont="1" applyBorder="1" applyAlignment="1">
      <alignment horizontal="center" vertical="center" wrapText="1"/>
    </xf>
    <xf numFmtId="0" fontId="5" fillId="0" borderId="0" xfId="0" applyFont="1" applyAlignment="1">
      <alignment vertical="center" wrapText="1" shrinkToFit="1"/>
    </xf>
    <xf numFmtId="0" fontId="7" fillId="0" borderId="0" xfId="0" applyFont="1" applyAlignment="1">
      <alignment vertical="center" wrapText="1" shrinkToFit="1"/>
    </xf>
    <xf numFmtId="0" fontId="2" fillId="0" borderId="1" xfId="0" quotePrefix="1" applyFont="1" applyBorder="1" applyAlignment="1">
      <alignment vertical="center" wrapText="1"/>
    </xf>
    <xf numFmtId="3" fontId="4" fillId="0" borderId="1" xfId="0" applyNumberFormat="1" applyFont="1" applyBorder="1" applyAlignment="1">
      <alignment horizontal="right" vertical="center" wrapText="1"/>
    </xf>
    <xf numFmtId="0" fontId="2" fillId="0" borderId="2" xfId="0" quotePrefix="1" applyFont="1" applyBorder="1" applyAlignment="1">
      <alignment horizontal="right" vertical="center" wrapText="1"/>
    </xf>
    <xf numFmtId="0" fontId="7" fillId="0" borderId="3" xfId="0" quotePrefix="1" applyFont="1" applyBorder="1" applyAlignment="1">
      <alignment vertical="center" wrapText="1"/>
    </xf>
    <xf numFmtId="0" fontId="7" fillId="0" borderId="3" xfId="0" quotePrefix="1" applyFont="1" applyBorder="1" applyAlignment="1">
      <alignment horizontal="left" vertical="center" wrapText="1"/>
    </xf>
    <xf numFmtId="0" fontId="6" fillId="0" borderId="1" xfId="0" applyFont="1" applyBorder="1" applyAlignment="1">
      <alignment horizontal="center" vertical="center" wrapText="1"/>
    </xf>
    <xf numFmtId="0" fontId="2" fillId="0" borderId="2" xfId="0" quotePrefix="1" applyFont="1" applyBorder="1" applyAlignment="1">
      <alignment horizontal="justify" vertical="center" wrapText="1"/>
    </xf>
    <xf numFmtId="0" fontId="2" fillId="0" borderId="3" xfId="0" quotePrefix="1" applyFont="1" applyBorder="1" applyAlignment="1">
      <alignment horizontal="justify" vertical="center" wrapText="1"/>
    </xf>
    <xf numFmtId="0" fontId="6" fillId="0" borderId="2" xfId="0" quotePrefix="1" applyFont="1" applyBorder="1" applyAlignment="1">
      <alignment horizontal="justify" vertical="center" wrapText="1"/>
    </xf>
    <xf numFmtId="0" fontId="6" fillId="0" borderId="1" xfId="0" quotePrefix="1" applyFont="1" applyBorder="1" applyAlignment="1">
      <alignment horizontal="center" vertical="center" wrapText="1"/>
    </xf>
    <xf numFmtId="0" fontId="2" fillId="0" borderId="2" xfId="0" quotePrefix="1" applyFont="1" applyBorder="1" applyAlignment="1">
      <alignment vertical="center" wrapText="1"/>
    </xf>
    <xf numFmtId="0" fontId="2" fillId="0" borderId="3" xfId="0" quotePrefix="1" applyFont="1" applyBorder="1" applyAlignment="1">
      <alignment vertical="center" wrapText="1"/>
    </xf>
    <xf numFmtId="0" fontId="6" fillId="0" borderId="2" xfId="0" applyFont="1" applyBorder="1" applyAlignment="1">
      <alignment vertical="center" wrapText="1"/>
    </xf>
    <xf numFmtId="0" fontId="2" fillId="0" borderId="3" xfId="0" applyFont="1" applyBorder="1" applyAlignment="1">
      <alignment vertical="center" wrapText="1"/>
    </xf>
    <xf numFmtId="0" fontId="2" fillId="0" borderId="2" xfId="0" applyFont="1" applyBorder="1" applyAlignment="1">
      <alignment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10" fillId="0" borderId="1" xfId="0" applyFont="1" applyBorder="1" applyAlignment="1">
      <alignment horizontal="right" vertical="center" wrapText="1"/>
    </xf>
    <xf numFmtId="0" fontId="6" fillId="0" borderId="1" xfId="0" applyFont="1" applyBorder="1" applyAlignment="1">
      <alignment horizontal="right" vertical="center" wrapText="1"/>
    </xf>
    <xf numFmtId="0" fontId="8" fillId="0" borderId="1" xfId="0" applyFont="1" applyBorder="1" applyAlignment="1">
      <alignment horizontal="center" vertical="center" wrapText="1"/>
    </xf>
    <xf numFmtId="0" fontId="8" fillId="0" borderId="2" xfId="0" applyFont="1" applyBorder="1" applyAlignment="1">
      <alignment horizontal="justify" vertical="center" wrapText="1"/>
    </xf>
    <xf numFmtId="0" fontId="8" fillId="0" borderId="3" xfId="0" applyFont="1" applyBorder="1" applyAlignment="1">
      <alignment horizontal="justify" vertical="center" wrapText="1"/>
    </xf>
    <xf numFmtId="0" fontId="8" fillId="0" borderId="2" xfId="0" applyFont="1" applyBorder="1" applyAlignment="1">
      <alignment vertical="center" wrapText="1"/>
    </xf>
    <xf numFmtId="0" fontId="6" fillId="0" borderId="1" xfId="0" applyFont="1" applyBorder="1" applyAlignment="1">
      <alignment vertical="center" wrapText="1"/>
    </xf>
    <xf numFmtId="0" fontId="11" fillId="0" borderId="3" xfId="0" applyFont="1" applyBorder="1" applyAlignment="1">
      <alignment vertical="center" wrapText="1"/>
    </xf>
    <xf numFmtId="0" fontId="8" fillId="0" borderId="1" xfId="0" applyFont="1" applyBorder="1" applyAlignment="1">
      <alignment horizontal="right" vertical="center" wrapText="1"/>
    </xf>
    <xf numFmtId="0" fontId="8" fillId="0" borderId="3" xfId="0" applyFont="1" applyBorder="1" applyAlignment="1">
      <alignment vertical="center" wrapText="1"/>
    </xf>
    <xf numFmtId="0" fontId="11" fillId="0" borderId="1" xfId="0" applyFont="1" applyBorder="1" applyAlignment="1">
      <alignment horizontal="center" vertical="center" wrapText="1"/>
    </xf>
    <xf numFmtId="0" fontId="11" fillId="0" borderId="2" xfId="0" applyFont="1" applyBorder="1" applyAlignment="1">
      <alignment vertical="center" wrapText="1"/>
    </xf>
    <xf numFmtId="0" fontId="11" fillId="0" borderId="1" xfId="0" applyFont="1" applyBorder="1" applyAlignment="1">
      <alignment vertical="center" wrapText="1"/>
    </xf>
    <xf numFmtId="0" fontId="6" fillId="0" borderId="3" xfId="0" applyFont="1" applyBorder="1" applyAlignment="1">
      <alignment vertical="center" wrapText="1"/>
    </xf>
    <xf numFmtId="0" fontId="6" fillId="0" borderId="2" xfId="0" quotePrefix="1" applyFont="1" applyBorder="1" applyAlignment="1">
      <alignment vertical="center" wrapText="1"/>
    </xf>
    <xf numFmtId="0" fontId="6" fillId="0" borderId="3" xfId="0" quotePrefix="1" applyFont="1" applyBorder="1" applyAlignment="1">
      <alignment vertical="center" wrapText="1"/>
    </xf>
    <xf numFmtId="0" fontId="6" fillId="0" borderId="2" xfId="0" applyFont="1" applyBorder="1" applyAlignment="1">
      <alignment horizontal="justify" vertical="center" wrapText="1"/>
    </xf>
    <xf numFmtId="0" fontId="6" fillId="0" borderId="3" xfId="0" applyFont="1" applyBorder="1" applyAlignment="1">
      <alignment horizontal="justify" vertical="center" wrapText="1"/>
    </xf>
    <xf numFmtId="0" fontId="9" fillId="0" borderId="1" xfId="0" applyFont="1" applyBorder="1" applyAlignment="1">
      <alignment horizontal="center" vertical="center" wrapText="1"/>
    </xf>
    <xf numFmtId="0" fontId="2" fillId="0" borderId="3" xfId="0" quotePrefix="1" applyFont="1" applyBorder="1" applyAlignment="1">
      <alignment horizontal="left" vertical="center" wrapText="1"/>
    </xf>
    <xf numFmtId="0" fontId="7" fillId="0" borderId="1" xfId="0" applyFont="1" applyBorder="1" applyAlignment="1">
      <alignment horizontal="righ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quotePrefix="1" applyFont="1" applyBorder="1" applyAlignment="1">
      <alignment horizontal="left" vertical="center" wrapText="1"/>
    </xf>
    <xf numFmtId="0" fontId="6" fillId="0" borderId="3" xfId="0" quotePrefix="1" applyFont="1" applyBorder="1" applyAlignment="1">
      <alignment horizontal="left" vertic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1" fillId="0" borderId="0" xfId="0" applyFont="1" applyAlignment="1">
      <alignment horizontal="center" vertical="center"/>
    </xf>
    <xf numFmtId="0" fontId="3" fillId="0" borderId="0" xfId="0" applyFont="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1" fillId="0" borderId="0" xfId="0" applyFont="1" applyAlignment="1">
      <alignment horizontal="center" vertical="center" wrapText="1"/>
    </xf>
    <xf numFmtId="0" fontId="6"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5" fillId="0" borderId="2" xfId="0" applyFont="1" applyBorder="1" applyAlignment="1">
      <alignment horizontal="left" vertical="center" wrapText="1"/>
    </xf>
    <xf numFmtId="0" fontId="5" fillId="0" borderId="4" xfId="0" applyFont="1" applyBorder="1" applyAlignment="1">
      <alignment horizontal="left" vertical="center" wrapText="1"/>
    </xf>
    <xf numFmtId="0" fontId="5" fillId="0" borderId="3" xfId="0" applyFont="1" applyBorder="1" applyAlignment="1">
      <alignment horizontal="left" vertical="center" wrapText="1"/>
    </xf>
    <xf numFmtId="0" fontId="5" fillId="0" borderId="2" xfId="0" applyFont="1" applyBorder="1" applyAlignment="1">
      <alignment horizontal="left" vertical="center"/>
    </xf>
    <xf numFmtId="0" fontId="5" fillId="0" borderId="4" xfId="0" applyFont="1" applyBorder="1" applyAlignment="1">
      <alignment horizontal="left" vertical="center"/>
    </xf>
    <xf numFmtId="0" fontId="5" fillId="0" borderId="3" xfId="0" applyFont="1" applyBorder="1" applyAlignment="1">
      <alignment horizontal="left" vertical="center"/>
    </xf>
    <xf numFmtId="0" fontId="5" fillId="0" borderId="1" xfId="0"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1"/>
  <sheetViews>
    <sheetView tabSelected="1" topLeftCell="A49" zoomScale="73" zoomScaleNormal="73" workbookViewId="0">
      <selection activeCell="E10" sqref="E10"/>
    </sheetView>
  </sheetViews>
  <sheetFormatPr defaultColWidth="8.88671875" defaultRowHeight="16.5"/>
  <cols>
    <col min="1" max="1" width="5.5546875" style="8" customWidth="1"/>
    <col min="2" max="2" width="3.6640625" style="6" customWidth="1"/>
    <col min="3" max="3" width="32.5546875" style="6" customWidth="1"/>
    <col min="4" max="4" width="14.6640625" style="8" customWidth="1"/>
    <col min="5" max="5" width="13.21875" style="8" customWidth="1"/>
    <col min="6" max="6" width="12.5546875" style="8" customWidth="1"/>
    <col min="7" max="7" width="11.88671875" style="6" customWidth="1"/>
    <col min="8" max="16384" width="8.88671875" style="6"/>
  </cols>
  <sheetData>
    <row r="1" spans="1:7" ht="37.5" customHeight="1">
      <c r="A1" s="77" t="s">
        <v>2</v>
      </c>
      <c r="B1" s="77"/>
      <c r="C1" s="77"/>
      <c r="D1" s="77"/>
      <c r="E1" s="77"/>
      <c r="F1" s="77"/>
      <c r="G1" s="77"/>
    </row>
    <row r="2" spans="1:7" ht="87" customHeight="1">
      <c r="A2" s="81" t="s">
        <v>157</v>
      </c>
      <c r="B2" s="81"/>
      <c r="C2" s="81"/>
      <c r="D2" s="81"/>
      <c r="E2" s="81"/>
      <c r="F2" s="81"/>
      <c r="G2" s="81"/>
    </row>
    <row r="3" spans="1:7" ht="49.5" customHeight="1">
      <c r="A3" s="78" t="s">
        <v>170</v>
      </c>
      <c r="B3" s="78"/>
      <c r="C3" s="78"/>
      <c r="D3" s="78"/>
      <c r="E3" s="78"/>
      <c r="F3" s="78"/>
      <c r="G3" s="78"/>
    </row>
    <row r="4" spans="1:7" ht="30.75" customHeight="1">
      <c r="A4" s="7"/>
    </row>
    <row r="5" spans="1:7" s="9" customFormat="1" ht="45" customHeight="1">
      <c r="A5" s="79" t="s">
        <v>3</v>
      </c>
      <c r="B5" s="73" t="s">
        <v>90</v>
      </c>
      <c r="C5" s="74"/>
      <c r="D5" s="79" t="s">
        <v>0</v>
      </c>
      <c r="E5" s="67" t="s">
        <v>93</v>
      </c>
      <c r="F5" s="82"/>
      <c r="G5" s="68"/>
    </row>
    <row r="6" spans="1:7" s="9" customFormat="1" ht="61.5" customHeight="1">
      <c r="A6" s="80"/>
      <c r="B6" s="75"/>
      <c r="C6" s="76"/>
      <c r="D6" s="80"/>
      <c r="E6" s="10" t="s">
        <v>168</v>
      </c>
      <c r="F6" s="10" t="s">
        <v>91</v>
      </c>
      <c r="G6" s="10" t="s">
        <v>92</v>
      </c>
    </row>
    <row r="7" spans="1:7" s="9" customFormat="1" ht="28.5" customHeight="1">
      <c r="A7" s="29" t="s">
        <v>24</v>
      </c>
      <c r="B7" s="62" t="s">
        <v>124</v>
      </c>
      <c r="C7" s="64"/>
      <c r="D7" s="64"/>
      <c r="E7" s="64"/>
      <c r="F7" s="64"/>
      <c r="G7" s="63"/>
    </row>
    <row r="8" spans="1:7" s="9" customFormat="1" ht="28.5" customHeight="1">
      <c r="A8" s="29">
        <v>1</v>
      </c>
      <c r="B8" s="62" t="s">
        <v>4</v>
      </c>
      <c r="C8" s="64"/>
      <c r="D8" s="64"/>
      <c r="E8" s="64"/>
      <c r="F8" s="64"/>
      <c r="G8" s="63"/>
    </row>
    <row r="9" spans="1:7" s="9" customFormat="1" ht="28.5" customHeight="1">
      <c r="A9" s="10"/>
      <c r="B9" s="30"/>
      <c r="C9" s="31" t="s">
        <v>48</v>
      </c>
      <c r="D9" s="10" t="s">
        <v>1</v>
      </c>
      <c r="E9" s="26">
        <v>380</v>
      </c>
      <c r="F9" s="11">
        <f>ROUNDDOWN(E9*80%,-1)</f>
        <v>300</v>
      </c>
      <c r="G9" s="11">
        <f>ROUNDDOWN(E9*60%,-1)</f>
        <v>220</v>
      </c>
    </row>
    <row r="10" spans="1:7" s="9" customFormat="1" ht="45" customHeight="1">
      <c r="A10" s="10"/>
      <c r="B10" s="30"/>
      <c r="C10" s="31" t="s">
        <v>49</v>
      </c>
      <c r="D10" s="10" t="s">
        <v>1</v>
      </c>
      <c r="E10" s="26">
        <v>340</v>
      </c>
      <c r="F10" s="11">
        <f>ROUNDDOWN(E10*80%,-1)</f>
        <v>270</v>
      </c>
      <c r="G10" s="11">
        <f>ROUNDDOWN(E10*60%,-1)</f>
        <v>200</v>
      </c>
    </row>
    <row r="11" spans="1:7" s="9" customFormat="1" ht="45" customHeight="1">
      <c r="A11" s="10"/>
      <c r="B11" s="30"/>
      <c r="C11" s="31" t="s">
        <v>80</v>
      </c>
      <c r="D11" s="10" t="s">
        <v>1</v>
      </c>
      <c r="E11" s="26">
        <v>290</v>
      </c>
      <c r="F11" s="11">
        <f>ROUNDDOWN(E11*80%,-1)</f>
        <v>230</v>
      </c>
      <c r="G11" s="11">
        <f>ROUNDDOWN(E11*60%,-1)</f>
        <v>170</v>
      </c>
    </row>
    <row r="12" spans="1:7" s="9" customFormat="1" ht="28.5" customHeight="1">
      <c r="A12" s="10"/>
      <c r="B12" s="30"/>
      <c r="C12" s="31" t="s">
        <v>11</v>
      </c>
      <c r="D12" s="10" t="s">
        <v>1</v>
      </c>
      <c r="E12" s="26">
        <v>150</v>
      </c>
      <c r="F12" s="11">
        <f>ROUNDDOWN(E12*80%,-1)</f>
        <v>120</v>
      </c>
      <c r="G12" s="11">
        <f>ROUNDDOWN(E12*60%,-1)</f>
        <v>90</v>
      </c>
    </row>
    <row r="13" spans="1:7" s="9" customFormat="1" ht="28.5" customHeight="1">
      <c r="A13" s="29">
        <v>2</v>
      </c>
      <c r="B13" s="62" t="s">
        <v>125</v>
      </c>
      <c r="C13" s="64"/>
      <c r="D13" s="64"/>
      <c r="E13" s="64"/>
      <c r="F13" s="64"/>
      <c r="G13" s="63"/>
    </row>
    <row r="14" spans="1:7" s="9" customFormat="1" ht="28.5" customHeight="1">
      <c r="A14" s="29"/>
      <c r="B14" s="30"/>
      <c r="C14" s="31" t="s">
        <v>48</v>
      </c>
      <c r="D14" s="10" t="s">
        <v>1</v>
      </c>
      <c r="E14" s="26">
        <v>380</v>
      </c>
      <c r="F14" s="11">
        <f t="shared" ref="F14:F17" si="0">ROUNDDOWN(E14*80%,-1)</f>
        <v>300</v>
      </c>
      <c r="G14" s="11">
        <f t="shared" ref="G14:G17" si="1">ROUNDDOWN(E14*60%,-1)</f>
        <v>220</v>
      </c>
    </row>
    <row r="15" spans="1:7" s="9" customFormat="1" ht="45" customHeight="1">
      <c r="A15" s="29"/>
      <c r="B15" s="30"/>
      <c r="C15" s="31" t="s">
        <v>49</v>
      </c>
      <c r="D15" s="10" t="s">
        <v>1</v>
      </c>
      <c r="E15" s="26">
        <v>340</v>
      </c>
      <c r="F15" s="11">
        <f t="shared" si="0"/>
        <v>270</v>
      </c>
      <c r="G15" s="11">
        <f t="shared" si="1"/>
        <v>200</v>
      </c>
    </row>
    <row r="16" spans="1:7" s="9" customFormat="1" ht="45" customHeight="1">
      <c r="A16" s="29"/>
      <c r="B16" s="30"/>
      <c r="C16" s="31" t="s">
        <v>50</v>
      </c>
      <c r="D16" s="10" t="s">
        <v>1</v>
      </c>
      <c r="E16" s="26">
        <v>290</v>
      </c>
      <c r="F16" s="11">
        <f t="shared" si="0"/>
        <v>230</v>
      </c>
      <c r="G16" s="11">
        <f t="shared" si="1"/>
        <v>170</v>
      </c>
    </row>
    <row r="17" spans="1:7" s="9" customFormat="1" ht="28.5" customHeight="1">
      <c r="A17" s="29"/>
      <c r="B17" s="30"/>
      <c r="C17" s="31" t="s">
        <v>11</v>
      </c>
      <c r="D17" s="10" t="s">
        <v>1</v>
      </c>
      <c r="E17" s="26">
        <v>150</v>
      </c>
      <c r="F17" s="11">
        <f t="shared" si="0"/>
        <v>120</v>
      </c>
      <c r="G17" s="11">
        <f t="shared" si="1"/>
        <v>90</v>
      </c>
    </row>
    <row r="18" spans="1:7" s="9" customFormat="1" ht="28.5" customHeight="1">
      <c r="A18" s="29"/>
      <c r="B18" s="30"/>
      <c r="C18" s="31" t="s">
        <v>132</v>
      </c>
      <c r="D18" s="10"/>
      <c r="E18" s="11"/>
      <c r="F18" s="11"/>
      <c r="G18" s="11"/>
    </row>
    <row r="19" spans="1:7" s="9" customFormat="1" ht="28.5" customHeight="1">
      <c r="A19" s="29"/>
      <c r="B19" s="30"/>
      <c r="C19" s="31" t="s">
        <v>152</v>
      </c>
      <c r="D19" s="10" t="s">
        <v>1</v>
      </c>
      <c r="E19" s="11">
        <v>600</v>
      </c>
      <c r="F19" s="11">
        <f t="shared" ref="F19:F20" si="2">ROUNDDOWN(E19*80%,-1)</f>
        <v>480</v>
      </c>
      <c r="G19" s="11">
        <f t="shared" ref="G19:G20" si="3">ROUNDDOWN(E19*60%,-1)</f>
        <v>360</v>
      </c>
    </row>
    <row r="20" spans="1:7" s="9" customFormat="1" ht="28.5" customHeight="1">
      <c r="A20" s="29"/>
      <c r="B20" s="30"/>
      <c r="C20" s="31" t="s">
        <v>133</v>
      </c>
      <c r="D20" s="10" t="s">
        <v>1</v>
      </c>
      <c r="E20" s="11">
        <v>600</v>
      </c>
      <c r="F20" s="11">
        <f t="shared" si="2"/>
        <v>480</v>
      </c>
      <c r="G20" s="11">
        <f t="shared" si="3"/>
        <v>360</v>
      </c>
    </row>
    <row r="21" spans="1:7" s="9" customFormat="1" ht="28.5" customHeight="1">
      <c r="A21" s="29">
        <v>3</v>
      </c>
      <c r="B21" s="62" t="s">
        <v>158</v>
      </c>
      <c r="C21" s="64"/>
      <c r="D21" s="64"/>
      <c r="E21" s="64"/>
      <c r="F21" s="64"/>
      <c r="G21" s="63"/>
    </row>
    <row r="22" spans="1:7" s="9" customFormat="1" ht="28.5" customHeight="1">
      <c r="A22" s="10"/>
      <c r="B22" s="30"/>
      <c r="C22" s="31" t="s">
        <v>19</v>
      </c>
      <c r="D22" s="10" t="s">
        <v>1</v>
      </c>
      <c r="E22" s="11">
        <v>380</v>
      </c>
      <c r="F22" s="11">
        <f t="shared" ref="F22:F26" si="4">ROUNDDOWN(E22*80%,-1)</f>
        <v>300</v>
      </c>
      <c r="G22" s="11">
        <f t="shared" ref="G22:G26" si="5">ROUNDDOWN(E22*60%,-1)</f>
        <v>220</v>
      </c>
    </row>
    <row r="23" spans="1:7" s="9" customFormat="1" ht="45" customHeight="1">
      <c r="A23" s="10"/>
      <c r="B23" s="30"/>
      <c r="C23" s="31" t="s">
        <v>20</v>
      </c>
      <c r="D23" s="10" t="s">
        <v>1</v>
      </c>
      <c r="E23" s="11">
        <v>340</v>
      </c>
      <c r="F23" s="11">
        <f t="shared" si="4"/>
        <v>270</v>
      </c>
      <c r="G23" s="11">
        <f t="shared" si="5"/>
        <v>200</v>
      </c>
    </row>
    <row r="24" spans="1:7" s="9" customFormat="1" ht="45" customHeight="1">
      <c r="A24" s="10"/>
      <c r="B24" s="30"/>
      <c r="C24" s="31" t="s">
        <v>81</v>
      </c>
      <c r="D24" s="10" t="s">
        <v>1</v>
      </c>
      <c r="E24" s="24">
        <v>290</v>
      </c>
      <c r="F24" s="11">
        <f t="shared" si="4"/>
        <v>230</v>
      </c>
      <c r="G24" s="11">
        <f t="shared" si="5"/>
        <v>170</v>
      </c>
    </row>
    <row r="25" spans="1:7" s="9" customFormat="1" ht="28.5" customHeight="1">
      <c r="A25" s="10"/>
      <c r="B25" s="30"/>
      <c r="C25" s="31" t="s">
        <v>154</v>
      </c>
      <c r="D25" s="10" t="s">
        <v>1</v>
      </c>
      <c r="E25" s="24">
        <v>230</v>
      </c>
      <c r="F25" s="11">
        <f t="shared" si="4"/>
        <v>180</v>
      </c>
      <c r="G25" s="11">
        <f t="shared" si="5"/>
        <v>130</v>
      </c>
    </row>
    <row r="26" spans="1:7" s="9" customFormat="1" ht="28.5" customHeight="1">
      <c r="A26" s="10"/>
      <c r="B26" s="30"/>
      <c r="C26" s="31" t="s">
        <v>169</v>
      </c>
      <c r="D26" s="10" t="s">
        <v>1</v>
      </c>
      <c r="E26" s="24">
        <v>150</v>
      </c>
      <c r="F26" s="11">
        <f t="shared" si="4"/>
        <v>120</v>
      </c>
      <c r="G26" s="11">
        <f t="shared" si="5"/>
        <v>90</v>
      </c>
    </row>
    <row r="27" spans="1:7" s="9" customFormat="1" ht="28.5" customHeight="1">
      <c r="A27" s="29">
        <v>4</v>
      </c>
      <c r="B27" s="62" t="s">
        <v>126</v>
      </c>
      <c r="C27" s="64"/>
      <c r="D27" s="64"/>
      <c r="E27" s="64"/>
      <c r="F27" s="64"/>
      <c r="G27" s="63"/>
    </row>
    <row r="28" spans="1:7" s="9" customFormat="1" ht="28.5" customHeight="1">
      <c r="A28" s="29"/>
      <c r="B28" s="30"/>
      <c r="C28" s="31" t="s">
        <v>19</v>
      </c>
      <c r="D28" s="10" t="s">
        <v>1</v>
      </c>
      <c r="E28" s="11">
        <v>380</v>
      </c>
      <c r="F28" s="11">
        <f t="shared" ref="F28:F29" si="6">ROUNDDOWN(E28*80%,-1)</f>
        <v>300</v>
      </c>
      <c r="G28" s="11">
        <f t="shared" ref="G28:G29" si="7">ROUNDDOWN(E28*60%,-1)</f>
        <v>220</v>
      </c>
    </row>
    <row r="29" spans="1:7" s="9" customFormat="1" ht="45" customHeight="1">
      <c r="A29" s="29"/>
      <c r="B29" s="30"/>
      <c r="C29" s="31" t="s">
        <v>20</v>
      </c>
      <c r="D29" s="10" t="s">
        <v>1</v>
      </c>
      <c r="E29" s="11">
        <v>340</v>
      </c>
      <c r="F29" s="11">
        <f t="shared" si="6"/>
        <v>270</v>
      </c>
      <c r="G29" s="11">
        <f t="shared" si="7"/>
        <v>200</v>
      </c>
    </row>
    <row r="30" spans="1:7" s="12" customFormat="1" ht="28.5" customHeight="1">
      <c r="A30" s="29"/>
      <c r="B30" s="32"/>
      <c r="C30" s="69" t="s">
        <v>127</v>
      </c>
      <c r="D30" s="69"/>
      <c r="E30" s="69"/>
      <c r="F30" s="70"/>
      <c r="G30" s="33"/>
    </row>
    <row r="31" spans="1:7" s="9" customFormat="1" ht="61.5" customHeight="1">
      <c r="A31" s="29"/>
      <c r="B31" s="34"/>
      <c r="C31" s="35" t="s">
        <v>128</v>
      </c>
      <c r="D31" s="10" t="s">
        <v>10</v>
      </c>
      <c r="E31" s="11">
        <v>400</v>
      </c>
      <c r="F31" s="11">
        <f t="shared" ref="F31:F36" si="8">ROUNDDOWN(E31*80%,-1)</f>
        <v>320</v>
      </c>
      <c r="G31" s="11">
        <f t="shared" ref="G31:G36" si="9">ROUNDDOWN(E31*60%,-1)</f>
        <v>240</v>
      </c>
    </row>
    <row r="32" spans="1:7" s="9" customFormat="1" ht="45" customHeight="1">
      <c r="A32" s="29"/>
      <c r="B32" s="34"/>
      <c r="C32" s="35" t="s">
        <v>129</v>
      </c>
      <c r="D32" s="10" t="s">
        <v>10</v>
      </c>
      <c r="E32" s="3">
        <v>1200</v>
      </c>
      <c r="F32" s="11">
        <f t="shared" si="8"/>
        <v>960</v>
      </c>
      <c r="G32" s="11">
        <f t="shared" si="9"/>
        <v>720</v>
      </c>
    </row>
    <row r="33" spans="1:7" s="9" customFormat="1" ht="45" customHeight="1">
      <c r="A33" s="29"/>
      <c r="B33" s="34"/>
      <c r="C33" s="35" t="s">
        <v>130</v>
      </c>
      <c r="D33" s="10" t="s">
        <v>10</v>
      </c>
      <c r="E33" s="11">
        <v>800</v>
      </c>
      <c r="F33" s="11">
        <f t="shared" si="8"/>
        <v>640</v>
      </c>
      <c r="G33" s="11">
        <f t="shared" si="9"/>
        <v>480</v>
      </c>
    </row>
    <row r="34" spans="1:7" s="9" customFormat="1" ht="45" customHeight="1">
      <c r="A34" s="29"/>
      <c r="B34" s="30"/>
      <c r="C34" s="31" t="s">
        <v>82</v>
      </c>
      <c r="D34" s="10" t="s">
        <v>1</v>
      </c>
      <c r="E34" s="11">
        <v>290</v>
      </c>
      <c r="F34" s="11">
        <f t="shared" si="8"/>
        <v>230</v>
      </c>
      <c r="G34" s="11">
        <f t="shared" si="9"/>
        <v>170</v>
      </c>
    </row>
    <row r="35" spans="1:7" s="9" customFormat="1" ht="28.5" customHeight="1">
      <c r="A35" s="29"/>
      <c r="B35" s="30"/>
      <c r="C35" s="31" t="s">
        <v>78</v>
      </c>
      <c r="D35" s="10" t="s">
        <v>1</v>
      </c>
      <c r="E35" s="11">
        <v>150</v>
      </c>
      <c r="F35" s="11">
        <f t="shared" si="8"/>
        <v>120</v>
      </c>
      <c r="G35" s="11">
        <f t="shared" si="9"/>
        <v>90</v>
      </c>
    </row>
    <row r="36" spans="1:7" s="9" customFormat="1" ht="61.5" customHeight="1">
      <c r="A36" s="29">
        <v>5</v>
      </c>
      <c r="B36" s="36"/>
      <c r="C36" s="37" t="s">
        <v>159</v>
      </c>
      <c r="D36" s="13" t="s">
        <v>1</v>
      </c>
      <c r="E36" s="14">
        <v>150</v>
      </c>
      <c r="F36" s="11">
        <f t="shared" si="8"/>
        <v>120</v>
      </c>
      <c r="G36" s="11">
        <f t="shared" si="9"/>
        <v>90</v>
      </c>
    </row>
    <row r="37" spans="1:7" s="9" customFormat="1" ht="28.5" customHeight="1">
      <c r="A37" s="29">
        <v>6</v>
      </c>
      <c r="B37" s="86" t="s">
        <v>160</v>
      </c>
      <c r="C37" s="87"/>
      <c r="D37" s="87"/>
      <c r="E37" s="87"/>
      <c r="F37" s="87"/>
      <c r="G37" s="88"/>
    </row>
    <row r="38" spans="1:7" s="9" customFormat="1" ht="28.5" customHeight="1">
      <c r="A38" s="29"/>
      <c r="B38" s="36"/>
      <c r="C38" s="27" t="s">
        <v>107</v>
      </c>
      <c r="D38" s="15" t="s">
        <v>1</v>
      </c>
      <c r="E38" s="61">
        <v>300</v>
      </c>
      <c r="F38" s="11">
        <f t="shared" ref="F38:F40" si="10">ROUNDDOWN(E38*80%,-1)</f>
        <v>240</v>
      </c>
      <c r="G38" s="11">
        <f t="shared" ref="G38:G40" si="11">ROUNDDOWN(E38*60%,-1)</f>
        <v>180</v>
      </c>
    </row>
    <row r="39" spans="1:7" s="9" customFormat="1" ht="28.5" customHeight="1">
      <c r="A39" s="29"/>
      <c r="B39" s="36"/>
      <c r="C39" s="27" t="s">
        <v>108</v>
      </c>
      <c r="D39" s="15" t="s">
        <v>1</v>
      </c>
      <c r="E39" s="61">
        <v>280</v>
      </c>
      <c r="F39" s="11">
        <f t="shared" si="10"/>
        <v>220</v>
      </c>
      <c r="G39" s="11">
        <f t="shared" si="11"/>
        <v>160</v>
      </c>
    </row>
    <row r="40" spans="1:7" s="9" customFormat="1" ht="28.5" customHeight="1">
      <c r="A40" s="29"/>
      <c r="B40" s="36"/>
      <c r="C40" s="27" t="s">
        <v>109</v>
      </c>
      <c r="D40" s="15" t="s">
        <v>1</v>
      </c>
      <c r="E40" s="61">
        <v>250</v>
      </c>
      <c r="F40" s="11">
        <f t="shared" si="10"/>
        <v>200</v>
      </c>
      <c r="G40" s="11">
        <f t="shared" si="11"/>
        <v>150</v>
      </c>
    </row>
    <row r="41" spans="1:7" s="9" customFormat="1" ht="28.5" customHeight="1">
      <c r="A41" s="29">
        <v>7</v>
      </c>
      <c r="B41" s="62" t="s">
        <v>89</v>
      </c>
      <c r="C41" s="64"/>
      <c r="D41" s="64"/>
      <c r="E41" s="64"/>
      <c r="F41" s="64"/>
      <c r="G41" s="63"/>
    </row>
    <row r="42" spans="1:7" s="9" customFormat="1" ht="28.5" customHeight="1">
      <c r="A42" s="10"/>
      <c r="B42" s="38"/>
      <c r="C42" s="37" t="s">
        <v>6</v>
      </c>
      <c r="D42" s="10" t="s">
        <v>1</v>
      </c>
      <c r="E42" s="16">
        <v>150</v>
      </c>
      <c r="F42" s="11">
        <f t="shared" ref="F42:F45" si="12">ROUNDDOWN(E42*80%,-1)</f>
        <v>120</v>
      </c>
      <c r="G42" s="11">
        <f t="shared" ref="G42:G45" si="13">ROUNDDOWN(E42*60%,-1)</f>
        <v>90</v>
      </c>
    </row>
    <row r="43" spans="1:7" s="9" customFormat="1" ht="45" customHeight="1">
      <c r="A43" s="10"/>
      <c r="B43" s="38"/>
      <c r="C43" s="37" t="s">
        <v>7</v>
      </c>
      <c r="D43" s="10" t="s">
        <v>1</v>
      </c>
      <c r="E43" s="16">
        <v>40</v>
      </c>
      <c r="F43" s="11">
        <f t="shared" si="12"/>
        <v>30</v>
      </c>
      <c r="G43" s="11">
        <f t="shared" si="13"/>
        <v>20</v>
      </c>
    </row>
    <row r="44" spans="1:7" s="9" customFormat="1" ht="39" customHeight="1">
      <c r="A44" s="10"/>
      <c r="B44" s="38"/>
      <c r="C44" s="37" t="s">
        <v>8</v>
      </c>
      <c r="D44" s="10" t="s">
        <v>1</v>
      </c>
      <c r="E44" s="16">
        <v>300</v>
      </c>
      <c r="F44" s="11">
        <f t="shared" si="12"/>
        <v>240</v>
      </c>
      <c r="G44" s="11">
        <f t="shared" si="13"/>
        <v>180</v>
      </c>
    </row>
    <row r="45" spans="1:7" s="9" customFormat="1" ht="45" customHeight="1">
      <c r="A45" s="10"/>
      <c r="B45" s="38"/>
      <c r="C45" s="37" t="s">
        <v>9</v>
      </c>
      <c r="D45" s="10" t="s">
        <v>155</v>
      </c>
      <c r="E45" s="16">
        <v>500</v>
      </c>
      <c r="F45" s="11">
        <f t="shared" si="12"/>
        <v>400</v>
      </c>
      <c r="G45" s="11">
        <f t="shared" si="13"/>
        <v>300</v>
      </c>
    </row>
    <row r="46" spans="1:7" s="9" customFormat="1" ht="28.5" customHeight="1">
      <c r="A46" s="92" t="s">
        <v>25</v>
      </c>
      <c r="B46" s="89" t="s">
        <v>131</v>
      </c>
      <c r="C46" s="90"/>
      <c r="D46" s="90"/>
      <c r="E46" s="90"/>
      <c r="F46" s="90"/>
      <c r="G46" s="91"/>
    </row>
    <row r="47" spans="1:7" s="9" customFormat="1" ht="28.5" customHeight="1">
      <c r="A47" s="10"/>
      <c r="B47" s="38"/>
      <c r="C47" s="28" t="s">
        <v>114</v>
      </c>
      <c r="D47" s="18" t="s">
        <v>35</v>
      </c>
      <c r="E47" s="19">
        <v>380</v>
      </c>
      <c r="F47" s="11">
        <f t="shared" ref="F47:F50" si="14">ROUNDDOWN(E47*80%,-1)</f>
        <v>300</v>
      </c>
      <c r="G47" s="11">
        <f t="shared" ref="G47:G50" si="15">ROUNDDOWN(E47*60%,-1)</f>
        <v>220</v>
      </c>
    </row>
    <row r="48" spans="1:7" s="9" customFormat="1" ht="28.5" customHeight="1">
      <c r="A48" s="10"/>
      <c r="B48" s="38"/>
      <c r="C48" s="28" t="s">
        <v>115</v>
      </c>
      <c r="D48" s="18" t="s">
        <v>35</v>
      </c>
      <c r="E48" s="19">
        <v>340</v>
      </c>
      <c r="F48" s="11">
        <f t="shared" si="14"/>
        <v>270</v>
      </c>
      <c r="G48" s="11">
        <f t="shared" si="15"/>
        <v>200</v>
      </c>
    </row>
    <row r="49" spans="1:7" s="9" customFormat="1" ht="28.5" customHeight="1">
      <c r="A49" s="10"/>
      <c r="B49" s="38"/>
      <c r="C49" s="28" t="s">
        <v>116</v>
      </c>
      <c r="D49" s="18" t="s">
        <v>35</v>
      </c>
      <c r="E49" s="19">
        <v>290</v>
      </c>
      <c r="F49" s="11">
        <f t="shared" si="14"/>
        <v>230</v>
      </c>
      <c r="G49" s="11">
        <f t="shared" si="15"/>
        <v>170</v>
      </c>
    </row>
    <row r="50" spans="1:7" s="9" customFormat="1" ht="59.25" customHeight="1">
      <c r="A50" s="10"/>
      <c r="B50" s="38"/>
      <c r="C50" s="28" t="s">
        <v>117</v>
      </c>
      <c r="D50" s="18" t="s">
        <v>35</v>
      </c>
      <c r="E50" s="19">
        <v>290</v>
      </c>
      <c r="F50" s="11">
        <f t="shared" si="14"/>
        <v>230</v>
      </c>
      <c r="G50" s="11">
        <f t="shared" si="15"/>
        <v>170</v>
      </c>
    </row>
    <row r="51" spans="1:7" s="12" customFormat="1" ht="59.25" customHeight="1">
      <c r="A51" s="29" t="s">
        <v>36</v>
      </c>
      <c r="B51" s="62" t="s">
        <v>121</v>
      </c>
      <c r="C51" s="64"/>
      <c r="D51" s="64"/>
      <c r="E51" s="64"/>
      <c r="F51" s="64"/>
      <c r="G51" s="63"/>
    </row>
    <row r="52" spans="1:7" s="9" customFormat="1" ht="28.5" customHeight="1">
      <c r="A52" s="29">
        <v>1</v>
      </c>
      <c r="B52" s="62" t="s">
        <v>46</v>
      </c>
      <c r="C52" s="64"/>
      <c r="D52" s="64"/>
      <c r="E52" s="64"/>
      <c r="F52" s="64"/>
      <c r="G52" s="63"/>
    </row>
    <row r="53" spans="1:7" s="12" customFormat="1" ht="28.5" customHeight="1">
      <c r="A53" s="29" t="s">
        <v>66</v>
      </c>
      <c r="B53" s="62" t="s">
        <v>26</v>
      </c>
      <c r="C53" s="63"/>
      <c r="D53" s="29"/>
      <c r="E53" s="29"/>
      <c r="F53" s="29"/>
      <c r="G53" s="29"/>
    </row>
    <row r="54" spans="1:7" s="9" customFormat="1" ht="28.5" customHeight="1">
      <c r="A54" s="10"/>
      <c r="B54" s="39"/>
      <c r="C54" s="40" t="s">
        <v>27</v>
      </c>
      <c r="D54" s="10" t="s">
        <v>1</v>
      </c>
      <c r="E54" s="17">
        <v>400</v>
      </c>
      <c r="F54" s="11">
        <f t="shared" ref="F54:F56" si="16">ROUNDDOWN(E54*80%,-1)</f>
        <v>320</v>
      </c>
      <c r="G54" s="11">
        <f t="shared" ref="G54:G56" si="17">ROUNDDOWN(E54*60%,-1)</f>
        <v>240</v>
      </c>
    </row>
    <row r="55" spans="1:7" s="9" customFormat="1" ht="28.5" customHeight="1">
      <c r="A55" s="10"/>
      <c r="B55" s="39"/>
      <c r="C55" s="40" t="s">
        <v>28</v>
      </c>
      <c r="D55" s="10" t="s">
        <v>1</v>
      </c>
      <c r="E55" s="17">
        <v>380</v>
      </c>
      <c r="F55" s="11">
        <f t="shared" si="16"/>
        <v>300</v>
      </c>
      <c r="G55" s="11">
        <f t="shared" si="17"/>
        <v>220</v>
      </c>
    </row>
    <row r="56" spans="1:7" s="9" customFormat="1" ht="28.5" customHeight="1">
      <c r="A56" s="10"/>
      <c r="B56" s="39"/>
      <c r="C56" s="40" t="s">
        <v>51</v>
      </c>
      <c r="D56" s="10" t="s">
        <v>1</v>
      </c>
      <c r="E56" s="17">
        <v>360</v>
      </c>
      <c r="F56" s="11">
        <f t="shared" si="16"/>
        <v>280</v>
      </c>
      <c r="G56" s="11">
        <f t="shared" si="17"/>
        <v>210</v>
      </c>
    </row>
    <row r="57" spans="1:7" s="9" customFormat="1" ht="28.5" customHeight="1">
      <c r="A57" s="29" t="s">
        <v>67</v>
      </c>
      <c r="B57" s="62" t="s">
        <v>4</v>
      </c>
      <c r="C57" s="63"/>
      <c r="D57" s="10"/>
      <c r="E57" s="17"/>
      <c r="F57" s="17"/>
      <c r="G57" s="17"/>
    </row>
    <row r="58" spans="1:7" s="9" customFormat="1" ht="28.5" customHeight="1">
      <c r="A58" s="10"/>
      <c r="B58" s="39"/>
      <c r="C58" s="40" t="s">
        <v>27</v>
      </c>
      <c r="D58" s="10" t="s">
        <v>1</v>
      </c>
      <c r="E58" s="17">
        <v>380</v>
      </c>
      <c r="F58" s="11">
        <f t="shared" ref="F58:F60" si="18">ROUNDDOWN(E58*80%,-1)</f>
        <v>300</v>
      </c>
      <c r="G58" s="11">
        <f t="shared" ref="G58:G60" si="19">ROUNDDOWN(E58*60%,-1)</f>
        <v>220</v>
      </c>
    </row>
    <row r="59" spans="1:7" s="9" customFormat="1" ht="28.5" customHeight="1">
      <c r="A59" s="10"/>
      <c r="B59" s="39"/>
      <c r="C59" s="40" t="s">
        <v>28</v>
      </c>
      <c r="D59" s="10" t="s">
        <v>1</v>
      </c>
      <c r="E59" s="17">
        <v>340</v>
      </c>
      <c r="F59" s="11">
        <f t="shared" si="18"/>
        <v>270</v>
      </c>
      <c r="G59" s="11">
        <f t="shared" si="19"/>
        <v>200</v>
      </c>
    </row>
    <row r="60" spans="1:7" s="9" customFormat="1" ht="28.5" customHeight="1">
      <c r="A60" s="10"/>
      <c r="B60" s="39"/>
      <c r="C60" s="40" t="s">
        <v>51</v>
      </c>
      <c r="D60" s="10" t="s">
        <v>1</v>
      </c>
      <c r="E60" s="17">
        <v>290</v>
      </c>
      <c r="F60" s="11">
        <f t="shared" si="18"/>
        <v>230</v>
      </c>
      <c r="G60" s="11">
        <f t="shared" si="19"/>
        <v>170</v>
      </c>
    </row>
    <row r="61" spans="1:7" s="9" customFormat="1" ht="28.5" customHeight="1">
      <c r="A61" s="29" t="s">
        <v>68</v>
      </c>
      <c r="B61" s="62" t="s">
        <v>135</v>
      </c>
      <c r="C61" s="63"/>
      <c r="D61" s="10"/>
      <c r="E61" s="17"/>
      <c r="F61" s="17"/>
      <c r="G61" s="17"/>
    </row>
    <row r="62" spans="1:7" s="9" customFormat="1" ht="28.5" customHeight="1">
      <c r="A62" s="10"/>
      <c r="B62" s="39"/>
      <c r="C62" s="40" t="s">
        <v>27</v>
      </c>
      <c r="D62" s="10" t="s">
        <v>1</v>
      </c>
      <c r="E62" s="17">
        <v>290</v>
      </c>
      <c r="F62" s="11">
        <f t="shared" ref="F62:F63" si="20">ROUNDDOWN(E62*80%,-1)</f>
        <v>230</v>
      </c>
      <c r="G62" s="11">
        <f t="shared" ref="G62:G63" si="21">ROUNDDOWN(E62*60%,-1)</f>
        <v>170</v>
      </c>
    </row>
    <row r="63" spans="1:7" s="9" customFormat="1" ht="28.5" customHeight="1">
      <c r="A63" s="10"/>
      <c r="B63" s="39"/>
      <c r="C63" s="40" t="s">
        <v>136</v>
      </c>
      <c r="D63" s="10" t="s">
        <v>1</v>
      </c>
      <c r="E63" s="17">
        <v>170</v>
      </c>
      <c r="F63" s="11">
        <f t="shared" si="20"/>
        <v>130</v>
      </c>
      <c r="G63" s="11">
        <f t="shared" si="21"/>
        <v>100</v>
      </c>
    </row>
    <row r="64" spans="1:7" s="12" customFormat="1" ht="45" customHeight="1">
      <c r="A64" s="29" t="s">
        <v>113</v>
      </c>
      <c r="B64" s="62" t="s">
        <v>161</v>
      </c>
      <c r="C64" s="64"/>
      <c r="D64" s="63"/>
      <c r="E64" s="41"/>
      <c r="F64" s="41"/>
      <c r="G64" s="42"/>
    </row>
    <row r="65" spans="1:7" s="9" customFormat="1" ht="28.5" customHeight="1">
      <c r="A65" s="10"/>
      <c r="B65" s="39"/>
      <c r="C65" s="40" t="s">
        <v>27</v>
      </c>
      <c r="D65" s="10" t="s">
        <v>1</v>
      </c>
      <c r="E65" s="17">
        <v>340</v>
      </c>
      <c r="F65" s="11">
        <f t="shared" ref="F65:F70" si="22">ROUNDDOWN(E65*80%,-1)</f>
        <v>270</v>
      </c>
      <c r="G65" s="11">
        <f t="shared" ref="G65:G70" si="23">ROUNDDOWN(E65*60%,-1)</f>
        <v>200</v>
      </c>
    </row>
    <row r="66" spans="1:7" s="9" customFormat="1" ht="28.5" customHeight="1">
      <c r="A66" s="10"/>
      <c r="B66" s="39"/>
      <c r="C66" s="40" t="s">
        <v>28</v>
      </c>
      <c r="D66" s="10" t="s">
        <v>1</v>
      </c>
      <c r="E66" s="17">
        <v>310</v>
      </c>
      <c r="F66" s="11">
        <f t="shared" si="22"/>
        <v>240</v>
      </c>
      <c r="G66" s="11">
        <f t="shared" si="23"/>
        <v>180</v>
      </c>
    </row>
    <row r="67" spans="1:7" s="9" customFormat="1" ht="45" customHeight="1">
      <c r="A67" s="10"/>
      <c r="B67" s="39"/>
      <c r="C67" s="40" t="s">
        <v>94</v>
      </c>
      <c r="D67" s="10" t="s">
        <v>1</v>
      </c>
      <c r="E67" s="17">
        <v>260</v>
      </c>
      <c r="F67" s="11">
        <f t="shared" si="22"/>
        <v>200</v>
      </c>
      <c r="G67" s="11">
        <f t="shared" si="23"/>
        <v>150</v>
      </c>
    </row>
    <row r="68" spans="1:7" s="9" customFormat="1" ht="61.5" customHeight="1">
      <c r="A68" s="10"/>
      <c r="B68" s="38"/>
      <c r="C68" s="37" t="s">
        <v>52</v>
      </c>
      <c r="D68" s="10" t="s">
        <v>35</v>
      </c>
      <c r="E68" s="17">
        <v>100</v>
      </c>
      <c r="F68" s="11">
        <f t="shared" si="22"/>
        <v>80</v>
      </c>
      <c r="G68" s="11">
        <f t="shared" si="23"/>
        <v>60</v>
      </c>
    </row>
    <row r="69" spans="1:7" s="9" customFormat="1" ht="45" customHeight="1">
      <c r="A69" s="10"/>
      <c r="B69" s="39"/>
      <c r="C69" s="40" t="s">
        <v>53</v>
      </c>
      <c r="D69" s="10" t="s">
        <v>18</v>
      </c>
      <c r="E69" s="11">
        <v>30</v>
      </c>
      <c r="F69" s="11">
        <f t="shared" si="22"/>
        <v>20</v>
      </c>
      <c r="G69" s="11">
        <f t="shared" si="23"/>
        <v>10</v>
      </c>
    </row>
    <row r="70" spans="1:7" s="9" customFormat="1" ht="45" customHeight="1">
      <c r="A70" s="10"/>
      <c r="B70" s="39"/>
      <c r="C70" s="40" t="s">
        <v>54</v>
      </c>
      <c r="D70" s="10" t="s">
        <v>134</v>
      </c>
      <c r="E70" s="11">
        <v>500</v>
      </c>
      <c r="F70" s="11">
        <f t="shared" si="22"/>
        <v>400</v>
      </c>
      <c r="G70" s="11">
        <f t="shared" si="23"/>
        <v>300</v>
      </c>
    </row>
    <row r="71" spans="1:7" s="9" customFormat="1" ht="28.5" customHeight="1">
      <c r="A71" s="10"/>
      <c r="B71" s="39"/>
      <c r="C71" s="40" t="s">
        <v>137</v>
      </c>
      <c r="D71" s="10"/>
      <c r="E71" s="11"/>
      <c r="F71" s="11"/>
      <c r="G71" s="11"/>
    </row>
    <row r="72" spans="1:7" s="9" customFormat="1" ht="72" customHeight="1">
      <c r="A72" s="10"/>
      <c r="B72" s="39"/>
      <c r="C72" s="31" t="s">
        <v>138</v>
      </c>
      <c r="D72" s="10" t="s">
        <v>139</v>
      </c>
      <c r="E72" s="11">
        <v>900</v>
      </c>
      <c r="F72" s="11">
        <f t="shared" ref="F72:F82" si="24">ROUNDDOWN(E72*80%,-1)</f>
        <v>720</v>
      </c>
      <c r="G72" s="11">
        <f t="shared" ref="G72:G75" si="25">ROUNDDOWN(E72*60%,-1)</f>
        <v>540</v>
      </c>
    </row>
    <row r="73" spans="1:7" s="9" customFormat="1" ht="45" customHeight="1">
      <c r="A73" s="10"/>
      <c r="B73" s="39"/>
      <c r="C73" s="31" t="s">
        <v>140</v>
      </c>
      <c r="D73" s="10"/>
      <c r="E73" s="11"/>
      <c r="F73" s="11"/>
      <c r="G73" s="11"/>
    </row>
    <row r="74" spans="1:7" s="9" customFormat="1" ht="45" customHeight="1">
      <c r="A74" s="10"/>
      <c r="B74" s="39"/>
      <c r="C74" s="40" t="s">
        <v>141</v>
      </c>
      <c r="D74" s="10" t="s">
        <v>35</v>
      </c>
      <c r="E74" s="11">
        <v>600</v>
      </c>
      <c r="F74" s="11">
        <f t="shared" si="24"/>
        <v>480</v>
      </c>
      <c r="G74" s="11">
        <f t="shared" si="25"/>
        <v>360</v>
      </c>
    </row>
    <row r="75" spans="1:7" s="9" customFormat="1" ht="28.5" customHeight="1">
      <c r="A75" s="10"/>
      <c r="B75" s="39"/>
      <c r="C75" s="40" t="s">
        <v>142</v>
      </c>
      <c r="D75" s="10" t="s">
        <v>35</v>
      </c>
      <c r="E75" s="11">
        <v>600</v>
      </c>
      <c r="F75" s="11">
        <f t="shared" si="24"/>
        <v>480</v>
      </c>
      <c r="G75" s="11">
        <f t="shared" si="25"/>
        <v>360</v>
      </c>
    </row>
    <row r="76" spans="1:7" s="9" customFormat="1" ht="28.5" customHeight="1">
      <c r="A76" s="43" t="s">
        <v>143</v>
      </c>
      <c r="B76" s="65" t="s">
        <v>144</v>
      </c>
      <c r="C76" s="66"/>
      <c r="D76" s="10"/>
      <c r="E76" s="10"/>
      <c r="F76" s="10"/>
      <c r="G76" s="10"/>
    </row>
    <row r="77" spans="1:7" s="9" customFormat="1" ht="28.5" customHeight="1">
      <c r="A77" s="43"/>
      <c r="B77" s="44"/>
      <c r="C77" s="45" t="s">
        <v>27</v>
      </c>
      <c r="D77" s="10" t="s">
        <v>35</v>
      </c>
      <c r="E77" s="17">
        <v>400</v>
      </c>
      <c r="F77" s="11">
        <f t="shared" si="24"/>
        <v>320</v>
      </c>
      <c r="G77" s="11">
        <f t="shared" ref="G77:G82" si="26">ROUNDDOWN(E77*60%,-1)</f>
        <v>240</v>
      </c>
    </row>
    <row r="78" spans="1:7" s="9" customFormat="1" ht="28.5" customHeight="1">
      <c r="A78" s="43"/>
      <c r="B78" s="44"/>
      <c r="C78" s="45" t="s">
        <v>145</v>
      </c>
      <c r="D78" s="10" t="s">
        <v>35</v>
      </c>
      <c r="E78" s="17">
        <v>360</v>
      </c>
      <c r="F78" s="11">
        <f t="shared" si="24"/>
        <v>280</v>
      </c>
      <c r="G78" s="11">
        <f t="shared" si="26"/>
        <v>210</v>
      </c>
    </row>
    <row r="79" spans="1:7" s="9" customFormat="1" ht="28.5" customHeight="1">
      <c r="A79" s="43"/>
      <c r="B79" s="44"/>
      <c r="C79" s="45" t="s">
        <v>146</v>
      </c>
      <c r="D79" s="10" t="s">
        <v>35</v>
      </c>
      <c r="E79" s="17">
        <v>300</v>
      </c>
      <c r="F79" s="11">
        <f t="shared" si="24"/>
        <v>240</v>
      </c>
      <c r="G79" s="11">
        <f t="shared" si="26"/>
        <v>180</v>
      </c>
    </row>
    <row r="80" spans="1:7" s="9" customFormat="1" ht="61.5" customHeight="1">
      <c r="A80" s="10"/>
      <c r="B80" s="34"/>
      <c r="C80" s="35" t="s">
        <v>120</v>
      </c>
      <c r="D80" s="10" t="s">
        <v>10</v>
      </c>
      <c r="E80" s="11">
        <v>400</v>
      </c>
      <c r="F80" s="11">
        <f t="shared" si="24"/>
        <v>320</v>
      </c>
      <c r="G80" s="11">
        <f t="shared" si="26"/>
        <v>240</v>
      </c>
    </row>
    <row r="81" spans="1:7" s="9" customFormat="1" ht="45" customHeight="1">
      <c r="A81" s="10"/>
      <c r="B81" s="34"/>
      <c r="C81" s="35" t="s">
        <v>122</v>
      </c>
      <c r="D81" s="10" t="s">
        <v>10</v>
      </c>
      <c r="E81" s="11">
        <v>800</v>
      </c>
      <c r="F81" s="11">
        <f t="shared" si="24"/>
        <v>640</v>
      </c>
      <c r="G81" s="11">
        <f t="shared" si="26"/>
        <v>480</v>
      </c>
    </row>
    <row r="82" spans="1:7" s="9" customFormat="1" ht="45" customHeight="1">
      <c r="A82" s="10"/>
      <c r="B82" s="34"/>
      <c r="C82" s="35" t="s">
        <v>123</v>
      </c>
      <c r="D82" s="10" t="s">
        <v>10</v>
      </c>
      <c r="E82" s="4">
        <v>1200</v>
      </c>
      <c r="F82" s="11">
        <f t="shared" si="24"/>
        <v>960</v>
      </c>
      <c r="G82" s="11">
        <f t="shared" si="26"/>
        <v>720</v>
      </c>
    </row>
    <row r="83" spans="1:7" s="20" customFormat="1" ht="28.5" customHeight="1">
      <c r="A83" s="29" t="s">
        <v>68</v>
      </c>
      <c r="B83" s="62" t="s">
        <v>95</v>
      </c>
      <c r="C83" s="63"/>
      <c r="D83" s="10"/>
      <c r="E83" s="10"/>
      <c r="F83" s="10"/>
      <c r="G83" s="10"/>
    </row>
    <row r="84" spans="1:7" s="20" customFormat="1" ht="102" customHeight="1">
      <c r="A84" s="29"/>
      <c r="B84" s="36"/>
      <c r="C84" s="37" t="s">
        <v>96</v>
      </c>
      <c r="D84" s="10"/>
      <c r="E84" s="10"/>
      <c r="F84" s="21"/>
      <c r="G84" s="21"/>
    </row>
    <row r="85" spans="1:7" s="20" customFormat="1" ht="127.5" customHeight="1">
      <c r="A85" s="29" t="s">
        <v>110</v>
      </c>
      <c r="B85" s="71" t="s">
        <v>97</v>
      </c>
      <c r="C85" s="72"/>
      <c r="D85" s="10" t="s">
        <v>106</v>
      </c>
      <c r="E85" s="14">
        <v>150</v>
      </c>
      <c r="F85" s="11">
        <f t="shared" ref="F85:F90" si="27">ROUNDDOWN(E85*80%,-1)</f>
        <v>120</v>
      </c>
      <c r="G85" s="11">
        <f t="shared" ref="G85" si="28">ROUNDDOWN(E85*60%,-1)</f>
        <v>90</v>
      </c>
    </row>
    <row r="86" spans="1:7" s="20" customFormat="1" ht="61.5" customHeight="1">
      <c r="A86" s="29" t="s">
        <v>111</v>
      </c>
      <c r="B86" s="62" t="s">
        <v>98</v>
      </c>
      <c r="C86" s="63"/>
      <c r="D86" s="10"/>
      <c r="E86" s="14"/>
      <c r="F86" s="11"/>
      <c r="G86" s="11"/>
    </row>
    <row r="87" spans="1:7" s="20" customFormat="1" ht="45" customHeight="1">
      <c r="A87" s="43"/>
      <c r="B87" s="46"/>
      <c r="C87" s="35" t="s">
        <v>99</v>
      </c>
      <c r="D87" s="10" t="s">
        <v>29</v>
      </c>
      <c r="E87" s="17">
        <v>180</v>
      </c>
      <c r="F87" s="11">
        <f t="shared" si="27"/>
        <v>140</v>
      </c>
      <c r="G87" s="11">
        <f t="shared" ref="G87:G90" si="29">ROUNDDOWN(E87*60%,-1)</f>
        <v>100</v>
      </c>
    </row>
    <row r="88" spans="1:7" s="20" customFormat="1" ht="61.5" customHeight="1">
      <c r="A88" s="10"/>
      <c r="B88" s="38"/>
      <c r="C88" s="37" t="s">
        <v>100</v>
      </c>
      <c r="D88" s="10" t="s">
        <v>29</v>
      </c>
      <c r="E88" s="17">
        <v>80</v>
      </c>
      <c r="F88" s="11">
        <f t="shared" si="27"/>
        <v>60</v>
      </c>
      <c r="G88" s="11">
        <f t="shared" si="29"/>
        <v>40</v>
      </c>
    </row>
    <row r="89" spans="1:7" s="20" customFormat="1" ht="28.5" customHeight="1">
      <c r="A89" s="10"/>
      <c r="B89" s="38"/>
      <c r="C89" s="37" t="s">
        <v>55</v>
      </c>
      <c r="D89" s="10" t="s">
        <v>30</v>
      </c>
      <c r="E89" s="17">
        <v>60</v>
      </c>
      <c r="F89" s="11">
        <f t="shared" si="27"/>
        <v>40</v>
      </c>
      <c r="G89" s="11">
        <f t="shared" si="29"/>
        <v>30</v>
      </c>
    </row>
    <row r="90" spans="1:7" s="20" customFormat="1" ht="61.5" customHeight="1">
      <c r="A90" s="10"/>
      <c r="B90" s="38"/>
      <c r="C90" s="37" t="s">
        <v>101</v>
      </c>
      <c r="D90" s="10" t="s">
        <v>30</v>
      </c>
      <c r="E90" s="17">
        <v>50</v>
      </c>
      <c r="F90" s="11">
        <f t="shared" si="27"/>
        <v>40</v>
      </c>
      <c r="G90" s="11">
        <f t="shared" si="29"/>
        <v>30</v>
      </c>
    </row>
    <row r="91" spans="1:7" s="9" customFormat="1" ht="61.5" customHeight="1">
      <c r="A91" s="29" t="s">
        <v>112</v>
      </c>
      <c r="B91" s="62" t="s">
        <v>83</v>
      </c>
      <c r="C91" s="63"/>
      <c r="D91" s="29"/>
      <c r="E91" s="47"/>
      <c r="F91" s="29"/>
      <c r="G91" s="47"/>
    </row>
    <row r="92" spans="1:7" s="9" customFormat="1" ht="28.5" customHeight="1">
      <c r="A92" s="43"/>
      <c r="B92" s="46"/>
      <c r="C92" s="48" t="s">
        <v>102</v>
      </c>
      <c r="D92" s="10"/>
      <c r="E92" s="10"/>
      <c r="F92" s="10"/>
      <c r="G92" s="10"/>
    </row>
    <row r="93" spans="1:7" s="9" customFormat="1" ht="28.5" customHeight="1">
      <c r="A93" s="10"/>
      <c r="B93" s="38"/>
      <c r="C93" s="37" t="s">
        <v>34</v>
      </c>
      <c r="D93" s="10" t="s">
        <v>30</v>
      </c>
      <c r="E93" s="17">
        <v>30</v>
      </c>
      <c r="F93" s="11">
        <f t="shared" ref="F93:F97" si="30">ROUNDDOWN(E93*80%,-1)</f>
        <v>20</v>
      </c>
      <c r="G93" s="11">
        <f t="shared" ref="G93:G97" si="31">ROUNDDOWN(E93*60%,-1)</f>
        <v>10</v>
      </c>
    </row>
    <row r="94" spans="1:7" s="9" customFormat="1" ht="28.5" customHeight="1">
      <c r="A94" s="10"/>
      <c r="B94" s="38"/>
      <c r="C94" s="37" t="s">
        <v>103</v>
      </c>
      <c r="D94" s="10" t="s">
        <v>30</v>
      </c>
      <c r="E94" s="17">
        <v>50</v>
      </c>
      <c r="F94" s="11">
        <f t="shared" si="30"/>
        <v>40</v>
      </c>
      <c r="G94" s="11">
        <f t="shared" si="31"/>
        <v>30</v>
      </c>
    </row>
    <row r="95" spans="1:7" s="9" customFormat="1" ht="28.5" customHeight="1">
      <c r="A95" s="10"/>
      <c r="B95" s="38"/>
      <c r="C95" s="37" t="s">
        <v>104</v>
      </c>
      <c r="D95" s="10" t="s">
        <v>30</v>
      </c>
      <c r="E95" s="17">
        <v>90</v>
      </c>
      <c r="F95" s="11">
        <f t="shared" si="30"/>
        <v>70</v>
      </c>
      <c r="G95" s="11">
        <f t="shared" si="31"/>
        <v>50</v>
      </c>
    </row>
    <row r="96" spans="1:7" s="9" customFormat="1" ht="28.5" customHeight="1">
      <c r="A96" s="43"/>
      <c r="B96" s="46"/>
      <c r="C96" s="48" t="s">
        <v>105</v>
      </c>
      <c r="D96" s="10" t="s">
        <v>30</v>
      </c>
      <c r="E96" s="17">
        <v>60</v>
      </c>
      <c r="F96" s="11">
        <f t="shared" si="30"/>
        <v>40</v>
      </c>
      <c r="G96" s="11">
        <f t="shared" si="31"/>
        <v>30</v>
      </c>
    </row>
    <row r="97" spans="1:7" s="9" customFormat="1" ht="45" customHeight="1">
      <c r="A97" s="29" t="s">
        <v>113</v>
      </c>
      <c r="B97" s="62" t="s">
        <v>162</v>
      </c>
      <c r="C97" s="63"/>
      <c r="D97" s="10" t="s">
        <v>30</v>
      </c>
      <c r="E97" s="17">
        <v>20</v>
      </c>
      <c r="F97" s="11">
        <f t="shared" si="30"/>
        <v>10</v>
      </c>
      <c r="G97" s="11">
        <f t="shared" si="31"/>
        <v>10</v>
      </c>
    </row>
    <row r="98" spans="1:7" s="9" customFormat="1" ht="61.5" customHeight="1">
      <c r="A98" s="29">
        <v>2</v>
      </c>
      <c r="B98" s="62" t="s">
        <v>84</v>
      </c>
      <c r="C98" s="63"/>
      <c r="D98" s="29"/>
      <c r="E98" s="29"/>
      <c r="F98" s="29"/>
      <c r="G98" s="29"/>
    </row>
    <row r="99" spans="1:7" s="9" customFormat="1" ht="28.5" customHeight="1">
      <c r="A99" s="29" t="s">
        <v>56</v>
      </c>
      <c r="B99" s="62" t="s">
        <v>166</v>
      </c>
      <c r="C99" s="63"/>
      <c r="D99" s="29"/>
      <c r="E99" s="29"/>
      <c r="F99" s="29"/>
      <c r="G99" s="29"/>
    </row>
    <row r="100" spans="1:7" s="9" customFormat="1" ht="28.5" customHeight="1">
      <c r="A100" s="43" t="s">
        <v>69</v>
      </c>
      <c r="B100" s="65" t="s">
        <v>57</v>
      </c>
      <c r="C100" s="66"/>
      <c r="D100" s="43"/>
      <c r="E100" s="43"/>
      <c r="F100" s="43"/>
      <c r="G100" s="43"/>
    </row>
    <row r="101" spans="1:7" s="9" customFormat="1" ht="45" customHeight="1">
      <c r="A101" s="10"/>
      <c r="B101" s="38"/>
      <c r="C101" s="37" t="s">
        <v>85</v>
      </c>
      <c r="D101" s="10" t="s">
        <v>33</v>
      </c>
      <c r="E101" s="17">
        <v>130</v>
      </c>
      <c r="F101" s="11">
        <f t="shared" ref="F101:F102" si="32">ROUNDDOWN(E101*80%,-1)</f>
        <v>100</v>
      </c>
      <c r="G101" s="11">
        <f t="shared" ref="G101:G102" si="33">ROUNDDOWN(E101*60%,-1)</f>
        <v>70</v>
      </c>
    </row>
    <row r="102" spans="1:7" s="9" customFormat="1" ht="28.5" customHeight="1">
      <c r="A102" s="10"/>
      <c r="B102" s="38"/>
      <c r="C102" s="37" t="s">
        <v>58</v>
      </c>
      <c r="D102" s="10" t="s">
        <v>156</v>
      </c>
      <c r="E102" s="17">
        <v>300</v>
      </c>
      <c r="F102" s="11">
        <f t="shared" si="32"/>
        <v>240</v>
      </c>
      <c r="G102" s="11">
        <f t="shared" si="33"/>
        <v>180</v>
      </c>
    </row>
    <row r="103" spans="1:7" s="9" customFormat="1" ht="28.5" customHeight="1">
      <c r="A103" s="43" t="s">
        <v>70</v>
      </c>
      <c r="B103" s="65" t="s">
        <v>59</v>
      </c>
      <c r="C103" s="66"/>
      <c r="D103" s="43"/>
      <c r="E103" s="49"/>
      <c r="F103" s="49"/>
      <c r="G103" s="49"/>
    </row>
    <row r="104" spans="1:7" s="9" customFormat="1" ht="45" customHeight="1">
      <c r="A104" s="10"/>
      <c r="B104" s="38"/>
      <c r="C104" s="37" t="s">
        <v>85</v>
      </c>
      <c r="D104" s="10" t="s">
        <v>33</v>
      </c>
      <c r="E104" s="17">
        <v>220</v>
      </c>
      <c r="F104" s="11">
        <f t="shared" ref="F104:F105" si="34">ROUNDDOWN(E104*80%,-1)</f>
        <v>170</v>
      </c>
      <c r="G104" s="11">
        <f t="shared" ref="G104:G105" si="35">ROUNDDOWN(E104*60%,-1)</f>
        <v>130</v>
      </c>
    </row>
    <row r="105" spans="1:7" s="9" customFormat="1" ht="28.5" customHeight="1">
      <c r="A105" s="10"/>
      <c r="B105" s="38"/>
      <c r="C105" s="37" t="s">
        <v>58</v>
      </c>
      <c r="D105" s="10" t="s">
        <v>156</v>
      </c>
      <c r="E105" s="17">
        <v>300</v>
      </c>
      <c r="F105" s="11">
        <f t="shared" si="34"/>
        <v>240</v>
      </c>
      <c r="G105" s="11">
        <f t="shared" si="35"/>
        <v>180</v>
      </c>
    </row>
    <row r="106" spans="1:7" s="9" customFormat="1" ht="28.5" customHeight="1">
      <c r="A106" s="29" t="s">
        <v>60</v>
      </c>
      <c r="B106" s="62" t="s">
        <v>167</v>
      </c>
      <c r="C106" s="63"/>
      <c r="D106" s="29"/>
      <c r="E106" s="42"/>
      <c r="F106" s="42"/>
      <c r="G106" s="42"/>
    </row>
    <row r="107" spans="1:7" s="9" customFormat="1" ht="28.5" customHeight="1">
      <c r="A107" s="43" t="s">
        <v>71</v>
      </c>
      <c r="B107" s="46"/>
      <c r="C107" s="50" t="s">
        <v>61</v>
      </c>
      <c r="D107" s="43"/>
      <c r="E107" s="49"/>
      <c r="F107" s="49"/>
      <c r="G107" s="49"/>
    </row>
    <row r="108" spans="1:7" s="9" customFormat="1" ht="45" customHeight="1">
      <c r="A108" s="10"/>
      <c r="B108" s="38"/>
      <c r="C108" s="37" t="s">
        <v>85</v>
      </c>
      <c r="D108" s="10" t="s">
        <v>33</v>
      </c>
      <c r="E108" s="17">
        <v>150</v>
      </c>
      <c r="F108" s="11">
        <f t="shared" ref="F108:F109" si="36">ROUNDDOWN(E108*80%,-1)</f>
        <v>120</v>
      </c>
      <c r="G108" s="11">
        <f t="shared" ref="G108:G109" si="37">ROUNDDOWN(E108*60%,-1)</f>
        <v>90</v>
      </c>
    </row>
    <row r="109" spans="1:7" s="9" customFormat="1" ht="28.5" customHeight="1">
      <c r="A109" s="10"/>
      <c r="B109" s="38"/>
      <c r="C109" s="37" t="s">
        <v>58</v>
      </c>
      <c r="D109" s="10" t="s">
        <v>156</v>
      </c>
      <c r="E109" s="17">
        <v>500</v>
      </c>
      <c r="F109" s="11">
        <f t="shared" si="36"/>
        <v>400</v>
      </c>
      <c r="G109" s="11">
        <f t="shared" si="37"/>
        <v>300</v>
      </c>
    </row>
    <row r="110" spans="1:7" s="9" customFormat="1" ht="28.5" customHeight="1">
      <c r="A110" s="43" t="s">
        <v>72</v>
      </c>
      <c r="B110" s="46"/>
      <c r="C110" s="50" t="s">
        <v>59</v>
      </c>
      <c r="D110" s="43"/>
      <c r="E110" s="43"/>
      <c r="F110" s="43"/>
      <c r="G110" s="43"/>
    </row>
    <row r="111" spans="1:7" s="9" customFormat="1" ht="45" customHeight="1">
      <c r="A111" s="10"/>
      <c r="B111" s="38"/>
      <c r="C111" s="37" t="s">
        <v>85</v>
      </c>
      <c r="D111" s="10" t="s">
        <v>33</v>
      </c>
      <c r="E111" s="17">
        <v>300</v>
      </c>
      <c r="F111" s="11">
        <f t="shared" ref="F111:F113" si="38">ROUNDDOWN(E111*80%,-1)</f>
        <v>240</v>
      </c>
      <c r="G111" s="11">
        <f t="shared" ref="G111:G113" si="39">ROUNDDOWN(E111*60%,-1)</f>
        <v>180</v>
      </c>
    </row>
    <row r="112" spans="1:7" s="9" customFormat="1" ht="45" customHeight="1">
      <c r="A112" s="10"/>
      <c r="B112" s="38"/>
      <c r="C112" s="37" t="s">
        <v>86</v>
      </c>
      <c r="D112" s="10" t="s">
        <v>156</v>
      </c>
      <c r="E112" s="17">
        <v>600</v>
      </c>
      <c r="F112" s="11">
        <f t="shared" si="38"/>
        <v>480</v>
      </c>
      <c r="G112" s="11">
        <f t="shared" si="39"/>
        <v>360</v>
      </c>
    </row>
    <row r="113" spans="1:7" s="9" customFormat="1" ht="45" customHeight="1">
      <c r="A113" s="10"/>
      <c r="B113" s="38"/>
      <c r="C113" s="37" t="s">
        <v>87</v>
      </c>
      <c r="D113" s="10" t="s">
        <v>156</v>
      </c>
      <c r="E113" s="17">
        <v>600</v>
      </c>
      <c r="F113" s="11">
        <f t="shared" si="38"/>
        <v>480</v>
      </c>
      <c r="G113" s="11">
        <f t="shared" si="39"/>
        <v>360</v>
      </c>
    </row>
    <row r="114" spans="1:7" s="22" customFormat="1" ht="28.5" customHeight="1">
      <c r="A114" s="29" t="s">
        <v>118</v>
      </c>
      <c r="B114" s="62" t="s">
        <v>37</v>
      </c>
      <c r="C114" s="63"/>
      <c r="D114" s="29"/>
      <c r="E114" s="29"/>
      <c r="F114" s="29"/>
      <c r="G114" s="47"/>
    </row>
    <row r="115" spans="1:7" s="22" customFormat="1" ht="28.5" customHeight="1">
      <c r="A115" s="29">
        <v>1</v>
      </c>
      <c r="B115" s="67" t="s">
        <v>163</v>
      </c>
      <c r="C115" s="68"/>
      <c r="D115" s="29"/>
      <c r="E115" s="29"/>
      <c r="F115" s="29"/>
      <c r="G115" s="47"/>
    </row>
    <row r="116" spans="1:7" s="23" customFormat="1" ht="28.5" customHeight="1">
      <c r="A116" s="29" t="s">
        <v>66</v>
      </c>
      <c r="B116" s="62" t="s">
        <v>12</v>
      </c>
      <c r="C116" s="63"/>
      <c r="D116" s="47"/>
      <c r="E116" s="47"/>
      <c r="F116" s="47"/>
      <c r="G116" s="47"/>
    </row>
    <row r="117" spans="1:7" s="23" customFormat="1" ht="45" customHeight="1">
      <c r="A117" s="51"/>
      <c r="B117" s="52"/>
      <c r="C117" s="48" t="s">
        <v>13</v>
      </c>
      <c r="D117" s="53"/>
      <c r="E117" s="53"/>
      <c r="F117" s="53"/>
      <c r="G117" s="53"/>
    </row>
    <row r="118" spans="1:7" s="23" customFormat="1" ht="28.5" customHeight="1">
      <c r="A118" s="10"/>
      <c r="B118" s="34"/>
      <c r="C118" s="35" t="s">
        <v>38</v>
      </c>
      <c r="D118" s="10" t="s">
        <v>21</v>
      </c>
      <c r="E118" s="5">
        <v>1000</v>
      </c>
      <c r="F118" s="11">
        <f t="shared" ref="F118" si="40">ROUNDDOWN(E118*80%,-1)</f>
        <v>800</v>
      </c>
      <c r="G118" s="11">
        <f t="shared" ref="G118" si="41">ROUNDDOWN(E118*60%,-1)</f>
        <v>600</v>
      </c>
    </row>
    <row r="119" spans="1:7" s="23" customFormat="1" ht="94.5" customHeight="1">
      <c r="A119" s="51"/>
      <c r="B119" s="52"/>
      <c r="C119" s="48" t="s">
        <v>23</v>
      </c>
      <c r="D119" s="53"/>
      <c r="E119" s="53"/>
      <c r="F119" s="53"/>
      <c r="G119" s="53"/>
    </row>
    <row r="120" spans="1:7" s="23" customFormat="1" ht="28.5" customHeight="1">
      <c r="A120" s="51"/>
      <c r="B120" s="52"/>
      <c r="C120" s="48" t="s">
        <v>5</v>
      </c>
      <c r="D120" s="53"/>
      <c r="E120" s="53"/>
      <c r="F120" s="53"/>
      <c r="G120" s="53"/>
    </row>
    <row r="121" spans="1:7" s="23" customFormat="1" ht="28.5" customHeight="1">
      <c r="A121" s="43"/>
      <c r="B121" s="30"/>
      <c r="C121" s="31" t="s">
        <v>39</v>
      </c>
      <c r="D121" s="10" t="s">
        <v>14</v>
      </c>
      <c r="E121" s="24">
        <v>800</v>
      </c>
      <c r="F121" s="11">
        <f t="shared" ref="F121:F124" si="42">ROUNDDOWN(E121*80%,-1)</f>
        <v>640</v>
      </c>
      <c r="G121" s="11">
        <f t="shared" ref="G121:G124" si="43">ROUNDDOWN(E121*60%,-1)</f>
        <v>480</v>
      </c>
    </row>
    <row r="122" spans="1:7" s="23" customFormat="1" ht="28.5" customHeight="1">
      <c r="A122" s="43"/>
      <c r="B122" s="30"/>
      <c r="C122" s="31" t="s">
        <v>40</v>
      </c>
      <c r="D122" s="10" t="s">
        <v>14</v>
      </c>
      <c r="E122" s="11">
        <v>600</v>
      </c>
      <c r="F122" s="11">
        <f t="shared" si="42"/>
        <v>480</v>
      </c>
      <c r="G122" s="11">
        <f t="shared" si="43"/>
        <v>360</v>
      </c>
    </row>
    <row r="123" spans="1:7" s="23" customFormat="1" ht="28.5" customHeight="1">
      <c r="A123" s="43"/>
      <c r="B123" s="30"/>
      <c r="C123" s="31" t="s">
        <v>41</v>
      </c>
      <c r="D123" s="10" t="s">
        <v>14</v>
      </c>
      <c r="E123" s="11">
        <v>500</v>
      </c>
      <c r="F123" s="11">
        <f t="shared" si="42"/>
        <v>400</v>
      </c>
      <c r="G123" s="11">
        <f t="shared" si="43"/>
        <v>300</v>
      </c>
    </row>
    <row r="124" spans="1:7" s="23" customFormat="1" ht="28.5" customHeight="1">
      <c r="A124" s="29"/>
      <c r="B124" s="30"/>
      <c r="C124" s="31" t="s">
        <v>42</v>
      </c>
      <c r="D124" s="10" t="s">
        <v>14</v>
      </c>
      <c r="E124" s="11">
        <v>400</v>
      </c>
      <c r="F124" s="11">
        <f t="shared" si="42"/>
        <v>320</v>
      </c>
      <c r="G124" s="11">
        <f t="shared" si="43"/>
        <v>240</v>
      </c>
    </row>
    <row r="125" spans="1:7" s="23" customFormat="1" ht="28.5" customHeight="1">
      <c r="A125" s="10"/>
      <c r="B125" s="52"/>
      <c r="C125" s="48" t="s">
        <v>15</v>
      </c>
      <c r="D125" s="53"/>
      <c r="E125" s="53"/>
      <c r="F125" s="53"/>
      <c r="G125" s="53"/>
    </row>
    <row r="126" spans="1:7" s="23" customFormat="1" ht="28.5" customHeight="1">
      <c r="A126" s="10"/>
      <c r="B126" s="30"/>
      <c r="C126" s="31" t="s">
        <v>39</v>
      </c>
      <c r="D126" s="10" t="s">
        <v>16</v>
      </c>
      <c r="E126" s="1">
        <v>1400</v>
      </c>
      <c r="F126" s="11">
        <f t="shared" ref="F126:F129" si="44">ROUNDDOWN(E126*80%,-1)</f>
        <v>1120</v>
      </c>
      <c r="G126" s="11">
        <f t="shared" ref="G126:G129" si="45">ROUNDDOWN(E126*60%,-1)</f>
        <v>840</v>
      </c>
    </row>
    <row r="127" spans="1:7" s="23" customFormat="1" ht="28.5" customHeight="1">
      <c r="A127" s="10"/>
      <c r="B127" s="30"/>
      <c r="C127" s="31" t="s">
        <v>40</v>
      </c>
      <c r="D127" s="10" t="s">
        <v>16</v>
      </c>
      <c r="E127" s="1">
        <v>1200</v>
      </c>
      <c r="F127" s="11">
        <f t="shared" si="44"/>
        <v>960</v>
      </c>
      <c r="G127" s="11">
        <f t="shared" si="45"/>
        <v>720</v>
      </c>
    </row>
    <row r="128" spans="1:7" s="23" customFormat="1" ht="28.5" customHeight="1">
      <c r="A128" s="10"/>
      <c r="B128" s="30"/>
      <c r="C128" s="31" t="s">
        <v>41</v>
      </c>
      <c r="D128" s="10" t="s">
        <v>16</v>
      </c>
      <c r="E128" s="1">
        <v>1000</v>
      </c>
      <c r="F128" s="11">
        <f t="shared" si="44"/>
        <v>800</v>
      </c>
      <c r="G128" s="11">
        <f t="shared" si="45"/>
        <v>600</v>
      </c>
    </row>
    <row r="129" spans="1:7" s="23" customFormat="1" ht="28.5" customHeight="1">
      <c r="A129" s="10"/>
      <c r="B129" s="30"/>
      <c r="C129" s="31" t="s">
        <v>42</v>
      </c>
      <c r="D129" s="10" t="s">
        <v>16</v>
      </c>
      <c r="E129" s="1">
        <v>800</v>
      </c>
      <c r="F129" s="11">
        <f t="shared" si="44"/>
        <v>640</v>
      </c>
      <c r="G129" s="11">
        <f t="shared" si="45"/>
        <v>480</v>
      </c>
    </row>
    <row r="130" spans="1:7" s="23" customFormat="1" ht="45" customHeight="1">
      <c r="A130" s="29" t="s">
        <v>67</v>
      </c>
      <c r="B130" s="62" t="s">
        <v>88</v>
      </c>
      <c r="C130" s="63"/>
      <c r="D130" s="47"/>
      <c r="E130" s="47"/>
      <c r="F130" s="47"/>
      <c r="G130" s="47"/>
    </row>
    <row r="131" spans="1:7" s="23" customFormat="1" ht="28.5" customHeight="1">
      <c r="A131" s="51"/>
      <c r="B131" s="52"/>
      <c r="C131" s="48" t="s">
        <v>5</v>
      </c>
      <c r="D131" s="53"/>
      <c r="E131" s="53"/>
      <c r="F131" s="53"/>
      <c r="G131" s="53"/>
    </row>
    <row r="132" spans="1:7" s="23" customFormat="1" ht="28.5" customHeight="1">
      <c r="A132" s="10"/>
      <c r="B132" s="30"/>
      <c r="C132" s="31" t="s">
        <v>39</v>
      </c>
      <c r="D132" s="10" t="s">
        <v>14</v>
      </c>
      <c r="E132" s="11">
        <v>800</v>
      </c>
      <c r="F132" s="11">
        <f t="shared" ref="F132:F135" si="46">ROUNDDOWN(E132*80%,-1)</f>
        <v>640</v>
      </c>
      <c r="G132" s="11">
        <f t="shared" ref="G132:G135" si="47">ROUNDDOWN(E132*60%,-1)</f>
        <v>480</v>
      </c>
    </row>
    <row r="133" spans="1:7" s="23" customFormat="1" ht="28.5" customHeight="1">
      <c r="A133" s="10"/>
      <c r="B133" s="30"/>
      <c r="C133" s="31" t="s">
        <v>40</v>
      </c>
      <c r="D133" s="10" t="s">
        <v>14</v>
      </c>
      <c r="E133" s="11">
        <v>600</v>
      </c>
      <c r="F133" s="11">
        <f t="shared" si="46"/>
        <v>480</v>
      </c>
      <c r="G133" s="11">
        <f t="shared" si="47"/>
        <v>360</v>
      </c>
    </row>
    <row r="134" spans="1:7" s="23" customFormat="1" ht="28.5" customHeight="1">
      <c r="A134" s="10"/>
      <c r="B134" s="30"/>
      <c r="C134" s="31" t="s">
        <v>41</v>
      </c>
      <c r="D134" s="10" t="s">
        <v>14</v>
      </c>
      <c r="E134" s="11">
        <v>500</v>
      </c>
      <c r="F134" s="11">
        <f t="shared" si="46"/>
        <v>400</v>
      </c>
      <c r="G134" s="11">
        <f t="shared" si="47"/>
        <v>300</v>
      </c>
    </row>
    <row r="135" spans="1:7" s="23" customFormat="1" ht="28.5" customHeight="1">
      <c r="A135" s="10"/>
      <c r="B135" s="30"/>
      <c r="C135" s="31" t="s">
        <v>42</v>
      </c>
      <c r="D135" s="10" t="s">
        <v>14</v>
      </c>
      <c r="E135" s="11">
        <v>400</v>
      </c>
      <c r="F135" s="11">
        <f t="shared" si="46"/>
        <v>320</v>
      </c>
      <c r="G135" s="11">
        <f t="shared" si="47"/>
        <v>240</v>
      </c>
    </row>
    <row r="136" spans="1:7" s="23" customFormat="1" ht="28.5" customHeight="1">
      <c r="A136" s="51"/>
      <c r="B136" s="52"/>
      <c r="C136" s="48" t="s">
        <v>15</v>
      </c>
      <c r="D136" s="53"/>
      <c r="E136" s="53"/>
      <c r="F136" s="53"/>
      <c r="G136" s="53"/>
    </row>
    <row r="137" spans="1:7" s="23" customFormat="1" ht="28.5" customHeight="1">
      <c r="A137" s="29"/>
      <c r="B137" s="30"/>
      <c r="C137" s="31" t="s">
        <v>39</v>
      </c>
      <c r="D137" s="10" t="s">
        <v>16</v>
      </c>
      <c r="E137" s="3">
        <v>1600</v>
      </c>
      <c r="F137" s="11">
        <f t="shared" ref="F137:F140" si="48">ROUNDDOWN(E137*80%,-1)</f>
        <v>1280</v>
      </c>
      <c r="G137" s="11">
        <f t="shared" ref="G137:G140" si="49">ROUNDDOWN(E137*60%,-1)</f>
        <v>960</v>
      </c>
    </row>
    <row r="138" spans="1:7" s="23" customFormat="1" ht="28.5" customHeight="1">
      <c r="A138" s="29"/>
      <c r="B138" s="30"/>
      <c r="C138" s="31" t="s">
        <v>40</v>
      </c>
      <c r="D138" s="10" t="s">
        <v>16</v>
      </c>
      <c r="E138" s="1">
        <v>1200</v>
      </c>
      <c r="F138" s="11">
        <f t="shared" si="48"/>
        <v>960</v>
      </c>
      <c r="G138" s="11">
        <f t="shared" si="49"/>
        <v>720</v>
      </c>
    </row>
    <row r="139" spans="1:7" s="23" customFormat="1" ht="28.5" customHeight="1">
      <c r="A139" s="29"/>
      <c r="B139" s="30"/>
      <c r="C139" s="31" t="s">
        <v>41</v>
      </c>
      <c r="D139" s="10" t="s">
        <v>16</v>
      </c>
      <c r="E139" s="1">
        <v>1000</v>
      </c>
      <c r="F139" s="11">
        <f t="shared" si="48"/>
        <v>800</v>
      </c>
      <c r="G139" s="11">
        <f t="shared" si="49"/>
        <v>600</v>
      </c>
    </row>
    <row r="140" spans="1:7" s="23" customFormat="1" ht="28.5" customHeight="1">
      <c r="A140" s="10"/>
      <c r="B140" s="30"/>
      <c r="C140" s="31" t="s">
        <v>42</v>
      </c>
      <c r="D140" s="10" t="s">
        <v>16</v>
      </c>
      <c r="E140" s="1">
        <v>800</v>
      </c>
      <c r="F140" s="11">
        <f t="shared" si="48"/>
        <v>640</v>
      </c>
      <c r="G140" s="11">
        <f t="shared" si="49"/>
        <v>480</v>
      </c>
    </row>
    <row r="141" spans="1:7" s="23" customFormat="1" ht="45" customHeight="1">
      <c r="A141" s="29" t="s">
        <v>68</v>
      </c>
      <c r="B141" s="62" t="s">
        <v>22</v>
      </c>
      <c r="C141" s="63"/>
      <c r="D141" s="47"/>
      <c r="E141" s="42"/>
      <c r="F141" s="42"/>
      <c r="G141" s="42"/>
    </row>
    <row r="142" spans="1:7" s="23" customFormat="1" ht="28.5" customHeight="1">
      <c r="A142" s="29"/>
      <c r="B142" s="30"/>
      <c r="C142" s="31" t="s">
        <v>43</v>
      </c>
      <c r="D142" s="10" t="s">
        <v>17</v>
      </c>
      <c r="E142" s="1">
        <v>6000</v>
      </c>
      <c r="F142" s="11">
        <f t="shared" ref="F142:F146" si="50">ROUNDDOWN(E142*80%,-1)</f>
        <v>4800</v>
      </c>
      <c r="G142" s="11">
        <f t="shared" ref="G142:G146" si="51">ROUNDDOWN(E142*60%,-1)</f>
        <v>3600</v>
      </c>
    </row>
    <row r="143" spans="1:7" s="23" customFormat="1" ht="28.5" customHeight="1">
      <c r="A143" s="10"/>
      <c r="B143" s="30"/>
      <c r="C143" s="31" t="s">
        <v>44</v>
      </c>
      <c r="D143" s="10" t="s">
        <v>17</v>
      </c>
      <c r="E143" s="1">
        <v>4500</v>
      </c>
      <c r="F143" s="11">
        <f t="shared" si="50"/>
        <v>3600</v>
      </c>
      <c r="G143" s="11">
        <f t="shared" si="51"/>
        <v>2700</v>
      </c>
    </row>
    <row r="144" spans="1:7" s="23" customFormat="1" ht="28.5" customHeight="1">
      <c r="A144" s="10"/>
      <c r="B144" s="30"/>
      <c r="C144" s="31" t="s">
        <v>45</v>
      </c>
      <c r="D144" s="10" t="s">
        <v>17</v>
      </c>
      <c r="E144" s="1">
        <v>3000</v>
      </c>
      <c r="F144" s="11">
        <f t="shared" si="50"/>
        <v>2400</v>
      </c>
      <c r="G144" s="11">
        <f t="shared" si="51"/>
        <v>1800</v>
      </c>
    </row>
    <row r="145" spans="1:7" s="23" customFormat="1" ht="28.5" customHeight="1">
      <c r="A145" s="10"/>
      <c r="B145" s="30"/>
      <c r="C145" s="31" t="s">
        <v>41</v>
      </c>
      <c r="D145" s="10" t="s">
        <v>17</v>
      </c>
      <c r="E145" s="1">
        <v>2400</v>
      </c>
      <c r="F145" s="11">
        <f t="shared" si="50"/>
        <v>1920</v>
      </c>
      <c r="G145" s="11">
        <f t="shared" si="51"/>
        <v>1440</v>
      </c>
    </row>
    <row r="146" spans="1:7" s="23" customFormat="1" ht="28.5" customHeight="1">
      <c r="A146" s="10"/>
      <c r="B146" s="30"/>
      <c r="C146" s="31" t="s">
        <v>42</v>
      </c>
      <c r="D146" s="10" t="s">
        <v>17</v>
      </c>
      <c r="E146" s="1">
        <v>1500</v>
      </c>
      <c r="F146" s="11">
        <f t="shared" si="50"/>
        <v>1200</v>
      </c>
      <c r="G146" s="11">
        <f t="shared" si="51"/>
        <v>900</v>
      </c>
    </row>
    <row r="147" spans="1:7" s="22" customFormat="1" ht="45" customHeight="1">
      <c r="A147" s="29">
        <v>2</v>
      </c>
      <c r="B147" s="62" t="s">
        <v>119</v>
      </c>
      <c r="C147" s="64"/>
      <c r="D147" s="64"/>
      <c r="E147" s="64"/>
      <c r="F147" s="64"/>
      <c r="G147" s="63"/>
    </row>
    <row r="148" spans="1:7" s="12" customFormat="1" ht="28.5" customHeight="1">
      <c r="A148" s="29" t="s">
        <v>56</v>
      </c>
      <c r="B148" s="36"/>
      <c r="C148" s="54" t="s">
        <v>62</v>
      </c>
      <c r="D148" s="29"/>
      <c r="E148" s="29"/>
      <c r="F148" s="29"/>
      <c r="G148" s="47"/>
    </row>
    <row r="149" spans="1:7" s="9" customFormat="1" ht="45" customHeight="1">
      <c r="A149" s="10"/>
      <c r="B149" s="30"/>
      <c r="C149" s="31" t="s">
        <v>76</v>
      </c>
      <c r="D149" s="10" t="s">
        <v>31</v>
      </c>
      <c r="E149" s="14">
        <v>400</v>
      </c>
      <c r="F149" s="11">
        <f t="shared" ref="F149:F151" si="52">ROUNDDOWN(E149*80%,-1)</f>
        <v>320</v>
      </c>
      <c r="G149" s="11">
        <f t="shared" ref="G149:G151" si="53">ROUNDDOWN(E149*60%,-1)</f>
        <v>240</v>
      </c>
    </row>
    <row r="150" spans="1:7" s="9" customFormat="1" ht="34.5" customHeight="1">
      <c r="A150" s="10"/>
      <c r="B150" s="30"/>
      <c r="C150" s="31" t="s">
        <v>75</v>
      </c>
      <c r="D150" s="10" t="s">
        <v>31</v>
      </c>
      <c r="E150" s="2">
        <v>300</v>
      </c>
      <c r="F150" s="11">
        <f t="shared" si="52"/>
        <v>240</v>
      </c>
      <c r="G150" s="11">
        <f t="shared" si="53"/>
        <v>180</v>
      </c>
    </row>
    <row r="151" spans="1:7" s="9" customFormat="1" ht="34.5" customHeight="1">
      <c r="A151" s="10"/>
      <c r="B151" s="30"/>
      <c r="C151" s="31" t="s">
        <v>74</v>
      </c>
      <c r="D151" s="10" t="s">
        <v>31</v>
      </c>
      <c r="E151" s="14">
        <v>200</v>
      </c>
      <c r="F151" s="11">
        <f t="shared" si="52"/>
        <v>160</v>
      </c>
      <c r="G151" s="11">
        <f t="shared" si="53"/>
        <v>120</v>
      </c>
    </row>
    <row r="152" spans="1:7" s="9" customFormat="1" ht="28.5" customHeight="1">
      <c r="A152" s="29" t="s">
        <v>60</v>
      </c>
      <c r="B152" s="55"/>
      <c r="C152" s="56" t="s">
        <v>147</v>
      </c>
      <c r="D152" s="10"/>
      <c r="E152" s="2"/>
      <c r="F152" s="2"/>
      <c r="G152" s="2"/>
    </row>
    <row r="153" spans="1:7" s="9" customFormat="1" ht="45" customHeight="1">
      <c r="A153" s="10"/>
      <c r="B153" s="30"/>
      <c r="C153" s="31" t="s">
        <v>76</v>
      </c>
      <c r="D153" s="10" t="s">
        <v>31</v>
      </c>
      <c r="E153" s="2">
        <v>800</v>
      </c>
      <c r="F153" s="11">
        <f t="shared" ref="F153:F155" si="54">ROUNDDOWN(E153*80%,-1)</f>
        <v>640</v>
      </c>
      <c r="G153" s="11">
        <f t="shared" ref="G153:G155" si="55">ROUNDDOWN(E153*60%,-1)</f>
        <v>480</v>
      </c>
    </row>
    <row r="154" spans="1:7" s="9" customFormat="1" ht="39" customHeight="1">
      <c r="A154" s="10"/>
      <c r="B154" s="30"/>
      <c r="C154" s="31" t="s">
        <v>75</v>
      </c>
      <c r="D154" s="10" t="s">
        <v>31</v>
      </c>
      <c r="E154" s="2">
        <v>700</v>
      </c>
      <c r="F154" s="11">
        <f t="shared" si="54"/>
        <v>560</v>
      </c>
      <c r="G154" s="11">
        <f t="shared" si="55"/>
        <v>420</v>
      </c>
    </row>
    <row r="155" spans="1:7" s="9" customFormat="1" ht="39" customHeight="1">
      <c r="A155" s="10"/>
      <c r="B155" s="30"/>
      <c r="C155" s="31" t="s">
        <v>74</v>
      </c>
      <c r="D155" s="10" t="s">
        <v>31</v>
      </c>
      <c r="E155" s="2">
        <v>600</v>
      </c>
      <c r="F155" s="11">
        <f t="shared" si="54"/>
        <v>480</v>
      </c>
      <c r="G155" s="11">
        <f t="shared" si="55"/>
        <v>360</v>
      </c>
    </row>
    <row r="156" spans="1:7" s="9" customFormat="1" ht="28.5" customHeight="1">
      <c r="A156" s="29" t="s">
        <v>73</v>
      </c>
      <c r="B156" s="30"/>
      <c r="C156" s="56" t="s">
        <v>150</v>
      </c>
      <c r="D156" s="10"/>
      <c r="E156" s="2"/>
      <c r="F156" s="2"/>
      <c r="G156" s="2"/>
    </row>
    <row r="157" spans="1:7" s="9" customFormat="1" ht="45" customHeight="1">
      <c r="A157" s="10"/>
      <c r="B157" s="30"/>
      <c r="C157" s="31" t="s">
        <v>76</v>
      </c>
      <c r="D157" s="10" t="s">
        <v>31</v>
      </c>
      <c r="E157" s="2">
        <v>600</v>
      </c>
      <c r="F157" s="11">
        <f t="shared" ref="F157:F159" si="56">ROUNDDOWN(E157*80%,-1)</f>
        <v>480</v>
      </c>
      <c r="G157" s="11">
        <f t="shared" ref="G157:G159" si="57">ROUNDDOWN(E157*60%,-1)</f>
        <v>360</v>
      </c>
    </row>
    <row r="158" spans="1:7" s="9" customFormat="1" ht="36.75" customHeight="1">
      <c r="A158" s="10"/>
      <c r="B158" s="30"/>
      <c r="C158" s="31" t="s">
        <v>75</v>
      </c>
      <c r="D158" s="10" t="s">
        <v>31</v>
      </c>
      <c r="E158" s="2">
        <v>500</v>
      </c>
      <c r="F158" s="11">
        <f t="shared" si="56"/>
        <v>400</v>
      </c>
      <c r="G158" s="11">
        <f t="shared" si="57"/>
        <v>300</v>
      </c>
    </row>
    <row r="159" spans="1:7" s="9" customFormat="1" ht="36.75" customHeight="1">
      <c r="A159" s="10"/>
      <c r="B159" s="30"/>
      <c r="C159" s="31" t="s">
        <v>74</v>
      </c>
      <c r="D159" s="10" t="s">
        <v>31</v>
      </c>
      <c r="E159" s="2">
        <v>400</v>
      </c>
      <c r="F159" s="11">
        <f t="shared" si="56"/>
        <v>320</v>
      </c>
      <c r="G159" s="11">
        <f t="shared" si="57"/>
        <v>240</v>
      </c>
    </row>
    <row r="160" spans="1:7" s="9" customFormat="1" ht="45" customHeight="1">
      <c r="A160" s="29" t="s">
        <v>77</v>
      </c>
      <c r="B160" s="30"/>
      <c r="C160" s="56" t="s">
        <v>153</v>
      </c>
      <c r="D160" s="10"/>
      <c r="E160" s="2"/>
      <c r="F160" s="2"/>
      <c r="G160" s="2"/>
    </row>
    <row r="161" spans="1:7" s="9" customFormat="1" ht="45" customHeight="1">
      <c r="A161" s="10"/>
      <c r="B161" s="30"/>
      <c r="C161" s="31" t="s">
        <v>76</v>
      </c>
      <c r="D161" s="10" t="s">
        <v>31</v>
      </c>
      <c r="E161" s="2">
        <v>2000</v>
      </c>
      <c r="F161" s="11">
        <f t="shared" ref="F161:F163" si="58">ROUNDDOWN(E161*80%,-1)</f>
        <v>1600</v>
      </c>
      <c r="G161" s="11">
        <f t="shared" ref="G161:G163" si="59">ROUNDDOWN(E161*60%,-1)</f>
        <v>1200</v>
      </c>
    </row>
    <row r="162" spans="1:7" s="9" customFormat="1" ht="42" customHeight="1">
      <c r="A162" s="10"/>
      <c r="B162" s="30"/>
      <c r="C162" s="31" t="s">
        <v>75</v>
      </c>
      <c r="D162" s="10" t="s">
        <v>31</v>
      </c>
      <c r="E162" s="2">
        <v>1500</v>
      </c>
      <c r="F162" s="11">
        <f t="shared" si="58"/>
        <v>1200</v>
      </c>
      <c r="G162" s="11">
        <f t="shared" si="59"/>
        <v>900</v>
      </c>
    </row>
    <row r="163" spans="1:7" s="9" customFormat="1" ht="42" customHeight="1">
      <c r="A163" s="10"/>
      <c r="B163" s="30"/>
      <c r="C163" s="31" t="s">
        <v>74</v>
      </c>
      <c r="D163" s="10" t="s">
        <v>31</v>
      </c>
      <c r="E163" s="2">
        <v>1000</v>
      </c>
      <c r="F163" s="11">
        <f t="shared" si="58"/>
        <v>800</v>
      </c>
      <c r="G163" s="11">
        <f t="shared" si="59"/>
        <v>600</v>
      </c>
    </row>
    <row r="164" spans="1:7" s="12" customFormat="1" ht="28.5" customHeight="1">
      <c r="A164" s="29" t="s">
        <v>151</v>
      </c>
      <c r="B164" s="57"/>
      <c r="C164" s="58" t="s">
        <v>32</v>
      </c>
      <c r="D164" s="29"/>
      <c r="E164" s="29"/>
      <c r="F164" s="29"/>
      <c r="G164" s="29"/>
    </row>
    <row r="165" spans="1:7" s="9" customFormat="1" ht="45" customHeight="1">
      <c r="A165" s="59"/>
      <c r="B165" s="30"/>
      <c r="C165" s="60" t="s">
        <v>63</v>
      </c>
      <c r="D165" s="10" t="s">
        <v>31</v>
      </c>
      <c r="E165" s="25">
        <v>3000</v>
      </c>
      <c r="F165" s="11">
        <f t="shared" ref="F165:F168" si="60">ROUNDDOWN(E165*80%,-1)</f>
        <v>2400</v>
      </c>
      <c r="G165" s="11">
        <f t="shared" ref="G165:G168" si="61">ROUNDDOWN(E165*60%,-1)</f>
        <v>1800</v>
      </c>
    </row>
    <row r="166" spans="1:7" s="9" customFormat="1" ht="45" customHeight="1">
      <c r="A166" s="59"/>
      <c r="B166" s="30"/>
      <c r="C166" s="60" t="s">
        <v>64</v>
      </c>
      <c r="D166" s="10" t="s">
        <v>31</v>
      </c>
      <c r="E166" s="25">
        <v>2500</v>
      </c>
      <c r="F166" s="11">
        <f t="shared" si="60"/>
        <v>2000</v>
      </c>
      <c r="G166" s="11">
        <f t="shared" si="61"/>
        <v>1500</v>
      </c>
    </row>
    <row r="167" spans="1:7" s="9" customFormat="1" ht="30.75" customHeight="1">
      <c r="A167" s="59"/>
      <c r="B167" s="30"/>
      <c r="C167" s="60" t="s">
        <v>65</v>
      </c>
      <c r="D167" s="10" t="s">
        <v>31</v>
      </c>
      <c r="E167" s="25">
        <v>2000</v>
      </c>
      <c r="F167" s="11">
        <f t="shared" si="60"/>
        <v>1600</v>
      </c>
      <c r="G167" s="11">
        <f t="shared" si="61"/>
        <v>1200</v>
      </c>
    </row>
    <row r="168" spans="1:7" s="9" customFormat="1" ht="28.5" customHeight="1">
      <c r="A168" s="10"/>
      <c r="B168" s="30"/>
      <c r="C168" s="60" t="s">
        <v>47</v>
      </c>
      <c r="D168" s="10" t="s">
        <v>31</v>
      </c>
      <c r="E168" s="14">
        <v>2500</v>
      </c>
      <c r="F168" s="11">
        <f t="shared" si="60"/>
        <v>2000</v>
      </c>
      <c r="G168" s="11">
        <f t="shared" si="61"/>
        <v>1500</v>
      </c>
    </row>
    <row r="169" spans="1:7" s="9" customFormat="1" ht="45" customHeight="1">
      <c r="A169" s="29" t="s">
        <v>77</v>
      </c>
      <c r="B169" s="57"/>
      <c r="C169" s="58" t="s">
        <v>79</v>
      </c>
      <c r="D169" s="10"/>
      <c r="E169" s="10"/>
      <c r="F169" s="10"/>
      <c r="G169" s="10"/>
    </row>
    <row r="170" spans="1:7" s="9" customFormat="1" ht="45" customHeight="1">
      <c r="A170" s="10"/>
      <c r="B170" s="30"/>
      <c r="C170" s="31" t="s">
        <v>164</v>
      </c>
      <c r="D170" s="83" t="s">
        <v>148</v>
      </c>
      <c r="E170" s="84"/>
      <c r="F170" s="84"/>
      <c r="G170" s="85"/>
    </row>
    <row r="171" spans="1:7" s="9" customFormat="1" ht="45" customHeight="1">
      <c r="A171" s="10"/>
      <c r="B171" s="30"/>
      <c r="C171" s="31" t="s">
        <v>165</v>
      </c>
      <c r="D171" s="83" t="s">
        <v>149</v>
      </c>
      <c r="E171" s="84"/>
      <c r="F171" s="84"/>
      <c r="G171" s="85"/>
    </row>
  </sheetData>
  <mergeCells count="41">
    <mergeCell ref="B7:G7"/>
    <mergeCell ref="D171:G171"/>
    <mergeCell ref="D170:G170"/>
    <mergeCell ref="B114:C114"/>
    <mergeCell ref="B41:G41"/>
    <mergeCell ref="B51:G51"/>
    <mergeCell ref="B37:G37"/>
    <mergeCell ref="B27:G27"/>
    <mergeCell ref="B46:G46"/>
    <mergeCell ref="B8:G8"/>
    <mergeCell ref="B57:C57"/>
    <mergeCell ref="B61:C61"/>
    <mergeCell ref="B64:D64"/>
    <mergeCell ref="B76:C76"/>
    <mergeCell ref="B13:G13"/>
    <mergeCell ref="B21:G21"/>
    <mergeCell ref="B5:C6"/>
    <mergeCell ref="A1:G1"/>
    <mergeCell ref="A3:G3"/>
    <mergeCell ref="A5:A6"/>
    <mergeCell ref="D5:D6"/>
    <mergeCell ref="A2:G2"/>
    <mergeCell ref="E5:G5"/>
    <mergeCell ref="B52:G52"/>
    <mergeCell ref="B53:C53"/>
    <mergeCell ref="C30:F30"/>
    <mergeCell ref="B83:C83"/>
    <mergeCell ref="B86:C86"/>
    <mergeCell ref="B85:C85"/>
    <mergeCell ref="B91:C91"/>
    <mergeCell ref="B97:C97"/>
    <mergeCell ref="B98:C98"/>
    <mergeCell ref="B99:C99"/>
    <mergeCell ref="B100:C100"/>
    <mergeCell ref="B141:C141"/>
    <mergeCell ref="B147:G147"/>
    <mergeCell ref="B103:C103"/>
    <mergeCell ref="B106:C106"/>
    <mergeCell ref="B115:C115"/>
    <mergeCell ref="B116:C116"/>
    <mergeCell ref="B130:C130"/>
  </mergeCells>
  <printOptions horizontalCentered="1"/>
  <pageMargins left="0.31496062992125984" right="0.31496062992125984" top="0.69" bottom="0.51181102362204722" header="0.25" footer="0.15748031496062992"/>
  <pageSetup paperSize="9" scale="88" orientation="portrait" r:id="rId1"/>
  <headerFooter differentFirst="1">
    <oddHeader>&amp;C&amp;P</oddHead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III</vt:lpstr>
      <vt:lpstr>'PL III'!Print_Titles</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Office</dc:creator>
  <cp:keywords/>
  <dc:description/>
  <cp:lastModifiedBy>TAM</cp:lastModifiedBy>
  <cp:lastPrinted>2026-07-10T03:23:52Z</cp:lastPrinted>
  <dcterms:created xsi:type="dcterms:W3CDTF">2025-11-13T23:56:59Z</dcterms:created>
  <dcterms:modified xsi:type="dcterms:W3CDTF">2026-07-10T03:23:55Z</dcterms:modified>
  <cp:category/>
</cp:coreProperties>
</file>