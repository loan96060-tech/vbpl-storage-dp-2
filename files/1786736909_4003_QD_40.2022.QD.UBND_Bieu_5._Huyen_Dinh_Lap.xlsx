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codeName="ThisWorkbook"/>
  <bookViews>
    <workbookView xWindow="0" yWindow="0" windowWidth="20490" windowHeight="6930" firstSheet="1" activeTab="4"/>
  </bookViews>
  <sheets>
    <sheet name="foxz" sheetId="16" state="veryHidden" r:id="rId1"/>
    <sheet name="Bang 01" sheetId="13" r:id="rId2"/>
    <sheet name="Biểu 02 (Bảng 8)" sheetId="15" r:id="rId3"/>
    <sheet name="Biểu 03 (Bảng 5)" sheetId="18" r:id="rId4"/>
    <sheet name="Biểu 04 (Bảng 6)" sheetId="19" r:id="rId5"/>
  </sheets>
  <calcPr calcId="124519"/>
</workbook>
</file>

<file path=xl/calcChain.xml><?xml version="1.0" encoding="utf-8"?>
<calcChain xmlns="http://schemas.openxmlformats.org/spreadsheetml/2006/main">
  <c r="F6" i="15"/>
  <c r="I15" i="18" l="1"/>
  <c r="I14"/>
  <c r="J14" s="1"/>
  <c r="I12"/>
  <c r="J12" s="1"/>
  <c r="D15"/>
  <c r="C15"/>
  <c r="B15"/>
  <c r="D14"/>
  <c r="C14"/>
  <c r="B14"/>
  <c r="A13"/>
  <c r="G12"/>
  <c r="H9"/>
  <c r="G9"/>
  <c r="F9"/>
  <c r="F8"/>
  <c r="R14" i="19"/>
  <c r="S14" s="1"/>
  <c r="O14"/>
  <c r="R11"/>
  <c r="S11" s="1"/>
  <c r="O11"/>
  <c r="J9"/>
  <c r="I9"/>
  <c r="M9" s="1"/>
  <c r="H9"/>
  <c r="L9" s="1"/>
  <c r="G9"/>
  <c r="K9" s="1"/>
  <c r="F9"/>
  <c r="J8"/>
  <c r="F8"/>
  <c r="R13"/>
  <c r="S13" s="1"/>
  <c r="O13"/>
  <c r="M8" i="15"/>
  <c r="L8"/>
  <c r="K8"/>
  <c r="J8"/>
  <c r="I8"/>
  <c r="H8"/>
  <c r="G8"/>
  <c r="F8"/>
  <c r="J7"/>
  <c r="F7"/>
  <c r="D10"/>
  <c r="C10"/>
  <c r="B10"/>
  <c r="M10" i="13"/>
  <c r="L10"/>
  <c r="K10"/>
  <c r="R10" i="15"/>
  <c r="S10" s="1"/>
  <c r="Q10"/>
  <c r="P10"/>
  <c r="O10"/>
  <c r="T10"/>
  <c r="U10" l="1"/>
  <c r="F7" i="19"/>
  <c r="F7" i="18" s="1"/>
</calcChain>
</file>

<file path=xl/sharedStrings.xml><?xml version="1.0" encoding="utf-8"?>
<sst xmlns="http://schemas.openxmlformats.org/spreadsheetml/2006/main" count="107" uniqueCount="47">
  <si>
    <t>Tên đường</t>
  </si>
  <si>
    <t>Đoạn đường</t>
  </si>
  <si>
    <t>Đường
 loại</t>
  </si>
  <si>
    <t>Giá đất ở</t>
  </si>
  <si>
    <t>Giá đất sản xuất, kinh doanh, PNN không phải đất thương mại, dịch vụ</t>
  </si>
  <si>
    <t>Từ</t>
  </si>
  <si>
    <t>Đến</t>
  </si>
  <si>
    <t>VT1</t>
  </si>
  <si>
    <t>VT2</t>
  </si>
  <si>
    <t>VT3</t>
  </si>
  <si>
    <t>VT4</t>
  </si>
  <si>
    <t>STT</t>
  </si>
  <si>
    <t>Giá đất</t>
  </si>
  <si>
    <t>Thị trấn Đình Lập</t>
  </si>
  <si>
    <t>A</t>
  </si>
  <si>
    <t>II</t>
  </si>
  <si>
    <t>Giá đất đề xuất điều chỉnh</t>
  </si>
  <si>
    <t>Tuyến đường tránh Quốc lộ 4B (TT. Đình Lập - Quảng Ninh) (Đường 31-10) đoạn 4</t>
  </si>
  <si>
    <t>Đầu cầu Khuổi Vuồng</t>
  </si>
  <si>
    <t>Đấu nối Quốc lộ 4B tại khu 3</t>
  </si>
  <si>
    <t>Xã Lâm Ca</t>
  </si>
  <si>
    <t xml:space="preserve"> VT1</t>
  </si>
  <si>
    <t xml:space="preserve"> VT2</t>
  </si>
  <si>
    <t xml:space="preserve">Cổng UBND xã </t>
  </si>
  <si>
    <t>Ngã ba đường bê tông rẽ vào thôn Khe Dăm (thuộc địa phận xã Lâm Ca)</t>
  </si>
  <si>
    <t>Những thửa đất tiếp giáp đường ĐH.48</t>
  </si>
  <si>
    <t>I</t>
  </si>
  <si>
    <t>Tiếp giáp thôn Bình Thắng</t>
  </si>
  <si>
    <t>Km 37 (thuộc thôn Bình Giang)</t>
  </si>
  <si>
    <t xml:space="preserve">Những thửa đất có mặt tiếp giáp với đường ĐH 48 </t>
  </si>
  <si>
    <t xml:space="preserve">Đoạn giáp xã Đồng Thắng </t>
  </si>
  <si>
    <t>Giáp thôn Bình Giang (thuộc thôn Bình Thắng, xã Lâm Ca)</t>
  </si>
  <si>
    <t>Huyện Đình Lập</t>
  </si>
  <si>
    <t xml:space="preserve">                  ĐVT: đồng/m2</t>
  </si>
  <si>
    <t>Giá đất điều chỉnh</t>
  </si>
  <si>
    <t>ĐVT: đồng/m2</t>
  </si>
  <si>
    <t>Bổ sung giá đất</t>
  </si>
  <si>
    <t>Phụ lục 01</t>
  </si>
  <si>
    <t>Phụ lục 02</t>
  </si>
  <si>
    <t>Phụ lục 03</t>
  </si>
  <si>
    <t>Phụ lục 04</t>
  </si>
  <si>
    <t xml:space="preserve">  BẢNG ĐIỀU CHỈNH GIÁ ĐẤT THƯƠNG MẠI, DỊCH VỤ TẠI ĐÔ THỊ TRÊN ĐỊA BÀN HUYỆN ĐÌNH LẬP, TỈNH LẠNG SƠN</t>
  </si>
  <si>
    <t xml:space="preserve"> BẢNG ĐIỀU CHỈNH GIÁ ĐẤT Ở; GIÁ ĐẤT SẢN XUẤT KINH DOANH PHI NÔNG NGHIỆP KHÔNG PHẢI ĐẤT THƯƠNG MẠI, DỊCH VỤ TẠI NÔNG THÔN TRÊN ĐỊA BÀN HUYỆN ĐÌNH LẬP, TỈNH LẠNG SƠN</t>
  </si>
  <si>
    <t xml:space="preserve"> BẢNG ĐIỀU CHỈNH GIÁ ĐẤT Ở; GIÁ ĐẤT SẢN XUẤT KINH DOANH PHI NÔNG NGHIỆP KHÔNG PHẢI ĐẤT THƯƠNG MẠI, DỊCH VỤ TẠI ĐÔ THỊ 
TRÊN ĐỊA BÀN HUYỆN ĐÌNH LẬP, TỈNH LẠNG SƠN</t>
  </si>
  <si>
    <t>Theo Quyết định số 32/2019/QĐ-UBND ngày 20/12/2019 của UBND tỉnh Lạng Sơn</t>
  </si>
  <si>
    <t xml:space="preserve"> BẢNG ĐIỀU CHỈNH GIÁ ĐẤT THƯƠNG MẠI, DỊCH VỤ TẠI NÔNG THÔN TRÊN ĐỊA BÀN 
HUYỆN ĐÌNH LẬP, TỈNH LẠNG SƠN</t>
  </si>
  <si>
    <t>(Kèm theo Quyết định số  40/2022/QĐ-UBND ngày 23 tháng 12 năm 2022 của Ủy ban nhân dân tỉnh Lạng Sơn)</t>
  </si>
</sst>
</file>

<file path=xl/styles.xml><?xml version="1.0" encoding="utf-8"?>
<styleSheet xmlns="http://schemas.openxmlformats.org/spreadsheetml/2006/main">
  <numFmts count="4">
    <numFmt numFmtId="164" formatCode="_(* #,##0.00_);_(* \(#,##0.00\);_(* &quot;-&quot;??_);_(@_)"/>
    <numFmt numFmtId="165" formatCode="0.000"/>
    <numFmt numFmtId="166" formatCode="_-* #,##0.00_-;\-* #,##0.00_-;_-* &quot;-&quot;??_-;_-@_-"/>
    <numFmt numFmtId="167" formatCode="_(* #,##0_);_(* \(#,##0\);_(* &quot;-&quot;??_);_(@_)"/>
  </numFmts>
  <fonts count="32">
    <font>
      <sz val="11"/>
      <color theme="1"/>
      <name val="Arial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</font>
    <font>
      <b/>
      <sz val="14"/>
      <name val="Times New Roman"/>
      <family val="1"/>
    </font>
    <font>
      <i/>
      <sz val="14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charset val="163"/>
    </font>
    <font>
      <sz val="14"/>
      <color theme="1"/>
      <name val="Times New Roman"/>
      <family val="1"/>
    </font>
    <font>
      <sz val="14"/>
      <color theme="1"/>
      <name val="Arial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4"/>
      <color theme="1"/>
      <name val="Times New Roman"/>
      <family val="1"/>
    </font>
    <font>
      <i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b/>
      <i/>
      <sz val="12"/>
      <color theme="1"/>
      <name val="Times New Roman"/>
      <family val="1"/>
    </font>
    <font>
      <i/>
      <sz val="11"/>
      <name val="Times New Roman"/>
      <family val="1"/>
    </font>
    <font>
      <i/>
      <sz val="12"/>
      <color indexed="8"/>
      <name val="Times New Roman"/>
      <family val="1"/>
    </font>
    <font>
      <sz val="12"/>
      <color theme="1"/>
      <name val="Arial"/>
      <family val="2"/>
      <scheme val="minor"/>
    </font>
    <font>
      <i/>
      <sz val="11"/>
      <color indexed="8"/>
      <name val="Times New Roman"/>
      <family val="1"/>
    </font>
    <font>
      <i/>
      <sz val="11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1">
    <xf numFmtId="0" fontId="0" fillId="0" borderId="0"/>
    <xf numFmtId="164" fontId="8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1" fillId="0" borderId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12" fillId="0" borderId="0" xfId="0" applyFont="1"/>
    <xf numFmtId="0" fontId="13" fillId="0" borderId="0" xfId="0" applyFont="1"/>
    <xf numFmtId="0" fontId="5" fillId="0" borderId="1" xfId="0" applyFont="1" applyFill="1" applyBorder="1" applyAlignment="1">
      <alignment horizontal="center" vertical="center" wrapText="1"/>
    </xf>
    <xf numFmtId="3" fontId="6" fillId="0" borderId="1" xfId="0" applyNumberFormat="1" applyFont="1" applyFill="1" applyBorder="1" applyAlignment="1">
      <alignment horizontal="center" vertical="center" wrapText="1"/>
    </xf>
    <xf numFmtId="3" fontId="6" fillId="0" borderId="2" xfId="0" applyNumberFormat="1" applyFont="1" applyFill="1" applyBorder="1" applyAlignment="1">
      <alignment horizontal="center" vertical="center" wrapText="1"/>
    </xf>
    <xf numFmtId="0" fontId="14" fillId="0" borderId="0" xfId="0" applyFont="1"/>
    <xf numFmtId="0" fontId="7" fillId="2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3" fontId="7" fillId="0" borderId="2" xfId="0" applyNumberFormat="1" applyFont="1" applyFill="1" applyBorder="1" applyAlignment="1">
      <alignment horizontal="center" vertical="center" wrapText="1"/>
    </xf>
    <xf numFmtId="3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6" fillId="0" borderId="0" xfId="0" applyFont="1"/>
    <xf numFmtId="0" fontId="21" fillId="0" borderId="0" xfId="0" applyFont="1"/>
    <xf numFmtId="0" fontId="22" fillId="0" borderId="1" xfId="0" applyFont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 wrapText="1"/>
    </xf>
    <xf numFmtId="3" fontId="22" fillId="0" borderId="1" xfId="0" applyNumberFormat="1" applyFont="1" applyFill="1" applyBorder="1" applyAlignment="1">
      <alignment vertical="center" wrapText="1"/>
    </xf>
    <xf numFmtId="0" fontId="22" fillId="0" borderId="0" xfId="0" applyFont="1"/>
    <xf numFmtId="0" fontId="22" fillId="2" borderId="1" xfId="0" applyFont="1" applyFill="1" applyBorder="1" applyAlignment="1">
      <alignment horizontal="left" vertical="center" wrapText="1"/>
    </xf>
    <xf numFmtId="0" fontId="23" fillId="0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0" borderId="4" xfId="0" applyFont="1" applyFill="1" applyBorder="1" applyAlignment="1">
      <alignment vertical="center" wrapText="1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/>
    <xf numFmtId="0" fontId="4" fillId="0" borderId="7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3" fontId="22" fillId="0" borderId="1" xfId="0" applyNumberFormat="1" applyFont="1" applyFill="1" applyBorder="1" applyAlignment="1">
      <alignment horizontal="center" vertical="center" wrapText="1"/>
    </xf>
    <xf numFmtId="0" fontId="12" fillId="0" borderId="0" xfId="0" applyFont="1" applyBorder="1"/>
    <xf numFmtId="0" fontId="4" fillId="0" borderId="0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3" fontId="20" fillId="0" borderId="1" xfId="0" applyNumberFormat="1" applyFont="1" applyFill="1" applyBorder="1" applyAlignment="1">
      <alignment horizontal="center" vertical="center" wrapText="1"/>
    </xf>
    <xf numFmtId="167" fontId="19" fillId="0" borderId="1" xfId="1" applyNumberFormat="1" applyFont="1" applyFill="1" applyBorder="1" applyAlignment="1">
      <alignment horizontal="center" vertical="center" wrapText="1"/>
    </xf>
    <xf numFmtId="3" fontId="20" fillId="0" borderId="2" xfId="0" applyNumberFormat="1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 vertical="center"/>
    </xf>
    <xf numFmtId="0" fontId="28" fillId="0" borderId="7" xfId="0" applyFont="1" applyFill="1" applyBorder="1" applyAlignment="1">
      <alignment horizontal="center" vertical="center"/>
    </xf>
    <xf numFmtId="0" fontId="0" fillId="0" borderId="0" xfId="0" applyFont="1" applyBorder="1"/>
    <xf numFmtId="0" fontId="20" fillId="0" borderId="2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9" fillId="0" borderId="2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1" xfId="0" applyFont="1" applyFill="1" applyBorder="1" applyAlignment="1">
      <alignment vertical="center" wrapText="1"/>
    </xf>
    <xf numFmtId="3" fontId="22" fillId="0" borderId="2" xfId="0" applyNumberFormat="1" applyFont="1" applyFill="1" applyBorder="1" applyAlignment="1">
      <alignment horizontal="center" vertical="center" wrapText="1"/>
    </xf>
    <xf numFmtId="0" fontId="0" fillId="0" borderId="0" xfId="0" applyFont="1"/>
    <xf numFmtId="0" fontId="27" fillId="0" borderId="0" xfId="0" applyFont="1"/>
    <xf numFmtId="0" fontId="18" fillId="0" borderId="0" xfId="0" applyFont="1"/>
    <xf numFmtId="0" fontId="24" fillId="0" borderId="0" xfId="0" applyFont="1" applyAlignment="1">
      <alignment vertical="center"/>
    </xf>
    <xf numFmtId="0" fontId="24" fillId="0" borderId="0" xfId="0" applyFont="1" applyAlignment="1">
      <alignment horizontal="left" vertical="center"/>
    </xf>
    <xf numFmtId="0" fontId="15" fillId="0" borderId="0" xfId="0" applyFont="1" applyAlignment="1">
      <alignment horizontal="right" vertical="center"/>
    </xf>
    <xf numFmtId="0" fontId="24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167" fontId="19" fillId="0" borderId="1" xfId="1" applyNumberFormat="1" applyFont="1" applyFill="1" applyBorder="1" applyAlignment="1">
      <alignment horizontal="center" vertical="center" wrapText="1"/>
    </xf>
    <xf numFmtId="3" fontId="20" fillId="0" borderId="1" xfId="0" applyNumberFormat="1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22" fillId="0" borderId="1" xfId="0" applyFont="1" applyFill="1" applyBorder="1" applyAlignment="1">
      <alignment horizontal="right" vertical="center" wrapText="1"/>
    </xf>
    <xf numFmtId="3" fontId="22" fillId="0" borderId="1" xfId="0" applyNumberFormat="1" applyFont="1" applyFill="1" applyBorder="1" applyAlignment="1">
      <alignment horizontal="right" vertical="center" wrapText="1"/>
    </xf>
    <xf numFmtId="0" fontId="21" fillId="0" borderId="1" xfId="0" applyFont="1" applyBorder="1" applyAlignment="1">
      <alignment horizontal="right"/>
    </xf>
    <xf numFmtId="3" fontId="21" fillId="0" borderId="1" xfId="0" applyNumberFormat="1" applyFont="1" applyBorder="1" applyAlignment="1">
      <alignment horizontal="right" vertical="center"/>
    </xf>
    <xf numFmtId="3" fontId="30" fillId="2" borderId="1" xfId="0" applyNumberFormat="1" applyFont="1" applyFill="1" applyBorder="1" applyAlignment="1">
      <alignment horizontal="right" vertical="center" wrapText="1"/>
    </xf>
    <xf numFmtId="3" fontId="30" fillId="0" borderId="1" xfId="0" applyNumberFormat="1" applyFont="1" applyFill="1" applyBorder="1" applyAlignment="1">
      <alignment horizontal="right" vertical="center" wrapText="1"/>
    </xf>
    <xf numFmtId="3" fontId="31" fillId="0" borderId="1" xfId="0" applyNumberFormat="1" applyFont="1" applyBorder="1" applyAlignment="1">
      <alignment horizontal="right" vertical="center"/>
    </xf>
    <xf numFmtId="0" fontId="4" fillId="0" borderId="0" xfId="0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9" fillId="0" borderId="4" xfId="0" applyFont="1" applyFill="1" applyBorder="1" applyAlignment="1">
      <alignment horizontal="left" vertical="center" wrapText="1"/>
    </xf>
    <xf numFmtId="0" fontId="19" fillId="0" borderId="5" xfId="0" applyFont="1" applyFill="1" applyBorder="1" applyAlignment="1">
      <alignment horizontal="left" vertical="center" wrapText="1"/>
    </xf>
    <xf numFmtId="0" fontId="16" fillId="0" borderId="6" xfId="0" applyFont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 wrapText="1"/>
    </xf>
    <xf numFmtId="0" fontId="19" fillId="0" borderId="12" xfId="0" applyFont="1" applyFill="1" applyBorder="1" applyAlignment="1">
      <alignment horizontal="center" vertical="center" wrapText="1"/>
    </xf>
    <xf numFmtId="0" fontId="19" fillId="0" borderId="13" xfId="0" applyFont="1" applyFill="1" applyBorder="1" applyAlignment="1">
      <alignment horizontal="center" vertical="center" wrapText="1"/>
    </xf>
    <xf numFmtId="0" fontId="19" fillId="0" borderId="14" xfId="0" applyFont="1" applyFill="1" applyBorder="1" applyAlignment="1">
      <alignment horizontal="center" vertical="center" wrapText="1"/>
    </xf>
    <xf numFmtId="3" fontId="20" fillId="0" borderId="8" xfId="0" applyNumberFormat="1" applyFont="1" applyFill="1" applyBorder="1" applyAlignment="1">
      <alignment horizontal="center" vertical="center" wrapText="1"/>
    </xf>
    <xf numFmtId="3" fontId="20" fillId="0" borderId="9" xfId="0" applyNumberFormat="1" applyFont="1" applyFill="1" applyBorder="1" applyAlignment="1">
      <alignment horizontal="center" vertical="center" wrapText="1"/>
    </xf>
    <xf numFmtId="3" fontId="20" fillId="0" borderId="3" xfId="0" applyNumberFormat="1" applyFont="1" applyFill="1" applyBorder="1" applyAlignment="1">
      <alignment horizontal="center" vertical="center" wrapText="1"/>
    </xf>
    <xf numFmtId="0" fontId="25" fillId="0" borderId="7" xfId="0" applyFont="1" applyFill="1" applyBorder="1" applyAlignment="1">
      <alignment horizontal="center" vertical="center"/>
    </xf>
    <xf numFmtId="3" fontId="20" fillId="0" borderId="13" xfId="0" applyNumberFormat="1" applyFont="1" applyFill="1" applyBorder="1" applyAlignment="1">
      <alignment horizontal="center" vertical="center" wrapText="1"/>
    </xf>
    <xf numFmtId="3" fontId="20" fillId="0" borderId="6" xfId="0" applyNumberFormat="1" applyFont="1" applyFill="1" applyBorder="1" applyAlignment="1">
      <alignment horizontal="center" vertical="center" wrapText="1"/>
    </xf>
    <xf numFmtId="3" fontId="20" fillId="0" borderId="10" xfId="0" applyNumberFormat="1" applyFont="1" applyFill="1" applyBorder="1" applyAlignment="1">
      <alignment horizontal="center" vertical="center" wrapText="1"/>
    </xf>
    <xf numFmtId="3" fontId="20" fillId="0" borderId="14" xfId="0" applyNumberFormat="1" applyFont="1" applyFill="1" applyBorder="1" applyAlignment="1">
      <alignment horizontal="center" vertical="center" wrapText="1"/>
    </xf>
    <xf numFmtId="3" fontId="20" fillId="0" borderId="7" xfId="0" applyNumberFormat="1" applyFont="1" applyFill="1" applyBorder="1" applyAlignment="1">
      <alignment horizontal="center" vertical="center" wrapText="1"/>
    </xf>
    <xf numFmtId="3" fontId="20" fillId="0" borderId="12" xfId="0" applyNumberFormat="1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left" vertical="center" wrapText="1"/>
    </xf>
    <xf numFmtId="165" fontId="19" fillId="0" borderId="1" xfId="0" applyNumberFormat="1" applyFont="1" applyFill="1" applyBorder="1" applyAlignment="1">
      <alignment horizontal="center" vertical="center" wrapText="1"/>
    </xf>
    <xf numFmtId="167" fontId="19" fillId="0" borderId="1" xfId="1" applyNumberFormat="1" applyFont="1" applyFill="1" applyBorder="1" applyAlignment="1">
      <alignment horizontal="center" vertical="center" wrapText="1"/>
    </xf>
    <xf numFmtId="3" fontId="20" fillId="0" borderId="1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right" vertical="center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26" fillId="0" borderId="0" xfId="0" applyFont="1" applyFill="1" applyBorder="1" applyAlignment="1">
      <alignment horizontal="center" vertical="center"/>
    </xf>
    <xf numFmtId="0" fontId="29" fillId="0" borderId="7" xfId="0" applyFont="1" applyBorder="1" applyAlignment="1">
      <alignment horizontal="center"/>
    </xf>
    <xf numFmtId="0" fontId="5" fillId="0" borderId="4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/>
    </xf>
    <xf numFmtId="3" fontId="6" fillId="0" borderId="1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3" fontId="6" fillId="0" borderId="8" xfId="0" applyNumberFormat="1" applyFont="1" applyFill="1" applyBorder="1" applyAlignment="1">
      <alignment horizontal="center" vertical="center" wrapText="1"/>
    </xf>
    <xf numFmtId="3" fontId="6" fillId="0" borderId="9" xfId="0" applyNumberFormat="1" applyFont="1" applyFill="1" applyBorder="1" applyAlignment="1">
      <alignment horizontal="center" vertical="center" wrapText="1"/>
    </xf>
    <xf numFmtId="3" fontId="6" fillId="0" borderId="3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3" fontId="20" fillId="0" borderId="4" xfId="0" applyNumberFormat="1" applyFont="1" applyFill="1" applyBorder="1" applyAlignment="1">
      <alignment horizontal="center" vertical="center" wrapText="1"/>
    </xf>
    <xf numFmtId="3" fontId="20" fillId="0" borderId="5" xfId="0" applyNumberFormat="1" applyFont="1" applyFill="1" applyBorder="1" applyAlignment="1">
      <alignment horizontal="center" vertical="center" wrapText="1"/>
    </xf>
    <xf numFmtId="3" fontId="20" fillId="0" borderId="2" xfId="0" applyNumberFormat="1" applyFont="1" applyFill="1" applyBorder="1" applyAlignment="1">
      <alignment horizontal="center" vertical="center" wrapText="1"/>
    </xf>
    <xf numFmtId="0" fontId="19" fillId="0" borderId="2" xfId="0" applyFont="1" applyFill="1" applyBorder="1" applyAlignment="1">
      <alignment horizontal="left" vertical="center" wrapText="1"/>
    </xf>
  </cellXfs>
  <cellStyles count="11">
    <cellStyle name="Comma" xfId="1" builtinId="3"/>
    <cellStyle name="Comma 2" xfId="2"/>
    <cellStyle name="Comma 3" xfId="3"/>
    <cellStyle name="Comma 4" xfId="4"/>
    <cellStyle name="Comma 5" xfId="5"/>
    <cellStyle name="Normal" xfId="0" builtinId="0"/>
    <cellStyle name="Normal 2" xfId="6"/>
    <cellStyle name="Normal 3" xfId="7"/>
    <cellStyle name="Normal 4" xfId="8"/>
    <cellStyle name="Normal 5" xfId="9"/>
    <cellStyle name="Percent 2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zoomScale="115" zoomScaleNormal="115" workbookViewId="0">
      <selection activeCell="A3" sqref="A3:XFD3"/>
    </sheetView>
  </sheetViews>
  <sheetFormatPr defaultColWidth="9.125" defaultRowHeight="18"/>
  <cols>
    <col min="1" max="1" width="4.375" style="2" customWidth="1"/>
    <col min="2" max="2" width="28.125" style="2" customWidth="1"/>
    <col min="3" max="4" width="11.75" style="2" customWidth="1"/>
    <col min="5" max="5" width="7.75" style="2" customWidth="1"/>
    <col min="6" max="11" width="9.875" style="2" customWidth="1"/>
    <col min="12" max="12" width="8.75" style="2" customWidth="1"/>
    <col min="13" max="13" width="8.875" style="2" customWidth="1"/>
    <col min="14" max="16384" width="9.125" style="2"/>
  </cols>
  <sheetData>
    <row r="1" spans="1:13" ht="18" customHeight="1">
      <c r="A1" s="73" t="s">
        <v>32</v>
      </c>
      <c r="B1" s="73"/>
      <c r="C1" s="55"/>
      <c r="D1" s="55"/>
      <c r="E1" s="55"/>
      <c r="F1" s="55"/>
      <c r="G1" s="55"/>
      <c r="H1" s="55"/>
      <c r="I1" s="55"/>
      <c r="J1" s="55"/>
      <c r="K1" s="55"/>
      <c r="L1" s="74" t="s">
        <v>37</v>
      </c>
      <c r="M1" s="74"/>
    </row>
    <row r="2" spans="1:13" ht="27" customHeight="1">
      <c r="A2" s="79" t="s">
        <v>41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</row>
    <row r="3" spans="1:13" ht="21" customHeight="1">
      <c r="A3" s="71"/>
      <c r="B3" s="78" t="s">
        <v>46</v>
      </c>
      <c r="C3" s="78"/>
      <c r="D3" s="78"/>
      <c r="E3" s="78"/>
      <c r="F3" s="78"/>
      <c r="G3" s="78"/>
      <c r="H3" s="78"/>
      <c r="I3" s="78"/>
      <c r="J3" s="78"/>
      <c r="K3" s="78"/>
      <c r="L3" s="71"/>
      <c r="M3" s="71"/>
    </row>
    <row r="4" spans="1:13" s="44" customFormat="1" ht="21" customHeight="1">
      <c r="A4" s="42"/>
      <c r="B4" s="42"/>
      <c r="C4" s="42"/>
      <c r="D4" s="42"/>
      <c r="E4" s="42"/>
      <c r="F4" s="43"/>
      <c r="G4" s="43"/>
      <c r="H4" s="43"/>
      <c r="I4" s="43"/>
      <c r="J4" s="43"/>
      <c r="K4" s="91" t="s">
        <v>33</v>
      </c>
      <c r="L4" s="91"/>
      <c r="M4" s="91"/>
    </row>
    <row r="5" spans="1:13" s="19" customFormat="1" ht="26.45" customHeight="1">
      <c r="A5" s="80" t="s">
        <v>11</v>
      </c>
      <c r="B5" s="83" t="s">
        <v>0</v>
      </c>
      <c r="C5" s="86" t="s">
        <v>1</v>
      </c>
      <c r="D5" s="83"/>
      <c r="E5" s="88" t="s">
        <v>2</v>
      </c>
      <c r="F5" s="92" t="s">
        <v>44</v>
      </c>
      <c r="G5" s="93"/>
      <c r="H5" s="93"/>
      <c r="I5" s="94"/>
      <c r="J5" s="98" t="s">
        <v>34</v>
      </c>
      <c r="K5" s="99"/>
      <c r="L5" s="99"/>
      <c r="M5" s="100"/>
    </row>
    <row r="6" spans="1:13" s="19" customFormat="1" ht="26.45" customHeight="1">
      <c r="A6" s="81"/>
      <c r="B6" s="84"/>
      <c r="C6" s="87"/>
      <c r="D6" s="85"/>
      <c r="E6" s="89"/>
      <c r="F6" s="95"/>
      <c r="G6" s="96"/>
      <c r="H6" s="96"/>
      <c r="I6" s="97"/>
      <c r="J6" s="101"/>
      <c r="K6" s="102"/>
      <c r="L6" s="102"/>
      <c r="M6" s="103"/>
    </row>
    <row r="7" spans="1:13" s="19" customFormat="1" ht="35.450000000000003" customHeight="1">
      <c r="A7" s="82"/>
      <c r="B7" s="85"/>
      <c r="C7" s="38" t="s">
        <v>5</v>
      </c>
      <c r="D7" s="38" t="s">
        <v>6</v>
      </c>
      <c r="E7" s="90"/>
      <c r="F7" s="39" t="s">
        <v>7</v>
      </c>
      <c r="G7" s="39" t="s">
        <v>8</v>
      </c>
      <c r="H7" s="39" t="s">
        <v>9</v>
      </c>
      <c r="I7" s="39" t="s">
        <v>10</v>
      </c>
      <c r="J7" s="45" t="s">
        <v>7</v>
      </c>
      <c r="K7" s="46" t="s">
        <v>8</v>
      </c>
      <c r="L7" s="46" t="s">
        <v>9</v>
      </c>
      <c r="M7" s="46" t="s">
        <v>10</v>
      </c>
    </row>
    <row r="8" spans="1:13" s="19" customFormat="1" ht="1.5" hidden="1" customHeight="1">
      <c r="A8" s="47"/>
      <c r="B8" s="38"/>
      <c r="C8" s="38"/>
      <c r="D8" s="38"/>
      <c r="E8" s="39"/>
      <c r="F8" s="39"/>
      <c r="G8" s="39"/>
      <c r="H8" s="39"/>
      <c r="I8" s="39"/>
      <c r="J8" s="38">
        <v>0.8</v>
      </c>
      <c r="K8" s="38">
        <v>0.6</v>
      </c>
      <c r="L8" s="38">
        <v>0.4</v>
      </c>
      <c r="M8" s="38">
        <v>0.2</v>
      </c>
    </row>
    <row r="9" spans="1:13" s="19" customFormat="1" ht="24.6" customHeight="1">
      <c r="A9" s="37" t="s">
        <v>14</v>
      </c>
      <c r="B9" s="75" t="s">
        <v>13</v>
      </c>
      <c r="C9" s="76"/>
      <c r="D9" s="48"/>
      <c r="E9" s="39"/>
      <c r="F9" s="41"/>
      <c r="G9" s="41"/>
      <c r="H9" s="41"/>
      <c r="I9" s="41"/>
      <c r="J9" s="48"/>
      <c r="K9" s="38"/>
      <c r="L9" s="38"/>
      <c r="M9" s="38"/>
    </row>
    <row r="10" spans="1:13" s="23" customFormat="1" ht="63.75" customHeight="1">
      <c r="A10" s="49">
        <v>1</v>
      </c>
      <c r="B10" s="50" t="s">
        <v>17</v>
      </c>
      <c r="C10" s="50" t="s">
        <v>18</v>
      </c>
      <c r="D10" s="50" t="s">
        <v>19</v>
      </c>
      <c r="E10" s="21" t="s">
        <v>15</v>
      </c>
      <c r="F10" s="51">
        <v>2000000</v>
      </c>
      <c r="G10" s="51">
        <v>1200000</v>
      </c>
      <c r="H10" s="51">
        <v>800000</v>
      </c>
      <c r="I10" s="51">
        <v>400000</v>
      </c>
      <c r="J10" s="51">
        <v>2400000</v>
      </c>
      <c r="K10" s="34">
        <f>J10*0.6</f>
        <v>1440000</v>
      </c>
      <c r="L10" s="34">
        <f>J10*0.4</f>
        <v>960000</v>
      </c>
      <c r="M10" s="34">
        <f>J10*0.2</f>
        <v>480000</v>
      </c>
    </row>
    <row r="11" spans="1:13" ht="21.75" customHeight="1">
      <c r="A11" s="77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</row>
  </sheetData>
  <mergeCells count="13">
    <mergeCell ref="A1:B1"/>
    <mergeCell ref="L1:M1"/>
    <mergeCell ref="B9:C9"/>
    <mergeCell ref="A11:M11"/>
    <mergeCell ref="A2:M2"/>
    <mergeCell ref="A5:A7"/>
    <mergeCell ref="B5:B7"/>
    <mergeCell ref="C5:D6"/>
    <mergeCell ref="E5:E7"/>
    <mergeCell ref="K4:M4"/>
    <mergeCell ref="F5:I6"/>
    <mergeCell ref="J5:M6"/>
    <mergeCell ref="B3:K3"/>
  </mergeCells>
  <printOptions horizontalCentered="1"/>
  <pageMargins left="0.24" right="0.18" top="0.74" bottom="0.4" header="0.3" footer="0.43"/>
  <pageSetup paperSize="9"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0"/>
  <sheetViews>
    <sheetView topLeftCell="A2" workbookViewId="0">
      <selection activeCell="A4" sqref="A4:XFD4"/>
    </sheetView>
  </sheetViews>
  <sheetFormatPr defaultColWidth="9.125" defaultRowHeight="18.75"/>
  <cols>
    <col min="1" max="1" width="4.875" style="1" customWidth="1"/>
    <col min="2" max="2" width="19.625" style="1" customWidth="1"/>
    <col min="3" max="3" width="8" style="1" customWidth="1"/>
    <col min="4" max="4" width="11.625" style="1" customWidth="1"/>
    <col min="5" max="5" width="6.875" style="1" customWidth="1"/>
    <col min="6" max="8" width="9.75" style="1" customWidth="1"/>
    <col min="9" max="9" width="8.75" style="1" customWidth="1"/>
    <col min="10" max="11" width="9.75" style="1" customWidth="1"/>
    <col min="12" max="13" width="8.75" style="1" customWidth="1"/>
    <col min="14" max="16" width="9.75" style="1" customWidth="1"/>
    <col min="17" max="17" width="8.125" style="1" customWidth="1"/>
    <col min="18" max="19" width="9.75" style="1" customWidth="1"/>
    <col min="20" max="21" width="8.75" style="1" customWidth="1"/>
    <col min="22" max="16384" width="9.125" style="1"/>
  </cols>
  <sheetData>
    <row r="1" spans="1:21" ht="15" hidden="1" customHeight="1"/>
    <row r="2" spans="1:21" s="6" customFormat="1" ht="19.5" customHeight="1">
      <c r="A2" s="73" t="s">
        <v>32</v>
      </c>
      <c r="B2" s="73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108" t="s">
        <v>38</v>
      </c>
      <c r="U2" s="108"/>
    </row>
    <row r="3" spans="1:21" s="6" customFormat="1" ht="43.15" customHeight="1">
      <c r="A3" s="79" t="s">
        <v>43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</row>
    <row r="4" spans="1:21" s="53" customFormat="1" ht="21" customHeight="1">
      <c r="A4" s="72"/>
      <c r="B4" s="72"/>
      <c r="C4" s="111" t="s">
        <v>46</v>
      </c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72"/>
      <c r="Q4" s="72"/>
      <c r="R4" s="72"/>
      <c r="S4" s="72"/>
      <c r="T4" s="72"/>
      <c r="U4" s="72"/>
    </row>
    <row r="5" spans="1:21" s="52" customFormat="1" ht="21" customHeight="1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R5" s="112" t="s">
        <v>35</v>
      </c>
      <c r="S5" s="112"/>
      <c r="T5" s="112"/>
      <c r="U5" s="112"/>
    </row>
    <row r="6" spans="1:21" s="19" customFormat="1" ht="25.5" customHeight="1">
      <c r="A6" s="109" t="s">
        <v>11</v>
      </c>
      <c r="B6" s="110" t="s">
        <v>0</v>
      </c>
      <c r="C6" s="110" t="s">
        <v>1</v>
      </c>
      <c r="D6" s="110"/>
      <c r="E6" s="107" t="s">
        <v>2</v>
      </c>
      <c r="F6" s="107" t="str">
        <f>'Bang 01'!F5:I5</f>
        <v>Theo Quyết định số 32/2019/QĐ-UBND ngày 20/12/2019 của UBND tỉnh Lạng Sơn</v>
      </c>
      <c r="G6" s="107"/>
      <c r="H6" s="107"/>
      <c r="I6" s="107"/>
      <c r="J6" s="107"/>
      <c r="K6" s="107"/>
      <c r="L6" s="107"/>
      <c r="M6" s="107"/>
      <c r="N6" s="105" t="s">
        <v>34</v>
      </c>
      <c r="O6" s="105"/>
      <c r="P6" s="105"/>
      <c r="Q6" s="105"/>
      <c r="R6" s="105"/>
      <c r="S6" s="105"/>
      <c r="T6" s="105"/>
      <c r="U6" s="105"/>
    </row>
    <row r="7" spans="1:21" s="19" customFormat="1" ht="38.25" customHeight="1">
      <c r="A7" s="109"/>
      <c r="B7" s="110"/>
      <c r="C7" s="110"/>
      <c r="D7" s="110"/>
      <c r="E7" s="107"/>
      <c r="F7" s="107" t="str">
        <f>N7</f>
        <v>Giá đất ở</v>
      </c>
      <c r="G7" s="107"/>
      <c r="H7" s="107"/>
      <c r="I7" s="107"/>
      <c r="J7" s="107" t="str">
        <f>R7</f>
        <v>Giá đất sản xuất, kinh doanh, PNN không phải đất thương mại, dịch vụ</v>
      </c>
      <c r="K7" s="107"/>
      <c r="L7" s="107"/>
      <c r="M7" s="107"/>
      <c r="N7" s="106" t="s">
        <v>3</v>
      </c>
      <c r="O7" s="106"/>
      <c r="P7" s="106"/>
      <c r="Q7" s="106"/>
      <c r="R7" s="106" t="s">
        <v>4</v>
      </c>
      <c r="S7" s="106"/>
      <c r="T7" s="106"/>
      <c r="U7" s="106"/>
    </row>
    <row r="8" spans="1:21" s="19" customFormat="1" ht="28.9" customHeight="1">
      <c r="A8" s="109"/>
      <c r="B8" s="110"/>
      <c r="C8" s="62" t="s">
        <v>5</v>
      </c>
      <c r="D8" s="62" t="s">
        <v>6</v>
      </c>
      <c r="E8" s="107"/>
      <c r="F8" s="61" t="str">
        <f>N8</f>
        <v>VT1</v>
      </c>
      <c r="G8" s="61" t="str">
        <f>O8</f>
        <v>VT2</v>
      </c>
      <c r="H8" s="61" t="str">
        <f>P8</f>
        <v>VT3</v>
      </c>
      <c r="I8" s="61" t="str">
        <f>Q8</f>
        <v>VT4</v>
      </c>
      <c r="J8" s="61" t="str">
        <f>N8</f>
        <v>VT1</v>
      </c>
      <c r="K8" s="61" t="str">
        <f>O8</f>
        <v>VT2</v>
      </c>
      <c r="L8" s="61" t="str">
        <f>P8</f>
        <v>VT3</v>
      </c>
      <c r="M8" s="61" t="str">
        <f>Q8</f>
        <v>VT4</v>
      </c>
      <c r="N8" s="60" t="s">
        <v>7</v>
      </c>
      <c r="O8" s="60" t="s">
        <v>8</v>
      </c>
      <c r="P8" s="60" t="s">
        <v>9</v>
      </c>
      <c r="Q8" s="60" t="s">
        <v>10</v>
      </c>
      <c r="R8" s="60" t="s">
        <v>7</v>
      </c>
      <c r="S8" s="60" t="s">
        <v>8</v>
      </c>
      <c r="T8" s="60" t="s">
        <v>9</v>
      </c>
      <c r="U8" s="60" t="s">
        <v>10</v>
      </c>
    </row>
    <row r="9" spans="1:21" s="54" customFormat="1" ht="34.15" customHeight="1">
      <c r="A9" s="62" t="s">
        <v>14</v>
      </c>
      <c r="B9" s="104" t="s">
        <v>13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</row>
    <row r="10" spans="1:21" s="23" customFormat="1" ht="132.75" customHeight="1">
      <c r="A10" s="20">
        <v>1</v>
      </c>
      <c r="B10" s="21" t="str">
        <f>'Bang 01'!B10</f>
        <v>Tuyến đường tránh Quốc lộ 4B (TT. Đình Lập - Quảng Ninh) (Đường 31-10) đoạn 4</v>
      </c>
      <c r="C10" s="21" t="str">
        <f>'Bang 01'!C10</f>
        <v>Đầu cầu Khuổi Vuồng</v>
      </c>
      <c r="D10" s="21" t="str">
        <f>'Bang 01'!D10</f>
        <v>Đấu nối Quốc lộ 4B tại khu 3</v>
      </c>
      <c r="E10" s="21" t="s">
        <v>15</v>
      </c>
      <c r="F10" s="34">
        <v>2500000</v>
      </c>
      <c r="G10" s="34">
        <v>1500000</v>
      </c>
      <c r="H10" s="34">
        <v>1000000</v>
      </c>
      <c r="I10" s="34">
        <v>500000</v>
      </c>
      <c r="J10" s="34">
        <v>1750000</v>
      </c>
      <c r="K10" s="34">
        <v>1050000</v>
      </c>
      <c r="L10" s="34">
        <v>700000</v>
      </c>
      <c r="M10" s="34">
        <v>350000</v>
      </c>
      <c r="N10" s="22">
        <v>3000000</v>
      </c>
      <c r="O10" s="22">
        <f>N10*0.6</f>
        <v>1800000</v>
      </c>
      <c r="P10" s="22">
        <f>N10*0.4</f>
        <v>1200000</v>
      </c>
      <c r="Q10" s="22">
        <f>N10*0.2</f>
        <v>600000</v>
      </c>
      <c r="R10" s="22">
        <f>N10*0.7</f>
        <v>2100000</v>
      </c>
      <c r="S10" s="22">
        <f>R10*0.6</f>
        <v>1260000</v>
      </c>
      <c r="T10" s="22">
        <f>R10*0.4</f>
        <v>840000</v>
      </c>
      <c r="U10" s="22">
        <f>R10*0.2</f>
        <v>420000</v>
      </c>
    </row>
  </sheetData>
  <mergeCells count="16">
    <mergeCell ref="A2:B2"/>
    <mergeCell ref="T2:U2"/>
    <mergeCell ref="A3:U3"/>
    <mergeCell ref="A6:A8"/>
    <mergeCell ref="B6:B8"/>
    <mergeCell ref="C6:D7"/>
    <mergeCell ref="E6:E8"/>
    <mergeCell ref="R5:U5"/>
    <mergeCell ref="C4:O4"/>
    <mergeCell ref="B9:U9"/>
    <mergeCell ref="N6:U6"/>
    <mergeCell ref="N7:Q7"/>
    <mergeCell ref="R7:U7"/>
    <mergeCell ref="F6:M6"/>
    <mergeCell ref="F7:I7"/>
    <mergeCell ref="J7:M7"/>
  </mergeCells>
  <printOptions horizontalCentered="1"/>
  <pageMargins left="0.17" right="0.11" top="0.64" bottom="0.4" header="0.23" footer="0.47"/>
  <pageSetup paperSize="9" scale="6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6"/>
  <sheetViews>
    <sheetView workbookViewId="0">
      <selection activeCell="A4" sqref="A4:XFD4"/>
    </sheetView>
  </sheetViews>
  <sheetFormatPr defaultColWidth="9.125" defaultRowHeight="18"/>
  <cols>
    <col min="1" max="1" width="3.875" style="2" customWidth="1"/>
    <col min="2" max="2" width="22.875" style="2" customWidth="1"/>
    <col min="3" max="3" width="15.625" style="2" customWidth="1"/>
    <col min="4" max="4" width="23" style="2" customWidth="1"/>
    <col min="5" max="5" width="9.875" style="2" customWidth="1"/>
    <col min="6" max="7" width="10.75" style="2" customWidth="1"/>
    <col min="8" max="8" width="9.875" style="2" customWidth="1"/>
    <col min="9" max="10" width="10.875" style="2" customWidth="1"/>
    <col min="11" max="11" width="9.875" style="2" customWidth="1"/>
    <col min="12" max="16384" width="9.125" style="2"/>
  </cols>
  <sheetData>
    <row r="1" spans="1:21" ht="18" customHeight="1">
      <c r="A1" s="73" t="s">
        <v>32</v>
      </c>
      <c r="B1" s="73"/>
      <c r="C1" s="58"/>
      <c r="D1" s="55"/>
      <c r="E1" s="55"/>
      <c r="F1" s="55"/>
      <c r="G1" s="55"/>
      <c r="H1" s="55"/>
      <c r="I1" s="55"/>
      <c r="J1" s="108" t="s">
        <v>39</v>
      </c>
      <c r="K1" s="108"/>
    </row>
    <row r="2" spans="1:21" ht="11.25" customHeight="1">
      <c r="A2" s="56"/>
      <c r="B2" s="56"/>
      <c r="C2" s="58"/>
      <c r="D2" s="58"/>
      <c r="E2" s="58"/>
      <c r="F2" s="58"/>
      <c r="G2" s="58"/>
      <c r="H2" s="58"/>
      <c r="I2" s="58"/>
      <c r="J2" s="57"/>
      <c r="K2" s="57"/>
    </row>
    <row r="3" spans="1:21" ht="40.15" customHeight="1">
      <c r="A3" s="120" t="s">
        <v>45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</row>
    <row r="4" spans="1:21" ht="21" customHeight="1">
      <c r="A4" s="71"/>
      <c r="B4" s="78" t="s">
        <v>46</v>
      </c>
      <c r="C4" s="78"/>
      <c r="D4" s="78"/>
      <c r="E4" s="78"/>
      <c r="F4" s="78"/>
      <c r="G4" s="78"/>
      <c r="H4" s="78"/>
      <c r="I4" s="78"/>
      <c r="J4" s="78"/>
      <c r="K4" s="71"/>
      <c r="L4" s="33"/>
      <c r="M4" s="33"/>
      <c r="N4" s="33"/>
      <c r="O4" s="33"/>
      <c r="P4" s="33"/>
      <c r="Q4" s="33"/>
      <c r="R4" s="33"/>
      <c r="S4" s="33"/>
      <c r="T4" s="33"/>
      <c r="U4" s="33"/>
    </row>
    <row r="5" spans="1:21" ht="11.25" customHeight="1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3"/>
      <c r="M5" s="33"/>
      <c r="N5" s="33"/>
      <c r="O5" s="33"/>
      <c r="P5" s="33"/>
      <c r="Q5" s="33"/>
      <c r="R5" s="33"/>
      <c r="S5" s="33"/>
      <c r="T5" s="33"/>
      <c r="U5" s="33"/>
    </row>
    <row r="6" spans="1:21" ht="21" customHeight="1">
      <c r="A6" s="33"/>
      <c r="B6" s="33"/>
      <c r="C6" s="33"/>
      <c r="D6" s="33"/>
      <c r="E6" s="33"/>
      <c r="F6" s="33"/>
      <c r="G6" s="33"/>
      <c r="H6" s="33"/>
      <c r="I6" s="133" t="s">
        <v>35</v>
      </c>
      <c r="J6" s="133"/>
      <c r="K6" s="133"/>
      <c r="L6" s="33"/>
      <c r="M6" s="33"/>
      <c r="N6" s="33"/>
      <c r="O6" s="33"/>
      <c r="P6" s="33"/>
      <c r="Q6" s="33"/>
      <c r="R6" s="33"/>
      <c r="S6" s="33"/>
      <c r="T6" s="33"/>
      <c r="U6" s="33"/>
    </row>
    <row r="7" spans="1:21" s="6" customFormat="1" ht="63.75" customHeight="1">
      <c r="A7" s="121" t="s">
        <v>11</v>
      </c>
      <c r="B7" s="124" t="s">
        <v>0</v>
      </c>
      <c r="C7" s="127" t="s">
        <v>1</v>
      </c>
      <c r="D7" s="124"/>
      <c r="E7" s="129" t="s">
        <v>2</v>
      </c>
      <c r="F7" s="116" t="str">
        <f>'Biểu 04 (Bảng 6)'!F7:M7</f>
        <v>Theo Quyết định số 32/2019/QĐ-UBND ngày 20/12/2019 của UBND tỉnh Lạng Sơn</v>
      </c>
      <c r="G7" s="116"/>
      <c r="H7" s="116"/>
      <c r="I7" s="132" t="s">
        <v>34</v>
      </c>
      <c r="J7" s="132"/>
      <c r="K7" s="132"/>
    </row>
    <row r="8" spans="1:21" s="6" customFormat="1" ht="25.15" customHeight="1">
      <c r="A8" s="122"/>
      <c r="B8" s="125"/>
      <c r="C8" s="128"/>
      <c r="D8" s="126"/>
      <c r="E8" s="130"/>
      <c r="F8" s="116" t="str">
        <f>I8</f>
        <v>Giá đất</v>
      </c>
      <c r="G8" s="116"/>
      <c r="H8" s="116"/>
      <c r="I8" s="132" t="s">
        <v>12</v>
      </c>
      <c r="J8" s="132"/>
      <c r="K8" s="132"/>
    </row>
    <row r="9" spans="1:21" s="6" customFormat="1" ht="34.15" customHeight="1">
      <c r="A9" s="123"/>
      <c r="B9" s="126"/>
      <c r="C9" s="3" t="s">
        <v>5</v>
      </c>
      <c r="D9" s="3" t="s">
        <v>6</v>
      </c>
      <c r="E9" s="131"/>
      <c r="F9" s="4" t="str">
        <f>I9</f>
        <v xml:space="preserve"> VT1</v>
      </c>
      <c r="G9" s="4" t="str">
        <f>J9</f>
        <v xml:space="preserve"> VT2</v>
      </c>
      <c r="H9" s="4" t="str">
        <f>K9</f>
        <v>VT3</v>
      </c>
      <c r="I9" s="4" t="s">
        <v>21</v>
      </c>
      <c r="J9" s="4" t="s">
        <v>22</v>
      </c>
      <c r="K9" s="4" t="s">
        <v>9</v>
      </c>
    </row>
    <row r="10" spans="1:21" s="6" customFormat="1" ht="1.5" hidden="1" customHeight="1">
      <c r="A10" s="11"/>
      <c r="B10" s="3"/>
      <c r="C10" s="3"/>
      <c r="D10" s="3"/>
      <c r="E10" s="4"/>
      <c r="F10" s="4"/>
      <c r="G10" s="4"/>
      <c r="H10" s="4"/>
      <c r="I10" s="3">
        <v>0.8</v>
      </c>
      <c r="J10" s="3">
        <v>0.6</v>
      </c>
      <c r="K10" s="3">
        <v>0.4</v>
      </c>
    </row>
    <row r="11" spans="1:21" s="6" customFormat="1" ht="18.75" customHeight="1">
      <c r="A11" s="12" t="s">
        <v>26</v>
      </c>
      <c r="B11" s="113" t="s">
        <v>20</v>
      </c>
      <c r="C11" s="114"/>
      <c r="D11" s="13"/>
      <c r="E11" s="4"/>
      <c r="F11" s="5"/>
      <c r="G11" s="5"/>
      <c r="H11" s="5"/>
      <c r="I11" s="13"/>
      <c r="J11" s="3"/>
      <c r="K11" s="3"/>
    </row>
    <row r="12" spans="1:21" s="9" customFormat="1" ht="84.6" customHeight="1">
      <c r="A12" s="14">
        <v>1</v>
      </c>
      <c r="B12" s="7" t="s">
        <v>25</v>
      </c>
      <c r="C12" s="10" t="s">
        <v>23</v>
      </c>
      <c r="D12" s="10" t="s">
        <v>24</v>
      </c>
      <c r="E12" s="8"/>
      <c r="F12" s="15">
        <v>200000</v>
      </c>
      <c r="G12" s="15">
        <f>F12*0.6</f>
        <v>120000</v>
      </c>
      <c r="H12" s="15"/>
      <c r="I12" s="15">
        <f>'Biểu 04 (Bảng 6)'!N11*0.8</f>
        <v>240000</v>
      </c>
      <c r="J12" s="16">
        <f>I12*0.6</f>
        <v>144000</v>
      </c>
      <c r="K12" s="16"/>
    </row>
    <row r="13" spans="1:21" s="9" customFormat="1" ht="29.25" customHeight="1">
      <c r="A13" s="117" t="str">
        <f>'Biểu 04 (Bảng 6)'!A12:U12</f>
        <v>Bổ sung giá đất</v>
      </c>
      <c r="B13" s="118"/>
      <c r="C13" s="118"/>
      <c r="D13" s="118"/>
      <c r="E13" s="118"/>
      <c r="F13" s="118"/>
      <c r="G13" s="118"/>
      <c r="H13" s="118"/>
      <c r="I13" s="118"/>
      <c r="J13" s="118"/>
      <c r="K13" s="119"/>
    </row>
    <row r="14" spans="1:21" s="9" customFormat="1" ht="53.45" customHeight="1">
      <c r="A14" s="17">
        <v>1</v>
      </c>
      <c r="B14" s="7" t="str">
        <f>'Biểu 04 (Bảng 6)'!B13</f>
        <v xml:space="preserve">Những thửa đất có mặt tiếp giáp với đường ĐH 48 </v>
      </c>
      <c r="C14" s="10" t="str">
        <f>'Biểu 04 (Bảng 6)'!C13</f>
        <v>Tiếp giáp thôn Bình Thắng</v>
      </c>
      <c r="D14" s="10" t="str">
        <f>'Biểu 04 (Bảng 6)'!D13</f>
        <v>Km 37 (thuộc thôn Bình Giang)</v>
      </c>
      <c r="E14" s="8"/>
      <c r="F14" s="16"/>
      <c r="G14" s="16"/>
      <c r="H14" s="16"/>
      <c r="I14" s="16">
        <f>'Biểu 04 (Bảng 6)'!N13*0.8</f>
        <v>160000</v>
      </c>
      <c r="J14" s="16">
        <f>I14*0.6</f>
        <v>96000</v>
      </c>
      <c r="K14" s="16"/>
    </row>
    <row r="15" spans="1:21" s="9" customFormat="1" ht="64.5" customHeight="1">
      <c r="A15" s="17">
        <v>2</v>
      </c>
      <c r="B15" s="7" t="str">
        <f>'Biểu 04 (Bảng 6)'!B14</f>
        <v xml:space="preserve">Những thửa đất có mặt tiếp giáp với đường ĐH 48 </v>
      </c>
      <c r="C15" s="10" t="str">
        <f>'Biểu 04 (Bảng 6)'!C14</f>
        <v xml:space="preserve">Đoạn giáp xã Đồng Thắng </v>
      </c>
      <c r="D15" s="10" t="str">
        <f>'Biểu 04 (Bảng 6)'!D14</f>
        <v>Giáp thôn Bình Giang (thuộc thôn Bình Thắng, xã Lâm Ca)</v>
      </c>
      <c r="E15" s="8"/>
      <c r="F15" s="16"/>
      <c r="G15" s="16"/>
      <c r="H15" s="16"/>
      <c r="I15" s="16">
        <f>'Biểu 04 (Bảng 6)'!N14*0.8</f>
        <v>144000</v>
      </c>
      <c r="J15" s="16">
        <v>86000</v>
      </c>
      <c r="K15" s="16"/>
    </row>
    <row r="16" spans="1:21" s="6" customFormat="1" ht="21.75" customHeight="1">
      <c r="A16" s="115"/>
      <c r="B16" s="115"/>
      <c r="C16" s="115"/>
      <c r="D16" s="115"/>
      <c r="E16" s="115"/>
      <c r="F16" s="115"/>
      <c r="G16" s="115"/>
      <c r="H16" s="115"/>
      <c r="I16" s="115"/>
      <c r="J16" s="115"/>
      <c r="K16" s="115"/>
    </row>
  </sheetData>
  <mergeCells count="16">
    <mergeCell ref="A1:B1"/>
    <mergeCell ref="J1:K1"/>
    <mergeCell ref="A3:K3"/>
    <mergeCell ref="A7:A9"/>
    <mergeCell ref="B7:B9"/>
    <mergeCell ref="C7:D8"/>
    <mergeCell ref="E7:E9"/>
    <mergeCell ref="I7:K7"/>
    <mergeCell ref="I8:K8"/>
    <mergeCell ref="I6:K6"/>
    <mergeCell ref="B4:J4"/>
    <mergeCell ref="B11:C11"/>
    <mergeCell ref="A16:K16"/>
    <mergeCell ref="F7:H7"/>
    <mergeCell ref="F8:H8"/>
    <mergeCell ref="A13:K13"/>
  </mergeCells>
  <printOptions horizontalCentered="1"/>
  <pageMargins left="0.14000000000000001" right="0.12" top="0.5" bottom="0.75" header="0.3" footer="0.3"/>
  <pageSetup paperSize="9" scale="9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5"/>
  <sheetViews>
    <sheetView tabSelected="1" topLeftCell="A2" zoomScale="115" zoomScaleNormal="115" workbookViewId="0">
      <selection activeCell="B6" sqref="B6"/>
    </sheetView>
  </sheetViews>
  <sheetFormatPr defaultColWidth="9.125" defaultRowHeight="18.75"/>
  <cols>
    <col min="1" max="1" width="4.25" style="1" customWidth="1"/>
    <col min="2" max="2" width="13.25" style="1" customWidth="1"/>
    <col min="3" max="3" width="8" style="1" customWidth="1"/>
    <col min="4" max="4" width="10.375" style="1" customWidth="1"/>
    <col min="5" max="5" width="6.75" style="1" customWidth="1"/>
    <col min="6" max="7" width="7.625" style="1" customWidth="1"/>
    <col min="8" max="9" width="5" style="1" customWidth="1"/>
    <col min="10" max="11" width="7.75" style="1" customWidth="1"/>
    <col min="12" max="13" width="4.75" style="1" customWidth="1"/>
    <col min="14" max="15" width="7.625" style="1" customWidth="1"/>
    <col min="16" max="17" width="4.875" style="1" customWidth="1"/>
    <col min="18" max="19" width="7.875" style="1" customWidth="1"/>
    <col min="20" max="21" width="4.875" style="1" customWidth="1"/>
    <col min="22" max="16384" width="9.125" style="1"/>
  </cols>
  <sheetData>
    <row r="1" spans="1:21" ht="15" hidden="1" customHeight="1"/>
    <row r="2" spans="1:21" s="6" customFormat="1" ht="18" customHeight="1">
      <c r="A2" s="134" t="s">
        <v>32</v>
      </c>
      <c r="B2" s="134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74" t="s">
        <v>40</v>
      </c>
      <c r="T2" s="74"/>
      <c r="U2" s="74"/>
    </row>
    <row r="3" spans="1:21" s="6" customFormat="1" ht="7.5" customHeight="1">
      <c r="A3" s="63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59"/>
      <c r="T3" s="59"/>
      <c r="U3" s="59"/>
    </row>
    <row r="4" spans="1:21" s="6" customFormat="1" ht="42" customHeight="1">
      <c r="A4" s="79" t="s">
        <v>42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</row>
    <row r="5" spans="1:21" s="6" customFormat="1" ht="18.600000000000001" customHeight="1">
      <c r="A5" s="72"/>
      <c r="B5" s="72"/>
      <c r="C5" s="111" t="s">
        <v>46</v>
      </c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72"/>
      <c r="T5" s="72"/>
      <c r="U5" s="72"/>
    </row>
    <row r="6" spans="1:21" s="35" customFormat="1" ht="21.75" customHeigh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133" t="s">
        <v>35</v>
      </c>
      <c r="S6" s="133"/>
      <c r="T6" s="133"/>
      <c r="U6" s="133"/>
    </row>
    <row r="7" spans="1:21" s="19" customFormat="1" ht="41.25" customHeight="1">
      <c r="A7" s="109" t="s">
        <v>11</v>
      </c>
      <c r="B7" s="110" t="s">
        <v>0</v>
      </c>
      <c r="C7" s="110" t="s">
        <v>1</v>
      </c>
      <c r="D7" s="110"/>
      <c r="E7" s="107" t="s">
        <v>2</v>
      </c>
      <c r="F7" s="135" t="str">
        <f>'Biểu 02 (Bảng 8)'!F6:M6</f>
        <v>Theo Quyết định số 32/2019/QĐ-UBND ngày 20/12/2019 của UBND tỉnh Lạng Sơn</v>
      </c>
      <c r="G7" s="136"/>
      <c r="H7" s="136"/>
      <c r="I7" s="136"/>
      <c r="J7" s="136"/>
      <c r="K7" s="136"/>
      <c r="L7" s="136"/>
      <c r="M7" s="137"/>
      <c r="N7" s="105" t="s">
        <v>16</v>
      </c>
      <c r="O7" s="105"/>
      <c r="P7" s="105"/>
      <c r="Q7" s="105"/>
      <c r="R7" s="105"/>
      <c r="S7" s="105"/>
      <c r="T7" s="105"/>
      <c r="U7" s="105"/>
    </row>
    <row r="8" spans="1:21" s="19" customFormat="1" ht="57.75" customHeight="1">
      <c r="A8" s="109"/>
      <c r="B8" s="110"/>
      <c r="C8" s="110"/>
      <c r="D8" s="110"/>
      <c r="E8" s="107"/>
      <c r="F8" s="135" t="str">
        <f>N8</f>
        <v>Giá đất ở</v>
      </c>
      <c r="G8" s="136"/>
      <c r="H8" s="136"/>
      <c r="I8" s="137"/>
      <c r="J8" s="135" t="str">
        <f>R8</f>
        <v>Giá đất sản xuất, kinh doanh, PNN không phải đất thương mại, dịch vụ</v>
      </c>
      <c r="K8" s="136"/>
      <c r="L8" s="136"/>
      <c r="M8" s="137"/>
      <c r="N8" s="106" t="s">
        <v>3</v>
      </c>
      <c r="O8" s="106"/>
      <c r="P8" s="106"/>
      <c r="Q8" s="106"/>
      <c r="R8" s="106" t="s">
        <v>4</v>
      </c>
      <c r="S8" s="106"/>
      <c r="T8" s="106"/>
      <c r="U8" s="106"/>
    </row>
    <row r="9" spans="1:21" s="19" customFormat="1" ht="27.75" customHeight="1">
      <c r="A9" s="109"/>
      <c r="B9" s="110"/>
      <c r="C9" s="38" t="s">
        <v>5</v>
      </c>
      <c r="D9" s="38" t="s">
        <v>6</v>
      </c>
      <c r="E9" s="107"/>
      <c r="F9" s="39" t="str">
        <f>N9</f>
        <v>VT1</v>
      </c>
      <c r="G9" s="39" t="str">
        <f>O9</f>
        <v>VT2</v>
      </c>
      <c r="H9" s="39" t="str">
        <f>P9</f>
        <v>VT3</v>
      </c>
      <c r="I9" s="39" t="str">
        <f>Q9</f>
        <v>VT4</v>
      </c>
      <c r="J9" s="39" t="str">
        <f>N9</f>
        <v>VT1</v>
      </c>
      <c r="K9" s="39" t="str">
        <f>G9</f>
        <v>VT2</v>
      </c>
      <c r="L9" s="39" t="str">
        <f>H9</f>
        <v>VT3</v>
      </c>
      <c r="M9" s="39" t="str">
        <f>I9</f>
        <v>VT4</v>
      </c>
      <c r="N9" s="40" t="s">
        <v>7</v>
      </c>
      <c r="O9" s="40" t="s">
        <v>8</v>
      </c>
      <c r="P9" s="40" t="s">
        <v>9</v>
      </c>
      <c r="Q9" s="40" t="s">
        <v>10</v>
      </c>
      <c r="R9" s="40" t="s">
        <v>7</v>
      </c>
      <c r="S9" s="40" t="s">
        <v>8</v>
      </c>
      <c r="T9" s="40" t="s">
        <v>9</v>
      </c>
      <c r="U9" s="40" t="s">
        <v>10</v>
      </c>
    </row>
    <row r="10" spans="1:21" s="54" customFormat="1" ht="20.25" customHeight="1">
      <c r="A10" s="38" t="s">
        <v>26</v>
      </c>
      <c r="B10" s="104" t="s">
        <v>20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</row>
    <row r="11" spans="1:21" s="19" customFormat="1" ht="121.9" customHeight="1">
      <c r="A11" s="25">
        <v>1</v>
      </c>
      <c r="B11" s="24" t="s">
        <v>25</v>
      </c>
      <c r="C11" s="26" t="s">
        <v>23</v>
      </c>
      <c r="D11" s="26" t="s">
        <v>24</v>
      </c>
      <c r="E11" s="24"/>
      <c r="F11" s="68">
        <v>250000</v>
      </c>
      <c r="G11" s="68">
        <v>150000</v>
      </c>
      <c r="H11" s="68"/>
      <c r="I11" s="68"/>
      <c r="J11" s="68">
        <v>175000</v>
      </c>
      <c r="K11" s="68">
        <v>105000</v>
      </c>
      <c r="L11" s="68"/>
      <c r="M11" s="68"/>
      <c r="N11" s="68">
        <v>300000</v>
      </c>
      <c r="O11" s="68">
        <f>N11*0.6</f>
        <v>180000</v>
      </c>
      <c r="P11" s="68"/>
      <c r="Q11" s="68"/>
      <c r="R11" s="68">
        <f>N11*0.7</f>
        <v>210000</v>
      </c>
      <c r="S11" s="68">
        <f>R11*0.6</f>
        <v>126000</v>
      </c>
      <c r="T11" s="68"/>
      <c r="U11" s="68"/>
    </row>
    <row r="12" spans="1:21" s="19" customFormat="1" ht="25.5" customHeight="1">
      <c r="A12" s="75" t="s">
        <v>36</v>
      </c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138"/>
    </row>
    <row r="13" spans="1:21" s="23" customFormat="1" ht="76.900000000000006" customHeight="1">
      <c r="A13" s="20">
        <v>1</v>
      </c>
      <c r="B13" s="27" t="s">
        <v>29</v>
      </c>
      <c r="C13" s="21" t="s">
        <v>27</v>
      </c>
      <c r="D13" s="21" t="s">
        <v>28</v>
      </c>
      <c r="E13" s="21"/>
      <c r="F13" s="64"/>
      <c r="G13" s="64"/>
      <c r="H13" s="64"/>
      <c r="I13" s="64"/>
      <c r="J13" s="64"/>
      <c r="K13" s="64"/>
      <c r="L13" s="64"/>
      <c r="M13" s="64"/>
      <c r="N13" s="69">
        <v>200000</v>
      </c>
      <c r="O13" s="69">
        <f>N13*0.6</f>
        <v>120000</v>
      </c>
      <c r="P13" s="69"/>
      <c r="Q13" s="69"/>
      <c r="R13" s="69">
        <f>N13*0.7</f>
        <v>140000</v>
      </c>
      <c r="S13" s="65">
        <f>R13*0.6</f>
        <v>84000</v>
      </c>
      <c r="T13" s="65"/>
      <c r="U13" s="65"/>
    </row>
    <row r="14" spans="1:21" s="19" customFormat="1" ht="81.599999999999994" customHeight="1">
      <c r="A14" s="28">
        <v>2</v>
      </c>
      <c r="B14" s="29" t="s">
        <v>29</v>
      </c>
      <c r="C14" s="30" t="s">
        <v>30</v>
      </c>
      <c r="D14" s="30" t="s">
        <v>31</v>
      </c>
      <c r="E14" s="31"/>
      <c r="F14" s="66"/>
      <c r="G14" s="66"/>
      <c r="H14" s="66"/>
      <c r="I14" s="66"/>
      <c r="J14" s="66"/>
      <c r="K14" s="66"/>
      <c r="L14" s="66"/>
      <c r="M14" s="66"/>
      <c r="N14" s="70">
        <v>180000</v>
      </c>
      <c r="O14" s="70">
        <f>N14*0.6</f>
        <v>108000</v>
      </c>
      <c r="P14" s="70"/>
      <c r="Q14" s="70"/>
      <c r="R14" s="70">
        <f>N14*0.7</f>
        <v>125999.99999999999</v>
      </c>
      <c r="S14" s="67">
        <f>R14*0.6</f>
        <v>75599.999999999985</v>
      </c>
      <c r="T14" s="67"/>
      <c r="U14" s="67"/>
    </row>
    <row r="15" spans="1:21" s="18" customFormat="1" ht="26.25" customHeight="1">
      <c r="A15" s="77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</row>
  </sheetData>
  <mergeCells count="18">
    <mergeCell ref="A15:U15"/>
    <mergeCell ref="A4:U4"/>
    <mergeCell ref="A7:A9"/>
    <mergeCell ref="B7:B9"/>
    <mergeCell ref="C7:D8"/>
    <mergeCell ref="E7:E9"/>
    <mergeCell ref="N7:U7"/>
    <mergeCell ref="N8:Q8"/>
    <mergeCell ref="R8:U8"/>
    <mergeCell ref="B10:U10"/>
    <mergeCell ref="F7:M7"/>
    <mergeCell ref="J8:M8"/>
    <mergeCell ref="C5:R5"/>
    <mergeCell ref="A2:B2"/>
    <mergeCell ref="S2:U2"/>
    <mergeCell ref="F8:I8"/>
    <mergeCell ref="A12:U12"/>
    <mergeCell ref="R6:U6"/>
  </mergeCells>
  <printOptions horizontalCentered="1"/>
  <pageMargins left="0.15" right="0" top="0.56000000000000005" bottom="0" header="0.3" footer="0.3"/>
  <pageSetup paperSize="9" scale="9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B6BFFB-AE99-44EE-ACD7-BF7E1BFD8DB9}"/>
</file>

<file path=customXml/itemProps2.xml><?xml version="1.0" encoding="utf-8"?>
<ds:datastoreItem xmlns:ds="http://schemas.openxmlformats.org/officeDocument/2006/customXml" ds:itemID="{13038661-5818-4DFE-88D4-262B019929CE}"/>
</file>

<file path=customXml/itemProps3.xml><?xml version="1.0" encoding="utf-8"?>
<ds:datastoreItem xmlns:ds="http://schemas.openxmlformats.org/officeDocument/2006/customXml" ds:itemID="{D17016BA-C36A-4543-BF48-CA98C948BE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Bang 01</vt:lpstr>
      <vt:lpstr>Biểu 02 (Bảng 8)</vt:lpstr>
      <vt:lpstr>Biểu 03 (Bảng 5)</vt:lpstr>
      <vt:lpstr>Biểu 04 (Bảng 6)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2022-12-19T06:46:13Z</cp:lastPrinted>
  <dcterms:created xsi:type="dcterms:W3CDTF">2021-07-30T09:23:48Z</dcterms:created>
  <dcterms:modified xsi:type="dcterms:W3CDTF">2022-12-29T09:51:17Z</dcterms:modified>
</cp:coreProperties>
</file>