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ÔNG TÁC HỘI ĐỒNG NHÂN DÂN TỈNH\HỘI ĐỒNG NHÂN DÂN\HDND TINH KHOA XV\KỲ THỨ 6_2026_Tháng 7\XD NGHỊ QUYẾT\Bổ sung Bảng giá đất\Nghị quyết ban hành\"/>
    </mc:Choice>
  </mc:AlternateContent>
  <bookViews>
    <workbookView xWindow="0" yWindow="0" windowWidth="19200" windowHeight="7010" firstSheet="2" activeTab="4"/>
  </bookViews>
  <sheets>
    <sheet name="ONT (Vị trí bỏ)" sheetId="8" state="hidden" r:id="rId1"/>
    <sheet name="ODT (Vị trí bỏ)" sheetId="7" state="hidden" r:id="rId2"/>
    <sheet name="Biểu 1" sheetId="10" r:id="rId3"/>
    <sheet name="Biểu 2" sheetId="9" r:id="rId4"/>
    <sheet name="Biểu 3" sheetId="11" r:id="rId5"/>
    <sheet name="ODT" sheetId="1" state="hidden" r:id="rId6"/>
    <sheet name="ONT" sheetId="2" state="hidden" r:id="rId7"/>
  </sheets>
  <definedNames>
    <definedName name="_xlnm._FilterDatabase" localSheetId="3" hidden="1">'Biểu 2'!$A$6:$X$14</definedName>
    <definedName name="_xlnm._FilterDatabase" localSheetId="5" hidden="1">ODT!$A$7:$Z$33</definedName>
    <definedName name="_xlnm.Print_Area" localSheetId="2">'Biểu 1'!$E$1:$T$59</definedName>
    <definedName name="_xlnm.Print_Area" localSheetId="3">'Biểu 2'!$D$1:$X$165</definedName>
    <definedName name="_xlnm.Print_Area" localSheetId="4">'Biểu 3'!$A$1:$U$25</definedName>
    <definedName name="_xlnm.Print_Area" localSheetId="5">ODT!$A$1:$AA$297</definedName>
    <definedName name="_xlnm.Print_Area" localSheetId="1">'ODT (Vị trí bỏ)'!$A$1:$AI$230</definedName>
    <definedName name="_xlnm.Print_Area" localSheetId="6">ONT!$E$1:$T$210</definedName>
    <definedName name="_xlnm.Print_Area" localSheetId="0">'ONT (Vị trí bỏ)'!$A$1:$U$61</definedName>
    <definedName name="_xlnm.Print_Titles" localSheetId="2">'Biểu 1'!$7:$8</definedName>
    <definedName name="_xlnm.Print_Titles" localSheetId="3">'Biểu 2'!$8:$9</definedName>
    <definedName name="_xlnm.Print_Titles" localSheetId="4">'Biểu 3'!$7:$8</definedName>
    <definedName name="_xlnm.Print_Titles" localSheetId="5">ODT!$9:$10</definedName>
    <definedName name="_xlnm.Print_Titles" localSheetId="6">ONT!$8:$9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22" i="9" l="1"/>
  <c r="W122" i="9"/>
  <c r="V122" i="9"/>
  <c r="U122" i="9"/>
  <c r="T122" i="9"/>
  <c r="S122" i="9"/>
  <c r="R122" i="9"/>
  <c r="Q122" i="9"/>
  <c r="X121" i="9"/>
  <c r="W121" i="9"/>
  <c r="V121" i="9"/>
  <c r="U121" i="9"/>
  <c r="T121" i="9"/>
  <c r="S121" i="9"/>
  <c r="R121" i="9"/>
  <c r="Q121" i="9"/>
  <c r="J50" i="9"/>
  <c r="A50" i="9"/>
  <c r="J49" i="9"/>
  <c r="A49" i="9"/>
  <c r="J48" i="9"/>
  <c r="A48" i="9"/>
  <c r="J47" i="9"/>
  <c r="A47" i="9"/>
  <c r="J46" i="9"/>
  <c r="A46" i="9"/>
  <c r="J45" i="9"/>
  <c r="A45" i="9"/>
  <c r="L44" i="9"/>
  <c r="A44" i="9"/>
  <c r="A43" i="9"/>
  <c r="A42" i="9"/>
  <c r="A41" i="9"/>
  <c r="A40" i="9"/>
  <c r="A39" i="9"/>
  <c r="K38" i="9"/>
  <c r="J38" i="9"/>
  <c r="A38" i="9"/>
  <c r="K37" i="9"/>
  <c r="J37" i="9"/>
  <c r="A37" i="9"/>
  <c r="K36" i="9"/>
  <c r="J36" i="9"/>
  <c r="A36" i="9"/>
  <c r="J35" i="9"/>
  <c r="A35" i="9"/>
  <c r="A34" i="9"/>
  <c r="A33" i="9"/>
  <c r="A32" i="9"/>
  <c r="J31" i="9"/>
  <c r="A31" i="9"/>
  <c r="J30" i="9"/>
  <c r="A30" i="9"/>
  <c r="K29" i="9"/>
  <c r="J29" i="9"/>
  <c r="A29" i="9"/>
  <c r="A28" i="9"/>
  <c r="A27" i="9"/>
  <c r="A26" i="9"/>
  <c r="J113" i="7" l="1"/>
  <c r="A113" i="7"/>
  <c r="J112" i="7"/>
  <c r="A112" i="7"/>
  <c r="J111" i="7"/>
  <c r="A111" i="7"/>
  <c r="J110" i="7"/>
  <c r="A110" i="7"/>
  <c r="J109" i="7"/>
  <c r="A109" i="7"/>
  <c r="J108" i="7"/>
  <c r="A108" i="7"/>
  <c r="J107" i="7"/>
  <c r="A107" i="7"/>
  <c r="L106" i="7"/>
  <c r="A106" i="7"/>
  <c r="A105" i="7"/>
  <c r="A104" i="7"/>
  <c r="A103" i="7"/>
  <c r="A102" i="7"/>
  <c r="A101" i="7"/>
  <c r="A100" i="7"/>
  <c r="K99" i="7"/>
  <c r="J99" i="7"/>
  <c r="A99" i="7"/>
  <c r="K98" i="7"/>
  <c r="J98" i="7"/>
  <c r="A98" i="7"/>
  <c r="K97" i="7"/>
  <c r="J97" i="7"/>
  <c r="A97" i="7"/>
  <c r="J96" i="7"/>
  <c r="A96" i="7"/>
  <c r="A95" i="7"/>
  <c r="A94" i="7"/>
  <c r="A93" i="7"/>
  <c r="J92" i="7"/>
  <c r="A92" i="7"/>
  <c r="J91" i="7"/>
  <c r="A91" i="7"/>
  <c r="J90" i="7"/>
  <c r="A90" i="7"/>
  <c r="K89" i="7"/>
  <c r="J89" i="7"/>
  <c r="A89" i="7"/>
  <c r="J88" i="7"/>
  <c r="A88" i="7"/>
  <c r="A87" i="7"/>
  <c r="A86" i="7"/>
  <c r="A85" i="7"/>
  <c r="X31" i="7"/>
  <c r="W31" i="7"/>
  <c r="V31" i="7"/>
  <c r="U31" i="7"/>
  <c r="T31" i="7"/>
  <c r="S31" i="7"/>
  <c r="R31" i="7"/>
  <c r="Q31" i="7"/>
  <c r="X30" i="7"/>
  <c r="W30" i="7"/>
  <c r="V30" i="7"/>
  <c r="U30" i="7"/>
  <c r="T30" i="7"/>
  <c r="S30" i="7"/>
  <c r="R30" i="7"/>
  <c r="Q30" i="7"/>
  <c r="X28" i="7"/>
  <c r="W28" i="7"/>
  <c r="V28" i="7"/>
  <c r="U28" i="7"/>
  <c r="T28" i="7"/>
  <c r="S28" i="7"/>
  <c r="R28" i="7"/>
  <c r="Q28" i="7"/>
  <c r="X27" i="7"/>
  <c r="W27" i="7"/>
  <c r="V27" i="7"/>
  <c r="U27" i="7"/>
  <c r="T27" i="7"/>
  <c r="S27" i="7"/>
  <c r="R27" i="7"/>
  <c r="Q27" i="7"/>
  <c r="X26" i="7"/>
  <c r="W26" i="7"/>
  <c r="V26" i="7"/>
  <c r="U26" i="7"/>
  <c r="T26" i="7"/>
  <c r="S26" i="7"/>
  <c r="R26" i="7"/>
  <c r="Q26" i="7"/>
  <c r="J147" i="1" l="1"/>
  <c r="A147" i="1"/>
  <c r="J146" i="1"/>
  <c r="A146" i="1"/>
  <c r="J145" i="1"/>
  <c r="A145" i="1"/>
  <c r="J144" i="1"/>
  <c r="A144" i="1"/>
  <c r="J143" i="1"/>
  <c r="A143" i="1"/>
  <c r="J142" i="1"/>
  <c r="A142" i="1"/>
  <c r="J141" i="1"/>
  <c r="A141" i="1"/>
  <c r="L140" i="1"/>
  <c r="A140" i="1"/>
  <c r="A139" i="1"/>
  <c r="A138" i="1"/>
  <c r="A137" i="1"/>
  <c r="A136" i="1"/>
  <c r="A135" i="1"/>
  <c r="A134" i="1"/>
  <c r="K133" i="1"/>
  <c r="J133" i="1"/>
  <c r="A133" i="1"/>
  <c r="K132" i="1"/>
  <c r="J132" i="1"/>
  <c r="A132" i="1"/>
  <c r="K131" i="1"/>
  <c r="J131" i="1"/>
  <c r="A131" i="1"/>
  <c r="J130" i="1"/>
  <c r="A130" i="1"/>
  <c r="A129" i="1"/>
  <c r="A128" i="1"/>
  <c r="A127" i="1"/>
  <c r="J126" i="1"/>
  <c r="A126" i="1"/>
  <c r="J125" i="1"/>
  <c r="A125" i="1"/>
  <c r="J124" i="1"/>
  <c r="A124" i="1"/>
  <c r="K123" i="1"/>
  <c r="J123" i="1"/>
  <c r="A123" i="1"/>
  <c r="J122" i="1"/>
  <c r="A122" i="1"/>
  <c r="A121" i="1"/>
  <c r="A120" i="1"/>
  <c r="A119" i="1"/>
  <c r="Q41" i="1"/>
  <c r="Q40" i="1"/>
  <c r="X38" i="1"/>
  <c r="W38" i="1"/>
  <c r="V38" i="1"/>
  <c r="U38" i="1"/>
  <c r="T38" i="1"/>
  <c r="S38" i="1"/>
  <c r="R38" i="1"/>
  <c r="Q38" i="1"/>
  <c r="X37" i="1"/>
  <c r="W37" i="1"/>
  <c r="V37" i="1"/>
  <c r="U37" i="1"/>
  <c r="T37" i="1"/>
  <c r="S37" i="1"/>
  <c r="R37" i="1"/>
  <c r="Q37" i="1"/>
  <c r="X36" i="1"/>
  <c r="W36" i="1"/>
  <c r="V36" i="1"/>
  <c r="U36" i="1"/>
  <c r="T36" i="1"/>
  <c r="S36" i="1"/>
  <c r="R36" i="1"/>
  <c r="Q36" i="1"/>
</calcChain>
</file>

<file path=xl/sharedStrings.xml><?xml version="1.0" encoding="utf-8"?>
<sst xmlns="http://schemas.openxmlformats.org/spreadsheetml/2006/main" count="4434" uniqueCount="1127">
  <si>
    <t>TỔNG HỢP CÁC VỊ TRÍ ĐỀ NGHỊ SỬA ĐỔI, BỔ SUNG Ở TẠI ĐÔ THỊ</t>
  </si>
  <si>
    <t>ĐVT: 1.000 đồng/m2</t>
  </si>
  <si>
    <t>BẢNG GIÁ ĐẤT THEO NGHỊ QUYẾT SỐ 100/2025/NQ-HĐNT</t>
  </si>
  <si>
    <t>BẢNG GIÁ ĐẤT ĐỀ NGHỊ ĐIỀU CHỈNH</t>
  </si>
  <si>
    <t>LÝ DO ĐỀ XUẤT</t>
  </si>
  <si>
    <t>Số TT</t>
  </si>
  <si>
    <t>Tên đơn vị hành chính</t>
  </si>
  <si>
    <t>Đoạn đường</t>
  </si>
  <si>
    <t>Giá đất ở tại đô thị</t>
  </si>
  <si>
    <t>STT</t>
  </si>
  <si>
    <t>Giá đất ở đô thị</t>
  </si>
  <si>
    <t>Giá đất thương mại, dịch vụ</t>
  </si>
  <si>
    <t>Giá đất cơ sở sản xuất phi nông nghiệp</t>
  </si>
  <si>
    <t>Từ</t>
  </si>
  <si>
    <t>Đến</t>
  </si>
  <si>
    <t>VT1</t>
  </si>
  <si>
    <t>VT2</t>
  </si>
  <si>
    <t>VT3</t>
  </si>
  <si>
    <t>VT4</t>
  </si>
  <si>
    <t>PHƯỜNG AN SINH</t>
  </si>
  <si>
    <t>Không điều chỉnh, bổ sung</t>
  </si>
  <si>
    <t>PHƯỜNG ĐÔNG TRIỀU</t>
  </si>
  <si>
    <t>Không có văn bản</t>
  </si>
  <si>
    <t>PHƯỜNG BÌNH KHÊ</t>
  </si>
  <si>
    <t>Dự án hạ tầng đất tái định cư phục vụ dự án Doanh trại đóng quân của trung đoàn BB2/Sư đoàn 395/Quân khu 3 tại khu Trại Mới A, phường Bình Khê, tỉnh Quảng Ninh (phía Tây Nam chợ Bình Khê)</t>
  </si>
  <si>
    <t>11.1</t>
  </si>
  <si>
    <t>Các thửa đất tiếp giáp đường rộng 10,5m</t>
  </si>
  <si>
    <t>Đề nghị bổ sung Căn cứ mức giá đất trong chứng thư thẩm  định giá số 1803.1/2026/CTĐGĐ-VLAND ngày 18/3/2026
Về hiện trạng: Đã hoàn thành công tác GPMB, đang tiến hành đầu tư xây dựng cơ sở hạ tầng kỹ thuật (giá trị khối lượng thi công đạt khoảng 95%). Địa phương cam kết hoàn thành công tác đầu tư xây dựng chậm nhất ngày 15/6/2026</t>
  </si>
  <si>
    <t>11.2</t>
  </si>
  <si>
    <t>Các thửa đất tiếp giáp đường rộng 7,5m</t>
  </si>
  <si>
    <t>PHƯỜNG MẠO KHÊ</t>
  </si>
  <si>
    <t>29</t>
  </si>
  <si>
    <t>Khu dân cư Vĩnh Hòa</t>
  </si>
  <si>
    <t>Điều chỉnh tên gọi các lô đất do điều chỉnh quy hoạch khu dân cư Vĩnh Hoà tại Quyết định số 1233/QĐ-UBNDngày 24/4/2026  của UBND phường Mạo Khê  đã điều chỉnh các ô biệt thự thành ô liền kề, mức giá không thay đổi</t>
  </si>
  <si>
    <t>29.2.1</t>
  </si>
  <si>
    <t>Các ô liền kề bám đường rộng 7m</t>
  </si>
  <si>
    <t>Trọn khu</t>
  </si>
  <si>
    <t>Các ô liền kề bám đường rộng từ 7m đến 10,5m</t>
  </si>
  <si>
    <t>Điều chỉnh tên gọi các lô đất do điều chỉnh quy hoạch khu dân cư Vĩnh Hoà tại Quyết định số 1233/QĐ-UBND ngày 24/4/2026 của UBND phường Mạo Khê đã điều chỉnh các ô biệt thự thành ô liền kề (mức giá không thay đổi)</t>
  </si>
  <si>
    <t>29.2.2</t>
  </si>
  <si>
    <t>Các ô biệt thự bám đường tránh Trần Quang Khải</t>
  </si>
  <si>
    <t>Các ô liền kề bám đường tránh Trần Quang Khải</t>
  </si>
  <si>
    <t>29.2.3</t>
  </si>
  <si>
    <t>Các ô biệt thự bám đường rộng 10,5m</t>
  </si>
  <si>
    <t>Đề xuất bỏ vị trí căn cứ theo Quyết định số 1233/QĐ-UBNDngày 24/4/2026  của UBND phường Mạo Khê đã điều chỉnh các ô biệt thự thành ô liền kề</t>
  </si>
  <si>
    <t>29.2.4</t>
  </si>
  <si>
    <t>Các ô biệt thự bám đường rộng 7m</t>
  </si>
  <si>
    <t>29.2.5</t>
  </si>
  <si>
    <t>Các ô biệt thự bám đường rộng 5,5m</t>
  </si>
  <si>
    <t>Các ô liền kề bám đường nhỏ hơn hoặc bằng 5,5m</t>
  </si>
  <si>
    <t>Căn cứ mức giá đất trong bảng giá hiện hành, mức giá đất của các vị trí khác đã được xác định để so sánh theo quy định tại khoản 1 điều 21 Nghị định 71/2024/NĐ-CP: Vị trí bổ sung tương đồng với vị trí mục 29.2.3 nên UBND phường đề xuất bằng giá vị trí mục 29.2.3 trong bảng giá đất
Hiện trạng: Đã thoàn thiện cơ sở hạ tầng và đưa vào sử dụng</t>
  </si>
  <si>
    <t>44</t>
  </si>
  <si>
    <t>Khu tái định cư Điểm phía Bắc nhà văn hóa khu Nhuệ Hổ</t>
  </si>
  <si>
    <t>Căn cứ mức giá đất trong bảng giá hiện hành, mức giá đất của các vị trí khác đã được xác định để so sánh theo quy định tại khoản 1 Điều 21 Nghị định 71/2024/NĐ-CP: Vị trí bổ sung tương đồng với vị trí mục 29.2.3 nên UBND phường đề xuất bằng giá vị trí mục 29.2.3 trong bảng giá đất
Hiện trạng: Đã thoàn thiện cơ sở hạ tầng và đưa vào sử dụng</t>
  </si>
  <si>
    <t>PHƯỜNG HOÀNG QUẾ</t>
  </si>
  <si>
    <t>Dự án khu tái định cư tại khu Yên Dưỡng, phường Hoàng Quế</t>
  </si>
  <si>
    <t>Bổ sung khu tái định cư phục vụ đền bù GPMB các dự án trên địa bàn phường. Mức giá đề xuất căn cứ mức giá đất trong bảng giá hiện hành, mức giá đất của các vị trí khác đã được xác định, áp dụng phương pháp so sánh để xác định mức giá theo quy định tại khoản 1 điều 21 Nghị định 71/2024/NĐ-CP (kèm theo Báo cáo thuyết minh phương án bổ sung bảng giá đất ngày 05/05/2026 của Công ty cổ phần thẩm định giá và giám định Tiên Phong)
Hiện trạng: Đã hoàn thành công tác GPMB, đang hoàn thiện các thủ tục chuẩn bị đầu tư xây dựng cơ sở hạ tầng kỹ thuật. Địa phương cam kết phấn đấu hoàn thành thi công hạ tầng xong trước ngày 01/9/2026</t>
  </si>
  <si>
    <t>PHƯỜNG YÊN TỬ</t>
  </si>
  <si>
    <t>39</t>
  </si>
  <si>
    <t>Ngõ 08 Quốc lộ 18A (cạnh Bưu điện ngã 3 Cầu Sến)</t>
  </si>
  <si>
    <t>Hiện trạng là đường bê tông sẵn có. UBND phường đề xuất bổ sung do đoạn đường này bám lô 1 của khu TĐC Tân Lập 1 hiện đang đầu tư xây dựng hạ tầng kỹ thuật</t>
  </si>
  <si>
    <t>39.1</t>
  </si>
  <si>
    <t>Từ Quốc lộ 18A đến đường sắt</t>
  </si>
  <si>
    <t>Quốc lộ 18A</t>
  </si>
  <si>
    <t>đường sắt</t>
  </si>
  <si>
    <t xml:space="preserve">Căn cứ mức giá đất trong bảng giá hiện hành, mức giá đất của các vị trí khác đã được xác định để so sánh theo quy định tại khoản 1 điều 21 Nghị định 71: Vị trí bổ sung tương đồng với vị trí mục 6 nên UBND phường đề xuất bằng giá vị trí mục 6 trong bảng giá đất
</t>
  </si>
  <si>
    <t>39.2</t>
  </si>
  <si>
    <t>Từ đường sắt đến thửa 139, tờ 145</t>
  </si>
  <si>
    <t>thửa 139, tờ 145</t>
  </si>
  <si>
    <t>Căn cứ mức giá đất trong bảng giá hiện hành, mức giá đất của các vị trí khác đã được xác định để so sánh theo quy định tại khoản 1 điều 21 Nghị định 71: Vị trí bổ sung tương đồng với vị trí mục 3.3 nên UBND phường đề xuất bằng giá vị trí mục 3.3 trong bảng giá đất</t>
  </si>
  <si>
    <t>40</t>
  </si>
  <si>
    <t>Khu tái định cư tại tổ 3, khu Tân Lập (trừ các ô bám mặt đường thuộc vị trí 39.1)</t>
  </si>
  <si>
    <t>Căn cứ mức giá đất trong bảng giá hiện hành, mức giá đất của các vị trí khác đã được xác định để so sánh theo quy định tại khoản 1 điều 21 Nghị định 71: Vị trí bổ sung tương đồng với vị trí mục 14.2 nên UBND phường đề xuất bằng giá vị trí mục 14.2 trong bảng giá đất
Hiện trạng: Đang triển khai các công tác để GPMB. Địa phương dự kiến sẽ GPMB và xây dựng hạ tầng đưa vào sử dụng trong Quý III/2026</t>
  </si>
  <si>
    <t>41</t>
  </si>
  <si>
    <t>Khu tái định cư tại khu Bạch Đằng 1</t>
  </si>
  <si>
    <t>41.1</t>
  </si>
  <si>
    <t>Các ô đất bám đường Lê Quý Đôn</t>
  </si>
  <si>
    <t>Căn cứ mức giá đất trong bảng giá hiện hành, mức giá đất của các vị trí khác đã được xác định để so sánh theo quy định tại khoản 1 điều 21 Nghị định 71: Vị trí bổ sung tương đồng với vị trí mục 18.1 nên UBND phường đề xuất bằng giá vị trí mục 18.1 trong bảng giá đất
Hiện trạng: Đang triển khai các công tác để GPMB. Địa phương dự kiến sẽ GPMB và xây dựng hạ tầng đưa vào sử dụng trong Quý III/2026</t>
  </si>
  <si>
    <t>41.2</t>
  </si>
  <si>
    <t>Các ô đất còn lại</t>
  </si>
  <si>
    <t>Căn cứ mức giá đất trong bảng giá hiện hành, mức giá đất của các vị trí khác đã được xác định để so sánh theo quy định tại khoản 1 điều 21 Nghị định 71: Vị trí bổ sung tương đồng với vị trí mục 13.2 nên UBND phường đề xuất bằng giá vị trí mục 13.2 trong bảng giá đất
Hiện trạng: Đang triển khai các công tác để GPMB. Địa phương dự kiến sẽ GPMB và xây dựng hạ tầng đưa vào sử dụng trong Quý III/2026</t>
  </si>
  <si>
    <t>PHƯỜNG VÀNG DANH</t>
  </si>
  <si>
    <t>42.3</t>
  </si>
  <si>
    <t>Đoạn từ nhà ông bà Bí Phi đến cầu Vành Lược ( Tuyến đường hành hương vào khu di tích Ngọa Vân)</t>
  </si>
  <si>
    <t>Tiếp theo nhà ông bà Bí Phi</t>
  </si>
  <si>
    <t>Cầu Vành Lược</t>
  </si>
  <si>
    <t>Bổ sung vị trí, thiếu do lỗi in ấn trong quá trình biên tập xây dựng Bảng giá đất lần đầu</t>
  </si>
  <si>
    <t>tư vấn QN
chưa gửi cơ sở đề xuất</t>
  </si>
  <si>
    <t>PHƯỜNG UÔNG BÍ</t>
  </si>
  <si>
    <t>Không điều chỉnh</t>
  </si>
  <si>
    <t xml:space="preserve"> Khu tái định cư HT1, khu Bí Giàng, phường Uông Bí</t>
  </si>
  <si>
    <t>Bổ sung vị trí khu TĐC căn cứ Văn bản 1394/UBND-KTHT&amp;ĐT ngày 05/5/2026
Căn cứ mức giá đất trong bảng giá hiện hành, mức giá đất của các vị trí khác đã được xác định để so sánh theo quy định tại khoản 1 Điều 21 Nghị định 71/2024/NĐ-CP: Vị trí bổ sung so sánh với 03 vị trí mục 80.3 -  83.3 -  84 tại mục 29, phụ lục số 02, Nghị quyết số 100/NQ-HĐND ngày 16/12/2025 của Hội đồng nhân dân tỉnh nên UBND phường đề xuất giá bằng 7.400
Hiện trạng: Đã hoàn thành công tác GPMB, đang tiến hành đầu tư xây dựng cơ sở hạ tầng kỹ thuật</t>
  </si>
  <si>
    <t>PHƯỜNG ĐÔNG MAI</t>
  </si>
  <si>
    <t>14</t>
  </si>
  <si>
    <t>Khu Tái định cư tại phường Đông Mai</t>
  </si>
  <si>
    <t>Khu Tái định cư Động Linh, phường Đông Mai</t>
  </si>
  <si>
    <t>Đề nghị điều chỉnh tên đơn vị hành chính, phù hợp với địa bàn thực tế</t>
  </si>
  <si>
    <t>14.5</t>
  </si>
  <si>
    <t xml:space="preserve">Các ô đất biệt thự bám đường rộng 5,5m </t>
  </si>
  <si>
    <t>Vị trí bổ sung thuộc khu tái định cư phường Đông Mai: Vị trí bổ sung tương đồng với vị trí mục 14.3, số thứ tự 30 phường Đông Mai (Phụ lục 02 Bảng giá đất phi nông nghiệp tại đô thị ban hành kèm theo Nghị Quyết số 100/2025/NQ-NĐND ngày 16/12/2025) nên UBND phường đề xuất bằng giá vị trí 14.3 trong bảng giá đất
Điều kiện hạ tầng: Đã hoàn thành kết cấu hạ tầng đủ điều kiện giao đất tái định cư bao gồm: Đường giao thông, điện ngầm, thoát nước.</t>
  </si>
  <si>
    <t>PHƯỜNG HIỆP HOÀ</t>
  </si>
  <si>
    <t>Theo đề xuất của tư vấn Công ty CP tư vấn thẩm định giá VCHP tại Công văn số 209/CV-VCHP ngày 24/3/2026</t>
  </si>
  <si>
    <t>Đường HRC đi dốc võng</t>
  </si>
  <si>
    <t>Giáp phường Quảng Yên</t>
  </si>
  <si>
    <t>Đến thửa 92/TBDD217</t>
  </si>
  <si>
    <t>Đề xuất điều chỉnh giá do giá đất ở tại các VT2, VT3, VT4 tại các tuyến đường này theo Nghị quyết số 100/2025/NQ-HĐND thấp hơn giá đất tại VT2, VT3, VT4 tại Quyết định số 62/2024/QĐ-UBND</t>
  </si>
  <si>
    <t>Xem lại</t>
  </si>
  <si>
    <t xml:space="preserve">Thửa 92/TBDD217 </t>
  </si>
  <si>
    <t>Đến thửa 92/TBDD217 đến cầu qua mương</t>
  </si>
  <si>
    <t>Đường phòng lao</t>
  </si>
  <si>
    <t xml:space="preserve">Từ thửa 44/TBĐ 190 </t>
  </si>
  <si>
    <t>Đến thửa 12/TBĐ 155</t>
  </si>
  <si>
    <t>Đoạn khu phố Đình đi Hưng Hòa (gồm: Khu phố Đình, Cổng Bấc, Khe Nước, Trại Trang, Hưng Hòa)</t>
  </si>
  <si>
    <t>Đoạn từ công ty gạch Viglacera</t>
  </si>
  <si>
    <t>Đến thửa 36/TBĐ 218</t>
  </si>
  <si>
    <t>Đường Dốc Võng đi chùa Vãng (gồm: Khu phố Đống Vông, Khe Nước)</t>
  </si>
  <si>
    <t>Từ thửa 33/TBĐ 174</t>
  </si>
  <si>
    <t>Ngã ba giao với đường Quỳnh Lâu</t>
  </si>
  <si>
    <t>Trục đường từ Đường tỉnh 331 đến đầu Núi Rũi giáp khu phố Mai Hòa phường Đông Mai (gồm: thôn 1, 2, 3, 4, 5, 6, 7)</t>
  </si>
  <si>
    <t>Trục đường từ Đường tỉnh 331 đến đầu Núi Rũi giáp khu phố Hải Hòa phường Đông Mai (gồm: thôn 1, 2, 3, 4, 5, 6, 7)</t>
  </si>
  <si>
    <t>Sửa lại tên cung đường do sai sót về địa danh khi cập nhật, chỉnh lý hồ sơ địa chính sau khi sắp xếp đơn vị hành chính</t>
  </si>
  <si>
    <t>18.1</t>
  </si>
  <si>
    <t>Trục đường</t>
  </si>
  <si>
    <t>Đường tỉnh 331</t>
  </si>
  <si>
    <t>Hết thửa 282/TBĐ 97 (Ngã tư đường chở sét) (gồm: thôn 1, 2, 3)</t>
  </si>
  <si>
    <t>hết thửa 282/TBĐ 15 (ngã tư đường chở sét) (gồm: thôn 1, 2, 3)</t>
  </si>
  <si>
    <t xml:space="preserve">Đề nghị sửa tên cung đường (do sai sót về số tờ bản đồ khi cập nhật, chỉnh lý hồ sơ địa chính khi sát nhập 3 đơn vị hành chính) </t>
  </si>
  <si>
    <t>18.2</t>
  </si>
  <si>
    <t>Thửa 283/TBĐ 97</t>
  </si>
  <si>
    <t>Giáp khu phố Hải Hoà phường Đông Mai</t>
  </si>
  <si>
    <t>Thửa 283/TBĐ 15</t>
  </si>
  <si>
    <t>PHƯỜNG QUẢNG YÊN</t>
  </si>
  <si>
    <t>Đường ra bãi cọc Bạch Đằng</t>
  </si>
  <si>
    <t>Toàn tuyến</t>
  </si>
  <si>
    <t>Trong quá trình áp dụng bảng giá đất lần đầu, UBND phường Quảng Yên nhận thấy trên thực tế có phát sinh các thửa đất thuộc VT2, VT3, VT4 (Mục 21) nên đề xuất bổ sung mức giá đất ở tại các vị trí này tương đương với mức giá đất ở tại VT2, VT3, VT4 thuộc Đường vào công ty Xuất nhập khẩu thuỷ sản 2 Quảng Ninh (Mục 20) là tuyến đường song song, có điều kiện hạ tầng tương tự với Đường ra bãi cọc Bạch Đằng</t>
  </si>
  <si>
    <t>Phường chưa nêu căn cứ</t>
  </si>
  <si>
    <t>Khu quy hoạch  khu dân cư  tại khu 4 phường Quảng Yên</t>
  </si>
  <si>
    <t>70.1</t>
  </si>
  <si>
    <t>Thửa đất bám 01 mặt đường rộng 5,5m</t>
  </si>
  <si>
    <t xml:space="preserve">Đề xuất bổ sung khu dân cư phục vụ công tác giao đất ở cho các hộ dân trên địa bàn phường. Mức giá đất ở đề xuất bằng với mức giá đất ở tại Mục 33. Khu tái đinh cư Yên Giang, phường Quảng Yên do có điều kiện hạ tầng tương tự
Hiện trạng: Đã hoàn thiện cơ sở hạ tầng, đang đưa vào sử dụng </t>
  </si>
  <si>
    <t>70.2</t>
  </si>
  <si>
    <t>Thửa đất bám 01 mặt đường rộng 7,5m</t>
  </si>
  <si>
    <t>PHƯỜNG HÀ AN</t>
  </si>
  <si>
    <t>4</t>
  </si>
  <si>
    <t>Đường Đại Thành (trừ khu quy hoạch dân cư khu 11 Hà An)</t>
  </si>
  <si>
    <t>Đầu tuyến</t>
  </si>
  <si>
    <t>Cuối tuyến (đê khu 14)</t>
  </si>
  <si>
    <t>Đường Đại Thành (trừ khu tái định cư Hà An)</t>
  </si>
  <si>
    <t xml:space="preserve"> Lý do điều chỉnh: Sửa lại tên cung đường do sai sót trong quá trình biên tập xây dựng Bảng giá đất lần đầu</t>
  </si>
  <si>
    <t>PHƯỜNG PHONG CỐC</t>
  </si>
  <si>
    <t>PHƯỜNG LIÊN HOÀ</t>
  </si>
  <si>
    <t>PHƯỜNG TUẦN CHÂU</t>
  </si>
  <si>
    <t>PHƯỜNG VIỆT HƯNG</t>
  </si>
  <si>
    <t>1.4</t>
  </si>
  <si>
    <t>Hết cổng trường Nguyễn Bỉnh Khiêm đến giáp phường Tuần Châu</t>
  </si>
  <si>
    <t>Cổng trường Nguyễn Bỉnh Khiêm</t>
  </si>
  <si>
    <t>Giáp phường Tuần Châu</t>
  </si>
  <si>
    <t>1.4 - Hết cổng trường Nguyễn Bỉnh Khiêm đến giáp phường Tuần Châu</t>
  </si>
  <si>
    <t>Điều chỉnh  VT1 -  Theo Bảng giá đất cụ thể được phê duyệt tại Dự án Công viên công cộng, do Công ty TNHH thẩm định giá và dịch vụ đất đai VLAND lập Tháng 3/2026</t>
  </si>
  <si>
    <t xml:space="preserve">Loại sử dụng hệ số </t>
  </si>
  <si>
    <t>2.5</t>
  </si>
  <si>
    <t>Đường 279 (cũ)</t>
  </si>
  <si>
    <t>Ngã ba Đồng Đăng</t>
  </si>
  <si>
    <t>Cầu 2</t>
  </si>
  <si>
    <t>Huỷ bỏ 
(đổi tên cung đường)</t>
  </si>
  <si>
    <t>2.6</t>
  </si>
  <si>
    <t>Đập hồ Yên Lập</t>
  </si>
  <si>
    <t>6</t>
  </si>
  <si>
    <t>Quy hoạch khu dân cư, tại định cư tại khu 5, phường Giếng Đáy</t>
  </si>
  <si>
    <t>Quy hoạch khu dân cư tái định cư tại khu 5 và các ô đất bám đường QH khu dân cư, tái định cư khu 5 phường giêng đáy</t>
  </si>
  <si>
    <t>Sửa đổi bổ sung tên cung đường</t>
  </si>
  <si>
    <t>tư vấn QN</t>
  </si>
  <si>
    <t>17.2</t>
  </si>
  <si>
    <t>Đường gom Tuyến đường nối Khu công nghiệp Cái Lân qua khu công nghiệp Việt Hưng</t>
  </si>
  <si>
    <t>Nút giao cầu Tình Yêu</t>
  </si>
  <si>
    <t>hết đường</t>
  </si>
  <si>
    <t>Mục 17.2 Đường gom Tuyến đường nối Khu công nghiệp Cái Lân qua khu công nghiệp Việt Hưng</t>
  </si>
  <si>
    <t>Điều chỉnh VT2. Theo Chứng thư định giá đất do Công ty Thẩm định giá Quảng Ninh lập cho dự án Đầu tư xây dựng và kinh doanh cơ sở hạ tầng Cụm công nghiệp phục vụ ngành công nghiệp hỗ trợ tại phường Việt Hưng, tỉnh Quảng Ninh lập   tháng 03/2026</t>
  </si>
  <si>
    <t>19.2</t>
  </si>
  <si>
    <t>Đường Hữu Nghị</t>
  </si>
  <si>
    <t>Cầu Trới 2</t>
  </si>
  <si>
    <t>Cầu Nóng</t>
  </si>
  <si>
    <t>Giáp phường Hoành Bồ</t>
  </si>
  <si>
    <t>Sửa đổi tên cung đường để phù hợp với hiện trạng cung đường</t>
  </si>
  <si>
    <t>tư vấn Qn</t>
  </si>
  <si>
    <t>20.2</t>
  </si>
  <si>
    <t>Cầu Kho Gạo đi Cái Mắm</t>
  </si>
  <si>
    <t>Hết hầm chui cao tốc</t>
  </si>
  <si>
    <t>Cống hộp giao với đường tàu</t>
  </si>
  <si>
    <t>Mục 20.2 - Cầu Kho gạo 
đi Cái Mắm</t>
  </si>
  <si>
    <t>Hết hầm 
chui cao tốc</t>
  </si>
  <si>
    <t>Điều chỉnh  VT2 -  Theo Bảng giá đất cụ thể được phê duyệt tại Dự án Công viên công cộng, do Công ty TNHH thẩm định giá và dịch vụ đất đai VLAND lập Tháng 3/2026</t>
  </si>
  <si>
    <t xml:space="preserve"> Đường Đồng Đăng</t>
  </si>
  <si>
    <t>32.1</t>
  </si>
  <si>
    <t>Đường Đồng Đăng</t>
  </si>
  <si>
    <t>Ngã ba 
Đồng Đăng</t>
  </si>
  <si>
    <t xml:space="preserve">Đề nghị bổ sung, không nêu căn cứ
</t>
  </si>
  <si>
    <t>32.2</t>
  </si>
  <si>
    <t>Đập Hồ Yên Lập</t>
  </si>
  <si>
    <t>PHƯỜNG BÃI CHÁY</t>
  </si>
  <si>
    <t>1</t>
  </si>
  <si>
    <t>Đường 18A</t>
  </si>
  <si>
    <t>1.3</t>
  </si>
  <si>
    <t>Khu đô thị Nam Ga</t>
  </si>
  <si>
    <t>Ngã tư Ao Cá</t>
  </si>
  <si>
    <t>Điều chỉnh VT1, VT2, VT3. Theo Chứng thư định giá đất do Công ty Thẩm định giá Quảng Ninh lập cho dự án Xây mới Trường Trung học phổ thông Bãi Cháy tại phường Bãi Cháy, tỉnh Quảng Ninh  lập   tháng 04/2026</t>
  </si>
  <si>
    <t>PHƯỜNG HÀ TU</t>
  </si>
  <si>
    <t>Khu nhà ở và dịch vụ thương mại phường Hà Phong</t>
  </si>
  <si>
    <t>Mức giá đề xuất căn cứ mức giá đất trong bảng giá hiện hành, mức giá đất của các vị trí khác đã được xác định, áp dụng phương pháp so sánh để xác định mức giá theo quy định tại khoản 1 điều 21 Nghị định 71/2024/NĐ-CP (kèm theo Chứng thu định giá đất số 0805.1/2026/CTĐGĐ-VLAND ngày 08/5/2026 của công ty TNHH thẩm định giá và dịch vụ đất đai VLAND)
Hiện trạng: Đã thực hiện GPMB đang hoàn thiện cơ sở hạ tầng.</t>
  </si>
  <si>
    <t>21.1</t>
  </si>
  <si>
    <t>Các ô đất bám đường bao biển(đường gom rộng 7,5m)</t>
  </si>
  <si>
    <t>21.2</t>
  </si>
  <si>
    <t>Các ô đất liền kề</t>
  </si>
  <si>
    <t>21.2.1</t>
  </si>
  <si>
    <t>Đường quy hoạch 7m, 7,5m</t>
  </si>
  <si>
    <t>21.2.2</t>
  </si>
  <si>
    <t>Đường quy hoạch 10,5 m(giáp suối)</t>
  </si>
  <si>
    <t>21.3</t>
  </si>
  <si>
    <t>Các ô đất biệt thự</t>
  </si>
  <si>
    <t>21.3.1</t>
  </si>
  <si>
    <t>Nhóm nhà ở phường Hà Phong</t>
  </si>
  <si>
    <t>22.1</t>
  </si>
  <si>
    <t>Các ô đất tiếp giáp  phường Khe Cá</t>
  </si>
  <si>
    <t>22.2</t>
  </si>
  <si>
    <t>PHƯỜNG HÀ LẦM</t>
  </si>
  <si>
    <t>Đường 336</t>
  </si>
  <si>
    <t>Thửa 6 TBĐ 38</t>
  </si>
  <si>
    <t>Đường vào Lán 14 (bên trái tuyến hết thửa 78 TBĐ 53)</t>
  </si>
  <si>
    <t>Đường vào Lán 14 (hết thửa 271 TBĐ 48, thửa 3 TBĐ 56)</t>
  </si>
  <si>
    <t>Điều chỉnh, bổ sung số tờ bản đồ cho phù hợp với cập nhật, chỉnh lý hồ sơ địa chính sau khi sắp xếp đơn vị hành chính</t>
  </si>
  <si>
    <t>đường vào chợ Hà Trung (thửa 121, thửa 138 TBĐ 57)</t>
  </si>
  <si>
    <t>từ đường vào chợ Hà Trung (hết thửa 121, thửa 138 TBĐ 57)</t>
  </si>
  <si>
    <t>đến Giáp phường Hạ Long</t>
  </si>
  <si>
    <t>đường vào chợ Hà Trung (hết thửa 121, thửa 138 TBĐ 57)</t>
  </si>
  <si>
    <t>Giáp phường Hạ Long (hết thửa 215 TBĐ 68)</t>
  </si>
  <si>
    <t>Đường Bãi Muối</t>
  </si>
  <si>
    <t>Ngã 3 vào trường học (Thửa 66, thửa 42 TBĐ 112)</t>
  </si>
  <si>
    <t>Ngã 3 vào trường học 
(hết thửa 152,  thửa 139 TBĐ 105)</t>
  </si>
  <si>
    <t>Hết thửa 39 TBĐ 96</t>
  </si>
  <si>
    <t>Ngã 3 vào trường học 
(thửa 126, thửa 124 TBĐ 105)</t>
  </si>
  <si>
    <t>hết thửa 39 TBĐ 97</t>
  </si>
  <si>
    <t>Khu tái định cư Bãi Muối (hết thửa 140 TBĐ 91, thửa 207 TBĐ 92)</t>
  </si>
  <si>
    <t>Ngã 3 vào trường học 
(thửa 134, thửa 144 TBĐ 105)</t>
  </si>
  <si>
    <t>Khu tái định cư Bãi Muối (hết thửa 140 TBĐ 90, thửa 255 TBĐ 91)</t>
  </si>
  <si>
    <t>Thửa 126, thửa 149 TBĐ TBĐ 91</t>
  </si>
  <si>
    <t>Hết khu đô thị Dự án Đức Hoàng</t>
  </si>
  <si>
    <t>Thửa 107 tờ 91, thửa 149 tờ 90</t>
  </si>
  <si>
    <t>Hết khu đô thị dự án Đức Hoàng</t>
  </si>
  <si>
    <t>Đường ngõ 5 đường 336</t>
  </si>
  <si>
    <t>Đường ngõ 5 Đường 336</t>
  </si>
  <si>
    <t>Hết thửa 350, thửa 243 TBĐ 125</t>
  </si>
  <si>
    <t>Hết thửa 211, thửa 225 TBĐ 126</t>
  </si>
  <si>
    <t>Thửa 102 TBĐ 127</t>
  </si>
  <si>
    <t>Đường vào trường 5/8</t>
  </si>
  <si>
    <t>Thửa 179 TBĐ 111; thửa 8 TBĐ 118</t>
  </si>
  <si>
    <t>Trường 5/8 (hết thửa 93 TBĐ 111)</t>
  </si>
  <si>
    <t>Thửa 153, thửa 178 TBĐ 111</t>
  </si>
  <si>
    <t>Đường ngõ 13 (Đường lên đồi tạp phẩm cũ)</t>
  </si>
  <si>
    <t>Nhóm nhà ở tại khu đất trường trung cấp KT-KT &amp; Công nghệ Hạ Long</t>
  </si>
  <si>
    <t>Nhóm nhà ở tại khu đất trường trung cấp KT-KT &amp; Công nghệ Hạ Long (hết thửa 146 TBĐ 112)</t>
  </si>
  <si>
    <t>Đường ngõ 17 (Đường vào đập nước cũ)</t>
  </si>
  <si>
    <t>Thửa số 211 TBĐ 121</t>
  </si>
  <si>
    <t>Hết thửa 211, thửa364 TBĐ 121</t>
  </si>
  <si>
    <t>Đường ngõ 18</t>
  </si>
  <si>
    <t>Trường THPT Ngô Quyền (thửa 67 TBĐ 122)</t>
  </si>
  <si>
    <t>Trường THPT Ngô Quyền (đến hết thửa 8, thửa 58 TBĐ 122)</t>
  </si>
  <si>
    <t>Khu dân cư tự xây hợp tác xã rau Chiến Thắng (bao gồm các thửa đất dân cư hiện hữu tiếp giáp dự án đã đầu tư hạ tầng)</t>
  </si>
  <si>
    <r>
      <t xml:space="preserve">Khu dân cư tự xây hợp tác xã rau Chiến Thắng (bao gồm các thửa đất dân cư hiện hữu tiếp giáp dự án đã đầu tư hạ tầng), </t>
    </r>
    <r>
      <rPr>
        <b/>
        <sz val="11"/>
        <color rgb="FF000000"/>
        <rFont val="Times New Roman"/>
        <family val="1"/>
      </rPr>
      <t>trừ dãy bám mặt đường chính đường 336</t>
    </r>
  </si>
  <si>
    <t>Đường lên Xí nghiệp xây dựng công trình môi trường mỏ Hòn Gai</t>
  </si>
  <si>
    <t>Thửa 228 TBĐ 112</t>
  </si>
  <si>
    <t>Thửa 217 TBĐ 105</t>
  </si>
  <si>
    <t>Đường lên xí nghiệp xây dựng công trình môi trường mỏ Hòn Gai</t>
  </si>
  <si>
    <t>Thửa 228, thửa 255 TBĐ 112</t>
  </si>
  <si>
    <t>Hết thửa 217 TBĐ 105, thửa 87 TBĐ 104</t>
  </si>
  <si>
    <t>Khu dân cư đô thị phường Cao Thắng (Trừ dãy bám đường Bãi Muối) do Công ty TNHH 1 Thành viên Đầu tư và Xây dựng Đức Hoàng quản lý đầu tư</t>
  </si>
  <si>
    <r>
      <t xml:space="preserve">Khu dân cư đô thị phường Cao Thắng (trừ dãy bám đường Bãi Muối,  </t>
    </r>
    <r>
      <rPr>
        <b/>
        <sz val="11"/>
        <color rgb="FF000000"/>
        <rFont val="Times New Roman"/>
        <family val="1"/>
      </rPr>
      <t>dãy bám mặt đường Trường Sơn</t>
    </r>
    <r>
      <rPr>
        <sz val="11"/>
        <color rgb="FF000000"/>
        <rFont val="Times New Roman"/>
        <family val="1"/>
      </rPr>
      <t>) do công ty TNHH 1 Thành viên Đầu tư và Xây dựng Đức Hoàng quản lý đầu tư</t>
    </r>
  </si>
  <si>
    <t>Khu tái định cư Bãi Muối (bao gồm các thửa đất dân cư hiện hữu tiếp giáp dự án đã đầu tư hạ tầng)</t>
  </si>
  <si>
    <r>
      <t xml:space="preserve">Khu tái định cư Bãi Muối (bao gồm các thửa đất dân cư hiện hữu giáp dự án đã đầu tư hạ tầng), </t>
    </r>
    <r>
      <rPr>
        <b/>
        <sz val="11"/>
        <color rgb="FF000000"/>
        <rFont val="Times New Roman"/>
        <family val="1"/>
      </rPr>
      <t>trừ dãy bám mặt đường Trường Sơn</t>
    </r>
  </si>
  <si>
    <t>Đường xuống cầu nước Mặn</t>
  </si>
  <si>
    <t>Đường xuống cầu nước mặn</t>
  </si>
  <si>
    <t>Hết chợ Hà Lầm (bên trái tuyến hết thửa 51 TBĐ 17)</t>
  </si>
  <si>
    <t>Hết chợ Hà Lầm (hết thửa 51, thửa 117 TBĐ 17)</t>
  </si>
  <si>
    <t>Hết chợ Hà Lầm</t>
  </si>
  <si>
    <t>Giáp phường Cao Xanh</t>
  </si>
  <si>
    <t>Hết chợ Hà Lầm (Thửa 369, thửa 116 TBĐ 17)</t>
  </si>
  <si>
    <t>Đường Khu tự xây Trường Nguyễn Bá Ngọc</t>
  </si>
  <si>
    <t>Trung đoàn 213</t>
  </si>
  <si>
    <t xml:space="preserve">Đường 336 </t>
  </si>
  <si>
    <t>Trung đoàn 213 (hết thửa 1 TBĐ 49)</t>
  </si>
  <si>
    <t>Đường vào Lán 14</t>
  </si>
  <si>
    <t>Cổng Lán 14 (hết thửa 79 TBĐ 55, thửa 87 TBĐ 56)</t>
  </si>
  <si>
    <t>Cổng Lán 14 (hết thửa 34 TBĐ 55, thửa 66 TBĐ 56)</t>
  </si>
  <si>
    <t>Trạm bơm A282 (Bên trái tuyến đến hết thửa 77 TBĐ 62)</t>
  </si>
  <si>
    <t>Trạm bơm A282 (Bên trái tuyến đến hết thửa 77 TBĐ 62, thửa 15 TBĐ 71)</t>
  </si>
  <si>
    <t>Dãy bám đường đoạn từ đường 366 đến nhà văn hóa khu 1 (Bên phải tuyến đến hết thửa 113 TBĐ 68)</t>
  </si>
  <si>
    <t>Nhà văn hóa khu 1 (thửa 113 TBĐ 68)</t>
  </si>
  <si>
    <t>Nhà văn hóa khu 1 (hết thửa 149 TBĐ 68)</t>
  </si>
  <si>
    <t>Đường vào khu tập thể Gia Binh</t>
  </si>
  <si>
    <t>Thửa 22, thửa 27 TBĐ 43</t>
  </si>
  <si>
    <t>Khu tập thể gia Binh</t>
  </si>
  <si>
    <t>Khu tập thể Gia Binh (hết thửa 94, thửa 91, TBĐ 39</t>
  </si>
  <si>
    <t>Đường khu dân cư tổ 47 (Cạnh trường mầm non Hà Trung)</t>
  </si>
  <si>
    <t>Thửa 247 TBĐ 48</t>
  </si>
  <si>
    <t>Trạm điện công ty than Hà Lầm</t>
  </si>
  <si>
    <t>Thửa 31 TBĐ 49</t>
  </si>
  <si>
    <t>Trạm điện công ty than Hà Lầm (thửa 20 TBĐ 49)</t>
  </si>
  <si>
    <t>PHƯỜNG CAO XANH</t>
  </si>
  <si>
    <t xml:space="preserve">Không có văn bản </t>
  </si>
  <si>
    <t>PHƯỜNG HỒNG GAI</t>
  </si>
  <si>
    <t>20.1</t>
  </si>
  <si>
    <t>Đường Tuệ Tĩnh</t>
  </si>
  <si>
    <t>Chân dốc Bưu Điện</t>
  </si>
  <si>
    <t>Ngã 3 chân dốc trường THCS Lê Văn Tám</t>
  </si>
  <si>
    <t>đến Ngã 3 chân dốc trường THCS Lê Văn Tám  (bên phải hết thửa 48 tờ 16 BD; bên trái hết thửa 183 tờ 17, THĐ)</t>
  </si>
  <si>
    <t>Điều chỉnh, bổ sung số tờ bản đồ cho phù hợp với cập nhật, chỉnh lý hồ sơ địa chính sau khi sắp xếp đơn vị hành chính (BĐ ĐC 2017)</t>
  </si>
  <si>
    <t>hết ngã 3 Trường y cũ</t>
  </si>
  <si>
    <t xml:space="preserve">Ngã 3 chân dốc trường THCS Lê Văn Tám  (bên phải hết thửa 48 tờ 16 BD; bên trái hết thửa 183 tờ 17, THĐ) </t>
  </si>
  <si>
    <t>hết ngã 3 Trường y cũ (bên phải hết thửa 88 tờ 11 BĐ; bên trái hết thửa 66 tờ 14, THĐ)</t>
  </si>
  <si>
    <t>20.3</t>
  </si>
  <si>
    <t>Phố Tuệ Tĩnh</t>
  </si>
  <si>
    <t>cổng Dịch tế</t>
  </si>
  <si>
    <t xml:space="preserve">Ngã ba dịch tễ (bên phải từ thửa 164, bên trái từ thửa 197 tờ 13 THĐ) </t>
  </si>
  <si>
    <t>cổng Dịch tế cũ</t>
  </si>
  <si>
    <t>21</t>
  </si>
  <si>
    <t>Đường Nguyễn Đức Cảnh</t>
  </si>
  <si>
    <t>hết thửa 112 tờ BĐĐC số 12 (bên trái tuyến) và thửa 222 tờ BĐĐC số 12 (bên phải tuyến) năm 2017</t>
  </si>
  <si>
    <t>Ngã 3 Trường y cũ (từ thửa 88, thửa 55 tờ 11 Bản đồ)</t>
  </si>
  <si>
    <t>hết thửa 112 tờ BĐĐC số 12 (bên trái tuyến) và thửa 222 tờ BĐ ĐC số 12 ( bên phải tuyến) năm 2017</t>
  </si>
  <si>
    <t>Đường Lê Thánh Tông</t>
  </si>
  <si>
    <t>hết thửa 112 tờ BĐĐC số 12 (bên trái tuyến) và thửa 222 tờ BĐ ĐC số 12 (bên phải tuyến) năm 2017</t>
  </si>
  <si>
    <t>hết thửa 67 tờ 12 BĐ</t>
  </si>
  <si>
    <t>25</t>
  </si>
  <si>
    <t>Phố Bến Tàu</t>
  </si>
  <si>
    <t>25.1</t>
  </si>
  <si>
    <t>Đường Long Tiên</t>
  </si>
  <si>
    <t>cổng Công ty Thuỷ Sản</t>
  </si>
  <si>
    <t>Đến bên phải thửa 93 tờ 24 BĐ, bên trái cổng Công ty Thuỷ Sản</t>
  </si>
  <si>
    <t>25.2</t>
  </si>
  <si>
    <t>Dãy bám Khách thuỷ</t>
  </si>
  <si>
    <t>Trọn khu (từ 314 tờ 20 đến 91 tờ 24 BĐ)</t>
  </si>
  <si>
    <t>26</t>
  </si>
  <si>
    <t>Phố Lê Quý Đôn</t>
  </si>
  <si>
    <t>26.3</t>
  </si>
  <si>
    <t>Lê Quý Đôn</t>
  </si>
  <si>
    <t>Khu dân cư phía sau Tây quảng trường chợ</t>
  </si>
  <si>
    <t>hết thửa 312 tờ 20 BĐ</t>
  </si>
  <si>
    <t>Phố Vạn Xuân</t>
  </si>
  <si>
    <t>Đầu phố</t>
  </si>
  <si>
    <t>Cuối phố</t>
  </si>
  <si>
    <t>giáp chợ Hạ Long</t>
  </si>
  <si>
    <t xml:space="preserve">Đề nghị sửa đổi tên cung đường (do sai sót về số tờ bản đồ khi cập nhật, chỉnh lý hồ sơ địa chính khi sát nhập  đơn vị hành chính) </t>
  </si>
  <si>
    <t>36</t>
  </si>
  <si>
    <t>Khu dân cư cầu đất cũ (Trừ dãy bám khu đô Thị hòn Cặp Bè)</t>
  </si>
  <si>
    <t>36.1</t>
  </si>
  <si>
    <t>Khu dân cư cầu đất cũ (Trừ dãy bám khu đô Thị hòn Cặp Bè) (Bỏ)</t>
  </si>
  <si>
    <t>Đường vào hồ Cô Tiên (Bên phải tuyến thửa 2 tờ BĐĐC 18, bên trái tuyến thửa 4 tờ BĐĐC 18)</t>
  </si>
  <si>
    <t>hết thửa 4 tờ BĐĐC 23</t>
  </si>
  <si>
    <t>Không có khu vực đường rộng chết 3m. Vì cả khu này tương đồng về vị trí. Đề nghị Tư vấn thu thập hồ sơ để xây dựng</t>
  </si>
  <si>
    <t>36.2</t>
  </si>
  <si>
    <t>Khu bám đường bê tông rộng trên 3m (bỏ)</t>
  </si>
  <si>
    <t>38</t>
  </si>
  <si>
    <t>Đường Trần Hưng Đạo, đoạn từ chân dốc nhà thờ đến ngã 4 Loong Toòng (Riêng bên phải tuyến tính đến hết thửa 22 tờ BĐĐC số 3)</t>
  </si>
  <si>
    <t>chân dốc nhà thờ</t>
  </si>
  <si>
    <t>ngã 4 Loong Toòng (Riêng bên phải tuyến tính đến Bảo Hiểm Bảo Minh)</t>
  </si>
  <si>
    <t>Từ thửa 50, 78 tờ 16 THĐ</t>
  </si>
  <si>
    <t>Khu QH dân cư đô thị Hòn Cặp Bè và dãy khu dân cư cầu đất cũ bám đường khu đô thị - Trừ dãy bám đường Trần Quốc Nghiễn</t>
  </si>
  <si>
    <t>43</t>
  </si>
  <si>
    <t>Đường Trần Nguyên Hãn</t>
  </si>
  <si>
    <t>43.1</t>
  </si>
  <si>
    <t>Trụ sở Uỷ ban cũ</t>
  </si>
  <si>
    <t>hết thửa 379; 380 tờ BĐĐC 14</t>
  </si>
  <si>
    <t>Trụ sở Uỷ ban cũ (Thửa 313 tờ 12 THĐ)</t>
  </si>
  <si>
    <t>hết trái 211, phải 273 tờ 12 THĐ</t>
  </si>
  <si>
    <t>Sửa đổi từ trụ sở Uỷ ban cũ (Thửa 313 tờ 12 THĐ) đến hết trái 211 phải 273 tờ 12 THĐ Không duyệt không nêu rõ căn cứ thay đổi bản chất cung đường</t>
  </si>
  <si>
    <t>Không duyệt</t>
  </si>
  <si>
    <t>43.2</t>
  </si>
  <si>
    <t>sau chung cư lô 4+5</t>
  </si>
  <si>
    <t>hết thửa 376; 346 tờ BĐĐC 14</t>
  </si>
  <si>
    <t>sau chung cư lô 4+5 (mật đường)</t>
  </si>
  <si>
    <t>hết trái 206, phải 210 tờ 12 THĐ</t>
  </si>
  <si>
    <t>Sửa đổi từ sau chung cư lô 4+5 (mật đường) đến hết trái 206, phải 210 tờ 12 THĐ Không duyệt không nêu rõ căn cứ thay đổi bản chất cung đường</t>
  </si>
  <si>
    <t>43.3</t>
  </si>
  <si>
    <t>Đường Trần Nguyên Hãn 1</t>
  </si>
  <si>
    <t>nhà trẻ Liên Cơ</t>
  </si>
  <si>
    <t xml:space="preserve">Từ trái 434 tờ 11, phải 288 tờ 12 THĐ </t>
  </si>
  <si>
    <t xml:space="preserve">Từ trái 86 tờ 11, phải 38 tờ 11 THĐ </t>
  </si>
  <si>
    <t>Sửa đổi từ Từ trái 434 tờ 11, phải 288 tờ 12 THĐ đến Từ trái 86 tờ 11, phải 38 tờ 11 THĐ Không duyệt không nêu rõ căn cứ thay đổi bản chất cung đường</t>
  </si>
  <si>
    <t>43.4</t>
  </si>
  <si>
    <t>Đường Trần Nguyên Hãn 2 (bổ sung)</t>
  </si>
  <si>
    <t xml:space="preserve">Từ trái 446 tờ 11, phải 444 tờ 11 THĐ </t>
  </si>
  <si>
    <t xml:space="preserve">Từ trái 119 tờ 11, phải 82 tờ 11 THĐ </t>
  </si>
  <si>
    <t>Đề nghị bổ sung vị trí, không nêu cơ sở đề xuất Không duyệt không nêu rõ căn cứ thay đổi bản chất cung đường</t>
  </si>
  <si>
    <t>Đường Trần Nhật Duật</t>
  </si>
  <si>
    <t>44.1</t>
  </si>
  <si>
    <t>Chi Cục Thú Y</t>
  </si>
  <si>
    <t>thửa 44 tờ BĐĐC số 8</t>
  </si>
  <si>
    <t>Từ trái 41, phải 42 tờ 07 THĐ</t>
  </si>
  <si>
    <t>Từ trái 280, phải 258 tờ 06 THĐ</t>
  </si>
  <si>
    <t>Sửa đổi từ trái 41, phải 42 tờ 07 THĐ đến từ trái 280 phải 258 tờ 06 THĐ Không duyệt không nêu rõ căn cứ thay đổi bản chất cung đường</t>
  </si>
  <si>
    <t>44.2</t>
  </si>
  <si>
    <t>bên phải tuyến từ thửa 144 tờ BĐĐC số 8; trái tuyến từ thửa 55 tờ BĐĐC số 8</t>
  </si>
  <si>
    <t>nhà trẻ Liên Cơ; hết thửa 148 tờ BĐĐC số 8</t>
  </si>
  <si>
    <t>bên trái 28 tờ 11 THĐ, phải nhà trẻ liên cơ</t>
  </si>
  <si>
    <t>trái hết thửa 80 tờ 11, phải nhà trẻ liên cơ</t>
  </si>
  <si>
    <t>Sửa đổi từ bên trái 28 tờ 11 THĐ, phải nhà trẻ liên cơ đên trái hết thửa 80 tờ 11 phải nhà trẻ liên cơ Không duyệt không nêu rõ căn cứ thay đổi bản chất cung đường</t>
  </si>
  <si>
    <t>44.3</t>
  </si>
  <si>
    <t>Nhà trẻ Liên Cơ</t>
  </si>
  <si>
    <t>Chân trụ cầu Bãi Cháy</t>
  </si>
  <si>
    <t>Hết thửa 15 tờ 05 THĐ</t>
  </si>
  <si>
    <t>Sửa đổi từ trái hết thửa 80 tờ 11 , phải nhà trẻ liên cơ đên hết thửa 15 tờ 05 THĐ Không duyệt không nêu rõ căn cứ thay đổi bản chất cung đường</t>
  </si>
  <si>
    <t>47</t>
  </si>
  <si>
    <t>Đường liên phường Trần Hưng Đạo, Yết Kiêu (cũ)</t>
  </si>
  <si>
    <t>47.1</t>
  </si>
  <si>
    <t>đường Lê Lợi</t>
  </si>
  <si>
    <t>hết khu tự xây Ao cá (bên phải tuyến là thửa 140 tờ BĐ ĐC 23, bên trái tuyến là thửa 160 tờ BĐ ĐC 23)</t>
  </si>
  <si>
    <t>hết khu tự xây Ao cá (bên phải tuyến là thửa 199 tờ BĐ ĐC 23, bên trái tuyến là thửa 160 tờ BĐ ĐC 23)</t>
  </si>
  <si>
    <t>47.2</t>
  </si>
  <si>
    <t>Bên phải tuyến là thửa 146 tờ BĐ ĐC 23, bên trái tuyến là thửa số 163 tờ BĐ ĐC 23</t>
  </si>
  <si>
    <t>giáp Trần Hưng Đạo (cũ) bên phải tuyến thửa số 24 tờ BĐ ĐC số 3, bên trái tuyến thửa 197 tờ BĐ ĐC số 23</t>
  </si>
  <si>
    <t>Bên phải tuyến là thửa 146 tờ BĐ ĐC 23, bên trái tuyến là thửa số 156 tờ BĐ ĐC 23</t>
  </si>
  <si>
    <t>giáp Trần Hưng Đạo (cũ) bên phải tuyến thửa số 229 tờ BĐ ĐC số 22, bên trái tuyến thửa 197 tờ BĐ ĐC số 23</t>
  </si>
  <si>
    <t>48</t>
  </si>
  <si>
    <t>Đường Cao Thắng</t>
  </si>
  <si>
    <t>Hết Bảo Hiểm Bảo Minh</t>
  </si>
  <si>
    <t>hết thửa 20 tờ BĐĐC4</t>
  </si>
  <si>
    <t>thửa 08 tờ BĐĐC 09 THĐ</t>
  </si>
  <si>
    <t>Đường Cao Thắng sửa: Từ hết thửa 20 tờ 04 (bản đồ đo vẽ năm 1997) đã GPMB, cập nhật BĐ ĐC mới đo năm 2017</t>
  </si>
  <si>
    <t>49</t>
  </si>
  <si>
    <t>Khu tái định cư 5 tầng</t>
  </si>
  <si>
    <t>Khu tái định cư 5 tầng (Lô E, F, G, H)</t>
  </si>
  <si>
    <t>Sửa đổi tên gọi Khu tái định cư 5 tầng (Lô E, F, G, H)
Sửa đổi tên gọi khu TĐC 5 tầng (Khu A, C, D đã nằm trong mục 46.1, 46.2)</t>
  </si>
  <si>
    <t>50</t>
  </si>
  <si>
    <t>Khu dân cư bám đường khu tái định cư 5 tầng</t>
  </si>
  <si>
    <t>Đề xuất giá VT1 36.200 không nêu lý do</t>
  </si>
  <si>
    <t>51</t>
  </si>
  <si>
    <t>Ngã 4 trường Y cũ bên phải tuyến từ thửa 88 TBĐ 11 năm 2017, trái tuyến là thừa 87 tờ TBĐ 11 năm 2017 đến hết đường</t>
  </si>
  <si>
    <t>Sửa đổi</t>
  </si>
  <si>
    <t>51.1</t>
  </si>
  <si>
    <t>Ngã 4 trường Y cũ bên phải tuyến từ thửa 88 TBĐ 11 năm 2017, trái tuyến là thừa 87 tờ TBĐ 11 năm 2017</t>
  </si>
  <si>
    <t>phải tuyến thửa 58 và 71 TBĐ 17 năm 2017, trái tuyến thửa 41 và 17 TBĐ 17 năm 2017</t>
  </si>
  <si>
    <t>Ngã 4 trường Y cũ bên phải tuyến từ thửa 88 TBĐ 11 năm 2017, trái tuyến là thừa 87 tờ TBĐ 11 năm 2017 (BĐ)</t>
  </si>
  <si>
    <t>phải tuyến thửa 58 và 71 TBĐ 17 năm 2017, trái tuyến thửa 41 và 17 TBĐ 17 năm 2017 (BĐ)</t>
  </si>
  <si>
    <t>Trùng</t>
  </si>
  <si>
    <t>51.2</t>
  </si>
  <si>
    <t>Từ thửa 58 và 71 TBĐ 17 năm 2017</t>
  </si>
  <si>
    <t>52</t>
  </si>
  <si>
    <t>Phố Hồng Tiến (Đoạn từ phố Tô Hiến Thành đến phố Trần Nhật Duật) (bỏ)</t>
  </si>
  <si>
    <t>Đề nghị bỏ, không nêu cơ sở</t>
  </si>
  <si>
    <t>53</t>
  </si>
  <si>
    <t>Đường Lê Lợi</t>
  </si>
  <si>
    <t>53.2</t>
  </si>
  <si>
    <t>hết ngã 3 đường Lê Lợi với đường dẫn cầu Bãi Cháy</t>
  </si>
  <si>
    <t>chân dốc Kho gạo (Đường vào khu tái định cư cầu Bãi Cháy và đường liên phường)</t>
  </si>
  <si>
    <t>Phải thửa 195, trái thửa 218 tờ 24 YK</t>
  </si>
  <si>
    <t>53.3</t>
  </si>
  <si>
    <t>Chân dốc Kho gạo</t>
  </si>
  <si>
    <t>bên trái tuyến nhà máy Bia, bên phải tuyến hết thửa 58 tờ BĐĐC 13</t>
  </si>
  <si>
    <t>bên trái tuyến nhà máy Bia, bên phải tuyến đầu đường Lương Thế Vinh</t>
  </si>
  <si>
    <t>53.4</t>
  </si>
  <si>
    <t>hết Nhà máy Bia</t>
  </si>
  <si>
    <t>bên phải tuyến hết Công ty kinh doanh than, Bên trái tuyến hết thửa 86 tờ BĐĐC 12</t>
  </si>
  <si>
    <t>bên phải tuyến hết Công ty kinh doanh than thửa 174 tờ 20, Bên trái tuyến hết thửa 264 tờ BĐĐC 20</t>
  </si>
  <si>
    <t>Sửa đổi từ bên trái tuyến nhà máy Bia, bên phải tuyến đầu đường Lương Thế Vinh đến bên phải tuyến hết Công ty kinh doanh than thửa 174 tờ 20, Bên trái tuyến hết thửa 264 tờ BĐĐC 20 thay đổi cung đoạn không nêu lý do</t>
  </si>
  <si>
    <t>Xem Lại</t>
  </si>
  <si>
    <t>53.5</t>
  </si>
  <si>
    <t>hết Công ty kinh doanh than</t>
  </si>
  <si>
    <t>Bến phà</t>
  </si>
  <si>
    <t>bên phải tuyến thửa 216 tờ 20, Bên trái tuyến hết thửa 260 tờ BĐĐC 20</t>
  </si>
  <si>
    <t xml:space="preserve">Thửa 60 tờ 18 </t>
  </si>
  <si>
    <t>Đề nghị sửa đổi tên cung đường để phù hợp với hiện trạng cung đường</t>
  </si>
  <si>
    <t>54.1</t>
  </si>
  <si>
    <t>Phố Dã Tượng</t>
  </si>
  <si>
    <t>Chân dốc</t>
  </si>
  <si>
    <t>Hết ngã 3 (bên trái tuyến) là thửa 372 tờ BĐ ĐC 17, (bên phải tuyến) là thửa 193 tờ BĐ ĐC 17 năm 2017</t>
  </si>
  <si>
    <t>Hết ngã 3 (bên trái tuyến là thửa 08 tờ BĐ ĐC 25, bên phải tuyến là thửa 193 tờ BĐ ĐC 17 )</t>
  </si>
  <si>
    <t>Sửa đổi đến Hết ngã 3 (bên trái tuyến là thửa 08 tờ BĐ ĐC 25, bên phải tuyến là thửa 193 tờ BĐ ĐC 17 ) thay đổi cung đoạn không nêu lý do</t>
  </si>
  <si>
    <t>54.2</t>
  </si>
  <si>
    <t>Cổng trường Võ Thị Sáu, bên phải tuyến là thửa 312 TBĐC số 16</t>
  </si>
  <si>
    <t>Hết ngã 3 (bên trái tuyến hết thửa 08 tờ BĐ ĐC 25, bên phải tuyến hết thửa 193 tờ BĐ ĐC 17 )</t>
  </si>
  <si>
    <t>54.3</t>
  </si>
  <si>
    <t>Cổng trường Võ Thị Sáu</t>
  </si>
  <si>
    <t>Chân dốc dự án núi mắn tôm (thửa số 4 tờ BĐ ĐC số 17)</t>
  </si>
  <si>
    <t>55</t>
  </si>
  <si>
    <t>Khu tự xây Vườn rau Yết Kiêu Khu B</t>
  </si>
  <si>
    <t>Khu tự xây Vườn rau Yết Kiêu Khu B, Khu Lâm Trường và khu sau nhà văn hóa khu 2 Yết Kiêu cũ (Trừ dãy bám đường Tô Hiến Thành)</t>
  </si>
  <si>
    <t xml:space="preserve">Sửa đổi vị trí Khu tự xây Vườn rau Yết Kiêu Khu B, Khu Lâm Trường và khu sau nhà văn hóa khu 2 Yết Kiêu cũ (Trừ dãy bám đường Tô Hiến Thành) </t>
  </si>
  <si>
    <t>56</t>
  </si>
  <si>
    <t>Khu Tự Xây Lâm trường (bỏ)</t>
  </si>
  <si>
    <t>Đề nghị bỏ cung đường này, lý do: Vị trí này có vị trí tương đồng với Khu tự xây vườn rau Yết Kiêu khu B và khu sau nhà Văn hóa khu Yết
Kiêu 2 nên đề nghị bỏ (Bổ sung  Gửi văn sau 25/5)</t>
  </si>
  <si>
    <t>57</t>
  </si>
  <si>
    <t>Đường Phạm Ngũ Lão đoạn từ đường Lê Lợi đến giáp khu tự xây Công ty Thương Mại</t>
  </si>
  <si>
    <t>Giáp khu tự xây Công ty Thương Mại</t>
  </si>
  <si>
    <t>Đường Lê Lợi (bên phải thửa 158 tờ 16)</t>
  </si>
  <si>
    <t>Trái thửa 167 tờ 09, phải thửa 96 tờ 10</t>
  </si>
  <si>
    <t>58</t>
  </si>
  <si>
    <t>Khu tự xây Ao Cá</t>
  </si>
  <si>
    <t>Khu tự xây Ao Cá (trừ dãy bám đường liên phường)</t>
  </si>
  <si>
    <t>Sửa đổi tên cung đường Khu tự xây Ao Cá (trừ dãy bám đường liên phường)</t>
  </si>
  <si>
    <t>60</t>
  </si>
  <si>
    <t>Khu tái định cư Cầu Bãi Cháy</t>
  </si>
  <si>
    <t>Khu tái định cư Cầu Bãi Cháy và các thửa bám đường khu tái định cư câu Bãi Cháy</t>
  </si>
  <si>
    <t>61</t>
  </si>
  <si>
    <t>Khu tự xây Công ty Thương mại và khu tự xây công nghiệp tàu Thuỷ</t>
  </si>
  <si>
    <t>Khu tự xây Công ty Thương mại và khu tự xây công nghiệp tàu Thuỷ, Khu dân cư Xí nghiệp Giấy, khu tự xây công ty Tàu Thủy và khu dân cư bám đường các khu tự xây trên</t>
  </si>
  <si>
    <t>62</t>
  </si>
  <si>
    <t>Khu dân cư bám đường Khu tự xây Công ty Thương mại và khu tự xây công nghiệp tàu thuỷ (bỏ)</t>
  </si>
  <si>
    <t>Do trùng với tuyến đường Mục 61. Khu dân cư Xí nghiệp giấy, Khu tự xây Công ty Tàu thủy sau khi điều chỉnh</t>
  </si>
  <si>
    <t>63</t>
  </si>
  <si>
    <t>Khu dân cư bám đường cống CIENCO 5 và Khu tái định cư Cầu Bãi cháy (Trừ dãy bám đường Lê Lợi)</t>
  </si>
  <si>
    <t xml:space="preserve">Khu dân cư bám đường cống CIENCO 5 (từ thửa 09 tờ 14 đến ngõ cạnh thửa 02 tờ 18) </t>
  </si>
  <si>
    <t>Điều chỉnh, bổ sung số tờ bản đồ cho phù hợp với cập nhật, chỉnh lý hồ sơ địa chính sau khi sắp xếp đơn vị hành chính (đã điều chỉnh ở Mục 60)</t>
  </si>
  <si>
    <t>65.1</t>
  </si>
  <si>
    <t>Đường khu tự xây cầu 1 (BỎ)</t>
  </si>
  <si>
    <t>Trạm điện</t>
  </si>
  <si>
    <t>Chân dốc Núi Mắm Tôm</t>
  </si>
  <si>
    <t>Đê xuất bỏ, chưa nêu cơ sở</t>
  </si>
  <si>
    <t>65.3</t>
  </si>
  <si>
    <t>Đường khu tự xây cầu 1</t>
  </si>
  <si>
    <t>chân dốc Núi Mắm Tôm (Bám biển)</t>
  </si>
  <si>
    <t>Công ty thương mại</t>
  </si>
  <si>
    <t>Công ty thương mại (trái thửa 178 tờ 10)</t>
  </si>
  <si>
    <t>65.4</t>
  </si>
  <si>
    <t>Đường khu tự xây cầu 1 (bỏ)</t>
  </si>
  <si>
    <t>chân dốc Núi Mắm Tôm (Bám núi)</t>
  </si>
  <si>
    <t>Tập thể Công ty Chế biến gỗ</t>
  </si>
  <si>
    <t>66</t>
  </si>
  <si>
    <t>Bám đường dẫn lên cầu Bãi Cháy</t>
  </si>
  <si>
    <t>ngã 3 rẽ vào đường Lê Lợi</t>
  </si>
  <si>
    <t>hết thửa 268 tờ BĐĐC 14</t>
  </si>
  <si>
    <t>hết thửa 18 tờ BĐĐC 30</t>
  </si>
  <si>
    <t xml:space="preserve">Sửa đổi đến hết thửa 18 tờ BĐĐC 30 thay đổi cung đường không nêu ý do </t>
  </si>
  <si>
    <t>67</t>
  </si>
  <si>
    <t>Bám đường dẫn lên cầu Bãi Cháy (bỏ)</t>
  </si>
  <si>
    <t>Trụ cầu P4 (Giáp sông Cửa Lục)</t>
  </si>
  <si>
    <t>70</t>
  </si>
  <si>
    <t>Tuyến đường kết nối đường Lê Lợi và Trần Thái Tông (Phố Lương Thế Vinh và phố Ngô Thì Nhậm)</t>
  </si>
  <si>
    <t>Tuyến đường kết nối đường Lê Lợi và Trần Thái Tông (Phố Lương Thế Vinh và phố Ngô Sỹ Liên)</t>
  </si>
  <si>
    <t xml:space="preserve">Đê xuất đổi tên cung đường </t>
  </si>
  <si>
    <t>71</t>
  </si>
  <si>
    <t>Đường dọc mương tổ 3 khu 3 (Gồm các phố Trần Cảo và Phạm Sư Mãnh)</t>
  </si>
  <si>
    <t>Đường dọc mương tổ 3 khu 3 (phố Phạm Sư Mãnh)</t>
  </si>
  <si>
    <t>Để phù hợp với hiện trạng cung đường (đường Trần Cảo năm trong khu khu TĐC cầu Bãi Cháy mục 60)</t>
  </si>
  <si>
    <t>75</t>
  </si>
  <si>
    <t>Đường Trần Thái Tông từ thửa 03 đến thửa 32 tờ 18 ( bổ sung)</t>
  </si>
  <si>
    <t>Đề nghị bổ sung không nêu cơ sở</t>
  </si>
  <si>
    <t>PHƯỜNG HẠ LONG</t>
  </si>
  <si>
    <t>5.2.3.2</t>
  </si>
  <si>
    <t>- Đường Điện Biên Phủ</t>
  </si>
  <si>
    <t>giao với đường Lê Thanh Nghị</t>
  </si>
  <si>
    <t>Giáp đường Tuyển Than</t>
  </si>
  <si>
    <t>Đề xuất bổ sung giá VT2 ,VT3, VT4</t>
  </si>
  <si>
    <t>xem lại</t>
  </si>
  <si>
    <t>Lô tái định cư G1</t>
  </si>
  <si>
    <t>Đề nghị bổ sung nhưng không đề xuất giá</t>
  </si>
  <si>
    <t>5.2.6</t>
  </si>
  <si>
    <t>Phường đề xuất bổ sung nhưng không nêu căn cứ giá không có cơ sở đề xuất</t>
  </si>
  <si>
    <t>PHƯỜNG HOÀNH BỒ</t>
  </si>
  <si>
    <t xml:space="preserve"> Bổ sung Tuyến đường tiếp sau Tuyến đường Hữu Nghị (QL 279)</t>
  </si>
  <si>
    <t xml:space="preserve">Đề xuất bổ sung Tuyến đường sau 2 tuyến đường 1.4, 1.5; Không đề xuất tên cung đường, giá đất </t>
  </si>
  <si>
    <t xml:space="preserve"> Bổ sung Tuyến đường tiếp sauTuyến đường Hữu Nghị (QL 279)</t>
  </si>
  <si>
    <t>Tuyến đường Nguyễn Trãi (TL326) giáp với QL 279</t>
  </si>
  <si>
    <t>4.2</t>
  </si>
  <si>
    <t>đầu cầu Trới.</t>
  </si>
  <si>
    <t>hết số nhà 232 bên phải và số nhà 211 bên trái</t>
  </si>
  <si>
    <t>Đề xuất điều chỉnh đổi giá  do khu  vực tuyến đường 4.2 là trung tâm và đông dân cư giá giao dịch cao hơn mục 4.3</t>
  </si>
  <si>
    <t>4.3</t>
  </si>
  <si>
    <t>từ số nhà 234(phải tuyến) và số nhà 213 (trái tuyến)</t>
  </si>
  <si>
    <t>hết số nhà 282 (lối rẽ phố Đồng Chè) và số nhà 265 (giáp trường PHTH)</t>
  </si>
  <si>
    <t>Tuyến đường Hữu Nghị (QL 279): Từ giáp ranh phường Việt Hưng đến hết địa phận phường Hoành Bồ.</t>
  </si>
  <si>
    <t>Tuyến đường Hữu Nghị (QL 279)</t>
  </si>
  <si>
    <t>thửa 136 (trái tuyến) và thửa 134 (phải tuyến) tờ bản đồ số 114.</t>
  </si>
  <si>
    <t>Ngõ số 25 (trái tuyến), hết thửa 10 (phải tuyến) tờ bản đồ số 85 (nhà văn hoá khu Trới 2)</t>
  </si>
  <si>
    <t>Số nhà 425 (trái tuyến), số nhà 520 khu Trới 2)</t>
  </si>
  <si>
    <t>1.5</t>
  </si>
  <si>
    <t>số nhà 471 hộ ông Đậu Văn Tình (bên trái), số nhà 522 hộ ông Nguyễn Văn Tuấn (bên phải)</t>
  </si>
  <si>
    <t>số nhà 473 (bên trái) và ngõ 532 xuống nhà ông Đặng Văn Chiến (bên phải) - Khu 2</t>
  </si>
  <si>
    <t>Số nhà 427 (trái tuyến), hết số nhà 520 khu Trới 2)</t>
  </si>
  <si>
    <t>4.8</t>
  </si>
  <si>
    <t>doanh nghiệp Tùng Yến</t>
  </si>
  <si>
    <t>ngõ 619 theo phía phải đường</t>
  </si>
  <si>
    <t>Đề xuất bỏ do trùng tuyến đường với vị trí mục 4.6</t>
  </si>
  <si>
    <t xml:space="preserve">9.2 </t>
  </si>
  <si>
    <t>Bổ sung mức giá bị thiếu do lỗi in ấn trong quá trình biên tập xây dựng Bảng giá đất lần đầu
Hiện trạng: Đã hoàn thiện đầu tư cơ sở hạ tầng kỹ thuật và đưa vào sử dụng</t>
  </si>
  <si>
    <t>Tư vấn Qn</t>
  </si>
  <si>
    <t>16</t>
  </si>
  <si>
    <t>Khu vực không thuộc trung tâm, có điều kiên cơ sở hạ tầng khá thuận lợi</t>
  </si>
  <si>
    <t>16.3</t>
  </si>
  <si>
    <t>Đất ở bám theo trục đường Quốc lộ 279, đoạn từ ngã 3 bệnh viện đến cầu vượt cao tốc</t>
  </si>
  <si>
    <t>Ngã 3 bệnh viện</t>
  </si>
  <si>
    <t>cầu vượt cao tốc</t>
  </si>
  <si>
    <t>Đề xuất bỏ,Do trùng tuyến đường với Mục 1.4 và 1.5 sau khi điều chỉnh</t>
  </si>
  <si>
    <t>20</t>
  </si>
  <si>
    <t>Trục đường Trới - Lê Lợi</t>
  </si>
  <si>
    <t>20.8</t>
  </si>
  <si>
    <t>Đoạn giáp ranh thị trấn Trới (cũ)</t>
  </si>
  <si>
    <t>giáp ranh xã Thống Nhất</t>
  </si>
  <si>
    <t>Đoạn ngã 4 Vạn Yên giáp phường Việt Hưng theo đường QL279</t>
  </si>
  <si>
    <t>Đường QL 279 đoạn giáp ranh xã Thống Nhất</t>
  </si>
  <si>
    <t>27</t>
  </si>
  <si>
    <t>Tuyến đường từ ngã 3 đường nối QL279 đến TL 342 (đường 10 làn)</t>
  </si>
  <si>
    <t>Đoạn từ ngã 3 đường QL279 thửa số 2, tờ bản đồ số 88 (trái tuyến) và thửa số 4, tờ bản đồ số 88 (phải tuyến)</t>
  </si>
  <si>
    <t>Nút giao cao tốc Trại Me</t>
  </si>
  <si>
    <t>Căn cứ mức giá đất trong bảng giá hiện hành, mức giá đất của các vị trí khác đã được xác định để so sánh theo quy định tại khoản 1 điều 21 Nghị định 71/2024/NĐ-CP: Vị trí bổ sung có điều kiện hạ tầng tương tự với vị trí mục 20.8 phường Hoành Bồ nên UBND phường đề xuất bằng giá vị trí mục 20.8 trong bảng giá đất
Hiện trạng: Đã hoàn thiện đầu tư cơ sở hạ tầng kỹ thuật và đưa vào sử dụng</t>
  </si>
  <si>
    <t>Khu tái định cư tại các lô đất nhà liền kề thuộc khu trung tâm xã Sơn Dương (trọn khu)</t>
  </si>
  <si>
    <t>Bổ sung khu tái định cư bị thiếu do sơ suất trong quá trình biên tập xây dựng Bảng giá đất lần đầu
Hiện trạng: Đã hoàn thành công tác GPMB, đang tiến hành đầu tư xây dựng cơ sở hạ tầng kỹ thuật</t>
  </si>
  <si>
    <t>PHƯỜNG MÔNG DƯƠNG</t>
  </si>
  <si>
    <t>Đất dân cư còn lại</t>
  </si>
  <si>
    <t>Đất dân cư còn lại ( Xã Dương huy cũ)</t>
  </si>
  <si>
    <t>6.2</t>
  </si>
  <si>
    <t>Những hộ bám hai bên đường khu dân cư</t>
  </si>
  <si>
    <t>Những hộ thuộc thôn Đá Bạc cũ (nay là khu Thác Bạc)</t>
  </si>
  <si>
    <t>6.2.1</t>
  </si>
  <si>
    <t>Những hộ bám hai bên đường thôn</t>
  </si>
  <si>
    <t>Những hộ bám hai bên đường liên khu</t>
  </si>
  <si>
    <t>6.2.2</t>
  </si>
  <si>
    <t>Những hộ nằm bên trong khu dân cư (không giáp đồi, núi)</t>
  </si>
  <si>
    <t xml:space="preserve">Sửa đổi tên cung đường phù hợp với địa giới </t>
  </si>
  <si>
    <t>PHƯỜNG QUANH HANH</t>
  </si>
  <si>
    <t>Từ đường bê tông ngõ 162 (từ thửa 29 tờ 116 đến thửa 214 tờ 117)</t>
  </si>
  <si>
    <t>đường bê tông ngõ 162 (từ thửa 29 tờ 116)</t>
  </si>
  <si>
    <t>thửa 214 tờ 117</t>
  </si>
  <si>
    <t>-</t>
  </si>
  <si>
    <t>đến giáp suối liên khu 4A, 4B( thửa 37 và thửa 89 tờ 48)</t>
  </si>
  <si>
    <t>2</t>
  </si>
  <si>
    <t>Đường Trần Phú</t>
  </si>
  <si>
    <t>2.4</t>
  </si>
  <si>
    <t>Đường Trần Phú: Từ hộ phía tây cổng chào khu phố Đập Nước 1 (thửa 188 tờ 262) đến hết địa phận phường Quang Hanh</t>
  </si>
  <si>
    <t>hộ phía tây cổng chào khu phố Đập Nước 1 (thửa 188 tờ 262)</t>
  </si>
  <si>
    <t>hết địa phận phường Quang Hanh (giáp phường Cẩm Phả)</t>
  </si>
  <si>
    <t>giáp hộ phía tây cổng chào khu phố Đập Nước 1 (giáp thửa 188 tờ 262)</t>
  </si>
  <si>
    <t>hết địa phận phường Quang Hanh</t>
  </si>
  <si>
    <t>Tư vân HP</t>
  </si>
  <si>
    <t>PHƯỜNG CẨM PHẢ</t>
  </si>
  <si>
    <t>Từ tiếp giáp nhà ông Học đến tiếp giáp cầu nhà ông Lanh (khe cát) (từ thửa đất số 166, TBĐ 112 đến thửa số 08, TBĐ 112)</t>
  </si>
  <si>
    <t>thửa đất số 166, TBĐ 112</t>
  </si>
  <si>
    <t>thửa số 08, TBĐ 112</t>
  </si>
  <si>
    <t>Từ sau hộ bám mặt đường Trần Phú đến tiếp giáp cầu nhà ông Lanh (khe cát) (từ thửa đất số 76, tờ bản đồ số 84 đến thửa đất số 08, tờ bản đồ số 112)</t>
  </si>
  <si>
    <t xml:space="preserve"> thửa đất số 76, tờ bản đồ số 84</t>
  </si>
  <si>
    <t>thửa đất số 08, tờ bản đồ số 112</t>
  </si>
  <si>
    <t>Đề nghị sửa đổi cung đường do sai sót biên tập 
Điều chỉnh, bổ sung số tờ bản đồ cho phù hợp với cập nhật, chỉnh lý hồ sơ địa chính sau khi sắp xếp đơn vị hành chính</t>
  </si>
  <si>
    <t>40.1</t>
  </si>
  <si>
    <t>Những hộ dân bám mặt đường bê tông có chiều rộng lớn hơn hoặc bằng 3m thuộc các khu 3a, 3b, 3c, 4a, 4b, 5a, 5b, 6a, 6b, 6c</t>
  </si>
  <si>
    <t>đầu đường</t>
  </si>
  <si>
    <t>cuối đường</t>
  </si>
  <si>
    <t>Những hộ dân bám mặt đường bê tông có chiều rộng lớn hơn hoặc bằng 3m thuộc các khu 3a, 3b, 3c, 4a, 4b, 4c, 5a, 5b, 6a, 6b, 6c</t>
  </si>
  <si>
    <t>75.4</t>
  </si>
  <si>
    <t>Từ sau hộ mặt đường 18A đến tiếp giáp nhà ông Tuấn (Từ thửa 04 tờ bản đồ số 138 đến hết thửa 9 tờ bản đồ số 145)</t>
  </si>
  <si>
    <t>sau hộ mặt đường 18A (thửa 04 tờ bản đồ số 138)</t>
  </si>
  <si>
    <t>tiếp giáp nhà ông Tuấn (hết thửa 9 tờ bản đồ số 145)</t>
  </si>
  <si>
    <t>Từ sau hộ mặt đường Trần Phú đến tiếp giáp nhà ông Tuấn (Từ tiếp giáp thửa đất số 106 tờ bản đồ số 82 đến hết thửa đất số 9 tờ bản đồ số 145)</t>
  </si>
  <si>
    <t>sau hộ mặt đường Trần Phú (thửa đất số 106 tờ bản đồ số 82)</t>
  </si>
  <si>
    <t>131.2</t>
  </si>
  <si>
    <t>Các hộ bám Ngõ 49 + Ngõ 39 + Ngõ 33 + Ngõ 27 từ sau hộ bám đường Trần Phú đến khu Lê Hồng Phong</t>
  </si>
  <si>
    <t>sau hộ bám đường Trần Phú</t>
  </si>
  <si>
    <t>khu Lê Hồng Phong</t>
  </si>
  <si>
    <t>Các hộ bám Ngõ 49 + Ngõ 39 + Ngõ 33 từ sau hộ bám đường Trần Phú đến khu Lê Hồng Phong</t>
  </si>
  <si>
    <t>146</t>
  </si>
  <si>
    <t>Đoạn đường phố Lê Lợi: Từ tiếp giáp ngõ 41 phố Hòa Bình đến tiếp giáp hộ mặt đường phố Hồ Tùng Mậu (từ thửa số 180, TBĐ 60 đến hết thửa 184, TBĐ 60)</t>
  </si>
  <si>
    <t>tiếp giáp ngõ 41 phố Hòa Bình (thửa số 180, TBĐ 60)</t>
  </si>
  <si>
    <t>tiếp giáp hộ mặt đường phố Hồ Tùng Mậu (hết thửa 184, TBĐ 60)</t>
  </si>
  <si>
    <t>Đoạn đường phố Lê Lợi: Từ tiếp giáp ngõ 41 phố Hòa Bình đến tiếp giáp hộ mặt đường phố Hồ Tùng Mậu (từ thửa đất số 123, tờ bản đồ 64 đến hết thửa đất 96, tờ bản đồ 65)</t>
  </si>
  <si>
    <t>tiếp giáp ngõ 41 phố Hòa Bình (thửa đất số 123, tờ bản đồ 64)</t>
  </si>
  <si>
    <t>tiếp giáp hộ mặt đường phố Hồ Tùng Mậu (hết thửa đất 96, tờ bản đồ 65)</t>
  </si>
  <si>
    <t>152.2</t>
  </si>
  <si>
    <t>Từ Thửa 19/65 đến hết trường Hồng Cẩm</t>
  </si>
  <si>
    <t>thửa 19, TBĐ 65</t>
  </si>
  <si>
    <t>hết trường Hồng Cẩm</t>
  </si>
  <si>
    <t xml:space="preserve">Từ thửa đất số 2 tờ bản đồ số 65 đến hết đến hết trường Hồng Cẩm (thửa đất số 57 tờ bản đồ số 61) </t>
  </si>
  <si>
    <t>thửa đất số 2 tờ bản đồ số 65</t>
  </si>
  <si>
    <t>thửa đất số 57 tờ bản đồ số 61</t>
  </si>
  <si>
    <t>156</t>
  </si>
  <si>
    <t>Một số hộ dân sau hộ mặt đường phía Bắc đường Nguyễn Du khu nhà bà Chung + bà Hằng (T90/68 - T91/68)</t>
  </si>
  <si>
    <t>T90/68</t>
  </si>
  <si>
    <t>T91/68</t>
  </si>
  <si>
    <t>Một số hộ dân sau hộ mặt đường phía Bắc đường Nguyễn Du (thửa đất số 57 tờ bản đồ số 68 đến thửa đất số 64 tờ bản đồ số 68)</t>
  </si>
  <si>
    <t>thửa đất số 57 tờ bản đồ số 68</t>
  </si>
  <si>
    <t>thửa đất số 64 tờ bản đồ số 68</t>
  </si>
  <si>
    <t>161</t>
  </si>
  <si>
    <t>Những hộ dân thuộc ngõ phía Nam đường Nguyễn Du (cạnh Thửa 178/68) từ sau hộ mặt đường Nguyễn Du đến hết ngõ</t>
  </si>
  <si>
    <t>sau hộ mặt đường Nguyễn Du</t>
  </si>
  <si>
    <t>hết ngõ</t>
  </si>
  <si>
    <t>Những hộ dân thuộc ngõ phía Nam đường Nguyễn Du, từ sau hộ mặt đường Nguyễn Du đến hết ngõ</t>
  </si>
  <si>
    <t>PHƯỜNG CỬA ÔNG</t>
  </si>
  <si>
    <t>Đoạn từ thửa số 91, TBĐ số 110 đến hết thửa số 153, TBĐ 107</t>
  </si>
  <si>
    <t>thửa số 91, TBĐ số 110</t>
  </si>
  <si>
    <t>thửa số 153, TBĐ 107</t>
  </si>
  <si>
    <t>Đoạn từ thửa số 91, TBĐ số 110 đến hết thửa số 153, TBĐ 107 (đường vào trường Trần Hưng Đạo)</t>
  </si>
  <si>
    <t>thửa số 153, TBĐ 107 (đường vào trường Trần Hưng Đạo)</t>
  </si>
  <si>
    <t>Các hộ bám đường gom: Từ đầu ngõ 247 đến ngõ 237 (đi vào Văn phòng Công ty than Cao Sơn) bám đường quy hoạch 7,5m</t>
  </si>
  <si>
    <t xml:space="preserve">đầu đường </t>
  </si>
  <si>
    <t>Cuối đường</t>
  </si>
  <si>
    <t>Từ đường vào trường Trần Hưng Đạo đến dốc Cảng vụ</t>
  </si>
  <si>
    <t>đường vào trường Trần Hưng Đạo</t>
  </si>
  <si>
    <t>dốc Cảng vụ</t>
  </si>
  <si>
    <t>Bsau 25.5</t>
  </si>
  <si>
    <t>PHƯỜNG MÓNG CÁI I</t>
  </si>
  <si>
    <t>79</t>
  </si>
  <si>
    <t>Đất khu Hải Xuân 6</t>
  </si>
  <si>
    <t>79.9</t>
  </si>
  <si>
    <t>Từ thửa đất nhà ba Vi Thị Thiết (khu 6)</t>
  </si>
  <si>
    <t xml:space="preserve"> đến thửa đất nhà ông Trần Văn Biên(Khu 6)</t>
  </si>
  <si>
    <t>Đề nghị bổ sung, nhưng chưa đề xuất giá</t>
  </si>
  <si>
    <t>Đường dẫn cầu Bắc luân II</t>
  </si>
  <si>
    <t>Đường từ tỉnh lộ 335 đến đường cầu voi đi cảng Van Ninh</t>
  </si>
  <si>
    <t>PHƯỜNG MÓNG CÁI 2</t>
  </si>
  <si>
    <r>
      <t>42.12</t>
    </r>
    <r>
      <rPr>
        <sz val="11"/>
        <color theme="1"/>
        <rFont val="Times New Roman"/>
        <family val="1"/>
      </rPr>
      <t xml:space="preserve"> </t>
    </r>
  </si>
  <si>
    <t>Từ nhà bà Nguyễn Thị Lệ đến hết nhà nhà ông Ngô Duy Hùng (Đường Trục Chính</t>
  </si>
  <si>
    <t>Đầu đường</t>
  </si>
  <si>
    <t>42.12</t>
  </si>
  <si>
    <t>Từ nhà bà Nguyễn Thị Lệ đến giáp đường đi Hải Yên (QL4B cũ)</t>
  </si>
  <si>
    <t>Gộp Mục 42.12 với Mục 42.13 và đổi tên cho phù hợp với hiện trạng cung đường</t>
  </si>
  <si>
    <t>tư vấn</t>
  </si>
  <si>
    <r>
      <t>42.13</t>
    </r>
    <r>
      <rPr>
        <sz val="14"/>
        <color theme="1"/>
        <rFont val="Times New Roman"/>
        <family val="1"/>
      </rPr>
      <t/>
    </r>
  </si>
  <si>
    <t>Từ nhà ông Ngô Duy Hùng đến giáp đường đi Hải Yên (QL4B cũ)</t>
  </si>
  <si>
    <t>Bỏ do trùng đoạn 42.12</t>
  </si>
  <si>
    <t>42.13.1</t>
  </si>
  <si>
    <t>Từ giáp Đại lộ Hòa Bình (đoạn từ nhà ông NguyễnVăn Tiến) đến giáp thửa đất nhà bà Nguyễn Thị Lệ</t>
  </si>
  <si>
    <t>42.13</t>
  </si>
  <si>
    <t>Số thứ tự cũ: 42.13.1. Thay đổi lại số thứ tự do đã gộp mục 42.13 vào mục 42.12 sau điều chỉnh</t>
  </si>
  <si>
    <t>42.13.2</t>
  </si>
  <si>
    <t>Từ nhà ông Thiết Phượng đến giáp đất nhà ông Phạm Văn Hưng liền mương Tràng Vinh</t>
  </si>
  <si>
    <t>42.26</t>
  </si>
  <si>
    <t>Số thứ tự cũ: 42.13.2. Thay đổi lại số thứ tự cho phù hợp</t>
  </si>
  <si>
    <t>Các hộ còn lại Khu Hồng Phong</t>
  </si>
  <si>
    <t>42.27</t>
  </si>
  <si>
    <t>Số thứ tự cũ: 42.26. Thay đổi lại số thứ tự cho phù hợp</t>
  </si>
  <si>
    <t>PHƯỜNG MÓNG CÁI 3</t>
  </si>
  <si>
    <t>ĐẶC KHU VÂN ĐỒN</t>
  </si>
  <si>
    <t>Đường Trần Thái Tông (bám hai bên mặt đường)</t>
  </si>
  <si>
    <t>1.2</t>
  </si>
  <si>
    <t>Từ trạm thu phí cầu Vân Đồn thửa 43 tờ BĐĐC 493 năm 2025 (tờ BĐĐC 43 năm 2012) đến hết nhà ông Vũ Văn Hùng (xã Đông Xá cũ)</t>
  </si>
  <si>
    <t>Giáp trạm thu phí cầu Vân Đồn thửa 43 tờ BĐĐC 493 năm 2025 (tờ BĐĐC 43 năm 2012)</t>
  </si>
  <si>
    <t>Hết nhà ông Vũ Văn Hùng</t>
  </si>
  <si>
    <t>Từ trạm thu phí cầu Vân Đồn thửa 43 tờ BĐĐC 493 năm 2025 (tờ BĐĐC 43 năm 2012) đến hết thửa đất số 29 tờ BĐĐC 492 năm 2025  ( tờ BĐĐC 39 năm 2012 xã Đông Xá cũ)</t>
  </si>
  <si>
    <t>Đến hết thửa đất số 29 tờ BĐ ĐC 492 năm 2025( Tờ BĐĐC 39 năm 2012 xã Đông Xá cũ)</t>
  </si>
  <si>
    <t>ĐẶC KHU CÔ TÔ</t>
  </si>
  <si>
    <t>Đường Vũ Văn Hiếu</t>
  </si>
  <si>
    <t>Đường Âu Cơ</t>
  </si>
  <si>
    <t>15.1</t>
  </si>
  <si>
    <t>15.2</t>
  </si>
  <si>
    <t>18</t>
  </si>
  <si>
    <t>22</t>
  </si>
  <si>
    <t>Đường từ chân cầu Vạn La đến hết thửa đất bà Nhượng (thửa đất số 4,TBĐ 204)</t>
  </si>
  <si>
    <t>Đường 9/5</t>
  </si>
  <si>
    <t>Chân dốc Hải Đăng</t>
  </si>
  <si>
    <t>4.1</t>
  </si>
  <si>
    <t>Khuôn viên Tượng đài Bác Hồ</t>
  </si>
  <si>
    <t>Nhà vụ giáo viên</t>
  </si>
  <si>
    <t>Sửa lại tên cung đường (tách đoạn) để phù hợp với hiện trạng cung đường thuộc khu vực đô thị (thuộc thị trấn Cô Tô cũ)</t>
  </si>
  <si>
    <t>TỔNG HỢP CÁC VỊ TRÍ ĐỀ NGHỊ SỬA ĐỔI, BỔ SUNG ĐẤT Ở TẠI NÔNG THÔN</t>
  </si>
  <si>
    <t>Giá đất ở tại nông thôn</t>
  </si>
  <si>
    <t>XÃ QUẢNG LA</t>
  </si>
  <si>
    <t>Không đề xuất sửa đổi, bổ sung</t>
  </si>
  <si>
    <t>XÃ THỐNG NHẤT</t>
  </si>
  <si>
    <t>Trục đường TL 326</t>
  </si>
  <si>
    <t>1.6</t>
  </si>
  <si>
    <t>Đoạn từ ngầm Vũ Oai đến lối rẽ thôn Đồng Chùa, thôn Khe Cháy (đoạn qua thôn Chợ)</t>
  </si>
  <si>
    <t>Đoạn từ ngầm Vũ Oai đến lỗi rẽ thôn Đồng Chùa, thôn Đồng Cháy</t>
  </si>
  <si>
    <t xml:space="preserve">Đề nghị sửa tên cung đường (do sai sót về địa danh sau khi sát nhập đơn vị hành chính) </t>
  </si>
  <si>
    <t>1.7</t>
  </si>
  <si>
    <t>Đoạn từ lối rẽ vào thôn Đồng Chùa, thôn Khe Cháy (đoạn qua thôn Chợ) đến hầm chui Cao Tốc Hạ Long Vân Đồn</t>
  </si>
  <si>
    <t xml:space="preserve"> Đoạn từ lối rẽ vào thôn Đồng Chùa, thôn Đồng Cháy(đoạn qua thôn Vũ Oai) đến hầm chui cao tốc Hạ Long Vân Đồn</t>
  </si>
  <si>
    <t>1.8</t>
  </si>
  <si>
    <t>Đoạn từ hầm chui Cao Tốc Hạ Long Vân Đồn đến hết địa phận xã giáp ranh phường Quang Hanh</t>
  </si>
  <si>
    <t>Đoạn từ hầm chui cao tốc Hạ Long - Vân Đồn đến hết địa phận xã giáp ranh phường Mông Dương</t>
  </si>
  <si>
    <t>Tái định cư thôn 2 (Đồng Cao) đối diện UBND xã cũ</t>
  </si>
  <si>
    <t>Căn cứ mức giá đất trong bảng giá đất hiện hành, mức giá đất của các vị trí khác đã được xác định để so sánh theo quy định tại Khoản 1 điều 21 Nghị định 71, vị trí bổ sung tương đồng với vị trí 2 mục 3.1, phụ lục số 01, Nghị quyết số 100/NQ-HĐND ngày 16/12/2025 của Hội đồng nhân dân tỉnh nên UBND xã đề xuất bằng giá vị trí vị trí 2 mục 3.1 
Hiện trạng: Đã hoàn thiện đầu tư cơ sở hạ tầng kỹ thuật và đưa vào sử dụng</t>
  </si>
  <si>
    <t>Tái định cư thôn Thác Cát từ ô số 01 đến ô số 05</t>
  </si>
  <si>
    <t>Căn cứ mức giá đất trong bảng giá đất hiện hành, mức giá đất của các vị trí khác đã được xác định để so sánh theo quy định tại Khoản 1 điều 21 Nghị định 71, vị trí bổ sung tương đồng với vị trí 1 mục 7.5, phụ lục số 01, Nghị quyết số 100/NQ-HĐND ngày 16/12/2025 của Hội đồng nhân dân tỉnh nên UBND xã đề xuất bằng giá vị trí mục 7.5 trong bảng giá đất
Hiện trạng: Đã hoàn thiện đầu tư cơ sở hạ tầng kỹ thuật và đưa vào sử dụng</t>
  </si>
  <si>
    <t>Tái định cư đường Trới - Vũ Oai</t>
  </si>
  <si>
    <t>Căn cứ mức giá đất trong bảng giá đất hiện hành, mức giá đất của các vị trí khác đã được xác định để so sánh theo quy định tại Khoản 1 điều 21 Nghị định 71, vị trí bổ sung thuộc đường nhánh của đường Quốc lộ 279 và có vị trí tương đồng với  vị trí 2 mục 4.1, phụ lục số 01, Nghị quyết số 100/NQ-HĐND ngày 16/12/2025 của Hội đồng nhân dân tỉnh nên UBND xã đề xuất bằng giá vị trí 2 mục 4.1 trong bảng giá đất.
Hiện trạng: Đã hoàn thiện đầu tư cơ sở hạ tầng kỹ thuật và đưa vào sử dụng</t>
  </si>
  <si>
    <t>XÃ HẢI HÒA</t>
  </si>
  <si>
    <t>XÃ TIÊN YÊN</t>
  </si>
  <si>
    <t>XÃ ĐIỀN XÁ</t>
  </si>
  <si>
    <t>Khu vực thôn Khe Tiên (từ tiếp giáp xã Tiên Yên đến tiếp giáp địa phận xã Hải Lạng và đến giáp thửa đất số 170, tờ bản đồ số 265 (thửa đất nhà ông Nguyễn Văn Vụ)</t>
  </si>
  <si>
    <t>Đề xuất sửa giá VT 2 1000, VT3 250, VT4 200 Chưa đề xuất lý do</t>
  </si>
  <si>
    <t>Đoạn từ thửa đất số 170 (thửa đất nhà ông Nguyễn Văn Vụ) , tờ BĐ số 265 đến giáp thửa đất số 274 tờ BĐ số 259 (đoạn đường rẽ vào khu nhà văn hóa Tài Tùng cũ, thôn Đồng Tâm)</t>
  </si>
  <si>
    <t>Đề xuất sửa giá VT3 250, VT4 200 Chưa đề xuất lý do</t>
  </si>
  <si>
    <t>3</t>
  </si>
  <si>
    <t>Từ giáp địa phận xã Tiên Yên đến thửa 68 tờ 221 thôn Phú Hòa</t>
  </si>
  <si>
    <t>Tuyến đường mật độ dân cư thấp, không phát triển trung tâm là Xã Điền Xá mới đề xuất điều chỉnh từ 500 xuông 400</t>
  </si>
  <si>
    <t>Xã đề xuất</t>
  </si>
  <si>
    <t>Từ giáp thửa 68 tờ 221 đến hết địa phận thôn Phú Hòa</t>
  </si>
  <si>
    <t>Tuyến đường cuối của thôn phú hòa tiếp nối đoạn 3 vị trí không thuận lợi tỷ lệ dân cư thấp đề xuất giảm từ 500 xuông 380</t>
  </si>
  <si>
    <t>7</t>
  </si>
  <si>
    <t>Đoạn đường đấu nối QL 4B với QL 18C (Các vị trí bám trục đường)</t>
  </si>
  <si>
    <t xml:space="preserve">Đề xuất bỏ tuyến đường trùng với đoạn 5 </t>
  </si>
  <si>
    <t>9</t>
  </si>
  <si>
    <t>Khu vực trung tâm Hà Lâu, xã Điền Xá (từ cầu tràn đến đường rẽ vào Trung tâm văn hóa xã đến đầu cầu treo)</t>
  </si>
  <si>
    <t>VỊ trí trên tuyến đường cũ xã Hà Lâu giá đất năm 2025 là 280.000 đồng,  nay sát nhập với Điền xá không phát triển bằng xã Điền Xã giá đất không thể cao hơn giá đất của trung tâm</t>
  </si>
  <si>
    <t>10</t>
  </si>
  <si>
    <t>Các thôn còn lại của xã Điền Xá</t>
  </si>
  <si>
    <t>Khu vực kém phát triển  nhất của Điền Xá, theo bảng giá đất 2025 là 100 theo nghị quyết 100 đã điều chỉnh quá 3 lần tương đương 300%</t>
  </si>
  <si>
    <t>XÃ ĐÔNG NGŨ</t>
  </si>
  <si>
    <t>XÃ HẢI LẠNG</t>
  </si>
  <si>
    <t xml:space="preserve">XÃ LƯƠNG MINH </t>
  </si>
  <si>
    <t>XÃ KỲ THƯỢNG</t>
  </si>
  <si>
    <t>Khu  tái định cư thôn Đồng Tâm, xã Điền Xá</t>
  </si>
  <si>
    <t>Căn cứ mức giá đất trong bảng giá hiện hành, mức giá đất của các vị trí khác đã được xác định để so sánh theo quy định tại khoản 1 Điều 21 Nghị định 71/2024/NĐ-CP: Vị trí bổ sung so sánh với 03 vị trí mục 24.3.1 -  24.3.2 -  24.3.1 tại mục 4, phụ lục số 01, Nghị quyết số 100/NQ-HĐND ngày 16/12/2025 của Hội đồng nhân dân tỉnh nên UBND xã đề xuất giá bằng 2.500
Hiện trạng: Đang tập trung triển khai thực hiện dự án theo kế hoạch được duyệt. Địa phương cam kết hoàn thành đầu tư xây dựng cơ sở hạ tầng kỹ thuật của dự án trong Quý III năm 2026</t>
  </si>
  <si>
    <t>Hạ tầng kỹ thuật khu dân cư thôn Pắc Phai, xã Điền Xá (giai đoạn 1)</t>
  </si>
  <si>
    <t>Các ô đất hướng ra QL4B</t>
  </si>
  <si>
    <t>Căn cứ mức giá đất trong bảng giá hiện hành, mức giá đất của các vị trí khác đã được xác định để so sánh theo quy định tại khoản 1 Điều 21 Nghị định 71/2024/NĐ-CP: Vị trí bổ sung so sánh  với 03 vị trí mục 24.3.1 -  24.3.2 -  24.3.1 tại mục 4, phụ lục số 01, Nghị quyết số 100/NQ-HĐND ngày 16/12/2025 của Hội đồng nhân dân tỉnh nên UBND xã đề xuất 2 mức giá với 2 vị trí tương ứng giá bằng 3.000
Hiện trạng: Đã hoàn thiện GPMB đang thực hiện hoàn thiện cơ sở hạ tầng</t>
  </si>
  <si>
    <t>Hạ tầng kỹ thuật khu dân cư thôn Pắc Phai, xã Điền Xá: Căn cứ mức giá đất trong bảng giá hiện hành, mức giá đất của các vị trí khác đã được xác định để so sánh theo quy định tại khoản 1 Điều 21 Nghị định 71/2024/NĐ-CP: Vị trí bổ sung so sánh  với 03 vị trí mục 24.3.1 -  24.3.2 -  24.3.1 tại mục 4, phụ lục số 01, Nghị quyết số 100/NQ-HĐND ngày 16/12/2025 của Hội đồng nhân dân tỉnh nên UBND xã đề xuất 2 mức giá với 2 vị trí tương ứng giá bằng 2.500
Hiện trạng: Đang tập trung triển khai thực hiện dự án theo kế hoạch được duyệt. Địa phương cam kết hoàn thành đầu tư xây dựng cơ sở hạ tầng kỹ thuật của dự án trong Quý III năm 2026</t>
  </si>
  <si>
    <t>XÃ BA CHẼ</t>
  </si>
  <si>
    <t>tư vấn đề xuất</t>
  </si>
  <si>
    <t>1.1</t>
  </si>
  <si>
    <t>Từ nhà Đặng Lương (giáp Cầu Nam Hả ngoài) đến đầu đường sang nhà Lý Quy Cường trên tuyến đường TL330 (cả 2 bên đường) thôn Nam Hả trong</t>
  </si>
  <si>
    <t>Từ nhà Đặng Lương (giáp Cầu Nam Hả ngoài) đến đầu đường sang nhà Lý Quang Cường trên tuyến đường TL330 (cả 2 bên đường) thôn Nam Hả trong</t>
  </si>
  <si>
    <t>Sửa tên cung đường do sai sót về địa danh sau khi cập nhật, chỉnh lý hồ sơ địa chính sau khi sát nhập</t>
  </si>
  <si>
    <t>Tư  vấn QN</t>
  </si>
  <si>
    <t>4.4</t>
  </si>
  <si>
    <t>Từ nhà Hoà Ngân đối diện nhà Quang Bảo (thôn 2) đến Quảng trường mùng 4 tháng 10 + đoạn đường xuống cầu Ngầm đến nhà Hà Thư</t>
  </si>
  <si>
    <t>Từ nhà Hoà Ngân đối diện nhà Quang Bảo (thôn 2) đến Quảng trường mùng 4 tháng 10 + đoạn đường xuống cầu Ngầm đến nhà Thống Đồng</t>
  </si>
  <si>
    <t>8.2</t>
  </si>
  <si>
    <t>Từ nhà ông Phạm Dự - đối diện Phòng GD&amp;ĐT đến nhà ông Lê Thông đối diện Tòa án nhân dân huyện cũ ( thôn 2)</t>
  </si>
  <si>
    <t>Từ nhà ông Hoàn Hương - đối diện Phòng GD&amp;ĐT đến nhà ông Lê Thông đối diện Tòa án nhân dân huyện cũ (thôn 2)</t>
  </si>
  <si>
    <t>10.3</t>
  </si>
  <si>
    <t>Từ nhà Hùng Đằm đối diện nhà ông Đức đến ngã ba đường Thanh Niên (thôn 3A)</t>
  </si>
  <si>
    <t>Từ nhà Hùng Đằm đối diện nhà bà Nịnh bảy đến ngã ba đường Thanh Niên (thôn 3A)</t>
  </si>
  <si>
    <t>Đường vào nhà ông Hà Việt - thôn 3 (đối diện Quảng trường mùng 4 tháng 10)</t>
  </si>
  <si>
    <t>Từ nhà ông Triệu tuấn đến nhà ông Hoàng Đông (đối diện Quảng trường mùng 4 tháng 10)</t>
  </si>
  <si>
    <t>Xã Quảng Tân</t>
  </si>
  <si>
    <t>XÃ ĐẦM HÀ</t>
  </si>
  <si>
    <t>Xã Đầm Hà</t>
  </si>
  <si>
    <t>2.12</t>
  </si>
  <si>
    <t>Đường thôn Tân Hà từ tiếp giáp ngã ba trạm điện đến hết quy hoạch tái định cư thôn Tân Hà</t>
  </si>
  <si>
    <t>Đường thôn Tân Hà từ tiếp giáp ngã ba trạm điện đến giáp quy hoạch tái định cư thôn Tân Hà</t>
  </si>
  <si>
    <t xml:space="preserve">Sửa tên cung đường do Do sai sót trong việc ghi vị trí giáp thành hết xác định bảng giá đất. </t>
  </si>
  <si>
    <t>Các thôn: Trại Dinh, Xóm Giáo, Đầm Buôn, Trại Giữa, Trại Khe</t>
  </si>
  <si>
    <t>Các thôn Trại Dinh, Xóm Giáo, Đầm Buồn, Trại Giữa, Trại Khe, Yên Định</t>
  </si>
  <si>
    <t>Sửa tên các thôn, do sai sót về địa danh sau khi cập nhật, chỉnh lý hồ sơ địa chính sau khi sát nhập</t>
  </si>
  <si>
    <t>Khu tái định cư thôn Tân Hà</t>
  </si>
  <si>
    <t>Điều chỉnh sai sót về kỹ thuật trong quá trình xây dựng bảng giá đất tại NQ số 100/2025/NQ-HĐND. Tại QĐ số 62/2025/QĐ-UBND, Mục VI.12 là đoạn các điểm trong thôn và trục đường thông của 9 thôn từ thôn Tân Hà đến thôn Đông Sơn, trong đó có bao gồm khu tái định cư thôn Tân Hà với mức giá đất ở là 1.900, đã hoàn thiện hạ tầng đưa vào sử dụng. Tuy nhiên, tại Nghị quyết 100 đã gộp nhầm vào Mục 2.12 xã Quảng Hà có mức giá 1.100. Do đó, đề xuất tách riêng để phù hợp với điều kiện hạ tầng thực tế của khu tái định cư</t>
  </si>
  <si>
    <t>XÃ QUẢNG HÀ</t>
  </si>
  <si>
    <t>Từ thửa 125 tờ 44 đến đầu Núi Chùa hết thửa 254 tờ 33 (từ lối rẽ vào UBND xã Quảng Minh cũ đến đầu Núi Chùa)</t>
  </si>
  <si>
    <t>Từ đầu cầu Hải Hà đến thửa 125 tờ 44 (Từ đầu cầu Hải Hà đến lối rẽ vào UBND xã Quảng Minh cũ)</t>
  </si>
  <si>
    <t>Sửa lại do lỗi in ấn trong quá trình biên tập xây dựng Bảng giá đất lần đầu bị trùng tên với mục 1.8 xã Quảng Hà</t>
  </si>
  <si>
    <t>Tư vấn Vlan\d</t>
  </si>
  <si>
    <t>XÃ ĐƯỜNG HOA</t>
  </si>
  <si>
    <t>XÃ QUẢNG ĐỨC</t>
  </si>
  <si>
    <t>khu TĐC thôn Hải Thành, xã Quảng Đức</t>
  </si>
  <si>
    <t>13.1</t>
  </si>
  <si>
    <t>Các ô có diện tích từ 200m2 trở lên (bao gồm NO-01: từ ô 1 đến ô 11; NO-02: từ ô 1 đến ô 30; NO-03: Từ ô 1 đến ô 5)</t>
  </si>
  <si>
    <t>Căn cứ mức giá đất trong bảng giá hiện hành, mức giá đất của các vị trí khác đã được xác định để so sánh theo quy định tại khoản 1 Điều 21 Nghị định 71/2024/NĐ-CP: Vị trí bổ sung so sánh  với 03 vị trí mục 59 - 46.1 - 47 nên UBND xã đề xuất giá bằng 3.300
Hiện trạng: Đã hoàn thành công tác GPMB, đang thực hiện công tác san nền, đầu tư xây dựng cơ sở hạ tầng kỹ thuật. Địa phương cam kết hoàn thành công tác đầu tư xây dựng chậm nhất giữa Quý IV/2026</t>
  </si>
  <si>
    <t>13.2</t>
  </si>
  <si>
    <t>Các ô có diện tích từ 100m2 đến dưới 200m2 (bao gồm: NO-04: từ ô số 1 đến ô số 21; từ ô số 2.1 đến ô số 2.4)</t>
  </si>
  <si>
    <t>Căn cứ mức giá đất trong bảng giá hiện hành, mức giá đất của các vị trí khác đã được xác định để so sánh theo quy định tại khoản 1 Điều 21 Nghị định 71/2024/NĐ-CP: Vị trí bổ sung so sánh  với 03 vị trí mục 59 - 46.1 - 47  nên UBND xã đề xuất giá bằng 3.500
Hiện trạng: Đã hoàn thành công tác GPMB, đang thực hiện công tác san nền, đầu tư xây dựng cơ sở hạ tầng kỹ thuật. Địa phương cam kết hoàn thành công tác đầu tư xây dựng chậm nhất giữa Quý IV/2026</t>
  </si>
  <si>
    <t>13.3</t>
  </si>
  <si>
    <t>Các ô có diện tích dưới 100m2 (bao gồm: NO-04: từ ô 1.1 đến ô 1.4)</t>
  </si>
  <si>
    <t>Căn cứ mức giá đất trong bảng giá hiện hành, mức giá đất của các vị trí khác đã được xác định để so sánh theo quy định tại khoản 1 Điều 21 Nghị định 71/2024/NĐ-CP: Vị trí bổ sung so sánh  với 03 vị trí mục 59 - 46.1 - 47  nên UBND xã đề xuất giá bằng 3.800
Hiện trạng: Đã hoàn thành công tác GPMB, đang thực hiện công tác san nền, đầu tư xây dựng cơ sở hạ tầng kỹ thuật. Địa phương cam kết hoàn thành công tác đầu tư xây dựng chậm nhất giữa Quý IV/2026</t>
  </si>
  <si>
    <t xml:space="preserve">XÃ HOÀNH MÔ </t>
  </si>
  <si>
    <t>Đường 340</t>
  </si>
  <si>
    <t>Đường từ ngầm Cốc Lỷ đến hết địa phận thôn Phặt Chỉ, xã Hoành Mô (bám mặt đường)</t>
  </si>
  <si>
    <t>Đường từ Ngầm Cốc Lỷ đến hết địa phận thôn Phặt Chỉ, Xã Hoành Mô</t>
  </si>
  <si>
    <t>Sửa tên cung đường do sai sót trong biên tập</t>
  </si>
  <si>
    <t>Khu vực dân cư A8; ngã ba từ bưu điện đến nhà văn hoá thôn Cửa Khẩu</t>
  </si>
  <si>
    <t>Khu dân cư A8; Ngã ba Bưu điện đến ngã ba thôn Pắc Pộc đường đi Đồng Văn cũ</t>
  </si>
  <si>
    <t>Tuyến đường liên thôn Loòng Vài – Cao Sơn (bám mặt đường)</t>
  </si>
  <si>
    <t xml:space="preserve">Tuyến đường liên thôn Loòng Vài – Cao Sơn – Đến ngã ba núi Cao Ly </t>
  </si>
  <si>
    <t>Bãi Hải quan, bãi Ban quản lý cửa khẩu và toàn bộ khu đất giáp bãi Ban quản lý cửa khẩu Hoành Mô</t>
  </si>
  <si>
    <t>Bổ sung vị trí hiện hữu bị thiếu trong quá trình biên tập xây dựng Bảng giá đất lần đầu. Vị trí bổ sung có điều kiện hạ tầng tương tự với mục 1.1 xã Hoành Mô nên UBND xã đề xuất bằng giá mục 1.1 trong bảng giá đất</t>
  </si>
  <si>
    <t>Các hộ dân giáp quốc lộ 18C còn lại (bám mặt đường)</t>
  </si>
  <si>
    <t>Bổ sung vị trí hiện hữu bị thiếu trong quá trình biên tập xây dựng Bảng giá đất lần đầu. Vị trí bổ sung có điều kiện hạ tầng tương tự với mục 18 xã Hoành Mô nên UBND xã đề xuất bằng giá mục 18 trong bảng giá đất</t>
  </si>
  <si>
    <t xml:space="preserve">Các hộ dân bám mặt đường liên thôn, liên xã </t>
  </si>
  <si>
    <t>Bổ sung vị trí hiện hữu bị thiếu trong quá trình biên tập xây dựng Bảng giá đất lần đầu. Vị trí bổ sung có điều kiện hạ tầng tương tự với mục 12 xã Hoành Mô nên UBND xã đề xuất bằng giá mục 12 trong bảng giá đất</t>
  </si>
  <si>
    <t xml:space="preserve">XÃ LỤC HỒN </t>
  </si>
  <si>
    <t>XÃ BÌNH LIÊU</t>
  </si>
  <si>
    <t>XÃ HẢI SƠN</t>
  </si>
  <si>
    <t>XÃ HẢI NINH</t>
  </si>
  <si>
    <t xml:space="preserve">XÃ VĨNH THỰC </t>
  </si>
  <si>
    <t>XÃ CÁI CHIÊN</t>
  </si>
  <si>
    <t>Tỉnh: Quảng Ninh</t>
  </si>
  <si>
    <t>Mẫu số 39</t>
  </si>
  <si>
    <t>Đường 9/5 (từ Chân dốc Hải Đăng đến Cảng quân sự Bắc Vàn)</t>
  </si>
  <si>
    <t xml:space="preserve">Đường 9/5 (từ Nhà công vụ giáo viên đến Chân dốc Hải Đăng) </t>
  </si>
  <si>
    <t>Đường Vũ Văn Hiếu (từ Cổng chào thôn Hải Tiến đến Dốc cổng trời đi thôn Nam Hà)</t>
  </si>
  <si>
    <t>Đường Vũ Văn Hiếu (từ Dốc cổng trời đi thôn Nam Hà đến Ngã 3 cổng chào thôn Nam Hà)</t>
  </si>
  <si>
    <t>Đường Âu Cơ (từ Cổng chào thôn Nam Đồng đến Ngã ba giao đường Lưỡng dụng)</t>
  </si>
  <si>
    <t>Đường Âu Cơ (từ Ngã ba đường Lưỡng dụng đến Đỉnh dốc thôn Nam Hà)</t>
  </si>
  <si>
    <t>Đường Âu Cơ (từ Đỉnh dốc thôn Nam Hà đến Trạm điện cuối đường ra bãi biển Vàn Chảy)</t>
  </si>
  <si>
    <t>Đường Lạc Long quân (từ Cồng chào thôn Hồng Hải đến Ngã 3 đường cơ động Hồng Vàn)</t>
  </si>
  <si>
    <t>Đường lưỡng dụng kết nối phía Đông - Tây đảo Cô Tô lớn đoạn Nam Đồng - Nam Hà (từ Ngã ba tiếp giáp đường 9/5 đến Ngã ba tiếp giáp đường Âu Cơ)</t>
  </si>
  <si>
    <t>Đường Bạch Đằng (từ Đỉnh dốc thôn 3 đến Hồ Bạch Vân)</t>
  </si>
  <si>
    <t>Đường Bạch Đằng (từ Đỉnh dốc thôn 3 đến Cổng chào đỉnh dốc thôn 1)</t>
  </si>
  <si>
    <t>Đường Bạch Đằng (từ Cổng chào đỉnh dốc thôn 1 đến Hồ Bạch Vân)</t>
  </si>
  <si>
    <t>Đường Lê Lợi (từ Đỉnh dốc thôn 3 đến Đồn biên phòng Thanh Lân)</t>
  </si>
  <si>
    <t>Đường Ngô Quyền (từ Ngã ba tiếp giáp đường Lê Lợi đến Bãi biển C76)</t>
  </si>
  <si>
    <t>Đường Trần Quốc Tảng (từ Trạm kiểm soát quân sự Vụng Tây đến Đồn biên phòng Đảo Trần)</t>
  </si>
  <si>
    <t>Đường từ cảng Thanh Lân đến chân cầu Vạn La (từ Cảng Thanh Lân đến Chân cầu Vạn La)</t>
  </si>
  <si>
    <t>Khu dân cư kè xóm Nam Định; khu dân cư kè bao biển từ nhà ông Quyền đến trước cửa nhà Dương Thư; khu dân cư kè xóm Thanh Hóa (trọn khu)</t>
  </si>
  <si>
    <t>2.1</t>
  </si>
  <si>
    <t>2.2</t>
  </si>
  <si>
    <t>3.1</t>
  </si>
  <si>
    <t>3.2</t>
  </si>
  <si>
    <t>3.3</t>
  </si>
  <si>
    <t>6.1</t>
  </si>
  <si>
    <t xml:space="preserve">ĐẶC KHU VÂN ĐỒN </t>
  </si>
  <si>
    <t xml:space="preserve">Từ giáp xã Hạ Long cũ (địa phận thôn 1) đến thửa 8 tờ 247 </t>
  </si>
  <si>
    <t>2.7</t>
  </si>
  <si>
    <t>Từ thửa 08 tờ 247 9 tờ 56 cũ) đến ngã 3 đường 15km ra Casino thửa 17 tờ 239 ( tờ 48 cũ) (xã Vạn Yên cũ)</t>
  </si>
  <si>
    <t>2.8</t>
  </si>
  <si>
    <t>Từ thửa 83 tờ 236 ( tờ 45 cũ) đến hết thửa 55 tờ 208( tờ 17 cũ) (xã Vạn Yên cũ)</t>
  </si>
  <si>
    <t>2.9</t>
  </si>
  <si>
    <t>Từ thửa 55 tờ 208 ( tờ 17 cũ) đến Cảng Vạn Hoa (xã Vạn Yên cũ)</t>
  </si>
  <si>
    <t>Đường Quang Trung</t>
  </si>
  <si>
    <t>Từ tiếp giáp nhà bà Ánh đến Nút giao với đường cao tốc</t>
  </si>
  <si>
    <t>Đường nhánh TL 334 cũ: Từ giáp đường vào nhà VH thôn Khe Ngái đến Cầu ông Lý Thăng - bám mặt đường; Và từ giáp đường vào nhà VH thôn Khe Ngái đến giáp nhà ông Quân Hòa - bám hai bên mặt đường (xã Đoàn Kết cũ)</t>
  </si>
  <si>
    <t>Từ nhà ông Tạ Sáng (Từ thửa 84 tờ 300) đến giáp xã Vạn Yên cũ</t>
  </si>
  <si>
    <t>Đường nhánh 334 cũ - bám mặt đường: Từ cầu Vồng đến hết nhà bà Trương Thị Thanh (Từ thửa 63 tờ 291 đến hết thửa 337 tờ 288) (xã Đoàn Kết cũ)</t>
  </si>
  <si>
    <t>Trục đường giao thông trục chính - bám hai bên mặt đường: Từ sau nhà bà Bùi Thị Cam đến nhà ông Bùi Văn Dần (xã Đoàn Kết cũ)</t>
  </si>
  <si>
    <t>Trục đường giao thông trục chính - bám hai bên mặt đường : Từ nhà Trần Văn Vòng đến nhà ông Tô Văn Thanh (xã Đoàn Kết cũ)</t>
  </si>
  <si>
    <t xml:space="preserve">  Vị trí từ nhà bà Tô Thị Bình (Thửa 253 tờ 11) đến nhà bà Tạ Thị Cánh (Thửa 78 tờ 03) (xã Đoàn Kết cũ)</t>
  </si>
  <si>
    <t>Các thửa đất từ Vòng Xuyến Sân bay đến nhà ông Hoàng Văn Tiến cũ (Thửa 79 tờ 03) (xã Đoàn Kết cũ)</t>
  </si>
  <si>
    <t>Đường thôn - bám hai bên mặt đường: Từ nhà bà Ái đến nhà ông Đỗ Quang Trung (Từ thửa 12 tờ 294 đến thửa 104 tờ 307) (xã Đoàn Kết cũ)</t>
  </si>
  <si>
    <t>Giáp trường học Trung học cơ sở đến hết nhà ông Chu Văn Bằng (xã Đoàn Kết cũ)</t>
  </si>
  <si>
    <t xml:space="preserve"> Từ giáp Tái định cư lô C7, C8 đến thửa 46 tờ 312 và từ thửa 114 tờ 311 đến thửa 64 tờ 323 (xã Đoàn Kết cũ)</t>
  </si>
  <si>
    <t>Khu TĐC Cảng hàng không Đoàn Kết bao gồm các thửa đất dân cư tiếp giáp đường dự án</t>
  </si>
  <si>
    <t>Các ô đất ở tiếp giáp đường quy hoạch rộng 7,5m</t>
  </si>
  <si>
    <t>40.2</t>
  </si>
  <si>
    <t>Các ô đất ở tiếp giáp đường quy hoạch rộng 10,5m</t>
  </si>
  <si>
    <t>40.3</t>
  </si>
  <si>
    <t>Các ô đất ở tiếp giáp đường quy hoạch rộng 14m</t>
  </si>
  <si>
    <t>40.4</t>
  </si>
  <si>
    <t>Các ô đất ở tiếp giáp đường quy hoạch rộng 5,5m</t>
  </si>
  <si>
    <t>40.5</t>
  </si>
  <si>
    <t>Trục đường: Từ thửa 43 tờ 309 đến thửa 72 tờ 309  (tiếp giáp đường quy hoạch rộng 7,5 m)</t>
  </si>
  <si>
    <t>40.6</t>
  </si>
  <si>
    <t xml:space="preserve">Trục đường: Từ thửa 72 tờ 309 đến thửa 85 tờ 309 (Tiếp giáp đường rộng 10,5 m)  </t>
  </si>
  <si>
    <t>Từ thửa 94 tờ 190 đến thửa 10 tờ 185 (đường nhánh của TL 334 cũ ) (thôn Đầm Tròn, xã Bình Dân cũ)</t>
  </si>
  <si>
    <t>Đường  nhánh TL334 cũ: Từ thửa 479 tờ 178 đến hết thửa 08 tờ 171 và các thửa đất từ 321 tờ 171 đến nhà văn hoá cộng đồng Sán Dìu (thôn Vòng Tre, xã Bình Dân cũ)</t>
  </si>
  <si>
    <t>Bám mặt đường thôn: Từ tiếp giáp thôn Đồng Đá đến đến thửa đất số 136 tờ bản đồ địa chính số 05 và Từ ngã ba nhà bà Liêu Thị Liên đến nhà ông Trần Văn Dưỡng (Cam) - Bám hai bên đường: Từ tiếp giáp thửa đất số 564 tờ bản đồ địa chính số 06 đến thửa đất số 28 tờ bản đồ địa chính số 05 (xã Bình Dân cũ)</t>
  </si>
  <si>
    <t>Từ giáp xã Bình Dân cũ đến giáp thửa 110 tờ 91 (xã Đài Xuyên cũ)</t>
  </si>
  <si>
    <t>Đường nhánh 334 cũ - bám mặt đường: Từ thửa 110 tờ 91 đến hết Trạm Xá (thửa 453 tờ 82) (xã Đài Xuyên cũ)</t>
  </si>
  <si>
    <t>Từ thửa 453 tờ 82 đến giáp thửa 125 tờ 71 (xã Đài Xuyên cũ)</t>
  </si>
  <si>
    <t>Từ thửa 125 tờ 71 đến thửa 187 tờ 62 (xã Đài Xuyên cũ)</t>
  </si>
  <si>
    <t>Từ thửa 187 tờ 62 đến thửa 14 tờ 59 (xã Đài Xuyên cũ)</t>
  </si>
  <si>
    <t>Đường gom đường cao tốc: Từ nút giao sân bay đến nút giao đường vào khu phức hợp</t>
  </si>
  <si>
    <t>Đường đấu nối 15 km (bám hai bên mặt đường): Tính từ điểm đầu nút giao đường cao tốc đến giáp xã Vạn Yên  (cũ)</t>
  </si>
  <si>
    <t>Từ thửa 83 tờ 236 ( tờ 45 cũ) đến giáp xã Đài Xuyên cũ (xã Vạn Yên cũ)</t>
  </si>
  <si>
    <t>Từ ngã 3 cái Bầu thửa 14 tờ 257 ( tờ 66 cũ) đến giáp thôn 10/10 thửa 57 tờ 255 ( tờ 64 cũ) (xã Vạn Yên cũ)</t>
  </si>
  <si>
    <t>Từ thửa 57 tờ 255 ( tờ 64 cũ) đến thửa 03 tờ 260 ( tờ 69 cũ) (xã Vạn Yên cũ)</t>
  </si>
  <si>
    <t>Trục đường mới làm : Từ thửa 17 tờ 239( tờ 48 cũ) đến cầu Hạnh Phúc (xã Vạn Yên cũ)</t>
  </si>
  <si>
    <t>Từ đầu đường TL334 thửa 78 tờ 242 ( tờ 51 cũ) đến thửa 13 tờ 243 ( tờ 52 cũ) (xã Vạn Yên cũ)</t>
  </si>
  <si>
    <t>Đường từ Khu tái định cư đến Khu công viên Phức hợp và các thửa bám trục đường liên thôn Đài Chuối (xã Vạn Yên cũ)</t>
  </si>
  <si>
    <t>Khu TĐC khu Hành chính xã hội (xã Vạn Yên cũ)</t>
  </si>
  <si>
    <t>57.1</t>
  </si>
  <si>
    <t>Các ô đất ở liền kề tiếp giáp đường quy hoạch rộng 7,5m</t>
  </si>
  <si>
    <t>57.2</t>
  </si>
  <si>
    <t>Các ô đất ở Nhà vườn tiếp giáp đường quy hoạch rộng 11,5m</t>
  </si>
  <si>
    <t>Đường xuyên đảo Quan Lạn - Minh Châu</t>
  </si>
  <si>
    <t>58.1</t>
  </si>
  <si>
    <t>Đường trục thôn Yến Hải - xã Quan Lan cũ</t>
  </si>
  <si>
    <t>58.2</t>
  </si>
  <si>
    <t>Đường xuyên đảo Minh Châu - Quan Lạn - bám hai bên mặt đường: Từ Cảng Quan Lạn vào đến giáp nghĩa địa (Đường xuyên đảo mới: Từ thửa 5 tờ 150 đến thửa 31 tờ 142)</t>
  </si>
  <si>
    <t>58.3</t>
  </si>
  <si>
    <t>Từ giáp nghĩa địa đến giáp thôn Sơn Hào (xã quan Lạn cũ)</t>
  </si>
  <si>
    <t>58.4</t>
  </si>
  <si>
    <t>Từ Đền Vân Sơn thôn Sơn Hào (thửa số 191 tờ TBĐ 115) đến hết thửa số 88 tờ TBĐ 110 (theo đường cũ) (xã Quan Lạn cũ)</t>
  </si>
  <si>
    <t>58.5</t>
  </si>
  <si>
    <t>Đường xuyên đảo Minh Châu - Quan Lạn - bám hai bên mặt đường: Từ cổng Vân Hải Đỏ đến giáp xã Minh Châu cũ</t>
  </si>
  <si>
    <t>58.6</t>
  </si>
  <si>
    <t xml:space="preserve">Đường xuyên đảo Minh Châu - Quan Lạn: từ giáp xã Quan Lạn cũ đến thửa số 02 tờ 558 (tờ số 57 cũ) </t>
  </si>
  <si>
    <t>58.7</t>
  </si>
  <si>
    <t>Từ tiếp giáp lô đất BT số 06 khu đầu tư HTKT khu dân cư thôn ninh hải đến giáp thửa số 02 tờ 558 ( tờ 57 cũ) thôn Nam Hải (xã Minh Châu cũ)</t>
  </si>
  <si>
    <t>58.8</t>
  </si>
  <si>
    <t>Đường xuyên đảo Minh Châu - quan Lạn - bám hai bên mặt đường: Từ thửa 07 tờ 545 ( tờ 45 cũ) đến hết lô đất BT số 06 khu đầu tư HTKT khu dân cư thôn Ninh Hải</t>
  </si>
  <si>
    <t>58.9</t>
  </si>
  <si>
    <t>Từ ngõ nhà ông Vương (thửa số 07 tờ 546 ( tờ 45 cũ)) đến Cầu Cảng Minh Châu (xã Minh Châu cũ)</t>
  </si>
  <si>
    <t>Trục đường giao thông dọc đảo Vân Hải</t>
  </si>
  <si>
    <t>59.1</t>
  </si>
  <si>
    <t>Từ tiếp giáp đường xuyên đảo đến hết thửa 35 tờ 139 (xã Quan Lạn cũ)</t>
  </si>
  <si>
    <t>59.2</t>
  </si>
  <si>
    <t>Từ thửa số 37 tờ 139 đến giáp đê bao Quan Lạn thửa số 7 tờ 129</t>
  </si>
  <si>
    <t>Đường giao thông dọc đảo Vân Hải: Từ nhà ông Tạo (thửa số 6 tờ BĐĐC 145) đến hết nhà ông Vượng (theo đường cũ) (thửa số 105 tờ BĐĐC 143) (xã Quan Lạn cũ)</t>
  </si>
  <si>
    <t>Đường ven biển Quan Lạn</t>
  </si>
  <si>
    <t>Từ tiếp giáp đường xuyên đảo Quan Lạn - Minh Châu đến đường giao thông dọc đảo Vân Hải (xã Quan Lạn cũ)</t>
  </si>
  <si>
    <t>Trục đường đê bao Quan Lạn - bám mặt đường: Từ giáp đường xuyên đảo Minh Châu - Quan Lạn đến hết thôn Tân Phong (xã Quan Lạn cũ)</t>
  </si>
  <si>
    <t>Từ giáp thửa số 54 tờ 554 (tờ số 53 cũ) đến hết thửa số 09 tờ 562 (tờ số 61 cũ) - giáp xã Quan Lạn cũ (xã Minh Châu cũ)</t>
  </si>
  <si>
    <t>Từ giáp thửa số 114 tờ 549 ( tờ 48 cũ) đến hết thửa số 55 tờ 554 (tờ số 53 cũ) (xã Minh Châu cũ)</t>
  </si>
  <si>
    <t>Từ tiếp giáp đường xuyên đảo Quan Lạn - Minh Châu đến cầu Bò Ngứa (xã Minh Châu cũ)</t>
  </si>
  <si>
    <t>Từ cầu Bò Ngứa đến ngã 3 UBND xã Minh Châu cũ</t>
  </si>
  <si>
    <t>Từ ngã 3 UBND xã Minh Châu cũ đến bến cổng Đồn</t>
  </si>
  <si>
    <t>Bám mặt đường thôn Từ thửa 169 tờ 553 (tờ số 52 cũ) đến giáp thửa số 02 tờ 558 (tờ số 57 cũ) (xã Minh Châu cũ)</t>
  </si>
  <si>
    <t>Bám mặt đường thôn Từ giáp thửa số 177 tờ 554 (tờ số 53 cũ) đến giáp thửa số 95 tờ 557 (tờ số 56 cũ) (xã Minh Châu cũ)</t>
  </si>
  <si>
    <t>Khu dân cư xen cư (toàn khu) tại thôn Quang Trung, xã Minh Châu (cũ)</t>
  </si>
  <si>
    <t>Thôn Cái Cõng Đá Bạc (xã Minh Châu cũ)</t>
  </si>
  <si>
    <t>Khu đầu tư HTKT khu dân cư thôn Ninh Hải (xã Minh Châu cũ)</t>
  </si>
  <si>
    <t>73.1</t>
  </si>
  <si>
    <t>Các ô đất tiếp giáp đường xuyên đảo</t>
  </si>
  <si>
    <t>73.2</t>
  </si>
  <si>
    <t>Các ô đất tiếp giáp đường quy hoạch rộng 5m</t>
  </si>
  <si>
    <t>Các hộ bám mặt đường thuộc đảo Cống Đông (xã Thắng Lợi cũ)</t>
  </si>
  <si>
    <t>Các hộ bám mặt đường bê tông từ sau thửa 2 tờ 642 đến Trạm Cảng vụ (xã Thắng Lợi cũ)</t>
  </si>
  <si>
    <t>Từ thửa 68 tờ 644 đến hết thửa 42 tờ 648 (xã Thắng Lợi cũ)</t>
  </si>
  <si>
    <t>Từ thửa 50 tờ 648 đến thửa 27 tờ 650 (xã Thắng Lợi cũ)</t>
  </si>
  <si>
    <t>Đảo Soi Dâu
 Đảo Vạn Duội
 Đảo Thẻ Vàng</t>
  </si>
  <si>
    <t>Khu di dân lên bờ và bố trí ổn định dân cư vùng thiên tai xã Thắng Lợi cũ</t>
  </si>
  <si>
    <t>Đường liên thôn xã Ngọc Vừng cũ- bám mặt đường: Từ đầu Cảng mới đến giáp nhà bà Phương Thiều (từ thửa đất số 02 tờ bản đồ số 17 đến thửa đất số 04 tờ bản đồ số 22)</t>
  </si>
  <si>
    <t>Đường liên thôn xã Ngọc Vừng cũ - bám mặt đường: Từ giáp nhà bà Phương Thiều đến giáp nhà ông Hiên (từ giáp thửa đất số 04 tờ bản đồ số 22 đến thửa đất số 02 tờ bản đồ số 09)</t>
  </si>
  <si>
    <t>Từ thửa 2 tờ 9 (tờ BĐ Ngọc Vừng cũ) đến bãi biển</t>
  </si>
  <si>
    <t>Đường liên thôn xã Ngọc Vừng cũ - bám mặt đường: Từ giáp Tiểu đoàn đến hết nhà Tuyến Thoan (từ thửa đất số 14 tờ bản đồ số 12 đến thửa đất số 109 tờ bản đồ số 30)</t>
  </si>
  <si>
    <t>Đường Trường Chinh Đảo Ngọc Vừng: Từ thửa 67 tờ 833 đến thửa 4 tờ 823</t>
  </si>
  <si>
    <t>Đường liên thôn Bình Hải xã Ngọc Vừng cũ - bám mặt đường: Từ nhà ông Tuấn Anh đến hết nhà Mạnh Vui; Từ giáp nhà ông Trường đến hết nhà ông Đê; Từ giáp nhà ông Chiến Hồng đến nhà Chung Vân</t>
  </si>
  <si>
    <t>Đường liên thôn xã Ngọc Vừng cũ - bám mặt đường: Từ giáp nhà ông Thành Hiến đến nhà ông Khương Dung (từ giáp thửa đất số 67 tờ bản đồ số 30 đến thửa đất số 113 tờ bản đồ số 25)</t>
  </si>
  <si>
    <t>Đường liên thôn xã Ngọc Vừng cũ - bám mặt đường: Từ giáp nhà Chung Vân đến hồ Ngọc Thủy</t>
  </si>
  <si>
    <t>Đường liên thôn xã Ngọc Vừng cũ - bám mặt đường: Từ nhà Tân Tiến đến giáp nhà Hương Nghiêm (từ thửa đất số 31 tờ bản đồ số 25 đến giáp thửa đất số 238 tờ bản đồ số 26)</t>
  </si>
  <si>
    <t>Đường bê tông dọc bãi biển Trường Chinh xã Ngọc Vừng cũ (bám mặt đường) (từ thửa đất số 04 tờ bản đồ số 14 đến thửa đất số 03 tờ bản đồ số 16)</t>
  </si>
  <si>
    <t>Khu TĐC xã Ngọc Vừng (cũ)</t>
  </si>
  <si>
    <t xml:space="preserve">Khu nhà ở liền kề trung tâm xã Ngọc Vừng cũ </t>
  </si>
  <si>
    <t>Đảo Vạn Cảnh, Đảo Phượng Hoàng, Đảo Nứt Đất</t>
  </si>
  <si>
    <t>Thôn Bản Sen: Từ giáp cầu Lâm Trường đến Cảng Hòn Hai - bám mặt đường trong và ngoài: Tờ thửa đất số 29 tờ BĐ số 42 đến cảng Hòn Hai (xã Bản Sen cũ)</t>
  </si>
  <si>
    <t>Đường bê tông xã Bản Sen cũ- bám hai bên mặt đường: Từ giáp cầu Khe Cái đến giáp cầu Lâm Trường (từ thửa đấ số 527 tờ BĐ số 52 đến thửa đất số 29 tờ BĐ số 42)</t>
  </si>
  <si>
    <t>Từ ngã ba thôn Đông Lĩnh đến hết nhà bà Đặt - bám mặt đường: Từ thửa đất số 266 tờ BĐ số 52 đến thửa đất số 15 tờ BĐ số 59 (xã Bản Sen cũ)</t>
  </si>
  <si>
    <t>Thôn Bản Sen: Đường Bê tông giáp đỉnh dốc Nà Sắn đến cầu Khe Cái (từ thửa đất số 2 tờ BĐ số 49 đến thửa đất số 527 tờ BĐ số 52) (xã Bản Sen cũ)</t>
  </si>
  <si>
    <t>Thôn Bản Sen: Từ giáp nhà ông Thạch đến đỉnh dốc Nà Sắn (từ thửa đất số 12 tờ bản đồ số 63 đến thửa đất số 2 tờ bản đồ số 49) (xã Bản Sen cũ)</t>
  </si>
  <si>
    <t>Thôn Bản Sen: Từ thửa đất số 6 tờ BĐ số 63 đến thửa đất số 10 tờ BĐ số 68 (xã Bản sen cũ)</t>
  </si>
  <si>
    <t>Thôn Bản Sen: (Làng mới) bám mặt đường Từ thửa đất lâm nghiệp số 219 tờ BĐ số 05 đến thửa đất số 20 tờ BĐĐC số 51</t>
  </si>
  <si>
    <t>Các ô đất bám đường quy hoạch thuộc Khu tái định cư Bản Sen</t>
  </si>
  <si>
    <t>Tuyến đường nối từ Cầu Vân Đồn 3 đến khu tái định cư xã Đoàn Kết cũ</t>
  </si>
  <si>
    <t>PHỤ LỤC 1: BẢNG GIÁ ĐẤT PHI NÔNG NGHIỆP SỬA ĐỔI, BỔ SUNG TẠI NÔNG THÔN</t>
  </si>
  <si>
    <t>PHỤ LỤC 2: BẢNG GIÁ ĐẤT PHI NÔNG NGHIỆP SỬA ĐỔI BỔ SUNG TẠI ĐÔ THỊ</t>
  </si>
  <si>
    <t>(Ban hành kèm theo Nghị quyết số... ngày... tháng... năm 2026 của HĐND tỉnh Quảng Ninh)</t>
  </si>
  <si>
    <t>(Ban hành kèm theo Nghị quyết  số... ngày... tháng... năm 2026 của HĐND tỉnh Quảng Ninh)</t>
  </si>
  <si>
    <t>11.3</t>
  </si>
  <si>
    <t>Đề xuất chuyển sang PL 01. Lý do các thửa đất ở thuộc các thôn được xác định là đất ở tại nông thôn theo quy định tại khoản 3, Điều 15, Nghị quyết số 111/2025/UBTVQH 15 ngày 24/12/2025</t>
  </si>
  <si>
    <t>14.1</t>
  </si>
  <si>
    <t>Cổng chào thôn Hải Tiến</t>
  </si>
  <si>
    <t>Dốc cổng trời đi thôn Nam Hà</t>
  </si>
  <si>
    <t>14.2</t>
  </si>
  <si>
    <t>Ngã 3 cổng chào thôn Nam Hà</t>
  </si>
  <si>
    <t>15</t>
  </si>
  <si>
    <t>Cổng chào thôn Nam Đồng</t>
  </si>
  <si>
    <t>Ngã ba giao đường Lưỡng dụng</t>
  </si>
  <si>
    <t>Ngã ba đường Lưỡng dụng</t>
  </si>
  <si>
    <t>Đỉnh dốc thôn Nam Hà</t>
  </si>
  <si>
    <t>15.3</t>
  </si>
  <si>
    <t>Trạm điện cuối đường ra bãi biển Vàn Chảy</t>
  </si>
  <si>
    <t>Đường Lạc Long quân</t>
  </si>
  <si>
    <t>Cồng chào thôn Hồng Hải</t>
  </si>
  <si>
    <t>Ngã 3 đường cơ động Hồng Vàn</t>
  </si>
  <si>
    <t>17</t>
  </si>
  <si>
    <t>Đường lưỡng dụng kết nối phía Đông - Tây đảo Cô Tô lớn đoạn Nam Đồng - Nam Hà</t>
  </si>
  <si>
    <t>Ngã ba tiếp giáp đường 9/5</t>
  </si>
  <si>
    <t>Ngã ba tiếp giáp đường Âu Cơ</t>
  </si>
  <si>
    <t>Đường Bạch Đằng</t>
  </si>
  <si>
    <t>Đỉnh dốc thôn 3</t>
  </si>
  <si>
    <t>Hồ Bạch Vân</t>
  </si>
  <si>
    <t>Cổng chào đỉnh dốc thôn 1</t>
  </si>
  <si>
    <t>19</t>
  </si>
  <si>
    <t>Đồn biên phòng Thanh Lân</t>
  </si>
  <si>
    <t>Đường Ngô Quyền</t>
  </si>
  <si>
    <t>Ngã ba tiếp giáp đường Lê Lợi</t>
  </si>
  <si>
    <t>Bãi tắm Ba Châu</t>
  </si>
  <si>
    <t>Bãi biển C76</t>
  </si>
  <si>
    <t>- Đề xuất chuyển sang PL 01. Lý do các thửa đất ở thuộc các thôn được xác định là đất ở tại nông thôn theo quy định tại khoản 3, Điều 15, Nghị quyết số 111/2025/UBTVQH 15 ngày 24/12/2025; 
- Sửa lại tên cung đường do sai sót về địa danh khi cập nhật, chỉnh lý hồ sơ địa chính sau khi sắp xếp đơn vị hành chính</t>
  </si>
  <si>
    <t>Đường Trần Quốc Tảng</t>
  </si>
  <si>
    <t>Trạm kiểm soát quân sự Vụng Tây</t>
  </si>
  <si>
    <t>Đồn biên phòng Đảo Trần</t>
  </si>
  <si>
    <t>Đường từ cảng Thanh Lân đến chân cầu Vạn La</t>
  </si>
  <si>
    <t>Cảng Thanh Lân</t>
  </si>
  <si>
    <t>Chân cầu Vạn La</t>
  </si>
  <si>
    <t>23</t>
  </si>
  <si>
    <t>Hết thửa đất nhà bà Nhượng (thửa 4 TBĐ 204)</t>
  </si>
  <si>
    <t>24</t>
  </si>
  <si>
    <t>Khu dân cư kè xóm Nam Định; khu dân cư kè bao biển từ nhà ông Quyền đến trước cửa nhà Dương Thư; khu dân cư kè xóm Thanh Hóa</t>
  </si>
  <si>
    <t>Cảng quân sự Bắc Vàn</t>
  </si>
  <si>
    <t xml:space="preserve">Đề xuất chuyển sang PL 01. Lý do các thửa đất ở thuộc các thôn được xác định là đất ở tại nông thôn theo quy định tại khoản 3, Điều 15, Nghị quyết số 111/2025/UBTVQH 15 ngày 24/12/2025
'Tách cung đường từ mục 4.1 để phù hợp với hiện trạng cung đường thuộc khu vực nông thôn </t>
  </si>
  <si>
    <t>Khu dân cư tự xây hợp tác xã rau Chiến Thắng (bao gồm các thửa đất dân cư hiện hữu tiếp giáp dự án đã đầu tư hạ tầng), trừ dãy bám mặt đường chính đường 336</t>
  </si>
  <si>
    <t>Khu dân cư đô thị phường Cao Thắng (trừ dãy bám đường Bãi Muối,  dãy bám mặt đường Trường Sơn) do công ty TNHH 1 Thành viên Đầu tư và Xây dựng Đức Hoàng quản lý đầu tư</t>
  </si>
  <si>
    <t>B</t>
  </si>
  <si>
    <t>A</t>
  </si>
  <si>
    <t>Các ô đất tiếp giáp  đường Khe Cá</t>
  </si>
  <si>
    <t>PHỤ LỤC 1: BẢNG GIÁ ĐẤT PHI NÔNG NGHIỆP TẠI NÔNG THÔN</t>
  </si>
  <si>
    <t>PHỤ LỤC 2: BẢNG GIÁ ĐẤT PHI NÔNG NGHIỆP  TẠI ĐÔ THỊ</t>
  </si>
  <si>
    <t>VỊ TRÍ SỬA ĐỔI, BỐ SUNG</t>
  </si>
  <si>
    <t>CÁC VỊ TRÍ HỦY BỎ</t>
  </si>
  <si>
    <t>1.10</t>
  </si>
  <si>
    <t>1.11</t>
  </si>
  <si>
    <t>ĐIỀU CHỈNH TÊN VỊ TRÍ BẢNG GIÁ ĐẤT</t>
  </si>
  <si>
    <t>BÔ SUNG VỊ TRÍ TRONG BẢNG GIÁ ĐẤT</t>
  </si>
  <si>
    <t>ĐÍNH CHÍNH TÊN VỊ TRÍ TRÊN BẢNG GIÁ ĐẤT</t>
  </si>
  <si>
    <t>Ngã 3 tiếp giáp đường Lê Lợi</t>
  </si>
  <si>
    <t>Khu quy hoạch khu dân cư thôn Thác Bưởi 2, thôn Đồng Châu</t>
  </si>
  <si>
    <t>24.4</t>
  </si>
  <si>
    <t>24.6</t>
  </si>
  <si>
    <t>Khu tái định cư thôn Đồng Châu</t>
  </si>
  <si>
    <t>24.6.1</t>
  </si>
  <si>
    <t>Các ô đất bám đường 10,5m</t>
  </si>
  <si>
    <t>24.6.2</t>
  </si>
  <si>
    <t>Các ô đất bám đường 7,5m</t>
  </si>
  <si>
    <t>24.6.3</t>
  </si>
  <si>
    <t>Các ô đất bám đường 5,25m</t>
  </si>
  <si>
    <t>Khu Tái định cư Đường Ngang, phường Đông Mai (Trọn khu)</t>
  </si>
  <si>
    <t>Các ô đất bám đường Vũ Tướng</t>
  </si>
  <si>
    <t>Các ô đất bám đường rộng 10,5m</t>
  </si>
  <si>
    <t>Các ô đất bám đường rộng 7,5m</t>
  </si>
  <si>
    <t>Khu Tái định cư Biểu Nghi, phường Đông Mai (Trọn khu)</t>
  </si>
  <si>
    <t>16.1</t>
  </si>
  <si>
    <t>16.2</t>
  </si>
  <si>
    <t>Khu Quy hoạch dân cư số 1 Đìa Cốc</t>
  </si>
  <si>
    <t>Tuyến đường Hải An đoạn từ nút giao Phong Hải đến giáp phường Phong Cốc</t>
  </si>
  <si>
    <t>Nút giao Phong Hải</t>
  </si>
  <si>
    <t>Giáp phường Phong Cốc</t>
  </si>
  <si>
    <t>Khu dân cư tự xây sau Trạm điện và khu quy hoạch trạm điện Phong Hải</t>
  </si>
  <si>
    <t>Khu Quy hoạch dân cư Phong Hải 3</t>
  </si>
  <si>
    <t>Khu Quy hoạch dân cư cây Đước, khu phố Phong Hải 7</t>
  </si>
  <si>
    <t>Khu tái định cư dự án đường nối đường cao tốc Hạ Long – Hải Phòng với khu công nghiệp Nam Tiền Phong (khu phố Liên Hòa 6)</t>
  </si>
  <si>
    <t>Đoạn từ thửa 119/TBĐ 128 và thửa 109/TBĐ 128 đến ngã 3 đường kênh 36 (gồm các khu phố: Đông, Đình, Quán, Bầu, Bấc, Hàn, Nam 1, Nam 2)</t>
  </si>
  <si>
    <t>10.2</t>
  </si>
  <si>
    <t>C</t>
  </si>
  <si>
    <t>Khu tái định cư Bãi Muối (bao gồm các thửa đất dân cư hiện hữu giáp dự án đã đầu tư hạ tầng), trừ dãy bám mặt đường Trường Sơn</t>
  </si>
  <si>
    <t>1.9</t>
  </si>
  <si>
    <t>3.4</t>
  </si>
  <si>
    <t>30.1</t>
  </si>
  <si>
    <t>30.2</t>
  </si>
  <si>
    <t>45.1</t>
  </si>
  <si>
    <t>SỬA ĐỔI TÊN VỊ TRÍ BẢNG GIÁ ĐẤT</t>
  </si>
  <si>
    <t xml:space="preserve">42.12 </t>
  </si>
  <si>
    <t>Biểu số 01
SỬA ĐỔI, BỔ SUNG MỘT SỐ VỊ TRÍ GIÁ ĐẤT TẠI PHỤ LỤC SỐ 01 BẢNG GIÁ ĐẤT PHI NÔNG NGHIỆP TẠI NÔNG THÔN  
BAN HÀNH KÈM NGHỊ QUYẾT SỐ 100/2025/NQ-HĐND NGÀY 16/12/2025 CỦA HỘI ĐỒNG NHÂN DÂN TỈNH QUẢNG NINH</t>
  </si>
  <si>
    <t>Biểu số 02
SỬA ĐỔI, BỔ SUNG MỘT SỐ VỊ TRÍ GIÁ ĐẤT TẠI PHỤ LỤC SỐ 02 BẢNG GIÁ ĐẤT PHI NÔNG NGHIỆP TẠI ĐÔ THỊ  
BAN HÀNH KÈM NGHỊ QUYẾT SỐ 100/2025/NQ-HĐND NGÀY 16/12/2025 CỦA HỘI ĐỒNG NHÂN DÂN TỈNH QUẢNG NINH</t>
  </si>
  <si>
    <t>CÁC VỊ TRÍ HỦY BỎ TẠI PHỤ LỤC SỐ 01 - BẢNG GIÁ ĐẤT PHI NÔNG NGHIỆP TẠI NÔNG THÔN</t>
  </si>
  <si>
    <t>CÁC VỊ TRÍ HỦY BỎ TẠI PHỤ LỤC SỐ 02 - BẢNG GIÁ ĐẤT PHI NÔNG NGHIỆP TẠI ĐÔ THỊ</t>
  </si>
  <si>
    <t>Biểu số 03
HUỶ BỎ MỘT SỐ VỊ TRÍ GIÁ ĐẤT TẠI PHỤ LỤC SỐ 01 VÀ PHỤ LỤC SỐ 02 
BAN HÀNH KÈM NGHỊ QUYẾT SỐ 100/2025/NQ-HĐND NGÀY 16/12/2025 CỦA HỘI ĐỒNG NHÂN DÂN TỈNH QUẢNG NINH</t>
  </si>
  <si>
    <t>(Ban hành kèm theo Nghị quyết số 13/2026/NQ-HĐND ngày 09 tháng 7 năm 2026 của Hội đồng nhân dân tỉnh Quảng Ninh)</t>
  </si>
  <si>
    <t>Đoạn từ ngầm Vũ Oai đến lối rẽ thôn Đồng Chùa, thôn Đồng Cháy</t>
  </si>
  <si>
    <t xml:space="preserve"> Đoạn từ lối rẽ vào thôn Đồng Chùa, thôn Đồng Cháy (đoạn qua thôn Vũ Oai) đến hầm chui cao tốc Hạ Long -Vân Đồn</t>
  </si>
  <si>
    <t xml:space="preserve">Khu dân cư bám đường Khu tự xây Công ty Thương mại và khu tự xây công nghiệp tàu thuỷ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</si>
</sst>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 _₫_-;\-* #,##0.00\ _₫_-;_-* &quot;-&quot;??\ _₫_-;_-@_-"/>
    <numFmt numFmtId="165" formatCode="_(* #,##0_);_(* \(#,##0\);_(* &quot;-&quot;??_);_(@_)"/>
    <numFmt numFmtId="166" formatCode="_-* #,##0\ _₫_-;\-* #,##0\ _₫_-;_-* &quot;-&quot;??\ _₫_-;_-@_-"/>
    <numFmt numFmtId="167" formatCode="0.0"/>
    <numFmt numFmtId="168" formatCode="d\.m"/>
  </numFmts>
  <fonts count="32" x14ac:knownFonts="1">
    <font>
      <sz val="11"/>
      <color theme="1"/>
      <name val="Calibri"/>
      <family val="2"/>
      <charset val="163"/>
      <scheme val="minor"/>
    </font>
    <font>
      <sz val="11"/>
      <color theme="1"/>
      <name val="Calibri"/>
      <family val="2"/>
      <charset val="163"/>
      <scheme val="minor"/>
    </font>
    <font>
      <b/>
      <sz val="11"/>
      <color rgb="FF000000"/>
      <name val="Times New Roman"/>
      <family val="1"/>
    </font>
    <font>
      <sz val="11"/>
      <color rgb="FF000000"/>
      <name val="Times New Roman"/>
      <family val="1"/>
    </font>
    <font>
      <sz val="11"/>
      <color theme="1"/>
      <name val="Times New Roman"/>
      <family val="1"/>
    </font>
    <font>
      <i/>
      <sz val="11"/>
      <color rgb="FF000000"/>
      <name val="Times New Roman"/>
      <family val="1"/>
    </font>
    <font>
      <sz val="11"/>
      <name val="Times New Roman"/>
      <family val="1"/>
    </font>
    <font>
      <b/>
      <sz val="11"/>
      <color theme="1"/>
      <name val="Times New Roman"/>
      <family val="1"/>
    </font>
    <font>
      <sz val="13"/>
      <color theme="1"/>
      <name val="Times New Roman"/>
      <family val="1"/>
    </font>
    <font>
      <sz val="13"/>
      <name val="Times New Roman"/>
      <family val="1"/>
    </font>
    <font>
      <u/>
      <sz val="11"/>
      <color theme="10"/>
      <name val="Calibri"/>
      <family val="2"/>
      <charset val="163"/>
      <scheme val="minor"/>
    </font>
    <font>
      <b/>
      <sz val="11"/>
      <name val="Times New Roman"/>
      <family val="1"/>
    </font>
    <font>
      <sz val="11"/>
      <color theme="0"/>
      <name val="Times New Roman"/>
      <family val="1"/>
    </font>
    <font>
      <sz val="14"/>
      <color theme="1"/>
      <name val="Times New Roman"/>
      <family val="1"/>
    </font>
    <font>
      <i/>
      <sz val="11"/>
      <name val="Times New Roman"/>
      <family val="1"/>
    </font>
    <font>
      <sz val="11"/>
      <color theme="1"/>
      <name val="Calibri"/>
      <family val="2"/>
      <scheme val="minor"/>
    </font>
    <font>
      <sz val="11"/>
      <color rgb="FFFF0000"/>
      <name val="Times New Roman"/>
      <family val="1"/>
    </font>
    <font>
      <b/>
      <sz val="13"/>
      <color theme="1"/>
      <name val="Times New Roman"/>
      <family val="1"/>
    </font>
    <font>
      <sz val="10"/>
      <name val="Times New Roman"/>
      <family val="1"/>
    </font>
    <font>
      <b/>
      <sz val="11"/>
      <color theme="1"/>
      <name val="Calibri"/>
      <family val="2"/>
      <scheme val="minor"/>
    </font>
    <font>
      <sz val="12"/>
      <name val="Times New Roman"/>
      <family val="1"/>
    </font>
    <font>
      <b/>
      <sz val="12"/>
      <name val="Times New Roman"/>
      <family val="1"/>
    </font>
    <font>
      <sz val="11"/>
      <name val="Calibri"/>
      <family val="2"/>
      <charset val="163"/>
      <scheme val="minor"/>
    </font>
    <font>
      <sz val="12"/>
      <name val="Calibri"/>
      <family val="2"/>
      <charset val="163"/>
      <scheme val="minor"/>
    </font>
    <font>
      <b/>
      <sz val="13"/>
      <color rgb="FF000000"/>
      <name val="Times New Roman"/>
      <family val="1"/>
    </font>
    <font>
      <b/>
      <sz val="13"/>
      <name val="Times New Roman"/>
      <family val="1"/>
    </font>
    <font>
      <i/>
      <sz val="14"/>
      <name val="Times New Roman"/>
      <family val="1"/>
    </font>
    <font>
      <sz val="14"/>
      <name val="Times New Roman"/>
      <family val="1"/>
    </font>
    <font>
      <i/>
      <sz val="16"/>
      <name val="Times New Roman"/>
      <family val="1"/>
    </font>
    <font>
      <sz val="16"/>
      <name val="Times New Roman"/>
      <family val="1"/>
    </font>
    <font>
      <i/>
      <sz val="14"/>
      <color rgb="FF000000"/>
      <name val="Times New Roman"/>
      <family val="1"/>
    </font>
    <font>
      <b/>
      <sz val="14"/>
      <color rgb="FF000000"/>
      <name val="Times New Roman"/>
      <family val="1"/>
    </font>
  </fonts>
  <fills count="6">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rgb="FFFFFFFF"/>
        <bgColor indexed="64"/>
      </patternFill>
    </fill>
    <fill>
      <patternFill patternType="solid">
        <fgColor rgb="FFFFFFFF"/>
        <bgColor rgb="FFFFFFFF"/>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4">
    <xf numFmtId="0" fontId="0" fillId="0" borderId="0"/>
    <xf numFmtId="164" fontId="1" fillId="0" borderId="0" applyFont="0" applyFill="0" applyBorder="0" applyAlignment="0" applyProtection="0"/>
    <xf numFmtId="0" fontId="10" fillId="0" borderId="0" applyNumberFormat="0" applyFill="0" applyBorder="0" applyAlignment="0" applyProtection="0"/>
    <xf numFmtId="0" fontId="15" fillId="0" borderId="0"/>
  </cellStyleXfs>
  <cellXfs count="526">
    <xf numFmtId="0" fontId="0" fillId="0" borderId="0" xfId="0"/>
    <xf numFmtId="0" fontId="3" fillId="0" borderId="0" xfId="0" applyFont="1" applyAlignment="1">
      <alignment horizontal="center" vertical="center" wrapText="1"/>
    </xf>
    <xf numFmtId="3" fontId="3" fillId="0" borderId="0" xfId="0" applyNumberFormat="1" applyFont="1" applyAlignment="1">
      <alignment horizontal="center" vertical="center"/>
    </xf>
    <xf numFmtId="3" fontId="2" fillId="0" borderId="0" xfId="0" applyNumberFormat="1" applyFont="1" applyAlignment="1">
      <alignment horizontal="center" vertical="center"/>
    </xf>
    <xf numFmtId="0" fontId="3" fillId="0" borderId="0" xfId="0" applyFont="1" applyAlignment="1">
      <alignment horizontal="center" vertical="center"/>
    </xf>
    <xf numFmtId="3" fontId="2" fillId="0" borderId="0" xfId="0" applyNumberFormat="1" applyFont="1" applyAlignment="1">
      <alignment horizontal="right" vertical="center"/>
    </xf>
    <xf numFmtId="0" fontId="3" fillId="0" borderId="0" xfId="0" applyFont="1" applyAlignment="1">
      <alignment horizontal="left" vertical="center" wrapText="1"/>
    </xf>
    <xf numFmtId="0" fontId="4" fillId="0" borderId="0" xfId="0" applyFont="1" applyAlignment="1">
      <alignment horizontal="center" vertical="center"/>
    </xf>
    <xf numFmtId="49" fontId="5" fillId="0" borderId="0" xfId="0" applyNumberFormat="1" applyFont="1" applyAlignment="1">
      <alignment horizontal="center" vertical="center"/>
    </xf>
    <xf numFmtId="0" fontId="4" fillId="0" borderId="0" xfId="0" applyFont="1" applyAlignment="1">
      <alignment horizontal="left" vertical="center"/>
    </xf>
    <xf numFmtId="3" fontId="4" fillId="0" borderId="0" xfId="0" applyNumberFormat="1" applyFont="1" applyAlignment="1">
      <alignment horizontal="center" vertical="center"/>
    </xf>
    <xf numFmtId="49" fontId="5" fillId="0" borderId="1" xfId="0" applyNumberFormat="1" applyFont="1" applyBorder="1" applyAlignment="1">
      <alignment horizontal="center" vertical="center"/>
    </xf>
    <xf numFmtId="0" fontId="4"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justify" vertical="center" wrapText="1"/>
    </xf>
    <xf numFmtId="3" fontId="3"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4" fillId="0" borderId="1" xfId="0" applyFont="1" applyBorder="1"/>
    <xf numFmtId="0" fontId="7" fillId="0" borderId="1" xfId="0" applyFont="1" applyBorder="1" applyAlignment="1">
      <alignment horizontal="center" vertical="center"/>
    </xf>
    <xf numFmtId="0" fontId="4"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3" fontId="3" fillId="0" borderId="2" xfId="0" applyNumberFormat="1" applyFont="1" applyBorder="1" applyAlignment="1">
      <alignment horizontal="center" vertical="center" wrapText="1"/>
    </xf>
    <xf numFmtId="0" fontId="6" fillId="0" borderId="1" xfId="0" applyFont="1" applyBorder="1" applyAlignment="1">
      <alignment horizontal="left" vertical="center" wrapText="1"/>
    </xf>
    <xf numFmtId="3" fontId="6" fillId="0" borderId="1" xfId="0" applyNumberFormat="1" applyFont="1" applyBorder="1" applyAlignment="1">
      <alignment horizontal="center" vertical="center" wrapText="1"/>
    </xf>
    <xf numFmtId="3" fontId="6" fillId="0" borderId="2" xfId="0" applyNumberFormat="1" applyFont="1" applyBorder="1" applyAlignment="1">
      <alignment horizontal="center" vertical="center" wrapText="1"/>
    </xf>
    <xf numFmtId="3" fontId="2" fillId="0" borderId="2" xfId="0" applyNumberFormat="1" applyFont="1" applyBorder="1" applyAlignment="1">
      <alignment horizontal="center" vertical="center"/>
    </xf>
    <xf numFmtId="165" fontId="8" fillId="0" borderId="1" xfId="1" applyNumberFormat="1" applyFont="1" applyBorder="1" applyAlignment="1">
      <alignment vertical="center" wrapText="1"/>
    </xf>
    <xf numFmtId="37" fontId="6" fillId="0" borderId="1" xfId="0" applyNumberFormat="1" applyFont="1" applyBorder="1" applyAlignment="1">
      <alignment horizontal="center" vertical="center"/>
    </xf>
    <xf numFmtId="49" fontId="4"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6" xfId="0" applyFont="1" applyBorder="1" applyAlignment="1">
      <alignment horizontal="center" vertical="center"/>
    </xf>
    <xf numFmtId="0" fontId="3" fillId="0" borderId="1" xfId="0" applyFont="1" applyBorder="1" applyAlignment="1">
      <alignment horizontal="left" vertical="center"/>
    </xf>
    <xf numFmtId="3" fontId="3" fillId="0" borderId="5" xfId="0" applyNumberFormat="1" applyFont="1" applyBorder="1" applyAlignment="1">
      <alignment horizontal="center" vertical="center"/>
    </xf>
    <xf numFmtId="3" fontId="3" fillId="0" borderId="8" xfId="0" applyNumberFormat="1" applyFont="1" applyBorder="1" applyAlignment="1">
      <alignment horizontal="center" vertical="center"/>
    </xf>
    <xf numFmtId="3" fontId="3" fillId="0" borderId="7" xfId="0" applyNumberFormat="1" applyFont="1" applyBorder="1" applyAlignment="1">
      <alignment horizontal="center" vertical="center"/>
    </xf>
    <xf numFmtId="3" fontId="3" fillId="0" borderId="9" xfId="0" applyNumberFormat="1" applyFont="1" applyBorder="1" applyAlignment="1">
      <alignment horizontal="center" vertical="center"/>
    </xf>
    <xf numFmtId="3" fontId="3" fillId="0" borderId="6" xfId="0" applyNumberFormat="1" applyFont="1" applyBorder="1" applyAlignment="1">
      <alignment horizontal="center" vertical="center"/>
    </xf>
    <xf numFmtId="3" fontId="3" fillId="0" borderId="10" xfId="0" applyNumberFormat="1"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vertical="center" wrapText="1"/>
    </xf>
    <xf numFmtId="3" fontId="3" fillId="0" borderId="1" xfId="0" applyNumberFormat="1" applyFont="1" applyBorder="1" applyAlignment="1">
      <alignment vertical="center" wrapText="1"/>
    </xf>
    <xf numFmtId="165" fontId="9" fillId="0" borderId="1" xfId="1" applyNumberFormat="1" applyFont="1" applyBorder="1" applyAlignment="1">
      <alignment vertical="center" wrapText="1"/>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3" fillId="0" borderId="11" xfId="0" applyFont="1" applyBorder="1" applyAlignment="1">
      <alignment horizontal="left" vertical="center" wrapText="1"/>
    </xf>
    <xf numFmtId="165" fontId="4" fillId="0" borderId="1" xfId="1" applyNumberFormat="1" applyFont="1" applyBorder="1" applyAlignment="1">
      <alignment vertical="center" wrapText="1"/>
    </xf>
    <xf numFmtId="0" fontId="3" fillId="0" borderId="6" xfId="0" applyFont="1" applyBorder="1" applyAlignment="1">
      <alignment horizontal="left" vertical="center"/>
    </xf>
    <xf numFmtId="0" fontId="3" fillId="0" borderId="13" xfId="0" applyFont="1" applyBorder="1" applyAlignment="1">
      <alignment horizontal="center" vertical="center" wrapText="1"/>
    </xf>
    <xf numFmtId="3" fontId="3" fillId="0" borderId="1" xfId="0" applyNumberFormat="1" applyFont="1" applyBorder="1" applyAlignment="1">
      <alignment horizontal="right" vertical="center" wrapText="1"/>
    </xf>
    <xf numFmtId="3" fontId="2" fillId="0" borderId="1" xfId="0" applyNumberFormat="1" applyFont="1" applyBorder="1" applyAlignment="1">
      <alignment horizontal="center" vertical="center" wrapText="1"/>
    </xf>
    <xf numFmtId="0" fontId="3" fillId="0" borderId="14" xfId="0" applyFont="1" applyBorder="1" applyAlignment="1">
      <alignment horizontal="left" vertical="center" wrapText="1"/>
    </xf>
    <xf numFmtId="0" fontId="3" fillId="0" borderId="11" xfId="0" applyFont="1" applyBorder="1" applyAlignment="1">
      <alignment horizontal="center" vertical="center" wrapText="1"/>
    </xf>
    <xf numFmtId="3" fontId="3" fillId="0" borderId="11"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xf numFmtId="165" fontId="4"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xf>
    <xf numFmtId="166" fontId="4" fillId="0" borderId="1" xfId="1" applyNumberFormat="1" applyFont="1" applyFill="1" applyBorder="1" applyAlignment="1">
      <alignment horizontal="center" vertical="center"/>
    </xf>
    <xf numFmtId="166" fontId="7" fillId="0" borderId="1" xfId="1" applyNumberFormat="1" applyFont="1" applyFill="1" applyBorder="1" applyAlignment="1">
      <alignment horizontal="center" vertical="center"/>
    </xf>
    <xf numFmtId="166" fontId="4" fillId="0" borderId="2" xfId="1" applyNumberFormat="1" applyFont="1" applyFill="1" applyBorder="1" applyAlignment="1">
      <alignment horizontal="center" vertical="center"/>
    </xf>
    <xf numFmtId="0" fontId="7" fillId="0" borderId="1" xfId="0" applyFont="1" applyBorder="1" applyAlignment="1">
      <alignment horizontal="left" vertical="center" wrapText="1"/>
    </xf>
    <xf numFmtId="167" fontId="10" fillId="0" borderId="1" xfId="2" applyNumberFormat="1" applyFill="1" applyBorder="1" applyAlignment="1">
      <alignment horizontal="center" vertical="center" wrapText="1"/>
    </xf>
    <xf numFmtId="167" fontId="3" fillId="0" borderId="1" xfId="0" applyNumberFormat="1" applyFont="1" applyBorder="1" applyAlignment="1">
      <alignment horizontal="center" vertical="center" wrapText="1"/>
    </xf>
    <xf numFmtId="0" fontId="3" fillId="2" borderId="6"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2" fontId="3" fillId="0" borderId="1" xfId="0" applyNumberFormat="1" applyFont="1" applyBorder="1" applyAlignment="1">
      <alignment horizontal="center" vertical="center" wrapText="1"/>
    </xf>
    <xf numFmtId="0" fontId="3" fillId="0" borderId="15" xfId="0" applyFont="1" applyBorder="1" applyAlignment="1">
      <alignment horizontal="left" vertical="center" wrapText="1"/>
    </xf>
    <xf numFmtId="3" fontId="3" fillId="0" borderId="15" xfId="0" applyNumberFormat="1" applyFont="1" applyBorder="1" applyAlignment="1">
      <alignment horizontal="center" vertical="center" wrapText="1"/>
    </xf>
    <xf numFmtId="167" fontId="2" fillId="0" borderId="6" xfId="0" applyNumberFormat="1" applyFont="1" applyBorder="1" applyAlignment="1">
      <alignment horizontal="center" vertical="center"/>
    </xf>
    <xf numFmtId="167" fontId="3" fillId="0" borderId="6" xfId="1" applyNumberFormat="1" applyFont="1" applyFill="1" applyBorder="1" applyAlignment="1">
      <alignment horizontal="center" vertical="center"/>
    </xf>
    <xf numFmtId="0" fontId="3" fillId="2" borderId="6" xfId="0" applyFont="1" applyFill="1" applyBorder="1" applyAlignment="1">
      <alignment horizontal="left" vertical="center"/>
    </xf>
    <xf numFmtId="167" fontId="3" fillId="0" borderId="6" xfId="0" applyNumberFormat="1" applyFont="1" applyBorder="1" applyAlignment="1">
      <alignment horizontal="center" vertical="center" wrapText="1"/>
    </xf>
    <xf numFmtId="0" fontId="3" fillId="3" borderId="11"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0" borderId="3" xfId="0" applyFont="1" applyBorder="1" applyAlignment="1">
      <alignment horizontal="left"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xf>
    <xf numFmtId="0" fontId="3" fillId="2" borderId="6"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3" fontId="7" fillId="0" borderId="1" xfId="0" applyNumberFormat="1" applyFont="1" applyBorder="1" applyAlignment="1">
      <alignment horizontal="center" vertical="center" wrapText="1"/>
    </xf>
    <xf numFmtId="3" fontId="4" fillId="0" borderId="0" xfId="0" applyNumberFormat="1" applyFont="1" applyAlignment="1">
      <alignment horizontal="center" vertical="center" wrapText="1"/>
    </xf>
    <xf numFmtId="3" fontId="4" fillId="0" borderId="5" xfId="0" applyNumberFormat="1" applyFont="1" applyBorder="1" applyAlignment="1">
      <alignment horizontal="center" vertical="center" wrapText="1"/>
    </xf>
    <xf numFmtId="3" fontId="4" fillId="0" borderId="8" xfId="0" applyNumberFormat="1" applyFont="1" applyBorder="1" applyAlignment="1">
      <alignment horizontal="center" vertical="center" wrapText="1"/>
    </xf>
    <xf numFmtId="3" fontId="4" fillId="0" borderId="6" xfId="0" applyNumberFormat="1" applyFont="1" applyBorder="1" applyAlignment="1">
      <alignment horizontal="center" vertical="center" wrapText="1"/>
    </xf>
    <xf numFmtId="3" fontId="4" fillId="0" borderId="10" xfId="0" applyNumberFormat="1" applyFont="1" applyBorder="1" applyAlignment="1">
      <alignment horizontal="center" vertical="center" wrapText="1"/>
    </xf>
    <xf numFmtId="3" fontId="4" fillId="0" borderId="11" xfId="0" applyNumberFormat="1" applyFont="1" applyBorder="1" applyAlignment="1">
      <alignment horizontal="center" vertical="center" wrapText="1"/>
    </xf>
    <xf numFmtId="3" fontId="4" fillId="0" borderId="11" xfId="0" applyNumberFormat="1" applyFont="1" applyBorder="1" applyAlignment="1">
      <alignment horizontal="left" vertical="center"/>
    </xf>
    <xf numFmtId="0" fontId="4" fillId="0" borderId="11" xfId="0" applyFont="1" applyBorder="1" applyAlignment="1">
      <alignment horizontal="center" vertical="center" wrapText="1"/>
    </xf>
    <xf numFmtId="0" fontId="4" fillId="0" borderId="2" xfId="0" applyFont="1" applyBorder="1" applyAlignment="1">
      <alignment horizontal="center" vertical="center" wrapText="1"/>
    </xf>
    <xf numFmtId="49" fontId="6" fillId="0" borderId="1" xfId="0" applyNumberFormat="1" applyFont="1" applyBorder="1" applyAlignment="1">
      <alignment horizontal="center" vertical="center" wrapText="1"/>
    </xf>
    <xf numFmtId="3" fontId="12" fillId="0" borderId="1" xfId="0" applyNumberFormat="1" applyFont="1" applyBorder="1" applyAlignment="1">
      <alignment horizontal="center" vertical="center" wrapText="1"/>
    </xf>
    <xf numFmtId="3" fontId="12" fillId="0" borderId="2" xfId="0" applyNumberFormat="1" applyFont="1" applyBorder="1" applyAlignment="1">
      <alignment horizontal="center" vertical="center" wrapText="1"/>
    </xf>
    <xf numFmtId="0" fontId="12" fillId="0" borderId="0" xfId="0" applyFont="1" applyAlignment="1">
      <alignment horizontal="center" vertical="center"/>
    </xf>
    <xf numFmtId="0" fontId="8" fillId="0" borderId="1" xfId="0" applyFont="1" applyBorder="1" applyAlignment="1">
      <alignment vertical="center" wrapText="1"/>
    </xf>
    <xf numFmtId="0" fontId="4" fillId="0" borderId="18" xfId="0" applyFont="1" applyBorder="1" applyAlignment="1">
      <alignment horizontal="center" vertical="center" wrapText="1"/>
    </xf>
    <xf numFmtId="49" fontId="3" fillId="0" borderId="1" xfId="0" applyNumberFormat="1"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left" vertical="center"/>
    </xf>
    <xf numFmtId="0" fontId="2" fillId="0" borderId="5" xfId="0" applyFont="1" applyBorder="1" applyAlignment="1">
      <alignment horizontal="center" vertical="center" wrapText="1"/>
    </xf>
    <xf numFmtId="3" fontId="2" fillId="0" borderId="5" xfId="0" applyNumberFormat="1" applyFont="1" applyBorder="1" applyAlignment="1">
      <alignment horizontal="center" vertical="center"/>
    </xf>
    <xf numFmtId="3" fontId="2" fillId="0" borderId="8" xfId="0" applyNumberFormat="1" applyFont="1" applyBorder="1" applyAlignment="1">
      <alignment horizontal="center" vertical="center"/>
    </xf>
    <xf numFmtId="3" fontId="7" fillId="0" borderId="3" xfId="0" applyNumberFormat="1"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3" fontId="2" fillId="0" borderId="6" xfId="0" applyNumberFormat="1" applyFont="1" applyBorder="1" applyAlignment="1">
      <alignment horizontal="center" vertical="center"/>
    </xf>
    <xf numFmtId="3" fontId="7" fillId="0" borderId="6" xfId="0" applyNumberFormat="1" applyFont="1" applyBorder="1" applyAlignment="1">
      <alignment horizontal="center" vertical="center" wrapText="1"/>
    </xf>
    <xf numFmtId="3" fontId="7" fillId="0" borderId="19" xfId="0" applyNumberFormat="1" applyFont="1" applyBorder="1" applyAlignment="1">
      <alignment horizontal="center" vertical="center" wrapText="1"/>
    </xf>
    <xf numFmtId="3" fontId="7" fillId="0" borderId="17" xfId="0" applyNumberFormat="1" applyFont="1" applyBorder="1" applyAlignment="1">
      <alignment horizontal="center" vertical="center" wrapText="1"/>
    </xf>
    <xf numFmtId="0" fontId="2" fillId="0" borderId="6" xfId="0" applyFont="1" applyBorder="1" applyAlignment="1">
      <alignment horizontal="center" vertical="center" wrapText="1"/>
    </xf>
    <xf numFmtId="3" fontId="2" fillId="0" borderId="10" xfId="0" applyNumberFormat="1" applyFont="1" applyBorder="1" applyAlignment="1">
      <alignment horizontal="center" vertical="center"/>
    </xf>
    <xf numFmtId="3" fontId="3" fillId="0" borderId="0" xfId="0" applyNumberFormat="1" applyFont="1" applyAlignment="1">
      <alignment horizontal="center" vertical="center" wrapText="1"/>
    </xf>
    <xf numFmtId="3" fontId="2" fillId="0" borderId="19" xfId="0" applyNumberFormat="1" applyFont="1" applyBorder="1" applyAlignment="1">
      <alignment horizontal="center" vertical="center"/>
    </xf>
    <xf numFmtId="3" fontId="2" fillId="0" borderId="17" xfId="0" applyNumberFormat="1" applyFont="1" applyBorder="1" applyAlignment="1">
      <alignment horizontal="center" vertical="center"/>
    </xf>
    <xf numFmtId="3" fontId="2" fillId="0" borderId="13" xfId="0" applyNumberFormat="1" applyFont="1" applyBorder="1" applyAlignment="1">
      <alignment horizontal="center" vertical="center" wrapText="1"/>
    </xf>
    <xf numFmtId="3" fontId="2" fillId="0" borderId="20" xfId="0" applyNumberFormat="1" applyFont="1" applyBorder="1" applyAlignment="1">
      <alignment horizontal="center" vertical="center" wrapText="1"/>
    </xf>
    <xf numFmtId="3" fontId="2" fillId="0" borderId="21" xfId="0" applyNumberFormat="1" applyFont="1" applyBorder="1" applyAlignment="1">
      <alignment horizontal="center" vertical="center" wrapText="1"/>
    </xf>
    <xf numFmtId="3" fontId="2" fillId="0" borderId="0" xfId="0" applyNumberFormat="1" applyFont="1" applyAlignment="1">
      <alignment horizontal="center" vertical="center" wrapText="1"/>
    </xf>
    <xf numFmtId="49" fontId="3" fillId="0" borderId="22" xfId="0" applyNumberFormat="1" applyFont="1" applyBorder="1" applyAlignment="1">
      <alignment horizontal="center" vertical="center" wrapText="1"/>
    </xf>
    <xf numFmtId="0" fontId="3" fillId="0" borderId="22" xfId="0" applyFont="1" applyBorder="1" applyAlignment="1">
      <alignment horizontal="left" vertical="center" wrapText="1"/>
    </xf>
    <xf numFmtId="3" fontId="2" fillId="0" borderId="13" xfId="0" applyNumberFormat="1" applyFont="1" applyBorder="1" applyAlignment="1">
      <alignment horizontal="center" vertical="center"/>
    </xf>
    <xf numFmtId="0" fontId="3" fillId="0" borderId="5" xfId="0" applyFont="1" applyBorder="1" applyAlignment="1">
      <alignment vertical="center" wrapText="1"/>
    </xf>
    <xf numFmtId="165" fontId="8" fillId="0" borderId="1" xfId="1" applyNumberFormat="1" applyFont="1" applyFill="1" applyBorder="1" applyAlignment="1">
      <alignment vertical="center" wrapText="1"/>
    </xf>
    <xf numFmtId="3" fontId="4" fillId="0" borderId="2" xfId="0" applyNumberFormat="1" applyFont="1" applyBorder="1" applyAlignment="1">
      <alignment horizontal="center" vertical="center"/>
    </xf>
    <xf numFmtId="3" fontId="2" fillId="0" borderId="4" xfId="0" applyNumberFormat="1" applyFont="1" applyBorder="1" applyAlignment="1">
      <alignment horizontal="center" vertical="center"/>
    </xf>
    <xf numFmtId="0" fontId="6" fillId="0" borderId="1" xfId="0" applyFont="1" applyBorder="1" applyAlignment="1">
      <alignment vertical="center" wrapText="1"/>
    </xf>
    <xf numFmtId="3" fontId="3" fillId="0" borderId="11" xfId="0" applyNumberFormat="1" applyFont="1" applyBorder="1" applyAlignment="1">
      <alignment horizontal="right" vertical="center" wrapText="1"/>
    </xf>
    <xf numFmtId="3" fontId="3" fillId="0" borderId="18" xfId="0" applyNumberFormat="1" applyFont="1" applyBorder="1" applyAlignment="1">
      <alignment horizontal="right" vertical="center" wrapText="1"/>
    </xf>
    <xf numFmtId="0" fontId="3" fillId="0" borderId="1" xfId="0" applyFont="1" applyBorder="1" applyAlignment="1">
      <alignment horizontal="right" vertical="center" wrapText="1"/>
    </xf>
    <xf numFmtId="3" fontId="3" fillId="0" borderId="14" xfId="0" applyNumberFormat="1" applyFont="1" applyBorder="1" applyAlignment="1">
      <alignment horizontal="right" vertical="center" wrapText="1"/>
    </xf>
    <xf numFmtId="0" fontId="3" fillId="0" borderId="18" xfId="0" applyFont="1" applyBorder="1" applyAlignment="1">
      <alignment horizontal="right" vertical="center" wrapText="1"/>
    </xf>
    <xf numFmtId="0" fontId="3" fillId="0" borderId="2" xfId="0" applyFont="1" applyBorder="1" applyAlignment="1">
      <alignment horizontal="right" vertical="center" wrapText="1"/>
    </xf>
    <xf numFmtId="2" fontId="3"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3" fontId="3" fillId="0" borderId="4" xfId="0" applyNumberFormat="1" applyFont="1" applyBorder="1" applyAlignment="1">
      <alignment horizontal="center" vertical="center"/>
    </xf>
    <xf numFmtId="49" fontId="3" fillId="0" borderId="11" xfId="0" applyNumberFormat="1" applyFont="1" applyBorder="1" applyAlignment="1">
      <alignment horizontal="center" vertical="center"/>
    </xf>
    <xf numFmtId="0" fontId="3" fillId="0" borderId="4" xfId="0" applyFont="1" applyBorder="1" applyAlignment="1">
      <alignment horizontal="left" vertical="center" wrapText="1"/>
    </xf>
    <xf numFmtId="0" fontId="3" fillId="0" borderId="15" xfId="0" applyFont="1" applyBorder="1" applyAlignment="1">
      <alignment horizontal="right" vertical="center" wrapText="1"/>
    </xf>
    <xf numFmtId="0" fontId="3" fillId="0" borderId="19" xfId="0" applyFont="1" applyBorder="1" applyAlignment="1">
      <alignment horizontal="left" vertical="center" wrapText="1"/>
    </xf>
    <xf numFmtId="0" fontId="3" fillId="0" borderId="6" xfId="0" applyFont="1" applyBorder="1" applyAlignment="1">
      <alignment horizontal="center" vertical="center" wrapText="1"/>
    </xf>
    <xf numFmtId="3" fontId="3" fillId="0" borderId="15" xfId="0" applyNumberFormat="1" applyFont="1" applyBorder="1" applyAlignment="1">
      <alignment horizontal="right" vertical="center" wrapText="1"/>
    </xf>
    <xf numFmtId="0" fontId="3" fillId="0" borderId="11" xfId="0" applyFont="1" applyBorder="1" applyAlignment="1">
      <alignment horizontal="right" vertical="center" wrapText="1"/>
    </xf>
    <xf numFmtId="3" fontId="3" fillId="0" borderId="11" xfId="0" applyNumberFormat="1" applyFont="1" applyBorder="1" applyAlignment="1">
      <alignment horizontal="center" vertical="center"/>
    </xf>
    <xf numFmtId="0" fontId="2" fillId="0" borderId="11" xfId="0" applyFont="1" applyBorder="1" applyAlignment="1">
      <alignment horizontal="left" vertical="center" wrapText="1"/>
    </xf>
    <xf numFmtId="3" fontId="3" fillId="0" borderId="18" xfId="0" applyNumberFormat="1" applyFont="1" applyBorder="1" applyAlignment="1">
      <alignment horizontal="center" vertical="center"/>
    </xf>
    <xf numFmtId="0" fontId="4" fillId="0" borderId="11" xfId="0" applyFont="1" applyBorder="1" applyAlignment="1">
      <alignment horizontal="left" vertical="center" wrapText="1"/>
    </xf>
    <xf numFmtId="3" fontId="4" fillId="0" borderId="11" xfId="0" applyNumberFormat="1" applyFont="1" applyBorder="1" applyAlignment="1">
      <alignment horizontal="center" vertical="center"/>
    </xf>
    <xf numFmtId="0" fontId="4" fillId="0" borderId="18" xfId="0" applyFont="1" applyBorder="1" applyAlignment="1">
      <alignment horizontal="center" vertical="center"/>
    </xf>
    <xf numFmtId="3" fontId="4" fillId="0" borderId="18" xfId="0" applyNumberFormat="1" applyFont="1" applyBorder="1" applyAlignment="1">
      <alignment horizontal="center" vertical="center"/>
    </xf>
    <xf numFmtId="0" fontId="6" fillId="0" borderId="0" xfId="0" applyFont="1" applyAlignment="1">
      <alignment horizontal="left" vertical="center"/>
    </xf>
    <xf numFmtId="0" fontId="12" fillId="0" borderId="0" xfId="0" applyFont="1" applyAlignment="1">
      <alignment horizontal="left" vertical="center"/>
    </xf>
    <xf numFmtId="0" fontId="4"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4" fillId="0" borderId="0" xfId="0" applyFont="1"/>
    <xf numFmtId="0" fontId="11" fillId="0" borderId="1" xfId="0" applyFont="1" applyBorder="1" applyAlignment="1">
      <alignment vertical="center" wrapText="1"/>
    </xf>
    <xf numFmtId="0" fontId="4" fillId="0" borderId="4" xfId="0" applyFont="1" applyBorder="1" applyAlignment="1">
      <alignment vertical="center" wrapText="1"/>
    </xf>
    <xf numFmtId="0" fontId="7" fillId="0" borderId="4" xfId="0" applyFont="1" applyBorder="1" applyAlignment="1">
      <alignment vertical="center" wrapText="1"/>
    </xf>
    <xf numFmtId="49" fontId="6" fillId="0" borderId="1" xfId="0" applyNumberFormat="1" applyFont="1" applyBorder="1" applyAlignment="1">
      <alignment horizontal="center" vertical="center"/>
    </xf>
    <xf numFmtId="0" fontId="6" fillId="0" borderId="2" xfId="0" applyFont="1" applyBorder="1" applyAlignment="1">
      <alignment horizontal="center" vertical="center"/>
    </xf>
    <xf numFmtId="0" fontId="3" fillId="0" borderId="4" xfId="0" applyFont="1" applyBorder="1" applyAlignment="1">
      <alignment vertical="center" wrapText="1"/>
    </xf>
    <xf numFmtId="49" fontId="6" fillId="0" borderId="5" xfId="0" applyNumberFormat="1" applyFont="1" applyBorder="1" applyAlignment="1">
      <alignment horizontal="center" vertical="center"/>
    </xf>
    <xf numFmtId="0" fontId="6" fillId="0" borderId="5" xfId="0" applyFont="1" applyBorder="1" applyAlignment="1">
      <alignment horizontal="left" vertical="center" wrapText="1"/>
    </xf>
    <xf numFmtId="0" fontId="6" fillId="0" borderId="8" xfId="0" applyFont="1" applyBorder="1" applyAlignment="1">
      <alignment horizontal="left" vertical="center" wrapText="1"/>
    </xf>
    <xf numFmtId="0" fontId="4" fillId="0" borderId="1" xfId="0" applyFont="1" applyBorder="1" applyAlignment="1">
      <alignment vertical="center"/>
    </xf>
    <xf numFmtId="0" fontId="2" fillId="0" borderId="15" xfId="0" applyFont="1" applyBorder="1" applyAlignment="1">
      <alignment horizontal="left" vertical="center" wrapText="1"/>
    </xf>
    <xf numFmtId="0" fontId="2" fillId="0" borderId="23" xfId="0" applyFont="1" applyBorder="1" applyAlignment="1">
      <alignment horizontal="left" vertical="center" wrapText="1"/>
    </xf>
    <xf numFmtId="3" fontId="6" fillId="0" borderId="1" xfId="0" applyNumberFormat="1" applyFont="1" applyBorder="1" applyAlignment="1">
      <alignment horizontal="right" vertical="center" wrapText="1"/>
    </xf>
    <xf numFmtId="0" fontId="6" fillId="0" borderId="1" xfId="0" applyFont="1" applyBorder="1" applyAlignment="1">
      <alignment horizontal="right" vertical="center" wrapText="1"/>
    </xf>
    <xf numFmtId="0" fontId="6" fillId="0" borderId="2" xfId="0" applyFont="1" applyBorder="1" applyAlignment="1">
      <alignment horizontal="right" vertical="center" wrapText="1"/>
    </xf>
    <xf numFmtId="168" fontId="6" fillId="0" borderId="2" xfId="0" applyNumberFormat="1" applyFont="1" applyBorder="1" applyAlignment="1">
      <alignment horizontal="center" vertical="center"/>
    </xf>
    <xf numFmtId="0" fontId="4" fillId="0" borderId="23" xfId="0" applyFont="1" applyBorder="1" applyAlignment="1">
      <alignment horizontal="right" vertical="center"/>
    </xf>
    <xf numFmtId="0" fontId="4" fillId="0" borderId="11" xfId="0" applyFont="1" applyBorder="1" applyAlignment="1">
      <alignment horizontal="right" vertical="center"/>
    </xf>
    <xf numFmtId="0" fontId="7" fillId="0" borderId="23" xfId="0" applyFont="1" applyBorder="1" applyAlignment="1">
      <alignment horizontal="right" vertical="center"/>
    </xf>
    <xf numFmtId="0" fontId="4" fillId="0" borderId="18" xfId="0" applyFont="1" applyBorder="1" applyAlignment="1">
      <alignment horizontal="right" vertical="center"/>
    </xf>
    <xf numFmtId="0" fontId="4" fillId="0" borderId="1" xfId="0" applyFont="1" applyBorder="1" applyAlignment="1">
      <alignment horizontal="right" vertical="center"/>
    </xf>
    <xf numFmtId="3" fontId="4" fillId="0" borderId="23" xfId="0" applyNumberFormat="1" applyFont="1" applyBorder="1" applyAlignment="1">
      <alignment horizontal="right" vertical="center"/>
    </xf>
    <xf numFmtId="3" fontId="4" fillId="0" borderId="11" xfId="0" applyNumberFormat="1" applyFont="1" applyBorder="1" applyAlignment="1">
      <alignment horizontal="right" vertical="center"/>
    </xf>
    <xf numFmtId="3" fontId="7" fillId="0" borderId="23" xfId="0" applyNumberFormat="1" applyFont="1" applyBorder="1" applyAlignment="1">
      <alignment horizontal="right" vertical="center"/>
    </xf>
    <xf numFmtId="0" fontId="3" fillId="0" borderId="21" xfId="0" applyFont="1" applyBorder="1" applyAlignment="1">
      <alignment horizontal="left" vertical="center" wrapText="1"/>
    </xf>
    <xf numFmtId="3" fontId="7" fillId="0" borderId="24" xfId="0" applyNumberFormat="1" applyFont="1" applyBorder="1" applyAlignment="1">
      <alignment horizontal="right" vertical="center"/>
    </xf>
    <xf numFmtId="3" fontId="4" fillId="0" borderId="21" xfId="0" applyNumberFormat="1" applyFont="1" applyBorder="1" applyAlignment="1">
      <alignment horizontal="right" vertical="center"/>
    </xf>
    <xf numFmtId="0" fontId="4" fillId="0" borderId="21" xfId="0" applyFont="1" applyBorder="1" applyAlignment="1">
      <alignment horizontal="right" vertical="center"/>
    </xf>
    <xf numFmtId="49" fontId="3" fillId="0" borderId="25" xfId="0" applyNumberFormat="1" applyFont="1" applyBorder="1" applyAlignment="1">
      <alignment horizontal="center" vertical="center" wrapText="1"/>
    </xf>
    <xf numFmtId="3" fontId="4" fillId="0" borderId="24" xfId="0" applyNumberFormat="1" applyFont="1" applyBorder="1" applyAlignment="1">
      <alignment horizontal="right" vertical="center"/>
    </xf>
    <xf numFmtId="49" fontId="3" fillId="0" borderId="18" xfId="0" applyNumberFormat="1" applyFont="1" applyBorder="1" applyAlignment="1">
      <alignment horizontal="center" vertical="center" wrapText="1"/>
    </xf>
    <xf numFmtId="3" fontId="7" fillId="0" borderId="1" xfId="0" applyNumberFormat="1" applyFont="1" applyBorder="1" applyAlignment="1">
      <alignment horizontal="right" vertical="center"/>
    </xf>
    <xf numFmtId="3" fontId="4" fillId="0" borderId="1" xfId="0" applyNumberFormat="1" applyFont="1" applyBorder="1" applyAlignment="1">
      <alignment horizontal="right" vertical="center"/>
    </xf>
    <xf numFmtId="0" fontId="4" fillId="0" borderId="26" xfId="0" applyFont="1" applyBorder="1" applyAlignment="1">
      <alignment horizontal="right" vertical="center"/>
    </xf>
    <xf numFmtId="0" fontId="11" fillId="0" borderId="6" xfId="0" applyFont="1" applyBorder="1" applyAlignment="1">
      <alignment horizontal="center" vertical="center"/>
    </xf>
    <xf numFmtId="0" fontId="2" fillId="0" borderId="27" xfId="0" applyFont="1" applyBorder="1" applyAlignment="1">
      <alignment horizontal="left" vertical="center" wrapText="1"/>
    </xf>
    <xf numFmtId="0" fontId="11" fillId="0" borderId="5" xfId="0" applyFont="1" applyBorder="1" applyAlignment="1">
      <alignment horizontal="center" vertical="center"/>
    </xf>
    <xf numFmtId="0" fontId="2" fillId="0" borderId="21" xfId="0" applyFont="1" applyBorder="1" applyAlignment="1">
      <alignment horizontal="left" vertical="center" wrapText="1"/>
    </xf>
    <xf numFmtId="0" fontId="0" fillId="0" borderId="1" xfId="0" applyBorder="1"/>
    <xf numFmtId="0" fontId="4" fillId="0" borderId="4" xfId="0" applyFont="1" applyBorder="1" applyAlignment="1">
      <alignment horizontal="left" vertical="center" wrapText="1"/>
    </xf>
    <xf numFmtId="0" fontId="7" fillId="0" borderId="1" xfId="0" applyFont="1" applyBorder="1" applyAlignment="1">
      <alignment vertical="center" wrapText="1"/>
    </xf>
    <xf numFmtId="49" fontId="4" fillId="0" borderId="11" xfId="0" applyNumberFormat="1" applyFont="1" applyBorder="1" applyAlignment="1">
      <alignment horizontal="center" vertical="center"/>
    </xf>
    <xf numFmtId="0" fontId="7" fillId="0" borderId="11" xfId="0" applyFont="1" applyBorder="1" applyAlignment="1">
      <alignment horizontal="left" vertical="center" wrapText="1"/>
    </xf>
    <xf numFmtId="3" fontId="3" fillId="0" borderId="18" xfId="0" applyNumberFormat="1" applyFont="1" applyBorder="1" applyAlignment="1">
      <alignment horizontal="center" vertical="center" wrapText="1"/>
    </xf>
    <xf numFmtId="0" fontId="6" fillId="0" borderId="2" xfId="0" applyFont="1" applyBorder="1" applyAlignment="1">
      <alignment horizontal="left" vertical="center" wrapText="1"/>
    </xf>
    <xf numFmtId="0" fontId="4" fillId="0" borderId="13" xfId="0" applyFont="1" applyBorder="1" applyAlignment="1">
      <alignment vertical="center" wrapText="1"/>
    </xf>
    <xf numFmtId="0" fontId="3" fillId="0" borderId="18" xfId="0" applyFont="1" applyBorder="1" applyAlignment="1">
      <alignment horizontal="left" vertical="center" wrapText="1"/>
    </xf>
    <xf numFmtId="49" fontId="3" fillId="0" borderId="0" xfId="0" applyNumberFormat="1" applyFont="1" applyAlignment="1">
      <alignment horizontal="center" vertical="center" wrapText="1"/>
    </xf>
    <xf numFmtId="3" fontId="3" fillId="0" borderId="6" xfId="0" applyNumberFormat="1" applyFont="1" applyBorder="1" applyAlignment="1">
      <alignment horizontal="right" vertical="center" wrapText="1"/>
    </xf>
    <xf numFmtId="0" fontId="3" fillId="0" borderId="6" xfId="0" applyFont="1" applyBorder="1" applyAlignment="1">
      <alignment horizontal="right" vertical="center" wrapText="1"/>
    </xf>
    <xf numFmtId="3" fontId="3" fillId="0" borderId="6" xfId="0" applyNumberFormat="1" applyFont="1" applyBorder="1" applyAlignment="1">
      <alignment horizontal="center" vertical="center" wrapText="1"/>
    </xf>
    <xf numFmtId="0" fontId="6" fillId="0" borderId="6" xfId="0" applyFont="1" applyBorder="1" applyAlignment="1">
      <alignment horizontal="center" vertical="center"/>
    </xf>
    <xf numFmtId="0" fontId="0" fillId="0" borderId="0" xfId="0" quotePrefix="1"/>
    <xf numFmtId="0" fontId="11" fillId="0" borderId="7" xfId="0" applyFont="1" applyBorder="1" applyAlignment="1">
      <alignment horizontal="center" vertical="center"/>
    </xf>
    <xf numFmtId="0" fontId="2" fillId="0" borderId="22" xfId="0" applyFont="1" applyBorder="1" applyAlignment="1">
      <alignment horizontal="left" vertical="center" wrapText="1"/>
    </xf>
    <xf numFmtId="0" fontId="11" fillId="0" borderId="8" xfId="0" applyFont="1" applyBorder="1" applyAlignment="1">
      <alignment horizontal="center" vertical="center"/>
    </xf>
    <xf numFmtId="0" fontId="11" fillId="0" borderId="10" xfId="0" applyFont="1" applyBorder="1" applyAlignment="1">
      <alignment horizontal="center" vertical="center"/>
    </xf>
    <xf numFmtId="0" fontId="7" fillId="0" borderId="13" xfId="0" applyFont="1" applyBorder="1" applyAlignment="1">
      <alignment vertical="center" wrapText="1"/>
    </xf>
    <xf numFmtId="0" fontId="2" fillId="0" borderId="6" xfId="0" applyFont="1" applyBorder="1" applyAlignment="1">
      <alignment horizontal="left" vertical="center" wrapText="1"/>
    </xf>
    <xf numFmtId="0" fontId="4" fillId="0" borderId="19" xfId="0" applyFont="1" applyBorder="1" applyAlignment="1">
      <alignment vertical="center" wrapText="1"/>
    </xf>
    <xf numFmtId="0" fontId="6" fillId="0" borderId="1" xfId="0" applyFont="1" applyBorder="1" applyAlignment="1">
      <alignment horizontal="left" vertical="center"/>
    </xf>
    <xf numFmtId="0" fontId="3" fillId="0" borderId="2" xfId="0" applyFont="1" applyBorder="1" applyAlignment="1">
      <alignment horizontal="left" vertical="center"/>
    </xf>
    <xf numFmtId="3" fontId="3" fillId="0" borderId="2" xfId="0" applyNumberFormat="1" applyFont="1" applyBorder="1" applyAlignment="1">
      <alignment horizontal="center" vertical="center"/>
    </xf>
    <xf numFmtId="0" fontId="6" fillId="0" borderId="4" xfId="0" applyFont="1" applyBorder="1" applyAlignment="1">
      <alignment vertical="center" wrapText="1"/>
    </xf>
    <xf numFmtId="49" fontId="2" fillId="0" borderId="0" xfId="0" applyNumberFormat="1" applyFont="1" applyAlignment="1">
      <alignment vertical="center"/>
    </xf>
    <xf numFmtId="0" fontId="2" fillId="0" borderId="0" xfId="0" applyFont="1" applyAlignment="1">
      <alignment horizontal="right" vertical="center"/>
    </xf>
    <xf numFmtId="0" fontId="6" fillId="0" borderId="0" xfId="0" applyFont="1" applyAlignment="1">
      <alignment horizontal="center" vertical="center"/>
    </xf>
    <xf numFmtId="0" fontId="6" fillId="0" borderId="1" xfId="0" applyFont="1" applyBorder="1" applyAlignment="1">
      <alignment horizontal="center" vertical="center"/>
    </xf>
    <xf numFmtId="0" fontId="11" fillId="0" borderId="1" xfId="0" applyFont="1" applyBorder="1" applyAlignment="1">
      <alignment horizontal="center"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0" borderId="5" xfId="0" applyFont="1" applyBorder="1" applyAlignment="1">
      <alignment horizontal="left" vertical="center" wrapText="1"/>
    </xf>
    <xf numFmtId="3" fontId="6" fillId="0" borderId="1" xfId="0" applyNumberFormat="1" applyFont="1" applyBorder="1" applyAlignment="1">
      <alignment horizontal="center" vertical="center"/>
    </xf>
    <xf numFmtId="0" fontId="0" fillId="0" borderId="1" xfId="0" applyBorder="1" applyAlignment="1">
      <alignment vertical="center"/>
    </xf>
    <xf numFmtId="165" fontId="4" fillId="0" borderId="1" xfId="1" applyNumberFormat="1" applyFont="1" applyFill="1" applyBorder="1" applyAlignment="1">
      <alignment vertical="center" wrapText="1"/>
    </xf>
    <xf numFmtId="0" fontId="6" fillId="0" borderId="1" xfId="0" applyFont="1" applyBorder="1" applyAlignment="1">
      <alignment horizontal="justify" vertical="center" wrapText="1"/>
    </xf>
    <xf numFmtId="37" fontId="6" fillId="0" borderId="5" xfId="0" applyNumberFormat="1" applyFont="1" applyBorder="1" applyAlignment="1">
      <alignment horizontal="center" vertical="center" wrapText="1"/>
    </xf>
    <xf numFmtId="3" fontId="6" fillId="0" borderId="5" xfId="0" applyNumberFormat="1" applyFont="1" applyBorder="1" applyAlignment="1">
      <alignment horizontal="center" vertical="center" wrapText="1"/>
    </xf>
    <xf numFmtId="0" fontId="0" fillId="0" borderId="4" xfId="0" applyBorder="1"/>
    <xf numFmtId="0" fontId="7" fillId="0" borderId="1" xfId="0" applyFont="1" applyBorder="1" applyAlignment="1">
      <alignment horizontal="center" vertical="center" wrapText="1"/>
    </xf>
    <xf numFmtId="49" fontId="11" fillId="0" borderId="1" xfId="3" applyNumberFormat="1" applyFont="1" applyBorder="1" applyAlignment="1">
      <alignment horizontal="center" vertical="center" wrapText="1"/>
    </xf>
    <xf numFmtId="0" fontId="11" fillId="0" borderId="1" xfId="3" applyFont="1" applyBorder="1" applyAlignment="1">
      <alignment horizontal="left" vertical="center" wrapText="1"/>
    </xf>
    <xf numFmtId="49" fontId="6" fillId="0" borderId="1" xfId="3" applyNumberFormat="1" applyFont="1" applyBorder="1" applyAlignment="1">
      <alignment horizontal="center" vertical="center" wrapText="1"/>
    </xf>
    <xf numFmtId="0" fontId="3" fillId="5" borderId="11" xfId="0" applyFont="1" applyFill="1" applyBorder="1" applyAlignment="1">
      <alignment horizontal="left" vertical="center" wrapText="1"/>
    </xf>
    <xf numFmtId="0" fontId="11" fillId="0" borderId="2" xfId="0" applyFont="1" applyBorder="1" applyAlignment="1">
      <alignment horizontal="center" vertical="center"/>
    </xf>
    <xf numFmtId="0" fontId="4" fillId="0" borderId="1" xfId="0" applyFont="1" applyBorder="1" applyAlignment="1">
      <alignment horizontal="center" vertical="center"/>
    </xf>
    <xf numFmtId="0" fontId="3" fillId="0" borderId="6" xfId="0" applyFont="1" applyBorder="1" applyAlignment="1">
      <alignment horizontal="left" vertical="center" wrapText="1"/>
    </xf>
    <xf numFmtId="0" fontId="4" fillId="0" borderId="2" xfId="0" applyFont="1" applyBorder="1" applyAlignment="1">
      <alignment horizontal="center" vertical="center"/>
    </xf>
    <xf numFmtId="0" fontId="2" fillId="0" borderId="1" xfId="0" applyFont="1" applyBorder="1" applyAlignment="1">
      <alignment horizontal="center" vertical="center"/>
    </xf>
    <xf numFmtId="0" fontId="3" fillId="0" borderId="18" xfId="0" applyFont="1" applyBorder="1" applyAlignment="1">
      <alignment horizontal="center" vertical="center" wrapText="1"/>
    </xf>
    <xf numFmtId="3" fontId="4" fillId="0" borderId="2" xfId="0" applyNumberFormat="1" applyFont="1" applyBorder="1" applyAlignment="1">
      <alignment horizontal="center" vertical="center" wrapText="1"/>
    </xf>
    <xf numFmtId="0" fontId="2" fillId="0" borderId="1" xfId="0" applyFont="1" applyBorder="1" applyAlignment="1">
      <alignment horizontal="center" vertical="center" wrapText="1"/>
    </xf>
    <xf numFmtId="3" fontId="7" fillId="0" borderId="4" xfId="0" applyNumberFormat="1" applyFont="1" applyBorder="1" applyAlignment="1">
      <alignment horizontal="center" vertical="center" wrapText="1"/>
    </xf>
    <xf numFmtId="3" fontId="2" fillId="0" borderId="1" xfId="0" applyNumberFormat="1" applyFont="1" applyBorder="1" applyAlignment="1">
      <alignment horizontal="center" vertical="center"/>
    </xf>
    <xf numFmtId="49" fontId="2" fillId="0" borderId="0" xfId="0" applyNumberFormat="1" applyFont="1" applyAlignment="1">
      <alignment horizontal="left" vertical="center"/>
    </xf>
    <xf numFmtId="0" fontId="11" fillId="0" borderId="1" xfId="0" applyFont="1" applyBorder="1" applyAlignment="1">
      <alignment horizontal="center" vertical="center" wrapText="1"/>
    </xf>
    <xf numFmtId="0" fontId="4" fillId="0" borderId="4" xfId="0" applyFont="1" applyBorder="1" applyAlignment="1">
      <alignment horizontal="center" vertical="center"/>
    </xf>
    <xf numFmtId="165" fontId="6" fillId="0" borderId="1" xfId="1" applyNumberFormat="1" applyFont="1" applyBorder="1" applyAlignment="1">
      <alignment vertical="center" wrapText="1"/>
    </xf>
    <xf numFmtId="0" fontId="4" fillId="0" borderId="1" xfId="0" quotePrefix="1" applyFont="1" applyBorder="1" applyAlignment="1">
      <alignment vertical="center" wrapText="1"/>
    </xf>
    <xf numFmtId="0" fontId="3" fillId="0" borderId="1" xfId="0" quotePrefix="1" applyFont="1" applyBorder="1" applyAlignment="1">
      <alignment horizontal="left" vertical="center" wrapText="1"/>
    </xf>
    <xf numFmtId="0" fontId="4" fillId="0" borderId="11" xfId="0" applyFont="1" applyBorder="1" applyAlignment="1">
      <alignment horizontal="center" vertical="center"/>
    </xf>
    <xf numFmtId="0" fontId="17" fillId="0" borderId="1" xfId="1" applyNumberFormat="1"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justify" vertical="center" wrapText="1"/>
    </xf>
    <xf numFmtId="37" fontId="18" fillId="0" borderId="5" xfId="0" applyNumberFormat="1" applyFont="1" applyBorder="1" applyAlignment="1">
      <alignment horizontal="center" vertical="center" wrapText="1"/>
    </xf>
    <xf numFmtId="3" fontId="18" fillId="0" borderId="5" xfId="0" applyNumberFormat="1" applyFont="1" applyBorder="1" applyAlignment="1">
      <alignment horizontal="center" vertical="center" wrapText="1"/>
    </xf>
    <xf numFmtId="0" fontId="18" fillId="0" borderId="1" xfId="0" applyFont="1" applyBorder="1" applyAlignment="1">
      <alignment vertical="center" wrapText="1"/>
    </xf>
    <xf numFmtId="3" fontId="18" fillId="0" borderId="1" xfId="0" applyNumberFormat="1" applyFont="1" applyBorder="1" applyAlignment="1">
      <alignment horizontal="center" vertical="center" wrapText="1"/>
    </xf>
    <xf numFmtId="165" fontId="9" fillId="0" borderId="1" xfId="1" applyNumberFormat="1" applyFont="1" applyFill="1" applyBorder="1" applyAlignment="1">
      <alignment vertical="center" wrapText="1"/>
    </xf>
    <xf numFmtId="0" fontId="6" fillId="0" borderId="5" xfId="0" applyFont="1" applyBorder="1" applyAlignment="1">
      <alignment horizontal="center" vertical="center" wrapText="1"/>
    </xf>
    <xf numFmtId="0" fontId="3" fillId="0" borderId="5" xfId="0" applyFont="1" applyBorder="1" applyAlignment="1">
      <alignment horizontal="center" vertical="center" wrapText="1"/>
    </xf>
    <xf numFmtId="0" fontId="7" fillId="0" borderId="1" xfId="1" applyNumberFormat="1"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4" xfId="0" applyFont="1" applyBorder="1" applyAlignment="1">
      <alignment horizontal="center" vertical="center"/>
    </xf>
    <xf numFmtId="3" fontId="3" fillId="0" borderId="28" xfId="0" applyNumberFormat="1" applyFont="1" applyBorder="1" applyAlignment="1">
      <alignment horizontal="right" vertical="center" wrapText="1"/>
    </xf>
    <xf numFmtId="3" fontId="3" fillId="0" borderId="23" xfId="0" applyNumberFormat="1" applyFont="1" applyBorder="1" applyAlignment="1">
      <alignment horizontal="right" vertical="center" wrapText="1"/>
    </xf>
    <xf numFmtId="0" fontId="3" fillId="0" borderId="28" xfId="0" applyFont="1" applyBorder="1" applyAlignment="1">
      <alignment horizontal="right" vertical="center" wrapText="1"/>
    </xf>
    <xf numFmtId="165" fontId="8" fillId="0" borderId="6" xfId="1" applyNumberFormat="1" applyFont="1" applyBorder="1" applyAlignment="1">
      <alignment vertical="center" wrapText="1"/>
    </xf>
    <xf numFmtId="0" fontId="8" fillId="0" borderId="6" xfId="0" quotePrefix="1" applyFont="1" applyBorder="1" applyAlignment="1">
      <alignment vertical="center" wrapText="1"/>
    </xf>
    <xf numFmtId="0" fontId="3" fillId="2" borderId="1" xfId="0" applyFont="1" applyFill="1" applyBorder="1" applyAlignment="1">
      <alignment horizontal="left" vertical="center" wrapText="1"/>
    </xf>
    <xf numFmtId="167" fontId="2" fillId="0" borderId="1" xfId="0" applyNumberFormat="1" applyFont="1" applyBorder="1" applyAlignment="1">
      <alignment horizontal="center" vertical="center"/>
    </xf>
    <xf numFmtId="167" fontId="3" fillId="0" borderId="1" xfId="1" applyNumberFormat="1" applyFont="1" applyFill="1" applyBorder="1" applyAlignment="1">
      <alignment horizontal="center" vertical="center"/>
    </xf>
    <xf numFmtId="0" fontId="3" fillId="2" borderId="1" xfId="0" applyFont="1" applyFill="1" applyBorder="1" applyAlignment="1">
      <alignment horizontal="left" vertical="center"/>
    </xf>
    <xf numFmtId="3" fontId="4" fillId="0" borderId="1" xfId="0" applyNumberFormat="1" applyFont="1" applyBorder="1" applyAlignment="1">
      <alignment horizontal="left" vertical="center"/>
    </xf>
    <xf numFmtId="0" fontId="12"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65" fontId="4" fillId="0" borderId="1" xfId="1"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3" xfId="0" applyFont="1" applyBorder="1" applyAlignment="1">
      <alignment horizontal="center" vertical="center"/>
    </xf>
    <xf numFmtId="3" fontId="7" fillId="0" borderId="23" xfId="0" applyNumberFormat="1" applyFont="1" applyBorder="1" applyAlignment="1">
      <alignment horizontal="center" vertical="center"/>
    </xf>
    <xf numFmtId="3" fontId="4" fillId="0" borderId="23" xfId="0" applyNumberFormat="1" applyFont="1" applyBorder="1" applyAlignment="1">
      <alignment horizontal="center" vertical="center"/>
    </xf>
    <xf numFmtId="3" fontId="7" fillId="0" borderId="24" xfId="0" applyNumberFormat="1" applyFont="1" applyBorder="1" applyAlignment="1">
      <alignment horizontal="center" vertical="center"/>
    </xf>
    <xf numFmtId="3" fontId="4" fillId="0" borderId="21" xfId="0" applyNumberFormat="1" applyFont="1" applyBorder="1" applyAlignment="1">
      <alignment horizontal="center" vertical="center"/>
    </xf>
    <xf numFmtId="0" fontId="4" fillId="0" borderId="21" xfId="0" applyFont="1" applyBorder="1" applyAlignment="1">
      <alignment horizontal="center" vertical="center"/>
    </xf>
    <xf numFmtId="3" fontId="7" fillId="0" borderId="1" xfId="0" applyNumberFormat="1" applyFont="1" applyBorder="1" applyAlignment="1">
      <alignment horizontal="center" vertical="center"/>
    </xf>
    <xf numFmtId="0" fontId="4" fillId="0" borderId="26" xfId="0" applyFont="1" applyBorder="1" applyAlignment="1">
      <alignment horizontal="center" vertical="center"/>
    </xf>
    <xf numFmtId="0" fontId="0" fillId="0" borderId="1" xfId="0" applyBorder="1" applyAlignment="1">
      <alignment horizontal="center"/>
    </xf>
    <xf numFmtId="0" fontId="3" fillId="0" borderId="2" xfId="0" applyFont="1" applyBorder="1" applyAlignment="1">
      <alignment horizontal="center" vertical="center"/>
    </xf>
    <xf numFmtId="165" fontId="6" fillId="0" borderId="1" xfId="1" applyNumberFormat="1"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0" borderId="6" xfId="0" applyFont="1" applyBorder="1" applyAlignment="1">
      <alignment horizontal="center" vertical="center" wrapText="1"/>
    </xf>
    <xf numFmtId="0" fontId="7" fillId="0" borderId="1" xfId="0" applyFont="1" applyBorder="1" applyAlignment="1">
      <alignment horizontal="left" vertical="center"/>
    </xf>
    <xf numFmtId="49" fontId="16" fillId="0" borderId="5" xfId="3" applyNumberFormat="1" applyFont="1" applyBorder="1" applyAlignment="1">
      <alignment horizontal="center" vertical="center" wrapText="1"/>
    </xf>
    <xf numFmtId="0" fontId="16" fillId="5" borderId="21" xfId="0" applyFont="1" applyFill="1" applyBorder="1" applyAlignment="1">
      <alignment horizontal="left" vertical="center" wrapText="1"/>
    </xf>
    <xf numFmtId="3"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4" fillId="0" borderId="4" xfId="0" applyFont="1" applyBorder="1" applyAlignment="1">
      <alignment horizontal="left" vertical="center"/>
    </xf>
    <xf numFmtId="49" fontId="3" fillId="0" borderId="21" xfId="0" applyNumberFormat="1" applyFont="1" applyBorder="1" applyAlignment="1">
      <alignment horizontal="center" vertical="center"/>
    </xf>
    <xf numFmtId="0" fontId="4" fillId="0" borderId="21" xfId="0" applyFont="1" applyBorder="1" applyAlignment="1">
      <alignment horizontal="left" vertical="center" wrapText="1"/>
    </xf>
    <xf numFmtId="0" fontId="4" fillId="0" borderId="21" xfId="0" applyFont="1" applyBorder="1" applyAlignment="1">
      <alignment horizontal="center" vertical="center" wrapText="1"/>
    </xf>
    <xf numFmtId="0" fontId="2" fillId="0" borderId="0" xfId="0" applyFont="1" applyAlignment="1">
      <alignment horizontal="left" vertical="center" wrapText="1"/>
    </xf>
    <xf numFmtId="49" fontId="2" fillId="0" borderId="1" xfId="0" applyNumberFormat="1" applyFont="1" applyBorder="1" applyAlignment="1">
      <alignment horizontal="center" vertical="center" wrapText="1"/>
    </xf>
    <xf numFmtId="0" fontId="11" fillId="0" borderId="0" xfId="0" applyFont="1" applyAlignment="1">
      <alignment horizontal="center" vertical="center"/>
    </xf>
    <xf numFmtId="0" fontId="7" fillId="0" borderId="0" xfId="0" applyFont="1" applyAlignment="1">
      <alignment vertical="center" wrapText="1"/>
    </xf>
    <xf numFmtId="0" fontId="2" fillId="0" borderId="0" xfId="0" applyFont="1" applyAlignment="1">
      <alignment horizontal="left" vertical="center"/>
    </xf>
    <xf numFmtId="0" fontId="2" fillId="0" borderId="3" xfId="0" applyFont="1" applyBorder="1" applyAlignment="1">
      <alignment horizontal="center" vertical="center" wrapText="1"/>
    </xf>
    <xf numFmtId="3" fontId="2" fillId="0" borderId="3" xfId="0" applyNumberFormat="1" applyFont="1" applyBorder="1" applyAlignment="1">
      <alignment horizontal="center" vertical="center"/>
    </xf>
    <xf numFmtId="0" fontId="2" fillId="0" borderId="5" xfId="0" applyFont="1" applyBorder="1" applyAlignment="1">
      <alignment horizontal="left" vertical="center" wrapText="1"/>
    </xf>
    <xf numFmtId="0" fontId="2" fillId="0" borderId="19" xfId="0" applyFont="1" applyBorder="1" applyAlignment="1">
      <alignment horizontal="left" vertical="center"/>
    </xf>
    <xf numFmtId="0" fontId="2" fillId="0" borderId="0" xfId="0" applyFont="1" applyAlignment="1">
      <alignment horizontal="center" vertical="center" wrapText="1"/>
    </xf>
    <xf numFmtId="165" fontId="6" fillId="0" borderId="1" xfId="1" applyNumberFormat="1" applyFont="1" applyFill="1" applyBorder="1" applyAlignment="1">
      <alignment vertical="center" wrapText="1"/>
    </xf>
    <xf numFmtId="0" fontId="2" fillId="0" borderId="2" xfId="0" applyFont="1" applyBorder="1" applyAlignment="1">
      <alignment horizontal="left" vertical="center" wrapText="1"/>
    </xf>
    <xf numFmtId="0" fontId="19" fillId="0" borderId="1" xfId="0" applyFont="1" applyBorder="1" applyAlignment="1">
      <alignment horizontal="center" vertical="center"/>
    </xf>
    <xf numFmtId="0" fontId="2" fillId="0" borderId="0" xfId="0" applyFont="1" applyBorder="1" applyAlignment="1">
      <alignment horizontal="left" vertical="center" wrapText="1"/>
    </xf>
    <xf numFmtId="3" fontId="6" fillId="0" borderId="1" xfId="0" applyNumberFormat="1" applyFont="1" applyBorder="1" applyAlignment="1">
      <alignment horizontal="right" vertical="center"/>
    </xf>
    <xf numFmtId="0" fontId="6" fillId="0" borderId="1" xfId="0" applyFont="1" applyBorder="1" applyAlignment="1">
      <alignment horizontal="right" vertical="center"/>
    </xf>
    <xf numFmtId="0" fontId="11" fillId="0" borderId="1" xfId="0" applyFont="1" applyBorder="1" applyAlignment="1">
      <alignment horizontal="right" vertical="center"/>
    </xf>
    <xf numFmtId="165" fontId="6" fillId="0" borderId="1" xfId="1" applyNumberFormat="1" applyFont="1" applyFill="1" applyBorder="1" applyAlignment="1">
      <alignment horizontal="right" vertical="center" wrapText="1"/>
    </xf>
    <xf numFmtId="165" fontId="20" fillId="0" borderId="1" xfId="1" applyNumberFormat="1" applyFont="1" applyFill="1" applyBorder="1" applyAlignment="1">
      <alignment horizontal="right" vertical="center" wrapText="1"/>
    </xf>
    <xf numFmtId="165" fontId="6" fillId="0" borderId="1" xfId="1" applyNumberFormat="1" applyFont="1" applyBorder="1" applyAlignment="1">
      <alignment horizontal="right" vertical="center" wrapText="1"/>
    </xf>
    <xf numFmtId="3" fontId="6" fillId="0" borderId="2" xfId="0" applyNumberFormat="1" applyFont="1" applyBorder="1" applyAlignment="1">
      <alignment horizontal="right" vertical="center" wrapText="1"/>
    </xf>
    <xf numFmtId="37" fontId="6" fillId="0" borderId="1" xfId="0" applyNumberFormat="1" applyFont="1" applyBorder="1" applyAlignment="1">
      <alignment horizontal="right" vertical="center"/>
    </xf>
    <xf numFmtId="165" fontId="9" fillId="0" borderId="1" xfId="1" applyNumberFormat="1" applyFont="1" applyFill="1" applyBorder="1" applyAlignment="1">
      <alignment horizontal="right" vertical="center" wrapText="1"/>
    </xf>
    <xf numFmtId="0" fontId="4" fillId="0" borderId="1" xfId="0" quotePrefix="1" applyFont="1" applyBorder="1" applyAlignment="1">
      <alignment horizontal="center" vertical="center"/>
    </xf>
    <xf numFmtId="49" fontId="2" fillId="0" borderId="0" xfId="0" applyNumberFormat="1" applyFont="1" applyAlignment="1">
      <alignment vertical="center" wrapText="1"/>
    </xf>
    <xf numFmtId="49" fontId="14" fillId="0" borderId="1" xfId="0" applyNumberFormat="1" applyFont="1" applyBorder="1" applyAlignment="1">
      <alignment horizontal="center" vertical="center"/>
    </xf>
    <xf numFmtId="3" fontId="11" fillId="0" borderId="1" xfId="0" applyNumberFormat="1" applyFont="1" applyBorder="1" applyAlignment="1">
      <alignment horizontal="center" vertical="center"/>
    </xf>
    <xf numFmtId="3" fontId="11" fillId="0" borderId="2" xfId="0" applyNumberFormat="1" applyFont="1" applyBorder="1" applyAlignment="1">
      <alignment horizontal="center" vertical="center"/>
    </xf>
    <xf numFmtId="0" fontId="11" fillId="0" borderId="1" xfId="0" applyFont="1" applyBorder="1" applyAlignment="1">
      <alignment horizontal="left" vertical="center"/>
    </xf>
    <xf numFmtId="0" fontId="11" fillId="0" borderId="1" xfId="0" applyFont="1" applyFill="1" applyBorder="1" applyAlignment="1">
      <alignment horizontal="center" vertical="center" wrapText="1"/>
    </xf>
    <xf numFmtId="3" fontId="11" fillId="0" borderId="1" xfId="0" applyNumberFormat="1" applyFont="1" applyFill="1" applyBorder="1" applyAlignment="1">
      <alignment horizontal="right" vertical="center"/>
    </xf>
    <xf numFmtId="3" fontId="11" fillId="0" borderId="1" xfId="0" applyNumberFormat="1" applyFont="1" applyBorder="1" applyAlignment="1">
      <alignment horizontal="right" vertical="center"/>
    </xf>
    <xf numFmtId="0" fontId="6" fillId="0" borderId="1" xfId="0" applyFont="1" applyBorder="1" applyAlignment="1">
      <alignment horizontal="right"/>
    </xf>
    <xf numFmtId="3" fontId="6" fillId="0" borderId="2" xfId="0" applyNumberFormat="1" applyFont="1" applyBorder="1" applyAlignment="1">
      <alignment horizontal="center" vertical="center"/>
    </xf>
    <xf numFmtId="3" fontId="6" fillId="0" borderId="1" xfId="0" applyNumberFormat="1" applyFont="1" applyBorder="1" applyAlignment="1">
      <alignment vertical="center" wrapText="1"/>
    </xf>
    <xf numFmtId="0" fontId="11" fillId="0" borderId="6" xfId="0" applyFont="1" applyBorder="1" applyAlignment="1">
      <alignment horizontal="left" vertical="center"/>
    </xf>
    <xf numFmtId="167" fontId="6" fillId="0" borderId="1" xfId="0" applyNumberFormat="1" applyFont="1" applyBorder="1" applyAlignment="1">
      <alignment horizontal="center"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2" fontId="6" fillId="0" borderId="1" xfId="0" applyNumberFormat="1" applyFont="1" applyBorder="1" applyAlignment="1">
      <alignment horizontal="center" vertical="center" wrapText="1"/>
    </xf>
    <xf numFmtId="165" fontId="6" fillId="0" borderId="2" xfId="1" applyNumberFormat="1" applyFont="1" applyBorder="1" applyAlignment="1">
      <alignment vertical="center" wrapText="1"/>
    </xf>
    <xf numFmtId="167" fontId="6" fillId="0" borderId="1" xfId="1" applyNumberFormat="1" applyFont="1" applyFill="1" applyBorder="1" applyAlignment="1">
      <alignment horizontal="center" vertical="center"/>
    </xf>
    <xf numFmtId="0" fontId="6" fillId="2" borderId="1" xfId="0" applyFont="1" applyFill="1" applyBorder="1" applyAlignment="1">
      <alignment horizontal="left" vertical="center"/>
    </xf>
    <xf numFmtId="1" fontId="6" fillId="0" borderId="1" xfId="0" applyNumberFormat="1" applyFont="1" applyBorder="1" applyAlignment="1">
      <alignment horizontal="center" vertical="center" wrapText="1"/>
    </xf>
    <xf numFmtId="0" fontId="6" fillId="3"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3" fontId="11" fillId="0" borderId="1" xfId="0" applyNumberFormat="1" applyFont="1" applyBorder="1" applyAlignment="1">
      <alignment horizontal="right" vertical="center" wrapText="1"/>
    </xf>
    <xf numFmtId="0" fontId="6" fillId="0" borderId="11" xfId="0" applyFont="1" applyBorder="1" applyAlignment="1">
      <alignment horizontal="center" vertical="center" wrapText="1"/>
    </xf>
    <xf numFmtId="0" fontId="6" fillId="0" borderId="11" xfId="0" applyFont="1" applyBorder="1" applyAlignment="1">
      <alignment horizontal="left" vertical="center" wrapText="1"/>
    </xf>
    <xf numFmtId="3" fontId="6" fillId="0" borderId="11" xfId="0" applyNumberFormat="1" applyFont="1" applyBorder="1" applyAlignment="1">
      <alignment horizontal="center" vertical="center" wrapText="1"/>
    </xf>
    <xf numFmtId="3" fontId="6" fillId="0" borderId="11" xfId="0" applyNumberFormat="1" applyFont="1" applyBorder="1" applyAlignment="1">
      <alignment horizontal="left" vertical="center"/>
    </xf>
    <xf numFmtId="3" fontId="6" fillId="0" borderId="18" xfId="0" applyNumberFormat="1" applyFont="1" applyBorder="1" applyAlignment="1">
      <alignment horizontal="left" vertical="center"/>
    </xf>
    <xf numFmtId="49" fontId="6" fillId="0" borderId="11" xfId="0" applyNumberFormat="1" applyFont="1" applyBorder="1" applyAlignment="1">
      <alignment horizontal="center" vertical="center" wrapText="1"/>
    </xf>
    <xf numFmtId="0" fontId="6" fillId="0" borderId="18" xfId="0" applyFont="1" applyBorder="1" applyAlignment="1">
      <alignment horizontal="center" vertical="center" wrapText="1"/>
    </xf>
    <xf numFmtId="0" fontId="11" fillId="0" borderId="6" xfId="0" applyFont="1" applyBorder="1" applyAlignment="1">
      <alignment horizontal="center" vertical="center" wrapText="1"/>
    </xf>
    <xf numFmtId="3" fontId="11" fillId="0" borderId="6" xfId="0" applyNumberFormat="1" applyFont="1" applyBorder="1" applyAlignment="1">
      <alignment horizontal="center" vertical="center"/>
    </xf>
    <xf numFmtId="3" fontId="11" fillId="0" borderId="10" xfId="0" applyNumberFormat="1" applyFont="1" applyBorder="1" applyAlignment="1">
      <alignment horizontal="center" vertical="center"/>
    </xf>
    <xf numFmtId="3" fontId="6" fillId="0" borderId="11" xfId="0" applyNumberFormat="1" applyFont="1" applyBorder="1" applyAlignment="1">
      <alignment horizontal="right" vertical="center" wrapText="1"/>
    </xf>
    <xf numFmtId="3" fontId="6" fillId="0" borderId="18" xfId="0" applyNumberFormat="1" applyFont="1" applyBorder="1" applyAlignment="1">
      <alignment horizontal="right" vertical="center" wrapText="1"/>
    </xf>
    <xf numFmtId="2" fontId="6" fillId="0" borderId="1" xfId="0" applyNumberFormat="1" applyFont="1" applyBorder="1" applyAlignment="1">
      <alignment horizontal="center" vertical="center"/>
    </xf>
    <xf numFmtId="3" fontId="6" fillId="0" borderId="4" xfId="0" applyNumberFormat="1" applyFont="1" applyBorder="1" applyAlignment="1">
      <alignment horizontal="center" vertical="center"/>
    </xf>
    <xf numFmtId="0" fontId="6" fillId="0" borderId="4" xfId="0" applyFont="1" applyBorder="1" applyAlignment="1">
      <alignment horizontal="left" vertical="center" wrapText="1"/>
    </xf>
    <xf numFmtId="0" fontId="6" fillId="0" borderId="28" xfId="0" applyFont="1" applyBorder="1" applyAlignment="1">
      <alignment horizontal="right" vertical="center" wrapText="1"/>
    </xf>
    <xf numFmtId="0" fontId="6" fillId="0" borderId="18" xfId="0" applyFont="1" applyBorder="1" applyAlignment="1">
      <alignment horizontal="right" vertical="center" wrapText="1"/>
    </xf>
    <xf numFmtId="49" fontId="6" fillId="0" borderId="11" xfId="0" applyNumberFormat="1" applyFont="1" applyBorder="1" applyAlignment="1">
      <alignment horizontal="center" vertical="center"/>
    </xf>
    <xf numFmtId="3" fontId="6" fillId="0" borderId="11" xfId="0" applyNumberFormat="1" applyFont="1" applyBorder="1" applyAlignment="1">
      <alignment horizontal="center" vertical="center"/>
    </xf>
    <xf numFmtId="3" fontId="6" fillId="0" borderId="18" xfId="0" applyNumberFormat="1" applyFont="1" applyBorder="1" applyAlignment="1">
      <alignment horizontal="center" vertical="center"/>
    </xf>
    <xf numFmtId="0" fontId="11" fillId="0" borderId="1" xfId="0" applyFont="1" applyFill="1" applyBorder="1" applyAlignment="1">
      <alignment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49" fontId="6" fillId="0" borderId="1" xfId="0" applyNumberFormat="1" applyFont="1" applyFill="1" applyBorder="1" applyAlignment="1">
      <alignment horizontal="center" vertical="center"/>
    </xf>
    <xf numFmtId="0" fontId="6" fillId="0" borderId="1" xfId="0" applyFont="1" applyFill="1" applyBorder="1" applyAlignment="1">
      <alignment horizontal="left" vertical="center" wrapText="1"/>
    </xf>
    <xf numFmtId="3" fontId="6"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xf numFmtId="3" fontId="20" fillId="0" borderId="1" xfId="0" applyNumberFormat="1" applyFont="1" applyFill="1" applyBorder="1" applyAlignment="1">
      <alignment horizontal="right" vertical="center"/>
    </xf>
    <xf numFmtId="0" fontId="20" fillId="0" borderId="1" xfId="0" applyFont="1" applyFill="1" applyBorder="1" applyAlignment="1">
      <alignment horizontal="right" vertical="center"/>
    </xf>
    <xf numFmtId="49" fontId="6" fillId="0" borderId="5" xfId="0" applyNumberFormat="1" applyFont="1" applyFill="1" applyBorder="1" applyAlignment="1">
      <alignment horizontal="center" vertical="center"/>
    </xf>
    <xf numFmtId="0" fontId="6" fillId="0" borderId="5" xfId="0" applyFont="1" applyFill="1" applyBorder="1" applyAlignment="1">
      <alignment horizontal="left" vertical="center" wrapText="1"/>
    </xf>
    <xf numFmtId="0" fontId="6" fillId="0" borderId="8" xfId="0" applyFont="1" applyFill="1" applyBorder="1" applyAlignment="1">
      <alignment horizontal="left" vertical="center" wrapText="1"/>
    </xf>
    <xf numFmtId="0" fontId="20" fillId="0" borderId="1" xfId="0" applyFont="1" applyFill="1" applyBorder="1" applyAlignment="1">
      <alignment horizontal="right" vertical="center" wrapText="1"/>
    </xf>
    <xf numFmtId="0" fontId="21" fillId="0" borderId="1" xfId="0" applyFont="1" applyFill="1" applyBorder="1" applyAlignment="1">
      <alignment horizontal="right" vertical="center"/>
    </xf>
    <xf numFmtId="0" fontId="21" fillId="0" borderId="1" xfId="0" quotePrefix="1" applyFont="1" applyFill="1" applyBorder="1" applyAlignment="1">
      <alignment horizontal="right" vertical="center"/>
    </xf>
    <xf numFmtId="0" fontId="11" fillId="0" borderId="5" xfId="0" applyFont="1" applyFill="1" applyBorder="1" applyAlignment="1">
      <alignment horizontal="center" vertical="center"/>
    </xf>
    <xf numFmtId="0" fontId="11" fillId="0" borderId="8" xfId="0" applyFont="1" applyFill="1" applyBorder="1" applyAlignment="1">
      <alignment horizontal="center" vertical="center"/>
    </xf>
    <xf numFmtId="0" fontId="6" fillId="0" borderId="0" xfId="0" applyFont="1" applyFill="1" applyAlignment="1">
      <alignment horizontal="center" vertical="center"/>
    </xf>
    <xf numFmtId="0" fontId="6" fillId="0" borderId="2" xfId="0" applyFont="1" applyFill="1" applyBorder="1" applyAlignment="1">
      <alignment horizontal="left" vertical="center" wrapText="1"/>
    </xf>
    <xf numFmtId="166" fontId="20" fillId="0" borderId="1" xfId="1" applyNumberFormat="1" applyFont="1" applyFill="1" applyBorder="1" applyAlignment="1">
      <alignment horizontal="right" vertical="center"/>
    </xf>
    <xf numFmtId="0" fontId="6" fillId="0" borderId="0" xfId="0" applyFont="1" applyFill="1" applyAlignment="1">
      <alignment horizontal="left" vertical="center" wrapText="1"/>
    </xf>
    <xf numFmtId="0" fontId="20" fillId="0" borderId="1" xfId="0" quotePrefix="1" applyFont="1" applyFill="1" applyBorder="1" applyAlignment="1">
      <alignment horizontal="right" vertical="center"/>
    </xf>
    <xf numFmtId="0" fontId="11" fillId="0" borderId="7" xfId="0" applyFont="1" applyFill="1" applyBorder="1" applyAlignment="1">
      <alignment horizontal="center" vertical="center"/>
    </xf>
    <xf numFmtId="0" fontId="11" fillId="0" borderId="9" xfId="0" applyFont="1" applyFill="1" applyBorder="1" applyAlignment="1">
      <alignment horizontal="center" vertical="center"/>
    </xf>
    <xf numFmtId="49" fontId="11" fillId="0" borderId="1" xfId="3"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37" fontId="20" fillId="0" borderId="1" xfId="0" applyNumberFormat="1" applyFont="1" applyFill="1" applyBorder="1" applyAlignment="1">
      <alignment horizontal="right" vertical="center" wrapText="1"/>
    </xf>
    <xf numFmtId="3" fontId="20" fillId="0" borderId="1" xfId="0" applyNumberFormat="1" applyFont="1" applyFill="1" applyBorder="1" applyAlignment="1">
      <alignment horizontal="right" vertical="center" wrapText="1"/>
    </xf>
    <xf numFmtId="0" fontId="6" fillId="0" borderId="1" xfId="0" applyFont="1" applyFill="1" applyBorder="1" applyAlignment="1">
      <alignment vertical="center" wrapText="1"/>
    </xf>
    <xf numFmtId="0" fontId="11" fillId="0" borderId="1" xfId="1" applyNumberFormat="1" applyFont="1" applyFill="1" applyBorder="1" applyAlignment="1">
      <alignment horizontal="center" vertical="center" wrapText="1"/>
    </xf>
    <xf numFmtId="0" fontId="11" fillId="0" borderId="1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22" fillId="0" borderId="1" xfId="0" applyFont="1" applyFill="1" applyBorder="1" applyAlignment="1">
      <alignment horizontal="center" vertical="center"/>
    </xf>
    <xf numFmtId="0" fontId="6" fillId="0" borderId="2" xfId="0" applyFont="1" applyFill="1" applyBorder="1" applyAlignment="1">
      <alignment horizontal="center" vertical="center" wrapText="1"/>
    </xf>
    <xf numFmtId="0" fontId="11" fillId="0" borderId="15" xfId="0" applyFont="1" applyFill="1" applyBorder="1" applyAlignment="1">
      <alignment horizontal="left" vertical="center" wrapText="1"/>
    </xf>
    <xf numFmtId="0" fontId="23" fillId="0" borderId="1" xfId="0" applyFont="1" applyFill="1" applyBorder="1" applyAlignment="1">
      <alignment horizontal="right" vertical="center"/>
    </xf>
    <xf numFmtId="0" fontId="11" fillId="0" borderId="23" xfId="0" applyFont="1" applyFill="1" applyBorder="1" applyAlignment="1">
      <alignment horizontal="left" vertical="center" wrapText="1"/>
    </xf>
    <xf numFmtId="49" fontId="6" fillId="0" borderId="11" xfId="0" applyNumberFormat="1" applyFont="1" applyFill="1" applyBorder="1" applyAlignment="1">
      <alignment horizontal="center" vertical="center"/>
    </xf>
    <xf numFmtId="0" fontId="6" fillId="0" borderId="11" xfId="0" applyFont="1" applyFill="1" applyBorder="1" applyAlignment="1">
      <alignment horizontal="left" vertical="center" wrapText="1"/>
    </xf>
    <xf numFmtId="3" fontId="6" fillId="0" borderId="11" xfId="0" applyNumberFormat="1" applyFont="1" applyFill="1" applyBorder="1" applyAlignment="1">
      <alignment horizontal="center" vertical="center" wrapText="1"/>
    </xf>
    <xf numFmtId="0" fontId="6" fillId="0" borderId="11" xfId="0" applyFont="1" applyFill="1" applyBorder="1" applyAlignment="1">
      <alignment horizontal="center" vertical="center" wrapText="1"/>
    </xf>
    <xf numFmtId="0" fontId="6" fillId="0" borderId="18" xfId="0" applyFont="1" applyFill="1" applyBorder="1" applyAlignment="1">
      <alignment horizontal="center" vertical="center" wrapText="1"/>
    </xf>
    <xf numFmtId="3" fontId="6" fillId="0" borderId="18" xfId="0" applyNumberFormat="1" applyFont="1" applyFill="1" applyBorder="1" applyAlignment="1">
      <alignment horizontal="center" vertical="center" wrapText="1"/>
    </xf>
    <xf numFmtId="3" fontId="6" fillId="0" borderId="1" xfId="0" applyNumberFormat="1" applyFont="1" applyFill="1" applyBorder="1" applyAlignment="1">
      <alignment horizontal="center" vertical="center" wrapText="1"/>
    </xf>
    <xf numFmtId="0" fontId="22" fillId="0" borderId="0" xfId="0" applyFont="1" applyFill="1" applyAlignment="1">
      <alignment vertical="center"/>
    </xf>
    <xf numFmtId="0" fontId="11" fillId="0" borderId="6" xfId="0" applyFont="1" applyFill="1" applyBorder="1" applyAlignment="1">
      <alignment horizontal="left" vertic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xf>
    <xf numFmtId="0" fontId="6" fillId="0" borderId="2" xfId="0" applyFont="1" applyFill="1" applyBorder="1" applyAlignment="1">
      <alignment horizontal="left" vertical="center"/>
    </xf>
    <xf numFmtId="0" fontId="11" fillId="0" borderId="2" xfId="0" applyFont="1" applyFill="1" applyBorder="1" applyAlignment="1">
      <alignment horizontal="left" vertical="center" wrapText="1"/>
    </xf>
    <xf numFmtId="3" fontId="11" fillId="0" borderId="1" xfId="0" applyNumberFormat="1" applyFont="1" applyFill="1" applyBorder="1" applyAlignment="1">
      <alignment horizontal="center" vertical="center" wrapText="1"/>
    </xf>
    <xf numFmtId="0" fontId="22" fillId="0" borderId="5" xfId="0" applyFont="1" applyFill="1" applyBorder="1" applyAlignment="1">
      <alignment horizontal="center" vertical="center"/>
    </xf>
    <xf numFmtId="0" fontId="11" fillId="0" borderId="29" xfId="0" applyFont="1" applyFill="1" applyBorder="1" applyAlignment="1">
      <alignment horizontal="left" vertical="center" wrapText="1"/>
    </xf>
    <xf numFmtId="3" fontId="6" fillId="0" borderId="2" xfId="0" applyNumberFormat="1" applyFont="1" applyFill="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7" fillId="0" borderId="1" xfId="1" applyNumberFormat="1" applyFont="1" applyFill="1" applyBorder="1" applyAlignment="1">
      <alignment horizontal="center" vertical="center" wrapText="1"/>
    </xf>
    <xf numFmtId="49" fontId="2" fillId="0" borderId="0" xfId="0" applyNumberFormat="1" applyFont="1" applyAlignment="1">
      <alignment horizontal="center" vertical="center"/>
    </xf>
    <xf numFmtId="49" fontId="14" fillId="0" borderId="0" xfId="0" applyNumberFormat="1" applyFont="1" applyAlignment="1">
      <alignment horizontal="center" vertical="center"/>
    </xf>
    <xf numFmtId="0" fontId="6" fillId="0" borderId="0" xfId="0" applyFont="1" applyAlignment="1">
      <alignment horizontal="center" vertical="center"/>
    </xf>
    <xf numFmtId="49" fontId="11" fillId="0" borderId="1" xfId="0" applyNumberFormat="1" applyFont="1" applyBorder="1" applyAlignment="1">
      <alignment horizontal="center" vertical="center"/>
    </xf>
    <xf numFmtId="0" fontId="6"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49" fontId="2" fillId="0" borderId="0" xfId="0" applyNumberFormat="1" applyFont="1" applyAlignment="1">
      <alignment horizontal="left" vertical="center"/>
    </xf>
    <xf numFmtId="0" fontId="2" fillId="0" borderId="1" xfId="0" applyFont="1" applyBorder="1" applyAlignment="1">
      <alignment horizontal="center" vertical="center"/>
    </xf>
    <xf numFmtId="3"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3" fontId="6"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horizontal="center" vertical="center" wrapText="1"/>
    </xf>
    <xf numFmtId="3" fontId="7" fillId="0" borderId="1"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11" fillId="0" borderId="1" xfId="1" applyNumberFormat="1" applyFont="1" applyFill="1" applyBorder="1" applyAlignment="1">
      <alignment horizontal="center" vertical="center" wrapText="1"/>
    </xf>
    <xf numFmtId="49" fontId="11"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6" fillId="0" borderId="2" xfId="0" applyFont="1" applyFill="1" applyBorder="1" applyAlignment="1">
      <alignment horizontal="center" vertical="center"/>
    </xf>
    <xf numFmtId="49" fontId="24" fillId="0" borderId="0" xfId="0" applyNumberFormat="1" applyFont="1" applyAlignment="1">
      <alignment horizontal="center" vertical="center" wrapText="1"/>
    </xf>
    <xf numFmtId="49" fontId="26" fillId="0" borderId="0" xfId="0" applyNumberFormat="1" applyFont="1" applyAlignment="1">
      <alignment horizontal="center" vertical="center"/>
    </xf>
    <xf numFmtId="0" fontId="27" fillId="0" borderId="0" xfId="0" applyFont="1" applyAlignment="1">
      <alignment horizontal="center" vertical="center"/>
    </xf>
    <xf numFmtId="49" fontId="11" fillId="0" borderId="1" xfId="0" applyNumberFormat="1" applyFont="1" applyFill="1" applyBorder="1" applyAlignment="1">
      <alignment horizontal="center" vertical="center" wrapText="1"/>
    </xf>
    <xf numFmtId="0" fontId="6" fillId="0" borderId="18" xfId="0" applyFont="1" applyBorder="1" applyAlignment="1">
      <alignment horizontal="center" vertical="center" wrapText="1"/>
    </xf>
    <xf numFmtId="0" fontId="6" fillId="0" borderId="14" xfId="0" applyFont="1" applyBorder="1" applyAlignment="1">
      <alignment vertical="center"/>
    </xf>
    <xf numFmtId="3" fontId="6" fillId="0" borderId="1" xfId="0" applyNumberFormat="1" applyFont="1" applyBorder="1" applyAlignment="1">
      <alignment horizontal="center" vertical="center" wrapText="1"/>
    </xf>
    <xf numFmtId="49" fontId="11" fillId="0" borderId="2"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4" xfId="0" applyNumberFormat="1" applyFont="1" applyBorder="1" applyAlignment="1">
      <alignment horizontal="center" vertical="center"/>
    </xf>
    <xf numFmtId="3" fontId="11" fillId="0" borderId="1" xfId="0" applyNumberFormat="1" applyFont="1" applyBorder="1" applyAlignment="1">
      <alignment horizontal="center" vertical="center"/>
    </xf>
    <xf numFmtId="3" fontId="6" fillId="0" borderId="2" xfId="0" applyNumberFormat="1" applyFont="1" applyBorder="1" applyAlignment="1">
      <alignment horizontal="center" vertical="center"/>
    </xf>
    <xf numFmtId="49" fontId="5" fillId="0" borderId="0" xfId="0" applyNumberFormat="1" applyFont="1" applyAlignment="1">
      <alignment horizontal="center" vertical="center"/>
    </xf>
    <xf numFmtId="49" fontId="25" fillId="0" borderId="0" xfId="0" applyNumberFormat="1" applyFont="1" applyAlignment="1">
      <alignment horizontal="center" vertical="center" wrapText="1"/>
    </xf>
    <xf numFmtId="49" fontId="25" fillId="0" borderId="0" xfId="0" applyNumberFormat="1" applyFont="1" applyAlignment="1">
      <alignment horizontal="center" vertical="center"/>
    </xf>
    <xf numFmtId="49" fontId="2" fillId="0" borderId="1" xfId="0" applyNumberFormat="1" applyFont="1" applyBorder="1" applyAlignment="1">
      <alignment horizontal="center" vertical="center" wrapText="1"/>
    </xf>
    <xf numFmtId="0" fontId="7" fillId="0" borderId="1" xfId="1" applyNumberFormat="1" applyFont="1" applyFill="1" applyBorder="1" applyAlignment="1">
      <alignment horizontal="center" vertical="center" wrapText="1"/>
    </xf>
    <xf numFmtId="0" fontId="2" fillId="0" borderId="9" xfId="0" applyFont="1" applyBorder="1" applyAlignment="1">
      <alignment horizontal="left" vertical="center" wrapText="1"/>
    </xf>
    <xf numFmtId="0" fontId="2" fillId="0" borderId="0" xfId="0" applyFont="1" applyAlignment="1">
      <alignment horizontal="left"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3" fontId="4"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0" fontId="3" fillId="0" borderId="12"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4" xfId="0" applyNumberFormat="1" applyFont="1" applyBorder="1" applyAlignment="1">
      <alignment horizontal="center" vertical="center" wrapText="1"/>
    </xf>
    <xf numFmtId="0" fontId="3" fillId="0" borderId="1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49" fontId="11" fillId="0" borderId="0" xfId="0" applyNumberFormat="1" applyFont="1" applyAlignment="1">
      <alignment horizontal="center" vertical="center"/>
    </xf>
    <xf numFmtId="49" fontId="28" fillId="0" borderId="0" xfId="0" applyNumberFormat="1" applyFont="1" applyAlignment="1">
      <alignment horizontal="center" vertical="center"/>
    </xf>
    <xf numFmtId="0" fontId="29" fillId="0" borderId="0" xfId="0" applyFont="1" applyAlignment="1">
      <alignment horizontal="center" vertical="center"/>
    </xf>
    <xf numFmtId="49" fontId="30" fillId="0" borderId="0" xfId="0" applyNumberFormat="1" applyFont="1" applyAlignment="1">
      <alignment horizontal="center" vertical="center"/>
    </xf>
    <xf numFmtId="49" fontId="31" fillId="0" borderId="0" xfId="0" applyNumberFormat="1" applyFont="1" applyAlignment="1">
      <alignment horizontal="center" vertical="center" wrapText="1"/>
    </xf>
  </cellXfs>
  <cellStyles count="4">
    <cellStyle name="Comma" xfId="1" builtinId="3"/>
    <cellStyle name="Hyperlink" xfId="2" builtinId="8"/>
    <cellStyle name="Normal" xfId="0" builtinId="0"/>
    <cellStyle name="Normal 3 2" xfId="3"/>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67"/>
  <sheetViews>
    <sheetView view="pageBreakPreview" zoomScale="55" zoomScaleNormal="80" zoomScaleSheetLayoutView="55" workbookViewId="0">
      <pane ySplit="6" topLeftCell="A7" activePane="bottomLeft" state="frozen"/>
      <selection pane="bottomLeft" activeCell="M24" sqref="M24:T24"/>
    </sheetView>
  </sheetViews>
  <sheetFormatPr defaultColWidth="8.81640625" defaultRowHeight="14.5" x14ac:dyDescent="0.35"/>
  <cols>
    <col min="1" max="1" width="8.81640625" style="165"/>
    <col min="2" max="2" width="33.81640625" style="165" customWidth="1"/>
    <col min="3" max="3" width="19.54296875" style="165" hidden="1" customWidth="1"/>
    <col min="4" max="5" width="0" style="165" hidden="1" customWidth="1"/>
    <col min="6" max="6" width="8.81640625" style="165" hidden="1" customWidth="1"/>
    <col min="7" max="7" width="0" style="165" hidden="1" customWidth="1"/>
    <col min="8" max="8" width="31.26953125" style="165" hidden="1" customWidth="1"/>
    <col min="9" max="20" width="10.453125" style="165" customWidth="1"/>
    <col min="21" max="21" width="45.26953125" style="166" hidden="1" customWidth="1"/>
    <col min="22" max="22" width="15.7265625" hidden="1" customWidth="1"/>
  </cols>
  <sheetData>
    <row r="2" spans="1:26" x14ac:dyDescent="0.35">
      <c r="A2" s="447" t="s">
        <v>1019</v>
      </c>
      <c r="B2" s="447"/>
      <c r="C2" s="447"/>
      <c r="D2" s="447"/>
      <c r="E2" s="447"/>
      <c r="F2" s="447"/>
      <c r="G2" s="447"/>
      <c r="H2" s="447"/>
      <c r="I2" s="447"/>
      <c r="J2" s="447"/>
      <c r="K2" s="447"/>
      <c r="L2" s="447"/>
      <c r="M2" s="447"/>
      <c r="N2" s="447"/>
      <c r="O2" s="447"/>
      <c r="P2" s="447"/>
      <c r="Q2" s="447"/>
      <c r="R2" s="447"/>
      <c r="S2" s="447"/>
      <c r="T2" s="447"/>
      <c r="U2" s="447"/>
      <c r="V2" s="164"/>
      <c r="W2" s="164"/>
      <c r="X2" s="164"/>
      <c r="Y2" s="164"/>
      <c r="Z2" s="164"/>
    </row>
    <row r="3" spans="1:26" x14ac:dyDescent="0.35">
      <c r="C3" s="448"/>
      <c r="D3" s="449"/>
      <c r="E3" s="449"/>
      <c r="F3" s="449"/>
      <c r="G3" s="449"/>
      <c r="H3" s="449"/>
      <c r="I3" s="449"/>
      <c r="J3" s="449"/>
      <c r="K3" s="449"/>
      <c r="L3" s="449"/>
      <c r="M3" s="449"/>
      <c r="N3" s="449"/>
      <c r="O3" s="449"/>
      <c r="P3" s="449"/>
      <c r="Q3" s="449"/>
      <c r="R3" s="449"/>
      <c r="S3" s="449"/>
      <c r="T3" s="449"/>
      <c r="U3" s="449"/>
    </row>
    <row r="5" spans="1:26" ht="14.5" customHeight="1" x14ac:dyDescent="0.35">
      <c r="A5" s="450" t="s">
        <v>5</v>
      </c>
      <c r="B5" s="452" t="s">
        <v>6</v>
      </c>
      <c r="C5" s="453" t="s">
        <v>750</v>
      </c>
      <c r="D5" s="451"/>
      <c r="E5" s="451"/>
      <c r="F5" s="451"/>
      <c r="G5" s="450" t="s">
        <v>5</v>
      </c>
      <c r="H5" s="452" t="s">
        <v>6</v>
      </c>
      <c r="I5" s="443" t="s">
        <v>750</v>
      </c>
      <c r="J5" s="444"/>
      <c r="K5" s="444"/>
      <c r="L5" s="445"/>
      <c r="M5" s="446" t="s">
        <v>11</v>
      </c>
      <c r="N5" s="446"/>
      <c r="O5" s="446"/>
      <c r="P5" s="446"/>
      <c r="Q5" s="446" t="s">
        <v>12</v>
      </c>
      <c r="R5" s="446"/>
      <c r="S5" s="446"/>
      <c r="T5" s="446"/>
      <c r="U5" s="168"/>
      <c r="V5" s="167"/>
    </row>
    <row r="6" spans="1:26" ht="16.5" x14ac:dyDescent="0.35">
      <c r="A6" s="451"/>
      <c r="B6" s="451"/>
      <c r="C6" s="236" t="s">
        <v>15</v>
      </c>
      <c r="D6" s="236" t="s">
        <v>16</v>
      </c>
      <c r="E6" s="236" t="s">
        <v>17</v>
      </c>
      <c r="F6" s="236" t="s">
        <v>18</v>
      </c>
      <c r="G6" s="451"/>
      <c r="H6" s="451"/>
      <c r="I6" s="236" t="s">
        <v>15</v>
      </c>
      <c r="J6" s="236" t="s">
        <v>16</v>
      </c>
      <c r="K6" s="236" t="s">
        <v>17</v>
      </c>
      <c r="L6" s="252" t="s">
        <v>18</v>
      </c>
      <c r="M6" s="269" t="s">
        <v>15</v>
      </c>
      <c r="N6" s="269" t="s">
        <v>16</v>
      </c>
      <c r="O6" s="269" t="s">
        <v>17</v>
      </c>
      <c r="P6" s="269" t="s">
        <v>18</v>
      </c>
      <c r="Q6" s="269" t="s">
        <v>15</v>
      </c>
      <c r="R6" s="269" t="s">
        <v>16</v>
      </c>
      <c r="S6" s="269" t="s">
        <v>17</v>
      </c>
      <c r="T6" s="269" t="s">
        <v>18</v>
      </c>
      <c r="U6" s="169"/>
      <c r="V6" s="167"/>
    </row>
    <row r="7" spans="1:26" hidden="1" x14ac:dyDescent="0.35">
      <c r="A7" s="236">
        <v>1</v>
      </c>
      <c r="B7" s="156" t="s">
        <v>751</v>
      </c>
      <c r="C7" s="236"/>
      <c r="D7" s="236"/>
      <c r="E7" s="236"/>
      <c r="F7" s="236"/>
      <c r="G7" s="235"/>
      <c r="H7" s="235"/>
      <c r="I7" s="236"/>
      <c r="J7" s="236"/>
      <c r="K7" s="236"/>
      <c r="L7" s="252"/>
      <c r="M7" s="236"/>
      <c r="N7" s="236"/>
      <c r="O7" s="236"/>
      <c r="P7" s="236"/>
      <c r="Q7" s="236"/>
      <c r="R7" s="236"/>
      <c r="S7" s="236"/>
      <c r="T7" s="241"/>
      <c r="U7" s="170" t="s">
        <v>752</v>
      </c>
      <c r="V7" s="167"/>
    </row>
    <row r="8" spans="1:26" hidden="1" x14ac:dyDescent="0.35">
      <c r="A8" s="236">
        <v>2</v>
      </c>
      <c r="B8" s="156" t="s">
        <v>753</v>
      </c>
      <c r="C8" s="236"/>
      <c r="D8" s="236"/>
      <c r="E8" s="236"/>
      <c r="F8" s="236"/>
      <c r="G8" s="235"/>
      <c r="H8" s="235"/>
      <c r="I8" s="236"/>
      <c r="J8" s="236"/>
      <c r="K8" s="236"/>
      <c r="L8" s="252"/>
      <c r="M8" s="236"/>
      <c r="N8" s="236"/>
      <c r="O8" s="236"/>
      <c r="P8" s="236"/>
      <c r="Q8" s="236"/>
      <c r="R8" s="236"/>
      <c r="S8" s="236"/>
      <c r="T8" s="241"/>
      <c r="U8" s="169"/>
      <c r="V8" s="167"/>
    </row>
    <row r="9" spans="1:26" hidden="1" x14ac:dyDescent="0.35">
      <c r="A9" s="171" t="s">
        <v>200</v>
      </c>
      <c r="B9" s="31" t="s">
        <v>754</v>
      </c>
      <c r="C9" s="237"/>
      <c r="D9" s="237"/>
      <c r="E9" s="88"/>
      <c r="F9" s="88"/>
      <c r="G9" s="235"/>
      <c r="H9" s="235"/>
      <c r="I9" s="236"/>
      <c r="J9" s="236"/>
      <c r="K9" s="236"/>
      <c r="L9" s="252"/>
      <c r="M9" s="236"/>
      <c r="N9" s="236"/>
      <c r="O9" s="236"/>
      <c r="P9" s="236"/>
      <c r="Q9" s="236"/>
      <c r="R9" s="236"/>
      <c r="S9" s="236"/>
      <c r="T9" s="241"/>
      <c r="U9" s="169"/>
      <c r="V9" s="167"/>
    </row>
    <row r="10" spans="1:26" ht="42" hidden="1" x14ac:dyDescent="0.35">
      <c r="A10" s="171" t="s">
        <v>755</v>
      </c>
      <c r="B10" s="31" t="s">
        <v>756</v>
      </c>
      <c r="C10" s="240">
        <v>3000</v>
      </c>
      <c r="D10" s="240">
        <v>800</v>
      </c>
      <c r="E10" s="235">
        <v>300</v>
      </c>
      <c r="F10" s="235">
        <v>250</v>
      </c>
      <c r="G10" s="171" t="s">
        <v>755</v>
      </c>
      <c r="H10" s="31" t="s">
        <v>757</v>
      </c>
      <c r="I10" s="240">
        <v>3000</v>
      </c>
      <c r="J10" s="240">
        <v>800</v>
      </c>
      <c r="K10" s="235">
        <v>300</v>
      </c>
      <c r="L10" s="172">
        <v>250</v>
      </c>
      <c r="M10" s="135">
        <v>1800</v>
      </c>
      <c r="N10" s="135">
        <v>480</v>
      </c>
      <c r="O10" s="135">
        <v>180</v>
      </c>
      <c r="P10" s="135">
        <v>150</v>
      </c>
      <c r="Q10" s="135">
        <v>1200</v>
      </c>
      <c r="R10" s="135">
        <v>320</v>
      </c>
      <c r="S10" s="135">
        <v>120</v>
      </c>
      <c r="T10" s="135">
        <v>100</v>
      </c>
      <c r="U10" s="173" t="s">
        <v>758</v>
      </c>
      <c r="V10" s="167"/>
    </row>
    <row r="11" spans="1:26" ht="132.75" hidden="1" customHeight="1" x14ac:dyDescent="0.35">
      <c r="A11" s="171" t="s">
        <v>759</v>
      </c>
      <c r="B11" s="31" t="s">
        <v>760</v>
      </c>
      <c r="C11" s="240">
        <v>2200</v>
      </c>
      <c r="D11" s="240">
        <v>800</v>
      </c>
      <c r="E11" s="235">
        <v>300</v>
      </c>
      <c r="F11" s="235">
        <v>250</v>
      </c>
      <c r="G11" s="171" t="s">
        <v>759</v>
      </c>
      <c r="H11" s="31" t="s">
        <v>761</v>
      </c>
      <c r="I11" s="240">
        <v>2200</v>
      </c>
      <c r="J11" s="240">
        <v>800</v>
      </c>
      <c r="K11" s="235">
        <v>300</v>
      </c>
      <c r="L11" s="172">
        <v>250</v>
      </c>
      <c r="M11" s="135">
        <v>1320</v>
      </c>
      <c r="N11" s="135">
        <v>480</v>
      </c>
      <c r="O11" s="135">
        <v>180</v>
      </c>
      <c r="P11" s="135">
        <v>150</v>
      </c>
      <c r="Q11" s="135">
        <v>880</v>
      </c>
      <c r="R11" s="135">
        <v>320</v>
      </c>
      <c r="S11" s="135">
        <v>120</v>
      </c>
      <c r="T11" s="135">
        <v>100</v>
      </c>
      <c r="U11" s="173" t="s">
        <v>758</v>
      </c>
      <c r="V11" s="167"/>
    </row>
    <row r="12" spans="1:26" ht="124.75" hidden="1" customHeight="1" x14ac:dyDescent="0.35">
      <c r="A12" s="174" t="s">
        <v>762</v>
      </c>
      <c r="B12" s="175" t="s">
        <v>763</v>
      </c>
      <c r="C12" s="175">
        <v>1800</v>
      </c>
      <c r="D12" s="175">
        <v>800</v>
      </c>
      <c r="E12" s="175">
        <v>400</v>
      </c>
      <c r="F12" s="175">
        <v>250</v>
      </c>
      <c r="G12" s="174" t="s">
        <v>762</v>
      </c>
      <c r="H12" s="175" t="s">
        <v>764</v>
      </c>
      <c r="I12" s="175">
        <v>1800</v>
      </c>
      <c r="J12" s="175">
        <v>800</v>
      </c>
      <c r="K12" s="175">
        <v>400</v>
      </c>
      <c r="L12" s="176">
        <v>250</v>
      </c>
      <c r="M12" s="135">
        <v>1080</v>
      </c>
      <c r="N12" s="135">
        <v>480</v>
      </c>
      <c r="O12" s="135">
        <v>240</v>
      </c>
      <c r="P12" s="135">
        <v>150</v>
      </c>
      <c r="Q12" s="135">
        <v>720</v>
      </c>
      <c r="R12" s="135">
        <v>320</v>
      </c>
      <c r="S12" s="135">
        <v>160</v>
      </c>
      <c r="T12" s="135">
        <v>100</v>
      </c>
      <c r="U12" s="173" t="s">
        <v>758</v>
      </c>
      <c r="V12" s="167"/>
    </row>
    <row r="13" spans="1:26" ht="127.5" hidden="1" customHeight="1" x14ac:dyDescent="0.35">
      <c r="A13" s="177"/>
      <c r="B13" s="241"/>
      <c r="C13" s="31"/>
      <c r="D13" s="31"/>
      <c r="E13" s="31"/>
      <c r="F13" s="31"/>
      <c r="G13" s="235">
        <v>11</v>
      </c>
      <c r="H13" s="31" t="s">
        <v>765</v>
      </c>
      <c r="I13" s="94">
        <v>2400</v>
      </c>
      <c r="J13" s="236"/>
      <c r="K13" s="236"/>
      <c r="L13" s="252"/>
      <c r="M13" s="236"/>
      <c r="N13" s="236"/>
      <c r="O13" s="236"/>
      <c r="P13" s="236"/>
      <c r="Q13" s="236"/>
      <c r="R13" s="236"/>
      <c r="S13" s="236"/>
      <c r="T13" s="241"/>
      <c r="U13" s="169" t="s">
        <v>766</v>
      </c>
      <c r="V13" s="167"/>
    </row>
    <row r="14" spans="1:26" ht="126" hidden="1" x14ac:dyDescent="0.35">
      <c r="A14" s="177"/>
      <c r="B14" s="241"/>
      <c r="C14" s="31"/>
      <c r="D14" s="31"/>
      <c r="E14" s="31"/>
      <c r="F14" s="31"/>
      <c r="G14" s="235">
        <v>12</v>
      </c>
      <c r="H14" s="31" t="s">
        <v>767</v>
      </c>
      <c r="I14" s="91">
        <v>492</v>
      </c>
      <c r="J14" s="236"/>
      <c r="K14" s="236"/>
      <c r="L14" s="252"/>
      <c r="M14" s="236"/>
      <c r="N14" s="236"/>
      <c r="O14" s="236"/>
      <c r="P14" s="236"/>
      <c r="Q14" s="236"/>
      <c r="R14" s="236"/>
      <c r="S14" s="236"/>
      <c r="T14" s="241"/>
      <c r="U14" s="169" t="s">
        <v>768</v>
      </c>
      <c r="V14" s="167"/>
    </row>
    <row r="15" spans="1:26" ht="154" hidden="1" x14ac:dyDescent="0.35">
      <c r="A15" s="177"/>
      <c r="B15" s="241"/>
      <c r="C15" s="31"/>
      <c r="D15" s="31"/>
      <c r="E15" s="31"/>
      <c r="F15" s="31"/>
      <c r="G15" s="235">
        <v>13</v>
      </c>
      <c r="H15" s="31" t="s">
        <v>769</v>
      </c>
      <c r="I15" s="91">
        <v>2400</v>
      </c>
      <c r="J15" s="236"/>
      <c r="K15" s="236"/>
      <c r="L15" s="252"/>
      <c r="M15" s="236"/>
      <c r="N15" s="236"/>
      <c r="O15" s="236"/>
      <c r="P15" s="236"/>
      <c r="Q15" s="236"/>
      <c r="R15" s="236"/>
      <c r="S15" s="236"/>
      <c r="T15" s="241"/>
      <c r="U15" s="169" t="s">
        <v>770</v>
      </c>
      <c r="V15" s="167"/>
    </row>
    <row r="16" spans="1:26" hidden="1" x14ac:dyDescent="0.35">
      <c r="A16" s="236">
        <v>3</v>
      </c>
      <c r="B16" s="178" t="s">
        <v>771</v>
      </c>
      <c r="C16" s="236"/>
      <c r="D16" s="236"/>
      <c r="E16" s="236"/>
      <c r="F16" s="236"/>
      <c r="G16" s="235"/>
      <c r="H16" s="235"/>
      <c r="I16" s="236"/>
      <c r="J16" s="236"/>
      <c r="K16" s="236"/>
      <c r="L16" s="252"/>
      <c r="M16" s="236"/>
      <c r="N16" s="236"/>
      <c r="O16" s="236"/>
      <c r="P16" s="236"/>
      <c r="Q16" s="236"/>
      <c r="R16" s="236"/>
      <c r="S16" s="236"/>
      <c r="T16" s="241"/>
      <c r="U16" s="170" t="s">
        <v>752</v>
      </c>
      <c r="V16" s="167"/>
    </row>
    <row r="17" spans="1:22" hidden="1" x14ac:dyDescent="0.35">
      <c r="A17" s="236">
        <v>4</v>
      </c>
      <c r="B17" s="156" t="s">
        <v>772</v>
      </c>
      <c r="C17" s="236"/>
      <c r="D17" s="236"/>
      <c r="E17" s="236"/>
      <c r="F17" s="236"/>
      <c r="G17" s="235"/>
      <c r="H17" s="235"/>
      <c r="I17" s="236"/>
      <c r="J17" s="236"/>
      <c r="K17" s="236"/>
      <c r="L17" s="252"/>
      <c r="M17" s="236"/>
      <c r="N17" s="236"/>
      <c r="O17" s="236"/>
      <c r="P17" s="236"/>
      <c r="Q17" s="236"/>
      <c r="R17" s="236"/>
      <c r="S17" s="236"/>
      <c r="T17" s="241"/>
      <c r="U17" s="170" t="s">
        <v>752</v>
      </c>
      <c r="V17" s="167"/>
    </row>
    <row r="18" spans="1:22" x14ac:dyDescent="0.35">
      <c r="A18" s="236" t="s">
        <v>1069</v>
      </c>
      <c r="B18" s="179" t="s">
        <v>1075</v>
      </c>
      <c r="C18" s="236"/>
      <c r="D18" s="236"/>
      <c r="E18" s="236"/>
      <c r="F18" s="236"/>
      <c r="G18" s="235"/>
      <c r="H18" s="235"/>
      <c r="I18" s="236"/>
      <c r="J18" s="236"/>
      <c r="K18" s="236"/>
      <c r="L18" s="252"/>
      <c r="M18" s="236"/>
      <c r="N18" s="236"/>
      <c r="O18" s="236"/>
      <c r="P18" s="236"/>
      <c r="Q18" s="236"/>
      <c r="R18" s="236"/>
      <c r="S18" s="236"/>
      <c r="T18" s="241"/>
      <c r="U18" s="170"/>
      <c r="V18" s="167"/>
    </row>
    <row r="19" spans="1:22" x14ac:dyDescent="0.35">
      <c r="A19" s="236">
        <v>5</v>
      </c>
      <c r="B19" s="179" t="s">
        <v>773</v>
      </c>
      <c r="C19" s="236"/>
      <c r="D19" s="236"/>
      <c r="E19" s="236"/>
      <c r="F19" s="236"/>
      <c r="G19" s="235"/>
      <c r="H19" s="235"/>
      <c r="I19" s="236"/>
      <c r="J19" s="236"/>
      <c r="K19" s="236"/>
      <c r="L19" s="252"/>
      <c r="M19" s="236"/>
      <c r="N19" s="236"/>
      <c r="O19" s="236"/>
      <c r="P19" s="236"/>
      <c r="Q19" s="236"/>
      <c r="R19" s="236"/>
      <c r="S19" s="236"/>
      <c r="T19" s="241"/>
      <c r="U19" s="169"/>
      <c r="V19" s="167"/>
    </row>
    <row r="20" spans="1:22" ht="70" hidden="1" x14ac:dyDescent="0.35">
      <c r="A20" s="172">
        <v>1</v>
      </c>
      <c r="B20" s="138" t="s">
        <v>774</v>
      </c>
      <c r="C20" s="180">
        <v>2500</v>
      </c>
      <c r="D20" s="181">
        <v>350</v>
      </c>
      <c r="E20" s="181">
        <v>500</v>
      </c>
      <c r="F20" s="181">
        <v>380</v>
      </c>
      <c r="G20" s="172">
        <v>1</v>
      </c>
      <c r="H20" s="138" t="s">
        <v>774</v>
      </c>
      <c r="I20" s="180">
        <v>2500</v>
      </c>
      <c r="J20" s="181">
        <v>1000</v>
      </c>
      <c r="K20" s="181">
        <v>250</v>
      </c>
      <c r="L20" s="182">
        <v>200</v>
      </c>
      <c r="M20" s="181"/>
      <c r="N20" s="181"/>
      <c r="O20" s="181"/>
      <c r="P20" s="181"/>
      <c r="Q20" s="181"/>
      <c r="R20" s="181"/>
      <c r="S20" s="181"/>
      <c r="T20" s="241"/>
      <c r="U20" s="169" t="s">
        <v>775</v>
      </c>
      <c r="V20" s="167" t="s">
        <v>551</v>
      </c>
    </row>
    <row r="21" spans="1:22" ht="75.400000000000006" hidden="1" customHeight="1" x14ac:dyDescent="0.35">
      <c r="A21" s="183">
        <v>45659</v>
      </c>
      <c r="B21" s="138" t="s">
        <v>776</v>
      </c>
      <c r="C21" s="180">
        <v>2500</v>
      </c>
      <c r="D21" s="181">
        <v>1000</v>
      </c>
      <c r="E21" s="181">
        <v>500</v>
      </c>
      <c r="F21" s="181">
        <v>380</v>
      </c>
      <c r="G21" s="183">
        <v>45659</v>
      </c>
      <c r="H21" s="138" t="s">
        <v>776</v>
      </c>
      <c r="I21" s="180">
        <v>2500</v>
      </c>
      <c r="J21" s="181">
        <v>1000</v>
      </c>
      <c r="K21" s="181">
        <v>250</v>
      </c>
      <c r="L21" s="182">
        <v>200</v>
      </c>
      <c r="M21" s="181"/>
      <c r="N21" s="181"/>
      <c r="O21" s="181"/>
      <c r="P21" s="181"/>
      <c r="Q21" s="181"/>
      <c r="R21" s="181"/>
      <c r="S21" s="181"/>
      <c r="T21" s="241"/>
      <c r="U21" s="169" t="s">
        <v>777</v>
      </c>
      <c r="V21" s="167" t="s">
        <v>551</v>
      </c>
    </row>
    <row r="22" spans="1:22" ht="42" hidden="1" x14ac:dyDescent="0.35">
      <c r="A22" s="62" t="s">
        <v>778</v>
      </c>
      <c r="B22" s="53" t="s">
        <v>779</v>
      </c>
      <c r="C22" s="184">
        <v>500</v>
      </c>
      <c r="D22" s="185">
        <v>350</v>
      </c>
      <c r="E22" s="185">
        <v>250</v>
      </c>
      <c r="F22" s="185">
        <v>200</v>
      </c>
      <c r="G22" s="62" t="s">
        <v>778</v>
      </c>
      <c r="H22" s="53" t="s">
        <v>779</v>
      </c>
      <c r="I22" s="186">
        <v>400</v>
      </c>
      <c r="J22" s="185">
        <v>350</v>
      </c>
      <c r="K22" s="185">
        <v>250</v>
      </c>
      <c r="L22" s="187">
        <v>200</v>
      </c>
      <c r="M22" s="188"/>
      <c r="N22" s="188"/>
      <c r="O22" s="188"/>
      <c r="P22" s="188"/>
      <c r="Q22" s="188"/>
      <c r="R22" s="188"/>
      <c r="S22" s="188"/>
      <c r="T22" s="241"/>
      <c r="U22" s="169" t="s">
        <v>780</v>
      </c>
      <c r="V22" s="167" t="s">
        <v>781</v>
      </c>
    </row>
    <row r="23" spans="1:22" ht="42" hidden="1" x14ac:dyDescent="0.35">
      <c r="A23" s="62" t="s">
        <v>143</v>
      </c>
      <c r="B23" s="53" t="s">
        <v>782</v>
      </c>
      <c r="C23" s="189">
        <v>500</v>
      </c>
      <c r="D23" s="190">
        <v>350</v>
      </c>
      <c r="E23" s="185">
        <v>250</v>
      </c>
      <c r="F23" s="185">
        <v>200</v>
      </c>
      <c r="G23" s="62" t="s">
        <v>143</v>
      </c>
      <c r="H23" s="53" t="s">
        <v>782</v>
      </c>
      <c r="I23" s="191">
        <v>380</v>
      </c>
      <c r="J23" s="190">
        <v>350</v>
      </c>
      <c r="K23" s="185">
        <v>250</v>
      </c>
      <c r="L23" s="187">
        <v>200</v>
      </c>
      <c r="M23" s="188"/>
      <c r="N23" s="188"/>
      <c r="O23" s="188"/>
      <c r="P23" s="188"/>
      <c r="Q23" s="188"/>
      <c r="R23" s="188"/>
      <c r="S23" s="188"/>
      <c r="T23" s="241"/>
      <c r="U23" s="169" t="s">
        <v>783</v>
      </c>
      <c r="V23" s="167" t="s">
        <v>781</v>
      </c>
    </row>
    <row r="24" spans="1:22" ht="28" x14ac:dyDescent="0.35">
      <c r="A24" s="62" t="s">
        <v>784</v>
      </c>
      <c r="B24" s="53" t="s">
        <v>785</v>
      </c>
      <c r="C24" s="189">
        <v>500</v>
      </c>
      <c r="D24" s="190">
        <v>350</v>
      </c>
      <c r="E24" s="190">
        <v>250</v>
      </c>
      <c r="F24" s="185">
        <v>200</v>
      </c>
      <c r="G24" s="62" t="s">
        <v>784</v>
      </c>
      <c r="H24" s="53"/>
      <c r="I24" s="240">
        <v>500</v>
      </c>
      <c r="J24" s="240">
        <v>350</v>
      </c>
      <c r="K24" s="240">
        <v>250</v>
      </c>
      <c r="L24" s="235">
        <v>200</v>
      </c>
      <c r="M24" s="240">
        <v>320</v>
      </c>
      <c r="N24" s="240">
        <v>210</v>
      </c>
      <c r="O24" s="240">
        <v>150</v>
      </c>
      <c r="P24" s="240">
        <v>120</v>
      </c>
      <c r="Q24" s="240">
        <v>240</v>
      </c>
      <c r="R24" s="240">
        <v>140</v>
      </c>
      <c r="S24" s="240">
        <v>100</v>
      </c>
      <c r="T24" s="240">
        <v>80</v>
      </c>
      <c r="U24" s="169" t="s">
        <v>786</v>
      </c>
      <c r="V24" s="167" t="s">
        <v>781</v>
      </c>
    </row>
    <row r="25" spans="1:22" ht="56" hidden="1" x14ac:dyDescent="0.35">
      <c r="A25" s="62" t="s">
        <v>787</v>
      </c>
      <c r="B25" s="192" t="s">
        <v>788</v>
      </c>
      <c r="C25" s="189">
        <v>500</v>
      </c>
      <c r="D25" s="190">
        <v>350</v>
      </c>
      <c r="E25" s="185">
        <v>250</v>
      </c>
      <c r="F25" s="185">
        <v>200</v>
      </c>
      <c r="G25" s="62" t="s">
        <v>787</v>
      </c>
      <c r="H25" s="192" t="s">
        <v>788</v>
      </c>
      <c r="I25" s="193">
        <v>380</v>
      </c>
      <c r="J25" s="194">
        <v>350</v>
      </c>
      <c r="K25" s="195">
        <v>250</v>
      </c>
      <c r="L25" s="187">
        <v>200</v>
      </c>
      <c r="M25" s="188"/>
      <c r="N25" s="188"/>
      <c r="O25" s="188"/>
      <c r="P25" s="188"/>
      <c r="Q25" s="188"/>
      <c r="R25" s="188"/>
      <c r="S25" s="188"/>
      <c r="T25" s="241"/>
      <c r="U25" s="169" t="s">
        <v>789</v>
      </c>
      <c r="V25" s="167" t="s">
        <v>781</v>
      </c>
    </row>
    <row r="26" spans="1:22" ht="42" hidden="1" x14ac:dyDescent="0.35">
      <c r="A26" s="196" t="s">
        <v>790</v>
      </c>
      <c r="B26" s="239" t="s">
        <v>791</v>
      </c>
      <c r="C26" s="197">
        <v>380</v>
      </c>
      <c r="D26" s="190">
        <v>350</v>
      </c>
      <c r="E26" s="185">
        <v>250</v>
      </c>
      <c r="F26" s="185">
        <v>200</v>
      </c>
      <c r="G26" s="198" t="s">
        <v>790</v>
      </c>
      <c r="H26" s="38" t="s">
        <v>791</v>
      </c>
      <c r="I26" s="199">
        <v>300</v>
      </c>
      <c r="J26" s="200">
        <v>350</v>
      </c>
      <c r="K26" s="188">
        <v>250</v>
      </c>
      <c r="L26" s="201">
        <v>200</v>
      </c>
      <c r="M26" s="188"/>
      <c r="N26" s="188"/>
      <c r="O26" s="188"/>
      <c r="P26" s="188"/>
      <c r="Q26" s="188"/>
      <c r="R26" s="188"/>
      <c r="S26" s="188"/>
      <c r="T26" s="241"/>
      <c r="U26" s="169" t="s">
        <v>792</v>
      </c>
      <c r="V26" s="167" t="s">
        <v>781</v>
      </c>
    </row>
    <row r="27" spans="1:22" hidden="1" x14ac:dyDescent="0.35">
      <c r="A27" s="202">
        <v>6</v>
      </c>
      <c r="B27" s="179" t="s">
        <v>793</v>
      </c>
      <c r="C27" s="202"/>
      <c r="D27" s="236"/>
      <c r="E27" s="236"/>
      <c r="F27" s="236"/>
      <c r="G27" s="235"/>
      <c r="H27" s="235"/>
      <c r="I27" s="236"/>
      <c r="J27" s="236"/>
      <c r="K27" s="236"/>
      <c r="L27" s="252"/>
      <c r="M27" s="236"/>
      <c r="N27" s="236"/>
      <c r="O27" s="236"/>
      <c r="P27" s="236"/>
      <c r="Q27" s="236"/>
      <c r="R27" s="236"/>
      <c r="S27" s="236"/>
      <c r="T27" s="241"/>
      <c r="U27" s="170" t="s">
        <v>752</v>
      </c>
      <c r="V27" s="167"/>
    </row>
    <row r="28" spans="1:22" hidden="1" x14ac:dyDescent="0.35">
      <c r="A28" s="236">
        <v>7</v>
      </c>
      <c r="B28" s="179" t="s">
        <v>794</v>
      </c>
      <c r="C28" s="236"/>
      <c r="D28" s="236"/>
      <c r="E28" s="236"/>
      <c r="F28" s="236"/>
      <c r="G28" s="235"/>
      <c r="H28" s="235"/>
      <c r="I28" s="236"/>
      <c r="J28" s="236"/>
      <c r="K28" s="236"/>
      <c r="L28" s="252"/>
      <c r="M28" s="236"/>
      <c r="N28" s="236"/>
      <c r="O28" s="236"/>
      <c r="P28" s="236"/>
      <c r="Q28" s="236"/>
      <c r="R28" s="236"/>
      <c r="S28" s="236"/>
      <c r="T28" s="241"/>
      <c r="U28" s="170" t="s">
        <v>752</v>
      </c>
      <c r="V28" s="167"/>
    </row>
    <row r="29" spans="1:22" hidden="1" x14ac:dyDescent="0.35">
      <c r="A29" s="236">
        <v>8</v>
      </c>
      <c r="B29" s="203" t="s">
        <v>795</v>
      </c>
      <c r="C29" s="236"/>
      <c r="D29" s="236"/>
      <c r="E29" s="236"/>
      <c r="F29" s="236"/>
      <c r="G29" s="235"/>
      <c r="H29" s="235"/>
      <c r="I29" s="236"/>
      <c r="J29" s="236"/>
      <c r="K29" s="236"/>
      <c r="L29" s="252"/>
      <c r="M29" s="236"/>
      <c r="N29" s="236"/>
      <c r="O29" s="236"/>
      <c r="P29" s="236"/>
      <c r="Q29" s="236"/>
      <c r="R29" s="236"/>
      <c r="S29" s="236"/>
      <c r="T29" s="241"/>
      <c r="U29" s="170" t="s">
        <v>752</v>
      </c>
      <c r="V29" s="167"/>
    </row>
    <row r="30" spans="1:22" hidden="1" x14ac:dyDescent="0.35">
      <c r="A30" s="204">
        <v>9</v>
      </c>
      <c r="B30" s="205" t="s">
        <v>796</v>
      </c>
      <c r="C30" s="204"/>
      <c r="D30" s="204"/>
      <c r="E30" s="204"/>
      <c r="F30" s="204"/>
      <c r="G30" s="235"/>
      <c r="H30" s="235"/>
      <c r="I30" s="236"/>
      <c r="J30" s="236"/>
      <c r="K30" s="236"/>
      <c r="L30" s="252"/>
      <c r="M30" s="236"/>
      <c r="N30" s="236"/>
      <c r="O30" s="236"/>
      <c r="P30" s="236"/>
      <c r="Q30" s="236"/>
      <c r="R30" s="236"/>
      <c r="S30" s="236"/>
      <c r="T30" s="241"/>
      <c r="U30" s="170" t="s">
        <v>22</v>
      </c>
      <c r="V30" s="167"/>
    </row>
    <row r="31" spans="1:22" ht="168" hidden="1" x14ac:dyDescent="0.35">
      <c r="A31" s="236"/>
      <c r="B31" s="206"/>
      <c r="C31" s="206"/>
      <c r="D31" s="206"/>
      <c r="E31" s="206"/>
      <c r="F31" s="236"/>
      <c r="G31" s="270">
        <v>14</v>
      </c>
      <c r="H31" s="271" t="s">
        <v>797</v>
      </c>
      <c r="I31" s="272">
        <v>2500</v>
      </c>
      <c r="J31" s="272"/>
      <c r="K31" s="272"/>
      <c r="L31" s="252"/>
      <c r="M31" s="236"/>
      <c r="N31" s="236"/>
      <c r="O31" s="236"/>
      <c r="P31" s="236"/>
      <c r="Q31" s="236"/>
      <c r="R31" s="236"/>
      <c r="S31" s="236"/>
      <c r="T31" s="241"/>
      <c r="U31" s="207" t="s">
        <v>798</v>
      </c>
      <c r="V31" s="167"/>
    </row>
    <row r="32" spans="1:22" ht="31.15" hidden="1" customHeight="1" x14ac:dyDescent="0.35">
      <c r="A32" s="236"/>
      <c r="B32" s="206"/>
      <c r="C32" s="206"/>
      <c r="D32" s="206"/>
      <c r="E32" s="206"/>
      <c r="F32" s="236"/>
      <c r="G32" s="270">
        <v>15</v>
      </c>
      <c r="H32" s="271" t="s">
        <v>799</v>
      </c>
      <c r="I32" s="273"/>
      <c r="J32" s="273"/>
      <c r="K32" s="273"/>
      <c r="L32" s="252"/>
      <c r="M32" s="236"/>
      <c r="N32" s="236"/>
      <c r="O32" s="236"/>
      <c r="P32" s="236"/>
      <c r="Q32" s="236"/>
      <c r="R32" s="236"/>
      <c r="S32" s="236"/>
      <c r="T32" s="241"/>
      <c r="U32" s="207"/>
      <c r="V32" s="167"/>
    </row>
    <row r="33" spans="1:23" ht="140" hidden="1" x14ac:dyDescent="0.35">
      <c r="A33" s="236"/>
      <c r="B33" s="206"/>
      <c r="C33" s="206"/>
      <c r="D33" s="206"/>
      <c r="E33" s="206"/>
      <c r="F33" s="236"/>
      <c r="G33" s="270" t="s">
        <v>738</v>
      </c>
      <c r="H33" s="274" t="s">
        <v>800</v>
      </c>
      <c r="I33" s="273">
        <v>3000</v>
      </c>
      <c r="J33" s="273"/>
      <c r="K33" s="273"/>
      <c r="L33" s="252"/>
      <c r="M33" s="236"/>
      <c r="N33" s="236"/>
      <c r="O33" s="236"/>
      <c r="P33" s="236"/>
      <c r="Q33" s="236"/>
      <c r="R33" s="236"/>
      <c r="S33" s="236"/>
      <c r="T33" s="241"/>
      <c r="U33" s="207" t="s">
        <v>801</v>
      </c>
      <c r="V33" s="167"/>
    </row>
    <row r="34" spans="1:23" ht="182" hidden="1" x14ac:dyDescent="0.35">
      <c r="A34" s="236"/>
      <c r="B34" s="206"/>
      <c r="C34" s="206"/>
      <c r="D34" s="206"/>
      <c r="E34" s="206"/>
      <c r="F34" s="236"/>
      <c r="G34" s="270" t="s">
        <v>739</v>
      </c>
      <c r="H34" s="274" t="s">
        <v>79</v>
      </c>
      <c r="I34" s="275">
        <v>2500</v>
      </c>
      <c r="J34" s="275"/>
      <c r="K34" s="275"/>
      <c r="L34" s="252"/>
      <c r="M34" s="236"/>
      <c r="N34" s="236"/>
      <c r="O34" s="236"/>
      <c r="P34" s="236"/>
      <c r="Q34" s="236"/>
      <c r="R34" s="236"/>
      <c r="S34" s="236"/>
      <c r="T34" s="241"/>
      <c r="U34" s="207" t="s">
        <v>802</v>
      </c>
      <c r="V34" s="167"/>
    </row>
    <row r="35" spans="1:23" hidden="1" x14ac:dyDescent="0.35">
      <c r="A35" s="236">
        <v>10</v>
      </c>
      <c r="B35" s="156" t="s">
        <v>803</v>
      </c>
      <c r="C35" s="236"/>
      <c r="D35" s="236"/>
      <c r="E35" s="236"/>
      <c r="F35" s="236"/>
      <c r="G35" s="235"/>
      <c r="H35" s="236"/>
      <c r="I35" s="236"/>
      <c r="J35" s="236"/>
      <c r="K35" s="236"/>
      <c r="L35" s="252"/>
      <c r="M35" s="236"/>
      <c r="N35" s="236"/>
      <c r="O35" s="236"/>
      <c r="P35" s="236"/>
      <c r="Q35" s="236"/>
      <c r="R35" s="236"/>
      <c r="S35" s="236"/>
      <c r="T35" s="241"/>
      <c r="V35" s="208" t="s">
        <v>804</v>
      </c>
    </row>
    <row r="36" spans="1:23" ht="84" hidden="1" customHeight="1" x14ac:dyDescent="0.35">
      <c r="A36" s="209" t="s">
        <v>805</v>
      </c>
      <c r="B36" s="158" t="s">
        <v>806</v>
      </c>
      <c r="C36" s="61">
        <v>1500</v>
      </c>
      <c r="D36" s="61">
        <v>1000</v>
      </c>
      <c r="E36" s="60">
        <v>600</v>
      </c>
      <c r="F36" s="60">
        <v>400</v>
      </c>
      <c r="G36" s="209" t="s">
        <v>805</v>
      </c>
      <c r="H36" s="210" t="s">
        <v>807</v>
      </c>
      <c r="I36" s="61">
        <v>1500</v>
      </c>
      <c r="J36" s="61">
        <v>1000</v>
      </c>
      <c r="K36" s="60">
        <v>600</v>
      </c>
      <c r="L36" s="257">
        <v>400</v>
      </c>
      <c r="M36" s="135">
        <v>900</v>
      </c>
      <c r="N36" s="135">
        <v>600</v>
      </c>
      <c r="O36" s="135">
        <v>360</v>
      </c>
      <c r="P36" s="135">
        <v>240</v>
      </c>
      <c r="Q36" s="135">
        <v>600</v>
      </c>
      <c r="R36" s="135">
        <v>400</v>
      </c>
      <c r="S36" s="135">
        <v>240</v>
      </c>
      <c r="T36" s="135">
        <v>160</v>
      </c>
      <c r="U36" s="169" t="s">
        <v>808</v>
      </c>
      <c r="V36" s="167" t="s">
        <v>809</v>
      </c>
    </row>
    <row r="37" spans="1:23" ht="101.25" hidden="1" customHeight="1" x14ac:dyDescent="0.35">
      <c r="A37" s="209" t="s">
        <v>810</v>
      </c>
      <c r="B37" s="53" t="s">
        <v>811</v>
      </c>
      <c r="C37" s="61">
        <v>13000</v>
      </c>
      <c r="D37" s="61">
        <v>9000</v>
      </c>
      <c r="E37" s="61">
        <v>7000</v>
      </c>
      <c r="F37" s="61">
        <v>2000</v>
      </c>
      <c r="G37" s="209" t="s">
        <v>810</v>
      </c>
      <c r="H37" s="156" t="s">
        <v>812</v>
      </c>
      <c r="I37" s="61">
        <v>13000</v>
      </c>
      <c r="J37" s="61">
        <v>9000</v>
      </c>
      <c r="K37" s="61">
        <v>7000</v>
      </c>
      <c r="L37" s="211">
        <v>2000</v>
      </c>
      <c r="M37" s="135">
        <v>7800</v>
      </c>
      <c r="N37" s="135">
        <v>5400</v>
      </c>
      <c r="O37" s="135">
        <v>4200</v>
      </c>
      <c r="P37" s="135">
        <v>1200</v>
      </c>
      <c r="Q37" s="135">
        <v>5200</v>
      </c>
      <c r="R37" s="135">
        <v>3600</v>
      </c>
      <c r="S37" s="135">
        <v>2800</v>
      </c>
      <c r="T37" s="135">
        <v>800</v>
      </c>
      <c r="U37" s="169" t="s">
        <v>808</v>
      </c>
      <c r="V37" s="167" t="s">
        <v>809</v>
      </c>
    </row>
    <row r="38" spans="1:23" ht="87" hidden="1" customHeight="1" x14ac:dyDescent="0.35">
      <c r="A38" s="209" t="s">
        <v>813</v>
      </c>
      <c r="B38" s="53" t="s">
        <v>814</v>
      </c>
      <c r="C38" s="61">
        <v>9000</v>
      </c>
      <c r="D38" s="61">
        <v>7000</v>
      </c>
      <c r="E38" s="61">
        <v>5000</v>
      </c>
      <c r="F38" s="61">
        <v>2000</v>
      </c>
      <c r="G38" s="209" t="s">
        <v>813</v>
      </c>
      <c r="H38" s="156" t="s">
        <v>815</v>
      </c>
      <c r="I38" s="61">
        <v>9000</v>
      </c>
      <c r="J38" s="61">
        <v>7000</v>
      </c>
      <c r="K38" s="61">
        <v>5000</v>
      </c>
      <c r="L38" s="211">
        <v>2000</v>
      </c>
      <c r="M38" s="135">
        <v>5400</v>
      </c>
      <c r="N38" s="135">
        <v>4200</v>
      </c>
      <c r="O38" s="135">
        <v>3000</v>
      </c>
      <c r="P38" s="135">
        <v>1200</v>
      </c>
      <c r="Q38" s="135">
        <v>3600</v>
      </c>
      <c r="R38" s="135">
        <v>2800</v>
      </c>
      <c r="S38" s="135">
        <v>2000</v>
      </c>
      <c r="T38" s="135">
        <v>800</v>
      </c>
      <c r="U38" s="169" t="s">
        <v>808</v>
      </c>
      <c r="V38" s="167" t="s">
        <v>809</v>
      </c>
    </row>
    <row r="39" spans="1:23" ht="80.25" hidden="1" customHeight="1" x14ac:dyDescent="0.35">
      <c r="A39" s="209" t="s">
        <v>816</v>
      </c>
      <c r="B39" s="53" t="s">
        <v>817</v>
      </c>
      <c r="C39" s="61">
        <v>7000</v>
      </c>
      <c r="D39" s="61">
        <v>4000</v>
      </c>
      <c r="E39" s="61">
        <v>2000</v>
      </c>
      <c r="F39" s="61">
        <v>1000</v>
      </c>
      <c r="G39" s="209" t="s">
        <v>816</v>
      </c>
      <c r="H39" s="156" t="s">
        <v>818</v>
      </c>
      <c r="I39" s="61">
        <v>7000</v>
      </c>
      <c r="J39" s="61">
        <v>4000</v>
      </c>
      <c r="K39" s="61">
        <v>2000</v>
      </c>
      <c r="L39" s="211">
        <v>1000</v>
      </c>
      <c r="M39" s="135">
        <v>4200</v>
      </c>
      <c r="N39" s="135">
        <v>2400</v>
      </c>
      <c r="O39" s="135">
        <v>1200</v>
      </c>
      <c r="P39" s="135">
        <v>600</v>
      </c>
      <c r="Q39" s="135">
        <v>2800</v>
      </c>
      <c r="R39" s="135">
        <v>1600</v>
      </c>
      <c r="S39" s="135">
        <v>800</v>
      </c>
      <c r="T39" s="135">
        <v>400</v>
      </c>
      <c r="U39" s="169" t="s">
        <v>808</v>
      </c>
      <c r="V39" s="167" t="s">
        <v>809</v>
      </c>
    </row>
    <row r="40" spans="1:23" ht="70.75" hidden="1" customHeight="1" x14ac:dyDescent="0.35">
      <c r="A40" s="209" t="s">
        <v>740</v>
      </c>
      <c r="B40" s="158" t="s">
        <v>819</v>
      </c>
      <c r="C40" s="61">
        <v>11000</v>
      </c>
      <c r="D40" s="60"/>
      <c r="E40" s="60"/>
      <c r="F40" s="60"/>
      <c r="G40" s="209" t="s">
        <v>740</v>
      </c>
      <c r="H40" s="210" t="s">
        <v>820</v>
      </c>
      <c r="I40" s="61">
        <v>11000</v>
      </c>
      <c r="J40" s="60"/>
      <c r="K40" s="60"/>
      <c r="L40" s="257"/>
      <c r="M40" s="237"/>
      <c r="N40" s="237"/>
      <c r="O40" s="237"/>
      <c r="P40" s="237"/>
      <c r="Q40" s="237"/>
      <c r="R40" s="237"/>
      <c r="S40" s="237"/>
      <c r="T40" s="241"/>
      <c r="U40" s="169" t="s">
        <v>808</v>
      </c>
      <c r="V40" s="167" t="s">
        <v>809</v>
      </c>
    </row>
    <row r="41" spans="1:23" hidden="1" x14ac:dyDescent="0.35">
      <c r="A41" s="236">
        <v>11</v>
      </c>
      <c r="B41" s="156" t="s">
        <v>821</v>
      </c>
      <c r="C41" s="236"/>
      <c r="D41" s="236"/>
      <c r="E41" s="236"/>
      <c r="F41" s="236"/>
      <c r="G41" s="236">
        <v>11</v>
      </c>
      <c r="H41" s="156" t="s">
        <v>821</v>
      </c>
      <c r="I41" s="236"/>
      <c r="J41" s="236"/>
      <c r="K41" s="236"/>
      <c r="L41" s="252"/>
      <c r="M41" s="236"/>
      <c r="N41" s="236"/>
      <c r="O41" s="236"/>
      <c r="P41" s="236"/>
      <c r="Q41" s="236"/>
      <c r="R41" s="236"/>
      <c r="S41" s="236"/>
      <c r="T41" s="241"/>
      <c r="U41" s="170" t="s">
        <v>752</v>
      </c>
      <c r="V41" s="167"/>
    </row>
    <row r="42" spans="1:23" hidden="1" x14ac:dyDescent="0.35">
      <c r="A42" s="236">
        <v>12</v>
      </c>
      <c r="B42" s="156" t="s">
        <v>822</v>
      </c>
      <c r="C42" s="204"/>
      <c r="D42" s="204"/>
      <c r="E42" s="204"/>
      <c r="F42" s="204"/>
      <c r="G42" s="204">
        <v>12</v>
      </c>
      <c r="H42" s="205" t="s">
        <v>823</v>
      </c>
      <c r="I42" s="204"/>
      <c r="J42" s="204"/>
      <c r="K42" s="204"/>
      <c r="L42" s="252"/>
      <c r="M42" s="236"/>
      <c r="N42" s="236"/>
      <c r="O42" s="236"/>
      <c r="P42" s="236"/>
      <c r="Q42" s="236"/>
      <c r="R42" s="236"/>
      <c r="S42" s="236"/>
      <c r="T42" s="241"/>
      <c r="U42" s="169"/>
      <c r="V42" s="167"/>
    </row>
    <row r="43" spans="1:23" ht="42" hidden="1" x14ac:dyDescent="0.35">
      <c r="A43" s="234" t="s">
        <v>824</v>
      </c>
      <c r="B43" s="212" t="s">
        <v>825</v>
      </c>
      <c r="C43" s="235">
        <v>1100</v>
      </c>
      <c r="D43" s="236"/>
      <c r="E43" s="236"/>
      <c r="F43" s="236"/>
      <c r="G43" s="235" t="s">
        <v>824</v>
      </c>
      <c r="H43" s="31" t="s">
        <v>826</v>
      </c>
      <c r="I43" s="235">
        <v>1100</v>
      </c>
      <c r="J43" s="236"/>
      <c r="K43" s="236"/>
      <c r="L43" s="252"/>
      <c r="M43" s="135">
        <v>660</v>
      </c>
      <c r="N43" s="135"/>
      <c r="O43" s="135"/>
      <c r="P43" s="135"/>
      <c r="Q43" s="135">
        <v>440</v>
      </c>
      <c r="R43" s="236"/>
      <c r="S43" s="236"/>
      <c r="T43" s="241"/>
      <c r="U43" s="213" t="s">
        <v>827</v>
      </c>
      <c r="V43" s="167"/>
    </row>
    <row r="44" spans="1:23" ht="49" hidden="1" customHeight="1" x14ac:dyDescent="0.35">
      <c r="A44" s="62" t="s">
        <v>778</v>
      </c>
      <c r="B44" s="214" t="s">
        <v>828</v>
      </c>
      <c r="C44" s="57"/>
      <c r="D44" s="141"/>
      <c r="E44" s="141"/>
      <c r="F44" s="57"/>
      <c r="G44" s="18">
        <v>3</v>
      </c>
      <c r="H44" s="31" t="s">
        <v>829</v>
      </c>
      <c r="I44" s="236"/>
      <c r="J44" s="236"/>
      <c r="K44" s="236"/>
      <c r="L44" s="252"/>
      <c r="M44" s="236"/>
      <c r="N44" s="236"/>
      <c r="O44" s="236"/>
      <c r="P44" s="236"/>
      <c r="Q44" s="236"/>
      <c r="R44" s="236"/>
      <c r="S44" s="236"/>
      <c r="T44" s="241"/>
      <c r="U44" s="169" t="s">
        <v>830</v>
      </c>
      <c r="V44" s="167" t="s">
        <v>809</v>
      </c>
    </row>
    <row r="45" spans="1:23" ht="154" hidden="1" x14ac:dyDescent="0.35">
      <c r="A45" s="215"/>
      <c r="B45" s="214"/>
      <c r="C45" s="216"/>
      <c r="D45" s="217"/>
      <c r="E45" s="217"/>
      <c r="F45" s="216"/>
      <c r="G45" s="218">
        <v>6</v>
      </c>
      <c r="H45" s="31" t="s">
        <v>831</v>
      </c>
      <c r="I45" s="219">
        <v>1900</v>
      </c>
      <c r="J45" s="202"/>
      <c r="K45" s="202"/>
      <c r="L45" s="252"/>
      <c r="M45" s="236"/>
      <c r="N45" s="236"/>
      <c r="O45" s="236"/>
      <c r="P45" s="236"/>
      <c r="Q45" s="236"/>
      <c r="R45" s="236"/>
      <c r="S45" s="236"/>
      <c r="T45" s="241"/>
      <c r="U45" s="169" t="s">
        <v>832</v>
      </c>
      <c r="V45" s="167" t="s">
        <v>106</v>
      </c>
      <c r="W45" s="220"/>
    </row>
    <row r="46" spans="1:23" hidden="1" x14ac:dyDescent="0.35">
      <c r="A46" s="204">
        <v>13</v>
      </c>
      <c r="B46" s="205" t="s">
        <v>833</v>
      </c>
      <c r="C46" s="221"/>
      <c r="D46" s="221"/>
      <c r="E46" s="221"/>
      <c r="F46" s="221"/>
      <c r="G46" s="221">
        <v>13</v>
      </c>
      <c r="H46" s="222" t="s">
        <v>833</v>
      </c>
      <c r="I46" s="221"/>
      <c r="J46" s="221"/>
      <c r="K46" s="221"/>
      <c r="L46" s="223"/>
      <c r="M46" s="236"/>
      <c r="N46" s="236"/>
      <c r="O46" s="236"/>
      <c r="P46" s="236"/>
      <c r="Q46" s="236"/>
      <c r="R46" s="236"/>
      <c r="S46" s="236"/>
      <c r="T46" s="241"/>
      <c r="U46" s="169"/>
      <c r="V46" s="167"/>
    </row>
    <row r="47" spans="1:23" ht="56" hidden="1" x14ac:dyDescent="0.35">
      <c r="A47" s="235" t="s">
        <v>759</v>
      </c>
      <c r="B47" s="38" t="s">
        <v>834</v>
      </c>
      <c r="C47" s="18">
        <v>5000</v>
      </c>
      <c r="D47" s="18">
        <v>400</v>
      </c>
      <c r="E47" s="18">
        <v>320</v>
      </c>
      <c r="F47" s="18">
        <v>260</v>
      </c>
      <c r="G47" s="235">
        <v>1.7</v>
      </c>
      <c r="H47" s="238" t="s">
        <v>835</v>
      </c>
      <c r="I47" s="18">
        <v>5000</v>
      </c>
      <c r="J47" s="18">
        <v>400</v>
      </c>
      <c r="K47" s="18">
        <v>320</v>
      </c>
      <c r="L47" s="30">
        <v>260</v>
      </c>
      <c r="M47" s="135">
        <v>3000</v>
      </c>
      <c r="N47" s="135">
        <v>240</v>
      </c>
      <c r="O47" s="135">
        <v>190</v>
      </c>
      <c r="P47" s="135">
        <v>160</v>
      </c>
      <c r="Q47" s="135">
        <v>2000</v>
      </c>
      <c r="R47" s="135">
        <v>160</v>
      </c>
      <c r="S47" s="135">
        <v>130</v>
      </c>
      <c r="T47" s="135">
        <v>100</v>
      </c>
      <c r="U47" s="169" t="s">
        <v>836</v>
      </c>
      <c r="V47" s="167" t="s">
        <v>837</v>
      </c>
    </row>
    <row r="48" spans="1:23" hidden="1" x14ac:dyDescent="0.35">
      <c r="A48" s="202">
        <v>14</v>
      </c>
      <c r="B48" s="178" t="s">
        <v>838</v>
      </c>
      <c r="C48" s="202"/>
      <c r="D48" s="202"/>
      <c r="E48" s="202"/>
      <c r="F48" s="202"/>
      <c r="G48" s="202">
        <v>14</v>
      </c>
      <c r="H48" s="178" t="s">
        <v>838</v>
      </c>
      <c r="I48" s="202"/>
      <c r="J48" s="202"/>
      <c r="K48" s="202"/>
      <c r="L48" s="224"/>
      <c r="M48" s="236"/>
      <c r="N48" s="236"/>
      <c r="O48" s="236"/>
      <c r="P48" s="236"/>
      <c r="Q48" s="236"/>
      <c r="R48" s="236"/>
      <c r="S48" s="236"/>
      <c r="T48" s="241"/>
      <c r="U48" s="170" t="s">
        <v>752</v>
      </c>
      <c r="V48" s="167"/>
    </row>
    <row r="49" spans="1:22" hidden="1" x14ac:dyDescent="0.35">
      <c r="A49" s="204">
        <v>15</v>
      </c>
      <c r="B49" s="205" t="s">
        <v>839</v>
      </c>
      <c r="C49" s="204"/>
      <c r="D49" s="204"/>
      <c r="E49" s="204"/>
      <c r="F49" s="204"/>
      <c r="G49" s="204">
        <v>15</v>
      </c>
      <c r="H49" s="205" t="s">
        <v>839</v>
      </c>
      <c r="I49" s="204"/>
      <c r="J49" s="204"/>
      <c r="K49" s="204"/>
      <c r="L49" s="223"/>
      <c r="M49" s="236"/>
      <c r="N49" s="236"/>
      <c r="O49" s="236"/>
      <c r="P49" s="236"/>
      <c r="Q49" s="236"/>
      <c r="R49" s="236"/>
      <c r="S49" s="236"/>
      <c r="T49" s="241"/>
      <c r="U49" s="225"/>
      <c r="V49" s="167"/>
    </row>
    <row r="50" spans="1:22" s="206" customFormat="1" ht="28.9" hidden="1" customHeight="1" x14ac:dyDescent="0.35">
      <c r="A50" s="236"/>
      <c r="B50" s="13"/>
      <c r="C50" s="236"/>
      <c r="D50" s="236"/>
      <c r="E50" s="236"/>
      <c r="F50" s="236"/>
      <c r="G50" s="235">
        <v>13</v>
      </c>
      <c r="H50" s="38" t="s">
        <v>840</v>
      </c>
      <c r="I50" s="236"/>
      <c r="J50" s="236"/>
      <c r="K50" s="236"/>
      <c r="L50" s="252"/>
      <c r="M50" s="236"/>
      <c r="N50" s="236"/>
      <c r="O50" s="236"/>
      <c r="P50" s="236"/>
      <c r="Q50" s="236"/>
      <c r="R50" s="236"/>
      <c r="S50" s="236"/>
      <c r="U50" s="246"/>
      <c r="V50" s="22"/>
    </row>
    <row r="51" spans="1:22" s="206" customFormat="1" ht="140" hidden="1" x14ac:dyDescent="0.35">
      <c r="A51" s="236"/>
      <c r="B51" s="13"/>
      <c r="C51" s="236"/>
      <c r="D51" s="236"/>
      <c r="E51" s="236"/>
      <c r="F51" s="236"/>
      <c r="G51" s="235" t="s">
        <v>841</v>
      </c>
      <c r="H51" s="38" t="s">
        <v>842</v>
      </c>
      <c r="I51" s="18">
        <v>3300</v>
      </c>
      <c r="J51" s="236"/>
      <c r="K51" s="236"/>
      <c r="L51" s="252"/>
      <c r="M51" s="236"/>
      <c r="N51" s="236"/>
      <c r="O51" s="236"/>
      <c r="P51" s="236"/>
      <c r="Q51" s="236"/>
      <c r="R51" s="236"/>
      <c r="S51" s="236"/>
      <c r="U51" s="169" t="s">
        <v>843</v>
      </c>
      <c r="V51" s="22"/>
    </row>
    <row r="52" spans="1:22" s="206" customFormat="1" ht="140" hidden="1" x14ac:dyDescent="0.35">
      <c r="A52" s="236"/>
      <c r="B52" s="13"/>
      <c r="C52" s="236"/>
      <c r="D52" s="236"/>
      <c r="E52" s="236"/>
      <c r="F52" s="236"/>
      <c r="G52" s="235" t="s">
        <v>844</v>
      </c>
      <c r="H52" s="38" t="s">
        <v>845</v>
      </c>
      <c r="I52" s="18">
        <v>3500</v>
      </c>
      <c r="J52" s="236"/>
      <c r="K52" s="236"/>
      <c r="L52" s="252"/>
      <c r="M52" s="236"/>
      <c r="N52" s="236"/>
      <c r="O52" s="236"/>
      <c r="P52" s="236"/>
      <c r="Q52" s="236"/>
      <c r="R52" s="236"/>
      <c r="S52" s="236"/>
      <c r="U52" s="169" t="s">
        <v>846</v>
      </c>
      <c r="V52" s="22"/>
    </row>
    <row r="53" spans="1:22" s="206" customFormat="1" ht="140" hidden="1" x14ac:dyDescent="0.35">
      <c r="A53" s="236"/>
      <c r="B53" s="13"/>
      <c r="C53" s="236"/>
      <c r="D53" s="236"/>
      <c r="E53" s="236"/>
      <c r="F53" s="236"/>
      <c r="G53" s="235" t="s">
        <v>847</v>
      </c>
      <c r="H53" s="38" t="s">
        <v>848</v>
      </c>
      <c r="I53" s="18">
        <v>3800</v>
      </c>
      <c r="J53" s="236"/>
      <c r="K53" s="236"/>
      <c r="L53" s="252"/>
      <c r="M53" s="236"/>
      <c r="N53" s="236"/>
      <c r="O53" s="236"/>
      <c r="P53" s="236"/>
      <c r="Q53" s="236"/>
      <c r="R53" s="236"/>
      <c r="S53" s="236"/>
      <c r="U53" s="169" t="s">
        <v>849</v>
      </c>
      <c r="V53" s="22"/>
    </row>
    <row r="54" spans="1:22" hidden="1" x14ac:dyDescent="0.35">
      <c r="A54" s="221">
        <v>16</v>
      </c>
      <c r="B54" s="226" t="s">
        <v>850</v>
      </c>
      <c r="C54" s="221"/>
      <c r="D54" s="221"/>
      <c r="E54" s="221"/>
      <c r="F54" s="221"/>
      <c r="G54" s="221">
        <v>16</v>
      </c>
      <c r="H54" s="226" t="s">
        <v>850</v>
      </c>
      <c r="I54" s="202"/>
      <c r="J54" s="202"/>
      <c r="K54" s="202"/>
      <c r="L54" s="224"/>
      <c r="M54" s="236"/>
      <c r="N54" s="236"/>
      <c r="O54" s="236"/>
      <c r="P54" s="236"/>
      <c r="Q54" s="236"/>
      <c r="R54" s="236"/>
      <c r="S54" s="236"/>
      <c r="T54" s="241"/>
      <c r="U54" s="227"/>
      <c r="V54" s="167"/>
    </row>
    <row r="55" spans="1:22" hidden="1" x14ac:dyDescent="0.35">
      <c r="A55" s="235">
        <v>2</v>
      </c>
      <c r="B55" s="228" t="s">
        <v>851</v>
      </c>
      <c r="C55" s="236"/>
      <c r="D55" s="236"/>
      <c r="E55" s="236"/>
      <c r="F55" s="236"/>
      <c r="G55" s="235">
        <v>2</v>
      </c>
      <c r="H55" s="228" t="s">
        <v>851</v>
      </c>
      <c r="I55" s="236"/>
      <c r="J55" s="236"/>
      <c r="K55" s="236"/>
      <c r="L55" s="252"/>
      <c r="M55" s="236"/>
      <c r="N55" s="236"/>
      <c r="O55" s="236"/>
      <c r="P55" s="236"/>
      <c r="Q55" s="236"/>
      <c r="R55" s="236"/>
      <c r="S55" s="236"/>
      <c r="T55" s="241"/>
      <c r="U55" s="213"/>
      <c r="V55" s="167"/>
    </row>
    <row r="56" spans="1:22" ht="42" hidden="1" x14ac:dyDescent="0.35">
      <c r="A56" s="19" t="s">
        <v>165</v>
      </c>
      <c r="B56" s="38" t="s">
        <v>852</v>
      </c>
      <c r="C56" s="28">
        <v>600</v>
      </c>
      <c r="D56" s="27">
        <v>450</v>
      </c>
      <c r="E56" s="27">
        <v>300</v>
      </c>
      <c r="F56" s="27">
        <v>250</v>
      </c>
      <c r="G56" s="19" t="s">
        <v>165</v>
      </c>
      <c r="H56" s="38" t="s">
        <v>853</v>
      </c>
      <c r="I56" s="28">
        <v>600</v>
      </c>
      <c r="J56" s="40">
        <v>450</v>
      </c>
      <c r="K56" s="40">
        <v>300</v>
      </c>
      <c r="L56" s="229">
        <v>250</v>
      </c>
      <c r="M56" s="40"/>
      <c r="N56" s="40"/>
      <c r="O56" s="40"/>
      <c r="P56" s="40"/>
      <c r="Q56" s="40"/>
      <c r="R56" s="40"/>
      <c r="S56" s="40"/>
      <c r="T56" s="241"/>
      <c r="U56" s="213" t="s">
        <v>854</v>
      </c>
      <c r="V56" s="167" t="s">
        <v>809</v>
      </c>
    </row>
    <row r="57" spans="1:22" ht="42" hidden="1" x14ac:dyDescent="0.35">
      <c r="A57" s="19" t="s">
        <v>143</v>
      </c>
      <c r="B57" s="31" t="s">
        <v>855</v>
      </c>
      <c r="C57" s="28">
        <v>8000</v>
      </c>
      <c r="D57" s="40"/>
      <c r="E57" s="40"/>
      <c r="F57" s="40"/>
      <c r="G57" s="19" t="s">
        <v>143</v>
      </c>
      <c r="H57" s="149" t="s">
        <v>856</v>
      </c>
      <c r="I57" s="28">
        <v>8000</v>
      </c>
      <c r="J57" s="40"/>
      <c r="K57" s="40"/>
      <c r="L57" s="229"/>
      <c r="M57" s="135">
        <v>4800</v>
      </c>
      <c r="N57" s="135"/>
      <c r="O57" s="135"/>
      <c r="P57" s="135"/>
      <c r="Q57" s="135">
        <v>3200</v>
      </c>
      <c r="R57" s="40"/>
      <c r="S57" s="40"/>
      <c r="T57" s="241"/>
      <c r="U57" s="213" t="s">
        <v>120</v>
      </c>
      <c r="V57" s="167" t="s">
        <v>781</v>
      </c>
    </row>
    <row r="58" spans="1:22" ht="42" hidden="1" x14ac:dyDescent="0.35">
      <c r="A58" s="19" t="s">
        <v>787</v>
      </c>
      <c r="B58" s="31" t="s">
        <v>857</v>
      </c>
      <c r="C58" s="28">
        <v>300</v>
      </c>
      <c r="D58" s="40"/>
      <c r="E58" s="40"/>
      <c r="F58" s="40"/>
      <c r="G58" s="19" t="s">
        <v>787</v>
      </c>
      <c r="H58" s="38" t="s">
        <v>858</v>
      </c>
      <c r="I58" s="28">
        <v>300</v>
      </c>
      <c r="J58" s="40"/>
      <c r="K58" s="40"/>
      <c r="L58" s="229"/>
      <c r="M58" s="135">
        <v>180</v>
      </c>
      <c r="N58" s="135"/>
      <c r="O58" s="135"/>
      <c r="P58" s="135"/>
      <c r="Q58" s="135">
        <v>120</v>
      </c>
      <c r="R58" s="40"/>
      <c r="S58" s="40"/>
      <c r="T58" s="241"/>
      <c r="U58" s="213" t="s">
        <v>120</v>
      </c>
      <c r="V58" s="167"/>
    </row>
    <row r="59" spans="1:22" ht="70" hidden="1" x14ac:dyDescent="0.35">
      <c r="A59" s="19"/>
      <c r="B59" s="31"/>
      <c r="C59" s="28"/>
      <c r="D59" s="40"/>
      <c r="E59" s="40"/>
      <c r="F59" s="40"/>
      <c r="G59" s="19" t="s">
        <v>591</v>
      </c>
      <c r="H59" s="38" t="s">
        <v>859</v>
      </c>
      <c r="I59" s="28">
        <v>2000</v>
      </c>
      <c r="J59" s="28">
        <v>1500</v>
      </c>
      <c r="K59" s="28">
        <v>1000</v>
      </c>
      <c r="L59" s="230">
        <v>500</v>
      </c>
      <c r="M59" s="276">
        <v>1500</v>
      </c>
      <c r="N59" s="276">
        <v>900</v>
      </c>
      <c r="O59" s="276">
        <v>600</v>
      </c>
      <c r="P59" s="276">
        <v>180</v>
      </c>
      <c r="Q59" s="276">
        <v>1000</v>
      </c>
      <c r="R59" s="276">
        <v>600</v>
      </c>
      <c r="S59" s="276">
        <v>400</v>
      </c>
      <c r="T59" s="276">
        <v>120</v>
      </c>
      <c r="U59" s="231" t="s">
        <v>860</v>
      </c>
      <c r="V59" s="167" t="s">
        <v>551</v>
      </c>
    </row>
    <row r="60" spans="1:22" ht="70" hidden="1" x14ac:dyDescent="0.35">
      <c r="A60" s="19"/>
      <c r="B60" s="31"/>
      <c r="C60" s="28"/>
      <c r="D60" s="40"/>
      <c r="E60" s="40"/>
      <c r="F60" s="40"/>
      <c r="G60" s="19" t="s">
        <v>323</v>
      </c>
      <c r="H60" s="38" t="s">
        <v>861</v>
      </c>
      <c r="I60" s="28">
        <v>300</v>
      </c>
      <c r="J60" s="28"/>
      <c r="K60" s="28"/>
      <c r="L60" s="230"/>
      <c r="M60" s="135">
        <v>180</v>
      </c>
      <c r="N60" s="135"/>
      <c r="O60" s="135"/>
      <c r="P60" s="135"/>
      <c r="Q60" s="135">
        <v>120</v>
      </c>
      <c r="R60" s="28"/>
      <c r="S60" s="28"/>
      <c r="T60" s="241"/>
      <c r="U60" s="231" t="s">
        <v>862</v>
      </c>
      <c r="V60" s="167" t="s">
        <v>551</v>
      </c>
    </row>
    <row r="61" spans="1:22" ht="70" hidden="1" x14ac:dyDescent="0.35">
      <c r="A61" s="19"/>
      <c r="B61" s="31"/>
      <c r="C61" s="28"/>
      <c r="D61" s="40"/>
      <c r="E61" s="40"/>
      <c r="F61" s="40"/>
      <c r="G61" s="19" t="s">
        <v>741</v>
      </c>
      <c r="H61" s="38" t="s">
        <v>863</v>
      </c>
      <c r="I61" s="28">
        <v>300</v>
      </c>
      <c r="J61" s="28"/>
      <c r="K61" s="28"/>
      <c r="L61" s="230"/>
      <c r="M61" s="135">
        <v>180</v>
      </c>
      <c r="N61" s="135"/>
      <c r="O61" s="135"/>
      <c r="P61" s="135"/>
      <c r="Q61" s="135">
        <v>120</v>
      </c>
      <c r="R61" s="28"/>
      <c r="S61" s="28"/>
      <c r="T61" s="241"/>
      <c r="U61" s="231" t="s">
        <v>864</v>
      </c>
      <c r="V61" s="167" t="s">
        <v>551</v>
      </c>
    </row>
    <row r="62" spans="1:22" hidden="1" x14ac:dyDescent="0.35">
      <c r="A62" s="236">
        <v>17</v>
      </c>
      <c r="B62" s="13" t="s">
        <v>865</v>
      </c>
      <c r="C62" s="236"/>
      <c r="D62" s="236"/>
      <c r="E62" s="236"/>
      <c r="F62" s="236"/>
      <c r="G62" s="235"/>
      <c r="H62" s="235"/>
      <c r="I62" s="236"/>
      <c r="J62" s="236"/>
      <c r="K62" s="236"/>
      <c r="L62" s="236"/>
      <c r="M62" s="236"/>
      <c r="N62" s="236"/>
      <c r="O62" s="236"/>
      <c r="P62" s="236"/>
      <c r="Q62" s="236"/>
      <c r="R62" s="236"/>
      <c r="S62" s="236"/>
      <c r="T62" s="236"/>
      <c r="U62" s="208" t="s">
        <v>752</v>
      </c>
      <c r="V62" s="167"/>
    </row>
    <row r="63" spans="1:22" hidden="1" x14ac:dyDescent="0.35">
      <c r="A63" s="236">
        <v>18</v>
      </c>
      <c r="B63" s="13" t="s">
        <v>866</v>
      </c>
      <c r="C63" s="236"/>
      <c r="D63" s="236"/>
      <c r="E63" s="236"/>
      <c r="F63" s="236"/>
      <c r="G63" s="235"/>
      <c r="H63" s="235"/>
      <c r="I63" s="236"/>
      <c r="J63" s="236"/>
      <c r="K63" s="236"/>
      <c r="L63" s="236"/>
      <c r="M63" s="236"/>
      <c r="N63" s="236"/>
      <c r="O63" s="236"/>
      <c r="P63" s="236"/>
      <c r="Q63" s="236"/>
      <c r="R63" s="236"/>
      <c r="S63" s="236"/>
      <c r="T63" s="236"/>
      <c r="U63" s="208" t="s">
        <v>22</v>
      </c>
      <c r="V63" s="167"/>
    </row>
    <row r="64" spans="1:22" hidden="1" x14ac:dyDescent="0.35">
      <c r="A64" s="202">
        <v>19</v>
      </c>
      <c r="B64" s="178" t="s">
        <v>867</v>
      </c>
      <c r="C64" s="202"/>
      <c r="D64" s="202"/>
      <c r="E64" s="202"/>
      <c r="F64" s="202"/>
      <c r="G64" s="219"/>
      <c r="H64" s="235"/>
      <c r="I64" s="236"/>
      <c r="J64" s="236"/>
      <c r="K64" s="236"/>
      <c r="L64" s="236"/>
      <c r="M64" s="236"/>
      <c r="N64" s="236"/>
      <c r="O64" s="236"/>
      <c r="P64" s="236"/>
      <c r="Q64" s="236"/>
      <c r="R64" s="236"/>
      <c r="S64" s="236"/>
      <c r="T64" s="236"/>
      <c r="U64" s="208" t="s">
        <v>22</v>
      </c>
      <c r="V64" s="167"/>
    </row>
    <row r="65" spans="1:22" hidden="1" x14ac:dyDescent="0.35">
      <c r="A65" s="236">
        <v>20</v>
      </c>
      <c r="B65" s="156" t="s">
        <v>868</v>
      </c>
      <c r="C65" s="236"/>
      <c r="D65" s="236"/>
      <c r="E65" s="236"/>
      <c r="F65" s="236"/>
      <c r="G65" s="235"/>
      <c r="H65" s="235"/>
      <c r="I65" s="236"/>
      <c r="J65" s="236"/>
      <c r="K65" s="236"/>
      <c r="L65" s="236"/>
      <c r="M65" s="236"/>
      <c r="N65" s="236"/>
      <c r="O65" s="236"/>
      <c r="P65" s="236"/>
      <c r="Q65" s="236"/>
      <c r="R65" s="236"/>
      <c r="S65" s="236"/>
      <c r="T65" s="236"/>
      <c r="U65" s="208" t="s">
        <v>752</v>
      </c>
      <c r="V65" s="167"/>
    </row>
    <row r="66" spans="1:22" hidden="1" x14ac:dyDescent="0.35">
      <c r="A66" s="236">
        <v>21</v>
      </c>
      <c r="B66" s="156" t="s">
        <v>869</v>
      </c>
      <c r="C66" s="236"/>
      <c r="D66" s="236"/>
      <c r="E66" s="236"/>
      <c r="F66" s="236"/>
      <c r="G66" s="235"/>
      <c r="H66" s="235"/>
      <c r="I66" s="236"/>
      <c r="J66" s="236"/>
      <c r="K66" s="236"/>
      <c r="L66" s="236"/>
      <c r="M66" s="236"/>
      <c r="N66" s="236"/>
      <c r="O66" s="236"/>
      <c r="P66" s="236"/>
      <c r="Q66" s="236"/>
      <c r="R66" s="236"/>
      <c r="S66" s="236"/>
      <c r="T66" s="236"/>
      <c r="U66" s="208" t="s">
        <v>752</v>
      </c>
      <c r="V66" s="167"/>
    </row>
    <row r="67" spans="1:22" hidden="1" x14ac:dyDescent="0.35">
      <c r="A67" s="236">
        <v>54</v>
      </c>
      <c r="B67" s="156" t="s">
        <v>870</v>
      </c>
      <c r="C67" s="236"/>
      <c r="D67" s="236"/>
      <c r="E67" s="236"/>
      <c r="F67" s="236"/>
      <c r="G67" s="235"/>
      <c r="H67" s="235"/>
      <c r="I67" s="236"/>
      <c r="J67" s="236"/>
      <c r="K67" s="236"/>
      <c r="L67" s="236"/>
      <c r="M67" s="236"/>
      <c r="N67" s="236"/>
      <c r="O67" s="236"/>
      <c r="P67" s="236"/>
      <c r="Q67" s="236"/>
      <c r="R67" s="236"/>
      <c r="S67" s="236"/>
      <c r="T67" s="236"/>
      <c r="U67" s="208" t="s">
        <v>22</v>
      </c>
      <c r="V67" s="167"/>
    </row>
  </sheetData>
  <mergeCells count="10">
    <mergeCell ref="I5:L5"/>
    <mergeCell ref="M5:P5"/>
    <mergeCell ref="Q5:T5"/>
    <mergeCell ref="A2:U2"/>
    <mergeCell ref="C3:U3"/>
    <mergeCell ref="A5:A6"/>
    <mergeCell ref="B5:B6"/>
    <mergeCell ref="C5:F5"/>
    <mergeCell ref="G5:G6"/>
    <mergeCell ref="H5:H6"/>
  </mergeCells>
  <conditionalFormatting sqref="A20:F20">
    <cfRule type="duplicateValues" dxfId="9" priority="3"/>
  </conditionalFormatting>
  <conditionalFormatting sqref="A21:F21">
    <cfRule type="duplicateValues" dxfId="8" priority="2"/>
  </conditionalFormatting>
  <conditionalFormatting sqref="G20:H20">
    <cfRule type="duplicateValues" dxfId="7" priority="4"/>
  </conditionalFormatting>
  <conditionalFormatting sqref="G21:S21">
    <cfRule type="duplicateValues" dxfId="6" priority="1"/>
  </conditionalFormatting>
  <conditionalFormatting sqref="I20:S20">
    <cfRule type="duplicateValues" dxfId="5" priority="5"/>
  </conditionalFormatting>
  <pageMargins left="0.70866141732283472" right="0.70866141732283472" top="0.74803149606299213" bottom="0.74803149606299213" header="0.31496062992125984" footer="0.31496062992125984"/>
  <pageSetup paperSize="9" scale="70" orientation="landscape" r:id="rId1"/>
  <colBreaks count="1" manualBreakCount="1">
    <brk id="21"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T359"/>
  <sheetViews>
    <sheetView view="pageBreakPreview" zoomScale="70" zoomScaleNormal="85" zoomScaleSheetLayoutView="70" workbookViewId="0">
      <pane xSplit="2" ySplit="7" topLeftCell="C8" activePane="bottomRight" state="frozen"/>
      <selection pane="topRight" activeCell="C1" sqref="C1"/>
      <selection pane="bottomLeft" activeCell="A10" sqref="A10"/>
      <selection pane="bottomRight" activeCell="A230" sqref="A230:D230"/>
    </sheetView>
  </sheetViews>
  <sheetFormatPr defaultColWidth="13.81640625" defaultRowHeight="14" x14ac:dyDescent="0.35"/>
  <cols>
    <col min="1" max="1" width="7.7265625" style="7" customWidth="1"/>
    <col min="2" max="2" width="44.7265625" style="9" customWidth="1"/>
    <col min="3" max="4" width="17.81640625" style="7" customWidth="1"/>
    <col min="5" max="8" width="9.1796875" style="10" customWidth="1"/>
    <col min="9" max="9" width="8.26953125" style="7" hidden="1" customWidth="1"/>
    <col min="10" max="10" width="30.81640625" style="7" hidden="1" customWidth="1"/>
    <col min="11" max="11" width="17.81640625" style="7" hidden="1" customWidth="1"/>
    <col min="12" max="12" width="21.26953125" style="7" hidden="1" customWidth="1"/>
    <col min="13" max="13" width="11.453125" style="10" hidden="1" customWidth="1"/>
    <col min="14" max="14" width="10" style="10" hidden="1" customWidth="1"/>
    <col min="15" max="23" width="9.1796875" style="10" hidden="1" customWidth="1"/>
    <col min="24" max="24" width="8.1796875" style="10" hidden="1" customWidth="1"/>
    <col min="25" max="25" width="48" style="20" hidden="1" customWidth="1"/>
    <col min="26" max="27" width="13.81640625" style="7" hidden="1" customWidth="1"/>
    <col min="28" max="28" width="9.81640625" style="7" customWidth="1"/>
    <col min="29" max="29" width="8.81640625" style="7" customWidth="1"/>
    <col min="30" max="30" width="7.81640625" style="7" customWidth="1"/>
    <col min="31" max="31" width="8.81640625" style="7" customWidth="1"/>
    <col min="32" max="32" width="8.26953125" style="7" customWidth="1"/>
    <col min="33" max="33" width="7.81640625" style="7" customWidth="1"/>
    <col min="34" max="34" width="9.26953125" style="7" customWidth="1"/>
    <col min="35" max="35" width="8.26953125" style="7" customWidth="1"/>
    <col min="36" max="16384" width="13.81640625" style="7"/>
  </cols>
  <sheetData>
    <row r="1" spans="1:36" x14ac:dyDescent="0.35">
      <c r="A1" s="454"/>
      <c r="B1" s="454"/>
      <c r="C1" s="1"/>
      <c r="D1" s="1"/>
      <c r="E1" s="2"/>
      <c r="F1" s="2"/>
      <c r="G1" s="3"/>
      <c r="H1" s="2"/>
      <c r="I1" s="4"/>
      <c r="J1" s="4"/>
      <c r="K1" s="4"/>
      <c r="L1" s="4"/>
      <c r="M1" s="2"/>
      <c r="N1" s="2"/>
      <c r="O1" s="2"/>
      <c r="P1" s="5"/>
      <c r="Q1" s="5"/>
      <c r="R1" s="5"/>
      <c r="S1" s="5"/>
      <c r="T1" s="5"/>
      <c r="U1" s="5"/>
      <c r="V1" s="5"/>
      <c r="W1" s="5"/>
      <c r="X1" s="5"/>
      <c r="Y1" s="6"/>
      <c r="Z1" s="4"/>
      <c r="AA1" s="4"/>
      <c r="AB1" s="4"/>
      <c r="AC1" s="4"/>
      <c r="AD1" s="4"/>
      <c r="AE1" s="4"/>
      <c r="AF1" s="4"/>
      <c r="AG1" s="4"/>
      <c r="AH1" s="4"/>
      <c r="AI1" s="4"/>
      <c r="AJ1" s="4"/>
    </row>
    <row r="2" spans="1:36" x14ac:dyDescent="0.35">
      <c r="A2" s="447" t="s">
        <v>1020</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
    </row>
    <row r="3" spans="1:36" x14ac:dyDescent="0.35">
      <c r="A3" s="8"/>
      <c r="Y3" s="6"/>
      <c r="Z3" s="4"/>
      <c r="AA3" s="4"/>
      <c r="AB3" s="4"/>
      <c r="AC3" s="4"/>
      <c r="AD3" s="4"/>
      <c r="AE3" s="4"/>
      <c r="AF3" s="4"/>
      <c r="AG3" s="4"/>
      <c r="AH3" s="4"/>
      <c r="AI3" s="4"/>
      <c r="AJ3" s="4"/>
    </row>
    <row r="4" spans="1:36" x14ac:dyDescent="0.35">
      <c r="A4" s="458" t="s">
        <v>5</v>
      </c>
      <c r="B4" s="457" t="s">
        <v>6</v>
      </c>
      <c r="C4" s="457" t="s">
        <v>7</v>
      </c>
      <c r="D4" s="451"/>
      <c r="E4" s="456" t="s">
        <v>8</v>
      </c>
      <c r="F4" s="459"/>
      <c r="G4" s="459"/>
      <c r="H4" s="459"/>
      <c r="I4" s="455" t="s">
        <v>9</v>
      </c>
      <c r="J4" s="455" t="s">
        <v>6</v>
      </c>
      <c r="K4" s="455" t="s">
        <v>7</v>
      </c>
      <c r="L4" s="455"/>
      <c r="M4" s="456" t="s">
        <v>10</v>
      </c>
      <c r="N4" s="456"/>
      <c r="O4" s="456"/>
      <c r="P4" s="456"/>
      <c r="Q4" s="455" t="s">
        <v>11</v>
      </c>
      <c r="R4" s="451"/>
      <c r="S4" s="451"/>
      <c r="T4" s="451"/>
      <c r="U4" s="457" t="s">
        <v>12</v>
      </c>
      <c r="V4" s="451"/>
      <c r="W4" s="451"/>
      <c r="X4" s="451"/>
      <c r="Y4" s="38"/>
      <c r="Z4" s="27"/>
      <c r="AA4" s="27"/>
      <c r="AB4" s="455" t="s">
        <v>11</v>
      </c>
      <c r="AC4" s="451"/>
      <c r="AD4" s="451"/>
      <c r="AE4" s="451"/>
      <c r="AF4" s="457" t="s">
        <v>12</v>
      </c>
      <c r="AG4" s="451"/>
      <c r="AH4" s="451"/>
      <c r="AI4" s="451"/>
      <c r="AJ4" s="4"/>
    </row>
    <row r="5" spans="1:36" x14ac:dyDescent="0.35">
      <c r="A5" s="451"/>
      <c r="B5" s="451"/>
      <c r="C5" s="259" t="s">
        <v>13</v>
      </c>
      <c r="D5" s="259" t="s">
        <v>14</v>
      </c>
      <c r="E5" s="261" t="s">
        <v>15</v>
      </c>
      <c r="F5" s="261" t="s">
        <v>16</v>
      </c>
      <c r="G5" s="261" t="s">
        <v>17</v>
      </c>
      <c r="H5" s="261" t="s">
        <v>18</v>
      </c>
      <c r="I5" s="455"/>
      <c r="J5" s="455"/>
      <c r="K5" s="259" t="s">
        <v>13</v>
      </c>
      <c r="L5" s="259" t="s">
        <v>14</v>
      </c>
      <c r="M5" s="261" t="s">
        <v>15</v>
      </c>
      <c r="N5" s="261" t="s">
        <v>16</v>
      </c>
      <c r="O5" s="261" t="s">
        <v>17</v>
      </c>
      <c r="P5" s="261" t="s">
        <v>18</v>
      </c>
      <c r="Q5" s="256" t="s">
        <v>15</v>
      </c>
      <c r="R5" s="256" t="s">
        <v>16</v>
      </c>
      <c r="S5" s="256" t="s">
        <v>17</v>
      </c>
      <c r="T5" s="256" t="s">
        <v>18</v>
      </c>
      <c r="U5" s="256" t="s">
        <v>15</v>
      </c>
      <c r="V5" s="256" t="s">
        <v>16</v>
      </c>
      <c r="W5" s="256" t="s">
        <v>17</v>
      </c>
      <c r="X5" s="256" t="s">
        <v>18</v>
      </c>
      <c r="Y5" s="38"/>
      <c r="Z5" s="27"/>
      <c r="AA5" s="27"/>
      <c r="AB5" s="256" t="s">
        <v>15</v>
      </c>
      <c r="AC5" s="256" t="s">
        <v>16</v>
      </c>
      <c r="AD5" s="256" t="s">
        <v>17</v>
      </c>
      <c r="AE5" s="256" t="s">
        <v>18</v>
      </c>
      <c r="AF5" s="256" t="s">
        <v>15</v>
      </c>
      <c r="AG5" s="256" t="s">
        <v>16</v>
      </c>
      <c r="AH5" s="256" t="s">
        <v>17</v>
      </c>
      <c r="AI5" s="256" t="s">
        <v>18</v>
      </c>
      <c r="AJ5" s="4"/>
    </row>
    <row r="6" spans="1:36" ht="18.75" hidden="1" customHeight="1" x14ac:dyDescent="0.35">
      <c r="A6" s="256">
        <v>22</v>
      </c>
      <c r="B6" s="14" t="s">
        <v>19</v>
      </c>
      <c r="C6" s="259"/>
      <c r="D6" s="259"/>
      <c r="E6" s="261"/>
      <c r="F6" s="261"/>
      <c r="G6" s="261"/>
      <c r="H6" s="261"/>
      <c r="I6" s="256">
        <v>22</v>
      </c>
      <c r="J6" s="14" t="s">
        <v>19</v>
      </c>
      <c r="K6" s="259"/>
      <c r="L6" s="259"/>
      <c r="M6" s="261"/>
      <c r="N6" s="261"/>
      <c r="O6" s="261"/>
      <c r="P6" s="261"/>
      <c r="Q6" s="261"/>
      <c r="R6" s="261"/>
      <c r="S6" s="261"/>
      <c r="T6" s="261"/>
      <c r="U6" s="261"/>
      <c r="V6" s="261"/>
      <c r="W6" s="261"/>
      <c r="X6" s="261"/>
      <c r="Y6" s="13" t="s">
        <v>20</v>
      </c>
      <c r="Z6" s="27"/>
      <c r="AA6" s="27"/>
      <c r="AB6" s="27"/>
      <c r="AC6" s="27"/>
      <c r="AD6" s="27"/>
      <c r="AE6" s="27"/>
      <c r="AF6" s="27"/>
      <c r="AG6" s="27"/>
      <c r="AH6" s="27"/>
      <c r="AI6" s="27"/>
      <c r="AJ6" s="4"/>
    </row>
    <row r="7" spans="1:36" hidden="1" x14ac:dyDescent="0.35">
      <c r="A7" s="256">
        <v>23</v>
      </c>
      <c r="B7" s="14" t="s">
        <v>21</v>
      </c>
      <c r="C7" s="259"/>
      <c r="D7" s="259"/>
      <c r="E7" s="261"/>
      <c r="F7" s="261"/>
      <c r="G7" s="261"/>
      <c r="H7" s="261"/>
      <c r="I7" s="256">
        <v>23</v>
      </c>
      <c r="J7" s="14" t="s">
        <v>21</v>
      </c>
      <c r="K7" s="259"/>
      <c r="L7" s="259"/>
      <c r="M7" s="261"/>
      <c r="N7" s="261"/>
      <c r="O7" s="261"/>
      <c r="P7" s="261"/>
      <c r="Q7" s="261"/>
      <c r="R7" s="261"/>
      <c r="S7" s="261"/>
      <c r="T7" s="261"/>
      <c r="U7" s="261"/>
      <c r="V7" s="261"/>
      <c r="W7" s="261"/>
      <c r="X7" s="261"/>
      <c r="Y7" s="13" t="s">
        <v>22</v>
      </c>
      <c r="Z7" s="27"/>
      <c r="AA7" s="27"/>
      <c r="AB7" s="27"/>
      <c r="AC7" s="27"/>
      <c r="AD7" s="27"/>
      <c r="AE7" s="27"/>
      <c r="AF7" s="27"/>
      <c r="AG7" s="27"/>
      <c r="AH7" s="27"/>
      <c r="AI7" s="27"/>
      <c r="AJ7" s="4"/>
    </row>
    <row r="8" spans="1:36" hidden="1" x14ac:dyDescent="0.35">
      <c r="A8" s="256">
        <v>24</v>
      </c>
      <c r="B8" s="14" t="s">
        <v>23</v>
      </c>
      <c r="C8" s="259"/>
      <c r="D8" s="259"/>
      <c r="E8" s="261"/>
      <c r="F8" s="261"/>
      <c r="G8" s="261"/>
      <c r="H8" s="261"/>
      <c r="I8" s="256">
        <v>24</v>
      </c>
      <c r="J8" s="14" t="s">
        <v>23</v>
      </c>
      <c r="K8" s="259"/>
      <c r="L8" s="259"/>
      <c r="M8" s="261"/>
      <c r="N8" s="261"/>
      <c r="O8" s="261"/>
      <c r="P8" s="261"/>
      <c r="Q8" s="261"/>
      <c r="R8" s="261"/>
      <c r="S8" s="261"/>
      <c r="T8" s="261"/>
      <c r="U8" s="261"/>
      <c r="V8" s="261"/>
      <c r="W8" s="261"/>
      <c r="X8" s="261"/>
      <c r="Y8" s="38"/>
      <c r="Z8" s="27"/>
      <c r="AA8" s="27"/>
      <c r="AB8" s="27"/>
      <c r="AC8" s="27"/>
      <c r="AD8" s="27"/>
      <c r="AE8" s="27"/>
      <c r="AF8" s="27"/>
      <c r="AG8" s="27"/>
      <c r="AH8" s="27"/>
      <c r="AI8" s="27"/>
      <c r="AJ8" s="4"/>
    </row>
    <row r="9" spans="1:36" ht="90.4" hidden="1" customHeight="1" x14ac:dyDescent="0.35">
      <c r="A9" s="237">
        <v>11</v>
      </c>
      <c r="B9" s="15"/>
      <c r="C9" s="16"/>
      <c r="D9" s="16"/>
      <c r="E9" s="259"/>
      <c r="F9" s="261"/>
      <c r="G9" s="261"/>
      <c r="H9" s="261"/>
      <c r="I9" s="237">
        <v>11</v>
      </c>
      <c r="J9" s="15" t="s">
        <v>24</v>
      </c>
      <c r="K9" s="259"/>
      <c r="L9" s="259"/>
      <c r="M9" s="261"/>
      <c r="N9" s="261"/>
      <c r="O9" s="261"/>
      <c r="P9" s="261"/>
      <c r="Q9" s="261"/>
      <c r="R9" s="261"/>
      <c r="S9" s="261"/>
      <c r="T9" s="261"/>
      <c r="U9" s="261"/>
      <c r="V9" s="261"/>
      <c r="W9" s="261"/>
      <c r="X9" s="261"/>
      <c r="Y9" s="12"/>
      <c r="Z9" s="27"/>
      <c r="AA9" s="27"/>
      <c r="AB9" s="27"/>
      <c r="AC9" s="27"/>
      <c r="AD9" s="27"/>
      <c r="AE9" s="27"/>
      <c r="AF9" s="27"/>
      <c r="AG9" s="27"/>
      <c r="AH9" s="27"/>
      <c r="AI9" s="27"/>
      <c r="AJ9" s="4"/>
    </row>
    <row r="10" spans="1:36" ht="126.75" hidden="1" customHeight="1" x14ac:dyDescent="0.35">
      <c r="A10" s="237" t="s">
        <v>25</v>
      </c>
      <c r="B10" s="12"/>
      <c r="C10" s="17"/>
      <c r="D10" s="17"/>
      <c r="E10" s="89"/>
      <c r="F10" s="261"/>
      <c r="G10" s="261"/>
      <c r="H10" s="261"/>
      <c r="I10" s="256"/>
      <c r="J10" s="17" t="s">
        <v>26</v>
      </c>
      <c r="K10" s="259"/>
      <c r="L10" s="259"/>
      <c r="M10" s="18">
        <v>6000</v>
      </c>
      <c r="N10" s="261"/>
      <c r="O10" s="261"/>
      <c r="P10" s="261"/>
      <c r="Q10" s="261"/>
      <c r="R10" s="261"/>
      <c r="S10" s="261"/>
      <c r="T10" s="261"/>
      <c r="U10" s="261"/>
      <c r="V10" s="261"/>
      <c r="W10" s="261"/>
      <c r="X10" s="261"/>
      <c r="Y10" s="38" t="s">
        <v>27</v>
      </c>
      <c r="Z10" s="27"/>
      <c r="AA10" s="27"/>
      <c r="AB10" s="27"/>
      <c r="AC10" s="27"/>
      <c r="AD10" s="27"/>
      <c r="AE10" s="27"/>
      <c r="AF10" s="27"/>
      <c r="AG10" s="27"/>
      <c r="AH10" s="27"/>
      <c r="AI10" s="27"/>
      <c r="AJ10" s="4"/>
    </row>
    <row r="11" spans="1:36" ht="131.5" hidden="1" customHeight="1" x14ac:dyDescent="0.35">
      <c r="A11" s="237" t="s">
        <v>28</v>
      </c>
      <c r="B11" s="12"/>
      <c r="C11" s="17"/>
      <c r="D11" s="17"/>
      <c r="E11" s="89"/>
      <c r="F11" s="261"/>
      <c r="G11" s="261"/>
      <c r="H11" s="261"/>
      <c r="I11" s="256"/>
      <c r="J11" s="17" t="s">
        <v>29</v>
      </c>
      <c r="K11" s="259"/>
      <c r="L11" s="259"/>
      <c r="M11" s="18">
        <v>5540</v>
      </c>
      <c r="N11" s="261"/>
      <c r="O11" s="261"/>
      <c r="P11" s="261"/>
      <c r="Q11" s="261"/>
      <c r="R11" s="261"/>
      <c r="S11" s="261"/>
      <c r="T11" s="261"/>
      <c r="U11" s="261"/>
      <c r="V11" s="261"/>
      <c r="W11" s="261"/>
      <c r="X11" s="261"/>
      <c r="Y11" s="38" t="s">
        <v>27</v>
      </c>
      <c r="Z11" s="27"/>
      <c r="AA11" s="27"/>
      <c r="AB11" s="27"/>
      <c r="AC11" s="27"/>
      <c r="AD11" s="27"/>
      <c r="AE11" s="27"/>
      <c r="AF11" s="27"/>
      <c r="AG11" s="27"/>
      <c r="AH11" s="27"/>
      <c r="AI11" s="27"/>
      <c r="AJ11" s="4"/>
    </row>
    <row r="12" spans="1:36" ht="22.5" customHeight="1" x14ac:dyDescent="0.35">
      <c r="A12" s="259" t="s">
        <v>1069</v>
      </c>
      <c r="B12" s="311" t="s">
        <v>1075</v>
      </c>
      <c r="C12" s="17"/>
      <c r="D12" s="17"/>
      <c r="E12" s="89"/>
      <c r="F12" s="261"/>
      <c r="G12" s="261"/>
      <c r="H12" s="261"/>
      <c r="I12" s="256"/>
      <c r="J12" s="17"/>
      <c r="K12" s="259"/>
      <c r="L12" s="259"/>
      <c r="M12" s="18"/>
      <c r="N12" s="261"/>
      <c r="O12" s="261"/>
      <c r="P12" s="261"/>
      <c r="Q12" s="261"/>
      <c r="R12" s="261"/>
      <c r="S12" s="261"/>
      <c r="T12" s="261"/>
      <c r="U12" s="261"/>
      <c r="V12" s="261"/>
      <c r="W12" s="261"/>
      <c r="X12" s="261"/>
      <c r="Y12" s="38"/>
      <c r="Z12" s="27"/>
      <c r="AA12" s="27"/>
      <c r="AB12" s="27"/>
      <c r="AC12" s="27"/>
      <c r="AD12" s="27"/>
      <c r="AE12" s="27"/>
      <c r="AF12" s="27"/>
      <c r="AG12" s="27"/>
      <c r="AH12" s="27"/>
      <c r="AI12" s="27"/>
      <c r="AJ12" s="4"/>
    </row>
    <row r="13" spans="1:36" x14ac:dyDescent="0.35">
      <c r="A13" s="256">
        <v>25</v>
      </c>
      <c r="B13" s="14" t="s">
        <v>30</v>
      </c>
      <c r="C13" s="259"/>
      <c r="D13" s="259"/>
      <c r="E13" s="261"/>
      <c r="F13" s="261"/>
      <c r="G13" s="261"/>
      <c r="H13" s="261"/>
      <c r="I13" s="256">
        <v>25</v>
      </c>
      <c r="J13" s="14" t="s">
        <v>30</v>
      </c>
      <c r="K13" s="259"/>
      <c r="L13" s="259"/>
      <c r="M13" s="261"/>
      <c r="N13" s="261"/>
      <c r="O13" s="261"/>
      <c r="P13" s="261"/>
      <c r="Q13" s="261"/>
      <c r="R13" s="261"/>
      <c r="S13" s="261"/>
      <c r="T13" s="261"/>
      <c r="U13" s="261"/>
      <c r="V13" s="261"/>
      <c r="W13" s="261"/>
      <c r="X13" s="261"/>
      <c r="Y13" s="13"/>
      <c r="Z13" s="27"/>
      <c r="AA13" s="27"/>
      <c r="AB13" s="27"/>
      <c r="AC13" s="27"/>
      <c r="AD13" s="27"/>
      <c r="AE13" s="27"/>
      <c r="AF13" s="27"/>
      <c r="AG13" s="27"/>
      <c r="AH13" s="27"/>
      <c r="AI13" s="27"/>
      <c r="AJ13" s="4"/>
    </row>
    <row r="14" spans="1:36" ht="123" hidden="1" customHeight="1" x14ac:dyDescent="0.35">
      <c r="A14" s="19" t="s">
        <v>31</v>
      </c>
      <c r="B14" s="38" t="s">
        <v>32</v>
      </c>
      <c r="C14" s="259"/>
      <c r="D14" s="259"/>
      <c r="E14" s="261"/>
      <c r="F14" s="261"/>
      <c r="G14" s="261"/>
      <c r="H14" s="261"/>
      <c r="I14" s="19" t="s">
        <v>31</v>
      </c>
      <c r="J14" s="38" t="s">
        <v>32</v>
      </c>
      <c r="K14" s="259"/>
      <c r="L14" s="259"/>
      <c r="M14" s="261"/>
      <c r="N14" s="261"/>
      <c r="O14" s="261"/>
      <c r="P14" s="261"/>
      <c r="Q14" s="261"/>
      <c r="R14" s="261"/>
      <c r="S14" s="261"/>
      <c r="T14" s="261"/>
      <c r="U14" s="261"/>
      <c r="V14" s="261"/>
      <c r="W14" s="261"/>
      <c r="X14" s="261"/>
      <c r="Y14" s="21" t="s">
        <v>33</v>
      </c>
      <c r="Z14" s="27"/>
      <c r="AA14" s="27"/>
      <c r="AB14" s="27"/>
      <c r="AC14" s="27"/>
      <c r="AD14" s="27"/>
      <c r="AE14" s="27"/>
      <c r="AF14" s="27"/>
      <c r="AG14" s="27"/>
      <c r="AH14" s="27"/>
      <c r="AI14" s="27"/>
      <c r="AJ14" s="4"/>
    </row>
    <row r="15" spans="1:36" ht="46.5" hidden="1" customHeight="1" x14ac:dyDescent="0.3">
      <c r="A15" s="19" t="s">
        <v>34</v>
      </c>
      <c r="B15" s="38" t="s">
        <v>35</v>
      </c>
      <c r="C15" s="237" t="s">
        <v>36</v>
      </c>
      <c r="D15" s="237"/>
      <c r="E15" s="18">
        <v>8100</v>
      </c>
      <c r="F15" s="18"/>
      <c r="G15" s="18"/>
      <c r="H15" s="18"/>
      <c r="I15" s="253" t="s">
        <v>34</v>
      </c>
      <c r="J15" s="21" t="s">
        <v>37</v>
      </c>
      <c r="K15" s="462" t="s">
        <v>36</v>
      </c>
      <c r="L15" s="462"/>
      <c r="M15" s="18">
        <v>8100</v>
      </c>
      <c r="N15" s="22"/>
      <c r="O15" s="22"/>
      <c r="P15" s="22"/>
      <c r="Q15" s="18">
        <v>4860</v>
      </c>
      <c r="R15" s="253"/>
      <c r="S15" s="253"/>
      <c r="T15" s="253"/>
      <c r="U15" s="18">
        <v>3240</v>
      </c>
      <c r="V15" s="23"/>
      <c r="W15" s="23"/>
      <c r="X15" s="23"/>
      <c r="Y15" s="461" t="s">
        <v>38</v>
      </c>
      <c r="Z15" s="27"/>
      <c r="AA15" s="27"/>
      <c r="AB15" s="27"/>
      <c r="AC15" s="27"/>
      <c r="AD15" s="27"/>
      <c r="AE15" s="27"/>
      <c r="AF15" s="27"/>
      <c r="AG15" s="27"/>
      <c r="AH15" s="27"/>
      <c r="AI15" s="27"/>
      <c r="AJ15" s="4"/>
    </row>
    <row r="16" spans="1:36" ht="46.5" hidden="1" customHeight="1" x14ac:dyDescent="0.3">
      <c r="A16" s="19" t="s">
        <v>39</v>
      </c>
      <c r="B16" s="38" t="s">
        <v>40</v>
      </c>
      <c r="C16" s="237" t="s">
        <v>36</v>
      </c>
      <c r="D16" s="237"/>
      <c r="E16" s="18">
        <v>13000</v>
      </c>
      <c r="F16" s="18"/>
      <c r="G16" s="18"/>
      <c r="H16" s="18"/>
      <c r="I16" s="253" t="s">
        <v>39</v>
      </c>
      <c r="J16" s="24" t="s">
        <v>41</v>
      </c>
      <c r="K16" s="462" t="s">
        <v>36</v>
      </c>
      <c r="L16" s="462"/>
      <c r="M16" s="18">
        <v>13000</v>
      </c>
      <c r="N16" s="22"/>
      <c r="O16" s="22"/>
      <c r="P16" s="22"/>
      <c r="Q16" s="18">
        <v>7800</v>
      </c>
      <c r="R16" s="253"/>
      <c r="S16" s="253"/>
      <c r="T16" s="253"/>
      <c r="U16" s="18">
        <v>5200</v>
      </c>
      <c r="V16" s="22"/>
      <c r="W16" s="22"/>
      <c r="X16" s="22"/>
      <c r="Y16" s="461"/>
      <c r="Z16" s="27"/>
      <c r="AA16" s="27"/>
      <c r="AB16" s="27"/>
      <c r="AC16" s="27"/>
      <c r="AD16" s="27"/>
      <c r="AE16" s="27"/>
      <c r="AF16" s="27"/>
      <c r="AG16" s="27"/>
      <c r="AH16" s="27"/>
      <c r="AI16" s="27"/>
      <c r="AJ16" s="4"/>
    </row>
    <row r="17" spans="1:36" x14ac:dyDescent="0.35">
      <c r="A17" s="19" t="s">
        <v>42</v>
      </c>
      <c r="B17" s="38" t="s">
        <v>43</v>
      </c>
      <c r="C17" s="237" t="s">
        <v>36</v>
      </c>
      <c r="D17" s="237"/>
      <c r="E17" s="18">
        <v>7500</v>
      </c>
      <c r="F17" s="18"/>
      <c r="G17" s="18"/>
      <c r="H17" s="18"/>
      <c r="I17" s="19"/>
      <c r="J17" s="38"/>
      <c r="K17" s="259"/>
      <c r="L17" s="259"/>
      <c r="M17" s="18"/>
      <c r="N17" s="261"/>
      <c r="O17" s="261"/>
      <c r="P17" s="261"/>
      <c r="Q17" s="261"/>
      <c r="R17" s="261"/>
      <c r="S17" s="261"/>
      <c r="T17" s="261"/>
      <c r="U17" s="261"/>
      <c r="V17" s="261"/>
      <c r="W17" s="261"/>
      <c r="X17" s="261"/>
      <c r="Y17" s="463" t="s">
        <v>44</v>
      </c>
      <c r="Z17" s="27"/>
      <c r="AA17" s="27"/>
      <c r="AB17" s="18">
        <v>4500</v>
      </c>
      <c r="AC17" s="27"/>
      <c r="AD17" s="27"/>
      <c r="AE17" s="27"/>
      <c r="AF17" s="18">
        <v>3000</v>
      </c>
      <c r="AG17" s="27"/>
      <c r="AH17" s="27"/>
      <c r="AI17" s="27"/>
      <c r="AJ17" s="4"/>
    </row>
    <row r="18" spans="1:36" x14ac:dyDescent="0.35">
      <c r="A18" s="19" t="s">
        <v>45</v>
      </c>
      <c r="B18" s="38" t="s">
        <v>46</v>
      </c>
      <c r="C18" s="237" t="s">
        <v>36</v>
      </c>
      <c r="D18" s="237"/>
      <c r="E18" s="18">
        <v>7300</v>
      </c>
      <c r="F18" s="18"/>
      <c r="G18" s="18"/>
      <c r="H18" s="18"/>
      <c r="I18" s="19"/>
      <c r="J18" s="38"/>
      <c r="K18" s="259"/>
      <c r="L18" s="259"/>
      <c r="M18" s="18"/>
      <c r="N18" s="261"/>
      <c r="O18" s="261"/>
      <c r="P18" s="261"/>
      <c r="Q18" s="261"/>
      <c r="R18" s="261"/>
      <c r="S18" s="261"/>
      <c r="T18" s="261"/>
      <c r="U18" s="261"/>
      <c r="V18" s="261"/>
      <c r="W18" s="261"/>
      <c r="X18" s="261"/>
      <c r="Y18" s="463"/>
      <c r="Z18" s="27"/>
      <c r="AA18" s="27"/>
      <c r="AB18" s="18">
        <v>4380</v>
      </c>
      <c r="AC18" s="27"/>
      <c r="AD18" s="27"/>
      <c r="AE18" s="27"/>
      <c r="AF18" s="18">
        <v>2920</v>
      </c>
      <c r="AG18" s="27"/>
      <c r="AH18" s="27"/>
      <c r="AI18" s="27"/>
      <c r="AJ18" s="4"/>
    </row>
    <row r="19" spans="1:36" x14ac:dyDescent="0.35">
      <c r="A19" s="19" t="s">
        <v>47</v>
      </c>
      <c r="B19" s="38" t="s">
        <v>48</v>
      </c>
      <c r="C19" s="237" t="s">
        <v>36</v>
      </c>
      <c r="D19" s="237"/>
      <c r="E19" s="18">
        <v>7100</v>
      </c>
      <c r="F19" s="18"/>
      <c r="G19" s="18"/>
      <c r="H19" s="18"/>
      <c r="I19" s="19"/>
      <c r="J19" s="38"/>
      <c r="K19" s="259"/>
      <c r="L19" s="259"/>
      <c r="M19" s="18"/>
      <c r="N19" s="261"/>
      <c r="O19" s="261"/>
      <c r="P19" s="261"/>
      <c r="Q19" s="261"/>
      <c r="R19" s="261"/>
      <c r="S19" s="261"/>
      <c r="T19" s="261"/>
      <c r="U19" s="261"/>
      <c r="V19" s="261"/>
      <c r="W19" s="261"/>
      <c r="X19" s="261"/>
      <c r="Y19" s="463"/>
      <c r="Z19" s="27"/>
      <c r="AA19" s="27"/>
      <c r="AB19" s="18">
        <v>4260</v>
      </c>
      <c r="AC19" s="27"/>
      <c r="AD19" s="27"/>
      <c r="AE19" s="27"/>
      <c r="AF19" s="18">
        <v>2840</v>
      </c>
      <c r="AG19" s="27"/>
      <c r="AH19" s="27"/>
      <c r="AI19" s="27"/>
      <c r="AJ19" s="4"/>
    </row>
    <row r="20" spans="1:36" ht="112" hidden="1" x14ac:dyDescent="0.3">
      <c r="A20" s="19"/>
      <c r="B20" s="38"/>
      <c r="C20" s="237"/>
      <c r="D20" s="237"/>
      <c r="E20" s="18"/>
      <c r="F20" s="18"/>
      <c r="G20" s="18"/>
      <c r="H20" s="18"/>
      <c r="I20" s="253" t="s">
        <v>42</v>
      </c>
      <c r="J20" s="24" t="s">
        <v>49</v>
      </c>
      <c r="K20" s="462" t="s">
        <v>36</v>
      </c>
      <c r="L20" s="462"/>
      <c r="M20" s="89">
        <v>7500</v>
      </c>
      <c r="N20" s="22"/>
      <c r="O20" s="22"/>
      <c r="P20" s="22"/>
      <c r="Q20" s="89">
        <v>4500</v>
      </c>
      <c r="R20" s="22"/>
      <c r="S20" s="22"/>
      <c r="T20" s="22"/>
      <c r="U20" s="89">
        <v>3000</v>
      </c>
      <c r="V20" s="22"/>
      <c r="W20" s="22"/>
      <c r="X20" s="22"/>
      <c r="Y20" s="21" t="s">
        <v>50</v>
      </c>
      <c r="Z20" s="27"/>
      <c r="AA20" s="27"/>
      <c r="AB20" s="27"/>
      <c r="AC20" s="27"/>
      <c r="AD20" s="27"/>
      <c r="AE20" s="27"/>
      <c r="AF20" s="27"/>
      <c r="AG20" s="27"/>
      <c r="AH20" s="27"/>
      <c r="AI20" s="27"/>
      <c r="AJ20" s="4"/>
    </row>
    <row r="21" spans="1:36" ht="112" hidden="1" x14ac:dyDescent="0.3">
      <c r="A21" s="19"/>
      <c r="B21" s="38"/>
      <c r="C21" s="237"/>
      <c r="D21" s="237"/>
      <c r="E21" s="18"/>
      <c r="F21" s="18"/>
      <c r="G21" s="18"/>
      <c r="H21" s="18"/>
      <c r="I21" s="19" t="s">
        <v>51</v>
      </c>
      <c r="J21" s="24" t="s">
        <v>52</v>
      </c>
      <c r="K21" s="462" t="s">
        <v>36</v>
      </c>
      <c r="L21" s="462"/>
      <c r="M21" s="89">
        <v>7500</v>
      </c>
      <c r="N21" s="22"/>
      <c r="O21" s="22"/>
      <c r="P21" s="22"/>
      <c r="Q21" s="89">
        <v>4500</v>
      </c>
      <c r="R21" s="22"/>
      <c r="S21" s="22"/>
      <c r="T21" s="22"/>
      <c r="U21" s="89">
        <v>3000</v>
      </c>
      <c r="V21" s="261"/>
      <c r="W21" s="261"/>
      <c r="X21" s="261"/>
      <c r="Y21" s="21" t="s">
        <v>53</v>
      </c>
      <c r="Z21" s="27"/>
      <c r="AA21" s="27"/>
      <c r="AB21" s="27"/>
      <c r="AC21" s="27"/>
      <c r="AD21" s="27"/>
      <c r="AE21" s="27"/>
      <c r="AF21" s="27"/>
      <c r="AG21" s="27"/>
      <c r="AH21" s="27"/>
      <c r="AI21" s="27"/>
      <c r="AJ21" s="4"/>
    </row>
    <row r="22" spans="1:36" hidden="1" x14ac:dyDescent="0.35">
      <c r="A22" s="256">
        <v>26</v>
      </c>
      <c r="B22" s="14" t="s">
        <v>54</v>
      </c>
      <c r="C22" s="259"/>
      <c r="D22" s="259"/>
      <c r="E22" s="261"/>
      <c r="F22" s="261"/>
      <c r="G22" s="261"/>
      <c r="H22" s="261"/>
      <c r="I22" s="256">
        <v>26</v>
      </c>
      <c r="J22" s="14" t="s">
        <v>54</v>
      </c>
      <c r="K22" s="259"/>
      <c r="L22" s="259"/>
      <c r="M22" s="261"/>
      <c r="N22" s="261"/>
      <c r="O22" s="261"/>
      <c r="P22" s="261"/>
      <c r="Q22" s="261"/>
      <c r="R22" s="261"/>
      <c r="S22" s="261"/>
      <c r="T22" s="261"/>
      <c r="U22" s="261"/>
      <c r="V22" s="261"/>
      <c r="W22" s="261"/>
      <c r="X22" s="261"/>
      <c r="Y22" s="13"/>
      <c r="Z22" s="27"/>
      <c r="AA22" s="27"/>
      <c r="AB22" s="27"/>
      <c r="AC22" s="27"/>
      <c r="AD22" s="27"/>
      <c r="AE22" s="27"/>
      <c r="AF22" s="27"/>
      <c r="AG22" s="27"/>
      <c r="AH22" s="27"/>
      <c r="AI22" s="27"/>
      <c r="AJ22" s="4"/>
    </row>
    <row r="23" spans="1:36" ht="197.65" hidden="1" customHeight="1" x14ac:dyDescent="0.35">
      <c r="A23" s="256"/>
      <c r="B23" s="14"/>
      <c r="C23" s="259"/>
      <c r="D23" s="259"/>
      <c r="E23" s="261"/>
      <c r="F23" s="261"/>
      <c r="G23" s="261"/>
      <c r="H23" s="261"/>
      <c r="I23" s="27">
        <v>20</v>
      </c>
      <c r="J23" s="38" t="s">
        <v>55</v>
      </c>
      <c r="K23" s="259"/>
      <c r="L23" s="259"/>
      <c r="M23" s="28">
        <v>4500</v>
      </c>
      <c r="N23" s="261"/>
      <c r="O23" s="261"/>
      <c r="P23" s="261"/>
      <c r="Q23" s="28">
        <v>2700</v>
      </c>
      <c r="R23" s="28"/>
      <c r="S23" s="261"/>
      <c r="T23" s="261"/>
      <c r="U23" s="28">
        <v>1800</v>
      </c>
      <c r="V23" s="261"/>
      <c r="W23" s="261"/>
      <c r="X23" s="261"/>
      <c r="Y23" s="38" t="s">
        <v>56</v>
      </c>
      <c r="Z23" s="237"/>
      <c r="AA23" s="27"/>
      <c r="AB23" s="27"/>
      <c r="AC23" s="27"/>
      <c r="AD23" s="27"/>
      <c r="AE23" s="27"/>
      <c r="AF23" s="27"/>
      <c r="AG23" s="27"/>
      <c r="AH23" s="27"/>
      <c r="AI23" s="27"/>
      <c r="AJ23" s="4"/>
    </row>
    <row r="24" spans="1:36" hidden="1" x14ac:dyDescent="0.35">
      <c r="A24" s="256">
        <v>27</v>
      </c>
      <c r="B24" s="14" t="s">
        <v>57</v>
      </c>
      <c r="C24" s="259"/>
      <c r="D24" s="259"/>
      <c r="E24" s="261"/>
      <c r="F24" s="261"/>
      <c r="G24" s="261"/>
      <c r="H24" s="261"/>
      <c r="I24" s="256">
        <v>27</v>
      </c>
      <c r="J24" s="14" t="s">
        <v>57</v>
      </c>
      <c r="K24" s="259"/>
      <c r="L24" s="259"/>
      <c r="M24" s="261"/>
      <c r="N24" s="261"/>
      <c r="O24" s="261"/>
      <c r="P24" s="261"/>
      <c r="Q24" s="261"/>
      <c r="R24" s="261"/>
      <c r="S24" s="261"/>
      <c r="T24" s="261"/>
      <c r="U24" s="261"/>
      <c r="V24" s="261"/>
      <c r="W24" s="261"/>
      <c r="X24" s="261"/>
      <c r="Y24" s="13"/>
      <c r="Z24" s="27"/>
      <c r="AA24" s="27"/>
      <c r="AB24" s="27"/>
      <c r="AC24" s="27"/>
      <c r="AD24" s="27"/>
      <c r="AE24" s="27"/>
      <c r="AF24" s="27"/>
      <c r="AG24" s="27"/>
      <c r="AH24" s="27"/>
      <c r="AI24" s="27"/>
      <c r="AJ24" s="4"/>
    </row>
    <row r="25" spans="1:36" ht="70.400000000000006" hidden="1" customHeight="1" x14ac:dyDescent="0.35">
      <c r="A25" s="256"/>
      <c r="B25" s="14"/>
      <c r="C25" s="259"/>
      <c r="D25" s="259"/>
      <c r="E25" s="261"/>
      <c r="F25" s="261"/>
      <c r="G25" s="261"/>
      <c r="H25" s="261"/>
      <c r="I25" s="29" t="s">
        <v>58</v>
      </c>
      <c r="J25" s="38" t="s">
        <v>59</v>
      </c>
      <c r="K25" s="38"/>
      <c r="L25" s="38"/>
      <c r="M25" s="18"/>
      <c r="N25" s="18"/>
      <c r="O25" s="18"/>
      <c r="P25" s="18"/>
      <c r="Q25" s="18"/>
      <c r="R25" s="18"/>
      <c r="S25" s="18"/>
      <c r="T25" s="18"/>
      <c r="U25" s="18"/>
      <c r="V25" s="18"/>
      <c r="W25" s="18"/>
      <c r="X25" s="18"/>
      <c r="Y25" s="38" t="s">
        <v>60</v>
      </c>
      <c r="Z25" s="27"/>
      <c r="AA25" s="27"/>
      <c r="AB25" s="27"/>
      <c r="AC25" s="27"/>
      <c r="AD25" s="27"/>
      <c r="AE25" s="27"/>
      <c r="AF25" s="27"/>
      <c r="AG25" s="27"/>
      <c r="AH25" s="27"/>
      <c r="AI25" s="27"/>
      <c r="AJ25" s="4"/>
    </row>
    <row r="26" spans="1:36" ht="97.4" hidden="1" customHeight="1" x14ac:dyDescent="0.35">
      <c r="A26" s="256"/>
      <c r="B26" s="14"/>
      <c r="C26" s="259"/>
      <c r="D26" s="259"/>
      <c r="E26" s="261"/>
      <c r="F26" s="261"/>
      <c r="G26" s="261"/>
      <c r="H26" s="261"/>
      <c r="I26" s="29" t="s">
        <v>61</v>
      </c>
      <c r="J26" s="38" t="s">
        <v>62</v>
      </c>
      <c r="K26" s="38" t="s">
        <v>63</v>
      </c>
      <c r="L26" s="38" t="s">
        <v>64</v>
      </c>
      <c r="M26" s="18">
        <v>9000</v>
      </c>
      <c r="N26" s="18">
        <v>3400</v>
      </c>
      <c r="O26" s="18">
        <v>2400</v>
      </c>
      <c r="P26" s="18">
        <v>1600</v>
      </c>
      <c r="Q26" s="18">
        <f>+M26*0.6</f>
        <v>5400</v>
      </c>
      <c r="R26" s="18">
        <f t="shared" ref="R26:T27" si="0">+N26*0.6</f>
        <v>2040</v>
      </c>
      <c r="S26" s="18">
        <f t="shared" si="0"/>
        <v>1440</v>
      </c>
      <c r="T26" s="18">
        <f t="shared" si="0"/>
        <v>960</v>
      </c>
      <c r="U26" s="18">
        <f>+M26*0.4</f>
        <v>3600</v>
      </c>
      <c r="V26" s="18">
        <f>+N26*0.4</f>
        <v>1360</v>
      </c>
      <c r="W26" s="18">
        <f t="shared" ref="W26:X27" si="1">+O26*0.4</f>
        <v>960</v>
      </c>
      <c r="X26" s="18">
        <f t="shared" si="1"/>
        <v>640</v>
      </c>
      <c r="Y26" s="31" t="s">
        <v>65</v>
      </c>
      <c r="Z26" s="27"/>
      <c r="AA26" s="27"/>
      <c r="AB26" s="27"/>
      <c r="AC26" s="27"/>
      <c r="AD26" s="27"/>
      <c r="AE26" s="27"/>
      <c r="AF26" s="27"/>
      <c r="AG26" s="27"/>
      <c r="AH26" s="27"/>
      <c r="AI26" s="27"/>
      <c r="AJ26" s="4"/>
    </row>
    <row r="27" spans="1:36" ht="96.25" hidden="1" customHeight="1" x14ac:dyDescent="0.35">
      <c r="A27" s="256"/>
      <c r="B27" s="14"/>
      <c r="C27" s="259"/>
      <c r="D27" s="259"/>
      <c r="E27" s="261"/>
      <c r="F27" s="261"/>
      <c r="G27" s="261"/>
      <c r="H27" s="261"/>
      <c r="I27" s="29" t="s">
        <v>66</v>
      </c>
      <c r="J27" s="38" t="s">
        <v>67</v>
      </c>
      <c r="K27" s="38" t="s">
        <v>64</v>
      </c>
      <c r="L27" s="38" t="s">
        <v>68</v>
      </c>
      <c r="M27" s="18">
        <v>7000</v>
      </c>
      <c r="N27" s="18">
        <v>2100</v>
      </c>
      <c r="O27" s="18">
        <v>1800</v>
      </c>
      <c r="P27" s="18">
        <v>700</v>
      </c>
      <c r="Q27" s="18">
        <f>+M27*0.6</f>
        <v>4200</v>
      </c>
      <c r="R27" s="18">
        <f t="shared" si="0"/>
        <v>1260</v>
      </c>
      <c r="S27" s="18">
        <f t="shared" si="0"/>
        <v>1080</v>
      </c>
      <c r="T27" s="18">
        <f t="shared" si="0"/>
        <v>420</v>
      </c>
      <c r="U27" s="18">
        <f>+M27*0.4</f>
        <v>2800</v>
      </c>
      <c r="V27" s="18">
        <f>+N27*0.4</f>
        <v>840</v>
      </c>
      <c r="W27" s="18">
        <f t="shared" si="1"/>
        <v>720</v>
      </c>
      <c r="X27" s="18">
        <f t="shared" si="1"/>
        <v>280</v>
      </c>
      <c r="Y27" s="31" t="s">
        <v>69</v>
      </c>
      <c r="Z27" s="27"/>
      <c r="AA27" s="27"/>
      <c r="AB27" s="27"/>
      <c r="AC27" s="27"/>
      <c r="AD27" s="27"/>
      <c r="AE27" s="27"/>
      <c r="AF27" s="27"/>
      <c r="AG27" s="27"/>
      <c r="AH27" s="27"/>
      <c r="AI27" s="27"/>
      <c r="AJ27" s="4"/>
    </row>
    <row r="28" spans="1:36" ht="133.15" hidden="1" customHeight="1" x14ac:dyDescent="0.35">
      <c r="A28" s="256"/>
      <c r="B28" s="14"/>
      <c r="C28" s="259"/>
      <c r="D28" s="259"/>
      <c r="E28" s="261"/>
      <c r="F28" s="261"/>
      <c r="G28" s="261"/>
      <c r="H28" s="261"/>
      <c r="I28" s="29" t="s">
        <v>70</v>
      </c>
      <c r="J28" s="38" t="s">
        <v>71</v>
      </c>
      <c r="K28" s="38" t="s">
        <v>36</v>
      </c>
      <c r="L28" s="38"/>
      <c r="M28" s="18">
        <v>9000</v>
      </c>
      <c r="N28" s="18"/>
      <c r="O28" s="18"/>
      <c r="P28" s="18"/>
      <c r="Q28" s="18">
        <f t="shared" ref="Q28:T28" si="2">+M28*0.6</f>
        <v>5400</v>
      </c>
      <c r="R28" s="18">
        <f t="shared" si="2"/>
        <v>0</v>
      </c>
      <c r="S28" s="18">
        <f t="shared" si="2"/>
        <v>0</v>
      </c>
      <c r="T28" s="18">
        <f t="shared" si="2"/>
        <v>0</v>
      </c>
      <c r="U28" s="18">
        <f t="shared" ref="U28:X28" si="3">+M28*0.4</f>
        <v>3600</v>
      </c>
      <c r="V28" s="18">
        <f t="shared" si="3"/>
        <v>0</v>
      </c>
      <c r="W28" s="18">
        <f t="shared" si="3"/>
        <v>0</v>
      </c>
      <c r="X28" s="18">
        <f t="shared" si="3"/>
        <v>0</v>
      </c>
      <c r="Y28" s="31" t="s">
        <v>72</v>
      </c>
      <c r="Z28" s="27"/>
      <c r="AA28" s="27"/>
      <c r="AB28" s="27"/>
      <c r="AC28" s="27"/>
      <c r="AD28" s="27"/>
      <c r="AE28" s="27"/>
      <c r="AF28" s="27"/>
      <c r="AG28" s="27"/>
      <c r="AH28" s="27"/>
      <c r="AI28" s="27"/>
      <c r="AJ28" s="4"/>
    </row>
    <row r="29" spans="1:36" hidden="1" x14ac:dyDescent="0.35">
      <c r="A29" s="256"/>
      <c r="B29" s="14"/>
      <c r="C29" s="259"/>
      <c r="D29" s="259"/>
      <c r="E29" s="261"/>
      <c r="F29" s="261"/>
      <c r="G29" s="261"/>
      <c r="H29" s="261"/>
      <c r="I29" s="29" t="s">
        <v>73</v>
      </c>
      <c r="J29" s="38" t="s">
        <v>74</v>
      </c>
      <c r="K29" s="38"/>
      <c r="L29" s="38"/>
      <c r="M29" s="18"/>
      <c r="N29" s="18"/>
      <c r="O29" s="18"/>
      <c r="P29" s="18"/>
      <c r="Q29" s="18"/>
      <c r="R29" s="18"/>
      <c r="S29" s="18"/>
      <c r="T29" s="18"/>
      <c r="U29" s="18"/>
      <c r="V29" s="18"/>
      <c r="W29" s="18"/>
      <c r="X29" s="18"/>
      <c r="Y29" s="238"/>
      <c r="Z29" s="27"/>
      <c r="AA29" s="27"/>
      <c r="AB29" s="27"/>
      <c r="AC29" s="27"/>
      <c r="AD29" s="27"/>
      <c r="AE29" s="27"/>
      <c r="AF29" s="27"/>
      <c r="AG29" s="27"/>
      <c r="AH29" s="27"/>
      <c r="AI29" s="27"/>
      <c r="AJ29" s="4"/>
    </row>
    <row r="30" spans="1:36" ht="129.65" hidden="1" customHeight="1" x14ac:dyDescent="0.35">
      <c r="A30" s="256"/>
      <c r="B30" s="14"/>
      <c r="C30" s="259"/>
      <c r="D30" s="259"/>
      <c r="E30" s="261"/>
      <c r="F30" s="261"/>
      <c r="G30" s="261"/>
      <c r="H30" s="261"/>
      <c r="I30" s="237" t="s">
        <v>75</v>
      </c>
      <c r="J30" s="38" t="s">
        <v>76</v>
      </c>
      <c r="K30" s="38" t="s">
        <v>36</v>
      </c>
      <c r="L30" s="38"/>
      <c r="M30" s="18">
        <v>7400</v>
      </c>
      <c r="N30" s="18"/>
      <c r="O30" s="18"/>
      <c r="P30" s="18"/>
      <c r="Q30" s="32">
        <f t="shared" ref="Q30:T31" si="4">+M30*0.6</f>
        <v>4440</v>
      </c>
      <c r="R30" s="32">
        <f t="shared" si="4"/>
        <v>0</v>
      </c>
      <c r="S30" s="32">
        <f t="shared" si="4"/>
        <v>0</v>
      </c>
      <c r="T30" s="32">
        <f t="shared" si="4"/>
        <v>0</v>
      </c>
      <c r="U30" s="32">
        <f t="shared" ref="U30:X31" si="5">+M30*0.4</f>
        <v>2960</v>
      </c>
      <c r="V30" s="32">
        <f t="shared" si="5"/>
        <v>0</v>
      </c>
      <c r="W30" s="32">
        <f t="shared" si="5"/>
        <v>0</v>
      </c>
      <c r="X30" s="32">
        <f t="shared" si="5"/>
        <v>0</v>
      </c>
      <c r="Y30" s="31" t="s">
        <v>77</v>
      </c>
      <c r="Z30" s="27"/>
      <c r="AA30" s="27"/>
      <c r="AB30" s="27"/>
      <c r="AC30" s="27"/>
      <c r="AD30" s="27"/>
      <c r="AE30" s="27"/>
      <c r="AF30" s="27"/>
      <c r="AG30" s="27"/>
      <c r="AH30" s="27"/>
      <c r="AI30" s="27"/>
      <c r="AJ30" s="4"/>
    </row>
    <row r="31" spans="1:36" ht="117" hidden="1" customHeight="1" x14ac:dyDescent="0.35">
      <c r="A31" s="256"/>
      <c r="B31" s="14"/>
      <c r="C31" s="259"/>
      <c r="D31" s="259"/>
      <c r="E31" s="261"/>
      <c r="F31" s="261"/>
      <c r="G31" s="261"/>
      <c r="H31" s="261"/>
      <c r="I31" s="237" t="s">
        <v>78</v>
      </c>
      <c r="J31" s="38" t="s">
        <v>79</v>
      </c>
      <c r="K31" s="38" t="s">
        <v>36</v>
      </c>
      <c r="L31" s="38"/>
      <c r="M31" s="18">
        <v>6200</v>
      </c>
      <c r="N31" s="18"/>
      <c r="O31" s="18"/>
      <c r="P31" s="18"/>
      <c r="Q31" s="32">
        <f t="shared" si="4"/>
        <v>3720</v>
      </c>
      <c r="R31" s="32">
        <f t="shared" si="4"/>
        <v>0</v>
      </c>
      <c r="S31" s="32">
        <f t="shared" si="4"/>
        <v>0</v>
      </c>
      <c r="T31" s="32">
        <f t="shared" si="4"/>
        <v>0</v>
      </c>
      <c r="U31" s="32">
        <f t="shared" si="5"/>
        <v>2480</v>
      </c>
      <c r="V31" s="32">
        <f t="shared" si="5"/>
        <v>0</v>
      </c>
      <c r="W31" s="32">
        <f t="shared" si="5"/>
        <v>0</v>
      </c>
      <c r="X31" s="32">
        <f t="shared" si="5"/>
        <v>0</v>
      </c>
      <c r="Y31" s="31" t="s">
        <v>80</v>
      </c>
      <c r="Z31" s="27"/>
      <c r="AA31" s="27"/>
      <c r="AB31" s="27"/>
      <c r="AC31" s="27"/>
      <c r="AD31" s="27"/>
      <c r="AE31" s="27"/>
      <c r="AF31" s="27"/>
      <c r="AG31" s="27"/>
      <c r="AH31" s="27"/>
      <c r="AI31" s="27"/>
      <c r="AJ31" s="4"/>
    </row>
    <row r="32" spans="1:36" hidden="1" x14ac:dyDescent="0.35">
      <c r="A32" s="256">
        <v>28</v>
      </c>
      <c r="B32" s="14" t="s">
        <v>81</v>
      </c>
      <c r="C32" s="259"/>
      <c r="D32" s="259"/>
      <c r="E32" s="261"/>
      <c r="F32" s="261"/>
      <c r="G32" s="261"/>
      <c r="H32" s="261"/>
      <c r="I32" s="256">
        <v>28</v>
      </c>
      <c r="J32" s="14" t="s">
        <v>81</v>
      </c>
      <c r="K32" s="259"/>
      <c r="L32" s="259"/>
      <c r="M32" s="261"/>
      <c r="N32" s="261"/>
      <c r="O32" s="261"/>
      <c r="P32" s="261"/>
      <c r="Q32" s="261"/>
      <c r="R32" s="261"/>
      <c r="S32" s="261"/>
      <c r="T32" s="261"/>
      <c r="U32" s="261"/>
      <c r="V32" s="261"/>
      <c r="W32" s="261"/>
      <c r="X32" s="261"/>
      <c r="Y32" s="38"/>
      <c r="Z32" s="27"/>
      <c r="AA32" s="27"/>
      <c r="AB32" s="27"/>
      <c r="AC32" s="27"/>
      <c r="AD32" s="27"/>
      <c r="AE32" s="27"/>
      <c r="AF32" s="27"/>
      <c r="AG32" s="27"/>
      <c r="AH32" s="27"/>
      <c r="AI32" s="27"/>
      <c r="AJ32" s="4"/>
    </row>
    <row r="33" spans="1:36" ht="49.5" hidden="1" customHeight="1" x14ac:dyDescent="0.35">
      <c r="A33" s="27"/>
      <c r="B33" s="38"/>
      <c r="C33" s="237"/>
      <c r="D33" s="237"/>
      <c r="E33" s="28"/>
      <c r="F33" s="28"/>
      <c r="G33" s="28"/>
      <c r="H33" s="28"/>
      <c r="I33" s="256" t="s">
        <v>82</v>
      </c>
      <c r="J33" s="38" t="s">
        <v>83</v>
      </c>
      <c r="K33" s="237" t="s">
        <v>84</v>
      </c>
      <c r="L33" s="237" t="s">
        <v>85</v>
      </c>
      <c r="M33" s="35">
        <v>2500</v>
      </c>
      <c r="N33" s="35">
        <v>2000</v>
      </c>
      <c r="O33" s="35">
        <v>1200</v>
      </c>
      <c r="P33" s="35">
        <v>1000</v>
      </c>
      <c r="Q33" s="35">
        <v>1500</v>
      </c>
      <c r="R33" s="35">
        <v>1200</v>
      </c>
      <c r="S33" s="35">
        <v>720</v>
      </c>
      <c r="T33" s="35">
        <v>600</v>
      </c>
      <c r="U33" s="35">
        <v>1000</v>
      </c>
      <c r="V33" s="35">
        <v>800</v>
      </c>
      <c r="W33" s="35">
        <v>480</v>
      </c>
      <c r="X33" s="35">
        <v>400</v>
      </c>
      <c r="Y33" s="38" t="s">
        <v>86</v>
      </c>
      <c r="Z33" s="237" t="s">
        <v>87</v>
      </c>
      <c r="AA33" s="27"/>
      <c r="AB33" s="27"/>
      <c r="AC33" s="27"/>
      <c r="AD33" s="27"/>
      <c r="AE33" s="27"/>
      <c r="AF33" s="27"/>
      <c r="AG33" s="27"/>
      <c r="AH33" s="27"/>
      <c r="AI33" s="27"/>
      <c r="AJ33" s="4"/>
    </row>
    <row r="34" spans="1:36" hidden="1" x14ac:dyDescent="0.35">
      <c r="A34" s="256">
        <v>29</v>
      </c>
      <c r="B34" s="14" t="s">
        <v>88</v>
      </c>
      <c r="C34" s="259" t="s">
        <v>89</v>
      </c>
      <c r="D34" s="259"/>
      <c r="E34" s="261"/>
      <c r="F34" s="261"/>
      <c r="G34" s="261"/>
      <c r="H34" s="261"/>
      <c r="I34" s="256">
        <v>29</v>
      </c>
      <c r="J34" s="14" t="s">
        <v>88</v>
      </c>
      <c r="K34" s="259"/>
      <c r="L34" s="259"/>
      <c r="M34" s="261"/>
      <c r="N34" s="261"/>
      <c r="O34" s="261"/>
      <c r="P34" s="261"/>
      <c r="Q34" s="261"/>
      <c r="R34" s="261"/>
      <c r="S34" s="261"/>
      <c r="T34" s="261"/>
      <c r="U34" s="261"/>
      <c r="V34" s="261"/>
      <c r="W34" s="261"/>
      <c r="X34" s="261"/>
      <c r="Y34" s="13"/>
      <c r="Z34" s="27"/>
      <c r="AA34" s="27"/>
      <c r="AB34" s="27"/>
      <c r="AC34" s="27"/>
      <c r="AD34" s="27"/>
      <c r="AE34" s="27"/>
      <c r="AF34" s="27"/>
      <c r="AG34" s="27"/>
      <c r="AH34" s="27"/>
      <c r="AI34" s="27"/>
      <c r="AJ34" s="4"/>
    </row>
    <row r="35" spans="1:36" ht="176.9" hidden="1" customHeight="1" x14ac:dyDescent="0.35">
      <c r="A35" s="256"/>
      <c r="B35" s="14"/>
      <c r="C35" s="259"/>
      <c r="D35" s="259"/>
      <c r="E35" s="261"/>
      <c r="F35" s="261"/>
      <c r="G35" s="261"/>
      <c r="H35" s="261"/>
      <c r="I35" s="27">
        <v>104</v>
      </c>
      <c r="J35" s="31" t="s">
        <v>90</v>
      </c>
      <c r="K35" s="237" t="s">
        <v>36</v>
      </c>
      <c r="L35" s="259"/>
      <c r="M35" s="36">
        <v>7400</v>
      </c>
      <c r="N35" s="261"/>
      <c r="O35" s="261"/>
      <c r="P35" s="261"/>
      <c r="Q35" s="261"/>
      <c r="R35" s="261"/>
      <c r="S35" s="261"/>
      <c r="T35" s="261"/>
      <c r="U35" s="261"/>
      <c r="V35" s="261"/>
      <c r="W35" s="261"/>
      <c r="X35" s="261"/>
      <c r="Y35" s="38" t="s">
        <v>91</v>
      </c>
      <c r="Z35" s="27"/>
      <c r="AA35" s="27"/>
      <c r="AB35" s="27"/>
      <c r="AC35" s="27"/>
      <c r="AD35" s="27"/>
      <c r="AE35" s="27"/>
      <c r="AF35" s="27"/>
      <c r="AG35" s="27"/>
      <c r="AH35" s="27"/>
      <c r="AI35" s="27"/>
      <c r="AJ35" s="4"/>
    </row>
    <row r="36" spans="1:36" hidden="1" x14ac:dyDescent="0.35">
      <c r="A36" s="256">
        <v>30</v>
      </c>
      <c r="B36" s="14" t="s">
        <v>92</v>
      </c>
      <c r="C36" s="259"/>
      <c r="D36" s="259"/>
      <c r="E36" s="261"/>
      <c r="F36" s="261"/>
      <c r="G36" s="261"/>
      <c r="H36" s="261"/>
      <c r="I36" s="256">
        <v>30</v>
      </c>
      <c r="J36" s="14" t="s">
        <v>92</v>
      </c>
      <c r="K36" s="259"/>
      <c r="L36" s="259"/>
      <c r="M36" s="261"/>
      <c r="N36" s="261"/>
      <c r="O36" s="261"/>
      <c r="P36" s="261"/>
      <c r="Q36" s="261"/>
      <c r="R36" s="261"/>
      <c r="S36" s="261"/>
      <c r="T36" s="261"/>
      <c r="U36" s="261"/>
      <c r="V36" s="261"/>
      <c r="W36" s="261"/>
      <c r="X36" s="261"/>
      <c r="Y36" s="13"/>
      <c r="Z36" s="27"/>
      <c r="AA36" s="27"/>
      <c r="AB36" s="27"/>
      <c r="AC36" s="27"/>
      <c r="AD36" s="27"/>
      <c r="AE36" s="27"/>
      <c r="AF36" s="27"/>
      <c r="AG36" s="27"/>
      <c r="AH36" s="27"/>
      <c r="AI36" s="27"/>
      <c r="AJ36" s="4"/>
    </row>
    <row r="37" spans="1:36" ht="34.75" hidden="1" customHeight="1" x14ac:dyDescent="0.35">
      <c r="A37" s="37" t="s">
        <v>93</v>
      </c>
      <c r="B37" s="38" t="s">
        <v>94</v>
      </c>
      <c r="C37" s="460" t="s">
        <v>36</v>
      </c>
      <c r="D37" s="451"/>
      <c r="E37" s="261"/>
      <c r="F37" s="261"/>
      <c r="G37" s="261"/>
      <c r="H37" s="261"/>
      <c r="I37" s="256">
        <v>14</v>
      </c>
      <c r="J37" s="13" t="s">
        <v>95</v>
      </c>
      <c r="K37" s="460" t="s">
        <v>36</v>
      </c>
      <c r="L37" s="451"/>
      <c r="M37" s="261"/>
      <c r="N37" s="261"/>
      <c r="O37" s="261"/>
      <c r="P37" s="261"/>
      <c r="Q37" s="261"/>
      <c r="R37" s="261"/>
      <c r="S37" s="261"/>
      <c r="T37" s="261"/>
      <c r="U37" s="261"/>
      <c r="V37" s="261"/>
      <c r="W37" s="261"/>
      <c r="X37" s="261"/>
      <c r="Y37" s="38" t="s">
        <v>96</v>
      </c>
      <c r="Z37" s="27"/>
      <c r="AA37" s="27"/>
      <c r="AB37" s="27"/>
      <c r="AC37" s="27"/>
      <c r="AD37" s="27"/>
      <c r="AE37" s="27"/>
      <c r="AF37" s="27"/>
      <c r="AG37" s="27"/>
      <c r="AH37" s="27"/>
      <c r="AI37" s="27"/>
      <c r="AJ37" s="4"/>
    </row>
    <row r="38" spans="1:36" ht="142.4" hidden="1" customHeight="1" x14ac:dyDescent="0.35">
      <c r="A38" s="256"/>
      <c r="B38" s="14"/>
      <c r="C38" s="259"/>
      <c r="D38" s="259"/>
      <c r="E38" s="261"/>
      <c r="F38" s="261"/>
      <c r="G38" s="261"/>
      <c r="H38" s="261"/>
      <c r="I38" s="27" t="s">
        <v>97</v>
      </c>
      <c r="J38" s="238" t="s">
        <v>98</v>
      </c>
      <c r="K38" s="259"/>
      <c r="L38" s="259"/>
      <c r="M38" s="18">
        <v>5330</v>
      </c>
      <c r="N38" s="18"/>
      <c r="O38" s="18"/>
      <c r="P38" s="18"/>
      <c r="Q38" s="18">
        <v>3200</v>
      </c>
      <c r="R38" s="18"/>
      <c r="S38" s="18"/>
      <c r="T38" s="18"/>
      <c r="U38" s="18">
        <v>2100</v>
      </c>
      <c r="V38" s="18"/>
      <c r="W38" s="18"/>
      <c r="X38" s="18"/>
      <c r="Y38" s="38" t="s">
        <v>99</v>
      </c>
      <c r="Z38" s="27"/>
      <c r="AA38" s="27"/>
      <c r="AB38" s="27"/>
      <c r="AC38" s="27"/>
      <c r="AD38" s="27"/>
      <c r="AE38" s="27"/>
      <c r="AF38" s="27"/>
      <c r="AG38" s="27"/>
      <c r="AH38" s="27"/>
      <c r="AI38" s="27"/>
      <c r="AJ38" s="4"/>
    </row>
    <row r="39" spans="1:36" ht="42" hidden="1" x14ac:dyDescent="0.35">
      <c r="A39" s="256">
        <v>31</v>
      </c>
      <c r="B39" s="14" t="s">
        <v>100</v>
      </c>
      <c r="C39" s="259"/>
      <c r="D39" s="259"/>
      <c r="E39" s="261"/>
      <c r="F39" s="261"/>
      <c r="G39" s="261"/>
      <c r="H39" s="261"/>
      <c r="I39" s="256">
        <v>31</v>
      </c>
      <c r="J39" s="14" t="s">
        <v>100</v>
      </c>
      <c r="K39" s="237"/>
      <c r="L39" s="259"/>
      <c r="M39" s="261"/>
      <c r="N39" s="261"/>
      <c r="O39" s="261"/>
      <c r="P39" s="261"/>
      <c r="Q39" s="261"/>
      <c r="R39" s="261"/>
      <c r="S39" s="261"/>
      <c r="T39" s="261"/>
      <c r="U39" s="261"/>
      <c r="V39" s="261"/>
      <c r="W39" s="261"/>
      <c r="X39" s="261"/>
      <c r="Y39" s="38" t="s">
        <v>101</v>
      </c>
      <c r="Z39" s="27"/>
      <c r="AA39" s="27"/>
      <c r="AB39" s="27"/>
      <c r="AC39" s="27"/>
      <c r="AD39" s="27"/>
      <c r="AE39" s="27"/>
      <c r="AF39" s="27"/>
      <c r="AG39" s="27"/>
      <c r="AH39" s="27"/>
      <c r="AI39" s="27"/>
      <c r="AJ39" s="4"/>
    </row>
    <row r="40" spans="1:36" ht="30" hidden="1" customHeight="1" x14ac:dyDescent="0.35">
      <c r="A40" s="27">
        <v>2.1</v>
      </c>
      <c r="B40" s="40" t="s">
        <v>102</v>
      </c>
      <c r="C40" s="237" t="s">
        <v>103</v>
      </c>
      <c r="D40" s="237" t="s">
        <v>104</v>
      </c>
      <c r="E40" s="89"/>
      <c r="F40" s="28">
        <v>1900</v>
      </c>
      <c r="G40" s="28">
        <v>1000</v>
      </c>
      <c r="H40" s="28">
        <v>600</v>
      </c>
      <c r="I40" s="27">
        <v>2.1</v>
      </c>
      <c r="J40" s="40" t="s">
        <v>102</v>
      </c>
      <c r="K40" s="237" t="s">
        <v>103</v>
      </c>
      <c r="L40" s="237" t="s">
        <v>104</v>
      </c>
      <c r="M40" s="28"/>
      <c r="N40" s="28">
        <v>2600</v>
      </c>
      <c r="O40" s="28">
        <v>1500</v>
      </c>
      <c r="P40" s="28">
        <v>750</v>
      </c>
      <c r="Q40" s="28"/>
      <c r="R40" s="28"/>
      <c r="S40" s="28"/>
      <c r="T40" s="28"/>
      <c r="U40" s="28"/>
      <c r="V40" s="28"/>
      <c r="W40" s="28"/>
      <c r="X40" s="28"/>
      <c r="Y40" s="463" t="s">
        <v>105</v>
      </c>
      <c r="Z40" s="27" t="s">
        <v>106</v>
      </c>
      <c r="AA40" s="27"/>
      <c r="AB40" s="27"/>
      <c r="AC40" s="27"/>
      <c r="AD40" s="27"/>
      <c r="AE40" s="27"/>
      <c r="AF40" s="27"/>
      <c r="AG40" s="27"/>
      <c r="AH40" s="27"/>
      <c r="AI40" s="27"/>
      <c r="AJ40" s="4"/>
    </row>
    <row r="41" spans="1:36" ht="42" hidden="1" x14ac:dyDescent="0.35">
      <c r="A41" s="27">
        <v>2.2000000000000002</v>
      </c>
      <c r="B41" s="40" t="s">
        <v>102</v>
      </c>
      <c r="C41" s="237" t="s">
        <v>107</v>
      </c>
      <c r="D41" s="237" t="s">
        <v>108</v>
      </c>
      <c r="E41" s="28"/>
      <c r="F41" s="28">
        <v>1900</v>
      </c>
      <c r="G41" s="28">
        <v>1000</v>
      </c>
      <c r="H41" s="28">
        <v>600</v>
      </c>
      <c r="I41" s="27">
        <v>2.2000000000000002</v>
      </c>
      <c r="J41" s="40" t="s">
        <v>102</v>
      </c>
      <c r="K41" s="237" t="s">
        <v>107</v>
      </c>
      <c r="L41" s="237" t="s">
        <v>108</v>
      </c>
      <c r="M41" s="28"/>
      <c r="N41" s="28">
        <v>2600</v>
      </c>
      <c r="O41" s="28">
        <v>1500</v>
      </c>
      <c r="P41" s="28">
        <v>750</v>
      </c>
      <c r="Q41" s="28"/>
      <c r="R41" s="28"/>
      <c r="S41" s="28"/>
      <c r="T41" s="28"/>
      <c r="U41" s="28"/>
      <c r="V41" s="28"/>
      <c r="W41" s="28"/>
      <c r="X41" s="28"/>
      <c r="Y41" s="463"/>
      <c r="Z41" s="27" t="s">
        <v>106</v>
      </c>
      <c r="AA41" s="27"/>
      <c r="AB41" s="27"/>
      <c r="AC41" s="27"/>
      <c r="AD41" s="27"/>
      <c r="AE41" s="27"/>
      <c r="AF41" s="27"/>
      <c r="AG41" s="27"/>
      <c r="AH41" s="27"/>
      <c r="AI41" s="27"/>
      <c r="AJ41" s="4"/>
    </row>
    <row r="42" spans="1:36" ht="28" hidden="1" x14ac:dyDescent="0.35">
      <c r="A42" s="27">
        <v>3</v>
      </c>
      <c r="B42" s="40" t="s">
        <v>109</v>
      </c>
      <c r="C42" s="237" t="s">
        <v>110</v>
      </c>
      <c r="D42" s="237" t="s">
        <v>111</v>
      </c>
      <c r="E42" s="28"/>
      <c r="F42" s="28">
        <v>1900</v>
      </c>
      <c r="G42" s="28">
        <v>1000</v>
      </c>
      <c r="H42" s="28">
        <v>600</v>
      </c>
      <c r="I42" s="27">
        <v>3</v>
      </c>
      <c r="J42" s="40" t="s">
        <v>109</v>
      </c>
      <c r="K42" s="237" t="s">
        <v>110</v>
      </c>
      <c r="L42" s="237" t="s">
        <v>111</v>
      </c>
      <c r="M42" s="28"/>
      <c r="N42" s="28">
        <v>2600</v>
      </c>
      <c r="O42" s="28">
        <v>1500</v>
      </c>
      <c r="P42" s="28">
        <v>750</v>
      </c>
      <c r="Q42" s="28"/>
      <c r="R42" s="28"/>
      <c r="S42" s="28"/>
      <c r="T42" s="28"/>
      <c r="U42" s="28"/>
      <c r="V42" s="28"/>
      <c r="W42" s="28"/>
      <c r="X42" s="28"/>
      <c r="Y42" s="463"/>
      <c r="Z42" s="27" t="s">
        <v>106</v>
      </c>
      <c r="AA42" s="27"/>
      <c r="AB42" s="27"/>
      <c r="AC42" s="27"/>
      <c r="AD42" s="27"/>
      <c r="AE42" s="27"/>
      <c r="AF42" s="27"/>
      <c r="AG42" s="27"/>
      <c r="AH42" s="27"/>
      <c r="AI42" s="27"/>
      <c r="AJ42" s="4"/>
    </row>
    <row r="43" spans="1:36" ht="42" hidden="1" x14ac:dyDescent="0.35">
      <c r="A43" s="27">
        <v>4</v>
      </c>
      <c r="B43" s="38" t="s">
        <v>112</v>
      </c>
      <c r="C43" s="237" t="s">
        <v>113</v>
      </c>
      <c r="D43" s="237" t="s">
        <v>114</v>
      </c>
      <c r="E43" s="28"/>
      <c r="F43" s="28">
        <v>1500</v>
      </c>
      <c r="G43" s="28">
        <v>1000</v>
      </c>
      <c r="H43" s="28">
        <v>600</v>
      </c>
      <c r="I43" s="27">
        <v>4</v>
      </c>
      <c r="J43" s="38" t="s">
        <v>112</v>
      </c>
      <c r="K43" s="237" t="s">
        <v>113</v>
      </c>
      <c r="L43" s="237" t="s">
        <v>114</v>
      </c>
      <c r="M43" s="28"/>
      <c r="N43" s="28">
        <v>2400</v>
      </c>
      <c r="O43" s="28">
        <v>1200</v>
      </c>
      <c r="P43" s="28">
        <v>750</v>
      </c>
      <c r="Q43" s="28"/>
      <c r="R43" s="28"/>
      <c r="S43" s="28"/>
      <c r="T43" s="28"/>
      <c r="U43" s="28"/>
      <c r="V43" s="28"/>
      <c r="W43" s="28"/>
      <c r="X43" s="28"/>
      <c r="Y43" s="463"/>
      <c r="Z43" s="27" t="s">
        <v>106</v>
      </c>
      <c r="AA43" s="27"/>
      <c r="AB43" s="27"/>
      <c r="AC43" s="27"/>
      <c r="AD43" s="27"/>
      <c r="AE43" s="27"/>
      <c r="AF43" s="27"/>
      <c r="AG43" s="27"/>
      <c r="AH43" s="27"/>
      <c r="AI43" s="27"/>
      <c r="AJ43" s="4"/>
    </row>
    <row r="44" spans="1:36" ht="42" hidden="1" x14ac:dyDescent="0.35">
      <c r="A44" s="27">
        <v>5</v>
      </c>
      <c r="B44" s="38" t="s">
        <v>115</v>
      </c>
      <c r="C44" s="237" t="s">
        <v>116</v>
      </c>
      <c r="D44" s="237" t="s">
        <v>117</v>
      </c>
      <c r="E44" s="28"/>
      <c r="F44" s="28">
        <v>1200</v>
      </c>
      <c r="G44" s="28">
        <v>1000</v>
      </c>
      <c r="H44" s="28">
        <v>6000</v>
      </c>
      <c r="I44" s="27">
        <v>5</v>
      </c>
      <c r="J44" s="38" t="s">
        <v>115</v>
      </c>
      <c r="K44" s="237" t="s">
        <v>116</v>
      </c>
      <c r="L44" s="237" t="s">
        <v>117</v>
      </c>
      <c r="M44" s="28"/>
      <c r="N44" s="28">
        <v>2400</v>
      </c>
      <c r="O44" s="28">
        <v>1200</v>
      </c>
      <c r="P44" s="28">
        <v>750</v>
      </c>
      <c r="Q44" s="28"/>
      <c r="R44" s="28"/>
      <c r="S44" s="28"/>
      <c r="T44" s="28"/>
      <c r="U44" s="28"/>
      <c r="V44" s="28"/>
      <c r="W44" s="28"/>
      <c r="X44" s="28"/>
      <c r="Y44" s="463"/>
      <c r="Z44" s="27" t="s">
        <v>106</v>
      </c>
      <c r="AA44" s="27"/>
      <c r="AB44" s="27"/>
      <c r="AC44" s="27"/>
      <c r="AD44" s="27"/>
      <c r="AE44" s="27"/>
      <c r="AF44" s="27"/>
      <c r="AG44" s="27"/>
      <c r="AH44" s="27"/>
      <c r="AI44" s="27"/>
      <c r="AJ44" s="4"/>
    </row>
    <row r="45" spans="1:36" ht="82.5" hidden="1" x14ac:dyDescent="0.35">
      <c r="A45" s="27">
        <v>18</v>
      </c>
      <c r="B45" s="38" t="s">
        <v>118</v>
      </c>
      <c r="C45" s="237"/>
      <c r="D45" s="237"/>
      <c r="E45" s="28"/>
      <c r="F45" s="28"/>
      <c r="G45" s="28"/>
      <c r="H45" s="28"/>
      <c r="I45" s="47">
        <v>18</v>
      </c>
      <c r="J45" s="48" t="s">
        <v>119</v>
      </c>
      <c r="K45" s="237"/>
      <c r="L45" s="237"/>
      <c r="M45" s="28"/>
      <c r="N45" s="28"/>
      <c r="O45" s="28"/>
      <c r="P45" s="28"/>
      <c r="Q45" s="28"/>
      <c r="R45" s="28"/>
      <c r="S45" s="28"/>
      <c r="T45" s="28"/>
      <c r="U45" s="28"/>
      <c r="V45" s="28"/>
      <c r="W45" s="28"/>
      <c r="X45" s="28"/>
      <c r="Y45" s="38" t="s">
        <v>120</v>
      </c>
      <c r="Z45" s="27"/>
      <c r="AA45" s="27"/>
      <c r="AB45" s="27"/>
      <c r="AC45" s="27"/>
      <c r="AD45" s="27"/>
      <c r="AE45" s="27"/>
      <c r="AF45" s="27"/>
      <c r="AG45" s="27"/>
      <c r="AH45" s="27"/>
      <c r="AI45" s="27"/>
      <c r="AJ45" s="4"/>
    </row>
    <row r="46" spans="1:36" ht="56" hidden="1" x14ac:dyDescent="0.35">
      <c r="A46" s="27" t="s">
        <v>121</v>
      </c>
      <c r="B46" s="49" t="s">
        <v>122</v>
      </c>
      <c r="C46" s="18" t="s">
        <v>123</v>
      </c>
      <c r="D46" s="18" t="s">
        <v>124</v>
      </c>
      <c r="E46" s="28">
        <v>4400</v>
      </c>
      <c r="F46" s="28">
        <v>1800</v>
      </c>
      <c r="G46" s="28">
        <v>1100</v>
      </c>
      <c r="H46" s="28">
        <v>600</v>
      </c>
      <c r="I46" s="27" t="s">
        <v>121</v>
      </c>
      <c r="J46" s="49" t="s">
        <v>122</v>
      </c>
      <c r="K46" s="18" t="s">
        <v>123</v>
      </c>
      <c r="L46" s="18" t="s">
        <v>125</v>
      </c>
      <c r="M46" s="50">
        <v>4400</v>
      </c>
      <c r="N46" s="50">
        <v>1800</v>
      </c>
      <c r="O46" s="50">
        <v>1100</v>
      </c>
      <c r="P46" s="50">
        <v>600</v>
      </c>
      <c r="Q46" s="50">
        <v>2600</v>
      </c>
      <c r="R46" s="50">
        <v>1100</v>
      </c>
      <c r="S46" s="50">
        <v>700</v>
      </c>
      <c r="T46" s="50">
        <v>400</v>
      </c>
      <c r="U46" s="50">
        <v>1800</v>
      </c>
      <c r="V46" s="50">
        <v>700</v>
      </c>
      <c r="W46" s="50">
        <v>400</v>
      </c>
      <c r="X46" s="50">
        <v>200</v>
      </c>
      <c r="Y46" s="463" t="s">
        <v>126</v>
      </c>
      <c r="Z46" s="27"/>
      <c r="AA46" s="27"/>
      <c r="AB46" s="27"/>
      <c r="AC46" s="27"/>
      <c r="AD46" s="27"/>
      <c r="AE46" s="27"/>
      <c r="AF46" s="27"/>
      <c r="AG46" s="27"/>
      <c r="AH46" s="27"/>
      <c r="AI46" s="27"/>
      <c r="AJ46" s="4"/>
    </row>
    <row r="47" spans="1:36" ht="30.4" hidden="1" customHeight="1" x14ac:dyDescent="0.35">
      <c r="A47" s="27" t="s">
        <v>127</v>
      </c>
      <c r="B47" s="49" t="s">
        <v>122</v>
      </c>
      <c r="C47" s="18" t="s">
        <v>128</v>
      </c>
      <c r="D47" s="18" t="s">
        <v>129</v>
      </c>
      <c r="E47" s="28">
        <v>5100</v>
      </c>
      <c r="F47" s="28">
        <v>2200</v>
      </c>
      <c r="G47" s="28">
        <v>1000</v>
      </c>
      <c r="H47" s="28">
        <v>600</v>
      </c>
      <c r="I47" s="27" t="s">
        <v>127</v>
      </c>
      <c r="J47" s="49" t="s">
        <v>122</v>
      </c>
      <c r="K47" s="18" t="s">
        <v>130</v>
      </c>
      <c r="L47" s="18" t="s">
        <v>129</v>
      </c>
      <c r="M47" s="50">
        <v>5100</v>
      </c>
      <c r="N47" s="50">
        <v>2200</v>
      </c>
      <c r="O47" s="50">
        <v>1000</v>
      </c>
      <c r="P47" s="50">
        <v>600</v>
      </c>
      <c r="Q47" s="50">
        <v>3100</v>
      </c>
      <c r="R47" s="50">
        <v>1300</v>
      </c>
      <c r="S47" s="50">
        <v>600</v>
      </c>
      <c r="T47" s="50">
        <v>400</v>
      </c>
      <c r="U47" s="50">
        <v>2000</v>
      </c>
      <c r="V47" s="50">
        <v>900</v>
      </c>
      <c r="W47" s="50">
        <v>400</v>
      </c>
      <c r="X47" s="50">
        <v>200</v>
      </c>
      <c r="Y47" s="464"/>
      <c r="Z47" s="27"/>
      <c r="AA47" s="27"/>
      <c r="AB47" s="27"/>
      <c r="AC47" s="27"/>
      <c r="AD47" s="27"/>
      <c r="AE47" s="27"/>
      <c r="AF47" s="27"/>
      <c r="AG47" s="27"/>
      <c r="AH47" s="27"/>
      <c r="AI47" s="27"/>
      <c r="AJ47" s="4"/>
    </row>
    <row r="48" spans="1:36" ht="21.4" hidden="1" customHeight="1" x14ac:dyDescent="0.35">
      <c r="A48" s="256">
        <v>32</v>
      </c>
      <c r="B48" s="14" t="s">
        <v>131</v>
      </c>
      <c r="C48" s="259"/>
      <c r="D48" s="259"/>
      <c r="E48" s="261"/>
      <c r="F48" s="261"/>
      <c r="G48" s="261"/>
      <c r="H48" s="261"/>
      <c r="I48" s="256">
        <v>32</v>
      </c>
      <c r="J48" s="14" t="s">
        <v>131</v>
      </c>
      <c r="K48" s="259"/>
      <c r="L48" s="259"/>
      <c r="M48" s="261"/>
      <c r="N48" s="261"/>
      <c r="O48" s="261"/>
      <c r="P48" s="261"/>
      <c r="Q48" s="261"/>
      <c r="R48" s="261"/>
      <c r="S48" s="261"/>
      <c r="T48" s="261"/>
      <c r="U48" s="261"/>
      <c r="V48" s="261"/>
      <c r="W48" s="261"/>
      <c r="X48" s="261"/>
      <c r="Y48" s="38"/>
      <c r="Z48" s="27"/>
      <c r="AA48" s="27"/>
      <c r="AB48" s="27"/>
      <c r="AC48" s="27"/>
      <c r="AD48" s="27"/>
      <c r="AE48" s="27"/>
      <c r="AF48" s="27"/>
      <c r="AG48" s="27"/>
      <c r="AH48" s="27"/>
      <c r="AI48" s="27"/>
      <c r="AJ48" s="4"/>
    </row>
    <row r="49" spans="1:16374" ht="131.5" hidden="1" customHeight="1" x14ac:dyDescent="0.35">
      <c r="A49" s="27">
        <v>21</v>
      </c>
      <c r="B49" s="38" t="s">
        <v>132</v>
      </c>
      <c r="C49" s="460" t="s">
        <v>133</v>
      </c>
      <c r="D49" s="460"/>
      <c r="E49" s="28">
        <v>6200</v>
      </c>
      <c r="F49" s="28"/>
      <c r="G49" s="28"/>
      <c r="H49" s="28"/>
      <c r="I49" s="27">
        <v>21</v>
      </c>
      <c r="J49" s="38" t="s">
        <v>132</v>
      </c>
      <c r="K49" s="460" t="s">
        <v>133</v>
      </c>
      <c r="L49" s="460"/>
      <c r="M49" s="54">
        <v>6200</v>
      </c>
      <c r="N49" s="54">
        <v>4700</v>
      </c>
      <c r="O49" s="54">
        <v>2400</v>
      </c>
      <c r="P49" s="54">
        <v>1200</v>
      </c>
      <c r="Q49" s="54">
        <v>3700</v>
      </c>
      <c r="R49" s="54">
        <v>2800</v>
      </c>
      <c r="S49" s="54">
        <v>1400</v>
      </c>
      <c r="T49" s="54">
        <v>700</v>
      </c>
      <c r="U49" s="54">
        <v>2500</v>
      </c>
      <c r="V49" s="54">
        <v>1900</v>
      </c>
      <c r="W49" s="54">
        <v>1000</v>
      </c>
      <c r="X49" s="54">
        <v>500</v>
      </c>
      <c r="Y49" s="38" t="s">
        <v>134</v>
      </c>
      <c r="Z49" s="237" t="s">
        <v>135</v>
      </c>
      <c r="AA49" s="27"/>
      <c r="AB49" s="27"/>
      <c r="AC49" s="27"/>
      <c r="AD49" s="27"/>
      <c r="AE49" s="27"/>
      <c r="AF49" s="27"/>
      <c r="AG49" s="27"/>
      <c r="AH49" s="27"/>
      <c r="AI49" s="27"/>
      <c r="AJ49" s="4"/>
    </row>
    <row r="50" spans="1:16374" ht="28" hidden="1" x14ac:dyDescent="0.35">
      <c r="A50" s="27"/>
      <c r="B50" s="40"/>
      <c r="C50" s="237"/>
      <c r="D50" s="237"/>
      <c r="E50" s="28"/>
      <c r="F50" s="28"/>
      <c r="G50" s="28"/>
      <c r="H50" s="28"/>
      <c r="I50" s="27">
        <v>70</v>
      </c>
      <c r="J50" s="38" t="s">
        <v>136</v>
      </c>
      <c r="K50" s="237"/>
      <c r="L50" s="237"/>
      <c r="M50" s="28"/>
      <c r="N50" s="28"/>
      <c r="O50" s="28"/>
      <c r="P50" s="28"/>
      <c r="Q50" s="28"/>
      <c r="R50" s="28"/>
      <c r="S50" s="28"/>
      <c r="T50" s="28"/>
      <c r="U50" s="28"/>
      <c r="V50" s="28"/>
      <c r="W50" s="28"/>
      <c r="X50" s="28"/>
      <c r="Y50" s="253"/>
      <c r="Z50" s="27"/>
      <c r="AA50" s="27"/>
      <c r="AB50" s="27"/>
      <c r="AC50" s="27"/>
      <c r="AD50" s="27"/>
      <c r="AE50" s="27"/>
      <c r="AF50" s="27"/>
      <c r="AG50" s="27"/>
      <c r="AH50" s="27"/>
      <c r="AI50" s="27"/>
      <c r="AJ50" s="4"/>
    </row>
    <row r="51" spans="1:16374" ht="28.9" hidden="1" customHeight="1" x14ac:dyDescent="0.35">
      <c r="A51" s="27"/>
      <c r="B51" s="40"/>
      <c r="C51" s="237"/>
      <c r="D51" s="237"/>
      <c r="E51" s="28"/>
      <c r="F51" s="28"/>
      <c r="G51" s="28"/>
      <c r="H51" s="28"/>
      <c r="I51" s="27" t="s">
        <v>137</v>
      </c>
      <c r="J51" s="38" t="s">
        <v>138</v>
      </c>
      <c r="K51" s="237"/>
      <c r="L51" s="237"/>
      <c r="M51" s="18">
        <v>17130</v>
      </c>
      <c r="N51" s="28"/>
      <c r="O51" s="28"/>
      <c r="P51" s="28"/>
      <c r="Q51" s="28"/>
      <c r="R51" s="28"/>
      <c r="S51" s="28"/>
      <c r="T51" s="28"/>
      <c r="U51" s="28"/>
      <c r="V51" s="28"/>
      <c r="W51" s="28"/>
      <c r="X51" s="28"/>
      <c r="Y51" s="463" t="s">
        <v>139</v>
      </c>
      <c r="Z51" s="237" t="s">
        <v>135</v>
      </c>
      <c r="AA51" s="27"/>
      <c r="AB51" s="27"/>
      <c r="AC51" s="27"/>
      <c r="AD51" s="27"/>
      <c r="AE51" s="27"/>
      <c r="AF51" s="27"/>
      <c r="AG51" s="27"/>
      <c r="AH51" s="27"/>
      <c r="AI51" s="27"/>
      <c r="AJ51" s="4"/>
    </row>
    <row r="52" spans="1:16374" ht="94.5" hidden="1" customHeight="1" x14ac:dyDescent="0.35">
      <c r="A52" s="27"/>
      <c r="B52" s="40"/>
      <c r="C52" s="237"/>
      <c r="D52" s="237"/>
      <c r="E52" s="28"/>
      <c r="F52" s="28"/>
      <c r="G52" s="28"/>
      <c r="H52" s="28"/>
      <c r="I52" s="27" t="s">
        <v>140</v>
      </c>
      <c r="J52" s="38" t="s">
        <v>141</v>
      </c>
      <c r="K52" s="237"/>
      <c r="L52" s="237"/>
      <c r="M52" s="18">
        <v>18030</v>
      </c>
      <c r="N52" s="28"/>
      <c r="O52" s="28"/>
      <c r="P52" s="28"/>
      <c r="Q52" s="28"/>
      <c r="R52" s="28"/>
      <c r="S52" s="28"/>
      <c r="T52" s="28"/>
      <c r="U52" s="28"/>
      <c r="V52" s="28"/>
      <c r="W52" s="28"/>
      <c r="X52" s="28"/>
      <c r="Y52" s="463"/>
      <c r="Z52" s="237"/>
      <c r="AA52" s="27"/>
      <c r="AB52" s="27"/>
      <c r="AC52" s="27"/>
      <c r="AD52" s="27"/>
      <c r="AE52" s="27"/>
      <c r="AF52" s="27"/>
      <c r="AG52" s="27"/>
      <c r="AH52" s="27"/>
      <c r="AI52" s="27"/>
      <c r="AJ52" s="4"/>
    </row>
    <row r="53" spans="1:16374" ht="42" hidden="1" x14ac:dyDescent="0.35">
      <c r="A53" s="256">
        <v>33</v>
      </c>
      <c r="B53" s="14" t="s">
        <v>142</v>
      </c>
      <c r="C53" s="259"/>
      <c r="D53" s="259"/>
      <c r="E53" s="261"/>
      <c r="F53" s="261"/>
      <c r="G53" s="261"/>
      <c r="H53" s="261"/>
      <c r="I53" s="256">
        <v>33</v>
      </c>
      <c r="J53" s="14" t="s">
        <v>142</v>
      </c>
      <c r="K53" s="259"/>
      <c r="L53" s="259"/>
      <c r="M53" s="261"/>
      <c r="N53" s="261"/>
      <c r="O53" s="261"/>
      <c r="P53" s="261"/>
      <c r="Q53" s="261"/>
      <c r="R53" s="261"/>
      <c r="S53" s="261"/>
      <c r="T53" s="261"/>
      <c r="U53" s="261"/>
      <c r="V53" s="261"/>
      <c r="W53" s="261"/>
      <c r="X53" s="261"/>
      <c r="Y53" s="38" t="s">
        <v>101</v>
      </c>
      <c r="Z53" s="27"/>
      <c r="AA53" s="27"/>
      <c r="AB53" s="27"/>
      <c r="AC53" s="27"/>
      <c r="AD53" s="27"/>
      <c r="AE53" s="27"/>
      <c r="AF53" s="27"/>
      <c r="AG53" s="27"/>
      <c r="AH53" s="27"/>
      <c r="AI53" s="27"/>
      <c r="AJ53" s="4"/>
    </row>
    <row r="54" spans="1:16374" ht="37.15" hidden="1" customHeight="1" x14ac:dyDescent="0.35">
      <c r="A54" s="19" t="s">
        <v>143</v>
      </c>
      <c r="B54" s="38" t="s">
        <v>144</v>
      </c>
      <c r="C54" s="237" t="s">
        <v>145</v>
      </c>
      <c r="D54" s="18" t="s">
        <v>146</v>
      </c>
      <c r="E54" s="57">
        <v>8800</v>
      </c>
      <c r="F54" s="57">
        <v>3100</v>
      </c>
      <c r="G54" s="57">
        <v>1200</v>
      </c>
      <c r="H54" s="57">
        <v>900</v>
      </c>
      <c r="I54" s="19" t="s">
        <v>143</v>
      </c>
      <c r="J54" s="38" t="s">
        <v>147</v>
      </c>
      <c r="K54" s="237" t="s">
        <v>145</v>
      </c>
      <c r="L54" s="18" t="s">
        <v>146</v>
      </c>
      <c r="M54" s="35">
        <v>8800</v>
      </c>
      <c r="N54" s="35">
        <v>3100</v>
      </c>
      <c r="O54" s="35">
        <v>1200</v>
      </c>
      <c r="P54" s="35">
        <v>900</v>
      </c>
      <c r="Q54" s="35">
        <v>5300</v>
      </c>
      <c r="R54" s="35">
        <v>1900</v>
      </c>
      <c r="S54" s="35">
        <v>700</v>
      </c>
      <c r="T54" s="35">
        <v>500</v>
      </c>
      <c r="U54" s="35">
        <v>3500</v>
      </c>
      <c r="V54" s="35">
        <v>1200</v>
      </c>
      <c r="W54" s="35">
        <v>500</v>
      </c>
      <c r="X54" s="35">
        <v>400</v>
      </c>
      <c r="Y54" s="38" t="s">
        <v>148</v>
      </c>
      <c r="Z54" s="27"/>
      <c r="AA54" s="27"/>
      <c r="AB54" s="27"/>
      <c r="AC54" s="27"/>
      <c r="AD54" s="27"/>
      <c r="AE54" s="27"/>
      <c r="AF54" s="27"/>
      <c r="AG54" s="27"/>
      <c r="AH54" s="27"/>
      <c r="AI54" s="27"/>
      <c r="AJ54" s="4"/>
    </row>
    <row r="55" spans="1:16374" hidden="1" x14ac:dyDescent="0.35">
      <c r="A55" s="256">
        <v>34</v>
      </c>
      <c r="B55" s="14" t="s">
        <v>149</v>
      </c>
      <c r="C55" s="259"/>
      <c r="D55" s="259"/>
      <c r="E55" s="261"/>
      <c r="F55" s="261"/>
      <c r="G55" s="261"/>
      <c r="H55" s="261"/>
      <c r="I55" s="256">
        <v>34</v>
      </c>
      <c r="J55" s="14" t="s">
        <v>149</v>
      </c>
      <c r="K55" s="259"/>
      <c r="L55" s="259"/>
      <c r="M55" s="261"/>
      <c r="N55" s="261"/>
      <c r="O55" s="261"/>
      <c r="P55" s="261"/>
      <c r="Q55" s="261"/>
      <c r="R55" s="261"/>
      <c r="S55" s="261"/>
      <c r="T55" s="261"/>
      <c r="U55" s="261"/>
      <c r="V55" s="261"/>
      <c r="W55" s="261"/>
      <c r="X55" s="261"/>
      <c r="Y55" s="13" t="s">
        <v>20</v>
      </c>
      <c r="Z55" s="27"/>
      <c r="AA55" s="27"/>
      <c r="AB55" s="27"/>
      <c r="AC55" s="27"/>
      <c r="AD55" s="27"/>
      <c r="AE55" s="27"/>
      <c r="AF55" s="27"/>
      <c r="AG55" s="27"/>
      <c r="AH55" s="27"/>
      <c r="AI55" s="27"/>
      <c r="AJ55" s="4"/>
    </row>
    <row r="56" spans="1:16374" hidden="1" x14ac:dyDescent="0.35">
      <c r="A56" s="256">
        <v>35</v>
      </c>
      <c r="B56" s="14" t="s">
        <v>150</v>
      </c>
      <c r="C56" s="259"/>
      <c r="D56" s="259"/>
      <c r="E56" s="261"/>
      <c r="F56" s="261"/>
      <c r="G56" s="261"/>
      <c r="H56" s="261"/>
      <c r="I56" s="256">
        <v>35</v>
      </c>
      <c r="J56" s="14" t="s">
        <v>150</v>
      </c>
      <c r="K56" s="259"/>
      <c r="L56" s="259"/>
      <c r="M56" s="261"/>
      <c r="N56" s="261"/>
      <c r="O56" s="261"/>
      <c r="P56" s="261"/>
      <c r="Q56" s="261"/>
      <c r="R56" s="261"/>
      <c r="S56" s="261"/>
      <c r="T56" s="261"/>
      <c r="U56" s="261"/>
      <c r="V56" s="261"/>
      <c r="W56" s="261"/>
      <c r="X56" s="261"/>
      <c r="Y56" s="13" t="s">
        <v>22</v>
      </c>
      <c r="Z56" s="27"/>
      <c r="AA56" s="27"/>
      <c r="AB56" s="27"/>
      <c r="AC56" s="27"/>
      <c r="AD56" s="27"/>
      <c r="AE56" s="27"/>
      <c r="AF56" s="27"/>
      <c r="AG56" s="27"/>
      <c r="AH56" s="27"/>
      <c r="AI56" s="27"/>
      <c r="AJ56" s="4"/>
    </row>
    <row r="57" spans="1:16374" hidden="1" x14ac:dyDescent="0.35">
      <c r="A57" s="256">
        <v>36</v>
      </c>
      <c r="B57" s="14" t="s">
        <v>151</v>
      </c>
      <c r="C57" s="259"/>
      <c r="D57" s="259"/>
      <c r="E57" s="261"/>
      <c r="F57" s="261"/>
      <c r="G57" s="261"/>
      <c r="H57" s="261"/>
      <c r="I57" s="256">
        <v>36</v>
      </c>
      <c r="J57" s="14" t="s">
        <v>151</v>
      </c>
      <c r="K57" s="259"/>
      <c r="L57" s="259"/>
      <c r="M57" s="261"/>
      <c r="N57" s="261"/>
      <c r="O57" s="261"/>
      <c r="P57" s="261"/>
      <c r="Q57" s="261"/>
      <c r="R57" s="261"/>
      <c r="S57" s="261"/>
      <c r="T57" s="261"/>
      <c r="U57" s="261"/>
      <c r="V57" s="261"/>
      <c r="W57" s="261"/>
      <c r="X57" s="261"/>
      <c r="Y57" s="13" t="s">
        <v>22</v>
      </c>
      <c r="Z57" s="27"/>
      <c r="AA57" s="27"/>
      <c r="AB57" s="27"/>
      <c r="AC57" s="27"/>
      <c r="AD57" s="27"/>
      <c r="AE57" s="27"/>
      <c r="AF57" s="27"/>
      <c r="AG57" s="27"/>
      <c r="AH57" s="27"/>
      <c r="AI57" s="27"/>
      <c r="AJ57" s="4"/>
    </row>
    <row r="58" spans="1:16374" hidden="1" x14ac:dyDescent="0.35">
      <c r="A58" s="256">
        <v>37</v>
      </c>
      <c r="B58" s="14" t="s">
        <v>152</v>
      </c>
      <c r="C58" s="259"/>
      <c r="D58" s="259"/>
      <c r="E58" s="261"/>
      <c r="F58" s="261"/>
      <c r="G58" s="261"/>
      <c r="H58" s="261"/>
      <c r="I58" s="256">
        <v>37</v>
      </c>
      <c r="J58" s="14" t="s">
        <v>152</v>
      </c>
      <c r="K58" s="259"/>
      <c r="L58" s="259"/>
      <c r="M58" s="261"/>
      <c r="N58" s="261"/>
      <c r="O58" s="261"/>
      <c r="P58" s="261"/>
      <c r="Q58" s="261"/>
      <c r="R58" s="261"/>
      <c r="S58" s="261"/>
      <c r="T58" s="261"/>
      <c r="U58" s="261"/>
      <c r="V58" s="261"/>
      <c r="W58" s="261"/>
      <c r="X58" s="261"/>
      <c r="Y58" s="38"/>
      <c r="Z58" s="27"/>
      <c r="AA58" s="27"/>
      <c r="AB58" s="27"/>
      <c r="AC58" s="27"/>
      <c r="AD58" s="27"/>
      <c r="AE58" s="27"/>
      <c r="AF58" s="27"/>
      <c r="AG58" s="27"/>
      <c r="AH58" s="27"/>
      <c r="AI58" s="27"/>
      <c r="AJ58" s="4"/>
    </row>
    <row r="59" spans="1:16374" ht="56" hidden="1" x14ac:dyDescent="0.35">
      <c r="A59" s="19" t="s">
        <v>153</v>
      </c>
      <c r="B59" s="38" t="s">
        <v>154</v>
      </c>
      <c r="C59" s="237" t="s">
        <v>155</v>
      </c>
      <c r="D59" s="237" t="s">
        <v>156</v>
      </c>
      <c r="E59" s="18">
        <v>26200</v>
      </c>
      <c r="F59" s="18">
        <v>11000</v>
      </c>
      <c r="G59" s="18">
        <v>5000</v>
      </c>
      <c r="H59" s="18">
        <v>2500</v>
      </c>
      <c r="I59" s="19" t="s">
        <v>153</v>
      </c>
      <c r="J59" s="88" t="s">
        <v>157</v>
      </c>
      <c r="K59" s="88" t="s">
        <v>155</v>
      </c>
      <c r="L59" s="88" t="s">
        <v>156</v>
      </c>
      <c r="M59" s="58">
        <v>30285</v>
      </c>
      <c r="N59" s="18">
        <v>11000</v>
      </c>
      <c r="O59" s="18">
        <v>5000</v>
      </c>
      <c r="P59" s="18">
        <v>2500</v>
      </c>
      <c r="Q59" s="18"/>
      <c r="R59" s="18"/>
      <c r="S59" s="18"/>
      <c r="T59" s="18"/>
      <c r="U59" s="18"/>
      <c r="V59" s="18"/>
      <c r="W59" s="18"/>
      <c r="X59" s="18"/>
      <c r="Y59" s="21" t="s">
        <v>158</v>
      </c>
      <c r="Z59" s="38" t="s">
        <v>159</v>
      </c>
      <c r="AA59" s="237"/>
      <c r="AB59" s="237"/>
      <c r="AC59" s="18"/>
      <c r="AD59" s="18"/>
      <c r="AE59" s="18"/>
      <c r="AF59" s="18"/>
      <c r="AG59" s="19"/>
      <c r="AH59" s="38"/>
      <c r="AI59" s="237"/>
      <c r="AJ59" s="280"/>
      <c r="AK59" s="61"/>
      <c r="AL59" s="61"/>
      <c r="AM59" s="61"/>
      <c r="AN59" s="61"/>
      <c r="AO59" s="62"/>
      <c r="AP59" s="53"/>
      <c r="AQ59" s="60"/>
      <c r="AR59" s="60"/>
      <c r="AS59" s="61"/>
      <c r="AT59" s="61"/>
      <c r="AU59" s="61"/>
      <c r="AV59" s="61"/>
      <c r="AW59" s="62"/>
      <c r="AX59" s="53"/>
      <c r="AY59" s="60"/>
      <c r="AZ59" s="60"/>
      <c r="BA59" s="61"/>
      <c r="BB59" s="61"/>
      <c r="BC59" s="61"/>
      <c r="BD59" s="61"/>
      <c r="BE59" s="62"/>
      <c r="BF59" s="53"/>
      <c r="BG59" s="60"/>
      <c r="BH59" s="60"/>
      <c r="BI59" s="61"/>
      <c r="BJ59" s="61"/>
      <c r="BK59" s="61"/>
      <c r="BL59" s="61"/>
      <c r="BM59" s="62"/>
      <c r="BN59" s="53"/>
      <c r="BO59" s="60"/>
      <c r="BP59" s="60"/>
      <c r="BQ59" s="61"/>
      <c r="BR59" s="61"/>
      <c r="BS59" s="61"/>
      <c r="BT59" s="61"/>
      <c r="BU59" s="62"/>
      <c r="BV59" s="53"/>
      <c r="BW59" s="60"/>
      <c r="BX59" s="60"/>
      <c r="BY59" s="61"/>
      <c r="BZ59" s="61"/>
      <c r="CA59" s="61"/>
      <c r="CB59" s="61"/>
      <c r="CC59" s="62"/>
      <c r="CD59" s="53"/>
      <c r="CE59" s="60"/>
      <c r="CF59" s="60"/>
      <c r="CG59" s="61"/>
      <c r="CH59" s="61"/>
      <c r="CI59" s="61"/>
      <c r="CJ59" s="61"/>
      <c r="CK59" s="62"/>
      <c r="CL59" s="53"/>
      <c r="CM59" s="60"/>
      <c r="CN59" s="60"/>
      <c r="CO59" s="61"/>
      <c r="CP59" s="61"/>
      <c r="CQ59" s="61"/>
      <c r="CR59" s="61"/>
      <c r="CS59" s="62"/>
      <c r="CT59" s="53"/>
      <c r="CU59" s="60"/>
      <c r="CV59" s="60"/>
      <c r="CW59" s="61"/>
      <c r="CX59" s="61"/>
      <c r="CY59" s="61"/>
      <c r="CZ59" s="61"/>
      <c r="DA59" s="62"/>
      <c r="DB59" s="53"/>
      <c r="DC59" s="60"/>
      <c r="DD59" s="60"/>
      <c r="DE59" s="61"/>
      <c r="DF59" s="61"/>
      <c r="DG59" s="61"/>
      <c r="DH59" s="61"/>
      <c r="DI59" s="62"/>
      <c r="DJ59" s="53"/>
      <c r="DK59" s="60"/>
      <c r="DL59" s="60"/>
      <c r="DM59" s="61"/>
      <c r="DN59" s="61"/>
      <c r="DO59" s="61"/>
      <c r="DP59" s="61"/>
      <c r="DQ59" s="62"/>
      <c r="DR59" s="53"/>
      <c r="DS59" s="60"/>
      <c r="DT59" s="60"/>
      <c r="DU59" s="61"/>
      <c r="DV59" s="61"/>
      <c r="DW59" s="61"/>
      <c r="DX59" s="61"/>
      <c r="DY59" s="62"/>
      <c r="DZ59" s="53"/>
      <c r="EA59" s="60"/>
      <c r="EB59" s="60"/>
      <c r="EC59" s="61"/>
      <c r="ED59" s="61"/>
      <c r="EE59" s="61"/>
      <c r="EF59" s="61"/>
      <c r="EG59" s="62"/>
      <c r="EH59" s="53"/>
      <c r="EI59" s="60"/>
      <c r="EJ59" s="60"/>
      <c r="EK59" s="61"/>
      <c r="EL59" s="61"/>
      <c r="EM59" s="61"/>
      <c r="EN59" s="61"/>
      <c r="EO59" s="62"/>
      <c r="EP59" s="53"/>
      <c r="EQ59" s="60"/>
      <c r="ER59" s="60"/>
      <c r="ES59" s="61"/>
      <c r="ET59" s="61"/>
      <c r="EU59" s="61"/>
      <c r="EV59" s="61"/>
      <c r="EW59" s="62"/>
      <c r="EX59" s="53"/>
      <c r="EY59" s="60"/>
      <c r="EZ59" s="60"/>
      <c r="FA59" s="61"/>
      <c r="FB59" s="61"/>
      <c r="FC59" s="61"/>
      <c r="FD59" s="61"/>
      <c r="FE59" s="62"/>
      <c r="FF59" s="53"/>
      <c r="FG59" s="60"/>
      <c r="FH59" s="60"/>
      <c r="FI59" s="61"/>
      <c r="FJ59" s="61"/>
      <c r="FK59" s="61"/>
      <c r="FL59" s="61"/>
      <c r="FM59" s="62"/>
      <c r="FN59" s="53"/>
      <c r="FO59" s="60"/>
      <c r="FP59" s="60"/>
      <c r="FQ59" s="61"/>
      <c r="FR59" s="61"/>
      <c r="FS59" s="61"/>
      <c r="FT59" s="61"/>
      <c r="FU59" s="62"/>
      <c r="FV59" s="53"/>
      <c r="FW59" s="60"/>
      <c r="FX59" s="60"/>
      <c r="FY59" s="61"/>
      <c r="FZ59" s="61"/>
      <c r="GA59" s="61"/>
      <c r="GB59" s="61"/>
      <c r="GC59" s="62"/>
      <c r="GD59" s="53"/>
      <c r="GE59" s="60"/>
      <c r="GF59" s="60"/>
      <c r="GG59" s="61"/>
      <c r="GH59" s="61"/>
      <c r="GI59" s="61"/>
      <c r="GJ59" s="61"/>
      <c r="GK59" s="62"/>
      <c r="GL59" s="53"/>
      <c r="GM59" s="60"/>
      <c r="GN59" s="60"/>
      <c r="GO59" s="61"/>
      <c r="GP59" s="61"/>
      <c r="GQ59" s="61"/>
      <c r="GR59" s="61"/>
      <c r="GS59" s="62"/>
      <c r="GT59" s="53"/>
      <c r="GU59" s="60"/>
      <c r="GV59" s="60"/>
      <c r="GW59" s="61"/>
      <c r="GX59" s="61"/>
      <c r="GY59" s="61"/>
      <c r="GZ59" s="61"/>
      <c r="HA59" s="62"/>
      <c r="HB59" s="53"/>
      <c r="HC59" s="60"/>
      <c r="HD59" s="60"/>
      <c r="HE59" s="61"/>
      <c r="HF59" s="61"/>
      <c r="HG59" s="61"/>
      <c r="HH59" s="61"/>
      <c r="HI59" s="62"/>
      <c r="HJ59" s="53"/>
      <c r="HK59" s="60"/>
      <c r="HL59" s="60"/>
      <c r="HM59" s="61"/>
      <c r="HN59" s="61"/>
      <c r="HO59" s="61"/>
      <c r="HP59" s="61"/>
      <c r="HQ59" s="62"/>
      <c r="HR59" s="53"/>
      <c r="HS59" s="60"/>
      <c r="HT59" s="60"/>
      <c r="HU59" s="61"/>
      <c r="HV59" s="61"/>
      <c r="HW59" s="61"/>
      <c r="HX59" s="61"/>
      <c r="HY59" s="62"/>
      <c r="HZ59" s="53"/>
      <c r="IA59" s="60"/>
      <c r="IB59" s="60"/>
      <c r="IC59" s="61"/>
      <c r="ID59" s="61"/>
      <c r="IE59" s="61"/>
      <c r="IF59" s="61"/>
      <c r="IG59" s="62"/>
      <c r="IH59" s="53"/>
      <c r="II59" s="60"/>
      <c r="IJ59" s="60"/>
      <c r="IK59" s="61"/>
      <c r="IL59" s="61"/>
      <c r="IM59" s="61"/>
      <c r="IN59" s="61"/>
      <c r="IO59" s="62"/>
      <c r="IP59" s="53"/>
      <c r="IQ59" s="60"/>
      <c r="IR59" s="60"/>
      <c r="IS59" s="61"/>
      <c r="IT59" s="61"/>
      <c r="IU59" s="61"/>
      <c r="IV59" s="61"/>
      <c r="IW59" s="62"/>
      <c r="IX59" s="53"/>
      <c r="IY59" s="60"/>
      <c r="IZ59" s="60"/>
      <c r="JA59" s="61"/>
      <c r="JB59" s="61"/>
      <c r="JC59" s="61"/>
      <c r="JD59" s="61"/>
      <c r="JE59" s="62"/>
      <c r="JF59" s="53"/>
      <c r="JG59" s="60"/>
      <c r="JH59" s="60"/>
      <c r="JI59" s="61"/>
      <c r="JJ59" s="61"/>
      <c r="JK59" s="61"/>
      <c r="JL59" s="61"/>
      <c r="JM59" s="62"/>
      <c r="JN59" s="53"/>
      <c r="JO59" s="60"/>
      <c r="JP59" s="60"/>
      <c r="JQ59" s="61"/>
      <c r="JR59" s="61"/>
      <c r="JS59" s="61"/>
      <c r="JT59" s="61"/>
      <c r="JU59" s="62"/>
      <c r="JV59" s="53"/>
      <c r="JW59" s="60"/>
      <c r="JX59" s="60"/>
      <c r="JY59" s="61"/>
      <c r="JZ59" s="61"/>
      <c r="KA59" s="61"/>
      <c r="KB59" s="61"/>
      <c r="KC59" s="62"/>
      <c r="KD59" s="53"/>
      <c r="KE59" s="60"/>
      <c r="KF59" s="60"/>
      <c r="KG59" s="61"/>
      <c r="KH59" s="61"/>
      <c r="KI59" s="61"/>
      <c r="KJ59" s="61"/>
      <c r="KK59" s="62"/>
      <c r="KL59" s="53"/>
      <c r="KM59" s="60"/>
      <c r="KN59" s="60"/>
      <c r="KO59" s="61"/>
      <c r="KP59" s="61"/>
      <c r="KQ59" s="61"/>
      <c r="KR59" s="61"/>
      <c r="KS59" s="62"/>
      <c r="KT59" s="53"/>
      <c r="KU59" s="60"/>
      <c r="KV59" s="60"/>
      <c r="KW59" s="61"/>
      <c r="KX59" s="61"/>
      <c r="KY59" s="61"/>
      <c r="KZ59" s="61"/>
      <c r="LA59" s="62"/>
      <c r="LB59" s="53"/>
      <c r="LC59" s="60"/>
      <c r="LD59" s="60"/>
      <c r="LE59" s="61"/>
      <c r="LF59" s="61"/>
      <c r="LG59" s="61"/>
      <c r="LH59" s="61"/>
      <c r="LI59" s="62"/>
      <c r="LJ59" s="53"/>
      <c r="LK59" s="60"/>
      <c r="LL59" s="60"/>
      <c r="LM59" s="61"/>
      <c r="LN59" s="61"/>
      <c r="LO59" s="61"/>
      <c r="LP59" s="61"/>
      <c r="LQ59" s="62"/>
      <c r="LR59" s="53"/>
      <c r="LS59" s="60"/>
      <c r="LT59" s="60"/>
      <c r="LU59" s="61"/>
      <c r="LV59" s="61"/>
      <c r="LW59" s="61"/>
      <c r="LX59" s="61"/>
      <c r="LY59" s="62"/>
      <c r="LZ59" s="53"/>
      <c r="MA59" s="60"/>
      <c r="MB59" s="60"/>
      <c r="MC59" s="61"/>
      <c r="MD59" s="61"/>
      <c r="ME59" s="61"/>
      <c r="MF59" s="61"/>
      <c r="MG59" s="62"/>
      <c r="MH59" s="53"/>
      <c r="MI59" s="60"/>
      <c r="MJ59" s="60"/>
      <c r="MK59" s="61"/>
      <c r="ML59" s="61"/>
      <c r="MM59" s="61"/>
      <c r="MN59" s="61"/>
      <c r="MO59" s="62"/>
      <c r="MP59" s="53"/>
      <c r="MQ59" s="60"/>
      <c r="MR59" s="60"/>
      <c r="MS59" s="61"/>
      <c r="MT59" s="61"/>
      <c r="MU59" s="61"/>
      <c r="MV59" s="61"/>
      <c r="MW59" s="62"/>
      <c r="MX59" s="53"/>
      <c r="MY59" s="60"/>
      <c r="MZ59" s="60"/>
      <c r="NA59" s="61"/>
      <c r="NB59" s="61"/>
      <c r="NC59" s="61"/>
      <c r="ND59" s="61"/>
      <c r="NE59" s="62"/>
      <c r="NF59" s="53"/>
      <c r="NG59" s="60"/>
      <c r="NH59" s="60"/>
      <c r="NI59" s="61"/>
      <c r="NJ59" s="61"/>
      <c r="NK59" s="61"/>
      <c r="NL59" s="61"/>
      <c r="NM59" s="62"/>
      <c r="NN59" s="53"/>
      <c r="NO59" s="60"/>
      <c r="NP59" s="60"/>
      <c r="NQ59" s="61"/>
      <c r="NR59" s="61"/>
      <c r="NS59" s="61"/>
      <c r="NT59" s="61"/>
      <c r="NU59" s="62"/>
      <c r="NV59" s="53"/>
      <c r="NW59" s="60"/>
      <c r="NX59" s="60"/>
      <c r="NY59" s="61"/>
      <c r="NZ59" s="61"/>
      <c r="OA59" s="61"/>
      <c r="OB59" s="61"/>
      <c r="OC59" s="62"/>
      <c r="OD59" s="53"/>
      <c r="OE59" s="60"/>
      <c r="OF59" s="60"/>
      <c r="OG59" s="61"/>
      <c r="OH59" s="61"/>
      <c r="OI59" s="61"/>
      <c r="OJ59" s="61"/>
      <c r="OK59" s="62"/>
      <c r="OL59" s="53"/>
      <c r="OM59" s="60"/>
      <c r="ON59" s="60"/>
      <c r="OO59" s="61"/>
      <c r="OP59" s="61"/>
      <c r="OQ59" s="61"/>
      <c r="OR59" s="61"/>
      <c r="OS59" s="62"/>
      <c r="OT59" s="53"/>
      <c r="OU59" s="60"/>
      <c r="OV59" s="60"/>
      <c r="OW59" s="61"/>
      <c r="OX59" s="61"/>
      <c r="OY59" s="61"/>
      <c r="OZ59" s="61"/>
      <c r="PA59" s="62"/>
      <c r="PB59" s="53"/>
      <c r="PC59" s="60"/>
      <c r="PD59" s="60"/>
      <c r="PE59" s="61"/>
      <c r="PF59" s="61"/>
      <c r="PG59" s="61"/>
      <c r="PH59" s="61"/>
      <c r="PI59" s="62"/>
      <c r="PJ59" s="53"/>
      <c r="PK59" s="60"/>
      <c r="PL59" s="60"/>
      <c r="PM59" s="61"/>
      <c r="PN59" s="61"/>
      <c r="PO59" s="61"/>
      <c r="PP59" s="61"/>
      <c r="PQ59" s="62"/>
      <c r="PR59" s="53"/>
      <c r="PS59" s="60"/>
      <c r="PT59" s="60"/>
      <c r="PU59" s="61"/>
      <c r="PV59" s="61"/>
      <c r="PW59" s="61"/>
      <c r="PX59" s="61"/>
      <c r="PY59" s="62"/>
      <c r="PZ59" s="53"/>
      <c r="QA59" s="60"/>
      <c r="QB59" s="60"/>
      <c r="QC59" s="61"/>
      <c r="QD59" s="61"/>
      <c r="QE59" s="61"/>
      <c r="QF59" s="61"/>
      <c r="QG59" s="62"/>
      <c r="QH59" s="53"/>
      <c r="QI59" s="60"/>
      <c r="QJ59" s="60"/>
      <c r="QK59" s="61"/>
      <c r="QL59" s="61"/>
      <c r="QM59" s="61"/>
      <c r="QN59" s="61"/>
      <c r="QO59" s="62"/>
      <c r="QP59" s="53"/>
      <c r="QQ59" s="60"/>
      <c r="QR59" s="60"/>
      <c r="QS59" s="61"/>
      <c r="QT59" s="61"/>
      <c r="QU59" s="61"/>
      <c r="QV59" s="61"/>
      <c r="QW59" s="62"/>
      <c r="QX59" s="53"/>
      <c r="QY59" s="60"/>
      <c r="QZ59" s="60"/>
      <c r="RA59" s="61"/>
      <c r="RB59" s="61"/>
      <c r="RC59" s="61"/>
      <c r="RD59" s="61"/>
      <c r="RE59" s="62"/>
      <c r="RF59" s="53"/>
      <c r="RG59" s="60"/>
      <c r="RH59" s="60"/>
      <c r="RI59" s="61"/>
      <c r="RJ59" s="61"/>
      <c r="RK59" s="61"/>
      <c r="RL59" s="61"/>
      <c r="RM59" s="62"/>
      <c r="RN59" s="53"/>
      <c r="RO59" s="60"/>
      <c r="RP59" s="60"/>
      <c r="RQ59" s="61"/>
      <c r="RR59" s="61"/>
      <c r="RS59" s="61"/>
      <c r="RT59" s="61"/>
      <c r="RU59" s="62"/>
      <c r="RV59" s="53"/>
      <c r="RW59" s="60"/>
      <c r="RX59" s="60"/>
      <c r="RY59" s="61"/>
      <c r="RZ59" s="61"/>
      <c r="SA59" s="61"/>
      <c r="SB59" s="61"/>
      <c r="SC59" s="62"/>
      <c r="SD59" s="53"/>
      <c r="SE59" s="60"/>
      <c r="SF59" s="60"/>
      <c r="SG59" s="61"/>
      <c r="SH59" s="61"/>
      <c r="SI59" s="61"/>
      <c r="SJ59" s="61"/>
      <c r="SK59" s="62"/>
      <c r="SL59" s="53"/>
      <c r="SM59" s="60"/>
      <c r="SN59" s="60"/>
      <c r="SO59" s="61"/>
      <c r="SP59" s="61"/>
      <c r="SQ59" s="61"/>
      <c r="SR59" s="61"/>
      <c r="SS59" s="62"/>
      <c r="ST59" s="53"/>
      <c r="SU59" s="60"/>
      <c r="SV59" s="60"/>
      <c r="SW59" s="61"/>
      <c r="SX59" s="61"/>
      <c r="SY59" s="61"/>
      <c r="SZ59" s="61"/>
      <c r="TA59" s="62"/>
      <c r="TB59" s="53"/>
      <c r="TC59" s="60"/>
      <c r="TD59" s="60"/>
      <c r="TE59" s="61"/>
      <c r="TF59" s="61"/>
      <c r="TG59" s="61"/>
      <c r="TH59" s="61"/>
      <c r="TI59" s="62"/>
      <c r="TJ59" s="53"/>
      <c r="TK59" s="60"/>
      <c r="TL59" s="60"/>
      <c r="TM59" s="61"/>
      <c r="TN59" s="61"/>
      <c r="TO59" s="61"/>
      <c r="TP59" s="61"/>
      <c r="TQ59" s="62"/>
      <c r="TR59" s="53"/>
      <c r="TS59" s="60"/>
      <c r="TT59" s="60"/>
      <c r="TU59" s="61"/>
      <c r="TV59" s="61"/>
      <c r="TW59" s="61"/>
      <c r="TX59" s="61"/>
      <c r="TY59" s="62"/>
      <c r="TZ59" s="53"/>
      <c r="UA59" s="60"/>
      <c r="UB59" s="60"/>
      <c r="UC59" s="61"/>
      <c r="UD59" s="61"/>
      <c r="UE59" s="61"/>
      <c r="UF59" s="61"/>
      <c r="UG59" s="62"/>
      <c r="UH59" s="53"/>
      <c r="UI59" s="60"/>
      <c r="UJ59" s="60"/>
      <c r="UK59" s="61"/>
      <c r="UL59" s="61"/>
      <c r="UM59" s="61"/>
      <c r="UN59" s="61"/>
      <c r="UO59" s="62"/>
      <c r="UP59" s="53"/>
      <c r="UQ59" s="60"/>
      <c r="UR59" s="60"/>
      <c r="US59" s="61"/>
      <c r="UT59" s="61"/>
      <c r="UU59" s="61"/>
      <c r="UV59" s="61"/>
      <c r="UW59" s="62"/>
      <c r="UX59" s="53"/>
      <c r="UY59" s="60"/>
      <c r="UZ59" s="60"/>
      <c r="VA59" s="61"/>
      <c r="VB59" s="61"/>
      <c r="VC59" s="61"/>
      <c r="VD59" s="61"/>
      <c r="VE59" s="62"/>
      <c r="VF59" s="53"/>
      <c r="VG59" s="60"/>
      <c r="VH59" s="60"/>
      <c r="VI59" s="61"/>
      <c r="VJ59" s="61"/>
      <c r="VK59" s="61"/>
      <c r="VL59" s="61"/>
      <c r="VM59" s="62"/>
      <c r="VN59" s="53"/>
      <c r="VO59" s="60"/>
      <c r="VP59" s="60"/>
      <c r="VQ59" s="61"/>
      <c r="VR59" s="61"/>
      <c r="VS59" s="61"/>
      <c r="VT59" s="61"/>
      <c r="VU59" s="62"/>
      <c r="VV59" s="53"/>
      <c r="VW59" s="60"/>
      <c r="VX59" s="60"/>
      <c r="VY59" s="61"/>
      <c r="VZ59" s="61"/>
      <c r="WA59" s="61"/>
      <c r="WB59" s="61"/>
      <c r="WC59" s="62"/>
      <c r="WD59" s="53"/>
      <c r="WE59" s="60"/>
      <c r="WF59" s="60"/>
      <c r="WG59" s="61"/>
      <c r="WH59" s="61"/>
      <c r="WI59" s="61"/>
      <c r="WJ59" s="61"/>
      <c r="WK59" s="62"/>
      <c r="WL59" s="53"/>
      <c r="WM59" s="60"/>
      <c r="WN59" s="60"/>
      <c r="WO59" s="61"/>
      <c r="WP59" s="61"/>
      <c r="WQ59" s="61"/>
      <c r="WR59" s="61"/>
      <c r="WS59" s="62"/>
      <c r="WT59" s="53"/>
      <c r="WU59" s="60"/>
      <c r="WV59" s="60"/>
      <c r="WW59" s="61"/>
      <c r="WX59" s="61"/>
      <c r="WY59" s="61"/>
      <c r="WZ59" s="61"/>
      <c r="XA59" s="62"/>
      <c r="XB59" s="53"/>
      <c r="XC59" s="60"/>
      <c r="XD59" s="60"/>
      <c r="XE59" s="61"/>
      <c r="XF59" s="61"/>
      <c r="XG59" s="61"/>
      <c r="XH59" s="61"/>
      <c r="XI59" s="62"/>
      <c r="XJ59" s="53"/>
      <c r="XK59" s="60"/>
      <c r="XL59" s="60"/>
      <c r="XM59" s="61"/>
      <c r="XN59" s="61"/>
      <c r="XO59" s="61"/>
      <c r="XP59" s="61"/>
      <c r="XQ59" s="62"/>
      <c r="XR59" s="53"/>
      <c r="XS59" s="60"/>
      <c r="XT59" s="60"/>
      <c r="XU59" s="61"/>
      <c r="XV59" s="61"/>
      <c r="XW59" s="61"/>
      <c r="XX59" s="61"/>
      <c r="XY59" s="62"/>
      <c r="XZ59" s="53"/>
      <c r="YA59" s="60"/>
      <c r="YB59" s="60"/>
      <c r="YC59" s="61"/>
      <c r="YD59" s="61"/>
      <c r="YE59" s="61"/>
      <c r="YF59" s="61"/>
      <c r="YG59" s="62"/>
      <c r="YH59" s="53"/>
      <c r="YI59" s="60"/>
      <c r="YJ59" s="60"/>
      <c r="YK59" s="61"/>
      <c r="YL59" s="61"/>
      <c r="YM59" s="61"/>
      <c r="YN59" s="61"/>
      <c r="YO59" s="62"/>
      <c r="YP59" s="53"/>
      <c r="YQ59" s="60"/>
      <c r="YR59" s="60"/>
      <c r="YS59" s="61"/>
      <c r="YT59" s="61"/>
      <c r="YU59" s="61"/>
      <c r="YV59" s="61"/>
      <c r="YW59" s="62"/>
      <c r="YX59" s="53"/>
      <c r="YY59" s="60"/>
      <c r="YZ59" s="60"/>
      <c r="ZA59" s="61"/>
      <c r="ZB59" s="61"/>
      <c r="ZC59" s="61"/>
      <c r="ZD59" s="61"/>
      <c r="ZE59" s="62"/>
      <c r="ZF59" s="53"/>
      <c r="ZG59" s="60"/>
      <c r="ZH59" s="60"/>
      <c r="ZI59" s="61"/>
      <c r="ZJ59" s="61"/>
      <c r="ZK59" s="61"/>
      <c r="ZL59" s="61"/>
      <c r="ZM59" s="62"/>
      <c r="ZN59" s="53"/>
      <c r="ZO59" s="60"/>
      <c r="ZP59" s="60"/>
      <c r="ZQ59" s="61"/>
      <c r="ZR59" s="61"/>
      <c r="ZS59" s="61"/>
      <c r="ZT59" s="61"/>
      <c r="ZU59" s="62"/>
      <c r="ZV59" s="53"/>
      <c r="ZW59" s="60"/>
      <c r="ZX59" s="60"/>
      <c r="ZY59" s="61"/>
      <c r="ZZ59" s="61"/>
      <c r="AAA59" s="61"/>
      <c r="AAB59" s="61"/>
      <c r="AAC59" s="62"/>
      <c r="AAD59" s="53"/>
      <c r="AAE59" s="60"/>
      <c r="AAF59" s="60"/>
      <c r="AAG59" s="61"/>
      <c r="AAH59" s="61"/>
      <c r="AAI59" s="61"/>
      <c r="AAJ59" s="61"/>
      <c r="AAK59" s="62"/>
      <c r="AAL59" s="53"/>
      <c r="AAM59" s="60"/>
      <c r="AAN59" s="60"/>
      <c r="AAO59" s="61"/>
      <c r="AAP59" s="61"/>
      <c r="AAQ59" s="61"/>
      <c r="AAR59" s="61"/>
      <c r="AAS59" s="62"/>
      <c r="AAT59" s="53"/>
      <c r="AAU59" s="60"/>
      <c r="AAV59" s="60"/>
      <c r="AAW59" s="61"/>
      <c r="AAX59" s="61"/>
      <c r="AAY59" s="61"/>
      <c r="AAZ59" s="61"/>
      <c r="ABA59" s="62"/>
      <c r="ABB59" s="53"/>
      <c r="ABC59" s="60"/>
      <c r="ABD59" s="60"/>
      <c r="ABE59" s="61"/>
      <c r="ABF59" s="61"/>
      <c r="ABG59" s="61"/>
      <c r="ABH59" s="61"/>
      <c r="ABI59" s="62"/>
      <c r="ABJ59" s="53"/>
      <c r="ABK59" s="60"/>
      <c r="ABL59" s="60"/>
      <c r="ABM59" s="61"/>
      <c r="ABN59" s="61"/>
      <c r="ABO59" s="61"/>
      <c r="ABP59" s="61"/>
      <c r="ABQ59" s="62"/>
      <c r="ABR59" s="53"/>
      <c r="ABS59" s="60"/>
      <c r="ABT59" s="60"/>
      <c r="ABU59" s="61"/>
      <c r="ABV59" s="61"/>
      <c r="ABW59" s="61"/>
      <c r="ABX59" s="61"/>
      <c r="ABY59" s="62"/>
      <c r="ABZ59" s="53"/>
      <c r="ACA59" s="60"/>
      <c r="ACB59" s="60"/>
      <c r="ACC59" s="61"/>
      <c r="ACD59" s="61"/>
      <c r="ACE59" s="61"/>
      <c r="ACF59" s="61"/>
      <c r="ACG59" s="62"/>
      <c r="ACH59" s="53"/>
      <c r="ACI59" s="60"/>
      <c r="ACJ59" s="60"/>
      <c r="ACK59" s="61"/>
      <c r="ACL59" s="61"/>
      <c r="ACM59" s="61"/>
      <c r="ACN59" s="61"/>
      <c r="ACO59" s="62"/>
      <c r="ACP59" s="53"/>
      <c r="ACQ59" s="60"/>
      <c r="ACR59" s="60"/>
      <c r="ACS59" s="61"/>
      <c r="ACT59" s="61"/>
      <c r="ACU59" s="61"/>
      <c r="ACV59" s="61"/>
      <c r="ACW59" s="62"/>
      <c r="ACX59" s="53"/>
      <c r="ACY59" s="60"/>
      <c r="ACZ59" s="60"/>
      <c r="ADA59" s="61"/>
      <c r="ADB59" s="61"/>
      <c r="ADC59" s="61"/>
      <c r="ADD59" s="61"/>
      <c r="ADE59" s="62"/>
      <c r="ADF59" s="53"/>
      <c r="ADG59" s="60"/>
      <c r="ADH59" s="60"/>
      <c r="ADI59" s="61"/>
      <c r="ADJ59" s="61"/>
      <c r="ADK59" s="61"/>
      <c r="ADL59" s="61"/>
      <c r="ADM59" s="62"/>
      <c r="ADN59" s="53"/>
      <c r="ADO59" s="60"/>
      <c r="ADP59" s="60"/>
      <c r="ADQ59" s="61"/>
      <c r="ADR59" s="61"/>
      <c r="ADS59" s="61"/>
      <c r="ADT59" s="61"/>
      <c r="ADU59" s="62"/>
      <c r="ADV59" s="53"/>
      <c r="ADW59" s="60"/>
      <c r="ADX59" s="60"/>
      <c r="ADY59" s="61"/>
      <c r="ADZ59" s="61"/>
      <c r="AEA59" s="61"/>
      <c r="AEB59" s="61"/>
      <c r="AEC59" s="62"/>
      <c r="AED59" s="53"/>
      <c r="AEE59" s="60"/>
      <c r="AEF59" s="60"/>
      <c r="AEG59" s="61"/>
      <c r="AEH59" s="61"/>
      <c r="AEI59" s="61"/>
      <c r="AEJ59" s="61"/>
      <c r="AEK59" s="62"/>
      <c r="AEL59" s="53"/>
      <c r="AEM59" s="60"/>
      <c r="AEN59" s="60"/>
      <c r="AEO59" s="61"/>
      <c r="AEP59" s="61"/>
      <c r="AEQ59" s="61"/>
      <c r="AER59" s="61"/>
      <c r="AES59" s="62"/>
      <c r="AET59" s="53"/>
      <c r="AEU59" s="60"/>
      <c r="AEV59" s="60"/>
      <c r="AEW59" s="61"/>
      <c r="AEX59" s="61"/>
      <c r="AEY59" s="61"/>
      <c r="AEZ59" s="61"/>
      <c r="AFA59" s="62"/>
      <c r="AFB59" s="53"/>
      <c r="AFC59" s="60"/>
      <c r="AFD59" s="60"/>
      <c r="AFE59" s="61"/>
      <c r="AFF59" s="61"/>
      <c r="AFG59" s="61"/>
      <c r="AFH59" s="61"/>
      <c r="AFI59" s="62"/>
      <c r="AFJ59" s="53"/>
      <c r="AFK59" s="60"/>
      <c r="AFL59" s="60"/>
      <c r="AFM59" s="61"/>
      <c r="AFN59" s="61"/>
      <c r="AFO59" s="61"/>
      <c r="AFP59" s="61"/>
      <c r="AFQ59" s="62"/>
      <c r="AFR59" s="53"/>
      <c r="AFS59" s="60"/>
      <c r="AFT59" s="60"/>
      <c r="AFU59" s="61"/>
      <c r="AFV59" s="61"/>
      <c r="AFW59" s="61"/>
      <c r="AFX59" s="61"/>
      <c r="AFY59" s="62"/>
      <c r="AFZ59" s="53"/>
      <c r="AGA59" s="60"/>
      <c r="AGB59" s="60"/>
      <c r="AGC59" s="61"/>
      <c r="AGD59" s="61"/>
      <c r="AGE59" s="61"/>
      <c r="AGF59" s="61"/>
      <c r="AGG59" s="62"/>
      <c r="AGH59" s="53"/>
      <c r="AGI59" s="60"/>
      <c r="AGJ59" s="60"/>
      <c r="AGK59" s="61"/>
      <c r="AGL59" s="61"/>
      <c r="AGM59" s="61"/>
      <c r="AGN59" s="61"/>
      <c r="AGO59" s="62"/>
      <c r="AGP59" s="53"/>
      <c r="AGQ59" s="60"/>
      <c r="AGR59" s="60"/>
      <c r="AGS59" s="61"/>
      <c r="AGT59" s="61"/>
      <c r="AGU59" s="61"/>
      <c r="AGV59" s="61"/>
      <c r="AGW59" s="62"/>
      <c r="AGX59" s="53"/>
      <c r="AGY59" s="60"/>
      <c r="AGZ59" s="60"/>
      <c r="AHA59" s="61"/>
      <c r="AHB59" s="61"/>
      <c r="AHC59" s="61"/>
      <c r="AHD59" s="61"/>
      <c r="AHE59" s="62"/>
      <c r="AHF59" s="53"/>
      <c r="AHG59" s="60"/>
      <c r="AHH59" s="60"/>
      <c r="AHI59" s="61"/>
      <c r="AHJ59" s="61"/>
      <c r="AHK59" s="61"/>
      <c r="AHL59" s="61"/>
      <c r="AHM59" s="62"/>
      <c r="AHN59" s="53"/>
      <c r="AHO59" s="60"/>
      <c r="AHP59" s="60"/>
      <c r="AHQ59" s="61"/>
      <c r="AHR59" s="61"/>
      <c r="AHS59" s="61"/>
      <c r="AHT59" s="61"/>
      <c r="AHU59" s="62"/>
      <c r="AHV59" s="53"/>
      <c r="AHW59" s="60"/>
      <c r="AHX59" s="60"/>
      <c r="AHY59" s="61"/>
      <c r="AHZ59" s="61"/>
      <c r="AIA59" s="61"/>
      <c r="AIB59" s="61"/>
      <c r="AIC59" s="62"/>
      <c r="AID59" s="53"/>
      <c r="AIE59" s="60"/>
      <c r="AIF59" s="60"/>
      <c r="AIG59" s="61"/>
      <c r="AIH59" s="61"/>
      <c r="AII59" s="61"/>
      <c r="AIJ59" s="61"/>
      <c r="AIK59" s="62"/>
      <c r="AIL59" s="53"/>
      <c r="AIM59" s="60"/>
      <c r="AIN59" s="60"/>
      <c r="AIO59" s="61"/>
      <c r="AIP59" s="61"/>
      <c r="AIQ59" s="61"/>
      <c r="AIR59" s="61"/>
      <c r="AIS59" s="62"/>
      <c r="AIT59" s="53"/>
      <c r="AIU59" s="60"/>
      <c r="AIV59" s="60"/>
      <c r="AIW59" s="61"/>
      <c r="AIX59" s="61"/>
      <c r="AIY59" s="61"/>
      <c r="AIZ59" s="61"/>
      <c r="AJA59" s="62"/>
      <c r="AJB59" s="53"/>
      <c r="AJC59" s="60"/>
      <c r="AJD59" s="60"/>
      <c r="AJE59" s="61"/>
      <c r="AJF59" s="61"/>
      <c r="AJG59" s="61"/>
      <c r="AJH59" s="61"/>
      <c r="AJI59" s="62"/>
      <c r="AJJ59" s="53"/>
      <c r="AJK59" s="60"/>
      <c r="AJL59" s="60"/>
      <c r="AJM59" s="61"/>
      <c r="AJN59" s="61"/>
      <c r="AJO59" s="61"/>
      <c r="AJP59" s="61"/>
      <c r="AJQ59" s="62"/>
      <c r="AJR59" s="53"/>
      <c r="AJS59" s="60"/>
      <c r="AJT59" s="60"/>
      <c r="AJU59" s="61"/>
      <c r="AJV59" s="61"/>
      <c r="AJW59" s="61"/>
      <c r="AJX59" s="61"/>
      <c r="AJY59" s="62"/>
      <c r="AJZ59" s="53"/>
      <c r="AKA59" s="60"/>
      <c r="AKB59" s="60"/>
      <c r="AKC59" s="61"/>
      <c r="AKD59" s="61"/>
      <c r="AKE59" s="61"/>
      <c r="AKF59" s="61"/>
      <c r="AKG59" s="62"/>
      <c r="AKH59" s="53"/>
      <c r="AKI59" s="60"/>
      <c r="AKJ59" s="60"/>
      <c r="AKK59" s="61"/>
      <c r="AKL59" s="61"/>
      <c r="AKM59" s="61"/>
      <c r="AKN59" s="61"/>
      <c r="AKO59" s="62"/>
      <c r="AKP59" s="53"/>
      <c r="AKQ59" s="60"/>
      <c r="AKR59" s="60"/>
      <c r="AKS59" s="61"/>
      <c r="AKT59" s="61"/>
      <c r="AKU59" s="61"/>
      <c r="AKV59" s="61"/>
      <c r="AKW59" s="62"/>
      <c r="AKX59" s="53"/>
      <c r="AKY59" s="60"/>
      <c r="AKZ59" s="60"/>
      <c r="ALA59" s="61"/>
      <c r="ALB59" s="61"/>
      <c r="ALC59" s="61"/>
      <c r="ALD59" s="61"/>
      <c r="ALE59" s="62"/>
      <c r="ALF59" s="53"/>
      <c r="ALG59" s="60"/>
      <c r="ALH59" s="60"/>
      <c r="ALI59" s="61"/>
      <c r="ALJ59" s="61"/>
      <c r="ALK59" s="61"/>
      <c r="ALL59" s="61"/>
      <c r="ALM59" s="62"/>
      <c r="ALN59" s="53"/>
      <c r="ALO59" s="60"/>
      <c r="ALP59" s="60"/>
      <c r="ALQ59" s="61"/>
      <c r="ALR59" s="61"/>
      <c r="ALS59" s="61"/>
      <c r="ALT59" s="61"/>
      <c r="ALU59" s="62"/>
      <c r="ALV59" s="53"/>
      <c r="ALW59" s="60"/>
      <c r="ALX59" s="60"/>
      <c r="ALY59" s="61"/>
      <c r="ALZ59" s="61"/>
      <c r="AMA59" s="61"/>
      <c r="AMB59" s="61"/>
      <c r="AMC59" s="62"/>
      <c r="AMD59" s="53"/>
      <c r="AME59" s="60"/>
      <c r="AMF59" s="60"/>
      <c r="AMG59" s="61"/>
      <c r="AMH59" s="61"/>
      <c r="AMI59" s="61"/>
      <c r="AMJ59" s="61"/>
      <c r="AMK59" s="62"/>
      <c r="AML59" s="53"/>
      <c r="AMM59" s="60"/>
      <c r="AMN59" s="60"/>
      <c r="AMO59" s="61"/>
      <c r="AMP59" s="61"/>
      <c r="AMQ59" s="61"/>
      <c r="AMR59" s="61"/>
      <c r="AMS59" s="62"/>
      <c r="AMT59" s="53"/>
      <c r="AMU59" s="60"/>
      <c r="AMV59" s="60"/>
      <c r="AMW59" s="61"/>
      <c r="AMX59" s="61"/>
      <c r="AMY59" s="61"/>
      <c r="AMZ59" s="61"/>
      <c r="ANA59" s="62"/>
      <c r="ANB59" s="53"/>
      <c r="ANC59" s="60"/>
      <c r="AND59" s="60"/>
      <c r="ANE59" s="61"/>
      <c r="ANF59" s="61"/>
      <c r="ANG59" s="61"/>
      <c r="ANH59" s="61"/>
      <c r="ANI59" s="62"/>
      <c r="ANJ59" s="53"/>
      <c r="ANK59" s="60"/>
      <c r="ANL59" s="60"/>
      <c r="ANM59" s="61"/>
      <c r="ANN59" s="61"/>
      <c r="ANO59" s="61"/>
      <c r="ANP59" s="61"/>
      <c r="ANQ59" s="62"/>
      <c r="ANR59" s="53"/>
      <c r="ANS59" s="60"/>
      <c r="ANT59" s="60"/>
      <c r="ANU59" s="61"/>
      <c r="ANV59" s="61"/>
      <c r="ANW59" s="61"/>
      <c r="ANX59" s="61"/>
      <c r="ANY59" s="62"/>
      <c r="ANZ59" s="53"/>
      <c r="AOA59" s="60"/>
      <c r="AOB59" s="60"/>
      <c r="AOC59" s="61"/>
      <c r="AOD59" s="61"/>
      <c r="AOE59" s="61"/>
      <c r="AOF59" s="61"/>
      <c r="AOG59" s="62"/>
      <c r="AOH59" s="53"/>
      <c r="AOI59" s="60"/>
      <c r="AOJ59" s="60"/>
      <c r="AOK59" s="61"/>
      <c r="AOL59" s="61"/>
      <c r="AOM59" s="61"/>
      <c r="AON59" s="61"/>
      <c r="AOO59" s="62"/>
      <c r="AOP59" s="53"/>
      <c r="AOQ59" s="60"/>
      <c r="AOR59" s="60"/>
      <c r="AOS59" s="61"/>
      <c r="AOT59" s="61"/>
      <c r="AOU59" s="61"/>
      <c r="AOV59" s="61"/>
      <c r="AOW59" s="62"/>
      <c r="AOX59" s="53"/>
      <c r="AOY59" s="60"/>
      <c r="AOZ59" s="60"/>
      <c r="APA59" s="61"/>
      <c r="APB59" s="61"/>
      <c r="APC59" s="61"/>
      <c r="APD59" s="61"/>
      <c r="APE59" s="62"/>
      <c r="APF59" s="53"/>
      <c r="APG59" s="60"/>
      <c r="APH59" s="60"/>
      <c r="API59" s="61"/>
      <c r="APJ59" s="61"/>
      <c r="APK59" s="61"/>
      <c r="APL59" s="61"/>
      <c r="APM59" s="62"/>
      <c r="APN59" s="53"/>
      <c r="APO59" s="60"/>
      <c r="APP59" s="60"/>
      <c r="APQ59" s="61"/>
      <c r="APR59" s="61"/>
      <c r="APS59" s="61"/>
      <c r="APT59" s="61"/>
      <c r="APU59" s="62"/>
      <c r="APV59" s="53"/>
      <c r="APW59" s="60"/>
      <c r="APX59" s="60"/>
      <c r="APY59" s="61"/>
      <c r="APZ59" s="61"/>
      <c r="AQA59" s="61"/>
      <c r="AQB59" s="61"/>
      <c r="AQC59" s="62"/>
      <c r="AQD59" s="53"/>
      <c r="AQE59" s="60"/>
      <c r="AQF59" s="60"/>
      <c r="AQG59" s="61"/>
      <c r="AQH59" s="61"/>
      <c r="AQI59" s="61"/>
      <c r="AQJ59" s="61"/>
      <c r="AQK59" s="62"/>
      <c r="AQL59" s="53"/>
      <c r="AQM59" s="60"/>
      <c r="AQN59" s="60"/>
      <c r="AQO59" s="61"/>
      <c r="AQP59" s="61"/>
      <c r="AQQ59" s="61"/>
      <c r="AQR59" s="61"/>
      <c r="AQS59" s="62"/>
      <c r="AQT59" s="53"/>
      <c r="AQU59" s="60"/>
      <c r="AQV59" s="60"/>
      <c r="AQW59" s="61"/>
      <c r="AQX59" s="61"/>
      <c r="AQY59" s="61"/>
      <c r="AQZ59" s="61"/>
      <c r="ARA59" s="62"/>
      <c r="ARB59" s="53"/>
      <c r="ARC59" s="60"/>
      <c r="ARD59" s="60"/>
      <c r="ARE59" s="61"/>
      <c r="ARF59" s="61"/>
      <c r="ARG59" s="61"/>
      <c r="ARH59" s="61"/>
      <c r="ARI59" s="62"/>
      <c r="ARJ59" s="53"/>
      <c r="ARK59" s="60"/>
      <c r="ARL59" s="60"/>
      <c r="ARM59" s="61"/>
      <c r="ARN59" s="61"/>
      <c r="ARO59" s="61"/>
      <c r="ARP59" s="61"/>
      <c r="ARQ59" s="62"/>
      <c r="ARR59" s="53"/>
      <c r="ARS59" s="60"/>
      <c r="ART59" s="60"/>
      <c r="ARU59" s="61"/>
      <c r="ARV59" s="61"/>
      <c r="ARW59" s="61"/>
      <c r="ARX59" s="61"/>
      <c r="ARY59" s="62"/>
      <c r="ARZ59" s="53"/>
      <c r="ASA59" s="60"/>
      <c r="ASB59" s="60"/>
      <c r="ASC59" s="61"/>
      <c r="ASD59" s="61"/>
      <c r="ASE59" s="61"/>
      <c r="ASF59" s="61"/>
      <c r="ASG59" s="62"/>
      <c r="ASH59" s="53"/>
      <c r="ASI59" s="60"/>
      <c r="ASJ59" s="60"/>
      <c r="ASK59" s="61"/>
      <c r="ASL59" s="61"/>
      <c r="ASM59" s="61"/>
      <c r="ASN59" s="61"/>
      <c r="ASO59" s="62"/>
      <c r="ASP59" s="53"/>
      <c r="ASQ59" s="60"/>
      <c r="ASR59" s="60"/>
      <c r="ASS59" s="61"/>
      <c r="AST59" s="61"/>
      <c r="ASU59" s="61"/>
      <c r="ASV59" s="61"/>
      <c r="ASW59" s="62"/>
      <c r="ASX59" s="53"/>
      <c r="ASY59" s="60"/>
      <c r="ASZ59" s="60"/>
      <c r="ATA59" s="61"/>
      <c r="ATB59" s="61"/>
      <c r="ATC59" s="61"/>
      <c r="ATD59" s="61"/>
      <c r="ATE59" s="62"/>
      <c r="ATF59" s="53"/>
      <c r="ATG59" s="60"/>
      <c r="ATH59" s="60"/>
      <c r="ATI59" s="61"/>
      <c r="ATJ59" s="61"/>
      <c r="ATK59" s="61"/>
      <c r="ATL59" s="61"/>
      <c r="ATM59" s="62"/>
      <c r="ATN59" s="53"/>
      <c r="ATO59" s="60"/>
      <c r="ATP59" s="60"/>
      <c r="ATQ59" s="61"/>
      <c r="ATR59" s="61"/>
      <c r="ATS59" s="61"/>
      <c r="ATT59" s="61"/>
      <c r="ATU59" s="62"/>
      <c r="ATV59" s="53"/>
      <c r="ATW59" s="60"/>
      <c r="ATX59" s="60"/>
      <c r="ATY59" s="61"/>
      <c r="ATZ59" s="61"/>
      <c r="AUA59" s="61"/>
      <c r="AUB59" s="61"/>
      <c r="AUC59" s="62"/>
      <c r="AUD59" s="53"/>
      <c r="AUE59" s="60"/>
      <c r="AUF59" s="60"/>
      <c r="AUG59" s="61"/>
      <c r="AUH59" s="61"/>
      <c r="AUI59" s="61"/>
      <c r="AUJ59" s="61"/>
      <c r="AUK59" s="62"/>
      <c r="AUL59" s="53"/>
      <c r="AUM59" s="60"/>
      <c r="AUN59" s="60"/>
      <c r="AUO59" s="61"/>
      <c r="AUP59" s="61"/>
      <c r="AUQ59" s="61"/>
      <c r="AUR59" s="61"/>
      <c r="AUS59" s="62"/>
      <c r="AUT59" s="53"/>
      <c r="AUU59" s="60"/>
      <c r="AUV59" s="60"/>
      <c r="AUW59" s="61"/>
      <c r="AUX59" s="61"/>
      <c r="AUY59" s="61"/>
      <c r="AUZ59" s="61"/>
      <c r="AVA59" s="62"/>
      <c r="AVB59" s="53"/>
      <c r="AVC59" s="60"/>
      <c r="AVD59" s="60"/>
      <c r="AVE59" s="61"/>
      <c r="AVF59" s="61"/>
      <c r="AVG59" s="61"/>
      <c r="AVH59" s="61"/>
      <c r="AVI59" s="62"/>
      <c r="AVJ59" s="53"/>
      <c r="AVK59" s="60"/>
      <c r="AVL59" s="60"/>
      <c r="AVM59" s="61"/>
      <c r="AVN59" s="61"/>
      <c r="AVO59" s="61"/>
      <c r="AVP59" s="61"/>
      <c r="AVQ59" s="62"/>
      <c r="AVR59" s="53"/>
      <c r="AVS59" s="60"/>
      <c r="AVT59" s="60"/>
      <c r="AVU59" s="61"/>
      <c r="AVV59" s="61"/>
      <c r="AVW59" s="61"/>
      <c r="AVX59" s="61"/>
      <c r="AVY59" s="62"/>
      <c r="AVZ59" s="53"/>
      <c r="AWA59" s="60"/>
      <c r="AWB59" s="60"/>
      <c r="AWC59" s="61"/>
      <c r="AWD59" s="61"/>
      <c r="AWE59" s="61"/>
      <c r="AWF59" s="61"/>
      <c r="AWG59" s="62"/>
      <c r="AWH59" s="53"/>
      <c r="AWI59" s="60"/>
      <c r="AWJ59" s="60"/>
      <c r="AWK59" s="61"/>
      <c r="AWL59" s="61"/>
      <c r="AWM59" s="61"/>
      <c r="AWN59" s="61"/>
      <c r="AWO59" s="62"/>
      <c r="AWP59" s="53"/>
      <c r="AWQ59" s="60"/>
      <c r="AWR59" s="60"/>
      <c r="AWS59" s="61"/>
      <c r="AWT59" s="61"/>
      <c r="AWU59" s="61"/>
      <c r="AWV59" s="61"/>
      <c r="AWW59" s="62"/>
      <c r="AWX59" s="53"/>
      <c r="AWY59" s="60"/>
      <c r="AWZ59" s="60"/>
      <c r="AXA59" s="61"/>
      <c r="AXB59" s="61"/>
      <c r="AXC59" s="61"/>
      <c r="AXD59" s="61"/>
      <c r="AXE59" s="62"/>
      <c r="AXF59" s="53"/>
      <c r="AXG59" s="60"/>
      <c r="AXH59" s="60"/>
      <c r="AXI59" s="61"/>
      <c r="AXJ59" s="61"/>
      <c r="AXK59" s="61"/>
      <c r="AXL59" s="61"/>
      <c r="AXM59" s="62"/>
      <c r="AXN59" s="53"/>
      <c r="AXO59" s="60"/>
      <c r="AXP59" s="60"/>
      <c r="AXQ59" s="61"/>
      <c r="AXR59" s="61"/>
      <c r="AXS59" s="61"/>
      <c r="AXT59" s="61"/>
      <c r="AXU59" s="62"/>
      <c r="AXV59" s="53"/>
      <c r="AXW59" s="60"/>
      <c r="AXX59" s="60"/>
      <c r="AXY59" s="61"/>
      <c r="AXZ59" s="61"/>
      <c r="AYA59" s="61"/>
      <c r="AYB59" s="61"/>
      <c r="AYC59" s="62"/>
      <c r="AYD59" s="53"/>
      <c r="AYE59" s="60"/>
      <c r="AYF59" s="60"/>
      <c r="AYG59" s="61"/>
      <c r="AYH59" s="61"/>
      <c r="AYI59" s="61"/>
      <c r="AYJ59" s="61"/>
      <c r="AYK59" s="62"/>
      <c r="AYL59" s="53"/>
      <c r="AYM59" s="60"/>
      <c r="AYN59" s="60"/>
      <c r="AYO59" s="61"/>
      <c r="AYP59" s="61"/>
      <c r="AYQ59" s="61"/>
      <c r="AYR59" s="61"/>
      <c r="AYS59" s="62"/>
      <c r="AYT59" s="53"/>
      <c r="AYU59" s="60"/>
      <c r="AYV59" s="60"/>
      <c r="AYW59" s="61"/>
      <c r="AYX59" s="61"/>
      <c r="AYY59" s="61"/>
      <c r="AYZ59" s="61"/>
      <c r="AZA59" s="62"/>
      <c r="AZB59" s="53"/>
      <c r="AZC59" s="60"/>
      <c r="AZD59" s="60"/>
      <c r="AZE59" s="61"/>
      <c r="AZF59" s="61"/>
      <c r="AZG59" s="61"/>
      <c r="AZH59" s="61"/>
      <c r="AZI59" s="62"/>
      <c r="AZJ59" s="53"/>
      <c r="AZK59" s="60"/>
      <c r="AZL59" s="60"/>
      <c r="AZM59" s="61"/>
      <c r="AZN59" s="61"/>
      <c r="AZO59" s="61"/>
      <c r="AZP59" s="61"/>
      <c r="AZQ59" s="62"/>
      <c r="AZR59" s="53"/>
      <c r="AZS59" s="60"/>
      <c r="AZT59" s="60"/>
      <c r="AZU59" s="61"/>
      <c r="AZV59" s="61"/>
      <c r="AZW59" s="61"/>
      <c r="AZX59" s="61"/>
      <c r="AZY59" s="62"/>
      <c r="AZZ59" s="53"/>
      <c r="BAA59" s="60"/>
      <c r="BAB59" s="60"/>
      <c r="BAC59" s="61"/>
      <c r="BAD59" s="61"/>
      <c r="BAE59" s="61"/>
      <c r="BAF59" s="61"/>
      <c r="BAG59" s="62"/>
      <c r="BAH59" s="53"/>
      <c r="BAI59" s="60"/>
      <c r="BAJ59" s="60"/>
      <c r="BAK59" s="61"/>
      <c r="BAL59" s="61"/>
      <c r="BAM59" s="61"/>
      <c r="BAN59" s="61"/>
      <c r="BAO59" s="62"/>
      <c r="BAP59" s="53"/>
      <c r="BAQ59" s="60"/>
      <c r="BAR59" s="60"/>
      <c r="BAS59" s="61"/>
      <c r="BAT59" s="61"/>
      <c r="BAU59" s="61"/>
      <c r="BAV59" s="61"/>
      <c r="BAW59" s="62"/>
      <c r="BAX59" s="53"/>
      <c r="BAY59" s="60"/>
      <c r="BAZ59" s="60"/>
      <c r="BBA59" s="61"/>
      <c r="BBB59" s="61"/>
      <c r="BBC59" s="61"/>
      <c r="BBD59" s="61"/>
      <c r="BBE59" s="62"/>
      <c r="BBF59" s="53"/>
      <c r="BBG59" s="60"/>
      <c r="BBH59" s="60"/>
      <c r="BBI59" s="61"/>
      <c r="BBJ59" s="61"/>
      <c r="BBK59" s="61"/>
      <c r="BBL59" s="61"/>
      <c r="BBM59" s="62"/>
      <c r="BBN59" s="53"/>
      <c r="BBO59" s="60"/>
      <c r="BBP59" s="60"/>
      <c r="BBQ59" s="61"/>
      <c r="BBR59" s="61"/>
      <c r="BBS59" s="61"/>
      <c r="BBT59" s="61"/>
      <c r="BBU59" s="62"/>
      <c r="BBV59" s="53"/>
      <c r="BBW59" s="60"/>
      <c r="BBX59" s="60"/>
      <c r="BBY59" s="61"/>
      <c r="BBZ59" s="61"/>
      <c r="BCA59" s="61"/>
      <c r="BCB59" s="61"/>
      <c r="BCC59" s="62"/>
      <c r="BCD59" s="53"/>
      <c r="BCE59" s="60"/>
      <c r="BCF59" s="60"/>
      <c r="BCG59" s="61"/>
      <c r="BCH59" s="61"/>
      <c r="BCI59" s="61"/>
      <c r="BCJ59" s="61"/>
      <c r="BCK59" s="62"/>
      <c r="BCL59" s="53"/>
      <c r="BCM59" s="60"/>
      <c r="BCN59" s="60"/>
      <c r="BCO59" s="61"/>
      <c r="BCP59" s="61"/>
      <c r="BCQ59" s="61"/>
      <c r="BCR59" s="61"/>
      <c r="BCS59" s="62"/>
      <c r="BCT59" s="53"/>
      <c r="BCU59" s="60"/>
      <c r="BCV59" s="60"/>
      <c r="BCW59" s="61"/>
      <c r="BCX59" s="61"/>
      <c r="BCY59" s="61"/>
      <c r="BCZ59" s="61"/>
      <c r="BDA59" s="62"/>
      <c r="BDB59" s="53"/>
      <c r="BDC59" s="60"/>
      <c r="BDD59" s="60"/>
      <c r="BDE59" s="61"/>
      <c r="BDF59" s="61"/>
      <c r="BDG59" s="61"/>
      <c r="BDH59" s="61"/>
      <c r="BDI59" s="62"/>
      <c r="BDJ59" s="53"/>
      <c r="BDK59" s="60"/>
      <c r="BDL59" s="60"/>
      <c r="BDM59" s="61"/>
      <c r="BDN59" s="61"/>
      <c r="BDO59" s="61"/>
      <c r="BDP59" s="61"/>
      <c r="BDQ59" s="62"/>
      <c r="BDR59" s="53"/>
      <c r="BDS59" s="60"/>
      <c r="BDT59" s="60"/>
      <c r="BDU59" s="61"/>
      <c r="BDV59" s="61"/>
      <c r="BDW59" s="61"/>
      <c r="BDX59" s="61"/>
      <c r="BDY59" s="62"/>
      <c r="BDZ59" s="53"/>
      <c r="BEA59" s="60"/>
      <c r="BEB59" s="60"/>
      <c r="BEC59" s="61"/>
      <c r="BED59" s="61"/>
      <c r="BEE59" s="61"/>
      <c r="BEF59" s="61"/>
      <c r="BEG59" s="62"/>
      <c r="BEH59" s="53"/>
      <c r="BEI59" s="60"/>
      <c r="BEJ59" s="60"/>
      <c r="BEK59" s="61"/>
      <c r="BEL59" s="61"/>
      <c r="BEM59" s="61"/>
      <c r="BEN59" s="61"/>
      <c r="BEO59" s="62"/>
      <c r="BEP59" s="53"/>
      <c r="BEQ59" s="60"/>
      <c r="BER59" s="60"/>
      <c r="BES59" s="61"/>
      <c r="BET59" s="61"/>
      <c r="BEU59" s="61"/>
      <c r="BEV59" s="61"/>
      <c r="BEW59" s="62"/>
      <c r="BEX59" s="53"/>
      <c r="BEY59" s="60"/>
      <c r="BEZ59" s="60"/>
      <c r="BFA59" s="61"/>
      <c r="BFB59" s="61"/>
      <c r="BFC59" s="61"/>
      <c r="BFD59" s="61"/>
      <c r="BFE59" s="62"/>
      <c r="BFF59" s="53"/>
      <c r="BFG59" s="60"/>
      <c r="BFH59" s="60"/>
      <c r="BFI59" s="61"/>
      <c r="BFJ59" s="61"/>
      <c r="BFK59" s="61"/>
      <c r="BFL59" s="61"/>
      <c r="BFM59" s="62"/>
      <c r="BFN59" s="53"/>
      <c r="BFO59" s="60"/>
      <c r="BFP59" s="60"/>
      <c r="BFQ59" s="61"/>
      <c r="BFR59" s="61"/>
      <c r="BFS59" s="61"/>
      <c r="BFT59" s="61"/>
      <c r="BFU59" s="62"/>
      <c r="BFV59" s="53"/>
      <c r="BFW59" s="60"/>
      <c r="BFX59" s="60"/>
      <c r="BFY59" s="61"/>
      <c r="BFZ59" s="61"/>
      <c r="BGA59" s="61"/>
      <c r="BGB59" s="61"/>
      <c r="BGC59" s="62"/>
      <c r="BGD59" s="53"/>
      <c r="BGE59" s="60"/>
      <c r="BGF59" s="60"/>
      <c r="BGG59" s="61"/>
      <c r="BGH59" s="61"/>
      <c r="BGI59" s="61"/>
      <c r="BGJ59" s="61"/>
      <c r="BGK59" s="62"/>
      <c r="BGL59" s="53"/>
      <c r="BGM59" s="60"/>
      <c r="BGN59" s="60"/>
      <c r="BGO59" s="61"/>
      <c r="BGP59" s="61"/>
      <c r="BGQ59" s="61"/>
      <c r="BGR59" s="61"/>
      <c r="BGS59" s="62"/>
      <c r="BGT59" s="53"/>
      <c r="BGU59" s="60"/>
      <c r="BGV59" s="60"/>
      <c r="BGW59" s="61"/>
      <c r="BGX59" s="61"/>
      <c r="BGY59" s="61"/>
      <c r="BGZ59" s="61"/>
      <c r="BHA59" s="62"/>
      <c r="BHB59" s="53"/>
      <c r="BHC59" s="60"/>
      <c r="BHD59" s="60"/>
      <c r="BHE59" s="61"/>
      <c r="BHF59" s="61"/>
      <c r="BHG59" s="61"/>
      <c r="BHH59" s="61"/>
      <c r="BHI59" s="62"/>
      <c r="BHJ59" s="53"/>
      <c r="BHK59" s="60"/>
      <c r="BHL59" s="60"/>
      <c r="BHM59" s="61"/>
      <c r="BHN59" s="61"/>
      <c r="BHO59" s="61"/>
      <c r="BHP59" s="61"/>
      <c r="BHQ59" s="62"/>
      <c r="BHR59" s="53"/>
      <c r="BHS59" s="60"/>
      <c r="BHT59" s="60"/>
      <c r="BHU59" s="61"/>
      <c r="BHV59" s="61"/>
      <c r="BHW59" s="61"/>
      <c r="BHX59" s="61"/>
      <c r="BHY59" s="62"/>
      <c r="BHZ59" s="53"/>
      <c r="BIA59" s="60"/>
      <c r="BIB59" s="60"/>
      <c r="BIC59" s="61"/>
      <c r="BID59" s="61"/>
      <c r="BIE59" s="61"/>
      <c r="BIF59" s="61"/>
      <c r="BIG59" s="62"/>
      <c r="BIH59" s="53"/>
      <c r="BII59" s="60"/>
      <c r="BIJ59" s="60"/>
      <c r="BIK59" s="61"/>
      <c r="BIL59" s="61"/>
      <c r="BIM59" s="61"/>
      <c r="BIN59" s="61"/>
      <c r="BIO59" s="62"/>
      <c r="BIP59" s="53"/>
      <c r="BIQ59" s="60"/>
      <c r="BIR59" s="60"/>
      <c r="BIS59" s="61"/>
      <c r="BIT59" s="61"/>
      <c r="BIU59" s="61"/>
      <c r="BIV59" s="61"/>
      <c r="BIW59" s="62"/>
      <c r="BIX59" s="53"/>
      <c r="BIY59" s="60"/>
      <c r="BIZ59" s="60"/>
      <c r="BJA59" s="61"/>
      <c r="BJB59" s="61"/>
      <c r="BJC59" s="61"/>
      <c r="BJD59" s="61"/>
      <c r="BJE59" s="62"/>
      <c r="BJF59" s="53"/>
      <c r="BJG59" s="60"/>
      <c r="BJH59" s="60"/>
      <c r="BJI59" s="61"/>
      <c r="BJJ59" s="61"/>
      <c r="BJK59" s="61"/>
      <c r="BJL59" s="61"/>
      <c r="BJM59" s="62"/>
      <c r="BJN59" s="53"/>
      <c r="BJO59" s="60"/>
      <c r="BJP59" s="60"/>
      <c r="BJQ59" s="61"/>
      <c r="BJR59" s="61"/>
      <c r="BJS59" s="61"/>
      <c r="BJT59" s="61"/>
      <c r="BJU59" s="62"/>
      <c r="BJV59" s="53"/>
      <c r="BJW59" s="60"/>
      <c r="BJX59" s="60"/>
      <c r="BJY59" s="61"/>
      <c r="BJZ59" s="61"/>
      <c r="BKA59" s="61"/>
      <c r="BKB59" s="61"/>
      <c r="BKC59" s="62"/>
      <c r="BKD59" s="53"/>
      <c r="BKE59" s="60"/>
      <c r="BKF59" s="60"/>
      <c r="BKG59" s="61"/>
      <c r="BKH59" s="61"/>
      <c r="BKI59" s="61"/>
      <c r="BKJ59" s="61"/>
      <c r="BKK59" s="62"/>
      <c r="BKL59" s="53"/>
      <c r="BKM59" s="60"/>
      <c r="BKN59" s="60"/>
      <c r="BKO59" s="61"/>
      <c r="BKP59" s="61"/>
      <c r="BKQ59" s="61"/>
      <c r="BKR59" s="61"/>
      <c r="BKS59" s="62"/>
      <c r="BKT59" s="53"/>
      <c r="BKU59" s="60"/>
      <c r="BKV59" s="60"/>
      <c r="BKW59" s="61"/>
      <c r="BKX59" s="61"/>
      <c r="BKY59" s="61"/>
      <c r="BKZ59" s="61"/>
      <c r="BLA59" s="62"/>
      <c r="BLB59" s="53"/>
      <c r="BLC59" s="60"/>
      <c r="BLD59" s="60"/>
      <c r="BLE59" s="61"/>
      <c r="BLF59" s="61"/>
      <c r="BLG59" s="61"/>
      <c r="BLH59" s="61"/>
      <c r="BLI59" s="62"/>
      <c r="BLJ59" s="53"/>
      <c r="BLK59" s="60"/>
      <c r="BLL59" s="60"/>
      <c r="BLM59" s="61"/>
      <c r="BLN59" s="61"/>
      <c r="BLO59" s="61"/>
      <c r="BLP59" s="61"/>
      <c r="BLQ59" s="62"/>
      <c r="BLR59" s="53"/>
      <c r="BLS59" s="60"/>
      <c r="BLT59" s="60"/>
      <c r="BLU59" s="61"/>
      <c r="BLV59" s="61"/>
      <c r="BLW59" s="61"/>
      <c r="BLX59" s="61"/>
      <c r="BLY59" s="62"/>
      <c r="BLZ59" s="53"/>
      <c r="BMA59" s="60"/>
      <c r="BMB59" s="60"/>
      <c r="BMC59" s="61"/>
      <c r="BMD59" s="61"/>
      <c r="BME59" s="61"/>
      <c r="BMF59" s="61"/>
      <c r="BMG59" s="62"/>
      <c r="BMH59" s="53"/>
      <c r="BMI59" s="60"/>
      <c r="BMJ59" s="60"/>
      <c r="BMK59" s="61"/>
      <c r="BML59" s="61"/>
      <c r="BMM59" s="61"/>
      <c r="BMN59" s="61"/>
      <c r="BMO59" s="62"/>
      <c r="BMP59" s="53"/>
      <c r="BMQ59" s="60"/>
      <c r="BMR59" s="60"/>
      <c r="BMS59" s="61"/>
      <c r="BMT59" s="61"/>
      <c r="BMU59" s="61"/>
      <c r="BMV59" s="61"/>
      <c r="BMW59" s="62"/>
      <c r="BMX59" s="53"/>
      <c r="BMY59" s="60"/>
      <c r="BMZ59" s="60"/>
      <c r="BNA59" s="61"/>
      <c r="BNB59" s="61"/>
      <c r="BNC59" s="61"/>
      <c r="BND59" s="61"/>
      <c r="BNE59" s="62"/>
      <c r="BNF59" s="53"/>
      <c r="BNG59" s="60"/>
      <c r="BNH59" s="60"/>
      <c r="BNI59" s="61"/>
      <c r="BNJ59" s="61"/>
      <c r="BNK59" s="61"/>
      <c r="BNL59" s="61"/>
      <c r="BNM59" s="62"/>
      <c r="BNN59" s="53"/>
      <c r="BNO59" s="60"/>
      <c r="BNP59" s="60"/>
      <c r="BNQ59" s="61"/>
      <c r="BNR59" s="61"/>
      <c r="BNS59" s="61"/>
      <c r="BNT59" s="61"/>
      <c r="BNU59" s="62"/>
      <c r="BNV59" s="53"/>
      <c r="BNW59" s="60"/>
      <c r="BNX59" s="60"/>
      <c r="BNY59" s="61"/>
      <c r="BNZ59" s="61"/>
      <c r="BOA59" s="61"/>
      <c r="BOB59" s="61"/>
      <c r="BOC59" s="62"/>
      <c r="BOD59" s="53"/>
      <c r="BOE59" s="60"/>
      <c r="BOF59" s="60"/>
      <c r="BOG59" s="61"/>
      <c r="BOH59" s="61"/>
      <c r="BOI59" s="61"/>
      <c r="BOJ59" s="61"/>
      <c r="BOK59" s="62"/>
      <c r="BOL59" s="53"/>
      <c r="BOM59" s="60"/>
      <c r="BON59" s="60"/>
      <c r="BOO59" s="61"/>
      <c r="BOP59" s="61"/>
      <c r="BOQ59" s="61"/>
      <c r="BOR59" s="61"/>
      <c r="BOS59" s="62"/>
      <c r="BOT59" s="53"/>
      <c r="BOU59" s="60"/>
      <c r="BOV59" s="60"/>
      <c r="BOW59" s="61"/>
      <c r="BOX59" s="61"/>
      <c r="BOY59" s="61"/>
      <c r="BOZ59" s="61"/>
      <c r="BPA59" s="62"/>
      <c r="BPB59" s="53"/>
      <c r="BPC59" s="60"/>
      <c r="BPD59" s="60"/>
      <c r="BPE59" s="61"/>
      <c r="BPF59" s="61"/>
      <c r="BPG59" s="61"/>
      <c r="BPH59" s="61"/>
      <c r="BPI59" s="62"/>
      <c r="BPJ59" s="53"/>
      <c r="BPK59" s="60"/>
      <c r="BPL59" s="60"/>
      <c r="BPM59" s="61"/>
      <c r="BPN59" s="61"/>
      <c r="BPO59" s="61"/>
      <c r="BPP59" s="61"/>
      <c r="BPQ59" s="62"/>
      <c r="BPR59" s="53"/>
      <c r="BPS59" s="60"/>
      <c r="BPT59" s="60"/>
      <c r="BPU59" s="61"/>
      <c r="BPV59" s="61"/>
      <c r="BPW59" s="61"/>
      <c r="BPX59" s="61"/>
      <c r="BPY59" s="62"/>
      <c r="BPZ59" s="53"/>
      <c r="BQA59" s="60"/>
      <c r="BQB59" s="60"/>
      <c r="BQC59" s="61"/>
      <c r="BQD59" s="61"/>
      <c r="BQE59" s="61"/>
      <c r="BQF59" s="61"/>
      <c r="BQG59" s="62"/>
      <c r="BQH59" s="53"/>
      <c r="BQI59" s="60"/>
      <c r="BQJ59" s="60"/>
      <c r="BQK59" s="61"/>
      <c r="BQL59" s="61"/>
      <c r="BQM59" s="61"/>
      <c r="BQN59" s="61"/>
      <c r="BQO59" s="62"/>
      <c r="BQP59" s="53"/>
      <c r="BQQ59" s="60"/>
      <c r="BQR59" s="60"/>
      <c r="BQS59" s="61"/>
      <c r="BQT59" s="61"/>
      <c r="BQU59" s="61"/>
      <c r="BQV59" s="61"/>
      <c r="BQW59" s="62"/>
      <c r="BQX59" s="53"/>
      <c r="BQY59" s="60"/>
      <c r="BQZ59" s="60"/>
      <c r="BRA59" s="61"/>
      <c r="BRB59" s="61"/>
      <c r="BRC59" s="61"/>
      <c r="BRD59" s="61"/>
      <c r="BRE59" s="62"/>
      <c r="BRF59" s="53"/>
      <c r="BRG59" s="60"/>
      <c r="BRH59" s="60"/>
      <c r="BRI59" s="61"/>
      <c r="BRJ59" s="61"/>
      <c r="BRK59" s="61"/>
      <c r="BRL59" s="61"/>
      <c r="BRM59" s="62"/>
      <c r="BRN59" s="53"/>
      <c r="BRO59" s="60"/>
      <c r="BRP59" s="60"/>
      <c r="BRQ59" s="61"/>
      <c r="BRR59" s="61"/>
      <c r="BRS59" s="61"/>
      <c r="BRT59" s="61"/>
      <c r="BRU59" s="62"/>
      <c r="BRV59" s="53"/>
      <c r="BRW59" s="60"/>
      <c r="BRX59" s="60"/>
      <c r="BRY59" s="61"/>
      <c r="BRZ59" s="61"/>
      <c r="BSA59" s="61"/>
      <c r="BSB59" s="61"/>
      <c r="BSC59" s="62"/>
      <c r="BSD59" s="53"/>
      <c r="BSE59" s="60"/>
      <c r="BSF59" s="60"/>
      <c r="BSG59" s="61"/>
      <c r="BSH59" s="61"/>
      <c r="BSI59" s="61"/>
      <c r="BSJ59" s="61"/>
      <c r="BSK59" s="62"/>
      <c r="BSL59" s="53"/>
      <c r="BSM59" s="60"/>
      <c r="BSN59" s="60"/>
      <c r="BSO59" s="61"/>
      <c r="BSP59" s="61"/>
      <c r="BSQ59" s="61"/>
      <c r="BSR59" s="61"/>
      <c r="BSS59" s="62"/>
      <c r="BST59" s="53"/>
      <c r="BSU59" s="60"/>
      <c r="BSV59" s="60"/>
      <c r="BSW59" s="61"/>
      <c r="BSX59" s="61"/>
      <c r="BSY59" s="61"/>
      <c r="BSZ59" s="61"/>
      <c r="BTA59" s="62"/>
      <c r="BTB59" s="53"/>
      <c r="BTC59" s="60"/>
      <c r="BTD59" s="60"/>
      <c r="BTE59" s="61"/>
      <c r="BTF59" s="61"/>
      <c r="BTG59" s="61"/>
      <c r="BTH59" s="61"/>
      <c r="BTI59" s="62"/>
      <c r="BTJ59" s="53"/>
      <c r="BTK59" s="60"/>
      <c r="BTL59" s="60"/>
      <c r="BTM59" s="61"/>
      <c r="BTN59" s="61"/>
      <c r="BTO59" s="61"/>
      <c r="BTP59" s="61"/>
      <c r="BTQ59" s="62"/>
      <c r="BTR59" s="53"/>
      <c r="BTS59" s="60"/>
      <c r="BTT59" s="60"/>
      <c r="BTU59" s="61"/>
      <c r="BTV59" s="61"/>
      <c r="BTW59" s="61"/>
      <c r="BTX59" s="61"/>
      <c r="BTY59" s="62"/>
      <c r="BTZ59" s="53"/>
      <c r="BUA59" s="60"/>
      <c r="BUB59" s="60"/>
      <c r="BUC59" s="61"/>
      <c r="BUD59" s="61"/>
      <c r="BUE59" s="61"/>
      <c r="BUF59" s="61"/>
      <c r="BUG59" s="62"/>
      <c r="BUH59" s="53"/>
      <c r="BUI59" s="60"/>
      <c r="BUJ59" s="60"/>
      <c r="BUK59" s="61"/>
      <c r="BUL59" s="61"/>
      <c r="BUM59" s="61"/>
      <c r="BUN59" s="61"/>
      <c r="BUO59" s="62"/>
      <c r="BUP59" s="53"/>
      <c r="BUQ59" s="60"/>
      <c r="BUR59" s="60"/>
      <c r="BUS59" s="61"/>
      <c r="BUT59" s="61"/>
      <c r="BUU59" s="61"/>
      <c r="BUV59" s="61"/>
      <c r="BUW59" s="62"/>
      <c r="BUX59" s="53"/>
      <c r="BUY59" s="60"/>
      <c r="BUZ59" s="60"/>
      <c r="BVA59" s="61"/>
      <c r="BVB59" s="61"/>
      <c r="BVC59" s="61"/>
      <c r="BVD59" s="61"/>
      <c r="BVE59" s="62"/>
      <c r="BVF59" s="53"/>
      <c r="BVG59" s="60"/>
      <c r="BVH59" s="60"/>
      <c r="BVI59" s="61"/>
      <c r="BVJ59" s="61"/>
      <c r="BVK59" s="61"/>
      <c r="BVL59" s="61"/>
      <c r="BVM59" s="62"/>
      <c r="BVN59" s="53"/>
      <c r="BVO59" s="60"/>
      <c r="BVP59" s="60"/>
      <c r="BVQ59" s="61"/>
      <c r="BVR59" s="61"/>
      <c r="BVS59" s="61"/>
      <c r="BVT59" s="61"/>
      <c r="BVU59" s="62"/>
      <c r="BVV59" s="53"/>
      <c r="BVW59" s="60"/>
      <c r="BVX59" s="60"/>
      <c r="BVY59" s="61"/>
      <c r="BVZ59" s="61"/>
      <c r="BWA59" s="61"/>
      <c r="BWB59" s="61"/>
      <c r="BWC59" s="62"/>
      <c r="BWD59" s="53"/>
      <c r="BWE59" s="60"/>
      <c r="BWF59" s="60"/>
      <c r="BWG59" s="61"/>
      <c r="BWH59" s="61"/>
      <c r="BWI59" s="61"/>
      <c r="BWJ59" s="61"/>
      <c r="BWK59" s="62"/>
      <c r="BWL59" s="53"/>
      <c r="BWM59" s="60"/>
      <c r="BWN59" s="60"/>
      <c r="BWO59" s="61"/>
      <c r="BWP59" s="61"/>
      <c r="BWQ59" s="61"/>
      <c r="BWR59" s="61"/>
      <c r="BWS59" s="62"/>
      <c r="BWT59" s="53"/>
      <c r="BWU59" s="60"/>
      <c r="BWV59" s="60"/>
      <c r="BWW59" s="61"/>
      <c r="BWX59" s="61"/>
      <c r="BWY59" s="61"/>
      <c r="BWZ59" s="61"/>
      <c r="BXA59" s="62"/>
      <c r="BXB59" s="53"/>
      <c r="BXC59" s="60"/>
      <c r="BXD59" s="60"/>
      <c r="BXE59" s="61"/>
      <c r="BXF59" s="61"/>
      <c r="BXG59" s="61"/>
      <c r="BXH59" s="61"/>
      <c r="BXI59" s="62"/>
      <c r="BXJ59" s="53"/>
      <c r="BXK59" s="60"/>
      <c r="BXL59" s="60"/>
      <c r="BXM59" s="61"/>
      <c r="BXN59" s="61"/>
      <c r="BXO59" s="61"/>
      <c r="BXP59" s="61"/>
      <c r="BXQ59" s="62"/>
      <c r="BXR59" s="53"/>
      <c r="BXS59" s="60"/>
      <c r="BXT59" s="60"/>
      <c r="BXU59" s="61"/>
      <c r="BXV59" s="61"/>
      <c r="BXW59" s="61"/>
      <c r="BXX59" s="61"/>
      <c r="BXY59" s="62"/>
      <c r="BXZ59" s="53"/>
      <c r="BYA59" s="60"/>
      <c r="BYB59" s="60"/>
      <c r="BYC59" s="61"/>
      <c r="BYD59" s="61"/>
      <c r="BYE59" s="61"/>
      <c r="BYF59" s="61"/>
      <c r="BYG59" s="62"/>
      <c r="BYH59" s="53"/>
      <c r="BYI59" s="60"/>
      <c r="BYJ59" s="60"/>
      <c r="BYK59" s="61"/>
      <c r="BYL59" s="61"/>
      <c r="BYM59" s="61"/>
      <c r="BYN59" s="61"/>
      <c r="BYO59" s="62"/>
      <c r="BYP59" s="53"/>
      <c r="BYQ59" s="60"/>
      <c r="BYR59" s="60"/>
      <c r="BYS59" s="61"/>
      <c r="BYT59" s="61"/>
      <c r="BYU59" s="61"/>
      <c r="BYV59" s="61"/>
      <c r="BYW59" s="62"/>
      <c r="BYX59" s="53"/>
      <c r="BYY59" s="60"/>
      <c r="BYZ59" s="60"/>
      <c r="BZA59" s="61"/>
      <c r="BZB59" s="61"/>
      <c r="BZC59" s="61"/>
      <c r="BZD59" s="61"/>
      <c r="BZE59" s="62"/>
      <c r="BZF59" s="53"/>
      <c r="BZG59" s="60"/>
      <c r="BZH59" s="60"/>
      <c r="BZI59" s="61"/>
      <c r="BZJ59" s="61"/>
      <c r="BZK59" s="61"/>
      <c r="BZL59" s="61"/>
      <c r="BZM59" s="62"/>
      <c r="BZN59" s="53"/>
      <c r="BZO59" s="60"/>
      <c r="BZP59" s="60"/>
      <c r="BZQ59" s="61"/>
      <c r="BZR59" s="61"/>
      <c r="BZS59" s="61"/>
      <c r="BZT59" s="61"/>
      <c r="BZU59" s="62"/>
      <c r="BZV59" s="53"/>
      <c r="BZW59" s="60"/>
      <c r="BZX59" s="60"/>
      <c r="BZY59" s="61"/>
      <c r="BZZ59" s="61"/>
      <c r="CAA59" s="61"/>
      <c r="CAB59" s="61"/>
      <c r="CAC59" s="62"/>
      <c r="CAD59" s="53"/>
      <c r="CAE59" s="60"/>
      <c r="CAF59" s="60"/>
      <c r="CAG59" s="61"/>
      <c r="CAH59" s="61"/>
      <c r="CAI59" s="61"/>
      <c r="CAJ59" s="61"/>
      <c r="CAK59" s="62"/>
      <c r="CAL59" s="53"/>
      <c r="CAM59" s="60"/>
      <c r="CAN59" s="60"/>
      <c r="CAO59" s="61"/>
      <c r="CAP59" s="61"/>
      <c r="CAQ59" s="61"/>
      <c r="CAR59" s="61"/>
      <c r="CAS59" s="62"/>
      <c r="CAT59" s="53"/>
      <c r="CAU59" s="60"/>
      <c r="CAV59" s="60"/>
      <c r="CAW59" s="61"/>
      <c r="CAX59" s="61"/>
      <c r="CAY59" s="61"/>
      <c r="CAZ59" s="61"/>
      <c r="CBA59" s="62"/>
      <c r="CBB59" s="53"/>
      <c r="CBC59" s="60"/>
      <c r="CBD59" s="60"/>
      <c r="CBE59" s="61"/>
      <c r="CBF59" s="61"/>
      <c r="CBG59" s="61"/>
      <c r="CBH59" s="61"/>
      <c r="CBI59" s="62"/>
      <c r="CBJ59" s="53"/>
      <c r="CBK59" s="60"/>
      <c r="CBL59" s="60"/>
      <c r="CBM59" s="61"/>
      <c r="CBN59" s="61"/>
      <c r="CBO59" s="61"/>
      <c r="CBP59" s="61"/>
      <c r="CBQ59" s="62"/>
      <c r="CBR59" s="53"/>
      <c r="CBS59" s="60"/>
      <c r="CBT59" s="60"/>
      <c r="CBU59" s="61"/>
      <c r="CBV59" s="61"/>
      <c r="CBW59" s="61"/>
      <c r="CBX59" s="61"/>
      <c r="CBY59" s="62"/>
      <c r="CBZ59" s="53"/>
      <c r="CCA59" s="60"/>
      <c r="CCB59" s="60"/>
      <c r="CCC59" s="61"/>
      <c r="CCD59" s="61"/>
      <c r="CCE59" s="61"/>
      <c r="CCF59" s="61"/>
      <c r="CCG59" s="62"/>
      <c r="CCH59" s="53"/>
      <c r="CCI59" s="60"/>
      <c r="CCJ59" s="60"/>
      <c r="CCK59" s="61"/>
      <c r="CCL59" s="61"/>
      <c r="CCM59" s="61"/>
      <c r="CCN59" s="61"/>
      <c r="CCO59" s="62"/>
      <c r="CCP59" s="53"/>
      <c r="CCQ59" s="60"/>
      <c r="CCR59" s="60"/>
      <c r="CCS59" s="61"/>
      <c r="CCT59" s="61"/>
      <c r="CCU59" s="61"/>
      <c r="CCV59" s="61"/>
      <c r="CCW59" s="62"/>
      <c r="CCX59" s="53"/>
      <c r="CCY59" s="60"/>
      <c r="CCZ59" s="60"/>
      <c r="CDA59" s="61"/>
      <c r="CDB59" s="61"/>
      <c r="CDC59" s="61"/>
      <c r="CDD59" s="61"/>
      <c r="CDE59" s="62"/>
      <c r="CDF59" s="53"/>
      <c r="CDG59" s="60"/>
      <c r="CDH59" s="60"/>
      <c r="CDI59" s="61"/>
      <c r="CDJ59" s="61"/>
      <c r="CDK59" s="61"/>
      <c r="CDL59" s="61"/>
      <c r="CDM59" s="62"/>
      <c r="CDN59" s="53"/>
      <c r="CDO59" s="60"/>
      <c r="CDP59" s="60"/>
      <c r="CDQ59" s="61"/>
      <c r="CDR59" s="61"/>
      <c r="CDS59" s="61"/>
      <c r="CDT59" s="61"/>
      <c r="CDU59" s="62"/>
      <c r="CDV59" s="53"/>
      <c r="CDW59" s="60"/>
      <c r="CDX59" s="60"/>
      <c r="CDY59" s="61"/>
      <c r="CDZ59" s="61"/>
      <c r="CEA59" s="61"/>
      <c r="CEB59" s="61"/>
      <c r="CEC59" s="62"/>
      <c r="CED59" s="53"/>
      <c r="CEE59" s="60"/>
      <c r="CEF59" s="60"/>
      <c r="CEG59" s="61"/>
      <c r="CEH59" s="61"/>
      <c r="CEI59" s="61"/>
      <c r="CEJ59" s="61"/>
      <c r="CEK59" s="62"/>
      <c r="CEL59" s="53"/>
      <c r="CEM59" s="60"/>
      <c r="CEN59" s="60"/>
      <c r="CEO59" s="61"/>
      <c r="CEP59" s="61"/>
      <c r="CEQ59" s="61"/>
      <c r="CER59" s="61"/>
      <c r="CES59" s="62"/>
      <c r="CET59" s="53"/>
      <c r="CEU59" s="60"/>
      <c r="CEV59" s="60"/>
      <c r="CEW59" s="61"/>
      <c r="CEX59" s="61"/>
      <c r="CEY59" s="61"/>
      <c r="CEZ59" s="61"/>
      <c r="CFA59" s="62"/>
      <c r="CFB59" s="53"/>
      <c r="CFC59" s="60"/>
      <c r="CFD59" s="60"/>
      <c r="CFE59" s="61"/>
      <c r="CFF59" s="61"/>
      <c r="CFG59" s="61"/>
      <c r="CFH59" s="61"/>
      <c r="CFI59" s="62"/>
      <c r="CFJ59" s="53"/>
      <c r="CFK59" s="60"/>
      <c r="CFL59" s="60"/>
      <c r="CFM59" s="61"/>
      <c r="CFN59" s="61"/>
      <c r="CFO59" s="61"/>
      <c r="CFP59" s="61"/>
      <c r="CFQ59" s="62"/>
      <c r="CFR59" s="53"/>
      <c r="CFS59" s="60"/>
      <c r="CFT59" s="60"/>
      <c r="CFU59" s="61"/>
      <c r="CFV59" s="61"/>
      <c r="CFW59" s="61"/>
      <c r="CFX59" s="61"/>
      <c r="CFY59" s="62"/>
      <c r="CFZ59" s="53"/>
      <c r="CGA59" s="60"/>
      <c r="CGB59" s="60"/>
      <c r="CGC59" s="61"/>
      <c r="CGD59" s="61"/>
      <c r="CGE59" s="61"/>
      <c r="CGF59" s="61"/>
      <c r="CGG59" s="62"/>
      <c r="CGH59" s="53"/>
      <c r="CGI59" s="60"/>
      <c r="CGJ59" s="60"/>
      <c r="CGK59" s="61"/>
      <c r="CGL59" s="61"/>
      <c r="CGM59" s="61"/>
      <c r="CGN59" s="61"/>
      <c r="CGO59" s="62"/>
      <c r="CGP59" s="53"/>
      <c r="CGQ59" s="60"/>
      <c r="CGR59" s="60"/>
      <c r="CGS59" s="61"/>
      <c r="CGT59" s="61"/>
      <c r="CGU59" s="61"/>
      <c r="CGV59" s="61"/>
      <c r="CGW59" s="62"/>
      <c r="CGX59" s="53"/>
      <c r="CGY59" s="60"/>
      <c r="CGZ59" s="60"/>
      <c r="CHA59" s="61"/>
      <c r="CHB59" s="61"/>
      <c r="CHC59" s="61"/>
      <c r="CHD59" s="61"/>
      <c r="CHE59" s="62"/>
      <c r="CHF59" s="53"/>
      <c r="CHG59" s="60"/>
      <c r="CHH59" s="60"/>
      <c r="CHI59" s="61"/>
      <c r="CHJ59" s="61"/>
      <c r="CHK59" s="61"/>
      <c r="CHL59" s="61"/>
      <c r="CHM59" s="62"/>
      <c r="CHN59" s="53"/>
      <c r="CHO59" s="60"/>
      <c r="CHP59" s="60"/>
      <c r="CHQ59" s="61"/>
      <c r="CHR59" s="61"/>
      <c r="CHS59" s="61"/>
      <c r="CHT59" s="61"/>
      <c r="CHU59" s="62"/>
      <c r="CHV59" s="53"/>
      <c r="CHW59" s="60"/>
      <c r="CHX59" s="60"/>
      <c r="CHY59" s="61"/>
      <c r="CHZ59" s="61"/>
      <c r="CIA59" s="61"/>
      <c r="CIB59" s="61"/>
      <c r="CIC59" s="62"/>
      <c r="CID59" s="53"/>
      <c r="CIE59" s="60"/>
      <c r="CIF59" s="60"/>
      <c r="CIG59" s="61"/>
      <c r="CIH59" s="61"/>
      <c r="CII59" s="61"/>
      <c r="CIJ59" s="61"/>
      <c r="CIK59" s="62"/>
      <c r="CIL59" s="53"/>
      <c r="CIM59" s="60"/>
      <c r="CIN59" s="60"/>
      <c r="CIO59" s="61"/>
      <c r="CIP59" s="61"/>
      <c r="CIQ59" s="61"/>
      <c r="CIR59" s="61"/>
      <c r="CIS59" s="62"/>
      <c r="CIT59" s="53"/>
      <c r="CIU59" s="60"/>
      <c r="CIV59" s="60"/>
      <c r="CIW59" s="61"/>
      <c r="CIX59" s="61"/>
      <c r="CIY59" s="61"/>
      <c r="CIZ59" s="61"/>
      <c r="CJA59" s="62"/>
      <c r="CJB59" s="53"/>
      <c r="CJC59" s="60"/>
      <c r="CJD59" s="60"/>
      <c r="CJE59" s="61"/>
      <c r="CJF59" s="61"/>
      <c r="CJG59" s="61"/>
      <c r="CJH59" s="61"/>
      <c r="CJI59" s="62"/>
      <c r="CJJ59" s="53"/>
      <c r="CJK59" s="60"/>
      <c r="CJL59" s="60"/>
      <c r="CJM59" s="61"/>
      <c r="CJN59" s="61"/>
      <c r="CJO59" s="61"/>
      <c r="CJP59" s="61"/>
      <c r="CJQ59" s="62"/>
      <c r="CJR59" s="53"/>
      <c r="CJS59" s="60"/>
      <c r="CJT59" s="60"/>
      <c r="CJU59" s="61"/>
      <c r="CJV59" s="61"/>
      <c r="CJW59" s="61"/>
      <c r="CJX59" s="61"/>
      <c r="CJY59" s="62"/>
      <c r="CJZ59" s="53"/>
      <c r="CKA59" s="60"/>
      <c r="CKB59" s="60"/>
      <c r="CKC59" s="61"/>
      <c r="CKD59" s="61"/>
      <c r="CKE59" s="61"/>
      <c r="CKF59" s="61"/>
      <c r="CKG59" s="62"/>
      <c r="CKH59" s="53"/>
      <c r="CKI59" s="60"/>
      <c r="CKJ59" s="60"/>
      <c r="CKK59" s="61"/>
      <c r="CKL59" s="61"/>
      <c r="CKM59" s="61"/>
      <c r="CKN59" s="61"/>
      <c r="CKO59" s="62"/>
      <c r="CKP59" s="53"/>
      <c r="CKQ59" s="60"/>
      <c r="CKR59" s="60"/>
      <c r="CKS59" s="61"/>
      <c r="CKT59" s="61"/>
      <c r="CKU59" s="61"/>
      <c r="CKV59" s="61"/>
      <c r="CKW59" s="62"/>
      <c r="CKX59" s="53"/>
      <c r="CKY59" s="60"/>
      <c r="CKZ59" s="60"/>
      <c r="CLA59" s="61"/>
      <c r="CLB59" s="61"/>
      <c r="CLC59" s="61"/>
      <c r="CLD59" s="61"/>
      <c r="CLE59" s="62"/>
      <c r="CLF59" s="53"/>
      <c r="CLG59" s="60"/>
      <c r="CLH59" s="60"/>
      <c r="CLI59" s="61"/>
      <c r="CLJ59" s="61"/>
      <c r="CLK59" s="61"/>
      <c r="CLL59" s="61"/>
      <c r="CLM59" s="62"/>
      <c r="CLN59" s="53"/>
      <c r="CLO59" s="60"/>
      <c r="CLP59" s="60"/>
      <c r="CLQ59" s="61"/>
      <c r="CLR59" s="61"/>
      <c r="CLS59" s="61"/>
      <c r="CLT59" s="61"/>
      <c r="CLU59" s="62"/>
      <c r="CLV59" s="53"/>
      <c r="CLW59" s="60"/>
      <c r="CLX59" s="60"/>
      <c r="CLY59" s="61"/>
      <c r="CLZ59" s="61"/>
      <c r="CMA59" s="61"/>
      <c r="CMB59" s="61"/>
      <c r="CMC59" s="62"/>
      <c r="CMD59" s="53"/>
      <c r="CME59" s="60"/>
      <c r="CMF59" s="60"/>
      <c r="CMG59" s="61"/>
      <c r="CMH59" s="61"/>
      <c r="CMI59" s="61"/>
      <c r="CMJ59" s="61"/>
      <c r="CMK59" s="62"/>
      <c r="CML59" s="53"/>
      <c r="CMM59" s="60"/>
      <c r="CMN59" s="60"/>
      <c r="CMO59" s="61"/>
      <c r="CMP59" s="61"/>
      <c r="CMQ59" s="61"/>
      <c r="CMR59" s="61"/>
      <c r="CMS59" s="62"/>
      <c r="CMT59" s="53"/>
      <c r="CMU59" s="60"/>
      <c r="CMV59" s="60"/>
      <c r="CMW59" s="61"/>
      <c r="CMX59" s="61"/>
      <c r="CMY59" s="61"/>
      <c r="CMZ59" s="61"/>
      <c r="CNA59" s="62"/>
      <c r="CNB59" s="53"/>
      <c r="CNC59" s="60"/>
      <c r="CND59" s="60"/>
      <c r="CNE59" s="61"/>
      <c r="CNF59" s="61"/>
      <c r="CNG59" s="61"/>
      <c r="CNH59" s="61"/>
      <c r="CNI59" s="62"/>
      <c r="CNJ59" s="53"/>
      <c r="CNK59" s="60"/>
      <c r="CNL59" s="60"/>
      <c r="CNM59" s="61"/>
      <c r="CNN59" s="61"/>
      <c r="CNO59" s="61"/>
      <c r="CNP59" s="61"/>
      <c r="CNQ59" s="62"/>
      <c r="CNR59" s="53"/>
      <c r="CNS59" s="60"/>
      <c r="CNT59" s="60"/>
      <c r="CNU59" s="61"/>
      <c r="CNV59" s="61"/>
      <c r="CNW59" s="61"/>
      <c r="CNX59" s="61"/>
      <c r="CNY59" s="62"/>
      <c r="CNZ59" s="53"/>
      <c r="COA59" s="60"/>
      <c r="COB59" s="60"/>
      <c r="COC59" s="61"/>
      <c r="COD59" s="61"/>
      <c r="COE59" s="61"/>
      <c r="COF59" s="61"/>
      <c r="COG59" s="62"/>
      <c r="COH59" s="53"/>
      <c r="COI59" s="60"/>
      <c r="COJ59" s="60"/>
      <c r="COK59" s="61"/>
      <c r="COL59" s="61"/>
      <c r="COM59" s="61"/>
      <c r="CON59" s="61"/>
      <c r="COO59" s="62"/>
      <c r="COP59" s="53"/>
      <c r="COQ59" s="60"/>
      <c r="COR59" s="60"/>
      <c r="COS59" s="61"/>
      <c r="COT59" s="61"/>
      <c r="COU59" s="61"/>
      <c r="COV59" s="61"/>
      <c r="COW59" s="62"/>
      <c r="COX59" s="53"/>
      <c r="COY59" s="60"/>
      <c r="COZ59" s="60"/>
      <c r="CPA59" s="61"/>
      <c r="CPB59" s="61"/>
      <c r="CPC59" s="61"/>
      <c r="CPD59" s="61"/>
      <c r="CPE59" s="62"/>
      <c r="CPF59" s="53"/>
      <c r="CPG59" s="60"/>
      <c r="CPH59" s="60"/>
      <c r="CPI59" s="61"/>
      <c r="CPJ59" s="61"/>
      <c r="CPK59" s="61"/>
      <c r="CPL59" s="61"/>
      <c r="CPM59" s="62"/>
      <c r="CPN59" s="53"/>
      <c r="CPO59" s="60"/>
      <c r="CPP59" s="60"/>
      <c r="CPQ59" s="61"/>
      <c r="CPR59" s="61"/>
      <c r="CPS59" s="61"/>
      <c r="CPT59" s="61"/>
      <c r="CPU59" s="62"/>
      <c r="CPV59" s="53"/>
      <c r="CPW59" s="60"/>
      <c r="CPX59" s="60"/>
      <c r="CPY59" s="61"/>
      <c r="CPZ59" s="61"/>
      <c r="CQA59" s="61"/>
      <c r="CQB59" s="61"/>
      <c r="CQC59" s="62"/>
      <c r="CQD59" s="53"/>
      <c r="CQE59" s="60"/>
      <c r="CQF59" s="60"/>
      <c r="CQG59" s="61"/>
      <c r="CQH59" s="61"/>
      <c r="CQI59" s="61"/>
      <c r="CQJ59" s="61"/>
      <c r="CQK59" s="62"/>
      <c r="CQL59" s="53"/>
      <c r="CQM59" s="60"/>
      <c r="CQN59" s="60"/>
      <c r="CQO59" s="61"/>
      <c r="CQP59" s="61"/>
      <c r="CQQ59" s="61"/>
      <c r="CQR59" s="61"/>
      <c r="CQS59" s="62"/>
      <c r="CQT59" s="53"/>
      <c r="CQU59" s="60"/>
      <c r="CQV59" s="60"/>
      <c r="CQW59" s="61"/>
      <c r="CQX59" s="61"/>
      <c r="CQY59" s="61"/>
      <c r="CQZ59" s="61"/>
      <c r="CRA59" s="62"/>
      <c r="CRB59" s="53"/>
      <c r="CRC59" s="60"/>
      <c r="CRD59" s="60"/>
      <c r="CRE59" s="61"/>
      <c r="CRF59" s="61"/>
      <c r="CRG59" s="61"/>
      <c r="CRH59" s="61"/>
      <c r="CRI59" s="62"/>
      <c r="CRJ59" s="53"/>
      <c r="CRK59" s="60"/>
      <c r="CRL59" s="60"/>
      <c r="CRM59" s="61"/>
      <c r="CRN59" s="61"/>
      <c r="CRO59" s="61"/>
      <c r="CRP59" s="61"/>
      <c r="CRQ59" s="62"/>
      <c r="CRR59" s="53"/>
      <c r="CRS59" s="60"/>
      <c r="CRT59" s="60"/>
      <c r="CRU59" s="61"/>
      <c r="CRV59" s="61"/>
      <c r="CRW59" s="61"/>
      <c r="CRX59" s="61"/>
      <c r="CRY59" s="62"/>
      <c r="CRZ59" s="53"/>
      <c r="CSA59" s="60"/>
      <c r="CSB59" s="60"/>
      <c r="CSC59" s="61"/>
      <c r="CSD59" s="61"/>
      <c r="CSE59" s="61"/>
      <c r="CSF59" s="61"/>
      <c r="CSG59" s="62"/>
      <c r="CSH59" s="53"/>
      <c r="CSI59" s="60"/>
      <c r="CSJ59" s="60"/>
      <c r="CSK59" s="61"/>
      <c r="CSL59" s="61"/>
      <c r="CSM59" s="61"/>
      <c r="CSN59" s="61"/>
      <c r="CSO59" s="62"/>
      <c r="CSP59" s="53"/>
      <c r="CSQ59" s="60"/>
      <c r="CSR59" s="60"/>
      <c r="CSS59" s="61"/>
      <c r="CST59" s="61"/>
      <c r="CSU59" s="61"/>
      <c r="CSV59" s="61"/>
      <c r="CSW59" s="62"/>
      <c r="CSX59" s="53"/>
      <c r="CSY59" s="60"/>
      <c r="CSZ59" s="60"/>
      <c r="CTA59" s="61"/>
      <c r="CTB59" s="61"/>
      <c r="CTC59" s="61"/>
      <c r="CTD59" s="61"/>
      <c r="CTE59" s="62"/>
      <c r="CTF59" s="53"/>
      <c r="CTG59" s="60"/>
      <c r="CTH59" s="60"/>
      <c r="CTI59" s="61"/>
      <c r="CTJ59" s="61"/>
      <c r="CTK59" s="61"/>
      <c r="CTL59" s="61"/>
      <c r="CTM59" s="62"/>
      <c r="CTN59" s="53"/>
      <c r="CTO59" s="60"/>
      <c r="CTP59" s="60"/>
      <c r="CTQ59" s="61"/>
      <c r="CTR59" s="61"/>
      <c r="CTS59" s="61"/>
      <c r="CTT59" s="61"/>
      <c r="CTU59" s="62"/>
      <c r="CTV59" s="53"/>
      <c r="CTW59" s="60"/>
      <c r="CTX59" s="60"/>
      <c r="CTY59" s="61"/>
      <c r="CTZ59" s="61"/>
      <c r="CUA59" s="61"/>
      <c r="CUB59" s="61"/>
      <c r="CUC59" s="62"/>
      <c r="CUD59" s="53"/>
      <c r="CUE59" s="60"/>
      <c r="CUF59" s="60"/>
      <c r="CUG59" s="61"/>
      <c r="CUH59" s="61"/>
      <c r="CUI59" s="61"/>
      <c r="CUJ59" s="61"/>
      <c r="CUK59" s="62"/>
      <c r="CUL59" s="53"/>
      <c r="CUM59" s="60"/>
      <c r="CUN59" s="60"/>
      <c r="CUO59" s="61"/>
      <c r="CUP59" s="61"/>
      <c r="CUQ59" s="61"/>
      <c r="CUR59" s="61"/>
      <c r="CUS59" s="62"/>
      <c r="CUT59" s="53"/>
      <c r="CUU59" s="60"/>
      <c r="CUV59" s="60"/>
      <c r="CUW59" s="61"/>
      <c r="CUX59" s="61"/>
      <c r="CUY59" s="61"/>
      <c r="CUZ59" s="61"/>
      <c r="CVA59" s="62"/>
      <c r="CVB59" s="53"/>
      <c r="CVC59" s="60"/>
      <c r="CVD59" s="60"/>
      <c r="CVE59" s="61"/>
      <c r="CVF59" s="61"/>
      <c r="CVG59" s="61"/>
      <c r="CVH59" s="61"/>
      <c r="CVI59" s="62"/>
      <c r="CVJ59" s="53"/>
      <c r="CVK59" s="60"/>
      <c r="CVL59" s="60"/>
      <c r="CVM59" s="61"/>
      <c r="CVN59" s="61"/>
      <c r="CVO59" s="61"/>
      <c r="CVP59" s="61"/>
      <c r="CVQ59" s="62"/>
      <c r="CVR59" s="53"/>
      <c r="CVS59" s="60"/>
      <c r="CVT59" s="60"/>
      <c r="CVU59" s="61"/>
      <c r="CVV59" s="61"/>
      <c r="CVW59" s="61"/>
      <c r="CVX59" s="61"/>
      <c r="CVY59" s="62"/>
      <c r="CVZ59" s="53"/>
      <c r="CWA59" s="60"/>
      <c r="CWB59" s="60"/>
      <c r="CWC59" s="61"/>
      <c r="CWD59" s="61"/>
      <c r="CWE59" s="61"/>
      <c r="CWF59" s="61"/>
      <c r="CWG59" s="62"/>
      <c r="CWH59" s="53"/>
      <c r="CWI59" s="60"/>
      <c r="CWJ59" s="60"/>
      <c r="CWK59" s="61"/>
      <c r="CWL59" s="61"/>
      <c r="CWM59" s="61"/>
      <c r="CWN59" s="61"/>
      <c r="CWO59" s="62"/>
      <c r="CWP59" s="53"/>
      <c r="CWQ59" s="60"/>
      <c r="CWR59" s="60"/>
      <c r="CWS59" s="61"/>
      <c r="CWT59" s="61"/>
      <c r="CWU59" s="61"/>
      <c r="CWV59" s="61"/>
      <c r="CWW59" s="62"/>
      <c r="CWX59" s="53"/>
      <c r="CWY59" s="60"/>
      <c r="CWZ59" s="60"/>
      <c r="CXA59" s="61"/>
      <c r="CXB59" s="61"/>
      <c r="CXC59" s="61"/>
      <c r="CXD59" s="61"/>
      <c r="CXE59" s="62"/>
      <c r="CXF59" s="53"/>
      <c r="CXG59" s="60"/>
      <c r="CXH59" s="60"/>
      <c r="CXI59" s="61"/>
      <c r="CXJ59" s="61"/>
      <c r="CXK59" s="61"/>
      <c r="CXL59" s="61"/>
      <c r="CXM59" s="62"/>
      <c r="CXN59" s="53"/>
      <c r="CXO59" s="60"/>
      <c r="CXP59" s="60"/>
      <c r="CXQ59" s="61"/>
      <c r="CXR59" s="61"/>
      <c r="CXS59" s="61"/>
      <c r="CXT59" s="61"/>
      <c r="CXU59" s="62"/>
      <c r="CXV59" s="53"/>
      <c r="CXW59" s="60"/>
      <c r="CXX59" s="60"/>
      <c r="CXY59" s="61"/>
      <c r="CXZ59" s="61"/>
      <c r="CYA59" s="61"/>
      <c r="CYB59" s="61"/>
      <c r="CYC59" s="62"/>
      <c r="CYD59" s="53"/>
      <c r="CYE59" s="60"/>
      <c r="CYF59" s="60"/>
      <c r="CYG59" s="61"/>
      <c r="CYH59" s="61"/>
      <c r="CYI59" s="61"/>
      <c r="CYJ59" s="61"/>
      <c r="CYK59" s="62"/>
      <c r="CYL59" s="53"/>
      <c r="CYM59" s="60"/>
      <c r="CYN59" s="60"/>
      <c r="CYO59" s="61"/>
      <c r="CYP59" s="61"/>
      <c r="CYQ59" s="61"/>
      <c r="CYR59" s="61"/>
      <c r="CYS59" s="62"/>
      <c r="CYT59" s="53"/>
      <c r="CYU59" s="60"/>
      <c r="CYV59" s="60"/>
      <c r="CYW59" s="61"/>
      <c r="CYX59" s="61"/>
      <c r="CYY59" s="61"/>
      <c r="CYZ59" s="61"/>
      <c r="CZA59" s="62"/>
      <c r="CZB59" s="53"/>
      <c r="CZC59" s="60"/>
      <c r="CZD59" s="60"/>
      <c r="CZE59" s="61"/>
      <c r="CZF59" s="61"/>
      <c r="CZG59" s="61"/>
      <c r="CZH59" s="61"/>
      <c r="CZI59" s="62"/>
      <c r="CZJ59" s="53"/>
      <c r="CZK59" s="60"/>
      <c r="CZL59" s="60"/>
      <c r="CZM59" s="61"/>
      <c r="CZN59" s="61"/>
      <c r="CZO59" s="61"/>
      <c r="CZP59" s="61"/>
      <c r="CZQ59" s="62"/>
      <c r="CZR59" s="53"/>
      <c r="CZS59" s="60"/>
      <c r="CZT59" s="60"/>
      <c r="CZU59" s="61"/>
      <c r="CZV59" s="61"/>
      <c r="CZW59" s="61"/>
      <c r="CZX59" s="61"/>
      <c r="CZY59" s="62"/>
      <c r="CZZ59" s="53"/>
      <c r="DAA59" s="60"/>
      <c r="DAB59" s="60"/>
      <c r="DAC59" s="61"/>
      <c r="DAD59" s="61"/>
      <c r="DAE59" s="61"/>
      <c r="DAF59" s="61"/>
      <c r="DAG59" s="62"/>
      <c r="DAH59" s="53"/>
      <c r="DAI59" s="60"/>
      <c r="DAJ59" s="60"/>
      <c r="DAK59" s="61"/>
      <c r="DAL59" s="61"/>
      <c r="DAM59" s="61"/>
      <c r="DAN59" s="61"/>
      <c r="DAO59" s="62"/>
      <c r="DAP59" s="53"/>
      <c r="DAQ59" s="60"/>
      <c r="DAR59" s="60"/>
      <c r="DAS59" s="61"/>
      <c r="DAT59" s="61"/>
      <c r="DAU59" s="61"/>
      <c r="DAV59" s="61"/>
      <c r="DAW59" s="62"/>
      <c r="DAX59" s="53"/>
      <c r="DAY59" s="60"/>
      <c r="DAZ59" s="60"/>
      <c r="DBA59" s="61"/>
      <c r="DBB59" s="61"/>
      <c r="DBC59" s="61"/>
      <c r="DBD59" s="61"/>
      <c r="DBE59" s="62"/>
      <c r="DBF59" s="53"/>
      <c r="DBG59" s="60"/>
      <c r="DBH59" s="60"/>
      <c r="DBI59" s="61"/>
      <c r="DBJ59" s="61"/>
      <c r="DBK59" s="61"/>
      <c r="DBL59" s="61"/>
      <c r="DBM59" s="62"/>
      <c r="DBN59" s="53"/>
      <c r="DBO59" s="60"/>
      <c r="DBP59" s="60"/>
      <c r="DBQ59" s="61"/>
      <c r="DBR59" s="61"/>
      <c r="DBS59" s="61"/>
      <c r="DBT59" s="61"/>
      <c r="DBU59" s="62"/>
      <c r="DBV59" s="53"/>
      <c r="DBW59" s="60"/>
      <c r="DBX59" s="60"/>
      <c r="DBY59" s="61"/>
      <c r="DBZ59" s="61"/>
      <c r="DCA59" s="61"/>
      <c r="DCB59" s="61"/>
      <c r="DCC59" s="62"/>
      <c r="DCD59" s="53"/>
      <c r="DCE59" s="60"/>
      <c r="DCF59" s="60"/>
      <c r="DCG59" s="61"/>
      <c r="DCH59" s="61"/>
      <c r="DCI59" s="61"/>
      <c r="DCJ59" s="61"/>
      <c r="DCK59" s="62"/>
      <c r="DCL59" s="53"/>
      <c r="DCM59" s="60"/>
      <c r="DCN59" s="60"/>
      <c r="DCO59" s="61"/>
      <c r="DCP59" s="61"/>
      <c r="DCQ59" s="61"/>
      <c r="DCR59" s="61"/>
      <c r="DCS59" s="62"/>
      <c r="DCT59" s="53"/>
      <c r="DCU59" s="60"/>
      <c r="DCV59" s="60"/>
      <c r="DCW59" s="61"/>
      <c r="DCX59" s="61"/>
      <c r="DCY59" s="61"/>
      <c r="DCZ59" s="61"/>
      <c r="DDA59" s="62"/>
      <c r="DDB59" s="53"/>
      <c r="DDC59" s="60"/>
      <c r="DDD59" s="60"/>
      <c r="DDE59" s="61"/>
      <c r="DDF59" s="61"/>
      <c r="DDG59" s="61"/>
      <c r="DDH59" s="61"/>
      <c r="DDI59" s="62"/>
      <c r="DDJ59" s="53"/>
      <c r="DDK59" s="60"/>
      <c r="DDL59" s="60"/>
      <c r="DDM59" s="61"/>
      <c r="DDN59" s="61"/>
      <c r="DDO59" s="61"/>
      <c r="DDP59" s="61"/>
      <c r="DDQ59" s="62"/>
      <c r="DDR59" s="53"/>
      <c r="DDS59" s="60"/>
      <c r="DDT59" s="60"/>
      <c r="DDU59" s="61"/>
      <c r="DDV59" s="61"/>
      <c r="DDW59" s="61"/>
      <c r="DDX59" s="61"/>
      <c r="DDY59" s="62"/>
      <c r="DDZ59" s="53"/>
      <c r="DEA59" s="60"/>
      <c r="DEB59" s="60"/>
      <c r="DEC59" s="61"/>
      <c r="DED59" s="61"/>
      <c r="DEE59" s="61"/>
      <c r="DEF59" s="61"/>
      <c r="DEG59" s="62"/>
      <c r="DEH59" s="53"/>
      <c r="DEI59" s="60"/>
      <c r="DEJ59" s="60"/>
      <c r="DEK59" s="61"/>
      <c r="DEL59" s="61"/>
      <c r="DEM59" s="61"/>
      <c r="DEN59" s="61"/>
      <c r="DEO59" s="62"/>
      <c r="DEP59" s="53"/>
      <c r="DEQ59" s="60"/>
      <c r="DER59" s="60"/>
      <c r="DES59" s="61"/>
      <c r="DET59" s="61"/>
      <c r="DEU59" s="61"/>
      <c r="DEV59" s="61"/>
      <c r="DEW59" s="62"/>
      <c r="DEX59" s="53"/>
      <c r="DEY59" s="60"/>
      <c r="DEZ59" s="60"/>
      <c r="DFA59" s="61"/>
      <c r="DFB59" s="61"/>
      <c r="DFC59" s="61"/>
      <c r="DFD59" s="61"/>
      <c r="DFE59" s="62"/>
      <c r="DFF59" s="53"/>
      <c r="DFG59" s="60"/>
      <c r="DFH59" s="60"/>
      <c r="DFI59" s="61"/>
      <c r="DFJ59" s="61"/>
      <c r="DFK59" s="61"/>
      <c r="DFL59" s="61"/>
      <c r="DFM59" s="62"/>
      <c r="DFN59" s="53"/>
      <c r="DFO59" s="60"/>
      <c r="DFP59" s="60"/>
      <c r="DFQ59" s="61"/>
      <c r="DFR59" s="61"/>
      <c r="DFS59" s="61"/>
      <c r="DFT59" s="61"/>
      <c r="DFU59" s="62"/>
      <c r="DFV59" s="53"/>
      <c r="DFW59" s="60"/>
      <c r="DFX59" s="60"/>
      <c r="DFY59" s="61"/>
      <c r="DFZ59" s="61"/>
      <c r="DGA59" s="61"/>
      <c r="DGB59" s="61"/>
      <c r="DGC59" s="62"/>
      <c r="DGD59" s="53"/>
      <c r="DGE59" s="60"/>
      <c r="DGF59" s="60"/>
      <c r="DGG59" s="61"/>
      <c r="DGH59" s="61"/>
      <c r="DGI59" s="61"/>
      <c r="DGJ59" s="61"/>
      <c r="DGK59" s="62"/>
      <c r="DGL59" s="53"/>
      <c r="DGM59" s="60"/>
      <c r="DGN59" s="60"/>
      <c r="DGO59" s="61"/>
      <c r="DGP59" s="61"/>
      <c r="DGQ59" s="61"/>
      <c r="DGR59" s="61"/>
      <c r="DGS59" s="62"/>
      <c r="DGT59" s="53"/>
      <c r="DGU59" s="60"/>
      <c r="DGV59" s="60"/>
      <c r="DGW59" s="61"/>
      <c r="DGX59" s="61"/>
      <c r="DGY59" s="61"/>
      <c r="DGZ59" s="61"/>
      <c r="DHA59" s="62"/>
      <c r="DHB59" s="53"/>
      <c r="DHC59" s="60"/>
      <c r="DHD59" s="60"/>
      <c r="DHE59" s="61"/>
      <c r="DHF59" s="61"/>
      <c r="DHG59" s="61"/>
      <c r="DHH59" s="61"/>
      <c r="DHI59" s="62"/>
      <c r="DHJ59" s="53"/>
      <c r="DHK59" s="60"/>
      <c r="DHL59" s="60"/>
      <c r="DHM59" s="61"/>
      <c r="DHN59" s="61"/>
      <c r="DHO59" s="61"/>
      <c r="DHP59" s="61"/>
      <c r="DHQ59" s="62"/>
      <c r="DHR59" s="53"/>
      <c r="DHS59" s="60"/>
      <c r="DHT59" s="60"/>
      <c r="DHU59" s="61"/>
      <c r="DHV59" s="61"/>
      <c r="DHW59" s="61"/>
      <c r="DHX59" s="61"/>
      <c r="DHY59" s="62"/>
      <c r="DHZ59" s="53"/>
      <c r="DIA59" s="60"/>
      <c r="DIB59" s="60"/>
      <c r="DIC59" s="61"/>
      <c r="DID59" s="61"/>
      <c r="DIE59" s="61"/>
      <c r="DIF59" s="61"/>
      <c r="DIG59" s="62"/>
      <c r="DIH59" s="53"/>
      <c r="DII59" s="60"/>
      <c r="DIJ59" s="60"/>
      <c r="DIK59" s="61"/>
      <c r="DIL59" s="61"/>
      <c r="DIM59" s="61"/>
      <c r="DIN59" s="61"/>
      <c r="DIO59" s="62"/>
      <c r="DIP59" s="53"/>
      <c r="DIQ59" s="60"/>
      <c r="DIR59" s="60"/>
      <c r="DIS59" s="61"/>
      <c r="DIT59" s="61"/>
      <c r="DIU59" s="61"/>
      <c r="DIV59" s="61"/>
      <c r="DIW59" s="62"/>
      <c r="DIX59" s="53"/>
      <c r="DIY59" s="60"/>
      <c r="DIZ59" s="60"/>
      <c r="DJA59" s="61"/>
      <c r="DJB59" s="61"/>
      <c r="DJC59" s="61"/>
      <c r="DJD59" s="61"/>
      <c r="DJE59" s="62"/>
      <c r="DJF59" s="53"/>
      <c r="DJG59" s="60"/>
      <c r="DJH59" s="60"/>
      <c r="DJI59" s="61"/>
      <c r="DJJ59" s="61"/>
      <c r="DJK59" s="61"/>
      <c r="DJL59" s="61"/>
      <c r="DJM59" s="62"/>
      <c r="DJN59" s="53"/>
      <c r="DJO59" s="60"/>
      <c r="DJP59" s="60"/>
      <c r="DJQ59" s="61"/>
      <c r="DJR59" s="61"/>
      <c r="DJS59" s="61"/>
      <c r="DJT59" s="61"/>
      <c r="DJU59" s="62"/>
      <c r="DJV59" s="53"/>
      <c r="DJW59" s="60"/>
      <c r="DJX59" s="60"/>
      <c r="DJY59" s="61"/>
      <c r="DJZ59" s="61"/>
      <c r="DKA59" s="61"/>
      <c r="DKB59" s="61"/>
      <c r="DKC59" s="62"/>
      <c r="DKD59" s="53"/>
      <c r="DKE59" s="60"/>
      <c r="DKF59" s="60"/>
      <c r="DKG59" s="61"/>
      <c r="DKH59" s="61"/>
      <c r="DKI59" s="61"/>
      <c r="DKJ59" s="61"/>
      <c r="DKK59" s="62"/>
      <c r="DKL59" s="53"/>
      <c r="DKM59" s="60"/>
      <c r="DKN59" s="60"/>
      <c r="DKO59" s="61"/>
      <c r="DKP59" s="61"/>
      <c r="DKQ59" s="61"/>
      <c r="DKR59" s="61"/>
      <c r="DKS59" s="62"/>
      <c r="DKT59" s="53"/>
      <c r="DKU59" s="60"/>
      <c r="DKV59" s="60"/>
      <c r="DKW59" s="61"/>
      <c r="DKX59" s="61"/>
      <c r="DKY59" s="61"/>
      <c r="DKZ59" s="61"/>
      <c r="DLA59" s="62"/>
      <c r="DLB59" s="53"/>
      <c r="DLC59" s="60"/>
      <c r="DLD59" s="60"/>
      <c r="DLE59" s="61"/>
      <c r="DLF59" s="61"/>
      <c r="DLG59" s="61"/>
      <c r="DLH59" s="61"/>
      <c r="DLI59" s="62"/>
      <c r="DLJ59" s="53"/>
      <c r="DLK59" s="60"/>
      <c r="DLL59" s="60"/>
      <c r="DLM59" s="61"/>
      <c r="DLN59" s="61"/>
      <c r="DLO59" s="61"/>
      <c r="DLP59" s="61"/>
      <c r="DLQ59" s="62"/>
      <c r="DLR59" s="53"/>
      <c r="DLS59" s="60"/>
      <c r="DLT59" s="60"/>
      <c r="DLU59" s="61"/>
      <c r="DLV59" s="61"/>
      <c r="DLW59" s="61"/>
      <c r="DLX59" s="61"/>
      <c r="DLY59" s="62"/>
      <c r="DLZ59" s="53"/>
      <c r="DMA59" s="60"/>
      <c r="DMB59" s="60"/>
      <c r="DMC59" s="61"/>
      <c r="DMD59" s="61"/>
      <c r="DME59" s="61"/>
      <c r="DMF59" s="61"/>
      <c r="DMG59" s="62"/>
      <c r="DMH59" s="53"/>
      <c r="DMI59" s="60"/>
      <c r="DMJ59" s="60"/>
      <c r="DMK59" s="61"/>
      <c r="DML59" s="61"/>
      <c r="DMM59" s="61"/>
      <c r="DMN59" s="61"/>
      <c r="DMO59" s="62"/>
      <c r="DMP59" s="53"/>
      <c r="DMQ59" s="60"/>
      <c r="DMR59" s="60"/>
      <c r="DMS59" s="61"/>
      <c r="DMT59" s="61"/>
      <c r="DMU59" s="61"/>
      <c r="DMV59" s="61"/>
      <c r="DMW59" s="62"/>
      <c r="DMX59" s="53"/>
      <c r="DMY59" s="60"/>
      <c r="DMZ59" s="60"/>
      <c r="DNA59" s="61"/>
      <c r="DNB59" s="61"/>
      <c r="DNC59" s="61"/>
      <c r="DND59" s="61"/>
      <c r="DNE59" s="62"/>
      <c r="DNF59" s="53"/>
      <c r="DNG59" s="60"/>
      <c r="DNH59" s="60"/>
      <c r="DNI59" s="61"/>
      <c r="DNJ59" s="61"/>
      <c r="DNK59" s="61"/>
      <c r="DNL59" s="61"/>
      <c r="DNM59" s="62"/>
      <c r="DNN59" s="53"/>
      <c r="DNO59" s="60"/>
      <c r="DNP59" s="60"/>
      <c r="DNQ59" s="61"/>
      <c r="DNR59" s="61"/>
      <c r="DNS59" s="61"/>
      <c r="DNT59" s="61"/>
      <c r="DNU59" s="62"/>
      <c r="DNV59" s="53"/>
      <c r="DNW59" s="60"/>
      <c r="DNX59" s="60"/>
      <c r="DNY59" s="61"/>
      <c r="DNZ59" s="61"/>
      <c r="DOA59" s="61"/>
      <c r="DOB59" s="61"/>
      <c r="DOC59" s="62"/>
      <c r="DOD59" s="53"/>
      <c r="DOE59" s="60"/>
      <c r="DOF59" s="60"/>
      <c r="DOG59" s="61"/>
      <c r="DOH59" s="61"/>
      <c r="DOI59" s="61"/>
      <c r="DOJ59" s="61"/>
      <c r="DOK59" s="62"/>
      <c r="DOL59" s="53"/>
      <c r="DOM59" s="60"/>
      <c r="DON59" s="60"/>
      <c r="DOO59" s="61"/>
      <c r="DOP59" s="61"/>
      <c r="DOQ59" s="61"/>
      <c r="DOR59" s="61"/>
      <c r="DOS59" s="62"/>
      <c r="DOT59" s="53"/>
      <c r="DOU59" s="60"/>
      <c r="DOV59" s="60"/>
      <c r="DOW59" s="61"/>
      <c r="DOX59" s="61"/>
      <c r="DOY59" s="61"/>
      <c r="DOZ59" s="61"/>
      <c r="DPA59" s="62"/>
      <c r="DPB59" s="53"/>
      <c r="DPC59" s="60"/>
      <c r="DPD59" s="60"/>
      <c r="DPE59" s="61"/>
      <c r="DPF59" s="61"/>
      <c r="DPG59" s="61"/>
      <c r="DPH59" s="61"/>
      <c r="DPI59" s="62"/>
      <c r="DPJ59" s="53"/>
      <c r="DPK59" s="60"/>
      <c r="DPL59" s="60"/>
      <c r="DPM59" s="61"/>
      <c r="DPN59" s="61"/>
      <c r="DPO59" s="61"/>
      <c r="DPP59" s="61"/>
      <c r="DPQ59" s="62"/>
      <c r="DPR59" s="53"/>
      <c r="DPS59" s="60"/>
      <c r="DPT59" s="60"/>
      <c r="DPU59" s="61"/>
      <c r="DPV59" s="61"/>
      <c r="DPW59" s="61"/>
      <c r="DPX59" s="61"/>
      <c r="DPY59" s="62"/>
      <c r="DPZ59" s="53"/>
      <c r="DQA59" s="60"/>
      <c r="DQB59" s="60"/>
      <c r="DQC59" s="61"/>
      <c r="DQD59" s="61"/>
      <c r="DQE59" s="61"/>
      <c r="DQF59" s="61"/>
      <c r="DQG59" s="62"/>
      <c r="DQH59" s="53"/>
      <c r="DQI59" s="60"/>
      <c r="DQJ59" s="60"/>
      <c r="DQK59" s="61"/>
      <c r="DQL59" s="61"/>
      <c r="DQM59" s="61"/>
      <c r="DQN59" s="61"/>
      <c r="DQO59" s="62"/>
      <c r="DQP59" s="53"/>
      <c r="DQQ59" s="60"/>
      <c r="DQR59" s="60"/>
      <c r="DQS59" s="61"/>
      <c r="DQT59" s="61"/>
      <c r="DQU59" s="61"/>
      <c r="DQV59" s="61"/>
      <c r="DQW59" s="62"/>
      <c r="DQX59" s="53"/>
      <c r="DQY59" s="60"/>
      <c r="DQZ59" s="60"/>
      <c r="DRA59" s="61"/>
      <c r="DRB59" s="61"/>
      <c r="DRC59" s="61"/>
      <c r="DRD59" s="61"/>
      <c r="DRE59" s="62"/>
      <c r="DRF59" s="53"/>
      <c r="DRG59" s="60"/>
      <c r="DRH59" s="60"/>
      <c r="DRI59" s="61"/>
      <c r="DRJ59" s="61"/>
      <c r="DRK59" s="61"/>
      <c r="DRL59" s="61"/>
      <c r="DRM59" s="62"/>
      <c r="DRN59" s="53"/>
      <c r="DRO59" s="60"/>
      <c r="DRP59" s="60"/>
      <c r="DRQ59" s="61"/>
      <c r="DRR59" s="61"/>
      <c r="DRS59" s="61"/>
      <c r="DRT59" s="61"/>
      <c r="DRU59" s="62"/>
      <c r="DRV59" s="53"/>
      <c r="DRW59" s="60"/>
      <c r="DRX59" s="60"/>
      <c r="DRY59" s="61"/>
      <c r="DRZ59" s="61"/>
      <c r="DSA59" s="61"/>
      <c r="DSB59" s="61"/>
      <c r="DSC59" s="62"/>
      <c r="DSD59" s="53"/>
      <c r="DSE59" s="60"/>
      <c r="DSF59" s="60"/>
      <c r="DSG59" s="61"/>
      <c r="DSH59" s="61"/>
      <c r="DSI59" s="61"/>
      <c r="DSJ59" s="61"/>
      <c r="DSK59" s="62"/>
      <c r="DSL59" s="53"/>
      <c r="DSM59" s="60"/>
      <c r="DSN59" s="60"/>
      <c r="DSO59" s="61"/>
      <c r="DSP59" s="61"/>
      <c r="DSQ59" s="61"/>
      <c r="DSR59" s="61"/>
      <c r="DSS59" s="62"/>
      <c r="DST59" s="53"/>
      <c r="DSU59" s="60"/>
      <c r="DSV59" s="60"/>
      <c r="DSW59" s="61"/>
      <c r="DSX59" s="61"/>
      <c r="DSY59" s="61"/>
      <c r="DSZ59" s="61"/>
      <c r="DTA59" s="62"/>
      <c r="DTB59" s="53"/>
      <c r="DTC59" s="60"/>
      <c r="DTD59" s="60"/>
      <c r="DTE59" s="61"/>
      <c r="DTF59" s="61"/>
      <c r="DTG59" s="61"/>
      <c r="DTH59" s="61"/>
      <c r="DTI59" s="62"/>
      <c r="DTJ59" s="53"/>
      <c r="DTK59" s="60"/>
      <c r="DTL59" s="60"/>
      <c r="DTM59" s="61"/>
      <c r="DTN59" s="61"/>
      <c r="DTO59" s="61"/>
      <c r="DTP59" s="61"/>
      <c r="DTQ59" s="62"/>
      <c r="DTR59" s="53"/>
      <c r="DTS59" s="60"/>
      <c r="DTT59" s="60"/>
      <c r="DTU59" s="61"/>
      <c r="DTV59" s="61"/>
      <c r="DTW59" s="61"/>
      <c r="DTX59" s="61"/>
      <c r="DTY59" s="62"/>
      <c r="DTZ59" s="53"/>
      <c r="DUA59" s="60"/>
      <c r="DUB59" s="60"/>
      <c r="DUC59" s="61"/>
      <c r="DUD59" s="61"/>
      <c r="DUE59" s="61"/>
      <c r="DUF59" s="61"/>
      <c r="DUG59" s="62"/>
      <c r="DUH59" s="53"/>
      <c r="DUI59" s="60"/>
      <c r="DUJ59" s="60"/>
      <c r="DUK59" s="61"/>
      <c r="DUL59" s="61"/>
      <c r="DUM59" s="61"/>
      <c r="DUN59" s="61"/>
      <c r="DUO59" s="62"/>
      <c r="DUP59" s="53"/>
      <c r="DUQ59" s="60"/>
      <c r="DUR59" s="60"/>
      <c r="DUS59" s="61"/>
      <c r="DUT59" s="61"/>
      <c r="DUU59" s="61"/>
      <c r="DUV59" s="61"/>
      <c r="DUW59" s="62"/>
      <c r="DUX59" s="53"/>
      <c r="DUY59" s="60"/>
      <c r="DUZ59" s="60"/>
      <c r="DVA59" s="61"/>
      <c r="DVB59" s="61"/>
      <c r="DVC59" s="61"/>
      <c r="DVD59" s="61"/>
      <c r="DVE59" s="62"/>
      <c r="DVF59" s="53"/>
      <c r="DVG59" s="60"/>
      <c r="DVH59" s="60"/>
      <c r="DVI59" s="61"/>
      <c r="DVJ59" s="61"/>
      <c r="DVK59" s="61"/>
      <c r="DVL59" s="61"/>
      <c r="DVM59" s="62"/>
      <c r="DVN59" s="53"/>
      <c r="DVO59" s="60"/>
      <c r="DVP59" s="60"/>
      <c r="DVQ59" s="61"/>
      <c r="DVR59" s="61"/>
      <c r="DVS59" s="61"/>
      <c r="DVT59" s="61"/>
      <c r="DVU59" s="62"/>
      <c r="DVV59" s="53"/>
      <c r="DVW59" s="60"/>
      <c r="DVX59" s="60"/>
      <c r="DVY59" s="61"/>
      <c r="DVZ59" s="61"/>
      <c r="DWA59" s="61"/>
      <c r="DWB59" s="61"/>
      <c r="DWC59" s="62"/>
      <c r="DWD59" s="53"/>
      <c r="DWE59" s="60"/>
      <c r="DWF59" s="60"/>
      <c r="DWG59" s="61"/>
      <c r="DWH59" s="61"/>
      <c r="DWI59" s="61"/>
      <c r="DWJ59" s="61"/>
      <c r="DWK59" s="62"/>
      <c r="DWL59" s="53"/>
      <c r="DWM59" s="60"/>
      <c r="DWN59" s="60"/>
      <c r="DWO59" s="61"/>
      <c r="DWP59" s="61"/>
      <c r="DWQ59" s="61"/>
      <c r="DWR59" s="61"/>
      <c r="DWS59" s="62"/>
      <c r="DWT59" s="53"/>
      <c r="DWU59" s="60"/>
      <c r="DWV59" s="60"/>
      <c r="DWW59" s="61"/>
      <c r="DWX59" s="61"/>
      <c r="DWY59" s="61"/>
      <c r="DWZ59" s="61"/>
      <c r="DXA59" s="62"/>
      <c r="DXB59" s="53"/>
      <c r="DXC59" s="60"/>
      <c r="DXD59" s="60"/>
      <c r="DXE59" s="61"/>
      <c r="DXF59" s="61"/>
      <c r="DXG59" s="61"/>
      <c r="DXH59" s="61"/>
      <c r="DXI59" s="62"/>
      <c r="DXJ59" s="53"/>
      <c r="DXK59" s="60"/>
      <c r="DXL59" s="60"/>
      <c r="DXM59" s="61"/>
      <c r="DXN59" s="61"/>
      <c r="DXO59" s="61"/>
      <c r="DXP59" s="61"/>
      <c r="DXQ59" s="62"/>
      <c r="DXR59" s="53"/>
      <c r="DXS59" s="60"/>
      <c r="DXT59" s="60"/>
      <c r="DXU59" s="61"/>
      <c r="DXV59" s="61"/>
      <c r="DXW59" s="61"/>
      <c r="DXX59" s="61"/>
      <c r="DXY59" s="62"/>
      <c r="DXZ59" s="53"/>
      <c r="DYA59" s="60"/>
      <c r="DYB59" s="60"/>
      <c r="DYC59" s="61"/>
      <c r="DYD59" s="61"/>
      <c r="DYE59" s="61"/>
      <c r="DYF59" s="61"/>
      <c r="DYG59" s="62"/>
      <c r="DYH59" s="53"/>
      <c r="DYI59" s="60"/>
      <c r="DYJ59" s="60"/>
      <c r="DYK59" s="61"/>
      <c r="DYL59" s="61"/>
      <c r="DYM59" s="61"/>
      <c r="DYN59" s="61"/>
      <c r="DYO59" s="62"/>
      <c r="DYP59" s="53"/>
      <c r="DYQ59" s="60"/>
      <c r="DYR59" s="60"/>
      <c r="DYS59" s="61"/>
      <c r="DYT59" s="61"/>
      <c r="DYU59" s="61"/>
      <c r="DYV59" s="61"/>
      <c r="DYW59" s="62"/>
      <c r="DYX59" s="53"/>
      <c r="DYY59" s="60"/>
      <c r="DYZ59" s="60"/>
      <c r="DZA59" s="61"/>
      <c r="DZB59" s="61"/>
      <c r="DZC59" s="61"/>
      <c r="DZD59" s="61"/>
      <c r="DZE59" s="62"/>
      <c r="DZF59" s="53"/>
      <c r="DZG59" s="60"/>
      <c r="DZH59" s="60"/>
      <c r="DZI59" s="61"/>
      <c r="DZJ59" s="61"/>
      <c r="DZK59" s="61"/>
      <c r="DZL59" s="61"/>
      <c r="DZM59" s="62"/>
      <c r="DZN59" s="53"/>
      <c r="DZO59" s="60"/>
      <c r="DZP59" s="60"/>
      <c r="DZQ59" s="61"/>
      <c r="DZR59" s="61"/>
      <c r="DZS59" s="61"/>
      <c r="DZT59" s="61"/>
      <c r="DZU59" s="62"/>
      <c r="DZV59" s="53"/>
      <c r="DZW59" s="60"/>
      <c r="DZX59" s="60"/>
      <c r="DZY59" s="61"/>
      <c r="DZZ59" s="61"/>
      <c r="EAA59" s="61"/>
      <c r="EAB59" s="61"/>
      <c r="EAC59" s="62"/>
      <c r="EAD59" s="53"/>
      <c r="EAE59" s="60"/>
      <c r="EAF59" s="60"/>
      <c r="EAG59" s="61"/>
      <c r="EAH59" s="61"/>
      <c r="EAI59" s="61"/>
      <c r="EAJ59" s="61"/>
      <c r="EAK59" s="62"/>
      <c r="EAL59" s="53"/>
      <c r="EAM59" s="60"/>
      <c r="EAN59" s="60"/>
      <c r="EAO59" s="61"/>
      <c r="EAP59" s="61"/>
      <c r="EAQ59" s="61"/>
      <c r="EAR59" s="61"/>
      <c r="EAS59" s="62"/>
      <c r="EAT59" s="53"/>
      <c r="EAU59" s="60"/>
      <c r="EAV59" s="60"/>
      <c r="EAW59" s="61"/>
      <c r="EAX59" s="61"/>
      <c r="EAY59" s="61"/>
      <c r="EAZ59" s="61"/>
      <c r="EBA59" s="62"/>
      <c r="EBB59" s="53"/>
      <c r="EBC59" s="60"/>
      <c r="EBD59" s="60"/>
      <c r="EBE59" s="61"/>
      <c r="EBF59" s="61"/>
      <c r="EBG59" s="61"/>
      <c r="EBH59" s="61"/>
      <c r="EBI59" s="62"/>
      <c r="EBJ59" s="53"/>
      <c r="EBK59" s="60"/>
      <c r="EBL59" s="60"/>
      <c r="EBM59" s="61"/>
      <c r="EBN59" s="61"/>
      <c r="EBO59" s="61"/>
      <c r="EBP59" s="61"/>
      <c r="EBQ59" s="62"/>
      <c r="EBR59" s="53"/>
      <c r="EBS59" s="60"/>
      <c r="EBT59" s="60"/>
      <c r="EBU59" s="61"/>
      <c r="EBV59" s="61"/>
      <c r="EBW59" s="61"/>
      <c r="EBX59" s="61"/>
      <c r="EBY59" s="62"/>
      <c r="EBZ59" s="53"/>
      <c r="ECA59" s="60"/>
      <c r="ECB59" s="60"/>
      <c r="ECC59" s="61"/>
      <c r="ECD59" s="61"/>
      <c r="ECE59" s="61"/>
      <c r="ECF59" s="61"/>
      <c r="ECG59" s="62"/>
      <c r="ECH59" s="53"/>
      <c r="ECI59" s="60"/>
      <c r="ECJ59" s="60"/>
      <c r="ECK59" s="61"/>
      <c r="ECL59" s="61"/>
      <c r="ECM59" s="61"/>
      <c r="ECN59" s="61"/>
      <c r="ECO59" s="62"/>
      <c r="ECP59" s="53"/>
      <c r="ECQ59" s="60"/>
      <c r="ECR59" s="60"/>
      <c r="ECS59" s="61"/>
      <c r="ECT59" s="61"/>
      <c r="ECU59" s="61"/>
      <c r="ECV59" s="61"/>
      <c r="ECW59" s="62"/>
      <c r="ECX59" s="53"/>
      <c r="ECY59" s="60"/>
      <c r="ECZ59" s="60"/>
      <c r="EDA59" s="61"/>
      <c r="EDB59" s="61"/>
      <c r="EDC59" s="61"/>
      <c r="EDD59" s="61"/>
      <c r="EDE59" s="62"/>
      <c r="EDF59" s="53"/>
      <c r="EDG59" s="60"/>
      <c r="EDH59" s="60"/>
      <c r="EDI59" s="61"/>
      <c r="EDJ59" s="61"/>
      <c r="EDK59" s="61"/>
      <c r="EDL59" s="61"/>
      <c r="EDM59" s="62"/>
      <c r="EDN59" s="53"/>
      <c r="EDO59" s="60"/>
      <c r="EDP59" s="60"/>
      <c r="EDQ59" s="61"/>
      <c r="EDR59" s="61"/>
      <c r="EDS59" s="61"/>
      <c r="EDT59" s="61"/>
      <c r="EDU59" s="62"/>
      <c r="EDV59" s="53"/>
      <c r="EDW59" s="60"/>
      <c r="EDX59" s="60"/>
      <c r="EDY59" s="61"/>
      <c r="EDZ59" s="61"/>
      <c r="EEA59" s="61"/>
      <c r="EEB59" s="61"/>
      <c r="EEC59" s="62"/>
      <c r="EED59" s="53"/>
      <c r="EEE59" s="60"/>
      <c r="EEF59" s="60"/>
      <c r="EEG59" s="61"/>
      <c r="EEH59" s="61"/>
      <c r="EEI59" s="61"/>
      <c r="EEJ59" s="61"/>
      <c r="EEK59" s="62"/>
      <c r="EEL59" s="53"/>
      <c r="EEM59" s="60"/>
      <c r="EEN59" s="60"/>
      <c r="EEO59" s="61"/>
      <c r="EEP59" s="61"/>
      <c r="EEQ59" s="61"/>
      <c r="EER59" s="61"/>
      <c r="EES59" s="62"/>
      <c r="EET59" s="53"/>
      <c r="EEU59" s="60"/>
      <c r="EEV59" s="60"/>
      <c r="EEW59" s="61"/>
      <c r="EEX59" s="61"/>
      <c r="EEY59" s="61"/>
      <c r="EEZ59" s="61"/>
      <c r="EFA59" s="62"/>
      <c r="EFB59" s="53"/>
      <c r="EFC59" s="60"/>
      <c r="EFD59" s="60"/>
      <c r="EFE59" s="61"/>
      <c r="EFF59" s="61"/>
      <c r="EFG59" s="61"/>
      <c r="EFH59" s="61"/>
      <c r="EFI59" s="62"/>
      <c r="EFJ59" s="53"/>
      <c r="EFK59" s="60"/>
      <c r="EFL59" s="60"/>
      <c r="EFM59" s="61"/>
      <c r="EFN59" s="61"/>
      <c r="EFO59" s="61"/>
      <c r="EFP59" s="61"/>
      <c r="EFQ59" s="62"/>
      <c r="EFR59" s="53"/>
      <c r="EFS59" s="60"/>
      <c r="EFT59" s="60"/>
      <c r="EFU59" s="61"/>
      <c r="EFV59" s="61"/>
      <c r="EFW59" s="61"/>
      <c r="EFX59" s="61"/>
      <c r="EFY59" s="62"/>
      <c r="EFZ59" s="53"/>
      <c r="EGA59" s="60"/>
      <c r="EGB59" s="60"/>
      <c r="EGC59" s="61"/>
      <c r="EGD59" s="61"/>
      <c r="EGE59" s="61"/>
      <c r="EGF59" s="61"/>
      <c r="EGG59" s="62"/>
      <c r="EGH59" s="53"/>
      <c r="EGI59" s="60"/>
      <c r="EGJ59" s="60"/>
      <c r="EGK59" s="61"/>
      <c r="EGL59" s="61"/>
      <c r="EGM59" s="61"/>
      <c r="EGN59" s="61"/>
      <c r="EGO59" s="62"/>
      <c r="EGP59" s="53"/>
      <c r="EGQ59" s="60"/>
      <c r="EGR59" s="60"/>
      <c r="EGS59" s="61"/>
      <c r="EGT59" s="61"/>
      <c r="EGU59" s="61"/>
      <c r="EGV59" s="61"/>
      <c r="EGW59" s="62"/>
      <c r="EGX59" s="53"/>
      <c r="EGY59" s="60"/>
      <c r="EGZ59" s="60"/>
      <c r="EHA59" s="61"/>
      <c r="EHB59" s="61"/>
      <c r="EHC59" s="61"/>
      <c r="EHD59" s="61"/>
      <c r="EHE59" s="62"/>
      <c r="EHF59" s="53"/>
      <c r="EHG59" s="60"/>
      <c r="EHH59" s="60"/>
      <c r="EHI59" s="61"/>
      <c r="EHJ59" s="61"/>
      <c r="EHK59" s="61"/>
      <c r="EHL59" s="61"/>
      <c r="EHM59" s="62"/>
      <c r="EHN59" s="53"/>
      <c r="EHO59" s="60"/>
      <c r="EHP59" s="60"/>
      <c r="EHQ59" s="61"/>
      <c r="EHR59" s="61"/>
      <c r="EHS59" s="61"/>
      <c r="EHT59" s="61"/>
      <c r="EHU59" s="62"/>
      <c r="EHV59" s="53"/>
      <c r="EHW59" s="60"/>
      <c r="EHX59" s="60"/>
      <c r="EHY59" s="61"/>
      <c r="EHZ59" s="61"/>
      <c r="EIA59" s="61"/>
      <c r="EIB59" s="61"/>
      <c r="EIC59" s="62"/>
      <c r="EID59" s="53"/>
      <c r="EIE59" s="60"/>
      <c r="EIF59" s="60"/>
      <c r="EIG59" s="61"/>
      <c r="EIH59" s="61"/>
      <c r="EII59" s="61"/>
      <c r="EIJ59" s="61"/>
      <c r="EIK59" s="62"/>
      <c r="EIL59" s="53"/>
      <c r="EIM59" s="60"/>
      <c r="EIN59" s="60"/>
      <c r="EIO59" s="61"/>
      <c r="EIP59" s="61"/>
      <c r="EIQ59" s="61"/>
      <c r="EIR59" s="61"/>
      <c r="EIS59" s="62"/>
      <c r="EIT59" s="53"/>
      <c r="EIU59" s="60"/>
      <c r="EIV59" s="60"/>
      <c r="EIW59" s="61"/>
      <c r="EIX59" s="61"/>
      <c r="EIY59" s="61"/>
      <c r="EIZ59" s="61"/>
      <c r="EJA59" s="62"/>
      <c r="EJB59" s="53"/>
      <c r="EJC59" s="60"/>
      <c r="EJD59" s="60"/>
      <c r="EJE59" s="61"/>
      <c r="EJF59" s="61"/>
      <c r="EJG59" s="61"/>
      <c r="EJH59" s="61"/>
      <c r="EJI59" s="62"/>
      <c r="EJJ59" s="53"/>
      <c r="EJK59" s="60"/>
      <c r="EJL59" s="60"/>
      <c r="EJM59" s="61"/>
      <c r="EJN59" s="61"/>
      <c r="EJO59" s="61"/>
      <c r="EJP59" s="61"/>
      <c r="EJQ59" s="62"/>
      <c r="EJR59" s="53"/>
      <c r="EJS59" s="60"/>
      <c r="EJT59" s="60"/>
      <c r="EJU59" s="61"/>
      <c r="EJV59" s="61"/>
      <c r="EJW59" s="61"/>
      <c r="EJX59" s="61"/>
      <c r="EJY59" s="62"/>
      <c r="EJZ59" s="53"/>
      <c r="EKA59" s="60"/>
      <c r="EKB59" s="60"/>
      <c r="EKC59" s="61"/>
      <c r="EKD59" s="61"/>
      <c r="EKE59" s="61"/>
      <c r="EKF59" s="61"/>
      <c r="EKG59" s="62"/>
      <c r="EKH59" s="53"/>
      <c r="EKI59" s="60"/>
      <c r="EKJ59" s="60"/>
      <c r="EKK59" s="61"/>
      <c r="EKL59" s="61"/>
      <c r="EKM59" s="61"/>
      <c r="EKN59" s="61"/>
      <c r="EKO59" s="62"/>
      <c r="EKP59" s="53"/>
      <c r="EKQ59" s="60"/>
      <c r="EKR59" s="60"/>
      <c r="EKS59" s="61"/>
      <c r="EKT59" s="61"/>
      <c r="EKU59" s="61"/>
      <c r="EKV59" s="61"/>
      <c r="EKW59" s="62"/>
      <c r="EKX59" s="53"/>
      <c r="EKY59" s="60"/>
      <c r="EKZ59" s="60"/>
      <c r="ELA59" s="61"/>
      <c r="ELB59" s="61"/>
      <c r="ELC59" s="61"/>
      <c r="ELD59" s="61"/>
      <c r="ELE59" s="62"/>
      <c r="ELF59" s="53"/>
      <c r="ELG59" s="60"/>
      <c r="ELH59" s="60"/>
      <c r="ELI59" s="61"/>
      <c r="ELJ59" s="61"/>
      <c r="ELK59" s="61"/>
      <c r="ELL59" s="61"/>
      <c r="ELM59" s="62"/>
      <c r="ELN59" s="53"/>
      <c r="ELO59" s="60"/>
      <c r="ELP59" s="60"/>
      <c r="ELQ59" s="61"/>
      <c r="ELR59" s="61"/>
      <c r="ELS59" s="61"/>
      <c r="ELT59" s="61"/>
      <c r="ELU59" s="62"/>
      <c r="ELV59" s="53"/>
      <c r="ELW59" s="60"/>
      <c r="ELX59" s="60"/>
      <c r="ELY59" s="61"/>
      <c r="ELZ59" s="61"/>
      <c r="EMA59" s="61"/>
      <c r="EMB59" s="61"/>
      <c r="EMC59" s="62"/>
      <c r="EMD59" s="53"/>
      <c r="EME59" s="60"/>
      <c r="EMF59" s="60"/>
      <c r="EMG59" s="61"/>
      <c r="EMH59" s="61"/>
      <c r="EMI59" s="61"/>
      <c r="EMJ59" s="61"/>
      <c r="EMK59" s="62"/>
      <c r="EML59" s="53"/>
      <c r="EMM59" s="60"/>
      <c r="EMN59" s="60"/>
      <c r="EMO59" s="61"/>
      <c r="EMP59" s="61"/>
      <c r="EMQ59" s="61"/>
      <c r="EMR59" s="61"/>
      <c r="EMS59" s="62"/>
      <c r="EMT59" s="53"/>
      <c r="EMU59" s="60"/>
      <c r="EMV59" s="60"/>
      <c r="EMW59" s="61"/>
      <c r="EMX59" s="61"/>
      <c r="EMY59" s="61"/>
      <c r="EMZ59" s="61"/>
      <c r="ENA59" s="62"/>
      <c r="ENB59" s="53"/>
      <c r="ENC59" s="60"/>
      <c r="END59" s="60"/>
      <c r="ENE59" s="61"/>
      <c r="ENF59" s="61"/>
      <c r="ENG59" s="61"/>
      <c r="ENH59" s="61"/>
      <c r="ENI59" s="62"/>
      <c r="ENJ59" s="53"/>
      <c r="ENK59" s="60"/>
      <c r="ENL59" s="60"/>
      <c r="ENM59" s="61"/>
      <c r="ENN59" s="61"/>
      <c r="ENO59" s="61"/>
      <c r="ENP59" s="61"/>
      <c r="ENQ59" s="62"/>
      <c r="ENR59" s="53"/>
      <c r="ENS59" s="60"/>
      <c r="ENT59" s="60"/>
      <c r="ENU59" s="61"/>
      <c r="ENV59" s="61"/>
      <c r="ENW59" s="61"/>
      <c r="ENX59" s="61"/>
      <c r="ENY59" s="62"/>
      <c r="ENZ59" s="53"/>
      <c r="EOA59" s="60"/>
      <c r="EOB59" s="60"/>
      <c r="EOC59" s="61"/>
      <c r="EOD59" s="61"/>
      <c r="EOE59" s="61"/>
      <c r="EOF59" s="61"/>
      <c r="EOG59" s="62"/>
      <c r="EOH59" s="53"/>
      <c r="EOI59" s="60"/>
      <c r="EOJ59" s="60"/>
      <c r="EOK59" s="61"/>
      <c r="EOL59" s="61"/>
      <c r="EOM59" s="61"/>
      <c r="EON59" s="61"/>
      <c r="EOO59" s="62"/>
      <c r="EOP59" s="53"/>
      <c r="EOQ59" s="60"/>
      <c r="EOR59" s="60"/>
      <c r="EOS59" s="61"/>
      <c r="EOT59" s="61"/>
      <c r="EOU59" s="61"/>
      <c r="EOV59" s="61"/>
      <c r="EOW59" s="62"/>
      <c r="EOX59" s="53"/>
      <c r="EOY59" s="60"/>
      <c r="EOZ59" s="60"/>
      <c r="EPA59" s="61"/>
      <c r="EPB59" s="61"/>
      <c r="EPC59" s="61"/>
      <c r="EPD59" s="61"/>
      <c r="EPE59" s="62"/>
      <c r="EPF59" s="53"/>
      <c r="EPG59" s="60"/>
      <c r="EPH59" s="60"/>
      <c r="EPI59" s="61"/>
      <c r="EPJ59" s="61"/>
      <c r="EPK59" s="61"/>
      <c r="EPL59" s="61"/>
      <c r="EPM59" s="62"/>
      <c r="EPN59" s="53"/>
      <c r="EPO59" s="60"/>
      <c r="EPP59" s="60"/>
      <c r="EPQ59" s="61"/>
      <c r="EPR59" s="61"/>
      <c r="EPS59" s="61"/>
      <c r="EPT59" s="61"/>
      <c r="EPU59" s="62"/>
      <c r="EPV59" s="53"/>
      <c r="EPW59" s="60"/>
      <c r="EPX59" s="60"/>
      <c r="EPY59" s="61"/>
      <c r="EPZ59" s="61"/>
      <c r="EQA59" s="61"/>
      <c r="EQB59" s="61"/>
      <c r="EQC59" s="62"/>
      <c r="EQD59" s="53"/>
      <c r="EQE59" s="60"/>
      <c r="EQF59" s="60"/>
      <c r="EQG59" s="61"/>
      <c r="EQH59" s="61"/>
      <c r="EQI59" s="61"/>
      <c r="EQJ59" s="61"/>
      <c r="EQK59" s="62"/>
      <c r="EQL59" s="53"/>
      <c r="EQM59" s="60"/>
      <c r="EQN59" s="60"/>
      <c r="EQO59" s="61"/>
      <c r="EQP59" s="61"/>
      <c r="EQQ59" s="61"/>
      <c r="EQR59" s="61"/>
      <c r="EQS59" s="62"/>
      <c r="EQT59" s="53"/>
      <c r="EQU59" s="60"/>
      <c r="EQV59" s="60"/>
      <c r="EQW59" s="61"/>
      <c r="EQX59" s="61"/>
      <c r="EQY59" s="61"/>
      <c r="EQZ59" s="61"/>
      <c r="ERA59" s="62"/>
      <c r="ERB59" s="53"/>
      <c r="ERC59" s="60"/>
      <c r="ERD59" s="60"/>
      <c r="ERE59" s="61"/>
      <c r="ERF59" s="61"/>
      <c r="ERG59" s="61"/>
      <c r="ERH59" s="61"/>
      <c r="ERI59" s="62"/>
      <c r="ERJ59" s="53"/>
      <c r="ERK59" s="60"/>
      <c r="ERL59" s="60"/>
      <c r="ERM59" s="61"/>
      <c r="ERN59" s="61"/>
      <c r="ERO59" s="61"/>
      <c r="ERP59" s="61"/>
      <c r="ERQ59" s="62"/>
      <c r="ERR59" s="53"/>
      <c r="ERS59" s="60"/>
      <c r="ERT59" s="60"/>
      <c r="ERU59" s="61"/>
      <c r="ERV59" s="61"/>
      <c r="ERW59" s="61"/>
      <c r="ERX59" s="61"/>
      <c r="ERY59" s="62"/>
      <c r="ERZ59" s="53"/>
      <c r="ESA59" s="60"/>
      <c r="ESB59" s="60"/>
      <c r="ESC59" s="61"/>
      <c r="ESD59" s="61"/>
      <c r="ESE59" s="61"/>
      <c r="ESF59" s="61"/>
      <c r="ESG59" s="62"/>
      <c r="ESH59" s="53"/>
      <c r="ESI59" s="60"/>
      <c r="ESJ59" s="60"/>
      <c r="ESK59" s="61"/>
      <c r="ESL59" s="61"/>
      <c r="ESM59" s="61"/>
      <c r="ESN59" s="61"/>
      <c r="ESO59" s="62"/>
      <c r="ESP59" s="53"/>
      <c r="ESQ59" s="60"/>
      <c r="ESR59" s="60"/>
      <c r="ESS59" s="61"/>
      <c r="EST59" s="61"/>
      <c r="ESU59" s="61"/>
      <c r="ESV59" s="61"/>
      <c r="ESW59" s="62"/>
      <c r="ESX59" s="53"/>
      <c r="ESY59" s="60"/>
      <c r="ESZ59" s="60"/>
      <c r="ETA59" s="61"/>
      <c r="ETB59" s="61"/>
      <c r="ETC59" s="61"/>
      <c r="ETD59" s="61"/>
      <c r="ETE59" s="62"/>
      <c r="ETF59" s="53"/>
      <c r="ETG59" s="60"/>
      <c r="ETH59" s="60"/>
      <c r="ETI59" s="61"/>
      <c r="ETJ59" s="61"/>
      <c r="ETK59" s="61"/>
      <c r="ETL59" s="61"/>
      <c r="ETM59" s="62"/>
      <c r="ETN59" s="53"/>
      <c r="ETO59" s="60"/>
      <c r="ETP59" s="60"/>
      <c r="ETQ59" s="61"/>
      <c r="ETR59" s="61"/>
      <c r="ETS59" s="61"/>
      <c r="ETT59" s="61"/>
      <c r="ETU59" s="62"/>
      <c r="ETV59" s="53"/>
      <c r="ETW59" s="60"/>
      <c r="ETX59" s="60"/>
      <c r="ETY59" s="61"/>
      <c r="ETZ59" s="61"/>
      <c r="EUA59" s="61"/>
      <c r="EUB59" s="61"/>
      <c r="EUC59" s="62"/>
      <c r="EUD59" s="53"/>
      <c r="EUE59" s="60"/>
      <c r="EUF59" s="60"/>
      <c r="EUG59" s="61"/>
      <c r="EUH59" s="61"/>
      <c r="EUI59" s="61"/>
      <c r="EUJ59" s="61"/>
      <c r="EUK59" s="62"/>
      <c r="EUL59" s="53"/>
      <c r="EUM59" s="60"/>
      <c r="EUN59" s="60"/>
      <c r="EUO59" s="61"/>
      <c r="EUP59" s="61"/>
      <c r="EUQ59" s="61"/>
      <c r="EUR59" s="61"/>
      <c r="EUS59" s="62"/>
      <c r="EUT59" s="53"/>
      <c r="EUU59" s="60"/>
      <c r="EUV59" s="60"/>
      <c r="EUW59" s="61"/>
      <c r="EUX59" s="61"/>
      <c r="EUY59" s="61"/>
      <c r="EUZ59" s="61"/>
      <c r="EVA59" s="62"/>
      <c r="EVB59" s="53"/>
      <c r="EVC59" s="60"/>
      <c r="EVD59" s="60"/>
      <c r="EVE59" s="61"/>
      <c r="EVF59" s="61"/>
      <c r="EVG59" s="61"/>
      <c r="EVH59" s="61"/>
      <c r="EVI59" s="62"/>
      <c r="EVJ59" s="53"/>
      <c r="EVK59" s="60"/>
      <c r="EVL59" s="60"/>
      <c r="EVM59" s="61"/>
      <c r="EVN59" s="61"/>
      <c r="EVO59" s="61"/>
      <c r="EVP59" s="61"/>
      <c r="EVQ59" s="62"/>
      <c r="EVR59" s="53"/>
      <c r="EVS59" s="60"/>
      <c r="EVT59" s="60"/>
      <c r="EVU59" s="61"/>
      <c r="EVV59" s="61"/>
      <c r="EVW59" s="61"/>
      <c r="EVX59" s="61"/>
      <c r="EVY59" s="62"/>
      <c r="EVZ59" s="53"/>
      <c r="EWA59" s="60"/>
      <c r="EWB59" s="60"/>
      <c r="EWC59" s="61"/>
      <c r="EWD59" s="61"/>
      <c r="EWE59" s="61"/>
      <c r="EWF59" s="61"/>
      <c r="EWG59" s="62"/>
      <c r="EWH59" s="53"/>
      <c r="EWI59" s="60"/>
      <c r="EWJ59" s="60"/>
      <c r="EWK59" s="61"/>
      <c r="EWL59" s="61"/>
      <c r="EWM59" s="61"/>
      <c r="EWN59" s="61"/>
      <c r="EWO59" s="62"/>
      <c r="EWP59" s="53"/>
      <c r="EWQ59" s="60"/>
      <c r="EWR59" s="60"/>
      <c r="EWS59" s="61"/>
      <c r="EWT59" s="61"/>
      <c r="EWU59" s="61"/>
      <c r="EWV59" s="61"/>
      <c r="EWW59" s="62"/>
      <c r="EWX59" s="53"/>
      <c r="EWY59" s="60"/>
      <c r="EWZ59" s="60"/>
      <c r="EXA59" s="61"/>
      <c r="EXB59" s="61"/>
      <c r="EXC59" s="61"/>
      <c r="EXD59" s="61"/>
      <c r="EXE59" s="62"/>
      <c r="EXF59" s="53"/>
      <c r="EXG59" s="60"/>
      <c r="EXH59" s="60"/>
      <c r="EXI59" s="61"/>
      <c r="EXJ59" s="61"/>
      <c r="EXK59" s="61"/>
      <c r="EXL59" s="61"/>
      <c r="EXM59" s="62"/>
      <c r="EXN59" s="53"/>
      <c r="EXO59" s="60"/>
      <c r="EXP59" s="60"/>
      <c r="EXQ59" s="61"/>
      <c r="EXR59" s="61"/>
      <c r="EXS59" s="61"/>
      <c r="EXT59" s="61"/>
      <c r="EXU59" s="62"/>
      <c r="EXV59" s="53"/>
      <c r="EXW59" s="60"/>
      <c r="EXX59" s="60"/>
      <c r="EXY59" s="61"/>
      <c r="EXZ59" s="61"/>
      <c r="EYA59" s="61"/>
      <c r="EYB59" s="61"/>
      <c r="EYC59" s="62"/>
      <c r="EYD59" s="53"/>
      <c r="EYE59" s="60"/>
      <c r="EYF59" s="60"/>
      <c r="EYG59" s="61"/>
      <c r="EYH59" s="61"/>
      <c r="EYI59" s="61"/>
      <c r="EYJ59" s="61"/>
      <c r="EYK59" s="62"/>
      <c r="EYL59" s="53"/>
      <c r="EYM59" s="60"/>
      <c r="EYN59" s="60"/>
      <c r="EYO59" s="61"/>
      <c r="EYP59" s="61"/>
      <c r="EYQ59" s="61"/>
      <c r="EYR59" s="61"/>
      <c r="EYS59" s="62"/>
      <c r="EYT59" s="53"/>
      <c r="EYU59" s="60"/>
      <c r="EYV59" s="60"/>
      <c r="EYW59" s="61"/>
      <c r="EYX59" s="61"/>
      <c r="EYY59" s="61"/>
      <c r="EYZ59" s="61"/>
      <c r="EZA59" s="62"/>
      <c r="EZB59" s="53"/>
      <c r="EZC59" s="60"/>
      <c r="EZD59" s="60"/>
      <c r="EZE59" s="61"/>
      <c r="EZF59" s="61"/>
      <c r="EZG59" s="61"/>
      <c r="EZH59" s="61"/>
      <c r="EZI59" s="62"/>
      <c r="EZJ59" s="53"/>
      <c r="EZK59" s="60"/>
      <c r="EZL59" s="60"/>
      <c r="EZM59" s="61"/>
      <c r="EZN59" s="61"/>
      <c r="EZO59" s="61"/>
      <c r="EZP59" s="61"/>
      <c r="EZQ59" s="62"/>
      <c r="EZR59" s="53"/>
      <c r="EZS59" s="60"/>
      <c r="EZT59" s="60"/>
      <c r="EZU59" s="61"/>
      <c r="EZV59" s="61"/>
      <c r="EZW59" s="61"/>
      <c r="EZX59" s="61"/>
      <c r="EZY59" s="62"/>
      <c r="EZZ59" s="53"/>
      <c r="FAA59" s="60"/>
      <c r="FAB59" s="60"/>
      <c r="FAC59" s="61"/>
      <c r="FAD59" s="61"/>
      <c r="FAE59" s="61"/>
      <c r="FAF59" s="61"/>
      <c r="FAG59" s="62"/>
      <c r="FAH59" s="53"/>
      <c r="FAI59" s="60"/>
      <c r="FAJ59" s="60"/>
      <c r="FAK59" s="61"/>
      <c r="FAL59" s="61"/>
      <c r="FAM59" s="61"/>
      <c r="FAN59" s="61"/>
      <c r="FAO59" s="62"/>
      <c r="FAP59" s="53"/>
      <c r="FAQ59" s="60"/>
      <c r="FAR59" s="60"/>
      <c r="FAS59" s="61"/>
      <c r="FAT59" s="61"/>
      <c r="FAU59" s="61"/>
      <c r="FAV59" s="61"/>
      <c r="FAW59" s="62"/>
      <c r="FAX59" s="53"/>
      <c r="FAY59" s="60"/>
      <c r="FAZ59" s="60"/>
      <c r="FBA59" s="61"/>
      <c r="FBB59" s="61"/>
      <c r="FBC59" s="61"/>
      <c r="FBD59" s="61"/>
      <c r="FBE59" s="62"/>
      <c r="FBF59" s="53"/>
      <c r="FBG59" s="60"/>
      <c r="FBH59" s="60"/>
      <c r="FBI59" s="61"/>
      <c r="FBJ59" s="61"/>
      <c r="FBK59" s="61"/>
      <c r="FBL59" s="61"/>
      <c r="FBM59" s="62"/>
      <c r="FBN59" s="53"/>
      <c r="FBO59" s="60"/>
      <c r="FBP59" s="60"/>
      <c r="FBQ59" s="61"/>
      <c r="FBR59" s="61"/>
      <c r="FBS59" s="61"/>
      <c r="FBT59" s="61"/>
      <c r="FBU59" s="62"/>
      <c r="FBV59" s="53"/>
      <c r="FBW59" s="60"/>
      <c r="FBX59" s="60"/>
      <c r="FBY59" s="61"/>
      <c r="FBZ59" s="61"/>
      <c r="FCA59" s="61"/>
      <c r="FCB59" s="61"/>
      <c r="FCC59" s="62"/>
      <c r="FCD59" s="53"/>
      <c r="FCE59" s="60"/>
      <c r="FCF59" s="60"/>
      <c r="FCG59" s="61"/>
      <c r="FCH59" s="61"/>
      <c r="FCI59" s="61"/>
      <c r="FCJ59" s="61"/>
      <c r="FCK59" s="62"/>
      <c r="FCL59" s="53"/>
      <c r="FCM59" s="60"/>
      <c r="FCN59" s="60"/>
      <c r="FCO59" s="61"/>
      <c r="FCP59" s="61"/>
      <c r="FCQ59" s="61"/>
      <c r="FCR59" s="61"/>
      <c r="FCS59" s="62"/>
      <c r="FCT59" s="53"/>
      <c r="FCU59" s="60"/>
      <c r="FCV59" s="60"/>
      <c r="FCW59" s="61"/>
      <c r="FCX59" s="61"/>
      <c r="FCY59" s="61"/>
      <c r="FCZ59" s="61"/>
      <c r="FDA59" s="62"/>
      <c r="FDB59" s="53"/>
      <c r="FDC59" s="60"/>
      <c r="FDD59" s="60"/>
      <c r="FDE59" s="61"/>
      <c r="FDF59" s="61"/>
      <c r="FDG59" s="61"/>
      <c r="FDH59" s="61"/>
      <c r="FDI59" s="62"/>
      <c r="FDJ59" s="53"/>
      <c r="FDK59" s="60"/>
      <c r="FDL59" s="60"/>
      <c r="FDM59" s="61"/>
      <c r="FDN59" s="61"/>
      <c r="FDO59" s="61"/>
      <c r="FDP59" s="61"/>
      <c r="FDQ59" s="62"/>
      <c r="FDR59" s="53"/>
      <c r="FDS59" s="60"/>
      <c r="FDT59" s="60"/>
      <c r="FDU59" s="61"/>
      <c r="FDV59" s="61"/>
      <c r="FDW59" s="61"/>
      <c r="FDX59" s="61"/>
      <c r="FDY59" s="62"/>
      <c r="FDZ59" s="53"/>
      <c r="FEA59" s="60"/>
      <c r="FEB59" s="60"/>
      <c r="FEC59" s="61"/>
      <c r="FED59" s="61"/>
      <c r="FEE59" s="61"/>
      <c r="FEF59" s="61"/>
      <c r="FEG59" s="62"/>
      <c r="FEH59" s="53"/>
      <c r="FEI59" s="60"/>
      <c r="FEJ59" s="60"/>
      <c r="FEK59" s="61"/>
      <c r="FEL59" s="61"/>
      <c r="FEM59" s="61"/>
      <c r="FEN59" s="61"/>
      <c r="FEO59" s="62"/>
      <c r="FEP59" s="53"/>
      <c r="FEQ59" s="60"/>
      <c r="FER59" s="60"/>
      <c r="FES59" s="61"/>
      <c r="FET59" s="61"/>
      <c r="FEU59" s="61"/>
      <c r="FEV59" s="61"/>
      <c r="FEW59" s="62"/>
      <c r="FEX59" s="53"/>
      <c r="FEY59" s="60"/>
      <c r="FEZ59" s="60"/>
      <c r="FFA59" s="61"/>
      <c r="FFB59" s="61"/>
      <c r="FFC59" s="61"/>
      <c r="FFD59" s="61"/>
      <c r="FFE59" s="62"/>
      <c r="FFF59" s="53"/>
      <c r="FFG59" s="60"/>
      <c r="FFH59" s="60"/>
      <c r="FFI59" s="61"/>
      <c r="FFJ59" s="61"/>
      <c r="FFK59" s="61"/>
      <c r="FFL59" s="61"/>
      <c r="FFM59" s="62"/>
      <c r="FFN59" s="53"/>
      <c r="FFO59" s="60"/>
      <c r="FFP59" s="60"/>
      <c r="FFQ59" s="61"/>
      <c r="FFR59" s="61"/>
      <c r="FFS59" s="61"/>
      <c r="FFT59" s="61"/>
      <c r="FFU59" s="62"/>
      <c r="FFV59" s="53"/>
      <c r="FFW59" s="60"/>
      <c r="FFX59" s="60"/>
      <c r="FFY59" s="61"/>
      <c r="FFZ59" s="61"/>
      <c r="FGA59" s="61"/>
      <c r="FGB59" s="61"/>
      <c r="FGC59" s="62"/>
      <c r="FGD59" s="53"/>
      <c r="FGE59" s="60"/>
      <c r="FGF59" s="60"/>
      <c r="FGG59" s="61"/>
      <c r="FGH59" s="61"/>
      <c r="FGI59" s="61"/>
      <c r="FGJ59" s="61"/>
      <c r="FGK59" s="62"/>
      <c r="FGL59" s="53"/>
      <c r="FGM59" s="60"/>
      <c r="FGN59" s="60"/>
      <c r="FGO59" s="61"/>
      <c r="FGP59" s="61"/>
      <c r="FGQ59" s="61"/>
      <c r="FGR59" s="61"/>
      <c r="FGS59" s="62"/>
      <c r="FGT59" s="53"/>
      <c r="FGU59" s="60"/>
      <c r="FGV59" s="60"/>
      <c r="FGW59" s="61"/>
      <c r="FGX59" s="61"/>
      <c r="FGY59" s="61"/>
      <c r="FGZ59" s="61"/>
      <c r="FHA59" s="62"/>
      <c r="FHB59" s="53"/>
      <c r="FHC59" s="60"/>
      <c r="FHD59" s="60"/>
      <c r="FHE59" s="61"/>
      <c r="FHF59" s="61"/>
      <c r="FHG59" s="61"/>
      <c r="FHH59" s="61"/>
      <c r="FHI59" s="62"/>
      <c r="FHJ59" s="53"/>
      <c r="FHK59" s="60"/>
      <c r="FHL59" s="60"/>
      <c r="FHM59" s="61"/>
      <c r="FHN59" s="61"/>
      <c r="FHO59" s="61"/>
      <c r="FHP59" s="61"/>
      <c r="FHQ59" s="62"/>
      <c r="FHR59" s="53"/>
      <c r="FHS59" s="60"/>
      <c r="FHT59" s="60"/>
      <c r="FHU59" s="61"/>
      <c r="FHV59" s="61"/>
      <c r="FHW59" s="61"/>
      <c r="FHX59" s="61"/>
      <c r="FHY59" s="62"/>
      <c r="FHZ59" s="53"/>
      <c r="FIA59" s="60"/>
      <c r="FIB59" s="60"/>
      <c r="FIC59" s="61"/>
      <c r="FID59" s="61"/>
      <c r="FIE59" s="61"/>
      <c r="FIF59" s="61"/>
      <c r="FIG59" s="62"/>
      <c r="FIH59" s="53"/>
      <c r="FII59" s="60"/>
      <c r="FIJ59" s="60"/>
      <c r="FIK59" s="61"/>
      <c r="FIL59" s="61"/>
      <c r="FIM59" s="61"/>
      <c r="FIN59" s="61"/>
      <c r="FIO59" s="62"/>
      <c r="FIP59" s="53"/>
      <c r="FIQ59" s="60"/>
      <c r="FIR59" s="60"/>
      <c r="FIS59" s="61"/>
      <c r="FIT59" s="61"/>
      <c r="FIU59" s="61"/>
      <c r="FIV59" s="61"/>
      <c r="FIW59" s="62"/>
      <c r="FIX59" s="53"/>
      <c r="FIY59" s="60"/>
      <c r="FIZ59" s="60"/>
      <c r="FJA59" s="61"/>
      <c r="FJB59" s="61"/>
      <c r="FJC59" s="61"/>
      <c r="FJD59" s="61"/>
      <c r="FJE59" s="62"/>
      <c r="FJF59" s="53"/>
      <c r="FJG59" s="60"/>
      <c r="FJH59" s="60"/>
      <c r="FJI59" s="61"/>
      <c r="FJJ59" s="61"/>
      <c r="FJK59" s="61"/>
      <c r="FJL59" s="61"/>
      <c r="FJM59" s="62"/>
      <c r="FJN59" s="53"/>
      <c r="FJO59" s="60"/>
      <c r="FJP59" s="60"/>
      <c r="FJQ59" s="61"/>
      <c r="FJR59" s="61"/>
      <c r="FJS59" s="61"/>
      <c r="FJT59" s="61"/>
      <c r="FJU59" s="62"/>
      <c r="FJV59" s="53"/>
      <c r="FJW59" s="60"/>
      <c r="FJX59" s="60"/>
      <c r="FJY59" s="61"/>
      <c r="FJZ59" s="61"/>
      <c r="FKA59" s="61"/>
      <c r="FKB59" s="61"/>
      <c r="FKC59" s="62"/>
      <c r="FKD59" s="53"/>
      <c r="FKE59" s="60"/>
      <c r="FKF59" s="60"/>
      <c r="FKG59" s="61"/>
      <c r="FKH59" s="61"/>
      <c r="FKI59" s="61"/>
      <c r="FKJ59" s="61"/>
      <c r="FKK59" s="62"/>
      <c r="FKL59" s="53"/>
      <c r="FKM59" s="60"/>
      <c r="FKN59" s="60"/>
      <c r="FKO59" s="61"/>
      <c r="FKP59" s="61"/>
      <c r="FKQ59" s="61"/>
      <c r="FKR59" s="61"/>
      <c r="FKS59" s="62"/>
      <c r="FKT59" s="53"/>
      <c r="FKU59" s="60"/>
      <c r="FKV59" s="60"/>
      <c r="FKW59" s="61"/>
      <c r="FKX59" s="61"/>
      <c r="FKY59" s="61"/>
      <c r="FKZ59" s="61"/>
      <c r="FLA59" s="62"/>
      <c r="FLB59" s="53"/>
      <c r="FLC59" s="60"/>
      <c r="FLD59" s="60"/>
      <c r="FLE59" s="61"/>
      <c r="FLF59" s="61"/>
      <c r="FLG59" s="61"/>
      <c r="FLH59" s="61"/>
      <c r="FLI59" s="62"/>
      <c r="FLJ59" s="53"/>
      <c r="FLK59" s="60"/>
      <c r="FLL59" s="60"/>
      <c r="FLM59" s="61"/>
      <c r="FLN59" s="61"/>
      <c r="FLO59" s="61"/>
      <c r="FLP59" s="61"/>
      <c r="FLQ59" s="62"/>
      <c r="FLR59" s="53"/>
      <c r="FLS59" s="60"/>
      <c r="FLT59" s="60"/>
      <c r="FLU59" s="61"/>
      <c r="FLV59" s="61"/>
      <c r="FLW59" s="61"/>
      <c r="FLX59" s="61"/>
      <c r="FLY59" s="62"/>
      <c r="FLZ59" s="53"/>
      <c r="FMA59" s="60"/>
      <c r="FMB59" s="60"/>
      <c r="FMC59" s="61"/>
      <c r="FMD59" s="61"/>
      <c r="FME59" s="61"/>
      <c r="FMF59" s="61"/>
      <c r="FMG59" s="62"/>
      <c r="FMH59" s="53"/>
      <c r="FMI59" s="60"/>
      <c r="FMJ59" s="60"/>
      <c r="FMK59" s="61"/>
      <c r="FML59" s="61"/>
      <c r="FMM59" s="61"/>
      <c r="FMN59" s="61"/>
      <c r="FMO59" s="62"/>
      <c r="FMP59" s="53"/>
      <c r="FMQ59" s="60"/>
      <c r="FMR59" s="60"/>
      <c r="FMS59" s="61"/>
      <c r="FMT59" s="61"/>
      <c r="FMU59" s="61"/>
      <c r="FMV59" s="61"/>
      <c r="FMW59" s="62"/>
      <c r="FMX59" s="53"/>
      <c r="FMY59" s="60"/>
      <c r="FMZ59" s="60"/>
      <c r="FNA59" s="61"/>
      <c r="FNB59" s="61"/>
      <c r="FNC59" s="61"/>
      <c r="FND59" s="61"/>
      <c r="FNE59" s="62"/>
      <c r="FNF59" s="53"/>
      <c r="FNG59" s="60"/>
      <c r="FNH59" s="60"/>
      <c r="FNI59" s="61"/>
      <c r="FNJ59" s="61"/>
      <c r="FNK59" s="61"/>
      <c r="FNL59" s="61"/>
      <c r="FNM59" s="62"/>
      <c r="FNN59" s="53"/>
      <c r="FNO59" s="60"/>
      <c r="FNP59" s="60"/>
      <c r="FNQ59" s="61"/>
      <c r="FNR59" s="61"/>
      <c r="FNS59" s="61"/>
      <c r="FNT59" s="61"/>
      <c r="FNU59" s="62"/>
      <c r="FNV59" s="53"/>
      <c r="FNW59" s="60"/>
      <c r="FNX59" s="60"/>
      <c r="FNY59" s="61"/>
      <c r="FNZ59" s="61"/>
      <c r="FOA59" s="61"/>
      <c r="FOB59" s="61"/>
      <c r="FOC59" s="62"/>
      <c r="FOD59" s="53"/>
      <c r="FOE59" s="60"/>
      <c r="FOF59" s="60"/>
      <c r="FOG59" s="61"/>
      <c r="FOH59" s="61"/>
      <c r="FOI59" s="61"/>
      <c r="FOJ59" s="61"/>
      <c r="FOK59" s="62"/>
      <c r="FOL59" s="53"/>
      <c r="FOM59" s="60"/>
      <c r="FON59" s="60"/>
      <c r="FOO59" s="61"/>
      <c r="FOP59" s="61"/>
      <c r="FOQ59" s="61"/>
      <c r="FOR59" s="61"/>
      <c r="FOS59" s="62"/>
      <c r="FOT59" s="53"/>
      <c r="FOU59" s="60"/>
      <c r="FOV59" s="60"/>
      <c r="FOW59" s="61"/>
      <c r="FOX59" s="61"/>
      <c r="FOY59" s="61"/>
      <c r="FOZ59" s="61"/>
      <c r="FPA59" s="62"/>
      <c r="FPB59" s="53"/>
      <c r="FPC59" s="60"/>
      <c r="FPD59" s="60"/>
      <c r="FPE59" s="61"/>
      <c r="FPF59" s="61"/>
      <c r="FPG59" s="61"/>
      <c r="FPH59" s="61"/>
      <c r="FPI59" s="62"/>
      <c r="FPJ59" s="53"/>
      <c r="FPK59" s="60"/>
      <c r="FPL59" s="60"/>
      <c r="FPM59" s="61"/>
      <c r="FPN59" s="61"/>
      <c r="FPO59" s="61"/>
      <c r="FPP59" s="61"/>
      <c r="FPQ59" s="62"/>
      <c r="FPR59" s="53"/>
      <c r="FPS59" s="60"/>
      <c r="FPT59" s="60"/>
      <c r="FPU59" s="61"/>
      <c r="FPV59" s="61"/>
      <c r="FPW59" s="61"/>
      <c r="FPX59" s="61"/>
      <c r="FPY59" s="62"/>
      <c r="FPZ59" s="53"/>
      <c r="FQA59" s="60"/>
      <c r="FQB59" s="60"/>
      <c r="FQC59" s="61"/>
      <c r="FQD59" s="61"/>
      <c r="FQE59" s="61"/>
      <c r="FQF59" s="61"/>
      <c r="FQG59" s="62"/>
      <c r="FQH59" s="53"/>
      <c r="FQI59" s="60"/>
      <c r="FQJ59" s="60"/>
      <c r="FQK59" s="61"/>
      <c r="FQL59" s="61"/>
      <c r="FQM59" s="61"/>
      <c r="FQN59" s="61"/>
      <c r="FQO59" s="62"/>
      <c r="FQP59" s="53"/>
      <c r="FQQ59" s="60"/>
      <c r="FQR59" s="60"/>
      <c r="FQS59" s="61"/>
      <c r="FQT59" s="61"/>
      <c r="FQU59" s="61"/>
      <c r="FQV59" s="61"/>
      <c r="FQW59" s="62"/>
      <c r="FQX59" s="53"/>
      <c r="FQY59" s="60"/>
      <c r="FQZ59" s="60"/>
      <c r="FRA59" s="61"/>
      <c r="FRB59" s="61"/>
      <c r="FRC59" s="61"/>
      <c r="FRD59" s="61"/>
      <c r="FRE59" s="62"/>
      <c r="FRF59" s="53"/>
      <c r="FRG59" s="60"/>
      <c r="FRH59" s="60"/>
      <c r="FRI59" s="61"/>
      <c r="FRJ59" s="61"/>
      <c r="FRK59" s="61"/>
      <c r="FRL59" s="61"/>
      <c r="FRM59" s="62"/>
      <c r="FRN59" s="53"/>
      <c r="FRO59" s="60"/>
      <c r="FRP59" s="60"/>
      <c r="FRQ59" s="61"/>
      <c r="FRR59" s="61"/>
      <c r="FRS59" s="61"/>
      <c r="FRT59" s="61"/>
      <c r="FRU59" s="62"/>
      <c r="FRV59" s="53"/>
      <c r="FRW59" s="60"/>
      <c r="FRX59" s="60"/>
      <c r="FRY59" s="61"/>
      <c r="FRZ59" s="61"/>
      <c r="FSA59" s="61"/>
      <c r="FSB59" s="61"/>
      <c r="FSC59" s="62"/>
      <c r="FSD59" s="53"/>
      <c r="FSE59" s="60"/>
      <c r="FSF59" s="60"/>
      <c r="FSG59" s="61"/>
      <c r="FSH59" s="61"/>
      <c r="FSI59" s="61"/>
      <c r="FSJ59" s="61"/>
      <c r="FSK59" s="62"/>
      <c r="FSL59" s="53"/>
      <c r="FSM59" s="60"/>
      <c r="FSN59" s="60"/>
      <c r="FSO59" s="61"/>
      <c r="FSP59" s="61"/>
      <c r="FSQ59" s="61"/>
      <c r="FSR59" s="61"/>
      <c r="FSS59" s="62"/>
      <c r="FST59" s="53"/>
      <c r="FSU59" s="60"/>
      <c r="FSV59" s="60"/>
      <c r="FSW59" s="61"/>
      <c r="FSX59" s="61"/>
      <c r="FSY59" s="61"/>
      <c r="FSZ59" s="61"/>
      <c r="FTA59" s="62"/>
      <c r="FTB59" s="53"/>
      <c r="FTC59" s="60"/>
      <c r="FTD59" s="60"/>
      <c r="FTE59" s="61"/>
      <c r="FTF59" s="61"/>
      <c r="FTG59" s="61"/>
      <c r="FTH59" s="61"/>
      <c r="FTI59" s="62"/>
      <c r="FTJ59" s="53"/>
      <c r="FTK59" s="60"/>
      <c r="FTL59" s="60"/>
      <c r="FTM59" s="61"/>
      <c r="FTN59" s="61"/>
      <c r="FTO59" s="61"/>
      <c r="FTP59" s="61"/>
      <c r="FTQ59" s="62"/>
      <c r="FTR59" s="53"/>
      <c r="FTS59" s="60"/>
      <c r="FTT59" s="60"/>
      <c r="FTU59" s="61"/>
      <c r="FTV59" s="61"/>
      <c r="FTW59" s="61"/>
      <c r="FTX59" s="61"/>
      <c r="FTY59" s="62"/>
      <c r="FTZ59" s="53"/>
      <c r="FUA59" s="60"/>
      <c r="FUB59" s="60"/>
      <c r="FUC59" s="61"/>
      <c r="FUD59" s="61"/>
      <c r="FUE59" s="61"/>
      <c r="FUF59" s="61"/>
      <c r="FUG59" s="62"/>
      <c r="FUH59" s="53"/>
      <c r="FUI59" s="60"/>
      <c r="FUJ59" s="60"/>
      <c r="FUK59" s="61"/>
      <c r="FUL59" s="61"/>
      <c r="FUM59" s="61"/>
      <c r="FUN59" s="61"/>
      <c r="FUO59" s="62"/>
      <c r="FUP59" s="53"/>
      <c r="FUQ59" s="60"/>
      <c r="FUR59" s="60"/>
      <c r="FUS59" s="61"/>
      <c r="FUT59" s="61"/>
      <c r="FUU59" s="61"/>
      <c r="FUV59" s="61"/>
      <c r="FUW59" s="62"/>
      <c r="FUX59" s="53"/>
      <c r="FUY59" s="60"/>
      <c r="FUZ59" s="60"/>
      <c r="FVA59" s="61"/>
      <c r="FVB59" s="61"/>
      <c r="FVC59" s="61"/>
      <c r="FVD59" s="61"/>
      <c r="FVE59" s="62"/>
      <c r="FVF59" s="53"/>
      <c r="FVG59" s="60"/>
      <c r="FVH59" s="60"/>
      <c r="FVI59" s="61"/>
      <c r="FVJ59" s="61"/>
      <c r="FVK59" s="61"/>
      <c r="FVL59" s="61"/>
      <c r="FVM59" s="62"/>
      <c r="FVN59" s="53"/>
      <c r="FVO59" s="60"/>
      <c r="FVP59" s="60"/>
      <c r="FVQ59" s="61"/>
      <c r="FVR59" s="61"/>
      <c r="FVS59" s="61"/>
      <c r="FVT59" s="61"/>
      <c r="FVU59" s="62"/>
      <c r="FVV59" s="53"/>
      <c r="FVW59" s="60"/>
      <c r="FVX59" s="60"/>
      <c r="FVY59" s="61"/>
      <c r="FVZ59" s="61"/>
      <c r="FWA59" s="61"/>
      <c r="FWB59" s="61"/>
      <c r="FWC59" s="62"/>
      <c r="FWD59" s="53"/>
      <c r="FWE59" s="60"/>
      <c r="FWF59" s="60"/>
      <c r="FWG59" s="61"/>
      <c r="FWH59" s="61"/>
      <c r="FWI59" s="61"/>
      <c r="FWJ59" s="61"/>
      <c r="FWK59" s="62"/>
      <c r="FWL59" s="53"/>
      <c r="FWM59" s="60"/>
      <c r="FWN59" s="60"/>
      <c r="FWO59" s="61"/>
      <c r="FWP59" s="61"/>
      <c r="FWQ59" s="61"/>
      <c r="FWR59" s="61"/>
      <c r="FWS59" s="62"/>
      <c r="FWT59" s="53"/>
      <c r="FWU59" s="60"/>
      <c r="FWV59" s="60"/>
      <c r="FWW59" s="61"/>
      <c r="FWX59" s="61"/>
      <c r="FWY59" s="61"/>
      <c r="FWZ59" s="61"/>
      <c r="FXA59" s="62"/>
      <c r="FXB59" s="53"/>
      <c r="FXC59" s="60"/>
      <c r="FXD59" s="60"/>
      <c r="FXE59" s="61"/>
      <c r="FXF59" s="61"/>
      <c r="FXG59" s="61"/>
      <c r="FXH59" s="61"/>
      <c r="FXI59" s="62"/>
      <c r="FXJ59" s="53"/>
      <c r="FXK59" s="60"/>
      <c r="FXL59" s="60"/>
      <c r="FXM59" s="61"/>
      <c r="FXN59" s="61"/>
      <c r="FXO59" s="61"/>
      <c r="FXP59" s="61"/>
      <c r="FXQ59" s="62"/>
      <c r="FXR59" s="53"/>
      <c r="FXS59" s="60"/>
      <c r="FXT59" s="60"/>
      <c r="FXU59" s="61"/>
      <c r="FXV59" s="61"/>
      <c r="FXW59" s="61"/>
      <c r="FXX59" s="61"/>
      <c r="FXY59" s="62"/>
      <c r="FXZ59" s="53"/>
      <c r="FYA59" s="60"/>
      <c r="FYB59" s="60"/>
      <c r="FYC59" s="61"/>
      <c r="FYD59" s="61"/>
      <c r="FYE59" s="61"/>
      <c r="FYF59" s="61"/>
      <c r="FYG59" s="62"/>
      <c r="FYH59" s="53"/>
      <c r="FYI59" s="60"/>
      <c r="FYJ59" s="60"/>
      <c r="FYK59" s="61"/>
      <c r="FYL59" s="61"/>
      <c r="FYM59" s="61"/>
      <c r="FYN59" s="61"/>
      <c r="FYO59" s="62"/>
      <c r="FYP59" s="53"/>
      <c r="FYQ59" s="60"/>
      <c r="FYR59" s="60"/>
      <c r="FYS59" s="61"/>
      <c r="FYT59" s="61"/>
      <c r="FYU59" s="61"/>
      <c r="FYV59" s="61"/>
      <c r="FYW59" s="62"/>
      <c r="FYX59" s="53"/>
      <c r="FYY59" s="60"/>
      <c r="FYZ59" s="60"/>
      <c r="FZA59" s="61"/>
      <c r="FZB59" s="61"/>
      <c r="FZC59" s="61"/>
      <c r="FZD59" s="61"/>
      <c r="FZE59" s="62"/>
      <c r="FZF59" s="53"/>
      <c r="FZG59" s="60"/>
      <c r="FZH59" s="60"/>
      <c r="FZI59" s="61"/>
      <c r="FZJ59" s="61"/>
      <c r="FZK59" s="61"/>
      <c r="FZL59" s="61"/>
      <c r="FZM59" s="62"/>
      <c r="FZN59" s="53"/>
      <c r="FZO59" s="60"/>
      <c r="FZP59" s="60"/>
      <c r="FZQ59" s="61"/>
      <c r="FZR59" s="61"/>
      <c r="FZS59" s="61"/>
      <c r="FZT59" s="61"/>
      <c r="FZU59" s="62"/>
      <c r="FZV59" s="53"/>
      <c r="FZW59" s="60"/>
      <c r="FZX59" s="60"/>
      <c r="FZY59" s="61"/>
      <c r="FZZ59" s="61"/>
      <c r="GAA59" s="61"/>
      <c r="GAB59" s="61"/>
      <c r="GAC59" s="62"/>
      <c r="GAD59" s="53"/>
      <c r="GAE59" s="60"/>
      <c r="GAF59" s="60"/>
      <c r="GAG59" s="61"/>
      <c r="GAH59" s="61"/>
      <c r="GAI59" s="61"/>
      <c r="GAJ59" s="61"/>
      <c r="GAK59" s="62"/>
      <c r="GAL59" s="53"/>
      <c r="GAM59" s="60"/>
      <c r="GAN59" s="60"/>
      <c r="GAO59" s="61"/>
      <c r="GAP59" s="61"/>
      <c r="GAQ59" s="61"/>
      <c r="GAR59" s="61"/>
      <c r="GAS59" s="62"/>
      <c r="GAT59" s="53"/>
      <c r="GAU59" s="60"/>
      <c r="GAV59" s="60"/>
      <c r="GAW59" s="61"/>
      <c r="GAX59" s="61"/>
      <c r="GAY59" s="61"/>
      <c r="GAZ59" s="61"/>
      <c r="GBA59" s="62"/>
      <c r="GBB59" s="53"/>
      <c r="GBC59" s="60"/>
      <c r="GBD59" s="60"/>
      <c r="GBE59" s="61"/>
      <c r="GBF59" s="61"/>
      <c r="GBG59" s="61"/>
      <c r="GBH59" s="61"/>
      <c r="GBI59" s="62"/>
      <c r="GBJ59" s="53"/>
      <c r="GBK59" s="60"/>
      <c r="GBL59" s="60"/>
      <c r="GBM59" s="61"/>
      <c r="GBN59" s="61"/>
      <c r="GBO59" s="61"/>
      <c r="GBP59" s="61"/>
      <c r="GBQ59" s="62"/>
      <c r="GBR59" s="53"/>
      <c r="GBS59" s="60"/>
      <c r="GBT59" s="60"/>
      <c r="GBU59" s="61"/>
      <c r="GBV59" s="61"/>
      <c r="GBW59" s="61"/>
      <c r="GBX59" s="61"/>
      <c r="GBY59" s="62"/>
      <c r="GBZ59" s="53"/>
      <c r="GCA59" s="60"/>
      <c r="GCB59" s="60"/>
      <c r="GCC59" s="61"/>
      <c r="GCD59" s="61"/>
      <c r="GCE59" s="61"/>
      <c r="GCF59" s="61"/>
      <c r="GCG59" s="62"/>
      <c r="GCH59" s="53"/>
      <c r="GCI59" s="60"/>
      <c r="GCJ59" s="60"/>
      <c r="GCK59" s="61"/>
      <c r="GCL59" s="61"/>
      <c r="GCM59" s="61"/>
      <c r="GCN59" s="61"/>
      <c r="GCO59" s="62"/>
      <c r="GCP59" s="53"/>
      <c r="GCQ59" s="60"/>
      <c r="GCR59" s="60"/>
      <c r="GCS59" s="61"/>
      <c r="GCT59" s="61"/>
      <c r="GCU59" s="61"/>
      <c r="GCV59" s="61"/>
      <c r="GCW59" s="62"/>
      <c r="GCX59" s="53"/>
      <c r="GCY59" s="60"/>
      <c r="GCZ59" s="60"/>
      <c r="GDA59" s="61"/>
      <c r="GDB59" s="61"/>
      <c r="GDC59" s="61"/>
      <c r="GDD59" s="61"/>
      <c r="GDE59" s="62"/>
      <c r="GDF59" s="53"/>
      <c r="GDG59" s="60"/>
      <c r="GDH59" s="60"/>
      <c r="GDI59" s="61"/>
      <c r="GDJ59" s="61"/>
      <c r="GDK59" s="61"/>
      <c r="GDL59" s="61"/>
      <c r="GDM59" s="62"/>
      <c r="GDN59" s="53"/>
      <c r="GDO59" s="60"/>
      <c r="GDP59" s="60"/>
      <c r="GDQ59" s="61"/>
      <c r="GDR59" s="61"/>
      <c r="GDS59" s="61"/>
      <c r="GDT59" s="61"/>
      <c r="GDU59" s="62"/>
      <c r="GDV59" s="53"/>
      <c r="GDW59" s="60"/>
      <c r="GDX59" s="60"/>
      <c r="GDY59" s="61"/>
      <c r="GDZ59" s="61"/>
      <c r="GEA59" s="61"/>
      <c r="GEB59" s="61"/>
      <c r="GEC59" s="62"/>
      <c r="GED59" s="53"/>
      <c r="GEE59" s="60"/>
      <c r="GEF59" s="60"/>
      <c r="GEG59" s="61"/>
      <c r="GEH59" s="61"/>
      <c r="GEI59" s="61"/>
      <c r="GEJ59" s="61"/>
      <c r="GEK59" s="62"/>
      <c r="GEL59" s="53"/>
      <c r="GEM59" s="60"/>
      <c r="GEN59" s="60"/>
      <c r="GEO59" s="61"/>
      <c r="GEP59" s="61"/>
      <c r="GEQ59" s="61"/>
      <c r="GER59" s="61"/>
      <c r="GES59" s="62"/>
      <c r="GET59" s="53"/>
      <c r="GEU59" s="60"/>
      <c r="GEV59" s="60"/>
      <c r="GEW59" s="61"/>
      <c r="GEX59" s="61"/>
      <c r="GEY59" s="61"/>
      <c r="GEZ59" s="61"/>
      <c r="GFA59" s="62"/>
      <c r="GFB59" s="53"/>
      <c r="GFC59" s="60"/>
      <c r="GFD59" s="60"/>
      <c r="GFE59" s="61"/>
      <c r="GFF59" s="61"/>
      <c r="GFG59" s="61"/>
      <c r="GFH59" s="61"/>
      <c r="GFI59" s="62"/>
      <c r="GFJ59" s="53"/>
      <c r="GFK59" s="60"/>
      <c r="GFL59" s="60"/>
      <c r="GFM59" s="61"/>
      <c r="GFN59" s="61"/>
      <c r="GFO59" s="61"/>
      <c r="GFP59" s="61"/>
      <c r="GFQ59" s="62"/>
      <c r="GFR59" s="53"/>
      <c r="GFS59" s="60"/>
      <c r="GFT59" s="60"/>
      <c r="GFU59" s="61"/>
      <c r="GFV59" s="61"/>
      <c r="GFW59" s="61"/>
      <c r="GFX59" s="61"/>
      <c r="GFY59" s="62"/>
      <c r="GFZ59" s="53"/>
      <c r="GGA59" s="60"/>
      <c r="GGB59" s="60"/>
      <c r="GGC59" s="61"/>
      <c r="GGD59" s="61"/>
      <c r="GGE59" s="61"/>
      <c r="GGF59" s="61"/>
      <c r="GGG59" s="62"/>
      <c r="GGH59" s="53"/>
      <c r="GGI59" s="60"/>
      <c r="GGJ59" s="60"/>
      <c r="GGK59" s="61"/>
      <c r="GGL59" s="61"/>
      <c r="GGM59" s="61"/>
      <c r="GGN59" s="61"/>
      <c r="GGO59" s="62"/>
      <c r="GGP59" s="53"/>
      <c r="GGQ59" s="60"/>
      <c r="GGR59" s="60"/>
      <c r="GGS59" s="61"/>
      <c r="GGT59" s="61"/>
      <c r="GGU59" s="61"/>
      <c r="GGV59" s="61"/>
      <c r="GGW59" s="62"/>
      <c r="GGX59" s="53"/>
      <c r="GGY59" s="60"/>
      <c r="GGZ59" s="60"/>
      <c r="GHA59" s="61"/>
      <c r="GHB59" s="61"/>
      <c r="GHC59" s="61"/>
      <c r="GHD59" s="61"/>
      <c r="GHE59" s="62"/>
      <c r="GHF59" s="53"/>
      <c r="GHG59" s="60"/>
      <c r="GHH59" s="60"/>
      <c r="GHI59" s="61"/>
      <c r="GHJ59" s="61"/>
      <c r="GHK59" s="61"/>
      <c r="GHL59" s="61"/>
      <c r="GHM59" s="62"/>
      <c r="GHN59" s="53"/>
      <c r="GHO59" s="60"/>
      <c r="GHP59" s="60"/>
      <c r="GHQ59" s="61"/>
      <c r="GHR59" s="61"/>
      <c r="GHS59" s="61"/>
      <c r="GHT59" s="61"/>
      <c r="GHU59" s="62"/>
      <c r="GHV59" s="53"/>
      <c r="GHW59" s="60"/>
      <c r="GHX59" s="60"/>
      <c r="GHY59" s="61"/>
      <c r="GHZ59" s="61"/>
      <c r="GIA59" s="61"/>
      <c r="GIB59" s="61"/>
      <c r="GIC59" s="62"/>
      <c r="GID59" s="53"/>
      <c r="GIE59" s="60"/>
      <c r="GIF59" s="60"/>
      <c r="GIG59" s="61"/>
      <c r="GIH59" s="61"/>
      <c r="GII59" s="61"/>
      <c r="GIJ59" s="61"/>
      <c r="GIK59" s="62"/>
      <c r="GIL59" s="53"/>
      <c r="GIM59" s="60"/>
      <c r="GIN59" s="60"/>
      <c r="GIO59" s="61"/>
      <c r="GIP59" s="61"/>
      <c r="GIQ59" s="61"/>
      <c r="GIR59" s="61"/>
      <c r="GIS59" s="62"/>
      <c r="GIT59" s="53"/>
      <c r="GIU59" s="60"/>
      <c r="GIV59" s="60"/>
      <c r="GIW59" s="61"/>
      <c r="GIX59" s="61"/>
      <c r="GIY59" s="61"/>
      <c r="GIZ59" s="61"/>
      <c r="GJA59" s="62"/>
      <c r="GJB59" s="53"/>
      <c r="GJC59" s="60"/>
      <c r="GJD59" s="60"/>
      <c r="GJE59" s="61"/>
      <c r="GJF59" s="61"/>
      <c r="GJG59" s="61"/>
      <c r="GJH59" s="61"/>
      <c r="GJI59" s="62"/>
      <c r="GJJ59" s="53"/>
      <c r="GJK59" s="60"/>
      <c r="GJL59" s="60"/>
      <c r="GJM59" s="61"/>
      <c r="GJN59" s="61"/>
      <c r="GJO59" s="61"/>
      <c r="GJP59" s="61"/>
      <c r="GJQ59" s="62"/>
      <c r="GJR59" s="53"/>
      <c r="GJS59" s="60"/>
      <c r="GJT59" s="60"/>
      <c r="GJU59" s="61"/>
      <c r="GJV59" s="61"/>
      <c r="GJW59" s="61"/>
      <c r="GJX59" s="61"/>
      <c r="GJY59" s="62"/>
      <c r="GJZ59" s="53"/>
      <c r="GKA59" s="60"/>
      <c r="GKB59" s="60"/>
      <c r="GKC59" s="61"/>
      <c r="GKD59" s="61"/>
      <c r="GKE59" s="61"/>
      <c r="GKF59" s="61"/>
      <c r="GKG59" s="62"/>
      <c r="GKH59" s="53"/>
      <c r="GKI59" s="60"/>
      <c r="GKJ59" s="60"/>
      <c r="GKK59" s="61"/>
      <c r="GKL59" s="61"/>
      <c r="GKM59" s="61"/>
      <c r="GKN59" s="61"/>
      <c r="GKO59" s="62"/>
      <c r="GKP59" s="53"/>
      <c r="GKQ59" s="60"/>
      <c r="GKR59" s="60"/>
      <c r="GKS59" s="61"/>
      <c r="GKT59" s="61"/>
      <c r="GKU59" s="61"/>
      <c r="GKV59" s="61"/>
      <c r="GKW59" s="62"/>
      <c r="GKX59" s="53"/>
      <c r="GKY59" s="60"/>
      <c r="GKZ59" s="60"/>
      <c r="GLA59" s="61"/>
      <c r="GLB59" s="61"/>
      <c r="GLC59" s="61"/>
      <c r="GLD59" s="61"/>
      <c r="GLE59" s="62"/>
      <c r="GLF59" s="53"/>
      <c r="GLG59" s="60"/>
      <c r="GLH59" s="60"/>
      <c r="GLI59" s="61"/>
      <c r="GLJ59" s="61"/>
      <c r="GLK59" s="61"/>
      <c r="GLL59" s="61"/>
      <c r="GLM59" s="62"/>
      <c r="GLN59" s="53"/>
      <c r="GLO59" s="60"/>
      <c r="GLP59" s="60"/>
      <c r="GLQ59" s="61"/>
      <c r="GLR59" s="61"/>
      <c r="GLS59" s="61"/>
      <c r="GLT59" s="61"/>
      <c r="GLU59" s="62"/>
      <c r="GLV59" s="53"/>
      <c r="GLW59" s="60"/>
      <c r="GLX59" s="60"/>
      <c r="GLY59" s="61"/>
      <c r="GLZ59" s="61"/>
      <c r="GMA59" s="61"/>
      <c r="GMB59" s="61"/>
      <c r="GMC59" s="62"/>
      <c r="GMD59" s="53"/>
      <c r="GME59" s="60"/>
      <c r="GMF59" s="60"/>
      <c r="GMG59" s="61"/>
      <c r="GMH59" s="61"/>
      <c r="GMI59" s="61"/>
      <c r="GMJ59" s="61"/>
      <c r="GMK59" s="62"/>
      <c r="GML59" s="53"/>
      <c r="GMM59" s="60"/>
      <c r="GMN59" s="60"/>
      <c r="GMO59" s="61"/>
      <c r="GMP59" s="61"/>
      <c r="GMQ59" s="61"/>
      <c r="GMR59" s="61"/>
      <c r="GMS59" s="62"/>
      <c r="GMT59" s="53"/>
      <c r="GMU59" s="60"/>
      <c r="GMV59" s="60"/>
      <c r="GMW59" s="61"/>
      <c r="GMX59" s="61"/>
      <c r="GMY59" s="61"/>
      <c r="GMZ59" s="61"/>
      <c r="GNA59" s="62"/>
      <c r="GNB59" s="53"/>
      <c r="GNC59" s="60"/>
      <c r="GND59" s="60"/>
      <c r="GNE59" s="61"/>
      <c r="GNF59" s="61"/>
      <c r="GNG59" s="61"/>
      <c r="GNH59" s="61"/>
      <c r="GNI59" s="62"/>
      <c r="GNJ59" s="53"/>
      <c r="GNK59" s="60"/>
      <c r="GNL59" s="60"/>
      <c r="GNM59" s="61"/>
      <c r="GNN59" s="61"/>
      <c r="GNO59" s="61"/>
      <c r="GNP59" s="61"/>
      <c r="GNQ59" s="62"/>
      <c r="GNR59" s="53"/>
      <c r="GNS59" s="60"/>
      <c r="GNT59" s="60"/>
      <c r="GNU59" s="61"/>
      <c r="GNV59" s="61"/>
      <c r="GNW59" s="61"/>
      <c r="GNX59" s="61"/>
      <c r="GNY59" s="62"/>
      <c r="GNZ59" s="53"/>
      <c r="GOA59" s="60"/>
      <c r="GOB59" s="60"/>
      <c r="GOC59" s="61"/>
      <c r="GOD59" s="61"/>
      <c r="GOE59" s="61"/>
      <c r="GOF59" s="61"/>
      <c r="GOG59" s="62"/>
      <c r="GOH59" s="53"/>
      <c r="GOI59" s="60"/>
      <c r="GOJ59" s="60"/>
      <c r="GOK59" s="61"/>
      <c r="GOL59" s="61"/>
      <c r="GOM59" s="61"/>
      <c r="GON59" s="61"/>
      <c r="GOO59" s="62"/>
      <c r="GOP59" s="53"/>
      <c r="GOQ59" s="60"/>
      <c r="GOR59" s="60"/>
      <c r="GOS59" s="61"/>
      <c r="GOT59" s="61"/>
      <c r="GOU59" s="61"/>
      <c r="GOV59" s="61"/>
      <c r="GOW59" s="62"/>
      <c r="GOX59" s="53"/>
      <c r="GOY59" s="60"/>
      <c r="GOZ59" s="60"/>
      <c r="GPA59" s="61"/>
      <c r="GPB59" s="61"/>
      <c r="GPC59" s="61"/>
      <c r="GPD59" s="61"/>
      <c r="GPE59" s="62"/>
      <c r="GPF59" s="53"/>
      <c r="GPG59" s="60"/>
      <c r="GPH59" s="60"/>
      <c r="GPI59" s="61"/>
      <c r="GPJ59" s="61"/>
      <c r="GPK59" s="61"/>
      <c r="GPL59" s="61"/>
      <c r="GPM59" s="62"/>
      <c r="GPN59" s="53"/>
      <c r="GPO59" s="60"/>
      <c r="GPP59" s="60"/>
      <c r="GPQ59" s="61"/>
      <c r="GPR59" s="61"/>
      <c r="GPS59" s="61"/>
      <c r="GPT59" s="61"/>
      <c r="GPU59" s="62"/>
      <c r="GPV59" s="53"/>
      <c r="GPW59" s="60"/>
      <c r="GPX59" s="60"/>
      <c r="GPY59" s="61"/>
      <c r="GPZ59" s="61"/>
      <c r="GQA59" s="61"/>
      <c r="GQB59" s="61"/>
      <c r="GQC59" s="62"/>
      <c r="GQD59" s="53"/>
      <c r="GQE59" s="60"/>
      <c r="GQF59" s="60"/>
      <c r="GQG59" s="61"/>
      <c r="GQH59" s="61"/>
      <c r="GQI59" s="61"/>
      <c r="GQJ59" s="61"/>
      <c r="GQK59" s="62"/>
      <c r="GQL59" s="53"/>
      <c r="GQM59" s="60"/>
      <c r="GQN59" s="60"/>
      <c r="GQO59" s="61"/>
      <c r="GQP59" s="61"/>
      <c r="GQQ59" s="61"/>
      <c r="GQR59" s="61"/>
      <c r="GQS59" s="62"/>
      <c r="GQT59" s="53"/>
      <c r="GQU59" s="60"/>
      <c r="GQV59" s="60"/>
      <c r="GQW59" s="61"/>
      <c r="GQX59" s="61"/>
      <c r="GQY59" s="61"/>
      <c r="GQZ59" s="61"/>
      <c r="GRA59" s="62"/>
      <c r="GRB59" s="53"/>
      <c r="GRC59" s="60"/>
      <c r="GRD59" s="60"/>
      <c r="GRE59" s="61"/>
      <c r="GRF59" s="61"/>
      <c r="GRG59" s="61"/>
      <c r="GRH59" s="61"/>
      <c r="GRI59" s="62"/>
      <c r="GRJ59" s="53"/>
      <c r="GRK59" s="60"/>
      <c r="GRL59" s="60"/>
      <c r="GRM59" s="61"/>
      <c r="GRN59" s="61"/>
      <c r="GRO59" s="61"/>
      <c r="GRP59" s="61"/>
      <c r="GRQ59" s="62"/>
      <c r="GRR59" s="53"/>
      <c r="GRS59" s="60"/>
      <c r="GRT59" s="60"/>
      <c r="GRU59" s="61"/>
      <c r="GRV59" s="61"/>
      <c r="GRW59" s="61"/>
      <c r="GRX59" s="61"/>
      <c r="GRY59" s="62"/>
      <c r="GRZ59" s="53"/>
      <c r="GSA59" s="60"/>
      <c r="GSB59" s="60"/>
      <c r="GSC59" s="61"/>
      <c r="GSD59" s="61"/>
      <c r="GSE59" s="61"/>
      <c r="GSF59" s="61"/>
      <c r="GSG59" s="62"/>
      <c r="GSH59" s="53"/>
      <c r="GSI59" s="60"/>
      <c r="GSJ59" s="60"/>
      <c r="GSK59" s="61"/>
      <c r="GSL59" s="61"/>
      <c r="GSM59" s="61"/>
      <c r="GSN59" s="61"/>
      <c r="GSO59" s="62"/>
      <c r="GSP59" s="53"/>
      <c r="GSQ59" s="60"/>
      <c r="GSR59" s="60"/>
      <c r="GSS59" s="61"/>
      <c r="GST59" s="61"/>
      <c r="GSU59" s="61"/>
      <c r="GSV59" s="61"/>
      <c r="GSW59" s="62"/>
      <c r="GSX59" s="53"/>
      <c r="GSY59" s="60"/>
      <c r="GSZ59" s="60"/>
      <c r="GTA59" s="61"/>
      <c r="GTB59" s="61"/>
      <c r="GTC59" s="61"/>
      <c r="GTD59" s="61"/>
      <c r="GTE59" s="62"/>
      <c r="GTF59" s="53"/>
      <c r="GTG59" s="60"/>
      <c r="GTH59" s="60"/>
      <c r="GTI59" s="61"/>
      <c r="GTJ59" s="61"/>
      <c r="GTK59" s="61"/>
      <c r="GTL59" s="61"/>
      <c r="GTM59" s="62"/>
      <c r="GTN59" s="53"/>
      <c r="GTO59" s="60"/>
      <c r="GTP59" s="60"/>
      <c r="GTQ59" s="61"/>
      <c r="GTR59" s="61"/>
      <c r="GTS59" s="61"/>
      <c r="GTT59" s="61"/>
      <c r="GTU59" s="62"/>
      <c r="GTV59" s="53"/>
      <c r="GTW59" s="60"/>
      <c r="GTX59" s="60"/>
      <c r="GTY59" s="61"/>
      <c r="GTZ59" s="61"/>
      <c r="GUA59" s="61"/>
      <c r="GUB59" s="61"/>
      <c r="GUC59" s="62"/>
      <c r="GUD59" s="53"/>
      <c r="GUE59" s="60"/>
      <c r="GUF59" s="60"/>
      <c r="GUG59" s="61"/>
      <c r="GUH59" s="61"/>
      <c r="GUI59" s="61"/>
      <c r="GUJ59" s="61"/>
      <c r="GUK59" s="62"/>
      <c r="GUL59" s="53"/>
      <c r="GUM59" s="60"/>
      <c r="GUN59" s="60"/>
      <c r="GUO59" s="61"/>
      <c r="GUP59" s="61"/>
      <c r="GUQ59" s="61"/>
      <c r="GUR59" s="61"/>
      <c r="GUS59" s="62"/>
      <c r="GUT59" s="53"/>
      <c r="GUU59" s="60"/>
      <c r="GUV59" s="60"/>
      <c r="GUW59" s="61"/>
      <c r="GUX59" s="61"/>
      <c r="GUY59" s="61"/>
      <c r="GUZ59" s="61"/>
      <c r="GVA59" s="62"/>
      <c r="GVB59" s="53"/>
      <c r="GVC59" s="60"/>
      <c r="GVD59" s="60"/>
      <c r="GVE59" s="61"/>
      <c r="GVF59" s="61"/>
      <c r="GVG59" s="61"/>
      <c r="GVH59" s="61"/>
      <c r="GVI59" s="62"/>
      <c r="GVJ59" s="53"/>
      <c r="GVK59" s="60"/>
      <c r="GVL59" s="60"/>
      <c r="GVM59" s="61"/>
      <c r="GVN59" s="61"/>
      <c r="GVO59" s="61"/>
      <c r="GVP59" s="61"/>
      <c r="GVQ59" s="62"/>
      <c r="GVR59" s="53"/>
      <c r="GVS59" s="60"/>
      <c r="GVT59" s="60"/>
      <c r="GVU59" s="61"/>
      <c r="GVV59" s="61"/>
      <c r="GVW59" s="61"/>
      <c r="GVX59" s="61"/>
      <c r="GVY59" s="62"/>
      <c r="GVZ59" s="53"/>
      <c r="GWA59" s="60"/>
      <c r="GWB59" s="60"/>
      <c r="GWC59" s="61"/>
      <c r="GWD59" s="61"/>
      <c r="GWE59" s="61"/>
      <c r="GWF59" s="61"/>
      <c r="GWG59" s="62"/>
      <c r="GWH59" s="53"/>
      <c r="GWI59" s="60"/>
      <c r="GWJ59" s="60"/>
      <c r="GWK59" s="61"/>
      <c r="GWL59" s="61"/>
      <c r="GWM59" s="61"/>
      <c r="GWN59" s="61"/>
      <c r="GWO59" s="62"/>
      <c r="GWP59" s="53"/>
      <c r="GWQ59" s="60"/>
      <c r="GWR59" s="60"/>
      <c r="GWS59" s="61"/>
      <c r="GWT59" s="61"/>
      <c r="GWU59" s="61"/>
      <c r="GWV59" s="61"/>
      <c r="GWW59" s="62"/>
      <c r="GWX59" s="53"/>
      <c r="GWY59" s="60"/>
      <c r="GWZ59" s="60"/>
      <c r="GXA59" s="61"/>
      <c r="GXB59" s="61"/>
      <c r="GXC59" s="61"/>
      <c r="GXD59" s="61"/>
      <c r="GXE59" s="62"/>
      <c r="GXF59" s="53"/>
      <c r="GXG59" s="60"/>
      <c r="GXH59" s="60"/>
      <c r="GXI59" s="61"/>
      <c r="GXJ59" s="61"/>
      <c r="GXK59" s="61"/>
      <c r="GXL59" s="61"/>
      <c r="GXM59" s="62"/>
      <c r="GXN59" s="53"/>
      <c r="GXO59" s="60"/>
      <c r="GXP59" s="60"/>
      <c r="GXQ59" s="61"/>
      <c r="GXR59" s="61"/>
      <c r="GXS59" s="61"/>
      <c r="GXT59" s="61"/>
      <c r="GXU59" s="62"/>
      <c r="GXV59" s="53"/>
      <c r="GXW59" s="60"/>
      <c r="GXX59" s="60"/>
      <c r="GXY59" s="61"/>
      <c r="GXZ59" s="61"/>
      <c r="GYA59" s="61"/>
      <c r="GYB59" s="61"/>
      <c r="GYC59" s="62"/>
      <c r="GYD59" s="53"/>
      <c r="GYE59" s="60"/>
      <c r="GYF59" s="60"/>
      <c r="GYG59" s="61"/>
      <c r="GYH59" s="61"/>
      <c r="GYI59" s="61"/>
      <c r="GYJ59" s="61"/>
      <c r="GYK59" s="62"/>
      <c r="GYL59" s="53"/>
      <c r="GYM59" s="60"/>
      <c r="GYN59" s="60"/>
      <c r="GYO59" s="61"/>
      <c r="GYP59" s="61"/>
      <c r="GYQ59" s="61"/>
      <c r="GYR59" s="61"/>
      <c r="GYS59" s="62"/>
      <c r="GYT59" s="53"/>
      <c r="GYU59" s="60"/>
      <c r="GYV59" s="60"/>
      <c r="GYW59" s="61"/>
      <c r="GYX59" s="61"/>
      <c r="GYY59" s="61"/>
      <c r="GYZ59" s="61"/>
      <c r="GZA59" s="62"/>
      <c r="GZB59" s="53"/>
      <c r="GZC59" s="60"/>
      <c r="GZD59" s="60"/>
      <c r="GZE59" s="61"/>
      <c r="GZF59" s="61"/>
      <c r="GZG59" s="61"/>
      <c r="GZH59" s="61"/>
      <c r="GZI59" s="62"/>
      <c r="GZJ59" s="53"/>
      <c r="GZK59" s="60"/>
      <c r="GZL59" s="60"/>
      <c r="GZM59" s="61"/>
      <c r="GZN59" s="61"/>
      <c r="GZO59" s="61"/>
      <c r="GZP59" s="61"/>
      <c r="GZQ59" s="62"/>
      <c r="GZR59" s="53"/>
      <c r="GZS59" s="60"/>
      <c r="GZT59" s="60"/>
      <c r="GZU59" s="61"/>
      <c r="GZV59" s="61"/>
      <c r="GZW59" s="61"/>
      <c r="GZX59" s="61"/>
      <c r="GZY59" s="62"/>
      <c r="GZZ59" s="53"/>
      <c r="HAA59" s="60"/>
      <c r="HAB59" s="60"/>
      <c r="HAC59" s="61"/>
      <c r="HAD59" s="61"/>
      <c r="HAE59" s="61"/>
      <c r="HAF59" s="61"/>
      <c r="HAG59" s="62"/>
      <c r="HAH59" s="53"/>
      <c r="HAI59" s="60"/>
      <c r="HAJ59" s="60"/>
      <c r="HAK59" s="61"/>
      <c r="HAL59" s="61"/>
      <c r="HAM59" s="61"/>
      <c r="HAN59" s="61"/>
      <c r="HAO59" s="62"/>
      <c r="HAP59" s="53"/>
      <c r="HAQ59" s="60"/>
      <c r="HAR59" s="60"/>
      <c r="HAS59" s="61"/>
      <c r="HAT59" s="61"/>
      <c r="HAU59" s="61"/>
      <c r="HAV59" s="61"/>
      <c r="HAW59" s="62"/>
      <c r="HAX59" s="53"/>
      <c r="HAY59" s="60"/>
      <c r="HAZ59" s="60"/>
      <c r="HBA59" s="61"/>
      <c r="HBB59" s="61"/>
      <c r="HBC59" s="61"/>
      <c r="HBD59" s="61"/>
      <c r="HBE59" s="62"/>
      <c r="HBF59" s="53"/>
      <c r="HBG59" s="60"/>
      <c r="HBH59" s="60"/>
      <c r="HBI59" s="61"/>
      <c r="HBJ59" s="61"/>
      <c r="HBK59" s="61"/>
      <c r="HBL59" s="61"/>
      <c r="HBM59" s="62"/>
      <c r="HBN59" s="53"/>
      <c r="HBO59" s="60"/>
      <c r="HBP59" s="60"/>
      <c r="HBQ59" s="61"/>
      <c r="HBR59" s="61"/>
      <c r="HBS59" s="61"/>
      <c r="HBT59" s="61"/>
      <c r="HBU59" s="62"/>
      <c r="HBV59" s="53"/>
      <c r="HBW59" s="60"/>
      <c r="HBX59" s="60"/>
      <c r="HBY59" s="61"/>
      <c r="HBZ59" s="61"/>
      <c r="HCA59" s="61"/>
      <c r="HCB59" s="61"/>
      <c r="HCC59" s="62"/>
      <c r="HCD59" s="53"/>
      <c r="HCE59" s="60"/>
      <c r="HCF59" s="60"/>
      <c r="HCG59" s="61"/>
      <c r="HCH59" s="61"/>
      <c r="HCI59" s="61"/>
      <c r="HCJ59" s="61"/>
      <c r="HCK59" s="62"/>
      <c r="HCL59" s="53"/>
      <c r="HCM59" s="60"/>
      <c r="HCN59" s="60"/>
      <c r="HCO59" s="61"/>
      <c r="HCP59" s="61"/>
      <c r="HCQ59" s="61"/>
      <c r="HCR59" s="61"/>
      <c r="HCS59" s="62"/>
      <c r="HCT59" s="53"/>
      <c r="HCU59" s="60"/>
      <c r="HCV59" s="60"/>
      <c r="HCW59" s="61"/>
      <c r="HCX59" s="61"/>
      <c r="HCY59" s="61"/>
      <c r="HCZ59" s="61"/>
      <c r="HDA59" s="62"/>
      <c r="HDB59" s="53"/>
      <c r="HDC59" s="60"/>
      <c r="HDD59" s="60"/>
      <c r="HDE59" s="61"/>
      <c r="HDF59" s="61"/>
      <c r="HDG59" s="61"/>
      <c r="HDH59" s="61"/>
      <c r="HDI59" s="62"/>
      <c r="HDJ59" s="53"/>
      <c r="HDK59" s="60"/>
      <c r="HDL59" s="60"/>
      <c r="HDM59" s="61"/>
      <c r="HDN59" s="61"/>
      <c r="HDO59" s="61"/>
      <c r="HDP59" s="61"/>
      <c r="HDQ59" s="62"/>
      <c r="HDR59" s="53"/>
      <c r="HDS59" s="60"/>
      <c r="HDT59" s="60"/>
      <c r="HDU59" s="61"/>
      <c r="HDV59" s="61"/>
      <c r="HDW59" s="61"/>
      <c r="HDX59" s="61"/>
      <c r="HDY59" s="62"/>
      <c r="HDZ59" s="53"/>
      <c r="HEA59" s="60"/>
      <c r="HEB59" s="60"/>
      <c r="HEC59" s="61"/>
      <c r="HED59" s="61"/>
      <c r="HEE59" s="61"/>
      <c r="HEF59" s="61"/>
      <c r="HEG59" s="62"/>
      <c r="HEH59" s="53"/>
      <c r="HEI59" s="60"/>
      <c r="HEJ59" s="60"/>
      <c r="HEK59" s="61"/>
      <c r="HEL59" s="61"/>
      <c r="HEM59" s="61"/>
      <c r="HEN59" s="61"/>
      <c r="HEO59" s="62"/>
      <c r="HEP59" s="53"/>
      <c r="HEQ59" s="60"/>
      <c r="HER59" s="60"/>
      <c r="HES59" s="61"/>
      <c r="HET59" s="61"/>
      <c r="HEU59" s="61"/>
      <c r="HEV59" s="61"/>
      <c r="HEW59" s="62"/>
      <c r="HEX59" s="53"/>
      <c r="HEY59" s="60"/>
      <c r="HEZ59" s="60"/>
      <c r="HFA59" s="61"/>
      <c r="HFB59" s="61"/>
      <c r="HFC59" s="61"/>
      <c r="HFD59" s="61"/>
      <c r="HFE59" s="62"/>
      <c r="HFF59" s="53"/>
      <c r="HFG59" s="60"/>
      <c r="HFH59" s="60"/>
      <c r="HFI59" s="61"/>
      <c r="HFJ59" s="61"/>
      <c r="HFK59" s="61"/>
      <c r="HFL59" s="61"/>
      <c r="HFM59" s="62"/>
      <c r="HFN59" s="53"/>
      <c r="HFO59" s="60"/>
      <c r="HFP59" s="60"/>
      <c r="HFQ59" s="61"/>
      <c r="HFR59" s="61"/>
      <c r="HFS59" s="61"/>
      <c r="HFT59" s="61"/>
      <c r="HFU59" s="62"/>
      <c r="HFV59" s="53"/>
      <c r="HFW59" s="60"/>
      <c r="HFX59" s="60"/>
      <c r="HFY59" s="61"/>
      <c r="HFZ59" s="61"/>
      <c r="HGA59" s="61"/>
      <c r="HGB59" s="61"/>
      <c r="HGC59" s="62"/>
      <c r="HGD59" s="53"/>
      <c r="HGE59" s="60"/>
      <c r="HGF59" s="60"/>
      <c r="HGG59" s="61"/>
      <c r="HGH59" s="61"/>
      <c r="HGI59" s="61"/>
      <c r="HGJ59" s="61"/>
      <c r="HGK59" s="62"/>
      <c r="HGL59" s="53"/>
      <c r="HGM59" s="60"/>
      <c r="HGN59" s="60"/>
      <c r="HGO59" s="61"/>
      <c r="HGP59" s="61"/>
      <c r="HGQ59" s="61"/>
      <c r="HGR59" s="61"/>
      <c r="HGS59" s="62"/>
      <c r="HGT59" s="53"/>
      <c r="HGU59" s="60"/>
      <c r="HGV59" s="60"/>
      <c r="HGW59" s="61"/>
      <c r="HGX59" s="61"/>
      <c r="HGY59" s="61"/>
      <c r="HGZ59" s="61"/>
      <c r="HHA59" s="62"/>
      <c r="HHB59" s="53"/>
      <c r="HHC59" s="60"/>
      <c r="HHD59" s="60"/>
      <c r="HHE59" s="61"/>
      <c r="HHF59" s="61"/>
      <c r="HHG59" s="61"/>
      <c r="HHH59" s="61"/>
      <c r="HHI59" s="62"/>
      <c r="HHJ59" s="53"/>
      <c r="HHK59" s="60"/>
      <c r="HHL59" s="60"/>
      <c r="HHM59" s="61"/>
      <c r="HHN59" s="61"/>
      <c r="HHO59" s="61"/>
      <c r="HHP59" s="61"/>
      <c r="HHQ59" s="62"/>
      <c r="HHR59" s="53"/>
      <c r="HHS59" s="60"/>
      <c r="HHT59" s="60"/>
      <c r="HHU59" s="61"/>
      <c r="HHV59" s="61"/>
      <c r="HHW59" s="61"/>
      <c r="HHX59" s="61"/>
      <c r="HHY59" s="62"/>
      <c r="HHZ59" s="53"/>
      <c r="HIA59" s="60"/>
      <c r="HIB59" s="60"/>
      <c r="HIC59" s="61"/>
      <c r="HID59" s="61"/>
      <c r="HIE59" s="61"/>
      <c r="HIF59" s="61"/>
      <c r="HIG59" s="62"/>
      <c r="HIH59" s="53"/>
      <c r="HII59" s="60"/>
      <c r="HIJ59" s="60"/>
      <c r="HIK59" s="61"/>
      <c r="HIL59" s="61"/>
      <c r="HIM59" s="61"/>
      <c r="HIN59" s="61"/>
      <c r="HIO59" s="62"/>
      <c r="HIP59" s="53"/>
      <c r="HIQ59" s="60"/>
      <c r="HIR59" s="60"/>
      <c r="HIS59" s="61"/>
      <c r="HIT59" s="61"/>
      <c r="HIU59" s="61"/>
      <c r="HIV59" s="61"/>
      <c r="HIW59" s="62"/>
      <c r="HIX59" s="53"/>
      <c r="HIY59" s="60"/>
      <c r="HIZ59" s="60"/>
      <c r="HJA59" s="61"/>
      <c r="HJB59" s="61"/>
      <c r="HJC59" s="61"/>
      <c r="HJD59" s="61"/>
      <c r="HJE59" s="62"/>
      <c r="HJF59" s="53"/>
      <c r="HJG59" s="60"/>
      <c r="HJH59" s="60"/>
      <c r="HJI59" s="61"/>
      <c r="HJJ59" s="61"/>
      <c r="HJK59" s="61"/>
      <c r="HJL59" s="61"/>
      <c r="HJM59" s="62"/>
      <c r="HJN59" s="53"/>
      <c r="HJO59" s="60"/>
      <c r="HJP59" s="60"/>
      <c r="HJQ59" s="61"/>
      <c r="HJR59" s="61"/>
      <c r="HJS59" s="61"/>
      <c r="HJT59" s="61"/>
      <c r="HJU59" s="62"/>
      <c r="HJV59" s="53"/>
      <c r="HJW59" s="60"/>
      <c r="HJX59" s="60"/>
      <c r="HJY59" s="61"/>
      <c r="HJZ59" s="61"/>
      <c r="HKA59" s="61"/>
      <c r="HKB59" s="61"/>
      <c r="HKC59" s="62"/>
      <c r="HKD59" s="53"/>
      <c r="HKE59" s="60"/>
      <c r="HKF59" s="60"/>
      <c r="HKG59" s="61"/>
      <c r="HKH59" s="61"/>
      <c r="HKI59" s="61"/>
      <c r="HKJ59" s="61"/>
      <c r="HKK59" s="62"/>
      <c r="HKL59" s="53"/>
      <c r="HKM59" s="60"/>
      <c r="HKN59" s="60"/>
      <c r="HKO59" s="61"/>
      <c r="HKP59" s="61"/>
      <c r="HKQ59" s="61"/>
      <c r="HKR59" s="61"/>
      <c r="HKS59" s="62"/>
      <c r="HKT59" s="53"/>
      <c r="HKU59" s="60"/>
      <c r="HKV59" s="60"/>
      <c r="HKW59" s="61"/>
      <c r="HKX59" s="61"/>
      <c r="HKY59" s="61"/>
      <c r="HKZ59" s="61"/>
      <c r="HLA59" s="62"/>
      <c r="HLB59" s="53"/>
      <c r="HLC59" s="60"/>
      <c r="HLD59" s="60"/>
      <c r="HLE59" s="61"/>
      <c r="HLF59" s="61"/>
      <c r="HLG59" s="61"/>
      <c r="HLH59" s="61"/>
      <c r="HLI59" s="62"/>
      <c r="HLJ59" s="53"/>
      <c r="HLK59" s="60"/>
      <c r="HLL59" s="60"/>
      <c r="HLM59" s="61"/>
      <c r="HLN59" s="61"/>
      <c r="HLO59" s="61"/>
      <c r="HLP59" s="61"/>
      <c r="HLQ59" s="62"/>
      <c r="HLR59" s="53"/>
      <c r="HLS59" s="60"/>
      <c r="HLT59" s="60"/>
      <c r="HLU59" s="61"/>
      <c r="HLV59" s="61"/>
      <c r="HLW59" s="61"/>
      <c r="HLX59" s="61"/>
      <c r="HLY59" s="62"/>
      <c r="HLZ59" s="53"/>
      <c r="HMA59" s="60"/>
      <c r="HMB59" s="60"/>
      <c r="HMC59" s="61"/>
      <c r="HMD59" s="61"/>
      <c r="HME59" s="61"/>
      <c r="HMF59" s="61"/>
      <c r="HMG59" s="62"/>
      <c r="HMH59" s="53"/>
      <c r="HMI59" s="60"/>
      <c r="HMJ59" s="60"/>
      <c r="HMK59" s="61"/>
      <c r="HML59" s="61"/>
      <c r="HMM59" s="61"/>
      <c r="HMN59" s="61"/>
      <c r="HMO59" s="62"/>
      <c r="HMP59" s="53"/>
      <c r="HMQ59" s="60"/>
      <c r="HMR59" s="60"/>
      <c r="HMS59" s="61"/>
      <c r="HMT59" s="61"/>
      <c r="HMU59" s="61"/>
      <c r="HMV59" s="61"/>
      <c r="HMW59" s="62"/>
      <c r="HMX59" s="53"/>
      <c r="HMY59" s="60"/>
      <c r="HMZ59" s="60"/>
      <c r="HNA59" s="61"/>
      <c r="HNB59" s="61"/>
      <c r="HNC59" s="61"/>
      <c r="HND59" s="61"/>
      <c r="HNE59" s="62"/>
      <c r="HNF59" s="53"/>
      <c r="HNG59" s="60"/>
      <c r="HNH59" s="60"/>
      <c r="HNI59" s="61"/>
      <c r="HNJ59" s="61"/>
      <c r="HNK59" s="61"/>
      <c r="HNL59" s="61"/>
      <c r="HNM59" s="62"/>
      <c r="HNN59" s="53"/>
      <c r="HNO59" s="60"/>
      <c r="HNP59" s="60"/>
      <c r="HNQ59" s="61"/>
      <c r="HNR59" s="61"/>
      <c r="HNS59" s="61"/>
      <c r="HNT59" s="61"/>
      <c r="HNU59" s="62"/>
      <c r="HNV59" s="53"/>
      <c r="HNW59" s="60"/>
      <c r="HNX59" s="60"/>
      <c r="HNY59" s="61"/>
      <c r="HNZ59" s="61"/>
      <c r="HOA59" s="61"/>
      <c r="HOB59" s="61"/>
      <c r="HOC59" s="62"/>
      <c r="HOD59" s="53"/>
      <c r="HOE59" s="60"/>
      <c r="HOF59" s="60"/>
      <c r="HOG59" s="61"/>
      <c r="HOH59" s="61"/>
      <c r="HOI59" s="61"/>
      <c r="HOJ59" s="61"/>
      <c r="HOK59" s="62"/>
      <c r="HOL59" s="53"/>
      <c r="HOM59" s="60"/>
      <c r="HON59" s="60"/>
      <c r="HOO59" s="61"/>
      <c r="HOP59" s="61"/>
      <c r="HOQ59" s="61"/>
      <c r="HOR59" s="61"/>
      <c r="HOS59" s="62"/>
      <c r="HOT59" s="53"/>
      <c r="HOU59" s="60"/>
      <c r="HOV59" s="60"/>
      <c r="HOW59" s="61"/>
      <c r="HOX59" s="61"/>
      <c r="HOY59" s="61"/>
      <c r="HOZ59" s="61"/>
      <c r="HPA59" s="62"/>
      <c r="HPB59" s="53"/>
      <c r="HPC59" s="60"/>
      <c r="HPD59" s="60"/>
      <c r="HPE59" s="61"/>
      <c r="HPF59" s="61"/>
      <c r="HPG59" s="61"/>
      <c r="HPH59" s="61"/>
      <c r="HPI59" s="62"/>
      <c r="HPJ59" s="53"/>
      <c r="HPK59" s="60"/>
      <c r="HPL59" s="60"/>
      <c r="HPM59" s="61"/>
      <c r="HPN59" s="61"/>
      <c r="HPO59" s="61"/>
      <c r="HPP59" s="61"/>
      <c r="HPQ59" s="62"/>
      <c r="HPR59" s="53"/>
      <c r="HPS59" s="60"/>
      <c r="HPT59" s="60"/>
      <c r="HPU59" s="61"/>
      <c r="HPV59" s="61"/>
      <c r="HPW59" s="61"/>
      <c r="HPX59" s="61"/>
      <c r="HPY59" s="62"/>
      <c r="HPZ59" s="53"/>
      <c r="HQA59" s="60"/>
      <c r="HQB59" s="60"/>
      <c r="HQC59" s="61"/>
      <c r="HQD59" s="61"/>
      <c r="HQE59" s="61"/>
      <c r="HQF59" s="61"/>
      <c r="HQG59" s="62"/>
      <c r="HQH59" s="53"/>
      <c r="HQI59" s="60"/>
      <c r="HQJ59" s="60"/>
      <c r="HQK59" s="61"/>
      <c r="HQL59" s="61"/>
      <c r="HQM59" s="61"/>
      <c r="HQN59" s="61"/>
      <c r="HQO59" s="62"/>
      <c r="HQP59" s="53"/>
      <c r="HQQ59" s="60"/>
      <c r="HQR59" s="60"/>
      <c r="HQS59" s="61"/>
      <c r="HQT59" s="61"/>
      <c r="HQU59" s="61"/>
      <c r="HQV59" s="61"/>
      <c r="HQW59" s="62"/>
      <c r="HQX59" s="53"/>
      <c r="HQY59" s="60"/>
      <c r="HQZ59" s="60"/>
      <c r="HRA59" s="61"/>
      <c r="HRB59" s="61"/>
      <c r="HRC59" s="61"/>
      <c r="HRD59" s="61"/>
      <c r="HRE59" s="62"/>
      <c r="HRF59" s="53"/>
      <c r="HRG59" s="60"/>
      <c r="HRH59" s="60"/>
      <c r="HRI59" s="61"/>
      <c r="HRJ59" s="61"/>
      <c r="HRK59" s="61"/>
      <c r="HRL59" s="61"/>
      <c r="HRM59" s="62"/>
      <c r="HRN59" s="53"/>
      <c r="HRO59" s="60"/>
      <c r="HRP59" s="60"/>
      <c r="HRQ59" s="61"/>
      <c r="HRR59" s="61"/>
      <c r="HRS59" s="61"/>
      <c r="HRT59" s="61"/>
      <c r="HRU59" s="62"/>
      <c r="HRV59" s="53"/>
      <c r="HRW59" s="60"/>
      <c r="HRX59" s="60"/>
      <c r="HRY59" s="61"/>
      <c r="HRZ59" s="61"/>
      <c r="HSA59" s="61"/>
      <c r="HSB59" s="61"/>
      <c r="HSC59" s="62"/>
      <c r="HSD59" s="53"/>
      <c r="HSE59" s="60"/>
      <c r="HSF59" s="60"/>
      <c r="HSG59" s="61"/>
      <c r="HSH59" s="61"/>
      <c r="HSI59" s="61"/>
      <c r="HSJ59" s="61"/>
      <c r="HSK59" s="62"/>
      <c r="HSL59" s="53"/>
      <c r="HSM59" s="60"/>
      <c r="HSN59" s="60"/>
      <c r="HSO59" s="61"/>
      <c r="HSP59" s="61"/>
      <c r="HSQ59" s="61"/>
      <c r="HSR59" s="61"/>
      <c r="HSS59" s="62"/>
      <c r="HST59" s="53"/>
      <c r="HSU59" s="60"/>
      <c r="HSV59" s="60"/>
      <c r="HSW59" s="61"/>
      <c r="HSX59" s="61"/>
      <c r="HSY59" s="61"/>
      <c r="HSZ59" s="61"/>
      <c r="HTA59" s="62"/>
      <c r="HTB59" s="53"/>
      <c r="HTC59" s="60"/>
      <c r="HTD59" s="60"/>
      <c r="HTE59" s="61"/>
      <c r="HTF59" s="61"/>
      <c r="HTG59" s="61"/>
      <c r="HTH59" s="61"/>
      <c r="HTI59" s="62"/>
      <c r="HTJ59" s="53"/>
      <c r="HTK59" s="60"/>
      <c r="HTL59" s="60"/>
      <c r="HTM59" s="61"/>
      <c r="HTN59" s="61"/>
      <c r="HTO59" s="61"/>
      <c r="HTP59" s="61"/>
      <c r="HTQ59" s="62"/>
      <c r="HTR59" s="53"/>
      <c r="HTS59" s="60"/>
      <c r="HTT59" s="60"/>
      <c r="HTU59" s="61"/>
      <c r="HTV59" s="61"/>
      <c r="HTW59" s="61"/>
      <c r="HTX59" s="61"/>
      <c r="HTY59" s="62"/>
      <c r="HTZ59" s="53"/>
      <c r="HUA59" s="60"/>
      <c r="HUB59" s="60"/>
      <c r="HUC59" s="61"/>
      <c r="HUD59" s="61"/>
      <c r="HUE59" s="61"/>
      <c r="HUF59" s="61"/>
      <c r="HUG59" s="62"/>
      <c r="HUH59" s="53"/>
      <c r="HUI59" s="60"/>
      <c r="HUJ59" s="60"/>
      <c r="HUK59" s="61"/>
      <c r="HUL59" s="61"/>
      <c r="HUM59" s="61"/>
      <c r="HUN59" s="61"/>
      <c r="HUO59" s="62"/>
      <c r="HUP59" s="53"/>
      <c r="HUQ59" s="60"/>
      <c r="HUR59" s="60"/>
      <c r="HUS59" s="61"/>
      <c r="HUT59" s="61"/>
      <c r="HUU59" s="61"/>
      <c r="HUV59" s="61"/>
      <c r="HUW59" s="62"/>
      <c r="HUX59" s="53"/>
      <c r="HUY59" s="60"/>
      <c r="HUZ59" s="60"/>
      <c r="HVA59" s="61"/>
      <c r="HVB59" s="61"/>
      <c r="HVC59" s="61"/>
      <c r="HVD59" s="61"/>
      <c r="HVE59" s="62"/>
      <c r="HVF59" s="53"/>
      <c r="HVG59" s="60"/>
      <c r="HVH59" s="60"/>
      <c r="HVI59" s="61"/>
      <c r="HVJ59" s="61"/>
      <c r="HVK59" s="61"/>
      <c r="HVL59" s="61"/>
      <c r="HVM59" s="62"/>
      <c r="HVN59" s="53"/>
      <c r="HVO59" s="60"/>
      <c r="HVP59" s="60"/>
      <c r="HVQ59" s="61"/>
      <c r="HVR59" s="61"/>
      <c r="HVS59" s="61"/>
      <c r="HVT59" s="61"/>
      <c r="HVU59" s="62"/>
      <c r="HVV59" s="53"/>
      <c r="HVW59" s="60"/>
      <c r="HVX59" s="60"/>
      <c r="HVY59" s="61"/>
      <c r="HVZ59" s="61"/>
      <c r="HWA59" s="61"/>
      <c r="HWB59" s="61"/>
      <c r="HWC59" s="62"/>
      <c r="HWD59" s="53"/>
      <c r="HWE59" s="60"/>
      <c r="HWF59" s="60"/>
      <c r="HWG59" s="61"/>
      <c r="HWH59" s="61"/>
      <c r="HWI59" s="61"/>
      <c r="HWJ59" s="61"/>
      <c r="HWK59" s="62"/>
      <c r="HWL59" s="53"/>
      <c r="HWM59" s="60"/>
      <c r="HWN59" s="60"/>
      <c r="HWO59" s="61"/>
      <c r="HWP59" s="61"/>
      <c r="HWQ59" s="61"/>
      <c r="HWR59" s="61"/>
      <c r="HWS59" s="62"/>
      <c r="HWT59" s="53"/>
      <c r="HWU59" s="60"/>
      <c r="HWV59" s="60"/>
      <c r="HWW59" s="61"/>
      <c r="HWX59" s="61"/>
      <c r="HWY59" s="61"/>
      <c r="HWZ59" s="61"/>
      <c r="HXA59" s="62"/>
      <c r="HXB59" s="53"/>
      <c r="HXC59" s="60"/>
      <c r="HXD59" s="60"/>
      <c r="HXE59" s="61"/>
      <c r="HXF59" s="61"/>
      <c r="HXG59" s="61"/>
      <c r="HXH59" s="61"/>
      <c r="HXI59" s="62"/>
      <c r="HXJ59" s="53"/>
      <c r="HXK59" s="60"/>
      <c r="HXL59" s="60"/>
      <c r="HXM59" s="61"/>
      <c r="HXN59" s="61"/>
      <c r="HXO59" s="61"/>
      <c r="HXP59" s="61"/>
      <c r="HXQ59" s="62"/>
      <c r="HXR59" s="53"/>
      <c r="HXS59" s="60"/>
      <c r="HXT59" s="60"/>
      <c r="HXU59" s="61"/>
      <c r="HXV59" s="61"/>
      <c r="HXW59" s="61"/>
      <c r="HXX59" s="61"/>
      <c r="HXY59" s="62"/>
      <c r="HXZ59" s="53"/>
      <c r="HYA59" s="60"/>
      <c r="HYB59" s="60"/>
      <c r="HYC59" s="61"/>
      <c r="HYD59" s="61"/>
      <c r="HYE59" s="61"/>
      <c r="HYF59" s="61"/>
      <c r="HYG59" s="62"/>
      <c r="HYH59" s="53"/>
      <c r="HYI59" s="60"/>
      <c r="HYJ59" s="60"/>
      <c r="HYK59" s="61"/>
      <c r="HYL59" s="61"/>
      <c r="HYM59" s="61"/>
      <c r="HYN59" s="61"/>
      <c r="HYO59" s="62"/>
      <c r="HYP59" s="53"/>
      <c r="HYQ59" s="60"/>
      <c r="HYR59" s="60"/>
      <c r="HYS59" s="61"/>
      <c r="HYT59" s="61"/>
      <c r="HYU59" s="61"/>
      <c r="HYV59" s="61"/>
      <c r="HYW59" s="62"/>
      <c r="HYX59" s="53"/>
      <c r="HYY59" s="60"/>
      <c r="HYZ59" s="60"/>
      <c r="HZA59" s="61"/>
      <c r="HZB59" s="61"/>
      <c r="HZC59" s="61"/>
      <c r="HZD59" s="61"/>
      <c r="HZE59" s="62"/>
      <c r="HZF59" s="53"/>
      <c r="HZG59" s="60"/>
      <c r="HZH59" s="60"/>
      <c r="HZI59" s="61"/>
      <c r="HZJ59" s="61"/>
      <c r="HZK59" s="61"/>
      <c r="HZL59" s="61"/>
      <c r="HZM59" s="62"/>
      <c r="HZN59" s="53"/>
      <c r="HZO59" s="60"/>
      <c r="HZP59" s="60"/>
      <c r="HZQ59" s="61"/>
      <c r="HZR59" s="61"/>
      <c r="HZS59" s="61"/>
      <c r="HZT59" s="61"/>
      <c r="HZU59" s="62"/>
      <c r="HZV59" s="53"/>
      <c r="HZW59" s="60"/>
      <c r="HZX59" s="60"/>
      <c r="HZY59" s="61"/>
      <c r="HZZ59" s="61"/>
      <c r="IAA59" s="61"/>
      <c r="IAB59" s="61"/>
      <c r="IAC59" s="62"/>
      <c r="IAD59" s="53"/>
      <c r="IAE59" s="60"/>
      <c r="IAF59" s="60"/>
      <c r="IAG59" s="61"/>
      <c r="IAH59" s="61"/>
      <c r="IAI59" s="61"/>
      <c r="IAJ59" s="61"/>
      <c r="IAK59" s="62"/>
      <c r="IAL59" s="53"/>
      <c r="IAM59" s="60"/>
      <c r="IAN59" s="60"/>
      <c r="IAO59" s="61"/>
      <c r="IAP59" s="61"/>
      <c r="IAQ59" s="61"/>
      <c r="IAR59" s="61"/>
      <c r="IAS59" s="62"/>
      <c r="IAT59" s="53"/>
      <c r="IAU59" s="60"/>
      <c r="IAV59" s="60"/>
      <c r="IAW59" s="61"/>
      <c r="IAX59" s="61"/>
      <c r="IAY59" s="61"/>
      <c r="IAZ59" s="61"/>
      <c r="IBA59" s="62"/>
      <c r="IBB59" s="53"/>
      <c r="IBC59" s="60"/>
      <c r="IBD59" s="60"/>
      <c r="IBE59" s="61"/>
      <c r="IBF59" s="61"/>
      <c r="IBG59" s="61"/>
      <c r="IBH59" s="61"/>
      <c r="IBI59" s="62"/>
      <c r="IBJ59" s="53"/>
      <c r="IBK59" s="60"/>
      <c r="IBL59" s="60"/>
      <c r="IBM59" s="61"/>
      <c r="IBN59" s="61"/>
      <c r="IBO59" s="61"/>
      <c r="IBP59" s="61"/>
      <c r="IBQ59" s="62"/>
      <c r="IBR59" s="53"/>
      <c r="IBS59" s="60"/>
      <c r="IBT59" s="60"/>
      <c r="IBU59" s="61"/>
      <c r="IBV59" s="61"/>
      <c r="IBW59" s="61"/>
      <c r="IBX59" s="61"/>
      <c r="IBY59" s="62"/>
      <c r="IBZ59" s="53"/>
      <c r="ICA59" s="60"/>
      <c r="ICB59" s="60"/>
      <c r="ICC59" s="61"/>
      <c r="ICD59" s="61"/>
      <c r="ICE59" s="61"/>
      <c r="ICF59" s="61"/>
      <c r="ICG59" s="62"/>
      <c r="ICH59" s="53"/>
      <c r="ICI59" s="60"/>
      <c r="ICJ59" s="60"/>
      <c r="ICK59" s="61"/>
      <c r="ICL59" s="61"/>
      <c r="ICM59" s="61"/>
      <c r="ICN59" s="61"/>
      <c r="ICO59" s="62"/>
      <c r="ICP59" s="53"/>
      <c r="ICQ59" s="60"/>
      <c r="ICR59" s="60"/>
      <c r="ICS59" s="61"/>
      <c r="ICT59" s="61"/>
      <c r="ICU59" s="61"/>
      <c r="ICV59" s="61"/>
      <c r="ICW59" s="62"/>
      <c r="ICX59" s="53"/>
      <c r="ICY59" s="60"/>
      <c r="ICZ59" s="60"/>
      <c r="IDA59" s="61"/>
      <c r="IDB59" s="61"/>
      <c r="IDC59" s="61"/>
      <c r="IDD59" s="61"/>
      <c r="IDE59" s="62"/>
      <c r="IDF59" s="53"/>
      <c r="IDG59" s="60"/>
      <c r="IDH59" s="60"/>
      <c r="IDI59" s="61"/>
      <c r="IDJ59" s="61"/>
      <c r="IDK59" s="61"/>
      <c r="IDL59" s="61"/>
      <c r="IDM59" s="62"/>
      <c r="IDN59" s="53"/>
      <c r="IDO59" s="60"/>
      <c r="IDP59" s="60"/>
      <c r="IDQ59" s="61"/>
      <c r="IDR59" s="61"/>
      <c r="IDS59" s="61"/>
      <c r="IDT59" s="61"/>
      <c r="IDU59" s="62"/>
      <c r="IDV59" s="53"/>
      <c r="IDW59" s="60"/>
      <c r="IDX59" s="60"/>
      <c r="IDY59" s="61"/>
      <c r="IDZ59" s="61"/>
      <c r="IEA59" s="61"/>
      <c r="IEB59" s="61"/>
      <c r="IEC59" s="62"/>
      <c r="IED59" s="53"/>
      <c r="IEE59" s="60"/>
      <c r="IEF59" s="60"/>
      <c r="IEG59" s="61"/>
      <c r="IEH59" s="61"/>
      <c r="IEI59" s="61"/>
      <c r="IEJ59" s="61"/>
      <c r="IEK59" s="62"/>
      <c r="IEL59" s="53"/>
      <c r="IEM59" s="60"/>
      <c r="IEN59" s="60"/>
      <c r="IEO59" s="61"/>
      <c r="IEP59" s="61"/>
      <c r="IEQ59" s="61"/>
      <c r="IER59" s="61"/>
      <c r="IES59" s="62"/>
      <c r="IET59" s="53"/>
      <c r="IEU59" s="60"/>
      <c r="IEV59" s="60"/>
      <c r="IEW59" s="61"/>
      <c r="IEX59" s="61"/>
      <c r="IEY59" s="61"/>
      <c r="IEZ59" s="61"/>
      <c r="IFA59" s="62"/>
      <c r="IFB59" s="53"/>
      <c r="IFC59" s="60"/>
      <c r="IFD59" s="60"/>
      <c r="IFE59" s="61"/>
      <c r="IFF59" s="61"/>
      <c r="IFG59" s="61"/>
      <c r="IFH59" s="61"/>
      <c r="IFI59" s="62"/>
      <c r="IFJ59" s="53"/>
      <c r="IFK59" s="60"/>
      <c r="IFL59" s="60"/>
      <c r="IFM59" s="61"/>
      <c r="IFN59" s="61"/>
      <c r="IFO59" s="61"/>
      <c r="IFP59" s="61"/>
      <c r="IFQ59" s="62"/>
      <c r="IFR59" s="53"/>
      <c r="IFS59" s="60"/>
      <c r="IFT59" s="60"/>
      <c r="IFU59" s="61"/>
      <c r="IFV59" s="61"/>
      <c r="IFW59" s="61"/>
      <c r="IFX59" s="61"/>
      <c r="IFY59" s="62"/>
      <c r="IFZ59" s="53"/>
      <c r="IGA59" s="60"/>
      <c r="IGB59" s="60"/>
      <c r="IGC59" s="61"/>
      <c r="IGD59" s="61"/>
      <c r="IGE59" s="61"/>
      <c r="IGF59" s="61"/>
      <c r="IGG59" s="62"/>
      <c r="IGH59" s="53"/>
      <c r="IGI59" s="60"/>
      <c r="IGJ59" s="60"/>
      <c r="IGK59" s="61"/>
      <c r="IGL59" s="61"/>
      <c r="IGM59" s="61"/>
      <c r="IGN59" s="61"/>
      <c r="IGO59" s="62"/>
      <c r="IGP59" s="53"/>
      <c r="IGQ59" s="60"/>
      <c r="IGR59" s="60"/>
      <c r="IGS59" s="61"/>
      <c r="IGT59" s="61"/>
      <c r="IGU59" s="61"/>
      <c r="IGV59" s="61"/>
      <c r="IGW59" s="62"/>
      <c r="IGX59" s="53"/>
      <c r="IGY59" s="60"/>
      <c r="IGZ59" s="60"/>
      <c r="IHA59" s="61"/>
      <c r="IHB59" s="61"/>
      <c r="IHC59" s="61"/>
      <c r="IHD59" s="61"/>
      <c r="IHE59" s="62"/>
      <c r="IHF59" s="53"/>
      <c r="IHG59" s="60"/>
      <c r="IHH59" s="60"/>
      <c r="IHI59" s="61"/>
      <c r="IHJ59" s="61"/>
      <c r="IHK59" s="61"/>
      <c r="IHL59" s="61"/>
      <c r="IHM59" s="62"/>
      <c r="IHN59" s="53"/>
      <c r="IHO59" s="60"/>
      <c r="IHP59" s="60"/>
      <c r="IHQ59" s="61"/>
      <c r="IHR59" s="61"/>
      <c r="IHS59" s="61"/>
      <c r="IHT59" s="61"/>
      <c r="IHU59" s="62"/>
      <c r="IHV59" s="53"/>
      <c r="IHW59" s="60"/>
      <c r="IHX59" s="60"/>
      <c r="IHY59" s="61"/>
      <c r="IHZ59" s="61"/>
      <c r="IIA59" s="61"/>
      <c r="IIB59" s="61"/>
      <c r="IIC59" s="62"/>
      <c r="IID59" s="53"/>
      <c r="IIE59" s="60"/>
      <c r="IIF59" s="60"/>
      <c r="IIG59" s="61"/>
      <c r="IIH59" s="61"/>
      <c r="III59" s="61"/>
      <c r="IIJ59" s="61"/>
      <c r="IIK59" s="62"/>
      <c r="IIL59" s="53"/>
      <c r="IIM59" s="60"/>
      <c r="IIN59" s="60"/>
      <c r="IIO59" s="61"/>
      <c r="IIP59" s="61"/>
      <c r="IIQ59" s="61"/>
      <c r="IIR59" s="61"/>
      <c r="IIS59" s="62"/>
      <c r="IIT59" s="53"/>
      <c r="IIU59" s="60"/>
      <c r="IIV59" s="60"/>
      <c r="IIW59" s="61"/>
      <c r="IIX59" s="61"/>
      <c r="IIY59" s="61"/>
      <c r="IIZ59" s="61"/>
      <c r="IJA59" s="62"/>
      <c r="IJB59" s="53"/>
      <c r="IJC59" s="60"/>
      <c r="IJD59" s="60"/>
      <c r="IJE59" s="61"/>
      <c r="IJF59" s="61"/>
      <c r="IJG59" s="61"/>
      <c r="IJH59" s="61"/>
      <c r="IJI59" s="62"/>
      <c r="IJJ59" s="53"/>
      <c r="IJK59" s="60"/>
      <c r="IJL59" s="60"/>
      <c r="IJM59" s="61"/>
      <c r="IJN59" s="61"/>
      <c r="IJO59" s="61"/>
      <c r="IJP59" s="61"/>
      <c r="IJQ59" s="62"/>
      <c r="IJR59" s="53"/>
      <c r="IJS59" s="60"/>
      <c r="IJT59" s="60"/>
      <c r="IJU59" s="61"/>
      <c r="IJV59" s="61"/>
      <c r="IJW59" s="61"/>
      <c r="IJX59" s="61"/>
      <c r="IJY59" s="62"/>
      <c r="IJZ59" s="53"/>
      <c r="IKA59" s="60"/>
      <c r="IKB59" s="60"/>
      <c r="IKC59" s="61"/>
      <c r="IKD59" s="61"/>
      <c r="IKE59" s="61"/>
      <c r="IKF59" s="61"/>
      <c r="IKG59" s="62"/>
      <c r="IKH59" s="53"/>
      <c r="IKI59" s="60"/>
      <c r="IKJ59" s="60"/>
      <c r="IKK59" s="61"/>
      <c r="IKL59" s="61"/>
      <c r="IKM59" s="61"/>
      <c r="IKN59" s="61"/>
      <c r="IKO59" s="62"/>
      <c r="IKP59" s="53"/>
      <c r="IKQ59" s="60"/>
      <c r="IKR59" s="60"/>
      <c r="IKS59" s="61"/>
      <c r="IKT59" s="61"/>
      <c r="IKU59" s="61"/>
      <c r="IKV59" s="61"/>
      <c r="IKW59" s="62"/>
      <c r="IKX59" s="53"/>
      <c r="IKY59" s="60"/>
      <c r="IKZ59" s="60"/>
      <c r="ILA59" s="61"/>
      <c r="ILB59" s="61"/>
      <c r="ILC59" s="61"/>
      <c r="ILD59" s="61"/>
      <c r="ILE59" s="62"/>
      <c r="ILF59" s="53"/>
      <c r="ILG59" s="60"/>
      <c r="ILH59" s="60"/>
      <c r="ILI59" s="61"/>
      <c r="ILJ59" s="61"/>
      <c r="ILK59" s="61"/>
      <c r="ILL59" s="61"/>
      <c r="ILM59" s="62"/>
      <c r="ILN59" s="53"/>
      <c r="ILO59" s="60"/>
      <c r="ILP59" s="60"/>
      <c r="ILQ59" s="61"/>
      <c r="ILR59" s="61"/>
      <c r="ILS59" s="61"/>
      <c r="ILT59" s="61"/>
      <c r="ILU59" s="62"/>
      <c r="ILV59" s="53"/>
      <c r="ILW59" s="60"/>
      <c r="ILX59" s="60"/>
      <c r="ILY59" s="61"/>
      <c r="ILZ59" s="61"/>
      <c r="IMA59" s="61"/>
      <c r="IMB59" s="61"/>
      <c r="IMC59" s="62"/>
      <c r="IMD59" s="53"/>
      <c r="IME59" s="60"/>
      <c r="IMF59" s="60"/>
      <c r="IMG59" s="61"/>
      <c r="IMH59" s="61"/>
      <c r="IMI59" s="61"/>
      <c r="IMJ59" s="61"/>
      <c r="IMK59" s="62"/>
      <c r="IML59" s="53"/>
      <c r="IMM59" s="60"/>
      <c r="IMN59" s="60"/>
      <c r="IMO59" s="61"/>
      <c r="IMP59" s="61"/>
      <c r="IMQ59" s="61"/>
      <c r="IMR59" s="61"/>
      <c r="IMS59" s="62"/>
      <c r="IMT59" s="53"/>
      <c r="IMU59" s="60"/>
      <c r="IMV59" s="60"/>
      <c r="IMW59" s="61"/>
      <c r="IMX59" s="61"/>
      <c r="IMY59" s="61"/>
      <c r="IMZ59" s="61"/>
      <c r="INA59" s="62"/>
      <c r="INB59" s="53"/>
      <c r="INC59" s="60"/>
      <c r="IND59" s="60"/>
      <c r="INE59" s="61"/>
      <c r="INF59" s="61"/>
      <c r="ING59" s="61"/>
      <c r="INH59" s="61"/>
      <c r="INI59" s="62"/>
      <c r="INJ59" s="53"/>
      <c r="INK59" s="60"/>
      <c r="INL59" s="60"/>
      <c r="INM59" s="61"/>
      <c r="INN59" s="61"/>
      <c r="INO59" s="61"/>
      <c r="INP59" s="61"/>
      <c r="INQ59" s="62"/>
      <c r="INR59" s="53"/>
      <c r="INS59" s="60"/>
      <c r="INT59" s="60"/>
      <c r="INU59" s="61"/>
      <c r="INV59" s="61"/>
      <c r="INW59" s="61"/>
      <c r="INX59" s="61"/>
      <c r="INY59" s="62"/>
      <c r="INZ59" s="53"/>
      <c r="IOA59" s="60"/>
      <c r="IOB59" s="60"/>
      <c r="IOC59" s="61"/>
      <c r="IOD59" s="61"/>
      <c r="IOE59" s="61"/>
      <c r="IOF59" s="61"/>
      <c r="IOG59" s="62"/>
      <c r="IOH59" s="53"/>
      <c r="IOI59" s="60"/>
      <c r="IOJ59" s="60"/>
      <c r="IOK59" s="61"/>
      <c r="IOL59" s="61"/>
      <c r="IOM59" s="61"/>
      <c r="ION59" s="61"/>
      <c r="IOO59" s="62"/>
      <c r="IOP59" s="53"/>
      <c r="IOQ59" s="60"/>
      <c r="IOR59" s="60"/>
      <c r="IOS59" s="61"/>
      <c r="IOT59" s="61"/>
      <c r="IOU59" s="61"/>
      <c r="IOV59" s="61"/>
      <c r="IOW59" s="62"/>
      <c r="IOX59" s="53"/>
      <c r="IOY59" s="60"/>
      <c r="IOZ59" s="60"/>
      <c r="IPA59" s="61"/>
      <c r="IPB59" s="61"/>
      <c r="IPC59" s="61"/>
      <c r="IPD59" s="61"/>
      <c r="IPE59" s="62"/>
      <c r="IPF59" s="53"/>
      <c r="IPG59" s="60"/>
      <c r="IPH59" s="60"/>
      <c r="IPI59" s="61"/>
      <c r="IPJ59" s="61"/>
      <c r="IPK59" s="61"/>
      <c r="IPL59" s="61"/>
      <c r="IPM59" s="62"/>
      <c r="IPN59" s="53"/>
      <c r="IPO59" s="60"/>
      <c r="IPP59" s="60"/>
      <c r="IPQ59" s="61"/>
      <c r="IPR59" s="61"/>
      <c r="IPS59" s="61"/>
      <c r="IPT59" s="61"/>
      <c r="IPU59" s="62"/>
      <c r="IPV59" s="53"/>
      <c r="IPW59" s="60"/>
      <c r="IPX59" s="60"/>
      <c r="IPY59" s="61"/>
      <c r="IPZ59" s="61"/>
      <c r="IQA59" s="61"/>
      <c r="IQB59" s="61"/>
      <c r="IQC59" s="62"/>
      <c r="IQD59" s="53"/>
      <c r="IQE59" s="60"/>
      <c r="IQF59" s="60"/>
      <c r="IQG59" s="61"/>
      <c r="IQH59" s="61"/>
      <c r="IQI59" s="61"/>
      <c r="IQJ59" s="61"/>
      <c r="IQK59" s="62"/>
      <c r="IQL59" s="53"/>
      <c r="IQM59" s="60"/>
      <c r="IQN59" s="60"/>
      <c r="IQO59" s="61"/>
      <c r="IQP59" s="61"/>
      <c r="IQQ59" s="61"/>
      <c r="IQR59" s="61"/>
      <c r="IQS59" s="62"/>
      <c r="IQT59" s="53"/>
      <c r="IQU59" s="60"/>
      <c r="IQV59" s="60"/>
      <c r="IQW59" s="61"/>
      <c r="IQX59" s="61"/>
      <c r="IQY59" s="61"/>
      <c r="IQZ59" s="61"/>
      <c r="IRA59" s="62"/>
      <c r="IRB59" s="53"/>
      <c r="IRC59" s="60"/>
      <c r="IRD59" s="60"/>
      <c r="IRE59" s="61"/>
      <c r="IRF59" s="61"/>
      <c r="IRG59" s="61"/>
      <c r="IRH59" s="61"/>
      <c r="IRI59" s="62"/>
      <c r="IRJ59" s="53"/>
      <c r="IRK59" s="60"/>
      <c r="IRL59" s="60"/>
      <c r="IRM59" s="61"/>
      <c r="IRN59" s="61"/>
      <c r="IRO59" s="61"/>
      <c r="IRP59" s="61"/>
      <c r="IRQ59" s="62"/>
      <c r="IRR59" s="53"/>
      <c r="IRS59" s="60"/>
      <c r="IRT59" s="60"/>
      <c r="IRU59" s="61"/>
      <c r="IRV59" s="61"/>
      <c r="IRW59" s="61"/>
      <c r="IRX59" s="61"/>
      <c r="IRY59" s="62"/>
      <c r="IRZ59" s="53"/>
      <c r="ISA59" s="60"/>
      <c r="ISB59" s="60"/>
      <c r="ISC59" s="61"/>
      <c r="ISD59" s="61"/>
      <c r="ISE59" s="61"/>
      <c r="ISF59" s="61"/>
      <c r="ISG59" s="62"/>
      <c r="ISH59" s="53"/>
      <c r="ISI59" s="60"/>
      <c r="ISJ59" s="60"/>
      <c r="ISK59" s="61"/>
      <c r="ISL59" s="61"/>
      <c r="ISM59" s="61"/>
      <c r="ISN59" s="61"/>
      <c r="ISO59" s="62"/>
      <c r="ISP59" s="53"/>
      <c r="ISQ59" s="60"/>
      <c r="ISR59" s="60"/>
      <c r="ISS59" s="61"/>
      <c r="IST59" s="61"/>
      <c r="ISU59" s="61"/>
      <c r="ISV59" s="61"/>
      <c r="ISW59" s="62"/>
      <c r="ISX59" s="53"/>
      <c r="ISY59" s="60"/>
      <c r="ISZ59" s="60"/>
      <c r="ITA59" s="61"/>
      <c r="ITB59" s="61"/>
      <c r="ITC59" s="61"/>
      <c r="ITD59" s="61"/>
      <c r="ITE59" s="62"/>
      <c r="ITF59" s="53"/>
      <c r="ITG59" s="60"/>
      <c r="ITH59" s="60"/>
      <c r="ITI59" s="61"/>
      <c r="ITJ59" s="61"/>
      <c r="ITK59" s="61"/>
      <c r="ITL59" s="61"/>
      <c r="ITM59" s="62"/>
      <c r="ITN59" s="53"/>
      <c r="ITO59" s="60"/>
      <c r="ITP59" s="60"/>
      <c r="ITQ59" s="61"/>
      <c r="ITR59" s="61"/>
      <c r="ITS59" s="61"/>
      <c r="ITT59" s="61"/>
      <c r="ITU59" s="62"/>
      <c r="ITV59" s="53"/>
      <c r="ITW59" s="60"/>
      <c r="ITX59" s="60"/>
      <c r="ITY59" s="61"/>
      <c r="ITZ59" s="61"/>
      <c r="IUA59" s="61"/>
      <c r="IUB59" s="61"/>
      <c r="IUC59" s="62"/>
      <c r="IUD59" s="53"/>
      <c r="IUE59" s="60"/>
      <c r="IUF59" s="60"/>
      <c r="IUG59" s="61"/>
      <c r="IUH59" s="61"/>
      <c r="IUI59" s="61"/>
      <c r="IUJ59" s="61"/>
      <c r="IUK59" s="62"/>
      <c r="IUL59" s="53"/>
      <c r="IUM59" s="60"/>
      <c r="IUN59" s="60"/>
      <c r="IUO59" s="61"/>
      <c r="IUP59" s="61"/>
      <c r="IUQ59" s="61"/>
      <c r="IUR59" s="61"/>
      <c r="IUS59" s="62"/>
      <c r="IUT59" s="53"/>
      <c r="IUU59" s="60"/>
      <c r="IUV59" s="60"/>
      <c r="IUW59" s="61"/>
      <c r="IUX59" s="61"/>
      <c r="IUY59" s="61"/>
      <c r="IUZ59" s="61"/>
      <c r="IVA59" s="62"/>
      <c r="IVB59" s="53"/>
      <c r="IVC59" s="60"/>
      <c r="IVD59" s="60"/>
      <c r="IVE59" s="61"/>
      <c r="IVF59" s="61"/>
      <c r="IVG59" s="61"/>
      <c r="IVH59" s="61"/>
      <c r="IVI59" s="62"/>
      <c r="IVJ59" s="53"/>
      <c r="IVK59" s="60"/>
      <c r="IVL59" s="60"/>
      <c r="IVM59" s="61"/>
      <c r="IVN59" s="61"/>
      <c r="IVO59" s="61"/>
      <c r="IVP59" s="61"/>
      <c r="IVQ59" s="62"/>
      <c r="IVR59" s="53"/>
      <c r="IVS59" s="60"/>
      <c r="IVT59" s="60"/>
      <c r="IVU59" s="61"/>
      <c r="IVV59" s="61"/>
      <c r="IVW59" s="61"/>
      <c r="IVX59" s="61"/>
      <c r="IVY59" s="62"/>
      <c r="IVZ59" s="53"/>
      <c r="IWA59" s="60"/>
      <c r="IWB59" s="60"/>
      <c r="IWC59" s="61"/>
      <c r="IWD59" s="61"/>
      <c r="IWE59" s="61"/>
      <c r="IWF59" s="61"/>
      <c r="IWG59" s="62"/>
      <c r="IWH59" s="53"/>
      <c r="IWI59" s="60"/>
      <c r="IWJ59" s="60"/>
      <c r="IWK59" s="61"/>
      <c r="IWL59" s="61"/>
      <c r="IWM59" s="61"/>
      <c r="IWN59" s="61"/>
      <c r="IWO59" s="62"/>
      <c r="IWP59" s="53"/>
      <c r="IWQ59" s="60"/>
      <c r="IWR59" s="60"/>
      <c r="IWS59" s="61"/>
      <c r="IWT59" s="61"/>
      <c r="IWU59" s="61"/>
      <c r="IWV59" s="61"/>
      <c r="IWW59" s="62"/>
      <c r="IWX59" s="53"/>
      <c r="IWY59" s="60"/>
      <c r="IWZ59" s="60"/>
      <c r="IXA59" s="61"/>
      <c r="IXB59" s="61"/>
      <c r="IXC59" s="61"/>
      <c r="IXD59" s="61"/>
      <c r="IXE59" s="62"/>
      <c r="IXF59" s="53"/>
      <c r="IXG59" s="60"/>
      <c r="IXH59" s="60"/>
      <c r="IXI59" s="61"/>
      <c r="IXJ59" s="61"/>
      <c r="IXK59" s="61"/>
      <c r="IXL59" s="61"/>
      <c r="IXM59" s="62"/>
      <c r="IXN59" s="53"/>
      <c r="IXO59" s="60"/>
      <c r="IXP59" s="60"/>
      <c r="IXQ59" s="61"/>
      <c r="IXR59" s="61"/>
      <c r="IXS59" s="61"/>
      <c r="IXT59" s="61"/>
      <c r="IXU59" s="62"/>
      <c r="IXV59" s="53"/>
      <c r="IXW59" s="60"/>
      <c r="IXX59" s="60"/>
      <c r="IXY59" s="61"/>
      <c r="IXZ59" s="61"/>
      <c r="IYA59" s="61"/>
      <c r="IYB59" s="61"/>
      <c r="IYC59" s="62"/>
      <c r="IYD59" s="53"/>
      <c r="IYE59" s="60"/>
      <c r="IYF59" s="60"/>
      <c r="IYG59" s="61"/>
      <c r="IYH59" s="61"/>
      <c r="IYI59" s="61"/>
      <c r="IYJ59" s="61"/>
      <c r="IYK59" s="62"/>
      <c r="IYL59" s="53"/>
      <c r="IYM59" s="60"/>
      <c r="IYN59" s="60"/>
      <c r="IYO59" s="61"/>
      <c r="IYP59" s="61"/>
      <c r="IYQ59" s="61"/>
      <c r="IYR59" s="61"/>
      <c r="IYS59" s="62"/>
      <c r="IYT59" s="53"/>
      <c r="IYU59" s="60"/>
      <c r="IYV59" s="60"/>
      <c r="IYW59" s="61"/>
      <c r="IYX59" s="61"/>
      <c r="IYY59" s="61"/>
      <c r="IYZ59" s="61"/>
      <c r="IZA59" s="62"/>
      <c r="IZB59" s="53"/>
      <c r="IZC59" s="60"/>
      <c r="IZD59" s="60"/>
      <c r="IZE59" s="61"/>
      <c r="IZF59" s="61"/>
      <c r="IZG59" s="61"/>
      <c r="IZH59" s="61"/>
      <c r="IZI59" s="62"/>
      <c r="IZJ59" s="53"/>
      <c r="IZK59" s="60"/>
      <c r="IZL59" s="60"/>
      <c r="IZM59" s="61"/>
      <c r="IZN59" s="61"/>
      <c r="IZO59" s="61"/>
      <c r="IZP59" s="61"/>
      <c r="IZQ59" s="62"/>
      <c r="IZR59" s="53"/>
      <c r="IZS59" s="60"/>
      <c r="IZT59" s="60"/>
      <c r="IZU59" s="61"/>
      <c r="IZV59" s="61"/>
      <c r="IZW59" s="61"/>
      <c r="IZX59" s="61"/>
      <c r="IZY59" s="62"/>
      <c r="IZZ59" s="53"/>
      <c r="JAA59" s="60"/>
      <c r="JAB59" s="60"/>
      <c r="JAC59" s="61"/>
      <c r="JAD59" s="61"/>
      <c r="JAE59" s="61"/>
      <c r="JAF59" s="61"/>
      <c r="JAG59" s="62"/>
      <c r="JAH59" s="53"/>
      <c r="JAI59" s="60"/>
      <c r="JAJ59" s="60"/>
      <c r="JAK59" s="61"/>
      <c r="JAL59" s="61"/>
      <c r="JAM59" s="61"/>
      <c r="JAN59" s="61"/>
      <c r="JAO59" s="62"/>
      <c r="JAP59" s="53"/>
      <c r="JAQ59" s="60"/>
      <c r="JAR59" s="60"/>
      <c r="JAS59" s="61"/>
      <c r="JAT59" s="61"/>
      <c r="JAU59" s="61"/>
      <c r="JAV59" s="61"/>
      <c r="JAW59" s="62"/>
      <c r="JAX59" s="53"/>
      <c r="JAY59" s="60"/>
      <c r="JAZ59" s="60"/>
      <c r="JBA59" s="61"/>
      <c r="JBB59" s="61"/>
      <c r="JBC59" s="61"/>
      <c r="JBD59" s="61"/>
      <c r="JBE59" s="62"/>
      <c r="JBF59" s="53"/>
      <c r="JBG59" s="60"/>
      <c r="JBH59" s="60"/>
      <c r="JBI59" s="61"/>
      <c r="JBJ59" s="61"/>
      <c r="JBK59" s="61"/>
      <c r="JBL59" s="61"/>
      <c r="JBM59" s="62"/>
      <c r="JBN59" s="53"/>
      <c r="JBO59" s="60"/>
      <c r="JBP59" s="60"/>
      <c r="JBQ59" s="61"/>
      <c r="JBR59" s="61"/>
      <c r="JBS59" s="61"/>
      <c r="JBT59" s="61"/>
      <c r="JBU59" s="62"/>
      <c r="JBV59" s="53"/>
      <c r="JBW59" s="60"/>
      <c r="JBX59" s="60"/>
      <c r="JBY59" s="61"/>
      <c r="JBZ59" s="61"/>
      <c r="JCA59" s="61"/>
      <c r="JCB59" s="61"/>
      <c r="JCC59" s="62"/>
      <c r="JCD59" s="53"/>
      <c r="JCE59" s="60"/>
      <c r="JCF59" s="60"/>
      <c r="JCG59" s="61"/>
      <c r="JCH59" s="61"/>
      <c r="JCI59" s="61"/>
      <c r="JCJ59" s="61"/>
      <c r="JCK59" s="62"/>
      <c r="JCL59" s="53"/>
      <c r="JCM59" s="60"/>
      <c r="JCN59" s="60"/>
      <c r="JCO59" s="61"/>
      <c r="JCP59" s="61"/>
      <c r="JCQ59" s="61"/>
      <c r="JCR59" s="61"/>
      <c r="JCS59" s="62"/>
      <c r="JCT59" s="53"/>
      <c r="JCU59" s="60"/>
      <c r="JCV59" s="60"/>
      <c r="JCW59" s="61"/>
      <c r="JCX59" s="61"/>
      <c r="JCY59" s="61"/>
      <c r="JCZ59" s="61"/>
      <c r="JDA59" s="62"/>
      <c r="JDB59" s="53"/>
      <c r="JDC59" s="60"/>
      <c r="JDD59" s="60"/>
      <c r="JDE59" s="61"/>
      <c r="JDF59" s="61"/>
      <c r="JDG59" s="61"/>
      <c r="JDH59" s="61"/>
      <c r="JDI59" s="62"/>
      <c r="JDJ59" s="53"/>
      <c r="JDK59" s="60"/>
      <c r="JDL59" s="60"/>
      <c r="JDM59" s="61"/>
      <c r="JDN59" s="61"/>
      <c r="JDO59" s="61"/>
      <c r="JDP59" s="61"/>
      <c r="JDQ59" s="62"/>
      <c r="JDR59" s="53"/>
      <c r="JDS59" s="60"/>
      <c r="JDT59" s="60"/>
      <c r="JDU59" s="61"/>
      <c r="JDV59" s="61"/>
      <c r="JDW59" s="61"/>
      <c r="JDX59" s="61"/>
      <c r="JDY59" s="62"/>
      <c r="JDZ59" s="53"/>
      <c r="JEA59" s="60"/>
      <c r="JEB59" s="60"/>
      <c r="JEC59" s="61"/>
      <c r="JED59" s="61"/>
      <c r="JEE59" s="61"/>
      <c r="JEF59" s="61"/>
      <c r="JEG59" s="62"/>
      <c r="JEH59" s="53"/>
      <c r="JEI59" s="60"/>
      <c r="JEJ59" s="60"/>
      <c r="JEK59" s="61"/>
      <c r="JEL59" s="61"/>
      <c r="JEM59" s="61"/>
      <c r="JEN59" s="61"/>
      <c r="JEO59" s="62"/>
      <c r="JEP59" s="53"/>
      <c r="JEQ59" s="60"/>
      <c r="JER59" s="60"/>
      <c r="JES59" s="61"/>
      <c r="JET59" s="61"/>
      <c r="JEU59" s="61"/>
      <c r="JEV59" s="61"/>
      <c r="JEW59" s="62"/>
      <c r="JEX59" s="53"/>
      <c r="JEY59" s="60"/>
      <c r="JEZ59" s="60"/>
      <c r="JFA59" s="61"/>
      <c r="JFB59" s="61"/>
      <c r="JFC59" s="61"/>
      <c r="JFD59" s="61"/>
      <c r="JFE59" s="62"/>
      <c r="JFF59" s="53"/>
      <c r="JFG59" s="60"/>
      <c r="JFH59" s="60"/>
      <c r="JFI59" s="61"/>
      <c r="JFJ59" s="61"/>
      <c r="JFK59" s="61"/>
      <c r="JFL59" s="61"/>
      <c r="JFM59" s="62"/>
      <c r="JFN59" s="53"/>
      <c r="JFO59" s="60"/>
      <c r="JFP59" s="60"/>
      <c r="JFQ59" s="61"/>
      <c r="JFR59" s="61"/>
      <c r="JFS59" s="61"/>
      <c r="JFT59" s="61"/>
      <c r="JFU59" s="62"/>
      <c r="JFV59" s="53"/>
      <c r="JFW59" s="60"/>
      <c r="JFX59" s="60"/>
      <c r="JFY59" s="61"/>
      <c r="JFZ59" s="61"/>
      <c r="JGA59" s="61"/>
      <c r="JGB59" s="61"/>
      <c r="JGC59" s="62"/>
      <c r="JGD59" s="53"/>
      <c r="JGE59" s="60"/>
      <c r="JGF59" s="60"/>
      <c r="JGG59" s="61"/>
      <c r="JGH59" s="61"/>
      <c r="JGI59" s="61"/>
      <c r="JGJ59" s="61"/>
      <c r="JGK59" s="62"/>
      <c r="JGL59" s="53"/>
      <c r="JGM59" s="60"/>
      <c r="JGN59" s="60"/>
      <c r="JGO59" s="61"/>
      <c r="JGP59" s="61"/>
      <c r="JGQ59" s="61"/>
      <c r="JGR59" s="61"/>
      <c r="JGS59" s="62"/>
      <c r="JGT59" s="53"/>
      <c r="JGU59" s="60"/>
      <c r="JGV59" s="60"/>
      <c r="JGW59" s="61"/>
      <c r="JGX59" s="61"/>
      <c r="JGY59" s="61"/>
      <c r="JGZ59" s="61"/>
      <c r="JHA59" s="62"/>
      <c r="JHB59" s="53"/>
      <c r="JHC59" s="60"/>
      <c r="JHD59" s="60"/>
      <c r="JHE59" s="61"/>
      <c r="JHF59" s="61"/>
      <c r="JHG59" s="61"/>
      <c r="JHH59" s="61"/>
      <c r="JHI59" s="62"/>
      <c r="JHJ59" s="53"/>
      <c r="JHK59" s="60"/>
      <c r="JHL59" s="60"/>
      <c r="JHM59" s="61"/>
      <c r="JHN59" s="61"/>
      <c r="JHO59" s="61"/>
      <c r="JHP59" s="61"/>
      <c r="JHQ59" s="62"/>
      <c r="JHR59" s="53"/>
      <c r="JHS59" s="60"/>
      <c r="JHT59" s="60"/>
      <c r="JHU59" s="61"/>
      <c r="JHV59" s="61"/>
      <c r="JHW59" s="61"/>
      <c r="JHX59" s="61"/>
      <c r="JHY59" s="62"/>
      <c r="JHZ59" s="53"/>
      <c r="JIA59" s="60"/>
      <c r="JIB59" s="60"/>
      <c r="JIC59" s="61"/>
      <c r="JID59" s="61"/>
      <c r="JIE59" s="61"/>
      <c r="JIF59" s="61"/>
      <c r="JIG59" s="62"/>
      <c r="JIH59" s="53"/>
      <c r="JII59" s="60"/>
      <c r="JIJ59" s="60"/>
      <c r="JIK59" s="61"/>
      <c r="JIL59" s="61"/>
      <c r="JIM59" s="61"/>
      <c r="JIN59" s="61"/>
      <c r="JIO59" s="62"/>
      <c r="JIP59" s="53"/>
      <c r="JIQ59" s="60"/>
      <c r="JIR59" s="60"/>
      <c r="JIS59" s="61"/>
      <c r="JIT59" s="61"/>
      <c r="JIU59" s="61"/>
      <c r="JIV59" s="61"/>
      <c r="JIW59" s="62"/>
      <c r="JIX59" s="53"/>
      <c r="JIY59" s="60"/>
      <c r="JIZ59" s="60"/>
      <c r="JJA59" s="61"/>
      <c r="JJB59" s="61"/>
      <c r="JJC59" s="61"/>
      <c r="JJD59" s="61"/>
      <c r="JJE59" s="62"/>
      <c r="JJF59" s="53"/>
      <c r="JJG59" s="60"/>
      <c r="JJH59" s="60"/>
      <c r="JJI59" s="61"/>
      <c r="JJJ59" s="61"/>
      <c r="JJK59" s="61"/>
      <c r="JJL59" s="61"/>
      <c r="JJM59" s="62"/>
      <c r="JJN59" s="53"/>
      <c r="JJO59" s="60"/>
      <c r="JJP59" s="60"/>
      <c r="JJQ59" s="61"/>
      <c r="JJR59" s="61"/>
      <c r="JJS59" s="61"/>
      <c r="JJT59" s="61"/>
      <c r="JJU59" s="62"/>
      <c r="JJV59" s="53"/>
      <c r="JJW59" s="60"/>
      <c r="JJX59" s="60"/>
      <c r="JJY59" s="61"/>
      <c r="JJZ59" s="61"/>
      <c r="JKA59" s="61"/>
      <c r="JKB59" s="61"/>
      <c r="JKC59" s="62"/>
      <c r="JKD59" s="53"/>
      <c r="JKE59" s="60"/>
      <c r="JKF59" s="60"/>
      <c r="JKG59" s="61"/>
      <c r="JKH59" s="61"/>
      <c r="JKI59" s="61"/>
      <c r="JKJ59" s="61"/>
      <c r="JKK59" s="62"/>
      <c r="JKL59" s="53"/>
      <c r="JKM59" s="60"/>
      <c r="JKN59" s="60"/>
      <c r="JKO59" s="61"/>
      <c r="JKP59" s="61"/>
      <c r="JKQ59" s="61"/>
      <c r="JKR59" s="61"/>
      <c r="JKS59" s="62"/>
      <c r="JKT59" s="53"/>
      <c r="JKU59" s="60"/>
      <c r="JKV59" s="60"/>
      <c r="JKW59" s="61"/>
      <c r="JKX59" s="61"/>
      <c r="JKY59" s="61"/>
      <c r="JKZ59" s="61"/>
      <c r="JLA59" s="62"/>
      <c r="JLB59" s="53"/>
      <c r="JLC59" s="60"/>
      <c r="JLD59" s="60"/>
      <c r="JLE59" s="61"/>
      <c r="JLF59" s="61"/>
      <c r="JLG59" s="61"/>
      <c r="JLH59" s="61"/>
      <c r="JLI59" s="62"/>
      <c r="JLJ59" s="53"/>
      <c r="JLK59" s="60"/>
      <c r="JLL59" s="60"/>
      <c r="JLM59" s="61"/>
      <c r="JLN59" s="61"/>
      <c r="JLO59" s="61"/>
      <c r="JLP59" s="61"/>
      <c r="JLQ59" s="62"/>
      <c r="JLR59" s="53"/>
      <c r="JLS59" s="60"/>
      <c r="JLT59" s="60"/>
      <c r="JLU59" s="61"/>
      <c r="JLV59" s="61"/>
      <c r="JLW59" s="61"/>
      <c r="JLX59" s="61"/>
      <c r="JLY59" s="62"/>
      <c r="JLZ59" s="53"/>
      <c r="JMA59" s="60"/>
      <c r="JMB59" s="60"/>
      <c r="JMC59" s="61"/>
      <c r="JMD59" s="61"/>
      <c r="JME59" s="61"/>
      <c r="JMF59" s="61"/>
      <c r="JMG59" s="62"/>
      <c r="JMH59" s="53"/>
      <c r="JMI59" s="60"/>
      <c r="JMJ59" s="60"/>
      <c r="JMK59" s="61"/>
      <c r="JML59" s="61"/>
      <c r="JMM59" s="61"/>
      <c r="JMN59" s="61"/>
      <c r="JMO59" s="62"/>
      <c r="JMP59" s="53"/>
      <c r="JMQ59" s="60"/>
      <c r="JMR59" s="60"/>
      <c r="JMS59" s="61"/>
      <c r="JMT59" s="61"/>
      <c r="JMU59" s="61"/>
      <c r="JMV59" s="61"/>
      <c r="JMW59" s="62"/>
      <c r="JMX59" s="53"/>
      <c r="JMY59" s="60"/>
      <c r="JMZ59" s="60"/>
      <c r="JNA59" s="61"/>
      <c r="JNB59" s="61"/>
      <c r="JNC59" s="61"/>
      <c r="JND59" s="61"/>
      <c r="JNE59" s="62"/>
      <c r="JNF59" s="53"/>
      <c r="JNG59" s="60"/>
      <c r="JNH59" s="60"/>
      <c r="JNI59" s="61"/>
      <c r="JNJ59" s="61"/>
      <c r="JNK59" s="61"/>
      <c r="JNL59" s="61"/>
      <c r="JNM59" s="62"/>
      <c r="JNN59" s="53"/>
      <c r="JNO59" s="60"/>
      <c r="JNP59" s="60"/>
      <c r="JNQ59" s="61"/>
      <c r="JNR59" s="61"/>
      <c r="JNS59" s="61"/>
      <c r="JNT59" s="61"/>
      <c r="JNU59" s="62"/>
      <c r="JNV59" s="53"/>
      <c r="JNW59" s="60"/>
      <c r="JNX59" s="60"/>
      <c r="JNY59" s="61"/>
      <c r="JNZ59" s="61"/>
      <c r="JOA59" s="61"/>
      <c r="JOB59" s="61"/>
      <c r="JOC59" s="62"/>
      <c r="JOD59" s="53"/>
      <c r="JOE59" s="60"/>
      <c r="JOF59" s="60"/>
      <c r="JOG59" s="61"/>
      <c r="JOH59" s="61"/>
      <c r="JOI59" s="61"/>
      <c r="JOJ59" s="61"/>
      <c r="JOK59" s="62"/>
      <c r="JOL59" s="53"/>
      <c r="JOM59" s="60"/>
      <c r="JON59" s="60"/>
      <c r="JOO59" s="61"/>
      <c r="JOP59" s="61"/>
      <c r="JOQ59" s="61"/>
      <c r="JOR59" s="61"/>
      <c r="JOS59" s="62"/>
      <c r="JOT59" s="53"/>
      <c r="JOU59" s="60"/>
      <c r="JOV59" s="60"/>
      <c r="JOW59" s="61"/>
      <c r="JOX59" s="61"/>
      <c r="JOY59" s="61"/>
      <c r="JOZ59" s="61"/>
      <c r="JPA59" s="62"/>
      <c r="JPB59" s="53"/>
      <c r="JPC59" s="60"/>
      <c r="JPD59" s="60"/>
      <c r="JPE59" s="61"/>
      <c r="JPF59" s="61"/>
      <c r="JPG59" s="61"/>
      <c r="JPH59" s="61"/>
      <c r="JPI59" s="62"/>
      <c r="JPJ59" s="53"/>
      <c r="JPK59" s="60"/>
      <c r="JPL59" s="60"/>
      <c r="JPM59" s="61"/>
      <c r="JPN59" s="61"/>
      <c r="JPO59" s="61"/>
      <c r="JPP59" s="61"/>
      <c r="JPQ59" s="62"/>
      <c r="JPR59" s="53"/>
      <c r="JPS59" s="60"/>
      <c r="JPT59" s="60"/>
      <c r="JPU59" s="61"/>
      <c r="JPV59" s="61"/>
      <c r="JPW59" s="61"/>
      <c r="JPX59" s="61"/>
      <c r="JPY59" s="62"/>
      <c r="JPZ59" s="53"/>
      <c r="JQA59" s="60"/>
      <c r="JQB59" s="60"/>
      <c r="JQC59" s="61"/>
      <c r="JQD59" s="61"/>
      <c r="JQE59" s="61"/>
      <c r="JQF59" s="61"/>
      <c r="JQG59" s="62"/>
      <c r="JQH59" s="53"/>
      <c r="JQI59" s="60"/>
      <c r="JQJ59" s="60"/>
      <c r="JQK59" s="61"/>
      <c r="JQL59" s="61"/>
      <c r="JQM59" s="61"/>
      <c r="JQN59" s="61"/>
      <c r="JQO59" s="62"/>
      <c r="JQP59" s="53"/>
      <c r="JQQ59" s="60"/>
      <c r="JQR59" s="60"/>
      <c r="JQS59" s="61"/>
      <c r="JQT59" s="61"/>
      <c r="JQU59" s="61"/>
      <c r="JQV59" s="61"/>
      <c r="JQW59" s="62"/>
      <c r="JQX59" s="53"/>
      <c r="JQY59" s="60"/>
      <c r="JQZ59" s="60"/>
      <c r="JRA59" s="61"/>
      <c r="JRB59" s="61"/>
      <c r="JRC59" s="61"/>
      <c r="JRD59" s="61"/>
      <c r="JRE59" s="62"/>
      <c r="JRF59" s="53"/>
      <c r="JRG59" s="60"/>
      <c r="JRH59" s="60"/>
      <c r="JRI59" s="61"/>
      <c r="JRJ59" s="61"/>
      <c r="JRK59" s="61"/>
      <c r="JRL59" s="61"/>
      <c r="JRM59" s="62"/>
      <c r="JRN59" s="53"/>
      <c r="JRO59" s="60"/>
      <c r="JRP59" s="60"/>
      <c r="JRQ59" s="61"/>
      <c r="JRR59" s="61"/>
      <c r="JRS59" s="61"/>
      <c r="JRT59" s="61"/>
      <c r="JRU59" s="62"/>
      <c r="JRV59" s="53"/>
      <c r="JRW59" s="60"/>
      <c r="JRX59" s="60"/>
      <c r="JRY59" s="61"/>
      <c r="JRZ59" s="61"/>
      <c r="JSA59" s="61"/>
      <c r="JSB59" s="61"/>
      <c r="JSC59" s="62"/>
      <c r="JSD59" s="53"/>
      <c r="JSE59" s="60"/>
      <c r="JSF59" s="60"/>
      <c r="JSG59" s="61"/>
      <c r="JSH59" s="61"/>
      <c r="JSI59" s="61"/>
      <c r="JSJ59" s="61"/>
      <c r="JSK59" s="62"/>
      <c r="JSL59" s="53"/>
      <c r="JSM59" s="60"/>
      <c r="JSN59" s="60"/>
      <c r="JSO59" s="61"/>
      <c r="JSP59" s="61"/>
      <c r="JSQ59" s="61"/>
      <c r="JSR59" s="61"/>
      <c r="JSS59" s="62"/>
      <c r="JST59" s="53"/>
      <c r="JSU59" s="60"/>
      <c r="JSV59" s="60"/>
      <c r="JSW59" s="61"/>
      <c r="JSX59" s="61"/>
      <c r="JSY59" s="61"/>
      <c r="JSZ59" s="61"/>
      <c r="JTA59" s="62"/>
      <c r="JTB59" s="53"/>
      <c r="JTC59" s="60"/>
      <c r="JTD59" s="60"/>
      <c r="JTE59" s="61"/>
      <c r="JTF59" s="61"/>
      <c r="JTG59" s="61"/>
      <c r="JTH59" s="61"/>
      <c r="JTI59" s="62"/>
      <c r="JTJ59" s="53"/>
      <c r="JTK59" s="60"/>
      <c r="JTL59" s="60"/>
      <c r="JTM59" s="61"/>
      <c r="JTN59" s="61"/>
      <c r="JTO59" s="61"/>
      <c r="JTP59" s="61"/>
      <c r="JTQ59" s="62"/>
      <c r="JTR59" s="53"/>
      <c r="JTS59" s="60"/>
      <c r="JTT59" s="60"/>
      <c r="JTU59" s="61"/>
      <c r="JTV59" s="61"/>
      <c r="JTW59" s="61"/>
      <c r="JTX59" s="61"/>
      <c r="JTY59" s="62"/>
      <c r="JTZ59" s="53"/>
      <c r="JUA59" s="60"/>
      <c r="JUB59" s="60"/>
      <c r="JUC59" s="61"/>
      <c r="JUD59" s="61"/>
      <c r="JUE59" s="61"/>
      <c r="JUF59" s="61"/>
      <c r="JUG59" s="62"/>
      <c r="JUH59" s="53"/>
      <c r="JUI59" s="60"/>
      <c r="JUJ59" s="60"/>
      <c r="JUK59" s="61"/>
      <c r="JUL59" s="61"/>
      <c r="JUM59" s="61"/>
      <c r="JUN59" s="61"/>
      <c r="JUO59" s="62"/>
      <c r="JUP59" s="53"/>
      <c r="JUQ59" s="60"/>
      <c r="JUR59" s="60"/>
      <c r="JUS59" s="61"/>
      <c r="JUT59" s="61"/>
      <c r="JUU59" s="61"/>
      <c r="JUV59" s="61"/>
      <c r="JUW59" s="62"/>
      <c r="JUX59" s="53"/>
      <c r="JUY59" s="60"/>
      <c r="JUZ59" s="60"/>
      <c r="JVA59" s="61"/>
      <c r="JVB59" s="61"/>
      <c r="JVC59" s="61"/>
      <c r="JVD59" s="61"/>
      <c r="JVE59" s="62"/>
      <c r="JVF59" s="53"/>
      <c r="JVG59" s="60"/>
      <c r="JVH59" s="60"/>
      <c r="JVI59" s="61"/>
      <c r="JVJ59" s="61"/>
      <c r="JVK59" s="61"/>
      <c r="JVL59" s="61"/>
      <c r="JVM59" s="62"/>
      <c r="JVN59" s="53"/>
      <c r="JVO59" s="60"/>
      <c r="JVP59" s="60"/>
      <c r="JVQ59" s="61"/>
      <c r="JVR59" s="61"/>
      <c r="JVS59" s="61"/>
      <c r="JVT59" s="61"/>
      <c r="JVU59" s="62"/>
      <c r="JVV59" s="53"/>
      <c r="JVW59" s="60"/>
      <c r="JVX59" s="60"/>
      <c r="JVY59" s="61"/>
      <c r="JVZ59" s="61"/>
      <c r="JWA59" s="61"/>
      <c r="JWB59" s="61"/>
      <c r="JWC59" s="62"/>
      <c r="JWD59" s="53"/>
      <c r="JWE59" s="60"/>
      <c r="JWF59" s="60"/>
      <c r="JWG59" s="61"/>
      <c r="JWH59" s="61"/>
      <c r="JWI59" s="61"/>
      <c r="JWJ59" s="61"/>
      <c r="JWK59" s="62"/>
      <c r="JWL59" s="53"/>
      <c r="JWM59" s="60"/>
      <c r="JWN59" s="60"/>
      <c r="JWO59" s="61"/>
      <c r="JWP59" s="61"/>
      <c r="JWQ59" s="61"/>
      <c r="JWR59" s="61"/>
      <c r="JWS59" s="62"/>
      <c r="JWT59" s="53"/>
      <c r="JWU59" s="60"/>
      <c r="JWV59" s="60"/>
      <c r="JWW59" s="61"/>
      <c r="JWX59" s="61"/>
      <c r="JWY59" s="61"/>
      <c r="JWZ59" s="61"/>
      <c r="JXA59" s="62"/>
      <c r="JXB59" s="53"/>
      <c r="JXC59" s="60"/>
      <c r="JXD59" s="60"/>
      <c r="JXE59" s="61"/>
      <c r="JXF59" s="61"/>
      <c r="JXG59" s="61"/>
      <c r="JXH59" s="61"/>
      <c r="JXI59" s="62"/>
      <c r="JXJ59" s="53"/>
      <c r="JXK59" s="60"/>
      <c r="JXL59" s="60"/>
      <c r="JXM59" s="61"/>
      <c r="JXN59" s="61"/>
      <c r="JXO59" s="61"/>
      <c r="JXP59" s="61"/>
      <c r="JXQ59" s="62"/>
      <c r="JXR59" s="53"/>
      <c r="JXS59" s="60"/>
      <c r="JXT59" s="60"/>
      <c r="JXU59" s="61"/>
      <c r="JXV59" s="61"/>
      <c r="JXW59" s="61"/>
      <c r="JXX59" s="61"/>
      <c r="JXY59" s="62"/>
      <c r="JXZ59" s="53"/>
      <c r="JYA59" s="60"/>
      <c r="JYB59" s="60"/>
      <c r="JYC59" s="61"/>
      <c r="JYD59" s="61"/>
      <c r="JYE59" s="61"/>
      <c r="JYF59" s="61"/>
      <c r="JYG59" s="62"/>
      <c r="JYH59" s="53"/>
      <c r="JYI59" s="60"/>
      <c r="JYJ59" s="60"/>
      <c r="JYK59" s="61"/>
      <c r="JYL59" s="61"/>
      <c r="JYM59" s="61"/>
      <c r="JYN59" s="61"/>
      <c r="JYO59" s="62"/>
      <c r="JYP59" s="53"/>
      <c r="JYQ59" s="60"/>
      <c r="JYR59" s="60"/>
      <c r="JYS59" s="61"/>
      <c r="JYT59" s="61"/>
      <c r="JYU59" s="61"/>
      <c r="JYV59" s="61"/>
      <c r="JYW59" s="62"/>
      <c r="JYX59" s="53"/>
      <c r="JYY59" s="60"/>
      <c r="JYZ59" s="60"/>
      <c r="JZA59" s="61"/>
      <c r="JZB59" s="61"/>
      <c r="JZC59" s="61"/>
      <c r="JZD59" s="61"/>
      <c r="JZE59" s="62"/>
      <c r="JZF59" s="53"/>
      <c r="JZG59" s="60"/>
      <c r="JZH59" s="60"/>
      <c r="JZI59" s="61"/>
      <c r="JZJ59" s="61"/>
      <c r="JZK59" s="61"/>
      <c r="JZL59" s="61"/>
      <c r="JZM59" s="62"/>
      <c r="JZN59" s="53"/>
      <c r="JZO59" s="60"/>
      <c r="JZP59" s="60"/>
      <c r="JZQ59" s="61"/>
      <c r="JZR59" s="61"/>
      <c r="JZS59" s="61"/>
      <c r="JZT59" s="61"/>
      <c r="JZU59" s="62"/>
      <c r="JZV59" s="53"/>
      <c r="JZW59" s="60"/>
      <c r="JZX59" s="60"/>
      <c r="JZY59" s="61"/>
      <c r="JZZ59" s="61"/>
      <c r="KAA59" s="61"/>
      <c r="KAB59" s="61"/>
      <c r="KAC59" s="62"/>
      <c r="KAD59" s="53"/>
      <c r="KAE59" s="60"/>
      <c r="KAF59" s="60"/>
      <c r="KAG59" s="61"/>
      <c r="KAH59" s="61"/>
      <c r="KAI59" s="61"/>
      <c r="KAJ59" s="61"/>
      <c r="KAK59" s="62"/>
      <c r="KAL59" s="53"/>
      <c r="KAM59" s="60"/>
      <c r="KAN59" s="60"/>
      <c r="KAO59" s="61"/>
      <c r="KAP59" s="61"/>
      <c r="KAQ59" s="61"/>
      <c r="KAR59" s="61"/>
      <c r="KAS59" s="62"/>
      <c r="KAT59" s="53"/>
      <c r="KAU59" s="60"/>
      <c r="KAV59" s="60"/>
      <c r="KAW59" s="61"/>
      <c r="KAX59" s="61"/>
      <c r="KAY59" s="61"/>
      <c r="KAZ59" s="61"/>
      <c r="KBA59" s="62"/>
      <c r="KBB59" s="53"/>
      <c r="KBC59" s="60"/>
      <c r="KBD59" s="60"/>
      <c r="KBE59" s="61"/>
      <c r="KBF59" s="61"/>
      <c r="KBG59" s="61"/>
      <c r="KBH59" s="61"/>
      <c r="KBI59" s="62"/>
      <c r="KBJ59" s="53"/>
      <c r="KBK59" s="60"/>
      <c r="KBL59" s="60"/>
      <c r="KBM59" s="61"/>
      <c r="KBN59" s="61"/>
      <c r="KBO59" s="61"/>
      <c r="KBP59" s="61"/>
      <c r="KBQ59" s="62"/>
      <c r="KBR59" s="53"/>
      <c r="KBS59" s="60"/>
      <c r="KBT59" s="60"/>
      <c r="KBU59" s="61"/>
      <c r="KBV59" s="61"/>
      <c r="KBW59" s="61"/>
      <c r="KBX59" s="61"/>
      <c r="KBY59" s="62"/>
      <c r="KBZ59" s="53"/>
      <c r="KCA59" s="60"/>
      <c r="KCB59" s="60"/>
      <c r="KCC59" s="61"/>
      <c r="KCD59" s="61"/>
      <c r="KCE59" s="61"/>
      <c r="KCF59" s="61"/>
      <c r="KCG59" s="62"/>
      <c r="KCH59" s="53"/>
      <c r="KCI59" s="60"/>
      <c r="KCJ59" s="60"/>
      <c r="KCK59" s="61"/>
      <c r="KCL59" s="61"/>
      <c r="KCM59" s="61"/>
      <c r="KCN59" s="61"/>
      <c r="KCO59" s="62"/>
      <c r="KCP59" s="53"/>
      <c r="KCQ59" s="60"/>
      <c r="KCR59" s="60"/>
      <c r="KCS59" s="61"/>
      <c r="KCT59" s="61"/>
      <c r="KCU59" s="61"/>
      <c r="KCV59" s="61"/>
      <c r="KCW59" s="62"/>
      <c r="KCX59" s="53"/>
      <c r="KCY59" s="60"/>
      <c r="KCZ59" s="60"/>
      <c r="KDA59" s="61"/>
      <c r="KDB59" s="61"/>
      <c r="KDC59" s="61"/>
      <c r="KDD59" s="61"/>
      <c r="KDE59" s="62"/>
      <c r="KDF59" s="53"/>
      <c r="KDG59" s="60"/>
      <c r="KDH59" s="60"/>
      <c r="KDI59" s="61"/>
      <c r="KDJ59" s="61"/>
      <c r="KDK59" s="61"/>
      <c r="KDL59" s="61"/>
      <c r="KDM59" s="62"/>
      <c r="KDN59" s="53"/>
      <c r="KDO59" s="60"/>
      <c r="KDP59" s="60"/>
      <c r="KDQ59" s="61"/>
      <c r="KDR59" s="61"/>
      <c r="KDS59" s="61"/>
      <c r="KDT59" s="61"/>
      <c r="KDU59" s="62"/>
      <c r="KDV59" s="53"/>
      <c r="KDW59" s="60"/>
      <c r="KDX59" s="60"/>
      <c r="KDY59" s="61"/>
      <c r="KDZ59" s="61"/>
      <c r="KEA59" s="61"/>
      <c r="KEB59" s="61"/>
      <c r="KEC59" s="62"/>
      <c r="KED59" s="53"/>
      <c r="KEE59" s="60"/>
      <c r="KEF59" s="60"/>
      <c r="KEG59" s="61"/>
      <c r="KEH59" s="61"/>
      <c r="KEI59" s="61"/>
      <c r="KEJ59" s="61"/>
      <c r="KEK59" s="62"/>
      <c r="KEL59" s="53"/>
      <c r="KEM59" s="60"/>
      <c r="KEN59" s="60"/>
      <c r="KEO59" s="61"/>
      <c r="KEP59" s="61"/>
      <c r="KEQ59" s="61"/>
      <c r="KER59" s="61"/>
      <c r="KES59" s="62"/>
      <c r="KET59" s="53"/>
      <c r="KEU59" s="60"/>
      <c r="KEV59" s="60"/>
      <c r="KEW59" s="61"/>
      <c r="KEX59" s="61"/>
      <c r="KEY59" s="61"/>
      <c r="KEZ59" s="61"/>
      <c r="KFA59" s="62"/>
      <c r="KFB59" s="53"/>
      <c r="KFC59" s="60"/>
      <c r="KFD59" s="60"/>
      <c r="KFE59" s="61"/>
      <c r="KFF59" s="61"/>
      <c r="KFG59" s="61"/>
      <c r="KFH59" s="61"/>
      <c r="KFI59" s="62"/>
      <c r="KFJ59" s="53"/>
      <c r="KFK59" s="60"/>
      <c r="KFL59" s="60"/>
      <c r="KFM59" s="61"/>
      <c r="KFN59" s="61"/>
      <c r="KFO59" s="61"/>
      <c r="KFP59" s="61"/>
      <c r="KFQ59" s="62"/>
      <c r="KFR59" s="53"/>
      <c r="KFS59" s="60"/>
      <c r="KFT59" s="60"/>
      <c r="KFU59" s="61"/>
      <c r="KFV59" s="61"/>
      <c r="KFW59" s="61"/>
      <c r="KFX59" s="61"/>
      <c r="KFY59" s="62"/>
      <c r="KFZ59" s="53"/>
      <c r="KGA59" s="60"/>
      <c r="KGB59" s="60"/>
      <c r="KGC59" s="61"/>
      <c r="KGD59" s="61"/>
      <c r="KGE59" s="61"/>
      <c r="KGF59" s="61"/>
      <c r="KGG59" s="62"/>
      <c r="KGH59" s="53"/>
      <c r="KGI59" s="60"/>
      <c r="KGJ59" s="60"/>
      <c r="KGK59" s="61"/>
      <c r="KGL59" s="61"/>
      <c r="KGM59" s="61"/>
      <c r="KGN59" s="61"/>
      <c r="KGO59" s="62"/>
      <c r="KGP59" s="53"/>
      <c r="KGQ59" s="60"/>
      <c r="KGR59" s="60"/>
      <c r="KGS59" s="61"/>
      <c r="KGT59" s="61"/>
      <c r="KGU59" s="61"/>
      <c r="KGV59" s="61"/>
      <c r="KGW59" s="62"/>
      <c r="KGX59" s="53"/>
      <c r="KGY59" s="60"/>
      <c r="KGZ59" s="60"/>
      <c r="KHA59" s="61"/>
      <c r="KHB59" s="61"/>
      <c r="KHC59" s="61"/>
      <c r="KHD59" s="61"/>
      <c r="KHE59" s="62"/>
      <c r="KHF59" s="53"/>
      <c r="KHG59" s="60"/>
      <c r="KHH59" s="60"/>
      <c r="KHI59" s="61"/>
      <c r="KHJ59" s="61"/>
      <c r="KHK59" s="61"/>
      <c r="KHL59" s="61"/>
      <c r="KHM59" s="62"/>
      <c r="KHN59" s="53"/>
      <c r="KHO59" s="60"/>
      <c r="KHP59" s="60"/>
      <c r="KHQ59" s="61"/>
      <c r="KHR59" s="61"/>
      <c r="KHS59" s="61"/>
      <c r="KHT59" s="61"/>
      <c r="KHU59" s="62"/>
      <c r="KHV59" s="53"/>
      <c r="KHW59" s="60"/>
      <c r="KHX59" s="60"/>
      <c r="KHY59" s="61"/>
      <c r="KHZ59" s="61"/>
      <c r="KIA59" s="61"/>
      <c r="KIB59" s="61"/>
      <c r="KIC59" s="62"/>
      <c r="KID59" s="53"/>
      <c r="KIE59" s="60"/>
      <c r="KIF59" s="60"/>
      <c r="KIG59" s="61"/>
      <c r="KIH59" s="61"/>
      <c r="KII59" s="61"/>
      <c r="KIJ59" s="61"/>
      <c r="KIK59" s="62"/>
      <c r="KIL59" s="53"/>
      <c r="KIM59" s="60"/>
      <c r="KIN59" s="60"/>
      <c r="KIO59" s="61"/>
      <c r="KIP59" s="61"/>
      <c r="KIQ59" s="61"/>
      <c r="KIR59" s="61"/>
      <c r="KIS59" s="62"/>
      <c r="KIT59" s="53"/>
      <c r="KIU59" s="60"/>
      <c r="KIV59" s="60"/>
      <c r="KIW59" s="61"/>
      <c r="KIX59" s="61"/>
      <c r="KIY59" s="61"/>
      <c r="KIZ59" s="61"/>
      <c r="KJA59" s="62"/>
      <c r="KJB59" s="53"/>
      <c r="KJC59" s="60"/>
      <c r="KJD59" s="60"/>
      <c r="KJE59" s="61"/>
      <c r="KJF59" s="61"/>
      <c r="KJG59" s="61"/>
      <c r="KJH59" s="61"/>
      <c r="KJI59" s="62"/>
      <c r="KJJ59" s="53"/>
      <c r="KJK59" s="60"/>
      <c r="KJL59" s="60"/>
      <c r="KJM59" s="61"/>
      <c r="KJN59" s="61"/>
      <c r="KJO59" s="61"/>
      <c r="KJP59" s="61"/>
      <c r="KJQ59" s="62"/>
      <c r="KJR59" s="53"/>
      <c r="KJS59" s="60"/>
      <c r="KJT59" s="60"/>
      <c r="KJU59" s="61"/>
      <c r="KJV59" s="61"/>
      <c r="KJW59" s="61"/>
      <c r="KJX59" s="61"/>
      <c r="KJY59" s="62"/>
      <c r="KJZ59" s="53"/>
      <c r="KKA59" s="60"/>
      <c r="KKB59" s="60"/>
      <c r="KKC59" s="61"/>
      <c r="KKD59" s="61"/>
      <c r="KKE59" s="61"/>
      <c r="KKF59" s="61"/>
      <c r="KKG59" s="62"/>
      <c r="KKH59" s="53"/>
      <c r="KKI59" s="60"/>
      <c r="KKJ59" s="60"/>
      <c r="KKK59" s="61"/>
      <c r="KKL59" s="61"/>
      <c r="KKM59" s="61"/>
      <c r="KKN59" s="61"/>
      <c r="KKO59" s="62"/>
      <c r="KKP59" s="53"/>
      <c r="KKQ59" s="60"/>
      <c r="KKR59" s="60"/>
      <c r="KKS59" s="61"/>
      <c r="KKT59" s="61"/>
      <c r="KKU59" s="61"/>
      <c r="KKV59" s="61"/>
      <c r="KKW59" s="62"/>
      <c r="KKX59" s="53"/>
      <c r="KKY59" s="60"/>
      <c r="KKZ59" s="60"/>
      <c r="KLA59" s="61"/>
      <c r="KLB59" s="61"/>
      <c r="KLC59" s="61"/>
      <c r="KLD59" s="61"/>
      <c r="KLE59" s="62"/>
      <c r="KLF59" s="53"/>
      <c r="KLG59" s="60"/>
      <c r="KLH59" s="60"/>
      <c r="KLI59" s="61"/>
      <c r="KLJ59" s="61"/>
      <c r="KLK59" s="61"/>
      <c r="KLL59" s="61"/>
      <c r="KLM59" s="62"/>
      <c r="KLN59" s="53"/>
      <c r="KLO59" s="60"/>
      <c r="KLP59" s="60"/>
      <c r="KLQ59" s="61"/>
      <c r="KLR59" s="61"/>
      <c r="KLS59" s="61"/>
      <c r="KLT59" s="61"/>
      <c r="KLU59" s="62"/>
      <c r="KLV59" s="53"/>
      <c r="KLW59" s="60"/>
      <c r="KLX59" s="60"/>
      <c r="KLY59" s="61"/>
      <c r="KLZ59" s="61"/>
      <c r="KMA59" s="61"/>
      <c r="KMB59" s="61"/>
      <c r="KMC59" s="62"/>
      <c r="KMD59" s="53"/>
      <c r="KME59" s="60"/>
      <c r="KMF59" s="60"/>
      <c r="KMG59" s="61"/>
      <c r="KMH59" s="61"/>
      <c r="KMI59" s="61"/>
      <c r="KMJ59" s="61"/>
      <c r="KMK59" s="62"/>
      <c r="KML59" s="53"/>
      <c r="KMM59" s="60"/>
      <c r="KMN59" s="60"/>
      <c r="KMO59" s="61"/>
      <c r="KMP59" s="61"/>
      <c r="KMQ59" s="61"/>
      <c r="KMR59" s="61"/>
      <c r="KMS59" s="62"/>
      <c r="KMT59" s="53"/>
      <c r="KMU59" s="60"/>
      <c r="KMV59" s="60"/>
      <c r="KMW59" s="61"/>
      <c r="KMX59" s="61"/>
      <c r="KMY59" s="61"/>
      <c r="KMZ59" s="61"/>
      <c r="KNA59" s="62"/>
      <c r="KNB59" s="53"/>
      <c r="KNC59" s="60"/>
      <c r="KND59" s="60"/>
      <c r="KNE59" s="61"/>
      <c r="KNF59" s="61"/>
      <c r="KNG59" s="61"/>
      <c r="KNH59" s="61"/>
      <c r="KNI59" s="62"/>
      <c r="KNJ59" s="53"/>
      <c r="KNK59" s="60"/>
      <c r="KNL59" s="60"/>
      <c r="KNM59" s="61"/>
      <c r="KNN59" s="61"/>
      <c r="KNO59" s="61"/>
      <c r="KNP59" s="61"/>
      <c r="KNQ59" s="62"/>
      <c r="KNR59" s="53"/>
      <c r="KNS59" s="60"/>
      <c r="KNT59" s="60"/>
      <c r="KNU59" s="61"/>
      <c r="KNV59" s="61"/>
      <c r="KNW59" s="61"/>
      <c r="KNX59" s="61"/>
      <c r="KNY59" s="62"/>
      <c r="KNZ59" s="53"/>
      <c r="KOA59" s="60"/>
      <c r="KOB59" s="60"/>
      <c r="KOC59" s="61"/>
      <c r="KOD59" s="61"/>
      <c r="KOE59" s="61"/>
      <c r="KOF59" s="61"/>
      <c r="KOG59" s="62"/>
      <c r="KOH59" s="53"/>
      <c r="KOI59" s="60"/>
      <c r="KOJ59" s="60"/>
      <c r="KOK59" s="61"/>
      <c r="KOL59" s="61"/>
      <c r="KOM59" s="61"/>
      <c r="KON59" s="61"/>
      <c r="KOO59" s="62"/>
      <c r="KOP59" s="53"/>
      <c r="KOQ59" s="60"/>
      <c r="KOR59" s="60"/>
      <c r="KOS59" s="61"/>
      <c r="KOT59" s="61"/>
      <c r="KOU59" s="61"/>
      <c r="KOV59" s="61"/>
      <c r="KOW59" s="62"/>
      <c r="KOX59" s="53"/>
      <c r="KOY59" s="60"/>
      <c r="KOZ59" s="60"/>
      <c r="KPA59" s="61"/>
      <c r="KPB59" s="61"/>
      <c r="KPC59" s="61"/>
      <c r="KPD59" s="61"/>
      <c r="KPE59" s="62"/>
      <c r="KPF59" s="53"/>
      <c r="KPG59" s="60"/>
      <c r="KPH59" s="60"/>
      <c r="KPI59" s="61"/>
      <c r="KPJ59" s="61"/>
      <c r="KPK59" s="61"/>
      <c r="KPL59" s="61"/>
      <c r="KPM59" s="62"/>
      <c r="KPN59" s="53"/>
      <c r="KPO59" s="60"/>
      <c r="KPP59" s="60"/>
      <c r="KPQ59" s="61"/>
      <c r="KPR59" s="61"/>
      <c r="KPS59" s="61"/>
      <c r="KPT59" s="61"/>
      <c r="KPU59" s="62"/>
      <c r="KPV59" s="53"/>
      <c r="KPW59" s="60"/>
      <c r="KPX59" s="60"/>
      <c r="KPY59" s="61"/>
      <c r="KPZ59" s="61"/>
      <c r="KQA59" s="61"/>
      <c r="KQB59" s="61"/>
      <c r="KQC59" s="62"/>
      <c r="KQD59" s="53"/>
      <c r="KQE59" s="60"/>
      <c r="KQF59" s="60"/>
      <c r="KQG59" s="61"/>
      <c r="KQH59" s="61"/>
      <c r="KQI59" s="61"/>
      <c r="KQJ59" s="61"/>
      <c r="KQK59" s="62"/>
      <c r="KQL59" s="53"/>
      <c r="KQM59" s="60"/>
      <c r="KQN59" s="60"/>
      <c r="KQO59" s="61"/>
      <c r="KQP59" s="61"/>
      <c r="KQQ59" s="61"/>
      <c r="KQR59" s="61"/>
      <c r="KQS59" s="62"/>
      <c r="KQT59" s="53"/>
      <c r="KQU59" s="60"/>
      <c r="KQV59" s="60"/>
      <c r="KQW59" s="61"/>
      <c r="KQX59" s="61"/>
      <c r="KQY59" s="61"/>
      <c r="KQZ59" s="61"/>
      <c r="KRA59" s="62"/>
      <c r="KRB59" s="53"/>
      <c r="KRC59" s="60"/>
      <c r="KRD59" s="60"/>
      <c r="KRE59" s="61"/>
      <c r="KRF59" s="61"/>
      <c r="KRG59" s="61"/>
      <c r="KRH59" s="61"/>
      <c r="KRI59" s="62"/>
      <c r="KRJ59" s="53"/>
      <c r="KRK59" s="60"/>
      <c r="KRL59" s="60"/>
      <c r="KRM59" s="61"/>
      <c r="KRN59" s="61"/>
      <c r="KRO59" s="61"/>
      <c r="KRP59" s="61"/>
      <c r="KRQ59" s="62"/>
      <c r="KRR59" s="53"/>
      <c r="KRS59" s="60"/>
      <c r="KRT59" s="60"/>
      <c r="KRU59" s="61"/>
      <c r="KRV59" s="61"/>
      <c r="KRW59" s="61"/>
      <c r="KRX59" s="61"/>
      <c r="KRY59" s="62"/>
      <c r="KRZ59" s="53"/>
      <c r="KSA59" s="60"/>
      <c r="KSB59" s="60"/>
      <c r="KSC59" s="61"/>
      <c r="KSD59" s="61"/>
      <c r="KSE59" s="61"/>
      <c r="KSF59" s="61"/>
      <c r="KSG59" s="62"/>
      <c r="KSH59" s="53"/>
      <c r="KSI59" s="60"/>
      <c r="KSJ59" s="60"/>
      <c r="KSK59" s="61"/>
      <c r="KSL59" s="61"/>
      <c r="KSM59" s="61"/>
      <c r="KSN59" s="61"/>
      <c r="KSO59" s="62"/>
      <c r="KSP59" s="53"/>
      <c r="KSQ59" s="60"/>
      <c r="KSR59" s="60"/>
      <c r="KSS59" s="61"/>
      <c r="KST59" s="61"/>
      <c r="KSU59" s="61"/>
      <c r="KSV59" s="61"/>
      <c r="KSW59" s="62"/>
      <c r="KSX59" s="53"/>
      <c r="KSY59" s="60"/>
      <c r="KSZ59" s="60"/>
      <c r="KTA59" s="61"/>
      <c r="KTB59" s="61"/>
      <c r="KTC59" s="61"/>
      <c r="KTD59" s="61"/>
      <c r="KTE59" s="62"/>
      <c r="KTF59" s="53"/>
      <c r="KTG59" s="60"/>
      <c r="KTH59" s="60"/>
      <c r="KTI59" s="61"/>
      <c r="KTJ59" s="61"/>
      <c r="KTK59" s="61"/>
      <c r="KTL59" s="61"/>
      <c r="KTM59" s="62"/>
      <c r="KTN59" s="53"/>
      <c r="KTO59" s="60"/>
      <c r="KTP59" s="60"/>
      <c r="KTQ59" s="61"/>
      <c r="KTR59" s="61"/>
      <c r="KTS59" s="61"/>
      <c r="KTT59" s="61"/>
      <c r="KTU59" s="62"/>
      <c r="KTV59" s="53"/>
      <c r="KTW59" s="60"/>
      <c r="KTX59" s="60"/>
      <c r="KTY59" s="61"/>
      <c r="KTZ59" s="61"/>
      <c r="KUA59" s="61"/>
      <c r="KUB59" s="61"/>
      <c r="KUC59" s="62"/>
      <c r="KUD59" s="53"/>
      <c r="KUE59" s="60"/>
      <c r="KUF59" s="60"/>
      <c r="KUG59" s="61"/>
      <c r="KUH59" s="61"/>
      <c r="KUI59" s="61"/>
      <c r="KUJ59" s="61"/>
      <c r="KUK59" s="62"/>
      <c r="KUL59" s="53"/>
      <c r="KUM59" s="60"/>
      <c r="KUN59" s="60"/>
      <c r="KUO59" s="61"/>
      <c r="KUP59" s="61"/>
      <c r="KUQ59" s="61"/>
      <c r="KUR59" s="61"/>
      <c r="KUS59" s="62"/>
      <c r="KUT59" s="53"/>
      <c r="KUU59" s="60"/>
      <c r="KUV59" s="60"/>
      <c r="KUW59" s="61"/>
      <c r="KUX59" s="61"/>
      <c r="KUY59" s="61"/>
      <c r="KUZ59" s="61"/>
      <c r="KVA59" s="62"/>
      <c r="KVB59" s="53"/>
      <c r="KVC59" s="60"/>
      <c r="KVD59" s="60"/>
      <c r="KVE59" s="61"/>
      <c r="KVF59" s="61"/>
      <c r="KVG59" s="61"/>
      <c r="KVH59" s="61"/>
      <c r="KVI59" s="62"/>
      <c r="KVJ59" s="53"/>
      <c r="KVK59" s="60"/>
      <c r="KVL59" s="60"/>
      <c r="KVM59" s="61"/>
      <c r="KVN59" s="61"/>
      <c r="KVO59" s="61"/>
      <c r="KVP59" s="61"/>
      <c r="KVQ59" s="62"/>
      <c r="KVR59" s="53"/>
      <c r="KVS59" s="60"/>
      <c r="KVT59" s="60"/>
      <c r="KVU59" s="61"/>
      <c r="KVV59" s="61"/>
      <c r="KVW59" s="61"/>
      <c r="KVX59" s="61"/>
      <c r="KVY59" s="62"/>
      <c r="KVZ59" s="53"/>
      <c r="KWA59" s="60"/>
      <c r="KWB59" s="60"/>
      <c r="KWC59" s="61"/>
      <c r="KWD59" s="61"/>
      <c r="KWE59" s="61"/>
      <c r="KWF59" s="61"/>
      <c r="KWG59" s="62"/>
      <c r="KWH59" s="53"/>
      <c r="KWI59" s="60"/>
      <c r="KWJ59" s="60"/>
      <c r="KWK59" s="61"/>
      <c r="KWL59" s="61"/>
      <c r="KWM59" s="61"/>
      <c r="KWN59" s="61"/>
      <c r="KWO59" s="62"/>
      <c r="KWP59" s="53"/>
      <c r="KWQ59" s="60"/>
      <c r="KWR59" s="60"/>
      <c r="KWS59" s="61"/>
      <c r="KWT59" s="61"/>
      <c r="KWU59" s="61"/>
      <c r="KWV59" s="61"/>
      <c r="KWW59" s="62"/>
      <c r="KWX59" s="53"/>
      <c r="KWY59" s="60"/>
      <c r="KWZ59" s="60"/>
      <c r="KXA59" s="61"/>
      <c r="KXB59" s="61"/>
      <c r="KXC59" s="61"/>
      <c r="KXD59" s="61"/>
      <c r="KXE59" s="62"/>
      <c r="KXF59" s="53"/>
      <c r="KXG59" s="60"/>
      <c r="KXH59" s="60"/>
      <c r="KXI59" s="61"/>
      <c r="KXJ59" s="61"/>
      <c r="KXK59" s="61"/>
      <c r="KXL59" s="61"/>
      <c r="KXM59" s="62"/>
      <c r="KXN59" s="53"/>
      <c r="KXO59" s="60"/>
      <c r="KXP59" s="60"/>
      <c r="KXQ59" s="61"/>
      <c r="KXR59" s="61"/>
      <c r="KXS59" s="61"/>
      <c r="KXT59" s="61"/>
      <c r="KXU59" s="62"/>
      <c r="KXV59" s="53"/>
      <c r="KXW59" s="60"/>
      <c r="KXX59" s="60"/>
      <c r="KXY59" s="61"/>
      <c r="KXZ59" s="61"/>
      <c r="KYA59" s="61"/>
      <c r="KYB59" s="61"/>
      <c r="KYC59" s="62"/>
      <c r="KYD59" s="53"/>
      <c r="KYE59" s="60"/>
      <c r="KYF59" s="60"/>
      <c r="KYG59" s="61"/>
      <c r="KYH59" s="61"/>
      <c r="KYI59" s="61"/>
      <c r="KYJ59" s="61"/>
      <c r="KYK59" s="62"/>
      <c r="KYL59" s="53"/>
      <c r="KYM59" s="60"/>
      <c r="KYN59" s="60"/>
      <c r="KYO59" s="61"/>
      <c r="KYP59" s="61"/>
      <c r="KYQ59" s="61"/>
      <c r="KYR59" s="61"/>
      <c r="KYS59" s="62"/>
      <c r="KYT59" s="53"/>
      <c r="KYU59" s="60"/>
      <c r="KYV59" s="60"/>
      <c r="KYW59" s="61"/>
      <c r="KYX59" s="61"/>
      <c r="KYY59" s="61"/>
      <c r="KYZ59" s="61"/>
      <c r="KZA59" s="62"/>
      <c r="KZB59" s="53"/>
      <c r="KZC59" s="60"/>
      <c r="KZD59" s="60"/>
      <c r="KZE59" s="61"/>
      <c r="KZF59" s="61"/>
      <c r="KZG59" s="61"/>
      <c r="KZH59" s="61"/>
      <c r="KZI59" s="62"/>
      <c r="KZJ59" s="53"/>
      <c r="KZK59" s="60"/>
      <c r="KZL59" s="60"/>
      <c r="KZM59" s="61"/>
      <c r="KZN59" s="61"/>
      <c r="KZO59" s="61"/>
      <c r="KZP59" s="61"/>
      <c r="KZQ59" s="62"/>
      <c r="KZR59" s="53"/>
      <c r="KZS59" s="60"/>
      <c r="KZT59" s="60"/>
      <c r="KZU59" s="61"/>
      <c r="KZV59" s="61"/>
      <c r="KZW59" s="61"/>
      <c r="KZX59" s="61"/>
      <c r="KZY59" s="62"/>
      <c r="KZZ59" s="53"/>
      <c r="LAA59" s="60"/>
      <c r="LAB59" s="60"/>
      <c r="LAC59" s="61"/>
      <c r="LAD59" s="61"/>
      <c r="LAE59" s="61"/>
      <c r="LAF59" s="61"/>
      <c r="LAG59" s="62"/>
      <c r="LAH59" s="53"/>
      <c r="LAI59" s="60"/>
      <c r="LAJ59" s="60"/>
      <c r="LAK59" s="61"/>
      <c r="LAL59" s="61"/>
      <c r="LAM59" s="61"/>
      <c r="LAN59" s="61"/>
      <c r="LAO59" s="62"/>
      <c r="LAP59" s="53"/>
      <c r="LAQ59" s="60"/>
      <c r="LAR59" s="60"/>
      <c r="LAS59" s="61"/>
      <c r="LAT59" s="61"/>
      <c r="LAU59" s="61"/>
      <c r="LAV59" s="61"/>
      <c r="LAW59" s="62"/>
      <c r="LAX59" s="53"/>
      <c r="LAY59" s="60"/>
      <c r="LAZ59" s="60"/>
      <c r="LBA59" s="61"/>
      <c r="LBB59" s="61"/>
      <c r="LBC59" s="61"/>
      <c r="LBD59" s="61"/>
      <c r="LBE59" s="62"/>
      <c r="LBF59" s="53"/>
      <c r="LBG59" s="60"/>
      <c r="LBH59" s="60"/>
      <c r="LBI59" s="61"/>
      <c r="LBJ59" s="61"/>
      <c r="LBK59" s="61"/>
      <c r="LBL59" s="61"/>
      <c r="LBM59" s="62"/>
      <c r="LBN59" s="53"/>
      <c r="LBO59" s="60"/>
      <c r="LBP59" s="60"/>
      <c r="LBQ59" s="61"/>
      <c r="LBR59" s="61"/>
      <c r="LBS59" s="61"/>
      <c r="LBT59" s="61"/>
      <c r="LBU59" s="62"/>
      <c r="LBV59" s="53"/>
      <c r="LBW59" s="60"/>
      <c r="LBX59" s="60"/>
      <c r="LBY59" s="61"/>
      <c r="LBZ59" s="61"/>
      <c r="LCA59" s="61"/>
      <c r="LCB59" s="61"/>
      <c r="LCC59" s="62"/>
      <c r="LCD59" s="53"/>
      <c r="LCE59" s="60"/>
      <c r="LCF59" s="60"/>
      <c r="LCG59" s="61"/>
      <c r="LCH59" s="61"/>
      <c r="LCI59" s="61"/>
      <c r="LCJ59" s="61"/>
      <c r="LCK59" s="62"/>
      <c r="LCL59" s="53"/>
      <c r="LCM59" s="60"/>
      <c r="LCN59" s="60"/>
      <c r="LCO59" s="61"/>
      <c r="LCP59" s="61"/>
      <c r="LCQ59" s="61"/>
      <c r="LCR59" s="61"/>
      <c r="LCS59" s="62"/>
      <c r="LCT59" s="53"/>
      <c r="LCU59" s="60"/>
      <c r="LCV59" s="60"/>
      <c r="LCW59" s="61"/>
      <c r="LCX59" s="61"/>
      <c r="LCY59" s="61"/>
      <c r="LCZ59" s="61"/>
      <c r="LDA59" s="62"/>
      <c r="LDB59" s="53"/>
      <c r="LDC59" s="60"/>
      <c r="LDD59" s="60"/>
      <c r="LDE59" s="61"/>
      <c r="LDF59" s="61"/>
      <c r="LDG59" s="61"/>
      <c r="LDH59" s="61"/>
      <c r="LDI59" s="62"/>
      <c r="LDJ59" s="53"/>
      <c r="LDK59" s="60"/>
      <c r="LDL59" s="60"/>
      <c r="LDM59" s="61"/>
      <c r="LDN59" s="61"/>
      <c r="LDO59" s="61"/>
      <c r="LDP59" s="61"/>
      <c r="LDQ59" s="62"/>
      <c r="LDR59" s="53"/>
      <c r="LDS59" s="60"/>
      <c r="LDT59" s="60"/>
      <c r="LDU59" s="61"/>
      <c r="LDV59" s="61"/>
      <c r="LDW59" s="61"/>
      <c r="LDX59" s="61"/>
      <c r="LDY59" s="62"/>
      <c r="LDZ59" s="53"/>
      <c r="LEA59" s="60"/>
      <c r="LEB59" s="60"/>
      <c r="LEC59" s="61"/>
      <c r="LED59" s="61"/>
      <c r="LEE59" s="61"/>
      <c r="LEF59" s="61"/>
      <c r="LEG59" s="62"/>
      <c r="LEH59" s="53"/>
      <c r="LEI59" s="60"/>
      <c r="LEJ59" s="60"/>
      <c r="LEK59" s="61"/>
      <c r="LEL59" s="61"/>
      <c r="LEM59" s="61"/>
      <c r="LEN59" s="61"/>
      <c r="LEO59" s="62"/>
      <c r="LEP59" s="53"/>
      <c r="LEQ59" s="60"/>
      <c r="LER59" s="60"/>
      <c r="LES59" s="61"/>
      <c r="LET59" s="61"/>
      <c r="LEU59" s="61"/>
      <c r="LEV59" s="61"/>
      <c r="LEW59" s="62"/>
      <c r="LEX59" s="53"/>
      <c r="LEY59" s="60"/>
      <c r="LEZ59" s="60"/>
      <c r="LFA59" s="61"/>
      <c r="LFB59" s="61"/>
      <c r="LFC59" s="61"/>
      <c r="LFD59" s="61"/>
      <c r="LFE59" s="62"/>
      <c r="LFF59" s="53"/>
      <c r="LFG59" s="60"/>
      <c r="LFH59" s="60"/>
      <c r="LFI59" s="61"/>
      <c r="LFJ59" s="61"/>
      <c r="LFK59" s="61"/>
      <c r="LFL59" s="61"/>
      <c r="LFM59" s="62"/>
      <c r="LFN59" s="53"/>
      <c r="LFO59" s="60"/>
      <c r="LFP59" s="60"/>
      <c r="LFQ59" s="61"/>
      <c r="LFR59" s="61"/>
      <c r="LFS59" s="61"/>
      <c r="LFT59" s="61"/>
      <c r="LFU59" s="62"/>
      <c r="LFV59" s="53"/>
      <c r="LFW59" s="60"/>
      <c r="LFX59" s="60"/>
      <c r="LFY59" s="61"/>
      <c r="LFZ59" s="61"/>
      <c r="LGA59" s="61"/>
      <c r="LGB59" s="61"/>
      <c r="LGC59" s="62"/>
      <c r="LGD59" s="53"/>
      <c r="LGE59" s="60"/>
      <c r="LGF59" s="60"/>
      <c r="LGG59" s="61"/>
      <c r="LGH59" s="61"/>
      <c r="LGI59" s="61"/>
      <c r="LGJ59" s="61"/>
      <c r="LGK59" s="62"/>
      <c r="LGL59" s="53"/>
      <c r="LGM59" s="60"/>
      <c r="LGN59" s="60"/>
      <c r="LGO59" s="61"/>
      <c r="LGP59" s="61"/>
      <c r="LGQ59" s="61"/>
      <c r="LGR59" s="61"/>
      <c r="LGS59" s="62"/>
      <c r="LGT59" s="53"/>
      <c r="LGU59" s="60"/>
      <c r="LGV59" s="60"/>
      <c r="LGW59" s="61"/>
      <c r="LGX59" s="61"/>
      <c r="LGY59" s="61"/>
      <c r="LGZ59" s="61"/>
      <c r="LHA59" s="62"/>
      <c r="LHB59" s="53"/>
      <c r="LHC59" s="60"/>
      <c r="LHD59" s="60"/>
      <c r="LHE59" s="61"/>
      <c r="LHF59" s="61"/>
      <c r="LHG59" s="61"/>
      <c r="LHH59" s="61"/>
      <c r="LHI59" s="62"/>
      <c r="LHJ59" s="53"/>
      <c r="LHK59" s="60"/>
      <c r="LHL59" s="60"/>
      <c r="LHM59" s="61"/>
      <c r="LHN59" s="61"/>
      <c r="LHO59" s="61"/>
      <c r="LHP59" s="61"/>
      <c r="LHQ59" s="62"/>
      <c r="LHR59" s="53"/>
      <c r="LHS59" s="60"/>
      <c r="LHT59" s="60"/>
      <c r="LHU59" s="61"/>
      <c r="LHV59" s="61"/>
      <c r="LHW59" s="61"/>
      <c r="LHX59" s="61"/>
      <c r="LHY59" s="62"/>
      <c r="LHZ59" s="53"/>
      <c r="LIA59" s="60"/>
      <c r="LIB59" s="60"/>
      <c r="LIC59" s="61"/>
      <c r="LID59" s="61"/>
      <c r="LIE59" s="61"/>
      <c r="LIF59" s="61"/>
      <c r="LIG59" s="62"/>
      <c r="LIH59" s="53"/>
      <c r="LII59" s="60"/>
      <c r="LIJ59" s="60"/>
      <c r="LIK59" s="61"/>
      <c r="LIL59" s="61"/>
      <c r="LIM59" s="61"/>
      <c r="LIN59" s="61"/>
      <c r="LIO59" s="62"/>
      <c r="LIP59" s="53"/>
      <c r="LIQ59" s="60"/>
      <c r="LIR59" s="60"/>
      <c r="LIS59" s="61"/>
      <c r="LIT59" s="61"/>
      <c r="LIU59" s="61"/>
      <c r="LIV59" s="61"/>
      <c r="LIW59" s="62"/>
      <c r="LIX59" s="53"/>
      <c r="LIY59" s="60"/>
      <c r="LIZ59" s="60"/>
      <c r="LJA59" s="61"/>
      <c r="LJB59" s="61"/>
      <c r="LJC59" s="61"/>
      <c r="LJD59" s="61"/>
      <c r="LJE59" s="62"/>
      <c r="LJF59" s="53"/>
      <c r="LJG59" s="60"/>
      <c r="LJH59" s="60"/>
      <c r="LJI59" s="61"/>
      <c r="LJJ59" s="61"/>
      <c r="LJK59" s="61"/>
      <c r="LJL59" s="61"/>
      <c r="LJM59" s="62"/>
      <c r="LJN59" s="53"/>
      <c r="LJO59" s="60"/>
      <c r="LJP59" s="60"/>
      <c r="LJQ59" s="61"/>
      <c r="LJR59" s="61"/>
      <c r="LJS59" s="61"/>
      <c r="LJT59" s="61"/>
      <c r="LJU59" s="62"/>
      <c r="LJV59" s="53"/>
      <c r="LJW59" s="60"/>
      <c r="LJX59" s="60"/>
      <c r="LJY59" s="61"/>
      <c r="LJZ59" s="61"/>
      <c r="LKA59" s="61"/>
      <c r="LKB59" s="61"/>
      <c r="LKC59" s="62"/>
      <c r="LKD59" s="53"/>
      <c r="LKE59" s="60"/>
      <c r="LKF59" s="60"/>
      <c r="LKG59" s="61"/>
      <c r="LKH59" s="61"/>
      <c r="LKI59" s="61"/>
      <c r="LKJ59" s="61"/>
      <c r="LKK59" s="62"/>
      <c r="LKL59" s="53"/>
      <c r="LKM59" s="60"/>
      <c r="LKN59" s="60"/>
      <c r="LKO59" s="61"/>
      <c r="LKP59" s="61"/>
      <c r="LKQ59" s="61"/>
      <c r="LKR59" s="61"/>
      <c r="LKS59" s="62"/>
      <c r="LKT59" s="53"/>
      <c r="LKU59" s="60"/>
      <c r="LKV59" s="60"/>
      <c r="LKW59" s="61"/>
      <c r="LKX59" s="61"/>
      <c r="LKY59" s="61"/>
      <c r="LKZ59" s="61"/>
      <c r="LLA59" s="62"/>
      <c r="LLB59" s="53"/>
      <c r="LLC59" s="60"/>
      <c r="LLD59" s="60"/>
      <c r="LLE59" s="61"/>
      <c r="LLF59" s="61"/>
      <c r="LLG59" s="61"/>
      <c r="LLH59" s="61"/>
      <c r="LLI59" s="62"/>
      <c r="LLJ59" s="53"/>
      <c r="LLK59" s="60"/>
      <c r="LLL59" s="60"/>
      <c r="LLM59" s="61"/>
      <c r="LLN59" s="61"/>
      <c r="LLO59" s="61"/>
      <c r="LLP59" s="61"/>
      <c r="LLQ59" s="62"/>
      <c r="LLR59" s="53"/>
      <c r="LLS59" s="60"/>
      <c r="LLT59" s="60"/>
      <c r="LLU59" s="61"/>
      <c r="LLV59" s="61"/>
      <c r="LLW59" s="61"/>
      <c r="LLX59" s="61"/>
      <c r="LLY59" s="62"/>
      <c r="LLZ59" s="53"/>
      <c r="LMA59" s="60"/>
      <c r="LMB59" s="60"/>
      <c r="LMC59" s="61"/>
      <c r="LMD59" s="61"/>
      <c r="LME59" s="61"/>
      <c r="LMF59" s="61"/>
      <c r="LMG59" s="62"/>
      <c r="LMH59" s="53"/>
      <c r="LMI59" s="60"/>
      <c r="LMJ59" s="60"/>
      <c r="LMK59" s="61"/>
      <c r="LML59" s="61"/>
      <c r="LMM59" s="61"/>
      <c r="LMN59" s="61"/>
      <c r="LMO59" s="62"/>
      <c r="LMP59" s="53"/>
      <c r="LMQ59" s="60"/>
      <c r="LMR59" s="60"/>
      <c r="LMS59" s="61"/>
      <c r="LMT59" s="61"/>
      <c r="LMU59" s="61"/>
      <c r="LMV59" s="61"/>
      <c r="LMW59" s="62"/>
      <c r="LMX59" s="53"/>
      <c r="LMY59" s="60"/>
      <c r="LMZ59" s="60"/>
      <c r="LNA59" s="61"/>
      <c r="LNB59" s="61"/>
      <c r="LNC59" s="61"/>
      <c r="LND59" s="61"/>
      <c r="LNE59" s="62"/>
      <c r="LNF59" s="53"/>
      <c r="LNG59" s="60"/>
      <c r="LNH59" s="60"/>
      <c r="LNI59" s="61"/>
      <c r="LNJ59" s="61"/>
      <c r="LNK59" s="61"/>
      <c r="LNL59" s="61"/>
      <c r="LNM59" s="62"/>
      <c r="LNN59" s="53"/>
      <c r="LNO59" s="60"/>
      <c r="LNP59" s="60"/>
      <c r="LNQ59" s="61"/>
      <c r="LNR59" s="61"/>
      <c r="LNS59" s="61"/>
      <c r="LNT59" s="61"/>
      <c r="LNU59" s="62"/>
      <c r="LNV59" s="53"/>
      <c r="LNW59" s="60"/>
      <c r="LNX59" s="60"/>
      <c r="LNY59" s="61"/>
      <c r="LNZ59" s="61"/>
      <c r="LOA59" s="61"/>
      <c r="LOB59" s="61"/>
      <c r="LOC59" s="62"/>
      <c r="LOD59" s="53"/>
      <c r="LOE59" s="60"/>
      <c r="LOF59" s="60"/>
      <c r="LOG59" s="61"/>
      <c r="LOH59" s="61"/>
      <c r="LOI59" s="61"/>
      <c r="LOJ59" s="61"/>
      <c r="LOK59" s="62"/>
      <c r="LOL59" s="53"/>
      <c r="LOM59" s="60"/>
      <c r="LON59" s="60"/>
      <c r="LOO59" s="61"/>
      <c r="LOP59" s="61"/>
      <c r="LOQ59" s="61"/>
      <c r="LOR59" s="61"/>
      <c r="LOS59" s="62"/>
      <c r="LOT59" s="53"/>
      <c r="LOU59" s="60"/>
      <c r="LOV59" s="60"/>
      <c r="LOW59" s="61"/>
      <c r="LOX59" s="61"/>
      <c r="LOY59" s="61"/>
      <c r="LOZ59" s="61"/>
      <c r="LPA59" s="62"/>
      <c r="LPB59" s="53"/>
      <c r="LPC59" s="60"/>
      <c r="LPD59" s="60"/>
      <c r="LPE59" s="61"/>
      <c r="LPF59" s="61"/>
      <c r="LPG59" s="61"/>
      <c r="LPH59" s="61"/>
      <c r="LPI59" s="62"/>
      <c r="LPJ59" s="53"/>
      <c r="LPK59" s="60"/>
      <c r="LPL59" s="60"/>
      <c r="LPM59" s="61"/>
      <c r="LPN59" s="61"/>
      <c r="LPO59" s="61"/>
      <c r="LPP59" s="61"/>
      <c r="LPQ59" s="62"/>
      <c r="LPR59" s="53"/>
      <c r="LPS59" s="60"/>
      <c r="LPT59" s="60"/>
      <c r="LPU59" s="61"/>
      <c r="LPV59" s="61"/>
      <c r="LPW59" s="61"/>
      <c r="LPX59" s="61"/>
      <c r="LPY59" s="62"/>
      <c r="LPZ59" s="53"/>
      <c r="LQA59" s="60"/>
      <c r="LQB59" s="60"/>
      <c r="LQC59" s="61"/>
      <c r="LQD59" s="61"/>
      <c r="LQE59" s="61"/>
      <c r="LQF59" s="61"/>
      <c r="LQG59" s="62"/>
      <c r="LQH59" s="53"/>
      <c r="LQI59" s="60"/>
      <c r="LQJ59" s="60"/>
      <c r="LQK59" s="61"/>
      <c r="LQL59" s="61"/>
      <c r="LQM59" s="61"/>
      <c r="LQN59" s="61"/>
      <c r="LQO59" s="62"/>
      <c r="LQP59" s="53"/>
      <c r="LQQ59" s="60"/>
      <c r="LQR59" s="60"/>
      <c r="LQS59" s="61"/>
      <c r="LQT59" s="61"/>
      <c r="LQU59" s="61"/>
      <c r="LQV59" s="61"/>
      <c r="LQW59" s="62"/>
      <c r="LQX59" s="53"/>
      <c r="LQY59" s="60"/>
      <c r="LQZ59" s="60"/>
      <c r="LRA59" s="61"/>
      <c r="LRB59" s="61"/>
      <c r="LRC59" s="61"/>
      <c r="LRD59" s="61"/>
      <c r="LRE59" s="62"/>
      <c r="LRF59" s="53"/>
      <c r="LRG59" s="60"/>
      <c r="LRH59" s="60"/>
      <c r="LRI59" s="61"/>
      <c r="LRJ59" s="61"/>
      <c r="LRK59" s="61"/>
      <c r="LRL59" s="61"/>
      <c r="LRM59" s="62"/>
      <c r="LRN59" s="53"/>
      <c r="LRO59" s="60"/>
      <c r="LRP59" s="60"/>
      <c r="LRQ59" s="61"/>
      <c r="LRR59" s="61"/>
      <c r="LRS59" s="61"/>
      <c r="LRT59" s="61"/>
      <c r="LRU59" s="62"/>
      <c r="LRV59" s="53"/>
      <c r="LRW59" s="60"/>
      <c r="LRX59" s="60"/>
      <c r="LRY59" s="61"/>
      <c r="LRZ59" s="61"/>
      <c r="LSA59" s="61"/>
      <c r="LSB59" s="61"/>
      <c r="LSC59" s="62"/>
      <c r="LSD59" s="53"/>
      <c r="LSE59" s="60"/>
      <c r="LSF59" s="60"/>
      <c r="LSG59" s="61"/>
      <c r="LSH59" s="61"/>
      <c r="LSI59" s="61"/>
      <c r="LSJ59" s="61"/>
      <c r="LSK59" s="62"/>
      <c r="LSL59" s="53"/>
      <c r="LSM59" s="60"/>
      <c r="LSN59" s="60"/>
      <c r="LSO59" s="61"/>
      <c r="LSP59" s="61"/>
      <c r="LSQ59" s="61"/>
      <c r="LSR59" s="61"/>
      <c r="LSS59" s="62"/>
      <c r="LST59" s="53"/>
      <c r="LSU59" s="60"/>
      <c r="LSV59" s="60"/>
      <c r="LSW59" s="61"/>
      <c r="LSX59" s="61"/>
      <c r="LSY59" s="61"/>
      <c r="LSZ59" s="61"/>
      <c r="LTA59" s="62"/>
      <c r="LTB59" s="53"/>
      <c r="LTC59" s="60"/>
      <c r="LTD59" s="60"/>
      <c r="LTE59" s="61"/>
      <c r="LTF59" s="61"/>
      <c r="LTG59" s="61"/>
      <c r="LTH59" s="61"/>
      <c r="LTI59" s="62"/>
      <c r="LTJ59" s="53"/>
      <c r="LTK59" s="60"/>
      <c r="LTL59" s="60"/>
      <c r="LTM59" s="61"/>
      <c r="LTN59" s="61"/>
      <c r="LTO59" s="61"/>
      <c r="LTP59" s="61"/>
      <c r="LTQ59" s="62"/>
      <c r="LTR59" s="53"/>
      <c r="LTS59" s="60"/>
      <c r="LTT59" s="60"/>
      <c r="LTU59" s="61"/>
      <c r="LTV59" s="61"/>
      <c r="LTW59" s="61"/>
      <c r="LTX59" s="61"/>
      <c r="LTY59" s="62"/>
      <c r="LTZ59" s="53"/>
      <c r="LUA59" s="60"/>
      <c r="LUB59" s="60"/>
      <c r="LUC59" s="61"/>
      <c r="LUD59" s="61"/>
      <c r="LUE59" s="61"/>
      <c r="LUF59" s="61"/>
      <c r="LUG59" s="62"/>
      <c r="LUH59" s="53"/>
      <c r="LUI59" s="60"/>
      <c r="LUJ59" s="60"/>
      <c r="LUK59" s="61"/>
      <c r="LUL59" s="61"/>
      <c r="LUM59" s="61"/>
      <c r="LUN59" s="61"/>
      <c r="LUO59" s="62"/>
      <c r="LUP59" s="53"/>
      <c r="LUQ59" s="60"/>
      <c r="LUR59" s="60"/>
      <c r="LUS59" s="61"/>
      <c r="LUT59" s="61"/>
      <c r="LUU59" s="61"/>
      <c r="LUV59" s="61"/>
      <c r="LUW59" s="62"/>
      <c r="LUX59" s="53"/>
      <c r="LUY59" s="60"/>
      <c r="LUZ59" s="60"/>
      <c r="LVA59" s="61"/>
      <c r="LVB59" s="61"/>
      <c r="LVC59" s="61"/>
      <c r="LVD59" s="61"/>
      <c r="LVE59" s="62"/>
      <c r="LVF59" s="53"/>
      <c r="LVG59" s="60"/>
      <c r="LVH59" s="60"/>
      <c r="LVI59" s="61"/>
      <c r="LVJ59" s="61"/>
      <c r="LVK59" s="61"/>
      <c r="LVL59" s="61"/>
      <c r="LVM59" s="62"/>
      <c r="LVN59" s="53"/>
      <c r="LVO59" s="60"/>
      <c r="LVP59" s="60"/>
      <c r="LVQ59" s="61"/>
      <c r="LVR59" s="61"/>
      <c r="LVS59" s="61"/>
      <c r="LVT59" s="61"/>
      <c r="LVU59" s="62"/>
      <c r="LVV59" s="53"/>
      <c r="LVW59" s="60"/>
      <c r="LVX59" s="60"/>
      <c r="LVY59" s="61"/>
      <c r="LVZ59" s="61"/>
      <c r="LWA59" s="61"/>
      <c r="LWB59" s="61"/>
      <c r="LWC59" s="62"/>
      <c r="LWD59" s="53"/>
      <c r="LWE59" s="60"/>
      <c r="LWF59" s="60"/>
      <c r="LWG59" s="61"/>
      <c r="LWH59" s="61"/>
      <c r="LWI59" s="61"/>
      <c r="LWJ59" s="61"/>
      <c r="LWK59" s="62"/>
      <c r="LWL59" s="53"/>
      <c r="LWM59" s="60"/>
      <c r="LWN59" s="60"/>
      <c r="LWO59" s="61"/>
      <c r="LWP59" s="61"/>
      <c r="LWQ59" s="61"/>
      <c r="LWR59" s="61"/>
      <c r="LWS59" s="62"/>
      <c r="LWT59" s="53"/>
      <c r="LWU59" s="60"/>
      <c r="LWV59" s="60"/>
      <c r="LWW59" s="61"/>
      <c r="LWX59" s="61"/>
      <c r="LWY59" s="61"/>
      <c r="LWZ59" s="61"/>
      <c r="LXA59" s="62"/>
      <c r="LXB59" s="53"/>
      <c r="LXC59" s="60"/>
      <c r="LXD59" s="60"/>
      <c r="LXE59" s="61"/>
      <c r="LXF59" s="61"/>
      <c r="LXG59" s="61"/>
      <c r="LXH59" s="61"/>
      <c r="LXI59" s="62"/>
      <c r="LXJ59" s="53"/>
      <c r="LXK59" s="60"/>
      <c r="LXL59" s="60"/>
      <c r="LXM59" s="61"/>
      <c r="LXN59" s="61"/>
      <c r="LXO59" s="61"/>
      <c r="LXP59" s="61"/>
      <c r="LXQ59" s="62"/>
      <c r="LXR59" s="53"/>
      <c r="LXS59" s="60"/>
      <c r="LXT59" s="60"/>
      <c r="LXU59" s="61"/>
      <c r="LXV59" s="61"/>
      <c r="LXW59" s="61"/>
      <c r="LXX59" s="61"/>
      <c r="LXY59" s="62"/>
      <c r="LXZ59" s="53"/>
      <c r="LYA59" s="60"/>
      <c r="LYB59" s="60"/>
      <c r="LYC59" s="61"/>
      <c r="LYD59" s="61"/>
      <c r="LYE59" s="61"/>
      <c r="LYF59" s="61"/>
      <c r="LYG59" s="62"/>
      <c r="LYH59" s="53"/>
      <c r="LYI59" s="60"/>
      <c r="LYJ59" s="60"/>
      <c r="LYK59" s="61"/>
      <c r="LYL59" s="61"/>
      <c r="LYM59" s="61"/>
      <c r="LYN59" s="61"/>
      <c r="LYO59" s="62"/>
      <c r="LYP59" s="53"/>
      <c r="LYQ59" s="60"/>
      <c r="LYR59" s="60"/>
      <c r="LYS59" s="61"/>
      <c r="LYT59" s="61"/>
      <c r="LYU59" s="61"/>
      <c r="LYV59" s="61"/>
      <c r="LYW59" s="62"/>
      <c r="LYX59" s="53"/>
      <c r="LYY59" s="60"/>
      <c r="LYZ59" s="60"/>
      <c r="LZA59" s="61"/>
      <c r="LZB59" s="61"/>
      <c r="LZC59" s="61"/>
      <c r="LZD59" s="61"/>
      <c r="LZE59" s="62"/>
      <c r="LZF59" s="53"/>
      <c r="LZG59" s="60"/>
      <c r="LZH59" s="60"/>
      <c r="LZI59" s="61"/>
      <c r="LZJ59" s="61"/>
      <c r="LZK59" s="61"/>
      <c r="LZL59" s="61"/>
      <c r="LZM59" s="62"/>
      <c r="LZN59" s="53"/>
      <c r="LZO59" s="60"/>
      <c r="LZP59" s="60"/>
      <c r="LZQ59" s="61"/>
      <c r="LZR59" s="61"/>
      <c r="LZS59" s="61"/>
      <c r="LZT59" s="61"/>
      <c r="LZU59" s="62"/>
      <c r="LZV59" s="53"/>
      <c r="LZW59" s="60"/>
      <c r="LZX59" s="60"/>
      <c r="LZY59" s="61"/>
      <c r="LZZ59" s="61"/>
      <c r="MAA59" s="61"/>
      <c r="MAB59" s="61"/>
      <c r="MAC59" s="62"/>
      <c r="MAD59" s="53"/>
      <c r="MAE59" s="60"/>
      <c r="MAF59" s="60"/>
      <c r="MAG59" s="61"/>
      <c r="MAH59" s="61"/>
      <c r="MAI59" s="61"/>
      <c r="MAJ59" s="61"/>
      <c r="MAK59" s="62"/>
      <c r="MAL59" s="53"/>
      <c r="MAM59" s="60"/>
      <c r="MAN59" s="60"/>
      <c r="MAO59" s="61"/>
      <c r="MAP59" s="61"/>
      <c r="MAQ59" s="61"/>
      <c r="MAR59" s="61"/>
      <c r="MAS59" s="62"/>
      <c r="MAT59" s="53"/>
      <c r="MAU59" s="60"/>
      <c r="MAV59" s="60"/>
      <c r="MAW59" s="61"/>
      <c r="MAX59" s="61"/>
      <c r="MAY59" s="61"/>
      <c r="MAZ59" s="61"/>
      <c r="MBA59" s="62"/>
      <c r="MBB59" s="53"/>
      <c r="MBC59" s="60"/>
      <c r="MBD59" s="60"/>
      <c r="MBE59" s="61"/>
      <c r="MBF59" s="61"/>
      <c r="MBG59" s="61"/>
      <c r="MBH59" s="61"/>
      <c r="MBI59" s="62"/>
      <c r="MBJ59" s="53"/>
      <c r="MBK59" s="60"/>
      <c r="MBL59" s="60"/>
      <c r="MBM59" s="61"/>
      <c r="MBN59" s="61"/>
      <c r="MBO59" s="61"/>
      <c r="MBP59" s="61"/>
      <c r="MBQ59" s="62"/>
      <c r="MBR59" s="53"/>
      <c r="MBS59" s="60"/>
      <c r="MBT59" s="60"/>
      <c r="MBU59" s="61"/>
      <c r="MBV59" s="61"/>
      <c r="MBW59" s="61"/>
      <c r="MBX59" s="61"/>
      <c r="MBY59" s="62"/>
      <c r="MBZ59" s="53"/>
      <c r="MCA59" s="60"/>
      <c r="MCB59" s="60"/>
      <c r="MCC59" s="61"/>
      <c r="MCD59" s="61"/>
      <c r="MCE59" s="61"/>
      <c r="MCF59" s="61"/>
      <c r="MCG59" s="62"/>
      <c r="MCH59" s="53"/>
      <c r="MCI59" s="60"/>
      <c r="MCJ59" s="60"/>
      <c r="MCK59" s="61"/>
      <c r="MCL59" s="61"/>
      <c r="MCM59" s="61"/>
      <c r="MCN59" s="61"/>
      <c r="MCO59" s="62"/>
      <c r="MCP59" s="53"/>
      <c r="MCQ59" s="60"/>
      <c r="MCR59" s="60"/>
      <c r="MCS59" s="61"/>
      <c r="MCT59" s="61"/>
      <c r="MCU59" s="61"/>
      <c r="MCV59" s="61"/>
      <c r="MCW59" s="62"/>
      <c r="MCX59" s="53"/>
      <c r="MCY59" s="60"/>
      <c r="MCZ59" s="60"/>
      <c r="MDA59" s="61"/>
      <c r="MDB59" s="61"/>
      <c r="MDC59" s="61"/>
      <c r="MDD59" s="61"/>
      <c r="MDE59" s="62"/>
      <c r="MDF59" s="53"/>
      <c r="MDG59" s="60"/>
      <c r="MDH59" s="60"/>
      <c r="MDI59" s="61"/>
      <c r="MDJ59" s="61"/>
      <c r="MDK59" s="61"/>
      <c r="MDL59" s="61"/>
      <c r="MDM59" s="62"/>
      <c r="MDN59" s="53"/>
      <c r="MDO59" s="60"/>
      <c r="MDP59" s="60"/>
      <c r="MDQ59" s="61"/>
      <c r="MDR59" s="61"/>
      <c r="MDS59" s="61"/>
      <c r="MDT59" s="61"/>
      <c r="MDU59" s="62"/>
      <c r="MDV59" s="53"/>
      <c r="MDW59" s="60"/>
      <c r="MDX59" s="60"/>
      <c r="MDY59" s="61"/>
      <c r="MDZ59" s="61"/>
      <c r="MEA59" s="61"/>
      <c r="MEB59" s="61"/>
      <c r="MEC59" s="62"/>
      <c r="MED59" s="53"/>
      <c r="MEE59" s="60"/>
      <c r="MEF59" s="60"/>
      <c r="MEG59" s="61"/>
      <c r="MEH59" s="61"/>
      <c r="MEI59" s="61"/>
      <c r="MEJ59" s="61"/>
      <c r="MEK59" s="62"/>
      <c r="MEL59" s="53"/>
      <c r="MEM59" s="60"/>
      <c r="MEN59" s="60"/>
      <c r="MEO59" s="61"/>
      <c r="MEP59" s="61"/>
      <c r="MEQ59" s="61"/>
      <c r="MER59" s="61"/>
      <c r="MES59" s="62"/>
      <c r="MET59" s="53"/>
      <c r="MEU59" s="60"/>
      <c r="MEV59" s="60"/>
      <c r="MEW59" s="61"/>
      <c r="MEX59" s="61"/>
      <c r="MEY59" s="61"/>
      <c r="MEZ59" s="61"/>
      <c r="MFA59" s="62"/>
      <c r="MFB59" s="53"/>
      <c r="MFC59" s="60"/>
      <c r="MFD59" s="60"/>
      <c r="MFE59" s="61"/>
      <c r="MFF59" s="61"/>
      <c r="MFG59" s="61"/>
      <c r="MFH59" s="61"/>
      <c r="MFI59" s="62"/>
      <c r="MFJ59" s="53"/>
      <c r="MFK59" s="60"/>
      <c r="MFL59" s="60"/>
      <c r="MFM59" s="61"/>
      <c r="MFN59" s="61"/>
      <c r="MFO59" s="61"/>
      <c r="MFP59" s="61"/>
      <c r="MFQ59" s="62"/>
      <c r="MFR59" s="53"/>
      <c r="MFS59" s="60"/>
      <c r="MFT59" s="60"/>
      <c r="MFU59" s="61"/>
      <c r="MFV59" s="61"/>
      <c r="MFW59" s="61"/>
      <c r="MFX59" s="61"/>
      <c r="MFY59" s="62"/>
      <c r="MFZ59" s="53"/>
      <c r="MGA59" s="60"/>
      <c r="MGB59" s="60"/>
      <c r="MGC59" s="61"/>
      <c r="MGD59" s="61"/>
      <c r="MGE59" s="61"/>
      <c r="MGF59" s="61"/>
      <c r="MGG59" s="62"/>
      <c r="MGH59" s="53"/>
      <c r="MGI59" s="60"/>
      <c r="MGJ59" s="60"/>
      <c r="MGK59" s="61"/>
      <c r="MGL59" s="61"/>
      <c r="MGM59" s="61"/>
      <c r="MGN59" s="61"/>
      <c r="MGO59" s="62"/>
      <c r="MGP59" s="53"/>
      <c r="MGQ59" s="60"/>
      <c r="MGR59" s="60"/>
      <c r="MGS59" s="61"/>
      <c r="MGT59" s="61"/>
      <c r="MGU59" s="61"/>
      <c r="MGV59" s="61"/>
      <c r="MGW59" s="62"/>
      <c r="MGX59" s="53"/>
      <c r="MGY59" s="60"/>
      <c r="MGZ59" s="60"/>
      <c r="MHA59" s="61"/>
      <c r="MHB59" s="61"/>
      <c r="MHC59" s="61"/>
      <c r="MHD59" s="61"/>
      <c r="MHE59" s="62"/>
      <c r="MHF59" s="53"/>
      <c r="MHG59" s="60"/>
      <c r="MHH59" s="60"/>
      <c r="MHI59" s="61"/>
      <c r="MHJ59" s="61"/>
      <c r="MHK59" s="61"/>
      <c r="MHL59" s="61"/>
      <c r="MHM59" s="62"/>
      <c r="MHN59" s="53"/>
      <c r="MHO59" s="60"/>
      <c r="MHP59" s="60"/>
      <c r="MHQ59" s="61"/>
      <c r="MHR59" s="61"/>
      <c r="MHS59" s="61"/>
      <c r="MHT59" s="61"/>
      <c r="MHU59" s="62"/>
      <c r="MHV59" s="53"/>
      <c r="MHW59" s="60"/>
      <c r="MHX59" s="60"/>
      <c r="MHY59" s="61"/>
      <c r="MHZ59" s="61"/>
      <c r="MIA59" s="61"/>
      <c r="MIB59" s="61"/>
      <c r="MIC59" s="62"/>
      <c r="MID59" s="53"/>
      <c r="MIE59" s="60"/>
      <c r="MIF59" s="60"/>
      <c r="MIG59" s="61"/>
      <c r="MIH59" s="61"/>
      <c r="MII59" s="61"/>
      <c r="MIJ59" s="61"/>
      <c r="MIK59" s="62"/>
      <c r="MIL59" s="53"/>
      <c r="MIM59" s="60"/>
      <c r="MIN59" s="60"/>
      <c r="MIO59" s="61"/>
      <c r="MIP59" s="61"/>
      <c r="MIQ59" s="61"/>
      <c r="MIR59" s="61"/>
      <c r="MIS59" s="62"/>
      <c r="MIT59" s="53"/>
      <c r="MIU59" s="60"/>
      <c r="MIV59" s="60"/>
      <c r="MIW59" s="61"/>
      <c r="MIX59" s="61"/>
      <c r="MIY59" s="61"/>
      <c r="MIZ59" s="61"/>
      <c r="MJA59" s="62"/>
      <c r="MJB59" s="53"/>
      <c r="MJC59" s="60"/>
      <c r="MJD59" s="60"/>
      <c r="MJE59" s="61"/>
      <c r="MJF59" s="61"/>
      <c r="MJG59" s="61"/>
      <c r="MJH59" s="61"/>
      <c r="MJI59" s="62"/>
      <c r="MJJ59" s="53"/>
      <c r="MJK59" s="60"/>
      <c r="MJL59" s="60"/>
      <c r="MJM59" s="61"/>
      <c r="MJN59" s="61"/>
      <c r="MJO59" s="61"/>
      <c r="MJP59" s="61"/>
      <c r="MJQ59" s="62"/>
      <c r="MJR59" s="53"/>
      <c r="MJS59" s="60"/>
      <c r="MJT59" s="60"/>
      <c r="MJU59" s="61"/>
      <c r="MJV59" s="61"/>
      <c r="MJW59" s="61"/>
      <c r="MJX59" s="61"/>
      <c r="MJY59" s="62"/>
      <c r="MJZ59" s="53"/>
      <c r="MKA59" s="60"/>
      <c r="MKB59" s="60"/>
      <c r="MKC59" s="61"/>
      <c r="MKD59" s="61"/>
      <c r="MKE59" s="61"/>
      <c r="MKF59" s="61"/>
      <c r="MKG59" s="62"/>
      <c r="MKH59" s="53"/>
      <c r="MKI59" s="60"/>
      <c r="MKJ59" s="60"/>
      <c r="MKK59" s="61"/>
      <c r="MKL59" s="61"/>
      <c r="MKM59" s="61"/>
      <c r="MKN59" s="61"/>
      <c r="MKO59" s="62"/>
      <c r="MKP59" s="53"/>
      <c r="MKQ59" s="60"/>
      <c r="MKR59" s="60"/>
      <c r="MKS59" s="61"/>
      <c r="MKT59" s="61"/>
      <c r="MKU59" s="61"/>
      <c r="MKV59" s="61"/>
      <c r="MKW59" s="62"/>
      <c r="MKX59" s="53"/>
      <c r="MKY59" s="60"/>
      <c r="MKZ59" s="60"/>
      <c r="MLA59" s="61"/>
      <c r="MLB59" s="61"/>
      <c r="MLC59" s="61"/>
      <c r="MLD59" s="61"/>
      <c r="MLE59" s="62"/>
      <c r="MLF59" s="53"/>
      <c r="MLG59" s="60"/>
      <c r="MLH59" s="60"/>
      <c r="MLI59" s="61"/>
      <c r="MLJ59" s="61"/>
      <c r="MLK59" s="61"/>
      <c r="MLL59" s="61"/>
      <c r="MLM59" s="62"/>
      <c r="MLN59" s="53"/>
      <c r="MLO59" s="60"/>
      <c r="MLP59" s="60"/>
      <c r="MLQ59" s="61"/>
      <c r="MLR59" s="61"/>
      <c r="MLS59" s="61"/>
      <c r="MLT59" s="61"/>
      <c r="MLU59" s="62"/>
      <c r="MLV59" s="53"/>
      <c r="MLW59" s="60"/>
      <c r="MLX59" s="60"/>
      <c r="MLY59" s="61"/>
      <c r="MLZ59" s="61"/>
      <c r="MMA59" s="61"/>
      <c r="MMB59" s="61"/>
      <c r="MMC59" s="62"/>
      <c r="MMD59" s="53"/>
      <c r="MME59" s="60"/>
      <c r="MMF59" s="60"/>
      <c r="MMG59" s="61"/>
      <c r="MMH59" s="61"/>
      <c r="MMI59" s="61"/>
      <c r="MMJ59" s="61"/>
      <c r="MMK59" s="62"/>
      <c r="MML59" s="53"/>
      <c r="MMM59" s="60"/>
      <c r="MMN59" s="60"/>
      <c r="MMO59" s="61"/>
      <c r="MMP59" s="61"/>
      <c r="MMQ59" s="61"/>
      <c r="MMR59" s="61"/>
      <c r="MMS59" s="62"/>
      <c r="MMT59" s="53"/>
      <c r="MMU59" s="60"/>
      <c r="MMV59" s="60"/>
      <c r="MMW59" s="61"/>
      <c r="MMX59" s="61"/>
      <c r="MMY59" s="61"/>
      <c r="MMZ59" s="61"/>
      <c r="MNA59" s="62"/>
      <c r="MNB59" s="53"/>
      <c r="MNC59" s="60"/>
      <c r="MND59" s="60"/>
      <c r="MNE59" s="61"/>
      <c r="MNF59" s="61"/>
      <c r="MNG59" s="61"/>
      <c r="MNH59" s="61"/>
      <c r="MNI59" s="62"/>
      <c r="MNJ59" s="53"/>
      <c r="MNK59" s="60"/>
      <c r="MNL59" s="60"/>
      <c r="MNM59" s="61"/>
      <c r="MNN59" s="61"/>
      <c r="MNO59" s="61"/>
      <c r="MNP59" s="61"/>
      <c r="MNQ59" s="62"/>
      <c r="MNR59" s="53"/>
      <c r="MNS59" s="60"/>
      <c r="MNT59" s="60"/>
      <c r="MNU59" s="61"/>
      <c r="MNV59" s="61"/>
      <c r="MNW59" s="61"/>
      <c r="MNX59" s="61"/>
      <c r="MNY59" s="62"/>
      <c r="MNZ59" s="53"/>
      <c r="MOA59" s="60"/>
      <c r="MOB59" s="60"/>
      <c r="MOC59" s="61"/>
      <c r="MOD59" s="61"/>
      <c r="MOE59" s="61"/>
      <c r="MOF59" s="61"/>
      <c r="MOG59" s="62"/>
      <c r="MOH59" s="53"/>
      <c r="MOI59" s="60"/>
      <c r="MOJ59" s="60"/>
      <c r="MOK59" s="61"/>
      <c r="MOL59" s="61"/>
      <c r="MOM59" s="61"/>
      <c r="MON59" s="61"/>
      <c r="MOO59" s="62"/>
      <c r="MOP59" s="53"/>
      <c r="MOQ59" s="60"/>
      <c r="MOR59" s="60"/>
      <c r="MOS59" s="61"/>
      <c r="MOT59" s="61"/>
      <c r="MOU59" s="61"/>
      <c r="MOV59" s="61"/>
      <c r="MOW59" s="62"/>
      <c r="MOX59" s="53"/>
      <c r="MOY59" s="60"/>
      <c r="MOZ59" s="60"/>
      <c r="MPA59" s="61"/>
      <c r="MPB59" s="61"/>
      <c r="MPC59" s="61"/>
      <c r="MPD59" s="61"/>
      <c r="MPE59" s="62"/>
      <c r="MPF59" s="53"/>
      <c r="MPG59" s="60"/>
      <c r="MPH59" s="60"/>
      <c r="MPI59" s="61"/>
      <c r="MPJ59" s="61"/>
      <c r="MPK59" s="61"/>
      <c r="MPL59" s="61"/>
      <c r="MPM59" s="62"/>
      <c r="MPN59" s="53"/>
      <c r="MPO59" s="60"/>
      <c r="MPP59" s="60"/>
      <c r="MPQ59" s="61"/>
      <c r="MPR59" s="61"/>
      <c r="MPS59" s="61"/>
      <c r="MPT59" s="61"/>
      <c r="MPU59" s="62"/>
      <c r="MPV59" s="53"/>
      <c r="MPW59" s="60"/>
      <c r="MPX59" s="60"/>
      <c r="MPY59" s="61"/>
      <c r="MPZ59" s="61"/>
      <c r="MQA59" s="61"/>
      <c r="MQB59" s="61"/>
      <c r="MQC59" s="62"/>
      <c r="MQD59" s="53"/>
      <c r="MQE59" s="60"/>
      <c r="MQF59" s="60"/>
      <c r="MQG59" s="61"/>
      <c r="MQH59" s="61"/>
      <c r="MQI59" s="61"/>
      <c r="MQJ59" s="61"/>
      <c r="MQK59" s="62"/>
      <c r="MQL59" s="53"/>
      <c r="MQM59" s="60"/>
      <c r="MQN59" s="60"/>
      <c r="MQO59" s="61"/>
      <c r="MQP59" s="61"/>
      <c r="MQQ59" s="61"/>
      <c r="MQR59" s="61"/>
      <c r="MQS59" s="62"/>
      <c r="MQT59" s="53"/>
      <c r="MQU59" s="60"/>
      <c r="MQV59" s="60"/>
      <c r="MQW59" s="61"/>
      <c r="MQX59" s="61"/>
      <c r="MQY59" s="61"/>
      <c r="MQZ59" s="61"/>
      <c r="MRA59" s="62"/>
      <c r="MRB59" s="53"/>
      <c r="MRC59" s="60"/>
      <c r="MRD59" s="60"/>
      <c r="MRE59" s="61"/>
      <c r="MRF59" s="61"/>
      <c r="MRG59" s="61"/>
      <c r="MRH59" s="61"/>
      <c r="MRI59" s="62"/>
      <c r="MRJ59" s="53"/>
      <c r="MRK59" s="60"/>
      <c r="MRL59" s="60"/>
      <c r="MRM59" s="61"/>
      <c r="MRN59" s="61"/>
      <c r="MRO59" s="61"/>
      <c r="MRP59" s="61"/>
      <c r="MRQ59" s="62"/>
      <c r="MRR59" s="53"/>
      <c r="MRS59" s="60"/>
      <c r="MRT59" s="60"/>
      <c r="MRU59" s="61"/>
      <c r="MRV59" s="61"/>
      <c r="MRW59" s="61"/>
      <c r="MRX59" s="61"/>
      <c r="MRY59" s="62"/>
      <c r="MRZ59" s="53"/>
      <c r="MSA59" s="60"/>
      <c r="MSB59" s="60"/>
      <c r="MSC59" s="61"/>
      <c r="MSD59" s="61"/>
      <c r="MSE59" s="61"/>
      <c r="MSF59" s="61"/>
      <c r="MSG59" s="62"/>
      <c r="MSH59" s="53"/>
      <c r="MSI59" s="60"/>
      <c r="MSJ59" s="60"/>
      <c r="MSK59" s="61"/>
      <c r="MSL59" s="61"/>
      <c r="MSM59" s="61"/>
      <c r="MSN59" s="61"/>
      <c r="MSO59" s="62"/>
      <c r="MSP59" s="53"/>
      <c r="MSQ59" s="60"/>
      <c r="MSR59" s="60"/>
      <c r="MSS59" s="61"/>
      <c r="MST59" s="61"/>
      <c r="MSU59" s="61"/>
      <c r="MSV59" s="61"/>
      <c r="MSW59" s="62"/>
      <c r="MSX59" s="53"/>
      <c r="MSY59" s="60"/>
      <c r="MSZ59" s="60"/>
      <c r="MTA59" s="61"/>
      <c r="MTB59" s="61"/>
      <c r="MTC59" s="61"/>
      <c r="MTD59" s="61"/>
      <c r="MTE59" s="62"/>
      <c r="MTF59" s="53"/>
      <c r="MTG59" s="60"/>
      <c r="MTH59" s="60"/>
      <c r="MTI59" s="61"/>
      <c r="MTJ59" s="61"/>
      <c r="MTK59" s="61"/>
      <c r="MTL59" s="61"/>
      <c r="MTM59" s="62"/>
      <c r="MTN59" s="53"/>
      <c r="MTO59" s="60"/>
      <c r="MTP59" s="60"/>
      <c r="MTQ59" s="61"/>
      <c r="MTR59" s="61"/>
      <c r="MTS59" s="61"/>
      <c r="MTT59" s="61"/>
      <c r="MTU59" s="62"/>
      <c r="MTV59" s="53"/>
      <c r="MTW59" s="60"/>
      <c r="MTX59" s="60"/>
      <c r="MTY59" s="61"/>
      <c r="MTZ59" s="61"/>
      <c r="MUA59" s="61"/>
      <c r="MUB59" s="61"/>
      <c r="MUC59" s="62"/>
      <c r="MUD59" s="53"/>
      <c r="MUE59" s="60"/>
      <c r="MUF59" s="60"/>
      <c r="MUG59" s="61"/>
      <c r="MUH59" s="61"/>
      <c r="MUI59" s="61"/>
      <c r="MUJ59" s="61"/>
      <c r="MUK59" s="62"/>
      <c r="MUL59" s="53"/>
      <c r="MUM59" s="60"/>
      <c r="MUN59" s="60"/>
      <c r="MUO59" s="61"/>
      <c r="MUP59" s="61"/>
      <c r="MUQ59" s="61"/>
      <c r="MUR59" s="61"/>
      <c r="MUS59" s="62"/>
      <c r="MUT59" s="53"/>
      <c r="MUU59" s="60"/>
      <c r="MUV59" s="60"/>
      <c r="MUW59" s="61"/>
      <c r="MUX59" s="61"/>
      <c r="MUY59" s="61"/>
      <c r="MUZ59" s="61"/>
      <c r="MVA59" s="62"/>
      <c r="MVB59" s="53"/>
      <c r="MVC59" s="60"/>
      <c r="MVD59" s="60"/>
      <c r="MVE59" s="61"/>
      <c r="MVF59" s="61"/>
      <c r="MVG59" s="61"/>
      <c r="MVH59" s="61"/>
      <c r="MVI59" s="62"/>
      <c r="MVJ59" s="53"/>
      <c r="MVK59" s="60"/>
      <c r="MVL59" s="60"/>
      <c r="MVM59" s="61"/>
      <c r="MVN59" s="61"/>
      <c r="MVO59" s="61"/>
      <c r="MVP59" s="61"/>
      <c r="MVQ59" s="62"/>
      <c r="MVR59" s="53"/>
      <c r="MVS59" s="60"/>
      <c r="MVT59" s="60"/>
      <c r="MVU59" s="61"/>
      <c r="MVV59" s="61"/>
      <c r="MVW59" s="61"/>
      <c r="MVX59" s="61"/>
      <c r="MVY59" s="62"/>
      <c r="MVZ59" s="53"/>
      <c r="MWA59" s="60"/>
      <c r="MWB59" s="60"/>
      <c r="MWC59" s="61"/>
      <c r="MWD59" s="61"/>
      <c r="MWE59" s="61"/>
      <c r="MWF59" s="61"/>
      <c r="MWG59" s="62"/>
      <c r="MWH59" s="53"/>
      <c r="MWI59" s="60"/>
      <c r="MWJ59" s="60"/>
      <c r="MWK59" s="61"/>
      <c r="MWL59" s="61"/>
      <c r="MWM59" s="61"/>
      <c r="MWN59" s="61"/>
      <c r="MWO59" s="62"/>
      <c r="MWP59" s="53"/>
      <c r="MWQ59" s="60"/>
      <c r="MWR59" s="60"/>
      <c r="MWS59" s="61"/>
      <c r="MWT59" s="61"/>
      <c r="MWU59" s="61"/>
      <c r="MWV59" s="61"/>
      <c r="MWW59" s="62"/>
      <c r="MWX59" s="53"/>
      <c r="MWY59" s="60"/>
      <c r="MWZ59" s="60"/>
      <c r="MXA59" s="61"/>
      <c r="MXB59" s="61"/>
      <c r="MXC59" s="61"/>
      <c r="MXD59" s="61"/>
      <c r="MXE59" s="62"/>
      <c r="MXF59" s="53"/>
      <c r="MXG59" s="60"/>
      <c r="MXH59" s="60"/>
      <c r="MXI59" s="61"/>
      <c r="MXJ59" s="61"/>
      <c r="MXK59" s="61"/>
      <c r="MXL59" s="61"/>
      <c r="MXM59" s="62"/>
      <c r="MXN59" s="53"/>
      <c r="MXO59" s="60"/>
      <c r="MXP59" s="60"/>
      <c r="MXQ59" s="61"/>
      <c r="MXR59" s="61"/>
      <c r="MXS59" s="61"/>
      <c r="MXT59" s="61"/>
      <c r="MXU59" s="62"/>
      <c r="MXV59" s="53"/>
      <c r="MXW59" s="60"/>
      <c r="MXX59" s="60"/>
      <c r="MXY59" s="61"/>
      <c r="MXZ59" s="61"/>
      <c r="MYA59" s="61"/>
      <c r="MYB59" s="61"/>
      <c r="MYC59" s="62"/>
      <c r="MYD59" s="53"/>
      <c r="MYE59" s="60"/>
      <c r="MYF59" s="60"/>
      <c r="MYG59" s="61"/>
      <c r="MYH59" s="61"/>
      <c r="MYI59" s="61"/>
      <c r="MYJ59" s="61"/>
      <c r="MYK59" s="62"/>
      <c r="MYL59" s="53"/>
      <c r="MYM59" s="60"/>
      <c r="MYN59" s="60"/>
      <c r="MYO59" s="61"/>
      <c r="MYP59" s="61"/>
      <c r="MYQ59" s="61"/>
      <c r="MYR59" s="61"/>
      <c r="MYS59" s="62"/>
      <c r="MYT59" s="53"/>
      <c r="MYU59" s="60"/>
      <c r="MYV59" s="60"/>
      <c r="MYW59" s="61"/>
      <c r="MYX59" s="61"/>
      <c r="MYY59" s="61"/>
      <c r="MYZ59" s="61"/>
      <c r="MZA59" s="62"/>
      <c r="MZB59" s="53"/>
      <c r="MZC59" s="60"/>
      <c r="MZD59" s="60"/>
      <c r="MZE59" s="61"/>
      <c r="MZF59" s="61"/>
      <c r="MZG59" s="61"/>
      <c r="MZH59" s="61"/>
      <c r="MZI59" s="62"/>
      <c r="MZJ59" s="53"/>
      <c r="MZK59" s="60"/>
      <c r="MZL59" s="60"/>
      <c r="MZM59" s="61"/>
      <c r="MZN59" s="61"/>
      <c r="MZO59" s="61"/>
      <c r="MZP59" s="61"/>
      <c r="MZQ59" s="62"/>
      <c r="MZR59" s="53"/>
      <c r="MZS59" s="60"/>
      <c r="MZT59" s="60"/>
      <c r="MZU59" s="61"/>
      <c r="MZV59" s="61"/>
      <c r="MZW59" s="61"/>
      <c r="MZX59" s="61"/>
      <c r="MZY59" s="62"/>
      <c r="MZZ59" s="53"/>
      <c r="NAA59" s="60"/>
      <c r="NAB59" s="60"/>
      <c r="NAC59" s="61"/>
      <c r="NAD59" s="61"/>
      <c r="NAE59" s="61"/>
      <c r="NAF59" s="61"/>
      <c r="NAG59" s="62"/>
      <c r="NAH59" s="53"/>
      <c r="NAI59" s="60"/>
      <c r="NAJ59" s="60"/>
      <c r="NAK59" s="61"/>
      <c r="NAL59" s="61"/>
      <c r="NAM59" s="61"/>
      <c r="NAN59" s="61"/>
      <c r="NAO59" s="62"/>
      <c r="NAP59" s="53"/>
      <c r="NAQ59" s="60"/>
      <c r="NAR59" s="60"/>
      <c r="NAS59" s="61"/>
      <c r="NAT59" s="61"/>
      <c r="NAU59" s="61"/>
      <c r="NAV59" s="61"/>
      <c r="NAW59" s="62"/>
      <c r="NAX59" s="53"/>
      <c r="NAY59" s="60"/>
      <c r="NAZ59" s="60"/>
      <c r="NBA59" s="61"/>
      <c r="NBB59" s="61"/>
      <c r="NBC59" s="61"/>
      <c r="NBD59" s="61"/>
      <c r="NBE59" s="62"/>
      <c r="NBF59" s="53"/>
      <c r="NBG59" s="60"/>
      <c r="NBH59" s="60"/>
      <c r="NBI59" s="61"/>
      <c r="NBJ59" s="61"/>
      <c r="NBK59" s="61"/>
      <c r="NBL59" s="61"/>
      <c r="NBM59" s="62"/>
      <c r="NBN59" s="53"/>
      <c r="NBO59" s="60"/>
      <c r="NBP59" s="60"/>
      <c r="NBQ59" s="61"/>
      <c r="NBR59" s="61"/>
      <c r="NBS59" s="61"/>
      <c r="NBT59" s="61"/>
      <c r="NBU59" s="62"/>
      <c r="NBV59" s="53"/>
      <c r="NBW59" s="60"/>
      <c r="NBX59" s="60"/>
      <c r="NBY59" s="61"/>
      <c r="NBZ59" s="61"/>
      <c r="NCA59" s="61"/>
      <c r="NCB59" s="61"/>
      <c r="NCC59" s="62"/>
      <c r="NCD59" s="53"/>
      <c r="NCE59" s="60"/>
      <c r="NCF59" s="60"/>
      <c r="NCG59" s="61"/>
      <c r="NCH59" s="61"/>
      <c r="NCI59" s="61"/>
      <c r="NCJ59" s="61"/>
      <c r="NCK59" s="62"/>
      <c r="NCL59" s="53"/>
      <c r="NCM59" s="60"/>
      <c r="NCN59" s="60"/>
      <c r="NCO59" s="61"/>
      <c r="NCP59" s="61"/>
      <c r="NCQ59" s="61"/>
      <c r="NCR59" s="61"/>
      <c r="NCS59" s="62"/>
      <c r="NCT59" s="53"/>
      <c r="NCU59" s="60"/>
      <c r="NCV59" s="60"/>
      <c r="NCW59" s="61"/>
      <c r="NCX59" s="61"/>
      <c r="NCY59" s="61"/>
      <c r="NCZ59" s="61"/>
      <c r="NDA59" s="62"/>
      <c r="NDB59" s="53"/>
      <c r="NDC59" s="60"/>
      <c r="NDD59" s="60"/>
      <c r="NDE59" s="61"/>
      <c r="NDF59" s="61"/>
      <c r="NDG59" s="61"/>
      <c r="NDH59" s="61"/>
      <c r="NDI59" s="62"/>
      <c r="NDJ59" s="53"/>
      <c r="NDK59" s="60"/>
      <c r="NDL59" s="60"/>
      <c r="NDM59" s="61"/>
      <c r="NDN59" s="61"/>
      <c r="NDO59" s="61"/>
      <c r="NDP59" s="61"/>
      <c r="NDQ59" s="62"/>
      <c r="NDR59" s="53"/>
      <c r="NDS59" s="60"/>
      <c r="NDT59" s="60"/>
      <c r="NDU59" s="61"/>
      <c r="NDV59" s="61"/>
      <c r="NDW59" s="61"/>
      <c r="NDX59" s="61"/>
      <c r="NDY59" s="62"/>
      <c r="NDZ59" s="53"/>
      <c r="NEA59" s="60"/>
      <c r="NEB59" s="60"/>
      <c r="NEC59" s="61"/>
      <c r="NED59" s="61"/>
      <c r="NEE59" s="61"/>
      <c r="NEF59" s="61"/>
      <c r="NEG59" s="62"/>
      <c r="NEH59" s="53"/>
      <c r="NEI59" s="60"/>
      <c r="NEJ59" s="60"/>
      <c r="NEK59" s="61"/>
      <c r="NEL59" s="61"/>
      <c r="NEM59" s="61"/>
      <c r="NEN59" s="61"/>
      <c r="NEO59" s="62"/>
      <c r="NEP59" s="53"/>
      <c r="NEQ59" s="60"/>
      <c r="NER59" s="60"/>
      <c r="NES59" s="61"/>
      <c r="NET59" s="61"/>
      <c r="NEU59" s="61"/>
      <c r="NEV59" s="61"/>
      <c r="NEW59" s="62"/>
      <c r="NEX59" s="53"/>
      <c r="NEY59" s="60"/>
      <c r="NEZ59" s="60"/>
      <c r="NFA59" s="61"/>
      <c r="NFB59" s="61"/>
      <c r="NFC59" s="61"/>
      <c r="NFD59" s="61"/>
      <c r="NFE59" s="62"/>
      <c r="NFF59" s="53"/>
      <c r="NFG59" s="60"/>
      <c r="NFH59" s="60"/>
      <c r="NFI59" s="61"/>
      <c r="NFJ59" s="61"/>
      <c r="NFK59" s="61"/>
      <c r="NFL59" s="61"/>
      <c r="NFM59" s="62"/>
      <c r="NFN59" s="53"/>
      <c r="NFO59" s="60"/>
      <c r="NFP59" s="60"/>
      <c r="NFQ59" s="61"/>
      <c r="NFR59" s="61"/>
      <c r="NFS59" s="61"/>
      <c r="NFT59" s="61"/>
      <c r="NFU59" s="62"/>
      <c r="NFV59" s="53"/>
      <c r="NFW59" s="60"/>
      <c r="NFX59" s="60"/>
      <c r="NFY59" s="61"/>
      <c r="NFZ59" s="61"/>
      <c r="NGA59" s="61"/>
      <c r="NGB59" s="61"/>
      <c r="NGC59" s="62"/>
      <c r="NGD59" s="53"/>
      <c r="NGE59" s="60"/>
      <c r="NGF59" s="60"/>
      <c r="NGG59" s="61"/>
      <c r="NGH59" s="61"/>
      <c r="NGI59" s="61"/>
      <c r="NGJ59" s="61"/>
      <c r="NGK59" s="62"/>
      <c r="NGL59" s="53"/>
      <c r="NGM59" s="60"/>
      <c r="NGN59" s="60"/>
      <c r="NGO59" s="61"/>
      <c r="NGP59" s="61"/>
      <c r="NGQ59" s="61"/>
      <c r="NGR59" s="61"/>
      <c r="NGS59" s="62"/>
      <c r="NGT59" s="53"/>
      <c r="NGU59" s="60"/>
      <c r="NGV59" s="60"/>
      <c r="NGW59" s="61"/>
      <c r="NGX59" s="61"/>
      <c r="NGY59" s="61"/>
      <c r="NGZ59" s="61"/>
      <c r="NHA59" s="62"/>
      <c r="NHB59" s="53"/>
      <c r="NHC59" s="60"/>
      <c r="NHD59" s="60"/>
      <c r="NHE59" s="61"/>
      <c r="NHF59" s="61"/>
      <c r="NHG59" s="61"/>
      <c r="NHH59" s="61"/>
      <c r="NHI59" s="62"/>
      <c r="NHJ59" s="53"/>
      <c r="NHK59" s="60"/>
      <c r="NHL59" s="60"/>
      <c r="NHM59" s="61"/>
      <c r="NHN59" s="61"/>
      <c r="NHO59" s="61"/>
      <c r="NHP59" s="61"/>
      <c r="NHQ59" s="62"/>
      <c r="NHR59" s="53"/>
      <c r="NHS59" s="60"/>
      <c r="NHT59" s="60"/>
      <c r="NHU59" s="61"/>
      <c r="NHV59" s="61"/>
      <c r="NHW59" s="61"/>
      <c r="NHX59" s="61"/>
      <c r="NHY59" s="62"/>
      <c r="NHZ59" s="53"/>
      <c r="NIA59" s="60"/>
      <c r="NIB59" s="60"/>
      <c r="NIC59" s="61"/>
      <c r="NID59" s="61"/>
      <c r="NIE59" s="61"/>
      <c r="NIF59" s="61"/>
      <c r="NIG59" s="62"/>
      <c r="NIH59" s="53"/>
      <c r="NII59" s="60"/>
      <c r="NIJ59" s="60"/>
      <c r="NIK59" s="61"/>
      <c r="NIL59" s="61"/>
      <c r="NIM59" s="61"/>
      <c r="NIN59" s="61"/>
      <c r="NIO59" s="62"/>
      <c r="NIP59" s="53"/>
      <c r="NIQ59" s="60"/>
      <c r="NIR59" s="60"/>
      <c r="NIS59" s="61"/>
      <c r="NIT59" s="61"/>
      <c r="NIU59" s="61"/>
      <c r="NIV59" s="61"/>
      <c r="NIW59" s="62"/>
      <c r="NIX59" s="53"/>
      <c r="NIY59" s="60"/>
      <c r="NIZ59" s="60"/>
      <c r="NJA59" s="61"/>
      <c r="NJB59" s="61"/>
      <c r="NJC59" s="61"/>
      <c r="NJD59" s="61"/>
      <c r="NJE59" s="62"/>
      <c r="NJF59" s="53"/>
      <c r="NJG59" s="60"/>
      <c r="NJH59" s="60"/>
      <c r="NJI59" s="61"/>
      <c r="NJJ59" s="61"/>
      <c r="NJK59" s="61"/>
      <c r="NJL59" s="61"/>
      <c r="NJM59" s="62"/>
      <c r="NJN59" s="53"/>
      <c r="NJO59" s="60"/>
      <c r="NJP59" s="60"/>
      <c r="NJQ59" s="61"/>
      <c r="NJR59" s="61"/>
      <c r="NJS59" s="61"/>
      <c r="NJT59" s="61"/>
      <c r="NJU59" s="62"/>
      <c r="NJV59" s="53"/>
      <c r="NJW59" s="60"/>
      <c r="NJX59" s="60"/>
      <c r="NJY59" s="61"/>
      <c r="NJZ59" s="61"/>
      <c r="NKA59" s="61"/>
      <c r="NKB59" s="61"/>
      <c r="NKC59" s="62"/>
      <c r="NKD59" s="53"/>
      <c r="NKE59" s="60"/>
      <c r="NKF59" s="60"/>
      <c r="NKG59" s="61"/>
      <c r="NKH59" s="61"/>
      <c r="NKI59" s="61"/>
      <c r="NKJ59" s="61"/>
      <c r="NKK59" s="62"/>
      <c r="NKL59" s="53"/>
      <c r="NKM59" s="60"/>
      <c r="NKN59" s="60"/>
      <c r="NKO59" s="61"/>
      <c r="NKP59" s="61"/>
      <c r="NKQ59" s="61"/>
      <c r="NKR59" s="61"/>
      <c r="NKS59" s="62"/>
      <c r="NKT59" s="53"/>
      <c r="NKU59" s="60"/>
      <c r="NKV59" s="60"/>
      <c r="NKW59" s="61"/>
      <c r="NKX59" s="61"/>
      <c r="NKY59" s="61"/>
      <c r="NKZ59" s="61"/>
      <c r="NLA59" s="62"/>
      <c r="NLB59" s="53"/>
      <c r="NLC59" s="60"/>
      <c r="NLD59" s="60"/>
      <c r="NLE59" s="61"/>
      <c r="NLF59" s="61"/>
      <c r="NLG59" s="61"/>
      <c r="NLH59" s="61"/>
      <c r="NLI59" s="62"/>
      <c r="NLJ59" s="53"/>
      <c r="NLK59" s="60"/>
      <c r="NLL59" s="60"/>
      <c r="NLM59" s="61"/>
      <c r="NLN59" s="61"/>
      <c r="NLO59" s="61"/>
      <c r="NLP59" s="61"/>
      <c r="NLQ59" s="62"/>
      <c r="NLR59" s="53"/>
      <c r="NLS59" s="60"/>
      <c r="NLT59" s="60"/>
      <c r="NLU59" s="61"/>
      <c r="NLV59" s="61"/>
      <c r="NLW59" s="61"/>
      <c r="NLX59" s="61"/>
      <c r="NLY59" s="62"/>
      <c r="NLZ59" s="53"/>
      <c r="NMA59" s="60"/>
      <c r="NMB59" s="60"/>
      <c r="NMC59" s="61"/>
      <c r="NMD59" s="61"/>
      <c r="NME59" s="61"/>
      <c r="NMF59" s="61"/>
      <c r="NMG59" s="62"/>
      <c r="NMH59" s="53"/>
      <c r="NMI59" s="60"/>
      <c r="NMJ59" s="60"/>
      <c r="NMK59" s="61"/>
      <c r="NML59" s="61"/>
      <c r="NMM59" s="61"/>
      <c r="NMN59" s="61"/>
      <c r="NMO59" s="62"/>
      <c r="NMP59" s="53"/>
      <c r="NMQ59" s="60"/>
      <c r="NMR59" s="60"/>
      <c r="NMS59" s="61"/>
      <c r="NMT59" s="61"/>
      <c r="NMU59" s="61"/>
      <c r="NMV59" s="61"/>
      <c r="NMW59" s="62"/>
      <c r="NMX59" s="53"/>
      <c r="NMY59" s="60"/>
      <c r="NMZ59" s="60"/>
      <c r="NNA59" s="61"/>
      <c r="NNB59" s="61"/>
      <c r="NNC59" s="61"/>
      <c r="NND59" s="61"/>
      <c r="NNE59" s="62"/>
      <c r="NNF59" s="53"/>
      <c r="NNG59" s="60"/>
      <c r="NNH59" s="60"/>
      <c r="NNI59" s="61"/>
      <c r="NNJ59" s="61"/>
      <c r="NNK59" s="61"/>
      <c r="NNL59" s="61"/>
      <c r="NNM59" s="62"/>
      <c r="NNN59" s="53"/>
      <c r="NNO59" s="60"/>
      <c r="NNP59" s="60"/>
      <c r="NNQ59" s="61"/>
      <c r="NNR59" s="61"/>
      <c r="NNS59" s="61"/>
      <c r="NNT59" s="61"/>
      <c r="NNU59" s="62"/>
      <c r="NNV59" s="53"/>
      <c r="NNW59" s="60"/>
      <c r="NNX59" s="60"/>
      <c r="NNY59" s="61"/>
      <c r="NNZ59" s="61"/>
      <c r="NOA59" s="61"/>
      <c r="NOB59" s="61"/>
      <c r="NOC59" s="62"/>
      <c r="NOD59" s="53"/>
      <c r="NOE59" s="60"/>
      <c r="NOF59" s="60"/>
      <c r="NOG59" s="61"/>
      <c r="NOH59" s="61"/>
      <c r="NOI59" s="61"/>
      <c r="NOJ59" s="61"/>
      <c r="NOK59" s="62"/>
      <c r="NOL59" s="53"/>
      <c r="NOM59" s="60"/>
      <c r="NON59" s="60"/>
      <c r="NOO59" s="61"/>
      <c r="NOP59" s="61"/>
      <c r="NOQ59" s="61"/>
      <c r="NOR59" s="61"/>
      <c r="NOS59" s="62"/>
      <c r="NOT59" s="53"/>
      <c r="NOU59" s="60"/>
      <c r="NOV59" s="60"/>
      <c r="NOW59" s="61"/>
      <c r="NOX59" s="61"/>
      <c r="NOY59" s="61"/>
      <c r="NOZ59" s="61"/>
      <c r="NPA59" s="62"/>
      <c r="NPB59" s="53"/>
      <c r="NPC59" s="60"/>
      <c r="NPD59" s="60"/>
      <c r="NPE59" s="61"/>
      <c r="NPF59" s="61"/>
      <c r="NPG59" s="61"/>
      <c r="NPH59" s="61"/>
      <c r="NPI59" s="62"/>
      <c r="NPJ59" s="53"/>
      <c r="NPK59" s="60"/>
      <c r="NPL59" s="60"/>
      <c r="NPM59" s="61"/>
      <c r="NPN59" s="61"/>
      <c r="NPO59" s="61"/>
      <c r="NPP59" s="61"/>
      <c r="NPQ59" s="62"/>
      <c r="NPR59" s="53"/>
      <c r="NPS59" s="60"/>
      <c r="NPT59" s="60"/>
      <c r="NPU59" s="61"/>
      <c r="NPV59" s="61"/>
      <c r="NPW59" s="61"/>
      <c r="NPX59" s="61"/>
      <c r="NPY59" s="62"/>
      <c r="NPZ59" s="53"/>
      <c r="NQA59" s="60"/>
      <c r="NQB59" s="60"/>
      <c r="NQC59" s="61"/>
      <c r="NQD59" s="61"/>
      <c r="NQE59" s="61"/>
      <c r="NQF59" s="61"/>
      <c r="NQG59" s="62"/>
      <c r="NQH59" s="53"/>
      <c r="NQI59" s="60"/>
      <c r="NQJ59" s="60"/>
      <c r="NQK59" s="61"/>
      <c r="NQL59" s="61"/>
      <c r="NQM59" s="61"/>
      <c r="NQN59" s="61"/>
      <c r="NQO59" s="62"/>
      <c r="NQP59" s="53"/>
      <c r="NQQ59" s="60"/>
      <c r="NQR59" s="60"/>
      <c r="NQS59" s="61"/>
      <c r="NQT59" s="61"/>
      <c r="NQU59" s="61"/>
      <c r="NQV59" s="61"/>
      <c r="NQW59" s="62"/>
      <c r="NQX59" s="53"/>
      <c r="NQY59" s="60"/>
      <c r="NQZ59" s="60"/>
      <c r="NRA59" s="61"/>
      <c r="NRB59" s="61"/>
      <c r="NRC59" s="61"/>
      <c r="NRD59" s="61"/>
      <c r="NRE59" s="62"/>
      <c r="NRF59" s="53"/>
      <c r="NRG59" s="60"/>
      <c r="NRH59" s="60"/>
      <c r="NRI59" s="61"/>
      <c r="NRJ59" s="61"/>
      <c r="NRK59" s="61"/>
      <c r="NRL59" s="61"/>
      <c r="NRM59" s="62"/>
      <c r="NRN59" s="53"/>
      <c r="NRO59" s="60"/>
      <c r="NRP59" s="60"/>
      <c r="NRQ59" s="61"/>
      <c r="NRR59" s="61"/>
      <c r="NRS59" s="61"/>
      <c r="NRT59" s="61"/>
      <c r="NRU59" s="62"/>
      <c r="NRV59" s="53"/>
      <c r="NRW59" s="60"/>
      <c r="NRX59" s="60"/>
      <c r="NRY59" s="61"/>
      <c r="NRZ59" s="61"/>
      <c r="NSA59" s="61"/>
      <c r="NSB59" s="61"/>
      <c r="NSC59" s="62"/>
      <c r="NSD59" s="53"/>
      <c r="NSE59" s="60"/>
      <c r="NSF59" s="60"/>
      <c r="NSG59" s="61"/>
      <c r="NSH59" s="61"/>
      <c r="NSI59" s="61"/>
      <c r="NSJ59" s="61"/>
      <c r="NSK59" s="62"/>
      <c r="NSL59" s="53"/>
      <c r="NSM59" s="60"/>
      <c r="NSN59" s="60"/>
      <c r="NSO59" s="61"/>
      <c r="NSP59" s="61"/>
      <c r="NSQ59" s="61"/>
      <c r="NSR59" s="61"/>
      <c r="NSS59" s="62"/>
      <c r="NST59" s="53"/>
      <c r="NSU59" s="60"/>
      <c r="NSV59" s="60"/>
      <c r="NSW59" s="61"/>
      <c r="NSX59" s="61"/>
      <c r="NSY59" s="61"/>
      <c r="NSZ59" s="61"/>
      <c r="NTA59" s="62"/>
      <c r="NTB59" s="53"/>
      <c r="NTC59" s="60"/>
      <c r="NTD59" s="60"/>
      <c r="NTE59" s="61"/>
      <c r="NTF59" s="61"/>
      <c r="NTG59" s="61"/>
      <c r="NTH59" s="61"/>
      <c r="NTI59" s="62"/>
      <c r="NTJ59" s="53"/>
      <c r="NTK59" s="60"/>
      <c r="NTL59" s="60"/>
      <c r="NTM59" s="61"/>
      <c r="NTN59" s="61"/>
      <c r="NTO59" s="61"/>
      <c r="NTP59" s="61"/>
      <c r="NTQ59" s="62"/>
      <c r="NTR59" s="53"/>
      <c r="NTS59" s="60"/>
      <c r="NTT59" s="60"/>
      <c r="NTU59" s="61"/>
      <c r="NTV59" s="61"/>
      <c r="NTW59" s="61"/>
      <c r="NTX59" s="61"/>
      <c r="NTY59" s="62"/>
      <c r="NTZ59" s="53"/>
      <c r="NUA59" s="60"/>
      <c r="NUB59" s="60"/>
      <c r="NUC59" s="61"/>
      <c r="NUD59" s="61"/>
      <c r="NUE59" s="61"/>
      <c r="NUF59" s="61"/>
      <c r="NUG59" s="62"/>
      <c r="NUH59" s="53"/>
      <c r="NUI59" s="60"/>
      <c r="NUJ59" s="60"/>
      <c r="NUK59" s="61"/>
      <c r="NUL59" s="61"/>
      <c r="NUM59" s="61"/>
      <c r="NUN59" s="61"/>
      <c r="NUO59" s="62"/>
      <c r="NUP59" s="53"/>
      <c r="NUQ59" s="60"/>
      <c r="NUR59" s="60"/>
      <c r="NUS59" s="61"/>
      <c r="NUT59" s="61"/>
      <c r="NUU59" s="61"/>
      <c r="NUV59" s="61"/>
      <c r="NUW59" s="62"/>
      <c r="NUX59" s="53"/>
      <c r="NUY59" s="60"/>
      <c r="NUZ59" s="60"/>
      <c r="NVA59" s="61"/>
      <c r="NVB59" s="61"/>
      <c r="NVC59" s="61"/>
      <c r="NVD59" s="61"/>
      <c r="NVE59" s="62"/>
      <c r="NVF59" s="53"/>
      <c r="NVG59" s="60"/>
      <c r="NVH59" s="60"/>
      <c r="NVI59" s="61"/>
      <c r="NVJ59" s="61"/>
      <c r="NVK59" s="61"/>
      <c r="NVL59" s="61"/>
      <c r="NVM59" s="62"/>
      <c r="NVN59" s="53"/>
      <c r="NVO59" s="60"/>
      <c r="NVP59" s="60"/>
      <c r="NVQ59" s="61"/>
      <c r="NVR59" s="61"/>
      <c r="NVS59" s="61"/>
      <c r="NVT59" s="61"/>
      <c r="NVU59" s="62"/>
      <c r="NVV59" s="53"/>
      <c r="NVW59" s="60"/>
      <c r="NVX59" s="60"/>
      <c r="NVY59" s="61"/>
      <c r="NVZ59" s="61"/>
      <c r="NWA59" s="61"/>
      <c r="NWB59" s="61"/>
      <c r="NWC59" s="62"/>
      <c r="NWD59" s="53"/>
      <c r="NWE59" s="60"/>
      <c r="NWF59" s="60"/>
      <c r="NWG59" s="61"/>
      <c r="NWH59" s="61"/>
      <c r="NWI59" s="61"/>
      <c r="NWJ59" s="61"/>
      <c r="NWK59" s="62"/>
      <c r="NWL59" s="53"/>
      <c r="NWM59" s="60"/>
      <c r="NWN59" s="60"/>
      <c r="NWO59" s="61"/>
      <c r="NWP59" s="61"/>
      <c r="NWQ59" s="61"/>
      <c r="NWR59" s="61"/>
      <c r="NWS59" s="62"/>
      <c r="NWT59" s="53"/>
      <c r="NWU59" s="60"/>
      <c r="NWV59" s="60"/>
      <c r="NWW59" s="61"/>
      <c r="NWX59" s="61"/>
      <c r="NWY59" s="61"/>
      <c r="NWZ59" s="61"/>
      <c r="NXA59" s="62"/>
      <c r="NXB59" s="53"/>
      <c r="NXC59" s="60"/>
      <c r="NXD59" s="60"/>
      <c r="NXE59" s="61"/>
      <c r="NXF59" s="61"/>
      <c r="NXG59" s="61"/>
      <c r="NXH59" s="61"/>
      <c r="NXI59" s="62"/>
      <c r="NXJ59" s="53"/>
      <c r="NXK59" s="60"/>
      <c r="NXL59" s="60"/>
      <c r="NXM59" s="61"/>
      <c r="NXN59" s="61"/>
      <c r="NXO59" s="61"/>
      <c r="NXP59" s="61"/>
      <c r="NXQ59" s="62"/>
      <c r="NXR59" s="53"/>
      <c r="NXS59" s="60"/>
      <c r="NXT59" s="60"/>
      <c r="NXU59" s="61"/>
      <c r="NXV59" s="61"/>
      <c r="NXW59" s="61"/>
      <c r="NXX59" s="61"/>
      <c r="NXY59" s="62"/>
      <c r="NXZ59" s="53"/>
      <c r="NYA59" s="60"/>
      <c r="NYB59" s="60"/>
      <c r="NYC59" s="61"/>
      <c r="NYD59" s="61"/>
      <c r="NYE59" s="61"/>
      <c r="NYF59" s="61"/>
      <c r="NYG59" s="62"/>
      <c r="NYH59" s="53"/>
      <c r="NYI59" s="60"/>
      <c r="NYJ59" s="60"/>
      <c r="NYK59" s="61"/>
      <c r="NYL59" s="61"/>
      <c r="NYM59" s="61"/>
      <c r="NYN59" s="61"/>
      <c r="NYO59" s="62"/>
      <c r="NYP59" s="53"/>
      <c r="NYQ59" s="60"/>
      <c r="NYR59" s="60"/>
      <c r="NYS59" s="61"/>
      <c r="NYT59" s="61"/>
      <c r="NYU59" s="61"/>
      <c r="NYV59" s="61"/>
      <c r="NYW59" s="62"/>
      <c r="NYX59" s="53"/>
      <c r="NYY59" s="60"/>
      <c r="NYZ59" s="60"/>
      <c r="NZA59" s="61"/>
      <c r="NZB59" s="61"/>
      <c r="NZC59" s="61"/>
      <c r="NZD59" s="61"/>
      <c r="NZE59" s="62"/>
      <c r="NZF59" s="53"/>
      <c r="NZG59" s="60"/>
      <c r="NZH59" s="60"/>
      <c r="NZI59" s="61"/>
      <c r="NZJ59" s="61"/>
      <c r="NZK59" s="61"/>
      <c r="NZL59" s="61"/>
      <c r="NZM59" s="62"/>
      <c r="NZN59" s="53"/>
      <c r="NZO59" s="60"/>
      <c r="NZP59" s="60"/>
      <c r="NZQ59" s="61"/>
      <c r="NZR59" s="61"/>
      <c r="NZS59" s="61"/>
      <c r="NZT59" s="61"/>
      <c r="NZU59" s="62"/>
      <c r="NZV59" s="53"/>
      <c r="NZW59" s="60"/>
      <c r="NZX59" s="60"/>
      <c r="NZY59" s="61"/>
      <c r="NZZ59" s="61"/>
      <c r="OAA59" s="61"/>
      <c r="OAB59" s="61"/>
      <c r="OAC59" s="62"/>
      <c r="OAD59" s="53"/>
      <c r="OAE59" s="60"/>
      <c r="OAF59" s="60"/>
      <c r="OAG59" s="61"/>
      <c r="OAH59" s="61"/>
      <c r="OAI59" s="61"/>
      <c r="OAJ59" s="61"/>
      <c r="OAK59" s="62"/>
      <c r="OAL59" s="53"/>
      <c r="OAM59" s="60"/>
      <c r="OAN59" s="60"/>
      <c r="OAO59" s="61"/>
      <c r="OAP59" s="61"/>
      <c r="OAQ59" s="61"/>
      <c r="OAR59" s="61"/>
      <c r="OAS59" s="62"/>
      <c r="OAT59" s="53"/>
      <c r="OAU59" s="60"/>
      <c r="OAV59" s="60"/>
      <c r="OAW59" s="61"/>
      <c r="OAX59" s="61"/>
      <c r="OAY59" s="61"/>
      <c r="OAZ59" s="61"/>
      <c r="OBA59" s="62"/>
      <c r="OBB59" s="53"/>
      <c r="OBC59" s="60"/>
      <c r="OBD59" s="60"/>
      <c r="OBE59" s="61"/>
      <c r="OBF59" s="61"/>
      <c r="OBG59" s="61"/>
      <c r="OBH59" s="61"/>
      <c r="OBI59" s="62"/>
      <c r="OBJ59" s="53"/>
      <c r="OBK59" s="60"/>
      <c r="OBL59" s="60"/>
      <c r="OBM59" s="61"/>
      <c r="OBN59" s="61"/>
      <c r="OBO59" s="61"/>
      <c r="OBP59" s="61"/>
      <c r="OBQ59" s="62"/>
      <c r="OBR59" s="53"/>
      <c r="OBS59" s="60"/>
      <c r="OBT59" s="60"/>
      <c r="OBU59" s="61"/>
      <c r="OBV59" s="61"/>
      <c r="OBW59" s="61"/>
      <c r="OBX59" s="61"/>
      <c r="OBY59" s="62"/>
      <c r="OBZ59" s="53"/>
      <c r="OCA59" s="60"/>
      <c r="OCB59" s="60"/>
      <c r="OCC59" s="61"/>
      <c r="OCD59" s="61"/>
      <c r="OCE59" s="61"/>
      <c r="OCF59" s="61"/>
      <c r="OCG59" s="62"/>
      <c r="OCH59" s="53"/>
      <c r="OCI59" s="60"/>
      <c r="OCJ59" s="60"/>
      <c r="OCK59" s="61"/>
      <c r="OCL59" s="61"/>
      <c r="OCM59" s="61"/>
      <c r="OCN59" s="61"/>
      <c r="OCO59" s="62"/>
      <c r="OCP59" s="53"/>
      <c r="OCQ59" s="60"/>
      <c r="OCR59" s="60"/>
      <c r="OCS59" s="61"/>
      <c r="OCT59" s="61"/>
      <c r="OCU59" s="61"/>
      <c r="OCV59" s="61"/>
      <c r="OCW59" s="62"/>
      <c r="OCX59" s="53"/>
      <c r="OCY59" s="60"/>
      <c r="OCZ59" s="60"/>
      <c r="ODA59" s="61"/>
      <c r="ODB59" s="61"/>
      <c r="ODC59" s="61"/>
      <c r="ODD59" s="61"/>
      <c r="ODE59" s="62"/>
      <c r="ODF59" s="53"/>
      <c r="ODG59" s="60"/>
      <c r="ODH59" s="60"/>
      <c r="ODI59" s="61"/>
      <c r="ODJ59" s="61"/>
      <c r="ODK59" s="61"/>
      <c r="ODL59" s="61"/>
      <c r="ODM59" s="62"/>
      <c r="ODN59" s="53"/>
      <c r="ODO59" s="60"/>
      <c r="ODP59" s="60"/>
      <c r="ODQ59" s="61"/>
      <c r="ODR59" s="61"/>
      <c r="ODS59" s="61"/>
      <c r="ODT59" s="61"/>
      <c r="ODU59" s="62"/>
      <c r="ODV59" s="53"/>
      <c r="ODW59" s="60"/>
      <c r="ODX59" s="60"/>
      <c r="ODY59" s="61"/>
      <c r="ODZ59" s="61"/>
      <c r="OEA59" s="61"/>
      <c r="OEB59" s="61"/>
      <c r="OEC59" s="62"/>
      <c r="OED59" s="53"/>
      <c r="OEE59" s="60"/>
      <c r="OEF59" s="60"/>
      <c r="OEG59" s="61"/>
      <c r="OEH59" s="61"/>
      <c r="OEI59" s="61"/>
      <c r="OEJ59" s="61"/>
      <c r="OEK59" s="62"/>
      <c r="OEL59" s="53"/>
      <c r="OEM59" s="60"/>
      <c r="OEN59" s="60"/>
      <c r="OEO59" s="61"/>
      <c r="OEP59" s="61"/>
      <c r="OEQ59" s="61"/>
      <c r="OER59" s="61"/>
      <c r="OES59" s="62"/>
      <c r="OET59" s="53"/>
      <c r="OEU59" s="60"/>
      <c r="OEV59" s="60"/>
      <c r="OEW59" s="61"/>
      <c r="OEX59" s="61"/>
      <c r="OEY59" s="61"/>
      <c r="OEZ59" s="61"/>
      <c r="OFA59" s="62"/>
      <c r="OFB59" s="53"/>
      <c r="OFC59" s="60"/>
      <c r="OFD59" s="60"/>
      <c r="OFE59" s="61"/>
      <c r="OFF59" s="61"/>
      <c r="OFG59" s="61"/>
      <c r="OFH59" s="61"/>
      <c r="OFI59" s="62"/>
      <c r="OFJ59" s="53"/>
      <c r="OFK59" s="60"/>
      <c r="OFL59" s="60"/>
      <c r="OFM59" s="61"/>
      <c r="OFN59" s="61"/>
      <c r="OFO59" s="61"/>
      <c r="OFP59" s="61"/>
      <c r="OFQ59" s="62"/>
      <c r="OFR59" s="53"/>
      <c r="OFS59" s="60"/>
      <c r="OFT59" s="60"/>
      <c r="OFU59" s="61"/>
      <c r="OFV59" s="61"/>
      <c r="OFW59" s="61"/>
      <c r="OFX59" s="61"/>
      <c r="OFY59" s="62"/>
      <c r="OFZ59" s="53"/>
      <c r="OGA59" s="60"/>
      <c r="OGB59" s="60"/>
      <c r="OGC59" s="61"/>
      <c r="OGD59" s="61"/>
      <c r="OGE59" s="61"/>
      <c r="OGF59" s="61"/>
      <c r="OGG59" s="62"/>
      <c r="OGH59" s="53"/>
      <c r="OGI59" s="60"/>
      <c r="OGJ59" s="60"/>
      <c r="OGK59" s="61"/>
      <c r="OGL59" s="61"/>
      <c r="OGM59" s="61"/>
      <c r="OGN59" s="61"/>
      <c r="OGO59" s="62"/>
      <c r="OGP59" s="53"/>
      <c r="OGQ59" s="60"/>
      <c r="OGR59" s="60"/>
      <c r="OGS59" s="61"/>
      <c r="OGT59" s="61"/>
      <c r="OGU59" s="61"/>
      <c r="OGV59" s="61"/>
      <c r="OGW59" s="62"/>
      <c r="OGX59" s="53"/>
      <c r="OGY59" s="60"/>
      <c r="OGZ59" s="60"/>
      <c r="OHA59" s="61"/>
      <c r="OHB59" s="61"/>
      <c r="OHC59" s="61"/>
      <c r="OHD59" s="61"/>
      <c r="OHE59" s="62"/>
      <c r="OHF59" s="53"/>
      <c r="OHG59" s="60"/>
      <c r="OHH59" s="60"/>
      <c r="OHI59" s="61"/>
      <c r="OHJ59" s="61"/>
      <c r="OHK59" s="61"/>
      <c r="OHL59" s="61"/>
      <c r="OHM59" s="62"/>
      <c r="OHN59" s="53"/>
      <c r="OHO59" s="60"/>
      <c r="OHP59" s="60"/>
      <c r="OHQ59" s="61"/>
      <c r="OHR59" s="61"/>
      <c r="OHS59" s="61"/>
      <c r="OHT59" s="61"/>
      <c r="OHU59" s="62"/>
      <c r="OHV59" s="53"/>
      <c r="OHW59" s="60"/>
      <c r="OHX59" s="60"/>
      <c r="OHY59" s="61"/>
      <c r="OHZ59" s="61"/>
      <c r="OIA59" s="61"/>
      <c r="OIB59" s="61"/>
      <c r="OIC59" s="62"/>
      <c r="OID59" s="53"/>
      <c r="OIE59" s="60"/>
      <c r="OIF59" s="60"/>
      <c r="OIG59" s="61"/>
      <c r="OIH59" s="61"/>
      <c r="OII59" s="61"/>
      <c r="OIJ59" s="61"/>
      <c r="OIK59" s="62"/>
      <c r="OIL59" s="53"/>
      <c r="OIM59" s="60"/>
      <c r="OIN59" s="60"/>
      <c r="OIO59" s="61"/>
      <c r="OIP59" s="61"/>
      <c r="OIQ59" s="61"/>
      <c r="OIR59" s="61"/>
      <c r="OIS59" s="62"/>
      <c r="OIT59" s="53"/>
      <c r="OIU59" s="60"/>
      <c r="OIV59" s="60"/>
      <c r="OIW59" s="61"/>
      <c r="OIX59" s="61"/>
      <c r="OIY59" s="61"/>
      <c r="OIZ59" s="61"/>
      <c r="OJA59" s="62"/>
      <c r="OJB59" s="53"/>
      <c r="OJC59" s="60"/>
      <c r="OJD59" s="60"/>
      <c r="OJE59" s="61"/>
      <c r="OJF59" s="61"/>
      <c r="OJG59" s="61"/>
      <c r="OJH59" s="61"/>
      <c r="OJI59" s="62"/>
      <c r="OJJ59" s="53"/>
      <c r="OJK59" s="60"/>
      <c r="OJL59" s="60"/>
      <c r="OJM59" s="61"/>
      <c r="OJN59" s="61"/>
      <c r="OJO59" s="61"/>
      <c r="OJP59" s="61"/>
      <c r="OJQ59" s="62"/>
      <c r="OJR59" s="53"/>
      <c r="OJS59" s="60"/>
      <c r="OJT59" s="60"/>
      <c r="OJU59" s="61"/>
      <c r="OJV59" s="61"/>
      <c r="OJW59" s="61"/>
      <c r="OJX59" s="61"/>
      <c r="OJY59" s="62"/>
      <c r="OJZ59" s="53"/>
      <c r="OKA59" s="60"/>
      <c r="OKB59" s="60"/>
      <c r="OKC59" s="61"/>
      <c r="OKD59" s="61"/>
      <c r="OKE59" s="61"/>
      <c r="OKF59" s="61"/>
      <c r="OKG59" s="62"/>
      <c r="OKH59" s="53"/>
      <c r="OKI59" s="60"/>
      <c r="OKJ59" s="60"/>
      <c r="OKK59" s="61"/>
      <c r="OKL59" s="61"/>
      <c r="OKM59" s="61"/>
      <c r="OKN59" s="61"/>
      <c r="OKO59" s="62"/>
      <c r="OKP59" s="53"/>
      <c r="OKQ59" s="60"/>
      <c r="OKR59" s="60"/>
      <c r="OKS59" s="61"/>
      <c r="OKT59" s="61"/>
      <c r="OKU59" s="61"/>
      <c r="OKV59" s="61"/>
      <c r="OKW59" s="62"/>
      <c r="OKX59" s="53"/>
      <c r="OKY59" s="60"/>
      <c r="OKZ59" s="60"/>
      <c r="OLA59" s="61"/>
      <c r="OLB59" s="61"/>
      <c r="OLC59" s="61"/>
      <c r="OLD59" s="61"/>
      <c r="OLE59" s="62"/>
      <c r="OLF59" s="53"/>
      <c r="OLG59" s="60"/>
      <c r="OLH59" s="60"/>
      <c r="OLI59" s="61"/>
      <c r="OLJ59" s="61"/>
      <c r="OLK59" s="61"/>
      <c r="OLL59" s="61"/>
      <c r="OLM59" s="62"/>
      <c r="OLN59" s="53"/>
      <c r="OLO59" s="60"/>
      <c r="OLP59" s="60"/>
      <c r="OLQ59" s="61"/>
      <c r="OLR59" s="61"/>
      <c r="OLS59" s="61"/>
      <c r="OLT59" s="61"/>
      <c r="OLU59" s="62"/>
      <c r="OLV59" s="53"/>
      <c r="OLW59" s="60"/>
      <c r="OLX59" s="60"/>
      <c r="OLY59" s="61"/>
      <c r="OLZ59" s="61"/>
      <c r="OMA59" s="61"/>
      <c r="OMB59" s="61"/>
      <c r="OMC59" s="62"/>
      <c r="OMD59" s="53"/>
      <c r="OME59" s="60"/>
      <c r="OMF59" s="60"/>
      <c r="OMG59" s="61"/>
      <c r="OMH59" s="61"/>
      <c r="OMI59" s="61"/>
      <c r="OMJ59" s="61"/>
      <c r="OMK59" s="62"/>
      <c r="OML59" s="53"/>
      <c r="OMM59" s="60"/>
      <c r="OMN59" s="60"/>
      <c r="OMO59" s="61"/>
      <c r="OMP59" s="61"/>
      <c r="OMQ59" s="61"/>
      <c r="OMR59" s="61"/>
      <c r="OMS59" s="62"/>
      <c r="OMT59" s="53"/>
      <c r="OMU59" s="60"/>
      <c r="OMV59" s="60"/>
      <c r="OMW59" s="61"/>
      <c r="OMX59" s="61"/>
      <c r="OMY59" s="61"/>
      <c r="OMZ59" s="61"/>
      <c r="ONA59" s="62"/>
      <c r="ONB59" s="53"/>
      <c r="ONC59" s="60"/>
      <c r="OND59" s="60"/>
      <c r="ONE59" s="61"/>
      <c r="ONF59" s="61"/>
      <c r="ONG59" s="61"/>
      <c r="ONH59" s="61"/>
      <c r="ONI59" s="62"/>
      <c r="ONJ59" s="53"/>
      <c r="ONK59" s="60"/>
      <c r="ONL59" s="60"/>
      <c r="ONM59" s="61"/>
      <c r="ONN59" s="61"/>
      <c r="ONO59" s="61"/>
      <c r="ONP59" s="61"/>
      <c r="ONQ59" s="62"/>
      <c r="ONR59" s="53"/>
      <c r="ONS59" s="60"/>
      <c r="ONT59" s="60"/>
      <c r="ONU59" s="61"/>
      <c r="ONV59" s="61"/>
      <c r="ONW59" s="61"/>
      <c r="ONX59" s="61"/>
      <c r="ONY59" s="62"/>
      <c r="ONZ59" s="53"/>
      <c r="OOA59" s="60"/>
      <c r="OOB59" s="60"/>
      <c r="OOC59" s="61"/>
      <c r="OOD59" s="61"/>
      <c r="OOE59" s="61"/>
      <c r="OOF59" s="61"/>
      <c r="OOG59" s="62"/>
      <c r="OOH59" s="53"/>
      <c r="OOI59" s="60"/>
      <c r="OOJ59" s="60"/>
      <c r="OOK59" s="61"/>
      <c r="OOL59" s="61"/>
      <c r="OOM59" s="61"/>
      <c r="OON59" s="61"/>
      <c r="OOO59" s="62"/>
      <c r="OOP59" s="53"/>
      <c r="OOQ59" s="60"/>
      <c r="OOR59" s="60"/>
      <c r="OOS59" s="61"/>
      <c r="OOT59" s="61"/>
      <c r="OOU59" s="61"/>
      <c r="OOV59" s="61"/>
      <c r="OOW59" s="62"/>
      <c r="OOX59" s="53"/>
      <c r="OOY59" s="60"/>
      <c r="OOZ59" s="60"/>
      <c r="OPA59" s="61"/>
      <c r="OPB59" s="61"/>
      <c r="OPC59" s="61"/>
      <c r="OPD59" s="61"/>
      <c r="OPE59" s="62"/>
      <c r="OPF59" s="53"/>
      <c r="OPG59" s="60"/>
      <c r="OPH59" s="60"/>
      <c r="OPI59" s="61"/>
      <c r="OPJ59" s="61"/>
      <c r="OPK59" s="61"/>
      <c r="OPL59" s="61"/>
      <c r="OPM59" s="62"/>
      <c r="OPN59" s="53"/>
      <c r="OPO59" s="60"/>
      <c r="OPP59" s="60"/>
      <c r="OPQ59" s="61"/>
      <c r="OPR59" s="61"/>
      <c r="OPS59" s="61"/>
      <c r="OPT59" s="61"/>
      <c r="OPU59" s="62"/>
      <c r="OPV59" s="53"/>
      <c r="OPW59" s="60"/>
      <c r="OPX59" s="60"/>
      <c r="OPY59" s="61"/>
      <c r="OPZ59" s="61"/>
      <c r="OQA59" s="61"/>
      <c r="OQB59" s="61"/>
      <c r="OQC59" s="62"/>
      <c r="OQD59" s="53"/>
      <c r="OQE59" s="60"/>
      <c r="OQF59" s="60"/>
      <c r="OQG59" s="61"/>
      <c r="OQH59" s="61"/>
      <c r="OQI59" s="61"/>
      <c r="OQJ59" s="61"/>
      <c r="OQK59" s="62"/>
      <c r="OQL59" s="53"/>
      <c r="OQM59" s="60"/>
      <c r="OQN59" s="60"/>
      <c r="OQO59" s="61"/>
      <c r="OQP59" s="61"/>
      <c r="OQQ59" s="61"/>
      <c r="OQR59" s="61"/>
      <c r="OQS59" s="62"/>
      <c r="OQT59" s="53"/>
      <c r="OQU59" s="60"/>
      <c r="OQV59" s="60"/>
      <c r="OQW59" s="61"/>
      <c r="OQX59" s="61"/>
      <c r="OQY59" s="61"/>
      <c r="OQZ59" s="61"/>
      <c r="ORA59" s="62"/>
      <c r="ORB59" s="53"/>
      <c r="ORC59" s="60"/>
      <c r="ORD59" s="60"/>
      <c r="ORE59" s="61"/>
      <c r="ORF59" s="61"/>
      <c r="ORG59" s="61"/>
      <c r="ORH59" s="61"/>
      <c r="ORI59" s="62"/>
      <c r="ORJ59" s="53"/>
      <c r="ORK59" s="60"/>
      <c r="ORL59" s="60"/>
      <c r="ORM59" s="61"/>
      <c r="ORN59" s="61"/>
      <c r="ORO59" s="61"/>
      <c r="ORP59" s="61"/>
      <c r="ORQ59" s="62"/>
      <c r="ORR59" s="53"/>
      <c r="ORS59" s="60"/>
      <c r="ORT59" s="60"/>
      <c r="ORU59" s="61"/>
      <c r="ORV59" s="61"/>
      <c r="ORW59" s="61"/>
      <c r="ORX59" s="61"/>
      <c r="ORY59" s="62"/>
      <c r="ORZ59" s="53"/>
      <c r="OSA59" s="60"/>
      <c r="OSB59" s="60"/>
      <c r="OSC59" s="61"/>
      <c r="OSD59" s="61"/>
      <c r="OSE59" s="61"/>
      <c r="OSF59" s="61"/>
      <c r="OSG59" s="62"/>
      <c r="OSH59" s="53"/>
      <c r="OSI59" s="60"/>
      <c r="OSJ59" s="60"/>
      <c r="OSK59" s="61"/>
      <c r="OSL59" s="61"/>
      <c r="OSM59" s="61"/>
      <c r="OSN59" s="61"/>
      <c r="OSO59" s="62"/>
      <c r="OSP59" s="53"/>
      <c r="OSQ59" s="60"/>
      <c r="OSR59" s="60"/>
      <c r="OSS59" s="61"/>
      <c r="OST59" s="61"/>
      <c r="OSU59" s="61"/>
      <c r="OSV59" s="61"/>
      <c r="OSW59" s="62"/>
      <c r="OSX59" s="53"/>
      <c r="OSY59" s="60"/>
      <c r="OSZ59" s="60"/>
      <c r="OTA59" s="61"/>
      <c r="OTB59" s="61"/>
      <c r="OTC59" s="61"/>
      <c r="OTD59" s="61"/>
      <c r="OTE59" s="62"/>
      <c r="OTF59" s="53"/>
      <c r="OTG59" s="60"/>
      <c r="OTH59" s="60"/>
      <c r="OTI59" s="61"/>
      <c r="OTJ59" s="61"/>
      <c r="OTK59" s="61"/>
      <c r="OTL59" s="61"/>
      <c r="OTM59" s="62"/>
      <c r="OTN59" s="53"/>
      <c r="OTO59" s="60"/>
      <c r="OTP59" s="60"/>
      <c r="OTQ59" s="61"/>
      <c r="OTR59" s="61"/>
      <c r="OTS59" s="61"/>
      <c r="OTT59" s="61"/>
      <c r="OTU59" s="62"/>
      <c r="OTV59" s="53"/>
      <c r="OTW59" s="60"/>
      <c r="OTX59" s="60"/>
      <c r="OTY59" s="61"/>
      <c r="OTZ59" s="61"/>
      <c r="OUA59" s="61"/>
      <c r="OUB59" s="61"/>
      <c r="OUC59" s="62"/>
      <c r="OUD59" s="53"/>
      <c r="OUE59" s="60"/>
      <c r="OUF59" s="60"/>
      <c r="OUG59" s="61"/>
      <c r="OUH59" s="61"/>
      <c r="OUI59" s="61"/>
      <c r="OUJ59" s="61"/>
      <c r="OUK59" s="62"/>
      <c r="OUL59" s="53"/>
      <c r="OUM59" s="60"/>
      <c r="OUN59" s="60"/>
      <c r="OUO59" s="61"/>
      <c r="OUP59" s="61"/>
      <c r="OUQ59" s="61"/>
      <c r="OUR59" s="61"/>
      <c r="OUS59" s="62"/>
      <c r="OUT59" s="53"/>
      <c r="OUU59" s="60"/>
      <c r="OUV59" s="60"/>
      <c r="OUW59" s="61"/>
      <c r="OUX59" s="61"/>
      <c r="OUY59" s="61"/>
      <c r="OUZ59" s="61"/>
      <c r="OVA59" s="62"/>
      <c r="OVB59" s="53"/>
      <c r="OVC59" s="60"/>
      <c r="OVD59" s="60"/>
      <c r="OVE59" s="61"/>
      <c r="OVF59" s="61"/>
      <c r="OVG59" s="61"/>
      <c r="OVH59" s="61"/>
      <c r="OVI59" s="62"/>
      <c r="OVJ59" s="53"/>
      <c r="OVK59" s="60"/>
      <c r="OVL59" s="60"/>
      <c r="OVM59" s="61"/>
      <c r="OVN59" s="61"/>
      <c r="OVO59" s="61"/>
      <c r="OVP59" s="61"/>
      <c r="OVQ59" s="62"/>
      <c r="OVR59" s="53"/>
      <c r="OVS59" s="60"/>
      <c r="OVT59" s="60"/>
      <c r="OVU59" s="61"/>
      <c r="OVV59" s="61"/>
      <c r="OVW59" s="61"/>
      <c r="OVX59" s="61"/>
      <c r="OVY59" s="62"/>
      <c r="OVZ59" s="53"/>
      <c r="OWA59" s="60"/>
      <c r="OWB59" s="60"/>
      <c r="OWC59" s="61"/>
      <c r="OWD59" s="61"/>
      <c r="OWE59" s="61"/>
      <c r="OWF59" s="61"/>
      <c r="OWG59" s="62"/>
      <c r="OWH59" s="53"/>
      <c r="OWI59" s="60"/>
      <c r="OWJ59" s="60"/>
      <c r="OWK59" s="61"/>
      <c r="OWL59" s="61"/>
      <c r="OWM59" s="61"/>
      <c r="OWN59" s="61"/>
      <c r="OWO59" s="62"/>
      <c r="OWP59" s="53"/>
      <c r="OWQ59" s="60"/>
      <c r="OWR59" s="60"/>
      <c r="OWS59" s="61"/>
      <c r="OWT59" s="61"/>
      <c r="OWU59" s="61"/>
      <c r="OWV59" s="61"/>
      <c r="OWW59" s="62"/>
      <c r="OWX59" s="53"/>
      <c r="OWY59" s="60"/>
      <c r="OWZ59" s="60"/>
      <c r="OXA59" s="61"/>
      <c r="OXB59" s="61"/>
      <c r="OXC59" s="61"/>
      <c r="OXD59" s="61"/>
      <c r="OXE59" s="62"/>
      <c r="OXF59" s="53"/>
      <c r="OXG59" s="60"/>
      <c r="OXH59" s="60"/>
      <c r="OXI59" s="61"/>
      <c r="OXJ59" s="61"/>
      <c r="OXK59" s="61"/>
      <c r="OXL59" s="61"/>
      <c r="OXM59" s="62"/>
      <c r="OXN59" s="53"/>
      <c r="OXO59" s="60"/>
      <c r="OXP59" s="60"/>
      <c r="OXQ59" s="61"/>
      <c r="OXR59" s="61"/>
      <c r="OXS59" s="61"/>
      <c r="OXT59" s="61"/>
      <c r="OXU59" s="62"/>
      <c r="OXV59" s="53"/>
      <c r="OXW59" s="60"/>
      <c r="OXX59" s="60"/>
      <c r="OXY59" s="61"/>
      <c r="OXZ59" s="61"/>
      <c r="OYA59" s="61"/>
      <c r="OYB59" s="61"/>
      <c r="OYC59" s="62"/>
      <c r="OYD59" s="53"/>
      <c r="OYE59" s="60"/>
      <c r="OYF59" s="60"/>
      <c r="OYG59" s="61"/>
      <c r="OYH59" s="61"/>
      <c r="OYI59" s="61"/>
      <c r="OYJ59" s="61"/>
      <c r="OYK59" s="62"/>
      <c r="OYL59" s="53"/>
      <c r="OYM59" s="60"/>
      <c r="OYN59" s="60"/>
      <c r="OYO59" s="61"/>
      <c r="OYP59" s="61"/>
      <c r="OYQ59" s="61"/>
      <c r="OYR59" s="61"/>
      <c r="OYS59" s="62"/>
      <c r="OYT59" s="53"/>
      <c r="OYU59" s="60"/>
      <c r="OYV59" s="60"/>
      <c r="OYW59" s="61"/>
      <c r="OYX59" s="61"/>
      <c r="OYY59" s="61"/>
      <c r="OYZ59" s="61"/>
      <c r="OZA59" s="62"/>
      <c r="OZB59" s="53"/>
      <c r="OZC59" s="60"/>
      <c r="OZD59" s="60"/>
      <c r="OZE59" s="61"/>
      <c r="OZF59" s="61"/>
      <c r="OZG59" s="61"/>
      <c r="OZH59" s="61"/>
      <c r="OZI59" s="62"/>
      <c r="OZJ59" s="53"/>
      <c r="OZK59" s="60"/>
      <c r="OZL59" s="60"/>
      <c r="OZM59" s="61"/>
      <c r="OZN59" s="61"/>
      <c r="OZO59" s="61"/>
      <c r="OZP59" s="61"/>
      <c r="OZQ59" s="62"/>
      <c r="OZR59" s="53"/>
      <c r="OZS59" s="60"/>
      <c r="OZT59" s="60"/>
      <c r="OZU59" s="61"/>
      <c r="OZV59" s="61"/>
      <c r="OZW59" s="61"/>
      <c r="OZX59" s="61"/>
      <c r="OZY59" s="62"/>
      <c r="OZZ59" s="53"/>
      <c r="PAA59" s="60"/>
      <c r="PAB59" s="60"/>
      <c r="PAC59" s="61"/>
      <c r="PAD59" s="61"/>
      <c r="PAE59" s="61"/>
      <c r="PAF59" s="61"/>
      <c r="PAG59" s="62"/>
      <c r="PAH59" s="53"/>
      <c r="PAI59" s="60"/>
      <c r="PAJ59" s="60"/>
      <c r="PAK59" s="61"/>
      <c r="PAL59" s="61"/>
      <c r="PAM59" s="61"/>
      <c r="PAN59" s="61"/>
      <c r="PAO59" s="62"/>
      <c r="PAP59" s="53"/>
      <c r="PAQ59" s="60"/>
      <c r="PAR59" s="60"/>
      <c r="PAS59" s="61"/>
      <c r="PAT59" s="61"/>
      <c r="PAU59" s="61"/>
      <c r="PAV59" s="61"/>
      <c r="PAW59" s="62"/>
      <c r="PAX59" s="53"/>
      <c r="PAY59" s="60"/>
      <c r="PAZ59" s="60"/>
      <c r="PBA59" s="61"/>
      <c r="PBB59" s="61"/>
      <c r="PBC59" s="61"/>
      <c r="PBD59" s="61"/>
      <c r="PBE59" s="62"/>
      <c r="PBF59" s="53"/>
      <c r="PBG59" s="60"/>
      <c r="PBH59" s="60"/>
      <c r="PBI59" s="61"/>
      <c r="PBJ59" s="61"/>
      <c r="PBK59" s="61"/>
      <c r="PBL59" s="61"/>
      <c r="PBM59" s="62"/>
      <c r="PBN59" s="53"/>
      <c r="PBO59" s="60"/>
      <c r="PBP59" s="60"/>
      <c r="PBQ59" s="61"/>
      <c r="PBR59" s="61"/>
      <c r="PBS59" s="61"/>
      <c r="PBT59" s="61"/>
      <c r="PBU59" s="62"/>
      <c r="PBV59" s="53"/>
      <c r="PBW59" s="60"/>
      <c r="PBX59" s="60"/>
      <c r="PBY59" s="61"/>
      <c r="PBZ59" s="61"/>
      <c r="PCA59" s="61"/>
      <c r="PCB59" s="61"/>
      <c r="PCC59" s="62"/>
      <c r="PCD59" s="53"/>
      <c r="PCE59" s="60"/>
      <c r="PCF59" s="60"/>
      <c r="PCG59" s="61"/>
      <c r="PCH59" s="61"/>
      <c r="PCI59" s="61"/>
      <c r="PCJ59" s="61"/>
      <c r="PCK59" s="62"/>
      <c r="PCL59" s="53"/>
      <c r="PCM59" s="60"/>
      <c r="PCN59" s="60"/>
      <c r="PCO59" s="61"/>
      <c r="PCP59" s="61"/>
      <c r="PCQ59" s="61"/>
      <c r="PCR59" s="61"/>
      <c r="PCS59" s="62"/>
      <c r="PCT59" s="53"/>
      <c r="PCU59" s="60"/>
      <c r="PCV59" s="60"/>
      <c r="PCW59" s="61"/>
      <c r="PCX59" s="61"/>
      <c r="PCY59" s="61"/>
      <c r="PCZ59" s="61"/>
      <c r="PDA59" s="62"/>
      <c r="PDB59" s="53"/>
      <c r="PDC59" s="60"/>
      <c r="PDD59" s="60"/>
      <c r="PDE59" s="61"/>
      <c r="PDF59" s="61"/>
      <c r="PDG59" s="61"/>
      <c r="PDH59" s="61"/>
      <c r="PDI59" s="62"/>
      <c r="PDJ59" s="53"/>
      <c r="PDK59" s="60"/>
      <c r="PDL59" s="60"/>
      <c r="PDM59" s="61"/>
      <c r="PDN59" s="61"/>
      <c r="PDO59" s="61"/>
      <c r="PDP59" s="61"/>
      <c r="PDQ59" s="62"/>
      <c r="PDR59" s="53"/>
      <c r="PDS59" s="60"/>
      <c r="PDT59" s="60"/>
      <c r="PDU59" s="61"/>
      <c r="PDV59" s="61"/>
      <c r="PDW59" s="61"/>
      <c r="PDX59" s="61"/>
      <c r="PDY59" s="62"/>
      <c r="PDZ59" s="53"/>
      <c r="PEA59" s="60"/>
      <c r="PEB59" s="60"/>
      <c r="PEC59" s="61"/>
      <c r="PED59" s="61"/>
      <c r="PEE59" s="61"/>
      <c r="PEF59" s="61"/>
      <c r="PEG59" s="62"/>
      <c r="PEH59" s="53"/>
      <c r="PEI59" s="60"/>
      <c r="PEJ59" s="60"/>
      <c r="PEK59" s="61"/>
      <c r="PEL59" s="61"/>
      <c r="PEM59" s="61"/>
      <c r="PEN59" s="61"/>
      <c r="PEO59" s="62"/>
      <c r="PEP59" s="53"/>
      <c r="PEQ59" s="60"/>
      <c r="PER59" s="60"/>
      <c r="PES59" s="61"/>
      <c r="PET59" s="61"/>
      <c r="PEU59" s="61"/>
      <c r="PEV59" s="61"/>
      <c r="PEW59" s="62"/>
      <c r="PEX59" s="53"/>
      <c r="PEY59" s="60"/>
      <c r="PEZ59" s="60"/>
      <c r="PFA59" s="61"/>
      <c r="PFB59" s="61"/>
      <c r="PFC59" s="61"/>
      <c r="PFD59" s="61"/>
      <c r="PFE59" s="62"/>
      <c r="PFF59" s="53"/>
      <c r="PFG59" s="60"/>
      <c r="PFH59" s="60"/>
      <c r="PFI59" s="61"/>
      <c r="PFJ59" s="61"/>
      <c r="PFK59" s="61"/>
      <c r="PFL59" s="61"/>
      <c r="PFM59" s="62"/>
      <c r="PFN59" s="53"/>
      <c r="PFO59" s="60"/>
      <c r="PFP59" s="60"/>
      <c r="PFQ59" s="61"/>
      <c r="PFR59" s="61"/>
      <c r="PFS59" s="61"/>
      <c r="PFT59" s="61"/>
      <c r="PFU59" s="62"/>
      <c r="PFV59" s="53"/>
      <c r="PFW59" s="60"/>
      <c r="PFX59" s="60"/>
      <c r="PFY59" s="61"/>
      <c r="PFZ59" s="61"/>
      <c r="PGA59" s="61"/>
      <c r="PGB59" s="61"/>
      <c r="PGC59" s="62"/>
      <c r="PGD59" s="53"/>
      <c r="PGE59" s="60"/>
      <c r="PGF59" s="60"/>
      <c r="PGG59" s="61"/>
      <c r="PGH59" s="61"/>
      <c r="PGI59" s="61"/>
      <c r="PGJ59" s="61"/>
      <c r="PGK59" s="62"/>
      <c r="PGL59" s="53"/>
      <c r="PGM59" s="60"/>
      <c r="PGN59" s="60"/>
      <c r="PGO59" s="61"/>
      <c r="PGP59" s="61"/>
      <c r="PGQ59" s="61"/>
      <c r="PGR59" s="61"/>
      <c r="PGS59" s="62"/>
      <c r="PGT59" s="53"/>
      <c r="PGU59" s="60"/>
      <c r="PGV59" s="60"/>
      <c r="PGW59" s="61"/>
      <c r="PGX59" s="61"/>
      <c r="PGY59" s="61"/>
      <c r="PGZ59" s="61"/>
      <c r="PHA59" s="62"/>
      <c r="PHB59" s="53"/>
      <c r="PHC59" s="60"/>
      <c r="PHD59" s="60"/>
      <c r="PHE59" s="61"/>
      <c r="PHF59" s="61"/>
      <c r="PHG59" s="61"/>
      <c r="PHH59" s="61"/>
      <c r="PHI59" s="62"/>
      <c r="PHJ59" s="53"/>
      <c r="PHK59" s="60"/>
      <c r="PHL59" s="60"/>
      <c r="PHM59" s="61"/>
      <c r="PHN59" s="61"/>
      <c r="PHO59" s="61"/>
      <c r="PHP59" s="61"/>
      <c r="PHQ59" s="62"/>
      <c r="PHR59" s="53"/>
      <c r="PHS59" s="60"/>
      <c r="PHT59" s="60"/>
      <c r="PHU59" s="61"/>
      <c r="PHV59" s="61"/>
      <c r="PHW59" s="61"/>
      <c r="PHX59" s="61"/>
      <c r="PHY59" s="62"/>
      <c r="PHZ59" s="53"/>
      <c r="PIA59" s="60"/>
      <c r="PIB59" s="60"/>
      <c r="PIC59" s="61"/>
      <c r="PID59" s="61"/>
      <c r="PIE59" s="61"/>
      <c r="PIF59" s="61"/>
      <c r="PIG59" s="62"/>
      <c r="PIH59" s="53"/>
      <c r="PII59" s="60"/>
      <c r="PIJ59" s="60"/>
      <c r="PIK59" s="61"/>
      <c r="PIL59" s="61"/>
      <c r="PIM59" s="61"/>
      <c r="PIN59" s="61"/>
      <c r="PIO59" s="62"/>
      <c r="PIP59" s="53"/>
      <c r="PIQ59" s="60"/>
      <c r="PIR59" s="60"/>
      <c r="PIS59" s="61"/>
      <c r="PIT59" s="61"/>
      <c r="PIU59" s="61"/>
      <c r="PIV59" s="61"/>
      <c r="PIW59" s="62"/>
      <c r="PIX59" s="53"/>
      <c r="PIY59" s="60"/>
      <c r="PIZ59" s="60"/>
      <c r="PJA59" s="61"/>
      <c r="PJB59" s="61"/>
      <c r="PJC59" s="61"/>
      <c r="PJD59" s="61"/>
      <c r="PJE59" s="62"/>
      <c r="PJF59" s="53"/>
      <c r="PJG59" s="60"/>
      <c r="PJH59" s="60"/>
      <c r="PJI59" s="61"/>
      <c r="PJJ59" s="61"/>
      <c r="PJK59" s="61"/>
      <c r="PJL59" s="61"/>
      <c r="PJM59" s="62"/>
      <c r="PJN59" s="53"/>
      <c r="PJO59" s="60"/>
      <c r="PJP59" s="60"/>
      <c r="PJQ59" s="61"/>
      <c r="PJR59" s="61"/>
      <c r="PJS59" s="61"/>
      <c r="PJT59" s="61"/>
      <c r="PJU59" s="62"/>
      <c r="PJV59" s="53"/>
      <c r="PJW59" s="60"/>
      <c r="PJX59" s="60"/>
      <c r="PJY59" s="61"/>
      <c r="PJZ59" s="61"/>
      <c r="PKA59" s="61"/>
      <c r="PKB59" s="61"/>
      <c r="PKC59" s="62"/>
      <c r="PKD59" s="53"/>
      <c r="PKE59" s="60"/>
      <c r="PKF59" s="60"/>
      <c r="PKG59" s="61"/>
      <c r="PKH59" s="61"/>
      <c r="PKI59" s="61"/>
      <c r="PKJ59" s="61"/>
      <c r="PKK59" s="62"/>
      <c r="PKL59" s="53"/>
      <c r="PKM59" s="60"/>
      <c r="PKN59" s="60"/>
      <c r="PKO59" s="61"/>
      <c r="PKP59" s="61"/>
      <c r="PKQ59" s="61"/>
      <c r="PKR59" s="61"/>
      <c r="PKS59" s="62"/>
      <c r="PKT59" s="53"/>
      <c r="PKU59" s="60"/>
      <c r="PKV59" s="60"/>
      <c r="PKW59" s="61"/>
      <c r="PKX59" s="61"/>
      <c r="PKY59" s="61"/>
      <c r="PKZ59" s="61"/>
      <c r="PLA59" s="62"/>
      <c r="PLB59" s="53"/>
      <c r="PLC59" s="60"/>
      <c r="PLD59" s="60"/>
      <c r="PLE59" s="61"/>
      <c r="PLF59" s="61"/>
      <c r="PLG59" s="61"/>
      <c r="PLH59" s="61"/>
      <c r="PLI59" s="62"/>
      <c r="PLJ59" s="53"/>
      <c r="PLK59" s="60"/>
      <c r="PLL59" s="60"/>
      <c r="PLM59" s="61"/>
      <c r="PLN59" s="61"/>
      <c r="PLO59" s="61"/>
      <c r="PLP59" s="61"/>
      <c r="PLQ59" s="62"/>
      <c r="PLR59" s="53"/>
      <c r="PLS59" s="60"/>
      <c r="PLT59" s="60"/>
      <c r="PLU59" s="61"/>
      <c r="PLV59" s="61"/>
      <c r="PLW59" s="61"/>
      <c r="PLX59" s="61"/>
      <c r="PLY59" s="62"/>
      <c r="PLZ59" s="53"/>
      <c r="PMA59" s="60"/>
      <c r="PMB59" s="60"/>
      <c r="PMC59" s="61"/>
      <c r="PMD59" s="61"/>
      <c r="PME59" s="61"/>
      <c r="PMF59" s="61"/>
      <c r="PMG59" s="62"/>
      <c r="PMH59" s="53"/>
      <c r="PMI59" s="60"/>
      <c r="PMJ59" s="60"/>
      <c r="PMK59" s="61"/>
      <c r="PML59" s="61"/>
      <c r="PMM59" s="61"/>
      <c r="PMN59" s="61"/>
      <c r="PMO59" s="62"/>
      <c r="PMP59" s="53"/>
      <c r="PMQ59" s="60"/>
      <c r="PMR59" s="60"/>
      <c r="PMS59" s="61"/>
      <c r="PMT59" s="61"/>
      <c r="PMU59" s="61"/>
      <c r="PMV59" s="61"/>
      <c r="PMW59" s="62"/>
      <c r="PMX59" s="53"/>
      <c r="PMY59" s="60"/>
      <c r="PMZ59" s="60"/>
      <c r="PNA59" s="61"/>
      <c r="PNB59" s="61"/>
      <c r="PNC59" s="61"/>
      <c r="PND59" s="61"/>
      <c r="PNE59" s="62"/>
      <c r="PNF59" s="53"/>
      <c r="PNG59" s="60"/>
      <c r="PNH59" s="60"/>
      <c r="PNI59" s="61"/>
      <c r="PNJ59" s="61"/>
      <c r="PNK59" s="61"/>
      <c r="PNL59" s="61"/>
      <c r="PNM59" s="62"/>
      <c r="PNN59" s="53"/>
      <c r="PNO59" s="60"/>
      <c r="PNP59" s="60"/>
      <c r="PNQ59" s="61"/>
      <c r="PNR59" s="61"/>
      <c r="PNS59" s="61"/>
      <c r="PNT59" s="61"/>
      <c r="PNU59" s="62"/>
      <c r="PNV59" s="53"/>
      <c r="PNW59" s="60"/>
      <c r="PNX59" s="60"/>
      <c r="PNY59" s="61"/>
      <c r="PNZ59" s="61"/>
      <c r="POA59" s="61"/>
      <c r="POB59" s="61"/>
      <c r="POC59" s="62"/>
      <c r="POD59" s="53"/>
      <c r="POE59" s="60"/>
      <c r="POF59" s="60"/>
      <c r="POG59" s="61"/>
      <c r="POH59" s="61"/>
      <c r="POI59" s="61"/>
      <c r="POJ59" s="61"/>
      <c r="POK59" s="62"/>
      <c r="POL59" s="53"/>
      <c r="POM59" s="60"/>
      <c r="PON59" s="60"/>
      <c r="POO59" s="61"/>
      <c r="POP59" s="61"/>
      <c r="POQ59" s="61"/>
      <c r="POR59" s="61"/>
      <c r="POS59" s="62"/>
      <c r="POT59" s="53"/>
      <c r="POU59" s="60"/>
      <c r="POV59" s="60"/>
      <c r="POW59" s="61"/>
      <c r="POX59" s="61"/>
      <c r="POY59" s="61"/>
      <c r="POZ59" s="61"/>
      <c r="PPA59" s="62"/>
      <c r="PPB59" s="53"/>
      <c r="PPC59" s="60"/>
      <c r="PPD59" s="60"/>
      <c r="PPE59" s="61"/>
      <c r="PPF59" s="61"/>
      <c r="PPG59" s="61"/>
      <c r="PPH59" s="61"/>
      <c r="PPI59" s="62"/>
      <c r="PPJ59" s="53"/>
      <c r="PPK59" s="60"/>
      <c r="PPL59" s="60"/>
      <c r="PPM59" s="61"/>
      <c r="PPN59" s="61"/>
      <c r="PPO59" s="61"/>
      <c r="PPP59" s="61"/>
      <c r="PPQ59" s="62"/>
      <c r="PPR59" s="53"/>
      <c r="PPS59" s="60"/>
      <c r="PPT59" s="60"/>
      <c r="PPU59" s="61"/>
      <c r="PPV59" s="61"/>
      <c r="PPW59" s="61"/>
      <c r="PPX59" s="61"/>
      <c r="PPY59" s="62"/>
      <c r="PPZ59" s="53"/>
      <c r="PQA59" s="60"/>
      <c r="PQB59" s="60"/>
      <c r="PQC59" s="61"/>
      <c r="PQD59" s="61"/>
      <c r="PQE59" s="61"/>
      <c r="PQF59" s="61"/>
      <c r="PQG59" s="62"/>
      <c r="PQH59" s="53"/>
      <c r="PQI59" s="60"/>
      <c r="PQJ59" s="60"/>
      <c r="PQK59" s="61"/>
      <c r="PQL59" s="61"/>
      <c r="PQM59" s="61"/>
      <c r="PQN59" s="61"/>
      <c r="PQO59" s="62"/>
      <c r="PQP59" s="53"/>
      <c r="PQQ59" s="60"/>
      <c r="PQR59" s="60"/>
      <c r="PQS59" s="61"/>
      <c r="PQT59" s="61"/>
      <c r="PQU59" s="61"/>
      <c r="PQV59" s="61"/>
      <c r="PQW59" s="62"/>
      <c r="PQX59" s="53"/>
      <c r="PQY59" s="60"/>
      <c r="PQZ59" s="60"/>
      <c r="PRA59" s="61"/>
      <c r="PRB59" s="61"/>
      <c r="PRC59" s="61"/>
      <c r="PRD59" s="61"/>
      <c r="PRE59" s="62"/>
      <c r="PRF59" s="53"/>
      <c r="PRG59" s="60"/>
      <c r="PRH59" s="60"/>
      <c r="PRI59" s="61"/>
      <c r="PRJ59" s="61"/>
      <c r="PRK59" s="61"/>
      <c r="PRL59" s="61"/>
      <c r="PRM59" s="62"/>
      <c r="PRN59" s="53"/>
      <c r="PRO59" s="60"/>
      <c r="PRP59" s="60"/>
      <c r="PRQ59" s="61"/>
      <c r="PRR59" s="61"/>
      <c r="PRS59" s="61"/>
      <c r="PRT59" s="61"/>
      <c r="PRU59" s="62"/>
      <c r="PRV59" s="53"/>
      <c r="PRW59" s="60"/>
      <c r="PRX59" s="60"/>
      <c r="PRY59" s="61"/>
      <c r="PRZ59" s="61"/>
      <c r="PSA59" s="61"/>
      <c r="PSB59" s="61"/>
      <c r="PSC59" s="62"/>
      <c r="PSD59" s="53"/>
      <c r="PSE59" s="60"/>
      <c r="PSF59" s="60"/>
      <c r="PSG59" s="61"/>
      <c r="PSH59" s="61"/>
      <c r="PSI59" s="61"/>
      <c r="PSJ59" s="61"/>
      <c r="PSK59" s="62"/>
      <c r="PSL59" s="53"/>
      <c r="PSM59" s="60"/>
      <c r="PSN59" s="60"/>
      <c r="PSO59" s="61"/>
      <c r="PSP59" s="61"/>
      <c r="PSQ59" s="61"/>
      <c r="PSR59" s="61"/>
      <c r="PSS59" s="62"/>
      <c r="PST59" s="53"/>
      <c r="PSU59" s="60"/>
      <c r="PSV59" s="60"/>
      <c r="PSW59" s="61"/>
      <c r="PSX59" s="61"/>
      <c r="PSY59" s="61"/>
      <c r="PSZ59" s="61"/>
      <c r="PTA59" s="62"/>
      <c r="PTB59" s="53"/>
      <c r="PTC59" s="60"/>
      <c r="PTD59" s="60"/>
      <c r="PTE59" s="61"/>
      <c r="PTF59" s="61"/>
      <c r="PTG59" s="61"/>
      <c r="PTH59" s="61"/>
      <c r="PTI59" s="62"/>
      <c r="PTJ59" s="53"/>
      <c r="PTK59" s="60"/>
      <c r="PTL59" s="60"/>
      <c r="PTM59" s="61"/>
      <c r="PTN59" s="61"/>
      <c r="PTO59" s="61"/>
      <c r="PTP59" s="61"/>
      <c r="PTQ59" s="62"/>
      <c r="PTR59" s="53"/>
      <c r="PTS59" s="60"/>
      <c r="PTT59" s="60"/>
      <c r="PTU59" s="61"/>
      <c r="PTV59" s="61"/>
      <c r="PTW59" s="61"/>
      <c r="PTX59" s="61"/>
      <c r="PTY59" s="62"/>
      <c r="PTZ59" s="53"/>
      <c r="PUA59" s="60"/>
      <c r="PUB59" s="60"/>
      <c r="PUC59" s="61"/>
      <c r="PUD59" s="61"/>
      <c r="PUE59" s="61"/>
      <c r="PUF59" s="61"/>
      <c r="PUG59" s="62"/>
      <c r="PUH59" s="53"/>
      <c r="PUI59" s="60"/>
      <c r="PUJ59" s="60"/>
      <c r="PUK59" s="61"/>
      <c r="PUL59" s="61"/>
      <c r="PUM59" s="61"/>
      <c r="PUN59" s="61"/>
      <c r="PUO59" s="62"/>
      <c r="PUP59" s="53"/>
      <c r="PUQ59" s="60"/>
      <c r="PUR59" s="60"/>
      <c r="PUS59" s="61"/>
      <c r="PUT59" s="61"/>
      <c r="PUU59" s="61"/>
      <c r="PUV59" s="61"/>
      <c r="PUW59" s="62"/>
      <c r="PUX59" s="53"/>
      <c r="PUY59" s="60"/>
      <c r="PUZ59" s="60"/>
      <c r="PVA59" s="61"/>
      <c r="PVB59" s="61"/>
      <c r="PVC59" s="61"/>
      <c r="PVD59" s="61"/>
      <c r="PVE59" s="62"/>
      <c r="PVF59" s="53"/>
      <c r="PVG59" s="60"/>
      <c r="PVH59" s="60"/>
      <c r="PVI59" s="61"/>
      <c r="PVJ59" s="61"/>
      <c r="PVK59" s="61"/>
      <c r="PVL59" s="61"/>
      <c r="PVM59" s="62"/>
      <c r="PVN59" s="53"/>
      <c r="PVO59" s="60"/>
      <c r="PVP59" s="60"/>
      <c r="PVQ59" s="61"/>
      <c r="PVR59" s="61"/>
      <c r="PVS59" s="61"/>
      <c r="PVT59" s="61"/>
      <c r="PVU59" s="62"/>
      <c r="PVV59" s="53"/>
      <c r="PVW59" s="60"/>
      <c r="PVX59" s="60"/>
      <c r="PVY59" s="61"/>
      <c r="PVZ59" s="61"/>
      <c r="PWA59" s="61"/>
      <c r="PWB59" s="61"/>
      <c r="PWC59" s="62"/>
      <c r="PWD59" s="53"/>
      <c r="PWE59" s="60"/>
      <c r="PWF59" s="60"/>
      <c r="PWG59" s="61"/>
      <c r="PWH59" s="61"/>
      <c r="PWI59" s="61"/>
      <c r="PWJ59" s="61"/>
      <c r="PWK59" s="62"/>
      <c r="PWL59" s="53"/>
      <c r="PWM59" s="60"/>
      <c r="PWN59" s="60"/>
      <c r="PWO59" s="61"/>
      <c r="PWP59" s="61"/>
      <c r="PWQ59" s="61"/>
      <c r="PWR59" s="61"/>
      <c r="PWS59" s="62"/>
      <c r="PWT59" s="53"/>
      <c r="PWU59" s="60"/>
      <c r="PWV59" s="60"/>
      <c r="PWW59" s="61"/>
      <c r="PWX59" s="61"/>
      <c r="PWY59" s="61"/>
      <c r="PWZ59" s="61"/>
      <c r="PXA59" s="62"/>
      <c r="PXB59" s="53"/>
      <c r="PXC59" s="60"/>
      <c r="PXD59" s="60"/>
      <c r="PXE59" s="61"/>
      <c r="PXF59" s="61"/>
      <c r="PXG59" s="61"/>
      <c r="PXH59" s="61"/>
      <c r="PXI59" s="62"/>
      <c r="PXJ59" s="53"/>
      <c r="PXK59" s="60"/>
      <c r="PXL59" s="60"/>
      <c r="PXM59" s="61"/>
      <c r="PXN59" s="61"/>
      <c r="PXO59" s="61"/>
      <c r="PXP59" s="61"/>
      <c r="PXQ59" s="62"/>
      <c r="PXR59" s="53"/>
      <c r="PXS59" s="60"/>
      <c r="PXT59" s="60"/>
      <c r="PXU59" s="61"/>
      <c r="PXV59" s="61"/>
      <c r="PXW59" s="61"/>
      <c r="PXX59" s="61"/>
      <c r="PXY59" s="62"/>
      <c r="PXZ59" s="53"/>
      <c r="PYA59" s="60"/>
      <c r="PYB59" s="60"/>
      <c r="PYC59" s="61"/>
      <c r="PYD59" s="61"/>
      <c r="PYE59" s="61"/>
      <c r="PYF59" s="61"/>
      <c r="PYG59" s="62"/>
      <c r="PYH59" s="53"/>
      <c r="PYI59" s="60"/>
      <c r="PYJ59" s="60"/>
      <c r="PYK59" s="61"/>
      <c r="PYL59" s="61"/>
      <c r="PYM59" s="61"/>
      <c r="PYN59" s="61"/>
      <c r="PYO59" s="62"/>
      <c r="PYP59" s="53"/>
      <c r="PYQ59" s="60"/>
      <c r="PYR59" s="60"/>
      <c r="PYS59" s="61"/>
      <c r="PYT59" s="61"/>
      <c r="PYU59" s="61"/>
      <c r="PYV59" s="61"/>
      <c r="PYW59" s="62"/>
      <c r="PYX59" s="53"/>
      <c r="PYY59" s="60"/>
      <c r="PYZ59" s="60"/>
      <c r="PZA59" s="61"/>
      <c r="PZB59" s="61"/>
      <c r="PZC59" s="61"/>
      <c r="PZD59" s="61"/>
      <c r="PZE59" s="62"/>
      <c r="PZF59" s="53"/>
      <c r="PZG59" s="60"/>
      <c r="PZH59" s="60"/>
      <c r="PZI59" s="61"/>
      <c r="PZJ59" s="61"/>
      <c r="PZK59" s="61"/>
      <c r="PZL59" s="61"/>
      <c r="PZM59" s="62"/>
      <c r="PZN59" s="53"/>
      <c r="PZO59" s="60"/>
      <c r="PZP59" s="60"/>
      <c r="PZQ59" s="61"/>
      <c r="PZR59" s="61"/>
      <c r="PZS59" s="61"/>
      <c r="PZT59" s="61"/>
      <c r="PZU59" s="62"/>
      <c r="PZV59" s="53"/>
      <c r="PZW59" s="60"/>
      <c r="PZX59" s="60"/>
      <c r="PZY59" s="61"/>
      <c r="PZZ59" s="61"/>
      <c r="QAA59" s="61"/>
      <c r="QAB59" s="61"/>
      <c r="QAC59" s="62"/>
      <c r="QAD59" s="53"/>
      <c r="QAE59" s="60"/>
      <c r="QAF59" s="60"/>
      <c r="QAG59" s="61"/>
      <c r="QAH59" s="61"/>
      <c r="QAI59" s="61"/>
      <c r="QAJ59" s="61"/>
      <c r="QAK59" s="62"/>
      <c r="QAL59" s="53"/>
      <c r="QAM59" s="60"/>
      <c r="QAN59" s="60"/>
      <c r="QAO59" s="61"/>
      <c r="QAP59" s="61"/>
      <c r="QAQ59" s="61"/>
      <c r="QAR59" s="61"/>
      <c r="QAS59" s="62"/>
      <c r="QAT59" s="53"/>
      <c r="QAU59" s="60"/>
      <c r="QAV59" s="60"/>
      <c r="QAW59" s="61"/>
      <c r="QAX59" s="61"/>
      <c r="QAY59" s="61"/>
      <c r="QAZ59" s="61"/>
      <c r="QBA59" s="62"/>
      <c r="QBB59" s="53"/>
      <c r="QBC59" s="60"/>
      <c r="QBD59" s="60"/>
      <c r="QBE59" s="61"/>
      <c r="QBF59" s="61"/>
      <c r="QBG59" s="61"/>
      <c r="QBH59" s="61"/>
      <c r="QBI59" s="62"/>
      <c r="QBJ59" s="53"/>
      <c r="QBK59" s="60"/>
      <c r="QBL59" s="60"/>
      <c r="QBM59" s="61"/>
      <c r="QBN59" s="61"/>
      <c r="QBO59" s="61"/>
      <c r="QBP59" s="61"/>
      <c r="QBQ59" s="62"/>
      <c r="QBR59" s="53"/>
      <c r="QBS59" s="60"/>
      <c r="QBT59" s="60"/>
      <c r="QBU59" s="61"/>
      <c r="QBV59" s="61"/>
      <c r="QBW59" s="61"/>
      <c r="QBX59" s="61"/>
      <c r="QBY59" s="62"/>
      <c r="QBZ59" s="53"/>
      <c r="QCA59" s="60"/>
      <c r="QCB59" s="60"/>
      <c r="QCC59" s="61"/>
      <c r="QCD59" s="61"/>
      <c r="QCE59" s="61"/>
      <c r="QCF59" s="61"/>
      <c r="QCG59" s="62"/>
      <c r="QCH59" s="53"/>
      <c r="QCI59" s="60"/>
      <c r="QCJ59" s="60"/>
      <c r="QCK59" s="61"/>
      <c r="QCL59" s="61"/>
      <c r="QCM59" s="61"/>
      <c r="QCN59" s="61"/>
      <c r="QCO59" s="62"/>
      <c r="QCP59" s="53"/>
      <c r="QCQ59" s="60"/>
      <c r="QCR59" s="60"/>
      <c r="QCS59" s="61"/>
      <c r="QCT59" s="61"/>
      <c r="QCU59" s="61"/>
      <c r="QCV59" s="61"/>
      <c r="QCW59" s="62"/>
      <c r="QCX59" s="53"/>
      <c r="QCY59" s="60"/>
      <c r="QCZ59" s="60"/>
      <c r="QDA59" s="61"/>
      <c r="QDB59" s="61"/>
      <c r="QDC59" s="61"/>
      <c r="QDD59" s="61"/>
      <c r="QDE59" s="62"/>
      <c r="QDF59" s="53"/>
      <c r="QDG59" s="60"/>
      <c r="QDH59" s="60"/>
      <c r="QDI59" s="61"/>
      <c r="QDJ59" s="61"/>
      <c r="QDK59" s="61"/>
      <c r="QDL59" s="61"/>
      <c r="QDM59" s="62"/>
      <c r="QDN59" s="53"/>
      <c r="QDO59" s="60"/>
      <c r="QDP59" s="60"/>
      <c r="QDQ59" s="61"/>
      <c r="QDR59" s="61"/>
      <c r="QDS59" s="61"/>
      <c r="QDT59" s="61"/>
      <c r="QDU59" s="62"/>
      <c r="QDV59" s="53"/>
      <c r="QDW59" s="60"/>
      <c r="QDX59" s="60"/>
      <c r="QDY59" s="61"/>
      <c r="QDZ59" s="61"/>
      <c r="QEA59" s="61"/>
      <c r="QEB59" s="61"/>
      <c r="QEC59" s="62"/>
      <c r="QED59" s="53"/>
      <c r="QEE59" s="60"/>
      <c r="QEF59" s="60"/>
      <c r="QEG59" s="61"/>
      <c r="QEH59" s="61"/>
      <c r="QEI59" s="61"/>
      <c r="QEJ59" s="61"/>
      <c r="QEK59" s="62"/>
      <c r="QEL59" s="53"/>
      <c r="QEM59" s="60"/>
      <c r="QEN59" s="60"/>
      <c r="QEO59" s="61"/>
      <c r="QEP59" s="61"/>
      <c r="QEQ59" s="61"/>
      <c r="QER59" s="61"/>
      <c r="QES59" s="62"/>
      <c r="QET59" s="53"/>
      <c r="QEU59" s="60"/>
      <c r="QEV59" s="60"/>
      <c r="QEW59" s="61"/>
      <c r="QEX59" s="61"/>
      <c r="QEY59" s="61"/>
      <c r="QEZ59" s="61"/>
      <c r="QFA59" s="62"/>
      <c r="QFB59" s="53"/>
      <c r="QFC59" s="60"/>
      <c r="QFD59" s="60"/>
      <c r="QFE59" s="61"/>
      <c r="QFF59" s="61"/>
      <c r="QFG59" s="61"/>
      <c r="QFH59" s="61"/>
      <c r="QFI59" s="62"/>
      <c r="QFJ59" s="53"/>
      <c r="QFK59" s="60"/>
      <c r="QFL59" s="60"/>
      <c r="QFM59" s="61"/>
      <c r="QFN59" s="61"/>
      <c r="QFO59" s="61"/>
      <c r="QFP59" s="61"/>
      <c r="QFQ59" s="62"/>
      <c r="QFR59" s="53"/>
      <c r="QFS59" s="60"/>
      <c r="QFT59" s="60"/>
      <c r="QFU59" s="61"/>
      <c r="QFV59" s="61"/>
      <c r="QFW59" s="61"/>
      <c r="QFX59" s="61"/>
      <c r="QFY59" s="62"/>
      <c r="QFZ59" s="53"/>
      <c r="QGA59" s="60"/>
      <c r="QGB59" s="60"/>
      <c r="QGC59" s="61"/>
      <c r="QGD59" s="61"/>
      <c r="QGE59" s="61"/>
      <c r="QGF59" s="61"/>
      <c r="QGG59" s="62"/>
      <c r="QGH59" s="53"/>
      <c r="QGI59" s="60"/>
      <c r="QGJ59" s="60"/>
      <c r="QGK59" s="61"/>
      <c r="QGL59" s="61"/>
      <c r="QGM59" s="61"/>
      <c r="QGN59" s="61"/>
      <c r="QGO59" s="62"/>
      <c r="QGP59" s="53"/>
      <c r="QGQ59" s="60"/>
      <c r="QGR59" s="60"/>
      <c r="QGS59" s="61"/>
      <c r="QGT59" s="61"/>
      <c r="QGU59" s="61"/>
      <c r="QGV59" s="61"/>
      <c r="QGW59" s="62"/>
      <c r="QGX59" s="53"/>
      <c r="QGY59" s="60"/>
      <c r="QGZ59" s="60"/>
      <c r="QHA59" s="61"/>
      <c r="QHB59" s="61"/>
      <c r="QHC59" s="61"/>
      <c r="QHD59" s="61"/>
      <c r="QHE59" s="62"/>
      <c r="QHF59" s="53"/>
      <c r="QHG59" s="60"/>
      <c r="QHH59" s="60"/>
      <c r="QHI59" s="61"/>
      <c r="QHJ59" s="61"/>
      <c r="QHK59" s="61"/>
      <c r="QHL59" s="61"/>
      <c r="QHM59" s="62"/>
      <c r="QHN59" s="53"/>
      <c r="QHO59" s="60"/>
      <c r="QHP59" s="60"/>
      <c r="QHQ59" s="61"/>
      <c r="QHR59" s="61"/>
      <c r="QHS59" s="61"/>
      <c r="QHT59" s="61"/>
      <c r="QHU59" s="62"/>
      <c r="QHV59" s="53"/>
      <c r="QHW59" s="60"/>
      <c r="QHX59" s="60"/>
      <c r="QHY59" s="61"/>
      <c r="QHZ59" s="61"/>
      <c r="QIA59" s="61"/>
      <c r="QIB59" s="61"/>
      <c r="QIC59" s="62"/>
      <c r="QID59" s="53"/>
      <c r="QIE59" s="60"/>
      <c r="QIF59" s="60"/>
      <c r="QIG59" s="61"/>
      <c r="QIH59" s="61"/>
      <c r="QII59" s="61"/>
      <c r="QIJ59" s="61"/>
      <c r="QIK59" s="62"/>
      <c r="QIL59" s="53"/>
      <c r="QIM59" s="60"/>
      <c r="QIN59" s="60"/>
      <c r="QIO59" s="61"/>
      <c r="QIP59" s="61"/>
      <c r="QIQ59" s="61"/>
      <c r="QIR59" s="61"/>
      <c r="QIS59" s="62"/>
      <c r="QIT59" s="53"/>
      <c r="QIU59" s="60"/>
      <c r="QIV59" s="60"/>
      <c r="QIW59" s="61"/>
      <c r="QIX59" s="61"/>
      <c r="QIY59" s="61"/>
      <c r="QIZ59" s="61"/>
      <c r="QJA59" s="62"/>
      <c r="QJB59" s="53"/>
      <c r="QJC59" s="60"/>
      <c r="QJD59" s="60"/>
      <c r="QJE59" s="61"/>
      <c r="QJF59" s="61"/>
      <c r="QJG59" s="61"/>
      <c r="QJH59" s="61"/>
      <c r="QJI59" s="62"/>
      <c r="QJJ59" s="53"/>
      <c r="QJK59" s="60"/>
      <c r="QJL59" s="60"/>
      <c r="QJM59" s="61"/>
      <c r="QJN59" s="61"/>
      <c r="QJO59" s="61"/>
      <c r="QJP59" s="61"/>
      <c r="QJQ59" s="62"/>
      <c r="QJR59" s="53"/>
      <c r="QJS59" s="60"/>
      <c r="QJT59" s="60"/>
      <c r="QJU59" s="61"/>
      <c r="QJV59" s="61"/>
      <c r="QJW59" s="61"/>
      <c r="QJX59" s="61"/>
      <c r="QJY59" s="62"/>
      <c r="QJZ59" s="53"/>
      <c r="QKA59" s="60"/>
      <c r="QKB59" s="60"/>
      <c r="QKC59" s="61"/>
      <c r="QKD59" s="61"/>
      <c r="QKE59" s="61"/>
      <c r="QKF59" s="61"/>
      <c r="QKG59" s="62"/>
      <c r="QKH59" s="53"/>
      <c r="QKI59" s="60"/>
      <c r="QKJ59" s="60"/>
      <c r="QKK59" s="61"/>
      <c r="QKL59" s="61"/>
      <c r="QKM59" s="61"/>
      <c r="QKN59" s="61"/>
      <c r="QKO59" s="62"/>
      <c r="QKP59" s="53"/>
      <c r="QKQ59" s="60"/>
      <c r="QKR59" s="60"/>
      <c r="QKS59" s="61"/>
      <c r="QKT59" s="61"/>
      <c r="QKU59" s="61"/>
      <c r="QKV59" s="61"/>
      <c r="QKW59" s="62"/>
      <c r="QKX59" s="53"/>
      <c r="QKY59" s="60"/>
      <c r="QKZ59" s="60"/>
      <c r="QLA59" s="61"/>
      <c r="QLB59" s="61"/>
      <c r="QLC59" s="61"/>
      <c r="QLD59" s="61"/>
      <c r="QLE59" s="62"/>
      <c r="QLF59" s="53"/>
      <c r="QLG59" s="60"/>
      <c r="QLH59" s="60"/>
      <c r="QLI59" s="61"/>
      <c r="QLJ59" s="61"/>
      <c r="QLK59" s="61"/>
      <c r="QLL59" s="61"/>
      <c r="QLM59" s="62"/>
      <c r="QLN59" s="53"/>
      <c r="QLO59" s="60"/>
      <c r="QLP59" s="60"/>
      <c r="QLQ59" s="61"/>
      <c r="QLR59" s="61"/>
      <c r="QLS59" s="61"/>
      <c r="QLT59" s="61"/>
      <c r="QLU59" s="62"/>
      <c r="QLV59" s="53"/>
      <c r="QLW59" s="60"/>
      <c r="QLX59" s="60"/>
      <c r="QLY59" s="61"/>
      <c r="QLZ59" s="61"/>
      <c r="QMA59" s="61"/>
      <c r="QMB59" s="61"/>
      <c r="QMC59" s="62"/>
      <c r="QMD59" s="53"/>
      <c r="QME59" s="60"/>
      <c r="QMF59" s="60"/>
      <c r="QMG59" s="61"/>
      <c r="QMH59" s="61"/>
      <c r="QMI59" s="61"/>
      <c r="QMJ59" s="61"/>
      <c r="QMK59" s="62"/>
      <c r="QML59" s="53"/>
      <c r="QMM59" s="60"/>
      <c r="QMN59" s="60"/>
      <c r="QMO59" s="61"/>
      <c r="QMP59" s="61"/>
      <c r="QMQ59" s="61"/>
      <c r="QMR59" s="61"/>
      <c r="QMS59" s="62"/>
      <c r="QMT59" s="53"/>
      <c r="QMU59" s="60"/>
      <c r="QMV59" s="60"/>
      <c r="QMW59" s="61"/>
      <c r="QMX59" s="61"/>
      <c r="QMY59" s="61"/>
      <c r="QMZ59" s="61"/>
      <c r="QNA59" s="62"/>
      <c r="QNB59" s="53"/>
      <c r="QNC59" s="60"/>
      <c r="QND59" s="60"/>
      <c r="QNE59" s="61"/>
      <c r="QNF59" s="61"/>
      <c r="QNG59" s="61"/>
      <c r="QNH59" s="61"/>
      <c r="QNI59" s="62"/>
      <c r="QNJ59" s="53"/>
      <c r="QNK59" s="60"/>
      <c r="QNL59" s="60"/>
      <c r="QNM59" s="61"/>
      <c r="QNN59" s="61"/>
      <c r="QNO59" s="61"/>
      <c r="QNP59" s="61"/>
      <c r="QNQ59" s="62"/>
      <c r="QNR59" s="53"/>
      <c r="QNS59" s="60"/>
      <c r="QNT59" s="60"/>
      <c r="QNU59" s="61"/>
      <c r="QNV59" s="61"/>
      <c r="QNW59" s="61"/>
      <c r="QNX59" s="61"/>
      <c r="QNY59" s="62"/>
      <c r="QNZ59" s="53"/>
      <c r="QOA59" s="60"/>
      <c r="QOB59" s="60"/>
      <c r="QOC59" s="61"/>
      <c r="QOD59" s="61"/>
      <c r="QOE59" s="61"/>
      <c r="QOF59" s="61"/>
      <c r="QOG59" s="62"/>
      <c r="QOH59" s="53"/>
      <c r="QOI59" s="60"/>
      <c r="QOJ59" s="60"/>
      <c r="QOK59" s="61"/>
      <c r="QOL59" s="61"/>
      <c r="QOM59" s="61"/>
      <c r="QON59" s="61"/>
      <c r="QOO59" s="62"/>
      <c r="QOP59" s="53"/>
      <c r="QOQ59" s="60"/>
      <c r="QOR59" s="60"/>
      <c r="QOS59" s="61"/>
      <c r="QOT59" s="61"/>
      <c r="QOU59" s="61"/>
      <c r="QOV59" s="61"/>
      <c r="QOW59" s="62"/>
      <c r="QOX59" s="53"/>
      <c r="QOY59" s="60"/>
      <c r="QOZ59" s="60"/>
      <c r="QPA59" s="61"/>
      <c r="QPB59" s="61"/>
      <c r="QPC59" s="61"/>
      <c r="QPD59" s="61"/>
      <c r="QPE59" s="62"/>
      <c r="QPF59" s="53"/>
      <c r="QPG59" s="60"/>
      <c r="QPH59" s="60"/>
      <c r="QPI59" s="61"/>
      <c r="QPJ59" s="61"/>
      <c r="QPK59" s="61"/>
      <c r="QPL59" s="61"/>
      <c r="QPM59" s="62"/>
      <c r="QPN59" s="53"/>
      <c r="QPO59" s="60"/>
      <c r="QPP59" s="60"/>
      <c r="QPQ59" s="61"/>
      <c r="QPR59" s="61"/>
      <c r="QPS59" s="61"/>
      <c r="QPT59" s="61"/>
      <c r="QPU59" s="62"/>
      <c r="QPV59" s="53"/>
      <c r="QPW59" s="60"/>
      <c r="QPX59" s="60"/>
      <c r="QPY59" s="61"/>
      <c r="QPZ59" s="61"/>
      <c r="QQA59" s="61"/>
      <c r="QQB59" s="61"/>
      <c r="QQC59" s="62"/>
      <c r="QQD59" s="53"/>
      <c r="QQE59" s="60"/>
      <c r="QQF59" s="60"/>
      <c r="QQG59" s="61"/>
      <c r="QQH59" s="61"/>
      <c r="QQI59" s="61"/>
      <c r="QQJ59" s="61"/>
      <c r="QQK59" s="62"/>
      <c r="QQL59" s="53"/>
      <c r="QQM59" s="60"/>
      <c r="QQN59" s="60"/>
      <c r="QQO59" s="61"/>
      <c r="QQP59" s="61"/>
      <c r="QQQ59" s="61"/>
      <c r="QQR59" s="61"/>
      <c r="QQS59" s="62"/>
      <c r="QQT59" s="53"/>
      <c r="QQU59" s="60"/>
      <c r="QQV59" s="60"/>
      <c r="QQW59" s="61"/>
      <c r="QQX59" s="61"/>
      <c r="QQY59" s="61"/>
      <c r="QQZ59" s="61"/>
      <c r="QRA59" s="62"/>
      <c r="QRB59" s="53"/>
      <c r="QRC59" s="60"/>
      <c r="QRD59" s="60"/>
      <c r="QRE59" s="61"/>
      <c r="QRF59" s="61"/>
      <c r="QRG59" s="61"/>
      <c r="QRH59" s="61"/>
      <c r="QRI59" s="62"/>
      <c r="QRJ59" s="53"/>
      <c r="QRK59" s="60"/>
      <c r="QRL59" s="60"/>
      <c r="QRM59" s="61"/>
      <c r="QRN59" s="61"/>
      <c r="QRO59" s="61"/>
      <c r="QRP59" s="61"/>
      <c r="QRQ59" s="62"/>
      <c r="QRR59" s="53"/>
      <c r="QRS59" s="60"/>
      <c r="QRT59" s="60"/>
      <c r="QRU59" s="61"/>
      <c r="QRV59" s="61"/>
      <c r="QRW59" s="61"/>
      <c r="QRX59" s="61"/>
      <c r="QRY59" s="62"/>
      <c r="QRZ59" s="53"/>
      <c r="QSA59" s="60"/>
      <c r="QSB59" s="60"/>
      <c r="QSC59" s="61"/>
      <c r="QSD59" s="61"/>
      <c r="QSE59" s="61"/>
      <c r="QSF59" s="61"/>
      <c r="QSG59" s="62"/>
      <c r="QSH59" s="53"/>
      <c r="QSI59" s="60"/>
      <c r="QSJ59" s="60"/>
      <c r="QSK59" s="61"/>
      <c r="QSL59" s="61"/>
      <c r="QSM59" s="61"/>
      <c r="QSN59" s="61"/>
      <c r="QSO59" s="62"/>
      <c r="QSP59" s="53"/>
      <c r="QSQ59" s="60"/>
      <c r="QSR59" s="60"/>
      <c r="QSS59" s="61"/>
      <c r="QST59" s="61"/>
      <c r="QSU59" s="61"/>
      <c r="QSV59" s="61"/>
      <c r="QSW59" s="62"/>
      <c r="QSX59" s="53"/>
      <c r="QSY59" s="60"/>
      <c r="QSZ59" s="60"/>
      <c r="QTA59" s="61"/>
      <c r="QTB59" s="61"/>
      <c r="QTC59" s="61"/>
      <c r="QTD59" s="61"/>
      <c r="QTE59" s="62"/>
      <c r="QTF59" s="53"/>
      <c r="QTG59" s="60"/>
      <c r="QTH59" s="60"/>
      <c r="QTI59" s="61"/>
      <c r="QTJ59" s="61"/>
      <c r="QTK59" s="61"/>
      <c r="QTL59" s="61"/>
      <c r="QTM59" s="62"/>
      <c r="QTN59" s="53"/>
      <c r="QTO59" s="60"/>
      <c r="QTP59" s="60"/>
      <c r="QTQ59" s="61"/>
      <c r="QTR59" s="61"/>
      <c r="QTS59" s="61"/>
      <c r="QTT59" s="61"/>
      <c r="QTU59" s="62"/>
      <c r="QTV59" s="53"/>
      <c r="QTW59" s="60"/>
      <c r="QTX59" s="60"/>
      <c r="QTY59" s="61"/>
      <c r="QTZ59" s="61"/>
      <c r="QUA59" s="61"/>
      <c r="QUB59" s="61"/>
      <c r="QUC59" s="62"/>
      <c r="QUD59" s="53"/>
      <c r="QUE59" s="60"/>
      <c r="QUF59" s="60"/>
      <c r="QUG59" s="61"/>
      <c r="QUH59" s="61"/>
      <c r="QUI59" s="61"/>
      <c r="QUJ59" s="61"/>
      <c r="QUK59" s="62"/>
      <c r="QUL59" s="53"/>
      <c r="QUM59" s="60"/>
      <c r="QUN59" s="60"/>
      <c r="QUO59" s="61"/>
      <c r="QUP59" s="61"/>
      <c r="QUQ59" s="61"/>
      <c r="QUR59" s="61"/>
      <c r="QUS59" s="62"/>
      <c r="QUT59" s="53"/>
      <c r="QUU59" s="60"/>
      <c r="QUV59" s="60"/>
      <c r="QUW59" s="61"/>
      <c r="QUX59" s="61"/>
      <c r="QUY59" s="61"/>
      <c r="QUZ59" s="61"/>
      <c r="QVA59" s="62"/>
      <c r="QVB59" s="53"/>
      <c r="QVC59" s="60"/>
      <c r="QVD59" s="60"/>
      <c r="QVE59" s="61"/>
      <c r="QVF59" s="61"/>
      <c r="QVG59" s="61"/>
      <c r="QVH59" s="61"/>
      <c r="QVI59" s="62"/>
      <c r="QVJ59" s="53"/>
      <c r="QVK59" s="60"/>
      <c r="QVL59" s="60"/>
      <c r="QVM59" s="61"/>
      <c r="QVN59" s="61"/>
      <c r="QVO59" s="61"/>
      <c r="QVP59" s="61"/>
      <c r="QVQ59" s="62"/>
      <c r="QVR59" s="53"/>
      <c r="QVS59" s="60"/>
      <c r="QVT59" s="60"/>
      <c r="QVU59" s="61"/>
      <c r="QVV59" s="61"/>
      <c r="QVW59" s="61"/>
      <c r="QVX59" s="61"/>
      <c r="QVY59" s="62"/>
      <c r="QVZ59" s="53"/>
      <c r="QWA59" s="60"/>
      <c r="QWB59" s="60"/>
      <c r="QWC59" s="61"/>
      <c r="QWD59" s="61"/>
      <c r="QWE59" s="61"/>
      <c r="QWF59" s="61"/>
      <c r="QWG59" s="62"/>
      <c r="QWH59" s="53"/>
      <c r="QWI59" s="60"/>
      <c r="QWJ59" s="60"/>
      <c r="QWK59" s="61"/>
      <c r="QWL59" s="61"/>
      <c r="QWM59" s="61"/>
      <c r="QWN59" s="61"/>
      <c r="QWO59" s="62"/>
      <c r="QWP59" s="53"/>
      <c r="QWQ59" s="60"/>
      <c r="QWR59" s="60"/>
      <c r="QWS59" s="61"/>
      <c r="QWT59" s="61"/>
      <c r="QWU59" s="61"/>
      <c r="QWV59" s="61"/>
      <c r="QWW59" s="62"/>
      <c r="QWX59" s="53"/>
      <c r="QWY59" s="60"/>
      <c r="QWZ59" s="60"/>
      <c r="QXA59" s="61"/>
      <c r="QXB59" s="61"/>
      <c r="QXC59" s="61"/>
      <c r="QXD59" s="61"/>
      <c r="QXE59" s="62"/>
      <c r="QXF59" s="53"/>
      <c r="QXG59" s="60"/>
      <c r="QXH59" s="60"/>
      <c r="QXI59" s="61"/>
      <c r="QXJ59" s="61"/>
      <c r="QXK59" s="61"/>
      <c r="QXL59" s="61"/>
      <c r="QXM59" s="62"/>
      <c r="QXN59" s="53"/>
      <c r="QXO59" s="60"/>
      <c r="QXP59" s="60"/>
      <c r="QXQ59" s="61"/>
      <c r="QXR59" s="61"/>
      <c r="QXS59" s="61"/>
      <c r="QXT59" s="61"/>
      <c r="QXU59" s="62"/>
      <c r="QXV59" s="53"/>
      <c r="QXW59" s="60"/>
      <c r="QXX59" s="60"/>
      <c r="QXY59" s="61"/>
      <c r="QXZ59" s="61"/>
      <c r="QYA59" s="61"/>
      <c r="QYB59" s="61"/>
      <c r="QYC59" s="62"/>
      <c r="QYD59" s="53"/>
      <c r="QYE59" s="60"/>
      <c r="QYF59" s="60"/>
      <c r="QYG59" s="61"/>
      <c r="QYH59" s="61"/>
      <c r="QYI59" s="61"/>
      <c r="QYJ59" s="61"/>
      <c r="QYK59" s="62"/>
      <c r="QYL59" s="53"/>
      <c r="QYM59" s="60"/>
      <c r="QYN59" s="60"/>
      <c r="QYO59" s="61"/>
      <c r="QYP59" s="61"/>
      <c r="QYQ59" s="61"/>
      <c r="QYR59" s="61"/>
      <c r="QYS59" s="62"/>
      <c r="QYT59" s="53"/>
      <c r="QYU59" s="60"/>
      <c r="QYV59" s="60"/>
      <c r="QYW59" s="61"/>
      <c r="QYX59" s="61"/>
      <c r="QYY59" s="61"/>
      <c r="QYZ59" s="61"/>
      <c r="QZA59" s="62"/>
      <c r="QZB59" s="53"/>
      <c r="QZC59" s="60"/>
      <c r="QZD59" s="60"/>
      <c r="QZE59" s="61"/>
      <c r="QZF59" s="61"/>
      <c r="QZG59" s="61"/>
      <c r="QZH59" s="61"/>
      <c r="QZI59" s="62"/>
      <c r="QZJ59" s="53"/>
      <c r="QZK59" s="60"/>
      <c r="QZL59" s="60"/>
      <c r="QZM59" s="61"/>
      <c r="QZN59" s="61"/>
      <c r="QZO59" s="61"/>
      <c r="QZP59" s="61"/>
      <c r="QZQ59" s="62"/>
      <c r="QZR59" s="53"/>
      <c r="QZS59" s="60"/>
      <c r="QZT59" s="60"/>
      <c r="QZU59" s="61"/>
      <c r="QZV59" s="61"/>
      <c r="QZW59" s="61"/>
      <c r="QZX59" s="61"/>
      <c r="QZY59" s="62"/>
      <c r="QZZ59" s="53"/>
      <c r="RAA59" s="60"/>
      <c r="RAB59" s="60"/>
      <c r="RAC59" s="61"/>
      <c r="RAD59" s="61"/>
      <c r="RAE59" s="61"/>
      <c r="RAF59" s="61"/>
      <c r="RAG59" s="62"/>
      <c r="RAH59" s="53"/>
      <c r="RAI59" s="60"/>
      <c r="RAJ59" s="60"/>
      <c r="RAK59" s="61"/>
      <c r="RAL59" s="61"/>
      <c r="RAM59" s="61"/>
      <c r="RAN59" s="61"/>
      <c r="RAO59" s="62"/>
      <c r="RAP59" s="53"/>
      <c r="RAQ59" s="60"/>
      <c r="RAR59" s="60"/>
      <c r="RAS59" s="61"/>
      <c r="RAT59" s="61"/>
      <c r="RAU59" s="61"/>
      <c r="RAV59" s="61"/>
      <c r="RAW59" s="62"/>
      <c r="RAX59" s="53"/>
      <c r="RAY59" s="60"/>
      <c r="RAZ59" s="60"/>
      <c r="RBA59" s="61"/>
      <c r="RBB59" s="61"/>
      <c r="RBC59" s="61"/>
      <c r="RBD59" s="61"/>
      <c r="RBE59" s="62"/>
      <c r="RBF59" s="53"/>
      <c r="RBG59" s="60"/>
      <c r="RBH59" s="60"/>
      <c r="RBI59" s="61"/>
      <c r="RBJ59" s="61"/>
      <c r="RBK59" s="61"/>
      <c r="RBL59" s="61"/>
      <c r="RBM59" s="62"/>
      <c r="RBN59" s="53"/>
      <c r="RBO59" s="60"/>
      <c r="RBP59" s="60"/>
      <c r="RBQ59" s="61"/>
      <c r="RBR59" s="61"/>
      <c r="RBS59" s="61"/>
      <c r="RBT59" s="61"/>
      <c r="RBU59" s="62"/>
      <c r="RBV59" s="53"/>
      <c r="RBW59" s="60"/>
      <c r="RBX59" s="60"/>
      <c r="RBY59" s="61"/>
      <c r="RBZ59" s="61"/>
      <c r="RCA59" s="61"/>
      <c r="RCB59" s="61"/>
      <c r="RCC59" s="62"/>
      <c r="RCD59" s="53"/>
      <c r="RCE59" s="60"/>
      <c r="RCF59" s="60"/>
      <c r="RCG59" s="61"/>
      <c r="RCH59" s="61"/>
      <c r="RCI59" s="61"/>
      <c r="RCJ59" s="61"/>
      <c r="RCK59" s="62"/>
      <c r="RCL59" s="53"/>
      <c r="RCM59" s="60"/>
      <c r="RCN59" s="60"/>
      <c r="RCO59" s="61"/>
      <c r="RCP59" s="61"/>
      <c r="RCQ59" s="61"/>
      <c r="RCR59" s="61"/>
      <c r="RCS59" s="62"/>
      <c r="RCT59" s="53"/>
      <c r="RCU59" s="60"/>
      <c r="RCV59" s="60"/>
      <c r="RCW59" s="61"/>
      <c r="RCX59" s="61"/>
      <c r="RCY59" s="61"/>
      <c r="RCZ59" s="61"/>
      <c r="RDA59" s="62"/>
      <c r="RDB59" s="53"/>
      <c r="RDC59" s="60"/>
      <c r="RDD59" s="60"/>
      <c r="RDE59" s="61"/>
      <c r="RDF59" s="61"/>
      <c r="RDG59" s="61"/>
      <c r="RDH59" s="61"/>
      <c r="RDI59" s="62"/>
      <c r="RDJ59" s="53"/>
      <c r="RDK59" s="60"/>
      <c r="RDL59" s="60"/>
      <c r="RDM59" s="61"/>
      <c r="RDN59" s="61"/>
      <c r="RDO59" s="61"/>
      <c r="RDP59" s="61"/>
      <c r="RDQ59" s="62"/>
      <c r="RDR59" s="53"/>
      <c r="RDS59" s="60"/>
      <c r="RDT59" s="60"/>
      <c r="RDU59" s="61"/>
      <c r="RDV59" s="61"/>
      <c r="RDW59" s="61"/>
      <c r="RDX59" s="61"/>
      <c r="RDY59" s="62"/>
      <c r="RDZ59" s="53"/>
      <c r="REA59" s="60"/>
      <c r="REB59" s="60"/>
      <c r="REC59" s="61"/>
      <c r="RED59" s="61"/>
      <c r="REE59" s="61"/>
      <c r="REF59" s="61"/>
      <c r="REG59" s="62"/>
      <c r="REH59" s="53"/>
      <c r="REI59" s="60"/>
      <c r="REJ59" s="60"/>
      <c r="REK59" s="61"/>
      <c r="REL59" s="61"/>
      <c r="REM59" s="61"/>
      <c r="REN59" s="61"/>
      <c r="REO59" s="62"/>
      <c r="REP59" s="53"/>
      <c r="REQ59" s="60"/>
      <c r="RER59" s="60"/>
      <c r="RES59" s="61"/>
      <c r="RET59" s="61"/>
      <c r="REU59" s="61"/>
      <c r="REV59" s="61"/>
      <c r="REW59" s="62"/>
      <c r="REX59" s="53"/>
      <c r="REY59" s="60"/>
      <c r="REZ59" s="60"/>
      <c r="RFA59" s="61"/>
      <c r="RFB59" s="61"/>
      <c r="RFC59" s="61"/>
      <c r="RFD59" s="61"/>
      <c r="RFE59" s="62"/>
      <c r="RFF59" s="53"/>
      <c r="RFG59" s="60"/>
      <c r="RFH59" s="60"/>
      <c r="RFI59" s="61"/>
      <c r="RFJ59" s="61"/>
      <c r="RFK59" s="61"/>
      <c r="RFL59" s="61"/>
      <c r="RFM59" s="62"/>
      <c r="RFN59" s="53"/>
      <c r="RFO59" s="60"/>
      <c r="RFP59" s="60"/>
      <c r="RFQ59" s="61"/>
      <c r="RFR59" s="61"/>
      <c r="RFS59" s="61"/>
      <c r="RFT59" s="61"/>
      <c r="RFU59" s="62"/>
      <c r="RFV59" s="53"/>
      <c r="RFW59" s="60"/>
      <c r="RFX59" s="60"/>
      <c r="RFY59" s="61"/>
      <c r="RFZ59" s="61"/>
      <c r="RGA59" s="61"/>
      <c r="RGB59" s="61"/>
      <c r="RGC59" s="62"/>
      <c r="RGD59" s="53"/>
      <c r="RGE59" s="60"/>
      <c r="RGF59" s="60"/>
      <c r="RGG59" s="61"/>
      <c r="RGH59" s="61"/>
      <c r="RGI59" s="61"/>
      <c r="RGJ59" s="61"/>
      <c r="RGK59" s="62"/>
      <c r="RGL59" s="53"/>
      <c r="RGM59" s="60"/>
      <c r="RGN59" s="60"/>
      <c r="RGO59" s="61"/>
      <c r="RGP59" s="61"/>
      <c r="RGQ59" s="61"/>
      <c r="RGR59" s="61"/>
      <c r="RGS59" s="62"/>
      <c r="RGT59" s="53"/>
      <c r="RGU59" s="60"/>
      <c r="RGV59" s="60"/>
      <c r="RGW59" s="61"/>
      <c r="RGX59" s="61"/>
      <c r="RGY59" s="61"/>
      <c r="RGZ59" s="61"/>
      <c r="RHA59" s="62"/>
      <c r="RHB59" s="53"/>
      <c r="RHC59" s="60"/>
      <c r="RHD59" s="60"/>
      <c r="RHE59" s="61"/>
      <c r="RHF59" s="61"/>
      <c r="RHG59" s="61"/>
      <c r="RHH59" s="61"/>
      <c r="RHI59" s="62"/>
      <c r="RHJ59" s="53"/>
      <c r="RHK59" s="60"/>
      <c r="RHL59" s="60"/>
      <c r="RHM59" s="61"/>
      <c r="RHN59" s="61"/>
      <c r="RHO59" s="61"/>
      <c r="RHP59" s="61"/>
      <c r="RHQ59" s="62"/>
      <c r="RHR59" s="53"/>
      <c r="RHS59" s="60"/>
      <c r="RHT59" s="60"/>
      <c r="RHU59" s="61"/>
      <c r="RHV59" s="61"/>
      <c r="RHW59" s="61"/>
      <c r="RHX59" s="61"/>
      <c r="RHY59" s="62"/>
      <c r="RHZ59" s="53"/>
      <c r="RIA59" s="60"/>
      <c r="RIB59" s="60"/>
      <c r="RIC59" s="61"/>
      <c r="RID59" s="61"/>
      <c r="RIE59" s="61"/>
      <c r="RIF59" s="61"/>
      <c r="RIG59" s="62"/>
      <c r="RIH59" s="53"/>
      <c r="RII59" s="60"/>
      <c r="RIJ59" s="60"/>
      <c r="RIK59" s="61"/>
      <c r="RIL59" s="61"/>
      <c r="RIM59" s="61"/>
      <c r="RIN59" s="61"/>
      <c r="RIO59" s="62"/>
      <c r="RIP59" s="53"/>
      <c r="RIQ59" s="60"/>
      <c r="RIR59" s="60"/>
      <c r="RIS59" s="61"/>
      <c r="RIT59" s="61"/>
      <c r="RIU59" s="61"/>
      <c r="RIV59" s="61"/>
      <c r="RIW59" s="62"/>
      <c r="RIX59" s="53"/>
      <c r="RIY59" s="60"/>
      <c r="RIZ59" s="60"/>
      <c r="RJA59" s="61"/>
      <c r="RJB59" s="61"/>
      <c r="RJC59" s="61"/>
      <c r="RJD59" s="61"/>
      <c r="RJE59" s="62"/>
      <c r="RJF59" s="53"/>
      <c r="RJG59" s="60"/>
      <c r="RJH59" s="60"/>
      <c r="RJI59" s="61"/>
      <c r="RJJ59" s="61"/>
      <c r="RJK59" s="61"/>
      <c r="RJL59" s="61"/>
      <c r="RJM59" s="62"/>
      <c r="RJN59" s="53"/>
      <c r="RJO59" s="60"/>
      <c r="RJP59" s="60"/>
      <c r="RJQ59" s="61"/>
      <c r="RJR59" s="61"/>
      <c r="RJS59" s="61"/>
      <c r="RJT59" s="61"/>
      <c r="RJU59" s="62"/>
      <c r="RJV59" s="53"/>
      <c r="RJW59" s="60"/>
      <c r="RJX59" s="60"/>
      <c r="RJY59" s="61"/>
      <c r="RJZ59" s="61"/>
      <c r="RKA59" s="61"/>
      <c r="RKB59" s="61"/>
      <c r="RKC59" s="62"/>
      <c r="RKD59" s="53"/>
      <c r="RKE59" s="60"/>
      <c r="RKF59" s="60"/>
      <c r="RKG59" s="61"/>
      <c r="RKH59" s="61"/>
      <c r="RKI59" s="61"/>
      <c r="RKJ59" s="61"/>
      <c r="RKK59" s="62"/>
      <c r="RKL59" s="53"/>
      <c r="RKM59" s="60"/>
      <c r="RKN59" s="60"/>
      <c r="RKO59" s="61"/>
      <c r="RKP59" s="61"/>
      <c r="RKQ59" s="61"/>
      <c r="RKR59" s="61"/>
      <c r="RKS59" s="62"/>
      <c r="RKT59" s="53"/>
      <c r="RKU59" s="60"/>
      <c r="RKV59" s="60"/>
      <c r="RKW59" s="61"/>
      <c r="RKX59" s="61"/>
      <c r="RKY59" s="61"/>
      <c r="RKZ59" s="61"/>
      <c r="RLA59" s="62"/>
      <c r="RLB59" s="53"/>
      <c r="RLC59" s="60"/>
      <c r="RLD59" s="60"/>
      <c r="RLE59" s="61"/>
      <c r="RLF59" s="61"/>
      <c r="RLG59" s="61"/>
      <c r="RLH59" s="61"/>
      <c r="RLI59" s="62"/>
      <c r="RLJ59" s="53"/>
      <c r="RLK59" s="60"/>
      <c r="RLL59" s="60"/>
      <c r="RLM59" s="61"/>
      <c r="RLN59" s="61"/>
      <c r="RLO59" s="61"/>
      <c r="RLP59" s="61"/>
      <c r="RLQ59" s="62"/>
      <c r="RLR59" s="53"/>
      <c r="RLS59" s="60"/>
      <c r="RLT59" s="60"/>
      <c r="RLU59" s="61"/>
      <c r="RLV59" s="61"/>
      <c r="RLW59" s="61"/>
      <c r="RLX59" s="61"/>
      <c r="RLY59" s="62"/>
      <c r="RLZ59" s="53"/>
      <c r="RMA59" s="60"/>
      <c r="RMB59" s="60"/>
      <c r="RMC59" s="61"/>
      <c r="RMD59" s="61"/>
      <c r="RME59" s="61"/>
      <c r="RMF59" s="61"/>
      <c r="RMG59" s="62"/>
      <c r="RMH59" s="53"/>
      <c r="RMI59" s="60"/>
      <c r="RMJ59" s="60"/>
      <c r="RMK59" s="61"/>
      <c r="RML59" s="61"/>
      <c r="RMM59" s="61"/>
      <c r="RMN59" s="61"/>
      <c r="RMO59" s="62"/>
      <c r="RMP59" s="53"/>
      <c r="RMQ59" s="60"/>
      <c r="RMR59" s="60"/>
      <c r="RMS59" s="61"/>
      <c r="RMT59" s="61"/>
      <c r="RMU59" s="61"/>
      <c r="RMV59" s="61"/>
      <c r="RMW59" s="62"/>
      <c r="RMX59" s="53"/>
      <c r="RMY59" s="60"/>
      <c r="RMZ59" s="60"/>
      <c r="RNA59" s="61"/>
      <c r="RNB59" s="61"/>
      <c r="RNC59" s="61"/>
      <c r="RND59" s="61"/>
      <c r="RNE59" s="62"/>
      <c r="RNF59" s="53"/>
      <c r="RNG59" s="60"/>
      <c r="RNH59" s="60"/>
      <c r="RNI59" s="61"/>
      <c r="RNJ59" s="61"/>
      <c r="RNK59" s="61"/>
      <c r="RNL59" s="61"/>
      <c r="RNM59" s="62"/>
      <c r="RNN59" s="53"/>
      <c r="RNO59" s="60"/>
      <c r="RNP59" s="60"/>
      <c r="RNQ59" s="61"/>
      <c r="RNR59" s="61"/>
      <c r="RNS59" s="61"/>
      <c r="RNT59" s="61"/>
      <c r="RNU59" s="62"/>
      <c r="RNV59" s="53"/>
      <c r="RNW59" s="60"/>
      <c r="RNX59" s="60"/>
      <c r="RNY59" s="61"/>
      <c r="RNZ59" s="61"/>
      <c r="ROA59" s="61"/>
      <c r="ROB59" s="61"/>
      <c r="ROC59" s="62"/>
      <c r="ROD59" s="53"/>
      <c r="ROE59" s="60"/>
      <c r="ROF59" s="60"/>
      <c r="ROG59" s="61"/>
      <c r="ROH59" s="61"/>
      <c r="ROI59" s="61"/>
      <c r="ROJ59" s="61"/>
      <c r="ROK59" s="62"/>
      <c r="ROL59" s="53"/>
      <c r="ROM59" s="60"/>
      <c r="RON59" s="60"/>
      <c r="ROO59" s="61"/>
      <c r="ROP59" s="61"/>
      <c r="ROQ59" s="61"/>
      <c r="ROR59" s="61"/>
      <c r="ROS59" s="62"/>
      <c r="ROT59" s="53"/>
      <c r="ROU59" s="60"/>
      <c r="ROV59" s="60"/>
      <c r="ROW59" s="61"/>
      <c r="ROX59" s="61"/>
      <c r="ROY59" s="61"/>
      <c r="ROZ59" s="61"/>
      <c r="RPA59" s="62"/>
      <c r="RPB59" s="53"/>
      <c r="RPC59" s="60"/>
      <c r="RPD59" s="60"/>
      <c r="RPE59" s="61"/>
      <c r="RPF59" s="61"/>
      <c r="RPG59" s="61"/>
      <c r="RPH59" s="61"/>
      <c r="RPI59" s="62"/>
      <c r="RPJ59" s="53"/>
      <c r="RPK59" s="60"/>
      <c r="RPL59" s="60"/>
      <c r="RPM59" s="61"/>
      <c r="RPN59" s="61"/>
      <c r="RPO59" s="61"/>
      <c r="RPP59" s="61"/>
      <c r="RPQ59" s="62"/>
      <c r="RPR59" s="53"/>
      <c r="RPS59" s="60"/>
      <c r="RPT59" s="60"/>
      <c r="RPU59" s="61"/>
      <c r="RPV59" s="61"/>
      <c r="RPW59" s="61"/>
      <c r="RPX59" s="61"/>
      <c r="RPY59" s="62"/>
      <c r="RPZ59" s="53"/>
      <c r="RQA59" s="60"/>
      <c r="RQB59" s="60"/>
      <c r="RQC59" s="61"/>
      <c r="RQD59" s="61"/>
      <c r="RQE59" s="61"/>
      <c r="RQF59" s="61"/>
      <c r="RQG59" s="62"/>
      <c r="RQH59" s="53"/>
      <c r="RQI59" s="60"/>
      <c r="RQJ59" s="60"/>
      <c r="RQK59" s="61"/>
      <c r="RQL59" s="61"/>
      <c r="RQM59" s="61"/>
      <c r="RQN59" s="61"/>
      <c r="RQO59" s="62"/>
      <c r="RQP59" s="53"/>
      <c r="RQQ59" s="60"/>
      <c r="RQR59" s="60"/>
      <c r="RQS59" s="61"/>
      <c r="RQT59" s="61"/>
      <c r="RQU59" s="61"/>
      <c r="RQV59" s="61"/>
      <c r="RQW59" s="62"/>
      <c r="RQX59" s="53"/>
      <c r="RQY59" s="60"/>
      <c r="RQZ59" s="60"/>
      <c r="RRA59" s="61"/>
      <c r="RRB59" s="61"/>
      <c r="RRC59" s="61"/>
      <c r="RRD59" s="61"/>
      <c r="RRE59" s="62"/>
      <c r="RRF59" s="53"/>
      <c r="RRG59" s="60"/>
      <c r="RRH59" s="60"/>
      <c r="RRI59" s="61"/>
      <c r="RRJ59" s="61"/>
      <c r="RRK59" s="61"/>
      <c r="RRL59" s="61"/>
      <c r="RRM59" s="62"/>
      <c r="RRN59" s="53"/>
      <c r="RRO59" s="60"/>
      <c r="RRP59" s="60"/>
      <c r="RRQ59" s="61"/>
      <c r="RRR59" s="61"/>
      <c r="RRS59" s="61"/>
      <c r="RRT59" s="61"/>
      <c r="RRU59" s="62"/>
      <c r="RRV59" s="53"/>
      <c r="RRW59" s="60"/>
      <c r="RRX59" s="60"/>
      <c r="RRY59" s="61"/>
      <c r="RRZ59" s="61"/>
      <c r="RSA59" s="61"/>
      <c r="RSB59" s="61"/>
      <c r="RSC59" s="62"/>
      <c r="RSD59" s="53"/>
      <c r="RSE59" s="60"/>
      <c r="RSF59" s="60"/>
      <c r="RSG59" s="61"/>
      <c r="RSH59" s="61"/>
      <c r="RSI59" s="61"/>
      <c r="RSJ59" s="61"/>
      <c r="RSK59" s="62"/>
      <c r="RSL59" s="53"/>
      <c r="RSM59" s="60"/>
      <c r="RSN59" s="60"/>
      <c r="RSO59" s="61"/>
      <c r="RSP59" s="61"/>
      <c r="RSQ59" s="61"/>
      <c r="RSR59" s="61"/>
      <c r="RSS59" s="62"/>
      <c r="RST59" s="53"/>
      <c r="RSU59" s="60"/>
      <c r="RSV59" s="60"/>
      <c r="RSW59" s="61"/>
      <c r="RSX59" s="61"/>
      <c r="RSY59" s="61"/>
      <c r="RSZ59" s="61"/>
      <c r="RTA59" s="62"/>
      <c r="RTB59" s="53"/>
      <c r="RTC59" s="60"/>
      <c r="RTD59" s="60"/>
      <c r="RTE59" s="61"/>
      <c r="RTF59" s="61"/>
      <c r="RTG59" s="61"/>
      <c r="RTH59" s="61"/>
      <c r="RTI59" s="62"/>
      <c r="RTJ59" s="53"/>
      <c r="RTK59" s="60"/>
      <c r="RTL59" s="60"/>
      <c r="RTM59" s="61"/>
      <c r="RTN59" s="61"/>
      <c r="RTO59" s="61"/>
      <c r="RTP59" s="61"/>
      <c r="RTQ59" s="62"/>
      <c r="RTR59" s="53"/>
      <c r="RTS59" s="60"/>
      <c r="RTT59" s="60"/>
      <c r="RTU59" s="61"/>
      <c r="RTV59" s="61"/>
      <c r="RTW59" s="61"/>
      <c r="RTX59" s="61"/>
      <c r="RTY59" s="62"/>
      <c r="RTZ59" s="53"/>
      <c r="RUA59" s="60"/>
      <c r="RUB59" s="60"/>
      <c r="RUC59" s="61"/>
      <c r="RUD59" s="61"/>
      <c r="RUE59" s="61"/>
      <c r="RUF59" s="61"/>
      <c r="RUG59" s="62"/>
      <c r="RUH59" s="53"/>
      <c r="RUI59" s="60"/>
      <c r="RUJ59" s="60"/>
      <c r="RUK59" s="61"/>
      <c r="RUL59" s="61"/>
      <c r="RUM59" s="61"/>
      <c r="RUN59" s="61"/>
      <c r="RUO59" s="62"/>
      <c r="RUP59" s="53"/>
      <c r="RUQ59" s="60"/>
      <c r="RUR59" s="60"/>
      <c r="RUS59" s="61"/>
      <c r="RUT59" s="61"/>
      <c r="RUU59" s="61"/>
      <c r="RUV59" s="61"/>
      <c r="RUW59" s="62"/>
      <c r="RUX59" s="53"/>
      <c r="RUY59" s="60"/>
      <c r="RUZ59" s="60"/>
      <c r="RVA59" s="61"/>
      <c r="RVB59" s="61"/>
      <c r="RVC59" s="61"/>
      <c r="RVD59" s="61"/>
      <c r="RVE59" s="62"/>
      <c r="RVF59" s="53"/>
      <c r="RVG59" s="60"/>
      <c r="RVH59" s="60"/>
      <c r="RVI59" s="61"/>
      <c r="RVJ59" s="61"/>
      <c r="RVK59" s="61"/>
      <c r="RVL59" s="61"/>
      <c r="RVM59" s="62"/>
      <c r="RVN59" s="53"/>
      <c r="RVO59" s="60"/>
      <c r="RVP59" s="60"/>
      <c r="RVQ59" s="61"/>
      <c r="RVR59" s="61"/>
      <c r="RVS59" s="61"/>
      <c r="RVT59" s="61"/>
      <c r="RVU59" s="62"/>
      <c r="RVV59" s="53"/>
      <c r="RVW59" s="60"/>
      <c r="RVX59" s="60"/>
      <c r="RVY59" s="61"/>
      <c r="RVZ59" s="61"/>
      <c r="RWA59" s="61"/>
      <c r="RWB59" s="61"/>
      <c r="RWC59" s="62"/>
      <c r="RWD59" s="53"/>
      <c r="RWE59" s="60"/>
      <c r="RWF59" s="60"/>
      <c r="RWG59" s="61"/>
      <c r="RWH59" s="61"/>
      <c r="RWI59" s="61"/>
      <c r="RWJ59" s="61"/>
      <c r="RWK59" s="62"/>
      <c r="RWL59" s="53"/>
      <c r="RWM59" s="60"/>
      <c r="RWN59" s="60"/>
      <c r="RWO59" s="61"/>
      <c r="RWP59" s="61"/>
      <c r="RWQ59" s="61"/>
      <c r="RWR59" s="61"/>
      <c r="RWS59" s="62"/>
      <c r="RWT59" s="53"/>
      <c r="RWU59" s="60"/>
      <c r="RWV59" s="60"/>
      <c r="RWW59" s="61"/>
      <c r="RWX59" s="61"/>
      <c r="RWY59" s="61"/>
      <c r="RWZ59" s="61"/>
      <c r="RXA59" s="62"/>
      <c r="RXB59" s="53"/>
      <c r="RXC59" s="60"/>
      <c r="RXD59" s="60"/>
      <c r="RXE59" s="61"/>
      <c r="RXF59" s="61"/>
      <c r="RXG59" s="61"/>
      <c r="RXH59" s="61"/>
      <c r="RXI59" s="62"/>
      <c r="RXJ59" s="53"/>
      <c r="RXK59" s="60"/>
      <c r="RXL59" s="60"/>
      <c r="RXM59" s="61"/>
      <c r="RXN59" s="61"/>
      <c r="RXO59" s="61"/>
      <c r="RXP59" s="61"/>
      <c r="RXQ59" s="62"/>
      <c r="RXR59" s="53"/>
      <c r="RXS59" s="60"/>
      <c r="RXT59" s="60"/>
      <c r="RXU59" s="61"/>
      <c r="RXV59" s="61"/>
      <c r="RXW59" s="61"/>
      <c r="RXX59" s="61"/>
      <c r="RXY59" s="62"/>
      <c r="RXZ59" s="53"/>
      <c r="RYA59" s="60"/>
      <c r="RYB59" s="60"/>
      <c r="RYC59" s="61"/>
      <c r="RYD59" s="61"/>
      <c r="RYE59" s="61"/>
      <c r="RYF59" s="61"/>
      <c r="RYG59" s="62"/>
      <c r="RYH59" s="53"/>
      <c r="RYI59" s="60"/>
      <c r="RYJ59" s="60"/>
      <c r="RYK59" s="61"/>
      <c r="RYL59" s="61"/>
      <c r="RYM59" s="61"/>
      <c r="RYN59" s="61"/>
      <c r="RYO59" s="62"/>
      <c r="RYP59" s="53"/>
      <c r="RYQ59" s="60"/>
      <c r="RYR59" s="60"/>
      <c r="RYS59" s="61"/>
      <c r="RYT59" s="61"/>
      <c r="RYU59" s="61"/>
      <c r="RYV59" s="61"/>
      <c r="RYW59" s="62"/>
      <c r="RYX59" s="53"/>
      <c r="RYY59" s="60"/>
      <c r="RYZ59" s="60"/>
      <c r="RZA59" s="61"/>
      <c r="RZB59" s="61"/>
      <c r="RZC59" s="61"/>
      <c r="RZD59" s="61"/>
      <c r="RZE59" s="62"/>
      <c r="RZF59" s="53"/>
      <c r="RZG59" s="60"/>
      <c r="RZH59" s="60"/>
      <c r="RZI59" s="61"/>
      <c r="RZJ59" s="61"/>
      <c r="RZK59" s="61"/>
      <c r="RZL59" s="61"/>
      <c r="RZM59" s="62"/>
      <c r="RZN59" s="53"/>
      <c r="RZO59" s="60"/>
      <c r="RZP59" s="60"/>
      <c r="RZQ59" s="61"/>
      <c r="RZR59" s="61"/>
      <c r="RZS59" s="61"/>
      <c r="RZT59" s="61"/>
      <c r="RZU59" s="62"/>
      <c r="RZV59" s="53"/>
      <c r="RZW59" s="60"/>
      <c r="RZX59" s="60"/>
      <c r="RZY59" s="61"/>
      <c r="RZZ59" s="61"/>
      <c r="SAA59" s="61"/>
      <c r="SAB59" s="61"/>
      <c r="SAC59" s="62"/>
      <c r="SAD59" s="53"/>
      <c r="SAE59" s="60"/>
      <c r="SAF59" s="60"/>
      <c r="SAG59" s="61"/>
      <c r="SAH59" s="61"/>
      <c r="SAI59" s="61"/>
      <c r="SAJ59" s="61"/>
      <c r="SAK59" s="62"/>
      <c r="SAL59" s="53"/>
      <c r="SAM59" s="60"/>
      <c r="SAN59" s="60"/>
      <c r="SAO59" s="61"/>
      <c r="SAP59" s="61"/>
      <c r="SAQ59" s="61"/>
      <c r="SAR59" s="61"/>
      <c r="SAS59" s="62"/>
      <c r="SAT59" s="53"/>
      <c r="SAU59" s="60"/>
      <c r="SAV59" s="60"/>
      <c r="SAW59" s="61"/>
      <c r="SAX59" s="61"/>
      <c r="SAY59" s="61"/>
      <c r="SAZ59" s="61"/>
      <c r="SBA59" s="62"/>
      <c r="SBB59" s="53"/>
      <c r="SBC59" s="60"/>
      <c r="SBD59" s="60"/>
      <c r="SBE59" s="61"/>
      <c r="SBF59" s="61"/>
      <c r="SBG59" s="61"/>
      <c r="SBH59" s="61"/>
      <c r="SBI59" s="62"/>
      <c r="SBJ59" s="53"/>
      <c r="SBK59" s="60"/>
      <c r="SBL59" s="60"/>
      <c r="SBM59" s="61"/>
      <c r="SBN59" s="61"/>
      <c r="SBO59" s="61"/>
      <c r="SBP59" s="61"/>
      <c r="SBQ59" s="62"/>
      <c r="SBR59" s="53"/>
      <c r="SBS59" s="60"/>
      <c r="SBT59" s="60"/>
      <c r="SBU59" s="61"/>
      <c r="SBV59" s="61"/>
      <c r="SBW59" s="61"/>
      <c r="SBX59" s="61"/>
      <c r="SBY59" s="62"/>
      <c r="SBZ59" s="53"/>
      <c r="SCA59" s="60"/>
      <c r="SCB59" s="60"/>
      <c r="SCC59" s="61"/>
      <c r="SCD59" s="61"/>
      <c r="SCE59" s="61"/>
      <c r="SCF59" s="61"/>
      <c r="SCG59" s="62"/>
      <c r="SCH59" s="53"/>
      <c r="SCI59" s="60"/>
      <c r="SCJ59" s="60"/>
      <c r="SCK59" s="61"/>
      <c r="SCL59" s="61"/>
      <c r="SCM59" s="61"/>
      <c r="SCN59" s="61"/>
      <c r="SCO59" s="62"/>
      <c r="SCP59" s="53"/>
      <c r="SCQ59" s="60"/>
      <c r="SCR59" s="60"/>
      <c r="SCS59" s="61"/>
      <c r="SCT59" s="61"/>
      <c r="SCU59" s="61"/>
      <c r="SCV59" s="61"/>
      <c r="SCW59" s="62"/>
      <c r="SCX59" s="53"/>
      <c r="SCY59" s="60"/>
      <c r="SCZ59" s="60"/>
      <c r="SDA59" s="61"/>
      <c r="SDB59" s="61"/>
      <c r="SDC59" s="61"/>
      <c r="SDD59" s="61"/>
      <c r="SDE59" s="62"/>
      <c r="SDF59" s="53"/>
      <c r="SDG59" s="60"/>
      <c r="SDH59" s="60"/>
      <c r="SDI59" s="61"/>
      <c r="SDJ59" s="61"/>
      <c r="SDK59" s="61"/>
      <c r="SDL59" s="61"/>
      <c r="SDM59" s="62"/>
      <c r="SDN59" s="53"/>
      <c r="SDO59" s="60"/>
      <c r="SDP59" s="60"/>
      <c r="SDQ59" s="61"/>
      <c r="SDR59" s="61"/>
      <c r="SDS59" s="61"/>
      <c r="SDT59" s="61"/>
      <c r="SDU59" s="62"/>
      <c r="SDV59" s="53"/>
      <c r="SDW59" s="60"/>
      <c r="SDX59" s="60"/>
      <c r="SDY59" s="61"/>
      <c r="SDZ59" s="61"/>
      <c r="SEA59" s="61"/>
      <c r="SEB59" s="61"/>
      <c r="SEC59" s="62"/>
      <c r="SED59" s="53"/>
      <c r="SEE59" s="60"/>
      <c r="SEF59" s="60"/>
      <c r="SEG59" s="61"/>
      <c r="SEH59" s="61"/>
      <c r="SEI59" s="61"/>
      <c r="SEJ59" s="61"/>
      <c r="SEK59" s="62"/>
      <c r="SEL59" s="53"/>
      <c r="SEM59" s="60"/>
      <c r="SEN59" s="60"/>
      <c r="SEO59" s="61"/>
      <c r="SEP59" s="61"/>
      <c r="SEQ59" s="61"/>
      <c r="SER59" s="61"/>
      <c r="SES59" s="62"/>
      <c r="SET59" s="53"/>
      <c r="SEU59" s="60"/>
      <c r="SEV59" s="60"/>
      <c r="SEW59" s="61"/>
      <c r="SEX59" s="61"/>
      <c r="SEY59" s="61"/>
      <c r="SEZ59" s="61"/>
      <c r="SFA59" s="62"/>
      <c r="SFB59" s="53"/>
      <c r="SFC59" s="60"/>
      <c r="SFD59" s="60"/>
      <c r="SFE59" s="61"/>
      <c r="SFF59" s="61"/>
      <c r="SFG59" s="61"/>
      <c r="SFH59" s="61"/>
      <c r="SFI59" s="62"/>
      <c r="SFJ59" s="53"/>
      <c r="SFK59" s="60"/>
      <c r="SFL59" s="60"/>
      <c r="SFM59" s="61"/>
      <c r="SFN59" s="61"/>
      <c r="SFO59" s="61"/>
      <c r="SFP59" s="61"/>
      <c r="SFQ59" s="62"/>
      <c r="SFR59" s="53"/>
      <c r="SFS59" s="60"/>
      <c r="SFT59" s="60"/>
      <c r="SFU59" s="61"/>
      <c r="SFV59" s="61"/>
      <c r="SFW59" s="61"/>
      <c r="SFX59" s="61"/>
      <c r="SFY59" s="62"/>
      <c r="SFZ59" s="53"/>
      <c r="SGA59" s="60"/>
      <c r="SGB59" s="60"/>
      <c r="SGC59" s="61"/>
      <c r="SGD59" s="61"/>
      <c r="SGE59" s="61"/>
      <c r="SGF59" s="61"/>
      <c r="SGG59" s="62"/>
      <c r="SGH59" s="53"/>
      <c r="SGI59" s="60"/>
      <c r="SGJ59" s="60"/>
      <c r="SGK59" s="61"/>
      <c r="SGL59" s="61"/>
      <c r="SGM59" s="61"/>
      <c r="SGN59" s="61"/>
      <c r="SGO59" s="62"/>
      <c r="SGP59" s="53"/>
      <c r="SGQ59" s="60"/>
      <c r="SGR59" s="60"/>
      <c r="SGS59" s="61"/>
      <c r="SGT59" s="61"/>
      <c r="SGU59" s="61"/>
      <c r="SGV59" s="61"/>
      <c r="SGW59" s="62"/>
      <c r="SGX59" s="53"/>
      <c r="SGY59" s="60"/>
      <c r="SGZ59" s="60"/>
      <c r="SHA59" s="61"/>
      <c r="SHB59" s="61"/>
      <c r="SHC59" s="61"/>
      <c r="SHD59" s="61"/>
      <c r="SHE59" s="62"/>
      <c r="SHF59" s="53"/>
      <c r="SHG59" s="60"/>
      <c r="SHH59" s="60"/>
      <c r="SHI59" s="61"/>
      <c r="SHJ59" s="61"/>
      <c r="SHK59" s="61"/>
      <c r="SHL59" s="61"/>
      <c r="SHM59" s="62"/>
      <c r="SHN59" s="53"/>
      <c r="SHO59" s="60"/>
      <c r="SHP59" s="60"/>
      <c r="SHQ59" s="61"/>
      <c r="SHR59" s="61"/>
      <c r="SHS59" s="61"/>
      <c r="SHT59" s="61"/>
      <c r="SHU59" s="62"/>
      <c r="SHV59" s="53"/>
      <c r="SHW59" s="60"/>
      <c r="SHX59" s="60"/>
      <c r="SHY59" s="61"/>
      <c r="SHZ59" s="61"/>
      <c r="SIA59" s="61"/>
      <c r="SIB59" s="61"/>
      <c r="SIC59" s="62"/>
      <c r="SID59" s="53"/>
      <c r="SIE59" s="60"/>
      <c r="SIF59" s="60"/>
      <c r="SIG59" s="61"/>
      <c r="SIH59" s="61"/>
      <c r="SII59" s="61"/>
      <c r="SIJ59" s="61"/>
      <c r="SIK59" s="62"/>
      <c r="SIL59" s="53"/>
      <c r="SIM59" s="60"/>
      <c r="SIN59" s="60"/>
      <c r="SIO59" s="61"/>
      <c r="SIP59" s="61"/>
      <c r="SIQ59" s="61"/>
      <c r="SIR59" s="61"/>
      <c r="SIS59" s="62"/>
      <c r="SIT59" s="53"/>
      <c r="SIU59" s="60"/>
      <c r="SIV59" s="60"/>
      <c r="SIW59" s="61"/>
      <c r="SIX59" s="61"/>
      <c r="SIY59" s="61"/>
      <c r="SIZ59" s="61"/>
      <c r="SJA59" s="62"/>
      <c r="SJB59" s="53"/>
      <c r="SJC59" s="60"/>
      <c r="SJD59" s="60"/>
      <c r="SJE59" s="61"/>
      <c r="SJF59" s="61"/>
      <c r="SJG59" s="61"/>
      <c r="SJH59" s="61"/>
      <c r="SJI59" s="62"/>
      <c r="SJJ59" s="53"/>
      <c r="SJK59" s="60"/>
      <c r="SJL59" s="60"/>
      <c r="SJM59" s="61"/>
      <c r="SJN59" s="61"/>
      <c r="SJO59" s="61"/>
      <c r="SJP59" s="61"/>
      <c r="SJQ59" s="62"/>
      <c r="SJR59" s="53"/>
      <c r="SJS59" s="60"/>
      <c r="SJT59" s="60"/>
      <c r="SJU59" s="61"/>
      <c r="SJV59" s="61"/>
      <c r="SJW59" s="61"/>
      <c r="SJX59" s="61"/>
      <c r="SJY59" s="62"/>
      <c r="SJZ59" s="53"/>
      <c r="SKA59" s="60"/>
      <c r="SKB59" s="60"/>
      <c r="SKC59" s="61"/>
      <c r="SKD59" s="61"/>
      <c r="SKE59" s="61"/>
      <c r="SKF59" s="61"/>
      <c r="SKG59" s="62"/>
      <c r="SKH59" s="53"/>
      <c r="SKI59" s="60"/>
      <c r="SKJ59" s="60"/>
      <c r="SKK59" s="61"/>
      <c r="SKL59" s="61"/>
      <c r="SKM59" s="61"/>
      <c r="SKN59" s="61"/>
      <c r="SKO59" s="62"/>
      <c r="SKP59" s="53"/>
      <c r="SKQ59" s="60"/>
      <c r="SKR59" s="60"/>
      <c r="SKS59" s="61"/>
      <c r="SKT59" s="61"/>
      <c r="SKU59" s="61"/>
      <c r="SKV59" s="61"/>
      <c r="SKW59" s="62"/>
      <c r="SKX59" s="53"/>
      <c r="SKY59" s="60"/>
      <c r="SKZ59" s="60"/>
      <c r="SLA59" s="61"/>
      <c r="SLB59" s="61"/>
      <c r="SLC59" s="61"/>
      <c r="SLD59" s="61"/>
      <c r="SLE59" s="62"/>
      <c r="SLF59" s="53"/>
      <c r="SLG59" s="60"/>
      <c r="SLH59" s="60"/>
      <c r="SLI59" s="61"/>
      <c r="SLJ59" s="61"/>
      <c r="SLK59" s="61"/>
      <c r="SLL59" s="61"/>
      <c r="SLM59" s="62"/>
      <c r="SLN59" s="53"/>
      <c r="SLO59" s="60"/>
      <c r="SLP59" s="60"/>
      <c r="SLQ59" s="61"/>
      <c r="SLR59" s="61"/>
      <c r="SLS59" s="61"/>
      <c r="SLT59" s="61"/>
      <c r="SLU59" s="62"/>
      <c r="SLV59" s="53"/>
      <c r="SLW59" s="60"/>
      <c r="SLX59" s="60"/>
      <c r="SLY59" s="61"/>
      <c r="SLZ59" s="61"/>
      <c r="SMA59" s="61"/>
      <c r="SMB59" s="61"/>
      <c r="SMC59" s="62"/>
      <c r="SMD59" s="53"/>
      <c r="SME59" s="60"/>
      <c r="SMF59" s="60"/>
      <c r="SMG59" s="61"/>
      <c r="SMH59" s="61"/>
      <c r="SMI59" s="61"/>
      <c r="SMJ59" s="61"/>
      <c r="SMK59" s="62"/>
      <c r="SML59" s="53"/>
      <c r="SMM59" s="60"/>
      <c r="SMN59" s="60"/>
      <c r="SMO59" s="61"/>
      <c r="SMP59" s="61"/>
      <c r="SMQ59" s="61"/>
      <c r="SMR59" s="61"/>
      <c r="SMS59" s="62"/>
      <c r="SMT59" s="53"/>
      <c r="SMU59" s="60"/>
      <c r="SMV59" s="60"/>
      <c r="SMW59" s="61"/>
      <c r="SMX59" s="61"/>
      <c r="SMY59" s="61"/>
      <c r="SMZ59" s="61"/>
      <c r="SNA59" s="62"/>
      <c r="SNB59" s="53"/>
      <c r="SNC59" s="60"/>
      <c r="SND59" s="60"/>
      <c r="SNE59" s="61"/>
      <c r="SNF59" s="61"/>
      <c r="SNG59" s="61"/>
      <c r="SNH59" s="61"/>
      <c r="SNI59" s="62"/>
      <c r="SNJ59" s="53"/>
      <c r="SNK59" s="60"/>
      <c r="SNL59" s="60"/>
      <c r="SNM59" s="61"/>
      <c r="SNN59" s="61"/>
      <c r="SNO59" s="61"/>
      <c r="SNP59" s="61"/>
      <c r="SNQ59" s="62"/>
      <c r="SNR59" s="53"/>
      <c r="SNS59" s="60"/>
      <c r="SNT59" s="60"/>
      <c r="SNU59" s="61"/>
      <c r="SNV59" s="61"/>
      <c r="SNW59" s="61"/>
      <c r="SNX59" s="61"/>
      <c r="SNY59" s="62"/>
      <c r="SNZ59" s="53"/>
      <c r="SOA59" s="60"/>
      <c r="SOB59" s="60"/>
      <c r="SOC59" s="61"/>
      <c r="SOD59" s="61"/>
      <c r="SOE59" s="61"/>
      <c r="SOF59" s="61"/>
      <c r="SOG59" s="62"/>
      <c r="SOH59" s="53"/>
      <c r="SOI59" s="60"/>
      <c r="SOJ59" s="60"/>
      <c r="SOK59" s="61"/>
      <c r="SOL59" s="61"/>
      <c r="SOM59" s="61"/>
      <c r="SON59" s="61"/>
      <c r="SOO59" s="62"/>
      <c r="SOP59" s="53"/>
      <c r="SOQ59" s="60"/>
      <c r="SOR59" s="60"/>
      <c r="SOS59" s="61"/>
      <c r="SOT59" s="61"/>
      <c r="SOU59" s="61"/>
      <c r="SOV59" s="61"/>
      <c r="SOW59" s="62"/>
      <c r="SOX59" s="53"/>
      <c r="SOY59" s="60"/>
      <c r="SOZ59" s="60"/>
      <c r="SPA59" s="61"/>
      <c r="SPB59" s="61"/>
      <c r="SPC59" s="61"/>
      <c r="SPD59" s="61"/>
      <c r="SPE59" s="62"/>
      <c r="SPF59" s="53"/>
      <c r="SPG59" s="60"/>
      <c r="SPH59" s="60"/>
      <c r="SPI59" s="61"/>
      <c r="SPJ59" s="61"/>
      <c r="SPK59" s="61"/>
      <c r="SPL59" s="61"/>
      <c r="SPM59" s="62"/>
      <c r="SPN59" s="53"/>
      <c r="SPO59" s="60"/>
      <c r="SPP59" s="60"/>
      <c r="SPQ59" s="61"/>
      <c r="SPR59" s="61"/>
      <c r="SPS59" s="61"/>
      <c r="SPT59" s="61"/>
      <c r="SPU59" s="62"/>
      <c r="SPV59" s="53"/>
      <c r="SPW59" s="60"/>
      <c r="SPX59" s="60"/>
      <c r="SPY59" s="61"/>
      <c r="SPZ59" s="61"/>
      <c r="SQA59" s="61"/>
      <c r="SQB59" s="61"/>
      <c r="SQC59" s="62"/>
      <c r="SQD59" s="53"/>
      <c r="SQE59" s="60"/>
      <c r="SQF59" s="60"/>
      <c r="SQG59" s="61"/>
      <c r="SQH59" s="61"/>
      <c r="SQI59" s="61"/>
      <c r="SQJ59" s="61"/>
      <c r="SQK59" s="62"/>
      <c r="SQL59" s="53"/>
      <c r="SQM59" s="60"/>
      <c r="SQN59" s="60"/>
      <c r="SQO59" s="61"/>
      <c r="SQP59" s="61"/>
      <c r="SQQ59" s="61"/>
      <c r="SQR59" s="61"/>
      <c r="SQS59" s="62"/>
      <c r="SQT59" s="53"/>
      <c r="SQU59" s="60"/>
      <c r="SQV59" s="60"/>
      <c r="SQW59" s="61"/>
      <c r="SQX59" s="61"/>
      <c r="SQY59" s="61"/>
      <c r="SQZ59" s="61"/>
      <c r="SRA59" s="62"/>
      <c r="SRB59" s="53"/>
      <c r="SRC59" s="60"/>
      <c r="SRD59" s="60"/>
      <c r="SRE59" s="61"/>
      <c r="SRF59" s="61"/>
      <c r="SRG59" s="61"/>
      <c r="SRH59" s="61"/>
      <c r="SRI59" s="62"/>
      <c r="SRJ59" s="53"/>
      <c r="SRK59" s="60"/>
      <c r="SRL59" s="60"/>
      <c r="SRM59" s="61"/>
      <c r="SRN59" s="61"/>
      <c r="SRO59" s="61"/>
      <c r="SRP59" s="61"/>
      <c r="SRQ59" s="62"/>
      <c r="SRR59" s="53"/>
      <c r="SRS59" s="60"/>
      <c r="SRT59" s="60"/>
      <c r="SRU59" s="61"/>
      <c r="SRV59" s="61"/>
      <c r="SRW59" s="61"/>
      <c r="SRX59" s="61"/>
      <c r="SRY59" s="62"/>
      <c r="SRZ59" s="53"/>
      <c r="SSA59" s="60"/>
      <c r="SSB59" s="60"/>
      <c r="SSC59" s="61"/>
      <c r="SSD59" s="61"/>
      <c r="SSE59" s="61"/>
      <c r="SSF59" s="61"/>
      <c r="SSG59" s="62"/>
      <c r="SSH59" s="53"/>
      <c r="SSI59" s="60"/>
      <c r="SSJ59" s="60"/>
      <c r="SSK59" s="61"/>
      <c r="SSL59" s="61"/>
      <c r="SSM59" s="61"/>
      <c r="SSN59" s="61"/>
      <c r="SSO59" s="62"/>
      <c r="SSP59" s="53"/>
      <c r="SSQ59" s="60"/>
      <c r="SSR59" s="60"/>
      <c r="SSS59" s="61"/>
      <c r="SST59" s="61"/>
      <c r="SSU59" s="61"/>
      <c r="SSV59" s="61"/>
      <c r="SSW59" s="62"/>
      <c r="SSX59" s="53"/>
      <c r="SSY59" s="60"/>
      <c r="SSZ59" s="60"/>
      <c r="STA59" s="61"/>
      <c r="STB59" s="61"/>
      <c r="STC59" s="61"/>
      <c r="STD59" s="61"/>
      <c r="STE59" s="62"/>
      <c r="STF59" s="53"/>
      <c r="STG59" s="60"/>
      <c r="STH59" s="60"/>
      <c r="STI59" s="61"/>
      <c r="STJ59" s="61"/>
      <c r="STK59" s="61"/>
      <c r="STL59" s="61"/>
      <c r="STM59" s="62"/>
      <c r="STN59" s="53"/>
      <c r="STO59" s="60"/>
      <c r="STP59" s="60"/>
      <c r="STQ59" s="61"/>
      <c r="STR59" s="61"/>
      <c r="STS59" s="61"/>
      <c r="STT59" s="61"/>
      <c r="STU59" s="62"/>
      <c r="STV59" s="53"/>
      <c r="STW59" s="60"/>
      <c r="STX59" s="60"/>
      <c r="STY59" s="61"/>
      <c r="STZ59" s="61"/>
      <c r="SUA59" s="61"/>
      <c r="SUB59" s="61"/>
      <c r="SUC59" s="62"/>
      <c r="SUD59" s="53"/>
      <c r="SUE59" s="60"/>
      <c r="SUF59" s="60"/>
      <c r="SUG59" s="61"/>
      <c r="SUH59" s="61"/>
      <c r="SUI59" s="61"/>
      <c r="SUJ59" s="61"/>
      <c r="SUK59" s="62"/>
      <c r="SUL59" s="53"/>
      <c r="SUM59" s="60"/>
      <c r="SUN59" s="60"/>
      <c r="SUO59" s="61"/>
      <c r="SUP59" s="61"/>
      <c r="SUQ59" s="61"/>
      <c r="SUR59" s="61"/>
      <c r="SUS59" s="62"/>
      <c r="SUT59" s="53"/>
      <c r="SUU59" s="60"/>
      <c r="SUV59" s="60"/>
      <c r="SUW59" s="61"/>
      <c r="SUX59" s="61"/>
      <c r="SUY59" s="61"/>
      <c r="SUZ59" s="61"/>
      <c r="SVA59" s="62"/>
      <c r="SVB59" s="53"/>
      <c r="SVC59" s="60"/>
      <c r="SVD59" s="60"/>
      <c r="SVE59" s="61"/>
      <c r="SVF59" s="61"/>
      <c r="SVG59" s="61"/>
      <c r="SVH59" s="61"/>
      <c r="SVI59" s="62"/>
      <c r="SVJ59" s="53"/>
      <c r="SVK59" s="60"/>
      <c r="SVL59" s="60"/>
      <c r="SVM59" s="61"/>
      <c r="SVN59" s="61"/>
      <c r="SVO59" s="61"/>
      <c r="SVP59" s="61"/>
      <c r="SVQ59" s="62"/>
      <c r="SVR59" s="53"/>
      <c r="SVS59" s="60"/>
      <c r="SVT59" s="60"/>
      <c r="SVU59" s="61"/>
      <c r="SVV59" s="61"/>
      <c r="SVW59" s="61"/>
      <c r="SVX59" s="61"/>
      <c r="SVY59" s="62"/>
      <c r="SVZ59" s="53"/>
      <c r="SWA59" s="60"/>
      <c r="SWB59" s="60"/>
      <c r="SWC59" s="61"/>
      <c r="SWD59" s="61"/>
      <c r="SWE59" s="61"/>
      <c r="SWF59" s="61"/>
      <c r="SWG59" s="62"/>
      <c r="SWH59" s="53"/>
      <c r="SWI59" s="60"/>
      <c r="SWJ59" s="60"/>
      <c r="SWK59" s="61"/>
      <c r="SWL59" s="61"/>
      <c r="SWM59" s="61"/>
      <c r="SWN59" s="61"/>
      <c r="SWO59" s="62"/>
      <c r="SWP59" s="53"/>
      <c r="SWQ59" s="60"/>
      <c r="SWR59" s="60"/>
      <c r="SWS59" s="61"/>
      <c r="SWT59" s="61"/>
      <c r="SWU59" s="61"/>
      <c r="SWV59" s="61"/>
      <c r="SWW59" s="62"/>
      <c r="SWX59" s="53"/>
      <c r="SWY59" s="60"/>
      <c r="SWZ59" s="60"/>
      <c r="SXA59" s="61"/>
      <c r="SXB59" s="61"/>
      <c r="SXC59" s="61"/>
      <c r="SXD59" s="61"/>
      <c r="SXE59" s="62"/>
      <c r="SXF59" s="53"/>
      <c r="SXG59" s="60"/>
      <c r="SXH59" s="60"/>
      <c r="SXI59" s="61"/>
      <c r="SXJ59" s="61"/>
      <c r="SXK59" s="61"/>
      <c r="SXL59" s="61"/>
      <c r="SXM59" s="62"/>
      <c r="SXN59" s="53"/>
      <c r="SXO59" s="60"/>
      <c r="SXP59" s="60"/>
      <c r="SXQ59" s="61"/>
      <c r="SXR59" s="61"/>
      <c r="SXS59" s="61"/>
      <c r="SXT59" s="61"/>
      <c r="SXU59" s="62"/>
      <c r="SXV59" s="53"/>
      <c r="SXW59" s="60"/>
      <c r="SXX59" s="60"/>
      <c r="SXY59" s="61"/>
      <c r="SXZ59" s="61"/>
      <c r="SYA59" s="61"/>
      <c r="SYB59" s="61"/>
      <c r="SYC59" s="62"/>
      <c r="SYD59" s="53"/>
      <c r="SYE59" s="60"/>
      <c r="SYF59" s="60"/>
      <c r="SYG59" s="61"/>
      <c r="SYH59" s="61"/>
      <c r="SYI59" s="61"/>
      <c r="SYJ59" s="61"/>
      <c r="SYK59" s="62"/>
      <c r="SYL59" s="53"/>
      <c r="SYM59" s="60"/>
      <c r="SYN59" s="60"/>
      <c r="SYO59" s="61"/>
      <c r="SYP59" s="61"/>
      <c r="SYQ59" s="61"/>
      <c r="SYR59" s="61"/>
      <c r="SYS59" s="62"/>
      <c r="SYT59" s="53"/>
      <c r="SYU59" s="60"/>
      <c r="SYV59" s="60"/>
      <c r="SYW59" s="61"/>
      <c r="SYX59" s="61"/>
      <c r="SYY59" s="61"/>
      <c r="SYZ59" s="61"/>
      <c r="SZA59" s="62"/>
      <c r="SZB59" s="53"/>
      <c r="SZC59" s="60"/>
      <c r="SZD59" s="60"/>
      <c r="SZE59" s="61"/>
      <c r="SZF59" s="61"/>
      <c r="SZG59" s="61"/>
      <c r="SZH59" s="61"/>
      <c r="SZI59" s="62"/>
      <c r="SZJ59" s="53"/>
      <c r="SZK59" s="60"/>
      <c r="SZL59" s="60"/>
      <c r="SZM59" s="61"/>
      <c r="SZN59" s="61"/>
      <c r="SZO59" s="61"/>
      <c r="SZP59" s="61"/>
      <c r="SZQ59" s="62"/>
      <c r="SZR59" s="53"/>
      <c r="SZS59" s="60"/>
      <c r="SZT59" s="60"/>
      <c r="SZU59" s="61"/>
      <c r="SZV59" s="61"/>
      <c r="SZW59" s="61"/>
      <c r="SZX59" s="61"/>
      <c r="SZY59" s="62"/>
      <c r="SZZ59" s="53"/>
      <c r="TAA59" s="60"/>
      <c r="TAB59" s="60"/>
      <c r="TAC59" s="61"/>
      <c r="TAD59" s="61"/>
      <c r="TAE59" s="61"/>
      <c r="TAF59" s="61"/>
      <c r="TAG59" s="62"/>
      <c r="TAH59" s="53"/>
      <c r="TAI59" s="60"/>
      <c r="TAJ59" s="60"/>
      <c r="TAK59" s="61"/>
      <c r="TAL59" s="61"/>
      <c r="TAM59" s="61"/>
      <c r="TAN59" s="61"/>
      <c r="TAO59" s="62"/>
      <c r="TAP59" s="53"/>
      <c r="TAQ59" s="60"/>
      <c r="TAR59" s="60"/>
      <c r="TAS59" s="61"/>
      <c r="TAT59" s="61"/>
      <c r="TAU59" s="61"/>
      <c r="TAV59" s="61"/>
      <c r="TAW59" s="62"/>
      <c r="TAX59" s="53"/>
      <c r="TAY59" s="60"/>
      <c r="TAZ59" s="60"/>
      <c r="TBA59" s="61"/>
      <c r="TBB59" s="61"/>
      <c r="TBC59" s="61"/>
      <c r="TBD59" s="61"/>
      <c r="TBE59" s="62"/>
      <c r="TBF59" s="53"/>
      <c r="TBG59" s="60"/>
      <c r="TBH59" s="60"/>
      <c r="TBI59" s="61"/>
      <c r="TBJ59" s="61"/>
      <c r="TBK59" s="61"/>
      <c r="TBL59" s="61"/>
      <c r="TBM59" s="62"/>
      <c r="TBN59" s="53"/>
      <c r="TBO59" s="60"/>
      <c r="TBP59" s="60"/>
      <c r="TBQ59" s="61"/>
      <c r="TBR59" s="61"/>
      <c r="TBS59" s="61"/>
      <c r="TBT59" s="61"/>
      <c r="TBU59" s="62"/>
      <c r="TBV59" s="53"/>
      <c r="TBW59" s="60"/>
      <c r="TBX59" s="60"/>
      <c r="TBY59" s="61"/>
      <c r="TBZ59" s="61"/>
      <c r="TCA59" s="61"/>
      <c r="TCB59" s="61"/>
      <c r="TCC59" s="62"/>
      <c r="TCD59" s="53"/>
      <c r="TCE59" s="60"/>
      <c r="TCF59" s="60"/>
      <c r="TCG59" s="61"/>
      <c r="TCH59" s="61"/>
      <c r="TCI59" s="61"/>
      <c r="TCJ59" s="61"/>
      <c r="TCK59" s="62"/>
      <c r="TCL59" s="53"/>
      <c r="TCM59" s="60"/>
      <c r="TCN59" s="60"/>
      <c r="TCO59" s="61"/>
      <c r="TCP59" s="61"/>
      <c r="TCQ59" s="61"/>
      <c r="TCR59" s="61"/>
      <c r="TCS59" s="62"/>
      <c r="TCT59" s="53"/>
      <c r="TCU59" s="60"/>
      <c r="TCV59" s="60"/>
      <c r="TCW59" s="61"/>
      <c r="TCX59" s="61"/>
      <c r="TCY59" s="61"/>
      <c r="TCZ59" s="61"/>
      <c r="TDA59" s="62"/>
      <c r="TDB59" s="53"/>
      <c r="TDC59" s="60"/>
      <c r="TDD59" s="60"/>
      <c r="TDE59" s="61"/>
      <c r="TDF59" s="61"/>
      <c r="TDG59" s="61"/>
      <c r="TDH59" s="61"/>
      <c r="TDI59" s="62"/>
      <c r="TDJ59" s="53"/>
      <c r="TDK59" s="60"/>
      <c r="TDL59" s="60"/>
      <c r="TDM59" s="61"/>
      <c r="TDN59" s="61"/>
      <c r="TDO59" s="61"/>
      <c r="TDP59" s="61"/>
      <c r="TDQ59" s="62"/>
      <c r="TDR59" s="53"/>
      <c r="TDS59" s="60"/>
      <c r="TDT59" s="60"/>
      <c r="TDU59" s="61"/>
      <c r="TDV59" s="61"/>
      <c r="TDW59" s="61"/>
      <c r="TDX59" s="61"/>
      <c r="TDY59" s="62"/>
      <c r="TDZ59" s="53"/>
      <c r="TEA59" s="60"/>
      <c r="TEB59" s="60"/>
      <c r="TEC59" s="61"/>
      <c r="TED59" s="61"/>
      <c r="TEE59" s="61"/>
      <c r="TEF59" s="61"/>
      <c r="TEG59" s="62"/>
      <c r="TEH59" s="53"/>
      <c r="TEI59" s="60"/>
      <c r="TEJ59" s="60"/>
      <c r="TEK59" s="61"/>
      <c r="TEL59" s="61"/>
      <c r="TEM59" s="61"/>
      <c r="TEN59" s="61"/>
      <c r="TEO59" s="62"/>
      <c r="TEP59" s="53"/>
      <c r="TEQ59" s="60"/>
      <c r="TER59" s="60"/>
      <c r="TES59" s="61"/>
      <c r="TET59" s="61"/>
      <c r="TEU59" s="61"/>
      <c r="TEV59" s="61"/>
      <c r="TEW59" s="62"/>
      <c r="TEX59" s="53"/>
      <c r="TEY59" s="60"/>
      <c r="TEZ59" s="60"/>
      <c r="TFA59" s="61"/>
      <c r="TFB59" s="61"/>
      <c r="TFC59" s="61"/>
      <c r="TFD59" s="61"/>
      <c r="TFE59" s="62"/>
      <c r="TFF59" s="53"/>
      <c r="TFG59" s="60"/>
      <c r="TFH59" s="60"/>
      <c r="TFI59" s="61"/>
      <c r="TFJ59" s="61"/>
      <c r="TFK59" s="61"/>
      <c r="TFL59" s="61"/>
      <c r="TFM59" s="62"/>
      <c r="TFN59" s="53"/>
      <c r="TFO59" s="60"/>
      <c r="TFP59" s="60"/>
      <c r="TFQ59" s="61"/>
      <c r="TFR59" s="61"/>
      <c r="TFS59" s="61"/>
      <c r="TFT59" s="61"/>
      <c r="TFU59" s="62"/>
      <c r="TFV59" s="53"/>
      <c r="TFW59" s="60"/>
      <c r="TFX59" s="60"/>
      <c r="TFY59" s="61"/>
      <c r="TFZ59" s="61"/>
      <c r="TGA59" s="61"/>
      <c r="TGB59" s="61"/>
      <c r="TGC59" s="62"/>
      <c r="TGD59" s="53"/>
      <c r="TGE59" s="60"/>
      <c r="TGF59" s="60"/>
      <c r="TGG59" s="61"/>
      <c r="TGH59" s="61"/>
      <c r="TGI59" s="61"/>
      <c r="TGJ59" s="61"/>
      <c r="TGK59" s="62"/>
      <c r="TGL59" s="53"/>
      <c r="TGM59" s="60"/>
      <c r="TGN59" s="60"/>
      <c r="TGO59" s="61"/>
      <c r="TGP59" s="61"/>
      <c r="TGQ59" s="61"/>
      <c r="TGR59" s="61"/>
      <c r="TGS59" s="62"/>
      <c r="TGT59" s="53"/>
      <c r="TGU59" s="60"/>
      <c r="TGV59" s="60"/>
      <c r="TGW59" s="61"/>
      <c r="TGX59" s="61"/>
      <c r="TGY59" s="61"/>
      <c r="TGZ59" s="61"/>
      <c r="THA59" s="62"/>
      <c r="THB59" s="53"/>
      <c r="THC59" s="60"/>
      <c r="THD59" s="60"/>
      <c r="THE59" s="61"/>
      <c r="THF59" s="61"/>
      <c r="THG59" s="61"/>
      <c r="THH59" s="61"/>
      <c r="THI59" s="62"/>
      <c r="THJ59" s="53"/>
      <c r="THK59" s="60"/>
      <c r="THL59" s="60"/>
      <c r="THM59" s="61"/>
      <c r="THN59" s="61"/>
      <c r="THO59" s="61"/>
      <c r="THP59" s="61"/>
      <c r="THQ59" s="62"/>
      <c r="THR59" s="53"/>
      <c r="THS59" s="60"/>
      <c r="THT59" s="60"/>
      <c r="THU59" s="61"/>
      <c r="THV59" s="61"/>
      <c r="THW59" s="61"/>
      <c r="THX59" s="61"/>
      <c r="THY59" s="62"/>
      <c r="THZ59" s="53"/>
      <c r="TIA59" s="60"/>
      <c r="TIB59" s="60"/>
      <c r="TIC59" s="61"/>
      <c r="TID59" s="61"/>
      <c r="TIE59" s="61"/>
      <c r="TIF59" s="61"/>
      <c r="TIG59" s="62"/>
      <c r="TIH59" s="53"/>
      <c r="TII59" s="60"/>
      <c r="TIJ59" s="60"/>
      <c r="TIK59" s="61"/>
      <c r="TIL59" s="61"/>
      <c r="TIM59" s="61"/>
      <c r="TIN59" s="61"/>
      <c r="TIO59" s="62"/>
      <c r="TIP59" s="53"/>
      <c r="TIQ59" s="60"/>
      <c r="TIR59" s="60"/>
      <c r="TIS59" s="61"/>
      <c r="TIT59" s="61"/>
      <c r="TIU59" s="61"/>
      <c r="TIV59" s="61"/>
      <c r="TIW59" s="62"/>
      <c r="TIX59" s="53"/>
      <c r="TIY59" s="60"/>
      <c r="TIZ59" s="60"/>
      <c r="TJA59" s="61"/>
      <c r="TJB59" s="61"/>
      <c r="TJC59" s="61"/>
      <c r="TJD59" s="61"/>
      <c r="TJE59" s="62"/>
      <c r="TJF59" s="53"/>
      <c r="TJG59" s="60"/>
      <c r="TJH59" s="60"/>
      <c r="TJI59" s="61"/>
      <c r="TJJ59" s="61"/>
      <c r="TJK59" s="61"/>
      <c r="TJL59" s="61"/>
      <c r="TJM59" s="62"/>
      <c r="TJN59" s="53"/>
      <c r="TJO59" s="60"/>
      <c r="TJP59" s="60"/>
      <c r="TJQ59" s="61"/>
      <c r="TJR59" s="61"/>
      <c r="TJS59" s="61"/>
      <c r="TJT59" s="61"/>
      <c r="TJU59" s="62"/>
      <c r="TJV59" s="53"/>
      <c r="TJW59" s="60"/>
      <c r="TJX59" s="60"/>
      <c r="TJY59" s="61"/>
      <c r="TJZ59" s="61"/>
      <c r="TKA59" s="61"/>
      <c r="TKB59" s="61"/>
      <c r="TKC59" s="62"/>
      <c r="TKD59" s="53"/>
      <c r="TKE59" s="60"/>
      <c r="TKF59" s="60"/>
      <c r="TKG59" s="61"/>
      <c r="TKH59" s="61"/>
      <c r="TKI59" s="61"/>
      <c r="TKJ59" s="61"/>
      <c r="TKK59" s="62"/>
      <c r="TKL59" s="53"/>
      <c r="TKM59" s="60"/>
      <c r="TKN59" s="60"/>
      <c r="TKO59" s="61"/>
      <c r="TKP59" s="61"/>
      <c r="TKQ59" s="61"/>
      <c r="TKR59" s="61"/>
      <c r="TKS59" s="62"/>
      <c r="TKT59" s="53"/>
      <c r="TKU59" s="60"/>
      <c r="TKV59" s="60"/>
      <c r="TKW59" s="61"/>
      <c r="TKX59" s="61"/>
      <c r="TKY59" s="61"/>
      <c r="TKZ59" s="61"/>
      <c r="TLA59" s="62"/>
      <c r="TLB59" s="53"/>
      <c r="TLC59" s="60"/>
      <c r="TLD59" s="60"/>
      <c r="TLE59" s="61"/>
      <c r="TLF59" s="61"/>
      <c r="TLG59" s="61"/>
      <c r="TLH59" s="61"/>
      <c r="TLI59" s="62"/>
      <c r="TLJ59" s="53"/>
      <c r="TLK59" s="60"/>
      <c r="TLL59" s="60"/>
      <c r="TLM59" s="61"/>
      <c r="TLN59" s="61"/>
      <c r="TLO59" s="61"/>
      <c r="TLP59" s="61"/>
      <c r="TLQ59" s="62"/>
      <c r="TLR59" s="53"/>
      <c r="TLS59" s="60"/>
      <c r="TLT59" s="60"/>
      <c r="TLU59" s="61"/>
      <c r="TLV59" s="61"/>
      <c r="TLW59" s="61"/>
      <c r="TLX59" s="61"/>
      <c r="TLY59" s="62"/>
      <c r="TLZ59" s="53"/>
      <c r="TMA59" s="60"/>
      <c r="TMB59" s="60"/>
      <c r="TMC59" s="61"/>
      <c r="TMD59" s="61"/>
      <c r="TME59" s="61"/>
      <c r="TMF59" s="61"/>
      <c r="TMG59" s="62"/>
      <c r="TMH59" s="53"/>
      <c r="TMI59" s="60"/>
      <c r="TMJ59" s="60"/>
      <c r="TMK59" s="61"/>
      <c r="TML59" s="61"/>
      <c r="TMM59" s="61"/>
      <c r="TMN59" s="61"/>
      <c r="TMO59" s="62"/>
      <c r="TMP59" s="53"/>
      <c r="TMQ59" s="60"/>
      <c r="TMR59" s="60"/>
      <c r="TMS59" s="61"/>
      <c r="TMT59" s="61"/>
      <c r="TMU59" s="61"/>
      <c r="TMV59" s="61"/>
      <c r="TMW59" s="62"/>
      <c r="TMX59" s="53"/>
      <c r="TMY59" s="60"/>
      <c r="TMZ59" s="60"/>
      <c r="TNA59" s="61"/>
      <c r="TNB59" s="61"/>
      <c r="TNC59" s="61"/>
      <c r="TND59" s="61"/>
      <c r="TNE59" s="62"/>
      <c r="TNF59" s="53"/>
      <c r="TNG59" s="60"/>
      <c r="TNH59" s="60"/>
      <c r="TNI59" s="61"/>
      <c r="TNJ59" s="61"/>
      <c r="TNK59" s="61"/>
      <c r="TNL59" s="61"/>
      <c r="TNM59" s="62"/>
      <c r="TNN59" s="53"/>
      <c r="TNO59" s="60"/>
      <c r="TNP59" s="60"/>
      <c r="TNQ59" s="61"/>
      <c r="TNR59" s="61"/>
      <c r="TNS59" s="61"/>
      <c r="TNT59" s="61"/>
      <c r="TNU59" s="62"/>
      <c r="TNV59" s="53"/>
      <c r="TNW59" s="60"/>
      <c r="TNX59" s="60"/>
      <c r="TNY59" s="61"/>
      <c r="TNZ59" s="61"/>
      <c r="TOA59" s="61"/>
      <c r="TOB59" s="61"/>
      <c r="TOC59" s="62"/>
      <c r="TOD59" s="53"/>
      <c r="TOE59" s="60"/>
      <c r="TOF59" s="60"/>
      <c r="TOG59" s="61"/>
      <c r="TOH59" s="61"/>
      <c r="TOI59" s="61"/>
      <c r="TOJ59" s="61"/>
      <c r="TOK59" s="62"/>
      <c r="TOL59" s="53"/>
      <c r="TOM59" s="60"/>
      <c r="TON59" s="60"/>
      <c r="TOO59" s="61"/>
      <c r="TOP59" s="61"/>
      <c r="TOQ59" s="61"/>
      <c r="TOR59" s="61"/>
      <c r="TOS59" s="62"/>
      <c r="TOT59" s="53"/>
      <c r="TOU59" s="60"/>
      <c r="TOV59" s="60"/>
      <c r="TOW59" s="61"/>
      <c r="TOX59" s="61"/>
      <c r="TOY59" s="61"/>
      <c r="TOZ59" s="61"/>
      <c r="TPA59" s="62"/>
      <c r="TPB59" s="53"/>
      <c r="TPC59" s="60"/>
      <c r="TPD59" s="60"/>
      <c r="TPE59" s="61"/>
      <c r="TPF59" s="61"/>
      <c r="TPG59" s="61"/>
      <c r="TPH59" s="61"/>
      <c r="TPI59" s="62"/>
      <c r="TPJ59" s="53"/>
      <c r="TPK59" s="60"/>
      <c r="TPL59" s="60"/>
      <c r="TPM59" s="61"/>
      <c r="TPN59" s="61"/>
      <c r="TPO59" s="61"/>
      <c r="TPP59" s="61"/>
      <c r="TPQ59" s="62"/>
      <c r="TPR59" s="53"/>
      <c r="TPS59" s="60"/>
      <c r="TPT59" s="60"/>
      <c r="TPU59" s="61"/>
      <c r="TPV59" s="61"/>
      <c r="TPW59" s="61"/>
      <c r="TPX59" s="61"/>
      <c r="TPY59" s="62"/>
      <c r="TPZ59" s="53"/>
      <c r="TQA59" s="60"/>
      <c r="TQB59" s="60"/>
      <c r="TQC59" s="61"/>
      <c r="TQD59" s="61"/>
      <c r="TQE59" s="61"/>
      <c r="TQF59" s="61"/>
      <c r="TQG59" s="62"/>
      <c r="TQH59" s="53"/>
      <c r="TQI59" s="60"/>
      <c r="TQJ59" s="60"/>
      <c r="TQK59" s="61"/>
      <c r="TQL59" s="61"/>
      <c r="TQM59" s="61"/>
      <c r="TQN59" s="61"/>
      <c r="TQO59" s="62"/>
      <c r="TQP59" s="53"/>
      <c r="TQQ59" s="60"/>
      <c r="TQR59" s="60"/>
      <c r="TQS59" s="61"/>
      <c r="TQT59" s="61"/>
      <c r="TQU59" s="61"/>
      <c r="TQV59" s="61"/>
      <c r="TQW59" s="62"/>
      <c r="TQX59" s="53"/>
      <c r="TQY59" s="60"/>
      <c r="TQZ59" s="60"/>
      <c r="TRA59" s="61"/>
      <c r="TRB59" s="61"/>
      <c r="TRC59" s="61"/>
      <c r="TRD59" s="61"/>
      <c r="TRE59" s="62"/>
      <c r="TRF59" s="53"/>
      <c r="TRG59" s="60"/>
      <c r="TRH59" s="60"/>
      <c r="TRI59" s="61"/>
      <c r="TRJ59" s="61"/>
      <c r="TRK59" s="61"/>
      <c r="TRL59" s="61"/>
      <c r="TRM59" s="62"/>
      <c r="TRN59" s="53"/>
      <c r="TRO59" s="60"/>
      <c r="TRP59" s="60"/>
      <c r="TRQ59" s="61"/>
      <c r="TRR59" s="61"/>
      <c r="TRS59" s="61"/>
      <c r="TRT59" s="61"/>
      <c r="TRU59" s="62"/>
      <c r="TRV59" s="53"/>
      <c r="TRW59" s="60"/>
      <c r="TRX59" s="60"/>
      <c r="TRY59" s="61"/>
      <c r="TRZ59" s="61"/>
      <c r="TSA59" s="61"/>
      <c r="TSB59" s="61"/>
      <c r="TSC59" s="62"/>
      <c r="TSD59" s="53"/>
      <c r="TSE59" s="60"/>
      <c r="TSF59" s="60"/>
      <c r="TSG59" s="61"/>
      <c r="TSH59" s="61"/>
      <c r="TSI59" s="61"/>
      <c r="TSJ59" s="61"/>
      <c r="TSK59" s="62"/>
      <c r="TSL59" s="53"/>
      <c r="TSM59" s="60"/>
      <c r="TSN59" s="60"/>
      <c r="TSO59" s="61"/>
      <c r="TSP59" s="61"/>
      <c r="TSQ59" s="61"/>
      <c r="TSR59" s="61"/>
      <c r="TSS59" s="62"/>
      <c r="TST59" s="53"/>
      <c r="TSU59" s="60"/>
      <c r="TSV59" s="60"/>
      <c r="TSW59" s="61"/>
      <c r="TSX59" s="61"/>
      <c r="TSY59" s="61"/>
      <c r="TSZ59" s="61"/>
      <c r="TTA59" s="62"/>
      <c r="TTB59" s="53"/>
      <c r="TTC59" s="60"/>
      <c r="TTD59" s="60"/>
      <c r="TTE59" s="61"/>
      <c r="TTF59" s="61"/>
      <c r="TTG59" s="61"/>
      <c r="TTH59" s="61"/>
      <c r="TTI59" s="62"/>
      <c r="TTJ59" s="53"/>
      <c r="TTK59" s="60"/>
      <c r="TTL59" s="60"/>
      <c r="TTM59" s="61"/>
      <c r="TTN59" s="61"/>
      <c r="TTO59" s="61"/>
      <c r="TTP59" s="61"/>
      <c r="TTQ59" s="62"/>
      <c r="TTR59" s="53"/>
      <c r="TTS59" s="60"/>
      <c r="TTT59" s="60"/>
      <c r="TTU59" s="61"/>
      <c r="TTV59" s="61"/>
      <c r="TTW59" s="61"/>
      <c r="TTX59" s="61"/>
      <c r="TTY59" s="62"/>
      <c r="TTZ59" s="53"/>
      <c r="TUA59" s="60"/>
      <c r="TUB59" s="60"/>
      <c r="TUC59" s="61"/>
      <c r="TUD59" s="61"/>
      <c r="TUE59" s="61"/>
      <c r="TUF59" s="61"/>
      <c r="TUG59" s="62"/>
      <c r="TUH59" s="53"/>
      <c r="TUI59" s="60"/>
      <c r="TUJ59" s="60"/>
      <c r="TUK59" s="61"/>
      <c r="TUL59" s="61"/>
      <c r="TUM59" s="61"/>
      <c r="TUN59" s="61"/>
      <c r="TUO59" s="62"/>
      <c r="TUP59" s="53"/>
      <c r="TUQ59" s="60"/>
      <c r="TUR59" s="60"/>
      <c r="TUS59" s="61"/>
      <c r="TUT59" s="61"/>
      <c r="TUU59" s="61"/>
      <c r="TUV59" s="61"/>
      <c r="TUW59" s="62"/>
      <c r="TUX59" s="53"/>
      <c r="TUY59" s="60"/>
      <c r="TUZ59" s="60"/>
      <c r="TVA59" s="61"/>
      <c r="TVB59" s="61"/>
      <c r="TVC59" s="61"/>
      <c r="TVD59" s="61"/>
      <c r="TVE59" s="62"/>
      <c r="TVF59" s="53"/>
      <c r="TVG59" s="60"/>
      <c r="TVH59" s="60"/>
      <c r="TVI59" s="61"/>
      <c r="TVJ59" s="61"/>
      <c r="TVK59" s="61"/>
      <c r="TVL59" s="61"/>
      <c r="TVM59" s="62"/>
      <c r="TVN59" s="53"/>
      <c r="TVO59" s="60"/>
      <c r="TVP59" s="60"/>
      <c r="TVQ59" s="61"/>
      <c r="TVR59" s="61"/>
      <c r="TVS59" s="61"/>
      <c r="TVT59" s="61"/>
      <c r="TVU59" s="62"/>
      <c r="TVV59" s="53"/>
      <c r="TVW59" s="60"/>
      <c r="TVX59" s="60"/>
      <c r="TVY59" s="61"/>
      <c r="TVZ59" s="61"/>
      <c r="TWA59" s="61"/>
      <c r="TWB59" s="61"/>
      <c r="TWC59" s="62"/>
      <c r="TWD59" s="53"/>
      <c r="TWE59" s="60"/>
      <c r="TWF59" s="60"/>
      <c r="TWG59" s="61"/>
      <c r="TWH59" s="61"/>
      <c r="TWI59" s="61"/>
      <c r="TWJ59" s="61"/>
      <c r="TWK59" s="62"/>
      <c r="TWL59" s="53"/>
      <c r="TWM59" s="60"/>
      <c r="TWN59" s="60"/>
      <c r="TWO59" s="61"/>
      <c r="TWP59" s="61"/>
      <c r="TWQ59" s="61"/>
      <c r="TWR59" s="61"/>
      <c r="TWS59" s="62"/>
      <c r="TWT59" s="53"/>
      <c r="TWU59" s="60"/>
      <c r="TWV59" s="60"/>
      <c r="TWW59" s="61"/>
      <c r="TWX59" s="61"/>
      <c r="TWY59" s="61"/>
      <c r="TWZ59" s="61"/>
      <c r="TXA59" s="62"/>
      <c r="TXB59" s="53"/>
      <c r="TXC59" s="60"/>
      <c r="TXD59" s="60"/>
      <c r="TXE59" s="61"/>
      <c r="TXF59" s="61"/>
      <c r="TXG59" s="61"/>
      <c r="TXH59" s="61"/>
      <c r="TXI59" s="62"/>
      <c r="TXJ59" s="53"/>
      <c r="TXK59" s="60"/>
      <c r="TXL59" s="60"/>
      <c r="TXM59" s="61"/>
      <c r="TXN59" s="61"/>
      <c r="TXO59" s="61"/>
      <c r="TXP59" s="61"/>
      <c r="TXQ59" s="62"/>
      <c r="TXR59" s="53"/>
      <c r="TXS59" s="60"/>
      <c r="TXT59" s="60"/>
      <c r="TXU59" s="61"/>
      <c r="TXV59" s="61"/>
      <c r="TXW59" s="61"/>
      <c r="TXX59" s="61"/>
      <c r="TXY59" s="62"/>
      <c r="TXZ59" s="53"/>
      <c r="TYA59" s="60"/>
      <c r="TYB59" s="60"/>
      <c r="TYC59" s="61"/>
      <c r="TYD59" s="61"/>
      <c r="TYE59" s="61"/>
      <c r="TYF59" s="61"/>
      <c r="TYG59" s="62"/>
      <c r="TYH59" s="53"/>
      <c r="TYI59" s="60"/>
      <c r="TYJ59" s="60"/>
      <c r="TYK59" s="61"/>
      <c r="TYL59" s="61"/>
      <c r="TYM59" s="61"/>
      <c r="TYN59" s="61"/>
      <c r="TYO59" s="62"/>
      <c r="TYP59" s="53"/>
      <c r="TYQ59" s="60"/>
      <c r="TYR59" s="60"/>
      <c r="TYS59" s="61"/>
      <c r="TYT59" s="61"/>
      <c r="TYU59" s="61"/>
      <c r="TYV59" s="61"/>
      <c r="TYW59" s="62"/>
      <c r="TYX59" s="53"/>
      <c r="TYY59" s="60"/>
      <c r="TYZ59" s="60"/>
      <c r="TZA59" s="61"/>
      <c r="TZB59" s="61"/>
      <c r="TZC59" s="61"/>
      <c r="TZD59" s="61"/>
      <c r="TZE59" s="62"/>
      <c r="TZF59" s="53"/>
      <c r="TZG59" s="60"/>
      <c r="TZH59" s="60"/>
      <c r="TZI59" s="61"/>
      <c r="TZJ59" s="61"/>
      <c r="TZK59" s="61"/>
      <c r="TZL59" s="61"/>
      <c r="TZM59" s="62"/>
      <c r="TZN59" s="53"/>
      <c r="TZO59" s="60"/>
      <c r="TZP59" s="60"/>
      <c r="TZQ59" s="61"/>
      <c r="TZR59" s="61"/>
      <c r="TZS59" s="61"/>
      <c r="TZT59" s="61"/>
      <c r="TZU59" s="62"/>
      <c r="TZV59" s="53"/>
      <c r="TZW59" s="60"/>
      <c r="TZX59" s="60"/>
      <c r="TZY59" s="61"/>
      <c r="TZZ59" s="61"/>
      <c r="UAA59" s="61"/>
      <c r="UAB59" s="61"/>
      <c r="UAC59" s="62"/>
      <c r="UAD59" s="53"/>
      <c r="UAE59" s="60"/>
      <c r="UAF59" s="60"/>
      <c r="UAG59" s="61"/>
      <c r="UAH59" s="61"/>
      <c r="UAI59" s="61"/>
      <c r="UAJ59" s="61"/>
      <c r="UAK59" s="62"/>
      <c r="UAL59" s="53"/>
      <c r="UAM59" s="60"/>
      <c r="UAN59" s="60"/>
      <c r="UAO59" s="61"/>
      <c r="UAP59" s="61"/>
      <c r="UAQ59" s="61"/>
      <c r="UAR59" s="61"/>
      <c r="UAS59" s="62"/>
      <c r="UAT59" s="53"/>
      <c r="UAU59" s="60"/>
      <c r="UAV59" s="60"/>
      <c r="UAW59" s="61"/>
      <c r="UAX59" s="61"/>
      <c r="UAY59" s="61"/>
      <c r="UAZ59" s="61"/>
      <c r="UBA59" s="62"/>
      <c r="UBB59" s="53"/>
      <c r="UBC59" s="60"/>
      <c r="UBD59" s="60"/>
      <c r="UBE59" s="61"/>
      <c r="UBF59" s="61"/>
      <c r="UBG59" s="61"/>
      <c r="UBH59" s="61"/>
      <c r="UBI59" s="62"/>
      <c r="UBJ59" s="53"/>
      <c r="UBK59" s="60"/>
      <c r="UBL59" s="60"/>
      <c r="UBM59" s="61"/>
      <c r="UBN59" s="61"/>
      <c r="UBO59" s="61"/>
      <c r="UBP59" s="61"/>
      <c r="UBQ59" s="62"/>
      <c r="UBR59" s="53"/>
      <c r="UBS59" s="60"/>
      <c r="UBT59" s="60"/>
      <c r="UBU59" s="61"/>
      <c r="UBV59" s="61"/>
      <c r="UBW59" s="61"/>
      <c r="UBX59" s="61"/>
      <c r="UBY59" s="62"/>
      <c r="UBZ59" s="53"/>
      <c r="UCA59" s="60"/>
      <c r="UCB59" s="60"/>
      <c r="UCC59" s="61"/>
      <c r="UCD59" s="61"/>
      <c r="UCE59" s="61"/>
      <c r="UCF59" s="61"/>
      <c r="UCG59" s="62"/>
      <c r="UCH59" s="53"/>
      <c r="UCI59" s="60"/>
      <c r="UCJ59" s="60"/>
      <c r="UCK59" s="61"/>
      <c r="UCL59" s="61"/>
      <c r="UCM59" s="61"/>
      <c r="UCN59" s="61"/>
      <c r="UCO59" s="62"/>
      <c r="UCP59" s="53"/>
      <c r="UCQ59" s="60"/>
      <c r="UCR59" s="60"/>
      <c r="UCS59" s="61"/>
      <c r="UCT59" s="61"/>
      <c r="UCU59" s="61"/>
      <c r="UCV59" s="61"/>
      <c r="UCW59" s="62"/>
      <c r="UCX59" s="53"/>
      <c r="UCY59" s="60"/>
      <c r="UCZ59" s="60"/>
      <c r="UDA59" s="61"/>
      <c r="UDB59" s="61"/>
      <c r="UDC59" s="61"/>
      <c r="UDD59" s="61"/>
      <c r="UDE59" s="62"/>
      <c r="UDF59" s="53"/>
      <c r="UDG59" s="60"/>
      <c r="UDH59" s="60"/>
      <c r="UDI59" s="61"/>
      <c r="UDJ59" s="61"/>
      <c r="UDK59" s="61"/>
      <c r="UDL59" s="61"/>
      <c r="UDM59" s="62"/>
      <c r="UDN59" s="53"/>
      <c r="UDO59" s="60"/>
      <c r="UDP59" s="60"/>
      <c r="UDQ59" s="61"/>
      <c r="UDR59" s="61"/>
      <c r="UDS59" s="61"/>
      <c r="UDT59" s="61"/>
      <c r="UDU59" s="62"/>
      <c r="UDV59" s="53"/>
      <c r="UDW59" s="60"/>
      <c r="UDX59" s="60"/>
      <c r="UDY59" s="61"/>
      <c r="UDZ59" s="61"/>
      <c r="UEA59" s="61"/>
      <c r="UEB59" s="61"/>
      <c r="UEC59" s="62"/>
      <c r="UED59" s="53"/>
      <c r="UEE59" s="60"/>
      <c r="UEF59" s="60"/>
      <c r="UEG59" s="61"/>
      <c r="UEH59" s="61"/>
      <c r="UEI59" s="61"/>
      <c r="UEJ59" s="61"/>
      <c r="UEK59" s="62"/>
      <c r="UEL59" s="53"/>
      <c r="UEM59" s="60"/>
      <c r="UEN59" s="60"/>
      <c r="UEO59" s="61"/>
      <c r="UEP59" s="61"/>
      <c r="UEQ59" s="61"/>
      <c r="UER59" s="61"/>
      <c r="UES59" s="62"/>
      <c r="UET59" s="53"/>
      <c r="UEU59" s="60"/>
      <c r="UEV59" s="60"/>
      <c r="UEW59" s="61"/>
      <c r="UEX59" s="61"/>
      <c r="UEY59" s="61"/>
      <c r="UEZ59" s="61"/>
      <c r="UFA59" s="62"/>
      <c r="UFB59" s="53"/>
      <c r="UFC59" s="60"/>
      <c r="UFD59" s="60"/>
      <c r="UFE59" s="61"/>
      <c r="UFF59" s="61"/>
      <c r="UFG59" s="61"/>
      <c r="UFH59" s="61"/>
      <c r="UFI59" s="62"/>
      <c r="UFJ59" s="53"/>
      <c r="UFK59" s="60"/>
      <c r="UFL59" s="60"/>
      <c r="UFM59" s="61"/>
      <c r="UFN59" s="61"/>
      <c r="UFO59" s="61"/>
      <c r="UFP59" s="61"/>
      <c r="UFQ59" s="62"/>
      <c r="UFR59" s="53"/>
      <c r="UFS59" s="60"/>
      <c r="UFT59" s="60"/>
      <c r="UFU59" s="61"/>
      <c r="UFV59" s="61"/>
      <c r="UFW59" s="61"/>
      <c r="UFX59" s="61"/>
      <c r="UFY59" s="62"/>
      <c r="UFZ59" s="53"/>
      <c r="UGA59" s="60"/>
      <c r="UGB59" s="60"/>
      <c r="UGC59" s="61"/>
      <c r="UGD59" s="61"/>
      <c r="UGE59" s="61"/>
      <c r="UGF59" s="61"/>
      <c r="UGG59" s="62"/>
      <c r="UGH59" s="53"/>
      <c r="UGI59" s="60"/>
      <c r="UGJ59" s="60"/>
      <c r="UGK59" s="61"/>
      <c r="UGL59" s="61"/>
      <c r="UGM59" s="61"/>
      <c r="UGN59" s="61"/>
      <c r="UGO59" s="62"/>
      <c r="UGP59" s="53"/>
      <c r="UGQ59" s="60"/>
      <c r="UGR59" s="60"/>
      <c r="UGS59" s="61"/>
      <c r="UGT59" s="61"/>
      <c r="UGU59" s="61"/>
      <c r="UGV59" s="61"/>
      <c r="UGW59" s="62"/>
      <c r="UGX59" s="53"/>
      <c r="UGY59" s="60"/>
      <c r="UGZ59" s="60"/>
      <c r="UHA59" s="61"/>
      <c r="UHB59" s="61"/>
      <c r="UHC59" s="61"/>
      <c r="UHD59" s="61"/>
      <c r="UHE59" s="62"/>
      <c r="UHF59" s="53"/>
      <c r="UHG59" s="60"/>
      <c r="UHH59" s="60"/>
      <c r="UHI59" s="61"/>
      <c r="UHJ59" s="61"/>
      <c r="UHK59" s="61"/>
      <c r="UHL59" s="61"/>
      <c r="UHM59" s="62"/>
      <c r="UHN59" s="53"/>
      <c r="UHO59" s="60"/>
      <c r="UHP59" s="60"/>
      <c r="UHQ59" s="61"/>
      <c r="UHR59" s="61"/>
      <c r="UHS59" s="61"/>
      <c r="UHT59" s="61"/>
      <c r="UHU59" s="62"/>
      <c r="UHV59" s="53"/>
      <c r="UHW59" s="60"/>
      <c r="UHX59" s="60"/>
      <c r="UHY59" s="61"/>
      <c r="UHZ59" s="61"/>
      <c r="UIA59" s="61"/>
      <c r="UIB59" s="61"/>
      <c r="UIC59" s="62"/>
      <c r="UID59" s="53"/>
      <c r="UIE59" s="60"/>
      <c r="UIF59" s="60"/>
      <c r="UIG59" s="61"/>
      <c r="UIH59" s="61"/>
      <c r="UII59" s="61"/>
      <c r="UIJ59" s="61"/>
      <c r="UIK59" s="62"/>
      <c r="UIL59" s="53"/>
      <c r="UIM59" s="60"/>
      <c r="UIN59" s="60"/>
      <c r="UIO59" s="61"/>
      <c r="UIP59" s="61"/>
      <c r="UIQ59" s="61"/>
      <c r="UIR59" s="61"/>
      <c r="UIS59" s="62"/>
      <c r="UIT59" s="53"/>
      <c r="UIU59" s="60"/>
      <c r="UIV59" s="60"/>
      <c r="UIW59" s="61"/>
      <c r="UIX59" s="61"/>
      <c r="UIY59" s="61"/>
      <c r="UIZ59" s="61"/>
      <c r="UJA59" s="62"/>
      <c r="UJB59" s="53"/>
      <c r="UJC59" s="60"/>
      <c r="UJD59" s="60"/>
      <c r="UJE59" s="61"/>
      <c r="UJF59" s="61"/>
      <c r="UJG59" s="61"/>
      <c r="UJH59" s="61"/>
      <c r="UJI59" s="62"/>
      <c r="UJJ59" s="53"/>
      <c r="UJK59" s="60"/>
      <c r="UJL59" s="60"/>
      <c r="UJM59" s="61"/>
      <c r="UJN59" s="61"/>
      <c r="UJO59" s="61"/>
      <c r="UJP59" s="61"/>
      <c r="UJQ59" s="62"/>
      <c r="UJR59" s="53"/>
      <c r="UJS59" s="60"/>
      <c r="UJT59" s="60"/>
      <c r="UJU59" s="61"/>
      <c r="UJV59" s="61"/>
      <c r="UJW59" s="61"/>
      <c r="UJX59" s="61"/>
      <c r="UJY59" s="62"/>
      <c r="UJZ59" s="53"/>
      <c r="UKA59" s="60"/>
      <c r="UKB59" s="60"/>
      <c r="UKC59" s="61"/>
      <c r="UKD59" s="61"/>
      <c r="UKE59" s="61"/>
      <c r="UKF59" s="61"/>
      <c r="UKG59" s="62"/>
      <c r="UKH59" s="53"/>
      <c r="UKI59" s="60"/>
      <c r="UKJ59" s="60"/>
      <c r="UKK59" s="61"/>
      <c r="UKL59" s="61"/>
      <c r="UKM59" s="61"/>
      <c r="UKN59" s="61"/>
      <c r="UKO59" s="62"/>
      <c r="UKP59" s="53"/>
      <c r="UKQ59" s="60"/>
      <c r="UKR59" s="60"/>
      <c r="UKS59" s="61"/>
      <c r="UKT59" s="61"/>
      <c r="UKU59" s="61"/>
      <c r="UKV59" s="61"/>
      <c r="UKW59" s="62"/>
      <c r="UKX59" s="53"/>
      <c r="UKY59" s="60"/>
      <c r="UKZ59" s="60"/>
      <c r="ULA59" s="61"/>
      <c r="ULB59" s="61"/>
      <c r="ULC59" s="61"/>
      <c r="ULD59" s="61"/>
      <c r="ULE59" s="62"/>
      <c r="ULF59" s="53"/>
      <c r="ULG59" s="60"/>
      <c r="ULH59" s="60"/>
      <c r="ULI59" s="61"/>
      <c r="ULJ59" s="61"/>
      <c r="ULK59" s="61"/>
      <c r="ULL59" s="61"/>
      <c r="ULM59" s="62"/>
      <c r="ULN59" s="53"/>
      <c r="ULO59" s="60"/>
      <c r="ULP59" s="60"/>
      <c r="ULQ59" s="61"/>
      <c r="ULR59" s="61"/>
      <c r="ULS59" s="61"/>
      <c r="ULT59" s="61"/>
      <c r="ULU59" s="62"/>
      <c r="ULV59" s="53"/>
      <c r="ULW59" s="60"/>
      <c r="ULX59" s="60"/>
      <c r="ULY59" s="61"/>
      <c r="ULZ59" s="61"/>
      <c r="UMA59" s="61"/>
      <c r="UMB59" s="61"/>
      <c r="UMC59" s="62"/>
      <c r="UMD59" s="53"/>
      <c r="UME59" s="60"/>
      <c r="UMF59" s="60"/>
      <c r="UMG59" s="61"/>
      <c r="UMH59" s="61"/>
      <c r="UMI59" s="61"/>
      <c r="UMJ59" s="61"/>
      <c r="UMK59" s="62"/>
      <c r="UML59" s="53"/>
      <c r="UMM59" s="60"/>
      <c r="UMN59" s="60"/>
      <c r="UMO59" s="61"/>
      <c r="UMP59" s="61"/>
      <c r="UMQ59" s="61"/>
      <c r="UMR59" s="61"/>
      <c r="UMS59" s="62"/>
      <c r="UMT59" s="53"/>
      <c r="UMU59" s="60"/>
      <c r="UMV59" s="60"/>
      <c r="UMW59" s="61"/>
      <c r="UMX59" s="61"/>
      <c r="UMY59" s="61"/>
      <c r="UMZ59" s="61"/>
      <c r="UNA59" s="62"/>
      <c r="UNB59" s="53"/>
      <c r="UNC59" s="60"/>
      <c r="UND59" s="60"/>
      <c r="UNE59" s="61"/>
      <c r="UNF59" s="61"/>
      <c r="UNG59" s="61"/>
      <c r="UNH59" s="61"/>
      <c r="UNI59" s="62"/>
      <c r="UNJ59" s="53"/>
      <c r="UNK59" s="60"/>
      <c r="UNL59" s="60"/>
      <c r="UNM59" s="61"/>
      <c r="UNN59" s="61"/>
      <c r="UNO59" s="61"/>
      <c r="UNP59" s="61"/>
      <c r="UNQ59" s="62"/>
      <c r="UNR59" s="53"/>
      <c r="UNS59" s="60"/>
      <c r="UNT59" s="60"/>
      <c r="UNU59" s="61"/>
      <c r="UNV59" s="61"/>
      <c r="UNW59" s="61"/>
      <c r="UNX59" s="61"/>
      <c r="UNY59" s="62"/>
      <c r="UNZ59" s="53"/>
      <c r="UOA59" s="60"/>
      <c r="UOB59" s="60"/>
      <c r="UOC59" s="61"/>
      <c r="UOD59" s="61"/>
      <c r="UOE59" s="61"/>
      <c r="UOF59" s="61"/>
      <c r="UOG59" s="62"/>
      <c r="UOH59" s="53"/>
      <c r="UOI59" s="60"/>
      <c r="UOJ59" s="60"/>
      <c r="UOK59" s="61"/>
      <c r="UOL59" s="61"/>
      <c r="UOM59" s="61"/>
      <c r="UON59" s="61"/>
      <c r="UOO59" s="62"/>
      <c r="UOP59" s="53"/>
      <c r="UOQ59" s="60"/>
      <c r="UOR59" s="60"/>
      <c r="UOS59" s="61"/>
      <c r="UOT59" s="61"/>
      <c r="UOU59" s="61"/>
      <c r="UOV59" s="61"/>
      <c r="UOW59" s="62"/>
      <c r="UOX59" s="53"/>
      <c r="UOY59" s="60"/>
      <c r="UOZ59" s="60"/>
      <c r="UPA59" s="61"/>
      <c r="UPB59" s="61"/>
      <c r="UPC59" s="61"/>
      <c r="UPD59" s="61"/>
      <c r="UPE59" s="62"/>
      <c r="UPF59" s="53"/>
      <c r="UPG59" s="60"/>
      <c r="UPH59" s="60"/>
      <c r="UPI59" s="61"/>
      <c r="UPJ59" s="61"/>
      <c r="UPK59" s="61"/>
      <c r="UPL59" s="61"/>
      <c r="UPM59" s="62"/>
      <c r="UPN59" s="53"/>
      <c r="UPO59" s="60"/>
      <c r="UPP59" s="60"/>
      <c r="UPQ59" s="61"/>
      <c r="UPR59" s="61"/>
      <c r="UPS59" s="61"/>
      <c r="UPT59" s="61"/>
      <c r="UPU59" s="62"/>
      <c r="UPV59" s="53"/>
      <c r="UPW59" s="60"/>
      <c r="UPX59" s="60"/>
      <c r="UPY59" s="61"/>
      <c r="UPZ59" s="61"/>
      <c r="UQA59" s="61"/>
      <c r="UQB59" s="61"/>
      <c r="UQC59" s="62"/>
      <c r="UQD59" s="53"/>
      <c r="UQE59" s="60"/>
      <c r="UQF59" s="60"/>
      <c r="UQG59" s="61"/>
      <c r="UQH59" s="61"/>
      <c r="UQI59" s="61"/>
      <c r="UQJ59" s="61"/>
      <c r="UQK59" s="62"/>
      <c r="UQL59" s="53"/>
      <c r="UQM59" s="60"/>
      <c r="UQN59" s="60"/>
      <c r="UQO59" s="61"/>
      <c r="UQP59" s="61"/>
      <c r="UQQ59" s="61"/>
      <c r="UQR59" s="61"/>
      <c r="UQS59" s="62"/>
      <c r="UQT59" s="53"/>
      <c r="UQU59" s="60"/>
      <c r="UQV59" s="60"/>
      <c r="UQW59" s="61"/>
      <c r="UQX59" s="61"/>
      <c r="UQY59" s="61"/>
      <c r="UQZ59" s="61"/>
      <c r="URA59" s="62"/>
      <c r="URB59" s="53"/>
      <c r="URC59" s="60"/>
      <c r="URD59" s="60"/>
      <c r="URE59" s="61"/>
      <c r="URF59" s="61"/>
      <c r="URG59" s="61"/>
      <c r="URH59" s="61"/>
      <c r="URI59" s="62"/>
      <c r="URJ59" s="53"/>
      <c r="URK59" s="60"/>
      <c r="URL59" s="60"/>
      <c r="URM59" s="61"/>
      <c r="URN59" s="61"/>
      <c r="URO59" s="61"/>
      <c r="URP59" s="61"/>
      <c r="URQ59" s="62"/>
      <c r="URR59" s="53"/>
      <c r="URS59" s="60"/>
      <c r="URT59" s="60"/>
      <c r="URU59" s="61"/>
      <c r="URV59" s="61"/>
      <c r="URW59" s="61"/>
      <c r="URX59" s="61"/>
      <c r="URY59" s="62"/>
      <c r="URZ59" s="53"/>
      <c r="USA59" s="60"/>
      <c r="USB59" s="60"/>
      <c r="USC59" s="61"/>
      <c r="USD59" s="61"/>
      <c r="USE59" s="61"/>
      <c r="USF59" s="61"/>
      <c r="USG59" s="62"/>
      <c r="USH59" s="53"/>
      <c r="USI59" s="60"/>
      <c r="USJ59" s="60"/>
      <c r="USK59" s="61"/>
      <c r="USL59" s="61"/>
      <c r="USM59" s="61"/>
      <c r="USN59" s="61"/>
      <c r="USO59" s="62"/>
      <c r="USP59" s="53"/>
      <c r="USQ59" s="60"/>
      <c r="USR59" s="60"/>
      <c r="USS59" s="61"/>
      <c r="UST59" s="61"/>
      <c r="USU59" s="61"/>
      <c r="USV59" s="61"/>
      <c r="USW59" s="62"/>
      <c r="USX59" s="53"/>
      <c r="USY59" s="60"/>
      <c r="USZ59" s="60"/>
      <c r="UTA59" s="61"/>
      <c r="UTB59" s="61"/>
      <c r="UTC59" s="61"/>
      <c r="UTD59" s="61"/>
      <c r="UTE59" s="62"/>
      <c r="UTF59" s="53"/>
      <c r="UTG59" s="60"/>
      <c r="UTH59" s="60"/>
      <c r="UTI59" s="61"/>
      <c r="UTJ59" s="61"/>
      <c r="UTK59" s="61"/>
      <c r="UTL59" s="61"/>
      <c r="UTM59" s="62"/>
      <c r="UTN59" s="53"/>
      <c r="UTO59" s="60"/>
      <c r="UTP59" s="60"/>
      <c r="UTQ59" s="61"/>
      <c r="UTR59" s="61"/>
      <c r="UTS59" s="61"/>
      <c r="UTT59" s="61"/>
      <c r="UTU59" s="62"/>
      <c r="UTV59" s="53"/>
      <c r="UTW59" s="60"/>
      <c r="UTX59" s="60"/>
      <c r="UTY59" s="61"/>
      <c r="UTZ59" s="61"/>
      <c r="UUA59" s="61"/>
      <c r="UUB59" s="61"/>
      <c r="UUC59" s="62"/>
      <c r="UUD59" s="53"/>
      <c r="UUE59" s="60"/>
      <c r="UUF59" s="60"/>
      <c r="UUG59" s="61"/>
      <c r="UUH59" s="61"/>
      <c r="UUI59" s="61"/>
      <c r="UUJ59" s="61"/>
      <c r="UUK59" s="62"/>
      <c r="UUL59" s="53"/>
      <c r="UUM59" s="60"/>
      <c r="UUN59" s="60"/>
      <c r="UUO59" s="61"/>
      <c r="UUP59" s="61"/>
      <c r="UUQ59" s="61"/>
      <c r="UUR59" s="61"/>
      <c r="UUS59" s="62"/>
      <c r="UUT59" s="53"/>
      <c r="UUU59" s="60"/>
      <c r="UUV59" s="60"/>
      <c r="UUW59" s="61"/>
      <c r="UUX59" s="61"/>
      <c r="UUY59" s="61"/>
      <c r="UUZ59" s="61"/>
      <c r="UVA59" s="62"/>
      <c r="UVB59" s="53"/>
      <c r="UVC59" s="60"/>
      <c r="UVD59" s="60"/>
      <c r="UVE59" s="61"/>
      <c r="UVF59" s="61"/>
      <c r="UVG59" s="61"/>
      <c r="UVH59" s="61"/>
      <c r="UVI59" s="62"/>
      <c r="UVJ59" s="53"/>
      <c r="UVK59" s="60"/>
      <c r="UVL59" s="60"/>
      <c r="UVM59" s="61"/>
      <c r="UVN59" s="61"/>
      <c r="UVO59" s="61"/>
      <c r="UVP59" s="61"/>
      <c r="UVQ59" s="62"/>
      <c r="UVR59" s="53"/>
      <c r="UVS59" s="60"/>
      <c r="UVT59" s="60"/>
      <c r="UVU59" s="61"/>
      <c r="UVV59" s="61"/>
      <c r="UVW59" s="61"/>
      <c r="UVX59" s="61"/>
      <c r="UVY59" s="62"/>
      <c r="UVZ59" s="53"/>
      <c r="UWA59" s="60"/>
      <c r="UWB59" s="60"/>
      <c r="UWC59" s="61"/>
      <c r="UWD59" s="61"/>
      <c r="UWE59" s="61"/>
      <c r="UWF59" s="61"/>
      <c r="UWG59" s="62"/>
      <c r="UWH59" s="53"/>
      <c r="UWI59" s="60"/>
      <c r="UWJ59" s="60"/>
      <c r="UWK59" s="61"/>
      <c r="UWL59" s="61"/>
      <c r="UWM59" s="61"/>
      <c r="UWN59" s="61"/>
      <c r="UWO59" s="62"/>
      <c r="UWP59" s="53"/>
      <c r="UWQ59" s="60"/>
      <c r="UWR59" s="60"/>
      <c r="UWS59" s="61"/>
      <c r="UWT59" s="61"/>
      <c r="UWU59" s="61"/>
      <c r="UWV59" s="61"/>
      <c r="UWW59" s="62"/>
      <c r="UWX59" s="53"/>
      <c r="UWY59" s="60"/>
      <c r="UWZ59" s="60"/>
      <c r="UXA59" s="61"/>
      <c r="UXB59" s="61"/>
      <c r="UXC59" s="61"/>
      <c r="UXD59" s="61"/>
      <c r="UXE59" s="62"/>
      <c r="UXF59" s="53"/>
      <c r="UXG59" s="60"/>
      <c r="UXH59" s="60"/>
      <c r="UXI59" s="61"/>
      <c r="UXJ59" s="61"/>
      <c r="UXK59" s="61"/>
      <c r="UXL59" s="61"/>
      <c r="UXM59" s="62"/>
      <c r="UXN59" s="53"/>
      <c r="UXO59" s="60"/>
      <c r="UXP59" s="60"/>
      <c r="UXQ59" s="61"/>
      <c r="UXR59" s="61"/>
      <c r="UXS59" s="61"/>
      <c r="UXT59" s="61"/>
      <c r="UXU59" s="62"/>
      <c r="UXV59" s="53"/>
      <c r="UXW59" s="60"/>
      <c r="UXX59" s="60"/>
      <c r="UXY59" s="61"/>
      <c r="UXZ59" s="61"/>
      <c r="UYA59" s="61"/>
      <c r="UYB59" s="61"/>
      <c r="UYC59" s="62"/>
      <c r="UYD59" s="53"/>
      <c r="UYE59" s="60"/>
      <c r="UYF59" s="60"/>
      <c r="UYG59" s="61"/>
      <c r="UYH59" s="61"/>
      <c r="UYI59" s="61"/>
      <c r="UYJ59" s="61"/>
      <c r="UYK59" s="62"/>
      <c r="UYL59" s="53"/>
      <c r="UYM59" s="60"/>
      <c r="UYN59" s="60"/>
      <c r="UYO59" s="61"/>
      <c r="UYP59" s="61"/>
      <c r="UYQ59" s="61"/>
      <c r="UYR59" s="61"/>
      <c r="UYS59" s="62"/>
      <c r="UYT59" s="53"/>
      <c r="UYU59" s="60"/>
      <c r="UYV59" s="60"/>
      <c r="UYW59" s="61"/>
      <c r="UYX59" s="61"/>
      <c r="UYY59" s="61"/>
      <c r="UYZ59" s="61"/>
      <c r="UZA59" s="62"/>
      <c r="UZB59" s="53"/>
      <c r="UZC59" s="60"/>
      <c r="UZD59" s="60"/>
      <c r="UZE59" s="61"/>
      <c r="UZF59" s="61"/>
      <c r="UZG59" s="61"/>
      <c r="UZH59" s="61"/>
      <c r="UZI59" s="62"/>
      <c r="UZJ59" s="53"/>
      <c r="UZK59" s="60"/>
      <c r="UZL59" s="60"/>
      <c r="UZM59" s="61"/>
      <c r="UZN59" s="61"/>
      <c r="UZO59" s="61"/>
      <c r="UZP59" s="61"/>
      <c r="UZQ59" s="62"/>
      <c r="UZR59" s="53"/>
      <c r="UZS59" s="60"/>
      <c r="UZT59" s="60"/>
      <c r="UZU59" s="61"/>
      <c r="UZV59" s="61"/>
      <c r="UZW59" s="61"/>
      <c r="UZX59" s="61"/>
      <c r="UZY59" s="62"/>
      <c r="UZZ59" s="53"/>
      <c r="VAA59" s="60"/>
      <c r="VAB59" s="60"/>
      <c r="VAC59" s="61"/>
      <c r="VAD59" s="61"/>
      <c r="VAE59" s="61"/>
      <c r="VAF59" s="61"/>
      <c r="VAG59" s="62"/>
      <c r="VAH59" s="53"/>
      <c r="VAI59" s="60"/>
      <c r="VAJ59" s="60"/>
      <c r="VAK59" s="61"/>
      <c r="VAL59" s="61"/>
      <c r="VAM59" s="61"/>
      <c r="VAN59" s="61"/>
      <c r="VAO59" s="62"/>
      <c r="VAP59" s="53"/>
      <c r="VAQ59" s="60"/>
      <c r="VAR59" s="60"/>
      <c r="VAS59" s="61"/>
      <c r="VAT59" s="61"/>
      <c r="VAU59" s="61"/>
      <c r="VAV59" s="61"/>
      <c r="VAW59" s="62"/>
      <c r="VAX59" s="53"/>
      <c r="VAY59" s="60"/>
      <c r="VAZ59" s="60"/>
      <c r="VBA59" s="61"/>
      <c r="VBB59" s="61"/>
      <c r="VBC59" s="61"/>
      <c r="VBD59" s="61"/>
      <c r="VBE59" s="62"/>
      <c r="VBF59" s="53"/>
      <c r="VBG59" s="60"/>
      <c r="VBH59" s="60"/>
      <c r="VBI59" s="61"/>
      <c r="VBJ59" s="61"/>
      <c r="VBK59" s="61"/>
      <c r="VBL59" s="61"/>
      <c r="VBM59" s="62"/>
      <c r="VBN59" s="53"/>
      <c r="VBO59" s="60"/>
      <c r="VBP59" s="60"/>
      <c r="VBQ59" s="61"/>
      <c r="VBR59" s="61"/>
      <c r="VBS59" s="61"/>
      <c r="VBT59" s="61"/>
      <c r="VBU59" s="62"/>
      <c r="VBV59" s="53"/>
      <c r="VBW59" s="60"/>
      <c r="VBX59" s="60"/>
      <c r="VBY59" s="61"/>
      <c r="VBZ59" s="61"/>
      <c r="VCA59" s="61"/>
      <c r="VCB59" s="61"/>
      <c r="VCC59" s="62"/>
      <c r="VCD59" s="53"/>
      <c r="VCE59" s="60"/>
      <c r="VCF59" s="60"/>
      <c r="VCG59" s="61"/>
      <c r="VCH59" s="61"/>
      <c r="VCI59" s="61"/>
      <c r="VCJ59" s="61"/>
      <c r="VCK59" s="62"/>
      <c r="VCL59" s="53"/>
      <c r="VCM59" s="60"/>
      <c r="VCN59" s="60"/>
      <c r="VCO59" s="61"/>
      <c r="VCP59" s="61"/>
      <c r="VCQ59" s="61"/>
      <c r="VCR59" s="61"/>
      <c r="VCS59" s="62"/>
      <c r="VCT59" s="53"/>
      <c r="VCU59" s="60"/>
      <c r="VCV59" s="60"/>
      <c r="VCW59" s="61"/>
      <c r="VCX59" s="61"/>
      <c r="VCY59" s="61"/>
      <c r="VCZ59" s="61"/>
      <c r="VDA59" s="62"/>
      <c r="VDB59" s="53"/>
      <c r="VDC59" s="60"/>
      <c r="VDD59" s="60"/>
      <c r="VDE59" s="61"/>
      <c r="VDF59" s="61"/>
      <c r="VDG59" s="61"/>
      <c r="VDH59" s="61"/>
      <c r="VDI59" s="62"/>
      <c r="VDJ59" s="53"/>
      <c r="VDK59" s="60"/>
      <c r="VDL59" s="60"/>
      <c r="VDM59" s="61"/>
      <c r="VDN59" s="61"/>
      <c r="VDO59" s="61"/>
      <c r="VDP59" s="61"/>
      <c r="VDQ59" s="62"/>
      <c r="VDR59" s="53"/>
      <c r="VDS59" s="60"/>
      <c r="VDT59" s="60"/>
      <c r="VDU59" s="61"/>
      <c r="VDV59" s="61"/>
      <c r="VDW59" s="61"/>
      <c r="VDX59" s="61"/>
      <c r="VDY59" s="62"/>
      <c r="VDZ59" s="53"/>
      <c r="VEA59" s="60"/>
      <c r="VEB59" s="60"/>
      <c r="VEC59" s="61"/>
      <c r="VED59" s="61"/>
      <c r="VEE59" s="61"/>
      <c r="VEF59" s="61"/>
      <c r="VEG59" s="62"/>
      <c r="VEH59" s="53"/>
      <c r="VEI59" s="60"/>
      <c r="VEJ59" s="60"/>
      <c r="VEK59" s="61"/>
      <c r="VEL59" s="61"/>
      <c r="VEM59" s="61"/>
      <c r="VEN59" s="61"/>
      <c r="VEO59" s="62"/>
      <c r="VEP59" s="53"/>
      <c r="VEQ59" s="60"/>
      <c r="VER59" s="60"/>
      <c r="VES59" s="61"/>
      <c r="VET59" s="61"/>
      <c r="VEU59" s="61"/>
      <c r="VEV59" s="61"/>
      <c r="VEW59" s="62"/>
      <c r="VEX59" s="53"/>
      <c r="VEY59" s="60"/>
      <c r="VEZ59" s="60"/>
      <c r="VFA59" s="61"/>
      <c r="VFB59" s="61"/>
      <c r="VFC59" s="61"/>
      <c r="VFD59" s="61"/>
      <c r="VFE59" s="62"/>
      <c r="VFF59" s="53"/>
      <c r="VFG59" s="60"/>
      <c r="VFH59" s="60"/>
      <c r="VFI59" s="61"/>
      <c r="VFJ59" s="61"/>
      <c r="VFK59" s="61"/>
      <c r="VFL59" s="61"/>
      <c r="VFM59" s="62"/>
      <c r="VFN59" s="53"/>
      <c r="VFO59" s="60"/>
      <c r="VFP59" s="60"/>
      <c r="VFQ59" s="61"/>
      <c r="VFR59" s="61"/>
      <c r="VFS59" s="61"/>
      <c r="VFT59" s="61"/>
      <c r="VFU59" s="62"/>
      <c r="VFV59" s="53"/>
      <c r="VFW59" s="60"/>
      <c r="VFX59" s="60"/>
      <c r="VFY59" s="61"/>
      <c r="VFZ59" s="61"/>
      <c r="VGA59" s="61"/>
      <c r="VGB59" s="61"/>
      <c r="VGC59" s="62"/>
      <c r="VGD59" s="53"/>
      <c r="VGE59" s="60"/>
      <c r="VGF59" s="60"/>
      <c r="VGG59" s="61"/>
      <c r="VGH59" s="61"/>
      <c r="VGI59" s="61"/>
      <c r="VGJ59" s="61"/>
      <c r="VGK59" s="62"/>
      <c r="VGL59" s="53"/>
      <c r="VGM59" s="60"/>
      <c r="VGN59" s="60"/>
      <c r="VGO59" s="61"/>
      <c r="VGP59" s="61"/>
      <c r="VGQ59" s="61"/>
      <c r="VGR59" s="61"/>
      <c r="VGS59" s="62"/>
      <c r="VGT59" s="53"/>
      <c r="VGU59" s="60"/>
      <c r="VGV59" s="60"/>
      <c r="VGW59" s="61"/>
      <c r="VGX59" s="61"/>
      <c r="VGY59" s="61"/>
      <c r="VGZ59" s="61"/>
      <c r="VHA59" s="62"/>
      <c r="VHB59" s="53"/>
      <c r="VHC59" s="60"/>
      <c r="VHD59" s="60"/>
      <c r="VHE59" s="61"/>
      <c r="VHF59" s="61"/>
      <c r="VHG59" s="61"/>
      <c r="VHH59" s="61"/>
      <c r="VHI59" s="62"/>
      <c r="VHJ59" s="53"/>
      <c r="VHK59" s="60"/>
      <c r="VHL59" s="60"/>
      <c r="VHM59" s="61"/>
      <c r="VHN59" s="61"/>
      <c r="VHO59" s="61"/>
      <c r="VHP59" s="61"/>
      <c r="VHQ59" s="62"/>
      <c r="VHR59" s="53"/>
      <c r="VHS59" s="60"/>
      <c r="VHT59" s="60"/>
      <c r="VHU59" s="61"/>
      <c r="VHV59" s="61"/>
      <c r="VHW59" s="61"/>
      <c r="VHX59" s="61"/>
      <c r="VHY59" s="62"/>
      <c r="VHZ59" s="53"/>
      <c r="VIA59" s="60"/>
      <c r="VIB59" s="60"/>
      <c r="VIC59" s="61"/>
      <c r="VID59" s="61"/>
      <c r="VIE59" s="61"/>
      <c r="VIF59" s="61"/>
      <c r="VIG59" s="62"/>
      <c r="VIH59" s="53"/>
      <c r="VII59" s="60"/>
      <c r="VIJ59" s="60"/>
      <c r="VIK59" s="61"/>
      <c r="VIL59" s="61"/>
      <c r="VIM59" s="61"/>
      <c r="VIN59" s="61"/>
      <c r="VIO59" s="62"/>
      <c r="VIP59" s="53"/>
      <c r="VIQ59" s="60"/>
      <c r="VIR59" s="60"/>
      <c r="VIS59" s="61"/>
      <c r="VIT59" s="61"/>
      <c r="VIU59" s="61"/>
      <c r="VIV59" s="61"/>
      <c r="VIW59" s="62"/>
      <c r="VIX59" s="53"/>
      <c r="VIY59" s="60"/>
      <c r="VIZ59" s="60"/>
      <c r="VJA59" s="61"/>
      <c r="VJB59" s="61"/>
      <c r="VJC59" s="61"/>
      <c r="VJD59" s="61"/>
      <c r="VJE59" s="62"/>
      <c r="VJF59" s="53"/>
      <c r="VJG59" s="60"/>
      <c r="VJH59" s="60"/>
      <c r="VJI59" s="61"/>
      <c r="VJJ59" s="61"/>
      <c r="VJK59" s="61"/>
      <c r="VJL59" s="61"/>
      <c r="VJM59" s="62"/>
      <c r="VJN59" s="53"/>
      <c r="VJO59" s="60"/>
      <c r="VJP59" s="60"/>
      <c r="VJQ59" s="61"/>
      <c r="VJR59" s="61"/>
      <c r="VJS59" s="61"/>
      <c r="VJT59" s="61"/>
      <c r="VJU59" s="62"/>
      <c r="VJV59" s="53"/>
      <c r="VJW59" s="60"/>
      <c r="VJX59" s="60"/>
      <c r="VJY59" s="61"/>
      <c r="VJZ59" s="61"/>
      <c r="VKA59" s="61"/>
      <c r="VKB59" s="61"/>
      <c r="VKC59" s="62"/>
      <c r="VKD59" s="53"/>
      <c r="VKE59" s="60"/>
      <c r="VKF59" s="60"/>
      <c r="VKG59" s="61"/>
      <c r="VKH59" s="61"/>
      <c r="VKI59" s="61"/>
      <c r="VKJ59" s="61"/>
      <c r="VKK59" s="62"/>
      <c r="VKL59" s="53"/>
      <c r="VKM59" s="60"/>
      <c r="VKN59" s="60"/>
      <c r="VKO59" s="61"/>
      <c r="VKP59" s="61"/>
      <c r="VKQ59" s="61"/>
      <c r="VKR59" s="61"/>
      <c r="VKS59" s="62"/>
      <c r="VKT59" s="53"/>
      <c r="VKU59" s="60"/>
      <c r="VKV59" s="60"/>
      <c r="VKW59" s="61"/>
      <c r="VKX59" s="61"/>
      <c r="VKY59" s="61"/>
      <c r="VKZ59" s="61"/>
      <c r="VLA59" s="62"/>
      <c r="VLB59" s="53"/>
      <c r="VLC59" s="60"/>
      <c r="VLD59" s="60"/>
      <c r="VLE59" s="61"/>
      <c r="VLF59" s="61"/>
      <c r="VLG59" s="61"/>
      <c r="VLH59" s="61"/>
      <c r="VLI59" s="62"/>
      <c r="VLJ59" s="53"/>
      <c r="VLK59" s="60"/>
      <c r="VLL59" s="60"/>
      <c r="VLM59" s="61"/>
      <c r="VLN59" s="61"/>
      <c r="VLO59" s="61"/>
      <c r="VLP59" s="61"/>
      <c r="VLQ59" s="62"/>
      <c r="VLR59" s="53"/>
      <c r="VLS59" s="60"/>
      <c r="VLT59" s="60"/>
      <c r="VLU59" s="61"/>
      <c r="VLV59" s="61"/>
      <c r="VLW59" s="61"/>
      <c r="VLX59" s="61"/>
      <c r="VLY59" s="62"/>
      <c r="VLZ59" s="53"/>
      <c r="VMA59" s="60"/>
      <c r="VMB59" s="60"/>
      <c r="VMC59" s="61"/>
      <c r="VMD59" s="61"/>
      <c r="VME59" s="61"/>
      <c r="VMF59" s="61"/>
      <c r="VMG59" s="62"/>
      <c r="VMH59" s="53"/>
      <c r="VMI59" s="60"/>
      <c r="VMJ59" s="60"/>
      <c r="VMK59" s="61"/>
      <c r="VML59" s="61"/>
      <c r="VMM59" s="61"/>
      <c r="VMN59" s="61"/>
      <c r="VMO59" s="62"/>
      <c r="VMP59" s="53"/>
      <c r="VMQ59" s="60"/>
      <c r="VMR59" s="60"/>
      <c r="VMS59" s="61"/>
      <c r="VMT59" s="61"/>
      <c r="VMU59" s="61"/>
      <c r="VMV59" s="61"/>
      <c r="VMW59" s="62"/>
      <c r="VMX59" s="53"/>
      <c r="VMY59" s="60"/>
      <c r="VMZ59" s="60"/>
      <c r="VNA59" s="61"/>
      <c r="VNB59" s="61"/>
      <c r="VNC59" s="61"/>
      <c r="VND59" s="61"/>
      <c r="VNE59" s="62"/>
      <c r="VNF59" s="53"/>
      <c r="VNG59" s="60"/>
      <c r="VNH59" s="60"/>
      <c r="VNI59" s="61"/>
      <c r="VNJ59" s="61"/>
      <c r="VNK59" s="61"/>
      <c r="VNL59" s="61"/>
      <c r="VNM59" s="62"/>
      <c r="VNN59" s="53"/>
      <c r="VNO59" s="60"/>
      <c r="VNP59" s="60"/>
      <c r="VNQ59" s="61"/>
      <c r="VNR59" s="61"/>
      <c r="VNS59" s="61"/>
      <c r="VNT59" s="61"/>
      <c r="VNU59" s="62"/>
      <c r="VNV59" s="53"/>
      <c r="VNW59" s="60"/>
      <c r="VNX59" s="60"/>
      <c r="VNY59" s="61"/>
      <c r="VNZ59" s="61"/>
      <c r="VOA59" s="61"/>
      <c r="VOB59" s="61"/>
      <c r="VOC59" s="62"/>
      <c r="VOD59" s="53"/>
      <c r="VOE59" s="60"/>
      <c r="VOF59" s="60"/>
      <c r="VOG59" s="61"/>
      <c r="VOH59" s="61"/>
      <c r="VOI59" s="61"/>
      <c r="VOJ59" s="61"/>
      <c r="VOK59" s="62"/>
      <c r="VOL59" s="53"/>
      <c r="VOM59" s="60"/>
      <c r="VON59" s="60"/>
      <c r="VOO59" s="61"/>
      <c r="VOP59" s="61"/>
      <c r="VOQ59" s="61"/>
      <c r="VOR59" s="61"/>
      <c r="VOS59" s="62"/>
      <c r="VOT59" s="53"/>
      <c r="VOU59" s="60"/>
      <c r="VOV59" s="60"/>
      <c r="VOW59" s="61"/>
      <c r="VOX59" s="61"/>
      <c r="VOY59" s="61"/>
      <c r="VOZ59" s="61"/>
      <c r="VPA59" s="62"/>
      <c r="VPB59" s="53"/>
      <c r="VPC59" s="60"/>
      <c r="VPD59" s="60"/>
      <c r="VPE59" s="61"/>
      <c r="VPF59" s="61"/>
      <c r="VPG59" s="61"/>
      <c r="VPH59" s="61"/>
      <c r="VPI59" s="62"/>
      <c r="VPJ59" s="53"/>
      <c r="VPK59" s="60"/>
      <c r="VPL59" s="60"/>
      <c r="VPM59" s="61"/>
      <c r="VPN59" s="61"/>
      <c r="VPO59" s="61"/>
      <c r="VPP59" s="61"/>
      <c r="VPQ59" s="62"/>
      <c r="VPR59" s="53"/>
      <c r="VPS59" s="60"/>
      <c r="VPT59" s="60"/>
      <c r="VPU59" s="61"/>
      <c r="VPV59" s="61"/>
      <c r="VPW59" s="61"/>
      <c r="VPX59" s="61"/>
      <c r="VPY59" s="62"/>
      <c r="VPZ59" s="53"/>
      <c r="VQA59" s="60"/>
      <c r="VQB59" s="60"/>
      <c r="VQC59" s="61"/>
      <c r="VQD59" s="61"/>
      <c r="VQE59" s="61"/>
      <c r="VQF59" s="61"/>
      <c r="VQG59" s="62"/>
      <c r="VQH59" s="53"/>
      <c r="VQI59" s="60"/>
      <c r="VQJ59" s="60"/>
      <c r="VQK59" s="61"/>
      <c r="VQL59" s="61"/>
      <c r="VQM59" s="61"/>
      <c r="VQN59" s="61"/>
      <c r="VQO59" s="62"/>
      <c r="VQP59" s="53"/>
      <c r="VQQ59" s="60"/>
      <c r="VQR59" s="60"/>
      <c r="VQS59" s="61"/>
      <c r="VQT59" s="61"/>
      <c r="VQU59" s="61"/>
      <c r="VQV59" s="61"/>
      <c r="VQW59" s="62"/>
      <c r="VQX59" s="53"/>
      <c r="VQY59" s="60"/>
      <c r="VQZ59" s="60"/>
      <c r="VRA59" s="61"/>
      <c r="VRB59" s="61"/>
      <c r="VRC59" s="61"/>
      <c r="VRD59" s="61"/>
      <c r="VRE59" s="62"/>
      <c r="VRF59" s="53"/>
      <c r="VRG59" s="60"/>
      <c r="VRH59" s="60"/>
      <c r="VRI59" s="61"/>
      <c r="VRJ59" s="61"/>
      <c r="VRK59" s="61"/>
      <c r="VRL59" s="61"/>
      <c r="VRM59" s="62"/>
      <c r="VRN59" s="53"/>
      <c r="VRO59" s="60"/>
      <c r="VRP59" s="60"/>
      <c r="VRQ59" s="61"/>
      <c r="VRR59" s="61"/>
      <c r="VRS59" s="61"/>
      <c r="VRT59" s="61"/>
      <c r="VRU59" s="62"/>
      <c r="VRV59" s="53"/>
      <c r="VRW59" s="60"/>
      <c r="VRX59" s="60"/>
      <c r="VRY59" s="61"/>
      <c r="VRZ59" s="61"/>
      <c r="VSA59" s="61"/>
      <c r="VSB59" s="61"/>
      <c r="VSC59" s="62"/>
      <c r="VSD59" s="53"/>
      <c r="VSE59" s="60"/>
      <c r="VSF59" s="60"/>
      <c r="VSG59" s="61"/>
      <c r="VSH59" s="61"/>
      <c r="VSI59" s="61"/>
      <c r="VSJ59" s="61"/>
      <c r="VSK59" s="62"/>
      <c r="VSL59" s="53"/>
      <c r="VSM59" s="60"/>
      <c r="VSN59" s="60"/>
      <c r="VSO59" s="61"/>
      <c r="VSP59" s="61"/>
      <c r="VSQ59" s="61"/>
      <c r="VSR59" s="61"/>
      <c r="VSS59" s="62"/>
      <c r="VST59" s="53"/>
      <c r="VSU59" s="60"/>
      <c r="VSV59" s="60"/>
      <c r="VSW59" s="61"/>
      <c r="VSX59" s="61"/>
      <c r="VSY59" s="61"/>
      <c r="VSZ59" s="61"/>
      <c r="VTA59" s="62"/>
      <c r="VTB59" s="53"/>
      <c r="VTC59" s="60"/>
      <c r="VTD59" s="60"/>
      <c r="VTE59" s="61"/>
      <c r="VTF59" s="61"/>
      <c r="VTG59" s="61"/>
      <c r="VTH59" s="61"/>
      <c r="VTI59" s="62"/>
      <c r="VTJ59" s="53"/>
      <c r="VTK59" s="60"/>
      <c r="VTL59" s="60"/>
      <c r="VTM59" s="61"/>
      <c r="VTN59" s="61"/>
      <c r="VTO59" s="61"/>
      <c r="VTP59" s="61"/>
      <c r="VTQ59" s="62"/>
      <c r="VTR59" s="53"/>
      <c r="VTS59" s="60"/>
      <c r="VTT59" s="60"/>
      <c r="VTU59" s="61"/>
      <c r="VTV59" s="61"/>
      <c r="VTW59" s="61"/>
      <c r="VTX59" s="61"/>
      <c r="VTY59" s="62"/>
      <c r="VTZ59" s="53"/>
      <c r="VUA59" s="60"/>
      <c r="VUB59" s="60"/>
      <c r="VUC59" s="61"/>
      <c r="VUD59" s="61"/>
      <c r="VUE59" s="61"/>
      <c r="VUF59" s="61"/>
      <c r="VUG59" s="62"/>
      <c r="VUH59" s="53"/>
      <c r="VUI59" s="60"/>
      <c r="VUJ59" s="60"/>
      <c r="VUK59" s="61"/>
      <c r="VUL59" s="61"/>
      <c r="VUM59" s="61"/>
      <c r="VUN59" s="61"/>
      <c r="VUO59" s="62"/>
      <c r="VUP59" s="53"/>
      <c r="VUQ59" s="60"/>
      <c r="VUR59" s="60"/>
      <c r="VUS59" s="61"/>
      <c r="VUT59" s="61"/>
      <c r="VUU59" s="61"/>
      <c r="VUV59" s="61"/>
      <c r="VUW59" s="62"/>
      <c r="VUX59" s="53"/>
      <c r="VUY59" s="60"/>
      <c r="VUZ59" s="60"/>
      <c r="VVA59" s="61"/>
      <c r="VVB59" s="61"/>
      <c r="VVC59" s="61"/>
      <c r="VVD59" s="61"/>
      <c r="VVE59" s="62"/>
      <c r="VVF59" s="53"/>
      <c r="VVG59" s="60"/>
      <c r="VVH59" s="60"/>
      <c r="VVI59" s="61"/>
      <c r="VVJ59" s="61"/>
      <c r="VVK59" s="61"/>
      <c r="VVL59" s="61"/>
      <c r="VVM59" s="62"/>
      <c r="VVN59" s="53"/>
      <c r="VVO59" s="60"/>
      <c r="VVP59" s="60"/>
      <c r="VVQ59" s="61"/>
      <c r="VVR59" s="61"/>
      <c r="VVS59" s="61"/>
      <c r="VVT59" s="61"/>
      <c r="VVU59" s="62"/>
      <c r="VVV59" s="53"/>
      <c r="VVW59" s="60"/>
      <c r="VVX59" s="60"/>
      <c r="VVY59" s="61"/>
      <c r="VVZ59" s="61"/>
      <c r="VWA59" s="61"/>
      <c r="VWB59" s="61"/>
      <c r="VWC59" s="62"/>
      <c r="VWD59" s="53"/>
      <c r="VWE59" s="60"/>
      <c r="VWF59" s="60"/>
      <c r="VWG59" s="61"/>
      <c r="VWH59" s="61"/>
      <c r="VWI59" s="61"/>
      <c r="VWJ59" s="61"/>
      <c r="VWK59" s="62"/>
      <c r="VWL59" s="53"/>
      <c r="VWM59" s="60"/>
      <c r="VWN59" s="60"/>
      <c r="VWO59" s="61"/>
      <c r="VWP59" s="61"/>
      <c r="VWQ59" s="61"/>
      <c r="VWR59" s="61"/>
      <c r="VWS59" s="62"/>
      <c r="VWT59" s="53"/>
      <c r="VWU59" s="60"/>
      <c r="VWV59" s="60"/>
      <c r="VWW59" s="61"/>
      <c r="VWX59" s="61"/>
      <c r="VWY59" s="61"/>
      <c r="VWZ59" s="61"/>
      <c r="VXA59" s="62"/>
      <c r="VXB59" s="53"/>
      <c r="VXC59" s="60"/>
      <c r="VXD59" s="60"/>
      <c r="VXE59" s="61"/>
      <c r="VXF59" s="61"/>
      <c r="VXG59" s="61"/>
      <c r="VXH59" s="61"/>
      <c r="VXI59" s="62"/>
      <c r="VXJ59" s="53"/>
      <c r="VXK59" s="60"/>
      <c r="VXL59" s="60"/>
      <c r="VXM59" s="61"/>
      <c r="VXN59" s="61"/>
      <c r="VXO59" s="61"/>
      <c r="VXP59" s="61"/>
      <c r="VXQ59" s="62"/>
      <c r="VXR59" s="53"/>
      <c r="VXS59" s="60"/>
      <c r="VXT59" s="60"/>
      <c r="VXU59" s="61"/>
      <c r="VXV59" s="61"/>
      <c r="VXW59" s="61"/>
      <c r="VXX59" s="61"/>
      <c r="VXY59" s="62"/>
      <c r="VXZ59" s="53"/>
      <c r="VYA59" s="60"/>
      <c r="VYB59" s="60"/>
      <c r="VYC59" s="61"/>
      <c r="VYD59" s="61"/>
      <c r="VYE59" s="61"/>
      <c r="VYF59" s="61"/>
      <c r="VYG59" s="62"/>
      <c r="VYH59" s="53"/>
      <c r="VYI59" s="60"/>
      <c r="VYJ59" s="60"/>
      <c r="VYK59" s="61"/>
      <c r="VYL59" s="61"/>
      <c r="VYM59" s="61"/>
      <c r="VYN59" s="61"/>
      <c r="VYO59" s="62"/>
      <c r="VYP59" s="53"/>
      <c r="VYQ59" s="60"/>
      <c r="VYR59" s="60"/>
      <c r="VYS59" s="61"/>
      <c r="VYT59" s="61"/>
      <c r="VYU59" s="61"/>
      <c r="VYV59" s="61"/>
      <c r="VYW59" s="62"/>
      <c r="VYX59" s="53"/>
      <c r="VYY59" s="60"/>
      <c r="VYZ59" s="60"/>
      <c r="VZA59" s="61"/>
      <c r="VZB59" s="61"/>
      <c r="VZC59" s="61"/>
      <c r="VZD59" s="61"/>
      <c r="VZE59" s="62"/>
      <c r="VZF59" s="53"/>
      <c r="VZG59" s="60"/>
      <c r="VZH59" s="60"/>
      <c r="VZI59" s="61"/>
      <c r="VZJ59" s="61"/>
      <c r="VZK59" s="61"/>
      <c r="VZL59" s="61"/>
      <c r="VZM59" s="62"/>
      <c r="VZN59" s="53"/>
      <c r="VZO59" s="60"/>
      <c r="VZP59" s="60"/>
      <c r="VZQ59" s="61"/>
      <c r="VZR59" s="61"/>
      <c r="VZS59" s="61"/>
      <c r="VZT59" s="61"/>
      <c r="VZU59" s="62"/>
      <c r="VZV59" s="53"/>
      <c r="VZW59" s="60"/>
      <c r="VZX59" s="60"/>
      <c r="VZY59" s="61"/>
      <c r="VZZ59" s="61"/>
      <c r="WAA59" s="61"/>
      <c r="WAB59" s="61"/>
      <c r="WAC59" s="62"/>
      <c r="WAD59" s="53"/>
      <c r="WAE59" s="60"/>
      <c r="WAF59" s="60"/>
      <c r="WAG59" s="61"/>
      <c r="WAH59" s="61"/>
      <c r="WAI59" s="61"/>
      <c r="WAJ59" s="61"/>
      <c r="WAK59" s="62"/>
      <c r="WAL59" s="53"/>
      <c r="WAM59" s="60"/>
      <c r="WAN59" s="60"/>
      <c r="WAO59" s="61"/>
      <c r="WAP59" s="61"/>
      <c r="WAQ59" s="61"/>
      <c r="WAR59" s="61"/>
      <c r="WAS59" s="62"/>
      <c r="WAT59" s="53"/>
      <c r="WAU59" s="60"/>
      <c r="WAV59" s="60"/>
      <c r="WAW59" s="61"/>
      <c r="WAX59" s="61"/>
      <c r="WAY59" s="61"/>
      <c r="WAZ59" s="61"/>
      <c r="WBA59" s="62"/>
      <c r="WBB59" s="53"/>
      <c r="WBC59" s="60"/>
      <c r="WBD59" s="60"/>
      <c r="WBE59" s="61"/>
      <c r="WBF59" s="61"/>
      <c r="WBG59" s="61"/>
      <c r="WBH59" s="61"/>
      <c r="WBI59" s="62"/>
      <c r="WBJ59" s="53"/>
      <c r="WBK59" s="60"/>
      <c r="WBL59" s="60"/>
      <c r="WBM59" s="61"/>
      <c r="WBN59" s="61"/>
      <c r="WBO59" s="61"/>
      <c r="WBP59" s="61"/>
      <c r="WBQ59" s="62"/>
      <c r="WBR59" s="53"/>
      <c r="WBS59" s="60"/>
      <c r="WBT59" s="60"/>
      <c r="WBU59" s="61"/>
      <c r="WBV59" s="61"/>
      <c r="WBW59" s="61"/>
      <c r="WBX59" s="61"/>
      <c r="WBY59" s="62"/>
      <c r="WBZ59" s="53"/>
      <c r="WCA59" s="60"/>
      <c r="WCB59" s="60"/>
      <c r="WCC59" s="61"/>
      <c r="WCD59" s="61"/>
      <c r="WCE59" s="61"/>
      <c r="WCF59" s="61"/>
      <c r="WCG59" s="62"/>
      <c r="WCH59" s="53"/>
      <c r="WCI59" s="60"/>
      <c r="WCJ59" s="60"/>
      <c r="WCK59" s="61"/>
      <c r="WCL59" s="61"/>
      <c r="WCM59" s="61"/>
      <c r="WCN59" s="61"/>
      <c r="WCO59" s="62"/>
      <c r="WCP59" s="53"/>
      <c r="WCQ59" s="60"/>
      <c r="WCR59" s="60"/>
      <c r="WCS59" s="61"/>
      <c r="WCT59" s="61"/>
      <c r="WCU59" s="61"/>
      <c r="WCV59" s="61"/>
      <c r="WCW59" s="62"/>
      <c r="WCX59" s="53"/>
      <c r="WCY59" s="60"/>
      <c r="WCZ59" s="60"/>
      <c r="WDA59" s="61"/>
      <c r="WDB59" s="61"/>
      <c r="WDC59" s="61"/>
      <c r="WDD59" s="61"/>
      <c r="WDE59" s="62"/>
      <c r="WDF59" s="53"/>
      <c r="WDG59" s="60"/>
      <c r="WDH59" s="60"/>
      <c r="WDI59" s="61"/>
      <c r="WDJ59" s="61"/>
      <c r="WDK59" s="61"/>
      <c r="WDL59" s="61"/>
      <c r="WDM59" s="62"/>
      <c r="WDN59" s="53"/>
      <c r="WDO59" s="60"/>
      <c r="WDP59" s="60"/>
      <c r="WDQ59" s="61"/>
      <c r="WDR59" s="61"/>
      <c r="WDS59" s="61"/>
      <c r="WDT59" s="61"/>
      <c r="WDU59" s="62"/>
      <c r="WDV59" s="53"/>
      <c r="WDW59" s="60"/>
      <c r="WDX59" s="60"/>
      <c r="WDY59" s="61"/>
      <c r="WDZ59" s="61"/>
      <c r="WEA59" s="61"/>
      <c r="WEB59" s="61"/>
      <c r="WEC59" s="62"/>
      <c r="WED59" s="53"/>
      <c r="WEE59" s="60"/>
      <c r="WEF59" s="60"/>
      <c r="WEG59" s="61"/>
      <c r="WEH59" s="61"/>
      <c r="WEI59" s="61"/>
      <c r="WEJ59" s="61"/>
      <c r="WEK59" s="62"/>
      <c r="WEL59" s="53"/>
      <c r="WEM59" s="60"/>
      <c r="WEN59" s="60"/>
      <c r="WEO59" s="61"/>
      <c r="WEP59" s="61"/>
      <c r="WEQ59" s="61"/>
      <c r="WER59" s="61"/>
      <c r="WES59" s="62"/>
      <c r="WET59" s="53"/>
      <c r="WEU59" s="60"/>
      <c r="WEV59" s="60"/>
      <c r="WEW59" s="61"/>
      <c r="WEX59" s="61"/>
      <c r="WEY59" s="61"/>
      <c r="WEZ59" s="61"/>
      <c r="WFA59" s="62"/>
      <c r="WFB59" s="53"/>
      <c r="WFC59" s="60"/>
      <c r="WFD59" s="60"/>
      <c r="WFE59" s="61"/>
      <c r="WFF59" s="61"/>
      <c r="WFG59" s="61"/>
      <c r="WFH59" s="61"/>
      <c r="WFI59" s="62"/>
      <c r="WFJ59" s="53"/>
      <c r="WFK59" s="60"/>
      <c r="WFL59" s="60"/>
      <c r="WFM59" s="61"/>
      <c r="WFN59" s="61"/>
      <c r="WFO59" s="61"/>
      <c r="WFP59" s="61"/>
      <c r="WFQ59" s="62"/>
      <c r="WFR59" s="53"/>
      <c r="WFS59" s="60"/>
      <c r="WFT59" s="60"/>
      <c r="WFU59" s="61"/>
      <c r="WFV59" s="61"/>
      <c r="WFW59" s="61"/>
      <c r="WFX59" s="61"/>
      <c r="WFY59" s="62"/>
      <c r="WFZ59" s="53"/>
      <c r="WGA59" s="60"/>
      <c r="WGB59" s="60"/>
      <c r="WGC59" s="61"/>
      <c r="WGD59" s="61"/>
      <c r="WGE59" s="61"/>
      <c r="WGF59" s="61"/>
      <c r="WGG59" s="62"/>
      <c r="WGH59" s="53"/>
      <c r="WGI59" s="60"/>
      <c r="WGJ59" s="60"/>
      <c r="WGK59" s="61"/>
      <c r="WGL59" s="61"/>
      <c r="WGM59" s="61"/>
      <c r="WGN59" s="61"/>
      <c r="WGO59" s="62"/>
      <c r="WGP59" s="53"/>
      <c r="WGQ59" s="60"/>
      <c r="WGR59" s="60"/>
      <c r="WGS59" s="61"/>
      <c r="WGT59" s="61"/>
      <c r="WGU59" s="61"/>
      <c r="WGV59" s="61"/>
      <c r="WGW59" s="62"/>
      <c r="WGX59" s="53"/>
      <c r="WGY59" s="60"/>
      <c r="WGZ59" s="60"/>
      <c r="WHA59" s="61"/>
      <c r="WHB59" s="61"/>
      <c r="WHC59" s="61"/>
      <c r="WHD59" s="61"/>
      <c r="WHE59" s="62"/>
      <c r="WHF59" s="53"/>
      <c r="WHG59" s="60"/>
      <c r="WHH59" s="60"/>
      <c r="WHI59" s="61"/>
      <c r="WHJ59" s="61"/>
      <c r="WHK59" s="61"/>
      <c r="WHL59" s="61"/>
      <c r="WHM59" s="62"/>
      <c r="WHN59" s="53"/>
      <c r="WHO59" s="60"/>
      <c r="WHP59" s="60"/>
      <c r="WHQ59" s="61"/>
      <c r="WHR59" s="61"/>
      <c r="WHS59" s="61"/>
      <c r="WHT59" s="61"/>
      <c r="WHU59" s="62"/>
      <c r="WHV59" s="53"/>
      <c r="WHW59" s="60"/>
      <c r="WHX59" s="60"/>
      <c r="WHY59" s="61"/>
      <c r="WHZ59" s="61"/>
      <c r="WIA59" s="61"/>
      <c r="WIB59" s="61"/>
      <c r="WIC59" s="62"/>
      <c r="WID59" s="53"/>
      <c r="WIE59" s="60"/>
      <c r="WIF59" s="60"/>
      <c r="WIG59" s="61"/>
      <c r="WIH59" s="61"/>
      <c r="WII59" s="61"/>
      <c r="WIJ59" s="61"/>
      <c r="WIK59" s="62"/>
      <c r="WIL59" s="53"/>
      <c r="WIM59" s="60"/>
      <c r="WIN59" s="60"/>
      <c r="WIO59" s="61"/>
      <c r="WIP59" s="61"/>
      <c r="WIQ59" s="61"/>
      <c r="WIR59" s="61"/>
      <c r="WIS59" s="62"/>
      <c r="WIT59" s="53"/>
      <c r="WIU59" s="60"/>
      <c r="WIV59" s="60"/>
      <c r="WIW59" s="61"/>
      <c r="WIX59" s="61"/>
      <c r="WIY59" s="61"/>
      <c r="WIZ59" s="61"/>
      <c r="WJA59" s="62"/>
      <c r="WJB59" s="53"/>
      <c r="WJC59" s="60"/>
      <c r="WJD59" s="60"/>
      <c r="WJE59" s="61"/>
      <c r="WJF59" s="61"/>
      <c r="WJG59" s="61"/>
      <c r="WJH59" s="61"/>
      <c r="WJI59" s="62"/>
      <c r="WJJ59" s="53"/>
      <c r="WJK59" s="60"/>
      <c r="WJL59" s="60"/>
      <c r="WJM59" s="61"/>
      <c r="WJN59" s="61"/>
      <c r="WJO59" s="61"/>
      <c r="WJP59" s="61"/>
      <c r="WJQ59" s="62"/>
      <c r="WJR59" s="53"/>
      <c r="WJS59" s="60"/>
      <c r="WJT59" s="60"/>
      <c r="WJU59" s="61"/>
      <c r="WJV59" s="61"/>
      <c r="WJW59" s="61"/>
      <c r="WJX59" s="61"/>
      <c r="WJY59" s="62"/>
      <c r="WJZ59" s="53"/>
      <c r="WKA59" s="60"/>
      <c r="WKB59" s="60"/>
      <c r="WKC59" s="61"/>
      <c r="WKD59" s="61"/>
      <c r="WKE59" s="61"/>
      <c r="WKF59" s="61"/>
      <c r="WKG59" s="62"/>
      <c r="WKH59" s="53"/>
      <c r="WKI59" s="60"/>
      <c r="WKJ59" s="60"/>
      <c r="WKK59" s="61"/>
      <c r="WKL59" s="61"/>
      <c r="WKM59" s="61"/>
      <c r="WKN59" s="61"/>
      <c r="WKO59" s="62"/>
      <c r="WKP59" s="53"/>
      <c r="WKQ59" s="60"/>
      <c r="WKR59" s="60"/>
      <c r="WKS59" s="61"/>
      <c r="WKT59" s="61"/>
      <c r="WKU59" s="61"/>
      <c r="WKV59" s="61"/>
      <c r="WKW59" s="62"/>
      <c r="WKX59" s="53"/>
      <c r="WKY59" s="60"/>
      <c r="WKZ59" s="60"/>
      <c r="WLA59" s="61"/>
      <c r="WLB59" s="61"/>
      <c r="WLC59" s="61"/>
      <c r="WLD59" s="61"/>
      <c r="WLE59" s="62"/>
      <c r="WLF59" s="53"/>
      <c r="WLG59" s="60"/>
      <c r="WLH59" s="60"/>
      <c r="WLI59" s="61"/>
      <c r="WLJ59" s="61"/>
      <c r="WLK59" s="61"/>
      <c r="WLL59" s="61"/>
      <c r="WLM59" s="62"/>
      <c r="WLN59" s="53"/>
      <c r="WLO59" s="60"/>
      <c r="WLP59" s="60"/>
      <c r="WLQ59" s="61"/>
      <c r="WLR59" s="61"/>
      <c r="WLS59" s="61"/>
      <c r="WLT59" s="61"/>
      <c r="WLU59" s="62"/>
      <c r="WLV59" s="53"/>
      <c r="WLW59" s="60"/>
      <c r="WLX59" s="60"/>
      <c r="WLY59" s="61"/>
      <c r="WLZ59" s="61"/>
      <c r="WMA59" s="61"/>
      <c r="WMB59" s="61"/>
      <c r="WMC59" s="62"/>
      <c r="WMD59" s="53"/>
      <c r="WME59" s="60"/>
      <c r="WMF59" s="60"/>
      <c r="WMG59" s="61"/>
      <c r="WMH59" s="61"/>
      <c r="WMI59" s="61"/>
      <c r="WMJ59" s="61"/>
      <c r="WMK59" s="62"/>
      <c r="WML59" s="53"/>
      <c r="WMM59" s="60"/>
      <c r="WMN59" s="60"/>
      <c r="WMO59" s="61"/>
      <c r="WMP59" s="61"/>
      <c r="WMQ59" s="61"/>
      <c r="WMR59" s="61"/>
      <c r="WMS59" s="62"/>
      <c r="WMT59" s="53"/>
      <c r="WMU59" s="60"/>
      <c r="WMV59" s="60"/>
      <c r="WMW59" s="61"/>
      <c r="WMX59" s="61"/>
      <c r="WMY59" s="61"/>
      <c r="WMZ59" s="61"/>
      <c r="WNA59" s="62"/>
      <c r="WNB59" s="53"/>
      <c r="WNC59" s="60"/>
      <c r="WND59" s="60"/>
      <c r="WNE59" s="61"/>
      <c r="WNF59" s="61"/>
      <c r="WNG59" s="61"/>
      <c r="WNH59" s="61"/>
      <c r="WNI59" s="62"/>
      <c r="WNJ59" s="53"/>
      <c r="WNK59" s="60"/>
      <c r="WNL59" s="60"/>
      <c r="WNM59" s="61"/>
      <c r="WNN59" s="61"/>
      <c r="WNO59" s="61"/>
      <c r="WNP59" s="61"/>
      <c r="WNQ59" s="62"/>
      <c r="WNR59" s="53"/>
      <c r="WNS59" s="60"/>
      <c r="WNT59" s="60"/>
      <c r="WNU59" s="61"/>
      <c r="WNV59" s="61"/>
      <c r="WNW59" s="61"/>
      <c r="WNX59" s="61"/>
      <c r="WNY59" s="62"/>
      <c r="WNZ59" s="53"/>
      <c r="WOA59" s="60"/>
      <c r="WOB59" s="60"/>
      <c r="WOC59" s="61"/>
      <c r="WOD59" s="61"/>
      <c r="WOE59" s="61"/>
      <c r="WOF59" s="61"/>
      <c r="WOG59" s="62"/>
      <c r="WOH59" s="53"/>
      <c r="WOI59" s="60"/>
      <c r="WOJ59" s="60"/>
      <c r="WOK59" s="61"/>
      <c r="WOL59" s="61"/>
      <c r="WOM59" s="61"/>
      <c r="WON59" s="61"/>
      <c r="WOO59" s="62"/>
      <c r="WOP59" s="53"/>
      <c r="WOQ59" s="60"/>
      <c r="WOR59" s="60"/>
      <c r="WOS59" s="61"/>
      <c r="WOT59" s="61"/>
      <c r="WOU59" s="61"/>
      <c r="WOV59" s="61"/>
      <c r="WOW59" s="62"/>
      <c r="WOX59" s="53"/>
      <c r="WOY59" s="60"/>
      <c r="WOZ59" s="60"/>
      <c r="WPA59" s="61"/>
      <c r="WPB59" s="61"/>
      <c r="WPC59" s="61"/>
      <c r="WPD59" s="61"/>
      <c r="WPE59" s="62"/>
      <c r="WPF59" s="53"/>
      <c r="WPG59" s="60"/>
      <c r="WPH59" s="60"/>
      <c r="WPI59" s="61"/>
      <c r="WPJ59" s="61"/>
      <c r="WPK59" s="61"/>
      <c r="WPL59" s="61"/>
      <c r="WPM59" s="62"/>
      <c r="WPN59" s="53"/>
      <c r="WPO59" s="60"/>
      <c r="WPP59" s="60"/>
      <c r="WPQ59" s="61"/>
      <c r="WPR59" s="61"/>
      <c r="WPS59" s="61"/>
      <c r="WPT59" s="61"/>
      <c r="WPU59" s="62"/>
      <c r="WPV59" s="53"/>
      <c r="WPW59" s="60"/>
      <c r="WPX59" s="60"/>
      <c r="WPY59" s="61"/>
      <c r="WPZ59" s="61"/>
      <c r="WQA59" s="61"/>
      <c r="WQB59" s="61"/>
      <c r="WQC59" s="62"/>
      <c r="WQD59" s="53"/>
      <c r="WQE59" s="60"/>
      <c r="WQF59" s="60"/>
      <c r="WQG59" s="61"/>
      <c r="WQH59" s="61"/>
      <c r="WQI59" s="61"/>
      <c r="WQJ59" s="61"/>
      <c r="WQK59" s="62"/>
      <c r="WQL59" s="53"/>
      <c r="WQM59" s="60"/>
      <c r="WQN59" s="60"/>
      <c r="WQO59" s="61"/>
      <c r="WQP59" s="61"/>
      <c r="WQQ59" s="61"/>
      <c r="WQR59" s="61"/>
      <c r="WQS59" s="62"/>
      <c r="WQT59" s="53"/>
      <c r="WQU59" s="60"/>
      <c r="WQV59" s="60"/>
      <c r="WQW59" s="61"/>
      <c r="WQX59" s="61"/>
      <c r="WQY59" s="61"/>
      <c r="WQZ59" s="61"/>
      <c r="WRA59" s="62"/>
      <c r="WRB59" s="53"/>
      <c r="WRC59" s="60"/>
      <c r="WRD59" s="60"/>
      <c r="WRE59" s="61"/>
      <c r="WRF59" s="61"/>
      <c r="WRG59" s="61"/>
      <c r="WRH59" s="61"/>
      <c r="WRI59" s="62"/>
      <c r="WRJ59" s="53"/>
      <c r="WRK59" s="60"/>
      <c r="WRL59" s="60"/>
      <c r="WRM59" s="61"/>
      <c r="WRN59" s="61"/>
      <c r="WRO59" s="61"/>
      <c r="WRP59" s="61"/>
      <c r="WRQ59" s="62"/>
      <c r="WRR59" s="53"/>
      <c r="WRS59" s="60"/>
      <c r="WRT59" s="60"/>
      <c r="WRU59" s="61"/>
      <c r="WRV59" s="61"/>
      <c r="WRW59" s="61"/>
      <c r="WRX59" s="61"/>
      <c r="WRY59" s="62"/>
      <c r="WRZ59" s="53"/>
      <c r="WSA59" s="60"/>
      <c r="WSB59" s="60"/>
      <c r="WSC59" s="61"/>
      <c r="WSD59" s="61"/>
      <c r="WSE59" s="61"/>
      <c r="WSF59" s="61"/>
      <c r="WSG59" s="62"/>
      <c r="WSH59" s="53"/>
      <c r="WSI59" s="60"/>
      <c r="WSJ59" s="60"/>
      <c r="WSK59" s="61"/>
      <c r="WSL59" s="61"/>
      <c r="WSM59" s="61"/>
      <c r="WSN59" s="61"/>
      <c r="WSO59" s="62"/>
      <c r="WSP59" s="53"/>
      <c r="WSQ59" s="60"/>
      <c r="WSR59" s="60"/>
      <c r="WSS59" s="61"/>
      <c r="WST59" s="61"/>
      <c r="WSU59" s="61"/>
      <c r="WSV59" s="61"/>
      <c r="WSW59" s="62"/>
      <c r="WSX59" s="53"/>
      <c r="WSY59" s="60"/>
      <c r="WSZ59" s="60"/>
      <c r="WTA59" s="61"/>
      <c r="WTB59" s="61"/>
      <c r="WTC59" s="61"/>
      <c r="WTD59" s="61"/>
      <c r="WTE59" s="62"/>
      <c r="WTF59" s="53"/>
      <c r="WTG59" s="60"/>
      <c r="WTH59" s="60"/>
      <c r="WTI59" s="61"/>
      <c r="WTJ59" s="61"/>
      <c r="WTK59" s="61"/>
      <c r="WTL59" s="61"/>
      <c r="WTM59" s="62"/>
      <c r="WTN59" s="53"/>
      <c r="WTO59" s="60"/>
      <c r="WTP59" s="60"/>
      <c r="WTQ59" s="61"/>
      <c r="WTR59" s="61"/>
      <c r="WTS59" s="61"/>
      <c r="WTT59" s="61"/>
      <c r="WTU59" s="62"/>
      <c r="WTV59" s="53"/>
      <c r="WTW59" s="60"/>
      <c r="WTX59" s="60"/>
      <c r="WTY59" s="61"/>
      <c r="WTZ59" s="61"/>
      <c r="WUA59" s="61"/>
      <c r="WUB59" s="61"/>
      <c r="WUC59" s="62"/>
      <c r="WUD59" s="53"/>
      <c r="WUE59" s="60"/>
      <c r="WUF59" s="60"/>
      <c r="WUG59" s="61"/>
      <c r="WUH59" s="61"/>
      <c r="WUI59" s="61"/>
      <c r="WUJ59" s="61"/>
      <c r="WUK59" s="62"/>
      <c r="WUL59" s="53"/>
      <c r="WUM59" s="60"/>
      <c r="WUN59" s="60"/>
      <c r="WUO59" s="61"/>
      <c r="WUP59" s="61"/>
      <c r="WUQ59" s="61"/>
      <c r="WUR59" s="61"/>
      <c r="WUS59" s="62"/>
      <c r="WUT59" s="53"/>
      <c r="WUU59" s="60"/>
      <c r="WUV59" s="60"/>
      <c r="WUW59" s="61"/>
      <c r="WUX59" s="61"/>
      <c r="WUY59" s="61"/>
      <c r="WUZ59" s="61"/>
      <c r="WVA59" s="62"/>
      <c r="WVB59" s="53"/>
      <c r="WVC59" s="60"/>
      <c r="WVD59" s="60"/>
      <c r="WVE59" s="61"/>
      <c r="WVF59" s="61"/>
      <c r="WVG59" s="61"/>
      <c r="WVH59" s="61"/>
      <c r="WVI59" s="62"/>
      <c r="WVJ59" s="53"/>
      <c r="WVK59" s="60"/>
      <c r="WVL59" s="60"/>
      <c r="WVM59" s="61"/>
      <c r="WVN59" s="61"/>
      <c r="WVO59" s="61"/>
      <c r="WVP59" s="61"/>
      <c r="WVQ59" s="62"/>
      <c r="WVR59" s="53"/>
      <c r="WVS59" s="60"/>
      <c r="WVT59" s="60"/>
      <c r="WVU59" s="61"/>
      <c r="WVV59" s="61"/>
      <c r="WVW59" s="61"/>
      <c r="WVX59" s="61"/>
      <c r="WVY59" s="62"/>
      <c r="WVZ59" s="53"/>
      <c r="WWA59" s="60"/>
      <c r="WWB59" s="60"/>
      <c r="WWC59" s="61"/>
      <c r="WWD59" s="61"/>
      <c r="WWE59" s="61"/>
      <c r="WWF59" s="61"/>
      <c r="WWG59" s="62"/>
      <c r="WWH59" s="53"/>
      <c r="WWI59" s="60"/>
      <c r="WWJ59" s="60"/>
      <c r="WWK59" s="61"/>
      <c r="WWL59" s="61"/>
      <c r="WWM59" s="61"/>
      <c r="WWN59" s="61"/>
      <c r="WWO59" s="62"/>
      <c r="WWP59" s="53"/>
      <c r="WWQ59" s="60"/>
      <c r="WWR59" s="60"/>
      <c r="WWS59" s="61"/>
      <c r="WWT59" s="61"/>
      <c r="WWU59" s="61"/>
      <c r="WWV59" s="61"/>
      <c r="WWW59" s="62"/>
      <c r="WWX59" s="53"/>
      <c r="WWY59" s="60"/>
      <c r="WWZ59" s="60"/>
      <c r="WXA59" s="61"/>
      <c r="WXB59" s="61"/>
      <c r="WXC59" s="61"/>
      <c r="WXD59" s="61"/>
      <c r="WXE59" s="62"/>
      <c r="WXF59" s="53"/>
      <c r="WXG59" s="60"/>
      <c r="WXH59" s="60"/>
      <c r="WXI59" s="61"/>
      <c r="WXJ59" s="61"/>
      <c r="WXK59" s="61"/>
      <c r="WXL59" s="61"/>
      <c r="WXM59" s="62"/>
      <c r="WXN59" s="53"/>
      <c r="WXO59" s="60"/>
      <c r="WXP59" s="60"/>
      <c r="WXQ59" s="61"/>
      <c r="WXR59" s="61"/>
      <c r="WXS59" s="61"/>
      <c r="WXT59" s="61"/>
      <c r="WXU59" s="62"/>
      <c r="WXV59" s="53"/>
      <c r="WXW59" s="60"/>
      <c r="WXX59" s="60"/>
      <c r="WXY59" s="61"/>
      <c r="WXZ59" s="61"/>
      <c r="WYA59" s="61"/>
      <c r="WYB59" s="61"/>
      <c r="WYC59" s="62"/>
      <c r="WYD59" s="53"/>
      <c r="WYE59" s="60"/>
      <c r="WYF59" s="60"/>
      <c r="WYG59" s="61"/>
      <c r="WYH59" s="61"/>
      <c r="WYI59" s="61"/>
      <c r="WYJ59" s="61"/>
      <c r="WYK59" s="62"/>
      <c r="WYL59" s="53"/>
      <c r="WYM59" s="60"/>
      <c r="WYN59" s="60"/>
      <c r="WYO59" s="61"/>
      <c r="WYP59" s="61"/>
      <c r="WYQ59" s="61"/>
      <c r="WYR59" s="61"/>
      <c r="WYS59" s="62"/>
      <c r="WYT59" s="53"/>
      <c r="WYU59" s="60"/>
      <c r="WYV59" s="60"/>
      <c r="WYW59" s="61"/>
      <c r="WYX59" s="61"/>
      <c r="WYY59" s="61"/>
      <c r="WYZ59" s="61"/>
      <c r="WZA59" s="62"/>
      <c r="WZB59" s="53"/>
      <c r="WZC59" s="60"/>
      <c r="WZD59" s="60"/>
      <c r="WZE59" s="61"/>
      <c r="WZF59" s="61"/>
      <c r="WZG59" s="61"/>
      <c r="WZH59" s="61"/>
      <c r="WZI59" s="62"/>
      <c r="WZJ59" s="53"/>
      <c r="WZK59" s="60"/>
      <c r="WZL59" s="60"/>
      <c r="WZM59" s="61"/>
      <c r="WZN59" s="61"/>
      <c r="WZO59" s="61"/>
      <c r="WZP59" s="61"/>
      <c r="WZQ59" s="62"/>
      <c r="WZR59" s="53"/>
      <c r="WZS59" s="60"/>
      <c r="WZT59" s="60"/>
      <c r="WZU59" s="61"/>
      <c r="WZV59" s="61"/>
      <c r="WZW59" s="61"/>
      <c r="WZX59" s="61"/>
      <c r="WZY59" s="62"/>
      <c r="WZZ59" s="53"/>
      <c r="XAA59" s="60"/>
      <c r="XAB59" s="60"/>
      <c r="XAC59" s="61"/>
      <c r="XAD59" s="61"/>
      <c r="XAE59" s="61"/>
      <c r="XAF59" s="61"/>
      <c r="XAG59" s="62"/>
      <c r="XAH59" s="53"/>
      <c r="XAI59" s="60"/>
      <c r="XAJ59" s="60"/>
      <c r="XAK59" s="61"/>
      <c r="XAL59" s="61"/>
      <c r="XAM59" s="61"/>
      <c r="XAN59" s="61"/>
      <c r="XAO59" s="62"/>
      <c r="XAP59" s="53"/>
      <c r="XAQ59" s="60"/>
      <c r="XAR59" s="60"/>
      <c r="XAS59" s="61"/>
      <c r="XAT59" s="61"/>
      <c r="XAU59" s="61"/>
      <c r="XAV59" s="61"/>
      <c r="XAW59" s="62"/>
      <c r="XAX59" s="53"/>
      <c r="XAY59" s="60"/>
      <c r="XAZ59" s="60"/>
      <c r="XBA59" s="61"/>
      <c r="XBB59" s="61"/>
      <c r="XBC59" s="61"/>
      <c r="XBD59" s="61"/>
      <c r="XBE59" s="62"/>
      <c r="XBF59" s="53"/>
      <c r="XBG59" s="60"/>
      <c r="XBH59" s="60"/>
      <c r="XBI59" s="61"/>
      <c r="XBJ59" s="61"/>
      <c r="XBK59" s="61"/>
      <c r="XBL59" s="61"/>
      <c r="XBM59" s="62"/>
      <c r="XBN59" s="53"/>
      <c r="XBO59" s="60"/>
      <c r="XBP59" s="60"/>
      <c r="XBQ59" s="61"/>
      <c r="XBR59" s="61"/>
      <c r="XBS59" s="61"/>
      <c r="XBT59" s="61"/>
      <c r="XBU59" s="62"/>
      <c r="XBV59" s="53"/>
      <c r="XBW59" s="60"/>
      <c r="XBX59" s="60"/>
      <c r="XBY59" s="61"/>
      <c r="XBZ59" s="61"/>
      <c r="XCA59" s="61"/>
      <c r="XCB59" s="61"/>
      <c r="XCC59" s="62"/>
      <c r="XCD59" s="53"/>
      <c r="XCE59" s="60"/>
      <c r="XCF59" s="60"/>
      <c r="XCG59" s="61"/>
      <c r="XCH59" s="61"/>
      <c r="XCI59" s="61"/>
      <c r="XCJ59" s="61"/>
      <c r="XCK59" s="62"/>
      <c r="XCL59" s="53"/>
      <c r="XCM59" s="60"/>
      <c r="XCN59" s="60"/>
      <c r="XCO59" s="61"/>
      <c r="XCP59" s="61"/>
      <c r="XCQ59" s="61"/>
      <c r="XCR59" s="61"/>
      <c r="XCS59" s="62"/>
      <c r="XCT59" s="53"/>
      <c r="XCU59" s="60"/>
      <c r="XCV59" s="60"/>
      <c r="XCW59" s="61"/>
      <c r="XCX59" s="61"/>
      <c r="XCY59" s="61"/>
      <c r="XCZ59" s="61"/>
      <c r="XDA59" s="62"/>
      <c r="XDB59" s="53"/>
      <c r="XDC59" s="60"/>
      <c r="XDD59" s="60"/>
      <c r="XDE59" s="61"/>
      <c r="XDF59" s="61"/>
      <c r="XDG59" s="61"/>
      <c r="XDH59" s="61"/>
      <c r="XDI59" s="62"/>
      <c r="XDJ59" s="53"/>
      <c r="XDK59" s="60"/>
      <c r="XDL59" s="60"/>
      <c r="XDM59" s="61"/>
      <c r="XDN59" s="61"/>
      <c r="XDO59" s="61"/>
      <c r="XDP59" s="61"/>
      <c r="XDQ59" s="62"/>
      <c r="XDR59" s="53"/>
      <c r="XDS59" s="60"/>
      <c r="XDT59" s="60"/>
      <c r="XDU59" s="61"/>
      <c r="XDV59" s="61"/>
      <c r="XDW59" s="61"/>
      <c r="XDX59" s="61"/>
      <c r="XDY59" s="62"/>
      <c r="XDZ59" s="53"/>
      <c r="XEA59" s="60"/>
      <c r="XEB59" s="60"/>
      <c r="XEC59" s="61"/>
      <c r="XED59" s="61"/>
      <c r="XEE59" s="61"/>
      <c r="XEF59" s="61"/>
      <c r="XEG59" s="62"/>
      <c r="XEH59" s="53"/>
      <c r="XEI59" s="60"/>
      <c r="XEJ59" s="60"/>
      <c r="XEK59" s="61"/>
      <c r="XEL59" s="61"/>
      <c r="XEM59" s="61"/>
      <c r="XEN59" s="61"/>
      <c r="XEO59" s="62"/>
      <c r="XEP59" s="53"/>
      <c r="XEQ59" s="60"/>
      <c r="XER59" s="60"/>
      <c r="XES59" s="61"/>
      <c r="XET59" s="61"/>
    </row>
    <row r="60" spans="1:16374" ht="28" hidden="1" x14ac:dyDescent="0.35">
      <c r="A60" s="19" t="s">
        <v>160</v>
      </c>
      <c r="B60" s="38" t="s">
        <v>161</v>
      </c>
      <c r="C60" s="237" t="s">
        <v>162</v>
      </c>
      <c r="D60" s="237" t="s">
        <v>163</v>
      </c>
      <c r="E60" s="18">
        <v>14000</v>
      </c>
      <c r="F60" s="18">
        <v>4000</v>
      </c>
      <c r="G60" s="18">
        <v>1600</v>
      </c>
      <c r="H60" s="18">
        <v>1000</v>
      </c>
      <c r="I60" s="19" t="s">
        <v>160</v>
      </c>
      <c r="J60" s="14"/>
      <c r="K60" s="259"/>
      <c r="L60" s="259"/>
      <c r="M60" s="261"/>
      <c r="N60" s="261"/>
      <c r="O60" s="261"/>
      <c r="P60" s="261"/>
      <c r="Q60" s="261"/>
      <c r="R60" s="261"/>
      <c r="S60" s="261"/>
      <c r="T60" s="261"/>
      <c r="U60" s="261"/>
      <c r="V60" s="261"/>
      <c r="W60" s="261"/>
      <c r="X60" s="261"/>
      <c r="Y60" s="21" t="s">
        <v>164</v>
      </c>
      <c r="Z60" s="27" t="s">
        <v>135</v>
      </c>
      <c r="AA60" s="27"/>
      <c r="AB60" s="27"/>
      <c r="AC60" s="27"/>
      <c r="AD60" s="27"/>
      <c r="AE60" s="27"/>
      <c r="AF60" s="27"/>
      <c r="AG60" s="27"/>
      <c r="AH60" s="27"/>
      <c r="AI60" s="27"/>
      <c r="AJ60" s="4"/>
    </row>
    <row r="61" spans="1:16374" ht="28" hidden="1" x14ac:dyDescent="0.35">
      <c r="A61" s="19" t="s">
        <v>165</v>
      </c>
      <c r="B61" s="38" t="s">
        <v>161</v>
      </c>
      <c r="C61" s="237" t="s">
        <v>163</v>
      </c>
      <c r="D61" s="237" t="s">
        <v>166</v>
      </c>
      <c r="E61" s="18">
        <v>11000</v>
      </c>
      <c r="F61" s="18">
        <v>2500</v>
      </c>
      <c r="G61" s="18">
        <v>1300</v>
      </c>
      <c r="H61" s="18">
        <v>1000</v>
      </c>
      <c r="I61" s="19" t="s">
        <v>165</v>
      </c>
      <c r="J61" s="14"/>
      <c r="K61" s="259"/>
      <c r="L61" s="259"/>
      <c r="M61" s="261"/>
      <c r="N61" s="261"/>
      <c r="O61" s="261"/>
      <c r="P61" s="261"/>
      <c r="Q61" s="261"/>
      <c r="R61" s="261"/>
      <c r="S61" s="261"/>
      <c r="T61" s="261"/>
      <c r="U61" s="261"/>
      <c r="V61" s="261"/>
      <c r="W61" s="261"/>
      <c r="X61" s="261"/>
      <c r="Y61" s="21" t="s">
        <v>164</v>
      </c>
      <c r="Z61" s="27" t="s">
        <v>135</v>
      </c>
      <c r="AA61" s="27"/>
      <c r="AB61" s="27"/>
      <c r="AC61" s="27"/>
      <c r="AD61" s="27"/>
      <c r="AE61" s="27"/>
      <c r="AF61" s="27"/>
      <c r="AG61" s="27"/>
      <c r="AH61" s="27"/>
      <c r="AI61" s="27"/>
      <c r="AJ61" s="4"/>
    </row>
    <row r="62" spans="1:16374" ht="81.75" hidden="1" customHeight="1" x14ac:dyDescent="0.35">
      <c r="A62" s="19" t="s">
        <v>167</v>
      </c>
      <c r="B62" s="38" t="s">
        <v>168</v>
      </c>
      <c r="C62" s="460" t="s">
        <v>36</v>
      </c>
      <c r="D62" s="460"/>
      <c r="E62" s="18">
        <v>20000</v>
      </c>
      <c r="F62" s="261"/>
      <c r="G62" s="261"/>
      <c r="H62" s="261"/>
      <c r="I62" s="19" t="s">
        <v>167</v>
      </c>
      <c r="J62" s="38" t="s">
        <v>169</v>
      </c>
      <c r="K62" s="460" t="s">
        <v>36</v>
      </c>
      <c r="L62" s="460"/>
      <c r="M62" s="18">
        <v>20000</v>
      </c>
      <c r="N62" s="261"/>
      <c r="O62" s="261"/>
      <c r="P62" s="261"/>
      <c r="Q62" s="261"/>
      <c r="R62" s="261"/>
      <c r="S62" s="261"/>
      <c r="T62" s="261"/>
      <c r="U62" s="261"/>
      <c r="V62" s="261"/>
      <c r="W62" s="261"/>
      <c r="X62" s="261"/>
      <c r="Y62" s="12" t="s">
        <v>170</v>
      </c>
      <c r="Z62" s="27" t="s">
        <v>171</v>
      </c>
      <c r="AA62" s="27"/>
      <c r="AB62" s="27"/>
      <c r="AC62" s="27"/>
      <c r="AD62" s="27"/>
      <c r="AE62" s="27"/>
      <c r="AF62" s="27"/>
      <c r="AG62" s="27"/>
      <c r="AH62" s="27"/>
      <c r="AI62" s="27"/>
      <c r="AJ62" s="4"/>
    </row>
    <row r="63" spans="1:16374" ht="119.25" hidden="1" customHeight="1" x14ac:dyDescent="0.35">
      <c r="A63" s="19" t="s">
        <v>172</v>
      </c>
      <c r="B63" s="38" t="s">
        <v>173</v>
      </c>
      <c r="C63" s="237" t="s">
        <v>174</v>
      </c>
      <c r="D63" s="237" t="s">
        <v>175</v>
      </c>
      <c r="E63" s="18">
        <v>19000</v>
      </c>
      <c r="F63" s="18">
        <v>7000</v>
      </c>
      <c r="G63" s="18">
        <v>4500</v>
      </c>
      <c r="H63" s="18">
        <v>1700</v>
      </c>
      <c r="I63" s="19" t="s">
        <v>172</v>
      </c>
      <c r="J63" s="21" t="s">
        <v>176</v>
      </c>
      <c r="K63" s="88" t="s">
        <v>174</v>
      </c>
      <c r="L63" s="88" t="s">
        <v>175</v>
      </c>
      <c r="M63" s="63">
        <v>19000</v>
      </c>
      <c r="N63" s="64">
        <v>8820</v>
      </c>
      <c r="O63" s="63">
        <v>4500</v>
      </c>
      <c r="P63" s="63">
        <v>1700</v>
      </c>
      <c r="Q63" s="63"/>
      <c r="R63" s="63"/>
      <c r="S63" s="63"/>
      <c r="T63" s="63"/>
      <c r="U63" s="63"/>
      <c r="V63" s="63"/>
      <c r="W63" s="63"/>
      <c r="X63" s="63"/>
      <c r="Y63" s="21" t="s">
        <v>177</v>
      </c>
      <c r="Z63" s="27"/>
      <c r="AA63" s="27"/>
      <c r="AB63" s="27"/>
      <c r="AC63" s="27"/>
      <c r="AD63" s="27"/>
      <c r="AE63" s="27"/>
      <c r="AF63" s="27"/>
      <c r="AG63" s="27"/>
      <c r="AH63" s="27"/>
      <c r="AI63" s="27"/>
      <c r="AJ63" s="4"/>
    </row>
    <row r="64" spans="1:16374" ht="38.25" hidden="1" customHeight="1" x14ac:dyDescent="0.35">
      <c r="A64" s="19" t="s">
        <v>178</v>
      </c>
      <c r="B64" s="38" t="s">
        <v>179</v>
      </c>
      <c r="C64" s="237" t="s">
        <v>180</v>
      </c>
      <c r="D64" s="237" t="s">
        <v>181</v>
      </c>
      <c r="E64" s="18">
        <v>14000</v>
      </c>
      <c r="F64" s="18">
        <v>4000</v>
      </c>
      <c r="G64" s="18">
        <v>1600</v>
      </c>
      <c r="H64" s="18">
        <v>1000</v>
      </c>
      <c r="I64" s="19" t="s">
        <v>178</v>
      </c>
      <c r="J64" s="38" t="s">
        <v>179</v>
      </c>
      <c r="K64" s="237" t="s">
        <v>180</v>
      </c>
      <c r="L64" s="237" t="s">
        <v>182</v>
      </c>
      <c r="M64" s="35">
        <v>14000</v>
      </c>
      <c r="N64" s="35">
        <v>4000</v>
      </c>
      <c r="O64" s="35">
        <v>1600</v>
      </c>
      <c r="P64" s="35">
        <v>1000</v>
      </c>
      <c r="Q64" s="35">
        <v>8400</v>
      </c>
      <c r="R64" s="35">
        <v>2400</v>
      </c>
      <c r="S64" s="35">
        <v>960</v>
      </c>
      <c r="T64" s="35">
        <v>600</v>
      </c>
      <c r="U64" s="35">
        <v>5600</v>
      </c>
      <c r="V64" s="35">
        <v>1600</v>
      </c>
      <c r="W64" s="35">
        <v>640</v>
      </c>
      <c r="X64" s="35">
        <v>400</v>
      </c>
      <c r="Y64" s="21" t="s">
        <v>183</v>
      </c>
      <c r="Z64" s="27" t="s">
        <v>184</v>
      </c>
      <c r="AA64" s="27"/>
      <c r="AB64" s="27"/>
      <c r="AC64" s="27"/>
      <c r="AD64" s="27"/>
      <c r="AE64" s="27"/>
      <c r="AF64" s="27"/>
      <c r="AG64" s="27"/>
      <c r="AH64" s="27"/>
      <c r="AI64" s="27"/>
      <c r="AJ64" s="4"/>
    </row>
    <row r="65" spans="1:36" ht="95.25" hidden="1" customHeight="1" x14ac:dyDescent="0.35">
      <c r="A65" s="19" t="s">
        <v>185</v>
      </c>
      <c r="B65" s="38" t="s">
        <v>186</v>
      </c>
      <c r="C65" s="237" t="s">
        <v>187</v>
      </c>
      <c r="D65" s="237" t="s">
        <v>188</v>
      </c>
      <c r="E65" s="18">
        <v>3800</v>
      </c>
      <c r="F65" s="18">
        <v>1500</v>
      </c>
      <c r="G65" s="18">
        <v>1000</v>
      </c>
      <c r="H65" s="18">
        <v>600</v>
      </c>
      <c r="I65" s="19" t="s">
        <v>185</v>
      </c>
      <c r="J65" s="88" t="s">
        <v>189</v>
      </c>
      <c r="K65" s="88" t="s">
        <v>190</v>
      </c>
      <c r="L65" s="88" t="s">
        <v>188</v>
      </c>
      <c r="M65" s="66">
        <v>3800</v>
      </c>
      <c r="N65" s="67">
        <v>1866</v>
      </c>
      <c r="O65" s="66">
        <v>1000</v>
      </c>
      <c r="P65" s="66">
        <v>600</v>
      </c>
      <c r="Q65" s="66"/>
      <c r="R65" s="66"/>
      <c r="S65" s="66"/>
      <c r="T65" s="66"/>
      <c r="U65" s="66"/>
      <c r="V65" s="66"/>
      <c r="W65" s="66"/>
      <c r="X65" s="66"/>
      <c r="Y65" s="21" t="s">
        <v>191</v>
      </c>
      <c r="Z65" s="27"/>
      <c r="AA65" s="27"/>
      <c r="AB65" s="27"/>
      <c r="AC65" s="27"/>
      <c r="AD65" s="27"/>
      <c r="AE65" s="27"/>
      <c r="AF65" s="27"/>
      <c r="AG65" s="27"/>
      <c r="AH65" s="27"/>
      <c r="AI65" s="27"/>
      <c r="AJ65" s="4"/>
    </row>
    <row r="66" spans="1:36" hidden="1" x14ac:dyDescent="0.35">
      <c r="A66" s="27"/>
      <c r="B66" s="14"/>
      <c r="C66" s="259"/>
      <c r="D66" s="259"/>
      <c r="E66" s="261"/>
      <c r="F66" s="261"/>
      <c r="G66" s="261"/>
      <c r="H66" s="261"/>
      <c r="I66" s="27">
        <v>32</v>
      </c>
      <c r="J66" s="253" t="s">
        <v>192</v>
      </c>
      <c r="K66" s="253"/>
      <c r="L66" s="253"/>
      <c r="M66" s="253"/>
      <c r="N66" s="253"/>
      <c r="O66" s="253"/>
      <c r="P66" s="253"/>
      <c r="Q66" s="253"/>
      <c r="R66" s="253"/>
      <c r="S66" s="253"/>
      <c r="T66" s="253"/>
      <c r="U66" s="253"/>
      <c r="V66" s="253"/>
      <c r="W66" s="253"/>
      <c r="X66" s="253"/>
      <c r="Y66" s="69"/>
      <c r="Z66" s="27" t="s">
        <v>106</v>
      </c>
      <c r="AA66" s="27"/>
      <c r="AB66" s="27"/>
      <c r="AC66" s="27"/>
      <c r="AD66" s="27"/>
      <c r="AE66" s="27"/>
      <c r="AF66" s="27"/>
      <c r="AG66" s="27"/>
      <c r="AH66" s="27"/>
      <c r="AI66" s="27"/>
      <c r="AJ66" s="4"/>
    </row>
    <row r="67" spans="1:36" ht="28" hidden="1" x14ac:dyDescent="0.35">
      <c r="A67" s="27"/>
      <c r="B67" s="14"/>
      <c r="C67" s="259"/>
      <c r="D67" s="259"/>
      <c r="E67" s="261"/>
      <c r="F67" s="261"/>
      <c r="G67" s="261"/>
      <c r="H67" s="261"/>
      <c r="I67" s="27" t="s">
        <v>193</v>
      </c>
      <c r="J67" s="253" t="s">
        <v>194</v>
      </c>
      <c r="K67" s="88" t="s">
        <v>195</v>
      </c>
      <c r="L67" s="253" t="s">
        <v>163</v>
      </c>
      <c r="M67" s="18">
        <v>14000</v>
      </c>
      <c r="N67" s="18">
        <v>4000</v>
      </c>
      <c r="O67" s="18">
        <v>1600</v>
      </c>
      <c r="P67" s="18">
        <v>1000</v>
      </c>
      <c r="Q67" s="18"/>
      <c r="R67" s="18"/>
      <c r="S67" s="18"/>
      <c r="T67" s="18"/>
      <c r="U67" s="18"/>
      <c r="V67" s="18"/>
      <c r="W67" s="18"/>
      <c r="X67" s="18"/>
      <c r="Y67" s="21" t="s">
        <v>196</v>
      </c>
      <c r="Z67" s="27" t="s">
        <v>106</v>
      </c>
      <c r="AA67" s="27"/>
      <c r="AB67" s="27"/>
      <c r="AC67" s="27"/>
      <c r="AD67" s="27"/>
      <c r="AE67" s="27"/>
      <c r="AF67" s="27"/>
      <c r="AG67" s="27"/>
      <c r="AH67" s="27"/>
      <c r="AI67" s="27"/>
      <c r="AJ67" s="4"/>
    </row>
    <row r="68" spans="1:36" ht="28" hidden="1" x14ac:dyDescent="0.35">
      <c r="A68" s="27"/>
      <c r="B68" s="14"/>
      <c r="C68" s="259"/>
      <c r="D68" s="259"/>
      <c r="E68" s="261"/>
      <c r="F68" s="261"/>
      <c r="G68" s="261"/>
      <c r="H68" s="261"/>
      <c r="I68" s="27" t="s">
        <v>197</v>
      </c>
      <c r="J68" s="253" t="s">
        <v>194</v>
      </c>
      <c r="K68" s="253" t="s">
        <v>163</v>
      </c>
      <c r="L68" s="253" t="s">
        <v>198</v>
      </c>
      <c r="M68" s="18">
        <v>11000</v>
      </c>
      <c r="N68" s="18">
        <v>2500</v>
      </c>
      <c r="O68" s="18">
        <v>1300</v>
      </c>
      <c r="P68" s="18">
        <v>1000</v>
      </c>
      <c r="Q68" s="18"/>
      <c r="R68" s="18"/>
      <c r="S68" s="18"/>
      <c r="T68" s="18"/>
      <c r="U68" s="18"/>
      <c r="V68" s="18"/>
      <c r="W68" s="18"/>
      <c r="X68" s="18"/>
      <c r="Y68" s="21" t="s">
        <v>196</v>
      </c>
      <c r="Z68" s="27" t="s">
        <v>106</v>
      </c>
      <c r="AA68" s="27"/>
      <c r="AB68" s="27"/>
      <c r="AC68" s="27"/>
      <c r="AD68" s="27"/>
      <c r="AE68" s="27"/>
      <c r="AF68" s="27"/>
      <c r="AG68" s="27"/>
      <c r="AH68" s="27"/>
      <c r="AI68" s="27"/>
      <c r="AJ68" s="4"/>
    </row>
    <row r="69" spans="1:36" hidden="1" x14ac:dyDescent="0.35">
      <c r="A69" s="256">
        <v>38</v>
      </c>
      <c r="B69" s="14" t="s">
        <v>199</v>
      </c>
      <c r="C69" s="259"/>
      <c r="D69" s="259"/>
      <c r="E69" s="261"/>
      <c r="F69" s="261"/>
      <c r="G69" s="261"/>
      <c r="H69" s="261"/>
      <c r="I69" s="256">
        <v>38</v>
      </c>
      <c r="J69" s="14" t="s">
        <v>199</v>
      </c>
      <c r="K69" s="259"/>
      <c r="L69" s="259"/>
      <c r="M69" s="261"/>
      <c r="N69" s="261"/>
      <c r="O69" s="261"/>
      <c r="P69" s="261"/>
      <c r="Q69" s="261"/>
      <c r="R69" s="261"/>
      <c r="S69" s="261"/>
      <c r="T69" s="261"/>
      <c r="U69" s="261"/>
      <c r="V69" s="261"/>
      <c r="W69" s="261"/>
      <c r="X69" s="261"/>
      <c r="Y69" s="13"/>
      <c r="Z69" s="27"/>
      <c r="AA69" s="27"/>
      <c r="AB69" s="27"/>
      <c r="AC69" s="27"/>
      <c r="AD69" s="27"/>
      <c r="AE69" s="27"/>
      <c r="AF69" s="27"/>
      <c r="AG69" s="27"/>
      <c r="AH69" s="27"/>
      <c r="AI69" s="27"/>
      <c r="AJ69" s="4"/>
    </row>
    <row r="70" spans="1:36" hidden="1" x14ac:dyDescent="0.35">
      <c r="A70" s="19" t="s">
        <v>200</v>
      </c>
      <c r="B70" s="21" t="s">
        <v>201</v>
      </c>
      <c r="C70" s="88"/>
      <c r="D70" s="88"/>
      <c r="E70" s="18"/>
      <c r="F70" s="18"/>
      <c r="G70" s="18"/>
      <c r="H70" s="18"/>
      <c r="I70" s="256"/>
      <c r="J70" s="14"/>
      <c r="K70" s="259"/>
      <c r="L70" s="259"/>
      <c r="M70" s="261"/>
      <c r="N70" s="261"/>
      <c r="O70" s="261"/>
      <c r="P70" s="261"/>
      <c r="Q70" s="261"/>
      <c r="R70" s="261"/>
      <c r="S70" s="261"/>
      <c r="T70" s="261"/>
      <c r="U70" s="261"/>
      <c r="V70" s="261"/>
      <c r="W70" s="261"/>
      <c r="X70" s="261"/>
      <c r="Y70" s="13"/>
      <c r="Z70" s="27"/>
      <c r="AA70" s="27"/>
      <c r="AB70" s="27"/>
      <c r="AC70" s="27"/>
      <c r="AD70" s="27"/>
      <c r="AE70" s="27"/>
      <c r="AF70" s="27"/>
      <c r="AG70" s="27"/>
      <c r="AH70" s="27"/>
      <c r="AI70" s="27"/>
      <c r="AJ70" s="4"/>
    </row>
    <row r="71" spans="1:36" ht="56" hidden="1" x14ac:dyDescent="0.35">
      <c r="A71" s="19" t="s">
        <v>202</v>
      </c>
      <c r="B71" s="21" t="s">
        <v>201</v>
      </c>
      <c r="C71" s="88" t="s">
        <v>203</v>
      </c>
      <c r="D71" s="88" t="s">
        <v>204</v>
      </c>
      <c r="E71" s="18">
        <v>32500</v>
      </c>
      <c r="F71" s="18">
        <v>12700</v>
      </c>
      <c r="G71" s="18">
        <v>5200</v>
      </c>
      <c r="H71" s="18">
        <v>2600</v>
      </c>
      <c r="I71" s="256"/>
      <c r="J71" s="21" t="s">
        <v>201</v>
      </c>
      <c r="K71" s="88" t="s">
        <v>203</v>
      </c>
      <c r="L71" s="88" t="s">
        <v>204</v>
      </c>
      <c r="M71" s="58">
        <v>46990</v>
      </c>
      <c r="N71" s="58">
        <v>17580</v>
      </c>
      <c r="O71" s="58">
        <v>15400</v>
      </c>
      <c r="P71" s="18">
        <v>2600</v>
      </c>
      <c r="Q71" s="18"/>
      <c r="R71" s="18"/>
      <c r="S71" s="18"/>
      <c r="T71" s="18"/>
      <c r="U71" s="18"/>
      <c r="V71" s="18"/>
      <c r="W71" s="18"/>
      <c r="X71" s="18"/>
      <c r="Y71" s="21" t="s">
        <v>205</v>
      </c>
      <c r="Z71" s="27"/>
      <c r="AA71" s="27"/>
      <c r="AB71" s="27"/>
      <c r="AC71" s="27"/>
      <c r="AD71" s="27"/>
      <c r="AE71" s="27"/>
      <c r="AF71" s="27"/>
      <c r="AG71" s="27"/>
      <c r="AH71" s="27"/>
      <c r="AI71" s="27"/>
      <c r="AJ71" s="4"/>
    </row>
    <row r="72" spans="1:36" hidden="1" x14ac:dyDescent="0.35">
      <c r="A72" s="256">
        <v>39</v>
      </c>
      <c r="B72" s="14" t="s">
        <v>206</v>
      </c>
      <c r="C72" s="259"/>
      <c r="D72" s="259"/>
      <c r="E72" s="261"/>
      <c r="F72" s="261"/>
      <c r="G72" s="261"/>
      <c r="H72" s="261"/>
      <c r="I72" s="256">
        <v>39</v>
      </c>
      <c r="J72" s="14" t="s">
        <v>206</v>
      </c>
      <c r="K72" s="259"/>
      <c r="L72" s="259"/>
      <c r="M72" s="261"/>
      <c r="N72" s="261"/>
      <c r="O72" s="261"/>
      <c r="P72" s="261"/>
      <c r="Q72" s="261"/>
      <c r="R72" s="261"/>
      <c r="S72" s="261"/>
      <c r="T72" s="261"/>
      <c r="U72" s="261"/>
      <c r="V72" s="261"/>
      <c r="W72" s="261"/>
      <c r="X72" s="261"/>
      <c r="Y72" s="38"/>
      <c r="Z72" s="27"/>
      <c r="AA72" s="27"/>
      <c r="AB72" s="27"/>
      <c r="AC72" s="27"/>
      <c r="AD72" s="27"/>
      <c r="AE72" s="27"/>
      <c r="AF72" s="27"/>
      <c r="AG72" s="27"/>
      <c r="AH72" s="27"/>
      <c r="AI72" s="27"/>
      <c r="AJ72" s="4"/>
    </row>
    <row r="73" spans="1:36" hidden="1" x14ac:dyDescent="0.35">
      <c r="A73" s="256"/>
      <c r="B73" s="14"/>
      <c r="C73" s="259"/>
      <c r="D73" s="259"/>
      <c r="E73" s="261"/>
      <c r="F73" s="261"/>
      <c r="G73" s="261"/>
      <c r="H73" s="261"/>
      <c r="I73" s="27">
        <v>21</v>
      </c>
      <c r="J73" s="40" t="s">
        <v>207</v>
      </c>
      <c r="K73" s="259"/>
      <c r="L73" s="259"/>
      <c r="M73" s="261"/>
      <c r="N73" s="261"/>
      <c r="O73" s="261"/>
      <c r="P73" s="261"/>
      <c r="Q73" s="261"/>
      <c r="R73" s="261"/>
      <c r="S73" s="261"/>
      <c r="T73" s="261"/>
      <c r="U73" s="261"/>
      <c r="V73" s="261"/>
      <c r="W73" s="261"/>
      <c r="X73" s="261"/>
      <c r="Y73" s="463" t="s">
        <v>208</v>
      </c>
      <c r="Z73" s="27"/>
      <c r="AA73" s="27"/>
      <c r="AB73" s="27"/>
      <c r="AC73" s="27"/>
      <c r="AD73" s="27"/>
      <c r="AE73" s="27"/>
      <c r="AF73" s="27"/>
      <c r="AG73" s="27"/>
      <c r="AH73" s="27"/>
      <c r="AI73" s="27"/>
      <c r="AJ73" s="4"/>
    </row>
    <row r="74" spans="1:36" hidden="1" x14ac:dyDescent="0.35">
      <c r="A74" s="256"/>
      <c r="B74" s="14"/>
      <c r="C74" s="259"/>
      <c r="D74" s="259"/>
      <c r="E74" s="261"/>
      <c r="F74" s="261"/>
      <c r="G74" s="261"/>
      <c r="H74" s="261"/>
      <c r="I74" s="27" t="s">
        <v>209</v>
      </c>
      <c r="J74" s="40" t="s">
        <v>210</v>
      </c>
      <c r="K74" s="259"/>
      <c r="L74" s="259"/>
      <c r="M74" s="28">
        <v>46200</v>
      </c>
      <c r="N74" s="261"/>
      <c r="O74" s="261"/>
      <c r="P74" s="261"/>
      <c r="Q74" s="28">
        <v>27720</v>
      </c>
      <c r="R74" s="28"/>
      <c r="S74" s="28"/>
      <c r="T74" s="28"/>
      <c r="U74" s="28">
        <v>18480</v>
      </c>
      <c r="V74" s="261"/>
      <c r="W74" s="261"/>
      <c r="X74" s="261"/>
      <c r="Y74" s="463"/>
      <c r="Z74" s="27"/>
      <c r="AA74" s="27"/>
      <c r="AB74" s="27"/>
      <c r="AC74" s="27"/>
      <c r="AD74" s="27"/>
      <c r="AE74" s="27"/>
      <c r="AF74" s="27"/>
      <c r="AG74" s="27"/>
      <c r="AH74" s="27"/>
      <c r="AI74" s="27"/>
      <c r="AJ74" s="4"/>
    </row>
    <row r="75" spans="1:36" hidden="1" x14ac:dyDescent="0.35">
      <c r="A75" s="256"/>
      <c r="B75" s="14"/>
      <c r="C75" s="259"/>
      <c r="D75" s="259"/>
      <c r="E75" s="261"/>
      <c r="F75" s="261"/>
      <c r="G75" s="261"/>
      <c r="H75" s="261"/>
      <c r="I75" s="27" t="s">
        <v>211</v>
      </c>
      <c r="J75" s="40" t="s">
        <v>212</v>
      </c>
      <c r="K75" s="259"/>
      <c r="L75" s="259"/>
      <c r="M75" s="28"/>
      <c r="N75" s="261"/>
      <c r="O75" s="261"/>
      <c r="P75" s="261"/>
      <c r="Q75" s="28"/>
      <c r="R75" s="28"/>
      <c r="S75" s="28"/>
      <c r="T75" s="28"/>
      <c r="U75" s="28"/>
      <c r="V75" s="261"/>
      <c r="W75" s="261"/>
      <c r="X75" s="261"/>
      <c r="Y75" s="463"/>
      <c r="Z75" s="27"/>
      <c r="AA75" s="27"/>
      <c r="AB75" s="27"/>
      <c r="AC75" s="27"/>
      <c r="AD75" s="27"/>
      <c r="AE75" s="27"/>
      <c r="AF75" s="27"/>
      <c r="AG75" s="27"/>
      <c r="AH75" s="27"/>
      <c r="AI75" s="27"/>
      <c r="AJ75" s="4"/>
    </row>
    <row r="76" spans="1:36" hidden="1" x14ac:dyDescent="0.35">
      <c r="A76" s="256"/>
      <c r="B76" s="14"/>
      <c r="C76" s="259"/>
      <c r="D76" s="259"/>
      <c r="E76" s="261"/>
      <c r="F76" s="261"/>
      <c r="G76" s="261"/>
      <c r="H76" s="261"/>
      <c r="I76" s="27" t="s">
        <v>213</v>
      </c>
      <c r="J76" s="40" t="s">
        <v>214</v>
      </c>
      <c r="K76" s="259"/>
      <c r="L76" s="259"/>
      <c r="M76" s="28">
        <v>22000</v>
      </c>
      <c r="N76" s="261"/>
      <c r="O76" s="261"/>
      <c r="P76" s="261"/>
      <c r="Q76" s="28">
        <v>13200</v>
      </c>
      <c r="R76" s="28"/>
      <c r="S76" s="28"/>
      <c r="T76" s="28"/>
      <c r="U76" s="28">
        <v>8800</v>
      </c>
      <c r="V76" s="261"/>
      <c r="W76" s="261"/>
      <c r="X76" s="261"/>
      <c r="Y76" s="463"/>
      <c r="Z76" s="27"/>
      <c r="AA76" s="27"/>
      <c r="AB76" s="27"/>
      <c r="AC76" s="27"/>
      <c r="AD76" s="27"/>
      <c r="AE76" s="27"/>
      <c r="AF76" s="27"/>
      <c r="AG76" s="27"/>
      <c r="AH76" s="27"/>
      <c r="AI76" s="27"/>
      <c r="AJ76" s="4"/>
    </row>
    <row r="77" spans="1:36" hidden="1" x14ac:dyDescent="0.35">
      <c r="A77" s="256"/>
      <c r="B77" s="14"/>
      <c r="C77" s="259"/>
      <c r="D77" s="259"/>
      <c r="E77" s="261"/>
      <c r="F77" s="261"/>
      <c r="G77" s="261"/>
      <c r="H77" s="261"/>
      <c r="I77" s="27" t="s">
        <v>215</v>
      </c>
      <c r="J77" s="40" t="s">
        <v>216</v>
      </c>
      <c r="K77" s="259"/>
      <c r="L77" s="259"/>
      <c r="M77" s="28">
        <v>20500</v>
      </c>
      <c r="N77" s="261"/>
      <c r="O77" s="261"/>
      <c r="P77" s="261"/>
      <c r="Q77" s="28">
        <v>12300</v>
      </c>
      <c r="R77" s="28"/>
      <c r="S77" s="28"/>
      <c r="T77" s="28"/>
      <c r="U77" s="28">
        <v>8200</v>
      </c>
      <c r="V77" s="261"/>
      <c r="W77" s="261"/>
      <c r="X77" s="261"/>
      <c r="Y77" s="463"/>
      <c r="Z77" s="27"/>
      <c r="AA77" s="27"/>
      <c r="AB77" s="27"/>
      <c r="AC77" s="27"/>
      <c r="AD77" s="27"/>
      <c r="AE77" s="27"/>
      <c r="AF77" s="27"/>
      <c r="AG77" s="27"/>
      <c r="AH77" s="27"/>
      <c r="AI77" s="27"/>
      <c r="AJ77" s="4"/>
    </row>
    <row r="78" spans="1:36" hidden="1" x14ac:dyDescent="0.35">
      <c r="A78" s="256"/>
      <c r="B78" s="14"/>
      <c r="C78" s="259"/>
      <c r="D78" s="259"/>
      <c r="E78" s="261"/>
      <c r="F78" s="261"/>
      <c r="G78" s="261"/>
      <c r="H78" s="261"/>
      <c r="I78" s="27" t="s">
        <v>217</v>
      </c>
      <c r="J78" s="40" t="s">
        <v>218</v>
      </c>
      <c r="K78" s="259"/>
      <c r="L78" s="259"/>
      <c r="M78" s="89"/>
      <c r="N78" s="261"/>
      <c r="O78" s="261"/>
      <c r="P78" s="261"/>
      <c r="Q78" s="28"/>
      <c r="R78" s="28"/>
      <c r="S78" s="28"/>
      <c r="T78" s="28"/>
      <c r="U78" s="28"/>
      <c r="V78" s="261"/>
      <c r="W78" s="261"/>
      <c r="X78" s="261"/>
      <c r="Y78" s="463"/>
      <c r="Z78" s="27"/>
      <c r="AA78" s="27"/>
      <c r="AB78" s="27"/>
      <c r="AC78" s="27"/>
      <c r="AD78" s="27"/>
      <c r="AE78" s="27"/>
      <c r="AF78" s="27"/>
      <c r="AG78" s="27"/>
      <c r="AH78" s="27"/>
      <c r="AI78" s="27"/>
      <c r="AJ78" s="4"/>
    </row>
    <row r="79" spans="1:36" hidden="1" x14ac:dyDescent="0.35">
      <c r="A79" s="256"/>
      <c r="B79" s="14"/>
      <c r="C79" s="259"/>
      <c r="D79" s="259"/>
      <c r="E79" s="261"/>
      <c r="F79" s="261"/>
      <c r="G79" s="261"/>
      <c r="H79" s="261"/>
      <c r="I79" s="27" t="s">
        <v>219</v>
      </c>
      <c r="J79" s="40" t="s">
        <v>216</v>
      </c>
      <c r="K79" s="259"/>
      <c r="L79" s="259"/>
      <c r="M79" s="28">
        <v>19000</v>
      </c>
      <c r="N79" s="261"/>
      <c r="O79" s="261"/>
      <c r="P79" s="261"/>
      <c r="Q79" s="28">
        <v>11400</v>
      </c>
      <c r="R79" s="28"/>
      <c r="S79" s="28"/>
      <c r="T79" s="28"/>
      <c r="U79" s="28">
        <v>7600</v>
      </c>
      <c r="V79" s="261"/>
      <c r="W79" s="261"/>
      <c r="X79" s="261"/>
      <c r="Y79" s="463"/>
      <c r="Z79" s="27"/>
      <c r="AA79" s="27"/>
      <c r="AB79" s="27"/>
      <c r="AC79" s="27"/>
      <c r="AD79" s="27"/>
      <c r="AE79" s="27"/>
      <c r="AF79" s="27"/>
      <c r="AG79" s="27"/>
      <c r="AH79" s="27"/>
      <c r="AI79" s="27"/>
      <c r="AJ79" s="4"/>
    </row>
    <row r="80" spans="1:36" hidden="1" x14ac:dyDescent="0.35">
      <c r="A80" s="256"/>
      <c r="B80" s="14"/>
      <c r="C80" s="259"/>
      <c r="D80" s="259"/>
      <c r="E80" s="261"/>
      <c r="F80" s="261"/>
      <c r="G80" s="261"/>
      <c r="H80" s="261"/>
      <c r="I80" s="27">
        <v>22</v>
      </c>
      <c r="J80" s="40" t="s">
        <v>220</v>
      </c>
      <c r="K80" s="259"/>
      <c r="L80" s="259"/>
      <c r="M80" s="28"/>
      <c r="N80" s="261"/>
      <c r="O80" s="261"/>
      <c r="P80" s="261"/>
      <c r="Q80" s="28"/>
      <c r="R80" s="28"/>
      <c r="S80" s="28"/>
      <c r="T80" s="28"/>
      <c r="U80" s="28"/>
      <c r="V80" s="261"/>
      <c r="W80" s="261"/>
      <c r="X80" s="261"/>
      <c r="Y80" s="463"/>
      <c r="Z80" s="27"/>
      <c r="AA80" s="27"/>
      <c r="AB80" s="27"/>
      <c r="AC80" s="27"/>
      <c r="AD80" s="27"/>
      <c r="AE80" s="27"/>
      <c r="AF80" s="27"/>
      <c r="AG80" s="27"/>
      <c r="AH80" s="27"/>
      <c r="AI80" s="27"/>
      <c r="AJ80" s="4"/>
    </row>
    <row r="81" spans="1:36" hidden="1" x14ac:dyDescent="0.35">
      <c r="A81" s="256"/>
      <c r="B81" s="14"/>
      <c r="C81" s="259"/>
      <c r="D81" s="259"/>
      <c r="E81" s="261"/>
      <c r="F81" s="261"/>
      <c r="G81" s="261"/>
      <c r="H81" s="261"/>
      <c r="I81" s="27" t="s">
        <v>221</v>
      </c>
      <c r="J81" s="40" t="s">
        <v>222</v>
      </c>
      <c r="K81" s="259"/>
      <c r="L81" s="259"/>
      <c r="M81" s="28">
        <v>11100</v>
      </c>
      <c r="N81" s="261"/>
      <c r="O81" s="261"/>
      <c r="P81" s="261"/>
      <c r="Q81" s="28">
        <v>6660</v>
      </c>
      <c r="R81" s="28"/>
      <c r="S81" s="28"/>
      <c r="T81" s="28"/>
      <c r="U81" s="28">
        <v>4440</v>
      </c>
      <c r="V81" s="261"/>
      <c r="W81" s="261"/>
      <c r="X81" s="261"/>
      <c r="Y81" s="463"/>
      <c r="Z81" s="27"/>
      <c r="AA81" s="27"/>
      <c r="AB81" s="27"/>
      <c r="AC81" s="27"/>
      <c r="AD81" s="27"/>
      <c r="AE81" s="27"/>
      <c r="AF81" s="27"/>
      <c r="AG81" s="27"/>
      <c r="AH81" s="27"/>
      <c r="AI81" s="27"/>
      <c r="AJ81" s="4"/>
    </row>
    <row r="82" spans="1:36" hidden="1" x14ac:dyDescent="0.35">
      <c r="A82" s="256"/>
      <c r="B82" s="14"/>
      <c r="C82" s="259"/>
      <c r="D82" s="259"/>
      <c r="E82" s="261"/>
      <c r="F82" s="261"/>
      <c r="G82" s="261"/>
      <c r="H82" s="261"/>
      <c r="I82" s="27" t="s">
        <v>223</v>
      </c>
      <c r="J82" s="40" t="s">
        <v>79</v>
      </c>
      <c r="K82" s="259"/>
      <c r="L82" s="259"/>
      <c r="M82" s="28">
        <v>6400</v>
      </c>
      <c r="N82" s="261"/>
      <c r="O82" s="261"/>
      <c r="P82" s="261"/>
      <c r="Q82" s="28">
        <v>3840</v>
      </c>
      <c r="R82" s="28"/>
      <c r="S82" s="28"/>
      <c r="T82" s="28"/>
      <c r="U82" s="28">
        <v>2560</v>
      </c>
      <c r="V82" s="261"/>
      <c r="W82" s="261"/>
      <c r="X82" s="261"/>
      <c r="Y82" s="463"/>
      <c r="Z82" s="27"/>
      <c r="AA82" s="27"/>
      <c r="AB82" s="27"/>
      <c r="AC82" s="27"/>
      <c r="AD82" s="27"/>
      <c r="AE82" s="27"/>
      <c r="AF82" s="27"/>
      <c r="AG82" s="27"/>
      <c r="AH82" s="27"/>
      <c r="AI82" s="27"/>
      <c r="AJ82" s="4"/>
    </row>
    <row r="83" spans="1:36" hidden="1" x14ac:dyDescent="0.35">
      <c r="A83" s="256">
        <v>40</v>
      </c>
      <c r="B83" s="14" t="s">
        <v>224</v>
      </c>
      <c r="C83" s="259"/>
      <c r="D83" s="259"/>
      <c r="E83" s="261"/>
      <c r="F83" s="261"/>
      <c r="G83" s="261"/>
      <c r="H83" s="261"/>
      <c r="I83" s="256">
        <v>40</v>
      </c>
      <c r="J83" s="14" t="s">
        <v>224</v>
      </c>
      <c r="K83" s="259"/>
      <c r="L83" s="259"/>
      <c r="M83" s="261"/>
      <c r="N83" s="261"/>
      <c r="O83" s="261"/>
      <c r="P83" s="261"/>
      <c r="Q83" s="261"/>
      <c r="R83" s="261"/>
      <c r="S83" s="261"/>
      <c r="T83" s="261"/>
      <c r="U83" s="261"/>
      <c r="V83" s="261"/>
      <c r="W83" s="261"/>
      <c r="X83" s="261"/>
      <c r="Y83" s="13"/>
      <c r="Z83" s="27"/>
      <c r="AA83" s="27"/>
      <c r="AB83" s="27"/>
      <c r="AC83" s="27"/>
      <c r="AD83" s="27"/>
      <c r="AE83" s="27"/>
      <c r="AF83" s="27"/>
      <c r="AG83" s="27"/>
      <c r="AH83" s="27"/>
      <c r="AI83" s="27"/>
      <c r="AJ83" s="4"/>
    </row>
    <row r="84" spans="1:36" ht="14.5" hidden="1" x14ac:dyDescent="0.35">
      <c r="A84" s="70"/>
      <c r="B84" s="38" t="s">
        <v>225</v>
      </c>
      <c r="C84" s="237"/>
      <c r="D84" s="237"/>
      <c r="E84" s="18"/>
      <c r="F84" s="18"/>
      <c r="G84" s="18"/>
      <c r="H84" s="18"/>
      <c r="I84" s="71">
        <v>1</v>
      </c>
      <c r="J84" s="38" t="s">
        <v>225</v>
      </c>
      <c r="K84" s="237"/>
      <c r="L84" s="237"/>
      <c r="M84" s="18"/>
      <c r="N84" s="18"/>
      <c r="O84" s="18"/>
      <c r="P84" s="18"/>
      <c r="Q84" s="261"/>
      <c r="R84" s="261"/>
      <c r="S84" s="261"/>
      <c r="T84" s="261"/>
      <c r="U84" s="261"/>
      <c r="V84" s="261"/>
      <c r="W84" s="261"/>
      <c r="X84" s="261"/>
      <c r="Y84" s="13"/>
      <c r="Z84" s="27"/>
      <c r="AA84" s="27"/>
      <c r="AB84" s="27"/>
      <c r="AC84" s="27"/>
      <c r="AD84" s="27"/>
      <c r="AE84" s="27"/>
      <c r="AF84" s="27"/>
      <c r="AG84" s="27"/>
      <c r="AH84" s="27"/>
      <c r="AI84" s="27"/>
      <c r="AJ84" s="4"/>
    </row>
    <row r="85" spans="1:36" ht="42" hidden="1" x14ac:dyDescent="0.35">
      <c r="A85" s="71">
        <f>I85</f>
        <v>1.8</v>
      </c>
      <c r="B85" s="21" t="s">
        <v>225</v>
      </c>
      <c r="C85" s="88" t="s">
        <v>226</v>
      </c>
      <c r="D85" s="88" t="s">
        <v>227</v>
      </c>
      <c r="E85" s="89">
        <v>19300</v>
      </c>
      <c r="F85" s="89">
        <v>6600</v>
      </c>
      <c r="G85" s="89">
        <v>2500</v>
      </c>
      <c r="H85" s="89">
        <v>1600</v>
      </c>
      <c r="I85" s="71">
        <v>1.8</v>
      </c>
      <c r="J85" s="287" t="s">
        <v>225</v>
      </c>
      <c r="K85" s="73" t="s">
        <v>226</v>
      </c>
      <c r="L85" s="74" t="s">
        <v>228</v>
      </c>
      <c r="M85" s="89">
        <v>19300</v>
      </c>
      <c r="N85" s="89">
        <v>6600</v>
      </c>
      <c r="O85" s="89">
        <v>2500</v>
      </c>
      <c r="P85" s="89">
        <v>1600</v>
      </c>
      <c r="Q85" s="35">
        <v>11580</v>
      </c>
      <c r="R85" s="35">
        <v>3960</v>
      </c>
      <c r="S85" s="35">
        <v>1500</v>
      </c>
      <c r="T85" s="35">
        <v>960</v>
      </c>
      <c r="U85" s="35">
        <v>7720</v>
      </c>
      <c r="V85" s="35">
        <v>2640</v>
      </c>
      <c r="W85" s="35">
        <v>1000</v>
      </c>
      <c r="X85" s="35">
        <v>640</v>
      </c>
      <c r="Y85" s="15" t="s">
        <v>229</v>
      </c>
      <c r="Z85" s="27"/>
      <c r="AA85" s="27"/>
      <c r="AB85" s="27"/>
      <c r="AC85" s="27"/>
      <c r="AD85" s="27"/>
      <c r="AE85" s="27"/>
      <c r="AF85" s="27"/>
      <c r="AG85" s="27"/>
      <c r="AH85" s="27"/>
      <c r="AI85" s="27"/>
      <c r="AJ85" s="4"/>
    </row>
    <row r="86" spans="1:36" ht="42" hidden="1" x14ac:dyDescent="0.35">
      <c r="A86" s="71">
        <f t="shared" ref="A86:A113" si="6">I86</f>
        <v>1.9</v>
      </c>
      <c r="B86" s="21" t="s">
        <v>225</v>
      </c>
      <c r="C86" s="88" t="s">
        <v>227</v>
      </c>
      <c r="D86" s="88" t="s">
        <v>230</v>
      </c>
      <c r="E86" s="89">
        <v>24000</v>
      </c>
      <c r="F86" s="89">
        <v>8100</v>
      </c>
      <c r="G86" s="89">
        <v>3300</v>
      </c>
      <c r="H86" s="89">
        <v>1600</v>
      </c>
      <c r="I86" s="71">
        <v>1.9</v>
      </c>
      <c r="J86" s="287" t="s">
        <v>225</v>
      </c>
      <c r="K86" s="74" t="s">
        <v>228</v>
      </c>
      <c r="L86" s="73" t="s">
        <v>230</v>
      </c>
      <c r="M86" s="89">
        <v>24000</v>
      </c>
      <c r="N86" s="89">
        <v>8100</v>
      </c>
      <c r="O86" s="89">
        <v>3300</v>
      </c>
      <c r="P86" s="89">
        <v>1600</v>
      </c>
      <c r="Q86" s="35">
        <v>14400</v>
      </c>
      <c r="R86" s="35">
        <v>4860</v>
      </c>
      <c r="S86" s="35">
        <v>1980</v>
      </c>
      <c r="T86" s="35">
        <v>960</v>
      </c>
      <c r="U86" s="35">
        <v>9600</v>
      </c>
      <c r="V86" s="35">
        <v>3240</v>
      </c>
      <c r="W86" s="35">
        <v>1320</v>
      </c>
      <c r="X86" s="35">
        <v>640</v>
      </c>
      <c r="Y86" s="15" t="s">
        <v>229</v>
      </c>
      <c r="Z86" s="27"/>
      <c r="AA86" s="27"/>
      <c r="AB86" s="27"/>
      <c r="AC86" s="27"/>
      <c r="AD86" s="27"/>
      <c r="AE86" s="27"/>
      <c r="AF86" s="27"/>
      <c r="AG86" s="27"/>
      <c r="AH86" s="27"/>
      <c r="AI86" s="27"/>
      <c r="AJ86" s="4"/>
    </row>
    <row r="87" spans="1:36" ht="56" hidden="1" x14ac:dyDescent="0.35">
      <c r="A87" s="75">
        <f t="shared" si="6"/>
        <v>1.1000000000000001</v>
      </c>
      <c r="B87" s="21" t="s">
        <v>225</v>
      </c>
      <c r="C87" s="88" t="s">
        <v>231</v>
      </c>
      <c r="D87" s="88" t="s">
        <v>232</v>
      </c>
      <c r="E87" s="35">
        <v>19600</v>
      </c>
      <c r="F87" s="35">
        <v>6300</v>
      </c>
      <c r="G87" s="35">
        <v>2300</v>
      </c>
      <c r="H87" s="35">
        <v>1600</v>
      </c>
      <c r="I87" s="75">
        <v>1.1000000000000001</v>
      </c>
      <c r="J87" s="287" t="s">
        <v>225</v>
      </c>
      <c r="K87" s="73" t="s">
        <v>233</v>
      </c>
      <c r="L87" s="74" t="s">
        <v>234</v>
      </c>
      <c r="M87" s="35">
        <v>19600</v>
      </c>
      <c r="N87" s="35">
        <v>6300</v>
      </c>
      <c r="O87" s="35">
        <v>2300</v>
      </c>
      <c r="P87" s="35">
        <v>1600</v>
      </c>
      <c r="Q87" s="35">
        <v>11760</v>
      </c>
      <c r="R87" s="35">
        <v>3780</v>
      </c>
      <c r="S87" s="35">
        <v>1380</v>
      </c>
      <c r="T87" s="35">
        <v>960</v>
      </c>
      <c r="U87" s="35">
        <v>7840</v>
      </c>
      <c r="V87" s="35">
        <v>2520</v>
      </c>
      <c r="W87" s="35">
        <v>920</v>
      </c>
      <c r="X87" s="35">
        <v>640</v>
      </c>
      <c r="Y87" s="15" t="s">
        <v>229</v>
      </c>
      <c r="Z87" s="27"/>
      <c r="AA87" s="27"/>
      <c r="AB87" s="27"/>
      <c r="AC87" s="27"/>
      <c r="AD87" s="27"/>
      <c r="AE87" s="27"/>
      <c r="AF87" s="27"/>
      <c r="AG87" s="27"/>
      <c r="AH87" s="27"/>
      <c r="AI87" s="27"/>
      <c r="AJ87" s="4"/>
    </row>
    <row r="88" spans="1:36" ht="50.65" hidden="1" customHeight="1" x14ac:dyDescent="0.35">
      <c r="A88" s="71">
        <f t="shared" si="6"/>
        <v>3</v>
      </c>
      <c r="B88" s="38" t="s">
        <v>235</v>
      </c>
      <c r="C88" s="38"/>
      <c r="D88" s="38"/>
      <c r="E88" s="18"/>
      <c r="F88" s="18"/>
      <c r="G88" s="18"/>
      <c r="H88" s="18"/>
      <c r="I88" s="288">
        <v>3</v>
      </c>
      <c r="J88" s="40" t="str">
        <f>B88</f>
        <v>Đường Bãi Muối</v>
      </c>
      <c r="K88" s="259"/>
      <c r="L88" s="259"/>
      <c r="M88" s="18"/>
      <c r="N88" s="18"/>
      <c r="O88" s="18"/>
      <c r="P88" s="18"/>
      <c r="Q88" s="261"/>
      <c r="R88" s="261"/>
      <c r="S88" s="261"/>
      <c r="T88" s="261"/>
      <c r="U88" s="261"/>
      <c r="V88" s="261"/>
      <c r="W88" s="261"/>
      <c r="X88" s="261"/>
      <c r="Y88" s="15" t="s">
        <v>229</v>
      </c>
      <c r="Z88" s="27"/>
      <c r="AA88" s="27"/>
      <c r="AB88" s="27"/>
      <c r="AC88" s="27"/>
      <c r="AD88" s="27"/>
      <c r="AE88" s="27"/>
      <c r="AF88" s="27"/>
      <c r="AG88" s="27"/>
      <c r="AH88" s="27"/>
      <c r="AI88" s="27"/>
      <c r="AJ88" s="4"/>
    </row>
    <row r="89" spans="1:36" ht="42" hidden="1" x14ac:dyDescent="0.35">
      <c r="A89" s="71">
        <f t="shared" si="6"/>
        <v>3.1</v>
      </c>
      <c r="B89" s="21" t="s">
        <v>235</v>
      </c>
      <c r="C89" s="88" t="s">
        <v>225</v>
      </c>
      <c r="D89" s="88" t="s">
        <v>236</v>
      </c>
      <c r="E89" s="89">
        <v>31900</v>
      </c>
      <c r="F89" s="89">
        <v>13400</v>
      </c>
      <c r="G89" s="89">
        <v>5500</v>
      </c>
      <c r="H89" s="89">
        <v>2500</v>
      </c>
      <c r="I89" s="289">
        <v>3.1</v>
      </c>
      <c r="J89" s="290" t="str">
        <f t="shared" ref="J89:J90" si="7">B89</f>
        <v>Đường Bãi Muối</v>
      </c>
      <c r="K89" s="73" t="str">
        <f>C89</f>
        <v>Đường 336</v>
      </c>
      <c r="L89" s="74" t="s">
        <v>237</v>
      </c>
      <c r="M89" s="89">
        <v>31900</v>
      </c>
      <c r="N89" s="89">
        <v>13400</v>
      </c>
      <c r="O89" s="89">
        <v>5500</v>
      </c>
      <c r="P89" s="89">
        <v>2500</v>
      </c>
      <c r="Q89" s="35">
        <v>19140</v>
      </c>
      <c r="R89" s="35">
        <v>8040</v>
      </c>
      <c r="S89" s="35">
        <v>3300</v>
      </c>
      <c r="T89" s="35">
        <v>1500</v>
      </c>
      <c r="U89" s="35">
        <v>12760</v>
      </c>
      <c r="V89" s="35">
        <v>5360</v>
      </c>
      <c r="W89" s="35">
        <v>2200</v>
      </c>
      <c r="X89" s="35">
        <v>1000</v>
      </c>
      <c r="Y89" s="15" t="s">
        <v>229</v>
      </c>
      <c r="Z89" s="27"/>
      <c r="AA89" s="27"/>
      <c r="AB89" s="27"/>
      <c r="AC89" s="27"/>
      <c r="AD89" s="27"/>
      <c r="AE89" s="27"/>
      <c r="AF89" s="27"/>
      <c r="AG89" s="27"/>
      <c r="AH89" s="27"/>
      <c r="AI89" s="27"/>
      <c r="AJ89" s="4"/>
    </row>
    <row r="90" spans="1:36" ht="56" hidden="1" x14ac:dyDescent="0.35">
      <c r="A90" s="71">
        <f t="shared" si="6"/>
        <v>3.2</v>
      </c>
      <c r="B90" s="21" t="s">
        <v>235</v>
      </c>
      <c r="C90" s="88" t="s">
        <v>236</v>
      </c>
      <c r="D90" s="88" t="s">
        <v>238</v>
      </c>
      <c r="E90" s="89">
        <v>16400</v>
      </c>
      <c r="F90" s="89">
        <v>5600</v>
      </c>
      <c r="G90" s="89">
        <v>2300</v>
      </c>
      <c r="H90" s="89">
        <v>2000</v>
      </c>
      <c r="I90" s="289">
        <v>3.2</v>
      </c>
      <c r="J90" s="290" t="str">
        <f t="shared" si="7"/>
        <v>Đường Bãi Muối</v>
      </c>
      <c r="K90" s="74" t="s">
        <v>239</v>
      </c>
      <c r="L90" s="74" t="s">
        <v>240</v>
      </c>
      <c r="M90" s="89">
        <v>16400</v>
      </c>
      <c r="N90" s="89">
        <v>5600</v>
      </c>
      <c r="O90" s="89">
        <v>2300</v>
      </c>
      <c r="P90" s="89">
        <v>2000</v>
      </c>
      <c r="Q90" s="35">
        <v>9840</v>
      </c>
      <c r="R90" s="35">
        <v>3360</v>
      </c>
      <c r="S90" s="35">
        <v>1380</v>
      </c>
      <c r="T90" s="35">
        <v>1200</v>
      </c>
      <c r="U90" s="35">
        <v>6560</v>
      </c>
      <c r="V90" s="35">
        <v>2240</v>
      </c>
      <c r="W90" s="35">
        <v>920</v>
      </c>
      <c r="X90" s="35">
        <v>800</v>
      </c>
      <c r="Y90" s="15" t="s">
        <v>229</v>
      </c>
      <c r="Z90" s="27"/>
      <c r="AA90" s="27"/>
      <c r="AB90" s="27"/>
      <c r="AC90" s="27"/>
      <c r="AD90" s="27"/>
      <c r="AE90" s="27"/>
      <c r="AF90" s="27"/>
      <c r="AG90" s="27"/>
      <c r="AH90" s="27"/>
      <c r="AI90" s="27"/>
      <c r="AJ90" s="4"/>
    </row>
    <row r="91" spans="1:36" ht="56" hidden="1" x14ac:dyDescent="0.35">
      <c r="A91" s="71">
        <f t="shared" si="6"/>
        <v>3.3</v>
      </c>
      <c r="B91" s="21" t="s">
        <v>235</v>
      </c>
      <c r="C91" s="88" t="s">
        <v>236</v>
      </c>
      <c r="D91" s="88" t="s">
        <v>241</v>
      </c>
      <c r="E91" s="89">
        <v>23900</v>
      </c>
      <c r="F91" s="89">
        <v>7900</v>
      </c>
      <c r="G91" s="89">
        <v>2800</v>
      </c>
      <c r="H91" s="89">
        <v>2500</v>
      </c>
      <c r="I91" s="71">
        <v>3.3</v>
      </c>
      <c r="J91" s="290" t="str">
        <f>B92</f>
        <v>Đường Bãi Muối</v>
      </c>
      <c r="K91" s="74" t="s">
        <v>242</v>
      </c>
      <c r="L91" s="74" t="s">
        <v>243</v>
      </c>
      <c r="M91" s="89">
        <v>23900</v>
      </c>
      <c r="N91" s="89">
        <v>7900</v>
      </c>
      <c r="O91" s="89">
        <v>2800</v>
      </c>
      <c r="P91" s="89">
        <v>2500</v>
      </c>
      <c r="Q91" s="35">
        <v>14340</v>
      </c>
      <c r="R91" s="35">
        <v>4740</v>
      </c>
      <c r="S91" s="35">
        <v>1680</v>
      </c>
      <c r="T91" s="35">
        <v>1500</v>
      </c>
      <c r="U91" s="35">
        <v>9560</v>
      </c>
      <c r="V91" s="35">
        <v>3160</v>
      </c>
      <c r="W91" s="35">
        <v>1120</v>
      </c>
      <c r="X91" s="35">
        <v>1000</v>
      </c>
      <c r="Y91" s="15" t="s">
        <v>229</v>
      </c>
      <c r="Z91" s="27"/>
      <c r="AA91" s="27"/>
      <c r="AB91" s="27"/>
      <c r="AC91" s="27"/>
      <c r="AD91" s="27"/>
      <c r="AE91" s="27"/>
      <c r="AF91" s="27"/>
      <c r="AG91" s="27"/>
      <c r="AH91" s="27"/>
      <c r="AI91" s="27"/>
      <c r="AJ91" s="4"/>
    </row>
    <row r="92" spans="1:36" ht="49.5" hidden="1" customHeight="1" x14ac:dyDescent="0.35">
      <c r="A92" s="71">
        <f t="shared" si="6"/>
        <v>3.4</v>
      </c>
      <c r="B92" s="21" t="s">
        <v>235</v>
      </c>
      <c r="C92" s="88" t="s">
        <v>244</v>
      </c>
      <c r="D92" s="88" t="s">
        <v>245</v>
      </c>
      <c r="E92" s="89">
        <v>16800</v>
      </c>
      <c r="F92" s="89">
        <v>7900</v>
      </c>
      <c r="G92" s="89">
        <v>2800</v>
      </c>
      <c r="H92" s="89">
        <v>2500</v>
      </c>
      <c r="I92" s="71">
        <v>3.4</v>
      </c>
      <c r="J92" s="290" t="str">
        <f>B93</f>
        <v>Đường ngõ 5 đường 336</v>
      </c>
      <c r="K92" s="74" t="s">
        <v>246</v>
      </c>
      <c r="L92" s="73" t="s">
        <v>247</v>
      </c>
      <c r="M92" s="89">
        <v>16800</v>
      </c>
      <c r="N92" s="89">
        <v>7900</v>
      </c>
      <c r="O92" s="89">
        <v>2800</v>
      </c>
      <c r="P92" s="89">
        <v>2500</v>
      </c>
      <c r="Q92" s="35">
        <v>10080</v>
      </c>
      <c r="R92" s="35">
        <v>4740</v>
      </c>
      <c r="S92" s="35">
        <v>1680</v>
      </c>
      <c r="T92" s="35">
        <v>1500</v>
      </c>
      <c r="U92" s="35">
        <v>6720</v>
      </c>
      <c r="V92" s="35">
        <v>3160</v>
      </c>
      <c r="W92" s="35">
        <v>1120</v>
      </c>
      <c r="X92" s="35">
        <v>1000</v>
      </c>
      <c r="Y92" s="15" t="s">
        <v>229</v>
      </c>
      <c r="Z92" s="27"/>
      <c r="AA92" s="27"/>
      <c r="AB92" s="27"/>
      <c r="AC92" s="27"/>
      <c r="AD92" s="27"/>
      <c r="AE92" s="27"/>
      <c r="AF92" s="27"/>
      <c r="AG92" s="27"/>
      <c r="AH92" s="27"/>
      <c r="AI92" s="27"/>
      <c r="AJ92" s="4"/>
    </row>
    <row r="93" spans="1:36" ht="49.5" hidden="1" customHeight="1" x14ac:dyDescent="0.35">
      <c r="A93" s="71">
        <f t="shared" si="6"/>
        <v>4</v>
      </c>
      <c r="B93" s="38" t="s">
        <v>248</v>
      </c>
      <c r="C93" s="237"/>
      <c r="D93" s="237"/>
      <c r="E93" s="18"/>
      <c r="F93" s="18"/>
      <c r="G93" s="18"/>
      <c r="H93" s="18"/>
      <c r="I93" s="71">
        <v>4</v>
      </c>
      <c r="J93" s="38" t="s">
        <v>248</v>
      </c>
      <c r="K93" s="259"/>
      <c r="L93" s="237"/>
      <c r="M93" s="18"/>
      <c r="N93" s="18"/>
      <c r="O93" s="18"/>
      <c r="P93" s="18"/>
      <c r="Q93" s="261"/>
      <c r="R93" s="261"/>
      <c r="S93" s="261"/>
      <c r="T93" s="261"/>
      <c r="U93" s="261"/>
      <c r="V93" s="261"/>
      <c r="W93" s="261"/>
      <c r="X93" s="261"/>
      <c r="Y93" s="15" t="s">
        <v>229</v>
      </c>
      <c r="Z93" s="27"/>
      <c r="AA93" s="27"/>
      <c r="AB93" s="27"/>
      <c r="AC93" s="27"/>
      <c r="AD93" s="27"/>
      <c r="AE93" s="27"/>
      <c r="AF93" s="27"/>
      <c r="AG93" s="27"/>
      <c r="AH93" s="27"/>
      <c r="AI93" s="27"/>
      <c r="AJ93" s="4"/>
    </row>
    <row r="94" spans="1:36" ht="54.25" hidden="1" customHeight="1" x14ac:dyDescent="0.35">
      <c r="A94" s="71">
        <f t="shared" si="6"/>
        <v>4.0999999999999996</v>
      </c>
      <c r="B94" s="21" t="s">
        <v>249</v>
      </c>
      <c r="C94" s="88" t="s">
        <v>225</v>
      </c>
      <c r="D94" s="88" t="s">
        <v>250</v>
      </c>
      <c r="E94" s="89">
        <v>26300</v>
      </c>
      <c r="F94" s="89">
        <v>6600</v>
      </c>
      <c r="G94" s="89">
        <v>3500</v>
      </c>
      <c r="H94" s="89">
        <v>2500</v>
      </c>
      <c r="I94" s="71">
        <v>4.0999999999999996</v>
      </c>
      <c r="J94" s="290" t="s">
        <v>248</v>
      </c>
      <c r="K94" s="73" t="s">
        <v>225</v>
      </c>
      <c r="L94" s="74" t="s">
        <v>251</v>
      </c>
      <c r="M94" s="89">
        <v>26300</v>
      </c>
      <c r="N94" s="89">
        <v>6600</v>
      </c>
      <c r="O94" s="89">
        <v>3500</v>
      </c>
      <c r="P94" s="89">
        <v>2500</v>
      </c>
      <c r="Q94" s="35">
        <v>15780</v>
      </c>
      <c r="R94" s="35">
        <v>3960</v>
      </c>
      <c r="S94" s="35">
        <v>2100</v>
      </c>
      <c r="T94" s="35">
        <v>1500</v>
      </c>
      <c r="U94" s="35">
        <v>10520</v>
      </c>
      <c r="V94" s="35">
        <v>2640</v>
      </c>
      <c r="W94" s="35">
        <v>1400</v>
      </c>
      <c r="X94" s="35">
        <v>1000</v>
      </c>
      <c r="Y94" s="15" t="s">
        <v>229</v>
      </c>
      <c r="Z94" s="27"/>
      <c r="AA94" s="27"/>
      <c r="AB94" s="27"/>
      <c r="AC94" s="27"/>
      <c r="AD94" s="27"/>
      <c r="AE94" s="27"/>
      <c r="AF94" s="27"/>
      <c r="AG94" s="27"/>
      <c r="AH94" s="27"/>
      <c r="AI94" s="27"/>
      <c r="AJ94" s="4"/>
    </row>
    <row r="95" spans="1:36" ht="42.75" hidden="1" customHeight="1" x14ac:dyDescent="0.35">
      <c r="A95" s="71">
        <f t="shared" si="6"/>
        <v>4.2</v>
      </c>
      <c r="B95" s="21" t="s">
        <v>249</v>
      </c>
      <c r="C95" s="88" t="s">
        <v>250</v>
      </c>
      <c r="D95" s="88" t="s">
        <v>252</v>
      </c>
      <c r="E95" s="89">
        <v>15100</v>
      </c>
      <c r="F95" s="89">
        <v>5000</v>
      </c>
      <c r="G95" s="89">
        <v>2300</v>
      </c>
      <c r="H95" s="89">
        <v>2000</v>
      </c>
      <c r="I95" s="71">
        <v>4.2</v>
      </c>
      <c r="J95" s="290" t="s">
        <v>248</v>
      </c>
      <c r="K95" s="74" t="s">
        <v>251</v>
      </c>
      <c r="L95" s="73" t="s">
        <v>252</v>
      </c>
      <c r="M95" s="89">
        <v>15100</v>
      </c>
      <c r="N95" s="89">
        <v>5000</v>
      </c>
      <c r="O95" s="89">
        <v>2300</v>
      </c>
      <c r="P95" s="89">
        <v>2000</v>
      </c>
      <c r="Q95" s="35">
        <v>9060</v>
      </c>
      <c r="R95" s="35">
        <v>3000</v>
      </c>
      <c r="S95" s="35">
        <v>1380</v>
      </c>
      <c r="T95" s="35">
        <v>1200</v>
      </c>
      <c r="U95" s="35">
        <v>6040</v>
      </c>
      <c r="V95" s="35">
        <v>2000</v>
      </c>
      <c r="W95" s="35">
        <v>920</v>
      </c>
      <c r="X95" s="35">
        <v>800</v>
      </c>
      <c r="Y95" s="15" t="s">
        <v>229</v>
      </c>
      <c r="Z95" s="27"/>
      <c r="AA95" s="27"/>
      <c r="AB95" s="27"/>
      <c r="AC95" s="27"/>
      <c r="AD95" s="27"/>
      <c r="AE95" s="27"/>
      <c r="AF95" s="27"/>
      <c r="AG95" s="27"/>
      <c r="AH95" s="27"/>
      <c r="AI95" s="27"/>
      <c r="AJ95" s="4"/>
    </row>
    <row r="96" spans="1:36" ht="42.75" hidden="1" customHeight="1" x14ac:dyDescent="0.35">
      <c r="A96" s="71">
        <f t="shared" si="6"/>
        <v>7</v>
      </c>
      <c r="B96" s="21" t="s">
        <v>253</v>
      </c>
      <c r="C96" s="88" t="s">
        <v>254</v>
      </c>
      <c r="D96" s="88" t="s">
        <v>255</v>
      </c>
      <c r="E96" s="89">
        <v>12500</v>
      </c>
      <c r="F96" s="89">
        <v>5600</v>
      </c>
      <c r="G96" s="89">
        <v>2300</v>
      </c>
      <c r="H96" s="89">
        <v>1600</v>
      </c>
      <c r="I96" s="71">
        <v>7</v>
      </c>
      <c r="J96" s="85" t="str">
        <f>B96</f>
        <v>Đường vào trường 5/8</v>
      </c>
      <c r="K96" s="74" t="s">
        <v>256</v>
      </c>
      <c r="L96" s="73" t="s">
        <v>255</v>
      </c>
      <c r="M96" s="89">
        <v>12500</v>
      </c>
      <c r="N96" s="89">
        <v>5600</v>
      </c>
      <c r="O96" s="89">
        <v>2300</v>
      </c>
      <c r="P96" s="89">
        <v>1600</v>
      </c>
      <c r="Q96" s="35">
        <v>7920</v>
      </c>
      <c r="R96" s="35">
        <v>3360</v>
      </c>
      <c r="S96" s="35">
        <v>1380</v>
      </c>
      <c r="T96" s="35">
        <v>1040</v>
      </c>
      <c r="U96" s="35">
        <v>5940</v>
      </c>
      <c r="V96" s="35">
        <v>2400</v>
      </c>
      <c r="W96" s="35">
        <v>1020</v>
      </c>
      <c r="X96" s="35">
        <v>780</v>
      </c>
      <c r="Y96" s="15" t="s">
        <v>229</v>
      </c>
      <c r="Z96" s="27"/>
      <c r="AA96" s="27"/>
      <c r="AB96" s="27"/>
      <c r="AC96" s="27"/>
      <c r="AD96" s="27"/>
      <c r="AE96" s="27"/>
      <c r="AF96" s="27"/>
      <c r="AG96" s="27"/>
      <c r="AH96" s="27"/>
      <c r="AI96" s="27"/>
      <c r="AJ96" s="4"/>
    </row>
    <row r="97" spans="1:36" ht="70" hidden="1" x14ac:dyDescent="0.35">
      <c r="A97" s="71">
        <f t="shared" si="6"/>
        <v>8</v>
      </c>
      <c r="B97" s="21" t="s">
        <v>257</v>
      </c>
      <c r="C97" s="88" t="s">
        <v>225</v>
      </c>
      <c r="D97" s="88" t="s">
        <v>258</v>
      </c>
      <c r="E97" s="89">
        <v>16800</v>
      </c>
      <c r="F97" s="89">
        <v>5000</v>
      </c>
      <c r="G97" s="89">
        <v>2300</v>
      </c>
      <c r="H97" s="89">
        <v>2000</v>
      </c>
      <c r="I97" s="71">
        <v>8</v>
      </c>
      <c r="J97" s="85" t="str">
        <f>B97</f>
        <v>Đường ngõ 13 (Đường lên đồi tạp phẩm cũ)</v>
      </c>
      <c r="K97" s="73" t="str">
        <f>C97</f>
        <v>Đường 336</v>
      </c>
      <c r="L97" s="74" t="s">
        <v>259</v>
      </c>
      <c r="M97" s="89">
        <v>16800</v>
      </c>
      <c r="N97" s="89">
        <v>5000</v>
      </c>
      <c r="O97" s="89">
        <v>2300</v>
      </c>
      <c r="P97" s="89">
        <v>2000</v>
      </c>
      <c r="Q97" s="35">
        <v>10080</v>
      </c>
      <c r="R97" s="35">
        <v>3000</v>
      </c>
      <c r="S97" s="35">
        <v>1380</v>
      </c>
      <c r="T97" s="35">
        <v>1200</v>
      </c>
      <c r="U97" s="35">
        <v>6720</v>
      </c>
      <c r="V97" s="35">
        <v>2000</v>
      </c>
      <c r="W97" s="35">
        <v>920</v>
      </c>
      <c r="X97" s="35">
        <v>800</v>
      </c>
      <c r="Y97" s="15" t="s">
        <v>229</v>
      </c>
      <c r="Z97" s="27"/>
      <c r="AA97" s="27"/>
      <c r="AB97" s="27"/>
      <c r="AC97" s="27"/>
      <c r="AD97" s="27"/>
      <c r="AE97" s="27"/>
      <c r="AF97" s="27"/>
      <c r="AG97" s="27"/>
      <c r="AH97" s="27"/>
      <c r="AI97" s="27"/>
      <c r="AJ97" s="4"/>
    </row>
    <row r="98" spans="1:36" ht="54.25" hidden="1" customHeight="1" x14ac:dyDescent="0.35">
      <c r="A98" s="71">
        <f t="shared" si="6"/>
        <v>9</v>
      </c>
      <c r="B98" s="21" t="s">
        <v>260</v>
      </c>
      <c r="C98" s="88" t="s">
        <v>225</v>
      </c>
      <c r="D98" s="88" t="s">
        <v>261</v>
      </c>
      <c r="E98" s="89">
        <v>15300</v>
      </c>
      <c r="F98" s="89">
        <v>5500</v>
      </c>
      <c r="G98" s="89">
        <v>2300</v>
      </c>
      <c r="H98" s="89">
        <v>2000</v>
      </c>
      <c r="I98" s="71">
        <v>9</v>
      </c>
      <c r="J98" s="85" t="str">
        <f>B98</f>
        <v>Đường ngõ 17 (Đường vào đập nước cũ)</v>
      </c>
      <c r="K98" s="73" t="str">
        <f>C98</f>
        <v>Đường 336</v>
      </c>
      <c r="L98" s="74" t="s">
        <v>262</v>
      </c>
      <c r="M98" s="89">
        <v>15300</v>
      </c>
      <c r="N98" s="89">
        <v>5500</v>
      </c>
      <c r="O98" s="89">
        <v>2300</v>
      </c>
      <c r="P98" s="89">
        <v>2000</v>
      </c>
      <c r="Q98" s="35">
        <v>9180</v>
      </c>
      <c r="R98" s="35">
        <v>3300</v>
      </c>
      <c r="S98" s="35">
        <v>1380</v>
      </c>
      <c r="T98" s="35">
        <v>1200</v>
      </c>
      <c r="U98" s="35">
        <v>6120</v>
      </c>
      <c r="V98" s="35">
        <v>2200</v>
      </c>
      <c r="W98" s="35">
        <v>920</v>
      </c>
      <c r="X98" s="35">
        <v>800</v>
      </c>
      <c r="Y98" s="15" t="s">
        <v>229</v>
      </c>
      <c r="Z98" s="27"/>
      <c r="AA98" s="27"/>
      <c r="AB98" s="27"/>
      <c r="AC98" s="27"/>
      <c r="AD98" s="27"/>
      <c r="AE98" s="27"/>
      <c r="AF98" s="27"/>
      <c r="AG98" s="27"/>
      <c r="AH98" s="27"/>
      <c r="AI98" s="27"/>
      <c r="AJ98" s="4"/>
    </row>
    <row r="99" spans="1:36" ht="42" hidden="1" x14ac:dyDescent="0.35">
      <c r="A99" s="71">
        <f t="shared" si="6"/>
        <v>10</v>
      </c>
      <c r="B99" s="21" t="s">
        <v>263</v>
      </c>
      <c r="C99" s="88" t="s">
        <v>225</v>
      </c>
      <c r="D99" s="88" t="s">
        <v>264</v>
      </c>
      <c r="E99" s="89">
        <v>15300</v>
      </c>
      <c r="F99" s="89">
        <v>5000</v>
      </c>
      <c r="G99" s="89">
        <v>2300</v>
      </c>
      <c r="H99" s="89">
        <v>2000</v>
      </c>
      <c r="I99" s="71">
        <v>10</v>
      </c>
      <c r="J99" s="85" t="str">
        <f>B99</f>
        <v>Đường ngõ 18</v>
      </c>
      <c r="K99" s="73" t="str">
        <f>C99</f>
        <v>Đường 336</v>
      </c>
      <c r="L99" s="74" t="s">
        <v>265</v>
      </c>
      <c r="M99" s="89">
        <v>15300</v>
      </c>
      <c r="N99" s="89">
        <v>5000</v>
      </c>
      <c r="O99" s="89">
        <v>2300</v>
      </c>
      <c r="P99" s="89">
        <v>2000</v>
      </c>
      <c r="Q99" s="35">
        <v>9180</v>
      </c>
      <c r="R99" s="35">
        <v>3000</v>
      </c>
      <c r="S99" s="35">
        <v>1380</v>
      </c>
      <c r="T99" s="35">
        <v>1200</v>
      </c>
      <c r="U99" s="35">
        <v>6120</v>
      </c>
      <c r="V99" s="35">
        <v>2000</v>
      </c>
      <c r="W99" s="35">
        <v>920</v>
      </c>
      <c r="X99" s="35">
        <v>800</v>
      </c>
      <c r="Y99" s="15" t="s">
        <v>229</v>
      </c>
      <c r="Z99" s="27"/>
      <c r="AA99" s="27"/>
      <c r="AB99" s="27"/>
      <c r="AC99" s="27"/>
      <c r="AD99" s="27"/>
      <c r="AE99" s="27"/>
      <c r="AF99" s="27"/>
      <c r="AG99" s="27"/>
      <c r="AH99" s="27"/>
      <c r="AI99" s="27"/>
      <c r="AJ99" s="4"/>
    </row>
    <row r="100" spans="1:36" ht="70" hidden="1" x14ac:dyDescent="0.35">
      <c r="A100" s="71">
        <f t="shared" si="6"/>
        <v>16</v>
      </c>
      <c r="B100" s="21" t="s">
        <v>266</v>
      </c>
      <c r="C100" s="88" t="s">
        <v>36</v>
      </c>
      <c r="D100" s="88"/>
      <c r="E100" s="89">
        <v>21000</v>
      </c>
      <c r="F100" s="89"/>
      <c r="G100" s="89"/>
      <c r="H100" s="89"/>
      <c r="I100" s="71">
        <v>16</v>
      </c>
      <c r="J100" s="85" t="s">
        <v>267</v>
      </c>
      <c r="K100" s="237"/>
      <c r="L100" s="259"/>
      <c r="M100" s="89">
        <v>21000</v>
      </c>
      <c r="N100" s="89"/>
      <c r="O100" s="89"/>
      <c r="P100" s="89"/>
      <c r="Q100" s="35">
        <v>12600</v>
      </c>
      <c r="R100" s="35"/>
      <c r="S100" s="35"/>
      <c r="T100" s="35"/>
      <c r="U100" s="35">
        <v>8400</v>
      </c>
      <c r="V100" s="35"/>
      <c r="W100" s="35"/>
      <c r="X100" s="35"/>
      <c r="Y100" s="15" t="s">
        <v>229</v>
      </c>
      <c r="Z100" s="27"/>
      <c r="AA100" s="27"/>
      <c r="AB100" s="27"/>
      <c r="AC100" s="27"/>
      <c r="AD100" s="27"/>
      <c r="AE100" s="27"/>
      <c r="AF100" s="27"/>
      <c r="AG100" s="27"/>
      <c r="AH100" s="27"/>
      <c r="AI100" s="27"/>
      <c r="AJ100" s="4"/>
    </row>
    <row r="101" spans="1:36" ht="42" hidden="1" x14ac:dyDescent="0.35">
      <c r="A101" s="71">
        <f t="shared" si="6"/>
        <v>18</v>
      </c>
      <c r="B101" s="21" t="s">
        <v>268</v>
      </c>
      <c r="C101" s="88" t="s">
        <v>269</v>
      </c>
      <c r="D101" s="88" t="s">
        <v>270</v>
      </c>
      <c r="E101" s="89">
        <v>11000</v>
      </c>
      <c r="F101" s="89">
        <v>4000</v>
      </c>
      <c r="G101" s="89">
        <v>2300</v>
      </c>
      <c r="H101" s="89">
        <v>2000</v>
      </c>
      <c r="I101" s="71">
        <v>18</v>
      </c>
      <c r="J101" s="85" t="s">
        <v>271</v>
      </c>
      <c r="K101" s="74" t="s">
        <v>272</v>
      </c>
      <c r="L101" s="74" t="s">
        <v>273</v>
      </c>
      <c r="M101" s="89">
        <v>11000</v>
      </c>
      <c r="N101" s="89">
        <v>4000</v>
      </c>
      <c r="O101" s="89">
        <v>2300</v>
      </c>
      <c r="P101" s="89">
        <v>2000</v>
      </c>
      <c r="Q101" s="35">
        <v>6600</v>
      </c>
      <c r="R101" s="35">
        <v>2400</v>
      </c>
      <c r="S101" s="35">
        <v>1380</v>
      </c>
      <c r="T101" s="35">
        <v>1200</v>
      </c>
      <c r="U101" s="35">
        <v>4400</v>
      </c>
      <c r="V101" s="35">
        <v>1600</v>
      </c>
      <c r="W101" s="35">
        <v>920</v>
      </c>
      <c r="X101" s="35">
        <v>800</v>
      </c>
      <c r="Y101" s="15" t="s">
        <v>229</v>
      </c>
      <c r="Z101" s="27"/>
      <c r="AA101" s="27"/>
      <c r="AB101" s="27"/>
      <c r="AC101" s="27"/>
      <c r="AD101" s="27"/>
      <c r="AE101" s="27"/>
      <c r="AF101" s="27"/>
      <c r="AG101" s="27"/>
      <c r="AH101" s="27"/>
      <c r="AI101" s="27"/>
      <c r="AJ101" s="4"/>
    </row>
    <row r="102" spans="1:36" ht="84" hidden="1" x14ac:dyDescent="0.35">
      <c r="A102" s="71">
        <f t="shared" si="6"/>
        <v>20</v>
      </c>
      <c r="B102" s="21" t="s">
        <v>274</v>
      </c>
      <c r="C102" s="88" t="s">
        <v>36</v>
      </c>
      <c r="D102" s="88"/>
      <c r="E102" s="89">
        <v>12000</v>
      </c>
      <c r="F102" s="253"/>
      <c r="G102" s="253"/>
      <c r="H102" s="253"/>
      <c r="I102" s="71">
        <v>20</v>
      </c>
      <c r="J102" s="85" t="s">
        <v>275</v>
      </c>
      <c r="K102" s="73"/>
      <c r="L102" s="74"/>
      <c r="M102" s="89">
        <v>12000</v>
      </c>
      <c r="N102" s="253"/>
      <c r="O102" s="253"/>
      <c r="P102" s="253"/>
      <c r="Q102" s="35">
        <v>7200</v>
      </c>
      <c r="R102" s="35"/>
      <c r="S102" s="35"/>
      <c r="T102" s="35"/>
      <c r="U102" s="35">
        <v>4800</v>
      </c>
      <c r="V102" s="35"/>
      <c r="W102" s="35"/>
      <c r="X102" s="35"/>
      <c r="Y102" s="15" t="s">
        <v>229</v>
      </c>
      <c r="Z102" s="27"/>
      <c r="AA102" s="27"/>
      <c r="AB102" s="27"/>
      <c r="AC102" s="27"/>
      <c r="AD102" s="27"/>
      <c r="AE102" s="27"/>
      <c r="AF102" s="27"/>
      <c r="AG102" s="27"/>
      <c r="AH102" s="27"/>
      <c r="AI102" s="27"/>
      <c r="AJ102" s="4"/>
    </row>
    <row r="103" spans="1:36" ht="56" hidden="1" x14ac:dyDescent="0.35">
      <c r="A103" s="71">
        <f t="shared" si="6"/>
        <v>22</v>
      </c>
      <c r="B103" s="21" t="s">
        <v>276</v>
      </c>
      <c r="C103" s="88" t="s">
        <v>36</v>
      </c>
      <c r="D103" s="88"/>
      <c r="E103" s="89">
        <v>21600</v>
      </c>
      <c r="F103" s="253"/>
      <c r="G103" s="253"/>
      <c r="H103" s="253"/>
      <c r="I103" s="71">
        <v>22</v>
      </c>
      <c r="J103" s="85" t="s">
        <v>277</v>
      </c>
      <c r="K103" s="73"/>
      <c r="L103" s="74"/>
      <c r="M103" s="89">
        <v>21600</v>
      </c>
      <c r="N103" s="253"/>
      <c r="O103" s="253"/>
      <c r="P103" s="253"/>
      <c r="Q103" s="35">
        <v>12960</v>
      </c>
      <c r="R103" s="35"/>
      <c r="S103" s="35"/>
      <c r="T103" s="35"/>
      <c r="U103" s="35">
        <v>8640</v>
      </c>
      <c r="V103" s="261"/>
      <c r="W103" s="261"/>
      <c r="X103" s="261"/>
      <c r="Y103" s="15" t="s">
        <v>229</v>
      </c>
      <c r="Z103" s="27"/>
      <c r="AA103" s="27"/>
      <c r="AB103" s="27"/>
      <c r="AC103" s="27"/>
      <c r="AD103" s="27"/>
      <c r="AE103" s="27"/>
      <c r="AF103" s="27"/>
      <c r="AG103" s="27"/>
      <c r="AH103" s="27"/>
      <c r="AI103" s="27"/>
      <c r="AJ103" s="4"/>
    </row>
    <row r="104" spans="1:36" ht="58.15" hidden="1" customHeight="1" x14ac:dyDescent="0.35">
      <c r="A104" s="71">
        <f t="shared" si="6"/>
        <v>30</v>
      </c>
      <c r="B104" s="38" t="s">
        <v>278</v>
      </c>
      <c r="C104" s="237"/>
      <c r="D104" s="237"/>
      <c r="E104" s="18"/>
      <c r="F104" s="18"/>
      <c r="G104" s="18"/>
      <c r="H104" s="18"/>
      <c r="I104" s="71">
        <v>30</v>
      </c>
      <c r="J104" s="85" t="s">
        <v>278</v>
      </c>
      <c r="K104" s="73"/>
      <c r="L104" s="74"/>
      <c r="M104" s="18"/>
      <c r="N104" s="18"/>
      <c r="O104" s="18"/>
      <c r="P104" s="18"/>
      <c r="Q104" s="261"/>
      <c r="R104" s="261"/>
      <c r="S104" s="261"/>
      <c r="T104" s="261"/>
      <c r="U104" s="261"/>
      <c r="V104" s="261"/>
      <c r="W104" s="261"/>
      <c r="X104" s="261"/>
      <c r="Y104" s="15" t="s">
        <v>229</v>
      </c>
      <c r="Z104" s="27"/>
      <c r="AA104" s="27"/>
      <c r="AB104" s="27"/>
      <c r="AC104" s="27"/>
      <c r="AD104" s="27"/>
      <c r="AE104" s="27"/>
      <c r="AF104" s="27"/>
      <c r="AG104" s="27"/>
      <c r="AH104" s="27"/>
      <c r="AI104" s="27"/>
      <c r="AJ104" s="4"/>
    </row>
    <row r="105" spans="1:36" ht="58.15" hidden="1" customHeight="1" x14ac:dyDescent="0.35">
      <c r="A105" s="71">
        <f t="shared" si="6"/>
        <v>30.1</v>
      </c>
      <c r="B105" s="21" t="s">
        <v>279</v>
      </c>
      <c r="C105" s="88" t="s">
        <v>225</v>
      </c>
      <c r="D105" s="88" t="s">
        <v>280</v>
      </c>
      <c r="E105" s="89">
        <v>24800</v>
      </c>
      <c r="F105" s="89">
        <v>8000</v>
      </c>
      <c r="G105" s="89">
        <v>4400</v>
      </c>
      <c r="H105" s="89">
        <v>2000</v>
      </c>
      <c r="I105" s="71">
        <v>30.1</v>
      </c>
      <c r="J105" s="85" t="s">
        <v>278</v>
      </c>
      <c r="K105" s="73" t="s">
        <v>225</v>
      </c>
      <c r="L105" s="74" t="s">
        <v>281</v>
      </c>
      <c r="M105" s="89">
        <v>24800</v>
      </c>
      <c r="N105" s="89">
        <v>8000</v>
      </c>
      <c r="O105" s="89">
        <v>4400</v>
      </c>
      <c r="P105" s="89">
        <v>2000</v>
      </c>
      <c r="Q105" s="35">
        <v>14880</v>
      </c>
      <c r="R105" s="35">
        <v>4800</v>
      </c>
      <c r="S105" s="35">
        <v>2640</v>
      </c>
      <c r="T105" s="35">
        <v>1200</v>
      </c>
      <c r="U105" s="35">
        <v>9920</v>
      </c>
      <c r="V105" s="35">
        <v>3360</v>
      </c>
      <c r="W105" s="35">
        <v>1760</v>
      </c>
      <c r="X105" s="35">
        <v>800</v>
      </c>
      <c r="Y105" s="15" t="s">
        <v>229</v>
      </c>
      <c r="Z105" s="27"/>
      <c r="AA105" s="27"/>
      <c r="AB105" s="27"/>
      <c r="AC105" s="27"/>
      <c r="AD105" s="27"/>
      <c r="AE105" s="27"/>
      <c r="AF105" s="27"/>
      <c r="AG105" s="27"/>
      <c r="AH105" s="27"/>
      <c r="AI105" s="27"/>
      <c r="AJ105" s="4"/>
    </row>
    <row r="106" spans="1:36" ht="58.15" hidden="1" customHeight="1" x14ac:dyDescent="0.35">
      <c r="A106" s="71">
        <f t="shared" si="6"/>
        <v>30.2</v>
      </c>
      <c r="B106" s="21" t="s">
        <v>279</v>
      </c>
      <c r="C106" s="88" t="s">
        <v>282</v>
      </c>
      <c r="D106" s="88" t="s">
        <v>283</v>
      </c>
      <c r="E106" s="89">
        <v>8000</v>
      </c>
      <c r="F106" s="89">
        <v>2800</v>
      </c>
      <c r="G106" s="89">
        <v>1800</v>
      </c>
      <c r="H106" s="89">
        <v>1600</v>
      </c>
      <c r="I106" s="71">
        <v>30.2</v>
      </c>
      <c r="J106" s="85" t="s">
        <v>278</v>
      </c>
      <c r="K106" s="74" t="s">
        <v>284</v>
      </c>
      <c r="L106" s="73" t="str">
        <f>D106</f>
        <v>Giáp phường Cao Xanh</v>
      </c>
      <c r="M106" s="89">
        <v>8000</v>
      </c>
      <c r="N106" s="89">
        <v>2800</v>
      </c>
      <c r="O106" s="89">
        <v>1800</v>
      </c>
      <c r="P106" s="89">
        <v>1600</v>
      </c>
      <c r="Q106" s="35">
        <v>4800</v>
      </c>
      <c r="R106" s="35">
        <v>1680</v>
      </c>
      <c r="S106" s="35">
        <v>1080</v>
      </c>
      <c r="T106" s="35">
        <v>960</v>
      </c>
      <c r="U106" s="35">
        <v>3200</v>
      </c>
      <c r="V106" s="35">
        <v>1120</v>
      </c>
      <c r="W106" s="35">
        <v>720</v>
      </c>
      <c r="X106" s="35">
        <v>640</v>
      </c>
      <c r="Y106" s="15" t="s">
        <v>229</v>
      </c>
      <c r="Z106" s="27"/>
      <c r="AA106" s="27"/>
      <c r="AB106" s="27"/>
      <c r="AC106" s="27"/>
      <c r="AD106" s="27"/>
      <c r="AE106" s="27"/>
      <c r="AF106" s="27"/>
      <c r="AG106" s="27"/>
      <c r="AH106" s="27"/>
      <c r="AI106" s="27"/>
      <c r="AJ106" s="4"/>
    </row>
    <row r="107" spans="1:36" ht="58.15" hidden="1" customHeight="1" x14ac:dyDescent="0.35">
      <c r="A107" s="71">
        <f t="shared" si="6"/>
        <v>42</v>
      </c>
      <c r="B107" s="21" t="s">
        <v>285</v>
      </c>
      <c r="C107" s="88" t="s">
        <v>225</v>
      </c>
      <c r="D107" s="88" t="s">
        <v>286</v>
      </c>
      <c r="E107" s="89">
        <v>7400</v>
      </c>
      <c r="F107" s="89"/>
      <c r="G107" s="89"/>
      <c r="H107" s="89"/>
      <c r="I107" s="71">
        <v>42</v>
      </c>
      <c r="J107" s="85" t="str">
        <f>B107</f>
        <v>Đường Khu tự xây Trường Nguyễn Bá Ngọc</v>
      </c>
      <c r="K107" s="73" t="s">
        <v>287</v>
      </c>
      <c r="L107" s="74" t="s">
        <v>288</v>
      </c>
      <c r="M107" s="89">
        <v>7400</v>
      </c>
      <c r="N107" s="89"/>
      <c r="O107" s="89"/>
      <c r="P107" s="89"/>
      <c r="Q107" s="35">
        <v>4440</v>
      </c>
      <c r="R107" s="35"/>
      <c r="S107" s="35"/>
      <c r="T107" s="35"/>
      <c r="U107" s="35">
        <v>2960</v>
      </c>
      <c r="V107" s="35"/>
      <c r="W107" s="35"/>
      <c r="X107" s="35"/>
      <c r="Y107" s="15" t="s">
        <v>229</v>
      </c>
      <c r="Z107" s="27"/>
      <c r="AA107" s="27"/>
      <c r="AB107" s="27"/>
      <c r="AC107" s="27"/>
      <c r="AD107" s="27"/>
      <c r="AE107" s="27"/>
      <c r="AF107" s="27"/>
      <c r="AG107" s="27"/>
      <c r="AH107" s="27"/>
      <c r="AI107" s="27"/>
      <c r="AJ107" s="4"/>
    </row>
    <row r="108" spans="1:36" ht="58.15" hidden="1" customHeight="1" x14ac:dyDescent="0.35">
      <c r="A108" s="71">
        <f t="shared" si="6"/>
        <v>43</v>
      </c>
      <c r="B108" s="38" t="s">
        <v>289</v>
      </c>
      <c r="C108" s="237"/>
      <c r="D108" s="237"/>
      <c r="E108" s="58"/>
      <c r="F108" s="58"/>
      <c r="G108" s="58"/>
      <c r="H108" s="58"/>
      <c r="I108" s="71">
        <v>43</v>
      </c>
      <c r="J108" s="85" t="str">
        <f>B108</f>
        <v>Đường vào Lán 14</v>
      </c>
      <c r="K108" s="74"/>
      <c r="L108" s="73"/>
      <c r="M108" s="58"/>
      <c r="N108" s="58"/>
      <c r="O108" s="58"/>
      <c r="P108" s="58"/>
      <c r="Q108" s="261"/>
      <c r="R108" s="261"/>
      <c r="S108" s="261"/>
      <c r="T108" s="261"/>
      <c r="U108" s="261"/>
      <c r="V108" s="261"/>
      <c r="W108" s="261"/>
      <c r="X108" s="261"/>
      <c r="Y108" s="15" t="s">
        <v>229</v>
      </c>
      <c r="Z108" s="27"/>
      <c r="AA108" s="27"/>
      <c r="AB108" s="27"/>
      <c r="AC108" s="27"/>
      <c r="AD108" s="27"/>
      <c r="AE108" s="27"/>
      <c r="AF108" s="27"/>
      <c r="AG108" s="27"/>
      <c r="AH108" s="27"/>
      <c r="AI108" s="27"/>
      <c r="AJ108" s="4"/>
    </row>
    <row r="109" spans="1:36" ht="58.15" hidden="1" customHeight="1" x14ac:dyDescent="0.35">
      <c r="A109" s="71">
        <f t="shared" si="6"/>
        <v>43.1</v>
      </c>
      <c r="B109" s="21" t="s">
        <v>289</v>
      </c>
      <c r="C109" s="88" t="s">
        <v>225</v>
      </c>
      <c r="D109" s="88" t="s">
        <v>290</v>
      </c>
      <c r="E109" s="89">
        <v>8700</v>
      </c>
      <c r="F109" s="89">
        <v>3200</v>
      </c>
      <c r="G109" s="89">
        <v>1600</v>
      </c>
      <c r="H109" s="89">
        <v>1200</v>
      </c>
      <c r="I109" s="71">
        <v>43.1</v>
      </c>
      <c r="J109" s="85" t="str">
        <f t="shared" ref="J109:J113" si="8">B109</f>
        <v>Đường vào Lán 14</v>
      </c>
      <c r="K109" s="73" t="s">
        <v>225</v>
      </c>
      <c r="L109" s="74" t="s">
        <v>291</v>
      </c>
      <c r="M109" s="89">
        <v>8700</v>
      </c>
      <c r="N109" s="89">
        <v>3200</v>
      </c>
      <c r="O109" s="89">
        <v>1600</v>
      </c>
      <c r="P109" s="89">
        <v>1200</v>
      </c>
      <c r="Q109" s="35">
        <v>5220</v>
      </c>
      <c r="R109" s="35">
        <v>1920</v>
      </c>
      <c r="S109" s="35">
        <v>960</v>
      </c>
      <c r="T109" s="35">
        <v>720</v>
      </c>
      <c r="U109" s="35">
        <v>3480</v>
      </c>
      <c r="V109" s="35">
        <v>1280</v>
      </c>
      <c r="W109" s="35">
        <v>640</v>
      </c>
      <c r="X109" s="35">
        <v>540</v>
      </c>
      <c r="Y109" s="15" t="s">
        <v>229</v>
      </c>
      <c r="Z109" s="27"/>
      <c r="AA109" s="27"/>
      <c r="AB109" s="27"/>
      <c r="AC109" s="27"/>
      <c r="AD109" s="27"/>
      <c r="AE109" s="27"/>
      <c r="AF109" s="27"/>
      <c r="AG109" s="27"/>
      <c r="AH109" s="27"/>
      <c r="AI109" s="27"/>
      <c r="AJ109" s="4"/>
    </row>
    <row r="110" spans="1:36" ht="58.15" hidden="1" customHeight="1" x14ac:dyDescent="0.35">
      <c r="A110" s="71">
        <f t="shared" si="6"/>
        <v>43.2</v>
      </c>
      <c r="B110" s="21" t="s">
        <v>289</v>
      </c>
      <c r="C110" s="88" t="s">
        <v>290</v>
      </c>
      <c r="D110" s="88" t="s">
        <v>292</v>
      </c>
      <c r="E110" s="89">
        <v>6500</v>
      </c>
      <c r="F110" s="89">
        <v>2300</v>
      </c>
      <c r="G110" s="89">
        <v>1600</v>
      </c>
      <c r="H110" s="89">
        <v>1200</v>
      </c>
      <c r="I110" s="71">
        <v>43.2</v>
      </c>
      <c r="J110" s="85" t="str">
        <f t="shared" si="8"/>
        <v>Đường vào Lán 14</v>
      </c>
      <c r="K110" s="74" t="s">
        <v>291</v>
      </c>
      <c r="L110" s="74" t="s">
        <v>293</v>
      </c>
      <c r="M110" s="89">
        <v>6500</v>
      </c>
      <c r="N110" s="89">
        <v>2300</v>
      </c>
      <c r="O110" s="89">
        <v>1600</v>
      </c>
      <c r="P110" s="89">
        <v>1200</v>
      </c>
      <c r="Q110" s="35">
        <v>3900</v>
      </c>
      <c r="R110" s="35">
        <v>1380</v>
      </c>
      <c r="S110" s="35">
        <v>960</v>
      </c>
      <c r="T110" s="35">
        <v>720</v>
      </c>
      <c r="U110" s="35">
        <v>2600</v>
      </c>
      <c r="V110" s="35">
        <v>920</v>
      </c>
      <c r="W110" s="35">
        <v>640</v>
      </c>
      <c r="X110" s="35">
        <v>480</v>
      </c>
      <c r="Y110" s="15" t="s">
        <v>229</v>
      </c>
      <c r="Z110" s="27"/>
      <c r="AA110" s="27"/>
      <c r="AB110" s="27"/>
      <c r="AC110" s="27"/>
      <c r="AD110" s="27"/>
      <c r="AE110" s="27"/>
      <c r="AF110" s="27"/>
      <c r="AG110" s="27"/>
      <c r="AH110" s="27"/>
      <c r="AI110" s="27"/>
      <c r="AJ110" s="4"/>
    </row>
    <row r="111" spans="1:36" ht="58.15" hidden="1" customHeight="1" x14ac:dyDescent="0.35">
      <c r="A111" s="71">
        <f t="shared" si="6"/>
        <v>45.1</v>
      </c>
      <c r="B111" s="21" t="s">
        <v>294</v>
      </c>
      <c r="C111" s="88" t="s">
        <v>225</v>
      </c>
      <c r="D111" s="88" t="s">
        <v>295</v>
      </c>
      <c r="E111" s="89">
        <v>7800</v>
      </c>
      <c r="F111" s="89"/>
      <c r="G111" s="89"/>
      <c r="H111" s="89"/>
      <c r="I111" s="71">
        <v>45.1</v>
      </c>
      <c r="J111" s="85" t="str">
        <f t="shared" si="8"/>
        <v>Dãy bám đường đoạn từ đường 366 đến nhà văn hóa khu 1 (Bên phải tuyến đến hết thửa 113 TBĐ 68)</v>
      </c>
      <c r="K111" s="73" t="s">
        <v>225</v>
      </c>
      <c r="L111" s="74" t="s">
        <v>296</v>
      </c>
      <c r="M111" s="89"/>
      <c r="N111" s="89"/>
      <c r="O111" s="89"/>
      <c r="P111" s="58"/>
      <c r="Q111" s="50">
        <v>4680</v>
      </c>
      <c r="R111" s="50"/>
      <c r="S111" s="50"/>
      <c r="T111" s="50"/>
      <c r="U111" s="50">
        <v>3120</v>
      </c>
      <c r="V111" s="50"/>
      <c r="W111" s="50"/>
      <c r="X111" s="50"/>
      <c r="Y111" s="15" t="s">
        <v>229</v>
      </c>
      <c r="Z111" s="27"/>
      <c r="AA111" s="27"/>
      <c r="AB111" s="27"/>
      <c r="AC111" s="27"/>
      <c r="AD111" s="27"/>
      <c r="AE111" s="27"/>
      <c r="AF111" s="27"/>
      <c r="AG111" s="27"/>
      <c r="AH111" s="27"/>
      <c r="AI111" s="27"/>
      <c r="AJ111" s="4"/>
    </row>
    <row r="112" spans="1:36" ht="58.15" hidden="1" customHeight="1" x14ac:dyDescent="0.35">
      <c r="A112" s="71">
        <f t="shared" si="6"/>
        <v>48</v>
      </c>
      <c r="B112" s="21" t="s">
        <v>297</v>
      </c>
      <c r="C112" s="88" t="s">
        <v>298</v>
      </c>
      <c r="D112" s="88" t="s">
        <v>299</v>
      </c>
      <c r="E112" s="89">
        <v>7400</v>
      </c>
      <c r="F112" s="89">
        <v>5200</v>
      </c>
      <c r="G112" s="89">
        <v>2300</v>
      </c>
      <c r="H112" s="89">
        <v>1200</v>
      </c>
      <c r="I112" s="71">
        <v>48</v>
      </c>
      <c r="J112" s="85" t="str">
        <f t="shared" si="8"/>
        <v>Đường vào khu tập thể Gia Binh</v>
      </c>
      <c r="K112" s="73" t="s">
        <v>298</v>
      </c>
      <c r="L112" s="74" t="s">
        <v>300</v>
      </c>
      <c r="M112" s="89">
        <v>7400</v>
      </c>
      <c r="N112" s="89">
        <v>5200</v>
      </c>
      <c r="O112" s="89">
        <v>2300</v>
      </c>
      <c r="P112" s="89">
        <v>1200</v>
      </c>
      <c r="Q112" s="35">
        <v>4440</v>
      </c>
      <c r="R112" s="35">
        <v>3120</v>
      </c>
      <c r="S112" s="35">
        <v>1380</v>
      </c>
      <c r="T112" s="35">
        <v>720</v>
      </c>
      <c r="U112" s="35">
        <v>3240</v>
      </c>
      <c r="V112" s="35">
        <v>2160</v>
      </c>
      <c r="W112" s="35">
        <v>920</v>
      </c>
      <c r="X112" s="35">
        <v>480</v>
      </c>
      <c r="Y112" s="15" t="s">
        <v>229</v>
      </c>
      <c r="Z112" s="27"/>
      <c r="AA112" s="27"/>
      <c r="AB112" s="27"/>
      <c r="AC112" s="27"/>
      <c r="AD112" s="27"/>
      <c r="AE112" s="27"/>
      <c r="AF112" s="27"/>
      <c r="AG112" s="27"/>
      <c r="AH112" s="27"/>
      <c r="AI112" s="27"/>
      <c r="AJ112" s="4"/>
    </row>
    <row r="113" spans="1:36" ht="58.15" hidden="1" customHeight="1" x14ac:dyDescent="0.35">
      <c r="A113" s="71">
        <f t="shared" si="6"/>
        <v>49</v>
      </c>
      <c r="B113" s="21" t="s">
        <v>301</v>
      </c>
      <c r="C113" s="88" t="s">
        <v>302</v>
      </c>
      <c r="D113" s="88" t="s">
        <v>303</v>
      </c>
      <c r="E113" s="89">
        <v>3400</v>
      </c>
      <c r="F113" s="253"/>
      <c r="G113" s="253"/>
      <c r="H113" s="253"/>
      <c r="I113" s="71">
        <v>49</v>
      </c>
      <c r="J113" s="85" t="str">
        <f t="shared" si="8"/>
        <v>Đường khu dân cư tổ 47 (Cạnh trường mầm non Hà Trung)</v>
      </c>
      <c r="K113" s="73" t="s">
        <v>304</v>
      </c>
      <c r="L113" s="74" t="s">
        <v>305</v>
      </c>
      <c r="M113" s="89">
        <v>3400</v>
      </c>
      <c r="N113" s="253"/>
      <c r="O113" s="253"/>
      <c r="P113" s="253"/>
      <c r="Q113" s="35">
        <v>2040</v>
      </c>
      <c r="R113" s="35"/>
      <c r="S113" s="35"/>
      <c r="T113" s="35"/>
      <c r="U113" s="35">
        <v>1360</v>
      </c>
      <c r="V113" s="35"/>
      <c r="W113" s="35"/>
      <c r="X113" s="35"/>
      <c r="Y113" s="15" t="s">
        <v>229</v>
      </c>
      <c r="Z113" s="27"/>
      <c r="AA113" s="27"/>
      <c r="AB113" s="27"/>
      <c r="AC113" s="27"/>
      <c r="AD113" s="27"/>
      <c r="AE113" s="27"/>
      <c r="AF113" s="27"/>
      <c r="AG113" s="27"/>
      <c r="AH113" s="27"/>
      <c r="AI113" s="27"/>
      <c r="AJ113" s="4"/>
    </row>
    <row r="114" spans="1:36" hidden="1" x14ac:dyDescent="0.35">
      <c r="A114" s="256">
        <v>41</v>
      </c>
      <c r="B114" s="14" t="s">
        <v>306</v>
      </c>
      <c r="C114" s="259"/>
      <c r="D114" s="259"/>
      <c r="E114" s="261"/>
      <c r="F114" s="261"/>
      <c r="G114" s="261"/>
      <c r="H114" s="261"/>
      <c r="I114" s="256">
        <v>41</v>
      </c>
      <c r="J114" s="14" t="s">
        <v>306</v>
      </c>
      <c r="K114" s="259"/>
      <c r="L114" s="259"/>
      <c r="M114" s="261"/>
      <c r="N114" s="261"/>
      <c r="O114" s="261"/>
      <c r="P114" s="261"/>
      <c r="Q114" s="261"/>
      <c r="R114" s="261"/>
      <c r="S114" s="261"/>
      <c r="T114" s="261"/>
      <c r="U114" s="261"/>
      <c r="V114" s="261"/>
      <c r="W114" s="261"/>
      <c r="X114" s="261"/>
      <c r="Y114" s="13" t="s">
        <v>307</v>
      </c>
      <c r="Z114" s="27"/>
      <c r="AA114" s="27"/>
      <c r="AB114" s="27"/>
      <c r="AC114" s="27"/>
      <c r="AD114" s="27"/>
      <c r="AE114" s="27"/>
      <c r="AF114" s="27"/>
      <c r="AG114" s="27"/>
      <c r="AH114" s="27"/>
      <c r="AI114" s="27"/>
      <c r="AJ114" s="4"/>
    </row>
    <row r="115" spans="1:36" x14ac:dyDescent="0.35">
      <c r="A115" s="256">
        <v>42</v>
      </c>
      <c r="B115" s="14" t="s">
        <v>308</v>
      </c>
      <c r="C115" s="259"/>
      <c r="D115" s="259"/>
      <c r="E115" s="261"/>
      <c r="F115" s="261"/>
      <c r="G115" s="261"/>
      <c r="H115" s="261"/>
      <c r="I115" s="256">
        <v>42</v>
      </c>
      <c r="J115" s="14" t="s">
        <v>308</v>
      </c>
      <c r="K115" s="259"/>
      <c r="L115" s="259"/>
      <c r="M115" s="261"/>
      <c r="N115" s="261"/>
      <c r="O115" s="261"/>
      <c r="P115" s="261"/>
      <c r="Q115" s="261"/>
      <c r="R115" s="261"/>
      <c r="S115" s="261"/>
      <c r="T115" s="261"/>
      <c r="U115" s="261"/>
      <c r="V115" s="261"/>
      <c r="W115" s="261"/>
      <c r="X115" s="261"/>
      <c r="Y115" s="38"/>
      <c r="Z115" s="27"/>
      <c r="AA115" s="27"/>
      <c r="AB115" s="27"/>
      <c r="AC115" s="27"/>
      <c r="AD115" s="27"/>
      <c r="AE115" s="27"/>
      <c r="AF115" s="27"/>
      <c r="AG115" s="27"/>
      <c r="AH115" s="27"/>
      <c r="AI115" s="27"/>
      <c r="AJ115" s="4"/>
    </row>
    <row r="116" spans="1:36" ht="103" hidden="1" customHeight="1" x14ac:dyDescent="0.35">
      <c r="A116" s="19" t="s">
        <v>309</v>
      </c>
      <c r="B116" s="38" t="s">
        <v>310</v>
      </c>
      <c r="C116" s="237" t="s">
        <v>311</v>
      </c>
      <c r="D116" s="237" t="s">
        <v>312</v>
      </c>
      <c r="E116" s="91">
        <v>31000</v>
      </c>
      <c r="F116" s="91">
        <v>8000</v>
      </c>
      <c r="G116" s="91">
        <v>4300</v>
      </c>
      <c r="H116" s="91">
        <v>2900</v>
      </c>
      <c r="I116" s="91" t="s">
        <v>309</v>
      </c>
      <c r="J116" s="38" t="s">
        <v>310</v>
      </c>
      <c r="K116" s="237" t="s">
        <v>311</v>
      </c>
      <c r="L116" s="259" t="s">
        <v>313</v>
      </c>
      <c r="M116" s="91">
        <v>31000</v>
      </c>
      <c r="N116" s="91">
        <v>8000</v>
      </c>
      <c r="O116" s="91">
        <v>4300</v>
      </c>
      <c r="P116" s="91">
        <v>2900</v>
      </c>
      <c r="Q116" s="35">
        <v>18600</v>
      </c>
      <c r="R116" s="35">
        <v>4800</v>
      </c>
      <c r="S116" s="35">
        <v>2580</v>
      </c>
      <c r="T116" s="35">
        <v>1740</v>
      </c>
      <c r="U116" s="35">
        <v>12400</v>
      </c>
      <c r="V116" s="35">
        <v>3200</v>
      </c>
      <c r="W116" s="35">
        <v>1720</v>
      </c>
      <c r="X116" s="35">
        <v>1160</v>
      </c>
      <c r="Y116" s="38" t="s">
        <v>314</v>
      </c>
      <c r="Z116" s="27"/>
      <c r="AA116" s="27"/>
      <c r="AB116" s="27"/>
      <c r="AC116" s="27"/>
      <c r="AD116" s="27"/>
      <c r="AE116" s="27"/>
      <c r="AF116" s="27"/>
      <c r="AG116" s="27"/>
      <c r="AH116" s="27"/>
      <c r="AI116" s="27"/>
      <c r="AJ116" s="4"/>
    </row>
    <row r="117" spans="1:36" ht="98" hidden="1" x14ac:dyDescent="0.35">
      <c r="A117" s="19" t="s">
        <v>185</v>
      </c>
      <c r="B117" s="38" t="s">
        <v>310</v>
      </c>
      <c r="C117" s="237" t="s">
        <v>312</v>
      </c>
      <c r="D117" s="237" t="s">
        <v>315</v>
      </c>
      <c r="E117" s="91">
        <v>19000</v>
      </c>
      <c r="F117" s="91">
        <v>7000</v>
      </c>
      <c r="G117" s="91">
        <v>3700</v>
      </c>
      <c r="H117" s="91">
        <v>2700</v>
      </c>
      <c r="I117" s="91" t="s">
        <v>185</v>
      </c>
      <c r="J117" s="38" t="s">
        <v>310</v>
      </c>
      <c r="K117" s="92" t="s">
        <v>316</v>
      </c>
      <c r="L117" s="92" t="s">
        <v>317</v>
      </c>
      <c r="M117" s="91">
        <v>19000</v>
      </c>
      <c r="N117" s="91">
        <v>7000</v>
      </c>
      <c r="O117" s="91">
        <v>3700</v>
      </c>
      <c r="P117" s="91">
        <v>2700</v>
      </c>
      <c r="Q117" s="35">
        <v>11400</v>
      </c>
      <c r="R117" s="35">
        <v>4200</v>
      </c>
      <c r="S117" s="35">
        <v>2220</v>
      </c>
      <c r="T117" s="35">
        <v>1620</v>
      </c>
      <c r="U117" s="35">
        <v>7600</v>
      </c>
      <c r="V117" s="35">
        <v>2800</v>
      </c>
      <c r="W117" s="35">
        <v>1480</v>
      </c>
      <c r="X117" s="35">
        <v>1080</v>
      </c>
      <c r="Y117" s="38" t="s">
        <v>314</v>
      </c>
      <c r="Z117" s="27"/>
      <c r="AA117" s="27"/>
      <c r="AB117" s="27"/>
      <c r="AC117" s="27"/>
      <c r="AD117" s="27"/>
      <c r="AE117" s="27"/>
      <c r="AF117" s="27"/>
      <c r="AG117" s="27"/>
      <c r="AH117" s="27"/>
      <c r="AI117" s="27"/>
      <c r="AJ117" s="4"/>
    </row>
    <row r="118" spans="1:36" ht="70" hidden="1" x14ac:dyDescent="0.35">
      <c r="A118" s="19" t="s">
        <v>318</v>
      </c>
      <c r="B118" s="38" t="s">
        <v>310</v>
      </c>
      <c r="C118" s="237" t="s">
        <v>319</v>
      </c>
      <c r="D118" s="237" t="s">
        <v>320</v>
      </c>
      <c r="E118" s="91">
        <v>20000</v>
      </c>
      <c r="F118" s="91">
        <v>7000</v>
      </c>
      <c r="G118" s="91">
        <v>3500</v>
      </c>
      <c r="H118" s="91">
        <v>2700</v>
      </c>
      <c r="I118" s="91" t="s">
        <v>318</v>
      </c>
      <c r="J118" s="38" t="s">
        <v>310</v>
      </c>
      <c r="K118" s="92" t="s">
        <v>321</v>
      </c>
      <c r="L118" s="259" t="s">
        <v>322</v>
      </c>
      <c r="M118" s="91">
        <v>20000</v>
      </c>
      <c r="N118" s="91">
        <v>7000</v>
      </c>
      <c r="O118" s="91">
        <v>3500</v>
      </c>
      <c r="P118" s="91">
        <v>2700</v>
      </c>
      <c r="Q118" s="35">
        <v>12000</v>
      </c>
      <c r="R118" s="35">
        <v>4200</v>
      </c>
      <c r="S118" s="35">
        <v>2100</v>
      </c>
      <c r="T118" s="35">
        <v>1620</v>
      </c>
      <c r="U118" s="35">
        <v>8000</v>
      </c>
      <c r="V118" s="35">
        <v>2800</v>
      </c>
      <c r="W118" s="35">
        <v>1400</v>
      </c>
      <c r="X118" s="35">
        <v>1080</v>
      </c>
      <c r="Y118" s="38" t="s">
        <v>314</v>
      </c>
      <c r="Z118" s="27"/>
      <c r="AA118" s="27"/>
      <c r="AB118" s="27"/>
      <c r="AC118" s="27"/>
      <c r="AD118" s="27"/>
      <c r="AE118" s="27"/>
      <c r="AF118" s="27"/>
      <c r="AG118" s="27"/>
      <c r="AH118" s="27"/>
      <c r="AI118" s="27"/>
      <c r="AJ118" s="4"/>
    </row>
    <row r="119" spans="1:36" ht="16.5" hidden="1" x14ac:dyDescent="0.35">
      <c r="A119" s="19" t="s">
        <v>323</v>
      </c>
      <c r="B119" s="38" t="s">
        <v>324</v>
      </c>
      <c r="C119" s="237"/>
      <c r="D119" s="237"/>
      <c r="E119" s="91"/>
      <c r="F119" s="91"/>
      <c r="G119" s="91"/>
      <c r="H119" s="91"/>
      <c r="I119" s="91"/>
      <c r="J119" s="91"/>
      <c r="K119" s="91"/>
      <c r="L119" s="91"/>
      <c r="M119" s="91"/>
      <c r="N119" s="91"/>
      <c r="O119" s="91"/>
      <c r="P119" s="91"/>
      <c r="Q119" s="35"/>
      <c r="R119" s="35"/>
      <c r="S119" s="35"/>
      <c r="T119" s="35"/>
      <c r="U119" s="35"/>
      <c r="V119" s="35"/>
      <c r="W119" s="35"/>
      <c r="X119" s="35"/>
      <c r="Y119" s="38"/>
      <c r="Z119" s="27"/>
      <c r="AA119" s="27"/>
      <c r="AB119" s="27"/>
      <c r="AC119" s="27"/>
      <c r="AD119" s="27"/>
      <c r="AE119" s="27"/>
      <c r="AF119" s="27"/>
      <c r="AG119" s="27"/>
      <c r="AH119" s="27"/>
      <c r="AI119" s="27"/>
      <c r="AJ119" s="4"/>
    </row>
    <row r="120" spans="1:36" ht="84" hidden="1" x14ac:dyDescent="0.35">
      <c r="A120" s="19" t="s">
        <v>209</v>
      </c>
      <c r="B120" s="38" t="s">
        <v>324</v>
      </c>
      <c r="C120" s="237" t="s">
        <v>315</v>
      </c>
      <c r="D120" s="237" t="s">
        <v>325</v>
      </c>
      <c r="E120" s="91">
        <v>12000</v>
      </c>
      <c r="F120" s="91">
        <v>4000</v>
      </c>
      <c r="G120" s="91">
        <v>37000</v>
      </c>
      <c r="H120" s="91">
        <v>27000</v>
      </c>
      <c r="I120" s="91" t="s">
        <v>209</v>
      </c>
      <c r="J120" s="38" t="s">
        <v>324</v>
      </c>
      <c r="K120" s="259" t="s">
        <v>326</v>
      </c>
      <c r="L120" s="237" t="s">
        <v>325</v>
      </c>
      <c r="M120" s="91">
        <v>12000</v>
      </c>
      <c r="N120" s="91">
        <v>4000</v>
      </c>
      <c r="O120" s="91">
        <v>37000</v>
      </c>
      <c r="P120" s="91">
        <v>27000</v>
      </c>
      <c r="Q120" s="35">
        <v>7200</v>
      </c>
      <c r="R120" s="35">
        <v>2400</v>
      </c>
      <c r="S120" s="35">
        <v>2220</v>
      </c>
      <c r="T120" s="35">
        <v>1620</v>
      </c>
      <c r="U120" s="35">
        <v>4800</v>
      </c>
      <c r="V120" s="35">
        <v>1600</v>
      </c>
      <c r="W120" s="35">
        <v>1480</v>
      </c>
      <c r="X120" s="35">
        <v>1080</v>
      </c>
      <c r="Y120" s="38" t="s">
        <v>314</v>
      </c>
      <c r="Z120" s="27"/>
      <c r="AA120" s="27"/>
      <c r="AB120" s="27"/>
      <c r="AC120" s="27"/>
      <c r="AD120" s="27"/>
      <c r="AE120" s="27"/>
      <c r="AF120" s="27"/>
      <c r="AG120" s="27"/>
      <c r="AH120" s="27"/>
      <c r="AI120" s="27"/>
      <c r="AJ120" s="4"/>
    </row>
    <row r="121" spans="1:36" ht="84" hidden="1" x14ac:dyDescent="0.35">
      <c r="A121" s="19" t="s">
        <v>211</v>
      </c>
      <c r="B121" s="38" t="s">
        <v>324</v>
      </c>
      <c r="C121" s="237" t="s">
        <v>327</v>
      </c>
      <c r="D121" s="237" t="s">
        <v>328</v>
      </c>
      <c r="E121" s="91">
        <v>5000</v>
      </c>
      <c r="F121" s="91"/>
      <c r="G121" s="91"/>
      <c r="H121" s="91"/>
      <c r="I121" s="19" t="s">
        <v>211</v>
      </c>
      <c r="J121" s="38" t="s">
        <v>324</v>
      </c>
      <c r="K121" s="237" t="s">
        <v>329</v>
      </c>
      <c r="L121" s="259" t="s">
        <v>330</v>
      </c>
      <c r="M121" s="91">
        <v>5000</v>
      </c>
      <c r="N121" s="91"/>
      <c r="O121" s="91"/>
      <c r="P121" s="91"/>
      <c r="Q121" s="35">
        <v>3000</v>
      </c>
      <c r="R121" s="35"/>
      <c r="S121" s="35"/>
      <c r="T121" s="35"/>
      <c r="U121" s="35">
        <v>2000</v>
      </c>
      <c r="V121" s="35"/>
      <c r="W121" s="35"/>
      <c r="X121" s="35"/>
      <c r="Y121" s="38" t="s">
        <v>314</v>
      </c>
      <c r="Z121" s="27"/>
      <c r="AA121" s="27"/>
      <c r="AB121" s="27"/>
      <c r="AC121" s="27"/>
      <c r="AD121" s="27"/>
      <c r="AE121" s="27"/>
      <c r="AF121" s="27"/>
      <c r="AG121" s="27"/>
      <c r="AH121" s="27"/>
      <c r="AI121" s="27"/>
      <c r="AJ121" s="4"/>
    </row>
    <row r="122" spans="1:36" hidden="1" x14ac:dyDescent="0.35">
      <c r="A122" s="19" t="s">
        <v>331</v>
      </c>
      <c r="B122" s="38" t="s">
        <v>332</v>
      </c>
      <c r="C122" s="237"/>
      <c r="D122" s="237"/>
      <c r="E122" s="91"/>
      <c r="F122" s="91"/>
      <c r="G122" s="91"/>
      <c r="H122" s="91"/>
      <c r="I122" s="91"/>
      <c r="J122" s="91"/>
      <c r="K122" s="91"/>
      <c r="L122" s="91"/>
      <c r="M122" s="91"/>
      <c r="N122" s="91"/>
      <c r="O122" s="91"/>
      <c r="P122" s="91"/>
      <c r="Q122" s="91"/>
      <c r="R122" s="91"/>
      <c r="S122" s="91"/>
      <c r="T122" s="91"/>
      <c r="U122" s="91"/>
      <c r="V122" s="91"/>
      <c r="W122" s="91"/>
      <c r="X122" s="91"/>
      <c r="Y122" s="38"/>
      <c r="Z122" s="27"/>
      <c r="AA122" s="27"/>
      <c r="AB122" s="27"/>
      <c r="AC122" s="27"/>
      <c r="AD122" s="27"/>
      <c r="AE122" s="27"/>
      <c r="AF122" s="27"/>
      <c r="AG122" s="27"/>
      <c r="AH122" s="27"/>
      <c r="AI122" s="27"/>
      <c r="AJ122" s="4"/>
    </row>
    <row r="123" spans="1:36" ht="78" hidden="1" customHeight="1" x14ac:dyDescent="0.35">
      <c r="A123" s="19" t="s">
        <v>333</v>
      </c>
      <c r="B123" s="38" t="s">
        <v>332</v>
      </c>
      <c r="C123" s="237" t="s">
        <v>334</v>
      </c>
      <c r="D123" s="237" t="s">
        <v>335</v>
      </c>
      <c r="E123" s="91">
        <v>61000</v>
      </c>
      <c r="F123" s="91">
        <v>19000</v>
      </c>
      <c r="G123" s="91">
        <v>10000</v>
      </c>
      <c r="H123" s="91">
        <v>4900</v>
      </c>
      <c r="I123" s="19" t="s">
        <v>333</v>
      </c>
      <c r="J123" s="38" t="s">
        <v>332</v>
      </c>
      <c r="K123" s="237" t="s">
        <v>334</v>
      </c>
      <c r="L123" s="259" t="s">
        <v>336</v>
      </c>
      <c r="M123" s="91">
        <v>61000</v>
      </c>
      <c r="N123" s="91">
        <v>19000</v>
      </c>
      <c r="O123" s="91">
        <v>10000</v>
      </c>
      <c r="P123" s="91">
        <v>4900</v>
      </c>
      <c r="Q123" s="35">
        <v>36600</v>
      </c>
      <c r="R123" s="35">
        <v>11400</v>
      </c>
      <c r="S123" s="35">
        <v>6000</v>
      </c>
      <c r="T123" s="35">
        <v>2940</v>
      </c>
      <c r="U123" s="35">
        <v>24400</v>
      </c>
      <c r="V123" s="35">
        <v>7600</v>
      </c>
      <c r="W123" s="35">
        <v>4000</v>
      </c>
      <c r="X123" s="35">
        <v>1960</v>
      </c>
      <c r="Y123" s="38" t="s">
        <v>314</v>
      </c>
      <c r="Z123" s="27"/>
      <c r="AA123" s="27"/>
      <c r="AB123" s="27"/>
      <c r="AC123" s="27"/>
      <c r="AD123" s="27"/>
      <c r="AE123" s="27"/>
      <c r="AF123" s="27"/>
      <c r="AG123" s="27"/>
      <c r="AH123" s="27"/>
      <c r="AI123" s="27"/>
      <c r="AJ123" s="4"/>
    </row>
    <row r="124" spans="1:36" ht="42" hidden="1" x14ac:dyDescent="0.35">
      <c r="A124" s="19" t="s">
        <v>337</v>
      </c>
      <c r="B124" s="38" t="s">
        <v>338</v>
      </c>
      <c r="C124" s="460" t="s">
        <v>36</v>
      </c>
      <c r="D124" s="451"/>
      <c r="E124" s="91">
        <v>38000</v>
      </c>
      <c r="F124" s="91"/>
      <c r="G124" s="91"/>
      <c r="H124" s="91"/>
      <c r="I124" s="19" t="s">
        <v>337</v>
      </c>
      <c r="J124" s="38" t="s">
        <v>338</v>
      </c>
      <c r="K124" s="457" t="s">
        <v>339</v>
      </c>
      <c r="L124" s="453"/>
      <c r="M124" s="91">
        <v>38000</v>
      </c>
      <c r="N124" s="91"/>
      <c r="O124" s="91"/>
      <c r="P124" s="91"/>
      <c r="Q124" s="35">
        <v>22800</v>
      </c>
      <c r="R124" s="35"/>
      <c r="S124" s="35"/>
      <c r="T124" s="35"/>
      <c r="U124" s="35">
        <v>15200</v>
      </c>
      <c r="V124" s="35"/>
      <c r="W124" s="35"/>
      <c r="X124" s="35"/>
      <c r="Y124" s="38" t="s">
        <v>314</v>
      </c>
      <c r="Z124" s="27"/>
      <c r="AA124" s="27"/>
      <c r="AB124" s="27"/>
      <c r="AC124" s="27"/>
      <c r="AD124" s="27"/>
      <c r="AE124" s="27"/>
      <c r="AF124" s="27"/>
      <c r="AG124" s="27"/>
      <c r="AH124" s="27"/>
      <c r="AI124" s="27"/>
      <c r="AJ124" s="4"/>
    </row>
    <row r="125" spans="1:36" ht="14.5" hidden="1" customHeight="1" x14ac:dyDescent="0.35">
      <c r="A125" s="19" t="s">
        <v>340</v>
      </c>
      <c r="B125" s="38" t="s">
        <v>341</v>
      </c>
      <c r="C125" s="237"/>
      <c r="D125" s="237"/>
      <c r="E125" s="91"/>
      <c r="F125" s="91"/>
      <c r="G125" s="91"/>
      <c r="H125" s="91"/>
      <c r="I125" s="19" t="s">
        <v>340</v>
      </c>
      <c r="J125" s="38" t="s">
        <v>341</v>
      </c>
      <c r="K125" s="237"/>
      <c r="L125" s="237"/>
      <c r="M125" s="91"/>
      <c r="N125" s="91"/>
      <c r="O125" s="91"/>
      <c r="P125" s="91"/>
      <c r="Q125" s="91"/>
      <c r="R125" s="91"/>
      <c r="S125" s="91"/>
      <c r="T125" s="91"/>
      <c r="U125" s="91"/>
      <c r="V125" s="91"/>
      <c r="W125" s="91"/>
      <c r="X125" s="91"/>
      <c r="Y125" s="38"/>
      <c r="Z125" s="27"/>
      <c r="AA125" s="27"/>
      <c r="AB125" s="27"/>
      <c r="AC125" s="27"/>
      <c r="AD125" s="27"/>
      <c r="AE125" s="27"/>
      <c r="AF125" s="27"/>
      <c r="AG125" s="27"/>
      <c r="AH125" s="27"/>
      <c r="AI125" s="27"/>
      <c r="AJ125" s="4"/>
    </row>
    <row r="126" spans="1:36" ht="42" hidden="1" x14ac:dyDescent="0.35">
      <c r="A126" s="19" t="s">
        <v>342</v>
      </c>
      <c r="B126" s="38" t="s">
        <v>341</v>
      </c>
      <c r="C126" s="237" t="s">
        <v>343</v>
      </c>
      <c r="D126" s="237" t="s">
        <v>344</v>
      </c>
      <c r="E126" s="91">
        <v>18000</v>
      </c>
      <c r="F126" s="91"/>
      <c r="G126" s="91"/>
      <c r="H126" s="91"/>
      <c r="I126" s="19" t="s">
        <v>342</v>
      </c>
      <c r="J126" s="38" t="s">
        <v>341</v>
      </c>
      <c r="K126" s="237" t="s">
        <v>343</v>
      </c>
      <c r="L126" s="259" t="s">
        <v>345</v>
      </c>
      <c r="M126" s="91">
        <v>18000</v>
      </c>
      <c r="N126" s="91"/>
      <c r="O126" s="91"/>
      <c r="P126" s="91"/>
      <c r="Q126" s="35">
        <v>10800</v>
      </c>
      <c r="R126" s="35"/>
      <c r="S126" s="35"/>
      <c r="T126" s="35"/>
      <c r="U126" s="35">
        <v>7200</v>
      </c>
      <c r="V126" s="91"/>
      <c r="W126" s="91"/>
      <c r="X126" s="91"/>
      <c r="Y126" s="38" t="s">
        <v>314</v>
      </c>
      <c r="Z126" s="27"/>
      <c r="AA126" s="27"/>
      <c r="AB126" s="27"/>
      <c r="AC126" s="27"/>
      <c r="AD126" s="27"/>
      <c r="AE126" s="27"/>
      <c r="AF126" s="27"/>
      <c r="AG126" s="27"/>
      <c r="AH126" s="27"/>
      <c r="AI126" s="27"/>
      <c r="AJ126" s="4"/>
    </row>
    <row r="127" spans="1:36" ht="42" hidden="1" x14ac:dyDescent="0.35">
      <c r="A127" s="19" t="s">
        <v>31</v>
      </c>
      <c r="B127" s="38" t="s">
        <v>346</v>
      </c>
      <c r="C127" s="237" t="s">
        <v>347</v>
      </c>
      <c r="D127" s="237" t="s">
        <v>348</v>
      </c>
      <c r="E127" s="91">
        <v>64000</v>
      </c>
      <c r="F127" s="91">
        <v>19000</v>
      </c>
      <c r="G127" s="91">
        <v>10000</v>
      </c>
      <c r="H127" s="91">
        <v>4900</v>
      </c>
      <c r="I127" s="19" t="s">
        <v>31</v>
      </c>
      <c r="J127" s="38" t="s">
        <v>346</v>
      </c>
      <c r="K127" s="259" t="s">
        <v>341</v>
      </c>
      <c r="L127" s="259" t="s">
        <v>349</v>
      </c>
      <c r="M127" s="91">
        <v>64000</v>
      </c>
      <c r="N127" s="91">
        <v>19000</v>
      </c>
      <c r="O127" s="91">
        <v>10000</v>
      </c>
      <c r="P127" s="91">
        <v>4900</v>
      </c>
      <c r="Q127" s="91"/>
      <c r="R127" s="91"/>
      <c r="S127" s="91"/>
      <c r="T127" s="91"/>
      <c r="U127" s="91"/>
      <c r="V127" s="91"/>
      <c r="W127" s="91"/>
      <c r="X127" s="91"/>
      <c r="Y127" s="38" t="s">
        <v>350</v>
      </c>
      <c r="Z127" s="27"/>
      <c r="AA127" s="27"/>
      <c r="AB127" s="27"/>
      <c r="AC127" s="27"/>
      <c r="AD127" s="27"/>
      <c r="AE127" s="27"/>
      <c r="AF127" s="27"/>
      <c r="AG127" s="27"/>
      <c r="AH127" s="27"/>
      <c r="AI127" s="27"/>
      <c r="AJ127" s="4"/>
    </row>
    <row r="128" spans="1:36" ht="28" hidden="1" x14ac:dyDescent="0.35">
      <c r="A128" s="19" t="s">
        <v>351</v>
      </c>
      <c r="B128" s="38" t="s">
        <v>352</v>
      </c>
      <c r="C128" s="237"/>
      <c r="D128" s="237"/>
      <c r="E128" s="91"/>
      <c r="F128" s="91"/>
      <c r="G128" s="91"/>
      <c r="H128" s="91"/>
      <c r="I128" s="19" t="s">
        <v>351</v>
      </c>
      <c r="J128" s="38" t="s">
        <v>352</v>
      </c>
      <c r="K128" s="466" t="s">
        <v>36</v>
      </c>
      <c r="L128" s="466"/>
      <c r="M128" s="91"/>
      <c r="N128" s="91"/>
      <c r="O128" s="91"/>
      <c r="P128" s="91"/>
      <c r="Q128" s="91"/>
      <c r="R128" s="91"/>
      <c r="S128" s="91"/>
      <c r="T128" s="91"/>
      <c r="U128" s="91"/>
      <c r="V128" s="91"/>
      <c r="W128" s="91"/>
      <c r="X128" s="91"/>
      <c r="Y128" s="21"/>
      <c r="Z128" s="27"/>
      <c r="AA128" s="27"/>
      <c r="AB128" s="27"/>
      <c r="AC128" s="27"/>
      <c r="AD128" s="27"/>
      <c r="AE128" s="27"/>
      <c r="AF128" s="27"/>
      <c r="AG128" s="27"/>
      <c r="AH128" s="27"/>
      <c r="AI128" s="27"/>
      <c r="AJ128" s="4"/>
    </row>
    <row r="129" spans="1:36" ht="84" hidden="1" x14ac:dyDescent="0.35">
      <c r="A129" s="19" t="s">
        <v>353</v>
      </c>
      <c r="B129" s="38" t="s">
        <v>354</v>
      </c>
      <c r="C129" s="237" t="s">
        <v>355</v>
      </c>
      <c r="D129" s="237" t="s">
        <v>356</v>
      </c>
      <c r="E129" s="91">
        <v>25000</v>
      </c>
      <c r="F129" s="91"/>
      <c r="G129" s="91"/>
      <c r="H129" s="91"/>
      <c r="I129" s="91"/>
      <c r="J129" s="91"/>
      <c r="K129" s="91"/>
      <c r="L129" s="91"/>
      <c r="M129" s="91"/>
      <c r="N129" s="91"/>
      <c r="O129" s="91"/>
      <c r="P129" s="91"/>
      <c r="Q129" s="91"/>
      <c r="R129" s="91"/>
      <c r="S129" s="91"/>
      <c r="T129" s="91"/>
      <c r="U129" s="91"/>
      <c r="V129" s="91"/>
      <c r="W129" s="91"/>
      <c r="X129" s="91"/>
      <c r="Y129" s="463" t="s">
        <v>357</v>
      </c>
      <c r="Z129" s="27" t="s">
        <v>106</v>
      </c>
      <c r="AA129" s="27"/>
      <c r="AB129" s="27"/>
      <c r="AC129" s="27"/>
      <c r="AD129" s="27"/>
      <c r="AE129" s="27"/>
      <c r="AF129" s="27"/>
      <c r="AG129" s="27"/>
      <c r="AH129" s="27"/>
      <c r="AI129" s="27"/>
      <c r="AJ129" s="4"/>
    </row>
    <row r="130" spans="1:36" hidden="1" x14ac:dyDescent="0.35">
      <c r="A130" s="19" t="s">
        <v>358</v>
      </c>
      <c r="B130" s="38" t="s">
        <v>359</v>
      </c>
      <c r="C130" s="460" t="s">
        <v>36</v>
      </c>
      <c r="D130" s="451"/>
      <c r="E130" s="91">
        <v>29000</v>
      </c>
      <c r="F130" s="91"/>
      <c r="G130" s="91"/>
      <c r="H130" s="91"/>
      <c r="I130" s="91"/>
      <c r="J130" s="91"/>
      <c r="K130" s="91"/>
      <c r="L130" s="91"/>
      <c r="M130" s="91"/>
      <c r="N130" s="91"/>
      <c r="O130" s="91"/>
      <c r="P130" s="91"/>
      <c r="Q130" s="91"/>
      <c r="R130" s="91"/>
      <c r="S130" s="91"/>
      <c r="T130" s="91"/>
      <c r="U130" s="91"/>
      <c r="V130" s="91"/>
      <c r="W130" s="91"/>
      <c r="X130" s="91"/>
      <c r="Y130" s="463"/>
      <c r="Z130" s="27"/>
      <c r="AA130" s="27"/>
      <c r="AB130" s="27"/>
      <c r="AC130" s="27"/>
      <c r="AD130" s="27"/>
      <c r="AE130" s="27"/>
      <c r="AF130" s="27"/>
      <c r="AG130" s="27"/>
      <c r="AH130" s="27"/>
      <c r="AI130" s="27"/>
      <c r="AJ130" s="4"/>
    </row>
    <row r="131" spans="1:36" ht="56" hidden="1" x14ac:dyDescent="0.35">
      <c r="A131" s="19" t="s">
        <v>360</v>
      </c>
      <c r="B131" s="38" t="s">
        <v>361</v>
      </c>
      <c r="C131" s="237" t="s">
        <v>362</v>
      </c>
      <c r="D131" s="237" t="s">
        <v>363</v>
      </c>
      <c r="E131" s="91">
        <v>159000</v>
      </c>
      <c r="F131" s="291">
        <v>27000</v>
      </c>
      <c r="G131" s="291">
        <v>13000</v>
      </c>
      <c r="H131" s="291">
        <v>5000</v>
      </c>
      <c r="I131" s="91">
        <v>38</v>
      </c>
      <c r="J131" s="38" t="s">
        <v>361</v>
      </c>
      <c r="K131" s="259" t="s">
        <v>364</v>
      </c>
      <c r="L131" s="237" t="s">
        <v>363</v>
      </c>
      <c r="M131" s="91">
        <v>159000</v>
      </c>
      <c r="N131" s="89">
        <v>27000</v>
      </c>
      <c r="O131" s="89">
        <v>13000</v>
      </c>
      <c r="P131" s="89">
        <v>5000</v>
      </c>
      <c r="Q131" s="35">
        <v>95400</v>
      </c>
      <c r="R131" s="35">
        <v>16200</v>
      </c>
      <c r="S131" s="35">
        <v>7800</v>
      </c>
      <c r="T131" s="35">
        <v>3000</v>
      </c>
      <c r="U131" s="35">
        <v>63600</v>
      </c>
      <c r="V131" s="35">
        <v>10800</v>
      </c>
      <c r="W131" s="35">
        <v>5200</v>
      </c>
      <c r="X131" s="35">
        <v>2000</v>
      </c>
      <c r="Y131" s="38" t="s">
        <v>314</v>
      </c>
      <c r="Z131" s="27"/>
      <c r="AA131" s="27"/>
      <c r="AB131" s="27"/>
      <c r="AC131" s="27"/>
      <c r="AD131" s="27"/>
      <c r="AE131" s="27"/>
      <c r="AF131" s="27"/>
      <c r="AG131" s="27"/>
      <c r="AH131" s="27"/>
      <c r="AI131" s="27"/>
      <c r="AJ131" s="4"/>
    </row>
    <row r="132" spans="1:36" ht="80.25" hidden="1" customHeight="1" x14ac:dyDescent="0.35">
      <c r="A132" s="19" t="s">
        <v>58</v>
      </c>
      <c r="B132" s="38" t="s">
        <v>365</v>
      </c>
      <c r="C132" s="237"/>
      <c r="D132" s="237"/>
      <c r="E132" s="91"/>
      <c r="F132" s="88"/>
      <c r="G132" s="88"/>
      <c r="H132" s="88"/>
      <c r="I132" s="91">
        <v>39</v>
      </c>
      <c r="J132" s="13" t="s">
        <v>365</v>
      </c>
      <c r="K132" s="237"/>
      <c r="L132" s="237"/>
      <c r="M132" s="91"/>
      <c r="N132" s="88"/>
      <c r="O132" s="88"/>
      <c r="P132" s="88"/>
      <c r="Q132" s="88"/>
      <c r="R132" s="88"/>
      <c r="S132" s="88"/>
      <c r="T132" s="88"/>
      <c r="U132" s="88"/>
      <c r="V132" s="88"/>
      <c r="W132" s="88"/>
      <c r="X132" s="88"/>
      <c r="Y132" s="38" t="s">
        <v>350</v>
      </c>
      <c r="Z132" s="27"/>
      <c r="AA132" s="27"/>
      <c r="AB132" s="27"/>
      <c r="AC132" s="27"/>
      <c r="AD132" s="27"/>
      <c r="AE132" s="27"/>
      <c r="AF132" s="27"/>
      <c r="AG132" s="27"/>
      <c r="AH132" s="27"/>
      <c r="AI132" s="27"/>
      <c r="AJ132" s="4"/>
    </row>
    <row r="133" spans="1:36" ht="14.5" hidden="1" customHeight="1" x14ac:dyDescent="0.35">
      <c r="A133" s="19" t="s">
        <v>366</v>
      </c>
      <c r="B133" s="38" t="s">
        <v>367</v>
      </c>
      <c r="C133" s="237"/>
      <c r="D133" s="237"/>
      <c r="E133" s="91"/>
      <c r="F133" s="91"/>
      <c r="G133" s="91"/>
      <c r="H133" s="91"/>
      <c r="I133" s="91"/>
      <c r="J133" s="91"/>
      <c r="K133" s="91"/>
      <c r="L133" s="91"/>
      <c r="M133" s="91"/>
      <c r="N133" s="91"/>
      <c r="O133" s="91"/>
      <c r="P133" s="91"/>
      <c r="Q133" s="91"/>
      <c r="R133" s="91"/>
      <c r="S133" s="91"/>
      <c r="T133" s="91"/>
      <c r="U133" s="91"/>
      <c r="V133" s="91"/>
      <c r="W133" s="91"/>
      <c r="X133" s="91"/>
      <c r="Y133" s="38"/>
      <c r="Z133" s="27"/>
      <c r="AA133" s="27"/>
      <c r="AB133" s="27"/>
      <c r="AC133" s="27"/>
      <c r="AD133" s="27"/>
      <c r="AE133" s="27"/>
      <c r="AF133" s="27"/>
      <c r="AG133" s="27"/>
      <c r="AH133" s="27"/>
      <c r="AI133" s="27"/>
      <c r="AJ133" s="4"/>
    </row>
    <row r="134" spans="1:36" ht="42" hidden="1" x14ac:dyDescent="0.35">
      <c r="A134" s="19" t="s">
        <v>368</v>
      </c>
      <c r="B134" s="38" t="s">
        <v>367</v>
      </c>
      <c r="C134" s="237" t="s">
        <v>369</v>
      </c>
      <c r="D134" s="237" t="s">
        <v>370</v>
      </c>
      <c r="E134" s="91">
        <v>43000</v>
      </c>
      <c r="F134" s="91">
        <v>14000</v>
      </c>
      <c r="G134" s="91">
        <v>7000</v>
      </c>
      <c r="H134" s="91">
        <v>2900</v>
      </c>
      <c r="I134" s="19" t="s">
        <v>368</v>
      </c>
      <c r="J134" s="38" t="s">
        <v>367</v>
      </c>
      <c r="K134" s="259" t="s">
        <v>371</v>
      </c>
      <c r="L134" s="259" t="s">
        <v>372</v>
      </c>
      <c r="M134" s="91">
        <v>43000</v>
      </c>
      <c r="N134" s="91">
        <v>14000</v>
      </c>
      <c r="O134" s="91">
        <v>7000</v>
      </c>
      <c r="P134" s="91">
        <v>2900</v>
      </c>
      <c r="Q134" s="91"/>
      <c r="R134" s="91"/>
      <c r="S134" s="91"/>
      <c r="T134" s="91"/>
      <c r="U134" s="91"/>
      <c r="V134" s="91"/>
      <c r="W134" s="91"/>
      <c r="X134" s="91"/>
      <c r="Y134" s="38" t="s">
        <v>373</v>
      </c>
      <c r="Z134" s="27" t="s">
        <v>374</v>
      </c>
      <c r="AA134" s="27"/>
      <c r="AB134" s="27"/>
      <c r="AC134" s="27"/>
      <c r="AD134" s="27"/>
      <c r="AE134" s="27"/>
      <c r="AF134" s="27"/>
      <c r="AG134" s="27"/>
      <c r="AH134" s="27"/>
      <c r="AI134" s="27"/>
      <c r="AJ134" s="4"/>
    </row>
    <row r="135" spans="1:36" ht="42" hidden="1" x14ac:dyDescent="0.35">
      <c r="A135" s="19" t="s">
        <v>375</v>
      </c>
      <c r="B135" s="38" t="s">
        <v>367</v>
      </c>
      <c r="C135" s="237" t="s">
        <v>376</v>
      </c>
      <c r="D135" s="237" t="s">
        <v>377</v>
      </c>
      <c r="E135" s="91">
        <v>43000</v>
      </c>
      <c r="F135" s="91">
        <v>14000</v>
      </c>
      <c r="G135" s="91">
        <v>7000</v>
      </c>
      <c r="H135" s="91">
        <v>2900</v>
      </c>
      <c r="I135" s="19" t="s">
        <v>375</v>
      </c>
      <c r="J135" s="38" t="s">
        <v>367</v>
      </c>
      <c r="K135" s="259" t="s">
        <v>378</v>
      </c>
      <c r="L135" s="259" t="s">
        <v>379</v>
      </c>
      <c r="M135" s="91">
        <v>43000</v>
      </c>
      <c r="N135" s="91">
        <v>14000</v>
      </c>
      <c r="O135" s="91">
        <v>7000</v>
      </c>
      <c r="P135" s="91">
        <v>2900</v>
      </c>
      <c r="Q135" s="91"/>
      <c r="R135" s="91"/>
      <c r="S135" s="91"/>
      <c r="T135" s="91"/>
      <c r="U135" s="91"/>
      <c r="V135" s="91"/>
      <c r="W135" s="91"/>
      <c r="X135" s="91"/>
      <c r="Y135" s="38" t="s">
        <v>380</v>
      </c>
      <c r="Z135" s="27" t="s">
        <v>374</v>
      </c>
      <c r="AA135" s="27"/>
      <c r="AB135" s="27"/>
      <c r="AC135" s="27"/>
      <c r="AD135" s="27"/>
      <c r="AE135" s="27"/>
      <c r="AF135" s="27"/>
      <c r="AG135" s="27"/>
      <c r="AH135" s="27"/>
      <c r="AI135" s="27"/>
      <c r="AJ135" s="4"/>
    </row>
    <row r="136" spans="1:36" ht="42" hidden="1" x14ac:dyDescent="0.35">
      <c r="A136" s="19" t="s">
        <v>381</v>
      </c>
      <c r="B136" s="38" t="s">
        <v>382</v>
      </c>
      <c r="C136" s="237" t="s">
        <v>377</v>
      </c>
      <c r="D136" s="237" t="s">
        <v>383</v>
      </c>
      <c r="E136" s="91">
        <v>30000</v>
      </c>
      <c r="F136" s="91">
        <v>10000</v>
      </c>
      <c r="G136" s="91">
        <v>4600</v>
      </c>
      <c r="H136" s="91">
        <v>2900</v>
      </c>
      <c r="I136" s="19" t="s">
        <v>381</v>
      </c>
      <c r="J136" s="38" t="s">
        <v>382</v>
      </c>
      <c r="K136" s="259" t="s">
        <v>384</v>
      </c>
      <c r="L136" s="259" t="s">
        <v>385</v>
      </c>
      <c r="M136" s="91">
        <v>30000</v>
      </c>
      <c r="N136" s="91">
        <v>10000</v>
      </c>
      <c r="O136" s="91">
        <v>4600</v>
      </c>
      <c r="P136" s="91">
        <v>2900</v>
      </c>
      <c r="Q136" s="91"/>
      <c r="R136" s="91"/>
      <c r="S136" s="91"/>
      <c r="T136" s="91"/>
      <c r="U136" s="91"/>
      <c r="V136" s="91"/>
      <c r="W136" s="91"/>
      <c r="X136" s="91"/>
      <c r="Y136" s="38" t="s">
        <v>386</v>
      </c>
      <c r="Z136" s="27" t="s">
        <v>374</v>
      </c>
      <c r="AA136" s="27"/>
      <c r="AB136" s="27"/>
      <c r="AC136" s="27"/>
      <c r="AD136" s="27"/>
      <c r="AE136" s="27"/>
      <c r="AF136" s="27"/>
      <c r="AG136" s="27"/>
      <c r="AH136" s="27"/>
      <c r="AI136" s="27"/>
      <c r="AJ136" s="4"/>
    </row>
    <row r="137" spans="1:36" s="234" customFormat="1" ht="42" hidden="1" x14ac:dyDescent="0.35">
      <c r="A137" s="102" t="s">
        <v>387</v>
      </c>
      <c r="B137" s="31" t="s">
        <v>388</v>
      </c>
      <c r="C137" s="238" t="s">
        <v>389</v>
      </c>
      <c r="D137" s="238" t="s">
        <v>390</v>
      </c>
      <c r="E137" s="32">
        <v>30000</v>
      </c>
      <c r="F137" s="32">
        <v>10000</v>
      </c>
      <c r="G137" s="32">
        <v>4600</v>
      </c>
      <c r="H137" s="32">
        <v>2900</v>
      </c>
      <c r="I137" s="102" t="s">
        <v>387</v>
      </c>
      <c r="J137" s="31" t="s">
        <v>388</v>
      </c>
      <c r="K137" s="263" t="s">
        <v>389</v>
      </c>
      <c r="L137" s="263" t="s">
        <v>390</v>
      </c>
      <c r="M137" s="32">
        <v>30000</v>
      </c>
      <c r="N137" s="32">
        <v>10000</v>
      </c>
      <c r="O137" s="32">
        <v>4600</v>
      </c>
      <c r="P137" s="32">
        <v>2900</v>
      </c>
      <c r="Q137" s="32"/>
      <c r="R137" s="32"/>
      <c r="S137" s="32"/>
      <c r="T137" s="32"/>
      <c r="U137" s="32"/>
      <c r="V137" s="32"/>
      <c r="W137" s="32"/>
      <c r="X137" s="32"/>
      <c r="Y137" s="31" t="s">
        <v>391</v>
      </c>
      <c r="Z137" s="27" t="s">
        <v>374</v>
      </c>
      <c r="AA137" s="235"/>
      <c r="AB137" s="235"/>
      <c r="AC137" s="235"/>
      <c r="AD137" s="235"/>
      <c r="AE137" s="235"/>
      <c r="AF137" s="235"/>
      <c r="AG137" s="235"/>
      <c r="AH137" s="235"/>
      <c r="AI137" s="235"/>
    </row>
    <row r="138" spans="1:36" hidden="1" x14ac:dyDescent="0.35">
      <c r="A138" s="19" t="s">
        <v>51</v>
      </c>
      <c r="B138" s="38" t="s">
        <v>392</v>
      </c>
      <c r="C138" s="237"/>
      <c r="D138" s="237"/>
      <c r="E138" s="91"/>
      <c r="F138" s="91"/>
      <c r="G138" s="91"/>
      <c r="H138" s="91"/>
      <c r="I138" s="19" t="s">
        <v>51</v>
      </c>
      <c r="J138" s="38" t="s">
        <v>392</v>
      </c>
      <c r="K138" s="259"/>
      <c r="L138" s="259"/>
      <c r="M138" s="91"/>
      <c r="N138" s="91"/>
      <c r="O138" s="91"/>
      <c r="P138" s="91"/>
      <c r="Q138" s="91"/>
      <c r="R138" s="91"/>
      <c r="S138" s="91"/>
      <c r="T138" s="91"/>
      <c r="U138" s="91"/>
      <c r="V138" s="91"/>
      <c r="W138" s="91"/>
      <c r="X138" s="91"/>
      <c r="Y138" s="38"/>
      <c r="Z138" s="27"/>
      <c r="AA138" s="27"/>
      <c r="AB138" s="27"/>
      <c r="AC138" s="27"/>
      <c r="AD138" s="27"/>
      <c r="AE138" s="27"/>
      <c r="AF138" s="27"/>
      <c r="AG138" s="27"/>
      <c r="AH138" s="27"/>
      <c r="AI138" s="27"/>
      <c r="AJ138" s="4"/>
    </row>
    <row r="139" spans="1:36" ht="42" hidden="1" x14ac:dyDescent="0.35">
      <c r="A139" s="19" t="s">
        <v>393</v>
      </c>
      <c r="B139" s="38" t="s">
        <v>392</v>
      </c>
      <c r="C139" s="237" t="s">
        <v>394</v>
      </c>
      <c r="D139" s="237" t="s">
        <v>395</v>
      </c>
      <c r="E139" s="91">
        <v>43000</v>
      </c>
      <c r="F139" s="91"/>
      <c r="G139" s="91"/>
      <c r="H139" s="91"/>
      <c r="I139" s="19" t="s">
        <v>393</v>
      </c>
      <c r="J139" s="38" t="s">
        <v>392</v>
      </c>
      <c r="K139" s="259" t="s">
        <v>396</v>
      </c>
      <c r="L139" s="259" t="s">
        <v>397</v>
      </c>
      <c r="M139" s="91"/>
      <c r="N139" s="91"/>
      <c r="O139" s="91"/>
      <c r="P139" s="91"/>
      <c r="Q139" s="91"/>
      <c r="R139" s="91"/>
      <c r="S139" s="91"/>
      <c r="T139" s="91"/>
      <c r="U139" s="91"/>
      <c r="V139" s="91"/>
      <c r="W139" s="91"/>
      <c r="X139" s="91"/>
      <c r="Y139" s="38" t="s">
        <v>398</v>
      </c>
      <c r="Z139" s="27" t="s">
        <v>374</v>
      </c>
      <c r="AA139" s="27"/>
      <c r="AB139" s="27"/>
      <c r="AC139" s="27"/>
      <c r="AD139" s="27"/>
      <c r="AE139" s="27"/>
      <c r="AF139" s="27"/>
      <c r="AG139" s="27"/>
      <c r="AH139" s="27"/>
      <c r="AI139" s="27"/>
      <c r="AJ139" s="4"/>
    </row>
    <row r="140" spans="1:36" ht="70" hidden="1" x14ac:dyDescent="0.35">
      <c r="A140" s="19" t="s">
        <v>399</v>
      </c>
      <c r="B140" s="38" t="s">
        <v>392</v>
      </c>
      <c r="C140" s="237" t="s">
        <v>400</v>
      </c>
      <c r="D140" s="237" t="s">
        <v>401</v>
      </c>
      <c r="E140" s="91">
        <v>38600</v>
      </c>
      <c r="F140" s="91">
        <v>10000</v>
      </c>
      <c r="G140" s="91">
        <v>4600</v>
      </c>
      <c r="H140" s="91">
        <v>2900</v>
      </c>
      <c r="I140" s="19" t="s">
        <v>399</v>
      </c>
      <c r="J140" s="38" t="s">
        <v>392</v>
      </c>
      <c r="K140" s="259" t="s">
        <v>402</v>
      </c>
      <c r="L140" s="259" t="s">
        <v>403</v>
      </c>
      <c r="M140" s="91"/>
      <c r="N140" s="91"/>
      <c r="O140" s="91"/>
      <c r="P140" s="91"/>
      <c r="Q140" s="91"/>
      <c r="R140" s="91"/>
      <c r="S140" s="91"/>
      <c r="T140" s="91"/>
      <c r="U140" s="91"/>
      <c r="V140" s="91"/>
      <c r="W140" s="91"/>
      <c r="X140" s="91"/>
      <c r="Y140" s="38" t="s">
        <v>404</v>
      </c>
      <c r="Z140" s="27" t="s">
        <v>374</v>
      </c>
      <c r="AA140" s="27"/>
      <c r="AB140" s="27"/>
      <c r="AC140" s="27"/>
      <c r="AD140" s="27"/>
      <c r="AE140" s="27"/>
      <c r="AF140" s="27"/>
      <c r="AG140" s="27"/>
      <c r="AH140" s="27"/>
      <c r="AI140" s="27"/>
      <c r="AJ140" s="4"/>
    </row>
    <row r="141" spans="1:36" ht="42" hidden="1" x14ac:dyDescent="0.35">
      <c r="A141" s="19" t="s">
        <v>405</v>
      </c>
      <c r="B141" s="38" t="s">
        <v>392</v>
      </c>
      <c r="C141" s="237" t="s">
        <v>406</v>
      </c>
      <c r="D141" s="237" t="s">
        <v>407</v>
      </c>
      <c r="E141" s="91">
        <v>27000</v>
      </c>
      <c r="F141" s="91">
        <v>8000</v>
      </c>
      <c r="G141" s="91">
        <v>4300</v>
      </c>
      <c r="H141" s="91">
        <v>2900</v>
      </c>
      <c r="I141" s="19" t="s">
        <v>405</v>
      </c>
      <c r="J141" s="38" t="s">
        <v>392</v>
      </c>
      <c r="K141" s="259" t="s">
        <v>403</v>
      </c>
      <c r="L141" s="259" t="s">
        <v>408</v>
      </c>
      <c r="M141" s="91"/>
      <c r="N141" s="91"/>
      <c r="O141" s="91"/>
      <c r="P141" s="91"/>
      <c r="Q141" s="91"/>
      <c r="R141" s="91"/>
      <c r="S141" s="91"/>
      <c r="T141" s="91"/>
      <c r="U141" s="91"/>
      <c r="V141" s="91"/>
      <c r="W141" s="91"/>
      <c r="X141" s="91"/>
      <c r="Y141" s="38" t="s">
        <v>409</v>
      </c>
      <c r="Z141" s="27" t="s">
        <v>374</v>
      </c>
      <c r="AA141" s="27"/>
      <c r="AB141" s="27"/>
      <c r="AC141" s="27"/>
      <c r="AD141" s="27"/>
      <c r="AE141" s="27"/>
      <c r="AF141" s="27"/>
      <c r="AG141" s="27"/>
      <c r="AH141" s="27"/>
      <c r="AI141" s="27"/>
      <c r="AJ141" s="4"/>
    </row>
    <row r="142" spans="1:36" ht="28" hidden="1" x14ac:dyDescent="0.35">
      <c r="A142" s="19" t="s">
        <v>410</v>
      </c>
      <c r="B142" s="38" t="s">
        <v>411</v>
      </c>
      <c r="C142" s="237"/>
      <c r="D142" s="237"/>
      <c r="E142" s="91"/>
      <c r="F142" s="91"/>
      <c r="G142" s="91"/>
      <c r="H142" s="91"/>
      <c r="I142" s="19" t="s">
        <v>410</v>
      </c>
      <c r="J142" s="38" t="s">
        <v>411</v>
      </c>
      <c r="K142" s="253"/>
      <c r="L142" s="253"/>
      <c r="M142" s="91"/>
      <c r="N142" s="91"/>
      <c r="O142" s="91"/>
      <c r="P142" s="91"/>
      <c r="Q142" s="91"/>
      <c r="R142" s="91"/>
      <c r="S142" s="91"/>
      <c r="T142" s="91"/>
      <c r="U142" s="91"/>
      <c r="V142" s="91"/>
      <c r="W142" s="91"/>
      <c r="X142" s="91"/>
      <c r="Y142" s="38"/>
      <c r="Z142" s="27"/>
      <c r="AA142" s="27"/>
      <c r="AB142" s="27"/>
      <c r="AC142" s="27"/>
      <c r="AD142" s="27"/>
      <c r="AE142" s="27"/>
      <c r="AF142" s="27"/>
      <c r="AG142" s="27"/>
      <c r="AH142" s="27"/>
      <c r="AI142" s="27"/>
      <c r="AJ142" s="4"/>
    </row>
    <row r="143" spans="1:36" ht="84" hidden="1" x14ac:dyDescent="0.35">
      <c r="A143" s="19" t="s">
        <v>412</v>
      </c>
      <c r="B143" s="38" t="s">
        <v>411</v>
      </c>
      <c r="C143" s="237" t="s">
        <v>413</v>
      </c>
      <c r="D143" s="237" t="s">
        <v>414</v>
      </c>
      <c r="E143" s="91">
        <v>17000</v>
      </c>
      <c r="F143" s="91">
        <v>6000</v>
      </c>
      <c r="G143" s="91">
        <v>3700</v>
      </c>
      <c r="H143" s="91">
        <v>2700</v>
      </c>
      <c r="I143" s="19" t="s">
        <v>412</v>
      </c>
      <c r="J143" s="38" t="s">
        <v>411</v>
      </c>
      <c r="K143" s="237" t="s">
        <v>413</v>
      </c>
      <c r="L143" s="259" t="s">
        <v>415</v>
      </c>
      <c r="M143" s="91">
        <v>17000</v>
      </c>
      <c r="N143" s="91">
        <v>6000</v>
      </c>
      <c r="O143" s="91">
        <v>3700</v>
      </c>
      <c r="P143" s="91">
        <v>2700</v>
      </c>
      <c r="Q143" s="35">
        <v>10200</v>
      </c>
      <c r="R143" s="35">
        <v>3600</v>
      </c>
      <c r="S143" s="35">
        <v>2220</v>
      </c>
      <c r="T143" s="35">
        <v>1620</v>
      </c>
      <c r="U143" s="35">
        <v>6800</v>
      </c>
      <c r="V143" s="35">
        <v>2400</v>
      </c>
      <c r="W143" s="35">
        <v>1480</v>
      </c>
      <c r="X143" s="35">
        <v>1080</v>
      </c>
      <c r="Y143" s="38" t="s">
        <v>314</v>
      </c>
      <c r="Z143" s="27"/>
      <c r="AA143" s="27"/>
      <c r="AB143" s="27"/>
      <c r="AC143" s="27"/>
      <c r="AD143" s="27"/>
      <c r="AE143" s="27"/>
      <c r="AF143" s="27"/>
      <c r="AG143" s="27"/>
      <c r="AH143" s="27"/>
      <c r="AI143" s="27"/>
      <c r="AJ143" s="4"/>
    </row>
    <row r="144" spans="1:36" ht="84" hidden="1" x14ac:dyDescent="0.35">
      <c r="A144" s="19" t="s">
        <v>416</v>
      </c>
      <c r="B144" s="38" t="s">
        <v>411</v>
      </c>
      <c r="C144" s="237" t="s">
        <v>417</v>
      </c>
      <c r="D144" s="237" t="s">
        <v>418</v>
      </c>
      <c r="E144" s="91">
        <v>13200</v>
      </c>
      <c r="F144" s="91">
        <v>5500</v>
      </c>
      <c r="G144" s="91">
        <v>3700</v>
      </c>
      <c r="H144" s="91">
        <v>2700</v>
      </c>
      <c r="I144" s="91" t="s">
        <v>416</v>
      </c>
      <c r="J144" s="38" t="s">
        <v>411</v>
      </c>
      <c r="K144" s="259" t="s">
        <v>419</v>
      </c>
      <c r="L144" s="259" t="s">
        <v>420</v>
      </c>
      <c r="M144" s="91">
        <v>13200</v>
      </c>
      <c r="N144" s="91">
        <v>5500</v>
      </c>
      <c r="O144" s="91">
        <v>3700</v>
      </c>
      <c r="P144" s="91">
        <v>2700</v>
      </c>
      <c r="Q144" s="35">
        <v>7920</v>
      </c>
      <c r="R144" s="35">
        <v>3300</v>
      </c>
      <c r="S144" s="35">
        <v>2220</v>
      </c>
      <c r="T144" s="35">
        <v>1620</v>
      </c>
      <c r="U144" s="35">
        <v>5280</v>
      </c>
      <c r="V144" s="35">
        <v>2200</v>
      </c>
      <c r="W144" s="35">
        <v>1480</v>
      </c>
      <c r="X144" s="35">
        <v>1080</v>
      </c>
      <c r="Y144" s="38" t="s">
        <v>314</v>
      </c>
      <c r="Z144" s="27"/>
      <c r="AA144" s="27"/>
      <c r="AB144" s="27"/>
      <c r="AC144" s="27"/>
      <c r="AD144" s="27"/>
      <c r="AE144" s="27"/>
      <c r="AF144" s="27"/>
      <c r="AG144" s="27"/>
      <c r="AH144" s="27"/>
      <c r="AI144" s="27"/>
      <c r="AJ144" s="4"/>
    </row>
    <row r="145" spans="1:36" ht="42" hidden="1" x14ac:dyDescent="0.35">
      <c r="A145" s="19" t="s">
        <v>421</v>
      </c>
      <c r="B145" s="38" t="s">
        <v>422</v>
      </c>
      <c r="C145" s="237" t="s">
        <v>423</v>
      </c>
      <c r="D145" s="237" t="s">
        <v>424</v>
      </c>
      <c r="E145" s="91">
        <v>96600</v>
      </c>
      <c r="F145" s="91">
        <v>31000</v>
      </c>
      <c r="G145" s="91">
        <v>16000</v>
      </c>
      <c r="H145" s="91">
        <v>8000</v>
      </c>
      <c r="I145" s="19" t="s">
        <v>421</v>
      </c>
      <c r="J145" s="38" t="s">
        <v>422</v>
      </c>
      <c r="K145" s="237" t="s">
        <v>423</v>
      </c>
      <c r="L145" s="259" t="s">
        <v>425</v>
      </c>
      <c r="M145" s="91">
        <v>96600</v>
      </c>
      <c r="N145" s="91">
        <v>31000</v>
      </c>
      <c r="O145" s="91">
        <v>16000</v>
      </c>
      <c r="P145" s="91">
        <v>8000</v>
      </c>
      <c r="Q145" s="35">
        <v>57960</v>
      </c>
      <c r="R145" s="35">
        <v>18600</v>
      </c>
      <c r="S145" s="35">
        <v>9600</v>
      </c>
      <c r="T145" s="35">
        <v>4800</v>
      </c>
      <c r="U145" s="35">
        <v>38640</v>
      </c>
      <c r="V145" s="35">
        <v>12400</v>
      </c>
      <c r="W145" s="35">
        <v>6400</v>
      </c>
      <c r="X145" s="35">
        <v>3200</v>
      </c>
      <c r="Y145" s="38" t="s">
        <v>426</v>
      </c>
      <c r="Z145" s="27"/>
      <c r="AA145" s="27"/>
      <c r="AB145" s="27"/>
      <c r="AC145" s="27"/>
      <c r="AD145" s="27"/>
      <c r="AE145" s="27"/>
      <c r="AF145" s="27"/>
      <c r="AG145" s="27"/>
      <c r="AH145" s="27"/>
      <c r="AI145" s="27"/>
      <c r="AJ145" s="4"/>
    </row>
    <row r="146" spans="1:36" ht="42" hidden="1" x14ac:dyDescent="0.35">
      <c r="A146" s="19" t="s">
        <v>427</v>
      </c>
      <c r="B146" s="38" t="s">
        <v>428</v>
      </c>
      <c r="C146" s="460" t="s">
        <v>36</v>
      </c>
      <c r="D146" s="451"/>
      <c r="E146" s="91">
        <v>36200</v>
      </c>
      <c r="F146" s="91"/>
      <c r="G146" s="91"/>
      <c r="H146" s="91"/>
      <c r="I146" s="19" t="s">
        <v>427</v>
      </c>
      <c r="J146" s="13" t="s">
        <v>429</v>
      </c>
      <c r="K146" s="460" t="s">
        <v>36</v>
      </c>
      <c r="L146" s="451"/>
      <c r="M146" s="91">
        <v>36200</v>
      </c>
      <c r="N146" s="91"/>
      <c r="O146" s="91"/>
      <c r="P146" s="91"/>
      <c r="Q146" s="35">
        <v>21720</v>
      </c>
      <c r="R146" s="35"/>
      <c r="S146" s="35"/>
      <c r="T146" s="35"/>
      <c r="U146" s="35">
        <v>14480</v>
      </c>
      <c r="V146" s="35"/>
      <c r="W146" s="35"/>
      <c r="X146" s="35"/>
      <c r="Y146" s="38" t="s">
        <v>430</v>
      </c>
      <c r="Z146" s="27"/>
      <c r="AA146" s="27"/>
      <c r="AB146" s="27"/>
      <c r="AC146" s="27"/>
      <c r="AD146" s="27"/>
      <c r="AE146" s="27"/>
      <c r="AF146" s="27"/>
      <c r="AG146" s="27"/>
      <c r="AH146" s="27"/>
      <c r="AI146" s="27"/>
      <c r="AJ146" s="4"/>
    </row>
    <row r="147" spans="1:36" ht="28" hidden="1" x14ac:dyDescent="0.35">
      <c r="A147" s="19" t="s">
        <v>431</v>
      </c>
      <c r="B147" s="38" t="s">
        <v>432</v>
      </c>
      <c r="C147" s="237"/>
      <c r="D147" s="237"/>
      <c r="E147" s="91">
        <v>49000</v>
      </c>
      <c r="F147" s="91">
        <v>14000</v>
      </c>
      <c r="G147" s="91">
        <v>7000</v>
      </c>
      <c r="H147" s="91">
        <v>2700</v>
      </c>
      <c r="I147" s="19" t="s">
        <v>431</v>
      </c>
      <c r="J147" s="38" t="s">
        <v>432</v>
      </c>
      <c r="K147" s="237"/>
      <c r="L147" s="237"/>
      <c r="M147" s="91">
        <v>36200</v>
      </c>
      <c r="N147" s="91">
        <v>14000</v>
      </c>
      <c r="O147" s="91">
        <v>7000</v>
      </c>
      <c r="P147" s="91">
        <v>2700</v>
      </c>
      <c r="Q147" s="91"/>
      <c r="R147" s="91"/>
      <c r="S147" s="91"/>
      <c r="T147" s="91"/>
      <c r="U147" s="91"/>
      <c r="V147" s="91"/>
      <c r="W147" s="91"/>
      <c r="X147" s="91"/>
      <c r="Y147" s="38" t="s">
        <v>433</v>
      </c>
      <c r="Z147" s="27" t="s">
        <v>106</v>
      </c>
      <c r="AA147" s="27"/>
      <c r="AB147" s="27"/>
      <c r="AC147" s="27"/>
      <c r="AD147" s="27"/>
      <c r="AE147" s="27"/>
      <c r="AF147" s="27"/>
      <c r="AG147" s="27"/>
      <c r="AH147" s="27"/>
      <c r="AI147" s="27"/>
      <c r="AJ147" s="4"/>
    </row>
    <row r="148" spans="1:36" ht="14.5" hidden="1" customHeight="1" x14ac:dyDescent="0.35">
      <c r="A148" s="19" t="s">
        <v>434</v>
      </c>
      <c r="B148" s="38" t="s">
        <v>435</v>
      </c>
      <c r="C148" s="237"/>
      <c r="D148" s="237"/>
      <c r="E148" s="91"/>
      <c r="F148" s="91"/>
      <c r="G148" s="91"/>
      <c r="H148" s="91"/>
      <c r="I148" s="91"/>
      <c r="J148" s="91"/>
      <c r="K148" s="91"/>
      <c r="L148" s="91"/>
      <c r="M148" s="91"/>
      <c r="N148" s="91"/>
      <c r="O148" s="91"/>
      <c r="P148" s="91"/>
      <c r="Q148" s="91"/>
      <c r="R148" s="91"/>
      <c r="S148" s="91"/>
      <c r="T148" s="91"/>
      <c r="U148" s="91"/>
      <c r="V148" s="91"/>
      <c r="W148" s="91"/>
      <c r="X148" s="91"/>
      <c r="Y148" s="38" t="s">
        <v>436</v>
      </c>
      <c r="Z148" s="27"/>
      <c r="AA148" s="27"/>
      <c r="AB148" s="27"/>
      <c r="AC148" s="27"/>
      <c r="AD148" s="27"/>
      <c r="AE148" s="27"/>
      <c r="AF148" s="27"/>
      <c r="AG148" s="27"/>
      <c r="AH148" s="27"/>
      <c r="AI148" s="27"/>
      <c r="AJ148" s="4"/>
    </row>
    <row r="149" spans="1:36" ht="98" hidden="1" x14ac:dyDescent="0.35">
      <c r="A149" s="19" t="s">
        <v>437</v>
      </c>
      <c r="B149" s="38" t="s">
        <v>435</v>
      </c>
      <c r="C149" s="237" t="s">
        <v>438</v>
      </c>
      <c r="D149" s="237" t="s">
        <v>439</v>
      </c>
      <c r="E149" s="91">
        <v>11500</v>
      </c>
      <c r="F149" s="91">
        <v>5000</v>
      </c>
      <c r="G149" s="91">
        <v>3700</v>
      </c>
      <c r="H149" s="91">
        <v>2700</v>
      </c>
      <c r="I149" s="91" t="s">
        <v>437</v>
      </c>
      <c r="J149" s="13" t="s">
        <v>435</v>
      </c>
      <c r="K149" s="259" t="s">
        <v>440</v>
      </c>
      <c r="L149" s="259" t="s">
        <v>441</v>
      </c>
      <c r="M149" s="91">
        <v>11500</v>
      </c>
      <c r="N149" s="91">
        <v>5000</v>
      </c>
      <c r="O149" s="91">
        <v>3700</v>
      </c>
      <c r="P149" s="91">
        <v>2700</v>
      </c>
      <c r="Q149" s="91"/>
      <c r="R149" s="91"/>
      <c r="S149" s="91"/>
      <c r="T149" s="91"/>
      <c r="U149" s="91"/>
      <c r="V149" s="91"/>
      <c r="W149" s="91"/>
      <c r="X149" s="91"/>
      <c r="Y149" s="38" t="s">
        <v>442</v>
      </c>
      <c r="Z149" s="27" t="s">
        <v>106</v>
      </c>
      <c r="AA149" s="27"/>
      <c r="AB149" s="27"/>
      <c r="AC149" s="27"/>
      <c r="AD149" s="27"/>
      <c r="AE149" s="27"/>
      <c r="AF149" s="27"/>
      <c r="AG149" s="27"/>
      <c r="AH149" s="27"/>
      <c r="AI149" s="27"/>
      <c r="AJ149" s="4"/>
    </row>
    <row r="150" spans="1:36" ht="82.5" hidden="1" customHeight="1" x14ac:dyDescent="0.35">
      <c r="A150" s="19" t="s">
        <v>443</v>
      </c>
      <c r="B150" s="38" t="s">
        <v>435</v>
      </c>
      <c r="C150" s="237" t="s">
        <v>444</v>
      </c>
      <c r="D150" s="237" t="s">
        <v>175</v>
      </c>
      <c r="E150" s="91">
        <v>6000</v>
      </c>
      <c r="F150" s="91">
        <v>4000</v>
      </c>
      <c r="G150" s="91">
        <v>3500</v>
      </c>
      <c r="H150" s="91">
        <v>2700</v>
      </c>
      <c r="I150" s="91" t="s">
        <v>443</v>
      </c>
      <c r="J150" s="13" t="s">
        <v>435</v>
      </c>
      <c r="K150" s="259" t="s">
        <v>444</v>
      </c>
      <c r="L150" s="259" t="s">
        <v>175</v>
      </c>
      <c r="M150" s="91">
        <v>6000</v>
      </c>
      <c r="N150" s="91">
        <v>4000</v>
      </c>
      <c r="O150" s="91">
        <v>3500</v>
      </c>
      <c r="P150" s="91">
        <v>2700</v>
      </c>
      <c r="Q150" s="91"/>
      <c r="R150" s="91"/>
      <c r="S150" s="91"/>
      <c r="T150" s="91"/>
      <c r="U150" s="91"/>
      <c r="V150" s="91"/>
      <c r="W150" s="91"/>
      <c r="X150" s="91"/>
      <c r="Y150" s="38" t="s">
        <v>442</v>
      </c>
      <c r="Z150" s="27" t="s">
        <v>106</v>
      </c>
      <c r="AA150" s="27"/>
      <c r="AB150" s="27"/>
      <c r="AC150" s="27"/>
      <c r="AD150" s="27"/>
      <c r="AE150" s="27"/>
      <c r="AF150" s="27"/>
      <c r="AG150" s="27"/>
      <c r="AH150" s="27"/>
      <c r="AI150" s="27"/>
      <c r="AJ150" s="4"/>
    </row>
    <row r="151" spans="1:36" ht="28" hidden="1" x14ac:dyDescent="0.35">
      <c r="A151" s="19" t="s">
        <v>445</v>
      </c>
      <c r="B151" s="38" t="s">
        <v>446</v>
      </c>
      <c r="C151" s="460" t="s">
        <v>36</v>
      </c>
      <c r="D151" s="451"/>
      <c r="E151" s="91">
        <v>41000</v>
      </c>
      <c r="F151" s="91"/>
      <c r="G151" s="91"/>
      <c r="H151" s="91"/>
      <c r="I151" s="91"/>
      <c r="J151" s="91"/>
      <c r="K151" s="91"/>
      <c r="L151" s="91"/>
      <c r="M151" s="91"/>
      <c r="N151" s="91"/>
      <c r="O151" s="91"/>
      <c r="P151" s="91"/>
      <c r="Q151" s="91"/>
      <c r="R151" s="91"/>
      <c r="S151" s="91"/>
      <c r="T151" s="91"/>
      <c r="U151" s="91"/>
      <c r="V151" s="91"/>
      <c r="W151" s="91"/>
      <c r="X151" s="91"/>
      <c r="Y151" s="38" t="s">
        <v>447</v>
      </c>
      <c r="Z151" s="27"/>
      <c r="AA151" s="27"/>
      <c r="AB151" s="27"/>
      <c r="AC151" s="27"/>
      <c r="AD151" s="27"/>
      <c r="AE151" s="27"/>
      <c r="AF151" s="27"/>
      <c r="AG151" s="27"/>
      <c r="AH151" s="27"/>
      <c r="AI151" s="27"/>
      <c r="AJ151" s="4"/>
    </row>
    <row r="152" spans="1:36" ht="14.5" hidden="1" customHeight="1" x14ac:dyDescent="0.35">
      <c r="A152" s="19" t="s">
        <v>448</v>
      </c>
      <c r="B152" s="38" t="s">
        <v>449</v>
      </c>
      <c r="C152" s="237"/>
      <c r="D152" s="237"/>
      <c r="E152" s="91"/>
      <c r="F152" s="91"/>
      <c r="G152" s="91"/>
      <c r="H152" s="91"/>
      <c r="I152" s="91"/>
      <c r="J152" s="91"/>
      <c r="K152" s="91"/>
      <c r="L152" s="91"/>
      <c r="M152" s="91"/>
      <c r="N152" s="91"/>
      <c r="O152" s="91"/>
      <c r="P152" s="91"/>
      <c r="Q152" s="91"/>
      <c r="R152" s="91"/>
      <c r="S152" s="91"/>
      <c r="T152" s="91"/>
      <c r="U152" s="91"/>
      <c r="V152" s="91"/>
      <c r="W152" s="91"/>
      <c r="X152" s="91"/>
      <c r="Y152" s="38"/>
      <c r="Z152" s="27"/>
      <c r="AA152" s="27"/>
      <c r="AB152" s="27"/>
      <c r="AC152" s="27"/>
      <c r="AD152" s="27"/>
      <c r="AE152" s="27"/>
      <c r="AF152" s="27"/>
      <c r="AG152" s="27"/>
      <c r="AH152" s="27"/>
      <c r="AI152" s="27"/>
      <c r="AJ152" s="4"/>
    </row>
    <row r="153" spans="1:36" ht="70" hidden="1" x14ac:dyDescent="0.35">
      <c r="A153" s="19" t="s">
        <v>450</v>
      </c>
      <c r="B153" s="38" t="s">
        <v>449</v>
      </c>
      <c r="C153" s="237" t="s">
        <v>451</v>
      </c>
      <c r="D153" s="237" t="s">
        <v>452</v>
      </c>
      <c r="E153" s="91">
        <v>53000</v>
      </c>
      <c r="F153" s="91">
        <v>20000</v>
      </c>
      <c r="G153" s="91">
        <v>10800</v>
      </c>
      <c r="H153" s="91">
        <v>3800</v>
      </c>
      <c r="I153" s="19" t="s">
        <v>450</v>
      </c>
      <c r="J153" s="38" t="s">
        <v>449</v>
      </c>
      <c r="K153" s="259" t="s">
        <v>453</v>
      </c>
      <c r="L153" s="237" t="s">
        <v>452</v>
      </c>
      <c r="M153" s="91">
        <v>53000</v>
      </c>
      <c r="N153" s="91">
        <v>20000</v>
      </c>
      <c r="O153" s="91">
        <v>10800</v>
      </c>
      <c r="P153" s="91">
        <v>3800</v>
      </c>
      <c r="Q153" s="35">
        <v>31800</v>
      </c>
      <c r="R153" s="35">
        <v>12000</v>
      </c>
      <c r="S153" s="35">
        <v>6480</v>
      </c>
      <c r="T153" s="35">
        <v>2280</v>
      </c>
      <c r="U153" s="35">
        <v>21200</v>
      </c>
      <c r="V153" s="35">
        <v>8000</v>
      </c>
      <c r="W153" s="35">
        <v>4320</v>
      </c>
      <c r="X153" s="35">
        <v>1520</v>
      </c>
      <c r="Y153" s="38" t="s">
        <v>314</v>
      </c>
      <c r="Z153" s="27"/>
      <c r="AA153" s="27"/>
      <c r="AB153" s="27"/>
      <c r="AC153" s="27"/>
      <c r="AD153" s="27"/>
      <c r="AE153" s="27"/>
      <c r="AF153" s="27"/>
      <c r="AG153" s="27"/>
      <c r="AH153" s="27"/>
      <c r="AI153" s="27"/>
      <c r="AJ153" s="4"/>
    </row>
    <row r="154" spans="1:36" ht="56" hidden="1" x14ac:dyDescent="0.35">
      <c r="A154" s="19" t="s">
        <v>454</v>
      </c>
      <c r="B154" s="38" t="s">
        <v>449</v>
      </c>
      <c r="C154" s="237" t="s">
        <v>455</v>
      </c>
      <c r="D154" s="237" t="s">
        <v>456</v>
      </c>
      <c r="E154" s="91">
        <v>26000</v>
      </c>
      <c r="F154" s="91">
        <v>12000</v>
      </c>
      <c r="G154" s="91">
        <v>4600</v>
      </c>
      <c r="H154" s="91">
        <v>3800</v>
      </c>
      <c r="I154" s="19" t="s">
        <v>454</v>
      </c>
      <c r="J154" s="38" t="s">
        <v>449</v>
      </c>
      <c r="K154" s="237" t="s">
        <v>455</v>
      </c>
      <c r="L154" s="259" t="s">
        <v>457</v>
      </c>
      <c r="M154" s="91">
        <v>26000</v>
      </c>
      <c r="N154" s="91">
        <v>12000</v>
      </c>
      <c r="O154" s="91">
        <v>4600</v>
      </c>
      <c r="P154" s="91">
        <v>3800</v>
      </c>
      <c r="Q154" s="35">
        <v>15600</v>
      </c>
      <c r="R154" s="35">
        <v>7200</v>
      </c>
      <c r="S154" s="35">
        <v>2760</v>
      </c>
      <c r="T154" s="35">
        <v>2280</v>
      </c>
      <c r="U154" s="35">
        <v>10400</v>
      </c>
      <c r="V154" s="35">
        <v>4800</v>
      </c>
      <c r="W154" s="35">
        <v>1840</v>
      </c>
      <c r="X154" s="35">
        <v>1520</v>
      </c>
      <c r="Y154" s="38" t="s">
        <v>314</v>
      </c>
      <c r="Z154" s="27"/>
      <c r="AA154" s="27"/>
      <c r="AB154" s="27"/>
      <c r="AC154" s="27"/>
      <c r="AD154" s="27"/>
      <c r="AE154" s="27"/>
      <c r="AF154" s="27"/>
      <c r="AG154" s="27"/>
      <c r="AH154" s="27"/>
      <c r="AI154" s="27"/>
      <c r="AJ154" s="4"/>
    </row>
    <row r="155" spans="1:36" ht="70" hidden="1" x14ac:dyDescent="0.35">
      <c r="A155" s="19" t="s">
        <v>458</v>
      </c>
      <c r="B155" s="38" t="s">
        <v>449</v>
      </c>
      <c r="C155" s="237" t="s">
        <v>459</v>
      </c>
      <c r="D155" s="237" t="s">
        <v>460</v>
      </c>
      <c r="E155" s="91">
        <v>30400</v>
      </c>
      <c r="F155" s="91">
        <v>12000</v>
      </c>
      <c r="G155" s="91">
        <v>8000</v>
      </c>
      <c r="H155" s="91">
        <v>3800</v>
      </c>
      <c r="I155" s="19" t="s">
        <v>458</v>
      </c>
      <c r="J155" s="38" t="s">
        <v>449</v>
      </c>
      <c r="K155" s="259" t="s">
        <v>457</v>
      </c>
      <c r="L155" s="259" t="s">
        <v>461</v>
      </c>
      <c r="M155" s="91">
        <v>30400</v>
      </c>
      <c r="N155" s="91">
        <v>12000</v>
      </c>
      <c r="O155" s="91">
        <v>8000</v>
      </c>
      <c r="P155" s="91">
        <v>3800</v>
      </c>
      <c r="Q155" s="91"/>
      <c r="R155" s="91"/>
      <c r="S155" s="91"/>
      <c r="T155" s="91"/>
      <c r="U155" s="91"/>
      <c r="V155" s="91"/>
      <c r="W155" s="91"/>
      <c r="X155" s="91"/>
      <c r="Y155" s="38" t="s">
        <v>462</v>
      </c>
      <c r="Z155" s="27" t="s">
        <v>463</v>
      </c>
      <c r="AA155" s="27"/>
      <c r="AB155" s="27"/>
      <c r="AC155" s="27"/>
      <c r="AD155" s="27"/>
      <c r="AE155" s="27"/>
      <c r="AF155" s="27"/>
      <c r="AG155" s="27"/>
      <c r="AH155" s="27"/>
      <c r="AI155" s="27"/>
      <c r="AJ155" s="4"/>
    </row>
    <row r="156" spans="1:36" ht="70" hidden="1" x14ac:dyDescent="0.35">
      <c r="A156" s="19" t="s">
        <v>464</v>
      </c>
      <c r="B156" s="38" t="s">
        <v>449</v>
      </c>
      <c r="C156" s="237" t="s">
        <v>465</v>
      </c>
      <c r="D156" s="237" t="s">
        <v>466</v>
      </c>
      <c r="E156" s="91">
        <v>26000</v>
      </c>
      <c r="F156" s="91">
        <v>9000</v>
      </c>
      <c r="G156" s="91">
        <v>4300</v>
      </c>
      <c r="H156" s="91">
        <v>2900</v>
      </c>
      <c r="I156" s="19" t="s">
        <v>464</v>
      </c>
      <c r="J156" s="38" t="s">
        <v>449</v>
      </c>
      <c r="K156" s="259" t="s">
        <v>467</v>
      </c>
      <c r="L156" s="259" t="s">
        <v>468</v>
      </c>
      <c r="M156" s="91">
        <v>26000</v>
      </c>
      <c r="N156" s="91">
        <v>9000</v>
      </c>
      <c r="O156" s="91">
        <v>4300</v>
      </c>
      <c r="P156" s="91">
        <v>2900</v>
      </c>
      <c r="Q156" s="35">
        <v>15600</v>
      </c>
      <c r="R156" s="35">
        <v>5400</v>
      </c>
      <c r="S156" s="35">
        <v>2580</v>
      </c>
      <c r="T156" s="35">
        <v>1740</v>
      </c>
      <c r="U156" s="35">
        <v>10400</v>
      </c>
      <c r="V156" s="35">
        <v>3600</v>
      </c>
      <c r="W156" s="35">
        <v>1720</v>
      </c>
      <c r="X156" s="35">
        <v>1160</v>
      </c>
      <c r="Y156" s="38" t="s">
        <v>469</v>
      </c>
      <c r="Z156" s="27"/>
      <c r="AA156" s="27"/>
      <c r="AB156" s="27"/>
      <c r="AC156" s="27"/>
      <c r="AD156" s="27"/>
      <c r="AE156" s="27"/>
      <c r="AF156" s="27"/>
      <c r="AG156" s="27"/>
      <c r="AH156" s="27"/>
      <c r="AI156" s="27"/>
      <c r="AJ156" s="4"/>
    </row>
    <row r="157" spans="1:36" ht="84" hidden="1" x14ac:dyDescent="0.35">
      <c r="A157" s="19" t="s">
        <v>470</v>
      </c>
      <c r="B157" s="38" t="s">
        <v>471</v>
      </c>
      <c r="C157" s="237" t="s">
        <v>472</v>
      </c>
      <c r="D157" s="237" t="s">
        <v>473</v>
      </c>
      <c r="E157" s="91">
        <v>27000</v>
      </c>
      <c r="F157" s="91">
        <v>9000</v>
      </c>
      <c r="G157" s="91">
        <v>4300</v>
      </c>
      <c r="H157" s="91">
        <v>2900</v>
      </c>
      <c r="I157" s="19" t="s">
        <v>470</v>
      </c>
      <c r="J157" s="38" t="s">
        <v>471</v>
      </c>
      <c r="K157" s="237" t="s">
        <v>472</v>
      </c>
      <c r="L157" s="259" t="s">
        <v>474</v>
      </c>
      <c r="M157" s="91">
        <v>27000</v>
      </c>
      <c r="N157" s="91">
        <v>9000</v>
      </c>
      <c r="O157" s="91">
        <v>4300</v>
      </c>
      <c r="P157" s="91">
        <v>2900</v>
      </c>
      <c r="Q157" s="91"/>
      <c r="R157" s="91"/>
      <c r="S157" s="91"/>
      <c r="T157" s="91"/>
      <c r="U157" s="91"/>
      <c r="V157" s="91"/>
      <c r="W157" s="91"/>
      <c r="X157" s="91"/>
      <c r="Y157" s="38" t="s">
        <v>475</v>
      </c>
      <c r="Z157" s="27" t="s">
        <v>463</v>
      </c>
      <c r="AA157" s="27"/>
      <c r="AB157" s="27"/>
      <c r="AC157" s="27"/>
      <c r="AD157" s="27"/>
      <c r="AE157" s="27"/>
      <c r="AF157" s="27"/>
      <c r="AG157" s="27"/>
      <c r="AH157" s="27"/>
      <c r="AI157" s="27"/>
      <c r="AJ157" s="4"/>
    </row>
    <row r="158" spans="1:36" ht="84" hidden="1" x14ac:dyDescent="0.35">
      <c r="A158" s="19" t="s">
        <v>476</v>
      </c>
      <c r="B158" s="38" t="s">
        <v>471</v>
      </c>
      <c r="C158" s="237" t="s">
        <v>473</v>
      </c>
      <c r="D158" s="237" t="s">
        <v>477</v>
      </c>
      <c r="E158" s="91">
        <v>13000</v>
      </c>
      <c r="F158" s="91">
        <v>5000</v>
      </c>
      <c r="G158" s="91">
        <v>3700</v>
      </c>
      <c r="H158" s="91">
        <v>2700</v>
      </c>
      <c r="I158" s="19" t="s">
        <v>476</v>
      </c>
      <c r="J158" s="38" t="s">
        <v>471</v>
      </c>
      <c r="K158" s="259" t="s">
        <v>478</v>
      </c>
      <c r="L158" s="237" t="s">
        <v>477</v>
      </c>
      <c r="M158" s="91">
        <v>13000</v>
      </c>
      <c r="N158" s="91">
        <v>5000</v>
      </c>
      <c r="O158" s="91">
        <v>3700</v>
      </c>
      <c r="P158" s="91">
        <v>2700</v>
      </c>
      <c r="Q158" s="35">
        <v>7800</v>
      </c>
      <c r="R158" s="35">
        <v>3000</v>
      </c>
      <c r="S158" s="35">
        <v>2220</v>
      </c>
      <c r="T158" s="35">
        <v>1620</v>
      </c>
      <c r="U158" s="35">
        <v>5200</v>
      </c>
      <c r="V158" s="35">
        <v>2000</v>
      </c>
      <c r="W158" s="35">
        <v>1480</v>
      </c>
      <c r="X158" s="35">
        <v>1080</v>
      </c>
      <c r="Y158" s="38" t="s">
        <v>314</v>
      </c>
      <c r="Z158" s="27"/>
      <c r="AA158" s="27"/>
      <c r="AB158" s="27"/>
      <c r="AC158" s="27"/>
      <c r="AD158" s="27"/>
      <c r="AE158" s="27"/>
      <c r="AF158" s="27"/>
      <c r="AG158" s="27"/>
      <c r="AH158" s="27"/>
      <c r="AI158" s="27"/>
      <c r="AJ158" s="4"/>
    </row>
    <row r="159" spans="1:36" ht="14.5" hidden="1" customHeight="1" x14ac:dyDescent="0.35">
      <c r="A159" s="19" t="s">
        <v>479</v>
      </c>
      <c r="B159" s="38" t="s">
        <v>471</v>
      </c>
      <c r="C159" s="237" t="s">
        <v>480</v>
      </c>
      <c r="D159" s="237" t="s">
        <v>481</v>
      </c>
      <c r="E159" s="91">
        <v>7000</v>
      </c>
      <c r="F159" s="91">
        <v>5000</v>
      </c>
      <c r="G159" s="91">
        <v>3700</v>
      </c>
      <c r="H159" s="91">
        <v>2700</v>
      </c>
      <c r="I159" s="91"/>
      <c r="J159" s="91"/>
      <c r="K159" s="91"/>
      <c r="L159" s="91"/>
      <c r="M159" s="91"/>
      <c r="N159" s="91"/>
      <c r="O159" s="91"/>
      <c r="P159" s="91"/>
      <c r="Q159" s="91"/>
      <c r="R159" s="91"/>
      <c r="S159" s="91"/>
      <c r="T159" s="91"/>
      <c r="U159" s="91"/>
      <c r="V159" s="91"/>
      <c r="W159" s="91"/>
      <c r="X159" s="91"/>
      <c r="Y159" s="38"/>
      <c r="Z159" s="27"/>
      <c r="AA159" s="27"/>
      <c r="AB159" s="27"/>
      <c r="AC159" s="27"/>
      <c r="AD159" s="27"/>
      <c r="AE159" s="27"/>
      <c r="AF159" s="27"/>
      <c r="AG159" s="27"/>
      <c r="AH159" s="27"/>
      <c r="AI159" s="27"/>
      <c r="AJ159" s="4"/>
    </row>
    <row r="160" spans="1:36" ht="87.75" hidden="1" customHeight="1" x14ac:dyDescent="0.35">
      <c r="A160" s="19" t="s">
        <v>482</v>
      </c>
      <c r="B160" s="38" t="s">
        <v>483</v>
      </c>
      <c r="C160" s="460" t="s">
        <v>36</v>
      </c>
      <c r="D160" s="451"/>
      <c r="E160" s="89"/>
      <c r="F160" s="89"/>
      <c r="G160" s="89"/>
      <c r="H160" s="89"/>
      <c r="I160" s="19" t="s">
        <v>482</v>
      </c>
      <c r="J160" s="13" t="s">
        <v>484</v>
      </c>
      <c r="K160" s="460" t="s">
        <v>36</v>
      </c>
      <c r="L160" s="451"/>
      <c r="M160" s="91">
        <v>45000</v>
      </c>
      <c r="N160" s="91"/>
      <c r="O160" s="91"/>
      <c r="P160" s="91"/>
      <c r="Q160" s="91"/>
      <c r="R160" s="91"/>
      <c r="S160" s="91"/>
      <c r="T160" s="91"/>
      <c r="U160" s="91"/>
      <c r="V160" s="91"/>
      <c r="W160" s="91"/>
      <c r="X160" s="91"/>
      <c r="Y160" s="38" t="s">
        <v>485</v>
      </c>
      <c r="Z160" s="27"/>
      <c r="AA160" s="27"/>
      <c r="AB160" s="27"/>
      <c r="AC160" s="27"/>
      <c r="AD160" s="27"/>
      <c r="AE160" s="27"/>
      <c r="AF160" s="27"/>
      <c r="AG160" s="27"/>
      <c r="AH160" s="27"/>
      <c r="AI160" s="27"/>
      <c r="AJ160" s="4"/>
    </row>
    <row r="161" spans="1:36" s="105" customFormat="1" ht="79.5" hidden="1" customHeight="1" x14ac:dyDescent="0.35">
      <c r="A161" s="37" t="s">
        <v>486</v>
      </c>
      <c r="B161" s="21" t="s">
        <v>487</v>
      </c>
      <c r="C161" s="465" t="s">
        <v>36</v>
      </c>
      <c r="D161" s="462"/>
      <c r="E161" s="91">
        <v>39000</v>
      </c>
      <c r="F161" s="103"/>
      <c r="G161" s="103"/>
      <c r="H161" s="103"/>
      <c r="I161" s="103"/>
      <c r="J161" s="103"/>
      <c r="K161" s="103"/>
      <c r="L161" s="103"/>
      <c r="M161" s="103"/>
      <c r="N161" s="103"/>
      <c r="O161" s="103"/>
      <c r="P161" s="103"/>
      <c r="Q161" s="103"/>
      <c r="R161" s="103"/>
      <c r="S161" s="103"/>
      <c r="T161" s="103"/>
      <c r="U161" s="103"/>
      <c r="V161" s="103"/>
      <c r="W161" s="103"/>
      <c r="X161" s="103"/>
      <c r="Y161" s="21" t="s">
        <v>488</v>
      </c>
      <c r="Z161" s="292"/>
      <c r="AA161" s="292"/>
      <c r="AB161" s="292"/>
      <c r="AC161" s="292"/>
      <c r="AD161" s="292"/>
      <c r="AE161" s="292"/>
      <c r="AF161" s="292"/>
      <c r="AG161" s="292"/>
      <c r="AH161" s="292"/>
      <c r="AI161" s="292"/>
    </row>
    <row r="162" spans="1:36" ht="42" hidden="1" x14ac:dyDescent="0.35">
      <c r="A162" s="19" t="s">
        <v>489</v>
      </c>
      <c r="B162" s="38" t="s">
        <v>490</v>
      </c>
      <c r="C162" s="237" t="s">
        <v>449</v>
      </c>
      <c r="D162" s="237" t="s">
        <v>491</v>
      </c>
      <c r="E162" s="91">
        <v>22000</v>
      </c>
      <c r="F162" s="91">
        <v>9000</v>
      </c>
      <c r="G162" s="91">
        <v>4300</v>
      </c>
      <c r="H162" s="91">
        <v>2700</v>
      </c>
      <c r="I162" s="91">
        <v>57</v>
      </c>
      <c r="J162" s="38" t="s">
        <v>490</v>
      </c>
      <c r="K162" s="259" t="s">
        <v>492</v>
      </c>
      <c r="L162" s="259" t="s">
        <v>493</v>
      </c>
      <c r="M162" s="91">
        <v>22000</v>
      </c>
      <c r="N162" s="91">
        <v>9000</v>
      </c>
      <c r="O162" s="91">
        <v>4300</v>
      </c>
      <c r="P162" s="91">
        <v>2700</v>
      </c>
      <c r="Q162" s="35">
        <v>13200</v>
      </c>
      <c r="R162" s="35">
        <v>5400</v>
      </c>
      <c r="S162" s="35">
        <v>2580</v>
      </c>
      <c r="T162" s="35">
        <v>1620</v>
      </c>
      <c r="U162" s="35">
        <v>8800</v>
      </c>
      <c r="V162" s="35">
        <v>3600</v>
      </c>
      <c r="W162" s="35">
        <v>1720</v>
      </c>
      <c r="X162" s="35">
        <v>1080</v>
      </c>
      <c r="Y162" s="38" t="s">
        <v>314</v>
      </c>
      <c r="Z162" s="27"/>
      <c r="AA162" s="27"/>
      <c r="AB162" s="27"/>
      <c r="AC162" s="27"/>
      <c r="AD162" s="27"/>
      <c r="AE162" s="27"/>
      <c r="AF162" s="27"/>
      <c r="AG162" s="27"/>
      <c r="AH162" s="27"/>
      <c r="AI162" s="27"/>
      <c r="AJ162" s="4"/>
    </row>
    <row r="163" spans="1:36" ht="60" hidden="1" customHeight="1" x14ac:dyDescent="0.35">
      <c r="A163" s="19" t="s">
        <v>494</v>
      </c>
      <c r="B163" s="38" t="s">
        <v>495</v>
      </c>
      <c r="C163" s="460" t="s">
        <v>36</v>
      </c>
      <c r="D163" s="451"/>
      <c r="E163" s="91">
        <v>13000</v>
      </c>
      <c r="F163" s="91"/>
      <c r="G163" s="91"/>
      <c r="H163" s="91"/>
      <c r="I163" s="91">
        <v>58</v>
      </c>
      <c r="J163" s="13" t="s">
        <v>496</v>
      </c>
      <c r="K163" s="460" t="s">
        <v>36</v>
      </c>
      <c r="L163" s="451"/>
      <c r="M163" s="91">
        <v>13000</v>
      </c>
      <c r="N163" s="91"/>
      <c r="O163" s="91"/>
      <c r="P163" s="91"/>
      <c r="Q163" s="91"/>
      <c r="R163" s="91"/>
      <c r="S163" s="91"/>
      <c r="T163" s="91"/>
      <c r="U163" s="91"/>
      <c r="V163" s="91"/>
      <c r="W163" s="91"/>
      <c r="X163" s="91"/>
      <c r="Y163" s="38" t="s">
        <v>497</v>
      </c>
      <c r="Z163" s="27"/>
      <c r="AA163" s="27"/>
      <c r="AB163" s="27"/>
      <c r="AC163" s="27"/>
      <c r="AD163" s="27"/>
      <c r="AE163" s="27"/>
      <c r="AF163" s="27"/>
      <c r="AG163" s="27"/>
      <c r="AH163" s="27"/>
      <c r="AI163" s="27"/>
      <c r="AJ163" s="4"/>
    </row>
    <row r="164" spans="1:36" ht="69" hidden="1" customHeight="1" x14ac:dyDescent="0.35">
      <c r="A164" s="19" t="s">
        <v>498</v>
      </c>
      <c r="B164" s="38" t="s">
        <v>499</v>
      </c>
      <c r="C164" s="460" t="s">
        <v>36</v>
      </c>
      <c r="D164" s="451"/>
      <c r="E164" s="91">
        <v>23500</v>
      </c>
      <c r="F164" s="91"/>
      <c r="G164" s="91"/>
      <c r="H164" s="91"/>
      <c r="I164" s="91">
        <v>60</v>
      </c>
      <c r="J164" s="13" t="s">
        <v>500</v>
      </c>
      <c r="K164" s="460" t="s">
        <v>36</v>
      </c>
      <c r="L164" s="451"/>
      <c r="M164" s="91">
        <v>23500</v>
      </c>
      <c r="N164" s="91"/>
      <c r="O164" s="91"/>
      <c r="P164" s="91"/>
      <c r="Q164" s="35">
        <v>14100</v>
      </c>
      <c r="R164" s="35"/>
      <c r="S164" s="35"/>
      <c r="T164" s="35"/>
      <c r="U164" s="35">
        <v>9400</v>
      </c>
      <c r="V164" s="35"/>
      <c r="W164" s="35"/>
      <c r="X164" s="35"/>
      <c r="Y164" s="38" t="s">
        <v>469</v>
      </c>
      <c r="Z164" s="27"/>
      <c r="AA164" s="27"/>
      <c r="AB164" s="27"/>
      <c r="AC164" s="27"/>
      <c r="AD164" s="27"/>
      <c r="AE164" s="27"/>
      <c r="AF164" s="27"/>
      <c r="AG164" s="27"/>
      <c r="AH164" s="27"/>
      <c r="AI164" s="27"/>
      <c r="AJ164" s="4"/>
    </row>
    <row r="165" spans="1:36" ht="104.25" hidden="1" customHeight="1" x14ac:dyDescent="0.35">
      <c r="A165" s="19" t="s">
        <v>501</v>
      </c>
      <c r="B165" s="38" t="s">
        <v>502</v>
      </c>
      <c r="C165" s="460" t="s">
        <v>36</v>
      </c>
      <c r="D165" s="451"/>
      <c r="E165" s="91">
        <v>9000</v>
      </c>
      <c r="F165" s="91"/>
      <c r="G165" s="91"/>
      <c r="H165" s="91"/>
      <c r="I165" s="91">
        <v>61</v>
      </c>
      <c r="J165" s="13" t="s">
        <v>503</v>
      </c>
      <c r="K165" s="460" t="s">
        <v>36</v>
      </c>
      <c r="L165" s="451"/>
      <c r="M165" s="91">
        <v>9000</v>
      </c>
      <c r="N165" s="91"/>
      <c r="O165" s="91"/>
      <c r="P165" s="91"/>
      <c r="Q165" s="35">
        <v>5400</v>
      </c>
      <c r="R165" s="35"/>
      <c r="S165" s="35"/>
      <c r="T165" s="35"/>
      <c r="U165" s="35">
        <v>3600</v>
      </c>
      <c r="V165" s="35"/>
      <c r="W165" s="35"/>
      <c r="X165" s="35"/>
      <c r="Y165" s="38" t="s">
        <v>469</v>
      </c>
      <c r="Z165" s="27"/>
      <c r="AA165" s="27"/>
      <c r="AB165" s="27"/>
      <c r="AC165" s="27"/>
      <c r="AD165" s="27"/>
      <c r="AE165" s="27"/>
      <c r="AF165" s="27"/>
      <c r="AG165" s="27"/>
      <c r="AH165" s="27"/>
      <c r="AI165" s="27"/>
      <c r="AJ165" s="4"/>
    </row>
    <row r="166" spans="1:36" ht="76.75" customHeight="1" x14ac:dyDescent="0.35">
      <c r="A166" s="19" t="s">
        <v>504</v>
      </c>
      <c r="B166" s="38" t="s">
        <v>505</v>
      </c>
      <c r="C166" s="460" t="s">
        <v>36</v>
      </c>
      <c r="D166" s="451"/>
      <c r="E166" s="91">
        <v>15000</v>
      </c>
      <c r="F166" s="91"/>
      <c r="G166" s="91"/>
      <c r="H166" s="91"/>
      <c r="I166" s="91"/>
      <c r="J166" s="91"/>
      <c r="K166" s="467"/>
      <c r="L166" s="467"/>
      <c r="M166" s="91"/>
      <c r="N166" s="91"/>
      <c r="O166" s="91"/>
      <c r="P166" s="91"/>
      <c r="Q166" s="35"/>
      <c r="R166" s="35"/>
      <c r="S166" s="35"/>
      <c r="T166" s="35"/>
      <c r="U166" s="35"/>
      <c r="V166" s="91"/>
      <c r="W166" s="91"/>
      <c r="X166" s="91"/>
      <c r="Y166" s="106" t="s">
        <v>506</v>
      </c>
      <c r="Z166" s="27"/>
      <c r="AA166" s="27"/>
      <c r="AB166" s="27"/>
      <c r="AC166" s="27"/>
      <c r="AD166" s="27"/>
      <c r="AE166" s="27"/>
      <c r="AF166" s="27"/>
      <c r="AG166" s="27"/>
      <c r="AH166" s="27"/>
      <c r="AI166" s="27"/>
      <c r="AJ166" s="4"/>
    </row>
    <row r="167" spans="1:36" ht="42" hidden="1" x14ac:dyDescent="0.35">
      <c r="A167" s="19" t="s">
        <v>507</v>
      </c>
      <c r="B167" s="38" t="s">
        <v>508</v>
      </c>
      <c r="C167" s="460" t="s">
        <v>36</v>
      </c>
      <c r="D167" s="451"/>
      <c r="E167" s="91">
        <v>10000</v>
      </c>
      <c r="F167" s="91">
        <v>5000</v>
      </c>
      <c r="G167" s="91">
        <v>3700</v>
      </c>
      <c r="H167" s="91">
        <v>2700</v>
      </c>
      <c r="I167" s="91">
        <v>63</v>
      </c>
      <c r="J167" s="13" t="s">
        <v>509</v>
      </c>
      <c r="K167" s="460" t="s">
        <v>36</v>
      </c>
      <c r="L167" s="451"/>
      <c r="M167" s="91">
        <v>10000</v>
      </c>
      <c r="N167" s="91">
        <v>5000</v>
      </c>
      <c r="O167" s="91">
        <v>3700</v>
      </c>
      <c r="P167" s="91">
        <v>2700</v>
      </c>
      <c r="Q167" s="35">
        <v>6000</v>
      </c>
      <c r="R167" s="35">
        <v>3000</v>
      </c>
      <c r="S167" s="35">
        <v>2220</v>
      </c>
      <c r="T167" s="35">
        <v>1620</v>
      </c>
      <c r="U167" s="35">
        <v>4000</v>
      </c>
      <c r="V167" s="35">
        <v>2000</v>
      </c>
      <c r="W167" s="35">
        <v>1480</v>
      </c>
      <c r="X167" s="35">
        <v>1080</v>
      </c>
      <c r="Y167" s="38" t="s">
        <v>510</v>
      </c>
      <c r="Z167" s="27"/>
      <c r="AA167" s="27"/>
      <c r="AB167" s="27"/>
      <c r="AC167" s="27"/>
      <c r="AD167" s="27"/>
      <c r="AE167" s="27"/>
      <c r="AF167" s="27"/>
      <c r="AG167" s="27"/>
      <c r="AH167" s="27"/>
      <c r="AI167" s="27"/>
      <c r="AJ167" s="4"/>
    </row>
    <row r="168" spans="1:36" ht="31.15" hidden="1" customHeight="1" x14ac:dyDescent="0.35">
      <c r="A168" s="19" t="s">
        <v>511</v>
      </c>
      <c r="B168" s="38" t="s">
        <v>512</v>
      </c>
      <c r="C168" s="237" t="s">
        <v>513</v>
      </c>
      <c r="D168" s="237" t="s">
        <v>514</v>
      </c>
      <c r="E168" s="91">
        <v>12000</v>
      </c>
      <c r="F168" s="91">
        <v>5000</v>
      </c>
      <c r="G168" s="91">
        <v>3700</v>
      </c>
      <c r="H168" s="91">
        <v>2700</v>
      </c>
      <c r="I168" s="91" t="s">
        <v>511</v>
      </c>
      <c r="J168" s="91"/>
      <c r="K168" s="91"/>
      <c r="L168" s="91"/>
      <c r="M168" s="91"/>
      <c r="N168" s="91"/>
      <c r="O168" s="91"/>
      <c r="P168" s="91"/>
      <c r="Q168" s="91"/>
      <c r="R168" s="91"/>
      <c r="S168" s="91"/>
      <c r="T168" s="91"/>
      <c r="U168" s="91"/>
      <c r="V168" s="91"/>
      <c r="W168" s="91"/>
      <c r="X168" s="91"/>
      <c r="Y168" s="38" t="s">
        <v>515</v>
      </c>
      <c r="Z168" s="27"/>
      <c r="AA168" s="27"/>
      <c r="AB168" s="27"/>
      <c r="AC168" s="27"/>
      <c r="AD168" s="27"/>
      <c r="AE168" s="27"/>
      <c r="AF168" s="27"/>
      <c r="AG168" s="27"/>
      <c r="AH168" s="27"/>
      <c r="AI168" s="27"/>
      <c r="AJ168" s="4"/>
    </row>
    <row r="169" spans="1:36" ht="51" hidden="1" customHeight="1" x14ac:dyDescent="0.35">
      <c r="A169" s="19" t="s">
        <v>516</v>
      </c>
      <c r="B169" s="38" t="s">
        <v>517</v>
      </c>
      <c r="C169" s="237" t="s">
        <v>518</v>
      </c>
      <c r="D169" s="237" t="s">
        <v>519</v>
      </c>
      <c r="E169" s="91">
        <v>13000</v>
      </c>
      <c r="F169" s="91">
        <v>5000</v>
      </c>
      <c r="G169" s="91">
        <v>3700</v>
      </c>
      <c r="H169" s="91">
        <v>2700</v>
      </c>
      <c r="I169" s="19" t="s">
        <v>516</v>
      </c>
      <c r="J169" s="38" t="s">
        <v>517</v>
      </c>
      <c r="K169" s="237" t="s">
        <v>518</v>
      </c>
      <c r="L169" s="259" t="s">
        <v>520</v>
      </c>
      <c r="M169" s="91">
        <v>13000</v>
      </c>
      <c r="N169" s="91">
        <v>5000</v>
      </c>
      <c r="O169" s="91">
        <v>3700</v>
      </c>
      <c r="P169" s="91">
        <v>2700</v>
      </c>
      <c r="Q169" s="35">
        <v>7800</v>
      </c>
      <c r="R169" s="35">
        <v>3000</v>
      </c>
      <c r="S169" s="35">
        <v>2220</v>
      </c>
      <c r="T169" s="35">
        <v>1620</v>
      </c>
      <c r="U169" s="35">
        <v>5200</v>
      </c>
      <c r="V169" s="35">
        <v>2000</v>
      </c>
      <c r="W169" s="35">
        <v>1480</v>
      </c>
      <c r="X169" s="35">
        <v>1080</v>
      </c>
      <c r="Y169" s="38" t="s">
        <v>229</v>
      </c>
      <c r="Z169" s="27"/>
      <c r="AA169" s="27"/>
      <c r="AB169" s="27"/>
      <c r="AC169" s="27"/>
      <c r="AD169" s="27"/>
      <c r="AE169" s="27"/>
      <c r="AF169" s="27"/>
      <c r="AG169" s="27"/>
      <c r="AH169" s="27"/>
      <c r="AI169" s="27"/>
      <c r="AJ169" s="4"/>
    </row>
    <row r="170" spans="1:36" ht="28" hidden="1" x14ac:dyDescent="0.35">
      <c r="A170" s="19" t="s">
        <v>521</v>
      </c>
      <c r="B170" s="38" t="s">
        <v>522</v>
      </c>
      <c r="C170" s="237" t="s">
        <v>523</v>
      </c>
      <c r="D170" s="237" t="s">
        <v>524</v>
      </c>
      <c r="E170" s="91">
        <v>7000</v>
      </c>
      <c r="F170" s="91">
        <v>5000</v>
      </c>
      <c r="G170" s="91">
        <v>3700</v>
      </c>
      <c r="H170" s="91">
        <v>2700</v>
      </c>
      <c r="I170" s="91"/>
      <c r="J170" s="91"/>
      <c r="K170" s="91"/>
      <c r="L170" s="91"/>
      <c r="M170" s="91"/>
      <c r="N170" s="91"/>
      <c r="O170" s="91"/>
      <c r="P170" s="91"/>
      <c r="Q170" s="91"/>
      <c r="R170" s="91"/>
      <c r="S170" s="91"/>
      <c r="T170" s="91"/>
      <c r="U170" s="91"/>
      <c r="V170" s="91"/>
      <c r="W170" s="91"/>
      <c r="X170" s="91"/>
      <c r="Y170" s="38" t="s">
        <v>515</v>
      </c>
      <c r="Z170" s="27"/>
      <c r="AA170" s="27"/>
      <c r="AB170" s="27"/>
      <c r="AC170" s="27"/>
      <c r="AD170" s="27"/>
      <c r="AE170" s="27"/>
      <c r="AF170" s="27"/>
      <c r="AG170" s="27"/>
      <c r="AH170" s="27"/>
      <c r="AI170" s="27"/>
      <c r="AJ170" s="4"/>
    </row>
    <row r="171" spans="1:36" ht="47.25" hidden="1" customHeight="1" x14ac:dyDescent="0.35">
      <c r="A171" s="19" t="s">
        <v>525</v>
      </c>
      <c r="B171" s="38" t="s">
        <v>526</v>
      </c>
      <c r="C171" s="237" t="s">
        <v>527</v>
      </c>
      <c r="D171" s="237" t="s">
        <v>528</v>
      </c>
      <c r="E171" s="91">
        <v>25000</v>
      </c>
      <c r="F171" s="91">
        <v>8000</v>
      </c>
      <c r="G171" s="91">
        <v>4300</v>
      </c>
      <c r="H171" s="91">
        <v>2200</v>
      </c>
      <c r="I171" s="19" t="s">
        <v>525</v>
      </c>
      <c r="J171" s="38" t="s">
        <v>526</v>
      </c>
      <c r="K171" s="237" t="s">
        <v>527</v>
      </c>
      <c r="L171" s="259" t="s">
        <v>529</v>
      </c>
      <c r="M171" s="91">
        <v>25000</v>
      </c>
      <c r="N171" s="91">
        <v>8000</v>
      </c>
      <c r="O171" s="91">
        <v>4300</v>
      </c>
      <c r="P171" s="91">
        <v>2200</v>
      </c>
      <c r="Q171" s="91"/>
      <c r="R171" s="91"/>
      <c r="S171" s="91"/>
      <c r="T171" s="91"/>
      <c r="U171" s="91"/>
      <c r="V171" s="91"/>
      <c r="W171" s="91"/>
      <c r="X171" s="91"/>
      <c r="Y171" s="38" t="s">
        <v>530</v>
      </c>
      <c r="Z171" s="27" t="s">
        <v>106</v>
      </c>
      <c r="AA171" s="27"/>
      <c r="AB171" s="27"/>
      <c r="AC171" s="27"/>
      <c r="AD171" s="27"/>
      <c r="AE171" s="27"/>
      <c r="AF171" s="27"/>
      <c r="AG171" s="27"/>
      <c r="AH171" s="27"/>
      <c r="AI171" s="27"/>
      <c r="AJ171" s="4"/>
    </row>
    <row r="172" spans="1:36" ht="28" hidden="1" x14ac:dyDescent="0.35">
      <c r="A172" s="19" t="s">
        <v>531</v>
      </c>
      <c r="B172" s="38" t="s">
        <v>532</v>
      </c>
      <c r="C172" s="237" t="s">
        <v>528</v>
      </c>
      <c r="D172" s="237" t="s">
        <v>533</v>
      </c>
      <c r="E172" s="91">
        <v>13000</v>
      </c>
      <c r="F172" s="91">
        <v>4000</v>
      </c>
      <c r="G172" s="91">
        <v>2000</v>
      </c>
      <c r="H172" s="91">
        <v>1900</v>
      </c>
      <c r="I172" s="91"/>
      <c r="J172" s="91"/>
      <c r="K172" s="91"/>
      <c r="L172" s="91"/>
      <c r="M172" s="91"/>
      <c r="N172" s="91"/>
      <c r="O172" s="91"/>
      <c r="P172" s="91"/>
      <c r="Q172" s="91"/>
      <c r="R172" s="91"/>
      <c r="S172" s="91"/>
      <c r="T172" s="91"/>
      <c r="U172" s="91"/>
      <c r="V172" s="91"/>
      <c r="W172" s="91"/>
      <c r="X172" s="91"/>
      <c r="Y172" s="38" t="s">
        <v>515</v>
      </c>
      <c r="Z172" s="27"/>
      <c r="AA172" s="27"/>
      <c r="AB172" s="27"/>
      <c r="AC172" s="27"/>
      <c r="AD172" s="27"/>
      <c r="AE172" s="27"/>
      <c r="AF172" s="27"/>
      <c r="AG172" s="27"/>
      <c r="AH172" s="27"/>
      <c r="AI172" s="27"/>
      <c r="AJ172" s="4"/>
    </row>
    <row r="173" spans="1:36" ht="56" hidden="1" x14ac:dyDescent="0.35">
      <c r="A173" s="19" t="s">
        <v>534</v>
      </c>
      <c r="B173" s="38" t="s">
        <v>535</v>
      </c>
      <c r="C173" s="460" t="s">
        <v>36</v>
      </c>
      <c r="D173" s="468"/>
      <c r="E173" s="91">
        <v>20000</v>
      </c>
      <c r="F173" s="88"/>
      <c r="G173" s="88"/>
      <c r="H173" s="88"/>
      <c r="I173" s="19" t="s">
        <v>534</v>
      </c>
      <c r="J173" s="13" t="s">
        <v>536</v>
      </c>
      <c r="K173" s="460" t="s">
        <v>36</v>
      </c>
      <c r="L173" s="468"/>
      <c r="M173" s="91">
        <v>20000</v>
      </c>
      <c r="N173" s="88"/>
      <c r="O173" s="88"/>
      <c r="P173" s="88"/>
      <c r="Q173" s="88"/>
      <c r="R173" s="88"/>
      <c r="S173" s="88"/>
      <c r="T173" s="88"/>
      <c r="U173" s="88"/>
      <c r="V173" s="88"/>
      <c r="W173" s="88"/>
      <c r="X173" s="88"/>
      <c r="Y173" s="38" t="s">
        <v>537</v>
      </c>
      <c r="Z173" s="27"/>
      <c r="AA173" s="27"/>
      <c r="AB173" s="27"/>
      <c r="AC173" s="27"/>
      <c r="AD173" s="27"/>
      <c r="AE173" s="27"/>
      <c r="AF173" s="27"/>
      <c r="AG173" s="27"/>
      <c r="AH173" s="27"/>
      <c r="AI173" s="27"/>
      <c r="AJ173" s="4"/>
    </row>
    <row r="174" spans="1:36" ht="28" hidden="1" x14ac:dyDescent="0.35">
      <c r="A174" s="19" t="s">
        <v>538</v>
      </c>
      <c r="B174" s="38" t="s">
        <v>539</v>
      </c>
      <c r="C174" s="460" t="s">
        <v>36</v>
      </c>
      <c r="D174" s="468"/>
      <c r="E174" s="91">
        <v>20000</v>
      </c>
      <c r="F174" s="88"/>
      <c r="G174" s="88"/>
      <c r="H174" s="88"/>
      <c r="I174" s="19" t="s">
        <v>538</v>
      </c>
      <c r="J174" s="13" t="s">
        <v>540</v>
      </c>
      <c r="K174" s="460" t="s">
        <v>36</v>
      </c>
      <c r="L174" s="468"/>
      <c r="M174" s="91">
        <v>20000</v>
      </c>
      <c r="N174" s="88"/>
      <c r="O174" s="88"/>
      <c r="P174" s="88"/>
      <c r="Q174" s="35">
        <v>12000</v>
      </c>
      <c r="R174" s="35"/>
      <c r="S174" s="35"/>
      <c r="T174" s="35"/>
      <c r="U174" s="35">
        <v>8000</v>
      </c>
      <c r="V174" s="88"/>
      <c r="W174" s="88"/>
      <c r="X174" s="88"/>
      <c r="Y174" s="38" t="s">
        <v>541</v>
      </c>
      <c r="Z174" s="27"/>
      <c r="AA174" s="27">
        <v>55</v>
      </c>
      <c r="AB174" s="27"/>
      <c r="AC174" s="27"/>
      <c r="AD174" s="27"/>
      <c r="AE174" s="27"/>
      <c r="AF174" s="27"/>
      <c r="AG174" s="27"/>
      <c r="AH174" s="27"/>
      <c r="AI174" s="27"/>
      <c r="AJ174" s="4"/>
    </row>
    <row r="175" spans="1:36" ht="28" hidden="1" x14ac:dyDescent="0.35">
      <c r="A175" s="108" t="s">
        <v>542</v>
      </c>
      <c r="B175" s="38" t="s">
        <v>543</v>
      </c>
      <c r="C175" s="460"/>
      <c r="D175" s="451"/>
      <c r="E175" s="89"/>
      <c r="F175" s="18"/>
      <c r="G175" s="18"/>
      <c r="H175" s="18"/>
      <c r="I175" s="28"/>
      <c r="J175" s="237"/>
      <c r="K175" s="237"/>
      <c r="L175" s="237"/>
      <c r="M175" s="28">
        <v>65000</v>
      </c>
      <c r="N175" s="18"/>
      <c r="O175" s="18"/>
      <c r="P175" s="18"/>
      <c r="Q175" s="18"/>
      <c r="R175" s="18"/>
      <c r="S175" s="18"/>
      <c r="T175" s="18"/>
      <c r="U175" s="18"/>
      <c r="V175" s="18"/>
      <c r="W175" s="18"/>
      <c r="X175" s="18"/>
      <c r="Y175" s="38" t="s">
        <v>544</v>
      </c>
      <c r="Z175" s="256"/>
      <c r="AA175" s="256"/>
      <c r="AB175" s="256"/>
      <c r="AC175" s="256"/>
      <c r="AD175" s="256"/>
      <c r="AE175" s="256"/>
      <c r="AF175" s="256"/>
      <c r="AG175" s="256"/>
      <c r="AH175" s="256"/>
      <c r="AI175" s="256"/>
      <c r="AJ175" s="109"/>
    </row>
    <row r="176" spans="1:36" hidden="1" x14ac:dyDescent="0.35">
      <c r="A176" s="256">
        <v>43</v>
      </c>
      <c r="B176" s="14" t="s">
        <v>545</v>
      </c>
      <c r="C176" s="259"/>
      <c r="D176" s="259"/>
      <c r="E176" s="261"/>
      <c r="F176" s="261"/>
      <c r="G176" s="261"/>
      <c r="H176" s="261"/>
      <c r="I176" s="256">
        <v>43</v>
      </c>
      <c r="J176" s="14" t="s">
        <v>545</v>
      </c>
      <c r="K176" s="259"/>
      <c r="L176" s="259"/>
      <c r="M176" s="261"/>
      <c r="N176" s="261"/>
      <c r="O176" s="261"/>
      <c r="P176" s="261"/>
      <c r="Q176" s="261"/>
      <c r="R176" s="261"/>
      <c r="S176" s="261"/>
      <c r="T176" s="261"/>
      <c r="U176" s="261"/>
      <c r="V176" s="261"/>
      <c r="W176" s="261"/>
      <c r="X176" s="261"/>
      <c r="Y176" s="38"/>
      <c r="Z176" s="27"/>
      <c r="AA176" s="27"/>
      <c r="AB176" s="27"/>
      <c r="AC176" s="27"/>
      <c r="AD176" s="27"/>
      <c r="AE176" s="27"/>
      <c r="AF176" s="27"/>
      <c r="AG176" s="27"/>
      <c r="AH176" s="27"/>
      <c r="AI176" s="27"/>
      <c r="AJ176" s="4"/>
    </row>
    <row r="177" spans="1:36" ht="28" hidden="1" x14ac:dyDescent="0.35">
      <c r="A177" s="88" t="s">
        <v>546</v>
      </c>
      <c r="B177" s="24" t="s">
        <v>547</v>
      </c>
      <c r="C177" s="88" t="s">
        <v>548</v>
      </c>
      <c r="D177" s="88" t="s">
        <v>549</v>
      </c>
      <c r="E177" s="91">
        <v>46600</v>
      </c>
      <c r="F177" s="261"/>
      <c r="G177" s="261"/>
      <c r="H177" s="261"/>
      <c r="I177" s="88" t="s">
        <v>546</v>
      </c>
      <c r="J177" s="24" t="s">
        <v>547</v>
      </c>
      <c r="K177" s="88" t="s">
        <v>548</v>
      </c>
      <c r="L177" s="88" t="s">
        <v>549</v>
      </c>
      <c r="M177" s="91">
        <v>46600</v>
      </c>
      <c r="N177" s="92">
        <v>15600</v>
      </c>
      <c r="O177" s="92">
        <v>9000</v>
      </c>
      <c r="P177" s="92">
        <v>4200</v>
      </c>
      <c r="Q177" s="92"/>
      <c r="R177" s="92"/>
      <c r="S177" s="92"/>
      <c r="T177" s="92"/>
      <c r="U177" s="92"/>
      <c r="V177" s="92"/>
      <c r="W177" s="92"/>
      <c r="X177" s="92"/>
      <c r="Y177" s="38" t="s">
        <v>550</v>
      </c>
      <c r="Z177" s="27" t="s">
        <v>551</v>
      </c>
      <c r="AA177" s="27"/>
      <c r="AB177" s="27"/>
      <c r="AC177" s="27"/>
      <c r="AD177" s="27"/>
      <c r="AE177" s="27"/>
      <c r="AF177" s="27"/>
      <c r="AG177" s="27"/>
      <c r="AH177" s="27"/>
      <c r="AI177" s="27"/>
      <c r="AJ177" s="4"/>
    </row>
    <row r="178" spans="1:36" hidden="1" x14ac:dyDescent="0.35">
      <c r="A178" s="88"/>
      <c r="B178" s="24"/>
      <c r="C178" s="88"/>
      <c r="D178" s="88"/>
      <c r="E178" s="91"/>
      <c r="F178" s="261"/>
      <c r="G178" s="261"/>
      <c r="H178" s="261"/>
      <c r="I178" s="88"/>
      <c r="J178" s="24" t="s">
        <v>552</v>
      </c>
      <c r="K178" s="88"/>
      <c r="L178" s="88"/>
      <c r="M178" s="91"/>
      <c r="N178" s="92"/>
      <c r="O178" s="92"/>
      <c r="P178" s="92"/>
      <c r="Q178" s="92"/>
      <c r="R178" s="92"/>
      <c r="S178" s="92"/>
      <c r="T178" s="92"/>
      <c r="U178" s="92"/>
      <c r="V178" s="92"/>
      <c r="W178" s="92"/>
      <c r="X178" s="92"/>
      <c r="Y178" s="38" t="s">
        <v>553</v>
      </c>
      <c r="Z178" s="27" t="s">
        <v>551</v>
      </c>
      <c r="AA178" s="27"/>
      <c r="AB178" s="27"/>
      <c r="AC178" s="27"/>
      <c r="AD178" s="27"/>
      <c r="AE178" s="27"/>
      <c r="AF178" s="27"/>
      <c r="AG178" s="27"/>
      <c r="AH178" s="27"/>
      <c r="AI178" s="27"/>
      <c r="AJ178" s="4"/>
    </row>
    <row r="179" spans="1:36" hidden="1" x14ac:dyDescent="0.35">
      <c r="A179" s="88"/>
      <c r="B179" s="24"/>
      <c r="C179" s="88"/>
      <c r="D179" s="88"/>
      <c r="E179" s="91"/>
      <c r="F179" s="261"/>
      <c r="G179" s="261"/>
      <c r="H179" s="261"/>
      <c r="I179" s="88" t="s">
        <v>554</v>
      </c>
      <c r="J179" s="24"/>
      <c r="K179" s="88"/>
      <c r="L179" s="88"/>
      <c r="M179" s="91"/>
      <c r="N179" s="92"/>
      <c r="O179" s="92"/>
      <c r="P179" s="92"/>
      <c r="Q179" s="92"/>
      <c r="R179" s="92"/>
      <c r="S179" s="92"/>
      <c r="T179" s="92"/>
      <c r="U179" s="92"/>
      <c r="V179" s="92"/>
      <c r="W179" s="92"/>
      <c r="X179" s="92"/>
      <c r="Y179" s="38" t="s">
        <v>553</v>
      </c>
      <c r="Z179" s="27" t="s">
        <v>551</v>
      </c>
      <c r="AA179" s="27"/>
      <c r="AB179" s="27"/>
      <c r="AC179" s="27"/>
      <c r="AD179" s="27"/>
      <c r="AE179" s="27"/>
      <c r="AF179" s="27"/>
      <c r="AG179" s="27"/>
      <c r="AH179" s="27"/>
      <c r="AI179" s="27"/>
      <c r="AJ179" s="4"/>
    </row>
    <row r="180" spans="1:36" hidden="1" x14ac:dyDescent="0.35">
      <c r="A180" s="88"/>
      <c r="B180" s="24"/>
      <c r="C180" s="88"/>
      <c r="D180" s="88"/>
      <c r="E180" s="91"/>
      <c r="F180" s="261"/>
      <c r="G180" s="261"/>
      <c r="H180" s="261"/>
      <c r="I180" s="88"/>
      <c r="J180" s="24"/>
      <c r="K180" s="88"/>
      <c r="L180" s="88"/>
      <c r="M180" s="91"/>
      <c r="N180" s="92"/>
      <c r="O180" s="92"/>
      <c r="P180" s="92"/>
      <c r="Q180" s="92"/>
      <c r="R180" s="92"/>
      <c r="S180" s="92"/>
      <c r="T180" s="92"/>
      <c r="U180" s="92"/>
      <c r="V180" s="92"/>
      <c r="W180" s="92"/>
      <c r="X180" s="92"/>
      <c r="Y180" s="38"/>
      <c r="Z180" s="27"/>
      <c r="AA180" s="27"/>
      <c r="AB180" s="27"/>
      <c r="AC180" s="27"/>
      <c r="AD180" s="27"/>
      <c r="AE180" s="27"/>
      <c r="AF180" s="27"/>
      <c r="AG180" s="27"/>
      <c r="AH180" s="27"/>
      <c r="AI180" s="27"/>
      <c r="AJ180" s="4"/>
    </row>
    <row r="181" spans="1:36" ht="28" hidden="1" x14ac:dyDescent="0.35">
      <c r="A181" s="88"/>
      <c r="B181" s="24" t="s">
        <v>552</v>
      </c>
      <c r="C181" s="88"/>
      <c r="D181" s="88"/>
      <c r="E181" s="91"/>
      <c r="F181" s="261"/>
      <c r="G181" s="261"/>
      <c r="H181" s="261"/>
      <c r="I181" s="88"/>
      <c r="J181" s="24"/>
      <c r="K181" s="88"/>
      <c r="L181" s="88"/>
      <c r="M181" s="91"/>
      <c r="N181" s="92"/>
      <c r="O181" s="92"/>
      <c r="P181" s="92"/>
      <c r="Q181" s="92"/>
      <c r="R181" s="92"/>
      <c r="S181" s="92"/>
      <c r="T181" s="92"/>
      <c r="U181" s="92"/>
      <c r="V181" s="92"/>
      <c r="W181" s="92"/>
      <c r="X181" s="92"/>
      <c r="Y181" s="38" t="s">
        <v>555</v>
      </c>
      <c r="Z181" s="27"/>
      <c r="AA181" s="27" t="s">
        <v>106</v>
      </c>
      <c r="AB181" s="27"/>
      <c r="AC181" s="27"/>
      <c r="AD181" s="27"/>
      <c r="AE181" s="27"/>
      <c r="AF181" s="27"/>
      <c r="AG181" s="27"/>
      <c r="AH181" s="27"/>
      <c r="AI181" s="27"/>
      <c r="AJ181" s="4"/>
    </row>
    <row r="182" spans="1:36" hidden="1" x14ac:dyDescent="0.35">
      <c r="A182" s="88"/>
      <c r="B182" s="24"/>
      <c r="C182" s="88"/>
      <c r="D182" s="88"/>
      <c r="E182" s="91"/>
      <c r="F182" s="261"/>
      <c r="G182" s="261"/>
      <c r="H182" s="261"/>
      <c r="I182" s="88"/>
      <c r="J182" s="24"/>
      <c r="K182" s="88"/>
      <c r="L182" s="88"/>
      <c r="M182" s="91"/>
      <c r="N182" s="92"/>
      <c r="O182" s="92"/>
      <c r="P182" s="92"/>
      <c r="Q182" s="92"/>
      <c r="R182" s="92"/>
      <c r="S182" s="92"/>
      <c r="T182" s="92"/>
      <c r="U182" s="92"/>
      <c r="V182" s="92"/>
      <c r="W182" s="92"/>
      <c r="X182" s="92"/>
      <c r="Y182" s="38"/>
      <c r="Z182" s="27"/>
      <c r="AA182" s="27"/>
      <c r="AB182" s="27"/>
      <c r="AC182" s="27"/>
      <c r="AD182" s="27"/>
      <c r="AE182" s="27"/>
      <c r="AF182" s="27"/>
      <c r="AG182" s="27"/>
      <c r="AH182" s="27"/>
      <c r="AI182" s="27"/>
      <c r="AJ182" s="4"/>
    </row>
    <row r="183" spans="1:36" x14ac:dyDescent="0.35">
      <c r="A183" s="256">
        <v>44</v>
      </c>
      <c r="B183" s="14" t="s">
        <v>556</v>
      </c>
      <c r="C183" s="259"/>
      <c r="D183" s="259"/>
      <c r="E183" s="261"/>
      <c r="F183" s="261"/>
      <c r="G183" s="261"/>
      <c r="H183" s="261"/>
      <c r="I183" s="256">
        <v>44</v>
      </c>
      <c r="J183" s="14" t="s">
        <v>556</v>
      </c>
      <c r="K183" s="259"/>
      <c r="L183" s="259"/>
      <c r="M183" s="261"/>
      <c r="N183" s="261"/>
      <c r="O183" s="261"/>
      <c r="P183" s="261"/>
      <c r="Q183" s="261"/>
      <c r="R183" s="261"/>
      <c r="S183" s="261"/>
      <c r="T183" s="261"/>
      <c r="U183" s="261"/>
      <c r="V183" s="261"/>
      <c r="W183" s="261"/>
      <c r="X183" s="261"/>
      <c r="Y183" s="38"/>
      <c r="Z183" s="27"/>
      <c r="AA183" s="27"/>
      <c r="AB183" s="27"/>
      <c r="AC183" s="27"/>
      <c r="AD183" s="27"/>
      <c r="AE183" s="27"/>
      <c r="AF183" s="27"/>
      <c r="AG183" s="27"/>
      <c r="AH183" s="27"/>
      <c r="AI183" s="27"/>
      <c r="AJ183" s="4"/>
    </row>
    <row r="184" spans="1:36" ht="60.4" hidden="1" customHeight="1" x14ac:dyDescent="0.35">
      <c r="A184" s="19"/>
      <c r="B184" s="38"/>
      <c r="C184" s="38"/>
      <c r="D184" s="38"/>
      <c r="E184" s="18"/>
      <c r="F184" s="18"/>
      <c r="G184" s="18"/>
      <c r="H184" s="18"/>
      <c r="I184" s="19"/>
      <c r="J184" s="38" t="s">
        <v>557</v>
      </c>
      <c r="K184" s="38"/>
      <c r="L184" s="38"/>
      <c r="M184" s="18"/>
      <c r="N184" s="18"/>
      <c r="O184" s="18"/>
      <c r="P184" s="18"/>
      <c r="Q184" s="18"/>
      <c r="R184" s="18"/>
      <c r="S184" s="18"/>
      <c r="T184" s="18"/>
      <c r="U184" s="18"/>
      <c r="V184" s="18"/>
      <c r="W184" s="18"/>
      <c r="X184" s="18"/>
      <c r="Y184" s="463" t="s">
        <v>558</v>
      </c>
      <c r="Z184" s="27" t="s">
        <v>551</v>
      </c>
      <c r="AA184" s="27"/>
      <c r="AB184" s="27"/>
      <c r="AC184" s="27"/>
      <c r="AD184" s="27"/>
      <c r="AE184" s="27"/>
      <c r="AF184" s="27"/>
      <c r="AG184" s="27"/>
      <c r="AH184" s="27"/>
      <c r="AI184" s="27"/>
      <c r="AJ184" s="4"/>
    </row>
    <row r="185" spans="1:36" ht="42" hidden="1" x14ac:dyDescent="0.35">
      <c r="A185" s="19"/>
      <c r="B185" s="38"/>
      <c r="C185" s="38"/>
      <c r="D185" s="38"/>
      <c r="E185" s="18"/>
      <c r="F185" s="18"/>
      <c r="G185" s="18"/>
      <c r="H185" s="18"/>
      <c r="I185" s="19"/>
      <c r="J185" s="38" t="s">
        <v>559</v>
      </c>
      <c r="K185" s="38"/>
      <c r="L185" s="38"/>
      <c r="M185" s="261"/>
      <c r="N185" s="261"/>
      <c r="O185" s="261"/>
      <c r="P185" s="261"/>
      <c r="Q185" s="261"/>
      <c r="R185" s="261"/>
      <c r="S185" s="261"/>
      <c r="T185" s="261"/>
      <c r="U185" s="261"/>
      <c r="V185" s="261"/>
      <c r="W185" s="261"/>
      <c r="X185" s="261"/>
      <c r="Y185" s="463"/>
      <c r="Z185" s="27"/>
      <c r="AA185" s="27"/>
      <c r="AB185" s="27"/>
      <c r="AC185" s="27"/>
      <c r="AD185" s="27"/>
      <c r="AE185" s="27"/>
      <c r="AF185" s="27"/>
      <c r="AG185" s="27"/>
      <c r="AH185" s="27"/>
      <c r="AI185" s="27"/>
      <c r="AJ185" s="4"/>
    </row>
    <row r="186" spans="1:36" ht="28" hidden="1" x14ac:dyDescent="0.35">
      <c r="A186" s="19" t="s">
        <v>143</v>
      </c>
      <c r="B186" s="38" t="s">
        <v>560</v>
      </c>
      <c r="C186" s="259"/>
      <c r="D186" s="259"/>
      <c r="E186" s="261"/>
      <c r="F186" s="261"/>
      <c r="G186" s="261"/>
      <c r="H186" s="261"/>
      <c r="I186" s="19" t="s">
        <v>143</v>
      </c>
      <c r="J186" s="38" t="s">
        <v>560</v>
      </c>
      <c r="K186" s="259"/>
      <c r="L186" s="259"/>
      <c r="M186" s="261"/>
      <c r="N186" s="261"/>
      <c r="O186" s="261"/>
      <c r="P186" s="261"/>
      <c r="Q186" s="261"/>
      <c r="R186" s="261"/>
      <c r="S186" s="261"/>
      <c r="T186" s="261"/>
      <c r="U186" s="261"/>
      <c r="V186" s="261"/>
      <c r="W186" s="261"/>
      <c r="X186" s="261"/>
      <c r="Y186" s="38"/>
      <c r="Z186" s="27"/>
      <c r="AA186" s="27"/>
      <c r="AB186" s="27"/>
      <c r="AC186" s="27"/>
      <c r="AD186" s="27"/>
      <c r="AE186" s="27"/>
      <c r="AF186" s="27"/>
      <c r="AG186" s="27"/>
      <c r="AH186" s="27"/>
      <c r="AI186" s="27"/>
      <c r="AJ186" s="4"/>
    </row>
    <row r="187" spans="1:36" ht="43.15" hidden="1" customHeight="1" x14ac:dyDescent="0.35">
      <c r="A187" s="19" t="s">
        <v>561</v>
      </c>
      <c r="B187" s="38" t="s">
        <v>560</v>
      </c>
      <c r="C187" s="38" t="s">
        <v>562</v>
      </c>
      <c r="D187" s="38" t="s">
        <v>563</v>
      </c>
      <c r="E187" s="18">
        <v>21000</v>
      </c>
      <c r="F187" s="18">
        <v>9300</v>
      </c>
      <c r="G187" s="18">
        <v>3500</v>
      </c>
      <c r="H187" s="18">
        <v>1100</v>
      </c>
      <c r="I187" s="19" t="s">
        <v>561</v>
      </c>
      <c r="J187" s="38" t="s">
        <v>560</v>
      </c>
      <c r="K187" s="38" t="s">
        <v>562</v>
      </c>
      <c r="L187" s="38" t="s">
        <v>563</v>
      </c>
      <c r="M187" s="58">
        <v>25100</v>
      </c>
      <c r="N187" s="58">
        <v>8000</v>
      </c>
      <c r="O187" s="58">
        <v>2900</v>
      </c>
      <c r="P187" s="58">
        <v>900</v>
      </c>
      <c r="Q187" s="58"/>
      <c r="R187" s="58"/>
      <c r="S187" s="58"/>
      <c r="T187" s="58"/>
      <c r="U187" s="58"/>
      <c r="V187" s="58"/>
      <c r="W187" s="58"/>
      <c r="X187" s="58"/>
      <c r="Y187" s="463" t="s">
        <v>564</v>
      </c>
      <c r="Z187" s="27" t="s">
        <v>551</v>
      </c>
      <c r="AA187" s="27"/>
      <c r="AB187" s="27"/>
      <c r="AC187" s="27"/>
      <c r="AD187" s="27"/>
      <c r="AE187" s="27"/>
      <c r="AF187" s="27"/>
      <c r="AG187" s="27"/>
      <c r="AH187" s="27"/>
      <c r="AI187" s="27"/>
      <c r="AJ187" s="4"/>
    </row>
    <row r="188" spans="1:36" ht="56" hidden="1" x14ac:dyDescent="0.35">
      <c r="A188" s="19" t="s">
        <v>565</v>
      </c>
      <c r="B188" s="38" t="s">
        <v>560</v>
      </c>
      <c r="C188" s="237" t="s">
        <v>566</v>
      </c>
      <c r="D188" s="237" t="s">
        <v>567</v>
      </c>
      <c r="E188" s="18">
        <v>25100</v>
      </c>
      <c r="F188" s="18">
        <v>8000</v>
      </c>
      <c r="G188" s="18">
        <v>2900</v>
      </c>
      <c r="H188" s="18">
        <v>900</v>
      </c>
      <c r="I188" s="19" t="s">
        <v>565</v>
      </c>
      <c r="J188" s="38" t="s">
        <v>560</v>
      </c>
      <c r="K188" s="237" t="s">
        <v>566</v>
      </c>
      <c r="L188" s="237" t="s">
        <v>567</v>
      </c>
      <c r="M188" s="58">
        <v>21000</v>
      </c>
      <c r="N188" s="58">
        <v>9300</v>
      </c>
      <c r="O188" s="58">
        <v>3500</v>
      </c>
      <c r="P188" s="58">
        <v>1100</v>
      </c>
      <c r="Q188" s="58"/>
      <c r="R188" s="58"/>
      <c r="S188" s="58"/>
      <c r="T188" s="58"/>
      <c r="U188" s="58"/>
      <c r="V188" s="58"/>
      <c r="W188" s="58"/>
      <c r="X188" s="58"/>
      <c r="Y188" s="463"/>
      <c r="Z188" s="27" t="s">
        <v>551</v>
      </c>
      <c r="AA188" s="27"/>
      <c r="AB188" s="27"/>
      <c r="AC188" s="27"/>
      <c r="AD188" s="27"/>
      <c r="AE188" s="27"/>
      <c r="AF188" s="27"/>
      <c r="AG188" s="27"/>
      <c r="AH188" s="27"/>
      <c r="AI188" s="27"/>
      <c r="AJ188" s="4"/>
    </row>
    <row r="189" spans="1:36" ht="42" hidden="1" x14ac:dyDescent="0.35">
      <c r="A189" s="19" t="s">
        <v>200</v>
      </c>
      <c r="B189" s="38" t="s">
        <v>568</v>
      </c>
      <c r="C189" s="237"/>
      <c r="D189" s="237"/>
      <c r="E189" s="18"/>
      <c r="F189" s="18"/>
      <c r="G189" s="18"/>
      <c r="H189" s="18"/>
      <c r="I189" s="19" t="s">
        <v>200</v>
      </c>
      <c r="J189" s="38" t="s">
        <v>568</v>
      </c>
      <c r="K189" s="237"/>
      <c r="L189" s="237"/>
      <c r="M189" s="58"/>
      <c r="N189" s="58"/>
      <c r="O189" s="58"/>
      <c r="P189" s="58"/>
      <c r="Q189" s="58"/>
      <c r="R189" s="58"/>
      <c r="S189" s="58"/>
      <c r="T189" s="58"/>
      <c r="U189" s="58"/>
      <c r="V189" s="58"/>
      <c r="W189" s="58"/>
      <c r="X189" s="58"/>
      <c r="Y189" s="38"/>
      <c r="Z189" s="27"/>
      <c r="AA189" s="27"/>
      <c r="AB189" s="27"/>
      <c r="AC189" s="27"/>
      <c r="AD189" s="27"/>
      <c r="AE189" s="27"/>
      <c r="AF189" s="27"/>
      <c r="AG189" s="27"/>
      <c r="AH189" s="27"/>
      <c r="AI189" s="27"/>
      <c r="AJ189" s="4"/>
    </row>
    <row r="190" spans="1:36" ht="70" hidden="1" x14ac:dyDescent="0.35">
      <c r="A190" s="19" t="s">
        <v>153</v>
      </c>
      <c r="B190" s="38" t="s">
        <v>569</v>
      </c>
      <c r="C190" s="237" t="s">
        <v>570</v>
      </c>
      <c r="D190" s="237" t="s">
        <v>571</v>
      </c>
      <c r="E190" s="18">
        <v>10000</v>
      </c>
      <c r="F190" s="18">
        <v>4400</v>
      </c>
      <c r="G190" s="18">
        <v>1900</v>
      </c>
      <c r="H190" s="18">
        <v>600</v>
      </c>
      <c r="I190" s="19" t="s">
        <v>153</v>
      </c>
      <c r="J190" s="38" t="s">
        <v>569</v>
      </c>
      <c r="K190" s="238" t="s">
        <v>570</v>
      </c>
      <c r="L190" s="263" t="s">
        <v>572</v>
      </c>
      <c r="M190" s="18">
        <v>10000</v>
      </c>
      <c r="N190" s="18">
        <v>4400</v>
      </c>
      <c r="O190" s="18">
        <v>1900</v>
      </c>
      <c r="P190" s="18">
        <v>600</v>
      </c>
      <c r="Q190" s="35">
        <v>6000</v>
      </c>
      <c r="R190" s="35">
        <v>2640</v>
      </c>
      <c r="S190" s="35">
        <v>1140</v>
      </c>
      <c r="T190" s="35">
        <v>360</v>
      </c>
      <c r="U190" s="35">
        <v>4000</v>
      </c>
      <c r="V190" s="35">
        <v>1760</v>
      </c>
      <c r="W190" s="35">
        <v>760</v>
      </c>
      <c r="X190" s="35">
        <v>240</v>
      </c>
      <c r="Y190" s="38" t="s">
        <v>469</v>
      </c>
      <c r="Z190" s="27"/>
      <c r="AA190" s="27"/>
      <c r="AB190" s="27"/>
      <c r="AC190" s="27"/>
      <c r="AD190" s="27"/>
      <c r="AE190" s="27"/>
      <c r="AF190" s="27"/>
      <c r="AG190" s="27"/>
      <c r="AH190" s="27"/>
      <c r="AI190" s="27"/>
      <c r="AJ190" s="4"/>
    </row>
    <row r="191" spans="1:36" ht="70" hidden="1" x14ac:dyDescent="0.35">
      <c r="A191" s="19" t="s">
        <v>573</v>
      </c>
      <c r="B191" s="38" t="s">
        <v>569</v>
      </c>
      <c r="C191" s="237" t="s">
        <v>574</v>
      </c>
      <c r="D191" s="237" t="s">
        <v>575</v>
      </c>
      <c r="E191" s="18">
        <v>6300</v>
      </c>
      <c r="F191" s="18">
        <v>2700</v>
      </c>
      <c r="G191" s="18">
        <v>1000</v>
      </c>
      <c r="H191" s="18">
        <v>450</v>
      </c>
      <c r="I191" s="19" t="s">
        <v>573</v>
      </c>
      <c r="J191" s="38" t="s">
        <v>569</v>
      </c>
      <c r="K191" s="263" t="s">
        <v>576</v>
      </c>
      <c r="L191" s="238" t="s">
        <v>575</v>
      </c>
      <c r="M191" s="18">
        <v>6300</v>
      </c>
      <c r="N191" s="18">
        <v>2700</v>
      </c>
      <c r="O191" s="18">
        <v>1000</v>
      </c>
      <c r="P191" s="18">
        <v>450</v>
      </c>
      <c r="Q191" s="35">
        <v>3780</v>
      </c>
      <c r="R191" s="35">
        <v>1620</v>
      </c>
      <c r="S191" s="35">
        <v>600</v>
      </c>
      <c r="T191" s="35">
        <v>270</v>
      </c>
      <c r="U191" s="35">
        <v>2520</v>
      </c>
      <c r="V191" s="35">
        <v>1080</v>
      </c>
      <c r="W191" s="35">
        <v>400</v>
      </c>
      <c r="X191" s="35">
        <v>180</v>
      </c>
      <c r="Y191" s="38" t="s">
        <v>469</v>
      </c>
      <c r="Z191" s="27"/>
      <c r="AA191" s="27"/>
      <c r="AB191" s="27"/>
      <c r="AC191" s="27"/>
      <c r="AD191" s="27"/>
      <c r="AE191" s="27"/>
      <c r="AF191" s="27"/>
      <c r="AG191" s="27"/>
      <c r="AH191" s="27"/>
      <c r="AI191" s="27"/>
      <c r="AJ191" s="4"/>
    </row>
    <row r="192" spans="1:36" ht="45.65" customHeight="1" x14ac:dyDescent="0.35">
      <c r="A192" s="19" t="s">
        <v>577</v>
      </c>
      <c r="B192" s="38" t="s">
        <v>560</v>
      </c>
      <c r="C192" s="237" t="s">
        <v>578</v>
      </c>
      <c r="D192" s="237" t="s">
        <v>579</v>
      </c>
      <c r="E192" s="18">
        <v>5100</v>
      </c>
      <c r="F192" s="18">
        <v>2700</v>
      </c>
      <c r="G192" s="18">
        <v>1200</v>
      </c>
      <c r="H192" s="18">
        <v>450</v>
      </c>
      <c r="I192" s="256"/>
      <c r="J192" s="14"/>
      <c r="K192" s="259"/>
      <c r="L192" s="259"/>
      <c r="M192" s="261"/>
      <c r="N192" s="261"/>
      <c r="O192" s="261"/>
      <c r="P192" s="261"/>
      <c r="Q192" s="261"/>
      <c r="R192" s="261"/>
      <c r="S192" s="261"/>
      <c r="T192" s="261"/>
      <c r="U192" s="261"/>
      <c r="V192" s="261"/>
      <c r="W192" s="261"/>
      <c r="X192" s="261"/>
      <c r="Y192" s="38" t="s">
        <v>580</v>
      </c>
      <c r="Z192" s="27"/>
      <c r="AA192" s="27"/>
      <c r="AB192" s="18">
        <v>3060</v>
      </c>
      <c r="AC192" s="18">
        <v>1620</v>
      </c>
      <c r="AD192" s="18">
        <v>720</v>
      </c>
      <c r="AE192" s="18">
        <v>270</v>
      </c>
      <c r="AF192" s="18">
        <v>2040</v>
      </c>
      <c r="AG192" s="18">
        <v>1080</v>
      </c>
      <c r="AH192" s="18">
        <v>480</v>
      </c>
      <c r="AI192" s="18">
        <v>180</v>
      </c>
      <c r="AJ192" s="4"/>
    </row>
    <row r="193" spans="1:36" ht="74.900000000000006" hidden="1" customHeight="1" x14ac:dyDescent="0.35">
      <c r="A193" s="19" t="s">
        <v>581</v>
      </c>
      <c r="B193" s="38" t="s">
        <v>79</v>
      </c>
      <c r="C193" s="237"/>
      <c r="D193" s="237"/>
      <c r="E193" s="18"/>
      <c r="F193" s="18"/>
      <c r="G193" s="18"/>
      <c r="H193" s="18"/>
      <c r="I193" s="19" t="s">
        <v>581</v>
      </c>
      <c r="J193" s="38" t="s">
        <v>79</v>
      </c>
      <c r="K193" s="259"/>
      <c r="L193" s="259"/>
      <c r="M193" s="261">
        <v>7000</v>
      </c>
      <c r="N193" s="261"/>
      <c r="O193" s="261"/>
      <c r="P193" s="261"/>
      <c r="Q193" s="261"/>
      <c r="R193" s="261"/>
      <c r="S193" s="261"/>
      <c r="T193" s="261"/>
      <c r="U193" s="261"/>
      <c r="V193" s="261"/>
      <c r="W193" s="261"/>
      <c r="X193" s="261"/>
      <c r="Y193" s="38" t="s">
        <v>582</v>
      </c>
      <c r="Z193" s="256" t="s">
        <v>583</v>
      </c>
      <c r="AA193" s="27"/>
      <c r="AB193" s="27"/>
      <c r="AC193" s="27"/>
      <c r="AD193" s="27"/>
      <c r="AE193" s="27"/>
      <c r="AF193" s="27"/>
      <c r="AG193" s="27"/>
      <c r="AH193" s="27"/>
      <c r="AI193" s="27"/>
      <c r="AJ193" s="4"/>
    </row>
    <row r="194" spans="1:36" ht="28" x14ac:dyDescent="0.35">
      <c r="A194" s="19" t="s">
        <v>584</v>
      </c>
      <c r="B194" s="38" t="s">
        <v>585</v>
      </c>
      <c r="C194" s="259"/>
      <c r="D194" s="259"/>
      <c r="E194" s="261"/>
      <c r="F194" s="261"/>
      <c r="G194" s="261"/>
      <c r="H194" s="261"/>
      <c r="I194" s="256"/>
      <c r="J194" s="14"/>
      <c r="K194" s="259"/>
      <c r="L194" s="259"/>
      <c r="M194" s="261"/>
      <c r="N194" s="261"/>
      <c r="O194" s="261"/>
      <c r="P194" s="261"/>
      <c r="Q194" s="261"/>
      <c r="R194" s="261"/>
      <c r="S194" s="261"/>
      <c r="T194" s="261"/>
      <c r="U194" s="261"/>
      <c r="V194" s="261"/>
      <c r="W194" s="261"/>
      <c r="X194" s="261"/>
      <c r="Y194" s="38"/>
      <c r="Z194" s="27"/>
      <c r="AA194" s="27"/>
      <c r="AB194" s="27"/>
      <c r="AC194" s="27"/>
      <c r="AD194" s="27"/>
      <c r="AE194" s="27"/>
      <c r="AF194" s="27"/>
      <c r="AG194" s="27"/>
      <c r="AH194" s="27"/>
      <c r="AI194" s="27"/>
      <c r="AJ194" s="4"/>
    </row>
    <row r="195" spans="1:36" ht="33" x14ac:dyDescent="0.35">
      <c r="A195" s="19" t="s">
        <v>586</v>
      </c>
      <c r="B195" s="38" t="s">
        <v>587</v>
      </c>
      <c r="C195" s="38" t="s">
        <v>588</v>
      </c>
      <c r="D195" s="38" t="s">
        <v>589</v>
      </c>
      <c r="E195" s="18">
        <v>400</v>
      </c>
      <c r="F195" s="18">
        <v>350</v>
      </c>
      <c r="G195" s="18">
        <v>300</v>
      </c>
      <c r="H195" s="18">
        <v>250</v>
      </c>
      <c r="I195" s="256"/>
      <c r="J195" s="14"/>
      <c r="K195" s="259"/>
      <c r="L195" s="259"/>
      <c r="M195" s="261"/>
      <c r="N195" s="261"/>
      <c r="O195" s="261"/>
      <c r="P195" s="261"/>
      <c r="Q195" s="261"/>
      <c r="R195" s="261"/>
      <c r="S195" s="261"/>
      <c r="T195" s="261"/>
      <c r="U195" s="261"/>
      <c r="V195" s="261"/>
      <c r="W195" s="261"/>
      <c r="X195" s="261"/>
      <c r="Y195" s="106" t="s">
        <v>590</v>
      </c>
      <c r="Z195" s="27"/>
      <c r="AA195" s="27"/>
      <c r="AB195" s="18">
        <v>240</v>
      </c>
      <c r="AC195" s="18">
        <v>210</v>
      </c>
      <c r="AD195" s="18">
        <v>180</v>
      </c>
      <c r="AE195" s="18">
        <v>150</v>
      </c>
      <c r="AF195" s="18">
        <v>160</v>
      </c>
      <c r="AG195" s="18">
        <v>140</v>
      </c>
      <c r="AH195" s="18">
        <v>120</v>
      </c>
      <c r="AI195" s="18">
        <v>100</v>
      </c>
      <c r="AJ195" s="4"/>
    </row>
    <row r="196" spans="1:36" hidden="1" x14ac:dyDescent="0.35">
      <c r="A196" s="19" t="s">
        <v>591</v>
      </c>
      <c r="B196" s="38" t="s">
        <v>592</v>
      </c>
      <c r="C196" s="38"/>
      <c r="D196" s="38"/>
      <c r="E196" s="18"/>
      <c r="F196" s="18"/>
      <c r="G196" s="18"/>
      <c r="H196" s="18"/>
      <c r="I196" s="256"/>
      <c r="J196" s="14"/>
      <c r="K196" s="259"/>
      <c r="L196" s="259"/>
      <c r="M196" s="261"/>
      <c r="N196" s="261"/>
      <c r="O196" s="261"/>
      <c r="P196" s="261"/>
      <c r="Q196" s="261"/>
      <c r="R196" s="261"/>
      <c r="S196" s="261"/>
      <c r="T196" s="261"/>
      <c r="U196" s="261"/>
      <c r="V196" s="261"/>
      <c r="W196" s="261"/>
      <c r="X196" s="261"/>
      <c r="Y196" s="15"/>
      <c r="Z196" s="27"/>
      <c r="AA196" s="27"/>
      <c r="AB196" s="27"/>
      <c r="AC196" s="27"/>
      <c r="AD196" s="27"/>
      <c r="AE196" s="27"/>
      <c r="AF196" s="27"/>
      <c r="AG196" s="27"/>
      <c r="AH196" s="27"/>
      <c r="AI196" s="27"/>
      <c r="AJ196" s="4"/>
    </row>
    <row r="197" spans="1:36" s="253" customFormat="1" ht="43.15" hidden="1" customHeight="1" x14ac:dyDescent="0.35">
      <c r="A197" s="19" t="s">
        <v>593</v>
      </c>
      <c r="B197" s="38" t="s">
        <v>592</v>
      </c>
      <c r="C197" s="237" t="s">
        <v>594</v>
      </c>
      <c r="D197" s="237" t="s">
        <v>595</v>
      </c>
      <c r="E197" s="18">
        <v>5300</v>
      </c>
      <c r="F197" s="18">
        <v>2400</v>
      </c>
      <c r="G197" s="18">
        <v>1200</v>
      </c>
      <c r="H197" s="18">
        <v>450</v>
      </c>
      <c r="I197" s="102" t="s">
        <v>593</v>
      </c>
      <c r="J197" s="31" t="s">
        <v>592</v>
      </c>
      <c r="K197" s="238" t="s">
        <v>596</v>
      </c>
      <c r="L197" s="238" t="s">
        <v>597</v>
      </c>
      <c r="M197" s="18">
        <v>5300</v>
      </c>
      <c r="N197" s="18">
        <v>2400</v>
      </c>
      <c r="O197" s="18">
        <v>1200</v>
      </c>
      <c r="P197" s="18">
        <v>450</v>
      </c>
      <c r="Q197" s="35">
        <v>3180</v>
      </c>
      <c r="R197" s="35">
        <v>1440</v>
      </c>
      <c r="S197" s="35">
        <v>720</v>
      </c>
      <c r="T197" s="35">
        <v>270</v>
      </c>
      <c r="U197" s="35">
        <v>2120</v>
      </c>
      <c r="V197" s="35">
        <v>960</v>
      </c>
      <c r="W197" s="35">
        <v>480</v>
      </c>
      <c r="X197" s="35">
        <v>180</v>
      </c>
      <c r="Y197" s="38" t="s">
        <v>469</v>
      </c>
      <c r="Z197" s="27" t="s">
        <v>551</v>
      </c>
      <c r="AA197" s="27"/>
      <c r="AB197" s="27"/>
      <c r="AC197" s="27"/>
      <c r="AD197" s="27"/>
      <c r="AE197" s="27"/>
      <c r="AF197" s="27"/>
      <c r="AG197" s="27"/>
      <c r="AH197" s="27"/>
      <c r="AI197" s="27"/>
      <c r="AJ197" s="281"/>
    </row>
    <row r="198" spans="1:36" s="253" customFormat="1" ht="121" hidden="1" customHeight="1" x14ac:dyDescent="0.35">
      <c r="A198" s="19"/>
      <c r="B198" s="38"/>
      <c r="C198" s="237"/>
      <c r="D198" s="237"/>
      <c r="E198" s="18"/>
      <c r="F198" s="18"/>
      <c r="G198" s="18"/>
      <c r="H198" s="18"/>
      <c r="I198" s="102" t="s">
        <v>598</v>
      </c>
      <c r="J198" s="31" t="s">
        <v>599</v>
      </c>
      <c r="K198" s="238" t="s">
        <v>600</v>
      </c>
      <c r="L198" s="238" t="s">
        <v>601</v>
      </c>
      <c r="M198" s="135">
        <v>5300</v>
      </c>
      <c r="N198" s="135">
        <v>2400</v>
      </c>
      <c r="O198" s="135">
        <v>1200</v>
      </c>
      <c r="P198" s="135">
        <v>450</v>
      </c>
      <c r="Q198" s="135">
        <v>3180</v>
      </c>
      <c r="R198" s="135">
        <v>1440</v>
      </c>
      <c r="S198" s="135">
        <v>720</v>
      </c>
      <c r="T198" s="135">
        <v>270</v>
      </c>
      <c r="U198" s="135">
        <v>2120</v>
      </c>
      <c r="V198" s="135">
        <v>960</v>
      </c>
      <c r="W198" s="135">
        <v>480</v>
      </c>
      <c r="X198" s="135">
        <v>180</v>
      </c>
      <c r="Y198" s="15" t="s">
        <v>602</v>
      </c>
      <c r="Z198" s="27"/>
      <c r="AA198" s="27"/>
      <c r="AB198" s="27"/>
      <c r="AC198" s="27"/>
      <c r="AD198" s="27"/>
      <c r="AE198" s="27"/>
      <c r="AF198" s="27"/>
      <c r="AG198" s="27"/>
      <c r="AH198" s="27"/>
      <c r="AI198" s="27"/>
      <c r="AJ198" s="281"/>
    </row>
    <row r="199" spans="1:36" s="253" customFormat="1" ht="72.650000000000006" hidden="1" customHeight="1" x14ac:dyDescent="0.35">
      <c r="B199" s="12"/>
      <c r="E199" s="89"/>
      <c r="F199" s="89"/>
      <c r="G199" s="89"/>
      <c r="H199" s="89"/>
      <c r="I199" s="253">
        <v>28</v>
      </c>
      <c r="J199" s="38" t="s">
        <v>603</v>
      </c>
      <c r="K199" s="469" t="s">
        <v>36</v>
      </c>
      <c r="L199" s="469"/>
      <c r="M199" s="235">
        <v>7110</v>
      </c>
      <c r="N199" s="235"/>
      <c r="O199" s="235"/>
      <c r="P199" s="235"/>
      <c r="Q199" s="89"/>
      <c r="R199" s="89"/>
      <c r="S199" s="89"/>
      <c r="T199" s="89"/>
      <c r="U199" s="89"/>
      <c r="V199" s="89"/>
      <c r="W199" s="89"/>
      <c r="X199" s="89"/>
      <c r="Y199" s="15" t="s">
        <v>604</v>
      </c>
      <c r="Z199" s="27" t="s">
        <v>551</v>
      </c>
      <c r="AJ199" s="264"/>
    </row>
    <row r="200" spans="1:36" ht="39.75" hidden="1" customHeight="1" x14ac:dyDescent="0.35">
      <c r="A200" s="256">
        <v>45</v>
      </c>
      <c r="B200" s="14" t="s">
        <v>605</v>
      </c>
      <c r="C200" s="259"/>
      <c r="D200" s="259"/>
      <c r="E200" s="261"/>
      <c r="F200" s="261"/>
      <c r="G200" s="261"/>
      <c r="H200" s="261"/>
      <c r="I200" s="256">
        <v>45</v>
      </c>
      <c r="J200" s="14" t="s">
        <v>605</v>
      </c>
      <c r="K200" s="259"/>
      <c r="L200" s="259"/>
      <c r="M200" s="261"/>
      <c r="N200" s="261"/>
      <c r="O200" s="261"/>
      <c r="P200" s="261"/>
      <c r="Q200" s="261"/>
      <c r="R200" s="261"/>
      <c r="S200" s="261"/>
      <c r="T200" s="261"/>
      <c r="U200" s="261"/>
      <c r="V200" s="261"/>
      <c r="W200" s="261"/>
      <c r="X200" s="261"/>
      <c r="Y200" s="15"/>
      <c r="Z200" s="27"/>
      <c r="AA200" s="27"/>
      <c r="AB200" s="27"/>
      <c r="AC200" s="27"/>
      <c r="AD200" s="27"/>
      <c r="AE200" s="27"/>
      <c r="AF200" s="27"/>
      <c r="AG200" s="27"/>
      <c r="AH200" s="27"/>
      <c r="AI200" s="27"/>
      <c r="AJ200" s="4"/>
    </row>
    <row r="201" spans="1:36" ht="39.75" hidden="1" customHeight="1" x14ac:dyDescent="0.35">
      <c r="A201" s="19" t="s">
        <v>167</v>
      </c>
      <c r="B201" s="38" t="s">
        <v>606</v>
      </c>
      <c r="C201" s="259"/>
      <c r="D201" s="259"/>
      <c r="E201" s="261"/>
      <c r="F201" s="261"/>
      <c r="G201" s="261"/>
      <c r="H201" s="261"/>
      <c r="I201" s="19" t="s">
        <v>167</v>
      </c>
      <c r="J201" s="38" t="s">
        <v>607</v>
      </c>
      <c r="K201" s="259"/>
      <c r="L201" s="259"/>
      <c r="M201" s="261"/>
      <c r="N201" s="261"/>
      <c r="O201" s="261"/>
      <c r="P201" s="261"/>
      <c r="Q201" s="261"/>
      <c r="R201" s="261"/>
      <c r="S201" s="261"/>
      <c r="T201" s="261"/>
      <c r="U201" s="261"/>
      <c r="V201" s="261"/>
      <c r="W201" s="261"/>
      <c r="X201" s="261"/>
      <c r="Y201" s="38" t="s">
        <v>469</v>
      </c>
      <c r="Z201" s="27"/>
      <c r="AA201" s="27"/>
      <c r="AB201" s="27"/>
      <c r="AC201" s="27"/>
      <c r="AD201" s="27"/>
      <c r="AE201" s="27"/>
      <c r="AF201" s="27"/>
      <c r="AG201" s="27"/>
      <c r="AH201" s="27"/>
      <c r="AI201" s="27"/>
      <c r="AJ201" s="4"/>
    </row>
    <row r="202" spans="1:36" ht="39.75" hidden="1" customHeight="1" x14ac:dyDescent="0.35">
      <c r="A202" s="19" t="s">
        <v>608</v>
      </c>
      <c r="B202" s="38" t="s">
        <v>609</v>
      </c>
      <c r="C202" s="237"/>
      <c r="D202" s="237"/>
      <c r="E202" s="237"/>
      <c r="F202" s="18"/>
      <c r="G202" s="18"/>
      <c r="H202" s="237"/>
      <c r="I202" s="19" t="s">
        <v>608</v>
      </c>
      <c r="J202" s="38" t="s">
        <v>610</v>
      </c>
      <c r="K202" s="237"/>
      <c r="L202" s="237"/>
      <c r="M202" s="237"/>
      <c r="N202" s="18"/>
      <c r="O202" s="18"/>
      <c r="P202" s="237"/>
      <c r="Q202" s="261"/>
      <c r="R202" s="261"/>
      <c r="S202" s="261"/>
      <c r="T202" s="261"/>
      <c r="U202" s="261"/>
      <c r="V202" s="261"/>
      <c r="W202" s="261"/>
      <c r="X202" s="261"/>
      <c r="Y202" s="38" t="s">
        <v>469</v>
      </c>
      <c r="Z202" s="27"/>
      <c r="AA202" s="27"/>
      <c r="AB202" s="27"/>
      <c r="AC202" s="27"/>
      <c r="AD202" s="27"/>
      <c r="AE202" s="27"/>
      <c r="AF202" s="27"/>
      <c r="AG202" s="27"/>
      <c r="AH202" s="27"/>
      <c r="AI202" s="27"/>
      <c r="AJ202" s="4"/>
    </row>
    <row r="203" spans="1:36" ht="39.75" hidden="1" customHeight="1" x14ac:dyDescent="0.35">
      <c r="A203" s="19" t="s">
        <v>611</v>
      </c>
      <c r="B203" s="38" t="s">
        <v>612</v>
      </c>
      <c r="C203" s="237"/>
      <c r="D203" s="237"/>
      <c r="E203" s="237">
        <v>700</v>
      </c>
      <c r="F203" s="18"/>
      <c r="G203" s="18"/>
      <c r="H203" s="237"/>
      <c r="I203" s="19" t="s">
        <v>611</v>
      </c>
      <c r="J203" s="38" t="s">
        <v>613</v>
      </c>
      <c r="K203" s="237"/>
      <c r="L203" s="237"/>
      <c r="M203" s="237">
        <v>700</v>
      </c>
      <c r="N203" s="18"/>
      <c r="O203" s="18"/>
      <c r="P203" s="237"/>
      <c r="Q203" s="35">
        <v>420</v>
      </c>
      <c r="R203" s="35"/>
      <c r="S203" s="35"/>
      <c r="T203" s="35"/>
      <c r="U203" s="35">
        <v>280</v>
      </c>
      <c r="V203" s="261"/>
      <c r="W203" s="261"/>
      <c r="X203" s="261"/>
      <c r="Y203" s="38" t="s">
        <v>469</v>
      </c>
      <c r="Z203" s="27"/>
      <c r="AA203" s="27"/>
      <c r="AB203" s="27"/>
      <c r="AC203" s="27"/>
      <c r="AD203" s="27"/>
      <c r="AE203" s="27"/>
      <c r="AF203" s="27"/>
      <c r="AG203" s="27"/>
      <c r="AH203" s="27"/>
      <c r="AI203" s="27"/>
      <c r="AJ203" s="4"/>
    </row>
    <row r="204" spans="1:36" ht="39.75" hidden="1" customHeight="1" x14ac:dyDescent="0.35">
      <c r="A204" s="19" t="s">
        <v>614</v>
      </c>
      <c r="B204" s="38" t="s">
        <v>615</v>
      </c>
      <c r="C204" s="237"/>
      <c r="D204" s="237"/>
      <c r="E204" s="237">
        <v>500</v>
      </c>
      <c r="F204" s="18"/>
      <c r="G204" s="18"/>
      <c r="H204" s="237"/>
      <c r="I204" s="19" t="s">
        <v>614</v>
      </c>
      <c r="J204" s="138" t="s">
        <v>615</v>
      </c>
      <c r="K204" s="237"/>
      <c r="L204" s="237"/>
      <c r="M204" s="237">
        <v>500</v>
      </c>
      <c r="N204" s="18"/>
      <c r="O204" s="18"/>
      <c r="P204" s="237"/>
      <c r="Q204" s="261"/>
      <c r="R204" s="261"/>
      <c r="S204" s="261"/>
      <c r="T204" s="261"/>
      <c r="U204" s="261"/>
      <c r="V204" s="261"/>
      <c r="W204" s="261"/>
      <c r="X204" s="261"/>
      <c r="Y204" s="15" t="s">
        <v>616</v>
      </c>
      <c r="Z204" s="27"/>
      <c r="AA204" s="27"/>
      <c r="AB204" s="27"/>
      <c r="AC204" s="27"/>
      <c r="AD204" s="27"/>
      <c r="AE204" s="27"/>
      <c r="AF204" s="27"/>
      <c r="AG204" s="27"/>
      <c r="AH204" s="27"/>
      <c r="AI204" s="27"/>
      <c r="AJ204" s="4"/>
    </row>
    <row r="205" spans="1:36" ht="42.75" hidden="1" customHeight="1" x14ac:dyDescent="0.35">
      <c r="A205" s="256">
        <v>46</v>
      </c>
      <c r="B205" s="14" t="s">
        <v>617</v>
      </c>
      <c r="C205" s="259"/>
      <c r="D205" s="259"/>
      <c r="E205" s="261"/>
      <c r="F205" s="261"/>
      <c r="G205" s="261"/>
      <c r="H205" s="261"/>
      <c r="I205" s="256">
        <v>46</v>
      </c>
      <c r="J205" s="14" t="s">
        <v>617</v>
      </c>
      <c r="K205" s="259"/>
      <c r="L205" s="259"/>
      <c r="M205" s="261"/>
      <c r="N205" s="261"/>
      <c r="O205" s="261"/>
      <c r="P205" s="261"/>
      <c r="Q205" s="261"/>
      <c r="R205" s="261"/>
      <c r="S205" s="261"/>
      <c r="T205" s="261"/>
      <c r="U205" s="261"/>
      <c r="V205" s="261"/>
      <c r="W205" s="261"/>
      <c r="X205" s="261"/>
      <c r="Y205" s="15" t="s">
        <v>101</v>
      </c>
      <c r="Z205" s="27"/>
      <c r="AA205" s="27"/>
      <c r="AB205" s="27"/>
      <c r="AC205" s="27"/>
      <c r="AD205" s="27"/>
      <c r="AE205" s="27"/>
      <c r="AF205" s="27"/>
      <c r="AG205" s="27"/>
      <c r="AH205" s="27"/>
      <c r="AI205" s="27"/>
      <c r="AJ205" s="4"/>
    </row>
    <row r="206" spans="1:36" hidden="1" x14ac:dyDescent="0.35">
      <c r="A206" s="19" t="s">
        <v>200</v>
      </c>
      <c r="B206" s="38" t="s">
        <v>201</v>
      </c>
      <c r="C206" s="259"/>
      <c r="D206" s="259"/>
      <c r="E206" s="261"/>
      <c r="F206" s="261"/>
      <c r="G206" s="261"/>
      <c r="H206" s="261"/>
      <c r="I206" s="19" t="s">
        <v>200</v>
      </c>
      <c r="J206" s="38" t="s">
        <v>201</v>
      </c>
      <c r="K206" s="259"/>
      <c r="L206" s="259"/>
      <c r="M206" s="261"/>
      <c r="N206" s="261"/>
      <c r="O206" s="261"/>
      <c r="P206" s="261"/>
      <c r="Q206" s="261"/>
      <c r="R206" s="261"/>
      <c r="S206" s="261"/>
      <c r="T206" s="261"/>
      <c r="U206" s="261"/>
      <c r="V206" s="261"/>
      <c r="W206" s="261"/>
      <c r="X206" s="261"/>
      <c r="Y206" s="38"/>
      <c r="Z206" s="27"/>
      <c r="AA206" s="27"/>
      <c r="AB206" s="27"/>
      <c r="AC206" s="27"/>
      <c r="AD206" s="27"/>
      <c r="AE206" s="27"/>
      <c r="AF206" s="27"/>
      <c r="AG206" s="27"/>
      <c r="AH206" s="27"/>
      <c r="AI206" s="27"/>
      <c r="AJ206" s="4"/>
    </row>
    <row r="207" spans="1:36" ht="67.5" hidden="1" customHeight="1" x14ac:dyDescent="0.35">
      <c r="A207" s="19" t="s">
        <v>573</v>
      </c>
      <c r="B207" s="38" t="s">
        <v>618</v>
      </c>
      <c r="C207" s="237" t="s">
        <v>619</v>
      </c>
      <c r="D207" s="237" t="s">
        <v>620</v>
      </c>
      <c r="E207" s="57">
        <v>21000</v>
      </c>
      <c r="F207" s="57" t="s">
        <v>621</v>
      </c>
      <c r="G207" s="57" t="s">
        <v>621</v>
      </c>
      <c r="H207" s="141" t="s">
        <v>621</v>
      </c>
      <c r="I207" s="19" t="s">
        <v>573</v>
      </c>
      <c r="J207" s="38" t="s">
        <v>618</v>
      </c>
      <c r="K207" s="237" t="s">
        <v>619</v>
      </c>
      <c r="L207" s="259" t="s">
        <v>622</v>
      </c>
      <c r="M207" s="57">
        <v>21000</v>
      </c>
      <c r="N207" s="57" t="s">
        <v>621</v>
      </c>
      <c r="O207" s="57" t="s">
        <v>621</v>
      </c>
      <c r="P207" s="141" t="s">
        <v>621</v>
      </c>
      <c r="Q207" s="35">
        <v>12600</v>
      </c>
      <c r="R207" s="35"/>
      <c r="S207" s="35"/>
      <c r="T207" s="35"/>
      <c r="U207" s="35">
        <v>8400</v>
      </c>
      <c r="V207" s="141"/>
      <c r="W207" s="141"/>
      <c r="X207" s="141"/>
      <c r="Y207" s="38" t="s">
        <v>229</v>
      </c>
      <c r="Z207" s="27"/>
      <c r="AA207" s="27"/>
      <c r="AB207" s="27"/>
      <c r="AC207" s="27"/>
      <c r="AD207" s="27"/>
      <c r="AE207" s="27"/>
      <c r="AF207" s="27"/>
      <c r="AG207" s="27"/>
      <c r="AH207" s="27"/>
      <c r="AI207" s="27"/>
      <c r="AJ207" s="4"/>
    </row>
    <row r="208" spans="1:36" ht="24" hidden="1" customHeight="1" x14ac:dyDescent="0.35">
      <c r="A208" s="19" t="s">
        <v>623</v>
      </c>
      <c r="B208" s="38" t="s">
        <v>624</v>
      </c>
      <c r="C208" s="259"/>
      <c r="D208" s="259"/>
      <c r="E208" s="261"/>
      <c r="F208" s="261"/>
      <c r="G208" s="261"/>
      <c r="H208" s="261"/>
      <c r="I208" s="19" t="s">
        <v>623</v>
      </c>
      <c r="J208" s="38" t="s">
        <v>624</v>
      </c>
      <c r="K208" s="259"/>
      <c r="L208" s="259"/>
      <c r="M208" s="261"/>
      <c r="N208" s="261"/>
      <c r="O208" s="261"/>
      <c r="P208" s="261"/>
      <c r="Q208" s="35"/>
      <c r="R208" s="35"/>
      <c r="S208" s="35"/>
      <c r="T208" s="35"/>
      <c r="U208" s="35"/>
      <c r="V208" s="261"/>
      <c r="W208" s="261"/>
      <c r="X208" s="261"/>
      <c r="Y208" s="38"/>
      <c r="Z208" s="27"/>
      <c r="AA208" s="27"/>
      <c r="AB208" s="27"/>
      <c r="AC208" s="27"/>
      <c r="AD208" s="27"/>
      <c r="AE208" s="27"/>
      <c r="AF208" s="27"/>
      <c r="AG208" s="27"/>
      <c r="AH208" s="27"/>
      <c r="AI208" s="27"/>
      <c r="AJ208" s="4"/>
    </row>
    <row r="209" spans="1:36" ht="84" hidden="1" customHeight="1" x14ac:dyDescent="0.35">
      <c r="A209" s="19" t="s">
        <v>625</v>
      </c>
      <c r="B209" s="38" t="s">
        <v>626</v>
      </c>
      <c r="C209" s="237" t="s">
        <v>627</v>
      </c>
      <c r="D209" s="237" t="s">
        <v>628</v>
      </c>
      <c r="E209" s="57">
        <v>44800</v>
      </c>
      <c r="F209" s="57" t="s">
        <v>621</v>
      </c>
      <c r="G209" s="57" t="s">
        <v>621</v>
      </c>
      <c r="H209" s="141" t="s">
        <v>621</v>
      </c>
      <c r="I209" s="19" t="s">
        <v>625</v>
      </c>
      <c r="J209" s="13" t="s">
        <v>624</v>
      </c>
      <c r="K209" s="259" t="s">
        <v>629</v>
      </c>
      <c r="L209" s="237" t="s">
        <v>630</v>
      </c>
      <c r="M209" s="57">
        <v>44800</v>
      </c>
      <c r="N209" s="57" t="s">
        <v>621</v>
      </c>
      <c r="O209" s="57" t="s">
        <v>621</v>
      </c>
      <c r="P209" s="141" t="s">
        <v>621</v>
      </c>
      <c r="Q209" s="35">
        <v>26880</v>
      </c>
      <c r="R209" s="35"/>
      <c r="S209" s="35"/>
      <c r="T209" s="35"/>
      <c r="U209" s="35">
        <v>17920</v>
      </c>
      <c r="V209" s="141"/>
      <c r="W209" s="141"/>
      <c r="X209" s="141"/>
      <c r="Y209" s="38" t="s">
        <v>229</v>
      </c>
      <c r="Z209" s="27" t="s">
        <v>631</v>
      </c>
      <c r="AA209" s="27"/>
      <c r="AB209" s="27"/>
      <c r="AC209" s="27"/>
      <c r="AD209" s="27"/>
      <c r="AE209" s="27"/>
      <c r="AF209" s="27"/>
      <c r="AG209" s="27"/>
      <c r="AH209" s="27"/>
      <c r="AI209" s="27"/>
      <c r="AJ209" s="4"/>
    </row>
    <row r="210" spans="1:36" hidden="1" x14ac:dyDescent="0.35">
      <c r="A210" s="256">
        <v>47</v>
      </c>
      <c r="B210" s="14" t="s">
        <v>632</v>
      </c>
      <c r="C210" s="259"/>
      <c r="D210" s="259"/>
      <c r="E210" s="261"/>
      <c r="F210" s="261"/>
      <c r="G210" s="261"/>
      <c r="H210" s="261"/>
      <c r="I210" s="256">
        <v>47</v>
      </c>
      <c r="J210" s="14" t="s">
        <v>632</v>
      </c>
      <c r="K210" s="259"/>
      <c r="L210" s="259"/>
      <c r="M210" s="261"/>
      <c r="N210" s="261"/>
      <c r="O210" s="261"/>
      <c r="P210" s="261"/>
      <c r="Q210" s="261"/>
      <c r="R210" s="261"/>
      <c r="S210" s="261"/>
      <c r="T210" s="261"/>
      <c r="U210" s="261"/>
      <c r="V210" s="261"/>
      <c r="W210" s="261"/>
      <c r="X210" s="261"/>
      <c r="Y210" s="13"/>
      <c r="Z210" s="27"/>
      <c r="AA210" s="27"/>
      <c r="AB210" s="27"/>
      <c r="AC210" s="27"/>
      <c r="AD210" s="27"/>
      <c r="AE210" s="27"/>
      <c r="AF210" s="27"/>
      <c r="AG210" s="27"/>
      <c r="AH210" s="27"/>
      <c r="AI210" s="27"/>
      <c r="AJ210" s="4"/>
    </row>
    <row r="211" spans="1:36" ht="70" hidden="1" x14ac:dyDescent="0.35">
      <c r="A211" s="19" t="s">
        <v>25</v>
      </c>
      <c r="B211" s="38" t="s">
        <v>633</v>
      </c>
      <c r="C211" s="237" t="s">
        <v>634</v>
      </c>
      <c r="D211" s="237" t="s">
        <v>635</v>
      </c>
      <c r="E211" s="18">
        <v>7500</v>
      </c>
      <c r="F211" s="18"/>
      <c r="G211" s="18"/>
      <c r="H211" s="237"/>
      <c r="I211" s="102" t="s">
        <v>25</v>
      </c>
      <c r="J211" s="31" t="s">
        <v>636</v>
      </c>
      <c r="K211" s="238" t="s">
        <v>637</v>
      </c>
      <c r="L211" s="238" t="s">
        <v>638</v>
      </c>
      <c r="M211" s="18">
        <v>7500</v>
      </c>
      <c r="N211" s="261"/>
      <c r="O211" s="261"/>
      <c r="P211" s="261"/>
      <c r="Q211" s="35">
        <v>4500</v>
      </c>
      <c r="R211" s="35"/>
      <c r="S211" s="35"/>
      <c r="T211" s="35"/>
      <c r="U211" s="35">
        <v>3000</v>
      </c>
      <c r="V211" s="261"/>
      <c r="W211" s="261"/>
      <c r="X211" s="261"/>
      <c r="Y211" s="469" t="s">
        <v>639</v>
      </c>
      <c r="Z211" s="27"/>
      <c r="AA211" s="27"/>
      <c r="AB211" s="27"/>
      <c r="AC211" s="27"/>
      <c r="AD211" s="27"/>
      <c r="AE211" s="27"/>
      <c r="AF211" s="27"/>
      <c r="AG211" s="27"/>
      <c r="AH211" s="27"/>
      <c r="AI211" s="27"/>
      <c r="AJ211" s="4"/>
    </row>
    <row r="212" spans="1:36" ht="56" hidden="1" x14ac:dyDescent="0.35">
      <c r="A212" s="19" t="s">
        <v>640</v>
      </c>
      <c r="B212" s="38" t="s">
        <v>641</v>
      </c>
      <c r="C212" s="237" t="s">
        <v>642</v>
      </c>
      <c r="D212" s="237" t="s">
        <v>643</v>
      </c>
      <c r="E212" s="18">
        <v>3500</v>
      </c>
      <c r="F212" s="18"/>
      <c r="G212" s="18"/>
      <c r="H212" s="237"/>
      <c r="I212" s="102" t="s">
        <v>640</v>
      </c>
      <c r="J212" s="31" t="s">
        <v>644</v>
      </c>
      <c r="K212" s="238" t="s">
        <v>642</v>
      </c>
      <c r="L212" s="238" t="s">
        <v>643</v>
      </c>
      <c r="M212" s="18">
        <v>3500</v>
      </c>
      <c r="N212" s="261"/>
      <c r="O212" s="261"/>
      <c r="P212" s="261"/>
      <c r="Q212" s="35">
        <v>2100</v>
      </c>
      <c r="R212" s="35"/>
      <c r="S212" s="35"/>
      <c r="T212" s="35"/>
      <c r="U212" s="35">
        <v>1400</v>
      </c>
      <c r="V212" s="261"/>
      <c r="W212" s="261"/>
      <c r="X212" s="261"/>
      <c r="Y212" s="469"/>
      <c r="Z212" s="27"/>
      <c r="AA212" s="27"/>
      <c r="AB212" s="27"/>
      <c r="AC212" s="27"/>
      <c r="AD212" s="27"/>
      <c r="AE212" s="27"/>
      <c r="AF212" s="27"/>
      <c r="AG212" s="27"/>
      <c r="AH212" s="27"/>
      <c r="AI212" s="27"/>
      <c r="AJ212" s="4"/>
    </row>
    <row r="213" spans="1:36" ht="70" hidden="1" x14ac:dyDescent="0.35">
      <c r="A213" s="19" t="s">
        <v>645</v>
      </c>
      <c r="B213" s="38" t="s">
        <v>646</v>
      </c>
      <c r="C213" s="237" t="s">
        <v>647</v>
      </c>
      <c r="D213" s="237" t="s">
        <v>648</v>
      </c>
      <c r="E213" s="18">
        <v>5800</v>
      </c>
      <c r="F213" s="261"/>
      <c r="G213" s="261"/>
      <c r="H213" s="261"/>
      <c r="I213" s="102" t="s">
        <v>645</v>
      </c>
      <c r="J213" s="31" t="s">
        <v>649</v>
      </c>
      <c r="K213" s="238" t="s">
        <v>650</v>
      </c>
      <c r="L213" s="238" t="s">
        <v>648</v>
      </c>
      <c r="M213" s="18">
        <v>5800</v>
      </c>
      <c r="N213" s="261"/>
      <c r="O213" s="261"/>
      <c r="P213" s="261"/>
      <c r="Q213" s="35">
        <v>3480</v>
      </c>
      <c r="R213" s="35"/>
      <c r="S213" s="35"/>
      <c r="T213" s="35"/>
      <c r="U213" s="35">
        <v>2320</v>
      </c>
      <c r="V213" s="261"/>
      <c r="W213" s="261"/>
      <c r="X213" s="261"/>
      <c r="Y213" s="469"/>
      <c r="Z213" s="27"/>
      <c r="AA213" s="27"/>
      <c r="AB213" s="27"/>
      <c r="AC213" s="27"/>
      <c r="AD213" s="27"/>
      <c r="AE213" s="27"/>
      <c r="AF213" s="27"/>
      <c r="AG213" s="27"/>
      <c r="AH213" s="27"/>
      <c r="AI213" s="27"/>
      <c r="AJ213" s="4"/>
    </row>
    <row r="214" spans="1:36" ht="42" hidden="1" x14ac:dyDescent="0.35">
      <c r="A214" s="19" t="s">
        <v>651</v>
      </c>
      <c r="B214" s="38" t="s">
        <v>652</v>
      </c>
      <c r="C214" s="237" t="s">
        <v>653</v>
      </c>
      <c r="D214" s="237" t="s">
        <v>654</v>
      </c>
      <c r="E214" s="18">
        <v>7500</v>
      </c>
      <c r="F214" s="18"/>
      <c r="G214" s="18"/>
      <c r="H214" s="237"/>
      <c r="I214" s="102" t="s">
        <v>651</v>
      </c>
      <c r="J214" s="31" t="s">
        <v>655</v>
      </c>
      <c r="K214" s="238" t="s">
        <v>653</v>
      </c>
      <c r="L214" s="238" t="s">
        <v>654</v>
      </c>
      <c r="M214" s="18">
        <v>7500</v>
      </c>
      <c r="N214" s="261"/>
      <c r="O214" s="261"/>
      <c r="P214" s="261"/>
      <c r="Q214" s="35">
        <v>4500</v>
      </c>
      <c r="R214" s="35"/>
      <c r="S214" s="35"/>
      <c r="T214" s="35"/>
      <c r="U214" s="35">
        <v>3000</v>
      </c>
      <c r="V214" s="261"/>
      <c r="W214" s="261"/>
      <c r="X214" s="261"/>
      <c r="Y214" s="469"/>
      <c r="Z214" s="27"/>
      <c r="AA214" s="27"/>
      <c r="AB214" s="27"/>
      <c r="AC214" s="27"/>
      <c r="AD214" s="27"/>
      <c r="AE214" s="27"/>
      <c r="AF214" s="27"/>
      <c r="AG214" s="27"/>
      <c r="AH214" s="27"/>
      <c r="AI214" s="27"/>
      <c r="AJ214" s="4"/>
    </row>
    <row r="215" spans="1:36" ht="84" hidden="1" x14ac:dyDescent="0.35">
      <c r="A215" s="19" t="s">
        <v>656</v>
      </c>
      <c r="B215" s="38" t="s">
        <v>657</v>
      </c>
      <c r="C215" s="237" t="s">
        <v>658</v>
      </c>
      <c r="D215" s="237" t="s">
        <v>659</v>
      </c>
      <c r="E215" s="18">
        <v>10400</v>
      </c>
      <c r="F215" s="18"/>
      <c r="G215" s="18"/>
      <c r="H215" s="237"/>
      <c r="I215" s="102" t="s">
        <v>656</v>
      </c>
      <c r="J215" s="38" t="s">
        <v>660</v>
      </c>
      <c r="K215" s="38" t="s">
        <v>661</v>
      </c>
      <c r="L215" s="38" t="s">
        <v>662</v>
      </c>
      <c r="M215" s="18">
        <v>10400</v>
      </c>
      <c r="N215" s="261"/>
      <c r="O215" s="261"/>
      <c r="P215" s="261"/>
      <c r="Q215" s="35">
        <v>6240</v>
      </c>
      <c r="R215" s="35"/>
      <c r="S215" s="35"/>
      <c r="T215" s="35"/>
      <c r="U215" s="35">
        <v>4200</v>
      </c>
      <c r="V215" s="261"/>
      <c r="W215" s="261"/>
      <c r="X215" s="261"/>
      <c r="Y215" s="469"/>
      <c r="Z215" s="27"/>
      <c r="AA215" s="27"/>
      <c r="AB215" s="27"/>
      <c r="AC215" s="27"/>
      <c r="AD215" s="27"/>
      <c r="AE215" s="27"/>
      <c r="AF215" s="27"/>
      <c r="AG215" s="27"/>
      <c r="AH215" s="27"/>
      <c r="AI215" s="27"/>
      <c r="AJ215" s="4"/>
    </row>
    <row r="216" spans="1:36" ht="42" hidden="1" x14ac:dyDescent="0.35">
      <c r="A216" s="19" t="s">
        <v>663</v>
      </c>
      <c r="B216" s="38" t="s">
        <v>664</v>
      </c>
      <c r="C216" s="237" t="s">
        <v>665</v>
      </c>
      <c r="D216" s="237" t="s">
        <v>666</v>
      </c>
      <c r="E216" s="18">
        <v>1900</v>
      </c>
      <c r="F216" s="18"/>
      <c r="G216" s="18"/>
      <c r="H216" s="237"/>
      <c r="I216" s="102" t="s">
        <v>663</v>
      </c>
      <c r="J216" s="38" t="s">
        <v>667</v>
      </c>
      <c r="K216" s="38" t="s">
        <v>668</v>
      </c>
      <c r="L216" s="38" t="s">
        <v>669</v>
      </c>
      <c r="M216" s="18">
        <v>1900</v>
      </c>
      <c r="N216" s="261"/>
      <c r="O216" s="261"/>
      <c r="P216" s="261"/>
      <c r="Q216" s="35">
        <v>1140</v>
      </c>
      <c r="R216" s="35"/>
      <c r="S216" s="35"/>
      <c r="T216" s="35"/>
      <c r="U216" s="35">
        <v>760</v>
      </c>
      <c r="V216" s="261"/>
      <c r="W216" s="261"/>
      <c r="X216" s="261"/>
      <c r="Y216" s="469"/>
      <c r="Z216" s="27"/>
      <c r="AA216" s="27"/>
      <c r="AB216" s="27"/>
      <c r="AC216" s="27"/>
      <c r="AD216" s="27"/>
      <c r="AE216" s="27"/>
      <c r="AF216" s="27"/>
      <c r="AG216" s="27"/>
      <c r="AH216" s="27"/>
      <c r="AI216" s="27"/>
      <c r="AJ216" s="4"/>
    </row>
    <row r="217" spans="1:36" ht="56" hidden="1" x14ac:dyDescent="0.35">
      <c r="A217" s="19" t="s">
        <v>670</v>
      </c>
      <c r="B217" s="38" t="s">
        <v>671</v>
      </c>
      <c r="C217" s="237" t="s">
        <v>672</v>
      </c>
      <c r="D217" s="237" t="s">
        <v>673</v>
      </c>
      <c r="E217" s="18">
        <v>4400</v>
      </c>
      <c r="F217" s="18"/>
      <c r="G217" s="18"/>
      <c r="H217" s="237"/>
      <c r="I217" s="102" t="s">
        <v>670</v>
      </c>
      <c r="J217" s="38" t="s">
        <v>674</v>
      </c>
      <c r="K217" s="38" t="s">
        <v>675</v>
      </c>
      <c r="L217" s="38" t="s">
        <v>676</v>
      </c>
      <c r="M217" s="18">
        <v>4400</v>
      </c>
      <c r="N217" s="261"/>
      <c r="O217" s="261"/>
      <c r="P217" s="261"/>
      <c r="Q217" s="50">
        <v>2640</v>
      </c>
      <c r="R217" s="50"/>
      <c r="S217" s="50"/>
      <c r="T217" s="50"/>
      <c r="U217" s="50">
        <v>1800</v>
      </c>
      <c r="V217" s="261"/>
      <c r="W217" s="261"/>
      <c r="X217" s="261"/>
      <c r="Y217" s="469"/>
      <c r="Z217" s="27"/>
      <c r="AA217" s="27"/>
      <c r="AB217" s="27"/>
      <c r="AC217" s="27"/>
      <c r="AD217" s="27"/>
      <c r="AE217" s="27"/>
      <c r="AF217" s="27"/>
      <c r="AG217" s="27"/>
      <c r="AH217" s="27"/>
      <c r="AI217" s="27"/>
      <c r="AJ217" s="4"/>
    </row>
    <row r="218" spans="1:36" ht="42" hidden="1" x14ac:dyDescent="0.35">
      <c r="A218" s="19" t="s">
        <v>677</v>
      </c>
      <c r="B218" s="38" t="s">
        <v>678</v>
      </c>
      <c r="C218" s="237" t="s">
        <v>679</v>
      </c>
      <c r="D218" s="237" t="s">
        <v>680</v>
      </c>
      <c r="E218" s="18">
        <v>3500</v>
      </c>
      <c r="F218" s="18"/>
      <c r="G218" s="18"/>
      <c r="H218" s="237"/>
      <c r="I218" s="102" t="s">
        <v>677</v>
      </c>
      <c r="J218" s="38" t="s">
        <v>681</v>
      </c>
      <c r="K218" s="38" t="s">
        <v>679</v>
      </c>
      <c r="L218" s="38" t="s">
        <v>680</v>
      </c>
      <c r="M218" s="18">
        <v>3500</v>
      </c>
      <c r="N218" s="261"/>
      <c r="O218" s="261"/>
      <c r="P218" s="261"/>
      <c r="Q218" s="50">
        <v>2100</v>
      </c>
      <c r="R218" s="50"/>
      <c r="S218" s="50"/>
      <c r="T218" s="50"/>
      <c r="U218" s="50">
        <v>1400</v>
      </c>
      <c r="V218" s="261"/>
      <c r="W218" s="261"/>
      <c r="X218" s="261"/>
      <c r="Y218" s="469"/>
      <c r="Z218" s="27"/>
      <c r="AA218" s="27"/>
      <c r="AB218" s="27"/>
      <c r="AC218" s="27"/>
      <c r="AD218" s="27"/>
      <c r="AE218" s="27"/>
      <c r="AF218" s="27"/>
      <c r="AG218" s="27"/>
      <c r="AH218" s="27"/>
      <c r="AI218" s="27"/>
      <c r="AJ218" s="4"/>
    </row>
    <row r="219" spans="1:36" hidden="1" x14ac:dyDescent="0.35">
      <c r="A219" s="256">
        <v>48</v>
      </c>
      <c r="B219" s="14" t="s">
        <v>682</v>
      </c>
      <c r="C219" s="259"/>
      <c r="D219" s="259"/>
      <c r="E219" s="261"/>
      <c r="F219" s="261"/>
      <c r="G219" s="261"/>
      <c r="H219" s="261"/>
      <c r="I219" s="256">
        <v>48</v>
      </c>
      <c r="J219" s="14" t="s">
        <v>682</v>
      </c>
      <c r="K219" s="259"/>
      <c r="L219" s="259"/>
      <c r="M219" s="261"/>
      <c r="N219" s="261"/>
      <c r="O219" s="261"/>
      <c r="P219" s="261"/>
      <c r="Q219" s="261"/>
      <c r="R219" s="261"/>
      <c r="S219" s="261"/>
      <c r="T219" s="261"/>
      <c r="U219" s="261"/>
      <c r="V219" s="261"/>
      <c r="W219" s="261"/>
      <c r="X219" s="261"/>
      <c r="Y219" s="13"/>
      <c r="Z219" s="27"/>
      <c r="AA219" s="27"/>
      <c r="AB219" s="27"/>
      <c r="AC219" s="27"/>
      <c r="AD219" s="27"/>
      <c r="AE219" s="27"/>
      <c r="AF219" s="27"/>
      <c r="AG219" s="27"/>
      <c r="AH219" s="27"/>
      <c r="AI219" s="27"/>
      <c r="AJ219" s="4"/>
    </row>
    <row r="220" spans="1:36" ht="42" hidden="1" x14ac:dyDescent="0.35">
      <c r="A220" s="145">
        <v>1.1000000000000001</v>
      </c>
      <c r="B220" s="38" t="s">
        <v>683</v>
      </c>
      <c r="C220" s="237" t="s">
        <v>684</v>
      </c>
      <c r="D220" s="237" t="s">
        <v>685</v>
      </c>
      <c r="E220" s="28">
        <v>13200</v>
      </c>
      <c r="F220" s="28"/>
      <c r="G220" s="28"/>
      <c r="H220" s="28"/>
      <c r="I220" s="145">
        <v>1.1000000000000001</v>
      </c>
      <c r="J220" s="38" t="s">
        <v>686</v>
      </c>
      <c r="K220" s="237" t="s">
        <v>684</v>
      </c>
      <c r="L220" s="237" t="s">
        <v>687</v>
      </c>
      <c r="M220" s="28">
        <v>13200</v>
      </c>
      <c r="N220" s="261"/>
      <c r="O220" s="261"/>
      <c r="P220" s="261"/>
      <c r="Q220" s="35">
        <v>7920</v>
      </c>
      <c r="R220" s="35"/>
      <c r="S220" s="35"/>
      <c r="T220" s="35"/>
      <c r="U220" s="35">
        <v>5280</v>
      </c>
      <c r="V220" s="261"/>
      <c r="W220" s="261"/>
      <c r="X220" s="261"/>
      <c r="Y220" s="238" t="s">
        <v>120</v>
      </c>
      <c r="Z220" s="27"/>
      <c r="AA220" s="27"/>
      <c r="AB220" s="27"/>
      <c r="AC220" s="27"/>
      <c r="AD220" s="27"/>
      <c r="AE220" s="27"/>
      <c r="AF220" s="27"/>
      <c r="AG220" s="27"/>
      <c r="AH220" s="27"/>
      <c r="AI220" s="27"/>
      <c r="AJ220" s="4"/>
    </row>
    <row r="221" spans="1:36" ht="42" hidden="1" x14ac:dyDescent="0.35">
      <c r="A221" s="27">
        <v>1.1100000000000001</v>
      </c>
      <c r="B221" s="38" t="s">
        <v>688</v>
      </c>
      <c r="C221" s="237" t="s">
        <v>689</v>
      </c>
      <c r="D221" s="237" t="s">
        <v>690</v>
      </c>
      <c r="E221" s="28">
        <v>11300</v>
      </c>
      <c r="F221" s="28"/>
      <c r="G221" s="28"/>
      <c r="H221" s="28"/>
      <c r="I221" s="27">
        <v>1.1100000000000001</v>
      </c>
      <c r="J221" s="38" t="s">
        <v>691</v>
      </c>
      <c r="K221" s="237" t="s">
        <v>692</v>
      </c>
      <c r="L221" s="237" t="s">
        <v>693</v>
      </c>
      <c r="M221" s="28">
        <v>11300</v>
      </c>
      <c r="N221" s="261"/>
      <c r="O221" s="261"/>
      <c r="P221" s="261"/>
      <c r="Q221" s="35">
        <v>6780</v>
      </c>
      <c r="R221" s="35"/>
      <c r="S221" s="35"/>
      <c r="T221" s="35"/>
      <c r="U221" s="35">
        <v>4520</v>
      </c>
      <c r="V221" s="261"/>
      <c r="W221" s="261"/>
      <c r="X221" s="261"/>
      <c r="Y221" s="238" t="s">
        <v>120</v>
      </c>
      <c r="Z221" s="27"/>
      <c r="AA221" s="27"/>
      <c r="AB221" s="27" t="s">
        <v>694</v>
      </c>
      <c r="AC221" s="27"/>
      <c r="AD221" s="27"/>
      <c r="AE221" s="27"/>
      <c r="AF221" s="27"/>
      <c r="AG221" s="27"/>
      <c r="AH221" s="27"/>
      <c r="AI221" s="27"/>
      <c r="AJ221" s="4"/>
    </row>
    <row r="222" spans="1:36" hidden="1" x14ac:dyDescent="0.35">
      <c r="A222" s="256"/>
      <c r="B222" s="14"/>
      <c r="C222" s="259"/>
      <c r="D222" s="259"/>
      <c r="E222" s="261"/>
      <c r="F222" s="261"/>
      <c r="G222" s="261"/>
      <c r="H222" s="261"/>
      <c r="I222" s="256"/>
      <c r="J222" s="14"/>
      <c r="K222" s="259"/>
      <c r="L222" s="259"/>
      <c r="M222" s="261"/>
      <c r="N222" s="261"/>
      <c r="O222" s="261"/>
      <c r="P222" s="261"/>
      <c r="Q222" s="261"/>
      <c r="R222" s="261"/>
      <c r="S222" s="261"/>
      <c r="T222" s="261"/>
      <c r="U222" s="261"/>
      <c r="V222" s="261"/>
      <c r="W222" s="261"/>
      <c r="X222" s="261"/>
      <c r="Y222" s="13"/>
      <c r="Z222" s="27"/>
      <c r="AA222" s="27"/>
      <c r="AB222" s="27"/>
      <c r="AC222" s="27"/>
      <c r="AD222" s="27"/>
      <c r="AE222" s="27"/>
      <c r="AF222" s="27"/>
      <c r="AG222" s="27"/>
      <c r="AH222" s="27"/>
      <c r="AI222" s="27"/>
      <c r="AJ222" s="4"/>
    </row>
    <row r="223" spans="1:36" hidden="1" x14ac:dyDescent="0.35">
      <c r="A223" s="256">
        <v>49</v>
      </c>
      <c r="B223" s="14" t="s">
        <v>695</v>
      </c>
      <c r="C223" s="259"/>
      <c r="D223" s="259"/>
      <c r="E223" s="261"/>
      <c r="F223" s="261"/>
      <c r="G223" s="261"/>
      <c r="H223" s="261"/>
      <c r="I223" s="256">
        <v>49</v>
      </c>
      <c r="J223" s="14" t="s">
        <v>695</v>
      </c>
      <c r="K223" s="259"/>
      <c r="L223" s="259"/>
      <c r="M223" s="261"/>
      <c r="N223" s="261"/>
      <c r="O223" s="261"/>
      <c r="P223" s="261"/>
      <c r="Q223" s="261"/>
      <c r="R223" s="261"/>
      <c r="S223" s="261"/>
      <c r="T223" s="261"/>
      <c r="U223" s="261"/>
      <c r="V223" s="261"/>
      <c r="W223" s="261"/>
      <c r="X223" s="261"/>
      <c r="Y223" s="38"/>
      <c r="Z223" s="27"/>
      <c r="AA223" s="27"/>
      <c r="AB223" s="27"/>
      <c r="AC223" s="27"/>
      <c r="AD223" s="27"/>
      <c r="AE223" s="27"/>
      <c r="AF223" s="27"/>
      <c r="AG223" s="27"/>
      <c r="AH223" s="27"/>
      <c r="AI223" s="27"/>
      <c r="AJ223" s="4"/>
    </row>
    <row r="224" spans="1:36" hidden="1" x14ac:dyDescent="0.35">
      <c r="A224" s="108" t="s">
        <v>696</v>
      </c>
      <c r="B224" s="38" t="s">
        <v>697</v>
      </c>
      <c r="C224" s="259"/>
      <c r="D224" s="259"/>
      <c r="E224" s="261"/>
      <c r="F224" s="261"/>
      <c r="G224" s="261"/>
      <c r="H224" s="261"/>
      <c r="I224" s="108" t="s">
        <v>696</v>
      </c>
      <c r="J224" s="38" t="s">
        <v>697</v>
      </c>
      <c r="K224" s="259"/>
      <c r="L224" s="259"/>
      <c r="M224" s="261"/>
      <c r="N224" s="261"/>
      <c r="O224" s="261"/>
      <c r="P224" s="261"/>
      <c r="Q224" s="261"/>
      <c r="R224" s="261"/>
      <c r="S224" s="261"/>
      <c r="T224" s="261"/>
      <c r="U224" s="261"/>
      <c r="V224" s="261"/>
      <c r="W224" s="261"/>
      <c r="X224" s="261"/>
      <c r="Y224" s="38"/>
      <c r="Z224" s="27"/>
      <c r="AA224" s="27"/>
      <c r="AB224" s="27"/>
      <c r="AC224" s="27"/>
      <c r="AD224" s="27"/>
      <c r="AE224" s="27"/>
      <c r="AF224" s="27"/>
      <c r="AG224" s="27"/>
      <c r="AH224" s="27"/>
      <c r="AI224" s="27"/>
      <c r="AJ224" s="4"/>
    </row>
    <row r="225" spans="1:36" ht="42.4" hidden="1" customHeight="1" x14ac:dyDescent="0.35">
      <c r="A225" s="256"/>
      <c r="B225" s="14"/>
      <c r="C225" s="259"/>
      <c r="D225" s="259"/>
      <c r="E225" s="261"/>
      <c r="F225" s="261"/>
      <c r="G225" s="261"/>
      <c r="H225" s="261"/>
      <c r="I225" s="256" t="s">
        <v>698</v>
      </c>
      <c r="J225" s="14"/>
      <c r="K225" s="259" t="s">
        <v>699</v>
      </c>
      <c r="L225" s="259" t="s">
        <v>700</v>
      </c>
      <c r="M225" s="261"/>
      <c r="N225" s="261"/>
      <c r="O225" s="261"/>
      <c r="P225" s="261"/>
      <c r="Q225" s="261"/>
      <c r="R225" s="261"/>
      <c r="S225" s="261"/>
      <c r="T225" s="261"/>
      <c r="U225" s="261"/>
      <c r="V225" s="261"/>
      <c r="W225" s="261"/>
      <c r="X225" s="261"/>
      <c r="Y225" s="38" t="s">
        <v>701</v>
      </c>
      <c r="Z225" s="27" t="s">
        <v>106</v>
      </c>
      <c r="AA225" s="27"/>
      <c r="AB225" s="27"/>
      <c r="AC225" s="27"/>
      <c r="AD225" s="27"/>
      <c r="AE225" s="27"/>
      <c r="AF225" s="27"/>
      <c r="AG225" s="27"/>
      <c r="AH225" s="27"/>
      <c r="AI225" s="27"/>
      <c r="AJ225" s="4"/>
    </row>
    <row r="226" spans="1:36" ht="42.4" hidden="1" customHeight="1" x14ac:dyDescent="0.35">
      <c r="A226" s="256"/>
      <c r="B226" s="14"/>
      <c r="C226" s="259"/>
      <c r="D226" s="259"/>
      <c r="E226" s="261"/>
      <c r="F226" s="261"/>
      <c r="G226" s="261"/>
      <c r="H226" s="261"/>
      <c r="I226" s="256"/>
      <c r="J226" s="13" t="s">
        <v>702</v>
      </c>
      <c r="K226" s="259"/>
      <c r="L226" s="259"/>
      <c r="M226" s="261"/>
      <c r="N226" s="261"/>
      <c r="O226" s="261"/>
      <c r="P226" s="261"/>
      <c r="Q226" s="261"/>
      <c r="R226" s="261"/>
      <c r="S226" s="261"/>
      <c r="T226" s="261"/>
      <c r="U226" s="261"/>
      <c r="V226" s="261"/>
      <c r="W226" s="261"/>
      <c r="X226" s="261"/>
      <c r="Y226" s="38" t="s">
        <v>701</v>
      </c>
      <c r="Z226" s="27" t="s">
        <v>106</v>
      </c>
      <c r="AA226" s="27"/>
      <c r="AB226" s="27"/>
      <c r="AC226" s="27"/>
      <c r="AD226" s="27"/>
      <c r="AE226" s="27"/>
      <c r="AF226" s="27"/>
      <c r="AG226" s="27"/>
      <c r="AH226" s="27"/>
      <c r="AI226" s="27"/>
      <c r="AJ226" s="4"/>
    </row>
    <row r="227" spans="1:36" ht="42.4" hidden="1" customHeight="1" x14ac:dyDescent="0.35">
      <c r="A227" s="256"/>
      <c r="B227" s="14"/>
      <c r="C227" s="259"/>
      <c r="D227" s="259"/>
      <c r="E227" s="261"/>
      <c r="F227" s="261"/>
      <c r="G227" s="261"/>
      <c r="H227" s="261"/>
      <c r="I227" s="256"/>
      <c r="J227" s="13" t="s">
        <v>703</v>
      </c>
      <c r="K227" s="259"/>
      <c r="L227" s="259"/>
      <c r="M227" s="261"/>
      <c r="N227" s="261"/>
      <c r="O227" s="261"/>
      <c r="P227" s="261"/>
      <c r="Q227" s="261"/>
      <c r="R227" s="261"/>
      <c r="S227" s="261"/>
      <c r="T227" s="261"/>
      <c r="U227" s="261"/>
      <c r="V227" s="261"/>
      <c r="W227" s="261"/>
      <c r="X227" s="261"/>
      <c r="Y227" s="38" t="s">
        <v>701</v>
      </c>
      <c r="Z227" s="27" t="s">
        <v>106</v>
      </c>
      <c r="AA227" s="27"/>
      <c r="AB227" s="27"/>
      <c r="AC227" s="27"/>
      <c r="AD227" s="27"/>
      <c r="AE227" s="27"/>
      <c r="AF227" s="27"/>
      <c r="AG227" s="27"/>
      <c r="AH227" s="27"/>
      <c r="AI227" s="27"/>
      <c r="AJ227" s="4"/>
    </row>
    <row r="228" spans="1:36" ht="42" x14ac:dyDescent="0.35">
      <c r="A228" s="256">
        <v>50</v>
      </c>
      <c r="B228" s="14" t="s">
        <v>704</v>
      </c>
      <c r="C228" s="259"/>
      <c r="D228" s="259"/>
      <c r="E228" s="261"/>
      <c r="F228" s="261"/>
      <c r="G228" s="261"/>
      <c r="H228" s="261"/>
      <c r="I228" s="256">
        <v>50</v>
      </c>
      <c r="J228" s="14" t="s">
        <v>704</v>
      </c>
      <c r="K228" s="259"/>
      <c r="L228" s="259"/>
      <c r="M228" s="261"/>
      <c r="N228" s="261"/>
      <c r="O228" s="261"/>
      <c r="P228" s="261"/>
      <c r="Q228" s="261"/>
      <c r="R228" s="261"/>
      <c r="S228" s="261"/>
      <c r="T228" s="261"/>
      <c r="U228" s="261"/>
      <c r="V228" s="261"/>
      <c r="W228" s="261"/>
      <c r="X228" s="261"/>
      <c r="Y228" s="13" t="s">
        <v>101</v>
      </c>
      <c r="Z228" s="27"/>
      <c r="AA228" s="27"/>
      <c r="AB228" s="27"/>
      <c r="AC228" s="27"/>
      <c r="AD228" s="27"/>
      <c r="AE228" s="27"/>
      <c r="AF228" s="27"/>
      <c r="AG228" s="27"/>
      <c r="AH228" s="27"/>
      <c r="AI228" s="27"/>
      <c r="AJ228" s="4"/>
    </row>
    <row r="229" spans="1:36" ht="28" hidden="1" x14ac:dyDescent="0.35">
      <c r="A229" s="27" t="s">
        <v>705</v>
      </c>
      <c r="B229" s="38" t="s">
        <v>706</v>
      </c>
      <c r="C229" s="237" t="s">
        <v>707</v>
      </c>
      <c r="D229" s="237" t="s">
        <v>643</v>
      </c>
      <c r="E229" s="57">
        <v>5200</v>
      </c>
      <c r="F229" s="57">
        <v>3600</v>
      </c>
      <c r="G229" s="57">
        <v>2600</v>
      </c>
      <c r="H229" s="141">
        <v>2000</v>
      </c>
      <c r="I229" s="27" t="s">
        <v>708</v>
      </c>
      <c r="J229" s="38" t="s">
        <v>709</v>
      </c>
      <c r="K229" s="237" t="s">
        <v>707</v>
      </c>
      <c r="L229" s="237" t="s">
        <v>643</v>
      </c>
      <c r="M229" s="57">
        <v>5200</v>
      </c>
      <c r="N229" s="57">
        <v>3600</v>
      </c>
      <c r="O229" s="57">
        <v>2600</v>
      </c>
      <c r="P229" s="141">
        <v>2000</v>
      </c>
      <c r="Q229" s="35">
        <v>3120</v>
      </c>
      <c r="R229" s="35">
        <v>2160</v>
      </c>
      <c r="S229" s="35">
        <v>1560</v>
      </c>
      <c r="T229" s="35">
        <v>1200</v>
      </c>
      <c r="U229" s="35">
        <v>2080</v>
      </c>
      <c r="V229" s="35">
        <v>1440</v>
      </c>
      <c r="W229" s="35">
        <v>1040</v>
      </c>
      <c r="X229" s="35">
        <v>800</v>
      </c>
      <c r="Y229" s="31" t="s">
        <v>710</v>
      </c>
      <c r="Z229" s="27" t="s">
        <v>711</v>
      </c>
      <c r="AA229" s="27"/>
      <c r="AB229" s="27"/>
      <c r="AC229" s="27"/>
      <c r="AD229" s="27"/>
      <c r="AE229" s="27"/>
      <c r="AF229" s="27"/>
      <c r="AG229" s="27"/>
      <c r="AH229" s="27"/>
      <c r="AI229" s="27"/>
      <c r="AJ229" s="4"/>
    </row>
    <row r="230" spans="1:36" ht="54" customHeight="1" x14ac:dyDescent="0.35">
      <c r="A230" s="27" t="s">
        <v>712</v>
      </c>
      <c r="B230" s="38" t="s">
        <v>713</v>
      </c>
      <c r="C230" s="237" t="s">
        <v>707</v>
      </c>
      <c r="D230" s="237" t="s">
        <v>643</v>
      </c>
      <c r="E230" s="261"/>
      <c r="F230" s="261"/>
      <c r="G230" s="261"/>
      <c r="H230" s="261"/>
      <c r="I230" s="27"/>
      <c r="J230" s="38"/>
      <c r="K230" s="237"/>
      <c r="L230" s="237"/>
      <c r="M230" s="261"/>
      <c r="N230" s="261"/>
      <c r="O230" s="261"/>
      <c r="P230" s="261"/>
      <c r="Q230" s="261"/>
      <c r="R230" s="261"/>
      <c r="S230" s="261"/>
      <c r="T230" s="261"/>
      <c r="U230" s="261"/>
      <c r="V230" s="261"/>
      <c r="W230" s="261"/>
      <c r="X230" s="261"/>
      <c r="Y230" s="38" t="s">
        <v>714</v>
      </c>
      <c r="Z230" s="27" t="s">
        <v>711</v>
      </c>
      <c r="AA230" s="27"/>
      <c r="AB230" s="27"/>
      <c r="AC230" s="27"/>
      <c r="AD230" s="27"/>
      <c r="AE230" s="27"/>
      <c r="AF230" s="27"/>
      <c r="AG230" s="27"/>
      <c r="AH230" s="27"/>
      <c r="AI230" s="27"/>
      <c r="AJ230" s="4"/>
    </row>
    <row r="231" spans="1:36" ht="54" hidden="1" customHeight="1" x14ac:dyDescent="0.35">
      <c r="A231" s="39" t="s">
        <v>715</v>
      </c>
      <c r="B231" s="151" t="s">
        <v>716</v>
      </c>
      <c r="C231" s="152" t="s">
        <v>707</v>
      </c>
      <c r="D231" s="152" t="s">
        <v>643</v>
      </c>
      <c r="E231" s="153">
        <v>7500</v>
      </c>
      <c r="F231" s="153">
        <v>4500</v>
      </c>
      <c r="G231" s="282">
        <v>3000</v>
      </c>
      <c r="H231" s="217">
        <v>2000</v>
      </c>
      <c r="I231" s="39" t="s">
        <v>717</v>
      </c>
      <c r="J231" s="254" t="s">
        <v>716</v>
      </c>
      <c r="K231" s="152" t="s">
        <v>707</v>
      </c>
      <c r="L231" s="152" t="s">
        <v>643</v>
      </c>
      <c r="M231" s="216">
        <v>7500</v>
      </c>
      <c r="N231" s="216">
        <v>4500</v>
      </c>
      <c r="O231" s="283">
        <v>3000</v>
      </c>
      <c r="P231" s="284">
        <v>2000</v>
      </c>
      <c r="Q231" s="285">
        <v>4500</v>
      </c>
      <c r="R231" s="285">
        <v>2700</v>
      </c>
      <c r="S231" s="285">
        <v>1800</v>
      </c>
      <c r="T231" s="285">
        <v>1200</v>
      </c>
      <c r="U231" s="285">
        <v>3000</v>
      </c>
      <c r="V231" s="285">
        <v>1800</v>
      </c>
      <c r="W231" s="285">
        <v>1200</v>
      </c>
      <c r="X231" s="285">
        <v>800</v>
      </c>
      <c r="Y231" s="286" t="s">
        <v>718</v>
      </c>
      <c r="Z231" s="4" t="s">
        <v>711</v>
      </c>
      <c r="AA231" s="4"/>
      <c r="AB231" s="4"/>
      <c r="AC231" s="4"/>
      <c r="AD231" s="4"/>
      <c r="AE231" s="4"/>
      <c r="AF231" s="4"/>
      <c r="AG231" s="4"/>
      <c r="AH231" s="4"/>
      <c r="AI231" s="4"/>
      <c r="AJ231" s="4"/>
    </row>
    <row r="232" spans="1:36" ht="54" hidden="1" customHeight="1" x14ac:dyDescent="0.35">
      <c r="A232" s="27" t="s">
        <v>719</v>
      </c>
      <c r="B232" s="149" t="s">
        <v>720</v>
      </c>
      <c r="C232" s="237" t="s">
        <v>707</v>
      </c>
      <c r="D232" s="237" t="s">
        <v>643</v>
      </c>
      <c r="E232" s="139">
        <v>4600</v>
      </c>
      <c r="F232" s="139">
        <v>3200</v>
      </c>
      <c r="G232" s="139">
        <v>2300</v>
      </c>
      <c r="H232" s="150">
        <v>2000</v>
      </c>
      <c r="I232" s="39" t="s">
        <v>721</v>
      </c>
      <c r="J232" s="151" t="s">
        <v>720</v>
      </c>
      <c r="K232" s="152" t="s">
        <v>707</v>
      </c>
      <c r="L232" s="152" t="s">
        <v>643</v>
      </c>
      <c r="M232" s="153">
        <v>4600</v>
      </c>
      <c r="N232" s="153">
        <v>3200</v>
      </c>
      <c r="O232" s="139">
        <v>2300</v>
      </c>
      <c r="P232" s="143">
        <v>2000</v>
      </c>
      <c r="Q232" s="35">
        <v>2760</v>
      </c>
      <c r="R232" s="35">
        <v>1920</v>
      </c>
      <c r="S232" s="35">
        <v>1380</v>
      </c>
      <c r="T232" s="35">
        <v>1200</v>
      </c>
      <c r="U232" s="35">
        <v>1840</v>
      </c>
      <c r="V232" s="35">
        <v>1280</v>
      </c>
      <c r="W232" s="35">
        <v>920</v>
      </c>
      <c r="X232" s="35">
        <v>800</v>
      </c>
      <c r="Y232" s="106" t="s">
        <v>722</v>
      </c>
      <c r="Z232" s="4" t="s">
        <v>711</v>
      </c>
      <c r="AA232" s="4"/>
      <c r="AB232" s="4"/>
      <c r="AC232" s="4"/>
      <c r="AD232" s="4"/>
      <c r="AE232" s="4"/>
      <c r="AF232" s="4"/>
      <c r="AG232" s="4"/>
      <c r="AH232" s="4"/>
      <c r="AI232" s="4"/>
      <c r="AJ232" s="4"/>
    </row>
    <row r="233" spans="1:36" ht="33" hidden="1" x14ac:dyDescent="0.35">
      <c r="A233" s="27" t="s">
        <v>721</v>
      </c>
      <c r="B233" s="149" t="s">
        <v>723</v>
      </c>
      <c r="C233" s="259"/>
      <c r="D233" s="259"/>
      <c r="E233" s="139">
        <v>2000</v>
      </c>
      <c r="F233" s="139"/>
      <c r="G233" s="139"/>
      <c r="H233" s="154"/>
      <c r="I233" s="27" t="s">
        <v>724</v>
      </c>
      <c r="J233" s="149" t="s">
        <v>723</v>
      </c>
      <c r="K233" s="259"/>
      <c r="L233" s="259"/>
      <c r="M233" s="139">
        <v>2000</v>
      </c>
      <c r="N233" s="139"/>
      <c r="O233" s="139"/>
      <c r="P233" s="143"/>
      <c r="Q233" s="35">
        <v>1200</v>
      </c>
      <c r="R233" s="35"/>
      <c r="S233" s="35"/>
      <c r="T233" s="35"/>
      <c r="U233" s="35">
        <v>800</v>
      </c>
      <c r="V233" s="141"/>
      <c r="W233" s="141"/>
      <c r="X233" s="144"/>
      <c r="Y233" s="106" t="s">
        <v>725</v>
      </c>
      <c r="Z233" s="4" t="s">
        <v>711</v>
      </c>
      <c r="AA233" s="4"/>
      <c r="AB233" s="4"/>
      <c r="AC233" s="4"/>
      <c r="AD233" s="4"/>
      <c r="AE233" s="4"/>
      <c r="AF233" s="4"/>
      <c r="AG233" s="4"/>
      <c r="AH233" s="4"/>
      <c r="AI233" s="4"/>
      <c r="AJ233" s="4"/>
    </row>
    <row r="234" spans="1:36" hidden="1" x14ac:dyDescent="0.35">
      <c r="A234" s="51">
        <v>51</v>
      </c>
      <c r="B234" s="52" t="s">
        <v>726</v>
      </c>
      <c r="C234" s="259"/>
      <c r="D234" s="259"/>
      <c r="E234" s="261"/>
      <c r="F234" s="261"/>
      <c r="G234" s="261"/>
      <c r="H234" s="261"/>
      <c r="I234" s="51">
        <v>51</v>
      </c>
      <c r="J234" s="52" t="s">
        <v>726</v>
      </c>
      <c r="K234" s="259"/>
      <c r="L234" s="259"/>
      <c r="M234" s="261"/>
      <c r="N234" s="261"/>
      <c r="O234" s="261"/>
      <c r="P234" s="34"/>
      <c r="Q234" s="261"/>
      <c r="R234" s="261"/>
      <c r="S234" s="261"/>
      <c r="T234" s="261"/>
      <c r="U234" s="261"/>
      <c r="V234" s="261"/>
      <c r="W234" s="261"/>
      <c r="X234" s="34"/>
      <c r="Y234" s="13" t="s">
        <v>22</v>
      </c>
      <c r="Z234" s="4"/>
      <c r="AA234" s="4"/>
      <c r="AB234" s="4"/>
      <c r="AC234" s="4"/>
      <c r="AD234" s="4"/>
      <c r="AE234" s="4"/>
      <c r="AF234" s="4"/>
      <c r="AG234" s="4"/>
      <c r="AH234" s="4"/>
      <c r="AI234" s="4"/>
      <c r="AJ234" s="4"/>
    </row>
    <row r="235" spans="1:36" hidden="1" x14ac:dyDescent="0.35">
      <c r="A235" s="51">
        <v>52</v>
      </c>
      <c r="B235" s="52" t="s">
        <v>727</v>
      </c>
      <c r="C235" s="259"/>
      <c r="D235" s="259"/>
      <c r="E235" s="261"/>
      <c r="F235" s="261"/>
      <c r="G235" s="261"/>
      <c r="H235" s="261"/>
      <c r="I235" s="51">
        <v>52</v>
      </c>
      <c r="J235" s="52" t="s">
        <v>727</v>
      </c>
      <c r="K235" s="259"/>
      <c r="L235" s="259"/>
      <c r="M235" s="261"/>
      <c r="N235" s="261"/>
      <c r="O235" s="261"/>
      <c r="P235" s="34"/>
      <c r="Q235" s="261"/>
      <c r="R235" s="261"/>
      <c r="S235" s="261"/>
      <c r="T235" s="261"/>
      <c r="U235" s="261"/>
      <c r="V235" s="261"/>
      <c r="W235" s="261"/>
      <c r="X235" s="34"/>
      <c r="Y235" s="38"/>
      <c r="Z235" s="4"/>
      <c r="AA235" s="4"/>
      <c r="AB235" s="4"/>
      <c r="AC235" s="4"/>
      <c r="AD235" s="4"/>
      <c r="AE235" s="4"/>
      <c r="AF235" s="4"/>
      <c r="AG235" s="4"/>
      <c r="AH235" s="4"/>
      <c r="AI235" s="4"/>
      <c r="AJ235" s="4"/>
    </row>
    <row r="236" spans="1:36" ht="28" hidden="1" x14ac:dyDescent="0.35">
      <c r="A236" s="148" t="s">
        <v>200</v>
      </c>
      <c r="B236" s="53" t="s">
        <v>728</v>
      </c>
      <c r="C236" s="259"/>
      <c r="D236" s="259"/>
      <c r="E236" s="261"/>
      <c r="F236" s="261"/>
      <c r="G236" s="261"/>
      <c r="H236" s="261"/>
      <c r="I236" s="148" t="s">
        <v>200</v>
      </c>
      <c r="J236" s="53" t="s">
        <v>728</v>
      </c>
      <c r="K236" s="259"/>
      <c r="L236" s="259"/>
      <c r="M236" s="261"/>
      <c r="N236" s="261"/>
      <c r="O236" s="261"/>
      <c r="P236" s="34"/>
      <c r="Q236" s="261"/>
      <c r="R236" s="261"/>
      <c r="S236" s="261"/>
      <c r="T236" s="261"/>
      <c r="U236" s="261"/>
      <c r="V236" s="261"/>
      <c r="W236" s="261"/>
      <c r="X236" s="34"/>
      <c r="Y236" s="38"/>
      <c r="Z236" s="4"/>
      <c r="AA236" s="4"/>
      <c r="AB236" s="4"/>
      <c r="AC236" s="4"/>
      <c r="AD236" s="4"/>
      <c r="AE236" s="4"/>
      <c r="AF236" s="4"/>
      <c r="AG236" s="4"/>
      <c r="AH236" s="4"/>
      <c r="AI236" s="4"/>
      <c r="AJ236" s="4"/>
    </row>
    <row r="237" spans="1:36" ht="84" hidden="1" x14ac:dyDescent="0.35">
      <c r="A237" s="148" t="s">
        <v>729</v>
      </c>
      <c r="B237" s="53" t="s">
        <v>730</v>
      </c>
      <c r="C237" s="53" t="s">
        <v>731</v>
      </c>
      <c r="D237" s="53" t="s">
        <v>732</v>
      </c>
      <c r="E237" s="155">
        <v>15000</v>
      </c>
      <c r="F237" s="155">
        <v>6000</v>
      </c>
      <c r="G237" s="155">
        <v>3500</v>
      </c>
      <c r="H237" s="155">
        <v>2000</v>
      </c>
      <c r="I237" s="148" t="s">
        <v>729</v>
      </c>
      <c r="J237" s="53" t="s">
        <v>733</v>
      </c>
      <c r="K237" s="53" t="s">
        <v>731</v>
      </c>
      <c r="L237" s="156" t="s">
        <v>734</v>
      </c>
      <c r="M237" s="155">
        <v>15000</v>
      </c>
      <c r="N237" s="155">
        <v>6000</v>
      </c>
      <c r="O237" s="155">
        <v>3500</v>
      </c>
      <c r="P237" s="157">
        <v>2000</v>
      </c>
      <c r="Q237" s="35">
        <v>9000</v>
      </c>
      <c r="R237" s="35">
        <v>3600</v>
      </c>
      <c r="S237" s="35">
        <v>2100</v>
      </c>
      <c r="T237" s="35">
        <v>1280</v>
      </c>
      <c r="U237" s="35">
        <v>6000</v>
      </c>
      <c r="V237" s="35">
        <v>2400</v>
      </c>
      <c r="W237" s="35">
        <v>1400</v>
      </c>
      <c r="X237" s="35">
        <v>960</v>
      </c>
      <c r="Y237" s="38" t="s">
        <v>229</v>
      </c>
      <c r="Z237" s="4"/>
      <c r="AA237" s="4"/>
      <c r="AB237" s="4"/>
      <c r="AC237" s="4"/>
      <c r="AD237" s="4"/>
      <c r="AE237" s="4"/>
      <c r="AF237" s="4"/>
      <c r="AG237" s="4"/>
      <c r="AH237" s="4"/>
      <c r="AI237" s="4"/>
      <c r="AJ237" s="4"/>
    </row>
    <row r="238" spans="1:36" hidden="1" x14ac:dyDescent="0.35">
      <c r="A238" s="51"/>
      <c r="B238" s="52"/>
      <c r="C238" s="259"/>
      <c r="D238" s="259"/>
      <c r="E238" s="261"/>
      <c r="F238" s="261"/>
      <c r="G238" s="261"/>
      <c r="H238" s="261"/>
      <c r="I238" s="51"/>
      <c r="J238" s="52"/>
      <c r="K238" s="259"/>
      <c r="L238" s="259"/>
      <c r="M238" s="261"/>
      <c r="N238" s="261"/>
      <c r="O238" s="261"/>
      <c r="P238" s="34"/>
      <c r="Q238" s="261"/>
      <c r="R238" s="261"/>
      <c r="S238" s="261"/>
      <c r="T238" s="261"/>
      <c r="U238" s="261"/>
      <c r="V238" s="261"/>
      <c r="W238" s="261"/>
      <c r="X238" s="34"/>
      <c r="Y238" s="38"/>
      <c r="Z238" s="4"/>
      <c r="AA238" s="4"/>
      <c r="AB238" s="4"/>
      <c r="AC238" s="4"/>
      <c r="AD238" s="4"/>
      <c r="AE238" s="4"/>
      <c r="AF238" s="4"/>
      <c r="AG238" s="4"/>
      <c r="AH238" s="4"/>
      <c r="AI238" s="4"/>
      <c r="AJ238" s="4"/>
    </row>
    <row r="239" spans="1:36" hidden="1" x14ac:dyDescent="0.35">
      <c r="A239" s="51">
        <v>53</v>
      </c>
      <c r="B239" s="52" t="s">
        <v>735</v>
      </c>
      <c r="C239" s="259"/>
      <c r="D239" s="259"/>
      <c r="E239" s="261"/>
      <c r="F239" s="261"/>
      <c r="G239" s="261"/>
      <c r="H239" s="261"/>
      <c r="I239" s="51">
        <v>53</v>
      </c>
      <c r="J239" s="52" t="s">
        <v>735</v>
      </c>
      <c r="K239" s="259"/>
      <c r="L239" s="259"/>
      <c r="M239" s="261"/>
      <c r="N239" s="261"/>
      <c r="O239" s="261"/>
      <c r="P239" s="34"/>
      <c r="Q239" s="261"/>
      <c r="R239" s="261"/>
      <c r="S239" s="261"/>
      <c r="T239" s="261"/>
      <c r="U239" s="261"/>
      <c r="V239" s="261"/>
      <c r="W239" s="261"/>
      <c r="X239" s="34"/>
      <c r="Y239" s="38"/>
      <c r="Z239" s="4"/>
      <c r="AA239" s="4"/>
      <c r="AB239" s="4"/>
      <c r="AC239" s="4"/>
      <c r="AD239" s="4"/>
      <c r="AE239" s="4"/>
      <c r="AF239" s="4"/>
      <c r="AG239" s="4"/>
      <c r="AH239" s="4"/>
      <c r="AI239" s="4"/>
      <c r="AJ239" s="4"/>
    </row>
    <row r="240" spans="1:36" ht="60" hidden="1" customHeight="1" x14ac:dyDescent="0.35">
      <c r="A240" s="108" t="s">
        <v>93</v>
      </c>
      <c r="B240" s="21" t="s">
        <v>736</v>
      </c>
      <c r="C240" s="88"/>
      <c r="D240" s="88"/>
      <c r="E240" s="89"/>
      <c r="F240" s="89"/>
      <c r="G240" s="89"/>
      <c r="H240" s="89"/>
      <c r="I240" s="108" t="s">
        <v>93</v>
      </c>
      <c r="J240" s="21" t="s">
        <v>736</v>
      </c>
      <c r="K240" s="88"/>
      <c r="L240" s="88"/>
      <c r="M240" s="89"/>
      <c r="N240" s="89"/>
      <c r="O240" s="89"/>
      <c r="P240" s="136"/>
      <c r="Q240" s="89"/>
      <c r="R240" s="89"/>
      <c r="S240" s="89"/>
      <c r="T240" s="89"/>
      <c r="U240" s="89"/>
      <c r="V240" s="89"/>
      <c r="W240" s="89"/>
      <c r="X240" s="136"/>
      <c r="Y240" s="470" t="s">
        <v>1024</v>
      </c>
      <c r="Z240" s="4"/>
      <c r="AA240" s="4"/>
      <c r="AB240" s="4"/>
      <c r="AC240" s="4"/>
      <c r="AD240" s="4"/>
      <c r="AE240" s="4"/>
      <c r="AF240" s="4"/>
      <c r="AG240" s="4"/>
      <c r="AH240" s="4"/>
      <c r="AI240" s="4"/>
      <c r="AJ240" s="4"/>
    </row>
    <row r="241" spans="1:36" ht="28" hidden="1" x14ac:dyDescent="0.35">
      <c r="A241" s="108" t="s">
        <v>1025</v>
      </c>
      <c r="B241" s="21" t="s">
        <v>736</v>
      </c>
      <c r="C241" s="88" t="s">
        <v>1026</v>
      </c>
      <c r="D241" s="88" t="s">
        <v>1027</v>
      </c>
      <c r="E241" s="89">
        <v>3300</v>
      </c>
      <c r="F241" s="89">
        <v>2300</v>
      </c>
      <c r="G241" s="89">
        <v>1200</v>
      </c>
      <c r="H241" s="89">
        <v>700</v>
      </c>
      <c r="I241" s="108" t="s">
        <v>1025</v>
      </c>
      <c r="J241" s="21" t="s">
        <v>736</v>
      </c>
      <c r="K241" s="88" t="s">
        <v>1026</v>
      </c>
      <c r="L241" s="88" t="s">
        <v>1027</v>
      </c>
      <c r="M241" s="89">
        <v>3300</v>
      </c>
      <c r="N241" s="89">
        <v>2300</v>
      </c>
      <c r="O241" s="89">
        <v>1200</v>
      </c>
      <c r="P241" s="136">
        <v>700</v>
      </c>
      <c r="Q241" s="35">
        <v>1980</v>
      </c>
      <c r="R241" s="35">
        <v>1380</v>
      </c>
      <c r="S241" s="35">
        <v>720</v>
      </c>
      <c r="T241" s="35">
        <v>420</v>
      </c>
      <c r="U241" s="35">
        <v>1200</v>
      </c>
      <c r="V241" s="35">
        <v>920</v>
      </c>
      <c r="W241" s="35">
        <v>480</v>
      </c>
      <c r="X241" s="35">
        <v>300</v>
      </c>
      <c r="Y241" s="471"/>
      <c r="Z241" s="4"/>
      <c r="AA241" s="4"/>
      <c r="AB241" s="4"/>
      <c r="AC241" s="4"/>
      <c r="AD241" s="4"/>
      <c r="AE241" s="4"/>
      <c r="AF241" s="4"/>
      <c r="AG241" s="4"/>
      <c r="AH241" s="4"/>
      <c r="AI241" s="4"/>
      <c r="AJ241" s="4"/>
    </row>
    <row r="242" spans="1:36" ht="28" hidden="1" x14ac:dyDescent="0.35">
      <c r="A242" s="108" t="s">
        <v>1028</v>
      </c>
      <c r="B242" s="21" t="s">
        <v>736</v>
      </c>
      <c r="C242" s="88" t="s">
        <v>1027</v>
      </c>
      <c r="D242" s="88" t="s">
        <v>1029</v>
      </c>
      <c r="E242" s="89">
        <v>3000</v>
      </c>
      <c r="F242" s="89">
        <v>2300</v>
      </c>
      <c r="G242" s="89">
        <v>1200</v>
      </c>
      <c r="H242" s="89">
        <v>700</v>
      </c>
      <c r="I242" s="108" t="s">
        <v>1028</v>
      </c>
      <c r="J242" s="21" t="s">
        <v>736</v>
      </c>
      <c r="K242" s="88" t="s">
        <v>1027</v>
      </c>
      <c r="L242" s="88" t="s">
        <v>1029</v>
      </c>
      <c r="M242" s="89">
        <v>3000</v>
      </c>
      <c r="N242" s="89">
        <v>2300</v>
      </c>
      <c r="O242" s="89">
        <v>1200</v>
      </c>
      <c r="P242" s="136">
        <v>700</v>
      </c>
      <c r="Q242" s="35">
        <v>1800</v>
      </c>
      <c r="R242" s="35">
        <v>1380</v>
      </c>
      <c r="S242" s="35">
        <v>720</v>
      </c>
      <c r="T242" s="35">
        <v>420</v>
      </c>
      <c r="U242" s="35">
        <v>1200</v>
      </c>
      <c r="V242" s="35">
        <v>920</v>
      </c>
      <c r="W242" s="35">
        <v>540</v>
      </c>
      <c r="X242" s="35">
        <v>300</v>
      </c>
      <c r="Y242" s="471"/>
      <c r="Z242" s="4"/>
      <c r="AA242" s="4"/>
      <c r="AB242" s="4"/>
      <c r="AC242" s="4"/>
      <c r="AD242" s="4"/>
      <c r="AE242" s="4"/>
      <c r="AF242" s="4"/>
      <c r="AG242" s="4"/>
      <c r="AH242" s="4"/>
      <c r="AI242" s="4"/>
      <c r="AJ242" s="4"/>
    </row>
    <row r="243" spans="1:36" hidden="1" x14ac:dyDescent="0.35">
      <c r="A243" s="108" t="s">
        <v>1030</v>
      </c>
      <c r="B243" s="21" t="s">
        <v>737</v>
      </c>
      <c r="C243" s="88"/>
      <c r="D243" s="88"/>
      <c r="E243" s="89"/>
      <c r="F243" s="89"/>
      <c r="G243" s="89"/>
      <c r="H243" s="89"/>
      <c r="I243" s="108" t="s">
        <v>1030</v>
      </c>
      <c r="J243" s="21" t="s">
        <v>737</v>
      </c>
      <c r="K243" s="88"/>
      <c r="L243" s="88"/>
      <c r="M243" s="89"/>
      <c r="N243" s="89"/>
      <c r="O243" s="89"/>
      <c r="P243" s="136"/>
      <c r="Q243" s="89"/>
      <c r="R243" s="89"/>
      <c r="S243" s="89"/>
      <c r="T243" s="89"/>
      <c r="U243" s="89"/>
      <c r="V243" s="89"/>
      <c r="W243" s="89"/>
      <c r="X243" s="136"/>
      <c r="Y243" s="471"/>
      <c r="Z243" s="4"/>
      <c r="AA243" s="4"/>
      <c r="AB243" s="4"/>
      <c r="AC243" s="4"/>
      <c r="AD243" s="4"/>
      <c r="AE243" s="4"/>
      <c r="AF243" s="4"/>
      <c r="AG243" s="4"/>
      <c r="AH243" s="4"/>
      <c r="AI243" s="4"/>
      <c r="AJ243" s="4"/>
    </row>
    <row r="244" spans="1:36" ht="28" hidden="1" x14ac:dyDescent="0.35">
      <c r="A244" s="108" t="s">
        <v>738</v>
      </c>
      <c r="B244" s="21" t="s">
        <v>737</v>
      </c>
      <c r="C244" s="88" t="s">
        <v>1031</v>
      </c>
      <c r="D244" s="88" t="s">
        <v>1032</v>
      </c>
      <c r="E244" s="89">
        <v>3800</v>
      </c>
      <c r="F244" s="89">
        <v>1400</v>
      </c>
      <c r="G244" s="89">
        <v>1000</v>
      </c>
      <c r="H244" s="89">
        <v>700</v>
      </c>
      <c r="I244" s="108" t="s">
        <v>738</v>
      </c>
      <c r="J244" s="21" t="s">
        <v>737</v>
      </c>
      <c r="K244" s="88" t="s">
        <v>1031</v>
      </c>
      <c r="L244" s="88" t="s">
        <v>1032</v>
      </c>
      <c r="M244" s="89">
        <v>3800</v>
      </c>
      <c r="N244" s="89">
        <v>1400</v>
      </c>
      <c r="O244" s="89">
        <v>1000</v>
      </c>
      <c r="P244" s="136">
        <v>700</v>
      </c>
      <c r="Q244" s="35">
        <v>2280</v>
      </c>
      <c r="R244" s="35">
        <v>840</v>
      </c>
      <c r="S244" s="35">
        <v>600</v>
      </c>
      <c r="T244" s="35">
        <v>420</v>
      </c>
      <c r="U244" s="35">
        <v>1520</v>
      </c>
      <c r="V244" s="35">
        <v>600</v>
      </c>
      <c r="W244" s="35">
        <v>420</v>
      </c>
      <c r="X244" s="35">
        <v>300</v>
      </c>
      <c r="Y244" s="471"/>
      <c r="Z244" s="4"/>
      <c r="AA244" s="4"/>
      <c r="AB244" s="4"/>
      <c r="AC244" s="4"/>
      <c r="AD244" s="4"/>
      <c r="AE244" s="4"/>
      <c r="AF244" s="4"/>
      <c r="AG244" s="4"/>
      <c r="AH244" s="4"/>
      <c r="AI244" s="4"/>
      <c r="AJ244" s="4"/>
    </row>
    <row r="245" spans="1:36" ht="28" hidden="1" x14ac:dyDescent="0.35">
      <c r="A245" s="108" t="s">
        <v>739</v>
      </c>
      <c r="B245" s="21" t="s">
        <v>737</v>
      </c>
      <c r="C245" s="88" t="s">
        <v>1033</v>
      </c>
      <c r="D245" s="88" t="s">
        <v>1034</v>
      </c>
      <c r="E245" s="89">
        <v>5000</v>
      </c>
      <c r="F245" s="89">
        <v>1400</v>
      </c>
      <c r="G245" s="89">
        <v>1000</v>
      </c>
      <c r="H245" s="89">
        <v>700</v>
      </c>
      <c r="I245" s="108" t="s">
        <v>739</v>
      </c>
      <c r="J245" s="21" t="s">
        <v>737</v>
      </c>
      <c r="K245" s="88" t="s">
        <v>1033</v>
      </c>
      <c r="L245" s="88" t="s">
        <v>1034</v>
      </c>
      <c r="M245" s="89">
        <v>5000</v>
      </c>
      <c r="N245" s="89">
        <v>1400</v>
      </c>
      <c r="O245" s="89">
        <v>1000</v>
      </c>
      <c r="P245" s="136">
        <v>700</v>
      </c>
      <c r="Q245" s="35">
        <v>3000</v>
      </c>
      <c r="R245" s="35">
        <v>840</v>
      </c>
      <c r="S245" s="35">
        <v>600</v>
      </c>
      <c r="T245" s="35">
        <v>420</v>
      </c>
      <c r="U245" s="35">
        <v>2000</v>
      </c>
      <c r="V245" s="35">
        <v>560</v>
      </c>
      <c r="W245" s="35">
        <v>400</v>
      </c>
      <c r="X245" s="35">
        <v>280</v>
      </c>
      <c r="Y245" s="471"/>
      <c r="Z245" s="4"/>
      <c r="AA245" s="4"/>
      <c r="AB245" s="4"/>
      <c r="AC245" s="4"/>
      <c r="AD245" s="4"/>
      <c r="AE245" s="4"/>
      <c r="AF245" s="4"/>
      <c r="AG245" s="4"/>
      <c r="AH245" s="4"/>
      <c r="AI245" s="4"/>
      <c r="AJ245" s="4"/>
    </row>
    <row r="246" spans="1:36" ht="42" hidden="1" x14ac:dyDescent="0.35">
      <c r="A246" s="108" t="s">
        <v>1035</v>
      </c>
      <c r="B246" s="21" t="s">
        <v>737</v>
      </c>
      <c r="C246" s="88" t="s">
        <v>1034</v>
      </c>
      <c r="D246" s="88" t="s">
        <v>1036</v>
      </c>
      <c r="E246" s="89">
        <v>6100</v>
      </c>
      <c r="F246" s="89">
        <v>3000</v>
      </c>
      <c r="G246" s="89">
        <v>2300</v>
      </c>
      <c r="H246" s="89">
        <v>1200</v>
      </c>
      <c r="I246" s="108" t="s">
        <v>1035</v>
      </c>
      <c r="J246" s="21" t="s">
        <v>737</v>
      </c>
      <c r="K246" s="88" t="s">
        <v>1034</v>
      </c>
      <c r="L246" s="88" t="s">
        <v>1036</v>
      </c>
      <c r="M246" s="89">
        <v>6100</v>
      </c>
      <c r="N246" s="89">
        <v>3000</v>
      </c>
      <c r="O246" s="89">
        <v>2300</v>
      </c>
      <c r="P246" s="136">
        <v>1200</v>
      </c>
      <c r="Q246" s="35">
        <v>3660</v>
      </c>
      <c r="R246" s="35">
        <v>1800</v>
      </c>
      <c r="S246" s="35">
        <v>1380</v>
      </c>
      <c r="T246" s="35">
        <v>720</v>
      </c>
      <c r="U246" s="35">
        <v>2440</v>
      </c>
      <c r="V246" s="35">
        <v>1200</v>
      </c>
      <c r="W246" s="35">
        <v>920</v>
      </c>
      <c r="X246" s="35">
        <v>480</v>
      </c>
      <c r="Y246" s="471"/>
      <c r="Z246" s="4"/>
      <c r="AA246" s="4"/>
      <c r="AB246" s="4"/>
      <c r="AC246" s="4"/>
      <c r="AD246" s="4"/>
      <c r="AE246" s="4"/>
      <c r="AF246" s="4"/>
      <c r="AG246" s="4"/>
      <c r="AH246" s="4"/>
      <c r="AI246" s="4"/>
      <c r="AJ246" s="4"/>
    </row>
    <row r="247" spans="1:36" ht="28" hidden="1" x14ac:dyDescent="0.35">
      <c r="A247" s="108" t="s">
        <v>584</v>
      </c>
      <c r="B247" s="21" t="s">
        <v>1037</v>
      </c>
      <c r="C247" s="88" t="s">
        <v>1038</v>
      </c>
      <c r="D247" s="88" t="s">
        <v>1039</v>
      </c>
      <c r="E247" s="89">
        <v>5800</v>
      </c>
      <c r="F247" s="89">
        <v>3000</v>
      </c>
      <c r="G247" s="89">
        <v>1400</v>
      </c>
      <c r="H247" s="89">
        <v>1000</v>
      </c>
      <c r="I247" s="108" t="s">
        <v>584</v>
      </c>
      <c r="J247" s="21" t="s">
        <v>1037</v>
      </c>
      <c r="K247" s="88" t="s">
        <v>1038</v>
      </c>
      <c r="L247" s="88" t="s">
        <v>1039</v>
      </c>
      <c r="M247" s="89">
        <v>5800</v>
      </c>
      <c r="N247" s="89">
        <v>3000</v>
      </c>
      <c r="O247" s="89">
        <v>1400</v>
      </c>
      <c r="P247" s="136">
        <v>1000</v>
      </c>
      <c r="Q247" s="35">
        <v>3480</v>
      </c>
      <c r="R247" s="35">
        <v>1800</v>
      </c>
      <c r="S247" s="35">
        <v>840</v>
      </c>
      <c r="T247" s="35">
        <v>600</v>
      </c>
      <c r="U247" s="35">
        <v>2320</v>
      </c>
      <c r="V247" s="35">
        <v>1200</v>
      </c>
      <c r="W247" s="35">
        <v>600</v>
      </c>
      <c r="X247" s="35">
        <v>400</v>
      </c>
      <c r="Y247" s="471"/>
      <c r="Z247" s="4"/>
      <c r="AA247" s="4"/>
      <c r="AB247" s="4"/>
      <c r="AC247" s="4"/>
      <c r="AD247" s="4"/>
      <c r="AE247" s="4"/>
      <c r="AF247" s="4"/>
      <c r="AG247" s="4"/>
      <c r="AH247" s="4"/>
      <c r="AI247" s="4"/>
      <c r="AJ247" s="4"/>
    </row>
    <row r="248" spans="1:36" ht="42" hidden="1" x14ac:dyDescent="0.35">
      <c r="A248" s="108" t="s">
        <v>1040</v>
      </c>
      <c r="B248" s="21" t="s">
        <v>1041</v>
      </c>
      <c r="C248" s="88" t="s">
        <v>1042</v>
      </c>
      <c r="D248" s="88" t="s">
        <v>1043</v>
      </c>
      <c r="E248" s="89">
        <v>5000</v>
      </c>
      <c r="F248" s="89">
        <v>1400</v>
      </c>
      <c r="G248" s="89">
        <v>1000</v>
      </c>
      <c r="H248" s="89">
        <v>700</v>
      </c>
      <c r="I248" s="108" t="s">
        <v>1040</v>
      </c>
      <c r="J248" s="21" t="s">
        <v>1041</v>
      </c>
      <c r="K248" s="88" t="s">
        <v>1042</v>
      </c>
      <c r="L248" s="88" t="s">
        <v>1043</v>
      </c>
      <c r="M248" s="89">
        <v>5000</v>
      </c>
      <c r="N248" s="89">
        <v>1400</v>
      </c>
      <c r="O248" s="89">
        <v>1000</v>
      </c>
      <c r="P248" s="136">
        <v>700</v>
      </c>
      <c r="Q248" s="35">
        <v>3000</v>
      </c>
      <c r="R248" s="35">
        <v>840</v>
      </c>
      <c r="S248" s="35">
        <v>600</v>
      </c>
      <c r="T248" s="35">
        <v>420</v>
      </c>
      <c r="U248" s="35">
        <v>2000</v>
      </c>
      <c r="V248" s="35">
        <v>560</v>
      </c>
      <c r="W248" s="35">
        <v>400</v>
      </c>
      <c r="X248" s="35">
        <v>280</v>
      </c>
      <c r="Y248" s="471"/>
      <c r="Z248" s="4"/>
      <c r="AA248" s="4"/>
      <c r="AB248" s="4"/>
      <c r="AC248" s="4"/>
      <c r="AD248" s="4"/>
      <c r="AE248" s="4"/>
      <c r="AF248" s="4"/>
      <c r="AG248" s="4"/>
      <c r="AH248" s="4"/>
      <c r="AI248" s="4"/>
      <c r="AJ248" s="4"/>
    </row>
    <row r="249" spans="1:36" hidden="1" x14ac:dyDescent="0.35">
      <c r="A249" s="108" t="s">
        <v>740</v>
      </c>
      <c r="B249" s="21" t="s">
        <v>1044</v>
      </c>
      <c r="C249" s="88" t="s">
        <v>1045</v>
      </c>
      <c r="D249" s="88" t="s">
        <v>1046</v>
      </c>
      <c r="E249" s="89"/>
      <c r="F249" s="89"/>
      <c r="G249" s="89"/>
      <c r="H249" s="89"/>
      <c r="I249" s="108" t="s">
        <v>740</v>
      </c>
      <c r="J249" s="21" t="s">
        <v>1044</v>
      </c>
      <c r="K249" s="88" t="s">
        <v>1045</v>
      </c>
      <c r="L249" s="88" t="s">
        <v>1046</v>
      </c>
      <c r="M249" s="89"/>
      <c r="N249" s="89"/>
      <c r="O249" s="89"/>
      <c r="P249" s="136"/>
      <c r="Q249" s="89"/>
      <c r="R249" s="89"/>
      <c r="S249" s="89"/>
      <c r="T249" s="89"/>
      <c r="U249" s="89"/>
      <c r="V249" s="89"/>
      <c r="W249" s="89"/>
      <c r="X249" s="136"/>
      <c r="Y249" s="471"/>
      <c r="Z249" s="4"/>
      <c r="AA249" s="4"/>
      <c r="AB249" s="4"/>
      <c r="AC249" s="4"/>
      <c r="AD249" s="4"/>
      <c r="AE249" s="4"/>
      <c r="AF249" s="4"/>
      <c r="AG249" s="4"/>
      <c r="AH249" s="4"/>
      <c r="AI249" s="4"/>
      <c r="AJ249" s="4"/>
    </row>
    <row r="250" spans="1:36" ht="28" hidden="1" x14ac:dyDescent="0.35">
      <c r="A250" s="108" t="s">
        <v>121</v>
      </c>
      <c r="B250" s="21" t="s">
        <v>1044</v>
      </c>
      <c r="C250" s="88" t="s">
        <v>1045</v>
      </c>
      <c r="D250" s="88" t="s">
        <v>1047</v>
      </c>
      <c r="E250" s="89">
        <v>4300</v>
      </c>
      <c r="F250" s="89">
        <v>2300</v>
      </c>
      <c r="G250" s="89">
        <v>2000</v>
      </c>
      <c r="H250" s="89">
        <v>1200</v>
      </c>
      <c r="I250" s="108" t="s">
        <v>121</v>
      </c>
      <c r="J250" s="21" t="s">
        <v>1044</v>
      </c>
      <c r="K250" s="88" t="s">
        <v>1045</v>
      </c>
      <c r="L250" s="88" t="s">
        <v>1047</v>
      </c>
      <c r="M250" s="89">
        <v>4300</v>
      </c>
      <c r="N250" s="89">
        <v>2300</v>
      </c>
      <c r="O250" s="89">
        <v>2000</v>
      </c>
      <c r="P250" s="136">
        <v>1200</v>
      </c>
      <c r="Q250" s="35">
        <v>2580</v>
      </c>
      <c r="R250" s="35">
        <v>1380</v>
      </c>
      <c r="S250" s="35">
        <v>1200</v>
      </c>
      <c r="T250" s="35">
        <v>720</v>
      </c>
      <c r="U250" s="35">
        <v>1720</v>
      </c>
      <c r="V250" s="35">
        <v>1080</v>
      </c>
      <c r="W250" s="35">
        <v>840</v>
      </c>
      <c r="X250" s="35">
        <v>540</v>
      </c>
      <c r="Y250" s="471"/>
      <c r="Z250" s="4"/>
      <c r="AA250" s="4"/>
      <c r="AB250" s="4"/>
      <c r="AC250" s="4"/>
      <c r="AD250" s="4"/>
      <c r="AE250" s="4"/>
      <c r="AF250" s="4"/>
      <c r="AG250" s="4"/>
      <c r="AH250" s="4"/>
      <c r="AI250" s="4"/>
      <c r="AJ250" s="4"/>
    </row>
    <row r="251" spans="1:36" ht="28" hidden="1" x14ac:dyDescent="0.35">
      <c r="A251" s="108" t="s">
        <v>127</v>
      </c>
      <c r="B251" s="21" t="s">
        <v>1044</v>
      </c>
      <c r="C251" s="88" t="s">
        <v>1047</v>
      </c>
      <c r="D251" s="88" t="s">
        <v>1046</v>
      </c>
      <c r="E251" s="89">
        <v>4000</v>
      </c>
      <c r="F251" s="89">
        <v>2300</v>
      </c>
      <c r="G251" s="89">
        <v>2000</v>
      </c>
      <c r="H251" s="89">
        <v>1200</v>
      </c>
      <c r="I251" s="108" t="s">
        <v>127</v>
      </c>
      <c r="J251" s="21" t="s">
        <v>1044</v>
      </c>
      <c r="K251" s="88" t="s">
        <v>1047</v>
      </c>
      <c r="L251" s="88" t="s">
        <v>1046</v>
      </c>
      <c r="M251" s="89">
        <v>4000</v>
      </c>
      <c r="N251" s="89">
        <v>2300</v>
      </c>
      <c r="O251" s="89">
        <v>2000</v>
      </c>
      <c r="P251" s="136">
        <v>1200</v>
      </c>
      <c r="Q251" s="35">
        <v>2400</v>
      </c>
      <c r="R251" s="35">
        <v>1380</v>
      </c>
      <c r="S251" s="35">
        <v>1200</v>
      </c>
      <c r="T251" s="35">
        <v>720</v>
      </c>
      <c r="U251" s="35">
        <v>1600</v>
      </c>
      <c r="V251" s="35">
        <v>920</v>
      </c>
      <c r="W251" s="35">
        <v>800</v>
      </c>
      <c r="X251" s="35">
        <v>540</v>
      </c>
      <c r="Y251" s="471"/>
      <c r="Z251" s="4"/>
      <c r="AA251" s="4"/>
      <c r="AB251" s="4"/>
      <c r="AC251" s="4"/>
      <c r="AD251" s="4"/>
      <c r="AE251" s="4"/>
      <c r="AF251" s="4"/>
      <c r="AG251" s="4"/>
      <c r="AH251" s="4"/>
      <c r="AI251" s="4"/>
      <c r="AJ251" s="4"/>
    </row>
    <row r="252" spans="1:36" ht="28" hidden="1" x14ac:dyDescent="0.35">
      <c r="A252" s="108" t="s">
        <v>1048</v>
      </c>
      <c r="B252" s="21" t="s">
        <v>449</v>
      </c>
      <c r="C252" s="88" t="s">
        <v>1045</v>
      </c>
      <c r="D252" s="88" t="s">
        <v>1049</v>
      </c>
      <c r="E252" s="89">
        <v>2700</v>
      </c>
      <c r="F252" s="89">
        <v>1400</v>
      </c>
      <c r="G252" s="89">
        <v>1000</v>
      </c>
      <c r="H252" s="89">
        <v>700</v>
      </c>
      <c r="I252" s="108" t="s">
        <v>1048</v>
      </c>
      <c r="J252" s="21" t="s">
        <v>449</v>
      </c>
      <c r="K252" s="88" t="s">
        <v>1045</v>
      </c>
      <c r="L252" s="88" t="s">
        <v>1049</v>
      </c>
      <c r="M252" s="89">
        <v>2700</v>
      </c>
      <c r="N252" s="89">
        <v>1400</v>
      </c>
      <c r="O252" s="89">
        <v>1000</v>
      </c>
      <c r="P252" s="136">
        <v>700</v>
      </c>
      <c r="Q252" s="35">
        <v>1620</v>
      </c>
      <c r="R252" s="35">
        <v>840</v>
      </c>
      <c r="S252" s="35">
        <v>600</v>
      </c>
      <c r="T252" s="35">
        <v>420</v>
      </c>
      <c r="U252" s="35">
        <v>1080</v>
      </c>
      <c r="V252" s="35">
        <v>600</v>
      </c>
      <c r="W252" s="35">
        <v>420</v>
      </c>
      <c r="X252" s="35">
        <v>300</v>
      </c>
      <c r="Y252" s="472"/>
      <c r="Z252" s="4"/>
      <c r="AA252" s="4"/>
      <c r="AB252" s="4"/>
      <c r="AC252" s="4"/>
      <c r="AD252" s="4"/>
      <c r="AE252" s="4"/>
      <c r="AF252" s="4"/>
      <c r="AG252" s="4"/>
      <c r="AH252" s="4"/>
      <c r="AI252" s="4"/>
      <c r="AJ252" s="4"/>
    </row>
    <row r="253" spans="1:36" ht="122.15" hidden="1" customHeight="1" x14ac:dyDescent="0.35">
      <c r="A253" s="108" t="s">
        <v>591</v>
      </c>
      <c r="B253" s="21" t="s">
        <v>1050</v>
      </c>
      <c r="C253" s="88" t="s">
        <v>1051</v>
      </c>
      <c r="D253" s="88" t="s">
        <v>1052</v>
      </c>
      <c r="E253" s="89">
        <v>1800</v>
      </c>
      <c r="F253" s="89">
        <v>1400</v>
      </c>
      <c r="G253" s="89">
        <v>1000</v>
      </c>
      <c r="H253" s="89">
        <v>700</v>
      </c>
      <c r="I253" s="108" t="s">
        <v>591</v>
      </c>
      <c r="J253" s="21" t="s">
        <v>1050</v>
      </c>
      <c r="K253" s="88" t="s">
        <v>1051</v>
      </c>
      <c r="L253" s="88" t="s">
        <v>1053</v>
      </c>
      <c r="M253" s="89">
        <v>1800</v>
      </c>
      <c r="N253" s="89">
        <v>1400</v>
      </c>
      <c r="O253" s="89">
        <v>1000</v>
      </c>
      <c r="P253" s="136">
        <v>700</v>
      </c>
      <c r="Q253" s="35">
        <v>1080</v>
      </c>
      <c r="R253" s="35">
        <v>840</v>
      </c>
      <c r="S253" s="35">
        <v>600</v>
      </c>
      <c r="T253" s="35">
        <v>420</v>
      </c>
      <c r="U253" s="35">
        <v>720</v>
      </c>
      <c r="V253" s="35">
        <v>560</v>
      </c>
      <c r="W253" s="35">
        <v>420</v>
      </c>
      <c r="X253" s="35">
        <v>300</v>
      </c>
      <c r="Y253" s="267" t="s">
        <v>1054</v>
      </c>
      <c r="Z253" s="4"/>
      <c r="AA253" s="4"/>
      <c r="AB253" s="4"/>
      <c r="AC253" s="4"/>
      <c r="AD253" s="4"/>
      <c r="AE253" s="4"/>
      <c r="AF253" s="4"/>
      <c r="AG253" s="4"/>
      <c r="AH253" s="4"/>
      <c r="AI253" s="4"/>
      <c r="AJ253" s="4"/>
    </row>
    <row r="254" spans="1:36" ht="28" hidden="1" x14ac:dyDescent="0.35">
      <c r="A254" s="108" t="s">
        <v>323</v>
      </c>
      <c r="B254" s="21" t="s">
        <v>1055</v>
      </c>
      <c r="C254" s="88" t="s">
        <v>1056</v>
      </c>
      <c r="D254" s="88" t="s">
        <v>1057</v>
      </c>
      <c r="E254" s="89">
        <v>300</v>
      </c>
      <c r="F254" s="89"/>
      <c r="G254" s="89">
        <v>200</v>
      </c>
      <c r="H254" s="89">
        <v>100</v>
      </c>
      <c r="I254" s="108" t="s">
        <v>323</v>
      </c>
      <c r="J254" s="21" t="s">
        <v>1055</v>
      </c>
      <c r="K254" s="88" t="s">
        <v>1056</v>
      </c>
      <c r="L254" s="88" t="s">
        <v>1057</v>
      </c>
      <c r="M254" s="89">
        <v>300</v>
      </c>
      <c r="N254" s="89"/>
      <c r="O254" s="89">
        <v>200</v>
      </c>
      <c r="P254" s="136">
        <v>100</v>
      </c>
      <c r="Q254" s="35">
        <v>240</v>
      </c>
      <c r="R254" s="35"/>
      <c r="S254" s="35">
        <v>160</v>
      </c>
      <c r="T254" s="35">
        <v>80</v>
      </c>
      <c r="U254" s="35">
        <v>180</v>
      </c>
      <c r="V254" s="35"/>
      <c r="W254" s="35">
        <v>120</v>
      </c>
      <c r="X254" s="35">
        <v>60</v>
      </c>
      <c r="Y254" s="470" t="s">
        <v>1024</v>
      </c>
      <c r="Z254" s="4"/>
      <c r="AA254" s="4"/>
      <c r="AB254" s="4"/>
      <c r="AC254" s="4"/>
      <c r="AD254" s="4"/>
      <c r="AE254" s="4"/>
      <c r="AF254" s="4"/>
      <c r="AG254" s="4"/>
      <c r="AH254" s="4"/>
      <c r="AI254" s="4"/>
      <c r="AJ254" s="4"/>
    </row>
    <row r="255" spans="1:36" ht="28" hidden="1" x14ac:dyDescent="0.35">
      <c r="A255" s="108" t="s">
        <v>741</v>
      </c>
      <c r="B255" s="21" t="s">
        <v>1058</v>
      </c>
      <c r="C255" s="88" t="s">
        <v>1059</v>
      </c>
      <c r="D255" s="88" t="s">
        <v>1060</v>
      </c>
      <c r="E255" s="89">
        <v>4300</v>
      </c>
      <c r="F255" s="89"/>
      <c r="G255" s="89"/>
      <c r="H255" s="89"/>
      <c r="I255" s="108" t="s">
        <v>741</v>
      </c>
      <c r="J255" s="21" t="s">
        <v>1058</v>
      </c>
      <c r="K255" s="88" t="s">
        <v>1059</v>
      </c>
      <c r="L255" s="88" t="s">
        <v>1060</v>
      </c>
      <c r="M255" s="89">
        <v>4300</v>
      </c>
      <c r="N255" s="89"/>
      <c r="O255" s="89"/>
      <c r="P255" s="136"/>
      <c r="Q255" s="35">
        <v>2580</v>
      </c>
      <c r="R255" s="35"/>
      <c r="S255" s="35"/>
      <c r="T255" s="35"/>
      <c r="U255" s="35">
        <v>1720</v>
      </c>
      <c r="V255" s="35"/>
      <c r="W255" s="35"/>
      <c r="X255" s="35"/>
      <c r="Y255" s="471"/>
      <c r="Z255" s="4"/>
      <c r="AA255" s="4"/>
      <c r="AB255" s="4"/>
      <c r="AC255" s="4"/>
      <c r="AD255" s="4"/>
      <c r="AE255" s="4"/>
      <c r="AF255" s="4"/>
      <c r="AG255" s="4"/>
      <c r="AH255" s="4"/>
      <c r="AI255" s="4"/>
      <c r="AJ255" s="4"/>
    </row>
    <row r="256" spans="1:36" ht="42" hidden="1" x14ac:dyDescent="0.35">
      <c r="A256" s="108" t="s">
        <v>1061</v>
      </c>
      <c r="B256" s="21" t="s">
        <v>742</v>
      </c>
      <c r="C256" s="88" t="s">
        <v>1060</v>
      </c>
      <c r="D256" s="88" t="s">
        <v>1062</v>
      </c>
      <c r="E256" s="89">
        <v>3500</v>
      </c>
      <c r="F256" s="89"/>
      <c r="G256" s="89"/>
      <c r="H256" s="89"/>
      <c r="I256" s="108" t="s">
        <v>1061</v>
      </c>
      <c r="J256" s="21" t="s">
        <v>742</v>
      </c>
      <c r="K256" s="88" t="s">
        <v>1060</v>
      </c>
      <c r="L256" s="88" t="s">
        <v>1062</v>
      </c>
      <c r="M256" s="89">
        <v>3500</v>
      </c>
      <c r="N256" s="89"/>
      <c r="O256" s="89"/>
      <c r="P256" s="136"/>
      <c r="Q256" s="35">
        <v>2100</v>
      </c>
      <c r="R256" s="35"/>
      <c r="S256" s="35"/>
      <c r="T256" s="35"/>
      <c r="U256" s="35">
        <v>1400</v>
      </c>
      <c r="V256" s="35"/>
      <c r="W256" s="35"/>
      <c r="X256" s="35"/>
      <c r="Y256" s="471"/>
      <c r="Z256" s="4"/>
      <c r="AA256" s="4"/>
      <c r="AB256" s="4"/>
      <c r="AC256" s="4"/>
      <c r="AD256" s="4"/>
      <c r="AE256" s="4"/>
      <c r="AF256" s="4"/>
      <c r="AG256" s="4"/>
      <c r="AH256" s="4"/>
      <c r="AI256" s="4"/>
      <c r="AJ256" s="4"/>
    </row>
    <row r="257" spans="1:36" ht="56" hidden="1" x14ac:dyDescent="0.35">
      <c r="A257" s="108" t="s">
        <v>1063</v>
      </c>
      <c r="B257" s="21" t="s">
        <v>1064</v>
      </c>
      <c r="C257" s="88" t="s">
        <v>36</v>
      </c>
      <c r="D257" s="88"/>
      <c r="E257" s="89">
        <v>2700</v>
      </c>
      <c r="F257" s="89"/>
      <c r="G257" s="89"/>
      <c r="H257" s="89"/>
      <c r="I257" s="108" t="s">
        <v>1063</v>
      </c>
      <c r="J257" s="21" t="s">
        <v>1064</v>
      </c>
      <c r="K257" s="88" t="s">
        <v>36</v>
      </c>
      <c r="L257" s="88"/>
      <c r="M257" s="89">
        <v>2700</v>
      </c>
      <c r="N257" s="89"/>
      <c r="O257" s="89"/>
      <c r="P257" s="136"/>
      <c r="Q257" s="35">
        <v>1620</v>
      </c>
      <c r="R257" s="35"/>
      <c r="S257" s="35"/>
      <c r="T257" s="35"/>
      <c r="U257" s="35">
        <v>1080</v>
      </c>
      <c r="V257" s="89"/>
      <c r="W257" s="89"/>
      <c r="X257" s="136"/>
      <c r="Y257" s="471"/>
      <c r="Z257" s="4"/>
      <c r="AA257" s="4"/>
      <c r="AB257" s="4"/>
      <c r="AC257" s="4"/>
      <c r="AD257" s="4"/>
      <c r="AE257" s="4"/>
      <c r="AF257" s="4"/>
      <c r="AG257" s="4"/>
      <c r="AH257" s="4"/>
      <c r="AI257" s="4"/>
      <c r="AJ257" s="4"/>
    </row>
    <row r="258" spans="1:36" ht="28" hidden="1" x14ac:dyDescent="0.35">
      <c r="A258" s="148" t="s">
        <v>561</v>
      </c>
      <c r="B258" s="158" t="s">
        <v>743</v>
      </c>
      <c r="C258" s="100" t="s">
        <v>744</v>
      </c>
      <c r="D258" s="100" t="s">
        <v>1065</v>
      </c>
      <c r="E258" s="159">
        <v>4300</v>
      </c>
      <c r="F258" s="159">
        <v>2300</v>
      </c>
      <c r="G258" s="159">
        <v>1400</v>
      </c>
      <c r="H258" s="268">
        <v>700</v>
      </c>
      <c r="I258" s="148" t="s">
        <v>561</v>
      </c>
      <c r="J258" s="158" t="s">
        <v>743</v>
      </c>
      <c r="K258" s="100" t="s">
        <v>744</v>
      </c>
      <c r="L258" s="100" t="s">
        <v>1065</v>
      </c>
      <c r="M258" s="159">
        <v>4300</v>
      </c>
      <c r="N258" s="159">
        <v>2300</v>
      </c>
      <c r="O258" s="159">
        <v>1400</v>
      </c>
      <c r="P258" s="160">
        <v>700</v>
      </c>
      <c r="Q258" s="35">
        <v>2580</v>
      </c>
      <c r="R258" s="35">
        <v>1380</v>
      </c>
      <c r="S258" s="35">
        <v>840</v>
      </c>
      <c r="T258" s="35">
        <v>420</v>
      </c>
      <c r="U258" s="35">
        <v>1720</v>
      </c>
      <c r="V258" s="35">
        <v>920</v>
      </c>
      <c r="W258" s="35">
        <v>560</v>
      </c>
      <c r="X258" s="35">
        <v>300</v>
      </c>
      <c r="Y258" s="472"/>
      <c r="Z258" s="4"/>
      <c r="AA258" s="4"/>
      <c r="AB258" s="4"/>
      <c r="AC258" s="4"/>
      <c r="AD258" s="4"/>
      <c r="AE258" s="4"/>
      <c r="AF258" s="4"/>
      <c r="AG258" s="4"/>
      <c r="AH258" s="4"/>
      <c r="AI258" s="4"/>
      <c r="AJ258" s="4"/>
    </row>
    <row r="259" spans="1:36" ht="68.150000000000006" hidden="1" customHeight="1" x14ac:dyDescent="0.35">
      <c r="A259" s="148" t="s">
        <v>745</v>
      </c>
      <c r="B259" s="158" t="s">
        <v>743</v>
      </c>
      <c r="C259" s="100" t="s">
        <v>746</v>
      </c>
      <c r="D259" s="100" t="s">
        <v>744</v>
      </c>
      <c r="E259" s="159">
        <v>8200</v>
      </c>
      <c r="F259" s="159">
        <v>2900</v>
      </c>
      <c r="G259" s="159">
        <v>1700</v>
      </c>
      <c r="H259" s="159">
        <v>1200</v>
      </c>
      <c r="I259" s="148" t="s">
        <v>745</v>
      </c>
      <c r="J259" s="158" t="s">
        <v>743</v>
      </c>
      <c r="K259" s="100" t="s">
        <v>746</v>
      </c>
      <c r="L259" s="100" t="s">
        <v>747</v>
      </c>
      <c r="M259" s="159">
        <v>8200</v>
      </c>
      <c r="N259" s="159">
        <v>2900</v>
      </c>
      <c r="O259" s="159">
        <v>1700</v>
      </c>
      <c r="P259" s="161">
        <v>1200</v>
      </c>
      <c r="Q259" s="35">
        <v>4920</v>
      </c>
      <c r="R259" s="35">
        <v>1740</v>
      </c>
      <c r="S259" s="35">
        <v>1020</v>
      </c>
      <c r="T259" s="35">
        <v>720</v>
      </c>
      <c r="U259" s="35">
        <v>3280</v>
      </c>
      <c r="V259" s="35">
        <v>1200</v>
      </c>
      <c r="W259" s="35">
        <v>680</v>
      </c>
      <c r="X259" s="35">
        <v>480</v>
      </c>
      <c r="Y259" s="38" t="s">
        <v>748</v>
      </c>
      <c r="Z259" s="4"/>
      <c r="AA259" s="4"/>
      <c r="AB259" s="4"/>
      <c r="AC259" s="4"/>
      <c r="AD259" s="4"/>
      <c r="AE259" s="4"/>
      <c r="AF259" s="4"/>
      <c r="AG259" s="4"/>
      <c r="AH259" s="4"/>
      <c r="AI259" s="4"/>
      <c r="AJ259" s="4"/>
    </row>
    <row r="260" spans="1:36" ht="104.9" hidden="1" customHeight="1" x14ac:dyDescent="0.35">
      <c r="A260" s="148" t="s">
        <v>745</v>
      </c>
      <c r="B260" s="158" t="s">
        <v>743</v>
      </c>
      <c r="C260" s="100" t="s">
        <v>746</v>
      </c>
      <c r="D260" s="100" t="s">
        <v>744</v>
      </c>
      <c r="E260" s="159">
        <v>8200</v>
      </c>
      <c r="F260" s="159">
        <v>2900</v>
      </c>
      <c r="G260" s="159">
        <v>1700</v>
      </c>
      <c r="H260" s="159">
        <v>1200</v>
      </c>
      <c r="I260" s="148" t="s">
        <v>565</v>
      </c>
      <c r="J260" s="158" t="s">
        <v>743</v>
      </c>
      <c r="K260" s="100" t="s">
        <v>746</v>
      </c>
      <c r="L260" s="100" t="s">
        <v>744</v>
      </c>
      <c r="M260" s="159">
        <v>8200</v>
      </c>
      <c r="N260" s="159">
        <v>2900</v>
      </c>
      <c r="O260" s="159">
        <v>1700</v>
      </c>
      <c r="P260" s="161">
        <v>1200</v>
      </c>
      <c r="Q260" s="35">
        <v>4920</v>
      </c>
      <c r="R260" s="35">
        <v>1740</v>
      </c>
      <c r="S260" s="35">
        <v>1020</v>
      </c>
      <c r="T260" s="35">
        <v>720</v>
      </c>
      <c r="U260" s="35">
        <v>3280</v>
      </c>
      <c r="V260" s="35">
        <v>1200</v>
      </c>
      <c r="W260" s="35">
        <v>680</v>
      </c>
      <c r="X260" s="35">
        <v>480</v>
      </c>
      <c r="Y260" s="38" t="s">
        <v>1066</v>
      </c>
      <c r="Z260" s="4"/>
      <c r="AA260" s="4"/>
      <c r="AB260" s="4"/>
      <c r="AC260" s="4"/>
      <c r="AD260" s="4"/>
      <c r="AE260" s="4"/>
      <c r="AF260" s="4"/>
      <c r="AG260" s="4"/>
      <c r="AH260" s="4"/>
      <c r="AI260" s="4"/>
      <c r="AJ260" s="4"/>
    </row>
    <row r="261" spans="1:36" x14ac:dyDescent="0.35">
      <c r="A261" s="4"/>
      <c r="B261" s="4"/>
      <c r="C261" s="4"/>
      <c r="D261" s="4"/>
      <c r="E261" s="4"/>
      <c r="F261" s="4"/>
      <c r="G261" s="4"/>
      <c r="H261" s="4"/>
      <c r="I261" s="4"/>
      <c r="J261" s="4"/>
      <c r="K261" s="4"/>
      <c r="M261" s="7"/>
      <c r="N261" s="7"/>
      <c r="O261" s="7"/>
      <c r="P261" s="7"/>
      <c r="Q261" s="253"/>
      <c r="R261" s="253"/>
      <c r="S261" s="253"/>
      <c r="T261" s="253"/>
      <c r="U261" s="253"/>
      <c r="V261" s="253"/>
      <c r="W261" s="253"/>
      <c r="X261" s="255"/>
      <c r="Y261" s="12"/>
    </row>
    <row r="262" spans="1:36" ht="85.5" customHeight="1" x14ac:dyDescent="0.35">
      <c r="A262" s="4"/>
      <c r="B262" s="4"/>
      <c r="C262" s="4"/>
      <c r="D262" s="4"/>
      <c r="E262" s="4"/>
      <c r="F262" s="4"/>
      <c r="G262" s="4"/>
      <c r="H262" s="4"/>
      <c r="I262" s="4"/>
      <c r="J262" s="4"/>
      <c r="K262" s="4"/>
      <c r="M262" s="7"/>
      <c r="N262" s="7"/>
      <c r="O262" s="7"/>
      <c r="P262" s="7"/>
      <c r="Q262" s="7"/>
      <c r="R262" s="7"/>
      <c r="S262" s="7"/>
      <c r="T262" s="7"/>
      <c r="U262" s="7"/>
      <c r="V262" s="7"/>
      <c r="W262" s="7"/>
      <c r="X262" s="7"/>
      <c r="Y262" s="9"/>
    </row>
    <row r="263" spans="1:36" x14ac:dyDescent="0.35">
      <c r="A263" s="4"/>
      <c r="B263" s="4"/>
      <c r="C263" s="4"/>
      <c r="D263" s="4"/>
      <c r="E263" s="4"/>
      <c r="F263" s="4"/>
      <c r="G263" s="4"/>
      <c r="H263" s="4"/>
      <c r="I263" s="4"/>
      <c r="J263" s="4"/>
      <c r="K263" s="4"/>
      <c r="M263" s="7"/>
      <c r="N263" s="7"/>
      <c r="O263" s="7"/>
      <c r="P263" s="7"/>
      <c r="Q263" s="7"/>
      <c r="R263" s="7"/>
      <c r="S263" s="7"/>
      <c r="T263" s="7"/>
      <c r="U263" s="7"/>
      <c r="V263" s="7"/>
      <c r="W263" s="7"/>
      <c r="X263" s="7"/>
      <c r="Y263" s="9"/>
    </row>
    <row r="264" spans="1:36" x14ac:dyDescent="0.35">
      <c r="A264" s="4"/>
      <c r="B264" s="4"/>
      <c r="C264" s="4"/>
      <c r="D264" s="4"/>
      <c r="E264" s="4"/>
      <c r="F264" s="4"/>
      <c r="G264" s="4"/>
      <c r="H264" s="4"/>
      <c r="I264" s="4"/>
      <c r="J264" s="4"/>
      <c r="K264" s="4"/>
      <c r="M264" s="7"/>
      <c r="N264" s="7"/>
      <c r="O264" s="7"/>
      <c r="P264" s="7"/>
      <c r="Q264" s="7"/>
      <c r="R264" s="7"/>
      <c r="S264" s="7"/>
      <c r="T264" s="7"/>
      <c r="U264" s="7"/>
      <c r="V264" s="7"/>
      <c r="W264" s="7"/>
      <c r="X264" s="7"/>
      <c r="Y264" s="9"/>
    </row>
    <row r="265" spans="1:36" x14ac:dyDescent="0.35">
      <c r="A265" s="4"/>
      <c r="B265" s="4"/>
      <c r="C265" s="4"/>
      <c r="D265" s="4"/>
      <c r="E265" s="4"/>
      <c r="F265" s="4"/>
      <c r="G265" s="4"/>
      <c r="H265" s="4"/>
      <c r="I265" s="4"/>
      <c r="J265" s="4"/>
      <c r="K265" s="4"/>
      <c r="M265" s="7"/>
      <c r="N265" s="7"/>
      <c r="O265" s="7"/>
      <c r="P265" s="7"/>
      <c r="Q265" s="7"/>
      <c r="R265" s="7"/>
      <c r="S265" s="7"/>
      <c r="T265" s="7"/>
      <c r="U265" s="7"/>
      <c r="V265" s="7"/>
      <c r="W265" s="7"/>
      <c r="X265" s="7"/>
      <c r="Y265" s="9"/>
    </row>
    <row r="266" spans="1:36" x14ac:dyDescent="0.35">
      <c r="A266" s="4"/>
      <c r="B266" s="4"/>
      <c r="C266" s="4"/>
      <c r="D266" s="4"/>
      <c r="E266" s="4"/>
      <c r="F266" s="4"/>
      <c r="G266" s="4"/>
      <c r="H266" s="4"/>
      <c r="I266" s="4"/>
      <c r="J266" s="4"/>
      <c r="K266" s="4"/>
      <c r="M266" s="7"/>
      <c r="N266" s="7"/>
      <c r="O266" s="7"/>
      <c r="P266" s="7"/>
      <c r="Q266" s="7"/>
      <c r="R266" s="7"/>
      <c r="S266" s="7"/>
      <c r="T266" s="7"/>
      <c r="U266" s="7"/>
      <c r="V266" s="7"/>
      <c r="W266" s="7"/>
      <c r="X266" s="7"/>
      <c r="Y266" s="9"/>
    </row>
    <row r="267" spans="1:36" ht="14.5" customHeight="1" x14ac:dyDescent="0.35">
      <c r="A267" s="4"/>
      <c r="B267" s="4"/>
      <c r="C267" s="4"/>
      <c r="D267" s="4"/>
      <c r="E267" s="4"/>
      <c r="F267" s="4"/>
      <c r="G267" s="4"/>
      <c r="H267" s="4"/>
      <c r="I267" s="4"/>
      <c r="J267" s="4"/>
      <c r="K267" s="4"/>
      <c r="M267" s="7"/>
      <c r="N267" s="7"/>
      <c r="O267" s="7"/>
      <c r="P267" s="7"/>
      <c r="Q267" s="7"/>
      <c r="R267" s="7"/>
      <c r="S267" s="7"/>
      <c r="T267" s="7"/>
      <c r="U267" s="7"/>
      <c r="V267" s="7"/>
      <c r="W267" s="7"/>
      <c r="X267" s="7"/>
      <c r="Y267" s="9"/>
    </row>
    <row r="268" spans="1:36" ht="14.5" customHeight="1" x14ac:dyDescent="0.35">
      <c r="A268" s="4"/>
      <c r="B268" s="4"/>
      <c r="C268" s="4"/>
      <c r="D268" s="4"/>
      <c r="E268" s="4"/>
      <c r="F268" s="4"/>
      <c r="G268" s="4"/>
      <c r="H268" s="4"/>
      <c r="I268" s="4"/>
      <c r="J268" s="4"/>
      <c r="K268" s="4"/>
      <c r="M268" s="7"/>
      <c r="N268" s="7"/>
      <c r="O268" s="7"/>
      <c r="P268" s="7"/>
      <c r="Q268" s="7"/>
      <c r="R268" s="7"/>
      <c r="S268" s="7"/>
      <c r="T268" s="7"/>
      <c r="U268" s="7"/>
      <c r="V268" s="7"/>
      <c r="W268" s="7"/>
      <c r="X268" s="7"/>
      <c r="Y268" s="9"/>
    </row>
    <row r="269" spans="1:36" ht="14.5" customHeight="1" x14ac:dyDescent="0.35">
      <c r="A269" s="4"/>
      <c r="B269" s="4"/>
      <c r="C269" s="4"/>
      <c r="D269" s="4"/>
      <c r="E269" s="4"/>
      <c r="F269" s="4"/>
      <c r="G269" s="4"/>
      <c r="H269" s="4"/>
      <c r="I269" s="4"/>
      <c r="J269" s="4"/>
      <c r="K269" s="4"/>
      <c r="M269" s="7"/>
      <c r="N269" s="7"/>
      <c r="O269" s="7"/>
      <c r="P269" s="7"/>
      <c r="Q269" s="7"/>
      <c r="R269" s="7"/>
      <c r="S269" s="7"/>
      <c r="T269" s="7"/>
      <c r="U269" s="7"/>
      <c r="V269" s="7"/>
      <c r="W269" s="7"/>
      <c r="X269" s="7"/>
      <c r="Y269" s="9"/>
    </row>
    <row r="270" spans="1:36" ht="14.5" customHeight="1" x14ac:dyDescent="0.35">
      <c r="A270" s="4"/>
      <c r="B270" s="4"/>
      <c r="C270" s="4"/>
      <c r="D270" s="4"/>
      <c r="E270" s="4"/>
      <c r="F270" s="4"/>
      <c r="G270" s="4"/>
      <c r="H270" s="4"/>
      <c r="I270" s="4"/>
      <c r="J270" s="4"/>
      <c r="K270" s="4"/>
      <c r="M270" s="7"/>
      <c r="N270" s="7"/>
      <c r="O270" s="7"/>
      <c r="P270" s="7"/>
      <c r="Q270" s="7"/>
      <c r="R270" s="7"/>
      <c r="S270" s="7"/>
      <c r="T270" s="7"/>
      <c r="U270" s="7"/>
      <c r="V270" s="7"/>
      <c r="W270" s="7"/>
      <c r="X270" s="7"/>
      <c r="Y270" s="9"/>
    </row>
    <row r="271" spans="1:36" ht="14.5" customHeight="1" x14ac:dyDescent="0.35">
      <c r="A271" s="4"/>
      <c r="B271" s="4"/>
      <c r="C271" s="4"/>
      <c r="D271" s="4"/>
      <c r="E271" s="4"/>
      <c r="F271" s="4"/>
      <c r="G271" s="4"/>
      <c r="H271" s="4"/>
      <c r="I271" s="4"/>
      <c r="J271" s="4"/>
      <c r="K271" s="4"/>
      <c r="M271" s="7"/>
      <c r="N271" s="7"/>
      <c r="O271" s="7"/>
      <c r="P271" s="7"/>
      <c r="Q271" s="7"/>
      <c r="R271" s="7"/>
      <c r="S271" s="7"/>
      <c r="T271" s="7"/>
      <c r="U271" s="7"/>
      <c r="V271" s="7"/>
      <c r="W271" s="7"/>
      <c r="X271" s="7"/>
      <c r="Y271" s="9"/>
    </row>
    <row r="272" spans="1:36" ht="14.5" customHeight="1" x14ac:dyDescent="0.35">
      <c r="A272" s="4"/>
      <c r="B272" s="4"/>
      <c r="C272" s="4"/>
      <c r="D272" s="4"/>
      <c r="E272" s="4"/>
      <c r="F272" s="4"/>
      <c r="G272" s="4"/>
      <c r="H272" s="4"/>
      <c r="I272" s="4"/>
      <c r="J272" s="4"/>
      <c r="K272" s="4"/>
      <c r="M272" s="7"/>
      <c r="N272" s="7"/>
      <c r="O272" s="7"/>
      <c r="P272" s="7"/>
      <c r="Q272" s="7"/>
      <c r="R272" s="7"/>
      <c r="S272" s="7"/>
      <c r="T272" s="7"/>
      <c r="U272" s="7"/>
      <c r="V272" s="7"/>
      <c r="W272" s="7"/>
      <c r="X272" s="7"/>
      <c r="Y272" s="9"/>
    </row>
    <row r="273" spans="1:25" x14ac:dyDescent="0.35">
      <c r="A273" s="4"/>
      <c r="B273" s="4"/>
      <c r="C273" s="4"/>
      <c r="D273" s="4"/>
      <c r="E273" s="4"/>
      <c r="F273" s="4"/>
      <c r="G273" s="4"/>
      <c r="H273" s="4"/>
      <c r="I273" s="4"/>
      <c r="J273" s="4"/>
      <c r="K273" s="4"/>
      <c r="M273" s="7"/>
      <c r="N273" s="7"/>
      <c r="O273" s="7"/>
      <c r="P273" s="7"/>
      <c r="Q273" s="7"/>
      <c r="R273" s="7"/>
      <c r="S273" s="7"/>
      <c r="T273" s="7"/>
      <c r="U273" s="7"/>
      <c r="V273" s="7"/>
      <c r="W273" s="7"/>
      <c r="X273" s="7"/>
      <c r="Y273" s="9"/>
    </row>
    <row r="274" spans="1:25" ht="14.5" customHeight="1" x14ac:dyDescent="0.35">
      <c r="A274" s="4"/>
      <c r="B274" s="4"/>
      <c r="C274" s="4"/>
      <c r="D274" s="4"/>
      <c r="E274" s="4"/>
      <c r="F274" s="4"/>
      <c r="G274" s="4"/>
      <c r="H274" s="4"/>
      <c r="I274" s="4"/>
      <c r="J274" s="4"/>
      <c r="K274" s="4"/>
      <c r="M274" s="7"/>
      <c r="N274" s="7"/>
      <c r="O274" s="7"/>
      <c r="P274" s="7"/>
      <c r="Q274" s="7"/>
      <c r="R274" s="7"/>
      <c r="S274" s="7"/>
      <c r="T274" s="7"/>
      <c r="U274" s="7"/>
      <c r="V274" s="7"/>
      <c r="W274" s="7"/>
      <c r="X274" s="7"/>
      <c r="Y274" s="9"/>
    </row>
    <row r="275" spans="1:25" ht="14.5" customHeight="1" x14ac:dyDescent="0.35">
      <c r="A275" s="4"/>
      <c r="B275" s="4"/>
      <c r="C275" s="4"/>
      <c r="D275" s="4"/>
      <c r="E275" s="4"/>
      <c r="F275" s="4"/>
      <c r="G275" s="4"/>
      <c r="H275" s="4"/>
      <c r="I275" s="4"/>
      <c r="J275" s="4"/>
      <c r="K275" s="4"/>
      <c r="M275" s="7"/>
      <c r="N275" s="7"/>
      <c r="O275" s="7"/>
      <c r="P275" s="7"/>
      <c r="Q275" s="7"/>
      <c r="R275" s="7"/>
      <c r="S275" s="7"/>
      <c r="T275" s="7"/>
      <c r="U275" s="7"/>
      <c r="V275" s="7"/>
      <c r="W275" s="7"/>
      <c r="X275" s="7"/>
      <c r="Y275" s="9"/>
    </row>
    <row r="276" spans="1:25" ht="14.5" customHeight="1" x14ac:dyDescent="0.35">
      <c r="A276" s="4"/>
      <c r="B276" s="4"/>
      <c r="C276" s="4"/>
      <c r="D276" s="4"/>
      <c r="E276" s="4"/>
      <c r="F276" s="4"/>
      <c r="G276" s="4"/>
      <c r="H276" s="4"/>
      <c r="I276" s="4"/>
      <c r="J276" s="4"/>
      <c r="K276" s="4"/>
      <c r="M276" s="7"/>
      <c r="N276" s="7"/>
      <c r="O276" s="7"/>
      <c r="P276" s="7"/>
      <c r="Q276" s="7"/>
      <c r="R276" s="7"/>
      <c r="S276" s="7"/>
      <c r="T276" s="7"/>
      <c r="U276" s="7"/>
      <c r="V276" s="7"/>
      <c r="W276" s="7"/>
      <c r="X276" s="7"/>
      <c r="Y276" s="9"/>
    </row>
    <row r="277" spans="1:25" ht="14.5" customHeight="1" x14ac:dyDescent="0.35">
      <c r="A277" s="4"/>
      <c r="B277" s="4"/>
      <c r="C277" s="4"/>
      <c r="D277" s="4"/>
      <c r="E277" s="4"/>
      <c r="F277" s="4"/>
      <c r="G277" s="4"/>
      <c r="H277" s="4"/>
      <c r="I277" s="4"/>
      <c r="J277" s="4"/>
      <c r="K277" s="4"/>
      <c r="M277" s="7"/>
      <c r="N277" s="7"/>
      <c r="O277" s="7"/>
      <c r="P277" s="7"/>
      <c r="Q277" s="7"/>
      <c r="R277" s="7"/>
      <c r="S277" s="7"/>
      <c r="T277" s="7"/>
      <c r="U277" s="7"/>
      <c r="V277" s="7"/>
      <c r="W277" s="7"/>
      <c r="X277" s="7"/>
      <c r="Y277" s="9"/>
    </row>
    <row r="278" spans="1:25" x14ac:dyDescent="0.35">
      <c r="A278" s="4"/>
      <c r="B278" s="4"/>
      <c r="C278" s="4"/>
      <c r="D278" s="4"/>
      <c r="E278" s="4"/>
      <c r="F278" s="4"/>
      <c r="G278" s="4"/>
      <c r="H278" s="4"/>
      <c r="I278" s="4"/>
      <c r="J278" s="4"/>
      <c r="K278" s="4"/>
      <c r="M278" s="7"/>
      <c r="N278" s="7"/>
      <c r="O278" s="7"/>
      <c r="P278" s="7"/>
      <c r="Q278" s="7"/>
      <c r="R278" s="7"/>
      <c r="S278" s="7"/>
      <c r="T278" s="7"/>
      <c r="U278" s="7"/>
      <c r="V278" s="7"/>
      <c r="W278" s="7"/>
      <c r="X278" s="7"/>
      <c r="Y278" s="9"/>
    </row>
    <row r="279" spans="1:25" ht="37.5" customHeight="1" x14ac:dyDescent="0.35">
      <c r="A279" s="4"/>
      <c r="B279" s="4"/>
      <c r="C279" s="4"/>
      <c r="D279" s="4"/>
      <c r="E279" s="4"/>
      <c r="F279" s="4"/>
      <c r="G279" s="4"/>
      <c r="H279" s="4"/>
      <c r="I279" s="4"/>
      <c r="J279" s="4"/>
      <c r="K279" s="4"/>
      <c r="M279" s="7"/>
      <c r="N279" s="7"/>
      <c r="O279" s="7"/>
      <c r="P279" s="7"/>
      <c r="Q279" s="7"/>
      <c r="R279" s="7"/>
      <c r="S279" s="7"/>
      <c r="T279" s="7"/>
      <c r="U279" s="7"/>
      <c r="V279" s="7"/>
      <c r="W279" s="7"/>
      <c r="X279" s="7"/>
      <c r="Y279" s="9"/>
    </row>
    <row r="280" spans="1:25" ht="14.5" customHeight="1" x14ac:dyDescent="0.35">
      <c r="A280" s="4"/>
      <c r="B280" s="4"/>
      <c r="C280" s="4"/>
      <c r="D280" s="4"/>
      <c r="E280" s="4"/>
      <c r="F280" s="4"/>
      <c r="G280" s="4"/>
      <c r="H280" s="4"/>
      <c r="I280" s="4"/>
      <c r="J280" s="4"/>
      <c r="K280" s="4"/>
      <c r="M280" s="7"/>
      <c r="N280" s="7"/>
      <c r="O280" s="7"/>
      <c r="P280" s="7"/>
      <c r="Q280" s="7"/>
      <c r="R280" s="7"/>
      <c r="S280" s="7"/>
      <c r="T280" s="7"/>
      <c r="U280" s="7"/>
      <c r="V280" s="7"/>
      <c r="W280" s="7"/>
      <c r="X280" s="7"/>
      <c r="Y280" s="9"/>
    </row>
    <row r="281" spans="1:25" x14ac:dyDescent="0.35">
      <c r="A281" s="4"/>
      <c r="B281" s="4"/>
      <c r="C281" s="4"/>
      <c r="D281" s="4"/>
      <c r="E281" s="4"/>
      <c r="F281" s="4"/>
      <c r="G281" s="4"/>
      <c r="H281" s="4"/>
      <c r="I281" s="4"/>
      <c r="J281" s="4"/>
      <c r="K281" s="4"/>
      <c r="M281" s="7"/>
      <c r="N281" s="7"/>
      <c r="O281" s="7"/>
      <c r="P281" s="7"/>
      <c r="Q281" s="7"/>
      <c r="R281" s="7"/>
      <c r="S281" s="7"/>
      <c r="T281" s="7"/>
      <c r="U281" s="7"/>
      <c r="V281" s="7"/>
      <c r="W281" s="7"/>
      <c r="X281" s="7"/>
      <c r="Y281" s="9"/>
    </row>
    <row r="282" spans="1:25" ht="14.5" customHeight="1" x14ac:dyDescent="0.35">
      <c r="A282" s="4"/>
      <c r="B282" s="4"/>
      <c r="C282" s="4"/>
      <c r="D282" s="4"/>
      <c r="E282" s="4"/>
      <c r="F282" s="4"/>
      <c r="G282" s="4"/>
      <c r="H282" s="4"/>
      <c r="I282" s="4"/>
      <c r="J282" s="4"/>
      <c r="K282" s="4"/>
      <c r="M282" s="7"/>
      <c r="N282" s="7"/>
      <c r="O282" s="7"/>
      <c r="P282" s="7"/>
      <c r="Q282" s="7"/>
      <c r="R282" s="7"/>
      <c r="S282" s="7"/>
      <c r="T282" s="7"/>
      <c r="U282" s="7"/>
      <c r="V282" s="7"/>
      <c r="W282" s="7"/>
      <c r="X282" s="7"/>
      <c r="Y282" s="9"/>
    </row>
    <row r="283" spans="1:25" ht="14.5" customHeight="1" x14ac:dyDescent="0.35">
      <c r="A283" s="4"/>
      <c r="B283" s="4"/>
      <c r="C283" s="4"/>
      <c r="D283" s="4"/>
      <c r="E283" s="4"/>
      <c r="F283" s="4"/>
      <c r="G283" s="4"/>
      <c r="H283" s="4"/>
      <c r="I283" s="4"/>
      <c r="J283" s="4"/>
      <c r="K283" s="4"/>
      <c r="M283" s="7"/>
      <c r="N283" s="7"/>
      <c r="O283" s="7"/>
      <c r="P283" s="7"/>
      <c r="Q283" s="7"/>
      <c r="R283" s="7"/>
      <c r="S283" s="7"/>
      <c r="T283" s="7"/>
      <c r="U283" s="7"/>
      <c r="V283" s="7"/>
      <c r="W283" s="7"/>
      <c r="X283" s="7"/>
      <c r="Y283" s="9"/>
    </row>
    <row r="284" spans="1:25" ht="14.5" customHeight="1" x14ac:dyDescent="0.35">
      <c r="A284" s="4"/>
      <c r="B284" s="4"/>
      <c r="C284" s="4"/>
      <c r="D284" s="4"/>
      <c r="E284" s="4"/>
      <c r="F284" s="4"/>
      <c r="G284" s="4"/>
      <c r="H284" s="4"/>
      <c r="I284" s="4"/>
      <c r="J284" s="4"/>
      <c r="K284" s="4"/>
      <c r="M284" s="7"/>
      <c r="N284" s="7"/>
      <c r="O284" s="7"/>
      <c r="P284" s="7"/>
      <c r="Q284" s="7"/>
      <c r="R284" s="7"/>
      <c r="S284" s="7"/>
      <c r="T284" s="7"/>
      <c r="U284" s="7"/>
      <c r="V284" s="7"/>
      <c r="W284" s="7"/>
      <c r="X284" s="7"/>
      <c r="Y284" s="9"/>
    </row>
    <row r="285" spans="1:25" ht="14.5" customHeight="1" x14ac:dyDescent="0.35">
      <c r="A285" s="4"/>
      <c r="B285" s="4"/>
      <c r="C285" s="4"/>
      <c r="D285" s="4"/>
      <c r="E285" s="4"/>
      <c r="F285" s="4"/>
      <c r="G285" s="4"/>
      <c r="H285" s="4"/>
      <c r="I285" s="4"/>
      <c r="J285" s="4"/>
      <c r="K285" s="4"/>
      <c r="M285" s="7"/>
      <c r="N285" s="7"/>
      <c r="O285" s="7"/>
      <c r="P285" s="7"/>
      <c r="Q285" s="7"/>
      <c r="R285" s="7"/>
      <c r="S285" s="7"/>
      <c r="T285" s="7"/>
      <c r="U285" s="7"/>
      <c r="V285" s="7"/>
      <c r="W285" s="7"/>
      <c r="X285" s="7"/>
      <c r="Y285" s="9"/>
    </row>
    <row r="286" spans="1:25" ht="14.5" customHeight="1" x14ac:dyDescent="0.35">
      <c r="A286" s="4"/>
      <c r="B286" s="4"/>
      <c r="C286" s="4"/>
      <c r="D286" s="4"/>
      <c r="E286" s="4"/>
      <c r="F286" s="4"/>
      <c r="G286" s="4"/>
      <c r="H286" s="4"/>
      <c r="I286" s="4"/>
      <c r="J286" s="4"/>
      <c r="K286" s="4"/>
      <c r="M286" s="7"/>
      <c r="N286" s="7"/>
      <c r="O286" s="7"/>
      <c r="P286" s="7"/>
      <c r="Q286" s="7"/>
      <c r="R286" s="7"/>
      <c r="S286" s="7"/>
      <c r="T286" s="7"/>
      <c r="U286" s="7"/>
      <c r="V286" s="7"/>
      <c r="W286" s="7"/>
      <c r="X286" s="7"/>
      <c r="Y286" s="9"/>
    </row>
    <row r="287" spans="1:25" ht="14.5" customHeight="1" x14ac:dyDescent="0.35">
      <c r="A287" s="4"/>
      <c r="B287" s="4"/>
      <c r="C287" s="4"/>
      <c r="D287" s="4"/>
      <c r="E287" s="4"/>
      <c r="F287" s="4"/>
      <c r="G287" s="4"/>
      <c r="H287" s="4"/>
      <c r="I287" s="4"/>
      <c r="J287" s="4"/>
      <c r="K287" s="4"/>
      <c r="M287" s="7"/>
      <c r="N287" s="7"/>
      <c r="O287" s="7"/>
      <c r="P287" s="7"/>
      <c r="Q287" s="7"/>
      <c r="R287" s="7"/>
      <c r="S287" s="7"/>
      <c r="T287" s="7"/>
      <c r="U287" s="7"/>
      <c r="V287" s="7"/>
      <c r="W287" s="7"/>
      <c r="X287" s="7"/>
      <c r="Y287" s="9"/>
    </row>
    <row r="288" spans="1:25" ht="14.5" customHeight="1" x14ac:dyDescent="0.35">
      <c r="A288" s="4"/>
      <c r="B288" s="4"/>
      <c r="C288" s="4"/>
      <c r="D288" s="4"/>
      <c r="E288" s="4"/>
      <c r="F288" s="4"/>
      <c r="G288" s="4"/>
      <c r="H288" s="4"/>
      <c r="I288" s="4"/>
      <c r="J288" s="4"/>
      <c r="K288" s="4"/>
      <c r="M288" s="7"/>
      <c r="N288" s="7"/>
      <c r="O288" s="7"/>
      <c r="P288" s="7"/>
      <c r="Q288" s="7"/>
      <c r="R288" s="7"/>
      <c r="S288" s="7"/>
      <c r="T288" s="7"/>
      <c r="U288" s="7"/>
      <c r="V288" s="7"/>
      <c r="W288" s="7"/>
      <c r="X288" s="7"/>
      <c r="Y288" s="9"/>
    </row>
    <row r="289" spans="1:25" x14ac:dyDescent="0.35">
      <c r="A289" s="4"/>
      <c r="B289" s="4"/>
      <c r="C289" s="4"/>
      <c r="D289" s="4"/>
      <c r="E289" s="4"/>
      <c r="F289" s="4"/>
      <c r="G289" s="4"/>
      <c r="H289" s="4"/>
      <c r="I289" s="4"/>
      <c r="J289" s="4"/>
      <c r="K289" s="4"/>
      <c r="M289" s="7"/>
      <c r="N289" s="7"/>
      <c r="O289" s="7"/>
      <c r="P289" s="7"/>
      <c r="Q289" s="7"/>
      <c r="R289" s="7"/>
      <c r="S289" s="7"/>
      <c r="T289" s="7"/>
      <c r="U289" s="7"/>
      <c r="V289" s="7"/>
      <c r="W289" s="7"/>
      <c r="X289" s="7"/>
      <c r="Y289" s="9"/>
    </row>
    <row r="290" spans="1:25" x14ac:dyDescent="0.35">
      <c r="A290" s="4"/>
      <c r="B290" s="4"/>
      <c r="C290" s="4"/>
      <c r="D290" s="4"/>
      <c r="E290" s="4"/>
      <c r="F290" s="4"/>
      <c r="G290" s="4"/>
      <c r="H290" s="4"/>
      <c r="I290" s="4"/>
      <c r="J290" s="4"/>
      <c r="K290" s="4"/>
      <c r="M290" s="7"/>
      <c r="N290" s="7"/>
      <c r="O290" s="7"/>
      <c r="P290" s="7"/>
      <c r="Q290" s="7"/>
      <c r="R290" s="7"/>
      <c r="S290" s="7"/>
      <c r="T290" s="7"/>
      <c r="U290" s="7"/>
      <c r="V290" s="7"/>
      <c r="W290" s="7"/>
      <c r="X290" s="7"/>
      <c r="Y290" s="9"/>
    </row>
    <row r="291" spans="1:25" x14ac:dyDescent="0.35">
      <c r="A291" s="4"/>
      <c r="B291" s="4"/>
      <c r="C291" s="4"/>
      <c r="D291" s="4"/>
      <c r="E291" s="4"/>
      <c r="F291" s="4"/>
      <c r="G291" s="4"/>
      <c r="H291" s="4"/>
      <c r="I291" s="4"/>
      <c r="J291" s="4"/>
      <c r="K291" s="4"/>
      <c r="M291" s="7"/>
      <c r="N291" s="7"/>
      <c r="O291" s="7"/>
      <c r="P291" s="7"/>
      <c r="Q291" s="7"/>
      <c r="R291" s="7"/>
      <c r="S291" s="7"/>
      <c r="T291" s="7"/>
      <c r="U291" s="7"/>
      <c r="V291" s="7"/>
      <c r="W291" s="7"/>
      <c r="X291" s="7"/>
      <c r="Y291" s="9"/>
    </row>
    <row r="292" spans="1:25" ht="14.5" customHeight="1" x14ac:dyDescent="0.35">
      <c r="A292" s="4"/>
      <c r="B292" s="4"/>
      <c r="C292" s="4"/>
      <c r="D292" s="4"/>
      <c r="E292" s="4"/>
      <c r="F292" s="4"/>
      <c r="G292" s="4"/>
      <c r="H292" s="4"/>
      <c r="I292" s="4"/>
      <c r="J292" s="4"/>
      <c r="K292" s="4"/>
      <c r="M292" s="7"/>
      <c r="N292" s="7"/>
      <c r="O292" s="7"/>
      <c r="P292" s="7"/>
      <c r="Q292" s="7"/>
      <c r="R292" s="7"/>
      <c r="S292" s="7"/>
      <c r="T292" s="7"/>
      <c r="U292" s="7"/>
      <c r="V292" s="7"/>
      <c r="W292" s="7"/>
      <c r="X292" s="7"/>
      <c r="Y292" s="9"/>
    </row>
    <row r="293" spans="1:25" ht="14.5" customHeight="1" x14ac:dyDescent="0.35">
      <c r="A293" s="4"/>
      <c r="B293" s="4"/>
      <c r="C293" s="4"/>
      <c r="D293" s="4"/>
      <c r="E293" s="4"/>
      <c r="F293" s="4"/>
      <c r="G293" s="4"/>
      <c r="H293" s="4"/>
      <c r="I293" s="4"/>
      <c r="J293" s="4"/>
      <c r="K293" s="4"/>
      <c r="M293" s="7"/>
      <c r="N293" s="7"/>
      <c r="O293" s="7"/>
      <c r="P293" s="7"/>
      <c r="Q293" s="7"/>
      <c r="R293" s="7"/>
      <c r="S293" s="7"/>
      <c r="T293" s="7"/>
      <c r="U293" s="7"/>
      <c r="V293" s="7"/>
      <c r="W293" s="7"/>
      <c r="X293" s="7"/>
      <c r="Y293" s="9"/>
    </row>
    <row r="294" spans="1:25" ht="14.5" customHeight="1" x14ac:dyDescent="0.35">
      <c r="A294" s="4"/>
      <c r="B294" s="4"/>
      <c r="C294" s="4"/>
      <c r="D294" s="4"/>
      <c r="E294" s="4"/>
      <c r="F294" s="4"/>
      <c r="G294" s="4"/>
      <c r="H294" s="4"/>
      <c r="I294" s="4"/>
      <c r="J294" s="4"/>
      <c r="K294" s="4"/>
      <c r="M294" s="7"/>
      <c r="N294" s="7"/>
      <c r="O294" s="7"/>
      <c r="P294" s="7"/>
      <c r="Q294" s="7"/>
      <c r="R294" s="7"/>
      <c r="S294" s="7"/>
      <c r="T294" s="7"/>
      <c r="U294" s="7"/>
      <c r="V294" s="7"/>
      <c r="W294" s="7"/>
      <c r="X294" s="7"/>
      <c r="Y294" s="9"/>
    </row>
    <row r="295" spans="1:25" ht="14.5" customHeight="1" x14ac:dyDescent="0.35">
      <c r="A295" s="4"/>
      <c r="B295" s="4"/>
      <c r="C295" s="4"/>
      <c r="D295" s="4"/>
      <c r="E295" s="4"/>
      <c r="F295" s="4"/>
      <c r="G295" s="4"/>
      <c r="H295" s="4"/>
      <c r="I295" s="4"/>
      <c r="J295" s="4"/>
      <c r="K295" s="4"/>
      <c r="M295" s="7"/>
      <c r="N295" s="7"/>
      <c r="O295" s="7"/>
      <c r="P295" s="7"/>
      <c r="Q295" s="7"/>
      <c r="R295" s="7"/>
      <c r="S295" s="7"/>
      <c r="T295" s="7"/>
      <c r="U295" s="7"/>
      <c r="V295" s="7"/>
      <c r="W295" s="7"/>
      <c r="X295" s="7"/>
      <c r="Y295" s="9"/>
    </row>
    <row r="296" spans="1:25" ht="14.5" customHeight="1" x14ac:dyDescent="0.35">
      <c r="A296" s="4"/>
      <c r="B296" s="4"/>
      <c r="C296" s="4"/>
      <c r="D296" s="4"/>
      <c r="E296" s="4"/>
      <c r="F296" s="4"/>
      <c r="G296" s="4"/>
      <c r="H296" s="4"/>
      <c r="I296" s="4"/>
      <c r="J296" s="4"/>
      <c r="K296" s="4"/>
      <c r="M296" s="7"/>
      <c r="N296" s="7"/>
      <c r="O296" s="7"/>
      <c r="P296" s="7"/>
      <c r="Q296" s="7"/>
      <c r="R296" s="7"/>
      <c r="S296" s="7"/>
      <c r="T296" s="7"/>
      <c r="U296" s="7"/>
      <c r="V296" s="7"/>
      <c r="W296" s="7"/>
      <c r="X296" s="7"/>
      <c r="Y296" s="9"/>
    </row>
    <row r="297" spans="1:25" ht="14.5" customHeight="1" x14ac:dyDescent="0.35">
      <c r="A297" s="4"/>
      <c r="B297" s="4"/>
      <c r="C297" s="4"/>
      <c r="D297" s="4"/>
      <c r="E297" s="4"/>
      <c r="F297" s="4"/>
      <c r="G297" s="4"/>
      <c r="H297" s="4"/>
      <c r="I297" s="4"/>
      <c r="J297" s="4"/>
      <c r="K297" s="4"/>
      <c r="M297" s="7"/>
      <c r="N297" s="7"/>
      <c r="O297" s="7"/>
      <c r="P297" s="7"/>
      <c r="Q297" s="7"/>
      <c r="R297" s="7"/>
      <c r="S297" s="7"/>
      <c r="T297" s="7"/>
      <c r="U297" s="7"/>
      <c r="V297" s="7"/>
      <c r="W297" s="7"/>
      <c r="X297" s="7"/>
      <c r="Y297" s="9"/>
    </row>
    <row r="298" spans="1:25" ht="14.5" customHeight="1" x14ac:dyDescent="0.35">
      <c r="A298" s="4"/>
      <c r="B298" s="4"/>
      <c r="C298" s="4"/>
      <c r="D298" s="4"/>
      <c r="E298" s="4"/>
      <c r="F298" s="4"/>
      <c r="G298" s="4"/>
      <c r="H298" s="4"/>
      <c r="I298" s="4"/>
      <c r="J298" s="4"/>
      <c r="K298" s="4"/>
      <c r="M298" s="7"/>
      <c r="N298" s="7"/>
      <c r="O298" s="7"/>
      <c r="P298" s="7"/>
      <c r="Q298" s="7"/>
      <c r="R298" s="7"/>
      <c r="S298" s="7"/>
      <c r="T298" s="7"/>
      <c r="U298" s="7"/>
      <c r="V298" s="7"/>
      <c r="W298" s="7"/>
      <c r="X298" s="7"/>
      <c r="Y298" s="9"/>
    </row>
    <row r="299" spans="1:25" x14ac:dyDescent="0.35">
      <c r="A299" s="4"/>
      <c r="B299" s="4"/>
      <c r="C299" s="4"/>
      <c r="D299" s="4"/>
      <c r="E299" s="4"/>
      <c r="F299" s="4"/>
      <c r="G299" s="4"/>
      <c r="H299" s="4"/>
      <c r="I299" s="4"/>
      <c r="J299" s="4"/>
      <c r="K299" s="4"/>
      <c r="M299" s="7"/>
      <c r="N299" s="7"/>
      <c r="O299" s="7"/>
      <c r="P299" s="7"/>
      <c r="Q299" s="7"/>
      <c r="R299" s="7"/>
      <c r="S299" s="7"/>
      <c r="T299" s="7"/>
      <c r="U299" s="7"/>
      <c r="V299" s="7"/>
      <c r="W299" s="7"/>
      <c r="X299" s="7"/>
      <c r="Y299" s="9"/>
    </row>
    <row r="300" spans="1:25" x14ac:dyDescent="0.35">
      <c r="A300" s="4"/>
      <c r="B300" s="4"/>
      <c r="C300" s="4"/>
      <c r="D300" s="4"/>
      <c r="E300" s="4"/>
      <c r="F300" s="4"/>
      <c r="G300" s="4"/>
      <c r="H300" s="4"/>
      <c r="I300" s="4"/>
      <c r="J300" s="4"/>
      <c r="K300" s="4"/>
      <c r="M300" s="7"/>
      <c r="N300" s="7"/>
      <c r="O300" s="7"/>
      <c r="P300" s="7"/>
      <c r="Q300" s="7"/>
      <c r="R300" s="7"/>
      <c r="S300" s="7"/>
      <c r="T300" s="7"/>
      <c r="U300" s="7"/>
      <c r="V300" s="7"/>
      <c r="W300" s="7"/>
      <c r="X300" s="7"/>
      <c r="Y300" s="9"/>
    </row>
    <row r="301" spans="1:25" x14ac:dyDescent="0.35">
      <c r="A301" s="4"/>
      <c r="B301" s="4"/>
      <c r="C301" s="4"/>
      <c r="D301" s="4"/>
      <c r="E301" s="4"/>
      <c r="F301" s="4"/>
      <c r="G301" s="4"/>
      <c r="H301" s="4"/>
      <c r="I301" s="4"/>
      <c r="J301" s="4"/>
      <c r="K301" s="4"/>
      <c r="M301" s="7"/>
      <c r="N301" s="7"/>
      <c r="O301" s="7"/>
      <c r="P301" s="7"/>
      <c r="Q301" s="7"/>
      <c r="R301" s="7"/>
      <c r="S301" s="7"/>
      <c r="T301" s="7"/>
      <c r="U301" s="7"/>
      <c r="V301" s="7"/>
      <c r="W301" s="7"/>
      <c r="X301" s="7"/>
      <c r="Y301" s="9"/>
    </row>
    <row r="302" spans="1:25" s="234" customFormat="1" x14ac:dyDescent="0.35">
      <c r="Y302" s="162"/>
    </row>
    <row r="303" spans="1:25" x14ac:dyDescent="0.35">
      <c r="A303" s="4"/>
      <c r="B303" s="4"/>
      <c r="C303" s="4"/>
      <c r="D303" s="4"/>
      <c r="E303" s="4"/>
      <c r="F303" s="4"/>
      <c r="G303" s="4"/>
      <c r="H303" s="4"/>
      <c r="I303" s="4"/>
      <c r="J303" s="4"/>
      <c r="K303" s="4"/>
      <c r="M303" s="7"/>
      <c r="N303" s="7"/>
      <c r="O303" s="7"/>
      <c r="P303" s="7"/>
      <c r="Q303" s="7"/>
      <c r="R303" s="7"/>
      <c r="S303" s="7"/>
      <c r="T303" s="7"/>
      <c r="U303" s="7"/>
      <c r="V303" s="7"/>
      <c r="W303" s="7"/>
      <c r="X303" s="7"/>
      <c r="Y303" s="9"/>
    </row>
    <row r="304" spans="1:25" x14ac:dyDescent="0.35">
      <c r="A304" s="4"/>
      <c r="B304" s="4"/>
      <c r="C304" s="4"/>
      <c r="D304" s="4"/>
      <c r="E304" s="4"/>
      <c r="F304" s="4"/>
      <c r="G304" s="4"/>
      <c r="H304" s="4"/>
      <c r="I304" s="4"/>
      <c r="J304" s="4"/>
      <c r="K304" s="4"/>
      <c r="M304" s="7"/>
      <c r="N304" s="7"/>
      <c r="O304" s="7"/>
      <c r="P304" s="7"/>
      <c r="Q304" s="7"/>
      <c r="R304" s="7"/>
      <c r="S304" s="7"/>
      <c r="T304" s="7"/>
      <c r="U304" s="7"/>
      <c r="V304" s="7"/>
      <c r="W304" s="7"/>
      <c r="X304" s="7"/>
      <c r="Y304" s="9"/>
    </row>
    <row r="305" spans="1:25" x14ac:dyDescent="0.35">
      <c r="A305" s="4"/>
      <c r="B305" s="4"/>
      <c r="C305" s="4"/>
      <c r="D305" s="4"/>
      <c r="E305" s="4"/>
      <c r="F305" s="4"/>
      <c r="G305" s="4"/>
      <c r="H305" s="4"/>
      <c r="I305" s="4"/>
      <c r="J305" s="4"/>
      <c r="K305" s="4"/>
      <c r="M305" s="7"/>
      <c r="N305" s="7"/>
      <c r="O305" s="7"/>
      <c r="P305" s="7"/>
      <c r="Q305" s="7"/>
      <c r="R305" s="7"/>
      <c r="S305" s="7"/>
      <c r="T305" s="7"/>
      <c r="U305" s="7"/>
      <c r="V305" s="7"/>
      <c r="W305" s="7"/>
      <c r="X305" s="7"/>
      <c r="Y305" s="9"/>
    </row>
    <row r="306" spans="1:25" x14ac:dyDescent="0.35">
      <c r="A306" s="4"/>
      <c r="B306" s="4"/>
      <c r="C306" s="4"/>
      <c r="D306" s="4"/>
      <c r="E306" s="4"/>
      <c r="F306" s="4"/>
      <c r="G306" s="4"/>
      <c r="H306" s="4"/>
      <c r="I306" s="4"/>
      <c r="J306" s="4"/>
      <c r="K306" s="4"/>
      <c r="M306" s="7"/>
      <c r="N306" s="7"/>
      <c r="O306" s="7"/>
      <c r="P306" s="7"/>
      <c r="Q306" s="7"/>
      <c r="R306" s="7"/>
      <c r="S306" s="7"/>
      <c r="T306" s="7"/>
      <c r="U306" s="7"/>
      <c r="V306" s="7"/>
      <c r="W306" s="7"/>
      <c r="X306" s="7"/>
      <c r="Y306" s="9"/>
    </row>
    <row r="307" spans="1:25" ht="14.5" customHeight="1" x14ac:dyDescent="0.35">
      <c r="A307" s="4"/>
      <c r="B307" s="4"/>
      <c r="C307" s="4"/>
      <c r="D307" s="4"/>
      <c r="E307" s="4"/>
      <c r="F307" s="4"/>
      <c r="G307" s="4"/>
      <c r="H307" s="4"/>
      <c r="I307" s="4"/>
      <c r="J307" s="4"/>
      <c r="K307" s="4"/>
      <c r="M307" s="7"/>
      <c r="N307" s="7"/>
      <c r="O307" s="7"/>
      <c r="P307" s="7"/>
      <c r="Q307" s="7"/>
      <c r="R307" s="7"/>
      <c r="S307" s="7"/>
      <c r="T307" s="7"/>
      <c r="U307" s="7"/>
      <c r="V307" s="7"/>
      <c r="W307" s="7"/>
      <c r="X307" s="7"/>
      <c r="Y307" s="9"/>
    </row>
    <row r="308" spans="1:25" ht="14.5" customHeight="1" x14ac:dyDescent="0.35">
      <c r="A308" s="4"/>
      <c r="B308" s="4"/>
      <c r="C308" s="4"/>
      <c r="D308" s="4"/>
      <c r="E308" s="4"/>
      <c r="F308" s="4"/>
      <c r="G308" s="4"/>
      <c r="H308" s="4"/>
      <c r="I308" s="4"/>
      <c r="J308" s="4"/>
      <c r="K308" s="4"/>
      <c r="M308" s="7"/>
      <c r="N308" s="7"/>
      <c r="O308" s="7"/>
      <c r="P308" s="7"/>
      <c r="Q308" s="7"/>
      <c r="R308" s="7"/>
      <c r="S308" s="7"/>
      <c r="T308" s="7"/>
      <c r="U308" s="7"/>
      <c r="V308" s="7"/>
      <c r="W308" s="7"/>
      <c r="X308" s="7"/>
      <c r="Y308" s="9"/>
    </row>
    <row r="309" spans="1:25" ht="14.5" customHeight="1" x14ac:dyDescent="0.35">
      <c r="A309" s="4"/>
      <c r="B309" s="4"/>
      <c r="C309" s="4"/>
      <c r="D309" s="4"/>
      <c r="E309" s="4"/>
      <c r="F309" s="4"/>
      <c r="G309" s="4"/>
      <c r="H309" s="4"/>
      <c r="I309" s="4"/>
      <c r="J309" s="4"/>
      <c r="K309" s="4"/>
      <c r="M309" s="7"/>
      <c r="N309" s="7"/>
      <c r="O309" s="7"/>
      <c r="P309" s="7"/>
      <c r="Q309" s="7"/>
      <c r="R309" s="7"/>
      <c r="S309" s="7"/>
      <c r="T309" s="7"/>
      <c r="U309" s="7"/>
      <c r="V309" s="7"/>
      <c r="W309" s="7"/>
      <c r="X309" s="7"/>
      <c r="Y309" s="9"/>
    </row>
    <row r="310" spans="1:25" ht="14.5" customHeight="1" x14ac:dyDescent="0.35">
      <c r="A310" s="4"/>
      <c r="B310" s="4"/>
      <c r="C310" s="4"/>
      <c r="D310" s="4"/>
      <c r="E310" s="4"/>
      <c r="F310" s="4"/>
      <c r="G310" s="4"/>
      <c r="H310" s="4"/>
      <c r="I310" s="4"/>
      <c r="J310" s="4"/>
      <c r="K310" s="4"/>
      <c r="M310" s="7"/>
      <c r="N310" s="7"/>
      <c r="O310" s="7"/>
      <c r="P310" s="7"/>
      <c r="Q310" s="7"/>
      <c r="R310" s="7"/>
      <c r="S310" s="7"/>
      <c r="T310" s="7"/>
      <c r="U310" s="7"/>
      <c r="V310" s="7"/>
      <c r="W310" s="7"/>
      <c r="X310" s="7"/>
      <c r="Y310" s="9"/>
    </row>
    <row r="311" spans="1:25" ht="14.5" customHeight="1" x14ac:dyDescent="0.35">
      <c r="A311" s="4"/>
      <c r="B311" s="4"/>
      <c r="C311" s="4"/>
      <c r="D311" s="4"/>
      <c r="E311" s="4"/>
      <c r="F311" s="4"/>
      <c r="G311" s="4"/>
      <c r="H311" s="4"/>
      <c r="I311" s="4"/>
      <c r="J311" s="4"/>
      <c r="K311" s="4"/>
      <c r="M311" s="7"/>
      <c r="N311" s="7"/>
      <c r="O311" s="7"/>
      <c r="P311" s="7"/>
      <c r="Q311" s="7"/>
      <c r="R311" s="7"/>
      <c r="S311" s="7"/>
      <c r="T311" s="7"/>
      <c r="U311" s="7"/>
      <c r="V311" s="7"/>
      <c r="W311" s="7"/>
      <c r="X311" s="7"/>
      <c r="Y311" s="9"/>
    </row>
    <row r="312" spans="1:25" ht="14.5" customHeight="1" x14ac:dyDescent="0.35">
      <c r="A312" s="4"/>
      <c r="B312" s="4"/>
      <c r="C312" s="4"/>
      <c r="D312" s="4"/>
      <c r="E312" s="4"/>
      <c r="F312" s="4"/>
      <c r="G312" s="4"/>
      <c r="H312" s="4"/>
      <c r="I312" s="4"/>
      <c r="J312" s="4"/>
      <c r="K312" s="4"/>
      <c r="M312" s="7"/>
      <c r="N312" s="7"/>
      <c r="O312" s="7"/>
      <c r="P312" s="7"/>
      <c r="Q312" s="7"/>
      <c r="R312" s="7"/>
      <c r="S312" s="7"/>
      <c r="T312" s="7"/>
      <c r="U312" s="7"/>
      <c r="V312" s="7"/>
      <c r="W312" s="7"/>
      <c r="X312" s="7"/>
      <c r="Y312" s="9"/>
    </row>
    <row r="313" spans="1:25" x14ac:dyDescent="0.35">
      <c r="A313" s="4"/>
      <c r="B313" s="4"/>
      <c r="C313" s="4"/>
      <c r="D313" s="4"/>
      <c r="E313" s="4"/>
      <c r="F313" s="4"/>
      <c r="G313" s="4"/>
      <c r="H313" s="4"/>
      <c r="I313" s="4"/>
      <c r="J313" s="4"/>
      <c r="K313" s="4"/>
      <c r="M313" s="7"/>
      <c r="N313" s="7"/>
      <c r="O313" s="7"/>
      <c r="P313" s="7"/>
      <c r="Q313" s="7"/>
      <c r="R313" s="7"/>
      <c r="S313" s="7"/>
      <c r="T313" s="7"/>
      <c r="U313" s="7"/>
      <c r="V313" s="7"/>
      <c r="W313" s="7"/>
      <c r="X313" s="7"/>
      <c r="Y313" s="9"/>
    </row>
    <row r="314" spans="1:25" x14ac:dyDescent="0.35">
      <c r="A314" s="4"/>
      <c r="B314" s="4"/>
      <c r="C314" s="4"/>
      <c r="D314" s="4"/>
      <c r="E314" s="4"/>
      <c r="F314" s="4"/>
      <c r="G314" s="4"/>
      <c r="H314" s="4"/>
      <c r="I314" s="4"/>
      <c r="J314" s="4"/>
      <c r="K314" s="4"/>
      <c r="M314" s="7"/>
      <c r="N314" s="7"/>
      <c r="O314" s="7"/>
      <c r="P314" s="7"/>
      <c r="Q314" s="7"/>
      <c r="R314" s="7"/>
      <c r="S314" s="7"/>
      <c r="T314" s="7"/>
      <c r="U314" s="7"/>
      <c r="V314" s="7"/>
      <c r="W314" s="7"/>
      <c r="X314" s="7"/>
      <c r="Y314" s="9"/>
    </row>
    <row r="315" spans="1:25" x14ac:dyDescent="0.35">
      <c r="A315" s="4"/>
      <c r="B315" s="4"/>
      <c r="C315" s="4"/>
      <c r="D315" s="4"/>
      <c r="E315" s="4"/>
      <c r="F315" s="4"/>
      <c r="G315" s="4"/>
      <c r="H315" s="4"/>
      <c r="I315" s="4"/>
      <c r="J315" s="4"/>
      <c r="K315" s="4"/>
      <c r="M315" s="7"/>
      <c r="N315" s="7"/>
      <c r="O315" s="7"/>
      <c r="P315" s="7"/>
      <c r="Q315" s="7"/>
      <c r="R315" s="7"/>
      <c r="S315" s="7"/>
      <c r="T315" s="7"/>
      <c r="U315" s="7"/>
      <c r="V315" s="7"/>
      <c r="W315" s="7"/>
      <c r="X315" s="7"/>
      <c r="Y315" s="9"/>
    </row>
    <row r="316" spans="1:25" x14ac:dyDescent="0.35">
      <c r="A316" s="4"/>
      <c r="B316" s="4"/>
      <c r="C316" s="4"/>
      <c r="D316" s="4"/>
      <c r="E316" s="4"/>
      <c r="F316" s="4"/>
      <c r="G316" s="4"/>
      <c r="H316" s="4"/>
      <c r="I316" s="4"/>
      <c r="J316" s="4"/>
      <c r="K316" s="4"/>
      <c r="M316" s="7"/>
      <c r="N316" s="7"/>
      <c r="O316" s="7"/>
      <c r="P316" s="7"/>
      <c r="Q316" s="7"/>
      <c r="R316" s="7"/>
      <c r="S316" s="7"/>
      <c r="T316" s="7"/>
      <c r="U316" s="7"/>
      <c r="V316" s="7"/>
      <c r="W316" s="7"/>
      <c r="X316" s="7"/>
      <c r="Y316" s="9"/>
    </row>
    <row r="317" spans="1:25" x14ac:dyDescent="0.35">
      <c r="A317" s="4"/>
      <c r="B317" s="4"/>
      <c r="C317" s="4"/>
      <c r="D317" s="4"/>
      <c r="E317" s="4"/>
      <c r="F317" s="4"/>
      <c r="G317" s="4"/>
      <c r="H317" s="4"/>
      <c r="I317" s="4"/>
      <c r="J317" s="4"/>
      <c r="K317" s="4"/>
      <c r="M317" s="7"/>
      <c r="N317" s="7"/>
      <c r="O317" s="7"/>
      <c r="P317" s="7"/>
      <c r="Q317" s="7"/>
      <c r="R317" s="7"/>
      <c r="S317" s="7"/>
      <c r="T317" s="7"/>
      <c r="U317" s="7"/>
      <c r="V317" s="7"/>
      <c r="W317" s="7"/>
      <c r="X317" s="7"/>
      <c r="Y317" s="9"/>
    </row>
    <row r="318" spans="1:25" x14ac:dyDescent="0.35">
      <c r="A318" s="4"/>
      <c r="B318" s="4"/>
      <c r="C318" s="4"/>
      <c r="D318" s="4"/>
      <c r="E318" s="4"/>
      <c r="F318" s="4"/>
      <c r="G318" s="4"/>
      <c r="H318" s="4"/>
      <c r="I318" s="4"/>
      <c r="J318" s="4"/>
      <c r="K318" s="4"/>
      <c r="M318" s="7"/>
      <c r="N318" s="7"/>
      <c r="O318" s="7"/>
      <c r="P318" s="7"/>
      <c r="Q318" s="7"/>
      <c r="R318" s="7"/>
      <c r="S318" s="7"/>
      <c r="T318" s="7"/>
      <c r="U318" s="7"/>
      <c r="V318" s="7"/>
      <c r="W318" s="7"/>
      <c r="X318" s="7"/>
      <c r="Y318" s="9"/>
    </row>
    <row r="319" spans="1:25" ht="14.5" customHeight="1" x14ac:dyDescent="0.35">
      <c r="A319" s="4"/>
      <c r="B319" s="4"/>
      <c r="C319" s="4"/>
      <c r="D319" s="4"/>
      <c r="E319" s="4"/>
      <c r="F319" s="4"/>
      <c r="G319" s="4"/>
      <c r="H319" s="4"/>
      <c r="I319" s="4"/>
      <c r="J319" s="4"/>
      <c r="K319" s="4"/>
      <c r="M319" s="7"/>
      <c r="N319" s="7"/>
      <c r="O319" s="7"/>
      <c r="P319" s="7"/>
      <c r="Q319" s="7"/>
      <c r="R319" s="7"/>
      <c r="S319" s="7"/>
      <c r="T319" s="7"/>
      <c r="U319" s="7"/>
      <c r="V319" s="7"/>
      <c r="W319" s="7"/>
      <c r="X319" s="7"/>
      <c r="Y319" s="9"/>
    </row>
    <row r="320" spans="1:25" x14ac:dyDescent="0.35">
      <c r="A320" s="4"/>
      <c r="B320" s="4"/>
      <c r="C320" s="4"/>
      <c r="D320" s="4"/>
      <c r="E320" s="4"/>
      <c r="F320" s="4"/>
      <c r="G320" s="4"/>
      <c r="H320" s="4"/>
      <c r="I320" s="4"/>
      <c r="J320" s="4"/>
      <c r="K320" s="4"/>
      <c r="M320" s="7"/>
      <c r="N320" s="7"/>
      <c r="O320" s="7"/>
      <c r="P320" s="7"/>
      <c r="Q320" s="7"/>
      <c r="R320" s="7"/>
      <c r="S320" s="7"/>
      <c r="T320" s="7"/>
      <c r="U320" s="7"/>
      <c r="V320" s="7"/>
      <c r="W320" s="7"/>
      <c r="X320" s="7"/>
      <c r="Y320" s="9"/>
    </row>
    <row r="321" spans="1:25" x14ac:dyDescent="0.35">
      <c r="A321" s="4"/>
      <c r="B321" s="4"/>
      <c r="C321" s="4"/>
      <c r="D321" s="4"/>
      <c r="E321" s="4"/>
      <c r="F321" s="4"/>
      <c r="G321" s="4"/>
      <c r="H321" s="4"/>
      <c r="I321" s="4"/>
      <c r="J321" s="4"/>
      <c r="K321" s="4"/>
      <c r="M321" s="7"/>
      <c r="N321" s="7"/>
      <c r="O321" s="7"/>
      <c r="P321" s="7"/>
      <c r="Q321" s="7"/>
      <c r="R321" s="7"/>
      <c r="S321" s="7"/>
      <c r="T321" s="7"/>
      <c r="U321" s="7"/>
      <c r="V321" s="7"/>
      <c r="W321" s="7"/>
      <c r="X321" s="7"/>
      <c r="Y321" s="9"/>
    </row>
    <row r="322" spans="1:25" x14ac:dyDescent="0.35">
      <c r="A322" s="4"/>
      <c r="B322" s="4"/>
      <c r="C322" s="4"/>
      <c r="D322" s="4"/>
      <c r="E322" s="4"/>
      <c r="F322" s="4"/>
      <c r="G322" s="4"/>
      <c r="H322" s="4"/>
      <c r="I322" s="4"/>
      <c r="J322" s="4"/>
      <c r="K322" s="4"/>
      <c r="M322" s="7"/>
      <c r="N322" s="7"/>
      <c r="O322" s="7"/>
      <c r="P322" s="7"/>
      <c r="Q322" s="7"/>
      <c r="R322" s="7"/>
      <c r="S322" s="7"/>
      <c r="T322" s="7"/>
      <c r="U322" s="7"/>
      <c r="V322" s="7"/>
      <c r="W322" s="7"/>
      <c r="X322" s="7"/>
      <c r="Y322" s="9"/>
    </row>
    <row r="323" spans="1:25" ht="14.5" customHeight="1" x14ac:dyDescent="0.35">
      <c r="A323" s="4"/>
      <c r="B323" s="4"/>
      <c r="C323" s="4"/>
      <c r="D323" s="4"/>
      <c r="E323" s="4"/>
      <c r="F323" s="4"/>
      <c r="G323" s="4"/>
      <c r="H323" s="4"/>
      <c r="I323" s="4"/>
      <c r="J323" s="4"/>
      <c r="K323" s="4"/>
      <c r="M323" s="7"/>
      <c r="N323" s="7"/>
      <c r="O323" s="7"/>
      <c r="P323" s="7"/>
      <c r="Q323" s="7"/>
      <c r="R323" s="7"/>
      <c r="S323" s="7"/>
      <c r="T323" s="7"/>
      <c r="U323" s="7"/>
      <c r="V323" s="7"/>
      <c r="W323" s="7"/>
      <c r="X323" s="7"/>
      <c r="Y323" s="9"/>
    </row>
    <row r="324" spans="1:25" ht="14.5" customHeight="1" x14ac:dyDescent="0.35">
      <c r="A324" s="4"/>
      <c r="B324" s="4"/>
      <c r="C324" s="4"/>
      <c r="D324" s="4"/>
      <c r="E324" s="4"/>
      <c r="F324" s="4"/>
      <c r="G324" s="4"/>
      <c r="H324" s="4"/>
      <c r="I324" s="4"/>
      <c r="J324" s="4"/>
      <c r="K324" s="4"/>
      <c r="M324" s="7"/>
      <c r="N324" s="7"/>
      <c r="O324" s="7"/>
      <c r="P324" s="7"/>
      <c r="Q324" s="7"/>
      <c r="R324" s="7"/>
      <c r="S324" s="7"/>
      <c r="T324" s="7"/>
      <c r="U324" s="7"/>
      <c r="V324" s="7"/>
      <c r="W324" s="7"/>
      <c r="X324" s="7"/>
      <c r="Y324" s="9"/>
    </row>
    <row r="325" spans="1:25" x14ac:dyDescent="0.35">
      <c r="A325" s="4"/>
      <c r="B325" s="4"/>
      <c r="C325" s="4"/>
      <c r="D325" s="4"/>
      <c r="E325" s="4"/>
      <c r="F325" s="4"/>
      <c r="G325" s="4"/>
      <c r="H325" s="4"/>
      <c r="I325" s="4"/>
      <c r="J325" s="4"/>
      <c r="K325" s="4"/>
      <c r="M325" s="7"/>
      <c r="N325" s="7"/>
      <c r="O325" s="7"/>
      <c r="P325" s="7"/>
      <c r="Q325" s="7"/>
      <c r="R325" s="7"/>
      <c r="S325" s="7"/>
      <c r="T325" s="7"/>
      <c r="U325" s="7"/>
      <c r="V325" s="7"/>
      <c r="W325" s="7"/>
      <c r="X325" s="7"/>
      <c r="Y325" s="9"/>
    </row>
    <row r="326" spans="1:25" x14ac:dyDescent="0.35">
      <c r="A326" s="4"/>
      <c r="B326" s="4"/>
      <c r="C326" s="4"/>
      <c r="D326" s="4"/>
      <c r="E326" s="4"/>
      <c r="F326" s="4"/>
      <c r="G326" s="4"/>
      <c r="H326" s="4"/>
      <c r="I326" s="4"/>
      <c r="J326" s="4"/>
      <c r="K326" s="4"/>
      <c r="M326" s="7"/>
      <c r="N326" s="7"/>
      <c r="O326" s="7"/>
      <c r="P326" s="7"/>
      <c r="Q326" s="7"/>
      <c r="R326" s="7"/>
      <c r="S326" s="7"/>
      <c r="T326" s="7"/>
      <c r="U326" s="7"/>
      <c r="V326" s="7"/>
      <c r="W326" s="7"/>
      <c r="X326" s="7"/>
      <c r="Y326" s="9"/>
    </row>
    <row r="327" spans="1:25" x14ac:dyDescent="0.35">
      <c r="A327" s="4"/>
      <c r="B327" s="4"/>
      <c r="C327" s="4"/>
      <c r="D327" s="4"/>
      <c r="E327" s="4"/>
      <c r="F327" s="4"/>
      <c r="G327" s="4"/>
      <c r="H327" s="4"/>
      <c r="I327" s="4"/>
      <c r="J327" s="4"/>
      <c r="K327" s="4"/>
      <c r="M327" s="7"/>
      <c r="N327" s="7"/>
      <c r="O327" s="7"/>
      <c r="P327" s="7"/>
      <c r="Q327" s="7"/>
      <c r="R327" s="7"/>
      <c r="S327" s="7"/>
      <c r="T327" s="7"/>
      <c r="U327" s="7"/>
      <c r="V327" s="7"/>
      <c r="W327" s="7"/>
      <c r="X327" s="7"/>
      <c r="Y327" s="9"/>
    </row>
    <row r="328" spans="1:25" x14ac:dyDescent="0.35">
      <c r="A328" s="4"/>
      <c r="B328" s="4"/>
      <c r="C328" s="4"/>
      <c r="D328" s="4"/>
      <c r="E328" s="4"/>
      <c r="F328" s="4"/>
      <c r="G328" s="4"/>
      <c r="H328" s="4"/>
      <c r="I328" s="4"/>
      <c r="J328" s="4"/>
      <c r="K328" s="4"/>
      <c r="M328" s="7"/>
      <c r="N328" s="7"/>
      <c r="O328" s="7"/>
      <c r="P328" s="7"/>
      <c r="Q328" s="7"/>
      <c r="R328" s="7"/>
      <c r="S328" s="7"/>
      <c r="T328" s="7"/>
      <c r="U328" s="7"/>
      <c r="V328" s="7"/>
      <c r="W328" s="7"/>
      <c r="X328" s="7"/>
      <c r="Y328" s="9"/>
    </row>
    <row r="329" spans="1:25" x14ac:dyDescent="0.35">
      <c r="A329" s="4"/>
      <c r="B329" s="4"/>
      <c r="C329" s="4"/>
      <c r="D329" s="4"/>
      <c r="E329" s="4"/>
      <c r="F329" s="4"/>
      <c r="G329" s="4"/>
      <c r="H329" s="4"/>
      <c r="I329" s="4"/>
      <c r="J329" s="4"/>
      <c r="K329" s="4"/>
      <c r="M329" s="7"/>
      <c r="N329" s="7"/>
      <c r="O329" s="7"/>
      <c r="P329" s="7"/>
      <c r="Q329" s="7"/>
      <c r="R329" s="7"/>
      <c r="S329" s="7"/>
      <c r="T329" s="7"/>
      <c r="U329" s="7"/>
      <c r="V329" s="7"/>
      <c r="W329" s="7"/>
      <c r="X329" s="7"/>
      <c r="Y329" s="9"/>
    </row>
    <row r="330" spans="1:25" x14ac:dyDescent="0.35">
      <c r="A330" s="4"/>
      <c r="B330" s="4"/>
      <c r="C330" s="4"/>
      <c r="D330" s="4"/>
      <c r="E330" s="4"/>
      <c r="F330" s="4"/>
      <c r="G330" s="4"/>
      <c r="H330" s="4"/>
      <c r="I330" s="4"/>
      <c r="J330" s="4"/>
      <c r="K330" s="4"/>
      <c r="M330" s="7"/>
      <c r="N330" s="7"/>
      <c r="O330" s="7"/>
      <c r="P330" s="7"/>
      <c r="Q330" s="7"/>
      <c r="R330" s="7"/>
      <c r="S330" s="7"/>
      <c r="T330" s="7"/>
      <c r="U330" s="7"/>
      <c r="V330" s="7"/>
      <c r="W330" s="7"/>
      <c r="X330" s="7"/>
      <c r="Y330" s="9"/>
    </row>
    <row r="331" spans="1:25" ht="14.5" customHeight="1" x14ac:dyDescent="0.35">
      <c r="A331" s="4"/>
      <c r="B331" s="4"/>
      <c r="C331" s="4"/>
      <c r="D331" s="4"/>
      <c r="E331" s="4"/>
      <c r="F331" s="4"/>
      <c r="G331" s="4"/>
      <c r="H331" s="4"/>
      <c r="I331" s="4"/>
      <c r="J331" s="4"/>
      <c r="K331" s="4"/>
      <c r="M331" s="7"/>
      <c r="N331" s="7"/>
      <c r="O331" s="7"/>
      <c r="P331" s="7"/>
      <c r="Q331" s="7"/>
      <c r="R331" s="7"/>
      <c r="S331" s="7"/>
      <c r="T331" s="7"/>
      <c r="U331" s="7"/>
      <c r="V331" s="7"/>
      <c r="W331" s="7"/>
      <c r="X331" s="7"/>
      <c r="Y331" s="9"/>
    </row>
    <row r="332" spans="1:25" x14ac:dyDescent="0.35">
      <c r="A332" s="4"/>
      <c r="B332" s="4"/>
      <c r="C332" s="4"/>
      <c r="D332" s="4"/>
      <c r="E332" s="4"/>
      <c r="F332" s="4"/>
      <c r="G332" s="4"/>
      <c r="H332" s="4"/>
      <c r="I332" s="4"/>
      <c r="J332" s="4"/>
      <c r="K332" s="4"/>
      <c r="M332" s="7"/>
      <c r="N332" s="7"/>
      <c r="O332" s="7"/>
      <c r="P332" s="7"/>
      <c r="Q332" s="7"/>
      <c r="R332" s="7"/>
      <c r="S332" s="7"/>
      <c r="T332" s="7"/>
      <c r="U332" s="7"/>
      <c r="V332" s="7"/>
      <c r="W332" s="7"/>
      <c r="X332" s="7"/>
      <c r="Y332" s="9"/>
    </row>
    <row r="333" spans="1:25" s="105" customFormat="1" x14ac:dyDescent="0.35">
      <c r="Y333" s="163"/>
    </row>
    <row r="334" spans="1:25" x14ac:dyDescent="0.35">
      <c r="A334" s="4"/>
      <c r="B334" s="4"/>
      <c r="C334" s="4"/>
      <c r="D334" s="4"/>
      <c r="E334" s="4"/>
      <c r="F334" s="4"/>
      <c r="G334" s="4"/>
      <c r="H334" s="4"/>
      <c r="I334" s="4"/>
      <c r="J334" s="4"/>
      <c r="K334" s="4"/>
      <c r="M334" s="7"/>
      <c r="N334" s="7"/>
      <c r="O334" s="7"/>
      <c r="P334" s="7"/>
      <c r="Q334" s="7"/>
      <c r="R334" s="7"/>
      <c r="S334" s="7"/>
      <c r="T334" s="7"/>
      <c r="U334" s="7"/>
      <c r="V334" s="7"/>
      <c r="W334" s="7"/>
      <c r="X334" s="7"/>
      <c r="Y334" s="9"/>
    </row>
    <row r="335" spans="1:25" x14ac:dyDescent="0.35">
      <c r="A335" s="4"/>
      <c r="B335" s="4"/>
      <c r="C335" s="4"/>
      <c r="D335" s="4"/>
      <c r="E335" s="4"/>
      <c r="F335" s="4"/>
      <c r="G335" s="4"/>
      <c r="H335" s="4"/>
      <c r="I335" s="4"/>
      <c r="J335" s="4"/>
      <c r="K335" s="4"/>
      <c r="M335" s="7"/>
      <c r="N335" s="7"/>
      <c r="O335" s="7"/>
      <c r="P335" s="7"/>
      <c r="Q335" s="7"/>
      <c r="R335" s="7"/>
      <c r="S335" s="7"/>
      <c r="T335" s="7"/>
      <c r="U335" s="7"/>
      <c r="V335" s="7"/>
      <c r="W335" s="7"/>
      <c r="X335" s="7"/>
      <c r="Y335" s="9"/>
    </row>
    <row r="336" spans="1:25" ht="14.5" customHeight="1" x14ac:dyDescent="0.35">
      <c r="A336" s="4"/>
      <c r="B336" s="4"/>
      <c r="C336" s="4"/>
      <c r="D336" s="4"/>
      <c r="E336" s="4"/>
      <c r="F336" s="4"/>
      <c r="G336" s="4"/>
      <c r="H336" s="4"/>
      <c r="I336" s="4"/>
      <c r="J336" s="4"/>
      <c r="K336" s="4"/>
      <c r="M336" s="7"/>
      <c r="N336" s="7"/>
      <c r="O336" s="7"/>
      <c r="P336" s="7"/>
      <c r="Q336" s="7"/>
      <c r="R336" s="7"/>
      <c r="S336" s="7"/>
      <c r="T336" s="7"/>
      <c r="U336" s="7"/>
      <c r="V336" s="7"/>
      <c r="W336" s="7"/>
      <c r="X336" s="7"/>
      <c r="Y336" s="9"/>
    </row>
    <row r="337" spans="1:25" ht="14.5" customHeight="1" x14ac:dyDescent="0.35">
      <c r="A337" s="4"/>
      <c r="B337" s="4"/>
      <c r="C337" s="4"/>
      <c r="D337" s="4"/>
      <c r="E337" s="4"/>
      <c r="F337" s="4"/>
      <c r="G337" s="4"/>
      <c r="H337" s="4"/>
      <c r="I337" s="4"/>
      <c r="J337" s="4"/>
      <c r="K337" s="4"/>
      <c r="M337" s="7"/>
      <c r="N337" s="7"/>
      <c r="O337" s="7"/>
      <c r="P337" s="7"/>
      <c r="Q337" s="7"/>
      <c r="R337" s="7"/>
      <c r="S337" s="7"/>
      <c r="T337" s="7"/>
      <c r="U337" s="7"/>
      <c r="V337" s="7"/>
      <c r="W337" s="7"/>
      <c r="X337" s="7"/>
      <c r="Y337" s="9"/>
    </row>
    <row r="338" spans="1:25" ht="14.5" customHeight="1" x14ac:dyDescent="0.35">
      <c r="A338" s="4"/>
      <c r="B338" s="4"/>
      <c r="C338" s="4"/>
      <c r="D338" s="4"/>
      <c r="E338" s="4"/>
      <c r="F338" s="4"/>
      <c r="G338" s="4"/>
      <c r="H338" s="4"/>
      <c r="I338" s="4"/>
      <c r="J338" s="4"/>
      <c r="K338" s="4"/>
      <c r="M338" s="7"/>
      <c r="N338" s="7"/>
      <c r="O338" s="7"/>
      <c r="P338" s="7"/>
      <c r="Q338" s="7"/>
      <c r="R338" s="7"/>
      <c r="S338" s="7"/>
      <c r="T338" s="7"/>
      <c r="U338" s="7"/>
      <c r="V338" s="7"/>
      <c r="W338" s="7"/>
      <c r="X338" s="7"/>
      <c r="Y338" s="9"/>
    </row>
    <row r="339" spans="1:25" ht="14.5" customHeight="1" x14ac:dyDescent="0.35">
      <c r="A339" s="4"/>
      <c r="B339" s="4"/>
      <c r="C339" s="4"/>
      <c r="D339" s="4"/>
      <c r="E339" s="4"/>
      <c r="F339" s="4"/>
      <c r="G339" s="4"/>
      <c r="H339" s="4"/>
      <c r="I339" s="4"/>
      <c r="J339" s="4"/>
      <c r="K339" s="4"/>
      <c r="M339" s="7"/>
      <c r="N339" s="7"/>
      <c r="O339" s="7"/>
      <c r="P339" s="7"/>
      <c r="Q339" s="7"/>
      <c r="R339" s="7"/>
      <c r="S339" s="7"/>
      <c r="T339" s="7"/>
      <c r="U339" s="7"/>
      <c r="V339" s="7"/>
      <c r="W339" s="7"/>
      <c r="X339" s="7"/>
      <c r="Y339" s="9"/>
    </row>
    <row r="340" spans="1:25" x14ac:dyDescent="0.35">
      <c r="A340" s="4"/>
      <c r="B340" s="4"/>
      <c r="C340" s="4"/>
      <c r="D340" s="4"/>
      <c r="E340" s="4"/>
      <c r="F340" s="4"/>
      <c r="G340" s="4"/>
      <c r="H340" s="4"/>
      <c r="I340" s="4"/>
      <c r="J340" s="4"/>
      <c r="K340" s="4"/>
      <c r="M340" s="7"/>
      <c r="N340" s="7"/>
      <c r="O340" s="7"/>
      <c r="P340" s="7"/>
      <c r="Q340" s="7"/>
      <c r="R340" s="7"/>
      <c r="S340" s="7"/>
      <c r="T340" s="7"/>
      <c r="U340" s="7"/>
      <c r="V340" s="7"/>
      <c r="W340" s="7"/>
      <c r="X340" s="7"/>
      <c r="Y340" s="9"/>
    </row>
    <row r="341" spans="1:25" x14ac:dyDescent="0.35">
      <c r="A341" s="4"/>
      <c r="B341" s="4"/>
      <c r="C341" s="4"/>
      <c r="D341" s="4"/>
      <c r="E341" s="4"/>
      <c r="F341" s="4"/>
      <c r="G341" s="4"/>
      <c r="H341" s="4"/>
      <c r="I341" s="4"/>
      <c r="J341" s="4"/>
      <c r="K341" s="4"/>
      <c r="M341" s="7"/>
      <c r="N341" s="7"/>
      <c r="O341" s="7"/>
      <c r="P341" s="7"/>
      <c r="Q341" s="7"/>
      <c r="R341" s="7"/>
      <c r="S341" s="7"/>
      <c r="T341" s="7"/>
      <c r="U341" s="7"/>
      <c r="V341" s="7"/>
      <c r="W341" s="7"/>
      <c r="X341" s="7"/>
      <c r="Y341" s="9"/>
    </row>
    <row r="342" spans="1:25" x14ac:dyDescent="0.35">
      <c r="A342" s="4"/>
      <c r="B342" s="4"/>
      <c r="C342" s="4"/>
      <c r="D342" s="4"/>
      <c r="E342" s="4"/>
      <c r="F342" s="4"/>
      <c r="G342" s="4"/>
      <c r="H342" s="4"/>
      <c r="I342" s="4"/>
      <c r="J342" s="4"/>
      <c r="K342" s="4"/>
      <c r="M342" s="7"/>
      <c r="N342" s="7"/>
      <c r="O342" s="7"/>
      <c r="P342" s="7"/>
      <c r="Q342" s="7"/>
      <c r="R342" s="7"/>
      <c r="S342" s="7"/>
      <c r="T342" s="7"/>
      <c r="U342" s="7"/>
      <c r="V342" s="7"/>
      <c r="W342" s="7"/>
      <c r="X342" s="7"/>
      <c r="Y342" s="9"/>
    </row>
    <row r="343" spans="1:25" x14ac:dyDescent="0.35">
      <c r="A343" s="4"/>
      <c r="B343" s="4"/>
      <c r="C343" s="4"/>
      <c r="D343" s="4"/>
      <c r="E343" s="4"/>
      <c r="F343" s="4"/>
      <c r="G343" s="4"/>
      <c r="H343" s="4"/>
      <c r="I343" s="4"/>
      <c r="J343" s="4"/>
      <c r="K343" s="4"/>
      <c r="M343" s="7"/>
      <c r="N343" s="7"/>
      <c r="O343" s="7"/>
      <c r="P343" s="7"/>
      <c r="Q343" s="7"/>
      <c r="R343" s="7"/>
      <c r="S343" s="7"/>
      <c r="T343" s="7"/>
      <c r="U343" s="7"/>
      <c r="V343" s="7"/>
      <c r="W343" s="7"/>
      <c r="X343" s="7"/>
      <c r="Y343" s="9"/>
    </row>
    <row r="344" spans="1:25" ht="14.5" customHeight="1" x14ac:dyDescent="0.35">
      <c r="A344" s="4"/>
      <c r="B344" s="4"/>
      <c r="C344" s="4"/>
      <c r="D344" s="4"/>
      <c r="E344" s="4"/>
      <c r="F344" s="4"/>
      <c r="G344" s="4"/>
      <c r="H344" s="4"/>
      <c r="I344" s="4"/>
      <c r="J344" s="4"/>
      <c r="K344" s="4"/>
      <c r="M344" s="7"/>
      <c r="N344" s="7"/>
      <c r="O344" s="7"/>
      <c r="P344" s="7"/>
      <c r="Q344" s="7"/>
      <c r="R344" s="7"/>
      <c r="S344" s="7"/>
      <c r="T344" s="7"/>
      <c r="U344" s="7"/>
      <c r="V344" s="7"/>
      <c r="W344" s="7"/>
      <c r="X344" s="7"/>
      <c r="Y344" s="9"/>
    </row>
    <row r="345" spans="1:25" ht="14.5" customHeight="1" x14ac:dyDescent="0.35">
      <c r="A345" s="4"/>
      <c r="B345" s="4"/>
      <c r="C345" s="4"/>
      <c r="D345" s="4"/>
      <c r="E345" s="4"/>
      <c r="F345" s="4"/>
      <c r="G345" s="4"/>
      <c r="H345" s="4"/>
      <c r="I345" s="4"/>
      <c r="J345" s="4"/>
      <c r="K345" s="4"/>
      <c r="M345" s="7"/>
      <c r="N345" s="7"/>
      <c r="O345" s="7"/>
      <c r="P345" s="7"/>
      <c r="Q345" s="7"/>
      <c r="R345" s="7"/>
      <c r="S345" s="7"/>
      <c r="T345" s="7"/>
      <c r="U345" s="7"/>
      <c r="V345" s="7"/>
      <c r="W345" s="7"/>
      <c r="X345" s="7"/>
      <c r="Y345" s="9"/>
    </row>
    <row r="346" spans="1:25" ht="14.5" customHeight="1" x14ac:dyDescent="0.35">
      <c r="A346" s="4"/>
      <c r="B346" s="4"/>
      <c r="C346" s="4"/>
      <c r="D346" s="4"/>
      <c r="E346" s="4"/>
      <c r="F346" s="4"/>
      <c r="G346" s="4"/>
      <c r="H346" s="4"/>
      <c r="I346" s="4"/>
      <c r="J346" s="4"/>
      <c r="K346" s="4"/>
      <c r="M346" s="7"/>
      <c r="N346" s="7"/>
      <c r="O346" s="7"/>
      <c r="P346" s="7"/>
      <c r="Q346" s="7"/>
      <c r="R346" s="7"/>
      <c r="S346" s="7"/>
      <c r="T346" s="7"/>
      <c r="U346" s="7"/>
      <c r="V346" s="7"/>
      <c r="W346" s="7"/>
      <c r="X346" s="7"/>
      <c r="Y346" s="9"/>
    </row>
    <row r="347" spans="1:25" x14ac:dyDescent="0.35">
      <c r="A347" s="4"/>
      <c r="B347" s="4"/>
      <c r="C347" s="4"/>
      <c r="D347" s="4"/>
      <c r="E347" s="4"/>
      <c r="F347" s="4"/>
      <c r="G347" s="4"/>
      <c r="H347" s="4"/>
      <c r="I347" s="4"/>
      <c r="J347" s="4"/>
      <c r="K347" s="4"/>
      <c r="M347" s="7"/>
      <c r="N347" s="7"/>
      <c r="O347" s="7"/>
      <c r="P347" s="7"/>
      <c r="Q347" s="7"/>
      <c r="R347" s="7"/>
      <c r="S347" s="7"/>
      <c r="T347" s="7"/>
      <c r="U347" s="7"/>
      <c r="V347" s="7"/>
      <c r="W347" s="7"/>
      <c r="X347" s="7"/>
      <c r="Y347" s="9"/>
    </row>
    <row r="348" spans="1:25" x14ac:dyDescent="0.35">
      <c r="A348" s="4"/>
      <c r="B348" s="4"/>
      <c r="C348" s="4"/>
      <c r="D348" s="4"/>
      <c r="E348" s="4"/>
      <c r="F348" s="4"/>
      <c r="G348" s="4"/>
      <c r="H348" s="4"/>
      <c r="I348" s="4"/>
      <c r="J348" s="4"/>
      <c r="K348" s="4"/>
      <c r="M348" s="7"/>
      <c r="N348" s="7"/>
      <c r="O348" s="7"/>
      <c r="P348" s="7"/>
      <c r="Q348" s="7"/>
      <c r="R348" s="7"/>
      <c r="S348" s="7"/>
      <c r="T348" s="7"/>
      <c r="U348" s="7"/>
      <c r="V348" s="7"/>
      <c r="W348" s="7"/>
      <c r="X348" s="7"/>
      <c r="Y348" s="9"/>
    </row>
    <row r="349" spans="1:25" x14ac:dyDescent="0.35">
      <c r="A349" s="4"/>
      <c r="B349" s="4"/>
      <c r="C349" s="4"/>
      <c r="D349" s="4"/>
      <c r="E349" s="4"/>
      <c r="F349" s="4"/>
      <c r="G349" s="4"/>
      <c r="H349" s="4"/>
      <c r="I349" s="4"/>
      <c r="J349" s="4"/>
      <c r="K349" s="4"/>
      <c r="M349" s="7"/>
      <c r="N349" s="7"/>
      <c r="O349" s="7"/>
      <c r="P349" s="7"/>
      <c r="Q349" s="7"/>
      <c r="R349" s="7"/>
      <c r="S349" s="7"/>
      <c r="T349" s="7"/>
      <c r="U349" s="7"/>
      <c r="V349" s="7"/>
      <c r="W349" s="7"/>
      <c r="X349" s="7"/>
      <c r="Y349" s="9"/>
    </row>
    <row r="350" spans="1:25" x14ac:dyDescent="0.35">
      <c r="A350" s="4"/>
      <c r="B350" s="4"/>
      <c r="C350" s="4"/>
      <c r="D350" s="4"/>
      <c r="E350" s="4"/>
      <c r="F350" s="4"/>
      <c r="G350" s="4"/>
      <c r="H350" s="4"/>
      <c r="I350" s="4"/>
      <c r="J350" s="4"/>
      <c r="K350" s="4"/>
      <c r="M350" s="7"/>
      <c r="N350" s="7"/>
      <c r="O350" s="7"/>
      <c r="P350" s="7"/>
      <c r="Q350" s="7"/>
      <c r="R350" s="7"/>
      <c r="S350" s="7"/>
      <c r="T350" s="7"/>
      <c r="U350" s="7"/>
      <c r="V350" s="7"/>
      <c r="W350" s="7"/>
      <c r="X350" s="7"/>
      <c r="Y350" s="9"/>
    </row>
    <row r="351" spans="1:25" ht="14.5" customHeight="1" x14ac:dyDescent="0.35">
      <c r="A351" s="4"/>
      <c r="B351" s="4"/>
      <c r="C351" s="4"/>
      <c r="D351" s="4"/>
      <c r="E351" s="4"/>
      <c r="F351" s="4"/>
      <c r="G351" s="4"/>
      <c r="H351" s="4"/>
      <c r="I351" s="4"/>
      <c r="J351" s="4"/>
      <c r="K351" s="4"/>
      <c r="M351" s="7"/>
      <c r="N351" s="7"/>
      <c r="O351" s="7"/>
      <c r="P351" s="7"/>
      <c r="Q351" s="7"/>
      <c r="R351" s="7"/>
      <c r="S351" s="7"/>
      <c r="T351" s="7"/>
      <c r="U351" s="7"/>
      <c r="V351" s="7"/>
      <c r="W351" s="7"/>
      <c r="X351" s="7"/>
      <c r="Y351" s="9"/>
    </row>
    <row r="352" spans="1:25" ht="14.5" customHeight="1" x14ac:dyDescent="0.35">
      <c r="A352" s="4"/>
      <c r="B352" s="4"/>
      <c r="C352" s="4"/>
      <c r="D352" s="4"/>
      <c r="E352" s="4"/>
      <c r="F352" s="4"/>
      <c r="G352" s="4"/>
      <c r="H352" s="4"/>
      <c r="I352" s="4"/>
      <c r="J352" s="4"/>
      <c r="K352" s="4"/>
      <c r="M352" s="7"/>
      <c r="N352" s="7"/>
      <c r="O352" s="7"/>
      <c r="P352" s="7"/>
      <c r="Q352" s="7"/>
      <c r="R352" s="7"/>
      <c r="S352" s="7"/>
      <c r="T352" s="7"/>
      <c r="U352" s="7"/>
      <c r="V352" s="7"/>
      <c r="W352" s="7"/>
      <c r="X352" s="7"/>
      <c r="Y352" s="9"/>
    </row>
    <row r="353" spans="1:25" ht="14.5" customHeight="1" x14ac:dyDescent="0.35">
      <c r="A353" s="4"/>
      <c r="B353" s="4"/>
      <c r="C353" s="4"/>
      <c r="D353" s="4"/>
      <c r="E353" s="4"/>
      <c r="F353" s="4"/>
      <c r="G353" s="4"/>
      <c r="H353" s="4"/>
      <c r="I353" s="4"/>
      <c r="J353" s="4"/>
      <c r="K353" s="4"/>
      <c r="M353" s="7"/>
      <c r="N353" s="7"/>
      <c r="O353" s="7"/>
      <c r="P353" s="7"/>
      <c r="Q353" s="7"/>
      <c r="R353" s="7"/>
      <c r="S353" s="7"/>
      <c r="T353" s="7"/>
      <c r="U353" s="7"/>
      <c r="V353" s="7"/>
      <c r="W353" s="7"/>
      <c r="X353" s="7"/>
      <c r="Y353" s="9"/>
    </row>
    <row r="354" spans="1:25" ht="14.5" customHeight="1" x14ac:dyDescent="0.35">
      <c r="A354" s="4"/>
      <c r="B354" s="4"/>
      <c r="C354" s="4"/>
      <c r="D354" s="4"/>
      <c r="E354" s="4"/>
      <c r="F354" s="4"/>
      <c r="G354" s="4"/>
      <c r="H354" s="4"/>
      <c r="I354" s="4"/>
      <c r="J354" s="4"/>
      <c r="K354" s="4"/>
      <c r="M354" s="7"/>
      <c r="N354" s="7"/>
      <c r="O354" s="7"/>
      <c r="P354" s="7"/>
      <c r="Q354" s="7"/>
      <c r="R354" s="7"/>
      <c r="S354" s="7"/>
      <c r="T354" s="7"/>
      <c r="U354" s="7"/>
      <c r="V354" s="7"/>
      <c r="W354" s="7"/>
      <c r="X354" s="7"/>
      <c r="Y354" s="9"/>
    </row>
    <row r="355" spans="1:25" ht="14.5" customHeight="1" x14ac:dyDescent="0.35">
      <c r="A355" s="4"/>
      <c r="B355" s="4"/>
      <c r="C355" s="4"/>
      <c r="D355" s="4"/>
      <c r="E355" s="4"/>
      <c r="F355" s="4"/>
      <c r="G355" s="4"/>
      <c r="H355" s="4"/>
      <c r="I355" s="4"/>
      <c r="J355" s="4"/>
      <c r="K355" s="4"/>
      <c r="M355" s="7"/>
      <c r="N355" s="7"/>
      <c r="O355" s="7"/>
      <c r="P355" s="7"/>
      <c r="Q355" s="7"/>
      <c r="R355" s="7"/>
      <c r="S355" s="7"/>
      <c r="T355" s="7"/>
      <c r="U355" s="7"/>
      <c r="V355" s="7"/>
      <c r="W355" s="7"/>
      <c r="X355" s="7"/>
      <c r="Y355" s="9"/>
    </row>
    <row r="356" spans="1:25" ht="14.5" customHeight="1" x14ac:dyDescent="0.35">
      <c r="A356" s="4"/>
      <c r="B356" s="4"/>
      <c r="C356" s="4"/>
      <c r="D356" s="4"/>
      <c r="E356" s="4"/>
      <c r="F356" s="4"/>
      <c r="G356" s="4"/>
      <c r="H356" s="4"/>
      <c r="I356" s="4"/>
      <c r="J356" s="4"/>
      <c r="K356" s="4"/>
      <c r="M356" s="7"/>
      <c r="N356" s="7"/>
      <c r="O356" s="7"/>
      <c r="P356" s="7"/>
      <c r="Q356" s="7"/>
      <c r="R356" s="7"/>
      <c r="S356" s="7"/>
      <c r="T356" s="7"/>
      <c r="U356" s="7"/>
      <c r="V356" s="7"/>
      <c r="W356" s="7"/>
      <c r="X356" s="7"/>
      <c r="Y356" s="9"/>
    </row>
    <row r="357" spans="1:25" ht="14.5" customHeight="1" x14ac:dyDescent="0.35">
      <c r="A357" s="4"/>
      <c r="B357" s="4"/>
      <c r="C357" s="4"/>
      <c r="D357" s="4"/>
      <c r="E357" s="4"/>
      <c r="F357" s="4"/>
      <c r="G357" s="4"/>
      <c r="H357" s="4"/>
      <c r="I357" s="4"/>
      <c r="J357" s="4"/>
      <c r="K357" s="4"/>
      <c r="M357" s="7"/>
      <c r="N357" s="7"/>
      <c r="O357" s="7"/>
      <c r="P357" s="7"/>
      <c r="Q357" s="7"/>
      <c r="R357" s="7"/>
      <c r="S357" s="7"/>
      <c r="T357" s="7"/>
      <c r="U357" s="7"/>
      <c r="V357" s="7"/>
      <c r="W357" s="7"/>
      <c r="X357" s="7"/>
      <c r="Y357" s="9"/>
    </row>
    <row r="358" spans="1:25" ht="68.25" customHeight="1" x14ac:dyDescent="0.35">
      <c r="A358" s="109"/>
      <c r="B358" s="109"/>
      <c r="C358" s="109"/>
      <c r="D358" s="109"/>
      <c r="E358" s="109"/>
      <c r="F358" s="109"/>
      <c r="G358" s="109"/>
      <c r="H358" s="109"/>
      <c r="I358" s="109"/>
      <c r="J358" s="109"/>
      <c r="K358" s="109"/>
      <c r="M358" s="7"/>
      <c r="N358" s="7"/>
      <c r="O358" s="7"/>
      <c r="P358" s="7"/>
      <c r="Q358" s="7"/>
      <c r="R358" s="7"/>
      <c r="S358" s="7"/>
      <c r="T358" s="7"/>
      <c r="U358" s="7"/>
      <c r="V358" s="7"/>
      <c r="W358" s="7"/>
      <c r="X358" s="7"/>
      <c r="Y358" s="9"/>
    </row>
    <row r="359" spans="1:25" x14ac:dyDescent="0.35">
      <c r="B359" s="7"/>
      <c r="E359" s="7"/>
      <c r="F359" s="7"/>
      <c r="G359" s="7"/>
      <c r="H359" s="7"/>
      <c r="M359" s="7"/>
      <c r="N359" s="7"/>
      <c r="O359" s="7"/>
      <c r="P359" s="7"/>
      <c r="Q359" s="7"/>
      <c r="R359" s="7"/>
      <c r="S359" s="7"/>
      <c r="T359" s="7"/>
      <c r="U359" s="7"/>
      <c r="V359" s="7"/>
      <c r="W359" s="7"/>
      <c r="X359" s="7"/>
      <c r="Y359" s="9"/>
    </row>
  </sheetData>
  <mergeCells count="62">
    <mergeCell ref="Y211:Y218"/>
    <mergeCell ref="Y240:Y252"/>
    <mergeCell ref="Y254:Y258"/>
    <mergeCell ref="C174:D174"/>
    <mergeCell ref="K174:L174"/>
    <mergeCell ref="C175:D175"/>
    <mergeCell ref="Y184:Y185"/>
    <mergeCell ref="Y187:Y188"/>
    <mergeCell ref="K199:L199"/>
    <mergeCell ref="C166:D166"/>
    <mergeCell ref="K166:L166"/>
    <mergeCell ref="C167:D167"/>
    <mergeCell ref="K167:L167"/>
    <mergeCell ref="C173:D173"/>
    <mergeCell ref="K173:L173"/>
    <mergeCell ref="C163:D163"/>
    <mergeCell ref="K163:L163"/>
    <mergeCell ref="C164:D164"/>
    <mergeCell ref="K164:L164"/>
    <mergeCell ref="C165:D165"/>
    <mergeCell ref="K165:L165"/>
    <mergeCell ref="C161:D161"/>
    <mergeCell ref="Y73:Y82"/>
    <mergeCell ref="C124:D124"/>
    <mergeCell ref="K124:L124"/>
    <mergeCell ref="K128:L128"/>
    <mergeCell ref="Y129:Y130"/>
    <mergeCell ref="C130:D130"/>
    <mergeCell ref="C146:D146"/>
    <mergeCell ref="K146:L146"/>
    <mergeCell ref="C151:D151"/>
    <mergeCell ref="C160:D160"/>
    <mergeCell ref="K160:L160"/>
    <mergeCell ref="C62:D62"/>
    <mergeCell ref="K62:L62"/>
    <mergeCell ref="Y15:Y16"/>
    <mergeCell ref="K16:L16"/>
    <mergeCell ref="Y17:Y19"/>
    <mergeCell ref="K20:L20"/>
    <mergeCell ref="K21:L21"/>
    <mergeCell ref="C37:D37"/>
    <mergeCell ref="K37:L37"/>
    <mergeCell ref="K15:L15"/>
    <mergeCell ref="Y40:Y44"/>
    <mergeCell ref="Y46:Y47"/>
    <mergeCell ref="C49:D49"/>
    <mergeCell ref="K49:L49"/>
    <mergeCell ref="Y51:Y52"/>
    <mergeCell ref="A1:B1"/>
    <mergeCell ref="J4:J5"/>
    <mergeCell ref="K4:L4"/>
    <mergeCell ref="M4:P4"/>
    <mergeCell ref="A2:AI2"/>
    <mergeCell ref="AB4:AE4"/>
    <mergeCell ref="AF4:AI4"/>
    <mergeCell ref="A4:A5"/>
    <mergeCell ref="B4:B5"/>
    <mergeCell ref="C4:D4"/>
    <mergeCell ref="E4:H4"/>
    <mergeCell ref="I4:I5"/>
    <mergeCell ref="Q4:T4"/>
    <mergeCell ref="U4:X4"/>
  </mergeCells>
  <pageMargins left="0.70866141732283472" right="0" top="0.74803149606299213" bottom="0.74803149606299213" header="0.31496062992125984" footer="0.31496062992125984"/>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9"/>
  <sheetViews>
    <sheetView view="pageBreakPreview" topLeftCell="G1" zoomScale="130" zoomScaleNormal="80" zoomScaleSheetLayoutView="130" workbookViewId="0">
      <pane ySplit="8" topLeftCell="A26" activePane="bottomLeft" state="frozen"/>
      <selection pane="bottomLeft" activeCell="H28" sqref="H28"/>
    </sheetView>
  </sheetViews>
  <sheetFormatPr defaultColWidth="8.81640625" defaultRowHeight="14.5" x14ac:dyDescent="0.35"/>
  <cols>
    <col min="1" max="1" width="8.81640625" style="165" hidden="1" customWidth="1"/>
    <col min="2" max="2" width="33.81640625" style="165" hidden="1" customWidth="1"/>
    <col min="3" max="3" width="19.54296875" style="165" hidden="1" customWidth="1"/>
    <col min="4" max="6" width="8.81640625" style="165" hidden="1" customWidth="1"/>
    <col min="7" max="7" width="7.1796875" style="165" bestFit="1" customWidth="1"/>
    <col min="8" max="8" width="46.26953125" style="165" customWidth="1"/>
    <col min="9" max="9" width="10.453125" style="293" customWidth="1"/>
    <col min="10" max="20" width="12.453125" style="293" customWidth="1"/>
  </cols>
  <sheetData>
    <row r="1" spans="1:24" x14ac:dyDescent="0.35">
      <c r="G1" s="454"/>
      <c r="H1" s="454"/>
      <c r="T1" s="109"/>
    </row>
    <row r="2" spans="1:24" ht="52.5" customHeight="1" x14ac:dyDescent="0.35">
      <c r="A2" s="232" t="s">
        <v>749</v>
      </c>
      <c r="B2" s="232"/>
      <c r="C2" s="232"/>
      <c r="D2" s="232"/>
      <c r="E2" s="232"/>
      <c r="F2" s="232"/>
      <c r="G2" s="479" t="s">
        <v>1118</v>
      </c>
      <c r="H2" s="479"/>
      <c r="I2" s="479"/>
      <c r="J2" s="479"/>
      <c r="K2" s="479"/>
      <c r="L2" s="479"/>
      <c r="M2" s="479"/>
      <c r="N2" s="479"/>
      <c r="O2" s="479"/>
      <c r="P2" s="479"/>
      <c r="Q2" s="479"/>
      <c r="R2" s="479"/>
      <c r="S2" s="479"/>
      <c r="T2" s="479"/>
      <c r="U2" s="344"/>
      <c r="V2" s="344"/>
      <c r="W2" s="164"/>
      <c r="X2" s="164"/>
    </row>
    <row r="3" spans="1:24" ht="23.5" customHeight="1" x14ac:dyDescent="0.35">
      <c r="C3" s="522" t="s">
        <v>1123</v>
      </c>
      <c r="D3" s="523"/>
      <c r="E3" s="523"/>
      <c r="F3" s="523"/>
      <c r="G3" s="523"/>
      <c r="H3" s="523"/>
      <c r="I3" s="523"/>
      <c r="J3" s="523"/>
      <c r="K3" s="523"/>
      <c r="L3" s="523"/>
      <c r="M3" s="523"/>
      <c r="N3" s="523"/>
      <c r="O3" s="523"/>
      <c r="P3" s="523"/>
      <c r="Q3" s="523"/>
      <c r="R3" s="523"/>
      <c r="S3" s="523"/>
      <c r="T3" s="523"/>
    </row>
    <row r="4" spans="1:24" ht="20.5" x14ac:dyDescent="0.35">
      <c r="C4" s="522" t="s">
        <v>1</v>
      </c>
      <c r="D4" s="523"/>
      <c r="E4" s="523"/>
      <c r="F4" s="523"/>
      <c r="G4" s="523"/>
      <c r="H4" s="523"/>
      <c r="I4" s="523"/>
      <c r="J4" s="523"/>
      <c r="K4" s="523"/>
      <c r="L4" s="523"/>
      <c r="M4" s="523"/>
      <c r="N4" s="523"/>
      <c r="O4" s="523"/>
      <c r="P4" s="523"/>
      <c r="Q4" s="523"/>
      <c r="R4" s="523"/>
      <c r="S4" s="523"/>
      <c r="T4" s="523"/>
    </row>
    <row r="6" spans="1:24" ht="34.15" hidden="1" customHeight="1" x14ac:dyDescent="0.35">
      <c r="A6" s="482" t="s">
        <v>2</v>
      </c>
      <c r="B6" s="482"/>
      <c r="C6" s="482"/>
      <c r="D6" s="482"/>
      <c r="E6" s="482"/>
      <c r="F6" s="482"/>
      <c r="G6" s="474" t="s">
        <v>3</v>
      </c>
      <c r="H6" s="474"/>
      <c r="I6" s="474"/>
      <c r="J6" s="474"/>
      <c r="K6" s="474"/>
      <c r="L6" s="474"/>
      <c r="M6" s="474"/>
      <c r="N6" s="474"/>
      <c r="O6" s="474"/>
      <c r="P6" s="474"/>
      <c r="Q6" s="474"/>
      <c r="R6" s="474"/>
      <c r="S6" s="474"/>
      <c r="T6" s="474"/>
    </row>
    <row r="7" spans="1:24" ht="23.5" customHeight="1" x14ac:dyDescent="0.35">
      <c r="A7" s="474" t="s">
        <v>5</v>
      </c>
      <c r="B7" s="476" t="s">
        <v>6</v>
      </c>
      <c r="C7" s="477" t="s">
        <v>750</v>
      </c>
      <c r="D7" s="475"/>
      <c r="E7" s="475"/>
      <c r="F7" s="478"/>
      <c r="G7" s="474" t="s">
        <v>5</v>
      </c>
      <c r="H7" s="476" t="s">
        <v>6</v>
      </c>
      <c r="I7" s="477" t="s">
        <v>750</v>
      </c>
      <c r="J7" s="477"/>
      <c r="K7" s="477"/>
      <c r="L7" s="477"/>
      <c r="M7" s="473" t="s">
        <v>11</v>
      </c>
      <c r="N7" s="473"/>
      <c r="O7" s="473"/>
      <c r="P7" s="473"/>
      <c r="Q7" s="473" t="s">
        <v>12</v>
      </c>
      <c r="R7" s="473"/>
      <c r="S7" s="473"/>
      <c r="T7" s="473"/>
    </row>
    <row r="8" spans="1:24" ht="19.5" customHeight="1" x14ac:dyDescent="0.35">
      <c r="A8" s="475"/>
      <c r="B8" s="475"/>
      <c r="C8" s="388" t="s">
        <v>15</v>
      </c>
      <c r="D8" s="388" t="s">
        <v>16</v>
      </c>
      <c r="E8" s="388" t="s">
        <v>17</v>
      </c>
      <c r="F8" s="389" t="s">
        <v>18</v>
      </c>
      <c r="G8" s="475"/>
      <c r="H8" s="475"/>
      <c r="I8" s="388" t="s">
        <v>15</v>
      </c>
      <c r="J8" s="388" t="s">
        <v>16</v>
      </c>
      <c r="K8" s="388" t="s">
        <v>17</v>
      </c>
      <c r="L8" s="388" t="s">
        <v>18</v>
      </c>
      <c r="M8" s="418" t="s">
        <v>15</v>
      </c>
      <c r="N8" s="418" t="s">
        <v>16</v>
      </c>
      <c r="O8" s="418" t="s">
        <v>17</v>
      </c>
      <c r="P8" s="418" t="s">
        <v>18</v>
      </c>
      <c r="Q8" s="418" t="s">
        <v>15</v>
      </c>
      <c r="R8" s="418" t="s">
        <v>16</v>
      </c>
      <c r="S8" s="418" t="s">
        <v>17</v>
      </c>
      <c r="T8" s="418" t="s">
        <v>18</v>
      </c>
    </row>
    <row r="9" spans="1:24" ht="18.5" customHeight="1" x14ac:dyDescent="0.35">
      <c r="A9" s="388"/>
      <c r="B9" s="419"/>
      <c r="C9" s="388"/>
      <c r="D9" s="388"/>
      <c r="E9" s="388"/>
      <c r="F9" s="389"/>
      <c r="G9" s="388" t="s">
        <v>1070</v>
      </c>
      <c r="H9" s="420" t="s">
        <v>1116</v>
      </c>
      <c r="I9" s="388"/>
      <c r="J9" s="388"/>
      <c r="K9" s="388"/>
      <c r="L9" s="388"/>
      <c r="M9" s="388"/>
      <c r="N9" s="388"/>
      <c r="O9" s="388"/>
      <c r="P9" s="388"/>
      <c r="Q9" s="388"/>
      <c r="R9" s="388"/>
      <c r="S9" s="388"/>
      <c r="T9" s="421"/>
    </row>
    <row r="10" spans="1:24" ht="16" customHeight="1" x14ac:dyDescent="0.35">
      <c r="A10" s="388">
        <v>2</v>
      </c>
      <c r="B10" s="419" t="s">
        <v>753</v>
      </c>
      <c r="C10" s="388"/>
      <c r="D10" s="388"/>
      <c r="E10" s="388"/>
      <c r="F10" s="389"/>
      <c r="G10" s="388">
        <v>2</v>
      </c>
      <c r="H10" s="420" t="s">
        <v>753</v>
      </c>
      <c r="I10" s="388"/>
      <c r="J10" s="388"/>
      <c r="K10" s="388"/>
      <c r="L10" s="388"/>
      <c r="M10" s="388"/>
      <c r="N10" s="388"/>
      <c r="O10" s="388"/>
      <c r="P10" s="388"/>
      <c r="Q10" s="388"/>
      <c r="R10" s="388"/>
      <c r="S10" s="388"/>
      <c r="T10" s="421"/>
    </row>
    <row r="11" spans="1:24" x14ac:dyDescent="0.35">
      <c r="A11" s="390" t="s">
        <v>200</v>
      </c>
      <c r="B11" s="391" t="s">
        <v>754</v>
      </c>
      <c r="C11" s="413"/>
      <c r="D11" s="413"/>
      <c r="E11" s="413"/>
      <c r="F11" s="422"/>
      <c r="G11" s="390" t="s">
        <v>200</v>
      </c>
      <c r="H11" s="391" t="s">
        <v>754</v>
      </c>
      <c r="I11" s="388"/>
      <c r="J11" s="388"/>
      <c r="K11" s="388"/>
      <c r="L11" s="388"/>
      <c r="M11" s="388"/>
      <c r="N11" s="388"/>
      <c r="O11" s="388"/>
      <c r="P11" s="388"/>
      <c r="Q11" s="388"/>
      <c r="R11" s="388"/>
      <c r="S11" s="388"/>
      <c r="T11" s="421"/>
    </row>
    <row r="12" spans="1:24" ht="30" customHeight="1" x14ac:dyDescent="0.35">
      <c r="A12" s="390" t="s">
        <v>755</v>
      </c>
      <c r="B12" s="391" t="s">
        <v>756</v>
      </c>
      <c r="C12" s="392">
        <v>3000</v>
      </c>
      <c r="D12" s="392">
        <v>800</v>
      </c>
      <c r="E12" s="393">
        <v>300</v>
      </c>
      <c r="F12" s="394">
        <v>250</v>
      </c>
      <c r="G12" s="390" t="s">
        <v>755</v>
      </c>
      <c r="H12" s="391" t="s">
        <v>1124</v>
      </c>
      <c r="I12" s="395">
        <v>3000</v>
      </c>
      <c r="J12" s="395">
        <v>800</v>
      </c>
      <c r="K12" s="396">
        <v>300</v>
      </c>
      <c r="L12" s="396">
        <v>250</v>
      </c>
      <c r="M12" s="338">
        <v>1800</v>
      </c>
      <c r="N12" s="338">
        <v>480</v>
      </c>
      <c r="O12" s="338">
        <v>180</v>
      </c>
      <c r="P12" s="338">
        <v>150</v>
      </c>
      <c r="Q12" s="338">
        <v>1200</v>
      </c>
      <c r="R12" s="338">
        <v>320</v>
      </c>
      <c r="S12" s="338">
        <v>120</v>
      </c>
      <c r="T12" s="338">
        <v>100</v>
      </c>
    </row>
    <row r="13" spans="1:24" ht="46" customHeight="1" x14ac:dyDescent="0.35">
      <c r="A13" s="390" t="s">
        <v>759</v>
      </c>
      <c r="B13" s="391" t="s">
        <v>760</v>
      </c>
      <c r="C13" s="392">
        <v>2200</v>
      </c>
      <c r="D13" s="392">
        <v>800</v>
      </c>
      <c r="E13" s="393">
        <v>300</v>
      </c>
      <c r="F13" s="394">
        <v>250</v>
      </c>
      <c r="G13" s="390" t="s">
        <v>759</v>
      </c>
      <c r="H13" s="391" t="s">
        <v>1125</v>
      </c>
      <c r="I13" s="395">
        <v>2200</v>
      </c>
      <c r="J13" s="395">
        <v>800</v>
      </c>
      <c r="K13" s="396">
        <v>300</v>
      </c>
      <c r="L13" s="396">
        <v>250</v>
      </c>
      <c r="M13" s="338">
        <v>1320</v>
      </c>
      <c r="N13" s="338">
        <v>480</v>
      </c>
      <c r="O13" s="338">
        <v>180</v>
      </c>
      <c r="P13" s="338">
        <v>150</v>
      </c>
      <c r="Q13" s="338">
        <v>880</v>
      </c>
      <c r="R13" s="338">
        <v>320</v>
      </c>
      <c r="S13" s="338">
        <v>120</v>
      </c>
      <c r="T13" s="338">
        <v>100</v>
      </c>
    </row>
    <row r="14" spans="1:24" ht="33" customHeight="1" x14ac:dyDescent="0.35">
      <c r="A14" s="397" t="s">
        <v>762</v>
      </c>
      <c r="B14" s="398" t="s">
        <v>763</v>
      </c>
      <c r="C14" s="398">
        <v>1800</v>
      </c>
      <c r="D14" s="398">
        <v>800</v>
      </c>
      <c r="E14" s="398">
        <v>400</v>
      </c>
      <c r="F14" s="399">
        <v>250</v>
      </c>
      <c r="G14" s="390" t="s">
        <v>762</v>
      </c>
      <c r="H14" s="391" t="s">
        <v>764</v>
      </c>
      <c r="I14" s="395">
        <v>1800</v>
      </c>
      <c r="J14" s="400">
        <v>800</v>
      </c>
      <c r="K14" s="400">
        <v>400</v>
      </c>
      <c r="L14" s="400">
        <v>250</v>
      </c>
      <c r="M14" s="338">
        <v>1080</v>
      </c>
      <c r="N14" s="338">
        <v>480</v>
      </c>
      <c r="O14" s="338">
        <v>240</v>
      </c>
      <c r="P14" s="338">
        <v>150</v>
      </c>
      <c r="Q14" s="338">
        <v>720</v>
      </c>
      <c r="R14" s="338">
        <v>320</v>
      </c>
      <c r="S14" s="338">
        <v>160</v>
      </c>
      <c r="T14" s="338">
        <v>100</v>
      </c>
    </row>
    <row r="15" spans="1:24" ht="15.5" x14ac:dyDescent="0.35">
      <c r="A15" s="388">
        <v>3</v>
      </c>
      <c r="B15" s="423" t="s">
        <v>771</v>
      </c>
      <c r="C15" s="388"/>
      <c r="D15" s="388"/>
      <c r="E15" s="388"/>
      <c r="F15" s="389"/>
      <c r="G15" s="388">
        <v>4</v>
      </c>
      <c r="H15" s="420" t="s">
        <v>772</v>
      </c>
      <c r="I15" s="401"/>
      <c r="J15" s="401"/>
      <c r="K15" s="401"/>
      <c r="L15" s="401"/>
      <c r="M15" s="401"/>
      <c r="N15" s="401"/>
      <c r="O15" s="401"/>
      <c r="P15" s="401"/>
      <c r="Q15" s="401"/>
      <c r="R15" s="401"/>
      <c r="S15" s="401"/>
      <c r="T15" s="424"/>
    </row>
    <row r="16" spans="1:24" ht="28" x14ac:dyDescent="0.35">
      <c r="A16" s="388"/>
      <c r="B16" s="425"/>
      <c r="C16" s="388"/>
      <c r="D16" s="388"/>
      <c r="E16" s="388"/>
      <c r="F16" s="389"/>
      <c r="G16" s="393" t="s">
        <v>1083</v>
      </c>
      <c r="H16" s="391" t="s">
        <v>1082</v>
      </c>
      <c r="I16" s="402" t="s">
        <v>621</v>
      </c>
      <c r="J16" s="401"/>
      <c r="K16" s="401"/>
      <c r="L16" s="401"/>
      <c r="M16" s="401"/>
      <c r="N16" s="401"/>
      <c r="O16" s="401"/>
      <c r="P16" s="401"/>
      <c r="Q16" s="401"/>
      <c r="R16" s="401"/>
      <c r="S16" s="401"/>
      <c r="T16" s="424"/>
    </row>
    <row r="17" spans="1:24" ht="15.5" x14ac:dyDescent="0.35">
      <c r="A17" s="388">
        <v>10</v>
      </c>
      <c r="B17" s="419" t="s">
        <v>803</v>
      </c>
      <c r="C17" s="388"/>
      <c r="D17" s="388"/>
      <c r="E17" s="388"/>
      <c r="F17" s="389"/>
      <c r="G17" s="388">
        <v>10</v>
      </c>
      <c r="H17" s="420" t="s">
        <v>803</v>
      </c>
      <c r="I17" s="401"/>
      <c r="J17" s="401"/>
      <c r="K17" s="401"/>
      <c r="L17" s="401"/>
      <c r="M17" s="401"/>
      <c r="N17" s="401"/>
      <c r="O17" s="401"/>
      <c r="P17" s="401"/>
      <c r="Q17" s="401"/>
      <c r="R17" s="401"/>
      <c r="S17" s="401"/>
      <c r="T17" s="424"/>
    </row>
    <row r="18" spans="1:24" ht="45.5" customHeight="1" x14ac:dyDescent="0.35">
      <c r="A18" s="426" t="s">
        <v>805</v>
      </c>
      <c r="B18" s="427" t="s">
        <v>806</v>
      </c>
      <c r="C18" s="428">
        <v>1500</v>
      </c>
      <c r="D18" s="428">
        <v>1000</v>
      </c>
      <c r="E18" s="429">
        <v>600</v>
      </c>
      <c r="F18" s="430">
        <v>400</v>
      </c>
      <c r="G18" s="390" t="s">
        <v>805</v>
      </c>
      <c r="H18" s="391" t="s">
        <v>807</v>
      </c>
      <c r="I18" s="416">
        <v>1500</v>
      </c>
      <c r="J18" s="416">
        <v>1000</v>
      </c>
      <c r="K18" s="400">
        <v>600</v>
      </c>
      <c r="L18" s="400">
        <v>400</v>
      </c>
      <c r="M18" s="338">
        <v>900</v>
      </c>
      <c r="N18" s="338">
        <v>600</v>
      </c>
      <c r="O18" s="338">
        <v>360</v>
      </c>
      <c r="P18" s="338">
        <v>240</v>
      </c>
      <c r="Q18" s="338">
        <v>600</v>
      </c>
      <c r="R18" s="338">
        <v>400</v>
      </c>
      <c r="S18" s="338">
        <v>240</v>
      </c>
      <c r="T18" s="338">
        <v>160</v>
      </c>
    </row>
    <row r="19" spans="1:24" ht="56" x14ac:dyDescent="0.35">
      <c r="A19" s="426" t="s">
        <v>810</v>
      </c>
      <c r="B19" s="427" t="s">
        <v>811</v>
      </c>
      <c r="C19" s="428">
        <v>13000</v>
      </c>
      <c r="D19" s="428">
        <v>9000</v>
      </c>
      <c r="E19" s="428">
        <v>7000</v>
      </c>
      <c r="F19" s="431">
        <v>2000</v>
      </c>
      <c r="G19" s="390" t="s">
        <v>810</v>
      </c>
      <c r="H19" s="391" t="s">
        <v>812</v>
      </c>
      <c r="I19" s="416">
        <v>13000</v>
      </c>
      <c r="J19" s="416">
        <v>9000</v>
      </c>
      <c r="K19" s="416">
        <v>7000</v>
      </c>
      <c r="L19" s="416">
        <v>2000</v>
      </c>
      <c r="M19" s="338">
        <v>7800</v>
      </c>
      <c r="N19" s="338">
        <v>5400</v>
      </c>
      <c r="O19" s="338">
        <v>4200</v>
      </c>
      <c r="P19" s="338">
        <v>1200</v>
      </c>
      <c r="Q19" s="338">
        <v>5200</v>
      </c>
      <c r="R19" s="338">
        <v>3600</v>
      </c>
      <c r="S19" s="338">
        <v>2800</v>
      </c>
      <c r="T19" s="338">
        <v>800</v>
      </c>
    </row>
    <row r="20" spans="1:24" ht="42" x14ac:dyDescent="0.35">
      <c r="A20" s="426" t="s">
        <v>813</v>
      </c>
      <c r="B20" s="427" t="s">
        <v>814</v>
      </c>
      <c r="C20" s="428">
        <v>9000</v>
      </c>
      <c r="D20" s="428">
        <v>7000</v>
      </c>
      <c r="E20" s="428">
        <v>5000</v>
      </c>
      <c r="F20" s="431">
        <v>2000</v>
      </c>
      <c r="G20" s="390" t="s">
        <v>813</v>
      </c>
      <c r="H20" s="391" t="s">
        <v>815</v>
      </c>
      <c r="I20" s="416">
        <v>9000</v>
      </c>
      <c r="J20" s="416">
        <v>7000</v>
      </c>
      <c r="K20" s="416">
        <v>5000</v>
      </c>
      <c r="L20" s="416">
        <v>2000</v>
      </c>
      <c r="M20" s="338">
        <v>5400</v>
      </c>
      <c r="N20" s="338">
        <v>4200</v>
      </c>
      <c r="O20" s="338">
        <v>3000</v>
      </c>
      <c r="P20" s="338">
        <v>1200</v>
      </c>
      <c r="Q20" s="338">
        <v>3600</v>
      </c>
      <c r="R20" s="338">
        <v>2800</v>
      </c>
      <c r="S20" s="338">
        <v>2000</v>
      </c>
      <c r="T20" s="338">
        <v>800</v>
      </c>
    </row>
    <row r="21" spans="1:24" ht="42" x14ac:dyDescent="0.35">
      <c r="A21" s="426" t="s">
        <v>816</v>
      </c>
      <c r="B21" s="427" t="s">
        <v>817</v>
      </c>
      <c r="C21" s="428">
        <v>7000</v>
      </c>
      <c r="D21" s="428">
        <v>4000</v>
      </c>
      <c r="E21" s="428">
        <v>2000</v>
      </c>
      <c r="F21" s="431">
        <v>1000</v>
      </c>
      <c r="G21" s="390" t="s">
        <v>816</v>
      </c>
      <c r="H21" s="391" t="s">
        <v>818</v>
      </c>
      <c r="I21" s="416">
        <v>7000</v>
      </c>
      <c r="J21" s="416">
        <v>4000</v>
      </c>
      <c r="K21" s="416">
        <v>2000</v>
      </c>
      <c r="L21" s="416">
        <v>1000</v>
      </c>
      <c r="M21" s="338">
        <v>4200</v>
      </c>
      <c r="N21" s="338">
        <v>2400</v>
      </c>
      <c r="O21" s="338">
        <v>1200</v>
      </c>
      <c r="P21" s="338">
        <v>600</v>
      </c>
      <c r="Q21" s="338">
        <v>2800</v>
      </c>
      <c r="R21" s="338">
        <v>1600</v>
      </c>
      <c r="S21" s="338">
        <v>800</v>
      </c>
      <c r="T21" s="338">
        <v>400</v>
      </c>
    </row>
    <row r="22" spans="1:24" ht="42" x14ac:dyDescent="0.35">
      <c r="A22" s="426" t="s">
        <v>740</v>
      </c>
      <c r="B22" s="427" t="s">
        <v>819</v>
      </c>
      <c r="C22" s="428">
        <v>11000</v>
      </c>
      <c r="D22" s="429"/>
      <c r="E22" s="429"/>
      <c r="F22" s="430"/>
      <c r="G22" s="390" t="s">
        <v>740</v>
      </c>
      <c r="H22" s="391" t="s">
        <v>820</v>
      </c>
      <c r="I22" s="416">
        <v>11000</v>
      </c>
      <c r="J22" s="400"/>
      <c r="K22" s="400"/>
      <c r="L22" s="400"/>
      <c r="M22" s="400"/>
      <c r="N22" s="400"/>
      <c r="O22" s="400"/>
      <c r="P22" s="400"/>
      <c r="Q22" s="400"/>
      <c r="R22" s="400"/>
      <c r="S22" s="400"/>
      <c r="T22" s="424"/>
    </row>
    <row r="23" spans="1:24" ht="15.5" x14ac:dyDescent="0.35">
      <c r="A23" s="388">
        <v>12</v>
      </c>
      <c r="B23" s="419" t="s">
        <v>822</v>
      </c>
      <c r="C23" s="403"/>
      <c r="D23" s="403"/>
      <c r="E23" s="403"/>
      <c r="F23" s="404"/>
      <c r="G23" s="388">
        <v>12</v>
      </c>
      <c r="H23" s="420" t="s">
        <v>822</v>
      </c>
      <c r="I23" s="401"/>
      <c r="J23" s="401"/>
      <c r="K23" s="401"/>
      <c r="L23" s="401"/>
      <c r="M23" s="401"/>
      <c r="N23" s="401"/>
      <c r="O23" s="401"/>
      <c r="P23" s="401"/>
      <c r="Q23" s="401"/>
      <c r="R23" s="401"/>
      <c r="S23" s="401"/>
      <c r="T23" s="424"/>
    </row>
    <row r="24" spans="1:24" ht="42" x14ac:dyDescent="0.35">
      <c r="A24" s="405" t="s">
        <v>824</v>
      </c>
      <c r="B24" s="406" t="s">
        <v>825</v>
      </c>
      <c r="C24" s="393">
        <v>1100</v>
      </c>
      <c r="D24" s="388"/>
      <c r="E24" s="388"/>
      <c r="F24" s="389"/>
      <c r="G24" s="393" t="s">
        <v>824</v>
      </c>
      <c r="H24" s="391" t="s">
        <v>826</v>
      </c>
      <c r="I24" s="407">
        <v>1100</v>
      </c>
      <c r="J24" s="401"/>
      <c r="K24" s="401"/>
      <c r="L24" s="401"/>
      <c r="M24" s="338">
        <v>660</v>
      </c>
      <c r="N24" s="338"/>
      <c r="O24" s="338"/>
      <c r="P24" s="338"/>
      <c r="Q24" s="338">
        <v>440</v>
      </c>
      <c r="R24" s="401"/>
      <c r="S24" s="401"/>
      <c r="T24" s="424"/>
    </row>
    <row r="25" spans="1:24" ht="28" x14ac:dyDescent="0.35">
      <c r="A25" s="405"/>
      <c r="B25" s="408"/>
      <c r="C25" s="393"/>
      <c r="D25" s="388"/>
      <c r="E25" s="388"/>
      <c r="F25" s="389"/>
      <c r="G25" s="432">
        <v>3</v>
      </c>
      <c r="H25" s="391" t="s">
        <v>829</v>
      </c>
      <c r="I25" s="409" t="s">
        <v>621</v>
      </c>
      <c r="J25" s="401"/>
      <c r="K25" s="401"/>
      <c r="L25" s="401"/>
      <c r="M25" s="338"/>
      <c r="N25" s="338"/>
      <c r="O25" s="338"/>
      <c r="P25" s="338"/>
      <c r="Q25" s="338"/>
      <c r="R25" s="401"/>
      <c r="S25" s="401"/>
      <c r="T25" s="424"/>
    </row>
    <row r="26" spans="1:24" s="166" customFormat="1" ht="15.5" x14ac:dyDescent="0.35">
      <c r="A26" s="433"/>
      <c r="B26" s="433"/>
      <c r="C26" s="433"/>
      <c r="D26" s="433"/>
      <c r="E26" s="433"/>
      <c r="F26" s="433"/>
      <c r="G26" s="388">
        <v>13</v>
      </c>
      <c r="H26" s="420" t="s">
        <v>833</v>
      </c>
      <c r="I26" s="401"/>
      <c r="J26" s="401"/>
      <c r="K26" s="401"/>
      <c r="L26" s="401"/>
      <c r="M26" s="401"/>
      <c r="N26" s="401"/>
      <c r="O26" s="401"/>
      <c r="P26" s="401"/>
      <c r="Q26" s="401"/>
      <c r="R26" s="401"/>
      <c r="S26" s="401"/>
      <c r="T26" s="424"/>
      <c r="U26"/>
      <c r="V26"/>
      <c r="W26"/>
      <c r="X26"/>
    </row>
    <row r="27" spans="1:24" s="166" customFormat="1" ht="28" x14ac:dyDescent="0.35">
      <c r="A27" s="433"/>
      <c r="B27" s="433"/>
      <c r="C27" s="433"/>
      <c r="D27" s="433"/>
      <c r="E27" s="433"/>
      <c r="F27" s="433"/>
      <c r="G27" s="393" t="s">
        <v>759</v>
      </c>
      <c r="H27" s="391" t="s">
        <v>835</v>
      </c>
      <c r="I27" s="416">
        <v>5000</v>
      </c>
      <c r="J27" s="416">
        <v>400</v>
      </c>
      <c r="K27" s="416">
        <v>320</v>
      </c>
      <c r="L27" s="416">
        <v>260</v>
      </c>
      <c r="M27" s="338">
        <v>3000</v>
      </c>
      <c r="N27" s="338">
        <v>240</v>
      </c>
      <c r="O27" s="338">
        <v>190</v>
      </c>
      <c r="P27" s="338">
        <v>160</v>
      </c>
      <c r="Q27" s="338">
        <v>2000</v>
      </c>
      <c r="R27" s="338">
        <v>160</v>
      </c>
      <c r="S27" s="338">
        <v>130</v>
      </c>
      <c r="T27" s="338">
        <v>100</v>
      </c>
      <c r="U27"/>
      <c r="V27"/>
      <c r="W27"/>
      <c r="X27"/>
    </row>
    <row r="28" spans="1:24" ht="15.5" x14ac:dyDescent="0.35">
      <c r="A28" s="410">
        <v>16</v>
      </c>
      <c r="B28" s="434" t="s">
        <v>850</v>
      </c>
      <c r="C28" s="410"/>
      <c r="D28" s="410"/>
      <c r="E28" s="410"/>
      <c r="F28" s="411"/>
      <c r="G28" s="388">
        <v>16</v>
      </c>
      <c r="H28" s="420" t="s">
        <v>850</v>
      </c>
      <c r="I28" s="401"/>
      <c r="J28" s="401"/>
      <c r="K28" s="401"/>
      <c r="L28" s="401"/>
      <c r="M28" s="401"/>
      <c r="N28" s="401"/>
      <c r="O28" s="401"/>
      <c r="P28" s="401"/>
      <c r="Q28" s="401"/>
      <c r="R28" s="401"/>
      <c r="S28" s="401"/>
      <c r="T28" s="424"/>
    </row>
    <row r="29" spans="1:24" ht="28" x14ac:dyDescent="0.35">
      <c r="A29" s="435" t="s">
        <v>143</v>
      </c>
      <c r="B29" s="391" t="s">
        <v>855</v>
      </c>
      <c r="C29" s="392">
        <v>8000</v>
      </c>
      <c r="D29" s="436"/>
      <c r="E29" s="436"/>
      <c r="F29" s="437"/>
      <c r="G29" s="435" t="s">
        <v>143</v>
      </c>
      <c r="H29" s="391" t="s">
        <v>856</v>
      </c>
      <c r="I29" s="395">
        <v>8000</v>
      </c>
      <c r="J29" s="396"/>
      <c r="K29" s="396"/>
      <c r="L29" s="396"/>
      <c r="M29" s="338">
        <v>4800</v>
      </c>
      <c r="N29" s="338"/>
      <c r="O29" s="338"/>
      <c r="P29" s="338"/>
      <c r="Q29" s="338">
        <v>3200</v>
      </c>
      <c r="R29" s="396"/>
      <c r="S29" s="396"/>
      <c r="T29" s="424"/>
    </row>
    <row r="30" spans="1:24" ht="28" x14ac:dyDescent="0.35">
      <c r="A30" s="435" t="s">
        <v>787</v>
      </c>
      <c r="B30" s="391" t="s">
        <v>857</v>
      </c>
      <c r="C30" s="392">
        <v>300</v>
      </c>
      <c r="D30" s="436"/>
      <c r="E30" s="436"/>
      <c r="F30" s="437"/>
      <c r="G30" s="435" t="s">
        <v>787</v>
      </c>
      <c r="H30" s="391" t="s">
        <v>858</v>
      </c>
      <c r="I30" s="395">
        <v>300</v>
      </c>
      <c r="J30" s="396"/>
      <c r="K30" s="396"/>
      <c r="L30" s="396"/>
      <c r="M30" s="338">
        <v>180</v>
      </c>
      <c r="N30" s="338"/>
      <c r="O30" s="338"/>
      <c r="P30" s="338"/>
      <c r="Q30" s="338">
        <v>120</v>
      </c>
      <c r="R30" s="396"/>
      <c r="S30" s="396"/>
      <c r="T30" s="424"/>
    </row>
    <row r="31" spans="1:24" s="166" customFormat="1" ht="22.5" customHeight="1" x14ac:dyDescent="0.35">
      <c r="A31" s="433"/>
      <c r="B31" s="433"/>
      <c r="C31" s="433"/>
      <c r="D31" s="433"/>
      <c r="E31" s="433"/>
      <c r="F31" s="433"/>
      <c r="G31" s="412" t="s">
        <v>1069</v>
      </c>
      <c r="H31" s="387" t="s">
        <v>1079</v>
      </c>
      <c r="I31" s="401"/>
      <c r="J31" s="416"/>
      <c r="K31" s="416"/>
      <c r="L31" s="416"/>
      <c r="M31" s="416"/>
      <c r="N31" s="416"/>
      <c r="O31" s="416"/>
      <c r="P31" s="400"/>
      <c r="Q31" s="416"/>
      <c r="R31" s="416"/>
      <c r="S31" s="416"/>
      <c r="T31" s="400"/>
      <c r="U31"/>
      <c r="V31"/>
      <c r="W31"/>
      <c r="X31"/>
    </row>
    <row r="32" spans="1:24" s="166" customFormat="1" ht="15.5" x14ac:dyDescent="0.35">
      <c r="A32" s="433"/>
      <c r="B32" s="433"/>
      <c r="C32" s="433"/>
      <c r="D32" s="433"/>
      <c r="E32" s="433"/>
      <c r="F32" s="433"/>
      <c r="G32" s="388">
        <v>2</v>
      </c>
      <c r="H32" s="420" t="s">
        <v>753</v>
      </c>
      <c r="I32" s="416"/>
      <c r="J32" s="416"/>
      <c r="K32" s="416"/>
      <c r="L32" s="416"/>
      <c r="M32" s="416"/>
      <c r="N32" s="416"/>
      <c r="O32" s="416"/>
      <c r="P32" s="400"/>
      <c r="Q32" s="416"/>
      <c r="R32" s="416"/>
      <c r="S32" s="416"/>
      <c r="T32" s="400"/>
      <c r="U32"/>
      <c r="V32"/>
      <c r="W32"/>
      <c r="X32"/>
    </row>
    <row r="33" spans="1:24" s="166" customFormat="1" ht="15.5" x14ac:dyDescent="0.35">
      <c r="A33" s="433"/>
      <c r="B33" s="433"/>
      <c r="C33" s="433"/>
      <c r="D33" s="433"/>
      <c r="E33" s="433"/>
      <c r="F33" s="433"/>
      <c r="G33" s="393">
        <v>11</v>
      </c>
      <c r="H33" s="391" t="s">
        <v>765</v>
      </c>
      <c r="I33" s="416">
        <v>2400</v>
      </c>
      <c r="J33" s="401"/>
      <c r="K33" s="401"/>
      <c r="L33" s="401"/>
      <c r="M33" s="401"/>
      <c r="N33" s="401"/>
      <c r="O33" s="401"/>
      <c r="P33" s="401"/>
      <c r="Q33" s="401"/>
      <c r="R33" s="401"/>
      <c r="S33" s="401"/>
      <c r="T33" s="424"/>
      <c r="U33"/>
      <c r="V33"/>
      <c r="W33"/>
      <c r="X33"/>
    </row>
    <row r="34" spans="1:24" s="166" customFormat="1" ht="15.5" x14ac:dyDescent="0.35">
      <c r="A34" s="433"/>
      <c r="B34" s="433"/>
      <c r="C34" s="433"/>
      <c r="D34" s="433"/>
      <c r="E34" s="433"/>
      <c r="F34" s="433"/>
      <c r="G34" s="393">
        <v>12</v>
      </c>
      <c r="H34" s="391" t="s">
        <v>767</v>
      </c>
      <c r="I34" s="416">
        <v>492</v>
      </c>
      <c r="J34" s="401"/>
      <c r="K34" s="401"/>
      <c r="L34" s="401"/>
      <c r="M34" s="401"/>
      <c r="N34" s="401"/>
      <c r="O34" s="401"/>
      <c r="P34" s="401"/>
      <c r="Q34" s="401"/>
      <c r="R34" s="401"/>
      <c r="S34" s="401"/>
      <c r="T34" s="424"/>
      <c r="U34"/>
      <c r="V34"/>
      <c r="W34"/>
      <c r="X34"/>
    </row>
    <row r="35" spans="1:24" s="166" customFormat="1" ht="15.5" x14ac:dyDescent="0.35">
      <c r="A35" s="433"/>
      <c r="B35" s="433"/>
      <c r="C35" s="433"/>
      <c r="D35" s="433"/>
      <c r="E35" s="433"/>
      <c r="F35" s="433"/>
      <c r="G35" s="393">
        <v>13</v>
      </c>
      <c r="H35" s="391" t="s">
        <v>769</v>
      </c>
      <c r="I35" s="416">
        <v>2400</v>
      </c>
      <c r="J35" s="401"/>
      <c r="K35" s="401"/>
      <c r="L35" s="401"/>
      <c r="M35" s="401"/>
      <c r="N35" s="401"/>
      <c r="O35" s="401"/>
      <c r="P35" s="401"/>
      <c r="Q35" s="401"/>
      <c r="R35" s="401"/>
      <c r="S35" s="401"/>
      <c r="T35" s="424"/>
      <c r="U35"/>
      <c r="V35"/>
      <c r="W35"/>
      <c r="X35"/>
    </row>
    <row r="36" spans="1:24" s="166" customFormat="1" ht="15.5" x14ac:dyDescent="0.35">
      <c r="A36" s="433"/>
      <c r="B36" s="433"/>
      <c r="C36" s="433"/>
      <c r="D36" s="433"/>
      <c r="E36" s="433"/>
      <c r="F36" s="433"/>
      <c r="G36" s="388">
        <v>4</v>
      </c>
      <c r="H36" s="420" t="s">
        <v>772</v>
      </c>
      <c r="I36" s="416"/>
      <c r="J36" s="401"/>
      <c r="K36" s="401"/>
      <c r="L36" s="401"/>
      <c r="M36" s="401"/>
      <c r="N36" s="401"/>
      <c r="O36" s="401"/>
      <c r="P36" s="401"/>
      <c r="Q36" s="401"/>
      <c r="R36" s="401"/>
      <c r="S36" s="401"/>
      <c r="T36" s="424"/>
      <c r="U36"/>
      <c r="V36"/>
      <c r="W36"/>
      <c r="X36"/>
    </row>
    <row r="37" spans="1:24" s="166" customFormat="1" ht="15.5" x14ac:dyDescent="0.35">
      <c r="A37" s="433"/>
      <c r="B37" s="433"/>
      <c r="C37" s="433"/>
      <c r="D37" s="433"/>
      <c r="E37" s="433"/>
      <c r="F37" s="433"/>
      <c r="G37" s="393" t="s">
        <v>1084</v>
      </c>
      <c r="H37" s="391" t="s">
        <v>1085</v>
      </c>
      <c r="I37" s="400"/>
      <c r="J37" s="401"/>
      <c r="K37" s="401"/>
      <c r="L37" s="401"/>
      <c r="M37" s="401"/>
      <c r="N37" s="401"/>
      <c r="O37" s="401"/>
      <c r="P37" s="401"/>
      <c r="Q37" s="401"/>
      <c r="R37" s="401"/>
      <c r="S37" s="401"/>
      <c r="T37" s="424"/>
      <c r="U37"/>
      <c r="V37"/>
      <c r="W37"/>
      <c r="X37"/>
    </row>
    <row r="38" spans="1:24" s="166" customFormat="1" ht="15.5" x14ac:dyDescent="0.35">
      <c r="A38" s="433"/>
      <c r="B38" s="433"/>
      <c r="C38" s="433"/>
      <c r="D38" s="433"/>
      <c r="E38" s="433"/>
      <c r="F38" s="433"/>
      <c r="G38" s="393" t="s">
        <v>1086</v>
      </c>
      <c r="H38" s="391" t="s">
        <v>1087</v>
      </c>
      <c r="I38" s="416">
        <v>3800</v>
      </c>
      <c r="J38" s="401"/>
      <c r="K38" s="401"/>
      <c r="L38" s="401"/>
      <c r="M38" s="401"/>
      <c r="N38" s="401"/>
      <c r="O38" s="401"/>
      <c r="P38" s="401"/>
      <c r="Q38" s="401"/>
      <c r="R38" s="401"/>
      <c r="S38" s="401"/>
      <c r="T38" s="424"/>
      <c r="U38"/>
      <c r="V38"/>
      <c r="W38"/>
      <c r="X38"/>
    </row>
    <row r="39" spans="1:24" s="166" customFormat="1" ht="15.5" x14ac:dyDescent="0.35">
      <c r="A39" s="433"/>
      <c r="B39" s="433"/>
      <c r="C39" s="433"/>
      <c r="D39" s="433"/>
      <c r="E39" s="433"/>
      <c r="F39" s="433"/>
      <c r="G39" s="393" t="s">
        <v>1088</v>
      </c>
      <c r="H39" s="391" t="s">
        <v>1089</v>
      </c>
      <c r="I39" s="416">
        <v>3600</v>
      </c>
      <c r="J39" s="401"/>
      <c r="K39" s="401"/>
      <c r="L39" s="401"/>
      <c r="M39" s="401"/>
      <c r="N39" s="401"/>
      <c r="O39" s="401"/>
      <c r="P39" s="401"/>
      <c r="Q39" s="401"/>
      <c r="R39" s="401"/>
      <c r="S39" s="401"/>
      <c r="T39" s="424"/>
      <c r="U39"/>
      <c r="V39"/>
      <c r="W39"/>
      <c r="X39"/>
    </row>
    <row r="40" spans="1:24" s="166" customFormat="1" ht="15.5" x14ac:dyDescent="0.35">
      <c r="A40" s="433"/>
      <c r="B40" s="433"/>
      <c r="C40" s="433"/>
      <c r="D40" s="433"/>
      <c r="E40" s="433"/>
      <c r="F40" s="433"/>
      <c r="G40" s="393" t="s">
        <v>1090</v>
      </c>
      <c r="H40" s="391" t="s">
        <v>1091</v>
      </c>
      <c r="I40" s="416">
        <v>3500</v>
      </c>
      <c r="J40" s="401"/>
      <c r="K40" s="401"/>
      <c r="L40" s="401"/>
      <c r="M40" s="401"/>
      <c r="N40" s="401"/>
      <c r="O40" s="401"/>
      <c r="P40" s="401"/>
      <c r="Q40" s="401"/>
      <c r="R40" s="401"/>
      <c r="S40" s="401"/>
      <c r="T40" s="424"/>
      <c r="U40"/>
      <c r="V40"/>
      <c r="W40"/>
      <c r="X40"/>
    </row>
    <row r="41" spans="1:24" s="166" customFormat="1" ht="15.5" x14ac:dyDescent="0.35">
      <c r="A41" s="433"/>
      <c r="B41" s="433"/>
      <c r="C41" s="433"/>
      <c r="D41" s="433"/>
      <c r="E41" s="433"/>
      <c r="F41" s="433"/>
      <c r="G41" s="388">
        <v>5</v>
      </c>
      <c r="H41" s="420" t="s">
        <v>773</v>
      </c>
      <c r="I41" s="416"/>
      <c r="J41" s="401"/>
      <c r="K41" s="401"/>
      <c r="L41" s="401"/>
      <c r="M41" s="401"/>
      <c r="N41" s="401"/>
      <c r="O41" s="401"/>
      <c r="P41" s="401"/>
      <c r="Q41" s="401"/>
      <c r="R41" s="401"/>
      <c r="S41" s="401"/>
      <c r="T41" s="424"/>
      <c r="U41"/>
      <c r="V41"/>
      <c r="W41"/>
      <c r="X41"/>
    </row>
    <row r="42" spans="1:24" s="166" customFormat="1" ht="15.5" x14ac:dyDescent="0.35">
      <c r="A42" s="433"/>
      <c r="B42" s="433"/>
      <c r="C42" s="433"/>
      <c r="D42" s="433"/>
      <c r="E42" s="433"/>
      <c r="F42" s="433"/>
      <c r="G42" s="413">
        <v>14</v>
      </c>
      <c r="H42" s="414" t="s">
        <v>797</v>
      </c>
      <c r="I42" s="415">
        <v>2500</v>
      </c>
      <c r="J42" s="401"/>
      <c r="K42" s="401"/>
      <c r="L42" s="401"/>
      <c r="M42" s="401"/>
      <c r="N42" s="401"/>
      <c r="O42" s="401"/>
      <c r="P42" s="401"/>
      <c r="Q42" s="401"/>
      <c r="R42" s="401"/>
      <c r="S42" s="401"/>
      <c r="T42" s="424"/>
      <c r="U42"/>
      <c r="V42"/>
      <c r="W42"/>
      <c r="X42"/>
    </row>
    <row r="43" spans="1:24" s="166" customFormat="1" ht="28" x14ac:dyDescent="0.35">
      <c r="A43" s="433"/>
      <c r="B43" s="433"/>
      <c r="C43" s="433"/>
      <c r="D43" s="433"/>
      <c r="E43" s="433"/>
      <c r="F43" s="433"/>
      <c r="G43" s="413">
        <v>15</v>
      </c>
      <c r="H43" s="414" t="s">
        <v>799</v>
      </c>
      <c r="I43" s="416"/>
      <c r="J43" s="401"/>
      <c r="K43" s="401"/>
      <c r="L43" s="401"/>
      <c r="M43" s="401"/>
      <c r="N43" s="401"/>
      <c r="O43" s="401"/>
      <c r="P43" s="401"/>
      <c r="Q43" s="401"/>
      <c r="R43" s="401"/>
      <c r="S43" s="401"/>
      <c r="T43" s="424"/>
      <c r="U43"/>
      <c r="V43"/>
      <c r="W43"/>
      <c r="X43"/>
    </row>
    <row r="44" spans="1:24" s="166" customFormat="1" ht="15.5" x14ac:dyDescent="0.35">
      <c r="A44" s="433"/>
      <c r="B44" s="433"/>
      <c r="C44" s="433"/>
      <c r="D44" s="433"/>
      <c r="E44" s="433"/>
      <c r="F44" s="433"/>
      <c r="G44" s="413" t="s">
        <v>738</v>
      </c>
      <c r="H44" s="417" t="s">
        <v>800</v>
      </c>
      <c r="I44" s="416">
        <v>3000</v>
      </c>
      <c r="J44" s="401"/>
      <c r="K44" s="401"/>
      <c r="L44" s="401"/>
      <c r="M44" s="401"/>
      <c r="N44" s="401"/>
      <c r="O44" s="401"/>
      <c r="P44" s="401"/>
      <c r="Q44" s="401"/>
      <c r="R44" s="401"/>
      <c r="S44" s="401"/>
      <c r="T44" s="424"/>
      <c r="U44"/>
      <c r="V44"/>
      <c r="W44"/>
      <c r="X44"/>
    </row>
    <row r="45" spans="1:24" s="166" customFormat="1" ht="15.5" x14ac:dyDescent="0.35">
      <c r="A45" s="433"/>
      <c r="B45" s="433"/>
      <c r="C45" s="433"/>
      <c r="D45" s="433"/>
      <c r="E45" s="433"/>
      <c r="F45" s="433"/>
      <c r="G45" s="413" t="s">
        <v>739</v>
      </c>
      <c r="H45" s="417" t="s">
        <v>79</v>
      </c>
      <c r="I45" s="416">
        <v>2500</v>
      </c>
      <c r="J45" s="401"/>
      <c r="K45" s="401"/>
      <c r="L45" s="401"/>
      <c r="M45" s="401"/>
      <c r="N45" s="401"/>
      <c r="O45" s="401"/>
      <c r="P45" s="401"/>
      <c r="Q45" s="401"/>
      <c r="R45" s="401"/>
      <c r="S45" s="401"/>
      <c r="T45" s="424"/>
      <c r="U45"/>
      <c r="V45"/>
      <c r="W45"/>
      <c r="X45"/>
    </row>
    <row r="46" spans="1:24" s="166" customFormat="1" ht="15.5" x14ac:dyDescent="0.35">
      <c r="A46" s="433"/>
      <c r="B46" s="433"/>
      <c r="C46" s="433"/>
      <c r="D46" s="433"/>
      <c r="E46" s="433"/>
      <c r="F46" s="433"/>
      <c r="G46" s="388">
        <v>12</v>
      </c>
      <c r="H46" s="420" t="s">
        <v>822</v>
      </c>
      <c r="I46" s="416"/>
      <c r="J46" s="401"/>
      <c r="K46" s="401"/>
      <c r="L46" s="401"/>
      <c r="M46" s="401"/>
      <c r="N46" s="401"/>
      <c r="O46" s="401"/>
      <c r="P46" s="401"/>
      <c r="Q46" s="401"/>
      <c r="R46" s="401"/>
      <c r="S46" s="401"/>
      <c r="T46" s="424"/>
      <c r="U46"/>
      <c r="V46"/>
      <c r="W46"/>
      <c r="X46"/>
    </row>
    <row r="47" spans="1:24" s="166" customFormat="1" ht="15.5" x14ac:dyDescent="0.35">
      <c r="A47" s="433"/>
      <c r="B47" s="433"/>
      <c r="C47" s="433"/>
      <c r="D47" s="433"/>
      <c r="E47" s="433"/>
      <c r="F47" s="433"/>
      <c r="G47" s="432">
        <v>6</v>
      </c>
      <c r="H47" s="391" t="s">
        <v>831</v>
      </c>
      <c r="I47" s="396">
        <v>1900</v>
      </c>
      <c r="J47" s="401"/>
      <c r="K47" s="401"/>
      <c r="L47" s="401"/>
      <c r="M47" s="401"/>
      <c r="N47" s="401"/>
      <c r="O47" s="401"/>
      <c r="P47" s="401"/>
      <c r="Q47" s="401"/>
      <c r="R47" s="401"/>
      <c r="S47" s="401"/>
      <c r="T47" s="424"/>
      <c r="U47"/>
      <c r="V47"/>
      <c r="W47"/>
      <c r="X47"/>
    </row>
    <row r="48" spans="1:24" s="166" customFormat="1" ht="15.5" x14ac:dyDescent="0.35">
      <c r="A48" s="433"/>
      <c r="B48" s="433"/>
      <c r="C48" s="433"/>
      <c r="D48" s="433"/>
      <c r="E48" s="433"/>
      <c r="F48" s="433"/>
      <c r="G48" s="388">
        <v>15</v>
      </c>
      <c r="H48" s="420" t="s">
        <v>839</v>
      </c>
      <c r="I48" s="401"/>
      <c r="J48" s="401"/>
      <c r="K48" s="401"/>
      <c r="L48" s="401"/>
      <c r="M48" s="401"/>
      <c r="N48" s="401"/>
      <c r="O48" s="401"/>
      <c r="P48" s="401"/>
      <c r="Q48" s="401"/>
      <c r="R48" s="401"/>
      <c r="S48" s="401"/>
      <c r="T48" s="424"/>
      <c r="U48"/>
      <c r="V48"/>
      <c r="W48"/>
      <c r="X48"/>
    </row>
    <row r="49" spans="1:24" s="166" customFormat="1" ht="15.5" x14ac:dyDescent="0.35">
      <c r="A49" s="433"/>
      <c r="B49" s="433"/>
      <c r="C49" s="433"/>
      <c r="D49" s="433"/>
      <c r="E49" s="433"/>
      <c r="F49" s="433"/>
      <c r="G49" s="393">
        <v>13</v>
      </c>
      <c r="H49" s="391" t="s">
        <v>840</v>
      </c>
      <c r="I49" s="401"/>
      <c r="J49" s="401"/>
      <c r="K49" s="401"/>
      <c r="L49" s="401"/>
      <c r="M49" s="401"/>
      <c r="N49" s="401"/>
      <c r="O49" s="401"/>
      <c r="P49" s="401"/>
      <c r="Q49" s="401"/>
      <c r="R49" s="401"/>
      <c r="S49" s="401"/>
      <c r="T49" s="424"/>
      <c r="U49"/>
      <c r="V49"/>
      <c r="W49"/>
      <c r="X49"/>
    </row>
    <row r="50" spans="1:24" s="166" customFormat="1" ht="42" x14ac:dyDescent="0.35">
      <c r="A50" s="433"/>
      <c r="B50" s="433"/>
      <c r="C50" s="433"/>
      <c r="D50" s="433"/>
      <c r="E50" s="433"/>
      <c r="F50" s="433"/>
      <c r="G50" s="393" t="s">
        <v>841</v>
      </c>
      <c r="H50" s="391" t="s">
        <v>842</v>
      </c>
      <c r="I50" s="416">
        <v>3300</v>
      </c>
      <c r="J50" s="401"/>
      <c r="K50" s="401"/>
      <c r="L50" s="401"/>
      <c r="M50" s="401"/>
      <c r="N50" s="401"/>
      <c r="O50" s="401"/>
      <c r="P50" s="401"/>
      <c r="Q50" s="401"/>
      <c r="R50" s="401"/>
      <c r="S50" s="401"/>
      <c r="T50" s="424"/>
      <c r="U50"/>
      <c r="V50"/>
      <c r="W50"/>
      <c r="X50"/>
    </row>
    <row r="51" spans="1:24" s="166" customFormat="1" ht="42" x14ac:dyDescent="0.35">
      <c r="A51" s="433"/>
      <c r="B51" s="433"/>
      <c r="C51" s="433"/>
      <c r="D51" s="433"/>
      <c r="E51" s="433"/>
      <c r="F51" s="433"/>
      <c r="G51" s="393" t="s">
        <v>844</v>
      </c>
      <c r="H51" s="391" t="s">
        <v>845</v>
      </c>
      <c r="I51" s="416">
        <v>3500</v>
      </c>
      <c r="J51" s="401"/>
      <c r="K51" s="401"/>
      <c r="L51" s="401"/>
      <c r="M51" s="401"/>
      <c r="N51" s="401"/>
      <c r="O51" s="401"/>
      <c r="P51" s="401"/>
      <c r="Q51" s="401"/>
      <c r="R51" s="401"/>
      <c r="S51" s="401"/>
      <c r="T51" s="424"/>
      <c r="U51"/>
      <c r="V51"/>
      <c r="W51"/>
      <c r="X51"/>
    </row>
    <row r="52" spans="1:24" s="166" customFormat="1" ht="28" x14ac:dyDescent="0.35">
      <c r="A52" s="433"/>
      <c r="B52" s="433"/>
      <c r="C52" s="433"/>
      <c r="D52" s="433"/>
      <c r="E52" s="433"/>
      <c r="F52" s="433"/>
      <c r="G52" s="393" t="s">
        <v>847</v>
      </c>
      <c r="H52" s="391" t="s">
        <v>848</v>
      </c>
      <c r="I52" s="416">
        <v>3800</v>
      </c>
      <c r="J52" s="401"/>
      <c r="K52" s="401"/>
      <c r="L52" s="401"/>
      <c r="M52" s="401"/>
      <c r="N52" s="401"/>
      <c r="O52" s="401"/>
      <c r="P52" s="401"/>
      <c r="Q52" s="401"/>
      <c r="R52" s="401"/>
      <c r="S52" s="401"/>
      <c r="T52" s="424"/>
      <c r="U52"/>
      <c r="V52"/>
      <c r="W52"/>
      <c r="X52"/>
    </row>
    <row r="53" spans="1:24" s="166" customFormat="1" ht="15.5" x14ac:dyDescent="0.35">
      <c r="A53" s="433"/>
      <c r="B53" s="433"/>
      <c r="C53" s="433"/>
      <c r="D53" s="433"/>
      <c r="E53" s="433"/>
      <c r="F53" s="433"/>
      <c r="G53" s="388">
        <v>16</v>
      </c>
      <c r="H53" s="420" t="s">
        <v>850</v>
      </c>
      <c r="I53" s="416"/>
      <c r="J53" s="401"/>
      <c r="K53" s="401"/>
      <c r="L53" s="401"/>
      <c r="M53" s="401"/>
      <c r="N53" s="401"/>
      <c r="O53" s="401"/>
      <c r="P53" s="401"/>
      <c r="Q53" s="401"/>
      <c r="R53" s="401"/>
      <c r="S53" s="401"/>
      <c r="T53" s="424"/>
      <c r="U53"/>
      <c r="V53"/>
      <c r="W53"/>
      <c r="X53"/>
    </row>
    <row r="54" spans="1:24" s="166" customFormat="1" ht="28" x14ac:dyDescent="0.35">
      <c r="A54" s="433"/>
      <c r="B54" s="433"/>
      <c r="C54" s="433"/>
      <c r="D54" s="433"/>
      <c r="E54" s="433"/>
      <c r="F54" s="433"/>
      <c r="G54" s="435" t="s">
        <v>591</v>
      </c>
      <c r="H54" s="391" t="s">
        <v>859</v>
      </c>
      <c r="I54" s="395">
        <v>2000</v>
      </c>
      <c r="J54" s="395">
        <v>1500</v>
      </c>
      <c r="K54" s="395">
        <v>1000</v>
      </c>
      <c r="L54" s="395">
        <v>500</v>
      </c>
      <c r="M54" s="338">
        <v>1500</v>
      </c>
      <c r="N54" s="338">
        <v>900</v>
      </c>
      <c r="O54" s="338">
        <v>600</v>
      </c>
      <c r="P54" s="338">
        <v>180</v>
      </c>
      <c r="Q54" s="338">
        <v>1000</v>
      </c>
      <c r="R54" s="338">
        <v>600</v>
      </c>
      <c r="S54" s="338">
        <v>400</v>
      </c>
      <c r="T54" s="338">
        <v>120</v>
      </c>
      <c r="U54"/>
      <c r="V54"/>
      <c r="W54"/>
      <c r="X54"/>
    </row>
    <row r="55" spans="1:24" s="166" customFormat="1" ht="15.5" x14ac:dyDescent="0.35">
      <c r="A55" s="433"/>
      <c r="B55" s="433"/>
      <c r="C55" s="433"/>
      <c r="D55" s="433"/>
      <c r="E55" s="433"/>
      <c r="F55" s="433"/>
      <c r="G55" s="435" t="s">
        <v>323</v>
      </c>
      <c r="H55" s="391" t="s">
        <v>861</v>
      </c>
      <c r="I55" s="395">
        <v>300</v>
      </c>
      <c r="J55" s="395"/>
      <c r="K55" s="395"/>
      <c r="L55" s="395"/>
      <c r="M55" s="338">
        <v>180</v>
      </c>
      <c r="N55" s="338"/>
      <c r="O55" s="338"/>
      <c r="P55" s="338"/>
      <c r="Q55" s="338">
        <v>120</v>
      </c>
      <c r="R55" s="395"/>
      <c r="S55" s="395"/>
      <c r="T55" s="424"/>
      <c r="U55"/>
      <c r="V55"/>
      <c r="W55"/>
      <c r="X55"/>
    </row>
    <row r="56" spans="1:24" s="166" customFormat="1" ht="15.5" x14ac:dyDescent="0.35">
      <c r="A56" s="433"/>
      <c r="B56" s="433"/>
      <c r="C56" s="433"/>
      <c r="D56" s="433"/>
      <c r="E56" s="433"/>
      <c r="F56" s="433"/>
      <c r="G56" s="435" t="s">
        <v>741</v>
      </c>
      <c r="H56" s="391" t="s">
        <v>863</v>
      </c>
      <c r="I56" s="395">
        <v>300</v>
      </c>
      <c r="J56" s="395"/>
      <c r="K56" s="395"/>
      <c r="L56" s="395"/>
      <c r="M56" s="338">
        <v>180</v>
      </c>
      <c r="N56" s="338"/>
      <c r="O56" s="338"/>
      <c r="P56" s="338"/>
      <c r="Q56" s="338">
        <v>120</v>
      </c>
      <c r="R56" s="395"/>
      <c r="S56" s="395"/>
      <c r="T56" s="424"/>
      <c r="U56"/>
      <c r="V56"/>
      <c r="W56"/>
      <c r="X56"/>
    </row>
    <row r="57" spans="1:24" s="166" customFormat="1" ht="31.15" hidden="1" customHeight="1" x14ac:dyDescent="0.35">
      <c r="A57" s="433"/>
      <c r="B57" s="433"/>
      <c r="C57" s="433"/>
      <c r="D57" s="433"/>
      <c r="E57" s="433"/>
      <c r="F57" s="433"/>
      <c r="G57" s="403" t="s">
        <v>1109</v>
      </c>
      <c r="H57" s="438" t="s">
        <v>1080</v>
      </c>
      <c r="I57" s="439">
        <v>1</v>
      </c>
      <c r="J57" s="403"/>
      <c r="K57" s="403"/>
      <c r="L57" s="404"/>
      <c r="M57" s="403"/>
      <c r="N57" s="403"/>
      <c r="O57" s="403"/>
      <c r="P57" s="403"/>
      <c r="Q57" s="403"/>
      <c r="R57" s="403"/>
      <c r="S57" s="403"/>
      <c r="T57" s="440"/>
      <c r="U57"/>
      <c r="V57"/>
      <c r="W57"/>
      <c r="X57"/>
    </row>
    <row r="58" spans="1:24" s="166" customFormat="1" hidden="1" x14ac:dyDescent="0.35">
      <c r="A58" s="433"/>
      <c r="B58" s="433"/>
      <c r="C58" s="433"/>
      <c r="D58" s="433"/>
      <c r="E58" s="433"/>
      <c r="F58" s="433"/>
      <c r="G58" s="410">
        <v>13</v>
      </c>
      <c r="H58" s="441" t="s">
        <v>833</v>
      </c>
      <c r="I58" s="388"/>
      <c r="J58" s="410"/>
      <c r="K58" s="410"/>
      <c r="L58" s="404"/>
      <c r="M58" s="388"/>
      <c r="N58" s="388"/>
      <c r="O58" s="388"/>
      <c r="P58" s="388"/>
      <c r="Q58" s="388"/>
      <c r="R58" s="388"/>
      <c r="S58" s="388"/>
      <c r="T58" s="421"/>
      <c r="U58"/>
      <c r="V58"/>
      <c r="W58"/>
      <c r="X58"/>
    </row>
    <row r="59" spans="1:24" s="166" customFormat="1" ht="28" hidden="1" x14ac:dyDescent="0.35">
      <c r="A59" s="433"/>
      <c r="B59" s="433"/>
      <c r="C59" s="433"/>
      <c r="D59" s="433"/>
      <c r="E59" s="433"/>
      <c r="F59" s="433"/>
      <c r="G59" s="393">
        <v>1.7</v>
      </c>
      <c r="H59" s="406" t="s">
        <v>835</v>
      </c>
      <c r="I59" s="432">
        <v>5000</v>
      </c>
      <c r="J59" s="432">
        <v>400</v>
      </c>
      <c r="K59" s="432">
        <v>320</v>
      </c>
      <c r="L59" s="442">
        <v>260</v>
      </c>
      <c r="M59" s="308">
        <v>3000</v>
      </c>
      <c r="N59" s="308">
        <v>240</v>
      </c>
      <c r="O59" s="308">
        <v>190</v>
      </c>
      <c r="P59" s="308">
        <v>160</v>
      </c>
      <c r="Q59" s="308">
        <v>2000</v>
      </c>
      <c r="R59" s="308">
        <v>160</v>
      </c>
      <c r="S59" s="308">
        <v>130</v>
      </c>
      <c r="T59" s="308">
        <v>100</v>
      </c>
      <c r="U59"/>
      <c r="V59"/>
      <c r="W59"/>
      <c r="X59"/>
    </row>
  </sheetData>
  <mergeCells count="14">
    <mergeCell ref="G1:H1"/>
    <mergeCell ref="G2:T2"/>
    <mergeCell ref="C3:T3"/>
    <mergeCell ref="C4:T4"/>
    <mergeCell ref="A6:F6"/>
    <mergeCell ref="G6:T6"/>
    <mergeCell ref="M7:P7"/>
    <mergeCell ref="Q7:T7"/>
    <mergeCell ref="A7:A8"/>
    <mergeCell ref="B7:B8"/>
    <mergeCell ref="C7:F7"/>
    <mergeCell ref="G7:G8"/>
    <mergeCell ref="H7:H8"/>
    <mergeCell ref="I7:L7"/>
  </mergeCells>
  <pageMargins left="0.31" right="0.27559055118110237" top="0.31496062992125984" bottom="0.48" header="0.31496062992125984" footer="0.24"/>
  <pageSetup paperSize="9" scale="70" orientation="landscape" r:id="rId1"/>
  <headerFooter scaleWithDoc="0"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51"/>
  <sheetViews>
    <sheetView view="pageBreakPreview" zoomScale="85" zoomScaleNormal="85" zoomScaleSheetLayoutView="85" workbookViewId="0">
      <pane xSplit="2" ySplit="9" topLeftCell="I48" activePane="bottomRight" state="frozen"/>
      <selection pane="topRight" activeCell="C1" sqref="C1"/>
      <selection pane="bottomLeft" activeCell="A10" sqref="A10"/>
      <selection pane="bottomRight" activeCell="J52" sqref="J52"/>
    </sheetView>
  </sheetViews>
  <sheetFormatPr defaultColWidth="13.81640625" defaultRowHeight="14" x14ac:dyDescent="0.35"/>
  <cols>
    <col min="1" max="1" width="7.7265625" style="7" hidden="1" customWidth="1"/>
    <col min="2" max="2" width="29.26953125" style="9" hidden="1" customWidth="1"/>
    <col min="3" max="3" width="18.7265625" style="7" hidden="1" customWidth="1"/>
    <col min="4" max="4" width="19.7265625" style="7" hidden="1" customWidth="1"/>
    <col min="5" max="8" width="9.1796875" style="10" hidden="1" customWidth="1"/>
    <col min="9" max="9" width="8.26953125" style="7" customWidth="1"/>
    <col min="10" max="10" width="48.81640625" style="7" customWidth="1"/>
    <col min="11" max="12" width="22.54296875" style="7" customWidth="1"/>
    <col min="13" max="13" width="11.453125" style="10" bestFit="1" customWidth="1"/>
    <col min="14" max="14" width="10" style="10" customWidth="1"/>
    <col min="15" max="23" width="9.1796875" style="10" customWidth="1"/>
    <col min="24" max="24" width="8.1796875" style="10" customWidth="1"/>
    <col min="25" max="16384" width="13.81640625" style="7"/>
  </cols>
  <sheetData>
    <row r="1" spans="1:33" x14ac:dyDescent="0.35">
      <c r="A1" s="454"/>
      <c r="B1" s="454"/>
      <c r="C1" s="1"/>
      <c r="D1" s="1"/>
      <c r="E1" s="2"/>
      <c r="F1" s="2"/>
      <c r="G1" s="3"/>
      <c r="H1" s="2"/>
      <c r="I1" s="454"/>
      <c r="J1" s="454"/>
      <c r="K1" s="4"/>
      <c r="L1" s="4"/>
      <c r="M1" s="2"/>
      <c r="N1" s="2"/>
      <c r="O1" s="2"/>
      <c r="P1" s="5"/>
      <c r="Q1" s="5"/>
      <c r="R1" s="5"/>
      <c r="S1" s="5"/>
      <c r="T1" s="5"/>
      <c r="U1" s="5"/>
      <c r="V1" s="5"/>
      <c r="W1" s="5"/>
      <c r="X1" s="5"/>
      <c r="Y1" s="4"/>
      <c r="Z1" s="4"/>
      <c r="AA1" s="4"/>
      <c r="AB1" s="4"/>
      <c r="AC1" s="4"/>
      <c r="AD1" s="4"/>
      <c r="AE1" s="4"/>
      <c r="AF1" s="4"/>
      <c r="AG1" s="4"/>
    </row>
    <row r="2" spans="1:33" ht="62.5" customHeight="1" x14ac:dyDescent="0.35">
      <c r="A2" s="262"/>
      <c r="B2" s="262"/>
      <c r="C2" s="1"/>
      <c r="D2" s="1"/>
      <c r="E2" s="2"/>
      <c r="F2" s="2"/>
      <c r="G2" s="3"/>
      <c r="H2" s="2"/>
      <c r="I2" s="525" t="s">
        <v>1119</v>
      </c>
      <c r="J2" s="525"/>
      <c r="K2" s="525"/>
      <c r="L2" s="525"/>
      <c r="M2" s="525"/>
      <c r="N2" s="525"/>
      <c r="O2" s="525"/>
      <c r="P2" s="525"/>
      <c r="Q2" s="525"/>
      <c r="R2" s="525"/>
      <c r="S2" s="525"/>
      <c r="T2" s="525"/>
      <c r="U2" s="525"/>
      <c r="V2" s="525"/>
      <c r="W2" s="525"/>
      <c r="X2" s="525"/>
      <c r="Y2" s="4"/>
      <c r="Z2" s="4"/>
      <c r="AA2" s="4"/>
      <c r="AB2" s="4"/>
      <c r="AC2" s="4"/>
      <c r="AD2" s="4"/>
      <c r="AE2" s="4"/>
      <c r="AF2" s="4"/>
      <c r="AG2" s="4"/>
    </row>
    <row r="3" spans="1:33" ht="22.5" customHeight="1" x14ac:dyDescent="0.35">
      <c r="A3" s="262"/>
      <c r="B3" s="262"/>
      <c r="C3" s="1"/>
      <c r="D3" s="1"/>
      <c r="E3" s="2"/>
      <c r="F3" s="2"/>
      <c r="G3" s="3"/>
      <c r="H3" s="2"/>
      <c r="I3" s="524" t="s">
        <v>1123</v>
      </c>
      <c r="J3" s="524"/>
      <c r="K3" s="524"/>
      <c r="L3" s="524"/>
      <c r="M3" s="524"/>
      <c r="N3" s="524"/>
      <c r="O3" s="524"/>
      <c r="P3" s="524"/>
      <c r="Q3" s="524"/>
      <c r="R3" s="524"/>
      <c r="S3" s="524"/>
      <c r="T3" s="524"/>
      <c r="U3" s="524"/>
      <c r="V3" s="524"/>
      <c r="W3" s="524"/>
      <c r="X3" s="524"/>
      <c r="Y3" s="4"/>
      <c r="Z3" s="4"/>
      <c r="AA3" s="4"/>
      <c r="AB3" s="4"/>
      <c r="AC3" s="4"/>
      <c r="AD3" s="4"/>
      <c r="AE3" s="4"/>
      <c r="AF3" s="4"/>
      <c r="AG3" s="4"/>
    </row>
    <row r="4" spans="1:33" ht="18" x14ac:dyDescent="0.35">
      <c r="A4" s="262"/>
      <c r="B4" s="262"/>
      <c r="C4" s="1"/>
      <c r="D4" s="1"/>
      <c r="E4" s="2"/>
      <c r="F4" s="2"/>
      <c r="G4" s="3"/>
      <c r="H4" s="2"/>
      <c r="I4" s="524" t="s">
        <v>1</v>
      </c>
      <c r="J4" s="524"/>
      <c r="K4" s="524"/>
      <c r="L4" s="524"/>
      <c r="M4" s="524"/>
      <c r="N4" s="524"/>
      <c r="O4" s="524"/>
      <c r="P4" s="524"/>
      <c r="Q4" s="524"/>
      <c r="R4" s="524"/>
      <c r="S4" s="524"/>
      <c r="T4" s="524"/>
      <c r="U4" s="524"/>
      <c r="V4" s="524"/>
      <c r="W4" s="524"/>
      <c r="X4" s="524"/>
      <c r="Y4" s="4"/>
      <c r="Z4" s="4"/>
      <c r="AA4" s="4"/>
      <c r="AB4" s="4"/>
      <c r="AC4" s="4"/>
      <c r="AD4" s="4"/>
      <c r="AE4" s="4"/>
      <c r="AF4" s="4"/>
      <c r="AG4" s="4"/>
    </row>
    <row r="5" spans="1:33" x14ac:dyDescent="0.35">
      <c r="A5" s="8"/>
      <c r="Y5" s="4"/>
      <c r="Z5" s="4"/>
      <c r="AA5" s="4"/>
      <c r="AB5" s="4"/>
      <c r="AC5" s="4"/>
      <c r="AD5" s="4"/>
      <c r="AE5" s="4"/>
      <c r="AF5" s="4"/>
      <c r="AG5" s="4"/>
    </row>
    <row r="6" spans="1:33" hidden="1" x14ac:dyDescent="0.35">
      <c r="A6" s="345"/>
      <c r="B6" s="228"/>
      <c r="C6" s="235"/>
      <c r="D6" s="235"/>
      <c r="E6" s="240"/>
      <c r="F6" s="240"/>
      <c r="G6" s="240"/>
      <c r="H6" s="240"/>
      <c r="I6" s="235"/>
      <c r="J6" s="235"/>
      <c r="K6" s="235"/>
      <c r="L6" s="235"/>
      <c r="M6" s="240"/>
      <c r="N6" s="459" t="s">
        <v>1</v>
      </c>
      <c r="O6" s="459"/>
      <c r="P6" s="459"/>
      <c r="Q6" s="240"/>
      <c r="R6" s="240"/>
      <c r="S6" s="240"/>
      <c r="T6" s="240"/>
      <c r="U6" s="240"/>
      <c r="V6" s="240"/>
      <c r="W6" s="240"/>
      <c r="X6" s="240"/>
      <c r="Y6" s="234"/>
      <c r="Z6" s="4"/>
      <c r="AA6" s="4"/>
      <c r="AB6" s="4"/>
      <c r="AC6" s="4"/>
      <c r="AD6" s="4"/>
      <c r="AE6" s="4"/>
      <c r="AF6" s="4"/>
      <c r="AG6" s="4"/>
    </row>
    <row r="7" spans="1:33" hidden="1" x14ac:dyDescent="0.35">
      <c r="A7" s="450" t="s">
        <v>2</v>
      </c>
      <c r="B7" s="450"/>
      <c r="C7" s="450"/>
      <c r="D7" s="450"/>
      <c r="E7" s="450"/>
      <c r="F7" s="450"/>
      <c r="G7" s="450"/>
      <c r="H7" s="450"/>
      <c r="I7" s="486" t="s">
        <v>3</v>
      </c>
      <c r="J7" s="487"/>
      <c r="K7" s="487"/>
      <c r="L7" s="487"/>
      <c r="M7" s="487"/>
      <c r="N7" s="487"/>
      <c r="O7" s="487"/>
      <c r="P7" s="487"/>
      <c r="Q7" s="487"/>
      <c r="R7" s="487"/>
      <c r="S7" s="487"/>
      <c r="T7" s="487"/>
      <c r="U7" s="487"/>
      <c r="V7" s="487"/>
      <c r="W7" s="487"/>
      <c r="X7" s="488"/>
      <c r="Y7" s="234"/>
      <c r="Z7" s="4"/>
      <c r="AA7" s="4"/>
      <c r="AB7" s="4"/>
      <c r="AC7" s="4"/>
      <c r="AD7" s="4"/>
      <c r="AE7" s="4"/>
      <c r="AF7" s="4"/>
      <c r="AG7" s="4"/>
    </row>
    <row r="8" spans="1:33" ht="20.5" customHeight="1" x14ac:dyDescent="0.35">
      <c r="A8" s="450" t="s">
        <v>5</v>
      </c>
      <c r="B8" s="452" t="s">
        <v>6</v>
      </c>
      <c r="C8" s="452" t="s">
        <v>7</v>
      </c>
      <c r="D8" s="451"/>
      <c r="E8" s="489" t="s">
        <v>8</v>
      </c>
      <c r="F8" s="459"/>
      <c r="G8" s="459"/>
      <c r="H8" s="490"/>
      <c r="I8" s="453" t="s">
        <v>9</v>
      </c>
      <c r="J8" s="453" t="s">
        <v>6</v>
      </c>
      <c r="K8" s="453" t="s">
        <v>7</v>
      </c>
      <c r="L8" s="453"/>
      <c r="M8" s="489" t="s">
        <v>10</v>
      </c>
      <c r="N8" s="489"/>
      <c r="O8" s="489"/>
      <c r="P8" s="489"/>
      <c r="Q8" s="453" t="s">
        <v>11</v>
      </c>
      <c r="R8" s="451"/>
      <c r="S8" s="451"/>
      <c r="T8" s="451"/>
      <c r="U8" s="452" t="s">
        <v>12</v>
      </c>
      <c r="V8" s="451"/>
      <c r="W8" s="451"/>
      <c r="X8" s="451"/>
      <c r="Y8" s="234"/>
      <c r="Z8" s="4"/>
      <c r="AA8" s="4"/>
      <c r="AB8" s="4"/>
      <c r="AC8" s="4"/>
      <c r="AD8" s="4"/>
      <c r="AE8" s="4"/>
      <c r="AF8" s="4"/>
      <c r="AG8" s="4"/>
    </row>
    <row r="9" spans="1:33" ht="21.5" customHeight="1" x14ac:dyDescent="0.35">
      <c r="A9" s="451"/>
      <c r="B9" s="451"/>
      <c r="C9" s="263" t="s">
        <v>13</v>
      </c>
      <c r="D9" s="263" t="s">
        <v>14</v>
      </c>
      <c r="E9" s="346" t="s">
        <v>15</v>
      </c>
      <c r="F9" s="346" t="s">
        <v>16</v>
      </c>
      <c r="G9" s="346" t="s">
        <v>17</v>
      </c>
      <c r="H9" s="347" t="s">
        <v>18</v>
      </c>
      <c r="I9" s="453"/>
      <c r="J9" s="453"/>
      <c r="K9" s="263" t="s">
        <v>13</v>
      </c>
      <c r="L9" s="263" t="s">
        <v>14</v>
      </c>
      <c r="M9" s="346" t="s">
        <v>15</v>
      </c>
      <c r="N9" s="346" t="s">
        <v>16</v>
      </c>
      <c r="O9" s="346" t="s">
        <v>17</v>
      </c>
      <c r="P9" s="346" t="s">
        <v>18</v>
      </c>
      <c r="Q9" s="236" t="s">
        <v>15</v>
      </c>
      <c r="R9" s="236" t="s">
        <v>16</v>
      </c>
      <c r="S9" s="236" t="s">
        <v>17</v>
      </c>
      <c r="T9" s="236" t="s">
        <v>18</v>
      </c>
      <c r="U9" s="236" t="s">
        <v>15</v>
      </c>
      <c r="V9" s="236" t="s">
        <v>16</v>
      </c>
      <c r="W9" s="236" t="s">
        <v>17</v>
      </c>
      <c r="X9" s="236" t="s">
        <v>18</v>
      </c>
      <c r="Y9" s="234"/>
      <c r="Z9" s="4"/>
      <c r="AA9" s="4"/>
      <c r="AB9" s="4"/>
      <c r="AC9" s="4"/>
      <c r="AD9" s="4"/>
      <c r="AE9" s="4"/>
      <c r="AF9" s="4"/>
      <c r="AG9" s="4"/>
    </row>
    <row r="10" spans="1:33" ht="18.5" customHeight="1" x14ac:dyDescent="0.35">
      <c r="A10" s="236"/>
      <c r="B10" s="348"/>
      <c r="C10" s="263"/>
      <c r="D10" s="263"/>
      <c r="E10" s="346"/>
      <c r="F10" s="346"/>
      <c r="G10" s="346"/>
      <c r="H10" s="347"/>
      <c r="I10" s="236" t="s">
        <v>1070</v>
      </c>
      <c r="J10" s="348" t="s">
        <v>1116</v>
      </c>
      <c r="K10" s="349"/>
      <c r="L10" s="349"/>
      <c r="M10" s="350"/>
      <c r="N10" s="351"/>
      <c r="O10" s="351"/>
      <c r="P10" s="351"/>
      <c r="Q10" s="351"/>
      <c r="R10" s="351"/>
      <c r="S10" s="351"/>
      <c r="T10" s="351"/>
      <c r="U10" s="351"/>
      <c r="V10" s="351"/>
      <c r="W10" s="351"/>
      <c r="X10" s="351"/>
      <c r="Y10" s="234"/>
      <c r="Z10" s="4"/>
      <c r="AA10" s="4"/>
      <c r="AB10" s="4"/>
      <c r="AC10" s="4"/>
      <c r="AD10" s="4"/>
      <c r="AE10" s="4"/>
      <c r="AF10" s="4"/>
      <c r="AG10" s="4"/>
    </row>
    <row r="11" spans="1:33" x14ac:dyDescent="0.35">
      <c r="A11" s="236">
        <v>25</v>
      </c>
      <c r="B11" s="348" t="s">
        <v>30</v>
      </c>
      <c r="C11" s="263"/>
      <c r="D11" s="263"/>
      <c r="E11" s="346"/>
      <c r="F11" s="346"/>
      <c r="G11" s="346"/>
      <c r="H11" s="347"/>
      <c r="I11" s="236">
        <v>25</v>
      </c>
      <c r="J11" s="348" t="s">
        <v>30</v>
      </c>
      <c r="K11" s="263"/>
      <c r="L11" s="263"/>
      <c r="M11" s="351"/>
      <c r="N11" s="351"/>
      <c r="O11" s="351"/>
      <c r="P11" s="351"/>
      <c r="Q11" s="351"/>
      <c r="R11" s="351"/>
      <c r="S11" s="351"/>
      <c r="T11" s="351"/>
      <c r="U11" s="351"/>
      <c r="V11" s="351"/>
      <c r="W11" s="351"/>
      <c r="X11" s="351"/>
      <c r="Y11" s="234"/>
      <c r="Z11" s="4"/>
      <c r="AA11" s="4"/>
      <c r="AB11" s="4"/>
      <c r="AC11" s="4"/>
      <c r="AD11" s="4"/>
      <c r="AE11" s="4"/>
      <c r="AF11" s="4"/>
      <c r="AG11" s="4"/>
    </row>
    <row r="12" spans="1:33" x14ac:dyDescent="0.35">
      <c r="A12" s="102" t="s">
        <v>31</v>
      </c>
      <c r="B12" s="31" t="s">
        <v>32</v>
      </c>
      <c r="C12" s="263"/>
      <c r="D12" s="263"/>
      <c r="E12" s="346"/>
      <c r="F12" s="346"/>
      <c r="G12" s="346"/>
      <c r="H12" s="347"/>
      <c r="I12" s="102" t="s">
        <v>31</v>
      </c>
      <c r="J12" s="31" t="s">
        <v>32</v>
      </c>
      <c r="K12" s="263"/>
      <c r="L12" s="263"/>
      <c r="M12" s="351"/>
      <c r="N12" s="351"/>
      <c r="O12" s="351"/>
      <c r="P12" s="351"/>
      <c r="Q12" s="351"/>
      <c r="R12" s="351"/>
      <c r="S12" s="351"/>
      <c r="T12" s="351"/>
      <c r="U12" s="351"/>
      <c r="V12" s="351"/>
      <c r="W12" s="351"/>
      <c r="X12" s="351"/>
      <c r="Y12" s="234"/>
      <c r="Z12" s="4"/>
      <c r="AA12" s="4"/>
      <c r="AB12" s="4"/>
      <c r="AC12" s="4"/>
      <c r="AD12" s="4"/>
      <c r="AE12" s="4"/>
      <c r="AF12" s="4"/>
      <c r="AG12" s="4"/>
    </row>
    <row r="13" spans="1:33" x14ac:dyDescent="0.3">
      <c r="A13" s="102" t="s">
        <v>34</v>
      </c>
      <c r="B13" s="31" t="s">
        <v>35</v>
      </c>
      <c r="C13" s="238" t="s">
        <v>36</v>
      </c>
      <c r="D13" s="238"/>
      <c r="E13" s="32">
        <v>8100</v>
      </c>
      <c r="F13" s="32"/>
      <c r="G13" s="32"/>
      <c r="H13" s="33"/>
      <c r="I13" s="235" t="s">
        <v>34</v>
      </c>
      <c r="J13" s="31" t="s">
        <v>37</v>
      </c>
      <c r="K13" s="451" t="s">
        <v>36</v>
      </c>
      <c r="L13" s="451"/>
      <c r="M13" s="180">
        <v>8100</v>
      </c>
      <c r="N13" s="352"/>
      <c r="O13" s="352"/>
      <c r="P13" s="352"/>
      <c r="Q13" s="180">
        <v>4860</v>
      </c>
      <c r="R13" s="335"/>
      <c r="S13" s="335"/>
      <c r="T13" s="335"/>
      <c r="U13" s="180">
        <v>3240</v>
      </c>
      <c r="V13" s="336"/>
      <c r="W13" s="336"/>
      <c r="X13" s="336"/>
      <c r="Y13" s="234"/>
      <c r="Z13" s="4"/>
      <c r="AA13" s="4"/>
      <c r="AB13" s="4"/>
      <c r="AC13" s="4"/>
      <c r="AD13" s="4"/>
      <c r="AE13" s="4"/>
      <c r="AF13" s="4"/>
      <c r="AG13" s="4"/>
    </row>
    <row r="14" spans="1:33" ht="28" x14ac:dyDescent="0.3">
      <c r="A14" s="102" t="s">
        <v>39</v>
      </c>
      <c r="B14" s="31" t="s">
        <v>40</v>
      </c>
      <c r="C14" s="238" t="s">
        <v>36</v>
      </c>
      <c r="D14" s="238"/>
      <c r="E14" s="32">
        <v>13000</v>
      </c>
      <c r="F14" s="32"/>
      <c r="G14" s="32"/>
      <c r="H14" s="33"/>
      <c r="I14" s="235" t="s">
        <v>39</v>
      </c>
      <c r="J14" s="138" t="s">
        <v>41</v>
      </c>
      <c r="K14" s="451" t="s">
        <v>36</v>
      </c>
      <c r="L14" s="451"/>
      <c r="M14" s="180">
        <v>13000</v>
      </c>
      <c r="N14" s="352"/>
      <c r="O14" s="352"/>
      <c r="P14" s="352"/>
      <c r="Q14" s="180">
        <v>7800</v>
      </c>
      <c r="R14" s="335"/>
      <c r="S14" s="335"/>
      <c r="T14" s="335"/>
      <c r="U14" s="180">
        <v>5200</v>
      </c>
      <c r="V14" s="352"/>
      <c r="W14" s="352"/>
      <c r="X14" s="352"/>
      <c r="Y14" s="234"/>
      <c r="Z14" s="4"/>
      <c r="AA14" s="4"/>
      <c r="AB14" s="4"/>
      <c r="AC14" s="4"/>
      <c r="AD14" s="4"/>
      <c r="AE14" s="4"/>
      <c r="AF14" s="4"/>
      <c r="AG14" s="4"/>
    </row>
    <row r="15" spans="1:33" x14ac:dyDescent="0.35">
      <c r="A15" s="236">
        <v>31</v>
      </c>
      <c r="B15" s="348" t="s">
        <v>100</v>
      </c>
      <c r="C15" s="263"/>
      <c r="D15" s="263"/>
      <c r="E15" s="346"/>
      <c r="F15" s="346"/>
      <c r="G15" s="346"/>
      <c r="H15" s="347"/>
      <c r="I15" s="236">
        <v>31</v>
      </c>
      <c r="J15" s="348" t="s">
        <v>100</v>
      </c>
      <c r="K15" s="238"/>
      <c r="L15" s="263"/>
      <c r="M15" s="351"/>
      <c r="N15" s="351"/>
      <c r="O15" s="351"/>
      <c r="P15" s="351"/>
      <c r="Q15" s="351"/>
      <c r="R15" s="351"/>
      <c r="S15" s="351"/>
      <c r="T15" s="351"/>
      <c r="U15" s="351"/>
      <c r="V15" s="351"/>
      <c r="W15" s="351"/>
      <c r="X15" s="351"/>
      <c r="Y15" s="234"/>
      <c r="Z15" s="4"/>
      <c r="AA15" s="4"/>
      <c r="AB15" s="4"/>
      <c r="AC15" s="4"/>
      <c r="AD15" s="4"/>
      <c r="AE15" s="4"/>
      <c r="AF15" s="4"/>
      <c r="AG15" s="4"/>
    </row>
    <row r="16" spans="1:33" ht="56" x14ac:dyDescent="0.35">
      <c r="A16" s="219">
        <v>18</v>
      </c>
      <c r="B16" s="31" t="s">
        <v>118</v>
      </c>
      <c r="C16" s="238"/>
      <c r="D16" s="238"/>
      <c r="E16" s="240"/>
      <c r="F16" s="240"/>
      <c r="G16" s="240"/>
      <c r="H16" s="353"/>
      <c r="I16" s="238">
        <v>18</v>
      </c>
      <c r="J16" s="138" t="s">
        <v>119</v>
      </c>
      <c r="K16" s="238"/>
      <c r="L16" s="238"/>
      <c r="M16" s="334"/>
      <c r="N16" s="334"/>
      <c r="O16" s="334"/>
      <c r="P16" s="334"/>
      <c r="Q16" s="334"/>
      <c r="R16" s="334"/>
      <c r="S16" s="334"/>
      <c r="T16" s="334"/>
      <c r="U16" s="334"/>
      <c r="V16" s="334"/>
      <c r="W16" s="334"/>
      <c r="X16" s="334"/>
      <c r="Y16" s="234"/>
      <c r="Z16" s="4"/>
      <c r="AA16" s="4"/>
      <c r="AB16" s="4"/>
      <c r="AC16" s="4"/>
      <c r="AD16" s="4"/>
      <c r="AE16" s="4"/>
      <c r="AF16" s="4"/>
      <c r="AG16" s="4"/>
    </row>
    <row r="17" spans="1:33" ht="42" x14ac:dyDescent="0.35">
      <c r="A17" s="219" t="s">
        <v>121</v>
      </c>
      <c r="B17" s="354" t="s">
        <v>122</v>
      </c>
      <c r="C17" s="32" t="s">
        <v>123</v>
      </c>
      <c r="D17" s="32" t="s">
        <v>124</v>
      </c>
      <c r="E17" s="240">
        <v>4400</v>
      </c>
      <c r="F17" s="240">
        <v>1800</v>
      </c>
      <c r="G17" s="240">
        <v>1100</v>
      </c>
      <c r="H17" s="353">
        <v>600</v>
      </c>
      <c r="I17" s="235" t="s">
        <v>121</v>
      </c>
      <c r="J17" s="354" t="s">
        <v>122</v>
      </c>
      <c r="K17" s="32" t="s">
        <v>123</v>
      </c>
      <c r="L17" s="32" t="s">
        <v>125</v>
      </c>
      <c r="M17" s="339">
        <v>4400</v>
      </c>
      <c r="N17" s="339">
        <v>1800</v>
      </c>
      <c r="O17" s="339">
        <v>1100</v>
      </c>
      <c r="P17" s="339">
        <v>600</v>
      </c>
      <c r="Q17" s="339">
        <v>2600</v>
      </c>
      <c r="R17" s="339">
        <v>1100</v>
      </c>
      <c r="S17" s="339">
        <v>700</v>
      </c>
      <c r="T17" s="339">
        <v>400</v>
      </c>
      <c r="U17" s="339">
        <v>1800</v>
      </c>
      <c r="V17" s="339">
        <v>700</v>
      </c>
      <c r="W17" s="339">
        <v>400</v>
      </c>
      <c r="X17" s="339">
        <v>200</v>
      </c>
      <c r="Y17" s="234"/>
      <c r="Z17" s="4"/>
      <c r="AA17" s="4"/>
      <c r="AB17" s="4"/>
      <c r="AC17" s="4"/>
      <c r="AD17" s="4"/>
      <c r="AE17" s="4"/>
      <c r="AF17" s="4"/>
      <c r="AG17" s="4"/>
    </row>
    <row r="18" spans="1:33" ht="28" x14ac:dyDescent="0.35">
      <c r="A18" s="219" t="s">
        <v>127</v>
      </c>
      <c r="B18" s="354" t="s">
        <v>122</v>
      </c>
      <c r="C18" s="32" t="s">
        <v>128</v>
      </c>
      <c r="D18" s="32" t="s">
        <v>129</v>
      </c>
      <c r="E18" s="240">
        <v>5100</v>
      </c>
      <c r="F18" s="240">
        <v>2200</v>
      </c>
      <c r="G18" s="240">
        <v>1000</v>
      </c>
      <c r="H18" s="353">
        <v>600</v>
      </c>
      <c r="I18" s="235" t="s">
        <v>127</v>
      </c>
      <c r="J18" s="354" t="s">
        <v>122</v>
      </c>
      <c r="K18" s="32" t="s">
        <v>130</v>
      </c>
      <c r="L18" s="32" t="s">
        <v>129</v>
      </c>
      <c r="M18" s="339">
        <v>5100</v>
      </c>
      <c r="N18" s="339">
        <v>2200</v>
      </c>
      <c r="O18" s="339">
        <v>1000</v>
      </c>
      <c r="P18" s="339">
        <v>600</v>
      </c>
      <c r="Q18" s="339">
        <v>3100</v>
      </c>
      <c r="R18" s="339">
        <v>1300</v>
      </c>
      <c r="S18" s="339">
        <v>600</v>
      </c>
      <c r="T18" s="339">
        <v>400</v>
      </c>
      <c r="U18" s="339">
        <v>2000</v>
      </c>
      <c r="V18" s="339">
        <v>900</v>
      </c>
      <c r="W18" s="339">
        <v>400</v>
      </c>
      <c r="X18" s="339">
        <v>200</v>
      </c>
      <c r="Y18" s="234"/>
      <c r="Z18" s="4"/>
      <c r="AA18" s="4"/>
      <c r="AB18" s="4"/>
      <c r="AC18" s="4"/>
      <c r="AD18" s="4"/>
      <c r="AE18" s="4"/>
      <c r="AF18" s="4"/>
      <c r="AG18" s="4"/>
    </row>
    <row r="19" spans="1:33" x14ac:dyDescent="0.35">
      <c r="A19" s="236">
        <v>33</v>
      </c>
      <c r="B19" s="348" t="s">
        <v>142</v>
      </c>
      <c r="C19" s="263"/>
      <c r="D19" s="263"/>
      <c r="E19" s="346"/>
      <c r="F19" s="346"/>
      <c r="G19" s="346"/>
      <c r="H19" s="347"/>
      <c r="I19" s="236">
        <v>33</v>
      </c>
      <c r="J19" s="348" t="s">
        <v>142</v>
      </c>
      <c r="K19" s="263"/>
      <c r="L19" s="263"/>
      <c r="M19" s="351"/>
      <c r="N19" s="351"/>
      <c r="O19" s="351"/>
      <c r="P19" s="351"/>
      <c r="Q19" s="351"/>
      <c r="R19" s="351"/>
      <c r="S19" s="351"/>
      <c r="T19" s="351"/>
      <c r="U19" s="351"/>
      <c r="V19" s="351"/>
      <c r="W19" s="351"/>
      <c r="X19" s="351"/>
      <c r="Y19" s="234"/>
      <c r="Z19" s="4"/>
      <c r="AA19" s="4"/>
      <c r="AB19" s="4"/>
      <c r="AC19" s="4"/>
      <c r="AD19" s="4"/>
      <c r="AE19" s="4"/>
      <c r="AF19" s="4"/>
      <c r="AG19" s="4"/>
    </row>
    <row r="20" spans="1:33" ht="28" x14ac:dyDescent="0.35">
      <c r="A20" s="102" t="s">
        <v>143</v>
      </c>
      <c r="B20" s="31" t="s">
        <v>144</v>
      </c>
      <c r="C20" s="238" t="s">
        <v>145</v>
      </c>
      <c r="D20" s="32" t="s">
        <v>146</v>
      </c>
      <c r="E20" s="180">
        <v>8800</v>
      </c>
      <c r="F20" s="180">
        <v>3100</v>
      </c>
      <c r="G20" s="180">
        <v>1200</v>
      </c>
      <c r="H20" s="340">
        <v>900</v>
      </c>
      <c r="I20" s="102" t="s">
        <v>143</v>
      </c>
      <c r="J20" s="31" t="s">
        <v>147</v>
      </c>
      <c r="K20" s="238" t="s">
        <v>145</v>
      </c>
      <c r="L20" s="32" t="s">
        <v>146</v>
      </c>
      <c r="M20" s="339">
        <v>8800</v>
      </c>
      <c r="N20" s="339">
        <v>3100</v>
      </c>
      <c r="O20" s="339">
        <v>1200</v>
      </c>
      <c r="P20" s="339">
        <v>900</v>
      </c>
      <c r="Q20" s="339">
        <v>5300</v>
      </c>
      <c r="R20" s="339">
        <v>1900</v>
      </c>
      <c r="S20" s="339">
        <v>700</v>
      </c>
      <c r="T20" s="339">
        <v>500</v>
      </c>
      <c r="U20" s="339">
        <v>3500</v>
      </c>
      <c r="V20" s="339">
        <v>1200</v>
      </c>
      <c r="W20" s="339">
        <v>500</v>
      </c>
      <c r="X20" s="339">
        <v>400</v>
      </c>
      <c r="Y20" s="234"/>
      <c r="Z20" s="4"/>
      <c r="AA20" s="4"/>
      <c r="AB20" s="4"/>
      <c r="AC20" s="4"/>
      <c r="AD20" s="4"/>
      <c r="AE20" s="4"/>
      <c r="AF20" s="4"/>
      <c r="AG20" s="4"/>
    </row>
    <row r="21" spans="1:33" x14ac:dyDescent="0.35">
      <c r="A21" s="202">
        <v>35</v>
      </c>
      <c r="B21" s="355" t="s">
        <v>150</v>
      </c>
      <c r="C21" s="263"/>
      <c r="D21" s="263"/>
      <c r="E21" s="346"/>
      <c r="F21" s="346"/>
      <c r="G21" s="346"/>
      <c r="H21" s="347"/>
      <c r="I21" s="236">
        <v>35</v>
      </c>
      <c r="J21" s="348" t="s">
        <v>150</v>
      </c>
      <c r="K21" s="263"/>
      <c r="L21" s="263"/>
      <c r="M21" s="351"/>
      <c r="N21" s="351"/>
      <c r="O21" s="351"/>
      <c r="P21" s="351"/>
      <c r="Q21" s="351"/>
      <c r="R21" s="351"/>
      <c r="S21" s="351"/>
      <c r="T21" s="351"/>
      <c r="U21" s="351"/>
      <c r="V21" s="351"/>
      <c r="W21" s="351"/>
      <c r="X21" s="351"/>
      <c r="Y21" s="234"/>
      <c r="Z21" s="4"/>
      <c r="AA21" s="4"/>
      <c r="AB21" s="4"/>
      <c r="AC21" s="4"/>
      <c r="AD21" s="4"/>
      <c r="AE21" s="4"/>
      <c r="AF21" s="4"/>
      <c r="AG21" s="4"/>
    </row>
    <row r="22" spans="1:33" ht="42" x14ac:dyDescent="0.35">
      <c r="A22" s="202"/>
      <c r="B22" s="355"/>
      <c r="C22" s="263"/>
      <c r="D22" s="263"/>
      <c r="E22" s="346"/>
      <c r="F22" s="346"/>
      <c r="G22" s="346"/>
      <c r="H22" s="347"/>
      <c r="I22" s="238" t="s">
        <v>1108</v>
      </c>
      <c r="J22" s="138" t="s">
        <v>1107</v>
      </c>
      <c r="K22" s="469" t="s">
        <v>133</v>
      </c>
      <c r="L22" s="469"/>
      <c r="M22" s="180">
        <v>6800</v>
      </c>
      <c r="N22" s="180">
        <v>3800</v>
      </c>
      <c r="O22" s="180">
        <v>1800</v>
      </c>
      <c r="P22" s="180">
        <v>1000</v>
      </c>
      <c r="Q22" s="180">
        <v>4100</v>
      </c>
      <c r="R22" s="180">
        <v>2300</v>
      </c>
      <c r="S22" s="180">
        <v>1100</v>
      </c>
      <c r="T22" s="180">
        <v>600</v>
      </c>
      <c r="U22" s="180">
        <v>2700</v>
      </c>
      <c r="V22" s="180">
        <v>1500</v>
      </c>
      <c r="W22" s="180">
        <v>700</v>
      </c>
      <c r="X22" s="180">
        <v>400</v>
      </c>
      <c r="Y22" s="234"/>
      <c r="Z22" s="4"/>
      <c r="AA22" s="4"/>
      <c r="AB22" s="4"/>
      <c r="AC22" s="4"/>
      <c r="AD22" s="4"/>
      <c r="AE22" s="4"/>
      <c r="AF22" s="4"/>
      <c r="AG22" s="4"/>
    </row>
    <row r="23" spans="1:33" x14ac:dyDescent="0.35">
      <c r="A23" s="202">
        <v>37</v>
      </c>
      <c r="B23" s="355" t="s">
        <v>152</v>
      </c>
      <c r="C23" s="263"/>
      <c r="D23" s="263"/>
      <c r="E23" s="346"/>
      <c r="F23" s="346"/>
      <c r="G23" s="346"/>
      <c r="H23" s="347"/>
      <c r="I23" s="236">
        <v>37</v>
      </c>
      <c r="J23" s="348" t="s">
        <v>152</v>
      </c>
      <c r="K23" s="263"/>
      <c r="L23" s="263"/>
      <c r="M23" s="351"/>
      <c r="N23" s="351"/>
      <c r="O23" s="351"/>
      <c r="P23" s="351"/>
      <c r="Q23" s="351"/>
      <c r="R23" s="351"/>
      <c r="S23" s="351"/>
      <c r="T23" s="351"/>
      <c r="U23" s="351"/>
      <c r="V23" s="351"/>
      <c r="W23" s="351"/>
      <c r="X23" s="351"/>
      <c r="Y23" s="234"/>
      <c r="Z23" s="4"/>
      <c r="AA23" s="4"/>
      <c r="AB23" s="4"/>
      <c r="AC23" s="4"/>
      <c r="AD23" s="4"/>
      <c r="AE23" s="4"/>
      <c r="AF23" s="4"/>
      <c r="AG23" s="4"/>
    </row>
    <row r="24" spans="1:33" x14ac:dyDescent="0.35">
      <c r="A24" s="102" t="s">
        <v>178</v>
      </c>
      <c r="B24" s="31" t="s">
        <v>179</v>
      </c>
      <c r="C24" s="238" t="s">
        <v>180</v>
      </c>
      <c r="D24" s="238" t="s">
        <v>181</v>
      </c>
      <c r="E24" s="32">
        <v>14000</v>
      </c>
      <c r="F24" s="32">
        <v>4000</v>
      </c>
      <c r="G24" s="32">
        <v>1600</v>
      </c>
      <c r="H24" s="33">
        <v>1000</v>
      </c>
      <c r="I24" s="102" t="s">
        <v>178</v>
      </c>
      <c r="J24" s="31" t="s">
        <v>179</v>
      </c>
      <c r="K24" s="238" t="s">
        <v>180</v>
      </c>
      <c r="L24" s="238" t="s">
        <v>182</v>
      </c>
      <c r="M24" s="339">
        <v>14000</v>
      </c>
      <c r="N24" s="339">
        <v>4000</v>
      </c>
      <c r="O24" s="339">
        <v>1600</v>
      </c>
      <c r="P24" s="339">
        <v>1000</v>
      </c>
      <c r="Q24" s="339">
        <v>8400</v>
      </c>
      <c r="R24" s="339">
        <v>2400</v>
      </c>
      <c r="S24" s="339">
        <v>960</v>
      </c>
      <c r="T24" s="339">
        <v>600</v>
      </c>
      <c r="U24" s="339">
        <v>5600</v>
      </c>
      <c r="V24" s="339">
        <v>1600</v>
      </c>
      <c r="W24" s="339">
        <v>640</v>
      </c>
      <c r="X24" s="339">
        <v>400</v>
      </c>
      <c r="Y24" s="234"/>
      <c r="Z24" s="4"/>
      <c r="AA24" s="4"/>
      <c r="AB24" s="4"/>
      <c r="AC24" s="4"/>
      <c r="AD24" s="4"/>
      <c r="AE24" s="4"/>
      <c r="AF24" s="4"/>
      <c r="AG24" s="4"/>
    </row>
    <row r="25" spans="1:33" x14ac:dyDescent="0.35">
      <c r="A25" s="202">
        <v>40</v>
      </c>
      <c r="B25" s="355" t="s">
        <v>224</v>
      </c>
      <c r="C25" s="263"/>
      <c r="D25" s="263"/>
      <c r="E25" s="346"/>
      <c r="F25" s="346"/>
      <c r="G25" s="346"/>
      <c r="H25" s="347"/>
      <c r="I25" s="236">
        <v>40</v>
      </c>
      <c r="J25" s="348" t="s">
        <v>224</v>
      </c>
      <c r="K25" s="263"/>
      <c r="L25" s="263"/>
      <c r="M25" s="351"/>
      <c r="N25" s="351"/>
      <c r="O25" s="351"/>
      <c r="P25" s="351"/>
      <c r="Q25" s="351"/>
      <c r="R25" s="351"/>
      <c r="S25" s="351"/>
      <c r="T25" s="351"/>
      <c r="U25" s="351"/>
      <c r="V25" s="351"/>
      <c r="W25" s="351"/>
      <c r="X25" s="351"/>
      <c r="Y25" s="234"/>
      <c r="Z25" s="4"/>
      <c r="AA25" s="4"/>
      <c r="AB25" s="4"/>
      <c r="AC25" s="4"/>
      <c r="AD25" s="4"/>
      <c r="AE25" s="4"/>
      <c r="AF25" s="4"/>
      <c r="AG25" s="4"/>
    </row>
    <row r="26" spans="1:33" ht="42" x14ac:dyDescent="0.35">
      <c r="A26" s="356" t="str">
        <f>I26</f>
        <v>1.8</v>
      </c>
      <c r="B26" s="31" t="s">
        <v>225</v>
      </c>
      <c r="C26" s="238" t="s">
        <v>226</v>
      </c>
      <c r="D26" s="238" t="s">
        <v>227</v>
      </c>
      <c r="E26" s="240">
        <v>19300</v>
      </c>
      <c r="F26" s="240">
        <v>6600</v>
      </c>
      <c r="G26" s="240">
        <v>2500</v>
      </c>
      <c r="H26" s="353">
        <v>1600</v>
      </c>
      <c r="I26" s="356" t="s">
        <v>762</v>
      </c>
      <c r="J26" s="357" t="s">
        <v>225</v>
      </c>
      <c r="K26" s="358" t="s">
        <v>226</v>
      </c>
      <c r="L26" s="358" t="s">
        <v>228</v>
      </c>
      <c r="M26" s="334">
        <v>19300</v>
      </c>
      <c r="N26" s="334">
        <v>6600</v>
      </c>
      <c r="O26" s="334">
        <v>2500</v>
      </c>
      <c r="P26" s="334">
        <v>1600</v>
      </c>
      <c r="Q26" s="339">
        <v>11580</v>
      </c>
      <c r="R26" s="339">
        <v>3960</v>
      </c>
      <c r="S26" s="339">
        <v>1500</v>
      </c>
      <c r="T26" s="339">
        <v>960</v>
      </c>
      <c r="U26" s="339">
        <v>7720</v>
      </c>
      <c r="V26" s="339">
        <v>2640</v>
      </c>
      <c r="W26" s="339">
        <v>1000</v>
      </c>
      <c r="X26" s="339">
        <v>640</v>
      </c>
      <c r="Y26" s="234"/>
      <c r="Z26" s="4"/>
      <c r="AA26" s="4"/>
      <c r="AB26" s="4"/>
      <c r="AC26" s="4"/>
      <c r="AD26" s="4"/>
      <c r="AE26" s="4"/>
      <c r="AF26" s="4"/>
      <c r="AG26" s="4"/>
    </row>
    <row r="27" spans="1:33" ht="42" x14ac:dyDescent="0.35">
      <c r="A27" s="356" t="str">
        <f t="shared" ref="A27:A50" si="0">I27</f>
        <v>1.9</v>
      </c>
      <c r="B27" s="31" t="s">
        <v>225</v>
      </c>
      <c r="C27" s="238" t="s">
        <v>227</v>
      </c>
      <c r="D27" s="238" t="s">
        <v>230</v>
      </c>
      <c r="E27" s="240">
        <v>24000</v>
      </c>
      <c r="F27" s="240">
        <v>8100</v>
      </c>
      <c r="G27" s="240">
        <v>3300</v>
      </c>
      <c r="H27" s="353">
        <v>1600</v>
      </c>
      <c r="I27" s="356" t="s">
        <v>1111</v>
      </c>
      <c r="J27" s="357" t="s">
        <v>225</v>
      </c>
      <c r="K27" s="358" t="s">
        <v>228</v>
      </c>
      <c r="L27" s="358" t="s">
        <v>230</v>
      </c>
      <c r="M27" s="334">
        <v>24000</v>
      </c>
      <c r="N27" s="334">
        <v>8100</v>
      </c>
      <c r="O27" s="334">
        <v>3300</v>
      </c>
      <c r="P27" s="334">
        <v>1600</v>
      </c>
      <c r="Q27" s="339">
        <v>14400</v>
      </c>
      <c r="R27" s="339">
        <v>4860</v>
      </c>
      <c r="S27" s="339">
        <v>1980</v>
      </c>
      <c r="T27" s="339">
        <v>960</v>
      </c>
      <c r="U27" s="339">
        <v>9600</v>
      </c>
      <c r="V27" s="339">
        <v>3240</v>
      </c>
      <c r="W27" s="339">
        <v>1320</v>
      </c>
      <c r="X27" s="339">
        <v>640</v>
      </c>
      <c r="Y27" s="234"/>
      <c r="Z27" s="4"/>
      <c r="AA27" s="4"/>
      <c r="AB27" s="4"/>
      <c r="AC27" s="4"/>
      <c r="AD27" s="4"/>
      <c r="AE27" s="4"/>
      <c r="AF27" s="4"/>
      <c r="AG27" s="4"/>
    </row>
    <row r="28" spans="1:33" ht="42" x14ac:dyDescent="0.35">
      <c r="A28" s="359" t="str">
        <f t="shared" si="0"/>
        <v>1.1</v>
      </c>
      <c r="B28" s="31" t="s">
        <v>225</v>
      </c>
      <c r="C28" s="238" t="s">
        <v>231</v>
      </c>
      <c r="D28" s="238" t="s">
        <v>232</v>
      </c>
      <c r="E28" s="265">
        <v>19600</v>
      </c>
      <c r="F28" s="265">
        <v>6300</v>
      </c>
      <c r="G28" s="265">
        <v>2300</v>
      </c>
      <c r="H28" s="360">
        <v>1600</v>
      </c>
      <c r="I28" s="359" t="s">
        <v>805</v>
      </c>
      <c r="J28" s="357" t="s">
        <v>225</v>
      </c>
      <c r="K28" s="358" t="s">
        <v>233</v>
      </c>
      <c r="L28" s="358" t="s">
        <v>234</v>
      </c>
      <c r="M28" s="339">
        <v>19600</v>
      </c>
      <c r="N28" s="339">
        <v>6300</v>
      </c>
      <c r="O28" s="339">
        <v>2300</v>
      </c>
      <c r="P28" s="339">
        <v>1600</v>
      </c>
      <c r="Q28" s="339">
        <v>11760</v>
      </c>
      <c r="R28" s="339">
        <v>3780</v>
      </c>
      <c r="S28" s="339">
        <v>1380</v>
      </c>
      <c r="T28" s="339">
        <v>960</v>
      </c>
      <c r="U28" s="339">
        <v>7840</v>
      </c>
      <c r="V28" s="339">
        <v>2520</v>
      </c>
      <c r="W28" s="339">
        <v>920</v>
      </c>
      <c r="X28" s="339">
        <v>640</v>
      </c>
      <c r="Y28" s="234"/>
      <c r="Z28" s="4"/>
      <c r="AA28" s="4"/>
      <c r="AB28" s="4"/>
      <c r="AC28" s="4"/>
      <c r="AD28" s="4"/>
      <c r="AE28" s="4"/>
      <c r="AF28" s="4"/>
      <c r="AG28" s="4"/>
    </row>
    <row r="29" spans="1:33" ht="42" x14ac:dyDescent="0.35">
      <c r="A29" s="356" t="str">
        <f t="shared" si="0"/>
        <v>3.1</v>
      </c>
      <c r="B29" s="31" t="s">
        <v>235</v>
      </c>
      <c r="C29" s="238" t="s">
        <v>225</v>
      </c>
      <c r="D29" s="238" t="s">
        <v>236</v>
      </c>
      <c r="E29" s="240">
        <v>31900</v>
      </c>
      <c r="F29" s="240">
        <v>13400</v>
      </c>
      <c r="G29" s="240">
        <v>5500</v>
      </c>
      <c r="H29" s="353">
        <v>2500</v>
      </c>
      <c r="I29" s="361" t="s">
        <v>892</v>
      </c>
      <c r="J29" s="362" t="str">
        <f t="shared" ref="J29:J30" si="1">B29</f>
        <v>Đường Bãi Muối</v>
      </c>
      <c r="K29" s="358" t="str">
        <f>C29</f>
        <v>Đường 336</v>
      </c>
      <c r="L29" s="358" t="s">
        <v>237</v>
      </c>
      <c r="M29" s="334">
        <v>31900</v>
      </c>
      <c r="N29" s="334">
        <v>13400</v>
      </c>
      <c r="O29" s="334">
        <v>5500</v>
      </c>
      <c r="P29" s="334">
        <v>2500</v>
      </c>
      <c r="Q29" s="339">
        <v>19140</v>
      </c>
      <c r="R29" s="339">
        <v>8040</v>
      </c>
      <c r="S29" s="339">
        <v>3300</v>
      </c>
      <c r="T29" s="339">
        <v>1500</v>
      </c>
      <c r="U29" s="339">
        <v>12760</v>
      </c>
      <c r="V29" s="339">
        <v>5360</v>
      </c>
      <c r="W29" s="339">
        <v>2200</v>
      </c>
      <c r="X29" s="339">
        <v>1000</v>
      </c>
      <c r="Y29" s="234"/>
      <c r="Z29" s="4"/>
      <c r="AA29" s="4"/>
      <c r="AB29" s="4"/>
      <c r="AC29" s="4"/>
      <c r="AD29" s="4"/>
      <c r="AE29" s="4"/>
      <c r="AF29" s="4"/>
      <c r="AG29" s="4"/>
    </row>
    <row r="30" spans="1:33" ht="42" x14ac:dyDescent="0.35">
      <c r="A30" s="356" t="str">
        <f t="shared" si="0"/>
        <v>3.2</v>
      </c>
      <c r="B30" s="31" t="s">
        <v>235</v>
      </c>
      <c r="C30" s="238" t="s">
        <v>236</v>
      </c>
      <c r="D30" s="238" t="s">
        <v>238</v>
      </c>
      <c r="E30" s="240">
        <v>16400</v>
      </c>
      <c r="F30" s="240">
        <v>5600</v>
      </c>
      <c r="G30" s="240">
        <v>2300</v>
      </c>
      <c r="H30" s="353">
        <v>2000</v>
      </c>
      <c r="I30" s="361" t="s">
        <v>893</v>
      </c>
      <c r="J30" s="362" t="str">
        <f t="shared" si="1"/>
        <v>Đường Bãi Muối</v>
      </c>
      <c r="K30" s="358" t="s">
        <v>239</v>
      </c>
      <c r="L30" s="358" t="s">
        <v>240</v>
      </c>
      <c r="M30" s="334">
        <v>16400</v>
      </c>
      <c r="N30" s="334">
        <v>5600</v>
      </c>
      <c r="O30" s="334">
        <v>2300</v>
      </c>
      <c r="P30" s="334">
        <v>2000</v>
      </c>
      <c r="Q30" s="339">
        <v>9840</v>
      </c>
      <c r="R30" s="339">
        <v>3360</v>
      </c>
      <c r="S30" s="339">
        <v>1380</v>
      </c>
      <c r="T30" s="339">
        <v>1200</v>
      </c>
      <c r="U30" s="339">
        <v>6560</v>
      </c>
      <c r="V30" s="339">
        <v>2240</v>
      </c>
      <c r="W30" s="339">
        <v>920</v>
      </c>
      <c r="X30" s="339">
        <v>800</v>
      </c>
      <c r="Y30" s="234"/>
      <c r="Z30" s="4"/>
      <c r="AA30" s="4"/>
      <c r="AB30" s="4"/>
      <c r="AC30" s="4"/>
      <c r="AD30" s="4"/>
      <c r="AE30" s="4"/>
      <c r="AF30" s="4"/>
      <c r="AG30" s="4"/>
    </row>
    <row r="31" spans="1:33" ht="56" x14ac:dyDescent="0.35">
      <c r="A31" s="356" t="str">
        <f t="shared" si="0"/>
        <v>3.3</v>
      </c>
      <c r="B31" s="31" t="s">
        <v>235</v>
      </c>
      <c r="C31" s="238" t="s">
        <v>236</v>
      </c>
      <c r="D31" s="238" t="s">
        <v>241</v>
      </c>
      <c r="E31" s="240">
        <v>23900</v>
      </c>
      <c r="F31" s="240">
        <v>7900</v>
      </c>
      <c r="G31" s="240">
        <v>2800</v>
      </c>
      <c r="H31" s="353">
        <v>2500</v>
      </c>
      <c r="I31" s="356" t="s">
        <v>894</v>
      </c>
      <c r="J31" s="362" t="str">
        <f>B32</f>
        <v>Đường Bãi Muối</v>
      </c>
      <c r="K31" s="358" t="s">
        <v>242</v>
      </c>
      <c r="L31" s="358" t="s">
        <v>243</v>
      </c>
      <c r="M31" s="334">
        <v>23900</v>
      </c>
      <c r="N31" s="334">
        <v>7900</v>
      </c>
      <c r="O31" s="334">
        <v>2800</v>
      </c>
      <c r="P31" s="334">
        <v>2500</v>
      </c>
      <c r="Q31" s="339">
        <v>14340</v>
      </c>
      <c r="R31" s="339">
        <v>4740</v>
      </c>
      <c r="S31" s="339">
        <v>1680</v>
      </c>
      <c r="T31" s="339">
        <v>1500</v>
      </c>
      <c r="U31" s="339">
        <v>9560</v>
      </c>
      <c r="V31" s="339">
        <v>3160</v>
      </c>
      <c r="W31" s="339">
        <v>1120</v>
      </c>
      <c r="X31" s="339">
        <v>1000</v>
      </c>
      <c r="Y31" s="234"/>
      <c r="Z31" s="4"/>
      <c r="AA31" s="4"/>
      <c r="AB31" s="4"/>
      <c r="AC31" s="4"/>
      <c r="AD31" s="4"/>
      <c r="AE31" s="4"/>
      <c r="AF31" s="4"/>
      <c r="AG31" s="4"/>
    </row>
    <row r="32" spans="1:33" ht="28" x14ac:dyDescent="0.35">
      <c r="A32" s="356" t="str">
        <f t="shared" si="0"/>
        <v>3.4</v>
      </c>
      <c r="B32" s="31" t="s">
        <v>235</v>
      </c>
      <c r="C32" s="238" t="s">
        <v>244</v>
      </c>
      <c r="D32" s="238" t="s">
        <v>245</v>
      </c>
      <c r="E32" s="240">
        <v>16800</v>
      </c>
      <c r="F32" s="240">
        <v>7900</v>
      </c>
      <c r="G32" s="240">
        <v>2800</v>
      </c>
      <c r="H32" s="353">
        <v>2500</v>
      </c>
      <c r="I32" s="356" t="s">
        <v>1112</v>
      </c>
      <c r="J32" s="31" t="s">
        <v>248</v>
      </c>
      <c r="K32" s="358" t="s">
        <v>246</v>
      </c>
      <c r="L32" s="358" t="s">
        <v>247</v>
      </c>
      <c r="M32" s="334">
        <v>16800</v>
      </c>
      <c r="N32" s="334">
        <v>7900</v>
      </c>
      <c r="O32" s="334">
        <v>2800</v>
      </c>
      <c r="P32" s="334">
        <v>2500</v>
      </c>
      <c r="Q32" s="339">
        <v>10080</v>
      </c>
      <c r="R32" s="339">
        <v>4740</v>
      </c>
      <c r="S32" s="339">
        <v>1680</v>
      </c>
      <c r="T32" s="339">
        <v>1500</v>
      </c>
      <c r="U32" s="339">
        <v>6720</v>
      </c>
      <c r="V32" s="339">
        <v>3160</v>
      </c>
      <c r="W32" s="339">
        <v>1120</v>
      </c>
      <c r="X32" s="339">
        <v>1000</v>
      </c>
      <c r="Y32" s="234"/>
      <c r="Z32" s="4"/>
      <c r="AA32" s="4"/>
      <c r="AB32" s="4"/>
      <c r="AC32" s="4"/>
      <c r="AD32" s="4"/>
      <c r="AE32" s="4"/>
      <c r="AF32" s="4"/>
      <c r="AG32" s="4"/>
    </row>
    <row r="33" spans="1:33" ht="28" x14ac:dyDescent="0.35">
      <c r="A33" s="356" t="str">
        <f t="shared" si="0"/>
        <v>4.1</v>
      </c>
      <c r="B33" s="31" t="s">
        <v>249</v>
      </c>
      <c r="C33" s="238" t="s">
        <v>225</v>
      </c>
      <c r="D33" s="238" t="s">
        <v>250</v>
      </c>
      <c r="E33" s="240">
        <v>26300</v>
      </c>
      <c r="F33" s="240">
        <v>6600</v>
      </c>
      <c r="G33" s="240">
        <v>3500</v>
      </c>
      <c r="H33" s="353">
        <v>2500</v>
      </c>
      <c r="I33" s="356" t="s">
        <v>745</v>
      </c>
      <c r="J33" s="362" t="s">
        <v>248</v>
      </c>
      <c r="K33" s="358" t="s">
        <v>225</v>
      </c>
      <c r="L33" s="358" t="s">
        <v>251</v>
      </c>
      <c r="M33" s="334">
        <v>26300</v>
      </c>
      <c r="N33" s="334">
        <v>6600</v>
      </c>
      <c r="O33" s="334">
        <v>3500</v>
      </c>
      <c r="P33" s="334">
        <v>2500</v>
      </c>
      <c r="Q33" s="339">
        <v>15780</v>
      </c>
      <c r="R33" s="339">
        <v>3960</v>
      </c>
      <c r="S33" s="339">
        <v>2100</v>
      </c>
      <c r="T33" s="339">
        <v>1500</v>
      </c>
      <c r="U33" s="339">
        <v>10520</v>
      </c>
      <c r="V33" s="339">
        <v>2640</v>
      </c>
      <c r="W33" s="339">
        <v>1400</v>
      </c>
      <c r="X33" s="339">
        <v>1000</v>
      </c>
      <c r="Y33" s="234"/>
      <c r="Z33" s="4"/>
      <c r="AA33" s="4"/>
      <c r="AB33" s="4"/>
      <c r="AC33" s="4"/>
      <c r="AD33" s="4"/>
      <c r="AE33" s="4"/>
      <c r="AF33" s="4"/>
      <c r="AG33" s="4"/>
    </row>
    <row r="34" spans="1:33" ht="28" x14ac:dyDescent="0.35">
      <c r="A34" s="356" t="str">
        <f t="shared" si="0"/>
        <v>4.2</v>
      </c>
      <c r="B34" s="31" t="s">
        <v>249</v>
      </c>
      <c r="C34" s="238" t="s">
        <v>250</v>
      </c>
      <c r="D34" s="238" t="s">
        <v>252</v>
      </c>
      <c r="E34" s="240">
        <v>15100</v>
      </c>
      <c r="F34" s="240">
        <v>5000</v>
      </c>
      <c r="G34" s="240">
        <v>2300</v>
      </c>
      <c r="H34" s="353">
        <v>2000</v>
      </c>
      <c r="I34" s="356" t="s">
        <v>561</v>
      </c>
      <c r="J34" s="362" t="s">
        <v>248</v>
      </c>
      <c r="K34" s="358" t="s">
        <v>251</v>
      </c>
      <c r="L34" s="358" t="s">
        <v>252</v>
      </c>
      <c r="M34" s="334">
        <v>15100</v>
      </c>
      <c r="N34" s="334">
        <v>5000</v>
      </c>
      <c r="O34" s="334">
        <v>2300</v>
      </c>
      <c r="P34" s="334">
        <v>2000</v>
      </c>
      <c r="Q34" s="339">
        <v>9060</v>
      </c>
      <c r="R34" s="339">
        <v>3000</v>
      </c>
      <c r="S34" s="339">
        <v>1380</v>
      </c>
      <c r="T34" s="339">
        <v>1200</v>
      </c>
      <c r="U34" s="339">
        <v>6040</v>
      </c>
      <c r="V34" s="339">
        <v>2000</v>
      </c>
      <c r="W34" s="339">
        <v>920</v>
      </c>
      <c r="X34" s="339">
        <v>800</v>
      </c>
      <c r="Y34" s="234"/>
      <c r="Z34" s="4"/>
      <c r="AA34" s="4"/>
      <c r="AB34" s="4"/>
      <c r="AC34" s="4"/>
      <c r="AD34" s="4"/>
      <c r="AE34" s="4"/>
      <c r="AF34" s="4"/>
      <c r="AG34" s="4"/>
    </row>
    <row r="35" spans="1:33" ht="28" x14ac:dyDescent="0.35">
      <c r="A35" s="356">
        <f t="shared" si="0"/>
        <v>7</v>
      </c>
      <c r="B35" s="31" t="s">
        <v>253</v>
      </c>
      <c r="C35" s="238" t="s">
        <v>254</v>
      </c>
      <c r="D35" s="238" t="s">
        <v>255</v>
      </c>
      <c r="E35" s="240">
        <v>12500</v>
      </c>
      <c r="F35" s="240">
        <v>5600</v>
      </c>
      <c r="G35" s="240">
        <v>2300</v>
      </c>
      <c r="H35" s="353">
        <v>1600</v>
      </c>
      <c r="I35" s="363">
        <v>7</v>
      </c>
      <c r="J35" s="364" t="str">
        <f>B35</f>
        <v>Đường vào trường 5/8</v>
      </c>
      <c r="K35" s="358" t="s">
        <v>256</v>
      </c>
      <c r="L35" s="358" t="s">
        <v>255</v>
      </c>
      <c r="M35" s="334">
        <v>12500</v>
      </c>
      <c r="N35" s="334">
        <v>5600</v>
      </c>
      <c r="O35" s="334">
        <v>2300</v>
      </c>
      <c r="P35" s="334">
        <v>1600</v>
      </c>
      <c r="Q35" s="339">
        <v>7920</v>
      </c>
      <c r="R35" s="339">
        <v>3360</v>
      </c>
      <c r="S35" s="339">
        <v>1380</v>
      </c>
      <c r="T35" s="339">
        <v>1040</v>
      </c>
      <c r="U35" s="339">
        <v>5940</v>
      </c>
      <c r="V35" s="339">
        <v>2400</v>
      </c>
      <c r="W35" s="339">
        <v>1020</v>
      </c>
      <c r="X35" s="339">
        <v>780</v>
      </c>
      <c r="Y35" s="234"/>
      <c r="Z35" s="4"/>
      <c r="AA35" s="4"/>
      <c r="AB35" s="4"/>
      <c r="AC35" s="4"/>
      <c r="AD35" s="4"/>
      <c r="AE35" s="4"/>
      <c r="AF35" s="4"/>
      <c r="AG35" s="4"/>
    </row>
    <row r="36" spans="1:33" ht="56" x14ac:dyDescent="0.35">
      <c r="A36" s="356">
        <f t="shared" si="0"/>
        <v>8</v>
      </c>
      <c r="B36" s="31" t="s">
        <v>257</v>
      </c>
      <c r="C36" s="238" t="s">
        <v>225</v>
      </c>
      <c r="D36" s="238" t="s">
        <v>258</v>
      </c>
      <c r="E36" s="240">
        <v>16800</v>
      </c>
      <c r="F36" s="240">
        <v>5000</v>
      </c>
      <c r="G36" s="240">
        <v>2300</v>
      </c>
      <c r="H36" s="353">
        <v>2000</v>
      </c>
      <c r="I36" s="363">
        <v>8</v>
      </c>
      <c r="J36" s="364" t="str">
        <f>B36</f>
        <v>Đường ngõ 13 (Đường lên đồi tạp phẩm cũ)</v>
      </c>
      <c r="K36" s="358" t="str">
        <f>C36</f>
        <v>Đường 336</v>
      </c>
      <c r="L36" s="358" t="s">
        <v>259</v>
      </c>
      <c r="M36" s="334">
        <v>16800</v>
      </c>
      <c r="N36" s="334">
        <v>5000</v>
      </c>
      <c r="O36" s="334">
        <v>2300</v>
      </c>
      <c r="P36" s="334">
        <v>2000</v>
      </c>
      <c r="Q36" s="339">
        <v>10080</v>
      </c>
      <c r="R36" s="339">
        <v>3000</v>
      </c>
      <c r="S36" s="339">
        <v>1380</v>
      </c>
      <c r="T36" s="339">
        <v>1200</v>
      </c>
      <c r="U36" s="339">
        <v>6720</v>
      </c>
      <c r="V36" s="339">
        <v>2000</v>
      </c>
      <c r="W36" s="339">
        <v>920</v>
      </c>
      <c r="X36" s="339">
        <v>800</v>
      </c>
      <c r="Y36" s="234"/>
      <c r="Z36" s="4"/>
      <c r="AA36" s="4"/>
      <c r="AB36" s="4"/>
      <c r="AC36" s="4"/>
      <c r="AD36" s="4"/>
      <c r="AE36" s="4"/>
      <c r="AF36" s="4"/>
      <c r="AG36" s="4"/>
    </row>
    <row r="37" spans="1:33" ht="28" x14ac:dyDescent="0.35">
      <c r="A37" s="356">
        <f t="shared" si="0"/>
        <v>9</v>
      </c>
      <c r="B37" s="31" t="s">
        <v>260</v>
      </c>
      <c r="C37" s="238" t="s">
        <v>225</v>
      </c>
      <c r="D37" s="238" t="s">
        <v>261</v>
      </c>
      <c r="E37" s="240">
        <v>15300</v>
      </c>
      <c r="F37" s="240">
        <v>5500</v>
      </c>
      <c r="G37" s="240">
        <v>2300</v>
      </c>
      <c r="H37" s="353">
        <v>2000</v>
      </c>
      <c r="I37" s="363">
        <v>9</v>
      </c>
      <c r="J37" s="364" t="str">
        <f>B37</f>
        <v>Đường ngõ 17 (Đường vào đập nước cũ)</v>
      </c>
      <c r="K37" s="358" t="str">
        <f>C37</f>
        <v>Đường 336</v>
      </c>
      <c r="L37" s="358" t="s">
        <v>262</v>
      </c>
      <c r="M37" s="334">
        <v>15300</v>
      </c>
      <c r="N37" s="334">
        <v>5500</v>
      </c>
      <c r="O37" s="334">
        <v>2300</v>
      </c>
      <c r="P37" s="334">
        <v>2000</v>
      </c>
      <c r="Q37" s="339">
        <v>9180</v>
      </c>
      <c r="R37" s="339">
        <v>3300</v>
      </c>
      <c r="S37" s="339">
        <v>1380</v>
      </c>
      <c r="T37" s="339">
        <v>1200</v>
      </c>
      <c r="U37" s="339">
        <v>6120</v>
      </c>
      <c r="V37" s="339">
        <v>2200</v>
      </c>
      <c r="W37" s="339">
        <v>920</v>
      </c>
      <c r="X37" s="339">
        <v>800</v>
      </c>
      <c r="Y37" s="234"/>
      <c r="Z37" s="4"/>
      <c r="AA37" s="4"/>
      <c r="AB37" s="4"/>
      <c r="AC37" s="4"/>
      <c r="AD37" s="4"/>
      <c r="AE37" s="4"/>
      <c r="AF37" s="4"/>
      <c r="AG37" s="4"/>
    </row>
    <row r="38" spans="1:33" ht="42" x14ac:dyDescent="0.35">
      <c r="A38" s="356">
        <f t="shared" si="0"/>
        <v>10</v>
      </c>
      <c r="B38" s="31" t="s">
        <v>263</v>
      </c>
      <c r="C38" s="238" t="s">
        <v>225</v>
      </c>
      <c r="D38" s="238" t="s">
        <v>264</v>
      </c>
      <c r="E38" s="240">
        <v>15300</v>
      </c>
      <c r="F38" s="240">
        <v>5000</v>
      </c>
      <c r="G38" s="240">
        <v>2300</v>
      </c>
      <c r="H38" s="353">
        <v>2000</v>
      </c>
      <c r="I38" s="363">
        <v>10</v>
      </c>
      <c r="J38" s="364" t="str">
        <f>B38</f>
        <v>Đường ngõ 18</v>
      </c>
      <c r="K38" s="358" t="str">
        <f>C38</f>
        <v>Đường 336</v>
      </c>
      <c r="L38" s="358" t="s">
        <v>265</v>
      </c>
      <c r="M38" s="334">
        <v>15300</v>
      </c>
      <c r="N38" s="334">
        <v>5000</v>
      </c>
      <c r="O38" s="334">
        <v>2300</v>
      </c>
      <c r="P38" s="334">
        <v>2000</v>
      </c>
      <c r="Q38" s="339">
        <v>9180</v>
      </c>
      <c r="R38" s="339">
        <v>3000</v>
      </c>
      <c r="S38" s="339">
        <v>1380</v>
      </c>
      <c r="T38" s="339">
        <v>1200</v>
      </c>
      <c r="U38" s="339">
        <v>6120</v>
      </c>
      <c r="V38" s="339">
        <v>2000</v>
      </c>
      <c r="W38" s="339">
        <v>920</v>
      </c>
      <c r="X38" s="339">
        <v>800</v>
      </c>
      <c r="Y38" s="234"/>
      <c r="Z38" s="4"/>
      <c r="AA38" s="4"/>
      <c r="AB38" s="4"/>
      <c r="AC38" s="4"/>
      <c r="AD38" s="4"/>
      <c r="AE38" s="4"/>
      <c r="AF38" s="4"/>
      <c r="AG38" s="4"/>
    </row>
    <row r="39" spans="1:33" ht="56" x14ac:dyDescent="0.35">
      <c r="A39" s="356">
        <f t="shared" si="0"/>
        <v>16</v>
      </c>
      <c r="B39" s="31" t="s">
        <v>266</v>
      </c>
      <c r="C39" s="238" t="s">
        <v>36</v>
      </c>
      <c r="D39" s="238"/>
      <c r="E39" s="240">
        <v>21000</v>
      </c>
      <c r="F39" s="240"/>
      <c r="G39" s="240"/>
      <c r="H39" s="353"/>
      <c r="I39" s="363">
        <v>16</v>
      </c>
      <c r="J39" s="364" t="s">
        <v>1067</v>
      </c>
      <c r="K39" s="238"/>
      <c r="L39" s="238"/>
      <c r="M39" s="334">
        <v>21000</v>
      </c>
      <c r="N39" s="334"/>
      <c r="O39" s="334"/>
      <c r="P39" s="334"/>
      <c r="Q39" s="339">
        <v>12600</v>
      </c>
      <c r="R39" s="339"/>
      <c r="S39" s="339"/>
      <c r="T39" s="339"/>
      <c r="U39" s="339">
        <v>8400</v>
      </c>
      <c r="V39" s="339"/>
      <c r="W39" s="339"/>
      <c r="X39" s="339"/>
      <c r="Y39" s="234"/>
      <c r="Z39" s="4"/>
      <c r="AA39" s="4"/>
      <c r="AB39" s="4"/>
      <c r="AC39" s="4"/>
      <c r="AD39" s="4"/>
      <c r="AE39" s="4"/>
      <c r="AF39" s="4"/>
      <c r="AG39" s="4"/>
    </row>
    <row r="40" spans="1:33" ht="28" x14ac:dyDescent="0.35">
      <c r="A40" s="356">
        <f t="shared" si="0"/>
        <v>18</v>
      </c>
      <c r="B40" s="31" t="s">
        <v>268</v>
      </c>
      <c r="C40" s="238" t="s">
        <v>269</v>
      </c>
      <c r="D40" s="238" t="s">
        <v>270</v>
      </c>
      <c r="E40" s="240">
        <v>11000</v>
      </c>
      <c r="F40" s="240">
        <v>4000</v>
      </c>
      <c r="G40" s="240">
        <v>2300</v>
      </c>
      <c r="H40" s="353">
        <v>2000</v>
      </c>
      <c r="I40" s="363">
        <v>18</v>
      </c>
      <c r="J40" s="364" t="s">
        <v>271</v>
      </c>
      <c r="K40" s="358" t="s">
        <v>272</v>
      </c>
      <c r="L40" s="358" t="s">
        <v>273</v>
      </c>
      <c r="M40" s="334">
        <v>11000</v>
      </c>
      <c r="N40" s="334">
        <v>4000</v>
      </c>
      <c r="O40" s="334">
        <v>2300</v>
      </c>
      <c r="P40" s="334">
        <v>2000</v>
      </c>
      <c r="Q40" s="339">
        <v>6600</v>
      </c>
      <c r="R40" s="339">
        <v>2400</v>
      </c>
      <c r="S40" s="339">
        <v>1380</v>
      </c>
      <c r="T40" s="339">
        <v>1200</v>
      </c>
      <c r="U40" s="339">
        <v>4400</v>
      </c>
      <c r="V40" s="339">
        <v>1600</v>
      </c>
      <c r="W40" s="339">
        <v>920</v>
      </c>
      <c r="X40" s="339">
        <v>800</v>
      </c>
      <c r="Y40" s="234"/>
      <c r="Z40" s="4"/>
      <c r="AA40" s="4"/>
      <c r="AB40" s="4"/>
      <c r="AC40" s="4"/>
      <c r="AD40" s="4"/>
      <c r="AE40" s="4"/>
      <c r="AF40" s="4"/>
      <c r="AG40" s="4"/>
    </row>
    <row r="41" spans="1:33" ht="70" x14ac:dyDescent="0.35">
      <c r="A41" s="356">
        <f t="shared" si="0"/>
        <v>20</v>
      </c>
      <c r="B41" s="31" t="s">
        <v>274</v>
      </c>
      <c r="C41" s="238" t="s">
        <v>36</v>
      </c>
      <c r="D41" s="238"/>
      <c r="E41" s="240">
        <v>12000</v>
      </c>
      <c r="F41" s="235"/>
      <c r="G41" s="235"/>
      <c r="H41" s="172"/>
      <c r="I41" s="363">
        <v>20</v>
      </c>
      <c r="J41" s="364" t="s">
        <v>1068</v>
      </c>
      <c r="K41" s="358"/>
      <c r="L41" s="365"/>
      <c r="M41" s="334">
        <v>12000</v>
      </c>
      <c r="N41" s="335"/>
      <c r="O41" s="335"/>
      <c r="P41" s="335"/>
      <c r="Q41" s="339">
        <v>7200</v>
      </c>
      <c r="R41" s="339"/>
      <c r="S41" s="339"/>
      <c r="T41" s="339"/>
      <c r="U41" s="339">
        <v>4800</v>
      </c>
      <c r="V41" s="339"/>
      <c r="W41" s="339"/>
      <c r="X41" s="339"/>
      <c r="Y41" s="234"/>
      <c r="Z41" s="4"/>
      <c r="AA41" s="4"/>
      <c r="AB41" s="4"/>
      <c r="AC41" s="4"/>
      <c r="AD41" s="4"/>
      <c r="AE41" s="4"/>
      <c r="AF41" s="4"/>
      <c r="AG41" s="4"/>
    </row>
    <row r="42" spans="1:33" ht="42" x14ac:dyDescent="0.35">
      <c r="A42" s="356">
        <f t="shared" si="0"/>
        <v>22</v>
      </c>
      <c r="B42" s="31" t="s">
        <v>276</v>
      </c>
      <c r="C42" s="238" t="s">
        <v>36</v>
      </c>
      <c r="D42" s="238"/>
      <c r="E42" s="240">
        <v>21600</v>
      </c>
      <c r="F42" s="235"/>
      <c r="G42" s="235"/>
      <c r="H42" s="172"/>
      <c r="I42" s="363">
        <v>22</v>
      </c>
      <c r="J42" s="364" t="s">
        <v>1110</v>
      </c>
      <c r="K42" s="358"/>
      <c r="L42" s="365"/>
      <c r="M42" s="334">
        <v>21600</v>
      </c>
      <c r="N42" s="335"/>
      <c r="O42" s="335"/>
      <c r="P42" s="335"/>
      <c r="Q42" s="339">
        <v>12960</v>
      </c>
      <c r="R42" s="339"/>
      <c r="S42" s="339"/>
      <c r="T42" s="339"/>
      <c r="U42" s="339">
        <v>8640</v>
      </c>
      <c r="V42" s="351"/>
      <c r="W42" s="351"/>
      <c r="X42" s="351"/>
      <c r="Y42" s="234"/>
      <c r="Z42" s="4"/>
      <c r="AA42" s="4"/>
      <c r="AB42" s="4"/>
      <c r="AC42" s="4"/>
      <c r="AD42" s="4"/>
      <c r="AE42" s="4"/>
      <c r="AF42" s="4"/>
      <c r="AG42" s="4"/>
    </row>
    <row r="43" spans="1:33" ht="42" x14ac:dyDescent="0.35">
      <c r="A43" s="356" t="str">
        <f t="shared" si="0"/>
        <v>30.1</v>
      </c>
      <c r="B43" s="31" t="s">
        <v>279</v>
      </c>
      <c r="C43" s="238" t="s">
        <v>225</v>
      </c>
      <c r="D43" s="238" t="s">
        <v>280</v>
      </c>
      <c r="E43" s="240">
        <v>24800</v>
      </c>
      <c r="F43" s="240">
        <v>8000</v>
      </c>
      <c r="G43" s="240">
        <v>4400</v>
      </c>
      <c r="H43" s="353">
        <v>2000</v>
      </c>
      <c r="I43" s="356" t="s">
        <v>1113</v>
      </c>
      <c r="J43" s="364" t="s">
        <v>278</v>
      </c>
      <c r="K43" s="358" t="s">
        <v>225</v>
      </c>
      <c r="L43" s="358" t="s">
        <v>281</v>
      </c>
      <c r="M43" s="334">
        <v>24800</v>
      </c>
      <c r="N43" s="334">
        <v>8000</v>
      </c>
      <c r="O43" s="334">
        <v>4400</v>
      </c>
      <c r="P43" s="334">
        <v>2000</v>
      </c>
      <c r="Q43" s="339">
        <v>14880</v>
      </c>
      <c r="R43" s="339">
        <v>4800</v>
      </c>
      <c r="S43" s="339">
        <v>2640</v>
      </c>
      <c r="T43" s="339">
        <v>1200</v>
      </c>
      <c r="U43" s="339">
        <v>9920</v>
      </c>
      <c r="V43" s="339">
        <v>3360</v>
      </c>
      <c r="W43" s="339">
        <v>1760</v>
      </c>
      <c r="X43" s="339">
        <v>800</v>
      </c>
      <c r="Y43" s="234"/>
      <c r="Z43" s="4"/>
      <c r="AA43" s="4"/>
      <c r="AB43" s="4"/>
      <c r="AC43" s="4"/>
      <c r="AD43" s="4"/>
      <c r="AE43" s="4"/>
      <c r="AF43" s="4"/>
      <c r="AG43" s="4"/>
    </row>
    <row r="44" spans="1:33" ht="28" x14ac:dyDescent="0.35">
      <c r="A44" s="356" t="str">
        <f t="shared" si="0"/>
        <v>30.2</v>
      </c>
      <c r="B44" s="31" t="s">
        <v>279</v>
      </c>
      <c r="C44" s="238" t="s">
        <v>282</v>
      </c>
      <c r="D44" s="238" t="s">
        <v>283</v>
      </c>
      <c r="E44" s="240">
        <v>8000</v>
      </c>
      <c r="F44" s="240">
        <v>2800</v>
      </c>
      <c r="G44" s="240">
        <v>1800</v>
      </c>
      <c r="H44" s="353">
        <v>1600</v>
      </c>
      <c r="I44" s="356" t="s">
        <v>1114</v>
      </c>
      <c r="J44" s="364" t="s">
        <v>278</v>
      </c>
      <c r="K44" s="358" t="s">
        <v>284</v>
      </c>
      <c r="L44" s="358" t="str">
        <f>D44</f>
        <v>Giáp phường Cao Xanh</v>
      </c>
      <c r="M44" s="334">
        <v>8000</v>
      </c>
      <c r="N44" s="334">
        <v>2800</v>
      </c>
      <c r="O44" s="334">
        <v>1800</v>
      </c>
      <c r="P44" s="334">
        <v>1600</v>
      </c>
      <c r="Q44" s="339">
        <v>4800</v>
      </c>
      <c r="R44" s="339">
        <v>1680</v>
      </c>
      <c r="S44" s="339">
        <v>1080</v>
      </c>
      <c r="T44" s="339">
        <v>960</v>
      </c>
      <c r="U44" s="339">
        <v>3200</v>
      </c>
      <c r="V44" s="339">
        <v>1120</v>
      </c>
      <c r="W44" s="339">
        <v>720</v>
      </c>
      <c r="X44" s="339">
        <v>640</v>
      </c>
      <c r="Y44" s="234"/>
      <c r="Z44" s="4"/>
      <c r="AA44" s="4"/>
      <c r="AB44" s="4"/>
      <c r="AC44" s="4"/>
      <c r="AD44" s="4"/>
      <c r="AE44" s="4"/>
      <c r="AF44" s="4"/>
      <c r="AG44" s="4"/>
    </row>
    <row r="45" spans="1:33" ht="28" x14ac:dyDescent="0.35">
      <c r="A45" s="356">
        <f t="shared" si="0"/>
        <v>42</v>
      </c>
      <c r="B45" s="31" t="s">
        <v>285</v>
      </c>
      <c r="C45" s="238" t="s">
        <v>225</v>
      </c>
      <c r="D45" s="238" t="s">
        <v>286</v>
      </c>
      <c r="E45" s="240">
        <v>7400</v>
      </c>
      <c r="F45" s="240"/>
      <c r="G45" s="240"/>
      <c r="H45" s="353"/>
      <c r="I45" s="356">
        <v>42</v>
      </c>
      <c r="J45" s="364" t="str">
        <f>B45</f>
        <v>Đường Khu tự xây Trường Nguyễn Bá Ngọc</v>
      </c>
      <c r="K45" s="358" t="s">
        <v>287</v>
      </c>
      <c r="L45" s="358" t="s">
        <v>288</v>
      </c>
      <c r="M45" s="334">
        <v>7400</v>
      </c>
      <c r="N45" s="334"/>
      <c r="O45" s="334"/>
      <c r="P45" s="334"/>
      <c r="Q45" s="339">
        <v>4440</v>
      </c>
      <c r="R45" s="339"/>
      <c r="S45" s="339"/>
      <c r="T45" s="339"/>
      <c r="U45" s="339">
        <v>2960</v>
      </c>
      <c r="V45" s="339"/>
      <c r="W45" s="339"/>
      <c r="X45" s="339"/>
      <c r="Y45" s="234"/>
      <c r="Z45" s="4"/>
      <c r="AA45" s="4"/>
      <c r="AB45" s="4"/>
      <c r="AC45" s="4"/>
      <c r="AD45" s="4"/>
      <c r="AE45" s="4"/>
      <c r="AF45" s="4"/>
      <c r="AG45" s="4"/>
    </row>
    <row r="46" spans="1:33" ht="42" x14ac:dyDescent="0.35">
      <c r="A46" s="356" t="str">
        <f t="shared" si="0"/>
        <v>43.1</v>
      </c>
      <c r="B46" s="31" t="s">
        <v>289</v>
      </c>
      <c r="C46" s="238" t="s">
        <v>225</v>
      </c>
      <c r="D46" s="238" t="s">
        <v>290</v>
      </c>
      <c r="E46" s="240">
        <v>8700</v>
      </c>
      <c r="F46" s="240">
        <v>3200</v>
      </c>
      <c r="G46" s="240">
        <v>1600</v>
      </c>
      <c r="H46" s="353">
        <v>1200</v>
      </c>
      <c r="I46" s="356" t="s">
        <v>368</v>
      </c>
      <c r="J46" s="364" t="str">
        <f t="shared" ref="J46:J50" si="2">B46</f>
        <v>Đường vào Lán 14</v>
      </c>
      <c r="K46" s="358" t="s">
        <v>225</v>
      </c>
      <c r="L46" s="358" t="s">
        <v>291</v>
      </c>
      <c r="M46" s="334">
        <v>8700</v>
      </c>
      <c r="N46" s="334">
        <v>3200</v>
      </c>
      <c r="O46" s="334">
        <v>1600</v>
      </c>
      <c r="P46" s="334">
        <v>1200</v>
      </c>
      <c r="Q46" s="339">
        <v>5220</v>
      </c>
      <c r="R46" s="339">
        <v>1920</v>
      </c>
      <c r="S46" s="339">
        <v>960</v>
      </c>
      <c r="T46" s="339">
        <v>720</v>
      </c>
      <c r="U46" s="339">
        <v>3480</v>
      </c>
      <c r="V46" s="339">
        <v>1280</v>
      </c>
      <c r="W46" s="339">
        <v>640</v>
      </c>
      <c r="X46" s="339">
        <v>540</v>
      </c>
      <c r="Y46" s="234"/>
      <c r="Z46" s="4"/>
      <c r="AA46" s="4"/>
      <c r="AB46" s="4"/>
      <c r="AC46" s="4"/>
      <c r="AD46" s="4"/>
      <c r="AE46" s="4"/>
      <c r="AF46" s="4"/>
      <c r="AG46" s="4"/>
    </row>
    <row r="47" spans="1:33" ht="42" x14ac:dyDescent="0.35">
      <c r="A47" s="356" t="str">
        <f t="shared" si="0"/>
        <v>43.2</v>
      </c>
      <c r="B47" s="31" t="s">
        <v>289</v>
      </c>
      <c r="C47" s="238" t="s">
        <v>290</v>
      </c>
      <c r="D47" s="238" t="s">
        <v>292</v>
      </c>
      <c r="E47" s="240">
        <v>6500</v>
      </c>
      <c r="F47" s="240">
        <v>2300</v>
      </c>
      <c r="G47" s="240">
        <v>1600</v>
      </c>
      <c r="H47" s="353">
        <v>1200</v>
      </c>
      <c r="I47" s="356" t="s">
        <v>375</v>
      </c>
      <c r="J47" s="364" t="str">
        <f t="shared" si="2"/>
        <v>Đường vào Lán 14</v>
      </c>
      <c r="K47" s="358" t="s">
        <v>291</v>
      </c>
      <c r="L47" s="358" t="s">
        <v>293</v>
      </c>
      <c r="M47" s="334">
        <v>6500</v>
      </c>
      <c r="N47" s="334">
        <v>2300</v>
      </c>
      <c r="O47" s="334">
        <v>1600</v>
      </c>
      <c r="P47" s="334">
        <v>1200</v>
      </c>
      <c r="Q47" s="339">
        <v>3900</v>
      </c>
      <c r="R47" s="339">
        <v>1380</v>
      </c>
      <c r="S47" s="339">
        <v>960</v>
      </c>
      <c r="T47" s="339">
        <v>720</v>
      </c>
      <c r="U47" s="339">
        <v>2600</v>
      </c>
      <c r="V47" s="339">
        <v>920</v>
      </c>
      <c r="W47" s="339">
        <v>640</v>
      </c>
      <c r="X47" s="339">
        <v>480</v>
      </c>
      <c r="Y47" s="234"/>
      <c r="Z47" s="4"/>
      <c r="AA47" s="4"/>
      <c r="AB47" s="4"/>
      <c r="AC47" s="4"/>
      <c r="AD47" s="4"/>
      <c r="AE47" s="4"/>
      <c r="AF47" s="4"/>
      <c r="AG47" s="4"/>
    </row>
    <row r="48" spans="1:33" ht="56" x14ac:dyDescent="0.35">
      <c r="A48" s="356" t="str">
        <f t="shared" si="0"/>
        <v>45.1</v>
      </c>
      <c r="B48" s="31" t="s">
        <v>294</v>
      </c>
      <c r="C48" s="238" t="s">
        <v>225</v>
      </c>
      <c r="D48" s="238" t="s">
        <v>295</v>
      </c>
      <c r="E48" s="240">
        <v>7800</v>
      </c>
      <c r="F48" s="240"/>
      <c r="G48" s="240"/>
      <c r="H48" s="353"/>
      <c r="I48" s="356" t="s">
        <v>1115</v>
      </c>
      <c r="J48" s="364" t="str">
        <f t="shared" si="2"/>
        <v>Dãy bám đường đoạn từ đường 366 đến nhà văn hóa khu 1 (Bên phải tuyến đến hết thửa 113 TBĐ 68)</v>
      </c>
      <c r="K48" s="358" t="s">
        <v>225</v>
      </c>
      <c r="L48" s="358" t="s">
        <v>296</v>
      </c>
      <c r="M48" s="334"/>
      <c r="N48" s="334"/>
      <c r="O48" s="334"/>
      <c r="P48" s="366"/>
      <c r="Q48" s="339">
        <v>4680</v>
      </c>
      <c r="R48" s="339"/>
      <c r="S48" s="339"/>
      <c r="T48" s="339"/>
      <c r="U48" s="339">
        <v>3120</v>
      </c>
      <c r="V48" s="339"/>
      <c r="W48" s="339"/>
      <c r="X48" s="339"/>
      <c r="Y48" s="234"/>
      <c r="Z48" s="4"/>
      <c r="AA48" s="4"/>
      <c r="AB48" s="4"/>
      <c r="AC48" s="4"/>
      <c r="AD48" s="4"/>
      <c r="AE48" s="4"/>
      <c r="AF48" s="4"/>
      <c r="AG48" s="4"/>
    </row>
    <row r="49" spans="1:33" ht="28" x14ac:dyDescent="0.35">
      <c r="A49" s="356">
        <f t="shared" si="0"/>
        <v>48</v>
      </c>
      <c r="B49" s="31" t="s">
        <v>297</v>
      </c>
      <c r="C49" s="238" t="s">
        <v>298</v>
      </c>
      <c r="D49" s="238" t="s">
        <v>299</v>
      </c>
      <c r="E49" s="240">
        <v>7400</v>
      </c>
      <c r="F49" s="240">
        <v>5200</v>
      </c>
      <c r="G49" s="240">
        <v>2300</v>
      </c>
      <c r="H49" s="353">
        <v>1200</v>
      </c>
      <c r="I49" s="356">
        <v>48</v>
      </c>
      <c r="J49" s="364" t="str">
        <f t="shared" si="2"/>
        <v>Đường vào khu tập thể Gia Binh</v>
      </c>
      <c r="K49" s="358" t="s">
        <v>298</v>
      </c>
      <c r="L49" s="358" t="s">
        <v>300</v>
      </c>
      <c r="M49" s="334">
        <v>7400</v>
      </c>
      <c r="N49" s="334">
        <v>5200</v>
      </c>
      <c r="O49" s="334">
        <v>2300</v>
      </c>
      <c r="P49" s="334">
        <v>1200</v>
      </c>
      <c r="Q49" s="339">
        <v>4440</v>
      </c>
      <c r="R49" s="339">
        <v>3120</v>
      </c>
      <c r="S49" s="339">
        <v>1380</v>
      </c>
      <c r="T49" s="339">
        <v>720</v>
      </c>
      <c r="U49" s="339">
        <v>3240</v>
      </c>
      <c r="V49" s="339">
        <v>2160</v>
      </c>
      <c r="W49" s="339">
        <v>920</v>
      </c>
      <c r="X49" s="339">
        <v>480</v>
      </c>
      <c r="Y49" s="234"/>
      <c r="Z49" s="4"/>
      <c r="AA49" s="4"/>
      <c r="AB49" s="4"/>
      <c r="AC49" s="4"/>
      <c r="AD49" s="4"/>
      <c r="AE49" s="4"/>
      <c r="AF49" s="4"/>
      <c r="AG49" s="4"/>
    </row>
    <row r="50" spans="1:33" ht="28" x14ac:dyDescent="0.35">
      <c r="A50" s="356">
        <f t="shared" si="0"/>
        <v>49</v>
      </c>
      <c r="B50" s="31" t="s">
        <v>301</v>
      </c>
      <c r="C50" s="238" t="s">
        <v>302</v>
      </c>
      <c r="D50" s="238" t="s">
        <v>303</v>
      </c>
      <c r="E50" s="240">
        <v>3400</v>
      </c>
      <c r="F50" s="235"/>
      <c r="G50" s="235"/>
      <c r="H50" s="172"/>
      <c r="I50" s="356">
        <v>49</v>
      </c>
      <c r="J50" s="364" t="str">
        <f t="shared" si="2"/>
        <v>Đường khu dân cư tổ 47 (Cạnh trường mầm non Hà Trung)</v>
      </c>
      <c r="K50" s="358" t="s">
        <v>304</v>
      </c>
      <c r="L50" s="358" t="s">
        <v>305</v>
      </c>
      <c r="M50" s="334">
        <v>3400</v>
      </c>
      <c r="N50" s="335"/>
      <c r="O50" s="335"/>
      <c r="P50" s="335"/>
      <c r="Q50" s="339">
        <v>2040</v>
      </c>
      <c r="R50" s="339"/>
      <c r="S50" s="339"/>
      <c r="T50" s="339"/>
      <c r="U50" s="339">
        <v>1360</v>
      </c>
      <c r="V50" s="339"/>
      <c r="W50" s="339"/>
      <c r="X50" s="339"/>
      <c r="Y50" s="234"/>
      <c r="Z50" s="4"/>
      <c r="AA50" s="4"/>
      <c r="AB50" s="4"/>
      <c r="AC50" s="4"/>
      <c r="AD50" s="4"/>
      <c r="AE50" s="4"/>
      <c r="AF50" s="4"/>
      <c r="AG50" s="4"/>
    </row>
    <row r="51" spans="1:33" x14ac:dyDescent="0.35">
      <c r="A51" s="202">
        <v>42</v>
      </c>
      <c r="B51" s="355" t="s">
        <v>308</v>
      </c>
      <c r="C51" s="263"/>
      <c r="D51" s="263"/>
      <c r="E51" s="346"/>
      <c r="F51" s="346"/>
      <c r="G51" s="346"/>
      <c r="H51" s="347"/>
      <c r="I51" s="236">
        <v>42</v>
      </c>
      <c r="J51" s="348" t="s">
        <v>308</v>
      </c>
      <c r="K51" s="238"/>
      <c r="L51" s="238"/>
      <c r="M51" s="351"/>
      <c r="N51" s="351"/>
      <c r="O51" s="351"/>
      <c r="P51" s="351"/>
      <c r="Q51" s="351"/>
      <c r="R51" s="351"/>
      <c r="S51" s="351"/>
      <c r="T51" s="351"/>
      <c r="U51" s="351"/>
      <c r="V51" s="351"/>
      <c r="W51" s="351"/>
      <c r="X51" s="351"/>
      <c r="Y51" s="234"/>
      <c r="Z51" s="4"/>
      <c r="AA51" s="4"/>
      <c r="AB51" s="4"/>
      <c r="AC51" s="4"/>
      <c r="AD51" s="4"/>
      <c r="AE51" s="4"/>
      <c r="AF51" s="4"/>
      <c r="AG51" s="4"/>
    </row>
    <row r="52" spans="1:33" ht="70" x14ac:dyDescent="0.35">
      <c r="A52" s="102" t="s">
        <v>309</v>
      </c>
      <c r="B52" s="31" t="s">
        <v>310</v>
      </c>
      <c r="C52" s="238" t="s">
        <v>311</v>
      </c>
      <c r="D52" s="238" t="s">
        <v>312</v>
      </c>
      <c r="E52" s="32">
        <v>31000</v>
      </c>
      <c r="F52" s="32">
        <v>8000</v>
      </c>
      <c r="G52" s="32">
        <v>4300</v>
      </c>
      <c r="H52" s="33">
        <v>2900</v>
      </c>
      <c r="I52" s="32" t="s">
        <v>309</v>
      </c>
      <c r="J52" s="31" t="s">
        <v>310</v>
      </c>
      <c r="K52" s="238" t="s">
        <v>311</v>
      </c>
      <c r="L52" s="238" t="s">
        <v>313</v>
      </c>
      <c r="M52" s="180">
        <v>31000</v>
      </c>
      <c r="N52" s="180">
        <v>8000</v>
      </c>
      <c r="O52" s="180">
        <v>4300</v>
      </c>
      <c r="P52" s="180">
        <v>2900</v>
      </c>
      <c r="Q52" s="339">
        <v>18600</v>
      </c>
      <c r="R52" s="339">
        <v>4800</v>
      </c>
      <c r="S52" s="339">
        <v>2580</v>
      </c>
      <c r="T52" s="339">
        <v>1740</v>
      </c>
      <c r="U52" s="339">
        <v>12400</v>
      </c>
      <c r="V52" s="339">
        <v>3200</v>
      </c>
      <c r="W52" s="339">
        <v>1720</v>
      </c>
      <c r="X52" s="339">
        <v>1160</v>
      </c>
      <c r="Y52" s="234"/>
      <c r="Z52" s="4"/>
      <c r="AA52" s="4"/>
      <c r="AB52" s="4"/>
      <c r="AC52" s="4"/>
      <c r="AD52" s="4"/>
      <c r="AE52" s="4"/>
      <c r="AF52" s="4"/>
      <c r="AG52" s="4"/>
    </row>
    <row r="53" spans="1:33" ht="70" x14ac:dyDescent="0.35">
      <c r="A53" s="102" t="s">
        <v>185</v>
      </c>
      <c r="B53" s="31" t="s">
        <v>310</v>
      </c>
      <c r="C53" s="238" t="s">
        <v>312</v>
      </c>
      <c r="D53" s="238" t="s">
        <v>315</v>
      </c>
      <c r="E53" s="32">
        <v>19000</v>
      </c>
      <c r="F53" s="32">
        <v>7000</v>
      </c>
      <c r="G53" s="32">
        <v>3700</v>
      </c>
      <c r="H53" s="33">
        <v>2700</v>
      </c>
      <c r="I53" s="32" t="s">
        <v>185</v>
      </c>
      <c r="J53" s="31" t="s">
        <v>310</v>
      </c>
      <c r="K53" s="32" t="s">
        <v>316</v>
      </c>
      <c r="L53" s="32" t="s">
        <v>317</v>
      </c>
      <c r="M53" s="180">
        <v>19000</v>
      </c>
      <c r="N53" s="180">
        <v>7000</v>
      </c>
      <c r="O53" s="180">
        <v>3700</v>
      </c>
      <c r="P53" s="180">
        <v>2700</v>
      </c>
      <c r="Q53" s="339">
        <v>11400</v>
      </c>
      <c r="R53" s="339">
        <v>4200</v>
      </c>
      <c r="S53" s="339">
        <v>2220</v>
      </c>
      <c r="T53" s="339">
        <v>1620</v>
      </c>
      <c r="U53" s="339">
        <v>7600</v>
      </c>
      <c r="V53" s="339">
        <v>2800</v>
      </c>
      <c r="W53" s="339">
        <v>1480</v>
      </c>
      <c r="X53" s="339">
        <v>1080</v>
      </c>
      <c r="Y53" s="234"/>
      <c r="Z53" s="4"/>
      <c r="AA53" s="4"/>
      <c r="AB53" s="4"/>
      <c r="AC53" s="4"/>
      <c r="AD53" s="4"/>
      <c r="AE53" s="4"/>
      <c r="AF53" s="4"/>
      <c r="AG53" s="4"/>
    </row>
    <row r="54" spans="1:33" ht="42" x14ac:dyDescent="0.35">
      <c r="A54" s="102" t="s">
        <v>318</v>
      </c>
      <c r="B54" s="31" t="s">
        <v>310</v>
      </c>
      <c r="C54" s="238" t="s">
        <v>319</v>
      </c>
      <c r="D54" s="238" t="s">
        <v>320</v>
      </c>
      <c r="E54" s="32">
        <v>20000</v>
      </c>
      <c r="F54" s="32">
        <v>7000</v>
      </c>
      <c r="G54" s="32">
        <v>3500</v>
      </c>
      <c r="H54" s="33">
        <v>2700</v>
      </c>
      <c r="I54" s="32" t="s">
        <v>318</v>
      </c>
      <c r="J54" s="31" t="s">
        <v>310</v>
      </c>
      <c r="K54" s="32" t="s">
        <v>321</v>
      </c>
      <c r="L54" s="238" t="s">
        <v>322</v>
      </c>
      <c r="M54" s="180">
        <v>20000</v>
      </c>
      <c r="N54" s="180">
        <v>7000</v>
      </c>
      <c r="O54" s="180">
        <v>3500</v>
      </c>
      <c r="P54" s="180">
        <v>2700</v>
      </c>
      <c r="Q54" s="339">
        <v>12000</v>
      </c>
      <c r="R54" s="339">
        <v>4200</v>
      </c>
      <c r="S54" s="339">
        <v>2100</v>
      </c>
      <c r="T54" s="339">
        <v>1620</v>
      </c>
      <c r="U54" s="339">
        <v>8000</v>
      </c>
      <c r="V54" s="339">
        <v>2800</v>
      </c>
      <c r="W54" s="339">
        <v>1400</v>
      </c>
      <c r="X54" s="339">
        <v>1080</v>
      </c>
      <c r="Y54" s="234"/>
      <c r="Z54" s="4"/>
      <c r="AA54" s="4"/>
      <c r="AB54" s="4"/>
      <c r="AC54" s="4"/>
      <c r="AD54" s="4"/>
      <c r="AE54" s="4"/>
      <c r="AF54" s="4"/>
      <c r="AG54" s="4"/>
    </row>
    <row r="55" spans="1:33" ht="70" x14ac:dyDescent="0.35">
      <c r="A55" s="102" t="s">
        <v>209</v>
      </c>
      <c r="B55" s="31" t="s">
        <v>324</v>
      </c>
      <c r="C55" s="367" t="s">
        <v>315</v>
      </c>
      <c r="D55" s="238" t="s">
        <v>325</v>
      </c>
      <c r="E55" s="32">
        <v>12000</v>
      </c>
      <c r="F55" s="32">
        <v>4000</v>
      </c>
      <c r="G55" s="32">
        <v>37000</v>
      </c>
      <c r="H55" s="33">
        <v>27000</v>
      </c>
      <c r="I55" s="32" t="s">
        <v>209</v>
      </c>
      <c r="J55" s="31" t="s">
        <v>324</v>
      </c>
      <c r="K55" s="238" t="s">
        <v>326</v>
      </c>
      <c r="L55" s="238" t="s">
        <v>325</v>
      </c>
      <c r="M55" s="180">
        <v>12000</v>
      </c>
      <c r="N55" s="180">
        <v>4000</v>
      </c>
      <c r="O55" s="180">
        <v>37000</v>
      </c>
      <c r="P55" s="180">
        <v>27000</v>
      </c>
      <c r="Q55" s="339">
        <v>7200</v>
      </c>
      <c r="R55" s="339">
        <v>2400</v>
      </c>
      <c r="S55" s="339">
        <v>2220</v>
      </c>
      <c r="T55" s="339">
        <v>1620</v>
      </c>
      <c r="U55" s="339">
        <v>4800</v>
      </c>
      <c r="V55" s="339">
        <v>1600</v>
      </c>
      <c r="W55" s="339">
        <v>1480</v>
      </c>
      <c r="X55" s="339">
        <v>1080</v>
      </c>
      <c r="Y55" s="234"/>
      <c r="Z55" s="4"/>
      <c r="AA55" s="4"/>
      <c r="AB55" s="4"/>
      <c r="AC55" s="4"/>
      <c r="AD55" s="4"/>
      <c r="AE55" s="4"/>
      <c r="AF55" s="4"/>
      <c r="AG55" s="4"/>
    </row>
    <row r="56" spans="1:33" ht="84" x14ac:dyDescent="0.35">
      <c r="A56" s="102" t="s">
        <v>211</v>
      </c>
      <c r="B56" s="31" t="s">
        <v>324</v>
      </c>
      <c r="C56" s="238" t="s">
        <v>327</v>
      </c>
      <c r="D56" s="238" t="s">
        <v>328</v>
      </c>
      <c r="E56" s="32">
        <v>5000</v>
      </c>
      <c r="F56" s="32"/>
      <c r="G56" s="32"/>
      <c r="H56" s="33"/>
      <c r="I56" s="102" t="s">
        <v>211</v>
      </c>
      <c r="J56" s="31" t="s">
        <v>324</v>
      </c>
      <c r="K56" s="238" t="s">
        <v>329</v>
      </c>
      <c r="L56" s="238" t="s">
        <v>330</v>
      </c>
      <c r="M56" s="180">
        <v>5000</v>
      </c>
      <c r="N56" s="180"/>
      <c r="O56" s="180"/>
      <c r="P56" s="180"/>
      <c r="Q56" s="339">
        <v>3000</v>
      </c>
      <c r="R56" s="339"/>
      <c r="S56" s="339"/>
      <c r="T56" s="339"/>
      <c r="U56" s="339">
        <v>2000</v>
      </c>
      <c r="V56" s="339"/>
      <c r="W56" s="339"/>
      <c r="X56" s="339"/>
      <c r="Y56" s="234"/>
      <c r="Z56" s="4"/>
      <c r="AA56" s="4"/>
      <c r="AB56" s="4"/>
      <c r="AC56" s="4"/>
      <c r="AD56" s="4"/>
      <c r="AE56" s="4"/>
      <c r="AF56" s="4"/>
      <c r="AG56" s="4"/>
    </row>
    <row r="57" spans="1:33" ht="42" x14ac:dyDescent="0.35">
      <c r="A57" s="102" t="s">
        <v>333</v>
      </c>
      <c r="B57" s="31" t="s">
        <v>332</v>
      </c>
      <c r="C57" s="238" t="s">
        <v>334</v>
      </c>
      <c r="D57" s="238" t="s">
        <v>335</v>
      </c>
      <c r="E57" s="32">
        <v>61000</v>
      </c>
      <c r="F57" s="32">
        <v>19000</v>
      </c>
      <c r="G57" s="32">
        <v>10000</v>
      </c>
      <c r="H57" s="33">
        <v>4900</v>
      </c>
      <c r="I57" s="102" t="s">
        <v>333</v>
      </c>
      <c r="J57" s="31" t="s">
        <v>332</v>
      </c>
      <c r="K57" s="238" t="s">
        <v>334</v>
      </c>
      <c r="L57" s="238" t="s">
        <v>336</v>
      </c>
      <c r="M57" s="180">
        <v>61000</v>
      </c>
      <c r="N57" s="180">
        <v>19000</v>
      </c>
      <c r="O57" s="180">
        <v>10000</v>
      </c>
      <c r="P57" s="180">
        <v>4900</v>
      </c>
      <c r="Q57" s="339">
        <v>36600</v>
      </c>
      <c r="R57" s="339">
        <v>11400</v>
      </c>
      <c r="S57" s="339">
        <v>6000</v>
      </c>
      <c r="T57" s="339">
        <v>2940</v>
      </c>
      <c r="U57" s="339">
        <v>24400</v>
      </c>
      <c r="V57" s="339">
        <v>7600</v>
      </c>
      <c r="W57" s="339">
        <v>4000</v>
      </c>
      <c r="X57" s="339">
        <v>1960</v>
      </c>
      <c r="Y57" s="234"/>
      <c r="Z57" s="4"/>
      <c r="AA57" s="4"/>
      <c r="AB57" s="4"/>
      <c r="AC57" s="4"/>
      <c r="AD57" s="4"/>
      <c r="AE57" s="4"/>
      <c r="AF57" s="4"/>
      <c r="AG57" s="4"/>
    </row>
    <row r="58" spans="1:33" x14ac:dyDescent="0.35">
      <c r="A58" s="102" t="s">
        <v>337</v>
      </c>
      <c r="B58" s="31" t="s">
        <v>338</v>
      </c>
      <c r="C58" s="469" t="s">
        <v>36</v>
      </c>
      <c r="D58" s="451"/>
      <c r="E58" s="32">
        <v>38000</v>
      </c>
      <c r="F58" s="32"/>
      <c r="G58" s="32"/>
      <c r="H58" s="33"/>
      <c r="I58" s="102" t="s">
        <v>337</v>
      </c>
      <c r="J58" s="31" t="s">
        <v>338</v>
      </c>
      <c r="K58" s="469" t="s">
        <v>339</v>
      </c>
      <c r="L58" s="451"/>
      <c r="M58" s="180">
        <v>38000</v>
      </c>
      <c r="N58" s="180"/>
      <c r="O58" s="180"/>
      <c r="P58" s="180"/>
      <c r="Q58" s="339">
        <v>22800</v>
      </c>
      <c r="R58" s="339"/>
      <c r="S58" s="339"/>
      <c r="T58" s="339"/>
      <c r="U58" s="339">
        <v>15200</v>
      </c>
      <c r="V58" s="339"/>
      <c r="W58" s="339"/>
      <c r="X58" s="339"/>
      <c r="Y58" s="234"/>
      <c r="Z58" s="4"/>
      <c r="AA58" s="4"/>
      <c r="AB58" s="4"/>
      <c r="AC58" s="4"/>
      <c r="AD58" s="4"/>
      <c r="AE58" s="4"/>
      <c r="AF58" s="4"/>
      <c r="AG58" s="4"/>
    </row>
    <row r="59" spans="1:33" ht="28" x14ac:dyDescent="0.35">
      <c r="A59" s="102" t="s">
        <v>342</v>
      </c>
      <c r="B59" s="31" t="s">
        <v>341</v>
      </c>
      <c r="C59" s="238" t="s">
        <v>343</v>
      </c>
      <c r="D59" s="238" t="s">
        <v>344</v>
      </c>
      <c r="E59" s="32">
        <v>18000</v>
      </c>
      <c r="F59" s="32"/>
      <c r="G59" s="32"/>
      <c r="H59" s="33"/>
      <c r="I59" s="102" t="s">
        <v>342</v>
      </c>
      <c r="J59" s="31" t="s">
        <v>341</v>
      </c>
      <c r="K59" s="238" t="s">
        <v>343</v>
      </c>
      <c r="L59" s="238" t="s">
        <v>345</v>
      </c>
      <c r="M59" s="180">
        <v>18000</v>
      </c>
      <c r="N59" s="180"/>
      <c r="O59" s="180"/>
      <c r="P59" s="180"/>
      <c r="Q59" s="339">
        <v>10800</v>
      </c>
      <c r="R59" s="339"/>
      <c r="S59" s="339"/>
      <c r="T59" s="339"/>
      <c r="U59" s="339">
        <v>7200</v>
      </c>
      <c r="V59" s="180"/>
      <c r="W59" s="180"/>
      <c r="X59" s="180"/>
      <c r="Y59" s="234"/>
      <c r="Z59" s="4"/>
      <c r="AA59" s="4"/>
      <c r="AB59" s="4"/>
      <c r="AC59" s="4"/>
      <c r="AD59" s="4"/>
      <c r="AE59" s="4"/>
      <c r="AF59" s="4"/>
      <c r="AG59" s="4"/>
    </row>
    <row r="60" spans="1:33" ht="56" x14ac:dyDescent="0.35">
      <c r="A60" s="102" t="s">
        <v>360</v>
      </c>
      <c r="B60" s="368" t="s">
        <v>361</v>
      </c>
      <c r="C60" s="367" t="s">
        <v>362</v>
      </c>
      <c r="D60" s="367" t="s">
        <v>363</v>
      </c>
      <c r="E60" s="369">
        <v>159000</v>
      </c>
      <c r="F60" s="370">
        <v>27000</v>
      </c>
      <c r="G60" s="370">
        <v>13000</v>
      </c>
      <c r="H60" s="371">
        <v>5000</v>
      </c>
      <c r="I60" s="32">
        <v>38</v>
      </c>
      <c r="J60" s="31" t="s">
        <v>361</v>
      </c>
      <c r="K60" s="238" t="s">
        <v>364</v>
      </c>
      <c r="L60" s="238" t="s">
        <v>363</v>
      </c>
      <c r="M60" s="180">
        <v>159000</v>
      </c>
      <c r="N60" s="334">
        <v>27000</v>
      </c>
      <c r="O60" s="334">
        <v>13000</v>
      </c>
      <c r="P60" s="334">
        <v>5000</v>
      </c>
      <c r="Q60" s="339">
        <v>95400</v>
      </c>
      <c r="R60" s="339">
        <v>16200</v>
      </c>
      <c r="S60" s="339">
        <v>7800</v>
      </c>
      <c r="T60" s="339">
        <v>3000</v>
      </c>
      <c r="U60" s="339">
        <v>63600</v>
      </c>
      <c r="V60" s="339">
        <v>10800</v>
      </c>
      <c r="W60" s="339">
        <v>5200</v>
      </c>
      <c r="X60" s="339">
        <v>2000</v>
      </c>
      <c r="Y60" s="234"/>
      <c r="Z60" s="4"/>
      <c r="AA60" s="4"/>
      <c r="AB60" s="4"/>
      <c r="AC60" s="4"/>
      <c r="AD60" s="4"/>
      <c r="AE60" s="4"/>
      <c r="AF60" s="4"/>
      <c r="AG60" s="4"/>
    </row>
    <row r="61" spans="1:33" ht="84" x14ac:dyDescent="0.35">
      <c r="A61" s="102" t="s">
        <v>412</v>
      </c>
      <c r="B61" s="31" t="s">
        <v>411</v>
      </c>
      <c r="C61" s="238" t="s">
        <v>413</v>
      </c>
      <c r="D61" s="238" t="s">
        <v>414</v>
      </c>
      <c r="E61" s="32">
        <v>17000</v>
      </c>
      <c r="F61" s="32">
        <v>6000</v>
      </c>
      <c r="G61" s="32">
        <v>3700</v>
      </c>
      <c r="H61" s="33">
        <v>2700</v>
      </c>
      <c r="I61" s="102" t="s">
        <v>412</v>
      </c>
      <c r="J61" s="31" t="s">
        <v>411</v>
      </c>
      <c r="K61" s="238" t="s">
        <v>413</v>
      </c>
      <c r="L61" s="238" t="s">
        <v>415</v>
      </c>
      <c r="M61" s="180">
        <v>17000</v>
      </c>
      <c r="N61" s="180">
        <v>6000</v>
      </c>
      <c r="O61" s="180">
        <v>3700</v>
      </c>
      <c r="P61" s="180">
        <v>2700</v>
      </c>
      <c r="Q61" s="339">
        <v>10200</v>
      </c>
      <c r="R61" s="339">
        <v>3600</v>
      </c>
      <c r="S61" s="339">
        <v>2220</v>
      </c>
      <c r="T61" s="339">
        <v>1620</v>
      </c>
      <c r="U61" s="339">
        <v>6800</v>
      </c>
      <c r="V61" s="339">
        <v>2400</v>
      </c>
      <c r="W61" s="339">
        <v>1480</v>
      </c>
      <c r="X61" s="339">
        <v>1080</v>
      </c>
      <c r="Y61" s="234"/>
      <c r="Z61" s="4"/>
      <c r="AA61" s="4"/>
      <c r="AB61" s="4"/>
      <c r="AC61" s="4"/>
      <c r="AD61" s="4"/>
      <c r="AE61" s="4"/>
      <c r="AF61" s="4"/>
      <c r="AG61" s="4"/>
    </row>
    <row r="62" spans="1:33" ht="84" x14ac:dyDescent="0.35">
      <c r="A62" s="102" t="s">
        <v>416</v>
      </c>
      <c r="B62" s="31" t="s">
        <v>411</v>
      </c>
      <c r="C62" s="238" t="s">
        <v>417</v>
      </c>
      <c r="D62" s="238" t="s">
        <v>418</v>
      </c>
      <c r="E62" s="32">
        <v>13200</v>
      </c>
      <c r="F62" s="32">
        <v>5500</v>
      </c>
      <c r="G62" s="32">
        <v>3700</v>
      </c>
      <c r="H62" s="33">
        <v>2700</v>
      </c>
      <c r="I62" s="32" t="s">
        <v>416</v>
      </c>
      <c r="J62" s="31" t="s">
        <v>411</v>
      </c>
      <c r="K62" s="238" t="s">
        <v>419</v>
      </c>
      <c r="L62" s="238" t="s">
        <v>420</v>
      </c>
      <c r="M62" s="180">
        <v>13200</v>
      </c>
      <c r="N62" s="180">
        <v>5500</v>
      </c>
      <c r="O62" s="180">
        <v>3700</v>
      </c>
      <c r="P62" s="180">
        <v>2700</v>
      </c>
      <c r="Q62" s="339">
        <v>7920</v>
      </c>
      <c r="R62" s="339">
        <v>3300</v>
      </c>
      <c r="S62" s="339">
        <v>2220</v>
      </c>
      <c r="T62" s="339">
        <v>1620</v>
      </c>
      <c r="U62" s="339">
        <v>5280</v>
      </c>
      <c r="V62" s="339">
        <v>2200</v>
      </c>
      <c r="W62" s="339">
        <v>1480</v>
      </c>
      <c r="X62" s="339">
        <v>1080</v>
      </c>
      <c r="Y62" s="234"/>
      <c r="Z62" s="4"/>
      <c r="AA62" s="4"/>
      <c r="AB62" s="4"/>
      <c r="AC62" s="4"/>
      <c r="AD62" s="4"/>
      <c r="AE62" s="4"/>
      <c r="AF62" s="4"/>
      <c r="AG62" s="4"/>
    </row>
    <row r="63" spans="1:33" ht="28" x14ac:dyDescent="0.35">
      <c r="A63" s="102" t="s">
        <v>421</v>
      </c>
      <c r="B63" s="31" t="s">
        <v>422</v>
      </c>
      <c r="C63" s="238" t="s">
        <v>423</v>
      </c>
      <c r="D63" s="238" t="s">
        <v>424</v>
      </c>
      <c r="E63" s="32">
        <v>96600</v>
      </c>
      <c r="F63" s="32">
        <v>31000</v>
      </c>
      <c r="G63" s="32">
        <v>16000</v>
      </c>
      <c r="H63" s="33">
        <v>8000</v>
      </c>
      <c r="I63" s="102" t="s">
        <v>421</v>
      </c>
      <c r="J63" s="31" t="s">
        <v>422</v>
      </c>
      <c r="K63" s="238" t="s">
        <v>423</v>
      </c>
      <c r="L63" s="238" t="s">
        <v>425</v>
      </c>
      <c r="M63" s="180">
        <v>96600</v>
      </c>
      <c r="N63" s="180">
        <v>31000</v>
      </c>
      <c r="O63" s="180">
        <v>16000</v>
      </c>
      <c r="P63" s="180">
        <v>8000</v>
      </c>
      <c r="Q63" s="339">
        <v>57960</v>
      </c>
      <c r="R63" s="339">
        <v>18600</v>
      </c>
      <c r="S63" s="339">
        <v>9600</v>
      </c>
      <c r="T63" s="339">
        <v>4800</v>
      </c>
      <c r="U63" s="339">
        <v>38640</v>
      </c>
      <c r="V63" s="339">
        <v>12400</v>
      </c>
      <c r="W63" s="339">
        <v>6400</v>
      </c>
      <c r="X63" s="339">
        <v>3200</v>
      </c>
      <c r="Y63" s="234"/>
      <c r="Z63" s="4"/>
      <c r="AA63" s="4"/>
      <c r="AB63" s="4"/>
      <c r="AC63" s="4"/>
      <c r="AD63" s="4"/>
      <c r="AE63" s="4"/>
      <c r="AF63" s="4"/>
      <c r="AG63" s="4"/>
    </row>
    <row r="64" spans="1:33" x14ac:dyDescent="0.35">
      <c r="A64" s="102" t="s">
        <v>427</v>
      </c>
      <c r="B64" s="31" t="s">
        <v>428</v>
      </c>
      <c r="C64" s="469" t="s">
        <v>36</v>
      </c>
      <c r="D64" s="451"/>
      <c r="E64" s="32">
        <v>36200</v>
      </c>
      <c r="F64" s="32"/>
      <c r="G64" s="32"/>
      <c r="H64" s="33"/>
      <c r="I64" s="102" t="s">
        <v>427</v>
      </c>
      <c r="J64" s="31" t="s">
        <v>429</v>
      </c>
      <c r="K64" s="469" t="s">
        <v>36</v>
      </c>
      <c r="L64" s="451"/>
      <c r="M64" s="180">
        <v>36200</v>
      </c>
      <c r="N64" s="180"/>
      <c r="O64" s="180"/>
      <c r="P64" s="180"/>
      <c r="Q64" s="339">
        <v>21720</v>
      </c>
      <c r="R64" s="339"/>
      <c r="S64" s="339"/>
      <c r="T64" s="339"/>
      <c r="U64" s="339">
        <v>14480</v>
      </c>
      <c r="V64" s="339"/>
      <c r="W64" s="339"/>
      <c r="X64" s="339"/>
      <c r="Y64" s="234"/>
      <c r="Z64" s="4"/>
      <c r="AA64" s="4"/>
      <c r="AB64" s="4"/>
      <c r="AC64" s="4"/>
      <c r="AD64" s="4"/>
      <c r="AE64" s="4"/>
      <c r="AF64" s="4"/>
      <c r="AG64" s="4"/>
    </row>
    <row r="65" spans="1:33" ht="56" x14ac:dyDescent="0.35">
      <c r="A65" s="102" t="s">
        <v>450</v>
      </c>
      <c r="B65" s="31" t="s">
        <v>449</v>
      </c>
      <c r="C65" s="238" t="s">
        <v>451</v>
      </c>
      <c r="D65" s="238" t="s">
        <v>452</v>
      </c>
      <c r="E65" s="32">
        <v>53000</v>
      </c>
      <c r="F65" s="32">
        <v>20000</v>
      </c>
      <c r="G65" s="32">
        <v>10800</v>
      </c>
      <c r="H65" s="33">
        <v>3800</v>
      </c>
      <c r="I65" s="102" t="s">
        <v>450</v>
      </c>
      <c r="J65" s="31" t="s">
        <v>449</v>
      </c>
      <c r="K65" s="238" t="s">
        <v>453</v>
      </c>
      <c r="L65" s="238" t="s">
        <v>452</v>
      </c>
      <c r="M65" s="180">
        <v>53000</v>
      </c>
      <c r="N65" s="180">
        <v>20000</v>
      </c>
      <c r="O65" s="180">
        <v>10800</v>
      </c>
      <c r="P65" s="180">
        <v>3800</v>
      </c>
      <c r="Q65" s="339">
        <v>31800</v>
      </c>
      <c r="R65" s="339">
        <v>12000</v>
      </c>
      <c r="S65" s="339">
        <v>6480</v>
      </c>
      <c r="T65" s="339">
        <v>2280</v>
      </c>
      <c r="U65" s="339">
        <v>21200</v>
      </c>
      <c r="V65" s="339">
        <v>8000</v>
      </c>
      <c r="W65" s="339">
        <v>4320</v>
      </c>
      <c r="X65" s="339">
        <v>1520</v>
      </c>
      <c r="Y65" s="234"/>
      <c r="Z65" s="4"/>
      <c r="AA65" s="4"/>
      <c r="AB65" s="4"/>
      <c r="AC65" s="4"/>
      <c r="AD65" s="4"/>
      <c r="AE65" s="4"/>
      <c r="AF65" s="4"/>
      <c r="AG65" s="4"/>
    </row>
    <row r="66" spans="1:33" ht="56" x14ac:dyDescent="0.35">
      <c r="A66" s="102" t="s">
        <v>454</v>
      </c>
      <c r="B66" s="31" t="s">
        <v>449</v>
      </c>
      <c r="C66" s="238" t="s">
        <v>455</v>
      </c>
      <c r="D66" s="238" t="s">
        <v>456</v>
      </c>
      <c r="E66" s="32">
        <v>26000</v>
      </c>
      <c r="F66" s="32">
        <v>12000</v>
      </c>
      <c r="G66" s="32">
        <v>4600</v>
      </c>
      <c r="H66" s="33">
        <v>3800</v>
      </c>
      <c r="I66" s="102" t="s">
        <v>454</v>
      </c>
      <c r="J66" s="31" t="s">
        <v>449</v>
      </c>
      <c r="K66" s="238" t="s">
        <v>455</v>
      </c>
      <c r="L66" s="238" t="s">
        <v>457</v>
      </c>
      <c r="M66" s="180">
        <v>26000</v>
      </c>
      <c r="N66" s="180">
        <v>12000</v>
      </c>
      <c r="O66" s="180">
        <v>4600</v>
      </c>
      <c r="P66" s="180">
        <v>3800</v>
      </c>
      <c r="Q66" s="339">
        <v>15600</v>
      </c>
      <c r="R66" s="339">
        <v>7200</v>
      </c>
      <c r="S66" s="339">
        <v>2760</v>
      </c>
      <c r="T66" s="339">
        <v>2280</v>
      </c>
      <c r="U66" s="339">
        <v>10400</v>
      </c>
      <c r="V66" s="339">
        <v>4800</v>
      </c>
      <c r="W66" s="339">
        <v>1840</v>
      </c>
      <c r="X66" s="339">
        <v>1520</v>
      </c>
      <c r="Y66" s="234"/>
      <c r="Z66" s="4"/>
      <c r="AA66" s="4"/>
      <c r="AB66" s="4"/>
      <c r="AC66" s="4"/>
      <c r="AD66" s="4"/>
      <c r="AE66" s="4"/>
      <c r="AF66" s="4"/>
      <c r="AG66" s="4"/>
    </row>
    <row r="67" spans="1:33" ht="42" x14ac:dyDescent="0.35">
      <c r="A67" s="102" t="s">
        <v>464</v>
      </c>
      <c r="B67" s="31" t="s">
        <v>449</v>
      </c>
      <c r="C67" s="238" t="s">
        <v>465</v>
      </c>
      <c r="D67" s="238" t="s">
        <v>466</v>
      </c>
      <c r="E67" s="32">
        <v>26000</v>
      </c>
      <c r="F67" s="32">
        <v>9000</v>
      </c>
      <c r="G67" s="32">
        <v>4300</v>
      </c>
      <c r="H67" s="33">
        <v>2900</v>
      </c>
      <c r="I67" s="102" t="s">
        <v>464</v>
      </c>
      <c r="J67" s="31" t="s">
        <v>449</v>
      </c>
      <c r="K67" s="238" t="s">
        <v>467</v>
      </c>
      <c r="L67" s="238" t="s">
        <v>468</v>
      </c>
      <c r="M67" s="180">
        <v>26000</v>
      </c>
      <c r="N67" s="180">
        <v>9000</v>
      </c>
      <c r="O67" s="180">
        <v>4300</v>
      </c>
      <c r="P67" s="180">
        <v>2900</v>
      </c>
      <c r="Q67" s="339">
        <v>15600</v>
      </c>
      <c r="R67" s="339">
        <v>5400</v>
      </c>
      <c r="S67" s="339">
        <v>2580</v>
      </c>
      <c r="T67" s="339">
        <v>1740</v>
      </c>
      <c r="U67" s="339">
        <v>10400</v>
      </c>
      <c r="V67" s="339">
        <v>3600</v>
      </c>
      <c r="W67" s="339">
        <v>1720</v>
      </c>
      <c r="X67" s="339">
        <v>1160</v>
      </c>
      <c r="Y67" s="234"/>
      <c r="Z67" s="4"/>
      <c r="AA67" s="4"/>
      <c r="AB67" s="4"/>
      <c r="AC67" s="4"/>
      <c r="AD67" s="4"/>
      <c r="AE67" s="4"/>
      <c r="AF67" s="4"/>
      <c r="AG67" s="4"/>
    </row>
    <row r="68" spans="1:33" ht="70" x14ac:dyDescent="0.35">
      <c r="A68" s="102" t="s">
        <v>476</v>
      </c>
      <c r="B68" s="31" t="s">
        <v>471</v>
      </c>
      <c r="C68" s="238" t="s">
        <v>473</v>
      </c>
      <c r="D68" s="238" t="s">
        <v>477</v>
      </c>
      <c r="E68" s="32">
        <v>13000</v>
      </c>
      <c r="F68" s="32">
        <v>5000</v>
      </c>
      <c r="G68" s="32">
        <v>3700</v>
      </c>
      <c r="H68" s="33">
        <v>2700</v>
      </c>
      <c r="I68" s="102" t="s">
        <v>476</v>
      </c>
      <c r="J68" s="31" t="s">
        <v>471</v>
      </c>
      <c r="K68" s="238" t="s">
        <v>478</v>
      </c>
      <c r="L68" s="238" t="s">
        <v>477</v>
      </c>
      <c r="M68" s="180">
        <v>13000</v>
      </c>
      <c r="N68" s="180">
        <v>5000</v>
      </c>
      <c r="O68" s="180">
        <v>3700</v>
      </c>
      <c r="P68" s="180">
        <v>2700</v>
      </c>
      <c r="Q68" s="339">
        <v>7800</v>
      </c>
      <c r="R68" s="339">
        <v>3000</v>
      </c>
      <c r="S68" s="339">
        <v>2220</v>
      </c>
      <c r="T68" s="339">
        <v>1620</v>
      </c>
      <c r="U68" s="339">
        <v>5200</v>
      </c>
      <c r="V68" s="339">
        <v>2000</v>
      </c>
      <c r="W68" s="339">
        <v>1480</v>
      </c>
      <c r="X68" s="339">
        <v>1080</v>
      </c>
      <c r="Y68" s="234"/>
      <c r="Z68" s="4"/>
      <c r="AA68" s="4"/>
      <c r="AB68" s="4"/>
      <c r="AC68" s="4"/>
      <c r="AD68" s="4"/>
      <c r="AE68" s="4"/>
      <c r="AF68" s="4"/>
      <c r="AG68" s="4"/>
    </row>
    <row r="69" spans="1:33" ht="42" x14ac:dyDescent="0.35">
      <c r="A69" s="102" t="s">
        <v>489</v>
      </c>
      <c r="B69" s="31" t="s">
        <v>490</v>
      </c>
      <c r="C69" s="238" t="s">
        <v>449</v>
      </c>
      <c r="D69" s="238" t="s">
        <v>491</v>
      </c>
      <c r="E69" s="32">
        <v>22000</v>
      </c>
      <c r="F69" s="32">
        <v>9000</v>
      </c>
      <c r="G69" s="32">
        <v>4300</v>
      </c>
      <c r="H69" s="33">
        <v>2700</v>
      </c>
      <c r="I69" s="32">
        <v>57</v>
      </c>
      <c r="J69" s="31" t="s">
        <v>490</v>
      </c>
      <c r="K69" s="238" t="s">
        <v>492</v>
      </c>
      <c r="L69" s="238" t="s">
        <v>493</v>
      </c>
      <c r="M69" s="180">
        <v>22000</v>
      </c>
      <c r="N69" s="180">
        <v>9000</v>
      </c>
      <c r="O69" s="180">
        <v>4300</v>
      </c>
      <c r="P69" s="180">
        <v>2700</v>
      </c>
      <c r="Q69" s="339">
        <v>13200</v>
      </c>
      <c r="R69" s="339">
        <v>5400</v>
      </c>
      <c r="S69" s="339">
        <v>2580</v>
      </c>
      <c r="T69" s="339">
        <v>1620</v>
      </c>
      <c r="U69" s="339">
        <v>8800</v>
      </c>
      <c r="V69" s="339">
        <v>3600</v>
      </c>
      <c r="W69" s="339">
        <v>1720</v>
      </c>
      <c r="X69" s="339">
        <v>1080</v>
      </c>
      <c r="Y69" s="234"/>
      <c r="Z69" s="4"/>
      <c r="AA69" s="4"/>
      <c r="AB69" s="4"/>
      <c r="AC69" s="4"/>
      <c r="AD69" s="4"/>
      <c r="AE69" s="4"/>
      <c r="AF69" s="4"/>
      <c r="AG69" s="4"/>
    </row>
    <row r="70" spans="1:33" ht="28" x14ac:dyDescent="0.35">
      <c r="A70" s="102" t="s">
        <v>498</v>
      </c>
      <c r="B70" s="31" t="s">
        <v>499</v>
      </c>
      <c r="C70" s="469" t="s">
        <v>36</v>
      </c>
      <c r="D70" s="451"/>
      <c r="E70" s="32">
        <v>23500</v>
      </c>
      <c r="F70" s="32"/>
      <c r="G70" s="32"/>
      <c r="H70" s="33"/>
      <c r="I70" s="32">
        <v>60</v>
      </c>
      <c r="J70" s="31" t="s">
        <v>500</v>
      </c>
      <c r="K70" s="469" t="s">
        <v>36</v>
      </c>
      <c r="L70" s="451"/>
      <c r="M70" s="180">
        <v>23500</v>
      </c>
      <c r="N70" s="180"/>
      <c r="O70" s="180"/>
      <c r="P70" s="180"/>
      <c r="Q70" s="339">
        <v>14100</v>
      </c>
      <c r="R70" s="339"/>
      <c r="S70" s="339"/>
      <c r="T70" s="339"/>
      <c r="U70" s="339">
        <v>9400</v>
      </c>
      <c r="V70" s="339"/>
      <c r="W70" s="339"/>
      <c r="X70" s="339"/>
      <c r="Y70" s="234"/>
      <c r="Z70" s="4"/>
      <c r="AA70" s="4"/>
      <c r="AB70" s="4"/>
      <c r="AC70" s="4"/>
      <c r="AD70" s="4"/>
      <c r="AE70" s="4"/>
      <c r="AF70" s="4"/>
      <c r="AG70" s="4"/>
    </row>
    <row r="71" spans="1:33" ht="56" x14ac:dyDescent="0.35">
      <c r="A71" s="102" t="s">
        <v>501</v>
      </c>
      <c r="B71" s="31" t="s">
        <v>502</v>
      </c>
      <c r="C71" s="469" t="s">
        <v>36</v>
      </c>
      <c r="D71" s="451"/>
      <c r="E71" s="32">
        <v>9000</v>
      </c>
      <c r="F71" s="32"/>
      <c r="G71" s="32"/>
      <c r="H71" s="33"/>
      <c r="I71" s="32">
        <v>61</v>
      </c>
      <c r="J71" s="31" t="s">
        <v>503</v>
      </c>
      <c r="K71" s="469" t="s">
        <v>36</v>
      </c>
      <c r="L71" s="451"/>
      <c r="M71" s="180">
        <v>9000</v>
      </c>
      <c r="N71" s="180"/>
      <c r="O71" s="180"/>
      <c r="P71" s="180"/>
      <c r="Q71" s="339">
        <v>5400</v>
      </c>
      <c r="R71" s="339"/>
      <c r="S71" s="339"/>
      <c r="T71" s="339"/>
      <c r="U71" s="339">
        <v>3600</v>
      </c>
      <c r="V71" s="339"/>
      <c r="W71" s="339"/>
      <c r="X71" s="339"/>
      <c r="Y71" s="234"/>
      <c r="Z71" s="4"/>
      <c r="AA71" s="4"/>
      <c r="AB71" s="4"/>
      <c r="AC71" s="4"/>
      <c r="AD71" s="4"/>
      <c r="AE71" s="4"/>
      <c r="AF71" s="4"/>
      <c r="AG71" s="4"/>
    </row>
    <row r="72" spans="1:33" ht="42" x14ac:dyDescent="0.35">
      <c r="A72" s="102" t="s">
        <v>504</v>
      </c>
      <c r="B72" s="31" t="s">
        <v>505</v>
      </c>
      <c r="C72" s="469" t="s">
        <v>36</v>
      </c>
      <c r="D72" s="451"/>
      <c r="E72" s="32">
        <v>15000</v>
      </c>
      <c r="F72" s="32"/>
      <c r="G72" s="32"/>
      <c r="H72" s="33"/>
      <c r="I72" s="32"/>
      <c r="J72" s="32"/>
      <c r="K72" s="485"/>
      <c r="L72" s="485"/>
      <c r="M72" s="180"/>
      <c r="N72" s="180"/>
      <c r="O72" s="180"/>
      <c r="P72" s="180"/>
      <c r="Q72" s="339"/>
      <c r="R72" s="339"/>
      <c r="S72" s="339"/>
      <c r="T72" s="339"/>
      <c r="U72" s="339"/>
      <c r="V72" s="180"/>
      <c r="W72" s="180"/>
      <c r="X72" s="180"/>
      <c r="Y72" s="234"/>
      <c r="Z72" s="4"/>
      <c r="AA72" s="4"/>
      <c r="AB72" s="4"/>
      <c r="AC72" s="4"/>
      <c r="AD72" s="4"/>
      <c r="AE72" s="4"/>
      <c r="AF72" s="4"/>
      <c r="AG72" s="4"/>
    </row>
    <row r="73" spans="1:33" ht="56" x14ac:dyDescent="0.35">
      <c r="A73" s="102" t="s">
        <v>507</v>
      </c>
      <c r="B73" s="31" t="s">
        <v>508</v>
      </c>
      <c r="C73" s="469" t="s">
        <v>36</v>
      </c>
      <c r="D73" s="451"/>
      <c r="E73" s="32">
        <v>10000</v>
      </c>
      <c r="F73" s="32">
        <v>5000</v>
      </c>
      <c r="G73" s="32">
        <v>3700</v>
      </c>
      <c r="H73" s="33">
        <v>2700</v>
      </c>
      <c r="I73" s="32">
        <v>63</v>
      </c>
      <c r="J73" s="31" t="s">
        <v>509</v>
      </c>
      <c r="K73" s="469" t="s">
        <v>36</v>
      </c>
      <c r="L73" s="451"/>
      <c r="M73" s="180">
        <v>10000</v>
      </c>
      <c r="N73" s="180">
        <v>5000</v>
      </c>
      <c r="O73" s="180">
        <v>3700</v>
      </c>
      <c r="P73" s="180">
        <v>2700</v>
      </c>
      <c r="Q73" s="339">
        <v>6000</v>
      </c>
      <c r="R73" s="339">
        <v>3000</v>
      </c>
      <c r="S73" s="339">
        <v>2220</v>
      </c>
      <c r="T73" s="339">
        <v>1620</v>
      </c>
      <c r="U73" s="339">
        <v>4000</v>
      </c>
      <c r="V73" s="339">
        <v>2000</v>
      </c>
      <c r="W73" s="339">
        <v>1480</v>
      </c>
      <c r="X73" s="339">
        <v>1080</v>
      </c>
      <c r="Y73" s="234"/>
      <c r="Z73" s="4"/>
      <c r="AA73" s="4"/>
      <c r="AB73" s="4"/>
      <c r="AC73" s="4"/>
      <c r="AD73" s="4"/>
      <c r="AE73" s="4"/>
      <c r="AF73" s="4"/>
      <c r="AG73" s="4"/>
    </row>
    <row r="74" spans="1:33" ht="28" x14ac:dyDescent="0.35">
      <c r="A74" s="102" t="s">
        <v>516</v>
      </c>
      <c r="B74" s="31" t="s">
        <v>517</v>
      </c>
      <c r="C74" s="238" t="s">
        <v>518</v>
      </c>
      <c r="D74" s="238" t="s">
        <v>519</v>
      </c>
      <c r="E74" s="32">
        <v>13000</v>
      </c>
      <c r="F74" s="32">
        <v>5000</v>
      </c>
      <c r="G74" s="32">
        <v>3700</v>
      </c>
      <c r="H74" s="33">
        <v>2700</v>
      </c>
      <c r="I74" s="102" t="s">
        <v>516</v>
      </c>
      <c r="J74" s="31" t="s">
        <v>517</v>
      </c>
      <c r="K74" s="238" t="s">
        <v>518</v>
      </c>
      <c r="L74" s="238" t="s">
        <v>520</v>
      </c>
      <c r="M74" s="180">
        <v>13000</v>
      </c>
      <c r="N74" s="180">
        <v>5000</v>
      </c>
      <c r="O74" s="180">
        <v>3700</v>
      </c>
      <c r="P74" s="180">
        <v>2700</v>
      </c>
      <c r="Q74" s="339">
        <v>7800</v>
      </c>
      <c r="R74" s="339">
        <v>3000</v>
      </c>
      <c r="S74" s="339">
        <v>2220</v>
      </c>
      <c r="T74" s="339">
        <v>1620</v>
      </c>
      <c r="U74" s="339">
        <v>5200</v>
      </c>
      <c r="V74" s="339">
        <v>2000</v>
      </c>
      <c r="W74" s="339">
        <v>1480</v>
      </c>
      <c r="X74" s="339">
        <v>1080</v>
      </c>
      <c r="Y74" s="234"/>
      <c r="Z74" s="4"/>
      <c r="AA74" s="4"/>
      <c r="AB74" s="4"/>
      <c r="AC74" s="4"/>
      <c r="AD74" s="4"/>
      <c r="AE74" s="4"/>
      <c r="AF74" s="4"/>
      <c r="AG74" s="4"/>
    </row>
    <row r="75" spans="1:33" ht="42" x14ac:dyDescent="0.35">
      <c r="A75" s="372" t="s">
        <v>538</v>
      </c>
      <c r="B75" s="368" t="s">
        <v>539</v>
      </c>
      <c r="C75" s="483" t="s">
        <v>36</v>
      </c>
      <c r="D75" s="484"/>
      <c r="E75" s="369">
        <v>20000</v>
      </c>
      <c r="F75" s="367"/>
      <c r="G75" s="367"/>
      <c r="H75" s="373"/>
      <c r="I75" s="102" t="s">
        <v>538</v>
      </c>
      <c r="J75" s="31" t="s">
        <v>540</v>
      </c>
      <c r="K75" s="469" t="s">
        <v>36</v>
      </c>
      <c r="L75" s="468"/>
      <c r="M75" s="180">
        <v>20000</v>
      </c>
      <c r="N75" s="181"/>
      <c r="O75" s="181"/>
      <c r="P75" s="181"/>
      <c r="Q75" s="339">
        <v>12000</v>
      </c>
      <c r="R75" s="339"/>
      <c r="S75" s="339"/>
      <c r="T75" s="339"/>
      <c r="U75" s="339">
        <v>8000</v>
      </c>
      <c r="V75" s="181"/>
      <c r="W75" s="181"/>
      <c r="X75" s="181"/>
      <c r="Y75" s="234"/>
      <c r="Z75" s="4"/>
      <c r="AA75" s="4"/>
      <c r="AB75" s="4"/>
      <c r="AC75" s="4"/>
      <c r="AD75" s="4"/>
      <c r="AE75" s="4"/>
      <c r="AF75" s="4"/>
      <c r="AG75" s="4"/>
    </row>
    <row r="76" spans="1:33" x14ac:dyDescent="0.35">
      <c r="A76" s="202">
        <v>44</v>
      </c>
      <c r="B76" s="355" t="s">
        <v>556</v>
      </c>
      <c r="C76" s="374"/>
      <c r="D76" s="374"/>
      <c r="E76" s="375"/>
      <c r="F76" s="375"/>
      <c r="G76" s="375"/>
      <c r="H76" s="376"/>
      <c r="I76" s="236">
        <v>44</v>
      </c>
      <c r="J76" s="348" t="s">
        <v>556</v>
      </c>
      <c r="K76" s="238"/>
      <c r="L76" s="238"/>
      <c r="M76" s="351"/>
      <c r="N76" s="351"/>
      <c r="O76" s="351"/>
      <c r="P76" s="351"/>
      <c r="Q76" s="351"/>
      <c r="R76" s="351"/>
      <c r="S76" s="351"/>
      <c r="T76" s="351"/>
      <c r="U76" s="351"/>
      <c r="V76" s="351"/>
      <c r="W76" s="351"/>
      <c r="X76" s="351"/>
      <c r="Y76" s="234"/>
      <c r="Z76" s="4"/>
      <c r="AA76" s="4"/>
      <c r="AB76" s="4"/>
      <c r="AC76" s="4"/>
      <c r="AD76" s="4"/>
      <c r="AE76" s="4"/>
      <c r="AF76" s="4"/>
      <c r="AG76" s="4"/>
    </row>
    <row r="77" spans="1:33" ht="70" x14ac:dyDescent="0.35">
      <c r="A77" s="102" t="s">
        <v>153</v>
      </c>
      <c r="B77" s="31" t="s">
        <v>569</v>
      </c>
      <c r="C77" s="238" t="s">
        <v>570</v>
      </c>
      <c r="D77" s="238" t="s">
        <v>571</v>
      </c>
      <c r="E77" s="32">
        <v>10000</v>
      </c>
      <c r="F77" s="32">
        <v>4400</v>
      </c>
      <c r="G77" s="32">
        <v>1900</v>
      </c>
      <c r="H77" s="33">
        <v>600</v>
      </c>
      <c r="I77" s="102" t="s">
        <v>153</v>
      </c>
      <c r="J77" s="31" t="s">
        <v>569</v>
      </c>
      <c r="K77" s="238" t="s">
        <v>570</v>
      </c>
      <c r="L77" s="238" t="s">
        <v>572</v>
      </c>
      <c r="M77" s="180">
        <v>10000</v>
      </c>
      <c r="N77" s="180">
        <v>4400</v>
      </c>
      <c r="O77" s="180">
        <v>1900</v>
      </c>
      <c r="P77" s="180">
        <v>600</v>
      </c>
      <c r="Q77" s="339">
        <v>6000</v>
      </c>
      <c r="R77" s="339">
        <v>2640</v>
      </c>
      <c r="S77" s="339">
        <v>1140</v>
      </c>
      <c r="T77" s="339">
        <v>360</v>
      </c>
      <c r="U77" s="339">
        <v>4000</v>
      </c>
      <c r="V77" s="339">
        <v>1760</v>
      </c>
      <c r="W77" s="339">
        <v>760</v>
      </c>
      <c r="X77" s="339">
        <v>240</v>
      </c>
      <c r="Y77" s="234"/>
      <c r="Z77" s="4"/>
      <c r="AA77" s="4"/>
      <c r="AB77" s="4"/>
      <c r="AC77" s="4"/>
      <c r="AD77" s="4"/>
      <c r="AE77" s="4"/>
      <c r="AF77" s="4"/>
      <c r="AG77" s="4"/>
    </row>
    <row r="78" spans="1:33" ht="70" x14ac:dyDescent="0.35">
      <c r="A78" s="102" t="s">
        <v>573</v>
      </c>
      <c r="B78" s="31" t="s">
        <v>569</v>
      </c>
      <c r="C78" s="238" t="s">
        <v>574</v>
      </c>
      <c r="D78" s="238" t="s">
        <v>575</v>
      </c>
      <c r="E78" s="32">
        <v>6300</v>
      </c>
      <c r="F78" s="32">
        <v>2700</v>
      </c>
      <c r="G78" s="32">
        <v>1000</v>
      </c>
      <c r="H78" s="33">
        <v>450</v>
      </c>
      <c r="I78" s="102" t="s">
        <v>573</v>
      </c>
      <c r="J78" s="31" t="s">
        <v>569</v>
      </c>
      <c r="K78" s="238" t="s">
        <v>576</v>
      </c>
      <c r="L78" s="238" t="s">
        <v>575</v>
      </c>
      <c r="M78" s="180">
        <v>6300</v>
      </c>
      <c r="N78" s="180">
        <v>2700</v>
      </c>
      <c r="O78" s="180">
        <v>1000</v>
      </c>
      <c r="P78" s="180">
        <v>450</v>
      </c>
      <c r="Q78" s="339">
        <v>3780</v>
      </c>
      <c r="R78" s="339">
        <v>1620</v>
      </c>
      <c r="S78" s="339">
        <v>600</v>
      </c>
      <c r="T78" s="339">
        <v>270</v>
      </c>
      <c r="U78" s="339">
        <v>2520</v>
      </c>
      <c r="V78" s="339">
        <v>1080</v>
      </c>
      <c r="W78" s="339">
        <v>400</v>
      </c>
      <c r="X78" s="339">
        <v>180</v>
      </c>
      <c r="Y78" s="234"/>
      <c r="Z78" s="4"/>
      <c r="AA78" s="4"/>
      <c r="AB78" s="4"/>
      <c r="AC78" s="4"/>
      <c r="AD78" s="4"/>
      <c r="AE78" s="4"/>
      <c r="AF78" s="4"/>
      <c r="AG78" s="4"/>
    </row>
    <row r="79" spans="1:33" ht="42" x14ac:dyDescent="0.35">
      <c r="A79" s="102"/>
      <c r="B79" s="31"/>
      <c r="C79" s="238"/>
      <c r="D79" s="238"/>
      <c r="E79" s="32"/>
      <c r="F79" s="32"/>
      <c r="G79" s="32"/>
      <c r="H79" s="33"/>
      <c r="I79" s="102" t="s">
        <v>593</v>
      </c>
      <c r="J79" s="31" t="s">
        <v>592</v>
      </c>
      <c r="K79" s="238" t="s">
        <v>596</v>
      </c>
      <c r="L79" s="238" t="s">
        <v>597</v>
      </c>
      <c r="M79" s="180">
        <v>5300</v>
      </c>
      <c r="N79" s="180">
        <v>2400</v>
      </c>
      <c r="O79" s="180">
        <v>1200</v>
      </c>
      <c r="P79" s="180">
        <v>450</v>
      </c>
      <c r="Q79" s="339">
        <v>3180</v>
      </c>
      <c r="R79" s="339">
        <v>1440</v>
      </c>
      <c r="S79" s="339">
        <v>720</v>
      </c>
      <c r="T79" s="339">
        <v>270</v>
      </c>
      <c r="U79" s="339">
        <v>2120</v>
      </c>
      <c r="V79" s="339">
        <v>960</v>
      </c>
      <c r="W79" s="339">
        <v>480</v>
      </c>
      <c r="X79" s="339">
        <v>180</v>
      </c>
      <c r="Y79" s="234"/>
      <c r="Z79" s="4"/>
      <c r="AA79" s="4"/>
      <c r="AB79" s="4"/>
      <c r="AC79" s="4"/>
      <c r="AD79" s="4"/>
      <c r="AE79" s="4"/>
      <c r="AF79" s="4"/>
      <c r="AG79" s="4"/>
    </row>
    <row r="80" spans="1:33" x14ac:dyDescent="0.35">
      <c r="A80" s="202">
        <v>45</v>
      </c>
      <c r="B80" s="355" t="s">
        <v>605</v>
      </c>
      <c r="C80" s="263"/>
      <c r="D80" s="263"/>
      <c r="E80" s="346"/>
      <c r="F80" s="346"/>
      <c r="G80" s="347"/>
      <c r="H80" s="347"/>
      <c r="I80" s="236">
        <v>45</v>
      </c>
      <c r="J80" s="348" t="s">
        <v>605</v>
      </c>
      <c r="K80" s="238"/>
      <c r="L80" s="238"/>
      <c r="M80" s="351"/>
      <c r="N80" s="351"/>
      <c r="O80" s="351"/>
      <c r="P80" s="351"/>
      <c r="Q80" s="351"/>
      <c r="R80" s="351"/>
      <c r="S80" s="351"/>
      <c r="T80" s="351"/>
      <c r="U80" s="351"/>
      <c r="V80" s="351"/>
      <c r="W80" s="351"/>
      <c r="X80" s="351"/>
      <c r="Y80" s="234"/>
      <c r="Z80" s="4"/>
      <c r="AA80" s="4"/>
      <c r="AB80" s="4"/>
      <c r="AC80" s="4"/>
      <c r="AD80" s="4"/>
      <c r="AE80" s="4"/>
      <c r="AF80" s="4"/>
      <c r="AG80" s="4"/>
    </row>
    <row r="81" spans="1:33" x14ac:dyDescent="0.35">
      <c r="A81" s="102" t="s">
        <v>167</v>
      </c>
      <c r="B81" s="31" t="s">
        <v>606</v>
      </c>
      <c r="C81" s="263"/>
      <c r="D81" s="263"/>
      <c r="E81" s="346"/>
      <c r="F81" s="346"/>
      <c r="G81" s="347"/>
      <c r="H81" s="347"/>
      <c r="I81" s="102" t="s">
        <v>167</v>
      </c>
      <c r="J81" s="31" t="s">
        <v>607</v>
      </c>
      <c r="K81" s="238"/>
      <c r="L81" s="238"/>
      <c r="M81" s="351"/>
      <c r="N81" s="351"/>
      <c r="O81" s="351"/>
      <c r="P81" s="351"/>
      <c r="Q81" s="351"/>
      <c r="R81" s="351"/>
      <c r="S81" s="351"/>
      <c r="T81" s="351"/>
      <c r="U81" s="351"/>
      <c r="V81" s="351"/>
      <c r="W81" s="351"/>
      <c r="X81" s="351"/>
      <c r="Y81" s="234"/>
      <c r="Z81" s="4"/>
      <c r="AA81" s="4"/>
      <c r="AB81" s="4"/>
      <c r="AC81" s="4"/>
      <c r="AD81" s="4"/>
      <c r="AE81" s="4"/>
      <c r="AF81" s="4"/>
      <c r="AG81" s="4"/>
    </row>
    <row r="82" spans="1:33" ht="28" x14ac:dyDescent="0.35">
      <c r="A82" s="102" t="s">
        <v>608</v>
      </c>
      <c r="B82" s="31" t="s">
        <v>609</v>
      </c>
      <c r="C82" s="238"/>
      <c r="D82" s="238"/>
      <c r="E82" s="238"/>
      <c r="F82" s="32"/>
      <c r="G82" s="32"/>
      <c r="H82" s="297"/>
      <c r="I82" s="102" t="s">
        <v>608</v>
      </c>
      <c r="J82" s="31" t="s">
        <v>610</v>
      </c>
      <c r="K82" s="238"/>
      <c r="L82" s="238"/>
      <c r="M82" s="181"/>
      <c r="N82" s="180"/>
      <c r="O82" s="180"/>
      <c r="P82" s="181"/>
      <c r="Q82" s="351"/>
      <c r="R82" s="351"/>
      <c r="S82" s="351"/>
      <c r="T82" s="351"/>
      <c r="U82" s="351"/>
      <c r="V82" s="351"/>
      <c r="W82" s="351"/>
      <c r="X82" s="351"/>
      <c r="Y82" s="234"/>
      <c r="Z82" s="4"/>
      <c r="AA82" s="4"/>
      <c r="AB82" s="4"/>
      <c r="AC82" s="4"/>
      <c r="AD82" s="4"/>
      <c r="AE82" s="4"/>
      <c r="AF82" s="4"/>
      <c r="AG82" s="4"/>
    </row>
    <row r="83" spans="1:33" x14ac:dyDescent="0.35">
      <c r="A83" s="102" t="s">
        <v>611</v>
      </c>
      <c r="B83" s="31" t="s">
        <v>612</v>
      </c>
      <c r="C83" s="238"/>
      <c r="D83" s="238"/>
      <c r="E83" s="238">
        <v>700</v>
      </c>
      <c r="F83" s="32"/>
      <c r="G83" s="32"/>
      <c r="H83" s="297"/>
      <c r="I83" s="102" t="s">
        <v>611</v>
      </c>
      <c r="J83" s="31" t="s">
        <v>613</v>
      </c>
      <c r="K83" s="238"/>
      <c r="L83" s="238"/>
      <c r="M83" s="181">
        <v>700</v>
      </c>
      <c r="N83" s="180"/>
      <c r="O83" s="180"/>
      <c r="P83" s="181"/>
      <c r="Q83" s="339">
        <v>420</v>
      </c>
      <c r="R83" s="339"/>
      <c r="S83" s="339"/>
      <c r="T83" s="339"/>
      <c r="U83" s="339">
        <v>280</v>
      </c>
      <c r="V83" s="351"/>
      <c r="W83" s="351"/>
      <c r="X83" s="351"/>
      <c r="Y83" s="234"/>
      <c r="Z83" s="4"/>
      <c r="AA83" s="4"/>
      <c r="AB83" s="4"/>
      <c r="AC83" s="4"/>
      <c r="AD83" s="4"/>
      <c r="AE83" s="4"/>
      <c r="AF83" s="4"/>
      <c r="AG83" s="4"/>
    </row>
    <row r="84" spans="1:33" x14ac:dyDescent="0.35">
      <c r="A84" s="202">
        <v>46</v>
      </c>
      <c r="B84" s="355" t="s">
        <v>617</v>
      </c>
      <c r="C84" s="263"/>
      <c r="D84" s="263"/>
      <c r="E84" s="346"/>
      <c r="F84" s="346"/>
      <c r="G84" s="347"/>
      <c r="H84" s="347"/>
      <c r="I84" s="236">
        <v>46</v>
      </c>
      <c r="J84" s="348" t="s">
        <v>617</v>
      </c>
      <c r="K84" s="238"/>
      <c r="L84" s="238"/>
      <c r="M84" s="351"/>
      <c r="N84" s="351"/>
      <c r="O84" s="351"/>
      <c r="P84" s="351"/>
      <c r="Q84" s="351"/>
      <c r="R84" s="351"/>
      <c r="S84" s="351"/>
      <c r="T84" s="351"/>
      <c r="U84" s="351"/>
      <c r="V84" s="351"/>
      <c r="W84" s="351"/>
      <c r="X84" s="351"/>
      <c r="Y84" s="234"/>
      <c r="Z84" s="4"/>
      <c r="AA84" s="4"/>
      <c r="AB84" s="4"/>
      <c r="AC84" s="4"/>
      <c r="AD84" s="4"/>
      <c r="AE84" s="4"/>
      <c r="AF84" s="4"/>
      <c r="AG84" s="4"/>
    </row>
    <row r="85" spans="1:33" ht="42" x14ac:dyDescent="0.35">
      <c r="A85" s="372" t="s">
        <v>573</v>
      </c>
      <c r="B85" s="368" t="s">
        <v>618</v>
      </c>
      <c r="C85" s="367" t="s">
        <v>619</v>
      </c>
      <c r="D85" s="367" t="s">
        <v>620</v>
      </c>
      <c r="E85" s="377">
        <v>21000</v>
      </c>
      <c r="F85" s="377" t="s">
        <v>621</v>
      </c>
      <c r="G85" s="378" t="s">
        <v>621</v>
      </c>
      <c r="H85" s="182" t="s">
        <v>621</v>
      </c>
      <c r="I85" s="102" t="s">
        <v>573</v>
      </c>
      <c r="J85" s="31" t="s">
        <v>618</v>
      </c>
      <c r="K85" s="238" t="s">
        <v>619</v>
      </c>
      <c r="L85" s="238" t="s">
        <v>622</v>
      </c>
      <c r="M85" s="180">
        <v>21000</v>
      </c>
      <c r="N85" s="180" t="s">
        <v>621</v>
      </c>
      <c r="O85" s="180" t="s">
        <v>621</v>
      </c>
      <c r="P85" s="181" t="s">
        <v>621</v>
      </c>
      <c r="Q85" s="339">
        <v>12600</v>
      </c>
      <c r="R85" s="339"/>
      <c r="S85" s="339"/>
      <c r="T85" s="339"/>
      <c r="U85" s="339">
        <v>8400</v>
      </c>
      <c r="V85" s="181"/>
      <c r="W85" s="181"/>
      <c r="X85" s="181"/>
      <c r="Y85" s="234"/>
      <c r="Z85" s="4"/>
      <c r="AA85" s="4"/>
      <c r="AB85" s="4"/>
      <c r="AC85" s="4"/>
      <c r="AD85" s="4"/>
      <c r="AE85" s="4"/>
      <c r="AF85" s="4"/>
      <c r="AG85" s="4"/>
    </row>
    <row r="86" spans="1:33" ht="56" x14ac:dyDescent="0.35">
      <c r="A86" s="372" t="s">
        <v>625</v>
      </c>
      <c r="B86" s="368" t="s">
        <v>626</v>
      </c>
      <c r="C86" s="367" t="s">
        <v>627</v>
      </c>
      <c r="D86" s="367" t="s">
        <v>628</v>
      </c>
      <c r="E86" s="377">
        <v>44800</v>
      </c>
      <c r="F86" s="377" t="s">
        <v>621</v>
      </c>
      <c r="G86" s="378" t="s">
        <v>621</v>
      </c>
      <c r="H86" s="182" t="s">
        <v>621</v>
      </c>
      <c r="I86" s="102" t="s">
        <v>625</v>
      </c>
      <c r="J86" s="31" t="s">
        <v>624</v>
      </c>
      <c r="K86" s="238" t="s">
        <v>629</v>
      </c>
      <c r="L86" s="238" t="s">
        <v>630</v>
      </c>
      <c r="M86" s="180">
        <v>44800</v>
      </c>
      <c r="N86" s="180" t="s">
        <v>621</v>
      </c>
      <c r="O86" s="180" t="s">
        <v>621</v>
      </c>
      <c r="P86" s="181" t="s">
        <v>621</v>
      </c>
      <c r="Q86" s="339">
        <v>26880</v>
      </c>
      <c r="R86" s="339"/>
      <c r="S86" s="339"/>
      <c r="T86" s="339"/>
      <c r="U86" s="339">
        <v>17920</v>
      </c>
      <c r="V86" s="181"/>
      <c r="W86" s="181"/>
      <c r="X86" s="181"/>
      <c r="Y86" s="234"/>
      <c r="Z86" s="4"/>
      <c r="AA86" s="4"/>
      <c r="AB86" s="4"/>
      <c r="AC86" s="4"/>
      <c r="AD86" s="4"/>
      <c r="AE86" s="4"/>
      <c r="AF86" s="4"/>
      <c r="AG86" s="4"/>
    </row>
    <row r="87" spans="1:33" x14ac:dyDescent="0.35">
      <c r="A87" s="202">
        <v>47</v>
      </c>
      <c r="B87" s="355" t="s">
        <v>632</v>
      </c>
      <c r="C87" s="263"/>
      <c r="D87" s="263"/>
      <c r="E87" s="346"/>
      <c r="F87" s="346"/>
      <c r="G87" s="347"/>
      <c r="H87" s="347"/>
      <c r="I87" s="236">
        <v>47</v>
      </c>
      <c r="J87" s="348" t="s">
        <v>632</v>
      </c>
      <c r="K87" s="238"/>
      <c r="L87" s="238"/>
      <c r="M87" s="351"/>
      <c r="N87" s="351"/>
      <c r="O87" s="351"/>
      <c r="P87" s="351"/>
      <c r="Q87" s="351"/>
      <c r="R87" s="351"/>
      <c r="S87" s="351"/>
      <c r="T87" s="351"/>
      <c r="U87" s="351"/>
      <c r="V87" s="351"/>
      <c r="W87" s="351"/>
      <c r="X87" s="351"/>
      <c r="Y87" s="234"/>
      <c r="Z87" s="4"/>
      <c r="AA87" s="4"/>
      <c r="AB87" s="4"/>
      <c r="AC87" s="4"/>
      <c r="AD87" s="4"/>
      <c r="AE87" s="4"/>
      <c r="AF87" s="4"/>
      <c r="AG87" s="4"/>
    </row>
    <row r="88" spans="1:33" ht="56" x14ac:dyDescent="0.35">
      <c r="A88" s="102" t="s">
        <v>25</v>
      </c>
      <c r="B88" s="31" t="s">
        <v>633</v>
      </c>
      <c r="C88" s="238" t="s">
        <v>634</v>
      </c>
      <c r="D88" s="238" t="s">
        <v>635</v>
      </c>
      <c r="E88" s="32">
        <v>7500</v>
      </c>
      <c r="F88" s="32"/>
      <c r="G88" s="32"/>
      <c r="H88" s="297"/>
      <c r="I88" s="102" t="s">
        <v>25</v>
      </c>
      <c r="J88" s="31" t="s">
        <v>636</v>
      </c>
      <c r="K88" s="238" t="s">
        <v>637</v>
      </c>
      <c r="L88" s="238" t="s">
        <v>638</v>
      </c>
      <c r="M88" s="180">
        <v>7500</v>
      </c>
      <c r="N88" s="351"/>
      <c r="O88" s="351"/>
      <c r="P88" s="351"/>
      <c r="Q88" s="339">
        <v>4500</v>
      </c>
      <c r="R88" s="339"/>
      <c r="S88" s="339"/>
      <c r="T88" s="339"/>
      <c r="U88" s="339">
        <v>3000</v>
      </c>
      <c r="V88" s="351"/>
      <c r="W88" s="351"/>
      <c r="X88" s="351"/>
      <c r="Y88" s="234"/>
      <c r="Z88" s="4"/>
      <c r="AA88" s="4"/>
      <c r="AB88" s="4"/>
      <c r="AC88" s="4"/>
      <c r="AD88" s="4"/>
      <c r="AE88" s="4"/>
      <c r="AF88" s="4"/>
      <c r="AG88" s="4"/>
    </row>
    <row r="89" spans="1:33" ht="56" x14ac:dyDescent="0.35">
      <c r="A89" s="102" t="s">
        <v>640</v>
      </c>
      <c r="B89" s="31" t="s">
        <v>641</v>
      </c>
      <c r="C89" s="238" t="s">
        <v>642</v>
      </c>
      <c r="D89" s="238" t="s">
        <v>643</v>
      </c>
      <c r="E89" s="32">
        <v>3500</v>
      </c>
      <c r="F89" s="32"/>
      <c r="G89" s="32"/>
      <c r="H89" s="297"/>
      <c r="I89" s="102" t="s">
        <v>640</v>
      </c>
      <c r="J89" s="31" t="s">
        <v>644</v>
      </c>
      <c r="K89" s="238" t="s">
        <v>642</v>
      </c>
      <c r="L89" s="238" t="s">
        <v>643</v>
      </c>
      <c r="M89" s="180">
        <v>3500</v>
      </c>
      <c r="N89" s="351"/>
      <c r="O89" s="351"/>
      <c r="P89" s="351"/>
      <c r="Q89" s="339">
        <v>2100</v>
      </c>
      <c r="R89" s="339"/>
      <c r="S89" s="339"/>
      <c r="T89" s="339"/>
      <c r="U89" s="339">
        <v>1400</v>
      </c>
      <c r="V89" s="351"/>
      <c r="W89" s="351"/>
      <c r="X89" s="351"/>
      <c r="Y89" s="234"/>
      <c r="Z89" s="4"/>
      <c r="AA89" s="4"/>
      <c r="AB89" s="4"/>
      <c r="AC89" s="4"/>
      <c r="AD89" s="4"/>
      <c r="AE89" s="4"/>
      <c r="AF89" s="4"/>
      <c r="AG89" s="4"/>
    </row>
    <row r="90" spans="1:33" ht="56" x14ac:dyDescent="0.35">
      <c r="A90" s="102" t="s">
        <v>645</v>
      </c>
      <c r="B90" s="31" t="s">
        <v>646</v>
      </c>
      <c r="C90" s="238" t="s">
        <v>647</v>
      </c>
      <c r="D90" s="238" t="s">
        <v>648</v>
      </c>
      <c r="E90" s="32">
        <v>5800</v>
      </c>
      <c r="F90" s="346"/>
      <c r="G90" s="347"/>
      <c r="H90" s="347"/>
      <c r="I90" s="102" t="s">
        <v>645</v>
      </c>
      <c r="J90" s="31" t="s">
        <v>649</v>
      </c>
      <c r="K90" s="238" t="s">
        <v>650</v>
      </c>
      <c r="L90" s="238" t="s">
        <v>648</v>
      </c>
      <c r="M90" s="180">
        <v>5800</v>
      </c>
      <c r="N90" s="351"/>
      <c r="O90" s="351"/>
      <c r="P90" s="351"/>
      <c r="Q90" s="339">
        <v>3480</v>
      </c>
      <c r="R90" s="339"/>
      <c r="S90" s="339"/>
      <c r="T90" s="339"/>
      <c r="U90" s="339">
        <v>2320</v>
      </c>
      <c r="V90" s="351"/>
      <c r="W90" s="351"/>
      <c r="X90" s="351"/>
      <c r="Y90" s="234"/>
      <c r="Z90" s="4"/>
      <c r="AA90" s="4"/>
      <c r="AB90" s="4"/>
      <c r="AC90" s="4"/>
      <c r="AD90" s="4"/>
      <c r="AE90" s="4"/>
      <c r="AF90" s="4"/>
      <c r="AG90" s="4"/>
    </row>
    <row r="91" spans="1:33" ht="56" x14ac:dyDescent="0.35">
      <c r="A91" s="102" t="s">
        <v>651</v>
      </c>
      <c r="B91" s="31" t="s">
        <v>652</v>
      </c>
      <c r="C91" s="238" t="s">
        <v>653</v>
      </c>
      <c r="D91" s="238" t="s">
        <v>654</v>
      </c>
      <c r="E91" s="32">
        <v>7500</v>
      </c>
      <c r="F91" s="32"/>
      <c r="G91" s="32"/>
      <c r="H91" s="297"/>
      <c r="I91" s="102" t="s">
        <v>651</v>
      </c>
      <c r="J91" s="31" t="s">
        <v>655</v>
      </c>
      <c r="K91" s="238" t="s">
        <v>653</v>
      </c>
      <c r="L91" s="238" t="s">
        <v>654</v>
      </c>
      <c r="M91" s="180">
        <v>7500</v>
      </c>
      <c r="N91" s="351"/>
      <c r="O91" s="351"/>
      <c r="P91" s="351"/>
      <c r="Q91" s="339">
        <v>4500</v>
      </c>
      <c r="R91" s="339"/>
      <c r="S91" s="339"/>
      <c r="T91" s="339"/>
      <c r="U91" s="339">
        <v>3000</v>
      </c>
      <c r="V91" s="351"/>
      <c r="W91" s="351"/>
      <c r="X91" s="351"/>
      <c r="Y91" s="234"/>
      <c r="Z91" s="4"/>
      <c r="AA91" s="4"/>
      <c r="AB91" s="4"/>
      <c r="AC91" s="4"/>
      <c r="AD91" s="4"/>
      <c r="AE91" s="4"/>
      <c r="AF91" s="4"/>
      <c r="AG91" s="4"/>
    </row>
    <row r="92" spans="1:33" ht="70" x14ac:dyDescent="0.35">
      <c r="A92" s="102" t="s">
        <v>656</v>
      </c>
      <c r="B92" s="31" t="s">
        <v>657</v>
      </c>
      <c r="C92" s="238" t="s">
        <v>658</v>
      </c>
      <c r="D92" s="238" t="s">
        <v>659</v>
      </c>
      <c r="E92" s="32">
        <v>10400</v>
      </c>
      <c r="F92" s="32"/>
      <c r="G92" s="32"/>
      <c r="H92" s="297"/>
      <c r="I92" s="102" t="s">
        <v>656</v>
      </c>
      <c r="J92" s="31" t="s">
        <v>660</v>
      </c>
      <c r="K92" s="31" t="s">
        <v>661</v>
      </c>
      <c r="L92" s="31" t="s">
        <v>662</v>
      </c>
      <c r="M92" s="180">
        <v>10400</v>
      </c>
      <c r="N92" s="351"/>
      <c r="O92" s="351"/>
      <c r="P92" s="351"/>
      <c r="Q92" s="339">
        <v>6240</v>
      </c>
      <c r="R92" s="339"/>
      <c r="S92" s="339"/>
      <c r="T92" s="339"/>
      <c r="U92" s="339">
        <v>4200</v>
      </c>
      <c r="V92" s="351"/>
      <c r="W92" s="351"/>
      <c r="X92" s="351"/>
      <c r="Y92" s="234"/>
      <c r="Z92" s="4"/>
      <c r="AA92" s="4"/>
      <c r="AB92" s="4"/>
      <c r="AC92" s="4"/>
      <c r="AD92" s="4"/>
      <c r="AE92" s="4"/>
      <c r="AF92" s="4"/>
      <c r="AG92" s="4"/>
    </row>
    <row r="93" spans="1:33" ht="28" x14ac:dyDescent="0.35">
      <c r="A93" s="102" t="s">
        <v>663</v>
      </c>
      <c r="B93" s="31" t="s">
        <v>664</v>
      </c>
      <c r="C93" s="238" t="s">
        <v>665</v>
      </c>
      <c r="D93" s="238" t="s">
        <v>666</v>
      </c>
      <c r="E93" s="32">
        <v>1900</v>
      </c>
      <c r="F93" s="32"/>
      <c r="G93" s="32"/>
      <c r="H93" s="297"/>
      <c r="I93" s="102" t="s">
        <v>663</v>
      </c>
      <c r="J93" s="31" t="s">
        <v>667</v>
      </c>
      <c r="K93" s="31" t="s">
        <v>668</v>
      </c>
      <c r="L93" s="31" t="s">
        <v>669</v>
      </c>
      <c r="M93" s="180">
        <v>1900</v>
      </c>
      <c r="N93" s="351"/>
      <c r="O93" s="351"/>
      <c r="P93" s="351"/>
      <c r="Q93" s="339">
        <v>1140</v>
      </c>
      <c r="R93" s="339"/>
      <c r="S93" s="339"/>
      <c r="T93" s="339"/>
      <c r="U93" s="339">
        <v>760</v>
      </c>
      <c r="V93" s="351"/>
      <c r="W93" s="351"/>
      <c r="X93" s="351"/>
      <c r="Y93" s="234"/>
      <c r="Z93" s="4"/>
      <c r="AA93" s="4"/>
      <c r="AB93" s="4"/>
      <c r="AC93" s="4"/>
      <c r="AD93" s="4"/>
      <c r="AE93" s="4"/>
      <c r="AF93" s="4"/>
      <c r="AG93" s="4"/>
    </row>
    <row r="94" spans="1:33" ht="56" x14ac:dyDescent="0.35">
      <c r="A94" s="102" t="s">
        <v>670</v>
      </c>
      <c r="B94" s="31" t="s">
        <v>671</v>
      </c>
      <c r="C94" s="238" t="s">
        <v>672</v>
      </c>
      <c r="D94" s="238" t="s">
        <v>673</v>
      </c>
      <c r="E94" s="32">
        <v>4400</v>
      </c>
      <c r="F94" s="32"/>
      <c r="G94" s="32"/>
      <c r="H94" s="297"/>
      <c r="I94" s="102" t="s">
        <v>670</v>
      </c>
      <c r="J94" s="31" t="s">
        <v>674</v>
      </c>
      <c r="K94" s="31" t="s">
        <v>675</v>
      </c>
      <c r="L94" s="31" t="s">
        <v>676</v>
      </c>
      <c r="M94" s="180">
        <v>4400</v>
      </c>
      <c r="N94" s="351"/>
      <c r="O94" s="351"/>
      <c r="P94" s="351"/>
      <c r="Q94" s="339">
        <v>2640</v>
      </c>
      <c r="R94" s="339"/>
      <c r="S94" s="339"/>
      <c r="T94" s="339"/>
      <c r="U94" s="339">
        <v>1800</v>
      </c>
      <c r="V94" s="351"/>
      <c r="W94" s="351"/>
      <c r="X94" s="351"/>
      <c r="Y94" s="234"/>
      <c r="Z94" s="4"/>
      <c r="AA94" s="4"/>
      <c r="AB94" s="4"/>
      <c r="AC94" s="4"/>
      <c r="AD94" s="4"/>
      <c r="AE94" s="4"/>
      <c r="AF94" s="4"/>
      <c r="AG94" s="4"/>
    </row>
    <row r="95" spans="1:33" ht="56" x14ac:dyDescent="0.35">
      <c r="A95" s="102" t="s">
        <v>677</v>
      </c>
      <c r="B95" s="31" t="s">
        <v>678</v>
      </c>
      <c r="C95" s="238" t="s">
        <v>679</v>
      </c>
      <c r="D95" s="238" t="s">
        <v>680</v>
      </c>
      <c r="E95" s="32">
        <v>3500</v>
      </c>
      <c r="F95" s="32"/>
      <c r="G95" s="32"/>
      <c r="H95" s="297"/>
      <c r="I95" s="102" t="s">
        <v>677</v>
      </c>
      <c r="J95" s="31" t="s">
        <v>681</v>
      </c>
      <c r="K95" s="31" t="s">
        <v>679</v>
      </c>
      <c r="L95" s="31" t="s">
        <v>680</v>
      </c>
      <c r="M95" s="180">
        <v>3500</v>
      </c>
      <c r="N95" s="351"/>
      <c r="O95" s="351"/>
      <c r="P95" s="351"/>
      <c r="Q95" s="339">
        <v>2100</v>
      </c>
      <c r="R95" s="339"/>
      <c r="S95" s="339"/>
      <c r="T95" s="339"/>
      <c r="U95" s="339">
        <v>1400</v>
      </c>
      <c r="V95" s="351"/>
      <c r="W95" s="351"/>
      <c r="X95" s="351"/>
      <c r="Y95" s="234"/>
      <c r="Z95" s="4"/>
      <c r="AA95" s="4"/>
      <c r="AB95" s="4"/>
      <c r="AC95" s="4"/>
      <c r="AD95" s="4"/>
      <c r="AE95" s="4"/>
      <c r="AF95" s="4"/>
      <c r="AG95" s="4"/>
    </row>
    <row r="96" spans="1:33" x14ac:dyDescent="0.35">
      <c r="A96" s="202">
        <v>48</v>
      </c>
      <c r="B96" s="355" t="s">
        <v>682</v>
      </c>
      <c r="C96" s="263"/>
      <c r="D96" s="263"/>
      <c r="E96" s="346"/>
      <c r="F96" s="346"/>
      <c r="G96" s="347"/>
      <c r="H96" s="347"/>
      <c r="I96" s="236">
        <v>48</v>
      </c>
      <c r="J96" s="348" t="s">
        <v>682</v>
      </c>
      <c r="K96" s="238"/>
      <c r="L96" s="238"/>
      <c r="M96" s="351"/>
      <c r="N96" s="351"/>
      <c r="O96" s="351"/>
      <c r="P96" s="351"/>
      <c r="Q96" s="351"/>
      <c r="R96" s="351"/>
      <c r="S96" s="351"/>
      <c r="T96" s="351"/>
      <c r="U96" s="351"/>
      <c r="V96" s="351"/>
      <c r="W96" s="351"/>
      <c r="X96" s="351"/>
      <c r="Y96" s="234"/>
      <c r="Z96" s="4"/>
      <c r="AA96" s="4"/>
      <c r="AB96" s="4"/>
      <c r="AC96" s="4"/>
      <c r="AD96" s="4"/>
      <c r="AE96" s="4"/>
      <c r="AF96" s="4"/>
      <c r="AG96" s="4"/>
    </row>
    <row r="97" spans="1:33" ht="42" x14ac:dyDescent="0.35">
      <c r="A97" s="379">
        <v>1.1000000000000001</v>
      </c>
      <c r="B97" s="31" t="s">
        <v>683</v>
      </c>
      <c r="C97" s="238" t="s">
        <v>684</v>
      </c>
      <c r="D97" s="297" t="s">
        <v>685</v>
      </c>
      <c r="E97" s="240">
        <v>13200</v>
      </c>
      <c r="F97" s="380"/>
      <c r="G97" s="240"/>
      <c r="H97" s="353"/>
      <c r="I97" s="379" t="s">
        <v>1076</v>
      </c>
      <c r="J97" s="31" t="s">
        <v>686</v>
      </c>
      <c r="K97" s="238" t="s">
        <v>684</v>
      </c>
      <c r="L97" s="238" t="s">
        <v>687</v>
      </c>
      <c r="M97" s="334">
        <v>13200</v>
      </c>
      <c r="N97" s="351"/>
      <c r="O97" s="351"/>
      <c r="P97" s="351"/>
      <c r="Q97" s="339">
        <v>7920</v>
      </c>
      <c r="R97" s="339"/>
      <c r="S97" s="339"/>
      <c r="T97" s="339"/>
      <c r="U97" s="339">
        <v>5280</v>
      </c>
      <c r="V97" s="351"/>
      <c r="W97" s="351"/>
      <c r="X97" s="351"/>
      <c r="Y97" s="234"/>
      <c r="Z97" s="4"/>
      <c r="AA97" s="4"/>
      <c r="AB97" s="4"/>
      <c r="AC97" s="4"/>
      <c r="AD97" s="4"/>
      <c r="AE97" s="4"/>
      <c r="AF97" s="4"/>
      <c r="AG97" s="4"/>
    </row>
    <row r="98" spans="1:33" ht="56" x14ac:dyDescent="0.35">
      <c r="A98" s="235">
        <v>1.1100000000000001</v>
      </c>
      <c r="B98" s="31" t="s">
        <v>688</v>
      </c>
      <c r="C98" s="238" t="s">
        <v>689</v>
      </c>
      <c r="D98" s="297" t="s">
        <v>690</v>
      </c>
      <c r="E98" s="240">
        <v>11300</v>
      </c>
      <c r="F98" s="380"/>
      <c r="G98" s="240"/>
      <c r="H98" s="353"/>
      <c r="I98" s="235" t="s">
        <v>1077</v>
      </c>
      <c r="J98" s="31" t="s">
        <v>691</v>
      </c>
      <c r="K98" s="238" t="s">
        <v>692</v>
      </c>
      <c r="L98" s="238" t="s">
        <v>693</v>
      </c>
      <c r="M98" s="334">
        <v>11300</v>
      </c>
      <c r="N98" s="351"/>
      <c r="O98" s="351"/>
      <c r="P98" s="351"/>
      <c r="Q98" s="339">
        <v>6780</v>
      </c>
      <c r="R98" s="339"/>
      <c r="S98" s="339"/>
      <c r="T98" s="339"/>
      <c r="U98" s="339">
        <v>4520</v>
      </c>
      <c r="V98" s="351"/>
      <c r="W98" s="351"/>
      <c r="X98" s="351"/>
      <c r="Y98" s="234" t="s">
        <v>694</v>
      </c>
      <c r="Z98" s="4"/>
      <c r="AA98" s="4"/>
      <c r="AB98" s="4"/>
      <c r="AC98" s="4"/>
      <c r="AD98" s="4"/>
      <c r="AE98" s="4"/>
      <c r="AF98" s="4"/>
      <c r="AG98" s="4"/>
    </row>
    <row r="99" spans="1:33" x14ac:dyDescent="0.35">
      <c r="A99" s="202">
        <v>50</v>
      </c>
      <c r="B99" s="355" t="s">
        <v>704</v>
      </c>
      <c r="C99" s="263"/>
      <c r="D99" s="263"/>
      <c r="E99" s="346"/>
      <c r="F99" s="346"/>
      <c r="G99" s="347"/>
      <c r="H99" s="347"/>
      <c r="I99" s="236">
        <v>50</v>
      </c>
      <c r="J99" s="348" t="s">
        <v>704</v>
      </c>
      <c r="K99" s="238"/>
      <c r="L99" s="238"/>
      <c r="M99" s="351"/>
      <c r="N99" s="351"/>
      <c r="O99" s="351"/>
      <c r="P99" s="351"/>
      <c r="Q99" s="351"/>
      <c r="R99" s="351"/>
      <c r="S99" s="351"/>
      <c r="T99" s="351"/>
      <c r="U99" s="351"/>
      <c r="V99" s="351"/>
      <c r="W99" s="351"/>
      <c r="X99" s="351"/>
      <c r="Y99" s="234"/>
      <c r="Z99" s="4"/>
      <c r="AA99" s="4"/>
      <c r="AB99" s="4"/>
      <c r="AC99" s="4"/>
      <c r="AD99" s="4"/>
      <c r="AE99" s="4"/>
      <c r="AF99" s="4"/>
      <c r="AG99" s="4"/>
    </row>
    <row r="100" spans="1:33" ht="42" x14ac:dyDescent="0.35">
      <c r="A100" s="235" t="s">
        <v>1117</v>
      </c>
      <c r="B100" s="381" t="s">
        <v>706</v>
      </c>
      <c r="C100" s="238" t="s">
        <v>707</v>
      </c>
      <c r="D100" s="238" t="s">
        <v>643</v>
      </c>
      <c r="E100" s="377">
        <v>5200</v>
      </c>
      <c r="F100" s="377">
        <v>3600</v>
      </c>
      <c r="G100" s="378">
        <v>2600</v>
      </c>
      <c r="H100" s="182">
        <v>2000</v>
      </c>
      <c r="I100" s="235" t="s">
        <v>708</v>
      </c>
      <c r="J100" s="31" t="s">
        <v>709</v>
      </c>
      <c r="K100" s="238" t="s">
        <v>707</v>
      </c>
      <c r="L100" s="238" t="s">
        <v>643</v>
      </c>
      <c r="M100" s="180">
        <v>5200</v>
      </c>
      <c r="N100" s="180">
        <v>3600</v>
      </c>
      <c r="O100" s="180">
        <v>2600</v>
      </c>
      <c r="P100" s="181">
        <v>2000</v>
      </c>
      <c r="Q100" s="339">
        <v>3120</v>
      </c>
      <c r="R100" s="339">
        <v>2160</v>
      </c>
      <c r="S100" s="339">
        <v>1560</v>
      </c>
      <c r="T100" s="339">
        <v>1200</v>
      </c>
      <c r="U100" s="339">
        <v>2080</v>
      </c>
      <c r="V100" s="339">
        <v>1440</v>
      </c>
      <c r="W100" s="339">
        <v>1040</v>
      </c>
      <c r="X100" s="339">
        <v>800</v>
      </c>
      <c r="Y100" s="234"/>
      <c r="Z100" s="4"/>
      <c r="AA100" s="4"/>
      <c r="AB100" s="4"/>
      <c r="AC100" s="4"/>
      <c r="AD100" s="4"/>
      <c r="AE100" s="4"/>
      <c r="AF100" s="4"/>
      <c r="AG100" s="4"/>
    </row>
    <row r="101" spans="1:33" ht="56" x14ac:dyDescent="0.35">
      <c r="A101" s="235" t="s">
        <v>715</v>
      </c>
      <c r="B101" s="381" t="s">
        <v>716</v>
      </c>
      <c r="C101" s="238" t="s">
        <v>707</v>
      </c>
      <c r="D101" s="238" t="s">
        <v>643</v>
      </c>
      <c r="E101" s="377">
        <v>7500</v>
      </c>
      <c r="F101" s="377">
        <v>4500</v>
      </c>
      <c r="G101" s="378">
        <v>3000</v>
      </c>
      <c r="H101" s="182">
        <v>2000</v>
      </c>
      <c r="I101" s="235" t="s">
        <v>717</v>
      </c>
      <c r="J101" s="31" t="s">
        <v>716</v>
      </c>
      <c r="K101" s="238" t="s">
        <v>707</v>
      </c>
      <c r="L101" s="238" t="s">
        <v>643</v>
      </c>
      <c r="M101" s="180">
        <v>7500</v>
      </c>
      <c r="N101" s="180">
        <v>4500</v>
      </c>
      <c r="O101" s="180">
        <v>3000</v>
      </c>
      <c r="P101" s="181">
        <v>2000</v>
      </c>
      <c r="Q101" s="339">
        <v>4500</v>
      </c>
      <c r="R101" s="339">
        <v>2700</v>
      </c>
      <c r="S101" s="339">
        <v>1800</v>
      </c>
      <c r="T101" s="339">
        <v>1200</v>
      </c>
      <c r="U101" s="339">
        <v>3000</v>
      </c>
      <c r="V101" s="339">
        <v>1800</v>
      </c>
      <c r="W101" s="339">
        <v>1200</v>
      </c>
      <c r="X101" s="339">
        <v>800</v>
      </c>
      <c r="Y101" s="234"/>
      <c r="Z101" s="4"/>
      <c r="AA101" s="4"/>
      <c r="AB101" s="4"/>
      <c r="AC101" s="4"/>
      <c r="AD101" s="4"/>
      <c r="AE101" s="4"/>
      <c r="AF101" s="4"/>
      <c r="AG101" s="4"/>
    </row>
    <row r="102" spans="1:33" ht="42" x14ac:dyDescent="0.35">
      <c r="A102" s="235" t="s">
        <v>719</v>
      </c>
      <c r="B102" s="381" t="s">
        <v>720</v>
      </c>
      <c r="C102" s="238" t="s">
        <v>707</v>
      </c>
      <c r="D102" s="238" t="s">
        <v>643</v>
      </c>
      <c r="E102" s="377">
        <v>4600</v>
      </c>
      <c r="F102" s="377">
        <v>3200</v>
      </c>
      <c r="G102" s="377">
        <v>2300</v>
      </c>
      <c r="H102" s="382">
        <v>2000</v>
      </c>
      <c r="I102" s="235" t="s">
        <v>721</v>
      </c>
      <c r="J102" s="31" t="s">
        <v>720</v>
      </c>
      <c r="K102" s="238" t="s">
        <v>707</v>
      </c>
      <c r="L102" s="238" t="s">
        <v>643</v>
      </c>
      <c r="M102" s="180">
        <v>4600</v>
      </c>
      <c r="N102" s="180">
        <v>3200</v>
      </c>
      <c r="O102" s="180">
        <v>2300</v>
      </c>
      <c r="P102" s="181">
        <v>2000</v>
      </c>
      <c r="Q102" s="339">
        <v>2760</v>
      </c>
      <c r="R102" s="339">
        <v>1920</v>
      </c>
      <c r="S102" s="339">
        <v>1380</v>
      </c>
      <c r="T102" s="339">
        <v>1200</v>
      </c>
      <c r="U102" s="339">
        <v>1840</v>
      </c>
      <c r="V102" s="339">
        <v>1280</v>
      </c>
      <c r="W102" s="339">
        <v>920</v>
      </c>
      <c r="X102" s="339">
        <v>800</v>
      </c>
      <c r="Y102" s="234"/>
      <c r="Z102" s="4"/>
      <c r="AA102" s="4"/>
      <c r="AB102" s="4"/>
      <c r="AC102" s="4"/>
      <c r="AD102" s="4"/>
      <c r="AE102" s="4"/>
      <c r="AF102" s="4"/>
      <c r="AG102" s="4"/>
    </row>
    <row r="103" spans="1:33" x14ac:dyDescent="0.35">
      <c r="A103" s="235" t="s">
        <v>721</v>
      </c>
      <c r="B103" s="381" t="s">
        <v>723</v>
      </c>
      <c r="C103" s="263"/>
      <c r="D103" s="263"/>
      <c r="E103" s="377">
        <v>2000</v>
      </c>
      <c r="F103" s="377"/>
      <c r="G103" s="377"/>
      <c r="H103" s="383"/>
      <c r="I103" s="235" t="s">
        <v>724</v>
      </c>
      <c r="J103" s="31" t="s">
        <v>723</v>
      </c>
      <c r="K103" s="238"/>
      <c r="L103" s="238"/>
      <c r="M103" s="180">
        <v>2000</v>
      </c>
      <c r="N103" s="180"/>
      <c r="O103" s="180"/>
      <c r="P103" s="181"/>
      <c r="Q103" s="339">
        <v>1200</v>
      </c>
      <c r="R103" s="339"/>
      <c r="S103" s="339"/>
      <c r="T103" s="339"/>
      <c r="U103" s="339">
        <v>800</v>
      </c>
      <c r="V103" s="181"/>
      <c r="W103" s="181"/>
      <c r="X103" s="181"/>
      <c r="Y103" s="234"/>
      <c r="Z103" s="4"/>
      <c r="AA103" s="4"/>
      <c r="AB103" s="4"/>
      <c r="AC103" s="4"/>
      <c r="AD103" s="4"/>
      <c r="AE103" s="4"/>
      <c r="AF103" s="4"/>
      <c r="AG103" s="4"/>
    </row>
    <row r="104" spans="1:33" x14ac:dyDescent="0.35">
      <c r="A104" s="202">
        <v>52</v>
      </c>
      <c r="B104" s="355" t="s">
        <v>727</v>
      </c>
      <c r="C104" s="263"/>
      <c r="D104" s="263"/>
      <c r="E104" s="346"/>
      <c r="F104" s="346"/>
      <c r="G104" s="346"/>
      <c r="H104" s="347"/>
      <c r="I104" s="236">
        <v>52</v>
      </c>
      <c r="J104" s="348" t="s">
        <v>727</v>
      </c>
      <c r="K104" s="238"/>
      <c r="L104" s="238"/>
      <c r="M104" s="351"/>
      <c r="N104" s="351"/>
      <c r="O104" s="351"/>
      <c r="P104" s="351"/>
      <c r="Q104" s="351"/>
      <c r="R104" s="351"/>
      <c r="S104" s="351"/>
      <c r="T104" s="351"/>
      <c r="U104" s="351"/>
      <c r="V104" s="351"/>
      <c r="W104" s="351"/>
      <c r="X104" s="351"/>
      <c r="Y104" s="234"/>
      <c r="Z104" s="4"/>
      <c r="AA104" s="4"/>
      <c r="AB104" s="4"/>
      <c r="AC104" s="4"/>
      <c r="AD104" s="4"/>
      <c r="AE104" s="4"/>
      <c r="AF104" s="4"/>
      <c r="AG104" s="4"/>
    </row>
    <row r="105" spans="1:33" ht="28" x14ac:dyDescent="0.35">
      <c r="A105" s="384" t="s">
        <v>200</v>
      </c>
      <c r="B105" s="368" t="s">
        <v>728</v>
      </c>
      <c r="C105" s="263"/>
      <c r="D105" s="263"/>
      <c r="E105" s="346"/>
      <c r="F105" s="346"/>
      <c r="G105" s="346"/>
      <c r="H105" s="347"/>
      <c r="I105" s="171" t="s">
        <v>200</v>
      </c>
      <c r="J105" s="31" t="s">
        <v>728</v>
      </c>
      <c r="K105" s="238"/>
      <c r="L105" s="238"/>
      <c r="M105" s="351"/>
      <c r="N105" s="351"/>
      <c r="O105" s="351"/>
      <c r="P105" s="351"/>
      <c r="Q105" s="351"/>
      <c r="R105" s="351"/>
      <c r="S105" s="351"/>
      <c r="T105" s="351"/>
      <c r="U105" s="351"/>
      <c r="V105" s="351"/>
      <c r="W105" s="351"/>
      <c r="X105" s="351"/>
      <c r="Y105" s="234"/>
      <c r="Z105" s="4"/>
      <c r="AA105" s="4"/>
      <c r="AB105" s="4"/>
      <c r="AC105" s="4"/>
      <c r="AD105" s="4"/>
      <c r="AE105" s="4"/>
      <c r="AF105" s="4"/>
      <c r="AG105" s="4"/>
    </row>
    <row r="106" spans="1:33" ht="70" x14ac:dyDescent="0.35">
      <c r="A106" s="384" t="s">
        <v>729</v>
      </c>
      <c r="B106" s="368" t="s">
        <v>730</v>
      </c>
      <c r="C106" s="368" t="s">
        <v>731</v>
      </c>
      <c r="D106" s="368" t="s">
        <v>732</v>
      </c>
      <c r="E106" s="385">
        <v>15000</v>
      </c>
      <c r="F106" s="385">
        <v>6000</v>
      </c>
      <c r="G106" s="385">
        <v>3500</v>
      </c>
      <c r="H106" s="386">
        <v>2000</v>
      </c>
      <c r="I106" s="171" t="s">
        <v>729</v>
      </c>
      <c r="J106" s="31" t="s">
        <v>733</v>
      </c>
      <c r="K106" s="31" t="s">
        <v>731</v>
      </c>
      <c r="L106" s="31" t="s">
        <v>734</v>
      </c>
      <c r="M106" s="334">
        <v>15000</v>
      </c>
      <c r="N106" s="334">
        <v>6000</v>
      </c>
      <c r="O106" s="334">
        <v>3500</v>
      </c>
      <c r="P106" s="334">
        <v>2000</v>
      </c>
      <c r="Q106" s="339">
        <v>9000</v>
      </c>
      <c r="R106" s="339">
        <v>3600</v>
      </c>
      <c r="S106" s="339">
        <v>2100</v>
      </c>
      <c r="T106" s="339">
        <v>1280</v>
      </c>
      <c r="U106" s="339">
        <v>6000</v>
      </c>
      <c r="V106" s="339">
        <v>2400</v>
      </c>
      <c r="W106" s="339">
        <v>1400</v>
      </c>
      <c r="X106" s="339">
        <v>960</v>
      </c>
      <c r="Y106" s="234"/>
      <c r="Z106" s="4"/>
      <c r="AA106" s="4"/>
      <c r="AB106" s="4"/>
      <c r="AC106" s="4"/>
      <c r="AD106" s="4"/>
      <c r="AE106" s="4"/>
      <c r="AF106" s="4"/>
      <c r="AG106" s="4"/>
    </row>
    <row r="107" spans="1:33" x14ac:dyDescent="0.35">
      <c r="A107" s="236">
        <v>53</v>
      </c>
      <c r="B107" s="348" t="s">
        <v>735</v>
      </c>
      <c r="C107" s="263"/>
      <c r="D107" s="263"/>
      <c r="E107" s="346"/>
      <c r="F107" s="346"/>
      <c r="G107" s="346"/>
      <c r="H107" s="347"/>
      <c r="I107" s="236">
        <v>53</v>
      </c>
      <c r="J107" s="348" t="s">
        <v>735</v>
      </c>
      <c r="K107" s="238"/>
      <c r="L107" s="238"/>
      <c r="M107" s="351"/>
      <c r="N107" s="351"/>
      <c r="O107" s="351"/>
      <c r="P107" s="351"/>
      <c r="Q107" s="351"/>
      <c r="R107" s="351"/>
      <c r="S107" s="351"/>
      <c r="T107" s="351"/>
      <c r="U107" s="351"/>
      <c r="V107" s="351"/>
      <c r="W107" s="351"/>
      <c r="X107" s="351"/>
      <c r="Y107" s="234"/>
      <c r="Z107" s="4"/>
      <c r="AA107" s="4"/>
      <c r="AB107" s="4"/>
      <c r="AC107" s="4"/>
      <c r="AD107" s="4"/>
      <c r="AE107" s="4"/>
      <c r="AF107" s="4"/>
      <c r="AG107" s="4"/>
    </row>
    <row r="108" spans="1:33" ht="28" x14ac:dyDescent="0.35">
      <c r="A108" s="171" t="s">
        <v>745</v>
      </c>
      <c r="B108" s="31" t="s">
        <v>743</v>
      </c>
      <c r="C108" s="238" t="s">
        <v>746</v>
      </c>
      <c r="D108" s="238" t="s">
        <v>744</v>
      </c>
      <c r="E108" s="240">
        <v>8200</v>
      </c>
      <c r="F108" s="240">
        <v>2900</v>
      </c>
      <c r="G108" s="240">
        <v>1700</v>
      </c>
      <c r="H108" s="353">
        <v>1200</v>
      </c>
      <c r="I108" s="171" t="s">
        <v>591</v>
      </c>
      <c r="J108" s="31" t="s">
        <v>1050</v>
      </c>
      <c r="K108" s="238" t="s">
        <v>1081</v>
      </c>
      <c r="L108" s="238" t="s">
        <v>1053</v>
      </c>
      <c r="M108" s="334">
        <v>1800</v>
      </c>
      <c r="N108" s="334">
        <v>1400</v>
      </c>
      <c r="O108" s="334">
        <v>1000</v>
      </c>
      <c r="P108" s="335">
        <v>700</v>
      </c>
      <c r="Q108" s="334">
        <v>1080</v>
      </c>
      <c r="R108" s="335">
        <v>840</v>
      </c>
      <c r="S108" s="335">
        <v>600</v>
      </c>
      <c r="T108" s="335">
        <v>420</v>
      </c>
      <c r="U108" s="335">
        <v>720</v>
      </c>
      <c r="V108" s="335">
        <v>560</v>
      </c>
      <c r="W108" s="335">
        <v>420</v>
      </c>
      <c r="X108" s="335">
        <v>300</v>
      </c>
      <c r="Y108" s="234"/>
      <c r="Z108" s="4"/>
      <c r="AA108" s="4"/>
      <c r="AB108" s="4"/>
      <c r="AC108" s="4"/>
      <c r="AD108" s="4"/>
      <c r="AE108" s="4"/>
      <c r="AF108" s="4"/>
      <c r="AG108" s="4"/>
    </row>
    <row r="109" spans="1:33" x14ac:dyDescent="0.35">
      <c r="A109" s="171"/>
      <c r="B109" s="31"/>
      <c r="C109" s="238"/>
      <c r="D109" s="238"/>
      <c r="E109" s="240"/>
      <c r="F109" s="240"/>
      <c r="G109" s="240"/>
      <c r="H109" s="353"/>
      <c r="I109" s="248" t="s">
        <v>1069</v>
      </c>
      <c r="J109" s="168" t="s">
        <v>1079</v>
      </c>
      <c r="K109" s="387"/>
      <c r="L109" s="238"/>
      <c r="M109" s="334"/>
      <c r="N109" s="334"/>
      <c r="O109" s="334"/>
      <c r="P109" s="335"/>
      <c r="Q109" s="334"/>
      <c r="R109" s="335"/>
      <c r="S109" s="335"/>
      <c r="T109" s="335"/>
      <c r="U109" s="335"/>
      <c r="V109" s="335"/>
      <c r="W109" s="335"/>
      <c r="X109" s="335"/>
      <c r="Y109" s="234"/>
      <c r="Z109" s="4"/>
      <c r="AA109" s="4"/>
      <c r="AB109" s="4"/>
      <c r="AC109" s="4"/>
      <c r="AD109" s="4"/>
      <c r="AE109" s="4"/>
      <c r="AF109" s="4"/>
      <c r="AG109" s="4"/>
    </row>
    <row r="110" spans="1:33" x14ac:dyDescent="0.35">
      <c r="A110" s="171"/>
      <c r="B110" s="31"/>
      <c r="C110" s="238"/>
      <c r="D110" s="238"/>
      <c r="E110" s="240"/>
      <c r="F110" s="240"/>
      <c r="G110" s="240"/>
      <c r="H110" s="353"/>
      <c r="I110" s="236">
        <v>24</v>
      </c>
      <c r="J110" s="348" t="s">
        <v>23</v>
      </c>
      <c r="K110" s="263"/>
      <c r="L110" s="263"/>
      <c r="M110" s="351"/>
      <c r="N110" s="351"/>
      <c r="O110" s="351"/>
      <c r="P110" s="351"/>
      <c r="Q110" s="351"/>
      <c r="R110" s="351"/>
      <c r="S110" s="351"/>
      <c r="T110" s="351"/>
      <c r="U110" s="351"/>
      <c r="V110" s="351"/>
      <c r="W110" s="351"/>
      <c r="X110" s="351"/>
      <c r="Y110" s="234"/>
      <c r="Z110" s="4"/>
      <c r="AA110" s="4"/>
      <c r="AB110" s="4"/>
      <c r="AC110" s="4"/>
      <c r="AD110" s="4"/>
      <c r="AE110" s="4"/>
      <c r="AF110" s="4"/>
      <c r="AG110" s="4"/>
    </row>
    <row r="111" spans="1:33" ht="56" x14ac:dyDescent="0.35">
      <c r="A111" s="171"/>
      <c r="B111" s="31"/>
      <c r="C111" s="238"/>
      <c r="D111" s="238"/>
      <c r="E111" s="240"/>
      <c r="F111" s="240"/>
      <c r="G111" s="240"/>
      <c r="H111" s="353"/>
      <c r="I111" s="238">
        <v>11</v>
      </c>
      <c r="J111" s="138" t="s">
        <v>24</v>
      </c>
      <c r="K111" s="263"/>
      <c r="L111" s="263"/>
      <c r="M111" s="351"/>
      <c r="N111" s="351"/>
      <c r="O111" s="351"/>
      <c r="P111" s="351"/>
      <c r="Q111" s="351"/>
      <c r="R111" s="351"/>
      <c r="S111" s="351"/>
      <c r="T111" s="351"/>
      <c r="U111" s="351"/>
      <c r="V111" s="351"/>
      <c r="W111" s="351"/>
      <c r="X111" s="351"/>
      <c r="Y111" s="234"/>
      <c r="Z111" s="4"/>
      <c r="AA111" s="4"/>
      <c r="AB111" s="4"/>
      <c r="AC111" s="4"/>
      <c r="AD111" s="4"/>
      <c r="AE111" s="4"/>
      <c r="AF111" s="4"/>
      <c r="AG111" s="4"/>
    </row>
    <row r="112" spans="1:33" x14ac:dyDescent="0.35">
      <c r="A112" s="171"/>
      <c r="B112" s="31"/>
      <c r="C112" s="238"/>
      <c r="D112" s="238"/>
      <c r="E112" s="240"/>
      <c r="F112" s="240"/>
      <c r="G112" s="240"/>
      <c r="H112" s="353"/>
      <c r="I112" s="235" t="s">
        <v>28</v>
      </c>
      <c r="J112" s="243" t="s">
        <v>26</v>
      </c>
      <c r="K112" s="263"/>
      <c r="L112" s="263"/>
      <c r="M112" s="180">
        <v>6000</v>
      </c>
      <c r="N112" s="351"/>
      <c r="O112" s="351"/>
      <c r="P112" s="351"/>
      <c r="Q112" s="351"/>
      <c r="R112" s="351"/>
      <c r="S112" s="351"/>
      <c r="T112" s="351"/>
      <c r="U112" s="351"/>
      <c r="V112" s="351"/>
      <c r="W112" s="351"/>
      <c r="X112" s="351"/>
      <c r="Y112" s="234"/>
      <c r="Z112" s="4"/>
      <c r="AA112" s="4"/>
      <c r="AB112" s="4"/>
      <c r="AC112" s="4"/>
      <c r="AD112" s="4"/>
      <c r="AE112" s="4"/>
      <c r="AF112" s="4"/>
      <c r="AG112" s="4"/>
    </row>
    <row r="113" spans="1:33" x14ac:dyDescent="0.35">
      <c r="A113" s="171"/>
      <c r="B113" s="31"/>
      <c r="C113" s="238"/>
      <c r="D113" s="238"/>
      <c r="E113" s="240"/>
      <c r="F113" s="240"/>
      <c r="G113" s="240"/>
      <c r="H113" s="353"/>
      <c r="I113" s="235" t="s">
        <v>1023</v>
      </c>
      <c r="J113" s="243" t="s">
        <v>29</v>
      </c>
      <c r="K113" s="263"/>
      <c r="L113" s="263"/>
      <c r="M113" s="180">
        <v>5540</v>
      </c>
      <c r="N113" s="351"/>
      <c r="O113" s="351"/>
      <c r="P113" s="351"/>
      <c r="Q113" s="351"/>
      <c r="R113" s="351"/>
      <c r="S113" s="351"/>
      <c r="T113" s="351"/>
      <c r="U113" s="351"/>
      <c r="V113" s="351"/>
      <c r="W113" s="351"/>
      <c r="X113" s="351"/>
      <c r="Y113" s="234"/>
      <c r="Z113" s="4"/>
      <c r="AA113" s="4"/>
      <c r="AB113" s="4"/>
      <c r="AC113" s="4"/>
      <c r="AD113" s="4"/>
      <c r="AE113" s="4"/>
      <c r="AF113" s="4"/>
      <c r="AG113" s="4"/>
    </row>
    <row r="114" spans="1:33" x14ac:dyDescent="0.35">
      <c r="A114" s="171"/>
      <c r="B114" s="31"/>
      <c r="C114" s="238"/>
      <c r="D114" s="238"/>
      <c r="E114" s="240"/>
      <c r="F114" s="240"/>
      <c r="G114" s="240"/>
      <c r="H114" s="353"/>
      <c r="I114" s="236">
        <v>25</v>
      </c>
      <c r="J114" s="348" t="s">
        <v>30</v>
      </c>
      <c r="K114" s="238"/>
      <c r="L114" s="238"/>
      <c r="M114" s="334"/>
      <c r="N114" s="334"/>
      <c r="O114" s="334"/>
      <c r="P114" s="335"/>
      <c r="Q114" s="334"/>
      <c r="R114" s="335"/>
      <c r="S114" s="335"/>
      <c r="T114" s="335"/>
      <c r="U114" s="335"/>
      <c r="V114" s="335"/>
      <c r="W114" s="335"/>
      <c r="X114" s="335"/>
      <c r="Y114" s="234"/>
      <c r="Z114" s="4"/>
      <c r="AA114" s="4"/>
      <c r="AB114" s="4"/>
      <c r="AC114" s="4"/>
      <c r="AD114" s="4"/>
      <c r="AE114" s="4"/>
      <c r="AF114" s="4"/>
      <c r="AG114" s="4"/>
    </row>
    <row r="115" spans="1:33" x14ac:dyDescent="0.3">
      <c r="A115" s="171"/>
      <c r="B115" s="31"/>
      <c r="C115" s="238"/>
      <c r="D115" s="238"/>
      <c r="E115" s="240"/>
      <c r="F115" s="240"/>
      <c r="G115" s="240"/>
      <c r="H115" s="353"/>
      <c r="I115" s="235" t="s">
        <v>42</v>
      </c>
      <c r="J115" s="138" t="s">
        <v>49</v>
      </c>
      <c r="K115" s="451" t="s">
        <v>36</v>
      </c>
      <c r="L115" s="451"/>
      <c r="M115" s="334">
        <v>7500</v>
      </c>
      <c r="N115" s="352"/>
      <c r="O115" s="352"/>
      <c r="P115" s="352"/>
      <c r="Q115" s="334"/>
      <c r="R115" s="352"/>
      <c r="S115" s="352"/>
      <c r="T115" s="352"/>
      <c r="U115" s="334"/>
      <c r="V115" s="352"/>
      <c r="W115" s="352"/>
      <c r="X115" s="352"/>
      <c r="Y115" s="234"/>
      <c r="Z115" s="4"/>
      <c r="AA115" s="4"/>
      <c r="AB115" s="4"/>
      <c r="AC115" s="4"/>
      <c r="AD115" s="4"/>
      <c r="AE115" s="4"/>
      <c r="AF115" s="4"/>
      <c r="AG115" s="4"/>
    </row>
    <row r="116" spans="1:33" x14ac:dyDescent="0.3">
      <c r="A116" s="171"/>
      <c r="B116" s="31"/>
      <c r="C116" s="238"/>
      <c r="D116" s="238"/>
      <c r="E116" s="240"/>
      <c r="F116" s="240"/>
      <c r="G116" s="240"/>
      <c r="H116" s="353"/>
      <c r="I116" s="102" t="s">
        <v>51</v>
      </c>
      <c r="J116" s="138" t="s">
        <v>52</v>
      </c>
      <c r="K116" s="451" t="s">
        <v>36</v>
      </c>
      <c r="L116" s="451"/>
      <c r="M116" s="334">
        <v>7500</v>
      </c>
      <c r="N116" s="352"/>
      <c r="O116" s="352"/>
      <c r="P116" s="352"/>
      <c r="Q116" s="334"/>
      <c r="R116" s="352"/>
      <c r="S116" s="352"/>
      <c r="T116" s="352"/>
      <c r="U116" s="334"/>
      <c r="V116" s="351"/>
      <c r="W116" s="351"/>
      <c r="X116" s="351"/>
      <c r="Y116" s="234"/>
      <c r="Z116" s="4"/>
      <c r="AA116" s="4"/>
      <c r="AB116" s="4"/>
      <c r="AC116" s="4"/>
      <c r="AD116" s="4"/>
      <c r="AE116" s="4"/>
      <c r="AF116" s="4"/>
      <c r="AG116" s="4"/>
    </row>
    <row r="117" spans="1:33" x14ac:dyDescent="0.35">
      <c r="A117" s="171"/>
      <c r="B117" s="31"/>
      <c r="C117" s="238"/>
      <c r="D117" s="238"/>
      <c r="E117" s="240"/>
      <c r="F117" s="240"/>
      <c r="G117" s="240"/>
      <c r="H117" s="353"/>
      <c r="I117" s="236">
        <v>26</v>
      </c>
      <c r="J117" s="348" t="s">
        <v>54</v>
      </c>
      <c r="K117" s="263"/>
      <c r="L117" s="263"/>
      <c r="M117" s="351"/>
      <c r="N117" s="351"/>
      <c r="O117" s="351"/>
      <c r="P117" s="351"/>
      <c r="Q117" s="351"/>
      <c r="R117" s="351"/>
      <c r="S117" s="351"/>
      <c r="T117" s="351"/>
      <c r="U117" s="351"/>
      <c r="V117" s="351"/>
      <c r="W117" s="351"/>
      <c r="X117" s="351"/>
      <c r="Y117" s="234"/>
      <c r="Z117" s="4"/>
      <c r="AA117" s="4"/>
      <c r="AB117" s="4"/>
      <c r="AC117" s="4"/>
      <c r="AD117" s="4"/>
      <c r="AE117" s="4"/>
      <c r="AF117" s="4"/>
      <c r="AG117" s="4"/>
    </row>
    <row r="118" spans="1:33" ht="28" x14ac:dyDescent="0.35">
      <c r="A118" s="171"/>
      <c r="B118" s="31"/>
      <c r="C118" s="238"/>
      <c r="D118" s="238"/>
      <c r="E118" s="240"/>
      <c r="F118" s="240"/>
      <c r="G118" s="240"/>
      <c r="H118" s="353"/>
      <c r="I118" s="235">
        <v>20</v>
      </c>
      <c r="J118" s="31" t="s">
        <v>55</v>
      </c>
      <c r="K118" s="263"/>
      <c r="L118" s="263"/>
      <c r="M118" s="334">
        <v>4500</v>
      </c>
      <c r="N118" s="351"/>
      <c r="O118" s="351"/>
      <c r="P118" s="351"/>
      <c r="Q118" s="334"/>
      <c r="R118" s="334"/>
      <c r="S118" s="351"/>
      <c r="T118" s="351"/>
      <c r="U118" s="334"/>
      <c r="V118" s="351"/>
      <c r="W118" s="351"/>
      <c r="X118" s="351"/>
      <c r="Y118" s="234"/>
      <c r="Z118" s="4"/>
      <c r="AA118" s="4"/>
      <c r="AB118" s="4"/>
      <c r="AC118" s="4"/>
      <c r="AD118" s="4"/>
      <c r="AE118" s="4"/>
      <c r="AF118" s="4"/>
      <c r="AG118" s="4"/>
    </row>
    <row r="119" spans="1:33" x14ac:dyDescent="0.35">
      <c r="A119" s="171"/>
      <c r="B119" s="31"/>
      <c r="C119" s="238"/>
      <c r="D119" s="238"/>
      <c r="E119" s="240"/>
      <c r="F119" s="240"/>
      <c r="G119" s="240"/>
      <c r="H119" s="353"/>
      <c r="I119" s="236">
        <v>27</v>
      </c>
      <c r="J119" s="348" t="s">
        <v>57</v>
      </c>
      <c r="K119" s="263"/>
      <c r="L119" s="263"/>
      <c r="M119" s="351"/>
      <c r="N119" s="351"/>
      <c r="O119" s="351"/>
      <c r="P119" s="351"/>
      <c r="Q119" s="351"/>
      <c r="R119" s="351"/>
      <c r="S119" s="351"/>
      <c r="T119" s="351"/>
      <c r="U119" s="351"/>
      <c r="V119" s="351"/>
      <c r="W119" s="351"/>
      <c r="X119" s="351"/>
      <c r="Y119" s="234"/>
      <c r="Z119" s="4"/>
      <c r="AA119" s="4"/>
      <c r="AB119" s="4"/>
      <c r="AC119" s="4"/>
      <c r="AD119" s="4"/>
      <c r="AE119" s="4"/>
      <c r="AF119" s="4"/>
      <c r="AG119" s="4"/>
    </row>
    <row r="120" spans="1:33" x14ac:dyDescent="0.35">
      <c r="A120" s="171"/>
      <c r="B120" s="31"/>
      <c r="C120" s="238"/>
      <c r="D120" s="238"/>
      <c r="E120" s="240"/>
      <c r="F120" s="240"/>
      <c r="G120" s="240"/>
      <c r="H120" s="353"/>
      <c r="I120" s="171" t="s">
        <v>58</v>
      </c>
      <c r="J120" s="31" t="s">
        <v>59</v>
      </c>
      <c r="K120" s="31"/>
      <c r="L120" s="31"/>
      <c r="M120" s="180"/>
      <c r="N120" s="180"/>
      <c r="O120" s="180"/>
      <c r="P120" s="180"/>
      <c r="Q120" s="180"/>
      <c r="R120" s="180"/>
      <c r="S120" s="180"/>
      <c r="T120" s="180"/>
      <c r="U120" s="180"/>
      <c r="V120" s="180"/>
      <c r="W120" s="180"/>
      <c r="X120" s="180"/>
      <c r="Y120" s="234"/>
      <c r="Z120" s="4"/>
      <c r="AA120" s="4"/>
      <c r="AB120" s="4"/>
      <c r="AC120" s="4"/>
      <c r="AD120" s="4"/>
      <c r="AE120" s="4"/>
      <c r="AF120" s="4"/>
      <c r="AG120" s="4"/>
    </row>
    <row r="121" spans="1:33" x14ac:dyDescent="0.35">
      <c r="A121" s="171"/>
      <c r="B121" s="31"/>
      <c r="C121" s="238"/>
      <c r="D121" s="238"/>
      <c r="E121" s="240"/>
      <c r="F121" s="240"/>
      <c r="G121" s="240"/>
      <c r="H121" s="353"/>
      <c r="I121" s="171" t="s">
        <v>61</v>
      </c>
      <c r="J121" s="31" t="s">
        <v>62</v>
      </c>
      <c r="K121" s="31" t="s">
        <v>63</v>
      </c>
      <c r="L121" s="31" t="s">
        <v>64</v>
      </c>
      <c r="M121" s="180">
        <v>9000</v>
      </c>
      <c r="N121" s="180">
        <v>3400</v>
      </c>
      <c r="O121" s="180">
        <v>2400</v>
      </c>
      <c r="P121" s="180">
        <v>1600</v>
      </c>
      <c r="Q121" s="180">
        <f>+M121*0.6</f>
        <v>5400</v>
      </c>
      <c r="R121" s="180">
        <f t="shared" ref="R121:R122" si="3">+N121*0.6</f>
        <v>2040</v>
      </c>
      <c r="S121" s="180">
        <f t="shared" ref="S121:S122" si="4">+O121*0.6</f>
        <v>1440</v>
      </c>
      <c r="T121" s="180">
        <f t="shared" ref="T121:T122" si="5">+P121*0.6</f>
        <v>960</v>
      </c>
      <c r="U121" s="180">
        <f>+M121*0.4</f>
        <v>3600</v>
      </c>
      <c r="V121" s="180">
        <f>+N121*0.4</f>
        <v>1360</v>
      </c>
      <c r="W121" s="180">
        <f t="shared" ref="W121:W122" si="6">+O121*0.4</f>
        <v>960</v>
      </c>
      <c r="X121" s="180">
        <f t="shared" ref="X121:X122" si="7">+P121*0.4</f>
        <v>640</v>
      </c>
      <c r="Y121" s="234"/>
      <c r="Z121" s="4"/>
      <c r="AA121" s="4"/>
      <c r="AB121" s="4"/>
      <c r="AC121" s="4"/>
      <c r="AD121" s="4"/>
      <c r="AE121" s="4"/>
      <c r="AF121" s="4"/>
      <c r="AG121" s="4"/>
    </row>
    <row r="122" spans="1:33" x14ac:dyDescent="0.35">
      <c r="A122" s="171"/>
      <c r="B122" s="31"/>
      <c r="C122" s="238"/>
      <c r="D122" s="238"/>
      <c r="E122" s="240"/>
      <c r="F122" s="240"/>
      <c r="G122" s="240"/>
      <c r="H122" s="353"/>
      <c r="I122" s="171" t="s">
        <v>66</v>
      </c>
      <c r="J122" s="31" t="s">
        <v>67</v>
      </c>
      <c r="K122" s="31" t="s">
        <v>64</v>
      </c>
      <c r="L122" s="31" t="s">
        <v>68</v>
      </c>
      <c r="M122" s="180">
        <v>7000</v>
      </c>
      <c r="N122" s="180">
        <v>2100</v>
      </c>
      <c r="O122" s="180">
        <v>1800</v>
      </c>
      <c r="P122" s="180">
        <v>700</v>
      </c>
      <c r="Q122" s="180">
        <f>+M122*0.6</f>
        <v>4200</v>
      </c>
      <c r="R122" s="180">
        <f t="shared" si="3"/>
        <v>1260</v>
      </c>
      <c r="S122" s="180">
        <f t="shared" si="4"/>
        <v>1080</v>
      </c>
      <c r="T122" s="180">
        <f t="shared" si="5"/>
        <v>420</v>
      </c>
      <c r="U122" s="180">
        <f>+M122*0.4</f>
        <v>2800</v>
      </c>
      <c r="V122" s="180">
        <f>+N122*0.4</f>
        <v>840</v>
      </c>
      <c r="W122" s="180">
        <f t="shared" si="6"/>
        <v>720</v>
      </c>
      <c r="X122" s="180">
        <f t="shared" si="7"/>
        <v>280</v>
      </c>
      <c r="Y122" s="234"/>
      <c r="Z122" s="4"/>
      <c r="AA122" s="4"/>
      <c r="AB122" s="4"/>
      <c r="AC122" s="4"/>
      <c r="AD122" s="4"/>
      <c r="AE122" s="4"/>
      <c r="AF122" s="4"/>
      <c r="AG122" s="4"/>
    </row>
    <row r="123" spans="1:33" ht="28" x14ac:dyDescent="0.35">
      <c r="A123" s="171"/>
      <c r="B123" s="31"/>
      <c r="C123" s="238"/>
      <c r="D123" s="238"/>
      <c r="E123" s="240"/>
      <c r="F123" s="240"/>
      <c r="G123" s="240"/>
      <c r="H123" s="353"/>
      <c r="I123" s="171" t="s">
        <v>70</v>
      </c>
      <c r="J123" s="31" t="s">
        <v>71</v>
      </c>
      <c r="K123" s="31" t="s">
        <v>36</v>
      </c>
      <c r="L123" s="31"/>
      <c r="M123" s="180">
        <v>9000</v>
      </c>
      <c r="N123" s="180"/>
      <c r="O123" s="180"/>
      <c r="P123" s="180"/>
      <c r="Q123" s="180"/>
      <c r="R123" s="180"/>
      <c r="S123" s="180"/>
      <c r="T123" s="180"/>
      <c r="U123" s="180"/>
      <c r="V123" s="180"/>
      <c r="W123" s="180"/>
      <c r="X123" s="180"/>
      <c r="Y123" s="234"/>
      <c r="Z123" s="4"/>
      <c r="AA123" s="4"/>
      <c r="AB123" s="4"/>
      <c r="AC123" s="4"/>
      <c r="AD123" s="4"/>
      <c r="AE123" s="4"/>
      <c r="AF123" s="4"/>
      <c r="AG123" s="4"/>
    </row>
    <row r="124" spans="1:33" x14ac:dyDescent="0.35">
      <c r="A124" s="171"/>
      <c r="B124" s="31"/>
      <c r="C124" s="238"/>
      <c r="D124" s="238"/>
      <c r="E124" s="240"/>
      <c r="F124" s="240"/>
      <c r="G124" s="240"/>
      <c r="H124" s="353"/>
      <c r="I124" s="171" t="s">
        <v>73</v>
      </c>
      <c r="J124" s="31" t="s">
        <v>74</v>
      </c>
      <c r="K124" s="31"/>
      <c r="L124" s="31"/>
      <c r="M124" s="180"/>
      <c r="N124" s="180"/>
      <c r="O124" s="180"/>
      <c r="P124" s="180"/>
      <c r="Q124" s="180"/>
      <c r="R124" s="180"/>
      <c r="S124" s="180"/>
      <c r="T124" s="180"/>
      <c r="U124" s="180"/>
      <c r="V124" s="180"/>
      <c r="W124" s="180"/>
      <c r="X124" s="180"/>
      <c r="Y124" s="234"/>
      <c r="Z124" s="4"/>
      <c r="AA124" s="4"/>
      <c r="AB124" s="4"/>
      <c r="AC124" s="4"/>
      <c r="AD124" s="4"/>
      <c r="AE124" s="4"/>
      <c r="AF124" s="4"/>
      <c r="AG124" s="4"/>
    </row>
    <row r="125" spans="1:33" x14ac:dyDescent="0.35">
      <c r="A125" s="171"/>
      <c r="B125" s="31"/>
      <c r="C125" s="238"/>
      <c r="D125" s="238"/>
      <c r="E125" s="240"/>
      <c r="F125" s="240"/>
      <c r="G125" s="240"/>
      <c r="H125" s="353"/>
      <c r="I125" s="238" t="s">
        <v>75</v>
      </c>
      <c r="J125" s="31" t="s">
        <v>76</v>
      </c>
      <c r="K125" s="31" t="s">
        <v>36</v>
      </c>
      <c r="L125" s="31"/>
      <c r="M125" s="180">
        <v>7400</v>
      </c>
      <c r="N125" s="180"/>
      <c r="O125" s="180"/>
      <c r="P125" s="180"/>
      <c r="Q125" s="180"/>
      <c r="R125" s="180"/>
      <c r="S125" s="180"/>
      <c r="T125" s="180"/>
      <c r="U125" s="180"/>
      <c r="V125" s="180"/>
      <c r="W125" s="180"/>
      <c r="X125" s="180"/>
      <c r="Y125" s="234"/>
      <c r="Z125" s="4"/>
      <c r="AA125" s="4"/>
      <c r="AB125" s="4"/>
      <c r="AC125" s="4"/>
      <c r="AD125" s="4"/>
      <c r="AE125" s="4"/>
      <c r="AF125" s="4"/>
      <c r="AG125" s="4"/>
    </row>
    <row r="126" spans="1:33" x14ac:dyDescent="0.35">
      <c r="A126" s="171"/>
      <c r="B126" s="31"/>
      <c r="C126" s="238"/>
      <c r="D126" s="238"/>
      <c r="E126" s="240"/>
      <c r="F126" s="240"/>
      <c r="G126" s="240"/>
      <c r="H126" s="353"/>
      <c r="I126" s="238" t="s">
        <v>78</v>
      </c>
      <c r="J126" s="31" t="s">
        <v>79</v>
      </c>
      <c r="K126" s="31" t="s">
        <v>36</v>
      </c>
      <c r="L126" s="31"/>
      <c r="M126" s="180">
        <v>6200</v>
      </c>
      <c r="N126" s="180"/>
      <c r="O126" s="180"/>
      <c r="P126" s="180"/>
      <c r="Q126" s="180"/>
      <c r="R126" s="180"/>
      <c r="S126" s="180"/>
      <c r="T126" s="180"/>
      <c r="U126" s="180"/>
      <c r="V126" s="180"/>
      <c r="W126" s="180"/>
      <c r="X126" s="180"/>
      <c r="Y126" s="234"/>
      <c r="Z126" s="4"/>
      <c r="AA126" s="4"/>
      <c r="AB126" s="4"/>
      <c r="AC126" s="4"/>
      <c r="AD126" s="4"/>
      <c r="AE126" s="4"/>
      <c r="AF126" s="4"/>
      <c r="AG126" s="4"/>
    </row>
    <row r="127" spans="1:33" x14ac:dyDescent="0.35">
      <c r="A127" s="171"/>
      <c r="B127" s="31"/>
      <c r="C127" s="238"/>
      <c r="D127" s="238"/>
      <c r="E127" s="240"/>
      <c r="F127" s="240"/>
      <c r="G127" s="240"/>
      <c r="H127" s="353"/>
      <c r="I127" s="236">
        <v>28</v>
      </c>
      <c r="J127" s="348" t="s">
        <v>81</v>
      </c>
      <c r="K127" s="263"/>
      <c r="L127" s="263"/>
      <c r="M127" s="351"/>
      <c r="N127" s="351"/>
      <c r="O127" s="351"/>
      <c r="P127" s="351"/>
      <c r="Q127" s="351"/>
      <c r="R127" s="351"/>
      <c r="S127" s="351"/>
      <c r="T127" s="351"/>
      <c r="U127" s="351"/>
      <c r="V127" s="351"/>
      <c r="W127" s="351"/>
      <c r="X127" s="351"/>
      <c r="Y127" s="234"/>
      <c r="Z127" s="4"/>
      <c r="AA127" s="4"/>
      <c r="AB127" s="4"/>
      <c r="AC127" s="4"/>
      <c r="AD127" s="4"/>
      <c r="AE127" s="4"/>
      <c r="AF127" s="4"/>
      <c r="AG127" s="4"/>
    </row>
    <row r="128" spans="1:33" ht="28" x14ac:dyDescent="0.35">
      <c r="A128" s="171"/>
      <c r="B128" s="31"/>
      <c r="C128" s="238"/>
      <c r="D128" s="238"/>
      <c r="E128" s="240"/>
      <c r="F128" s="240"/>
      <c r="G128" s="240"/>
      <c r="H128" s="353"/>
      <c r="I128" s="236" t="s">
        <v>82</v>
      </c>
      <c r="J128" s="31" t="s">
        <v>83</v>
      </c>
      <c r="K128" s="238" t="s">
        <v>84</v>
      </c>
      <c r="L128" s="238" t="s">
        <v>85</v>
      </c>
      <c r="M128" s="339">
        <v>2500</v>
      </c>
      <c r="N128" s="339">
        <v>2000</v>
      </c>
      <c r="O128" s="339">
        <v>1200</v>
      </c>
      <c r="P128" s="339">
        <v>1000</v>
      </c>
      <c r="Q128" s="339">
        <v>1500</v>
      </c>
      <c r="R128" s="339">
        <v>1200</v>
      </c>
      <c r="S128" s="339">
        <v>720</v>
      </c>
      <c r="T128" s="339">
        <v>600</v>
      </c>
      <c r="U128" s="339">
        <v>1000</v>
      </c>
      <c r="V128" s="339">
        <v>800</v>
      </c>
      <c r="W128" s="339">
        <v>480</v>
      </c>
      <c r="X128" s="339">
        <v>400</v>
      </c>
      <c r="Y128" s="234"/>
      <c r="Z128" s="4"/>
      <c r="AA128" s="4"/>
      <c r="AB128" s="4"/>
      <c r="AC128" s="4"/>
      <c r="AD128" s="4"/>
      <c r="AE128" s="4"/>
      <c r="AF128" s="4"/>
      <c r="AG128" s="4"/>
    </row>
    <row r="129" spans="1:33" x14ac:dyDescent="0.35">
      <c r="A129" s="171"/>
      <c r="B129" s="31"/>
      <c r="C129" s="238"/>
      <c r="D129" s="238"/>
      <c r="E129" s="240"/>
      <c r="F129" s="240"/>
      <c r="G129" s="240"/>
      <c r="H129" s="353"/>
      <c r="I129" s="236">
        <v>29</v>
      </c>
      <c r="J129" s="348" t="s">
        <v>88</v>
      </c>
      <c r="K129" s="263"/>
      <c r="L129" s="263"/>
      <c r="M129" s="351"/>
      <c r="N129" s="351"/>
      <c r="O129" s="351"/>
      <c r="P129" s="351"/>
      <c r="Q129" s="351"/>
      <c r="R129" s="351"/>
      <c r="S129" s="351"/>
      <c r="T129" s="351"/>
      <c r="U129" s="351"/>
      <c r="V129" s="351"/>
      <c r="W129" s="351"/>
      <c r="X129" s="351"/>
      <c r="Y129" s="234"/>
      <c r="Z129" s="4"/>
      <c r="AA129" s="4"/>
      <c r="AB129" s="4"/>
      <c r="AC129" s="4"/>
      <c r="AD129" s="4"/>
      <c r="AE129" s="4"/>
      <c r="AF129" s="4"/>
      <c r="AG129" s="4"/>
    </row>
    <row r="130" spans="1:33" x14ac:dyDescent="0.35">
      <c r="A130" s="171"/>
      <c r="B130" s="31"/>
      <c r="C130" s="238"/>
      <c r="D130" s="238"/>
      <c r="E130" s="240"/>
      <c r="F130" s="240"/>
      <c r="G130" s="240"/>
      <c r="H130" s="353"/>
      <c r="I130" s="235">
        <v>104</v>
      </c>
      <c r="J130" s="31" t="s">
        <v>90</v>
      </c>
      <c r="K130" s="238" t="s">
        <v>36</v>
      </c>
      <c r="L130" s="263"/>
      <c r="M130" s="341">
        <v>7400</v>
      </c>
      <c r="N130" s="351"/>
      <c r="O130" s="351"/>
      <c r="P130" s="351"/>
      <c r="Q130" s="351"/>
      <c r="R130" s="351"/>
      <c r="S130" s="351"/>
      <c r="T130" s="351"/>
      <c r="U130" s="351"/>
      <c r="V130" s="351"/>
      <c r="W130" s="351"/>
      <c r="X130" s="351"/>
      <c r="Y130" s="234"/>
      <c r="Z130" s="4"/>
      <c r="AA130" s="4"/>
      <c r="AB130" s="4"/>
      <c r="AC130" s="4"/>
      <c r="AD130" s="4"/>
      <c r="AE130" s="4"/>
      <c r="AF130" s="4"/>
      <c r="AG130" s="4"/>
    </row>
    <row r="131" spans="1:33" x14ac:dyDescent="0.35">
      <c r="A131" s="171"/>
      <c r="B131" s="31"/>
      <c r="C131" s="238"/>
      <c r="D131" s="238"/>
      <c r="E131" s="240"/>
      <c r="F131" s="240"/>
      <c r="G131" s="240"/>
      <c r="H131" s="353"/>
      <c r="I131" s="236">
        <v>30</v>
      </c>
      <c r="J131" s="348" t="s">
        <v>92</v>
      </c>
      <c r="K131" s="31"/>
      <c r="L131" s="31"/>
      <c r="M131" s="180"/>
      <c r="N131" s="180"/>
      <c r="O131" s="180"/>
      <c r="P131" s="180"/>
      <c r="Q131" s="180"/>
      <c r="R131" s="180"/>
      <c r="S131" s="180"/>
      <c r="T131" s="180"/>
      <c r="U131" s="180"/>
      <c r="V131" s="180"/>
      <c r="W131" s="180"/>
      <c r="X131" s="180"/>
      <c r="Y131" s="234"/>
      <c r="Z131" s="4"/>
      <c r="AA131" s="4"/>
      <c r="AB131" s="4"/>
      <c r="AC131" s="4"/>
      <c r="AD131" s="4"/>
      <c r="AE131" s="4"/>
      <c r="AF131" s="4"/>
      <c r="AG131" s="4"/>
    </row>
    <row r="132" spans="1:33" ht="28" x14ac:dyDescent="0.35">
      <c r="A132" s="171"/>
      <c r="B132" s="31"/>
      <c r="C132" s="238"/>
      <c r="D132" s="238"/>
      <c r="E132" s="240"/>
      <c r="F132" s="240"/>
      <c r="G132" s="240"/>
      <c r="H132" s="353"/>
      <c r="I132" s="238">
        <v>15</v>
      </c>
      <c r="J132" s="138" t="s">
        <v>1092</v>
      </c>
      <c r="K132" s="47"/>
      <c r="L132" s="47"/>
      <c r="M132" s="342"/>
      <c r="N132" s="180"/>
      <c r="O132" s="180"/>
      <c r="P132" s="180"/>
      <c r="Q132" s="180"/>
      <c r="R132" s="180"/>
      <c r="S132" s="180"/>
      <c r="T132" s="180"/>
      <c r="U132" s="180"/>
      <c r="V132" s="180"/>
      <c r="W132" s="180"/>
      <c r="X132" s="180"/>
      <c r="Y132" s="234"/>
      <c r="Z132" s="4"/>
      <c r="AA132" s="4"/>
      <c r="AB132" s="4"/>
      <c r="AC132" s="4"/>
      <c r="AD132" s="4"/>
      <c r="AE132" s="4"/>
      <c r="AF132" s="4"/>
      <c r="AG132" s="4"/>
    </row>
    <row r="133" spans="1:33" x14ac:dyDescent="0.35">
      <c r="A133" s="171"/>
      <c r="B133" s="31"/>
      <c r="C133" s="238"/>
      <c r="D133" s="238"/>
      <c r="E133" s="240"/>
      <c r="F133" s="240"/>
      <c r="G133" s="240"/>
      <c r="H133" s="353"/>
      <c r="I133" s="238" t="s">
        <v>738</v>
      </c>
      <c r="J133" s="138" t="s">
        <v>1093</v>
      </c>
      <c r="K133" s="469" t="s">
        <v>36</v>
      </c>
      <c r="L133" s="469"/>
      <c r="M133" s="180">
        <v>11880</v>
      </c>
      <c r="N133" s="180"/>
      <c r="O133" s="180"/>
      <c r="P133" s="180"/>
      <c r="Q133" s="180"/>
      <c r="R133" s="180"/>
      <c r="S133" s="180"/>
      <c r="T133" s="180"/>
      <c r="U133" s="180"/>
      <c r="V133" s="180"/>
      <c r="W133" s="180"/>
      <c r="X133" s="180"/>
      <c r="Y133" s="234"/>
      <c r="Z133" s="4"/>
      <c r="AA133" s="4"/>
      <c r="AB133" s="4"/>
      <c r="AC133" s="4"/>
      <c r="AD133" s="4"/>
      <c r="AE133" s="4"/>
      <c r="AF133" s="4"/>
      <c r="AG133" s="4"/>
    </row>
    <row r="134" spans="1:33" x14ac:dyDescent="0.35">
      <c r="A134" s="171"/>
      <c r="B134" s="31"/>
      <c r="C134" s="238"/>
      <c r="D134" s="238"/>
      <c r="E134" s="240"/>
      <c r="F134" s="240"/>
      <c r="G134" s="240"/>
      <c r="H134" s="353"/>
      <c r="I134" s="238" t="s">
        <v>739</v>
      </c>
      <c r="J134" s="138" t="s">
        <v>1094</v>
      </c>
      <c r="K134" s="469" t="s">
        <v>36</v>
      </c>
      <c r="L134" s="469"/>
      <c r="M134" s="180">
        <v>7490</v>
      </c>
      <c r="N134" s="180"/>
      <c r="O134" s="180"/>
      <c r="P134" s="180"/>
      <c r="Q134" s="180"/>
      <c r="R134" s="180"/>
      <c r="S134" s="180"/>
      <c r="T134" s="180"/>
      <c r="U134" s="180"/>
      <c r="V134" s="180"/>
      <c r="W134" s="180"/>
      <c r="X134" s="180"/>
      <c r="Y134" s="234"/>
      <c r="Z134" s="4"/>
      <c r="AA134" s="4"/>
      <c r="AB134" s="4"/>
      <c r="AC134" s="4"/>
      <c r="AD134" s="4"/>
      <c r="AE134" s="4"/>
      <c r="AF134" s="4"/>
      <c r="AG134" s="4"/>
    </row>
    <row r="135" spans="1:33" x14ac:dyDescent="0.35">
      <c r="A135" s="171"/>
      <c r="B135" s="31"/>
      <c r="C135" s="238"/>
      <c r="D135" s="238"/>
      <c r="E135" s="240"/>
      <c r="F135" s="240"/>
      <c r="G135" s="240"/>
      <c r="H135" s="353"/>
      <c r="I135" s="238" t="s">
        <v>1035</v>
      </c>
      <c r="J135" s="138" t="s">
        <v>1095</v>
      </c>
      <c r="K135" s="469" t="s">
        <v>36</v>
      </c>
      <c r="L135" s="469"/>
      <c r="M135" s="180">
        <v>7230</v>
      </c>
      <c r="N135" s="180"/>
      <c r="O135" s="180"/>
      <c r="P135" s="180"/>
      <c r="Q135" s="180"/>
      <c r="R135" s="180"/>
      <c r="S135" s="180"/>
      <c r="T135" s="180"/>
      <c r="U135" s="180"/>
      <c r="V135" s="180"/>
      <c r="W135" s="180"/>
      <c r="X135" s="180"/>
      <c r="Y135" s="234"/>
      <c r="Z135" s="4"/>
      <c r="AA135" s="4"/>
      <c r="AB135" s="4"/>
      <c r="AC135" s="4"/>
      <c r="AD135" s="4"/>
      <c r="AE135" s="4"/>
      <c r="AF135" s="4"/>
      <c r="AG135" s="4"/>
    </row>
    <row r="136" spans="1:33" x14ac:dyDescent="0.35">
      <c r="A136" s="171"/>
      <c r="B136" s="31"/>
      <c r="C136" s="238"/>
      <c r="D136" s="238"/>
      <c r="E136" s="240"/>
      <c r="F136" s="240"/>
      <c r="G136" s="240"/>
      <c r="H136" s="353"/>
      <c r="I136" s="238">
        <v>16</v>
      </c>
      <c r="J136" s="138" t="s">
        <v>1096</v>
      </c>
      <c r="K136" s="238"/>
      <c r="L136" s="238"/>
      <c r="M136" s="180"/>
      <c r="N136" s="180"/>
      <c r="O136" s="180"/>
      <c r="P136" s="180"/>
      <c r="Q136" s="180"/>
      <c r="R136" s="180"/>
      <c r="S136" s="180"/>
      <c r="T136" s="180"/>
      <c r="U136" s="180"/>
      <c r="V136" s="180"/>
      <c r="W136" s="180"/>
      <c r="X136" s="180"/>
      <c r="Y136" s="234"/>
      <c r="Z136" s="4"/>
      <c r="AA136" s="4"/>
      <c r="AB136" s="4"/>
      <c r="AC136" s="4"/>
      <c r="AD136" s="4"/>
      <c r="AE136" s="4"/>
      <c r="AF136" s="4"/>
      <c r="AG136" s="4"/>
    </row>
    <row r="137" spans="1:33" x14ac:dyDescent="0.35">
      <c r="A137" s="171"/>
      <c r="B137" s="31"/>
      <c r="C137" s="238"/>
      <c r="D137" s="238"/>
      <c r="E137" s="240"/>
      <c r="F137" s="240"/>
      <c r="G137" s="240"/>
      <c r="H137" s="353"/>
      <c r="I137" s="238" t="s">
        <v>1097</v>
      </c>
      <c r="J137" s="138" t="s">
        <v>212</v>
      </c>
      <c r="K137" s="469" t="s">
        <v>36</v>
      </c>
      <c r="L137" s="469"/>
      <c r="M137" s="180">
        <v>6580</v>
      </c>
      <c r="N137" s="180"/>
      <c r="O137" s="180"/>
      <c r="P137" s="180"/>
      <c r="Q137" s="180"/>
      <c r="R137" s="180"/>
      <c r="S137" s="180"/>
      <c r="T137" s="180"/>
      <c r="U137" s="180"/>
      <c r="V137" s="180"/>
      <c r="W137" s="180"/>
      <c r="X137" s="180"/>
      <c r="Y137" s="234"/>
      <c r="Z137" s="4"/>
      <c r="AA137" s="4"/>
      <c r="AB137" s="4"/>
      <c r="AC137" s="4"/>
      <c r="AD137" s="4"/>
      <c r="AE137" s="4"/>
      <c r="AF137" s="4"/>
      <c r="AG137" s="4"/>
    </row>
    <row r="138" spans="1:33" x14ac:dyDescent="0.35">
      <c r="A138" s="171"/>
      <c r="B138" s="31"/>
      <c r="C138" s="238"/>
      <c r="D138" s="238"/>
      <c r="E138" s="240"/>
      <c r="F138" s="240"/>
      <c r="G138" s="240"/>
      <c r="H138" s="353"/>
      <c r="I138" s="238" t="s">
        <v>1098</v>
      </c>
      <c r="J138" s="138" t="s">
        <v>218</v>
      </c>
      <c r="K138" s="469" t="s">
        <v>36</v>
      </c>
      <c r="L138" s="469"/>
      <c r="M138" s="180">
        <v>5640</v>
      </c>
      <c r="N138" s="180"/>
      <c r="O138" s="180"/>
      <c r="P138" s="180"/>
      <c r="Q138" s="180"/>
      <c r="R138" s="180"/>
      <c r="S138" s="180"/>
      <c r="T138" s="180"/>
      <c r="U138" s="180"/>
      <c r="V138" s="180"/>
      <c r="W138" s="180"/>
      <c r="X138" s="180"/>
      <c r="Y138" s="234"/>
      <c r="Z138" s="4"/>
      <c r="AA138" s="4"/>
      <c r="AB138" s="4"/>
      <c r="AC138" s="4"/>
      <c r="AD138" s="4"/>
      <c r="AE138" s="4"/>
      <c r="AF138" s="4"/>
      <c r="AG138" s="4"/>
    </row>
    <row r="139" spans="1:33" x14ac:dyDescent="0.35">
      <c r="A139" s="171"/>
      <c r="B139" s="31"/>
      <c r="C139" s="238"/>
      <c r="D139" s="238"/>
      <c r="E139" s="240"/>
      <c r="F139" s="240"/>
      <c r="G139" s="240"/>
      <c r="H139" s="353"/>
      <c r="I139" s="236">
        <v>32</v>
      </c>
      <c r="J139" s="348" t="s">
        <v>131</v>
      </c>
      <c r="K139" s="263"/>
      <c r="L139" s="263"/>
      <c r="M139" s="351"/>
      <c r="N139" s="351"/>
      <c r="O139" s="351"/>
      <c r="P139" s="351"/>
      <c r="Q139" s="351"/>
      <c r="R139" s="351"/>
      <c r="S139" s="351"/>
      <c r="T139" s="351"/>
      <c r="U139" s="351"/>
      <c r="V139" s="351"/>
      <c r="W139" s="351"/>
      <c r="X139" s="351"/>
      <c r="Y139" s="234"/>
      <c r="Z139" s="4"/>
      <c r="AA139" s="4"/>
      <c r="AB139" s="4"/>
      <c r="AC139" s="4"/>
      <c r="AD139" s="4"/>
      <c r="AE139" s="4"/>
      <c r="AF139" s="4"/>
      <c r="AG139" s="4"/>
    </row>
    <row r="140" spans="1:33" x14ac:dyDescent="0.35">
      <c r="A140" s="171"/>
      <c r="B140" s="31"/>
      <c r="C140" s="238"/>
      <c r="D140" s="238"/>
      <c r="E140" s="240"/>
      <c r="F140" s="240"/>
      <c r="G140" s="240"/>
      <c r="H140" s="353"/>
      <c r="I140" s="235">
        <v>21</v>
      </c>
      <c r="J140" s="31" t="s">
        <v>132</v>
      </c>
      <c r="K140" s="469" t="s">
        <v>133</v>
      </c>
      <c r="L140" s="469"/>
      <c r="M140" s="339">
        <v>6200</v>
      </c>
      <c r="N140" s="339">
        <v>4700</v>
      </c>
      <c r="O140" s="339">
        <v>2400</v>
      </c>
      <c r="P140" s="339">
        <v>1200</v>
      </c>
      <c r="Q140" s="339">
        <v>3700</v>
      </c>
      <c r="R140" s="339">
        <v>2800</v>
      </c>
      <c r="S140" s="339">
        <v>1400</v>
      </c>
      <c r="T140" s="339">
        <v>700</v>
      </c>
      <c r="U140" s="339">
        <v>2500</v>
      </c>
      <c r="V140" s="339">
        <v>1900</v>
      </c>
      <c r="W140" s="339">
        <v>1000</v>
      </c>
      <c r="X140" s="339">
        <v>500</v>
      </c>
      <c r="Y140" s="234"/>
      <c r="Z140" s="4"/>
      <c r="AA140" s="4"/>
      <c r="AB140" s="4"/>
      <c r="AC140" s="4"/>
      <c r="AD140" s="4"/>
      <c r="AE140" s="4"/>
      <c r="AF140" s="4"/>
      <c r="AG140" s="4"/>
    </row>
    <row r="141" spans="1:33" x14ac:dyDescent="0.35">
      <c r="A141" s="171"/>
      <c r="B141" s="31"/>
      <c r="C141" s="238"/>
      <c r="D141" s="238"/>
      <c r="E141" s="240"/>
      <c r="F141" s="240"/>
      <c r="G141" s="240"/>
      <c r="H141" s="353"/>
      <c r="I141" s="235">
        <v>70</v>
      </c>
      <c r="J141" s="31" t="s">
        <v>136</v>
      </c>
      <c r="K141" s="238"/>
      <c r="L141" s="238"/>
      <c r="M141" s="334"/>
      <c r="N141" s="334"/>
      <c r="O141" s="334"/>
      <c r="P141" s="334"/>
      <c r="Q141" s="334"/>
      <c r="R141" s="334"/>
      <c r="S141" s="334"/>
      <c r="T141" s="334"/>
      <c r="U141" s="334"/>
      <c r="V141" s="334"/>
      <c r="W141" s="334"/>
      <c r="X141" s="334"/>
      <c r="Y141" s="234"/>
      <c r="Z141" s="4"/>
      <c r="AA141" s="4"/>
      <c r="AB141" s="4"/>
      <c r="AC141" s="4"/>
      <c r="AD141" s="4"/>
      <c r="AE141" s="4"/>
      <c r="AF141" s="4"/>
      <c r="AG141" s="4"/>
    </row>
    <row r="142" spans="1:33" x14ac:dyDescent="0.35">
      <c r="A142" s="171"/>
      <c r="B142" s="31"/>
      <c r="C142" s="238"/>
      <c r="D142" s="238"/>
      <c r="E142" s="240"/>
      <c r="F142" s="240"/>
      <c r="G142" s="240"/>
      <c r="H142" s="353"/>
      <c r="I142" s="235" t="s">
        <v>137</v>
      </c>
      <c r="J142" s="31" t="s">
        <v>138</v>
      </c>
      <c r="K142" s="238"/>
      <c r="L142" s="238"/>
      <c r="M142" s="180">
        <v>17130</v>
      </c>
      <c r="N142" s="334"/>
      <c r="O142" s="334"/>
      <c r="P142" s="334"/>
      <c r="Q142" s="334"/>
      <c r="R142" s="334"/>
      <c r="S142" s="334"/>
      <c r="T142" s="334"/>
      <c r="U142" s="334"/>
      <c r="V142" s="334"/>
      <c r="W142" s="334"/>
      <c r="X142" s="334"/>
      <c r="Y142" s="234"/>
      <c r="Z142" s="4"/>
      <c r="AA142" s="4"/>
      <c r="AB142" s="4"/>
      <c r="AC142" s="4"/>
      <c r="AD142" s="4"/>
      <c r="AE142" s="4"/>
      <c r="AF142" s="4"/>
      <c r="AG142" s="4"/>
    </row>
    <row r="143" spans="1:33" x14ac:dyDescent="0.35">
      <c r="A143" s="171"/>
      <c r="B143" s="31"/>
      <c r="C143" s="238"/>
      <c r="D143" s="238"/>
      <c r="E143" s="240"/>
      <c r="F143" s="240"/>
      <c r="G143" s="240"/>
      <c r="H143" s="353"/>
      <c r="I143" s="235" t="s">
        <v>140</v>
      </c>
      <c r="J143" s="31" t="s">
        <v>141</v>
      </c>
      <c r="K143" s="238"/>
      <c r="L143" s="238"/>
      <c r="M143" s="180">
        <v>18030</v>
      </c>
      <c r="N143" s="334"/>
      <c r="O143" s="334"/>
      <c r="P143" s="334"/>
      <c r="Q143" s="334"/>
      <c r="R143" s="334"/>
      <c r="S143" s="334"/>
      <c r="T143" s="334"/>
      <c r="U143" s="334"/>
      <c r="V143" s="334"/>
      <c r="W143" s="334"/>
      <c r="X143" s="334"/>
      <c r="Y143" s="234"/>
      <c r="Z143" s="4"/>
      <c r="AA143" s="4"/>
      <c r="AB143" s="4"/>
      <c r="AC143" s="4"/>
      <c r="AD143" s="4"/>
      <c r="AE143" s="4"/>
      <c r="AF143" s="4"/>
      <c r="AG143" s="4"/>
    </row>
    <row r="144" spans="1:33" x14ac:dyDescent="0.35">
      <c r="A144" s="171"/>
      <c r="B144" s="31"/>
      <c r="C144" s="238"/>
      <c r="D144" s="238"/>
      <c r="E144" s="240"/>
      <c r="F144" s="240"/>
      <c r="G144" s="240"/>
      <c r="H144" s="353"/>
      <c r="I144" s="236">
        <v>35</v>
      </c>
      <c r="J144" s="348" t="s">
        <v>150</v>
      </c>
      <c r="K144" s="263"/>
      <c r="L144" s="263"/>
      <c r="M144" s="351"/>
      <c r="N144" s="351"/>
      <c r="O144" s="351"/>
      <c r="P144" s="351"/>
      <c r="Q144" s="351"/>
      <c r="R144" s="351"/>
      <c r="S144" s="351"/>
      <c r="T144" s="351"/>
      <c r="U144" s="351"/>
      <c r="V144" s="351"/>
      <c r="W144" s="351"/>
      <c r="X144" s="351"/>
      <c r="Y144" s="234"/>
      <c r="Z144" s="4"/>
      <c r="AA144" s="4"/>
      <c r="AB144" s="4"/>
      <c r="AC144" s="4"/>
      <c r="AD144" s="4"/>
      <c r="AE144" s="4"/>
      <c r="AF144" s="4"/>
      <c r="AG144" s="4"/>
    </row>
    <row r="145" spans="1:33" x14ac:dyDescent="0.35">
      <c r="A145" s="171"/>
      <c r="B145" s="31"/>
      <c r="C145" s="238"/>
      <c r="D145" s="238"/>
      <c r="E145" s="240"/>
      <c r="F145" s="240"/>
      <c r="G145" s="240"/>
      <c r="H145" s="353"/>
      <c r="I145" s="238" t="s">
        <v>331</v>
      </c>
      <c r="J145" s="138" t="s">
        <v>1099</v>
      </c>
      <c r="K145" s="238" t="s">
        <v>36</v>
      </c>
      <c r="L145" s="238"/>
      <c r="M145" s="337">
        <v>5300</v>
      </c>
      <c r="N145" s="337"/>
      <c r="O145" s="337"/>
      <c r="P145" s="337"/>
      <c r="Q145" s="351"/>
      <c r="R145" s="351"/>
      <c r="S145" s="351"/>
      <c r="T145" s="351"/>
      <c r="U145" s="351"/>
      <c r="V145" s="351"/>
      <c r="W145" s="351"/>
      <c r="X145" s="351"/>
      <c r="Y145" s="234"/>
      <c r="Z145" s="4"/>
      <c r="AA145" s="4"/>
      <c r="AB145" s="4"/>
      <c r="AC145" s="4"/>
      <c r="AD145" s="4"/>
      <c r="AE145" s="4"/>
      <c r="AF145" s="4"/>
      <c r="AG145" s="4"/>
    </row>
    <row r="146" spans="1:33" ht="28" x14ac:dyDescent="0.35">
      <c r="A146" s="171"/>
      <c r="B146" s="31"/>
      <c r="C146" s="238"/>
      <c r="D146" s="238"/>
      <c r="E146" s="240"/>
      <c r="F146" s="240"/>
      <c r="G146" s="240"/>
      <c r="H146" s="353"/>
      <c r="I146" s="238">
        <v>26</v>
      </c>
      <c r="J146" s="138" t="s">
        <v>1100</v>
      </c>
      <c r="K146" s="238" t="s">
        <v>1101</v>
      </c>
      <c r="L146" s="238" t="s">
        <v>1102</v>
      </c>
      <c r="M146" s="180">
        <v>18000</v>
      </c>
      <c r="N146" s="180">
        <v>4600</v>
      </c>
      <c r="O146" s="180">
        <v>2000</v>
      </c>
      <c r="P146" s="180">
        <v>1000</v>
      </c>
      <c r="Q146" s="180">
        <v>10800</v>
      </c>
      <c r="R146" s="180">
        <v>2800</v>
      </c>
      <c r="S146" s="180">
        <v>1200</v>
      </c>
      <c r="T146" s="180">
        <v>600</v>
      </c>
      <c r="U146" s="180">
        <v>7200</v>
      </c>
      <c r="V146" s="180">
        <v>1800</v>
      </c>
      <c r="W146" s="180">
        <v>800</v>
      </c>
      <c r="X146" s="180">
        <v>400</v>
      </c>
      <c r="Y146" s="234"/>
      <c r="Z146" s="4"/>
      <c r="AA146" s="4"/>
      <c r="AB146" s="4"/>
      <c r="AC146" s="4"/>
      <c r="AD146" s="4"/>
      <c r="AE146" s="4"/>
      <c r="AF146" s="4"/>
      <c r="AG146" s="4"/>
    </row>
    <row r="147" spans="1:33" ht="28" x14ac:dyDescent="0.35">
      <c r="A147" s="171"/>
      <c r="B147" s="31"/>
      <c r="C147" s="238"/>
      <c r="D147" s="238"/>
      <c r="E147" s="240"/>
      <c r="F147" s="240"/>
      <c r="G147" s="240"/>
      <c r="H147" s="353"/>
      <c r="I147" s="238">
        <v>27</v>
      </c>
      <c r="J147" s="138" t="s">
        <v>1103</v>
      </c>
      <c r="K147" s="238" t="s">
        <v>36</v>
      </c>
      <c r="L147" s="238"/>
      <c r="M147" s="337">
        <v>6800</v>
      </c>
      <c r="N147" s="337"/>
      <c r="O147" s="337"/>
      <c r="P147" s="337"/>
      <c r="Q147" s="351"/>
      <c r="R147" s="351"/>
      <c r="S147" s="351"/>
      <c r="T147" s="351"/>
      <c r="U147" s="351"/>
      <c r="V147" s="351"/>
      <c r="W147" s="351"/>
      <c r="X147" s="351"/>
      <c r="Y147" s="234"/>
      <c r="Z147" s="4"/>
      <c r="AA147" s="4"/>
      <c r="AB147" s="4"/>
      <c r="AC147" s="4"/>
      <c r="AD147" s="4"/>
      <c r="AE147" s="4"/>
      <c r="AF147" s="4"/>
      <c r="AG147" s="4"/>
    </row>
    <row r="148" spans="1:33" x14ac:dyDescent="0.35">
      <c r="A148" s="171"/>
      <c r="B148" s="31"/>
      <c r="C148" s="238"/>
      <c r="D148" s="238"/>
      <c r="E148" s="240"/>
      <c r="F148" s="240"/>
      <c r="G148" s="240"/>
      <c r="H148" s="353"/>
      <c r="I148" s="238">
        <v>28</v>
      </c>
      <c r="J148" s="138" t="s">
        <v>1104</v>
      </c>
      <c r="K148" s="238" t="s">
        <v>36</v>
      </c>
      <c r="L148" s="238"/>
      <c r="M148" s="337">
        <v>5000</v>
      </c>
      <c r="N148" s="337"/>
      <c r="O148" s="337"/>
      <c r="P148" s="337"/>
      <c r="Q148" s="351"/>
      <c r="R148" s="351"/>
      <c r="S148" s="351"/>
      <c r="T148" s="351"/>
      <c r="U148" s="351"/>
      <c r="V148" s="351"/>
      <c r="W148" s="351"/>
      <c r="X148" s="351"/>
      <c r="Y148" s="234"/>
      <c r="Z148" s="4"/>
      <c r="AA148" s="4"/>
      <c r="AB148" s="4"/>
      <c r="AC148" s="4"/>
      <c r="AD148" s="4"/>
      <c r="AE148" s="4"/>
      <c r="AF148" s="4"/>
      <c r="AG148" s="4"/>
    </row>
    <row r="149" spans="1:33" x14ac:dyDescent="0.35">
      <c r="A149" s="171"/>
      <c r="B149" s="31"/>
      <c r="C149" s="238"/>
      <c r="D149" s="238"/>
      <c r="E149" s="240"/>
      <c r="F149" s="240"/>
      <c r="G149" s="240"/>
      <c r="H149" s="353"/>
      <c r="I149" s="238">
        <v>29</v>
      </c>
      <c r="J149" s="138" t="s">
        <v>1105</v>
      </c>
      <c r="K149" s="238" t="s">
        <v>36</v>
      </c>
      <c r="L149" s="238"/>
      <c r="M149" s="337">
        <v>4600</v>
      </c>
      <c r="N149" s="337"/>
      <c r="O149" s="337"/>
      <c r="P149" s="337"/>
      <c r="Q149" s="351"/>
      <c r="R149" s="351"/>
      <c r="S149" s="351"/>
      <c r="T149" s="351"/>
      <c r="U149" s="351"/>
      <c r="V149" s="351"/>
      <c r="W149" s="351"/>
      <c r="X149" s="351"/>
      <c r="Y149" s="234"/>
      <c r="Z149" s="4"/>
      <c r="AA149" s="4"/>
      <c r="AB149" s="4"/>
      <c r="AC149" s="4"/>
      <c r="AD149" s="4"/>
      <c r="AE149" s="4"/>
      <c r="AF149" s="4"/>
      <c r="AG149" s="4"/>
    </row>
    <row r="150" spans="1:33" ht="42" x14ac:dyDescent="0.35">
      <c r="A150" s="171"/>
      <c r="B150" s="31"/>
      <c r="C150" s="238"/>
      <c r="D150" s="238"/>
      <c r="E150" s="240"/>
      <c r="F150" s="240"/>
      <c r="G150" s="240"/>
      <c r="H150" s="353"/>
      <c r="I150" s="238">
        <v>30</v>
      </c>
      <c r="J150" s="138" t="s">
        <v>1106</v>
      </c>
      <c r="K150" s="238" t="s">
        <v>36</v>
      </c>
      <c r="L150" s="238"/>
      <c r="M150" s="337">
        <v>7630</v>
      </c>
      <c r="N150" s="337"/>
      <c r="O150" s="337"/>
      <c r="P150" s="337"/>
      <c r="Q150" s="351"/>
      <c r="R150" s="351"/>
      <c r="S150" s="351"/>
      <c r="T150" s="351"/>
      <c r="U150" s="351"/>
      <c r="V150" s="351"/>
      <c r="W150" s="351"/>
      <c r="X150" s="351"/>
      <c r="Y150" s="234"/>
      <c r="Z150" s="4"/>
      <c r="AA150" s="4"/>
      <c r="AB150" s="4"/>
      <c r="AC150" s="4"/>
      <c r="AD150" s="4"/>
      <c r="AE150" s="4"/>
      <c r="AF150" s="4"/>
      <c r="AG150" s="4"/>
    </row>
    <row r="151" spans="1:33" x14ac:dyDescent="0.35">
      <c r="A151" s="171"/>
      <c r="B151" s="31"/>
      <c r="C151" s="238"/>
      <c r="D151" s="238"/>
      <c r="E151" s="240"/>
      <c r="F151" s="240"/>
      <c r="G151" s="240"/>
      <c r="H151" s="353"/>
      <c r="I151" s="236">
        <v>39</v>
      </c>
      <c r="J151" s="348" t="s">
        <v>206</v>
      </c>
      <c r="K151" s="263"/>
      <c r="L151" s="263"/>
      <c r="M151" s="351"/>
      <c r="N151" s="351"/>
      <c r="O151" s="351"/>
      <c r="P151" s="351"/>
      <c r="Q151" s="351"/>
      <c r="R151" s="351"/>
      <c r="S151" s="351"/>
      <c r="T151" s="351"/>
      <c r="U151" s="351"/>
      <c r="V151" s="351"/>
      <c r="W151" s="351"/>
      <c r="X151" s="351"/>
      <c r="Y151" s="234"/>
      <c r="Z151" s="4"/>
      <c r="AA151" s="4"/>
      <c r="AB151" s="4"/>
      <c r="AC151" s="4"/>
      <c r="AD151" s="4"/>
      <c r="AE151" s="4"/>
      <c r="AF151" s="4"/>
      <c r="AG151" s="4"/>
    </row>
    <row r="152" spans="1:33" x14ac:dyDescent="0.35">
      <c r="A152" s="171"/>
      <c r="B152" s="31"/>
      <c r="C152" s="238"/>
      <c r="D152" s="238"/>
      <c r="E152" s="240"/>
      <c r="F152" s="240"/>
      <c r="G152" s="240"/>
      <c r="H152" s="353"/>
      <c r="I152" s="235">
        <v>21</v>
      </c>
      <c r="J152" s="228" t="s">
        <v>207</v>
      </c>
      <c r="K152" s="263"/>
      <c r="L152" s="263"/>
      <c r="M152" s="351"/>
      <c r="N152" s="351"/>
      <c r="O152" s="351"/>
      <c r="P152" s="351"/>
      <c r="Q152" s="351"/>
      <c r="R152" s="351"/>
      <c r="S152" s="351"/>
      <c r="T152" s="351"/>
      <c r="U152" s="351"/>
      <c r="V152" s="351"/>
      <c r="W152" s="351"/>
      <c r="X152" s="351"/>
      <c r="Y152" s="234"/>
      <c r="Z152" s="4"/>
      <c r="AA152" s="4"/>
      <c r="AB152" s="4"/>
      <c r="AC152" s="4"/>
      <c r="AD152" s="4"/>
      <c r="AE152" s="4"/>
      <c r="AF152" s="4"/>
      <c r="AG152" s="4"/>
    </row>
    <row r="153" spans="1:33" x14ac:dyDescent="0.35">
      <c r="A153" s="171"/>
      <c r="B153" s="31"/>
      <c r="C153" s="238"/>
      <c r="D153" s="238"/>
      <c r="E153" s="240"/>
      <c r="F153" s="240"/>
      <c r="G153" s="240"/>
      <c r="H153" s="353"/>
      <c r="I153" s="235" t="s">
        <v>209</v>
      </c>
      <c r="J153" s="228" t="s">
        <v>210</v>
      </c>
      <c r="K153" s="263"/>
      <c r="L153" s="263"/>
      <c r="M153" s="334">
        <v>46200</v>
      </c>
      <c r="N153" s="351"/>
      <c r="O153" s="351"/>
      <c r="P153" s="351"/>
      <c r="Q153" s="334">
        <v>27720</v>
      </c>
      <c r="R153" s="334"/>
      <c r="S153" s="334"/>
      <c r="T153" s="334"/>
      <c r="U153" s="334">
        <v>18480</v>
      </c>
      <c r="V153" s="351"/>
      <c r="W153" s="351"/>
      <c r="X153" s="351"/>
      <c r="Y153" s="234"/>
      <c r="Z153" s="4"/>
      <c r="AA153" s="4"/>
      <c r="AB153" s="4"/>
      <c r="AC153" s="4"/>
      <c r="AD153" s="4"/>
      <c r="AE153" s="4"/>
      <c r="AF153" s="4"/>
      <c r="AG153" s="4"/>
    </row>
    <row r="154" spans="1:33" x14ac:dyDescent="0.35">
      <c r="A154" s="171"/>
      <c r="B154" s="31"/>
      <c r="C154" s="238"/>
      <c r="D154" s="238"/>
      <c r="E154" s="240"/>
      <c r="F154" s="240"/>
      <c r="G154" s="240"/>
      <c r="H154" s="353"/>
      <c r="I154" s="235" t="s">
        <v>211</v>
      </c>
      <c r="J154" s="228" t="s">
        <v>212</v>
      </c>
      <c r="K154" s="263"/>
      <c r="L154" s="263"/>
      <c r="M154" s="334"/>
      <c r="N154" s="351"/>
      <c r="O154" s="351"/>
      <c r="P154" s="351"/>
      <c r="Q154" s="334"/>
      <c r="R154" s="334"/>
      <c r="S154" s="334"/>
      <c r="T154" s="334"/>
      <c r="U154" s="334"/>
      <c r="V154" s="351"/>
      <c r="W154" s="351"/>
      <c r="X154" s="351"/>
      <c r="Y154" s="234"/>
      <c r="Z154" s="4"/>
      <c r="AA154" s="4"/>
      <c r="AB154" s="4"/>
      <c r="AC154" s="4"/>
      <c r="AD154" s="4"/>
      <c r="AE154" s="4"/>
      <c r="AF154" s="4"/>
      <c r="AG154" s="4"/>
    </row>
    <row r="155" spans="1:33" x14ac:dyDescent="0.35">
      <c r="A155" s="171"/>
      <c r="B155" s="31"/>
      <c r="C155" s="238"/>
      <c r="D155" s="238"/>
      <c r="E155" s="240"/>
      <c r="F155" s="240"/>
      <c r="G155" s="240"/>
      <c r="H155" s="353"/>
      <c r="I155" s="235" t="s">
        <v>213</v>
      </c>
      <c r="J155" s="228" t="s">
        <v>214</v>
      </c>
      <c r="K155" s="263"/>
      <c r="L155" s="263"/>
      <c r="M155" s="334">
        <v>22000</v>
      </c>
      <c r="N155" s="351"/>
      <c r="O155" s="351"/>
      <c r="P155" s="351"/>
      <c r="Q155" s="334">
        <v>13200</v>
      </c>
      <c r="R155" s="334"/>
      <c r="S155" s="334"/>
      <c r="T155" s="334"/>
      <c r="U155" s="334">
        <v>8800</v>
      </c>
      <c r="V155" s="351"/>
      <c r="W155" s="351"/>
      <c r="X155" s="351"/>
      <c r="Y155" s="234"/>
      <c r="Z155" s="4"/>
      <c r="AA155" s="4"/>
      <c r="AB155" s="4"/>
      <c r="AC155" s="4"/>
      <c r="AD155" s="4"/>
      <c r="AE155" s="4"/>
      <c r="AF155" s="4"/>
      <c r="AG155" s="4"/>
    </row>
    <row r="156" spans="1:33" x14ac:dyDescent="0.35">
      <c r="A156" s="171"/>
      <c r="B156" s="31"/>
      <c r="C156" s="238"/>
      <c r="D156" s="238"/>
      <c r="E156" s="240"/>
      <c r="F156" s="240"/>
      <c r="G156" s="240"/>
      <c r="H156" s="353"/>
      <c r="I156" s="235" t="s">
        <v>215</v>
      </c>
      <c r="J156" s="228" t="s">
        <v>216</v>
      </c>
      <c r="K156" s="263"/>
      <c r="L156" s="263"/>
      <c r="M156" s="334">
        <v>20500</v>
      </c>
      <c r="N156" s="351"/>
      <c r="O156" s="351"/>
      <c r="P156" s="351"/>
      <c r="Q156" s="334">
        <v>12300</v>
      </c>
      <c r="R156" s="334"/>
      <c r="S156" s="334"/>
      <c r="T156" s="334"/>
      <c r="U156" s="334">
        <v>8200</v>
      </c>
      <c r="V156" s="351"/>
      <c r="W156" s="351"/>
      <c r="X156" s="351"/>
      <c r="Y156" s="234"/>
      <c r="Z156" s="4"/>
      <c r="AA156" s="4"/>
      <c r="AB156" s="4"/>
      <c r="AC156" s="4"/>
      <c r="AD156" s="4"/>
      <c r="AE156" s="4"/>
      <c r="AF156" s="4"/>
      <c r="AG156" s="4"/>
    </row>
    <row r="157" spans="1:33" x14ac:dyDescent="0.35">
      <c r="A157" s="171"/>
      <c r="B157" s="31"/>
      <c r="C157" s="238"/>
      <c r="D157" s="238"/>
      <c r="E157" s="240"/>
      <c r="F157" s="240"/>
      <c r="G157" s="240"/>
      <c r="H157" s="353"/>
      <c r="I157" s="235" t="s">
        <v>217</v>
      </c>
      <c r="J157" s="228" t="s">
        <v>218</v>
      </c>
      <c r="K157" s="263"/>
      <c r="L157" s="263"/>
      <c r="M157" s="334"/>
      <c r="N157" s="351"/>
      <c r="O157" s="351"/>
      <c r="P157" s="351"/>
      <c r="Q157" s="334"/>
      <c r="R157" s="334"/>
      <c r="S157" s="334"/>
      <c r="T157" s="334"/>
      <c r="U157" s="334"/>
      <c r="V157" s="351"/>
      <c r="W157" s="351"/>
      <c r="X157" s="351"/>
      <c r="Y157" s="234"/>
      <c r="Z157" s="4"/>
      <c r="AA157" s="4"/>
      <c r="AB157" s="4"/>
      <c r="AC157" s="4"/>
      <c r="AD157" s="4"/>
      <c r="AE157" s="4"/>
      <c r="AF157" s="4"/>
      <c r="AG157" s="4"/>
    </row>
    <row r="158" spans="1:33" x14ac:dyDescent="0.35">
      <c r="A158" s="171"/>
      <c r="B158" s="31"/>
      <c r="C158" s="238"/>
      <c r="D158" s="238"/>
      <c r="E158" s="240"/>
      <c r="F158" s="240"/>
      <c r="G158" s="240"/>
      <c r="H158" s="353"/>
      <c r="I158" s="235" t="s">
        <v>219</v>
      </c>
      <c r="J158" s="228" t="s">
        <v>216</v>
      </c>
      <c r="K158" s="263"/>
      <c r="L158" s="263"/>
      <c r="M158" s="334">
        <v>19000</v>
      </c>
      <c r="N158" s="351"/>
      <c r="O158" s="351"/>
      <c r="P158" s="351"/>
      <c r="Q158" s="334">
        <v>11400</v>
      </c>
      <c r="R158" s="334"/>
      <c r="S158" s="334"/>
      <c r="T158" s="334"/>
      <c r="U158" s="334">
        <v>7600</v>
      </c>
      <c r="V158" s="351"/>
      <c r="W158" s="351"/>
      <c r="X158" s="351"/>
      <c r="Y158" s="234"/>
      <c r="Z158" s="4"/>
      <c r="AA158" s="4"/>
      <c r="AB158" s="4"/>
      <c r="AC158" s="4"/>
      <c r="AD158" s="4"/>
      <c r="AE158" s="4"/>
      <c r="AF158" s="4"/>
      <c r="AG158" s="4"/>
    </row>
    <row r="159" spans="1:33" x14ac:dyDescent="0.35">
      <c r="A159" s="171"/>
      <c r="B159" s="31"/>
      <c r="C159" s="238"/>
      <c r="D159" s="238"/>
      <c r="E159" s="240"/>
      <c r="F159" s="240"/>
      <c r="G159" s="240"/>
      <c r="H159" s="353"/>
      <c r="I159" s="235">
        <v>22</v>
      </c>
      <c r="J159" s="228" t="s">
        <v>220</v>
      </c>
      <c r="K159" s="263"/>
      <c r="L159" s="263"/>
      <c r="M159" s="334"/>
      <c r="N159" s="351"/>
      <c r="O159" s="351"/>
      <c r="P159" s="351"/>
      <c r="Q159" s="334"/>
      <c r="R159" s="334"/>
      <c r="S159" s="334"/>
      <c r="T159" s="334"/>
      <c r="U159" s="334"/>
      <c r="V159" s="351"/>
      <c r="W159" s="351"/>
      <c r="X159" s="351"/>
      <c r="Y159" s="234"/>
      <c r="Z159" s="4"/>
      <c r="AA159" s="4"/>
      <c r="AB159" s="4"/>
      <c r="AC159" s="4"/>
      <c r="AD159" s="4"/>
      <c r="AE159" s="4"/>
      <c r="AF159" s="4"/>
      <c r="AG159" s="4"/>
    </row>
    <row r="160" spans="1:33" x14ac:dyDescent="0.35">
      <c r="A160" s="171"/>
      <c r="B160" s="31"/>
      <c r="C160" s="238"/>
      <c r="D160" s="238"/>
      <c r="E160" s="240"/>
      <c r="F160" s="240"/>
      <c r="G160" s="240"/>
      <c r="H160" s="353"/>
      <c r="I160" s="235" t="s">
        <v>221</v>
      </c>
      <c r="J160" s="228" t="s">
        <v>1071</v>
      </c>
      <c r="K160" s="263"/>
      <c r="L160" s="263"/>
      <c r="M160" s="334">
        <v>11100</v>
      </c>
      <c r="N160" s="351"/>
      <c r="O160" s="351"/>
      <c r="P160" s="351"/>
      <c r="Q160" s="334">
        <v>6660</v>
      </c>
      <c r="R160" s="334"/>
      <c r="S160" s="334"/>
      <c r="T160" s="334"/>
      <c r="U160" s="334">
        <v>4440</v>
      </c>
      <c r="V160" s="351"/>
      <c r="W160" s="351"/>
      <c r="X160" s="351"/>
      <c r="Y160" s="234"/>
      <c r="Z160" s="4"/>
      <c r="AA160" s="4"/>
      <c r="AB160" s="4"/>
      <c r="AC160" s="4"/>
      <c r="AD160" s="4"/>
      <c r="AE160" s="4"/>
      <c r="AF160" s="4"/>
      <c r="AG160" s="4"/>
    </row>
    <row r="161" spans="1:33" x14ac:dyDescent="0.35">
      <c r="A161" s="171"/>
      <c r="B161" s="31"/>
      <c r="C161" s="238"/>
      <c r="D161" s="238"/>
      <c r="E161" s="240"/>
      <c r="F161" s="240"/>
      <c r="G161" s="240"/>
      <c r="H161" s="353"/>
      <c r="I161" s="235" t="s">
        <v>223</v>
      </c>
      <c r="J161" s="228" t="s">
        <v>79</v>
      </c>
      <c r="K161" s="263"/>
      <c r="L161" s="263"/>
      <c r="M161" s="334">
        <v>6400</v>
      </c>
      <c r="N161" s="351"/>
      <c r="O161" s="351"/>
      <c r="P161" s="351"/>
      <c r="Q161" s="334">
        <v>3840</v>
      </c>
      <c r="R161" s="334"/>
      <c r="S161" s="334"/>
      <c r="T161" s="334"/>
      <c r="U161" s="334">
        <v>2560</v>
      </c>
      <c r="V161" s="351"/>
      <c r="W161" s="351"/>
      <c r="X161" s="351"/>
      <c r="Y161" s="234"/>
      <c r="Z161" s="4"/>
      <c r="AA161" s="4"/>
      <c r="AB161" s="4"/>
      <c r="AC161" s="4"/>
      <c r="AD161" s="4"/>
      <c r="AE161" s="4"/>
      <c r="AF161" s="4"/>
      <c r="AG161" s="4"/>
    </row>
    <row r="162" spans="1:33" x14ac:dyDescent="0.35">
      <c r="A162" s="171"/>
      <c r="B162" s="31"/>
      <c r="C162" s="238"/>
      <c r="D162" s="238"/>
      <c r="E162" s="240"/>
      <c r="F162" s="240"/>
      <c r="G162" s="240"/>
      <c r="H162" s="353"/>
      <c r="I162" s="236">
        <v>44</v>
      </c>
      <c r="J162" s="348" t="s">
        <v>556</v>
      </c>
      <c r="K162" s="263"/>
      <c r="L162" s="263"/>
      <c r="M162" s="334"/>
      <c r="N162" s="351"/>
      <c r="O162" s="351"/>
      <c r="P162" s="351"/>
      <c r="Q162" s="334"/>
      <c r="R162" s="334"/>
      <c r="S162" s="334"/>
      <c r="T162" s="334"/>
      <c r="U162" s="334"/>
      <c r="V162" s="351"/>
      <c r="W162" s="351"/>
      <c r="X162" s="351"/>
      <c r="Y162" s="234"/>
      <c r="Z162" s="4"/>
      <c r="AA162" s="4"/>
      <c r="AB162" s="4"/>
      <c r="AC162" s="4"/>
      <c r="AD162" s="4"/>
      <c r="AE162" s="4"/>
      <c r="AF162" s="4"/>
      <c r="AG162" s="4"/>
    </row>
    <row r="163" spans="1:33" x14ac:dyDescent="0.35">
      <c r="A163" s="171"/>
      <c r="B163" s="31"/>
      <c r="C163" s="238"/>
      <c r="D163" s="238"/>
      <c r="E163" s="240"/>
      <c r="F163" s="240"/>
      <c r="G163" s="240"/>
      <c r="H163" s="353"/>
      <c r="I163" s="102" t="s">
        <v>581</v>
      </c>
      <c r="J163" s="31" t="s">
        <v>79</v>
      </c>
      <c r="K163" s="238"/>
      <c r="L163" s="238"/>
      <c r="M163" s="334">
        <v>7000</v>
      </c>
      <c r="N163" s="351"/>
      <c r="O163" s="351"/>
      <c r="P163" s="351"/>
      <c r="Q163" s="351"/>
      <c r="R163" s="351"/>
      <c r="S163" s="351"/>
      <c r="T163" s="351"/>
      <c r="U163" s="351"/>
      <c r="V163" s="351"/>
      <c r="W163" s="351"/>
      <c r="X163" s="351"/>
      <c r="Y163" s="234"/>
      <c r="Z163" s="4"/>
      <c r="AA163" s="4"/>
      <c r="AB163" s="4"/>
      <c r="AC163" s="4"/>
      <c r="AD163" s="4"/>
      <c r="AE163" s="4"/>
      <c r="AF163" s="4"/>
      <c r="AG163" s="4"/>
    </row>
    <row r="164" spans="1:33" ht="70" x14ac:dyDescent="0.35">
      <c r="A164" s="171"/>
      <c r="B164" s="31"/>
      <c r="C164" s="238"/>
      <c r="D164" s="238"/>
      <c r="E164" s="240"/>
      <c r="F164" s="240"/>
      <c r="G164" s="240"/>
      <c r="H164" s="353"/>
      <c r="I164" s="102" t="s">
        <v>598</v>
      </c>
      <c r="J164" s="31" t="s">
        <v>599</v>
      </c>
      <c r="K164" s="238" t="s">
        <v>600</v>
      </c>
      <c r="L164" s="238" t="s">
        <v>601</v>
      </c>
      <c r="M164" s="337">
        <v>5300</v>
      </c>
      <c r="N164" s="337">
        <v>2400</v>
      </c>
      <c r="O164" s="337">
        <v>1200</v>
      </c>
      <c r="P164" s="337">
        <v>450</v>
      </c>
      <c r="Q164" s="337">
        <v>3180</v>
      </c>
      <c r="R164" s="337">
        <v>1440</v>
      </c>
      <c r="S164" s="337">
        <v>720</v>
      </c>
      <c r="T164" s="337">
        <v>270</v>
      </c>
      <c r="U164" s="337">
        <v>2120</v>
      </c>
      <c r="V164" s="337">
        <v>960</v>
      </c>
      <c r="W164" s="337">
        <v>480</v>
      </c>
      <c r="X164" s="337">
        <v>180</v>
      </c>
      <c r="Y164" s="234"/>
      <c r="Z164" s="4"/>
      <c r="AA164" s="4"/>
      <c r="AB164" s="4"/>
      <c r="AC164" s="4"/>
      <c r="AD164" s="4"/>
      <c r="AE164" s="4"/>
      <c r="AF164" s="4"/>
      <c r="AG164" s="4"/>
    </row>
    <row r="165" spans="1:33" ht="28" x14ac:dyDescent="0.35">
      <c r="A165" s="171"/>
      <c r="B165" s="31"/>
      <c r="C165" s="238"/>
      <c r="D165" s="238"/>
      <c r="E165" s="240"/>
      <c r="F165" s="240"/>
      <c r="G165" s="240"/>
      <c r="H165" s="353"/>
      <c r="I165" s="235">
        <v>28</v>
      </c>
      <c r="J165" s="31" t="s">
        <v>603</v>
      </c>
      <c r="K165" s="469" t="s">
        <v>36</v>
      </c>
      <c r="L165" s="469"/>
      <c r="M165" s="337">
        <v>7110</v>
      </c>
      <c r="N165" s="335"/>
      <c r="O165" s="335"/>
      <c r="P165" s="335"/>
      <c r="Q165" s="334"/>
      <c r="R165" s="334"/>
      <c r="S165" s="334"/>
      <c r="T165" s="334"/>
      <c r="U165" s="334"/>
      <c r="V165" s="334"/>
      <c r="W165" s="334"/>
      <c r="X165" s="334"/>
      <c r="Y165" s="234"/>
      <c r="Z165" s="4"/>
      <c r="AA165" s="4"/>
      <c r="AB165" s="4"/>
      <c r="AC165" s="4"/>
      <c r="AD165" s="4"/>
      <c r="AE165" s="4"/>
      <c r="AF165" s="4"/>
      <c r="AG165" s="4"/>
    </row>
    <row r="166" spans="1:33" ht="14.5" customHeight="1" x14ac:dyDescent="0.35">
      <c r="A166" s="4"/>
      <c r="B166" s="4"/>
      <c r="C166" s="4"/>
      <c r="D166" s="4"/>
      <c r="E166" s="4"/>
      <c r="F166" s="4"/>
      <c r="G166" s="4"/>
      <c r="H166" s="4"/>
      <c r="I166" s="4"/>
      <c r="J166" s="4"/>
      <c r="K166" s="4"/>
      <c r="M166" s="7"/>
      <c r="N166" s="7"/>
      <c r="O166" s="7"/>
      <c r="P166" s="7"/>
      <c r="Q166" s="7"/>
      <c r="R166" s="7"/>
      <c r="S166" s="7"/>
      <c r="T166" s="7"/>
      <c r="U166" s="7"/>
      <c r="V166" s="7"/>
      <c r="W166" s="7"/>
      <c r="X166" s="7"/>
    </row>
    <row r="167" spans="1:33" ht="14.5" customHeight="1" x14ac:dyDescent="0.35">
      <c r="A167" s="4"/>
      <c r="B167" s="4"/>
      <c r="C167" s="4"/>
      <c r="D167" s="4"/>
      <c r="E167" s="4"/>
      <c r="F167" s="4"/>
      <c r="G167" s="4"/>
      <c r="H167" s="4"/>
      <c r="I167" s="4"/>
      <c r="J167" s="4"/>
      <c r="K167" s="4"/>
      <c r="M167" s="7"/>
      <c r="N167" s="7"/>
      <c r="O167" s="7"/>
      <c r="P167" s="7"/>
      <c r="Q167" s="7"/>
      <c r="R167" s="7"/>
      <c r="S167" s="7"/>
      <c r="T167" s="7"/>
      <c r="U167" s="7"/>
      <c r="V167" s="7"/>
      <c r="W167" s="7"/>
      <c r="X167" s="7"/>
    </row>
    <row r="168" spans="1:33" ht="14.5" customHeight="1" x14ac:dyDescent="0.35">
      <c r="A168" s="4"/>
      <c r="B168" s="4"/>
      <c r="C168" s="4"/>
      <c r="D168" s="4"/>
      <c r="E168" s="4"/>
      <c r="F168" s="4"/>
      <c r="G168" s="4"/>
      <c r="H168" s="4"/>
      <c r="I168" s="4"/>
      <c r="J168" s="4"/>
      <c r="K168" s="4"/>
      <c r="M168" s="7"/>
      <c r="N168" s="7"/>
      <c r="O168" s="7"/>
      <c r="P168" s="7"/>
      <c r="Q168" s="7"/>
      <c r="R168" s="7"/>
      <c r="S168" s="7"/>
      <c r="T168" s="7"/>
      <c r="U168" s="7"/>
      <c r="V168" s="7"/>
      <c r="W168" s="7"/>
      <c r="X168" s="7"/>
    </row>
    <row r="169" spans="1:33" ht="14.5" customHeight="1" x14ac:dyDescent="0.35">
      <c r="A169" s="4"/>
      <c r="B169" s="4"/>
      <c r="C169" s="4"/>
      <c r="D169" s="4"/>
      <c r="E169" s="4"/>
      <c r="F169" s="4"/>
      <c r="G169" s="4"/>
      <c r="H169" s="4"/>
      <c r="I169" s="4"/>
      <c r="J169" s="4"/>
      <c r="K169" s="4"/>
      <c r="M169" s="7"/>
      <c r="N169" s="7"/>
      <c r="O169" s="7"/>
      <c r="P169" s="7"/>
      <c r="Q169" s="7"/>
      <c r="R169" s="7"/>
      <c r="S169" s="7"/>
      <c r="T169" s="7"/>
      <c r="U169" s="7"/>
      <c r="V169" s="7"/>
      <c r="W169" s="7"/>
      <c r="X169" s="7"/>
    </row>
    <row r="170" spans="1:33" x14ac:dyDescent="0.35">
      <c r="A170" s="4"/>
      <c r="B170" s="4"/>
      <c r="C170" s="4"/>
      <c r="D170" s="4"/>
      <c r="E170" s="4"/>
      <c r="F170" s="4"/>
      <c r="G170" s="4"/>
      <c r="H170" s="4"/>
      <c r="I170" s="4"/>
      <c r="J170" s="4"/>
      <c r="K170" s="4"/>
      <c r="M170" s="7"/>
      <c r="N170" s="7"/>
      <c r="O170" s="7"/>
      <c r="P170" s="7"/>
      <c r="Q170" s="7"/>
      <c r="R170" s="7"/>
      <c r="S170" s="7"/>
      <c r="T170" s="7"/>
      <c r="U170" s="7"/>
      <c r="V170" s="7"/>
      <c r="W170" s="7"/>
      <c r="X170" s="7"/>
    </row>
    <row r="171" spans="1:33" ht="37.5" customHeight="1" x14ac:dyDescent="0.35">
      <c r="A171" s="4"/>
      <c r="B171" s="4"/>
      <c r="C171" s="4"/>
      <c r="D171" s="4"/>
      <c r="E171" s="4"/>
      <c r="F171" s="4"/>
      <c r="G171" s="4"/>
      <c r="H171" s="4"/>
      <c r="I171" s="4"/>
      <c r="J171" s="4"/>
      <c r="K171" s="4"/>
      <c r="M171" s="7"/>
      <c r="N171" s="7"/>
      <c r="O171" s="7"/>
      <c r="P171" s="7"/>
      <c r="Q171" s="7"/>
      <c r="R171" s="7"/>
      <c r="S171" s="7"/>
      <c r="T171" s="7"/>
      <c r="U171" s="7"/>
      <c r="V171" s="7"/>
      <c r="W171" s="7"/>
      <c r="X171" s="7"/>
    </row>
    <row r="172" spans="1:33" ht="14.5" customHeight="1" x14ac:dyDescent="0.35">
      <c r="A172" s="4"/>
      <c r="B172" s="4"/>
      <c r="C172" s="4"/>
      <c r="D172" s="4"/>
      <c r="E172" s="4"/>
      <c r="F172" s="4"/>
      <c r="G172" s="4"/>
      <c r="H172" s="4"/>
      <c r="I172" s="4"/>
      <c r="J172" s="4"/>
      <c r="K172" s="4"/>
      <c r="M172" s="7"/>
      <c r="N172" s="7"/>
      <c r="O172" s="7"/>
      <c r="P172" s="7"/>
      <c r="Q172" s="7"/>
      <c r="R172" s="7"/>
      <c r="S172" s="7"/>
      <c r="T172" s="7"/>
      <c r="U172" s="7"/>
      <c r="V172" s="7"/>
      <c r="W172" s="7"/>
      <c r="X172" s="7"/>
    </row>
    <row r="173" spans="1:33" x14ac:dyDescent="0.35">
      <c r="A173" s="4"/>
      <c r="B173" s="4"/>
      <c r="C173" s="4"/>
      <c r="D173" s="4"/>
      <c r="E173" s="4"/>
      <c r="F173" s="4"/>
      <c r="G173" s="4"/>
      <c r="H173" s="4"/>
      <c r="I173" s="4"/>
      <c r="J173" s="4"/>
      <c r="K173" s="4"/>
      <c r="M173" s="7"/>
      <c r="N173" s="7"/>
      <c r="O173" s="7"/>
      <c r="P173" s="7"/>
      <c r="Q173" s="7"/>
      <c r="R173" s="7"/>
      <c r="S173" s="7"/>
      <c r="T173" s="7"/>
      <c r="U173" s="7"/>
      <c r="V173" s="7"/>
      <c r="W173" s="7"/>
      <c r="X173" s="7"/>
    </row>
    <row r="174" spans="1:33" ht="14.5" customHeight="1" x14ac:dyDescent="0.35">
      <c r="A174" s="4"/>
      <c r="B174" s="4"/>
      <c r="C174" s="4"/>
      <c r="D174" s="4"/>
      <c r="E174" s="4"/>
      <c r="F174" s="4"/>
      <c r="G174" s="4"/>
      <c r="H174" s="4"/>
      <c r="I174" s="4"/>
      <c r="J174" s="4"/>
      <c r="K174" s="4"/>
      <c r="M174" s="7"/>
      <c r="N174" s="7"/>
      <c r="O174" s="7"/>
      <c r="P174" s="7"/>
      <c r="Q174" s="7"/>
      <c r="R174" s="7"/>
      <c r="S174" s="7"/>
      <c r="T174" s="7"/>
      <c r="U174" s="7"/>
      <c r="V174" s="7"/>
      <c r="W174" s="7"/>
      <c r="X174" s="7"/>
    </row>
    <row r="175" spans="1:33" ht="14.5" customHeight="1" x14ac:dyDescent="0.35">
      <c r="A175" s="4"/>
      <c r="B175" s="4"/>
      <c r="C175" s="4"/>
      <c r="D175" s="4"/>
      <c r="E175" s="4"/>
      <c r="F175" s="4"/>
      <c r="G175" s="4"/>
      <c r="H175" s="4"/>
      <c r="I175" s="4"/>
      <c r="J175" s="4"/>
      <c r="K175" s="4"/>
      <c r="M175" s="7"/>
      <c r="N175" s="7"/>
      <c r="O175" s="7"/>
      <c r="P175" s="7"/>
      <c r="Q175" s="7"/>
      <c r="R175" s="7"/>
      <c r="S175" s="7"/>
      <c r="T175" s="7"/>
      <c r="U175" s="7"/>
      <c r="V175" s="7"/>
      <c r="W175" s="7"/>
      <c r="X175" s="7"/>
    </row>
    <row r="176" spans="1:33" ht="14.5" customHeight="1" x14ac:dyDescent="0.35">
      <c r="A176" s="4"/>
      <c r="B176" s="4"/>
      <c r="C176" s="4"/>
      <c r="D176" s="4"/>
      <c r="E176" s="4"/>
      <c r="F176" s="4"/>
      <c r="G176" s="4"/>
      <c r="H176" s="4"/>
      <c r="I176" s="4"/>
      <c r="J176" s="4"/>
      <c r="K176" s="4"/>
      <c r="M176" s="7"/>
      <c r="N176" s="7"/>
      <c r="O176" s="7"/>
      <c r="P176" s="7"/>
      <c r="Q176" s="7"/>
      <c r="R176" s="7"/>
      <c r="S176" s="7"/>
      <c r="T176" s="7"/>
      <c r="U176" s="7"/>
      <c r="V176" s="7"/>
      <c r="W176" s="7"/>
      <c r="X176" s="7"/>
    </row>
    <row r="177" spans="1:24" ht="14.5" customHeight="1" x14ac:dyDescent="0.35">
      <c r="A177" s="4"/>
      <c r="B177" s="4"/>
      <c r="C177" s="4"/>
      <c r="D177" s="4"/>
      <c r="E177" s="4"/>
      <c r="F177" s="4"/>
      <c r="G177" s="4"/>
      <c r="H177" s="4"/>
      <c r="I177" s="4"/>
      <c r="J177" s="4"/>
      <c r="K177" s="4"/>
      <c r="M177" s="7"/>
      <c r="N177" s="7"/>
      <c r="O177" s="7"/>
      <c r="P177" s="7"/>
      <c r="Q177" s="7"/>
      <c r="R177" s="7"/>
      <c r="S177" s="7"/>
      <c r="T177" s="7"/>
      <c r="U177" s="7"/>
      <c r="V177" s="7"/>
      <c r="W177" s="7"/>
      <c r="X177" s="7"/>
    </row>
    <row r="178" spans="1:24" ht="14.5" customHeight="1" x14ac:dyDescent="0.35">
      <c r="A178" s="4"/>
      <c r="B178" s="4"/>
      <c r="C178" s="4"/>
      <c r="D178" s="4"/>
      <c r="E178" s="4"/>
      <c r="F178" s="4"/>
      <c r="G178" s="4"/>
      <c r="H178" s="4"/>
      <c r="I178" s="4"/>
      <c r="J178" s="4"/>
      <c r="K178" s="4"/>
      <c r="M178" s="7"/>
      <c r="N178" s="7"/>
      <c r="O178" s="7"/>
      <c r="P178" s="7"/>
      <c r="Q178" s="7"/>
      <c r="R178" s="7"/>
      <c r="S178" s="7"/>
      <c r="T178" s="7"/>
      <c r="U178" s="7"/>
      <c r="V178" s="7"/>
      <c r="W178" s="7"/>
      <c r="X178" s="7"/>
    </row>
    <row r="179" spans="1:24" ht="14.5" customHeight="1" x14ac:dyDescent="0.35">
      <c r="A179" s="4"/>
      <c r="B179" s="4"/>
      <c r="C179" s="4"/>
      <c r="D179" s="4"/>
      <c r="E179" s="4"/>
      <c r="F179" s="4"/>
      <c r="G179" s="4"/>
      <c r="H179" s="4"/>
      <c r="I179" s="4"/>
      <c r="J179" s="4"/>
      <c r="K179" s="4"/>
      <c r="M179" s="7"/>
      <c r="N179" s="7"/>
      <c r="O179" s="7"/>
      <c r="P179" s="7"/>
      <c r="Q179" s="7"/>
      <c r="R179" s="7"/>
      <c r="S179" s="7"/>
      <c r="T179" s="7"/>
      <c r="U179" s="7"/>
      <c r="V179" s="7"/>
      <c r="W179" s="7"/>
      <c r="X179" s="7"/>
    </row>
    <row r="180" spans="1:24" ht="14.5" customHeight="1" x14ac:dyDescent="0.35">
      <c r="A180" s="4"/>
      <c r="B180" s="4"/>
      <c r="C180" s="4"/>
      <c r="D180" s="4"/>
      <c r="E180" s="4"/>
      <c r="F180" s="4"/>
      <c r="G180" s="4"/>
      <c r="H180" s="4"/>
      <c r="I180" s="4"/>
      <c r="J180" s="4"/>
      <c r="K180" s="4"/>
      <c r="M180" s="7"/>
      <c r="N180" s="7"/>
      <c r="O180" s="7"/>
      <c r="P180" s="7"/>
      <c r="Q180" s="7"/>
      <c r="R180" s="7"/>
      <c r="S180" s="7"/>
      <c r="T180" s="7"/>
      <c r="U180" s="7"/>
      <c r="V180" s="7"/>
      <c r="W180" s="7"/>
      <c r="X180" s="7"/>
    </row>
    <row r="181" spans="1:24" x14ac:dyDescent="0.35">
      <c r="A181" s="4"/>
      <c r="B181" s="4"/>
      <c r="C181" s="4"/>
      <c r="D181" s="4"/>
      <c r="E181" s="4"/>
      <c r="F181" s="4"/>
      <c r="G181" s="4"/>
      <c r="H181" s="4"/>
      <c r="I181" s="4"/>
      <c r="J181" s="4"/>
      <c r="K181" s="4"/>
      <c r="M181" s="7"/>
      <c r="N181" s="7"/>
      <c r="O181" s="7"/>
      <c r="P181" s="7"/>
      <c r="Q181" s="7"/>
      <c r="R181" s="7"/>
      <c r="S181" s="7"/>
      <c r="T181" s="7"/>
      <c r="U181" s="7"/>
      <c r="V181" s="7"/>
      <c r="W181" s="7"/>
      <c r="X181" s="7"/>
    </row>
    <row r="182" spans="1:24" x14ac:dyDescent="0.35">
      <c r="A182" s="4"/>
      <c r="B182" s="4"/>
      <c r="C182" s="4"/>
      <c r="D182" s="4"/>
      <c r="E182" s="4"/>
      <c r="F182" s="4"/>
      <c r="G182" s="4"/>
      <c r="H182" s="4"/>
      <c r="I182" s="4"/>
      <c r="J182" s="4"/>
      <c r="K182" s="4"/>
      <c r="M182" s="7"/>
      <c r="N182" s="7"/>
      <c r="O182" s="7"/>
      <c r="P182" s="7"/>
      <c r="Q182" s="7"/>
      <c r="R182" s="7"/>
      <c r="S182" s="7"/>
      <c r="T182" s="7"/>
      <c r="U182" s="7"/>
      <c r="V182" s="7"/>
      <c r="W182" s="7"/>
      <c r="X182" s="7"/>
    </row>
    <row r="183" spans="1:24" x14ac:dyDescent="0.35">
      <c r="A183" s="4"/>
      <c r="B183" s="4"/>
      <c r="C183" s="4"/>
      <c r="D183" s="4"/>
      <c r="E183" s="4"/>
      <c r="F183" s="4"/>
      <c r="G183" s="4"/>
      <c r="H183" s="4"/>
      <c r="I183" s="4"/>
      <c r="J183" s="4"/>
      <c r="K183" s="4"/>
      <c r="M183" s="7"/>
      <c r="N183" s="7"/>
      <c r="O183" s="7"/>
      <c r="P183" s="7"/>
      <c r="Q183" s="7"/>
      <c r="R183" s="7"/>
      <c r="S183" s="7"/>
      <c r="T183" s="7"/>
      <c r="U183" s="7"/>
      <c r="V183" s="7"/>
      <c r="W183" s="7"/>
      <c r="X183" s="7"/>
    </row>
    <row r="184" spans="1:24" ht="14.5" customHeight="1" x14ac:dyDescent="0.35">
      <c r="A184" s="4"/>
      <c r="B184" s="4"/>
      <c r="C184" s="4"/>
      <c r="D184" s="4"/>
      <c r="E184" s="4"/>
      <c r="F184" s="4"/>
      <c r="G184" s="4"/>
      <c r="H184" s="4"/>
      <c r="I184" s="4"/>
      <c r="J184" s="4"/>
      <c r="K184" s="4"/>
      <c r="M184" s="7"/>
      <c r="N184" s="7"/>
      <c r="O184" s="7"/>
      <c r="P184" s="7"/>
      <c r="Q184" s="7"/>
      <c r="R184" s="7"/>
      <c r="S184" s="7"/>
      <c r="T184" s="7"/>
      <c r="U184" s="7"/>
      <c r="V184" s="7"/>
      <c r="W184" s="7"/>
      <c r="X184" s="7"/>
    </row>
    <row r="185" spans="1:24" ht="14.5" customHeight="1" x14ac:dyDescent="0.35">
      <c r="A185" s="4"/>
      <c r="B185" s="4"/>
      <c r="C185" s="4"/>
      <c r="D185" s="4"/>
      <c r="E185" s="4"/>
      <c r="F185" s="4"/>
      <c r="G185" s="4"/>
      <c r="H185" s="4"/>
      <c r="I185" s="4"/>
      <c r="J185" s="4"/>
      <c r="K185" s="4"/>
      <c r="M185" s="7"/>
      <c r="N185" s="7"/>
      <c r="O185" s="7"/>
      <c r="P185" s="7"/>
      <c r="Q185" s="7"/>
      <c r="R185" s="7"/>
      <c r="S185" s="7"/>
      <c r="T185" s="7"/>
      <c r="U185" s="7"/>
      <c r="V185" s="7"/>
      <c r="W185" s="7"/>
      <c r="X185" s="7"/>
    </row>
    <row r="186" spans="1:24" ht="14.5" customHeight="1" x14ac:dyDescent="0.35">
      <c r="A186" s="4"/>
      <c r="B186" s="4"/>
      <c r="C186" s="4"/>
      <c r="D186" s="4"/>
      <c r="E186" s="4"/>
      <c r="F186" s="4"/>
      <c r="G186" s="4"/>
      <c r="H186" s="4"/>
      <c r="I186" s="4"/>
      <c r="J186" s="4"/>
      <c r="K186" s="4"/>
      <c r="M186" s="7"/>
      <c r="N186" s="7"/>
      <c r="O186" s="7"/>
      <c r="P186" s="7"/>
      <c r="Q186" s="7"/>
      <c r="R186" s="7"/>
      <c r="S186" s="7"/>
      <c r="T186" s="7"/>
      <c r="U186" s="7"/>
      <c r="V186" s="7"/>
      <c r="W186" s="7"/>
      <c r="X186" s="7"/>
    </row>
    <row r="187" spans="1:24" ht="14.5" customHeight="1" x14ac:dyDescent="0.35">
      <c r="A187" s="4"/>
      <c r="B187" s="4"/>
      <c r="C187" s="4"/>
      <c r="D187" s="4"/>
      <c r="E187" s="4"/>
      <c r="F187" s="4"/>
      <c r="G187" s="4"/>
      <c r="H187" s="4"/>
      <c r="I187" s="4"/>
      <c r="J187" s="4"/>
      <c r="K187" s="4"/>
      <c r="M187" s="7"/>
      <c r="N187" s="7"/>
      <c r="O187" s="7"/>
      <c r="P187" s="7"/>
      <c r="Q187" s="7"/>
      <c r="R187" s="7"/>
      <c r="S187" s="7"/>
      <c r="T187" s="7"/>
      <c r="U187" s="7"/>
      <c r="V187" s="7"/>
      <c r="W187" s="7"/>
      <c r="X187" s="7"/>
    </row>
    <row r="188" spans="1:24" ht="14.5" customHeight="1" x14ac:dyDescent="0.35">
      <c r="A188" s="4"/>
      <c r="B188" s="4"/>
      <c r="C188" s="4"/>
      <c r="D188" s="4"/>
      <c r="E188" s="4"/>
      <c r="F188" s="4"/>
      <c r="G188" s="4"/>
      <c r="H188" s="4"/>
      <c r="I188" s="4"/>
      <c r="J188" s="4"/>
      <c r="K188" s="4"/>
      <c r="M188" s="7"/>
      <c r="N188" s="7"/>
      <c r="O188" s="7"/>
      <c r="P188" s="7"/>
      <c r="Q188" s="7"/>
      <c r="R188" s="7"/>
      <c r="S188" s="7"/>
      <c r="T188" s="7"/>
      <c r="U188" s="7"/>
      <c r="V188" s="7"/>
      <c r="W188" s="7"/>
      <c r="X188" s="7"/>
    </row>
    <row r="189" spans="1:24" ht="14.5" customHeight="1" x14ac:dyDescent="0.35">
      <c r="A189" s="4"/>
      <c r="B189" s="4"/>
      <c r="C189" s="4"/>
      <c r="D189" s="4"/>
      <c r="E189" s="4"/>
      <c r="F189" s="4"/>
      <c r="G189" s="4"/>
      <c r="H189" s="4"/>
      <c r="I189" s="4"/>
      <c r="J189" s="4"/>
      <c r="K189" s="4"/>
      <c r="M189" s="7"/>
      <c r="N189" s="7"/>
      <c r="O189" s="7"/>
      <c r="P189" s="7"/>
      <c r="Q189" s="7"/>
      <c r="R189" s="7"/>
      <c r="S189" s="7"/>
      <c r="T189" s="7"/>
      <c r="U189" s="7"/>
      <c r="V189" s="7"/>
      <c r="W189" s="7"/>
      <c r="X189" s="7"/>
    </row>
    <row r="190" spans="1:24" ht="14.5" customHeight="1" x14ac:dyDescent="0.35">
      <c r="A190" s="4"/>
      <c r="B190" s="4"/>
      <c r="C190" s="4"/>
      <c r="D190" s="4"/>
      <c r="E190" s="4"/>
      <c r="F190" s="4"/>
      <c r="G190" s="4"/>
      <c r="H190" s="4"/>
      <c r="I190" s="4"/>
      <c r="J190" s="4"/>
      <c r="K190" s="4"/>
      <c r="M190" s="7"/>
      <c r="N190" s="7"/>
      <c r="O190" s="7"/>
      <c r="P190" s="7"/>
      <c r="Q190" s="7"/>
      <c r="R190" s="7"/>
      <c r="S190" s="7"/>
      <c r="T190" s="7"/>
      <c r="U190" s="7"/>
      <c r="V190" s="7"/>
      <c r="W190" s="7"/>
      <c r="X190" s="7"/>
    </row>
    <row r="191" spans="1:24" x14ac:dyDescent="0.35">
      <c r="A191" s="4"/>
      <c r="B191" s="4"/>
      <c r="C191" s="4"/>
      <c r="D191" s="4"/>
      <c r="E191" s="4"/>
      <c r="F191" s="4"/>
      <c r="G191" s="4"/>
      <c r="H191" s="4"/>
      <c r="I191" s="4"/>
      <c r="J191" s="4"/>
      <c r="K191" s="4"/>
      <c r="M191" s="7"/>
      <c r="N191" s="7"/>
      <c r="O191" s="7"/>
      <c r="P191" s="7"/>
      <c r="Q191" s="7"/>
      <c r="R191" s="7"/>
      <c r="S191" s="7"/>
      <c r="T191" s="7"/>
      <c r="U191" s="7"/>
      <c r="V191" s="7"/>
      <c r="W191" s="7"/>
      <c r="X191" s="7"/>
    </row>
    <row r="192" spans="1:24" x14ac:dyDescent="0.35">
      <c r="A192" s="4"/>
      <c r="B192" s="4"/>
      <c r="C192" s="4"/>
      <c r="D192" s="4"/>
      <c r="E192" s="4"/>
      <c r="F192" s="4"/>
      <c r="G192" s="4"/>
      <c r="H192" s="4"/>
      <c r="I192" s="4"/>
      <c r="J192" s="4"/>
      <c r="K192" s="4"/>
      <c r="M192" s="7"/>
      <c r="N192" s="7"/>
      <c r="O192" s="7"/>
      <c r="P192" s="7"/>
      <c r="Q192" s="7"/>
      <c r="R192" s="7"/>
      <c r="S192" s="7"/>
      <c r="T192" s="7"/>
      <c r="U192" s="7"/>
      <c r="V192" s="7"/>
      <c r="W192" s="7"/>
      <c r="X192" s="7"/>
    </row>
    <row r="193" spans="1:24" x14ac:dyDescent="0.35">
      <c r="A193" s="4"/>
      <c r="B193" s="4"/>
      <c r="C193" s="4"/>
      <c r="D193" s="4"/>
      <c r="E193" s="4"/>
      <c r="F193" s="4"/>
      <c r="G193" s="4"/>
      <c r="H193" s="4"/>
      <c r="I193" s="4"/>
      <c r="J193" s="4"/>
      <c r="K193" s="4"/>
      <c r="M193" s="7"/>
      <c r="N193" s="7"/>
      <c r="O193" s="7"/>
      <c r="P193" s="7"/>
      <c r="Q193" s="7"/>
      <c r="R193" s="7"/>
      <c r="S193" s="7"/>
      <c r="T193" s="7"/>
      <c r="U193" s="7"/>
      <c r="V193" s="7"/>
      <c r="W193" s="7"/>
      <c r="X193" s="7"/>
    </row>
    <row r="194" spans="1:24" s="234" customFormat="1" x14ac:dyDescent="0.35"/>
    <row r="195" spans="1:24" x14ac:dyDescent="0.35">
      <c r="A195" s="4"/>
      <c r="B195" s="4"/>
      <c r="C195" s="4"/>
      <c r="D195" s="4"/>
      <c r="E195" s="4"/>
      <c r="F195" s="4"/>
      <c r="G195" s="4"/>
      <c r="H195" s="4"/>
      <c r="I195" s="4"/>
      <c r="J195" s="4"/>
      <c r="K195" s="4"/>
      <c r="M195" s="7"/>
      <c r="N195" s="7"/>
      <c r="O195" s="7"/>
      <c r="P195" s="7"/>
      <c r="Q195" s="7"/>
      <c r="R195" s="7"/>
      <c r="S195" s="7"/>
      <c r="T195" s="7"/>
      <c r="U195" s="7"/>
      <c r="V195" s="7"/>
      <c r="W195" s="7"/>
      <c r="X195" s="7"/>
    </row>
    <row r="196" spans="1:24" x14ac:dyDescent="0.35">
      <c r="A196" s="4"/>
      <c r="B196" s="4"/>
      <c r="C196" s="4"/>
      <c r="D196" s="4"/>
      <c r="E196" s="4"/>
      <c r="F196" s="4"/>
      <c r="G196" s="4"/>
      <c r="H196" s="4"/>
      <c r="I196" s="4"/>
      <c r="J196" s="4"/>
      <c r="K196" s="4"/>
      <c r="M196" s="7"/>
      <c r="N196" s="7"/>
      <c r="O196" s="7"/>
      <c r="P196" s="7"/>
      <c r="Q196" s="7"/>
      <c r="R196" s="7"/>
      <c r="S196" s="7"/>
      <c r="T196" s="7"/>
      <c r="U196" s="7"/>
      <c r="V196" s="7"/>
      <c r="W196" s="7"/>
      <c r="X196" s="7"/>
    </row>
    <row r="197" spans="1:24" x14ac:dyDescent="0.35">
      <c r="A197" s="4"/>
      <c r="B197" s="4"/>
      <c r="C197" s="4"/>
      <c r="D197" s="4"/>
      <c r="E197" s="4"/>
      <c r="F197" s="4"/>
      <c r="G197" s="4"/>
      <c r="H197" s="4"/>
      <c r="I197" s="4"/>
      <c r="J197" s="4"/>
      <c r="K197" s="4"/>
      <c r="M197" s="7"/>
      <c r="N197" s="7"/>
      <c r="O197" s="7"/>
      <c r="P197" s="7"/>
      <c r="Q197" s="7"/>
      <c r="R197" s="7"/>
      <c r="S197" s="7"/>
      <c r="T197" s="7"/>
      <c r="U197" s="7"/>
      <c r="V197" s="7"/>
      <c r="W197" s="7"/>
      <c r="X197" s="7"/>
    </row>
    <row r="198" spans="1:24" x14ac:dyDescent="0.35">
      <c r="A198" s="4"/>
      <c r="B198" s="4"/>
      <c r="C198" s="4"/>
      <c r="D198" s="4"/>
      <c r="E198" s="4"/>
      <c r="F198" s="4"/>
      <c r="G198" s="4"/>
      <c r="H198" s="4"/>
      <c r="I198" s="4"/>
      <c r="J198" s="4"/>
      <c r="K198" s="4"/>
      <c r="M198" s="7"/>
      <c r="N198" s="7"/>
      <c r="O198" s="7"/>
      <c r="P198" s="7"/>
      <c r="Q198" s="7"/>
      <c r="R198" s="7"/>
      <c r="S198" s="7"/>
      <c r="T198" s="7"/>
      <c r="U198" s="7"/>
      <c r="V198" s="7"/>
      <c r="W198" s="7"/>
      <c r="X198" s="7"/>
    </row>
    <row r="199" spans="1:24" ht="14.5" customHeight="1" x14ac:dyDescent="0.35">
      <c r="A199" s="4"/>
      <c r="B199" s="4"/>
      <c r="C199" s="4"/>
      <c r="D199" s="4"/>
      <c r="E199" s="4"/>
      <c r="F199" s="4"/>
      <c r="G199" s="4"/>
      <c r="H199" s="4"/>
      <c r="I199" s="4"/>
      <c r="J199" s="4"/>
      <c r="K199" s="4"/>
      <c r="M199" s="7"/>
      <c r="N199" s="7"/>
      <c r="O199" s="7"/>
      <c r="P199" s="7"/>
      <c r="Q199" s="7"/>
      <c r="R199" s="7"/>
      <c r="S199" s="7"/>
      <c r="T199" s="7"/>
      <c r="U199" s="7"/>
      <c r="V199" s="7"/>
      <c r="W199" s="7"/>
      <c r="X199" s="7"/>
    </row>
    <row r="200" spans="1:24" ht="14.5" customHeight="1" x14ac:dyDescent="0.35">
      <c r="A200" s="4"/>
      <c r="B200" s="4"/>
      <c r="C200" s="4"/>
      <c r="D200" s="4"/>
      <c r="E200" s="4"/>
      <c r="F200" s="4"/>
      <c r="G200" s="4"/>
      <c r="H200" s="4"/>
      <c r="I200" s="4"/>
      <c r="J200" s="4"/>
      <c r="K200" s="4"/>
      <c r="M200" s="7"/>
      <c r="N200" s="7"/>
      <c r="O200" s="7"/>
      <c r="P200" s="7"/>
      <c r="Q200" s="7"/>
      <c r="R200" s="7"/>
      <c r="S200" s="7"/>
      <c r="T200" s="7"/>
      <c r="U200" s="7"/>
      <c r="V200" s="7"/>
      <c r="W200" s="7"/>
      <c r="X200" s="7"/>
    </row>
    <row r="201" spans="1:24" ht="14.5" customHeight="1" x14ac:dyDescent="0.35">
      <c r="A201" s="4"/>
      <c r="B201" s="4"/>
      <c r="C201" s="4"/>
      <c r="D201" s="4"/>
      <c r="E201" s="4"/>
      <c r="F201" s="4"/>
      <c r="G201" s="4"/>
      <c r="H201" s="4"/>
      <c r="I201" s="4"/>
      <c r="J201" s="4"/>
      <c r="K201" s="4"/>
      <c r="M201" s="7"/>
      <c r="N201" s="7"/>
      <c r="O201" s="7"/>
      <c r="P201" s="7"/>
      <c r="Q201" s="7"/>
      <c r="R201" s="7"/>
      <c r="S201" s="7"/>
      <c r="T201" s="7"/>
      <c r="U201" s="7"/>
      <c r="V201" s="7"/>
      <c r="W201" s="7"/>
      <c r="X201" s="7"/>
    </row>
    <row r="202" spans="1:24" ht="14.5" customHeight="1" x14ac:dyDescent="0.35">
      <c r="A202" s="4"/>
      <c r="B202" s="4"/>
      <c r="C202" s="4"/>
      <c r="D202" s="4"/>
      <c r="E202" s="4"/>
      <c r="F202" s="4"/>
      <c r="G202" s="4"/>
      <c r="H202" s="4"/>
      <c r="I202" s="4"/>
      <c r="J202" s="4"/>
      <c r="K202" s="4"/>
      <c r="M202" s="7"/>
      <c r="N202" s="7"/>
      <c r="O202" s="7"/>
      <c r="P202" s="7"/>
      <c r="Q202" s="7"/>
      <c r="R202" s="7"/>
      <c r="S202" s="7"/>
      <c r="T202" s="7"/>
      <c r="U202" s="7"/>
      <c r="V202" s="7"/>
      <c r="W202" s="7"/>
      <c r="X202" s="7"/>
    </row>
    <row r="203" spans="1:24" ht="14.5" customHeight="1" x14ac:dyDescent="0.35">
      <c r="A203" s="4"/>
      <c r="B203" s="4"/>
      <c r="C203" s="4"/>
      <c r="D203" s="4"/>
      <c r="E203" s="4"/>
      <c r="F203" s="4"/>
      <c r="G203" s="4"/>
      <c r="H203" s="4"/>
      <c r="I203" s="4"/>
      <c r="J203" s="4"/>
      <c r="K203" s="4"/>
      <c r="M203" s="7"/>
      <c r="N203" s="7"/>
      <c r="O203" s="7"/>
      <c r="P203" s="7"/>
      <c r="Q203" s="7"/>
      <c r="R203" s="7"/>
      <c r="S203" s="7"/>
      <c r="T203" s="7"/>
      <c r="U203" s="7"/>
      <c r="V203" s="7"/>
      <c r="W203" s="7"/>
      <c r="X203" s="7"/>
    </row>
    <row r="204" spans="1:24" ht="14.5" customHeight="1" x14ac:dyDescent="0.35">
      <c r="A204" s="4"/>
      <c r="B204" s="4"/>
      <c r="C204" s="4"/>
      <c r="D204" s="4"/>
      <c r="E204" s="4"/>
      <c r="F204" s="4"/>
      <c r="G204" s="4"/>
      <c r="H204" s="4"/>
      <c r="I204" s="4"/>
      <c r="J204" s="4"/>
      <c r="K204" s="4"/>
      <c r="M204" s="7"/>
      <c r="N204" s="7"/>
      <c r="O204" s="7"/>
      <c r="P204" s="7"/>
      <c r="Q204" s="7"/>
      <c r="R204" s="7"/>
      <c r="S204" s="7"/>
      <c r="T204" s="7"/>
      <c r="U204" s="7"/>
      <c r="V204" s="7"/>
      <c r="W204" s="7"/>
      <c r="X204" s="7"/>
    </row>
    <row r="205" spans="1:24" x14ac:dyDescent="0.35">
      <c r="A205" s="4"/>
      <c r="B205" s="4"/>
      <c r="C205" s="4"/>
      <c r="D205" s="4"/>
      <c r="E205" s="4"/>
      <c r="F205" s="4"/>
      <c r="G205" s="4"/>
      <c r="H205" s="4"/>
      <c r="I205" s="4"/>
      <c r="J205" s="4"/>
      <c r="K205" s="4"/>
      <c r="M205" s="7"/>
      <c r="N205" s="7"/>
      <c r="O205" s="7"/>
      <c r="P205" s="7"/>
      <c r="Q205" s="7"/>
      <c r="R205" s="7"/>
      <c r="S205" s="7"/>
      <c r="T205" s="7"/>
      <c r="U205" s="7"/>
      <c r="V205" s="7"/>
      <c r="W205" s="7"/>
      <c r="X205" s="7"/>
    </row>
    <row r="206" spans="1:24" x14ac:dyDescent="0.35">
      <c r="A206" s="4"/>
      <c r="B206" s="4"/>
      <c r="C206" s="4"/>
      <c r="D206" s="4"/>
      <c r="E206" s="4"/>
      <c r="F206" s="4"/>
      <c r="G206" s="4"/>
      <c r="H206" s="4"/>
      <c r="I206" s="4"/>
      <c r="J206" s="4"/>
      <c r="K206" s="4"/>
      <c r="M206" s="7"/>
      <c r="N206" s="7"/>
      <c r="O206" s="7"/>
      <c r="P206" s="7"/>
      <c r="Q206" s="7"/>
      <c r="R206" s="7"/>
      <c r="S206" s="7"/>
      <c r="T206" s="7"/>
      <c r="U206" s="7"/>
      <c r="V206" s="7"/>
      <c r="W206" s="7"/>
      <c r="X206" s="7"/>
    </row>
    <row r="207" spans="1:24" x14ac:dyDescent="0.35">
      <c r="A207" s="4"/>
      <c r="B207" s="4"/>
      <c r="C207" s="4"/>
      <c r="D207" s="4"/>
      <c r="E207" s="4"/>
      <c r="F207" s="4"/>
      <c r="G207" s="4"/>
      <c r="H207" s="4"/>
      <c r="I207" s="4"/>
      <c r="J207" s="4"/>
      <c r="K207" s="4"/>
      <c r="M207" s="7"/>
      <c r="N207" s="7"/>
      <c r="O207" s="7"/>
      <c r="P207" s="7"/>
      <c r="Q207" s="7"/>
      <c r="R207" s="7"/>
      <c r="S207" s="7"/>
      <c r="T207" s="7"/>
      <c r="U207" s="7"/>
      <c r="V207" s="7"/>
      <c r="W207" s="7"/>
      <c r="X207" s="7"/>
    </row>
    <row r="208" spans="1:24" x14ac:dyDescent="0.35">
      <c r="A208" s="4"/>
      <c r="B208" s="4"/>
      <c r="C208" s="4"/>
      <c r="D208" s="4"/>
      <c r="E208" s="4"/>
      <c r="F208" s="4"/>
      <c r="G208" s="4"/>
      <c r="H208" s="4"/>
      <c r="I208" s="4"/>
      <c r="J208" s="4"/>
      <c r="K208" s="4"/>
      <c r="M208" s="7"/>
      <c r="N208" s="7"/>
      <c r="O208" s="7"/>
      <c r="P208" s="7"/>
      <c r="Q208" s="7"/>
      <c r="R208" s="7"/>
      <c r="S208" s="7"/>
      <c r="T208" s="7"/>
      <c r="U208" s="7"/>
      <c r="V208" s="7"/>
      <c r="W208" s="7"/>
      <c r="X208" s="7"/>
    </row>
    <row r="209" spans="1:24" x14ac:dyDescent="0.35">
      <c r="A209" s="4"/>
      <c r="B209" s="4"/>
      <c r="C209" s="4"/>
      <c r="D209" s="4"/>
      <c r="E209" s="4"/>
      <c r="F209" s="4"/>
      <c r="G209" s="4"/>
      <c r="H209" s="4"/>
      <c r="I209" s="4"/>
      <c r="J209" s="4"/>
      <c r="K209" s="4"/>
      <c r="M209" s="7"/>
      <c r="N209" s="7"/>
      <c r="O209" s="7"/>
      <c r="P209" s="7"/>
      <c r="Q209" s="7"/>
      <c r="R209" s="7"/>
      <c r="S209" s="7"/>
      <c r="T209" s="7"/>
      <c r="U209" s="7"/>
      <c r="V209" s="7"/>
      <c r="W209" s="7"/>
      <c r="X209" s="7"/>
    </row>
    <row r="210" spans="1:24" x14ac:dyDescent="0.35">
      <c r="A210" s="4"/>
      <c r="B210" s="4"/>
      <c r="C210" s="4"/>
      <c r="D210" s="4"/>
      <c r="E210" s="4"/>
      <c r="F210" s="4"/>
      <c r="G210" s="4"/>
      <c r="H210" s="4"/>
      <c r="I210" s="4"/>
      <c r="J210" s="4"/>
      <c r="K210" s="4"/>
      <c r="M210" s="7"/>
      <c r="N210" s="7"/>
      <c r="O210" s="7"/>
      <c r="P210" s="7"/>
      <c r="Q210" s="7"/>
      <c r="R210" s="7"/>
      <c r="S210" s="7"/>
      <c r="T210" s="7"/>
      <c r="U210" s="7"/>
      <c r="V210" s="7"/>
      <c r="W210" s="7"/>
      <c r="X210" s="7"/>
    </row>
    <row r="211" spans="1:24" ht="14.5" customHeight="1" x14ac:dyDescent="0.35">
      <c r="A211" s="4"/>
      <c r="B211" s="4"/>
      <c r="C211" s="4"/>
      <c r="D211" s="4"/>
      <c r="E211" s="4"/>
      <c r="F211" s="4"/>
      <c r="G211" s="4"/>
      <c r="H211" s="4"/>
      <c r="I211" s="4"/>
      <c r="J211" s="4"/>
      <c r="K211" s="4"/>
      <c r="M211" s="7"/>
      <c r="N211" s="7"/>
      <c r="O211" s="7"/>
      <c r="P211" s="7"/>
      <c r="Q211" s="7"/>
      <c r="R211" s="7"/>
      <c r="S211" s="7"/>
      <c r="T211" s="7"/>
      <c r="U211" s="7"/>
      <c r="V211" s="7"/>
      <c r="W211" s="7"/>
      <c r="X211" s="7"/>
    </row>
    <row r="212" spans="1:24" x14ac:dyDescent="0.35">
      <c r="A212" s="4"/>
      <c r="B212" s="4"/>
      <c r="C212" s="4"/>
      <c r="D212" s="4"/>
      <c r="E212" s="4"/>
      <c r="F212" s="4"/>
      <c r="G212" s="4"/>
      <c r="H212" s="4"/>
      <c r="I212" s="4"/>
      <c r="J212" s="4"/>
      <c r="K212" s="4"/>
      <c r="M212" s="7"/>
      <c r="N212" s="7"/>
      <c r="O212" s="7"/>
      <c r="P212" s="7"/>
      <c r="Q212" s="7"/>
      <c r="R212" s="7"/>
      <c r="S212" s="7"/>
      <c r="T212" s="7"/>
      <c r="U212" s="7"/>
      <c r="V212" s="7"/>
      <c r="W212" s="7"/>
      <c r="X212" s="7"/>
    </row>
    <row r="213" spans="1:24" x14ac:dyDescent="0.35">
      <c r="A213" s="4"/>
      <c r="B213" s="4"/>
      <c r="C213" s="4"/>
      <c r="D213" s="4"/>
      <c r="E213" s="4"/>
      <c r="F213" s="4"/>
      <c r="G213" s="4"/>
      <c r="H213" s="4"/>
      <c r="I213" s="4"/>
      <c r="J213" s="4"/>
      <c r="K213" s="4"/>
      <c r="M213" s="7"/>
      <c r="N213" s="7"/>
      <c r="O213" s="7"/>
      <c r="P213" s="7"/>
      <c r="Q213" s="7"/>
      <c r="R213" s="7"/>
      <c r="S213" s="7"/>
      <c r="T213" s="7"/>
      <c r="U213" s="7"/>
      <c r="V213" s="7"/>
      <c r="W213" s="7"/>
      <c r="X213" s="7"/>
    </row>
    <row r="214" spans="1:24" x14ac:dyDescent="0.35">
      <c r="A214" s="4"/>
      <c r="B214" s="4"/>
      <c r="C214" s="4"/>
      <c r="D214" s="4"/>
      <c r="E214" s="4"/>
      <c r="F214" s="4"/>
      <c r="G214" s="4"/>
      <c r="H214" s="4"/>
      <c r="I214" s="4"/>
      <c r="J214" s="4"/>
      <c r="K214" s="4"/>
      <c r="M214" s="7"/>
      <c r="N214" s="7"/>
      <c r="O214" s="7"/>
      <c r="P214" s="7"/>
      <c r="Q214" s="7"/>
      <c r="R214" s="7"/>
      <c r="S214" s="7"/>
      <c r="T214" s="7"/>
      <c r="U214" s="7"/>
      <c r="V214" s="7"/>
      <c r="W214" s="7"/>
      <c r="X214" s="7"/>
    </row>
    <row r="215" spans="1:24" ht="14.5" customHeight="1" x14ac:dyDescent="0.35">
      <c r="A215" s="4"/>
      <c r="B215" s="4"/>
      <c r="C215" s="4"/>
      <c r="D215" s="4"/>
      <c r="E215" s="4"/>
      <c r="F215" s="4"/>
      <c r="G215" s="4"/>
      <c r="H215" s="4"/>
      <c r="I215" s="4"/>
      <c r="J215" s="4"/>
      <c r="K215" s="4"/>
      <c r="M215" s="7"/>
      <c r="N215" s="7"/>
      <c r="O215" s="7"/>
      <c r="P215" s="7"/>
      <c r="Q215" s="7"/>
      <c r="R215" s="7"/>
      <c r="S215" s="7"/>
      <c r="T215" s="7"/>
      <c r="U215" s="7"/>
      <c r="V215" s="7"/>
      <c r="W215" s="7"/>
      <c r="X215" s="7"/>
    </row>
    <row r="216" spans="1:24" ht="14.5" customHeight="1" x14ac:dyDescent="0.35">
      <c r="A216" s="4"/>
      <c r="B216" s="4"/>
      <c r="C216" s="4"/>
      <c r="D216" s="4"/>
      <c r="E216" s="4"/>
      <c r="F216" s="4"/>
      <c r="G216" s="4"/>
      <c r="H216" s="4"/>
      <c r="I216" s="4"/>
      <c r="J216" s="4"/>
      <c r="K216" s="4"/>
      <c r="M216" s="7"/>
      <c r="N216" s="7"/>
      <c r="O216" s="7"/>
      <c r="P216" s="7"/>
      <c r="Q216" s="7"/>
      <c r="R216" s="7"/>
      <c r="S216" s="7"/>
      <c r="T216" s="7"/>
      <c r="U216" s="7"/>
      <c r="V216" s="7"/>
      <c r="W216" s="7"/>
      <c r="X216" s="7"/>
    </row>
    <row r="217" spans="1:24" x14ac:dyDescent="0.35">
      <c r="A217" s="4"/>
      <c r="B217" s="4"/>
      <c r="C217" s="4"/>
      <c r="D217" s="4"/>
      <c r="E217" s="4"/>
      <c r="F217" s="4"/>
      <c r="G217" s="4"/>
      <c r="H217" s="4"/>
      <c r="I217" s="4"/>
      <c r="J217" s="4"/>
      <c r="K217" s="4"/>
      <c r="M217" s="7"/>
      <c r="N217" s="7"/>
      <c r="O217" s="7"/>
      <c r="P217" s="7"/>
      <c r="Q217" s="7"/>
      <c r="R217" s="7"/>
      <c r="S217" s="7"/>
      <c r="T217" s="7"/>
      <c r="U217" s="7"/>
      <c r="V217" s="7"/>
      <c r="W217" s="7"/>
      <c r="X217" s="7"/>
    </row>
    <row r="218" spans="1:24" x14ac:dyDescent="0.35">
      <c r="A218" s="4"/>
      <c r="B218" s="4"/>
      <c r="C218" s="4"/>
      <c r="D218" s="4"/>
      <c r="E218" s="4"/>
      <c r="F218" s="4"/>
      <c r="G218" s="4"/>
      <c r="H218" s="4"/>
      <c r="I218" s="4"/>
      <c r="J218" s="4"/>
      <c r="K218" s="4"/>
      <c r="M218" s="7"/>
      <c r="N218" s="7"/>
      <c r="O218" s="7"/>
      <c r="P218" s="7"/>
      <c r="Q218" s="7"/>
      <c r="R218" s="7"/>
      <c r="S218" s="7"/>
      <c r="T218" s="7"/>
      <c r="U218" s="7"/>
      <c r="V218" s="7"/>
      <c r="W218" s="7"/>
      <c r="X218" s="7"/>
    </row>
    <row r="219" spans="1:24" x14ac:dyDescent="0.35">
      <c r="A219" s="4"/>
      <c r="B219" s="4"/>
      <c r="C219" s="4"/>
      <c r="D219" s="4"/>
      <c r="E219" s="4"/>
      <c r="F219" s="4"/>
      <c r="G219" s="4"/>
      <c r="H219" s="4"/>
      <c r="I219" s="4"/>
      <c r="J219" s="4"/>
      <c r="K219" s="4"/>
      <c r="M219" s="7"/>
      <c r="N219" s="7"/>
      <c r="O219" s="7"/>
      <c r="P219" s="7"/>
      <c r="Q219" s="7"/>
      <c r="R219" s="7"/>
      <c r="S219" s="7"/>
      <c r="T219" s="7"/>
      <c r="U219" s="7"/>
      <c r="V219" s="7"/>
      <c r="W219" s="7"/>
      <c r="X219" s="7"/>
    </row>
    <row r="220" spans="1:24" x14ac:dyDescent="0.35">
      <c r="A220" s="4"/>
      <c r="B220" s="4"/>
      <c r="C220" s="4"/>
      <c r="D220" s="4"/>
      <c r="E220" s="4"/>
      <c r="F220" s="4"/>
      <c r="G220" s="4"/>
      <c r="H220" s="4"/>
      <c r="I220" s="4"/>
      <c r="J220" s="4"/>
      <c r="K220" s="4"/>
      <c r="M220" s="7"/>
      <c r="N220" s="7"/>
      <c r="O220" s="7"/>
      <c r="P220" s="7"/>
      <c r="Q220" s="7"/>
      <c r="R220" s="7"/>
      <c r="S220" s="7"/>
      <c r="T220" s="7"/>
      <c r="U220" s="7"/>
      <c r="V220" s="7"/>
      <c r="W220" s="7"/>
      <c r="X220" s="7"/>
    </row>
    <row r="221" spans="1:24" x14ac:dyDescent="0.35">
      <c r="A221" s="4"/>
      <c r="B221" s="4"/>
      <c r="C221" s="4"/>
      <c r="D221" s="4"/>
      <c r="E221" s="4"/>
      <c r="F221" s="4"/>
      <c r="G221" s="4"/>
      <c r="H221" s="4"/>
      <c r="I221" s="4"/>
      <c r="J221" s="4"/>
      <c r="K221" s="4"/>
      <c r="M221" s="7"/>
      <c r="N221" s="7"/>
      <c r="O221" s="7"/>
      <c r="P221" s="7"/>
      <c r="Q221" s="7"/>
      <c r="R221" s="7"/>
      <c r="S221" s="7"/>
      <c r="T221" s="7"/>
      <c r="U221" s="7"/>
      <c r="V221" s="7"/>
      <c r="W221" s="7"/>
      <c r="X221" s="7"/>
    </row>
    <row r="222" spans="1:24" x14ac:dyDescent="0.35">
      <c r="A222" s="4"/>
      <c r="B222" s="4"/>
      <c r="C222" s="4"/>
      <c r="D222" s="4"/>
      <c r="E222" s="4"/>
      <c r="F222" s="4"/>
      <c r="G222" s="4"/>
      <c r="H222" s="4"/>
      <c r="I222" s="4"/>
      <c r="J222" s="4"/>
      <c r="K222" s="4"/>
      <c r="M222" s="7"/>
      <c r="N222" s="7"/>
      <c r="O222" s="7"/>
      <c r="P222" s="7"/>
      <c r="Q222" s="7"/>
      <c r="R222" s="7"/>
      <c r="S222" s="7"/>
      <c r="T222" s="7"/>
      <c r="U222" s="7"/>
      <c r="V222" s="7"/>
      <c r="W222" s="7"/>
      <c r="X222" s="7"/>
    </row>
    <row r="223" spans="1:24" ht="14.5" customHeight="1" x14ac:dyDescent="0.35">
      <c r="A223" s="4"/>
      <c r="B223" s="4"/>
      <c r="C223" s="4"/>
      <c r="D223" s="4"/>
      <c r="E223" s="4"/>
      <c r="F223" s="4"/>
      <c r="G223" s="4"/>
      <c r="H223" s="4"/>
      <c r="I223" s="4"/>
      <c r="J223" s="4"/>
      <c r="K223" s="4"/>
      <c r="M223" s="7"/>
      <c r="N223" s="7"/>
      <c r="O223" s="7"/>
      <c r="P223" s="7"/>
      <c r="Q223" s="7"/>
      <c r="R223" s="7"/>
      <c r="S223" s="7"/>
      <c r="T223" s="7"/>
      <c r="U223" s="7"/>
      <c r="V223" s="7"/>
      <c r="W223" s="7"/>
      <c r="X223" s="7"/>
    </row>
    <row r="224" spans="1:24" x14ac:dyDescent="0.35">
      <c r="A224" s="4"/>
      <c r="B224" s="4"/>
      <c r="C224" s="4"/>
      <c r="D224" s="4"/>
      <c r="E224" s="4"/>
      <c r="F224" s="4"/>
      <c r="G224" s="4"/>
      <c r="H224" s="4"/>
      <c r="I224" s="4"/>
      <c r="J224" s="4"/>
      <c r="K224" s="4"/>
      <c r="M224" s="7"/>
      <c r="N224" s="7"/>
      <c r="O224" s="7"/>
      <c r="P224" s="7"/>
      <c r="Q224" s="7"/>
      <c r="R224" s="7"/>
      <c r="S224" s="7"/>
      <c r="T224" s="7"/>
      <c r="U224" s="7"/>
      <c r="V224" s="7"/>
      <c r="W224" s="7"/>
      <c r="X224" s="7"/>
    </row>
    <row r="225" spans="1:24" s="105" customFormat="1" x14ac:dyDescent="0.35"/>
    <row r="226" spans="1:24" x14ac:dyDescent="0.35">
      <c r="A226" s="4"/>
      <c r="B226" s="4"/>
      <c r="C226" s="4"/>
      <c r="D226" s="4"/>
      <c r="E226" s="4"/>
      <c r="F226" s="4"/>
      <c r="G226" s="4"/>
      <c r="H226" s="4"/>
      <c r="I226" s="4"/>
      <c r="J226" s="4"/>
      <c r="K226" s="4"/>
      <c r="M226" s="7"/>
      <c r="N226" s="7"/>
      <c r="O226" s="7"/>
      <c r="P226" s="7"/>
      <c r="Q226" s="7"/>
      <c r="R226" s="7"/>
      <c r="S226" s="7"/>
      <c r="T226" s="7"/>
      <c r="U226" s="7"/>
      <c r="V226" s="7"/>
      <c r="W226" s="7"/>
      <c r="X226" s="7"/>
    </row>
    <row r="227" spans="1:24" x14ac:dyDescent="0.35">
      <c r="A227" s="4"/>
      <c r="B227" s="4"/>
      <c r="C227" s="4"/>
      <c r="D227" s="4"/>
      <c r="E227" s="4"/>
      <c r="F227" s="4"/>
      <c r="G227" s="4"/>
      <c r="H227" s="4"/>
      <c r="I227" s="4"/>
      <c r="J227" s="4"/>
      <c r="K227" s="4"/>
      <c r="M227" s="7"/>
      <c r="N227" s="7"/>
      <c r="O227" s="7"/>
      <c r="P227" s="7"/>
      <c r="Q227" s="7"/>
      <c r="R227" s="7"/>
      <c r="S227" s="7"/>
      <c r="T227" s="7"/>
      <c r="U227" s="7"/>
      <c r="V227" s="7"/>
      <c r="W227" s="7"/>
      <c r="X227" s="7"/>
    </row>
    <row r="228" spans="1:24" ht="14.5" customHeight="1" x14ac:dyDescent="0.35">
      <c r="A228" s="4"/>
      <c r="B228" s="4"/>
      <c r="C228" s="4"/>
      <c r="D228" s="4"/>
      <c r="E228" s="4"/>
      <c r="F228" s="4"/>
      <c r="G228" s="4"/>
      <c r="H228" s="4"/>
      <c r="I228" s="4"/>
      <c r="J228" s="4"/>
      <c r="K228" s="4"/>
      <c r="M228" s="7"/>
      <c r="N228" s="7"/>
      <c r="O228" s="7"/>
      <c r="P228" s="7"/>
      <c r="Q228" s="7"/>
      <c r="R228" s="7"/>
      <c r="S228" s="7"/>
      <c r="T228" s="7"/>
      <c r="U228" s="7"/>
      <c r="V228" s="7"/>
      <c r="W228" s="7"/>
      <c r="X228" s="7"/>
    </row>
    <row r="229" spans="1:24" ht="14.5" customHeight="1" x14ac:dyDescent="0.35">
      <c r="A229" s="4"/>
      <c r="B229" s="4"/>
      <c r="C229" s="4"/>
      <c r="D229" s="4"/>
      <c r="E229" s="4"/>
      <c r="F229" s="4"/>
      <c r="G229" s="4"/>
      <c r="H229" s="4"/>
      <c r="I229" s="4"/>
      <c r="J229" s="4"/>
      <c r="K229" s="4"/>
      <c r="M229" s="7"/>
      <c r="N229" s="7"/>
      <c r="O229" s="7"/>
      <c r="P229" s="7"/>
      <c r="Q229" s="7"/>
      <c r="R229" s="7"/>
      <c r="S229" s="7"/>
      <c r="T229" s="7"/>
      <c r="U229" s="7"/>
      <c r="V229" s="7"/>
      <c r="W229" s="7"/>
      <c r="X229" s="7"/>
    </row>
    <row r="230" spans="1:24" ht="14.5" customHeight="1" x14ac:dyDescent="0.35">
      <c r="A230" s="4"/>
      <c r="B230" s="4"/>
      <c r="C230" s="4"/>
      <c r="D230" s="4"/>
      <c r="E230" s="4"/>
      <c r="F230" s="4"/>
      <c r="G230" s="4"/>
      <c r="H230" s="4"/>
      <c r="I230" s="4"/>
      <c r="J230" s="4"/>
      <c r="K230" s="4"/>
      <c r="M230" s="7"/>
      <c r="N230" s="7"/>
      <c r="O230" s="7"/>
      <c r="P230" s="7"/>
      <c r="Q230" s="7"/>
      <c r="R230" s="7"/>
      <c r="S230" s="7"/>
      <c r="T230" s="7"/>
      <c r="U230" s="7"/>
      <c r="V230" s="7"/>
      <c r="W230" s="7"/>
      <c r="X230" s="7"/>
    </row>
    <row r="231" spans="1:24" ht="14.5" customHeight="1" x14ac:dyDescent="0.35">
      <c r="A231" s="4"/>
      <c r="B231" s="4"/>
      <c r="C231" s="4"/>
      <c r="D231" s="4"/>
      <c r="E231" s="4"/>
      <c r="F231" s="4"/>
      <c r="G231" s="4"/>
      <c r="H231" s="4"/>
      <c r="I231" s="4"/>
      <c r="J231" s="4"/>
      <c r="K231" s="4"/>
      <c r="M231" s="7"/>
      <c r="N231" s="7"/>
      <c r="O231" s="7"/>
      <c r="P231" s="7"/>
      <c r="Q231" s="7"/>
      <c r="R231" s="7"/>
      <c r="S231" s="7"/>
      <c r="T231" s="7"/>
      <c r="U231" s="7"/>
      <c r="V231" s="7"/>
      <c r="W231" s="7"/>
      <c r="X231" s="7"/>
    </row>
    <row r="232" spans="1:24" x14ac:dyDescent="0.35">
      <c r="A232" s="4"/>
      <c r="B232" s="4"/>
      <c r="C232" s="4"/>
      <c r="D232" s="4"/>
      <c r="E232" s="4"/>
      <c r="F232" s="4"/>
      <c r="G232" s="4"/>
      <c r="H232" s="4"/>
      <c r="I232" s="4"/>
      <c r="J232" s="4"/>
      <c r="K232" s="4"/>
      <c r="M232" s="7"/>
      <c r="N232" s="7"/>
      <c r="O232" s="7"/>
      <c r="P232" s="7"/>
      <c r="Q232" s="7"/>
      <c r="R232" s="7"/>
      <c r="S232" s="7"/>
      <c r="T232" s="7"/>
      <c r="U232" s="7"/>
      <c r="V232" s="7"/>
      <c r="W232" s="7"/>
      <c r="X232" s="7"/>
    </row>
    <row r="233" spans="1:24" x14ac:dyDescent="0.35">
      <c r="A233" s="4"/>
      <c r="B233" s="4"/>
      <c r="C233" s="4"/>
      <c r="D233" s="4"/>
      <c r="E233" s="4"/>
      <c r="F233" s="4"/>
      <c r="G233" s="4"/>
      <c r="H233" s="4"/>
      <c r="I233" s="4"/>
      <c r="J233" s="4"/>
      <c r="K233" s="4"/>
      <c r="M233" s="7"/>
      <c r="N233" s="7"/>
      <c r="O233" s="7"/>
      <c r="P233" s="7"/>
      <c r="Q233" s="7"/>
      <c r="R233" s="7"/>
      <c r="S233" s="7"/>
      <c r="T233" s="7"/>
      <c r="U233" s="7"/>
      <c r="V233" s="7"/>
      <c r="W233" s="7"/>
      <c r="X233" s="7"/>
    </row>
    <row r="234" spans="1:24" x14ac:dyDescent="0.35">
      <c r="A234" s="4"/>
      <c r="B234" s="4"/>
      <c r="C234" s="4"/>
      <c r="D234" s="4"/>
      <c r="E234" s="4"/>
      <c r="F234" s="4"/>
      <c r="G234" s="4"/>
      <c r="H234" s="4"/>
      <c r="I234" s="4"/>
      <c r="J234" s="4"/>
      <c r="K234" s="4"/>
      <c r="M234" s="7"/>
      <c r="N234" s="7"/>
      <c r="O234" s="7"/>
      <c r="P234" s="7"/>
      <c r="Q234" s="7"/>
      <c r="R234" s="7"/>
      <c r="S234" s="7"/>
      <c r="T234" s="7"/>
      <c r="U234" s="7"/>
      <c r="V234" s="7"/>
      <c r="W234" s="7"/>
      <c r="X234" s="7"/>
    </row>
    <row r="235" spans="1:24" x14ac:dyDescent="0.35">
      <c r="A235" s="4"/>
      <c r="B235" s="4"/>
      <c r="C235" s="4"/>
      <c r="D235" s="4"/>
      <c r="E235" s="4"/>
      <c r="F235" s="4"/>
      <c r="G235" s="4"/>
      <c r="H235" s="4"/>
      <c r="I235" s="4"/>
      <c r="J235" s="4"/>
      <c r="K235" s="4"/>
      <c r="M235" s="7"/>
      <c r="N235" s="7"/>
      <c r="O235" s="7"/>
      <c r="P235" s="7"/>
      <c r="Q235" s="7"/>
      <c r="R235" s="7"/>
      <c r="S235" s="7"/>
      <c r="T235" s="7"/>
      <c r="U235" s="7"/>
      <c r="V235" s="7"/>
      <c r="W235" s="7"/>
      <c r="X235" s="7"/>
    </row>
    <row r="236" spans="1:24" ht="14.5" customHeight="1" x14ac:dyDescent="0.35">
      <c r="A236" s="4"/>
      <c r="B236" s="4"/>
      <c r="C236" s="4"/>
      <c r="D236" s="4"/>
      <c r="E236" s="4"/>
      <c r="F236" s="4"/>
      <c r="G236" s="4"/>
      <c r="H236" s="4"/>
      <c r="I236" s="4"/>
      <c r="J236" s="4"/>
      <c r="K236" s="4"/>
      <c r="M236" s="7"/>
      <c r="N236" s="7"/>
      <c r="O236" s="7"/>
      <c r="P236" s="7"/>
      <c r="Q236" s="7"/>
      <c r="R236" s="7"/>
      <c r="S236" s="7"/>
      <c r="T236" s="7"/>
      <c r="U236" s="7"/>
      <c r="V236" s="7"/>
      <c r="W236" s="7"/>
      <c r="X236" s="7"/>
    </row>
    <row r="237" spans="1:24" ht="14.5" customHeight="1" x14ac:dyDescent="0.35">
      <c r="A237" s="4"/>
      <c r="B237" s="4"/>
      <c r="C237" s="4"/>
      <c r="D237" s="4"/>
      <c r="E237" s="4"/>
      <c r="F237" s="4"/>
      <c r="G237" s="4"/>
      <c r="H237" s="4"/>
      <c r="I237" s="4"/>
      <c r="J237" s="4"/>
      <c r="K237" s="4"/>
      <c r="M237" s="7"/>
      <c r="N237" s="7"/>
      <c r="O237" s="7"/>
      <c r="P237" s="7"/>
      <c r="Q237" s="7"/>
      <c r="R237" s="7"/>
      <c r="S237" s="7"/>
      <c r="T237" s="7"/>
      <c r="U237" s="7"/>
      <c r="V237" s="7"/>
      <c r="W237" s="7"/>
      <c r="X237" s="7"/>
    </row>
    <row r="238" spans="1:24" ht="14.5" customHeight="1" x14ac:dyDescent="0.35">
      <c r="A238" s="4"/>
      <c r="B238" s="4"/>
      <c r="C238" s="4"/>
      <c r="D238" s="4"/>
      <c r="E238" s="4"/>
      <c r="F238" s="4"/>
      <c r="G238" s="4"/>
      <c r="H238" s="4"/>
      <c r="I238" s="4"/>
      <c r="J238" s="4"/>
      <c r="K238" s="4"/>
      <c r="M238" s="7"/>
      <c r="N238" s="7"/>
      <c r="O238" s="7"/>
      <c r="P238" s="7"/>
      <c r="Q238" s="7"/>
      <c r="R238" s="7"/>
      <c r="S238" s="7"/>
      <c r="T238" s="7"/>
      <c r="U238" s="7"/>
      <c r="V238" s="7"/>
      <c r="W238" s="7"/>
      <c r="X238" s="7"/>
    </row>
    <row r="239" spans="1:24" x14ac:dyDescent="0.35">
      <c r="A239" s="4"/>
      <c r="B239" s="4"/>
      <c r="C239" s="4"/>
      <c r="D239" s="4"/>
      <c r="E239" s="4"/>
      <c r="F239" s="4"/>
      <c r="G239" s="4"/>
      <c r="H239" s="4"/>
      <c r="I239" s="4"/>
      <c r="J239" s="4"/>
      <c r="K239" s="4"/>
      <c r="M239" s="7"/>
      <c r="N239" s="7"/>
      <c r="O239" s="7"/>
      <c r="P239" s="7"/>
      <c r="Q239" s="7"/>
      <c r="R239" s="7"/>
      <c r="S239" s="7"/>
      <c r="T239" s="7"/>
      <c r="U239" s="7"/>
      <c r="V239" s="7"/>
      <c r="W239" s="7"/>
      <c r="X239" s="7"/>
    </row>
    <row r="240" spans="1:24" x14ac:dyDescent="0.35">
      <c r="A240" s="4"/>
      <c r="B240" s="4"/>
      <c r="C240" s="4"/>
      <c r="D240" s="4"/>
      <c r="E240" s="4"/>
      <c r="F240" s="4"/>
      <c r="G240" s="4"/>
      <c r="H240" s="4"/>
      <c r="I240" s="4"/>
      <c r="J240" s="4"/>
      <c r="K240" s="4"/>
      <c r="M240" s="7"/>
      <c r="N240" s="7"/>
      <c r="O240" s="7"/>
      <c r="P240" s="7"/>
      <c r="Q240" s="7"/>
      <c r="R240" s="7"/>
      <c r="S240" s="7"/>
      <c r="T240" s="7"/>
      <c r="U240" s="7"/>
      <c r="V240" s="7"/>
      <c r="W240" s="7"/>
      <c r="X240" s="7"/>
    </row>
    <row r="241" spans="1:24" x14ac:dyDescent="0.35">
      <c r="A241" s="4"/>
      <c r="B241" s="4"/>
      <c r="C241" s="4"/>
      <c r="D241" s="4"/>
      <c r="E241" s="4"/>
      <c r="F241" s="4"/>
      <c r="G241" s="4"/>
      <c r="H241" s="4"/>
      <c r="I241" s="4"/>
      <c r="J241" s="4"/>
      <c r="K241" s="4"/>
      <c r="M241" s="7"/>
      <c r="N241" s="7"/>
      <c r="O241" s="7"/>
      <c r="P241" s="7"/>
      <c r="Q241" s="7"/>
      <c r="R241" s="7"/>
      <c r="S241" s="7"/>
      <c r="T241" s="7"/>
      <c r="U241" s="7"/>
      <c r="V241" s="7"/>
      <c r="W241" s="7"/>
      <c r="X241" s="7"/>
    </row>
    <row r="242" spans="1:24" x14ac:dyDescent="0.35">
      <c r="A242" s="4"/>
      <c r="B242" s="4"/>
      <c r="C242" s="4"/>
      <c r="D242" s="4"/>
      <c r="E242" s="4"/>
      <c r="F242" s="4"/>
      <c r="G242" s="4"/>
      <c r="H242" s="4"/>
      <c r="I242" s="4"/>
      <c r="J242" s="4"/>
      <c r="K242" s="4"/>
      <c r="M242" s="7"/>
      <c r="N242" s="7"/>
      <c r="O242" s="7"/>
      <c r="P242" s="7"/>
      <c r="Q242" s="7"/>
      <c r="R242" s="7"/>
      <c r="S242" s="7"/>
      <c r="T242" s="7"/>
      <c r="U242" s="7"/>
      <c r="V242" s="7"/>
      <c r="W242" s="7"/>
      <c r="X242" s="7"/>
    </row>
    <row r="243" spans="1:24" ht="14.5" customHeight="1" x14ac:dyDescent="0.35">
      <c r="A243" s="4"/>
      <c r="B243" s="4"/>
      <c r="C243" s="4"/>
      <c r="D243" s="4"/>
      <c r="E243" s="4"/>
      <c r="F243" s="4"/>
      <c r="G243" s="4"/>
      <c r="H243" s="4"/>
      <c r="I243" s="4"/>
      <c r="J243" s="4"/>
      <c r="K243" s="4"/>
      <c r="M243" s="7"/>
      <c r="N243" s="7"/>
      <c r="O243" s="7"/>
      <c r="P243" s="7"/>
      <c r="Q243" s="7"/>
      <c r="R243" s="7"/>
      <c r="S243" s="7"/>
      <c r="T243" s="7"/>
      <c r="U243" s="7"/>
      <c r="V243" s="7"/>
      <c r="W243" s="7"/>
      <c r="X243" s="7"/>
    </row>
    <row r="244" spans="1:24" ht="14.5" customHeight="1" x14ac:dyDescent="0.35">
      <c r="A244" s="4"/>
      <c r="B244" s="4"/>
      <c r="C244" s="4"/>
      <c r="D244" s="4"/>
      <c r="E244" s="4"/>
      <c r="F244" s="4"/>
      <c r="G244" s="4"/>
      <c r="H244" s="4"/>
      <c r="I244" s="4"/>
      <c r="J244" s="4"/>
      <c r="K244" s="4"/>
      <c r="M244" s="7"/>
      <c r="N244" s="7"/>
      <c r="O244" s="7"/>
      <c r="P244" s="7"/>
      <c r="Q244" s="7"/>
      <c r="R244" s="7"/>
      <c r="S244" s="7"/>
      <c r="T244" s="7"/>
      <c r="U244" s="7"/>
      <c r="V244" s="7"/>
      <c r="W244" s="7"/>
      <c r="X244" s="7"/>
    </row>
    <row r="245" spans="1:24" ht="14.5" customHeight="1" x14ac:dyDescent="0.35">
      <c r="A245" s="4"/>
      <c r="B245" s="4"/>
      <c r="C245" s="4"/>
      <c r="D245" s="4"/>
      <c r="E245" s="4"/>
      <c r="F245" s="4"/>
      <c r="G245" s="4"/>
      <c r="H245" s="4"/>
      <c r="I245" s="4"/>
      <c r="J245" s="4"/>
      <c r="K245" s="4"/>
      <c r="M245" s="7"/>
      <c r="N245" s="7"/>
      <c r="O245" s="7"/>
      <c r="P245" s="7"/>
      <c r="Q245" s="7"/>
      <c r="R245" s="7"/>
      <c r="S245" s="7"/>
      <c r="T245" s="7"/>
      <c r="U245" s="7"/>
      <c r="V245" s="7"/>
      <c r="W245" s="7"/>
      <c r="X245" s="7"/>
    </row>
    <row r="246" spans="1:24" ht="14.5" customHeight="1" x14ac:dyDescent="0.35">
      <c r="A246" s="4"/>
      <c r="B246" s="4"/>
      <c r="C246" s="4"/>
      <c r="D246" s="4"/>
      <c r="E246" s="4"/>
      <c r="F246" s="4"/>
      <c r="G246" s="4"/>
      <c r="H246" s="4"/>
      <c r="I246" s="4"/>
      <c r="J246" s="4"/>
      <c r="K246" s="4"/>
      <c r="M246" s="7"/>
      <c r="N246" s="7"/>
      <c r="O246" s="7"/>
      <c r="P246" s="7"/>
      <c r="Q246" s="7"/>
      <c r="R246" s="7"/>
      <c r="S246" s="7"/>
      <c r="T246" s="7"/>
      <c r="U246" s="7"/>
      <c r="V246" s="7"/>
      <c r="W246" s="7"/>
      <c r="X246" s="7"/>
    </row>
    <row r="247" spans="1:24" ht="14.5" customHeight="1" x14ac:dyDescent="0.35">
      <c r="A247" s="4"/>
      <c r="B247" s="4"/>
      <c r="C247" s="4"/>
      <c r="D247" s="4"/>
      <c r="E247" s="4"/>
      <c r="F247" s="4"/>
      <c r="G247" s="4"/>
      <c r="H247" s="4"/>
      <c r="I247" s="4"/>
      <c r="J247" s="4"/>
      <c r="K247" s="4"/>
      <c r="M247" s="7"/>
      <c r="N247" s="7"/>
      <c r="O247" s="7"/>
      <c r="P247" s="7"/>
      <c r="Q247" s="7"/>
      <c r="R247" s="7"/>
      <c r="S247" s="7"/>
      <c r="T247" s="7"/>
      <c r="U247" s="7"/>
      <c r="V247" s="7"/>
      <c r="W247" s="7"/>
      <c r="X247" s="7"/>
    </row>
    <row r="248" spans="1:24" ht="14.5" customHeight="1" x14ac:dyDescent="0.35">
      <c r="A248" s="4"/>
      <c r="B248" s="4"/>
      <c r="C248" s="4"/>
      <c r="D248" s="4"/>
      <c r="E248" s="4"/>
      <c r="F248" s="4"/>
      <c r="G248" s="4"/>
      <c r="H248" s="4"/>
      <c r="I248" s="4"/>
      <c r="J248" s="4"/>
      <c r="K248" s="4"/>
      <c r="M248" s="7"/>
      <c r="N248" s="7"/>
      <c r="O248" s="7"/>
      <c r="P248" s="7"/>
      <c r="Q248" s="7"/>
      <c r="R248" s="7"/>
      <c r="S248" s="7"/>
      <c r="T248" s="7"/>
      <c r="U248" s="7"/>
      <c r="V248" s="7"/>
      <c r="W248" s="7"/>
      <c r="X248" s="7"/>
    </row>
    <row r="249" spans="1:24" ht="14.5" customHeight="1" x14ac:dyDescent="0.35">
      <c r="A249" s="4"/>
      <c r="B249" s="4"/>
      <c r="C249" s="4"/>
      <c r="D249" s="4"/>
      <c r="E249" s="4"/>
      <c r="F249" s="4"/>
      <c r="G249" s="4"/>
      <c r="H249" s="4"/>
      <c r="I249" s="4"/>
      <c r="J249" s="4"/>
      <c r="K249" s="4"/>
      <c r="M249" s="7"/>
      <c r="N249" s="7"/>
      <c r="O249" s="7"/>
      <c r="P249" s="7"/>
      <c r="Q249" s="7"/>
      <c r="R249" s="7"/>
      <c r="S249" s="7"/>
      <c r="T249" s="7"/>
      <c r="U249" s="7"/>
      <c r="V249" s="7"/>
      <c r="W249" s="7"/>
      <c r="X249" s="7"/>
    </row>
    <row r="250" spans="1:24" ht="68.25" customHeight="1" x14ac:dyDescent="0.35">
      <c r="A250" s="109"/>
      <c r="B250" s="109"/>
      <c r="C250" s="109"/>
      <c r="D250" s="109"/>
      <c r="E250" s="109"/>
      <c r="F250" s="109"/>
      <c r="G250" s="109"/>
      <c r="H250" s="109"/>
      <c r="I250" s="109"/>
      <c r="J250" s="109"/>
      <c r="K250" s="109"/>
      <c r="M250" s="7"/>
      <c r="N250" s="7"/>
      <c r="O250" s="7"/>
      <c r="P250" s="7"/>
      <c r="Q250" s="7"/>
      <c r="R250" s="7"/>
      <c r="S250" s="7"/>
      <c r="T250" s="7"/>
      <c r="U250" s="7"/>
      <c r="V250" s="7"/>
      <c r="W250" s="7"/>
      <c r="X250" s="7"/>
    </row>
    <row r="251" spans="1:24" x14ac:dyDescent="0.35">
      <c r="B251" s="7"/>
      <c r="E251" s="7"/>
      <c r="F251" s="7"/>
      <c r="G251" s="7"/>
      <c r="H251" s="7"/>
      <c r="M251" s="7"/>
      <c r="N251" s="7"/>
      <c r="O251" s="7"/>
      <c r="P251" s="7"/>
      <c r="Q251" s="7"/>
      <c r="R251" s="7"/>
      <c r="S251" s="7"/>
      <c r="T251" s="7"/>
      <c r="U251" s="7"/>
      <c r="V251" s="7"/>
      <c r="W251" s="7"/>
      <c r="X251" s="7"/>
    </row>
  </sheetData>
  <autoFilter ref="A6:X14">
    <filterColumn colId="13" showButton="0"/>
    <filterColumn colId="14" showButton="0"/>
  </autoFilter>
  <mergeCells count="44">
    <mergeCell ref="N6:P6"/>
    <mergeCell ref="A1:B1"/>
    <mergeCell ref="I1:J1"/>
    <mergeCell ref="I2:X2"/>
    <mergeCell ref="I3:X3"/>
    <mergeCell ref="I4:X4"/>
    <mergeCell ref="A7:H7"/>
    <mergeCell ref="I7:X7"/>
    <mergeCell ref="A8:A9"/>
    <mergeCell ref="B8:B9"/>
    <mergeCell ref="C8:D8"/>
    <mergeCell ref="E8:H8"/>
    <mergeCell ref="I8:I9"/>
    <mergeCell ref="J8:J9"/>
    <mergeCell ref="K8:L8"/>
    <mergeCell ref="M8:P8"/>
    <mergeCell ref="K116:L116"/>
    <mergeCell ref="Q8:T8"/>
    <mergeCell ref="U8:X8"/>
    <mergeCell ref="K13:L13"/>
    <mergeCell ref="K14:L14"/>
    <mergeCell ref="C58:D58"/>
    <mergeCell ref="K58:L58"/>
    <mergeCell ref="K22:L22"/>
    <mergeCell ref="C70:D70"/>
    <mergeCell ref="K70:L70"/>
    <mergeCell ref="C64:D64"/>
    <mergeCell ref="K64:L64"/>
    <mergeCell ref="K165:L165"/>
    <mergeCell ref="C75:D75"/>
    <mergeCell ref="K75:L75"/>
    <mergeCell ref="C71:D71"/>
    <mergeCell ref="K71:L71"/>
    <mergeCell ref="C72:D72"/>
    <mergeCell ref="K72:L72"/>
    <mergeCell ref="C73:D73"/>
    <mergeCell ref="K73:L73"/>
    <mergeCell ref="K140:L140"/>
    <mergeCell ref="K133:L133"/>
    <mergeCell ref="K134:L134"/>
    <mergeCell ref="K135:L135"/>
    <mergeCell ref="K137:L137"/>
    <mergeCell ref="K138:L138"/>
    <mergeCell ref="K115:L115"/>
  </mergeCells>
  <pageMargins left="0.34" right="0" top="0.35433070866141736" bottom="0.7" header="0.31496062992125984" footer="0.2"/>
  <pageSetup paperSize="9" scale="65" orientation="landscape" r:id="rId1"/>
  <headerFooter scaleWithDoc="0"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5"/>
  <sheetViews>
    <sheetView tabSelected="1" view="pageBreakPreview" zoomScale="80" zoomScaleNormal="80" zoomScaleSheetLayoutView="80" workbookViewId="0">
      <pane ySplit="8" topLeftCell="A18" activePane="bottomLeft" state="frozen"/>
      <selection pane="bottomLeft" activeCell="G22" sqref="G22"/>
    </sheetView>
  </sheetViews>
  <sheetFormatPr defaultColWidth="8.81640625" defaultRowHeight="14.5" x14ac:dyDescent="0.35"/>
  <cols>
    <col min="1" max="1" width="8.81640625" style="165" hidden="1" customWidth="1"/>
    <col min="2" max="2" width="33.81640625" style="165" hidden="1" customWidth="1"/>
    <col min="3" max="3" width="19.54296875" style="165" hidden="1" customWidth="1"/>
    <col min="4" max="5" width="8.81640625" style="165" hidden="1" customWidth="1"/>
    <col min="6" max="6" width="6.54296875" style="165" customWidth="1"/>
    <col min="7" max="7" width="43.453125" style="165" customWidth="1"/>
    <col min="8" max="9" width="15.453125" style="165" customWidth="1"/>
    <col min="10" max="10" width="9.81640625" style="293" customWidth="1"/>
    <col min="11" max="11" width="8.90625" style="293" customWidth="1"/>
    <col min="12" max="13" width="10.36328125" style="293" customWidth="1"/>
    <col min="14" max="14" width="9.08984375" style="293" customWidth="1"/>
    <col min="15" max="15" width="10.1796875" style="293" customWidth="1"/>
    <col min="16" max="16" width="8.7265625" style="293" customWidth="1"/>
    <col min="17" max="17" width="9" style="293" customWidth="1"/>
    <col min="18" max="18" width="10.54296875" style="293" customWidth="1"/>
    <col min="19" max="19" width="9.453125" style="293" customWidth="1"/>
    <col min="20" max="20" width="9.90625" style="293" customWidth="1"/>
    <col min="21" max="21" width="10.54296875" style="293" customWidth="1"/>
    <col min="22" max="22" width="15.7265625" customWidth="1"/>
  </cols>
  <sheetData>
    <row r="1" spans="1:26" x14ac:dyDescent="0.35">
      <c r="F1" s="454"/>
      <c r="G1" s="454"/>
      <c r="H1" s="262"/>
      <c r="I1" s="262"/>
      <c r="U1" s="109"/>
    </row>
    <row r="2" spans="1:26" ht="62.25" customHeight="1" x14ac:dyDescent="0.35">
      <c r="A2" s="232" t="s">
        <v>749</v>
      </c>
      <c r="B2" s="232"/>
      <c r="C2" s="232"/>
      <c r="D2" s="232"/>
      <c r="E2" s="232"/>
      <c r="F2" s="492" t="s">
        <v>1122</v>
      </c>
      <c r="G2" s="493"/>
      <c r="H2" s="493"/>
      <c r="I2" s="493"/>
      <c r="J2" s="493"/>
      <c r="K2" s="493"/>
      <c r="L2" s="493"/>
      <c r="M2" s="493"/>
      <c r="N2" s="493"/>
      <c r="O2" s="493"/>
      <c r="P2" s="493"/>
      <c r="Q2" s="493"/>
      <c r="R2" s="493"/>
      <c r="S2" s="493"/>
      <c r="T2" s="493"/>
      <c r="U2" s="493"/>
      <c r="V2" s="164"/>
      <c r="W2" s="164"/>
      <c r="X2" s="164"/>
      <c r="Y2" s="164"/>
      <c r="Z2" s="164"/>
    </row>
    <row r="3" spans="1:26" ht="18" x14ac:dyDescent="0.35">
      <c r="C3" s="480" t="s">
        <v>1123</v>
      </c>
      <c r="D3" s="481"/>
      <c r="E3" s="481"/>
      <c r="F3" s="481"/>
      <c r="G3" s="481"/>
      <c r="H3" s="481"/>
      <c r="I3" s="481"/>
      <c r="J3" s="481"/>
      <c r="K3" s="481"/>
      <c r="L3" s="481"/>
      <c r="M3" s="481"/>
      <c r="N3" s="481"/>
      <c r="O3" s="481"/>
      <c r="P3" s="481"/>
      <c r="Q3" s="481"/>
      <c r="R3" s="481"/>
      <c r="S3" s="481"/>
      <c r="T3" s="481"/>
      <c r="U3" s="481"/>
    </row>
    <row r="4" spans="1:26" ht="18" x14ac:dyDescent="0.35">
      <c r="C4" s="480" t="s">
        <v>1</v>
      </c>
      <c r="D4" s="481"/>
      <c r="E4" s="481"/>
      <c r="F4" s="481"/>
      <c r="G4" s="481"/>
      <c r="H4" s="481"/>
      <c r="I4" s="481"/>
      <c r="J4" s="481"/>
      <c r="K4" s="481"/>
      <c r="L4" s="481"/>
      <c r="M4" s="481"/>
      <c r="N4" s="481"/>
      <c r="O4" s="481"/>
      <c r="P4" s="481"/>
      <c r="Q4" s="481"/>
      <c r="R4" s="481"/>
      <c r="S4" s="481"/>
      <c r="T4" s="481"/>
      <c r="U4" s="481"/>
    </row>
    <row r="6" spans="1:26" ht="34.15" hidden="1" customHeight="1" x14ac:dyDescent="0.35">
      <c r="A6" s="494" t="s">
        <v>2</v>
      </c>
      <c r="B6" s="494"/>
      <c r="C6" s="494"/>
      <c r="D6" s="494"/>
      <c r="E6" s="494"/>
      <c r="F6" s="458" t="s">
        <v>3</v>
      </c>
      <c r="G6" s="458"/>
      <c r="H6" s="458"/>
      <c r="I6" s="458"/>
      <c r="J6" s="458"/>
      <c r="K6" s="458"/>
      <c r="L6" s="458"/>
      <c r="M6" s="458"/>
      <c r="N6" s="458"/>
      <c r="O6" s="458"/>
      <c r="P6" s="458"/>
      <c r="Q6" s="458"/>
      <c r="R6" s="458"/>
      <c r="S6" s="458"/>
      <c r="T6" s="458"/>
      <c r="U6" s="458"/>
      <c r="V6" s="167"/>
    </row>
    <row r="7" spans="1:26" ht="24.5" customHeight="1" x14ac:dyDescent="0.35">
      <c r="A7" s="450" t="s">
        <v>5</v>
      </c>
      <c r="B7" s="452" t="s">
        <v>6</v>
      </c>
      <c r="C7" s="453" t="s">
        <v>750</v>
      </c>
      <c r="D7" s="451"/>
      <c r="E7" s="451"/>
      <c r="F7" s="450" t="s">
        <v>5</v>
      </c>
      <c r="G7" s="452" t="s">
        <v>6</v>
      </c>
      <c r="H7" s="455" t="s">
        <v>7</v>
      </c>
      <c r="I7" s="455"/>
      <c r="J7" s="443" t="s">
        <v>750</v>
      </c>
      <c r="K7" s="444"/>
      <c r="L7" s="444"/>
      <c r="M7" s="445"/>
      <c r="N7" s="495" t="s">
        <v>11</v>
      </c>
      <c r="O7" s="495"/>
      <c r="P7" s="495"/>
      <c r="Q7" s="495"/>
      <c r="R7" s="495" t="s">
        <v>12</v>
      </c>
      <c r="S7" s="495"/>
      <c r="T7" s="495"/>
      <c r="U7" s="495"/>
      <c r="V7" s="167"/>
    </row>
    <row r="8" spans="1:26" ht="21.5" customHeight="1" x14ac:dyDescent="0.35">
      <c r="A8" s="451"/>
      <c r="B8" s="451"/>
      <c r="C8" s="236" t="s">
        <v>15</v>
      </c>
      <c r="D8" s="236" t="s">
        <v>16</v>
      </c>
      <c r="E8" s="236" t="s">
        <v>17</v>
      </c>
      <c r="F8" s="451"/>
      <c r="G8" s="451"/>
      <c r="H8" s="259" t="s">
        <v>13</v>
      </c>
      <c r="I8" s="259" t="s">
        <v>14</v>
      </c>
      <c r="J8" s="236" t="s">
        <v>15</v>
      </c>
      <c r="K8" s="236" t="s">
        <v>16</v>
      </c>
      <c r="L8" s="236" t="s">
        <v>17</v>
      </c>
      <c r="M8" s="252" t="s">
        <v>18</v>
      </c>
      <c r="N8" s="279" t="s">
        <v>15</v>
      </c>
      <c r="O8" s="279" t="s">
        <v>16</v>
      </c>
      <c r="P8" s="279" t="s">
        <v>17</v>
      </c>
      <c r="Q8" s="279" t="s">
        <v>18</v>
      </c>
      <c r="R8" s="279" t="s">
        <v>15</v>
      </c>
      <c r="S8" s="279" t="s">
        <v>16</v>
      </c>
      <c r="T8" s="279" t="s">
        <v>17</v>
      </c>
      <c r="U8" s="279" t="s">
        <v>18</v>
      </c>
      <c r="V8" s="167"/>
    </row>
    <row r="9" spans="1:26" hidden="1" x14ac:dyDescent="0.35">
      <c r="A9" s="236">
        <v>1</v>
      </c>
      <c r="B9" s="156" t="s">
        <v>751</v>
      </c>
      <c r="C9" s="236"/>
      <c r="D9" s="236"/>
      <c r="E9" s="236"/>
      <c r="F9" s="236">
        <v>1</v>
      </c>
      <c r="G9" s="156" t="s">
        <v>751</v>
      </c>
      <c r="H9" s="333"/>
      <c r="I9" s="333"/>
      <c r="J9" s="236"/>
      <c r="K9" s="236"/>
      <c r="L9" s="236"/>
      <c r="M9" s="252"/>
      <c r="N9" s="236"/>
      <c r="O9" s="236"/>
      <c r="P9" s="236"/>
      <c r="Q9" s="236"/>
      <c r="R9" s="236"/>
      <c r="S9" s="236"/>
      <c r="T9" s="236"/>
      <c r="U9" s="294"/>
      <c r="V9" s="167"/>
    </row>
    <row r="10" spans="1:26" s="166" customFormat="1" ht="58" customHeight="1" x14ac:dyDescent="0.35">
      <c r="A10" s="165"/>
      <c r="B10" s="165"/>
      <c r="C10" s="165"/>
      <c r="D10" s="165"/>
      <c r="E10" s="165"/>
      <c r="F10" s="236" t="s">
        <v>1070</v>
      </c>
      <c r="G10" s="331" t="s">
        <v>1120</v>
      </c>
      <c r="H10" s="331"/>
      <c r="I10" s="331"/>
      <c r="J10" s="332"/>
      <c r="K10" s="294"/>
      <c r="L10" s="294"/>
      <c r="M10" s="294"/>
      <c r="N10" s="294"/>
      <c r="O10" s="294"/>
      <c r="P10" s="294"/>
      <c r="Q10" s="294"/>
      <c r="R10" s="294"/>
      <c r="S10" s="294"/>
      <c r="T10" s="294"/>
      <c r="U10" s="294"/>
      <c r="V10"/>
      <c r="W10"/>
      <c r="X10"/>
      <c r="Y10"/>
      <c r="Z10"/>
    </row>
    <row r="11" spans="1:26" s="166" customFormat="1" x14ac:dyDescent="0.35">
      <c r="A11" s="165"/>
      <c r="B11" s="165"/>
      <c r="C11" s="165"/>
      <c r="D11" s="165"/>
      <c r="E11" s="165"/>
      <c r="F11" s="236">
        <v>5</v>
      </c>
      <c r="G11" s="13" t="s">
        <v>773</v>
      </c>
      <c r="H11" s="13"/>
      <c r="I11" s="13"/>
      <c r="J11" s="294"/>
      <c r="K11" s="294"/>
      <c r="L11" s="294"/>
      <c r="M11" s="294"/>
      <c r="N11" s="294"/>
      <c r="O11" s="294"/>
      <c r="P11" s="294"/>
      <c r="Q11" s="294"/>
      <c r="R11" s="294"/>
      <c r="S11" s="294"/>
      <c r="T11" s="294"/>
      <c r="U11" s="294"/>
      <c r="V11"/>
      <c r="W11"/>
      <c r="X11"/>
      <c r="Y11"/>
      <c r="Z11"/>
    </row>
    <row r="12" spans="1:26" s="166" customFormat="1" ht="28" x14ac:dyDescent="0.35">
      <c r="A12" s="165"/>
      <c r="B12" s="165"/>
      <c r="C12" s="165"/>
      <c r="D12" s="165"/>
      <c r="E12" s="165"/>
      <c r="F12" s="19" t="s">
        <v>784</v>
      </c>
      <c r="G12" s="38" t="s">
        <v>785</v>
      </c>
      <c r="H12" s="38"/>
      <c r="I12" s="38"/>
      <c r="J12" s="240">
        <v>500</v>
      </c>
      <c r="K12" s="240">
        <v>350</v>
      </c>
      <c r="L12" s="240">
        <v>250</v>
      </c>
      <c r="M12" s="235">
        <v>200</v>
      </c>
      <c r="N12" s="240">
        <v>320</v>
      </c>
      <c r="O12" s="240">
        <v>210</v>
      </c>
      <c r="P12" s="240">
        <v>150</v>
      </c>
      <c r="Q12" s="240">
        <v>120</v>
      </c>
      <c r="R12" s="240">
        <v>240</v>
      </c>
      <c r="S12" s="240">
        <v>140</v>
      </c>
      <c r="T12" s="240">
        <v>100</v>
      </c>
      <c r="U12" s="240">
        <v>80</v>
      </c>
      <c r="V12"/>
      <c r="W12"/>
      <c r="X12"/>
      <c r="Y12"/>
      <c r="Z12"/>
    </row>
    <row r="13" spans="1:26" ht="54.5" customHeight="1" x14ac:dyDescent="0.35">
      <c r="F13" s="259" t="s">
        <v>1069</v>
      </c>
      <c r="G13" s="331" t="s">
        <v>1121</v>
      </c>
      <c r="H13" s="256"/>
      <c r="I13" s="253"/>
      <c r="J13" s="253"/>
      <c r="K13" s="253"/>
      <c r="L13" s="253"/>
      <c r="M13" s="253"/>
      <c r="N13" s="253"/>
      <c r="O13" s="253"/>
      <c r="P13" s="253"/>
      <c r="Q13" s="253"/>
      <c r="R13" s="253"/>
      <c r="S13" s="253"/>
      <c r="T13" s="253"/>
      <c r="U13" s="253"/>
    </row>
    <row r="14" spans="1:26" x14ac:dyDescent="0.35">
      <c r="F14" s="256">
        <v>25</v>
      </c>
      <c r="G14" s="14" t="s">
        <v>30</v>
      </c>
      <c r="H14" s="27"/>
      <c r="I14" s="253"/>
      <c r="J14" s="253"/>
      <c r="K14" s="253"/>
      <c r="L14" s="253"/>
      <c r="M14" s="253"/>
      <c r="N14" s="253"/>
      <c r="O14" s="253"/>
      <c r="P14" s="253"/>
      <c r="Q14" s="253"/>
      <c r="R14" s="253"/>
      <c r="S14" s="253"/>
      <c r="T14" s="253"/>
      <c r="U14" s="253"/>
    </row>
    <row r="15" spans="1:26" x14ac:dyDescent="0.35">
      <c r="F15" s="19" t="s">
        <v>42</v>
      </c>
      <c r="G15" s="38" t="s">
        <v>43</v>
      </c>
      <c r="H15" s="237" t="s">
        <v>36</v>
      </c>
      <c r="I15" s="253"/>
      <c r="J15" s="18">
        <v>7500</v>
      </c>
      <c r="K15" s="253"/>
      <c r="L15" s="253"/>
      <c r="M15" s="253"/>
      <c r="N15" s="18">
        <v>4500</v>
      </c>
      <c r="O15" s="253"/>
      <c r="P15" s="253"/>
      <c r="Q15" s="253"/>
      <c r="R15" s="18">
        <v>3000</v>
      </c>
      <c r="S15" s="253"/>
      <c r="T15" s="253"/>
      <c r="U15" s="253"/>
    </row>
    <row r="16" spans="1:26" x14ac:dyDescent="0.35">
      <c r="F16" s="19" t="s">
        <v>45</v>
      </c>
      <c r="G16" s="38" t="s">
        <v>46</v>
      </c>
      <c r="H16" s="237" t="s">
        <v>36</v>
      </c>
      <c r="I16" s="253"/>
      <c r="J16" s="18">
        <v>7300</v>
      </c>
      <c r="K16" s="253"/>
      <c r="L16" s="253"/>
      <c r="M16" s="253"/>
      <c r="N16" s="18">
        <v>4380</v>
      </c>
      <c r="O16" s="253"/>
      <c r="P16" s="253"/>
      <c r="Q16" s="253"/>
      <c r="R16" s="18">
        <v>2920</v>
      </c>
      <c r="S16" s="253"/>
      <c r="T16" s="253"/>
      <c r="U16" s="253"/>
    </row>
    <row r="17" spans="6:21" x14ac:dyDescent="0.35">
      <c r="F17" s="19" t="s">
        <v>47</v>
      </c>
      <c r="G17" s="38" t="s">
        <v>48</v>
      </c>
      <c r="H17" s="237" t="s">
        <v>36</v>
      </c>
      <c r="I17" s="253"/>
      <c r="J17" s="18">
        <v>7100</v>
      </c>
      <c r="K17" s="253"/>
      <c r="L17" s="253"/>
      <c r="M17" s="253"/>
      <c r="N17" s="18">
        <v>4260</v>
      </c>
      <c r="O17" s="253"/>
      <c r="P17" s="253"/>
      <c r="Q17" s="253"/>
      <c r="R17" s="18">
        <v>2840</v>
      </c>
      <c r="S17" s="253"/>
      <c r="T17" s="253"/>
      <c r="U17" s="253"/>
    </row>
    <row r="18" spans="6:21" x14ac:dyDescent="0.35">
      <c r="F18" s="256">
        <v>42</v>
      </c>
      <c r="G18" s="14" t="s">
        <v>308</v>
      </c>
      <c r="H18" s="27"/>
      <c r="I18" s="253"/>
      <c r="J18" s="253"/>
      <c r="K18" s="253"/>
      <c r="L18" s="253"/>
      <c r="M18" s="253"/>
      <c r="N18" s="253"/>
      <c r="O18" s="253"/>
      <c r="P18" s="253"/>
      <c r="Q18" s="253"/>
      <c r="R18" s="253"/>
      <c r="S18" s="253"/>
      <c r="T18" s="253"/>
      <c r="U18" s="253"/>
    </row>
    <row r="19" spans="6:21" ht="28" x14ac:dyDescent="0.35">
      <c r="F19" s="19" t="s">
        <v>504</v>
      </c>
      <c r="G19" s="38" t="s">
        <v>1126</v>
      </c>
      <c r="H19" s="460" t="s">
        <v>36</v>
      </c>
      <c r="I19" s="451"/>
      <c r="J19" s="91">
        <v>15000</v>
      </c>
      <c r="K19" s="253"/>
      <c r="L19" s="253"/>
      <c r="M19" s="253"/>
      <c r="N19" s="253"/>
      <c r="O19" s="253"/>
      <c r="P19" s="253"/>
      <c r="Q19" s="253"/>
      <c r="R19" s="253"/>
      <c r="S19" s="253"/>
      <c r="T19" s="253"/>
      <c r="U19" s="253"/>
    </row>
    <row r="20" spans="6:21" x14ac:dyDescent="0.35">
      <c r="F20" s="256">
        <v>44</v>
      </c>
      <c r="G20" s="14" t="s">
        <v>556</v>
      </c>
      <c r="H20" s="27"/>
      <c r="I20" s="253"/>
      <c r="J20" s="253"/>
      <c r="K20" s="253"/>
      <c r="L20" s="253"/>
      <c r="M20" s="253"/>
      <c r="N20" s="253"/>
      <c r="O20" s="253"/>
      <c r="P20" s="253"/>
      <c r="Q20" s="253"/>
      <c r="R20" s="253"/>
      <c r="S20" s="253"/>
      <c r="T20" s="253"/>
      <c r="U20" s="253"/>
    </row>
    <row r="21" spans="6:21" ht="28" x14ac:dyDescent="0.35">
      <c r="F21" s="19" t="s">
        <v>577</v>
      </c>
      <c r="G21" s="38" t="s">
        <v>560</v>
      </c>
      <c r="H21" s="237" t="s">
        <v>578</v>
      </c>
      <c r="I21" s="237" t="s">
        <v>579</v>
      </c>
      <c r="J21" s="18">
        <v>5100</v>
      </c>
      <c r="K21" s="18">
        <v>2700</v>
      </c>
      <c r="L21" s="18">
        <v>1200</v>
      </c>
      <c r="M21" s="18">
        <v>450</v>
      </c>
      <c r="N21" s="18">
        <v>3060</v>
      </c>
      <c r="O21" s="18">
        <v>1620</v>
      </c>
      <c r="P21" s="18">
        <v>720</v>
      </c>
      <c r="Q21" s="18">
        <v>270</v>
      </c>
      <c r="R21" s="18">
        <v>2040</v>
      </c>
      <c r="S21" s="18">
        <v>1080</v>
      </c>
      <c r="T21" s="18">
        <v>480</v>
      </c>
      <c r="U21" s="18">
        <v>180</v>
      </c>
    </row>
    <row r="22" spans="6:21" ht="28" x14ac:dyDescent="0.35">
      <c r="F22" s="19" t="s">
        <v>584</v>
      </c>
      <c r="G22" s="38" t="s">
        <v>585</v>
      </c>
      <c r="H22" s="259"/>
      <c r="I22" s="259"/>
      <c r="J22" s="253"/>
      <c r="K22" s="253"/>
      <c r="L22" s="253"/>
      <c r="M22" s="253"/>
      <c r="N22" s="253"/>
      <c r="O22" s="253"/>
      <c r="P22" s="253"/>
      <c r="Q22" s="253"/>
      <c r="R22" s="253"/>
      <c r="S22" s="253"/>
      <c r="T22" s="253"/>
      <c r="U22" s="253"/>
    </row>
    <row r="23" spans="6:21" ht="28" x14ac:dyDescent="0.35">
      <c r="F23" s="19" t="s">
        <v>586</v>
      </c>
      <c r="G23" s="38" t="s">
        <v>587</v>
      </c>
      <c r="H23" s="38" t="s">
        <v>588</v>
      </c>
      <c r="I23" s="38" t="s">
        <v>589</v>
      </c>
      <c r="J23" s="18">
        <v>400</v>
      </c>
      <c r="K23" s="18">
        <v>350</v>
      </c>
      <c r="L23" s="18">
        <v>300</v>
      </c>
      <c r="M23" s="18">
        <v>250</v>
      </c>
      <c r="N23" s="18">
        <v>240</v>
      </c>
      <c r="O23" s="18">
        <v>210</v>
      </c>
      <c r="P23" s="18">
        <v>180</v>
      </c>
      <c r="Q23" s="18">
        <v>150</v>
      </c>
      <c r="R23" s="18">
        <v>160</v>
      </c>
      <c r="S23" s="18">
        <v>140</v>
      </c>
      <c r="T23" s="18">
        <v>120</v>
      </c>
      <c r="U23" s="18">
        <v>100</v>
      </c>
    </row>
    <row r="24" spans="6:21" x14ac:dyDescent="0.35">
      <c r="F24" s="256">
        <v>50</v>
      </c>
      <c r="G24" s="14" t="s">
        <v>704</v>
      </c>
      <c r="H24" s="27"/>
      <c r="I24" s="253"/>
      <c r="J24" s="253"/>
      <c r="K24" s="253"/>
      <c r="L24" s="253"/>
      <c r="M24" s="253"/>
      <c r="N24" s="253"/>
      <c r="O24" s="253"/>
      <c r="P24" s="253"/>
      <c r="Q24" s="253"/>
      <c r="R24" s="253"/>
      <c r="S24" s="253"/>
      <c r="T24" s="253"/>
      <c r="U24" s="253"/>
    </row>
    <row r="25" spans="6:21" ht="28" x14ac:dyDescent="0.35">
      <c r="F25" s="27" t="s">
        <v>712</v>
      </c>
      <c r="G25" s="38" t="s">
        <v>713</v>
      </c>
      <c r="H25" s="237" t="s">
        <v>707</v>
      </c>
      <c r="I25" s="237" t="s">
        <v>643</v>
      </c>
      <c r="J25" s="343" t="s">
        <v>621</v>
      </c>
      <c r="K25" s="253"/>
      <c r="L25" s="253"/>
      <c r="M25" s="253"/>
      <c r="N25" s="253"/>
      <c r="O25" s="253"/>
      <c r="P25" s="253"/>
      <c r="Q25" s="253"/>
      <c r="R25" s="253"/>
      <c r="S25" s="253"/>
      <c r="T25" s="253"/>
      <c r="U25" s="253"/>
    </row>
  </sheetData>
  <mergeCells count="16">
    <mergeCell ref="H19:I19"/>
    <mergeCell ref="H7:I7"/>
    <mergeCell ref="N7:Q7"/>
    <mergeCell ref="R7:U7"/>
    <mergeCell ref="A7:A8"/>
    <mergeCell ref="B7:B8"/>
    <mergeCell ref="C7:E7"/>
    <mergeCell ref="F7:F8"/>
    <mergeCell ref="G7:G8"/>
    <mergeCell ref="J7:M7"/>
    <mergeCell ref="F1:G1"/>
    <mergeCell ref="F2:U2"/>
    <mergeCell ref="C3:U3"/>
    <mergeCell ref="C4:U4"/>
    <mergeCell ref="A6:E6"/>
    <mergeCell ref="F6:U6"/>
  </mergeCells>
  <pageMargins left="0.35" right="0.19685039370078741" top="0.33" bottom="0.23622047244094491" header="0.31496062992125984" footer="0.31496062992125984"/>
  <pageSetup paperSize="9" scale="71" fitToHeight="0" orientation="landscape" r:id="rId1"/>
  <headerFooter scaleWithDoc="0" alignWithMargins="0">
    <oddFooter>&amp;C&amp;P</oddFooter>
  </headerFooter>
  <colBreaks count="1" manualBreakCount="1">
    <brk id="21"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T383"/>
  <sheetViews>
    <sheetView view="pageBreakPreview" zoomScale="60" zoomScaleNormal="85" workbookViewId="0">
      <pane xSplit="2" ySplit="12" topLeftCell="I247" activePane="bottomRight" state="frozen"/>
      <selection pane="topRight" activeCell="C1" sqref="C1"/>
      <selection pane="bottomLeft" activeCell="A10" sqref="A10"/>
      <selection pane="bottomRight" activeCell="J257" sqref="J257"/>
    </sheetView>
  </sheetViews>
  <sheetFormatPr defaultColWidth="13.81640625" defaultRowHeight="14" x14ac:dyDescent="0.35"/>
  <cols>
    <col min="1" max="1" width="7.7265625" style="7" hidden="1" customWidth="1"/>
    <col min="2" max="2" width="29.26953125" style="9" hidden="1" customWidth="1"/>
    <col min="3" max="3" width="18.7265625" style="7" hidden="1" customWidth="1"/>
    <col min="4" max="4" width="19.7265625" style="7" hidden="1" customWidth="1"/>
    <col min="5" max="8" width="9.1796875" style="10" hidden="1" customWidth="1"/>
    <col min="9" max="9" width="8.26953125" style="7" customWidth="1"/>
    <col min="10" max="10" width="44.7265625" style="7" customWidth="1"/>
    <col min="11" max="12" width="22.54296875" style="7" customWidth="1"/>
    <col min="13" max="13" width="11.453125" style="10" bestFit="1" customWidth="1"/>
    <col min="14" max="14" width="10" style="10" customWidth="1"/>
    <col min="15" max="23" width="9.1796875" style="10" customWidth="1"/>
    <col min="24" max="24" width="8.1796875" style="10" customWidth="1"/>
    <col min="25" max="25" width="48" style="20" hidden="1" customWidth="1"/>
    <col min="26" max="26" width="13.81640625" style="7" hidden="1" customWidth="1"/>
    <col min="27" max="27" width="0" style="7" hidden="1" customWidth="1"/>
    <col min="28" max="16384" width="13.81640625" style="7"/>
  </cols>
  <sheetData>
    <row r="1" spans="1:36" x14ac:dyDescent="0.35">
      <c r="A1" s="454"/>
      <c r="B1" s="454"/>
      <c r="C1" s="1"/>
      <c r="D1" s="1"/>
      <c r="E1" s="2"/>
      <c r="F1" s="2"/>
      <c r="G1" s="3"/>
      <c r="H1" s="2"/>
      <c r="I1" s="454" t="s">
        <v>871</v>
      </c>
      <c r="J1" s="454"/>
      <c r="K1" s="4"/>
      <c r="L1" s="4"/>
      <c r="M1" s="2"/>
      <c r="N1" s="2"/>
      <c r="O1" s="2"/>
      <c r="P1" s="5"/>
      <c r="Q1" s="5"/>
      <c r="R1" s="5"/>
      <c r="S1" s="5"/>
      <c r="T1" s="5"/>
      <c r="U1" s="5"/>
      <c r="V1" s="5"/>
      <c r="W1" s="5"/>
      <c r="X1" s="5"/>
      <c r="Y1" s="233" t="s">
        <v>872</v>
      </c>
      <c r="Z1" s="4"/>
      <c r="AA1" s="4"/>
      <c r="AB1" s="4"/>
      <c r="AC1" s="4"/>
      <c r="AD1" s="4"/>
      <c r="AE1" s="4"/>
      <c r="AF1" s="4"/>
      <c r="AG1" s="4"/>
      <c r="AH1" s="4"/>
      <c r="AI1" s="4"/>
      <c r="AJ1" s="4"/>
    </row>
    <row r="2" spans="1:36" x14ac:dyDescent="0.35">
      <c r="A2" s="262"/>
      <c r="B2" s="262"/>
      <c r="C2" s="1"/>
      <c r="D2" s="1"/>
      <c r="E2" s="2"/>
      <c r="F2" s="2"/>
      <c r="G2" s="3"/>
      <c r="H2" s="2"/>
      <c r="I2" s="447" t="s">
        <v>1073</v>
      </c>
      <c r="J2" s="447"/>
      <c r="K2" s="447"/>
      <c r="L2" s="447"/>
      <c r="M2" s="447"/>
      <c r="N2" s="447"/>
      <c r="O2" s="447"/>
      <c r="P2" s="447"/>
      <c r="Q2" s="447"/>
      <c r="R2" s="447"/>
      <c r="S2" s="447"/>
      <c r="T2" s="447"/>
      <c r="U2" s="447"/>
      <c r="V2" s="447"/>
      <c r="W2" s="447"/>
      <c r="X2" s="447"/>
      <c r="Y2" s="447"/>
      <c r="Z2" s="4"/>
      <c r="AA2" s="4"/>
      <c r="AB2" s="4"/>
      <c r="AC2" s="4"/>
      <c r="AD2" s="4"/>
      <c r="AE2" s="4"/>
      <c r="AF2" s="4"/>
      <c r="AG2" s="4"/>
      <c r="AH2" s="4"/>
      <c r="AI2" s="4"/>
      <c r="AJ2" s="4"/>
    </row>
    <row r="3" spans="1:36" x14ac:dyDescent="0.35">
      <c r="A3" s="262"/>
      <c r="B3" s="262"/>
      <c r="C3" s="1"/>
      <c r="D3" s="1"/>
      <c r="E3" s="2"/>
      <c r="F3" s="2"/>
      <c r="G3" s="3"/>
      <c r="H3" s="2"/>
      <c r="I3" s="491" t="s">
        <v>1021</v>
      </c>
      <c r="J3" s="491"/>
      <c r="K3" s="491"/>
      <c r="L3" s="491"/>
      <c r="M3" s="491"/>
      <c r="N3" s="491"/>
      <c r="O3" s="491"/>
      <c r="P3" s="491"/>
      <c r="Q3" s="491"/>
      <c r="R3" s="491"/>
      <c r="S3" s="491"/>
      <c r="T3" s="491"/>
      <c r="U3" s="491"/>
      <c r="V3" s="491"/>
      <c r="W3" s="491"/>
      <c r="X3" s="491"/>
      <c r="Y3" s="491"/>
      <c r="Z3" s="4"/>
      <c r="AA3" s="4"/>
      <c r="AB3" s="4"/>
      <c r="AC3" s="4"/>
      <c r="AD3" s="4"/>
      <c r="AE3" s="4"/>
      <c r="AF3" s="4"/>
      <c r="AG3" s="4"/>
      <c r="AH3" s="4"/>
      <c r="AI3" s="4"/>
      <c r="AJ3" s="4"/>
    </row>
    <row r="4" spans="1:36" x14ac:dyDescent="0.35">
      <c r="A4" s="262"/>
      <c r="B4" s="262"/>
      <c r="C4" s="1"/>
      <c r="D4" s="1"/>
      <c r="E4" s="2"/>
      <c r="F4" s="2"/>
      <c r="G4" s="3"/>
      <c r="H4" s="2"/>
      <c r="I4" s="491" t="s">
        <v>1</v>
      </c>
      <c r="J4" s="491"/>
      <c r="K4" s="491"/>
      <c r="L4" s="491"/>
      <c r="M4" s="491"/>
      <c r="N4" s="491"/>
      <c r="O4" s="491"/>
      <c r="P4" s="491"/>
      <c r="Q4" s="491"/>
      <c r="R4" s="491"/>
      <c r="S4" s="491"/>
      <c r="T4" s="491"/>
      <c r="U4" s="491"/>
      <c r="V4" s="491"/>
      <c r="W4" s="491"/>
      <c r="X4" s="491"/>
      <c r="Y4" s="491"/>
      <c r="Z4" s="4"/>
      <c r="AA4" s="4"/>
      <c r="AB4" s="4"/>
      <c r="AC4" s="4"/>
      <c r="AD4" s="4"/>
      <c r="AE4" s="4"/>
      <c r="AF4" s="4"/>
      <c r="AG4" s="4"/>
      <c r="AH4" s="4"/>
      <c r="AI4" s="4"/>
      <c r="AJ4" s="4"/>
    </row>
    <row r="5" spans="1:36" x14ac:dyDescent="0.35">
      <c r="A5" s="232" t="s">
        <v>0</v>
      </c>
      <c r="B5" s="164"/>
      <c r="C5" s="164"/>
      <c r="D5" s="164"/>
      <c r="E5" s="164"/>
      <c r="F5" s="164"/>
      <c r="G5" s="164"/>
      <c r="H5" s="164"/>
      <c r="I5" s="164"/>
      <c r="J5" s="164"/>
      <c r="K5" s="164"/>
      <c r="L5" s="164"/>
      <c r="M5" s="164"/>
      <c r="N5" s="164"/>
      <c r="O5" s="164"/>
      <c r="P5" s="164"/>
      <c r="Q5" s="7"/>
      <c r="R5" s="7"/>
      <c r="S5" s="7"/>
      <c r="T5" s="7"/>
      <c r="U5" s="7"/>
      <c r="V5" s="7"/>
      <c r="W5" s="7"/>
      <c r="X5" s="7"/>
      <c r="Y5" s="6"/>
      <c r="Z5" s="4"/>
      <c r="AA5" s="4"/>
      <c r="AB5" s="4"/>
      <c r="AC5" s="4"/>
      <c r="AD5" s="4"/>
      <c r="AE5" s="4"/>
      <c r="AF5" s="4"/>
      <c r="AG5" s="4"/>
      <c r="AH5" s="4"/>
      <c r="AI5" s="4"/>
      <c r="AJ5" s="4"/>
    </row>
    <row r="6" spans="1:36" x14ac:dyDescent="0.35">
      <c r="A6" s="8"/>
      <c r="Y6" s="6"/>
      <c r="Z6" s="4"/>
      <c r="AA6" s="4"/>
      <c r="AB6" s="4"/>
      <c r="AC6" s="4"/>
      <c r="AD6" s="4"/>
      <c r="AE6" s="4"/>
      <c r="AF6" s="4"/>
      <c r="AG6" s="4"/>
      <c r="AH6" s="4"/>
      <c r="AI6" s="4"/>
      <c r="AJ6" s="4"/>
    </row>
    <row r="7" spans="1:36" hidden="1" x14ac:dyDescent="0.35">
      <c r="A7" s="11"/>
      <c r="B7" s="12"/>
      <c r="C7" s="253"/>
      <c r="D7" s="253"/>
      <c r="E7" s="89"/>
      <c r="F7" s="89"/>
      <c r="G7" s="89"/>
      <c r="H7" s="89"/>
      <c r="I7" s="253"/>
      <c r="J7" s="253"/>
      <c r="K7" s="253"/>
      <c r="L7" s="253"/>
      <c r="M7" s="89"/>
      <c r="N7" s="500" t="s">
        <v>1</v>
      </c>
      <c r="O7" s="500"/>
      <c r="P7" s="500"/>
      <c r="Q7" s="89"/>
      <c r="R7" s="89"/>
      <c r="S7" s="89"/>
      <c r="T7" s="89"/>
      <c r="U7" s="89"/>
      <c r="V7" s="89"/>
      <c r="W7" s="89"/>
      <c r="X7" s="89"/>
      <c r="Y7" s="38"/>
      <c r="Z7" s="4"/>
      <c r="AA7" s="4"/>
      <c r="AB7" s="4"/>
      <c r="AC7" s="4"/>
      <c r="AD7" s="4"/>
      <c r="AE7" s="4"/>
      <c r="AF7" s="4"/>
      <c r="AG7" s="4"/>
      <c r="AH7" s="4"/>
      <c r="AI7" s="4"/>
      <c r="AJ7" s="4"/>
    </row>
    <row r="8" spans="1:36" hidden="1" x14ac:dyDescent="0.35">
      <c r="A8" s="458" t="s">
        <v>2</v>
      </c>
      <c r="B8" s="458"/>
      <c r="C8" s="458"/>
      <c r="D8" s="458"/>
      <c r="E8" s="458"/>
      <c r="F8" s="458"/>
      <c r="G8" s="458"/>
      <c r="H8" s="458"/>
      <c r="I8" s="501" t="s">
        <v>3</v>
      </c>
      <c r="J8" s="502"/>
      <c r="K8" s="502"/>
      <c r="L8" s="502"/>
      <c r="M8" s="502"/>
      <c r="N8" s="502"/>
      <c r="O8" s="502"/>
      <c r="P8" s="502"/>
      <c r="Q8" s="502"/>
      <c r="R8" s="502"/>
      <c r="S8" s="502"/>
      <c r="T8" s="502"/>
      <c r="U8" s="502"/>
      <c r="V8" s="502"/>
      <c r="W8" s="502"/>
      <c r="X8" s="503"/>
      <c r="Y8" s="13" t="s">
        <v>4</v>
      </c>
      <c r="Z8" s="4"/>
      <c r="AA8" s="4"/>
      <c r="AB8" s="4"/>
      <c r="AC8" s="4"/>
      <c r="AD8" s="4"/>
      <c r="AE8" s="4"/>
      <c r="AF8" s="4"/>
      <c r="AG8" s="4"/>
      <c r="AH8" s="4"/>
      <c r="AI8" s="4"/>
      <c r="AJ8" s="4"/>
    </row>
    <row r="9" spans="1:36" x14ac:dyDescent="0.35">
      <c r="A9" s="458" t="s">
        <v>5</v>
      </c>
      <c r="B9" s="457" t="s">
        <v>6</v>
      </c>
      <c r="C9" s="457" t="s">
        <v>7</v>
      </c>
      <c r="D9" s="451"/>
      <c r="E9" s="456" t="s">
        <v>8</v>
      </c>
      <c r="F9" s="459"/>
      <c r="G9" s="459"/>
      <c r="H9" s="459"/>
      <c r="I9" s="455" t="s">
        <v>9</v>
      </c>
      <c r="J9" s="455" t="s">
        <v>6</v>
      </c>
      <c r="K9" s="455" t="s">
        <v>7</v>
      </c>
      <c r="L9" s="455"/>
      <c r="M9" s="456" t="s">
        <v>10</v>
      </c>
      <c r="N9" s="456"/>
      <c r="O9" s="456"/>
      <c r="P9" s="456"/>
      <c r="Q9" s="455" t="s">
        <v>11</v>
      </c>
      <c r="R9" s="451"/>
      <c r="S9" s="451"/>
      <c r="T9" s="451"/>
      <c r="U9" s="457" t="s">
        <v>12</v>
      </c>
      <c r="V9" s="451"/>
      <c r="W9" s="451"/>
      <c r="X9" s="451"/>
      <c r="Y9" s="38"/>
      <c r="Z9" s="4"/>
      <c r="AA9" s="4"/>
      <c r="AB9" s="4"/>
      <c r="AC9" s="4"/>
      <c r="AD9" s="4"/>
      <c r="AE9" s="4"/>
      <c r="AF9" s="4"/>
      <c r="AG9" s="4"/>
      <c r="AH9" s="4"/>
      <c r="AI9" s="4"/>
      <c r="AJ9" s="4"/>
    </row>
    <row r="10" spans="1:36" x14ac:dyDescent="0.35">
      <c r="A10" s="451"/>
      <c r="B10" s="451"/>
      <c r="C10" s="259" t="s">
        <v>13</v>
      </c>
      <c r="D10" s="259" t="s">
        <v>14</v>
      </c>
      <c r="E10" s="261" t="s">
        <v>15</v>
      </c>
      <c r="F10" s="261" t="s">
        <v>16</v>
      </c>
      <c r="G10" s="261" t="s">
        <v>17</v>
      </c>
      <c r="H10" s="261" t="s">
        <v>18</v>
      </c>
      <c r="I10" s="455"/>
      <c r="J10" s="455"/>
      <c r="K10" s="259" t="s">
        <v>13</v>
      </c>
      <c r="L10" s="259" t="s">
        <v>14</v>
      </c>
      <c r="M10" s="261" t="s">
        <v>15</v>
      </c>
      <c r="N10" s="261" t="s">
        <v>16</v>
      </c>
      <c r="O10" s="261" t="s">
        <v>17</v>
      </c>
      <c r="P10" s="261" t="s">
        <v>18</v>
      </c>
      <c r="Q10" s="256" t="s">
        <v>15</v>
      </c>
      <c r="R10" s="256" t="s">
        <v>16</v>
      </c>
      <c r="S10" s="256" t="s">
        <v>17</v>
      </c>
      <c r="T10" s="256" t="s">
        <v>18</v>
      </c>
      <c r="U10" s="256" t="s">
        <v>15</v>
      </c>
      <c r="V10" s="256" t="s">
        <v>16</v>
      </c>
      <c r="W10" s="256" t="s">
        <v>17</v>
      </c>
      <c r="X10" s="256" t="s">
        <v>18</v>
      </c>
      <c r="Y10" s="38"/>
      <c r="Z10" s="4"/>
      <c r="AA10" s="4"/>
      <c r="AB10" s="4"/>
      <c r="AC10" s="4"/>
      <c r="AD10" s="4"/>
      <c r="AE10" s="4"/>
      <c r="AF10" s="4"/>
      <c r="AG10" s="4"/>
      <c r="AH10" s="4"/>
      <c r="AI10" s="4"/>
      <c r="AJ10" s="4"/>
    </row>
    <row r="11" spans="1:36" ht="18.75" hidden="1" customHeight="1" x14ac:dyDescent="0.35">
      <c r="A11" s="256">
        <v>22</v>
      </c>
      <c r="B11" s="14" t="s">
        <v>19</v>
      </c>
      <c r="C11" s="259"/>
      <c r="D11" s="259"/>
      <c r="E11" s="261"/>
      <c r="F11" s="261"/>
      <c r="G11" s="261"/>
      <c r="H11" s="261"/>
      <c r="I11" s="256">
        <v>22</v>
      </c>
      <c r="J11" s="14" t="s">
        <v>19</v>
      </c>
      <c r="K11" s="259"/>
      <c r="L11" s="259"/>
      <c r="M11" s="261"/>
      <c r="N11" s="261"/>
      <c r="O11" s="261"/>
      <c r="P11" s="261"/>
      <c r="Q11" s="261"/>
      <c r="R11" s="261"/>
      <c r="S11" s="261"/>
      <c r="T11" s="261"/>
      <c r="U11" s="261"/>
      <c r="V11" s="261"/>
      <c r="W11" s="261"/>
      <c r="X11" s="261"/>
      <c r="Y11" s="13" t="s">
        <v>20</v>
      </c>
      <c r="Z11" s="4"/>
      <c r="AA11" s="4"/>
      <c r="AB11" s="4"/>
      <c r="AC11" s="4"/>
      <c r="AD11" s="4"/>
      <c r="AE11" s="4"/>
      <c r="AF11" s="4"/>
      <c r="AG11" s="4"/>
      <c r="AH11" s="4"/>
      <c r="AI11" s="4"/>
      <c r="AJ11" s="4"/>
    </row>
    <row r="12" spans="1:36" hidden="1" x14ac:dyDescent="0.35">
      <c r="A12" s="256">
        <v>23</v>
      </c>
      <c r="B12" s="14" t="s">
        <v>21</v>
      </c>
      <c r="C12" s="259"/>
      <c r="D12" s="259"/>
      <c r="E12" s="261"/>
      <c r="F12" s="261"/>
      <c r="G12" s="261"/>
      <c r="H12" s="261"/>
      <c r="I12" s="256">
        <v>23</v>
      </c>
      <c r="J12" s="14" t="s">
        <v>21</v>
      </c>
      <c r="K12" s="259"/>
      <c r="L12" s="259"/>
      <c r="M12" s="261"/>
      <c r="N12" s="261"/>
      <c r="O12" s="261"/>
      <c r="P12" s="261"/>
      <c r="Q12" s="261"/>
      <c r="R12" s="261"/>
      <c r="S12" s="261"/>
      <c r="T12" s="261"/>
      <c r="U12" s="261"/>
      <c r="V12" s="261"/>
      <c r="W12" s="261"/>
      <c r="X12" s="261"/>
      <c r="Y12" s="13" t="s">
        <v>22</v>
      </c>
      <c r="Z12" s="4"/>
      <c r="AA12" s="4"/>
      <c r="AB12" s="4"/>
      <c r="AC12" s="4"/>
      <c r="AD12" s="4"/>
      <c r="AE12" s="4"/>
      <c r="AF12" s="4"/>
      <c r="AG12" s="4"/>
      <c r="AH12" s="4"/>
      <c r="AI12" s="4"/>
      <c r="AJ12" s="4"/>
    </row>
    <row r="13" spans="1:36" x14ac:dyDescent="0.35">
      <c r="A13" s="256"/>
      <c r="B13" s="14"/>
      <c r="C13" s="259"/>
      <c r="D13" s="259"/>
      <c r="E13" s="261"/>
      <c r="F13" s="261"/>
      <c r="G13" s="261"/>
      <c r="H13" s="261"/>
      <c r="I13" s="256" t="s">
        <v>1070</v>
      </c>
      <c r="J13" s="14" t="s">
        <v>1074</v>
      </c>
      <c r="K13" s="259"/>
      <c r="L13" s="259"/>
      <c r="M13" s="261"/>
      <c r="N13" s="261"/>
      <c r="O13" s="261"/>
      <c r="P13" s="261"/>
      <c r="Q13" s="261"/>
      <c r="R13" s="261"/>
      <c r="S13" s="261"/>
      <c r="T13" s="261"/>
      <c r="U13" s="261"/>
      <c r="V13" s="261"/>
      <c r="W13" s="261"/>
      <c r="X13" s="261"/>
      <c r="Y13" s="13"/>
      <c r="Z13" s="4"/>
      <c r="AA13" s="4"/>
      <c r="AB13" s="4"/>
      <c r="AC13" s="4"/>
      <c r="AD13" s="4"/>
      <c r="AE13" s="4"/>
      <c r="AF13" s="4"/>
      <c r="AG13" s="4"/>
      <c r="AH13" s="4"/>
      <c r="AI13" s="4"/>
      <c r="AJ13" s="4"/>
    </row>
    <row r="14" spans="1:36" x14ac:dyDescent="0.35">
      <c r="A14" s="256">
        <v>24</v>
      </c>
      <c r="B14" s="14" t="s">
        <v>23</v>
      </c>
      <c r="C14" s="259"/>
      <c r="D14" s="259"/>
      <c r="E14" s="261"/>
      <c r="F14" s="261"/>
      <c r="G14" s="261"/>
      <c r="H14" s="261"/>
      <c r="I14" s="256">
        <v>24</v>
      </c>
      <c r="J14" s="14" t="s">
        <v>23</v>
      </c>
      <c r="K14" s="259"/>
      <c r="L14" s="259"/>
      <c r="M14" s="261"/>
      <c r="N14" s="261"/>
      <c r="O14" s="261"/>
      <c r="P14" s="261"/>
      <c r="Q14" s="261"/>
      <c r="R14" s="261"/>
      <c r="S14" s="261"/>
      <c r="T14" s="261"/>
      <c r="U14" s="261"/>
      <c r="V14" s="261"/>
      <c r="W14" s="261"/>
      <c r="X14" s="261"/>
      <c r="Y14" s="38"/>
      <c r="Z14" s="4"/>
      <c r="AA14" s="4"/>
      <c r="AB14" s="4"/>
      <c r="AC14" s="4"/>
      <c r="AD14" s="4"/>
      <c r="AE14" s="4"/>
      <c r="AF14" s="4"/>
      <c r="AG14" s="4"/>
      <c r="AH14" s="4"/>
      <c r="AI14" s="4"/>
      <c r="AJ14" s="4"/>
    </row>
    <row r="15" spans="1:36" x14ac:dyDescent="0.35">
      <c r="A15" s="256"/>
      <c r="B15" s="14"/>
      <c r="C15" s="259"/>
      <c r="D15" s="259"/>
      <c r="E15" s="261"/>
      <c r="F15" s="261"/>
      <c r="G15" s="261"/>
      <c r="H15" s="261"/>
      <c r="I15" s="321"/>
      <c r="J15" s="496" t="s">
        <v>1079</v>
      </c>
      <c r="K15" s="497"/>
      <c r="L15" s="259"/>
      <c r="M15" s="261"/>
      <c r="N15" s="261"/>
      <c r="O15" s="261"/>
      <c r="P15" s="261"/>
      <c r="Q15" s="261"/>
      <c r="R15" s="261"/>
      <c r="S15" s="261"/>
      <c r="T15" s="261"/>
      <c r="U15" s="261"/>
      <c r="V15" s="261"/>
      <c r="W15" s="261"/>
      <c r="X15" s="261"/>
      <c r="Y15" s="38"/>
      <c r="Z15" s="4"/>
      <c r="AA15" s="4"/>
      <c r="AB15" s="4"/>
      <c r="AC15" s="4"/>
      <c r="AD15" s="4"/>
      <c r="AE15" s="4"/>
      <c r="AF15" s="4"/>
      <c r="AG15" s="4"/>
      <c r="AH15" s="4"/>
      <c r="AI15" s="4"/>
      <c r="AJ15" s="4"/>
    </row>
    <row r="16" spans="1:36" ht="90.4" customHeight="1" x14ac:dyDescent="0.35">
      <c r="A16" s="237">
        <v>11</v>
      </c>
      <c r="B16" s="15"/>
      <c r="C16" s="16"/>
      <c r="D16" s="16"/>
      <c r="E16" s="259"/>
      <c r="F16" s="261"/>
      <c r="G16" s="261"/>
      <c r="H16" s="261"/>
      <c r="I16" s="237">
        <v>11</v>
      </c>
      <c r="J16" s="15" t="s">
        <v>24</v>
      </c>
      <c r="K16" s="259"/>
      <c r="L16" s="259"/>
      <c r="M16" s="261"/>
      <c r="N16" s="261"/>
      <c r="O16" s="261"/>
      <c r="P16" s="261"/>
      <c r="Q16" s="261"/>
      <c r="R16" s="261"/>
      <c r="S16" s="261"/>
      <c r="T16" s="261"/>
      <c r="U16" s="261"/>
      <c r="V16" s="261"/>
      <c r="W16" s="261"/>
      <c r="X16" s="261"/>
      <c r="Y16" s="12"/>
      <c r="Z16" s="4"/>
      <c r="AA16" s="4"/>
      <c r="AB16" s="4"/>
      <c r="AC16" s="4"/>
      <c r="AD16" s="4"/>
      <c r="AE16" s="4"/>
      <c r="AF16" s="4"/>
      <c r="AG16" s="4"/>
      <c r="AH16" s="4"/>
      <c r="AI16" s="4"/>
      <c r="AJ16" s="4"/>
    </row>
    <row r="17" spans="1:36" ht="45.25" customHeight="1" x14ac:dyDescent="0.35">
      <c r="A17" s="237" t="s">
        <v>25</v>
      </c>
      <c r="B17" s="12"/>
      <c r="C17" s="17"/>
      <c r="D17" s="17"/>
      <c r="E17" s="89"/>
      <c r="F17" s="261"/>
      <c r="G17" s="261"/>
      <c r="H17" s="261"/>
      <c r="I17" s="27" t="s">
        <v>28</v>
      </c>
      <c r="J17" s="17" t="s">
        <v>26</v>
      </c>
      <c r="K17" s="259"/>
      <c r="L17" s="259"/>
      <c r="M17" s="18">
        <v>6000</v>
      </c>
      <c r="N17" s="261"/>
      <c r="O17" s="261"/>
      <c r="P17" s="261"/>
      <c r="Q17" s="261"/>
      <c r="R17" s="261"/>
      <c r="S17" s="261"/>
      <c r="T17" s="261"/>
      <c r="U17" s="261"/>
      <c r="V17" s="261"/>
      <c r="W17" s="261"/>
      <c r="X17" s="261"/>
      <c r="Y17" s="38" t="s">
        <v>27</v>
      </c>
      <c r="Z17" s="4"/>
      <c r="AA17" s="4"/>
      <c r="AB17" s="4"/>
      <c r="AC17" s="4"/>
      <c r="AD17" s="4"/>
      <c r="AE17" s="4"/>
      <c r="AF17" s="4"/>
      <c r="AG17" s="4"/>
      <c r="AH17" s="4"/>
      <c r="AI17" s="4"/>
      <c r="AJ17" s="4"/>
    </row>
    <row r="18" spans="1:36" ht="45.25" customHeight="1" x14ac:dyDescent="0.35">
      <c r="A18" s="237" t="s">
        <v>28</v>
      </c>
      <c r="B18" s="12"/>
      <c r="C18" s="17"/>
      <c r="D18" s="17"/>
      <c r="E18" s="89"/>
      <c r="F18" s="261"/>
      <c r="G18" s="261"/>
      <c r="H18" s="261"/>
      <c r="I18" s="27" t="s">
        <v>1023</v>
      </c>
      <c r="J18" s="17" t="s">
        <v>29</v>
      </c>
      <c r="K18" s="259"/>
      <c r="L18" s="259"/>
      <c r="M18" s="18">
        <v>5540</v>
      </c>
      <c r="N18" s="261"/>
      <c r="O18" s="261"/>
      <c r="P18" s="261"/>
      <c r="Q18" s="261"/>
      <c r="R18" s="261"/>
      <c r="S18" s="261"/>
      <c r="T18" s="261"/>
      <c r="U18" s="261"/>
      <c r="V18" s="261"/>
      <c r="W18" s="261"/>
      <c r="X18" s="261"/>
      <c r="Y18" s="38" t="s">
        <v>27</v>
      </c>
      <c r="Z18" s="4"/>
      <c r="AA18" s="4"/>
      <c r="AB18" s="4"/>
      <c r="AC18" s="4"/>
      <c r="AD18" s="4"/>
      <c r="AE18" s="4"/>
      <c r="AF18" s="4"/>
      <c r="AG18" s="4"/>
      <c r="AH18" s="4"/>
      <c r="AI18" s="4"/>
      <c r="AJ18" s="4"/>
    </row>
    <row r="19" spans="1:36" x14ac:dyDescent="0.35">
      <c r="A19" s="256">
        <v>25</v>
      </c>
      <c r="B19" s="14" t="s">
        <v>30</v>
      </c>
      <c r="C19" s="259"/>
      <c r="D19" s="259"/>
      <c r="E19" s="261"/>
      <c r="F19" s="261"/>
      <c r="G19" s="261"/>
      <c r="H19" s="261"/>
      <c r="I19" s="256">
        <v>25</v>
      </c>
      <c r="J19" s="14" t="s">
        <v>30</v>
      </c>
      <c r="K19" s="259"/>
      <c r="L19" s="259"/>
      <c r="M19" s="261"/>
      <c r="N19" s="261"/>
      <c r="O19" s="261"/>
      <c r="P19" s="261"/>
      <c r="Q19" s="261"/>
      <c r="R19" s="261"/>
      <c r="S19" s="261"/>
      <c r="T19" s="261"/>
      <c r="U19" s="261"/>
      <c r="V19" s="261"/>
      <c r="W19" s="261"/>
      <c r="X19" s="261"/>
      <c r="Y19" s="13"/>
      <c r="Z19" s="4"/>
      <c r="AA19" s="4"/>
      <c r="AB19" s="4"/>
      <c r="AC19" s="4"/>
      <c r="AD19" s="4"/>
      <c r="AE19" s="4"/>
      <c r="AF19" s="4"/>
      <c r="AG19" s="4"/>
      <c r="AH19" s="4"/>
      <c r="AI19" s="4"/>
      <c r="AJ19" s="4"/>
    </row>
    <row r="20" spans="1:36" x14ac:dyDescent="0.35">
      <c r="A20" s="256"/>
      <c r="B20" s="14"/>
      <c r="C20" s="259"/>
      <c r="D20" s="259"/>
      <c r="E20" s="261"/>
      <c r="F20" s="261"/>
      <c r="G20" s="261"/>
      <c r="H20" s="261"/>
      <c r="I20" s="236"/>
      <c r="J20" s="14" t="s">
        <v>1078</v>
      </c>
      <c r="K20" s="259"/>
      <c r="L20" s="259"/>
      <c r="M20" s="261"/>
      <c r="N20" s="261"/>
      <c r="O20" s="261"/>
      <c r="P20" s="261"/>
      <c r="Q20" s="261"/>
      <c r="R20" s="261"/>
      <c r="S20" s="261"/>
      <c r="T20" s="261"/>
      <c r="U20" s="261"/>
      <c r="V20" s="261"/>
      <c r="W20" s="261"/>
      <c r="X20" s="261"/>
      <c r="Y20" s="320"/>
      <c r="Z20" s="4"/>
      <c r="AA20" s="4"/>
      <c r="AB20" s="4"/>
      <c r="AC20" s="4"/>
      <c r="AD20" s="4"/>
      <c r="AE20" s="4"/>
      <c r="AF20" s="4"/>
      <c r="AG20" s="4"/>
      <c r="AH20" s="4"/>
      <c r="AI20" s="4"/>
      <c r="AJ20" s="4"/>
    </row>
    <row r="21" spans="1:36" ht="24.75" customHeight="1" x14ac:dyDescent="0.35">
      <c r="A21" s="19" t="s">
        <v>31</v>
      </c>
      <c r="B21" s="38" t="s">
        <v>32</v>
      </c>
      <c r="C21" s="259"/>
      <c r="D21" s="259"/>
      <c r="E21" s="261"/>
      <c r="F21" s="261"/>
      <c r="G21" s="261"/>
      <c r="H21" s="261"/>
      <c r="I21" s="19" t="s">
        <v>31</v>
      </c>
      <c r="J21" s="38" t="s">
        <v>32</v>
      </c>
      <c r="K21" s="259"/>
      <c r="L21" s="259"/>
      <c r="M21" s="261"/>
      <c r="N21" s="261"/>
      <c r="O21" s="261"/>
      <c r="P21" s="261"/>
      <c r="Q21" s="261"/>
      <c r="R21" s="261"/>
      <c r="S21" s="261"/>
      <c r="T21" s="261"/>
      <c r="U21" s="261"/>
      <c r="V21" s="261"/>
      <c r="W21" s="261"/>
      <c r="X21" s="261"/>
      <c r="Y21" s="20" t="s">
        <v>33</v>
      </c>
      <c r="Z21" s="4"/>
      <c r="AA21" s="4"/>
      <c r="AB21" s="4"/>
      <c r="AC21" s="4"/>
      <c r="AD21" s="4"/>
      <c r="AE21" s="4"/>
      <c r="AF21" s="4"/>
      <c r="AG21" s="4"/>
      <c r="AH21" s="4"/>
      <c r="AI21" s="4"/>
      <c r="AJ21" s="4"/>
    </row>
    <row r="22" spans="1:36" ht="24.75" customHeight="1" x14ac:dyDescent="0.3">
      <c r="A22" s="19" t="s">
        <v>34</v>
      </c>
      <c r="B22" s="38" t="s">
        <v>35</v>
      </c>
      <c r="C22" s="237" t="s">
        <v>36</v>
      </c>
      <c r="D22" s="237"/>
      <c r="E22" s="18">
        <v>8100</v>
      </c>
      <c r="F22" s="18"/>
      <c r="G22" s="18"/>
      <c r="H22" s="18"/>
      <c r="I22" s="253" t="s">
        <v>34</v>
      </c>
      <c r="J22" s="21" t="s">
        <v>37</v>
      </c>
      <c r="K22" s="462" t="s">
        <v>36</v>
      </c>
      <c r="L22" s="462"/>
      <c r="M22" s="18">
        <v>8100</v>
      </c>
      <c r="N22" s="22"/>
      <c r="O22" s="22"/>
      <c r="P22" s="22"/>
      <c r="Q22" s="18">
        <v>4860</v>
      </c>
      <c r="R22" s="253"/>
      <c r="S22" s="253"/>
      <c r="T22" s="253"/>
      <c r="U22" s="18">
        <v>3240</v>
      </c>
      <c r="V22" s="23"/>
      <c r="W22" s="23"/>
      <c r="X22" s="23"/>
      <c r="Y22" s="514" t="s">
        <v>38</v>
      </c>
      <c r="Z22" s="4"/>
      <c r="AA22" s="4"/>
      <c r="AB22" s="4"/>
      <c r="AC22" s="4"/>
      <c r="AD22" s="4"/>
      <c r="AE22" s="4"/>
      <c r="AF22" s="4"/>
      <c r="AG22" s="4"/>
      <c r="AH22" s="4"/>
      <c r="AI22" s="4"/>
      <c r="AJ22" s="4"/>
    </row>
    <row r="23" spans="1:36" ht="24.75" customHeight="1" x14ac:dyDescent="0.3">
      <c r="A23" s="19" t="s">
        <v>39</v>
      </c>
      <c r="B23" s="38" t="s">
        <v>40</v>
      </c>
      <c r="C23" s="237" t="s">
        <v>36</v>
      </c>
      <c r="D23" s="237"/>
      <c r="E23" s="18">
        <v>13000</v>
      </c>
      <c r="F23" s="18"/>
      <c r="G23" s="18"/>
      <c r="H23" s="18"/>
      <c r="I23" s="253" t="s">
        <v>39</v>
      </c>
      <c r="J23" s="24" t="s">
        <v>41</v>
      </c>
      <c r="K23" s="462" t="s">
        <v>36</v>
      </c>
      <c r="L23" s="462"/>
      <c r="M23" s="18">
        <v>13000</v>
      </c>
      <c r="N23" s="22"/>
      <c r="O23" s="22"/>
      <c r="P23" s="22"/>
      <c r="Q23" s="18">
        <v>7800</v>
      </c>
      <c r="R23" s="253"/>
      <c r="S23" s="253"/>
      <c r="T23" s="253"/>
      <c r="U23" s="18">
        <v>5200</v>
      </c>
      <c r="V23" s="22"/>
      <c r="W23" s="22"/>
      <c r="X23" s="22"/>
      <c r="Y23" s="515"/>
      <c r="Z23" s="4"/>
      <c r="AA23" s="4"/>
      <c r="AB23" s="4"/>
      <c r="AC23" s="4"/>
      <c r="AD23" s="4"/>
      <c r="AE23" s="4"/>
      <c r="AF23" s="4"/>
      <c r="AG23" s="4"/>
      <c r="AH23" s="4"/>
      <c r="AI23" s="4"/>
      <c r="AJ23" s="4"/>
    </row>
    <row r="24" spans="1:36" ht="28" hidden="1" x14ac:dyDescent="0.35">
      <c r="A24" s="19" t="s">
        <v>42</v>
      </c>
      <c r="B24" s="38" t="s">
        <v>43</v>
      </c>
      <c r="C24" s="237" t="s">
        <v>36</v>
      </c>
      <c r="D24" s="237"/>
      <c r="E24" s="18">
        <v>7500</v>
      </c>
      <c r="F24" s="18"/>
      <c r="G24" s="18"/>
      <c r="H24" s="18"/>
      <c r="I24" s="19"/>
      <c r="J24" s="38"/>
      <c r="K24" s="25"/>
      <c r="L24" s="26"/>
      <c r="M24" s="18"/>
      <c r="N24" s="261"/>
      <c r="O24" s="261"/>
      <c r="P24" s="261"/>
      <c r="Q24" s="261"/>
      <c r="R24" s="261"/>
      <c r="S24" s="261"/>
      <c r="T24" s="261"/>
      <c r="U24" s="261"/>
      <c r="V24" s="261"/>
      <c r="W24" s="261"/>
      <c r="X24" s="261"/>
      <c r="Y24" s="516" t="s">
        <v>44</v>
      </c>
      <c r="Z24" s="4"/>
      <c r="AA24" s="4"/>
      <c r="AB24" s="4"/>
      <c r="AC24" s="4"/>
      <c r="AD24" s="4"/>
      <c r="AE24" s="4"/>
      <c r="AF24" s="4"/>
      <c r="AG24" s="4"/>
      <c r="AH24" s="4"/>
      <c r="AI24" s="4"/>
      <c r="AJ24" s="4"/>
    </row>
    <row r="25" spans="1:36" ht="28" hidden="1" x14ac:dyDescent="0.35">
      <c r="A25" s="19" t="s">
        <v>45</v>
      </c>
      <c r="B25" s="38" t="s">
        <v>46</v>
      </c>
      <c r="C25" s="237" t="s">
        <v>36</v>
      </c>
      <c r="D25" s="237"/>
      <c r="E25" s="18">
        <v>7300</v>
      </c>
      <c r="F25" s="18"/>
      <c r="G25" s="18"/>
      <c r="H25" s="18"/>
      <c r="I25" s="19"/>
      <c r="J25" s="38"/>
      <c r="K25" s="25"/>
      <c r="L25" s="26"/>
      <c r="M25" s="18"/>
      <c r="N25" s="261"/>
      <c r="O25" s="261"/>
      <c r="P25" s="261"/>
      <c r="Q25" s="261"/>
      <c r="R25" s="261"/>
      <c r="S25" s="261"/>
      <c r="T25" s="261"/>
      <c r="U25" s="261"/>
      <c r="V25" s="261"/>
      <c r="W25" s="261"/>
      <c r="X25" s="261"/>
      <c r="Y25" s="517"/>
      <c r="Z25" s="4"/>
      <c r="AA25" s="4"/>
      <c r="AB25" s="4"/>
      <c r="AC25" s="4"/>
      <c r="AD25" s="4"/>
      <c r="AE25" s="4"/>
      <c r="AF25" s="4"/>
      <c r="AG25" s="4"/>
      <c r="AH25" s="4"/>
      <c r="AI25" s="4"/>
      <c r="AJ25" s="4"/>
    </row>
    <row r="26" spans="1:36" ht="28" hidden="1" x14ac:dyDescent="0.35">
      <c r="A26" s="19" t="s">
        <v>47</v>
      </c>
      <c r="B26" s="38" t="s">
        <v>48</v>
      </c>
      <c r="C26" s="237" t="s">
        <v>36</v>
      </c>
      <c r="D26" s="237"/>
      <c r="E26" s="18">
        <v>7100</v>
      </c>
      <c r="F26" s="18"/>
      <c r="G26" s="18"/>
      <c r="H26" s="18"/>
      <c r="I26" s="19"/>
      <c r="J26" s="38"/>
      <c r="K26" s="25"/>
      <c r="L26" s="26"/>
      <c r="M26" s="18"/>
      <c r="N26" s="261"/>
      <c r="O26" s="261"/>
      <c r="P26" s="261"/>
      <c r="Q26" s="261"/>
      <c r="R26" s="261"/>
      <c r="S26" s="261"/>
      <c r="T26" s="261"/>
      <c r="U26" s="261"/>
      <c r="V26" s="261"/>
      <c r="W26" s="261"/>
      <c r="X26" s="261"/>
      <c r="Y26" s="518"/>
      <c r="Z26" s="4"/>
      <c r="AA26" s="4"/>
      <c r="AB26" s="4"/>
      <c r="AC26" s="4"/>
      <c r="AD26" s="4"/>
      <c r="AE26" s="4"/>
      <c r="AF26" s="4"/>
      <c r="AG26" s="4"/>
      <c r="AH26" s="4"/>
      <c r="AI26" s="4"/>
      <c r="AJ26" s="4"/>
    </row>
    <row r="27" spans="1:36" x14ac:dyDescent="0.35">
      <c r="A27" s="19"/>
      <c r="B27" s="38"/>
      <c r="C27" s="237"/>
      <c r="D27" s="237"/>
      <c r="E27" s="18"/>
      <c r="F27" s="18"/>
      <c r="G27" s="18"/>
      <c r="H27" s="18"/>
      <c r="I27" s="321"/>
      <c r="J27" s="496" t="s">
        <v>1079</v>
      </c>
      <c r="K27" s="497"/>
      <c r="L27" s="26"/>
      <c r="M27" s="18"/>
      <c r="N27" s="261"/>
      <c r="O27" s="261"/>
      <c r="P27" s="261"/>
      <c r="Q27" s="261"/>
      <c r="R27" s="261"/>
      <c r="S27" s="261"/>
      <c r="T27" s="261"/>
      <c r="U27" s="261"/>
      <c r="V27" s="261"/>
      <c r="W27" s="261"/>
      <c r="X27" s="261"/>
      <c r="Y27" s="254"/>
      <c r="Z27" s="4"/>
      <c r="AA27" s="4"/>
      <c r="AB27" s="4"/>
      <c r="AC27" s="4"/>
      <c r="AD27" s="4"/>
      <c r="AE27" s="4"/>
      <c r="AF27" s="4"/>
      <c r="AG27" s="4"/>
      <c r="AH27" s="4"/>
      <c r="AI27" s="4"/>
      <c r="AJ27" s="4"/>
    </row>
    <row r="28" spans="1:36" ht="35.9" customHeight="1" x14ac:dyDescent="0.3">
      <c r="A28" s="19"/>
      <c r="B28" s="38"/>
      <c r="C28" s="237"/>
      <c r="D28" s="237"/>
      <c r="E28" s="18"/>
      <c r="F28" s="18"/>
      <c r="G28" s="18"/>
      <c r="H28" s="18"/>
      <c r="I28" s="253" t="s">
        <v>42</v>
      </c>
      <c r="J28" s="24" t="s">
        <v>49</v>
      </c>
      <c r="K28" s="519" t="s">
        <v>36</v>
      </c>
      <c r="L28" s="520"/>
      <c r="M28" s="89">
        <v>7500</v>
      </c>
      <c r="N28" s="22"/>
      <c r="O28" s="22"/>
      <c r="P28" s="22"/>
      <c r="Q28" s="89">
        <v>4500</v>
      </c>
      <c r="R28" s="22"/>
      <c r="S28" s="22"/>
      <c r="T28" s="22"/>
      <c r="U28" s="89">
        <v>3000</v>
      </c>
      <c r="V28" s="22"/>
      <c r="W28" s="22"/>
      <c r="X28" s="22"/>
      <c r="Y28" s="21" t="s">
        <v>50</v>
      </c>
      <c r="Z28" s="4"/>
      <c r="AA28" s="4"/>
      <c r="AB28" s="4"/>
      <c r="AC28" s="4"/>
      <c r="AD28" s="4"/>
      <c r="AE28" s="4"/>
      <c r="AF28" s="4"/>
      <c r="AG28" s="4"/>
      <c r="AH28" s="4"/>
      <c r="AI28" s="4"/>
      <c r="AJ28" s="4"/>
    </row>
    <row r="29" spans="1:36" ht="35.9" customHeight="1" x14ac:dyDescent="0.3">
      <c r="A29" s="19"/>
      <c r="B29" s="38"/>
      <c r="C29" s="237"/>
      <c r="D29" s="237"/>
      <c r="E29" s="18"/>
      <c r="F29" s="18"/>
      <c r="G29" s="18"/>
      <c r="H29" s="18"/>
      <c r="I29" s="19" t="s">
        <v>51</v>
      </c>
      <c r="J29" s="24" t="s">
        <v>52</v>
      </c>
      <c r="K29" s="519" t="s">
        <v>36</v>
      </c>
      <c r="L29" s="520"/>
      <c r="M29" s="89">
        <v>7500</v>
      </c>
      <c r="N29" s="22"/>
      <c r="O29" s="22"/>
      <c r="P29" s="22"/>
      <c r="Q29" s="89"/>
      <c r="R29" s="22"/>
      <c r="S29" s="22"/>
      <c r="T29" s="22"/>
      <c r="U29" s="89"/>
      <c r="V29" s="261"/>
      <c r="W29" s="261"/>
      <c r="X29" s="261"/>
      <c r="Y29" s="21" t="s">
        <v>53</v>
      </c>
      <c r="Z29" s="4"/>
      <c r="AA29" s="4"/>
      <c r="AB29" s="4"/>
      <c r="AC29" s="4"/>
      <c r="AD29" s="4"/>
      <c r="AE29" s="4"/>
      <c r="AF29" s="4"/>
      <c r="AG29" s="4"/>
      <c r="AH29" s="4"/>
      <c r="AI29" s="4"/>
      <c r="AJ29" s="4"/>
    </row>
    <row r="30" spans="1:36" x14ac:dyDescent="0.35">
      <c r="A30" s="256">
        <v>26</v>
      </c>
      <c r="B30" s="14" t="s">
        <v>54</v>
      </c>
      <c r="C30" s="259"/>
      <c r="D30" s="259"/>
      <c r="E30" s="261"/>
      <c r="F30" s="261"/>
      <c r="G30" s="261"/>
      <c r="H30" s="261"/>
      <c r="I30" s="256">
        <v>26</v>
      </c>
      <c r="J30" s="14" t="s">
        <v>54</v>
      </c>
      <c r="K30" s="259"/>
      <c r="L30" s="259"/>
      <c r="M30" s="261"/>
      <c r="N30" s="261"/>
      <c r="O30" s="261"/>
      <c r="P30" s="261"/>
      <c r="Q30" s="261"/>
      <c r="R30" s="261"/>
      <c r="S30" s="261"/>
      <c r="T30" s="261"/>
      <c r="U30" s="261"/>
      <c r="V30" s="261"/>
      <c r="W30" s="261"/>
      <c r="X30" s="261"/>
      <c r="Y30" s="13"/>
      <c r="Z30" s="4"/>
      <c r="AA30" s="4"/>
      <c r="AB30" s="4"/>
      <c r="AC30" s="4"/>
      <c r="AD30" s="4"/>
      <c r="AE30" s="4"/>
      <c r="AF30" s="4"/>
      <c r="AG30" s="4"/>
      <c r="AH30" s="4"/>
      <c r="AI30" s="4"/>
      <c r="AJ30" s="4"/>
    </row>
    <row r="31" spans="1:36" x14ac:dyDescent="0.35">
      <c r="A31" s="256"/>
      <c r="B31" s="14"/>
      <c r="C31" s="259"/>
      <c r="D31" s="259"/>
      <c r="E31" s="261"/>
      <c r="F31" s="261"/>
      <c r="G31" s="261"/>
      <c r="H31" s="261"/>
      <c r="I31" s="321"/>
      <c r="J31" s="496" t="s">
        <v>1079</v>
      </c>
      <c r="K31" s="497"/>
      <c r="L31" s="259"/>
      <c r="M31" s="261"/>
      <c r="N31" s="261"/>
      <c r="O31" s="261"/>
      <c r="P31" s="261"/>
      <c r="Q31" s="261"/>
      <c r="R31" s="261"/>
      <c r="S31" s="261"/>
      <c r="T31" s="261"/>
      <c r="U31" s="261"/>
      <c r="V31" s="261"/>
      <c r="W31" s="261"/>
      <c r="X31" s="261"/>
      <c r="Y31" s="13"/>
      <c r="Z31" s="4"/>
      <c r="AA31" s="4"/>
      <c r="AB31" s="4"/>
      <c r="AC31" s="4"/>
      <c r="AD31" s="4"/>
      <c r="AE31" s="4"/>
      <c r="AF31" s="4"/>
      <c r="AG31" s="4"/>
      <c r="AH31" s="4"/>
      <c r="AI31" s="4"/>
      <c r="AJ31" s="4"/>
    </row>
    <row r="32" spans="1:36" ht="46.15" customHeight="1" x14ac:dyDescent="0.35">
      <c r="A32" s="256"/>
      <c r="B32" s="14"/>
      <c r="C32" s="259"/>
      <c r="D32" s="259"/>
      <c r="E32" s="261"/>
      <c r="F32" s="261"/>
      <c r="G32" s="261"/>
      <c r="H32" s="261"/>
      <c r="I32" s="27">
        <v>20</v>
      </c>
      <c r="J32" s="38" t="s">
        <v>55</v>
      </c>
      <c r="K32" s="259"/>
      <c r="L32" s="259"/>
      <c r="M32" s="28">
        <v>4500</v>
      </c>
      <c r="N32" s="261"/>
      <c r="O32" s="261"/>
      <c r="P32" s="261"/>
      <c r="Q32" s="28"/>
      <c r="R32" s="28"/>
      <c r="S32" s="261"/>
      <c r="T32" s="261"/>
      <c r="U32" s="28"/>
      <c r="V32" s="261"/>
      <c r="W32" s="261"/>
      <c r="X32" s="261"/>
      <c r="Y32" s="38" t="s">
        <v>56</v>
      </c>
      <c r="Z32" s="1"/>
      <c r="AA32" s="4"/>
      <c r="AB32" s="4"/>
      <c r="AC32" s="4"/>
      <c r="AD32" s="4"/>
      <c r="AE32" s="4"/>
      <c r="AF32" s="4"/>
      <c r="AG32" s="4"/>
      <c r="AH32" s="4"/>
      <c r="AI32" s="4"/>
      <c r="AJ32" s="4"/>
    </row>
    <row r="33" spans="1:36" x14ac:dyDescent="0.35">
      <c r="A33" s="256">
        <v>27</v>
      </c>
      <c r="B33" s="14" t="s">
        <v>57</v>
      </c>
      <c r="C33" s="259"/>
      <c r="D33" s="259"/>
      <c r="E33" s="261"/>
      <c r="F33" s="261"/>
      <c r="G33" s="261"/>
      <c r="H33" s="261"/>
      <c r="I33" s="256">
        <v>27</v>
      </c>
      <c r="J33" s="14" t="s">
        <v>57</v>
      </c>
      <c r="K33" s="259"/>
      <c r="L33" s="259"/>
      <c r="M33" s="261"/>
      <c r="N33" s="261"/>
      <c r="O33" s="261"/>
      <c r="P33" s="261"/>
      <c r="Q33" s="261"/>
      <c r="R33" s="261"/>
      <c r="S33" s="261"/>
      <c r="T33" s="261"/>
      <c r="U33" s="261"/>
      <c r="V33" s="261"/>
      <c r="W33" s="261"/>
      <c r="X33" s="261"/>
      <c r="Y33" s="13"/>
      <c r="Z33" s="4"/>
      <c r="AA33" s="4"/>
      <c r="AB33" s="4"/>
      <c r="AC33" s="4"/>
      <c r="AD33" s="4"/>
      <c r="AE33" s="4"/>
      <c r="AF33" s="4"/>
      <c r="AG33" s="4"/>
      <c r="AH33" s="4"/>
      <c r="AI33" s="4"/>
      <c r="AJ33" s="4"/>
    </row>
    <row r="34" spans="1:36" x14ac:dyDescent="0.35">
      <c r="A34" s="256"/>
      <c r="B34" s="14"/>
      <c r="C34" s="259"/>
      <c r="D34" s="259"/>
      <c r="E34" s="261"/>
      <c r="F34" s="261"/>
      <c r="G34" s="261"/>
      <c r="H34" s="261"/>
      <c r="I34" s="321"/>
      <c r="J34" s="496" t="s">
        <v>1079</v>
      </c>
      <c r="K34" s="497"/>
      <c r="L34" s="259"/>
      <c r="M34" s="261"/>
      <c r="N34" s="261"/>
      <c r="O34" s="261"/>
      <c r="P34" s="261"/>
      <c r="Q34" s="261"/>
      <c r="R34" s="261"/>
      <c r="S34" s="261"/>
      <c r="T34" s="261"/>
      <c r="U34" s="261"/>
      <c r="V34" s="261"/>
      <c r="W34" s="261"/>
      <c r="X34" s="34"/>
      <c r="Y34" s="13"/>
      <c r="Z34" s="4"/>
      <c r="AA34" s="4"/>
      <c r="AB34" s="4"/>
      <c r="AC34" s="4"/>
      <c r="AD34" s="4"/>
      <c r="AE34" s="4"/>
      <c r="AF34" s="4"/>
      <c r="AG34" s="4"/>
      <c r="AH34" s="4"/>
      <c r="AI34" s="4"/>
      <c r="AJ34" s="4"/>
    </row>
    <row r="35" spans="1:36" ht="70.400000000000006" customHeight="1" x14ac:dyDescent="0.35">
      <c r="A35" s="256"/>
      <c r="B35" s="14"/>
      <c r="C35" s="259"/>
      <c r="D35" s="259"/>
      <c r="E35" s="261"/>
      <c r="F35" s="261"/>
      <c r="G35" s="261"/>
      <c r="H35" s="261"/>
      <c r="I35" s="29" t="s">
        <v>58</v>
      </c>
      <c r="J35" s="38" t="s">
        <v>59</v>
      </c>
      <c r="K35" s="38"/>
      <c r="L35" s="38"/>
      <c r="M35" s="18"/>
      <c r="N35" s="18"/>
      <c r="O35" s="18"/>
      <c r="P35" s="18"/>
      <c r="Q35" s="18"/>
      <c r="R35" s="18"/>
      <c r="S35" s="18"/>
      <c r="T35" s="18"/>
      <c r="U35" s="18"/>
      <c r="V35" s="18"/>
      <c r="W35" s="18"/>
      <c r="X35" s="30"/>
      <c r="Y35" s="38" t="s">
        <v>60</v>
      </c>
      <c r="Z35" s="4"/>
      <c r="AA35" s="4"/>
      <c r="AB35" s="4"/>
      <c r="AC35" s="4"/>
      <c r="AD35" s="4"/>
      <c r="AE35" s="4"/>
      <c r="AF35" s="4"/>
      <c r="AG35" s="4"/>
      <c r="AH35" s="4"/>
      <c r="AI35" s="4"/>
      <c r="AJ35" s="4"/>
    </row>
    <row r="36" spans="1:36" ht="97.4" customHeight="1" x14ac:dyDescent="0.35">
      <c r="A36" s="256"/>
      <c r="B36" s="14"/>
      <c r="C36" s="259"/>
      <c r="D36" s="259"/>
      <c r="E36" s="261"/>
      <c r="F36" s="261"/>
      <c r="G36" s="261"/>
      <c r="H36" s="261"/>
      <c r="I36" s="29" t="s">
        <v>61</v>
      </c>
      <c r="J36" s="38" t="s">
        <v>62</v>
      </c>
      <c r="K36" s="38" t="s">
        <v>63</v>
      </c>
      <c r="L36" s="38" t="s">
        <v>64</v>
      </c>
      <c r="M36" s="18">
        <v>9000</v>
      </c>
      <c r="N36" s="18">
        <v>3400</v>
      </c>
      <c r="O36" s="18">
        <v>2400</v>
      </c>
      <c r="P36" s="18">
        <v>1600</v>
      </c>
      <c r="Q36" s="18">
        <f>+M36*0.6</f>
        <v>5400</v>
      </c>
      <c r="R36" s="18">
        <f t="shared" ref="R36:T37" si="0">+N36*0.6</f>
        <v>2040</v>
      </c>
      <c r="S36" s="18">
        <f t="shared" si="0"/>
        <v>1440</v>
      </c>
      <c r="T36" s="18">
        <f t="shared" si="0"/>
        <v>960</v>
      </c>
      <c r="U36" s="18">
        <f>+M36*0.4</f>
        <v>3600</v>
      </c>
      <c r="V36" s="18">
        <f>+N36*0.4</f>
        <v>1360</v>
      </c>
      <c r="W36" s="18">
        <f t="shared" ref="W36:X37" si="1">+O36*0.4</f>
        <v>960</v>
      </c>
      <c r="X36" s="30">
        <f t="shared" si="1"/>
        <v>640</v>
      </c>
      <c r="Y36" s="31" t="s">
        <v>65</v>
      </c>
      <c r="Z36" s="4"/>
      <c r="AA36" s="4"/>
      <c r="AB36" s="4"/>
      <c r="AC36" s="4"/>
      <c r="AD36" s="4"/>
      <c r="AE36" s="4"/>
      <c r="AF36" s="4"/>
      <c r="AG36" s="4"/>
      <c r="AH36" s="4"/>
      <c r="AI36" s="4"/>
      <c r="AJ36" s="4"/>
    </row>
    <row r="37" spans="1:36" ht="96.25" customHeight="1" x14ac:dyDescent="0.35">
      <c r="A37" s="256"/>
      <c r="B37" s="14"/>
      <c r="C37" s="259"/>
      <c r="D37" s="259"/>
      <c r="E37" s="261"/>
      <c r="F37" s="261"/>
      <c r="G37" s="261"/>
      <c r="H37" s="261"/>
      <c r="I37" s="29" t="s">
        <v>66</v>
      </c>
      <c r="J37" s="38" t="s">
        <v>67</v>
      </c>
      <c r="K37" s="38" t="s">
        <v>64</v>
      </c>
      <c r="L37" s="38" t="s">
        <v>68</v>
      </c>
      <c r="M37" s="18">
        <v>7000</v>
      </c>
      <c r="N37" s="18">
        <v>2100</v>
      </c>
      <c r="O37" s="18">
        <v>1800</v>
      </c>
      <c r="P37" s="18">
        <v>700</v>
      </c>
      <c r="Q37" s="18">
        <f>+M37*0.6</f>
        <v>4200</v>
      </c>
      <c r="R37" s="18">
        <f t="shared" si="0"/>
        <v>1260</v>
      </c>
      <c r="S37" s="18">
        <f t="shared" si="0"/>
        <v>1080</v>
      </c>
      <c r="T37" s="18">
        <f t="shared" si="0"/>
        <v>420</v>
      </c>
      <c r="U37" s="18">
        <f>+M37*0.4</f>
        <v>2800</v>
      </c>
      <c r="V37" s="18">
        <f>+N37*0.4</f>
        <v>840</v>
      </c>
      <c r="W37" s="18">
        <f t="shared" si="1"/>
        <v>720</v>
      </c>
      <c r="X37" s="30">
        <f t="shared" si="1"/>
        <v>280</v>
      </c>
      <c r="Y37" s="31" t="s">
        <v>69</v>
      </c>
      <c r="Z37" s="4"/>
      <c r="AA37" s="4"/>
      <c r="AB37" s="4"/>
      <c r="AC37" s="4"/>
      <c r="AD37" s="4"/>
      <c r="AE37" s="4"/>
      <c r="AF37" s="4"/>
      <c r="AG37" s="4"/>
      <c r="AH37" s="4"/>
      <c r="AI37" s="4"/>
      <c r="AJ37" s="4"/>
    </row>
    <row r="38" spans="1:36" ht="133.15" customHeight="1" x14ac:dyDescent="0.35">
      <c r="A38" s="256"/>
      <c r="B38" s="14"/>
      <c r="C38" s="259"/>
      <c r="D38" s="259"/>
      <c r="E38" s="261"/>
      <c r="F38" s="261"/>
      <c r="G38" s="261"/>
      <c r="H38" s="261"/>
      <c r="I38" s="29" t="s">
        <v>70</v>
      </c>
      <c r="J38" s="38" t="s">
        <v>71</v>
      </c>
      <c r="K38" s="38" t="s">
        <v>36</v>
      </c>
      <c r="L38" s="38"/>
      <c r="M38" s="18">
        <v>9000</v>
      </c>
      <c r="N38" s="18"/>
      <c r="O38" s="18"/>
      <c r="P38" s="18"/>
      <c r="Q38" s="18">
        <f t="shared" ref="Q38:T38" si="2">+M38*0.6</f>
        <v>5400</v>
      </c>
      <c r="R38" s="18">
        <f t="shared" si="2"/>
        <v>0</v>
      </c>
      <c r="S38" s="18">
        <f t="shared" si="2"/>
        <v>0</v>
      </c>
      <c r="T38" s="18">
        <f t="shared" si="2"/>
        <v>0</v>
      </c>
      <c r="U38" s="18">
        <f t="shared" ref="U38:X38" si="3">+M38*0.4</f>
        <v>3600</v>
      </c>
      <c r="V38" s="18">
        <f t="shared" si="3"/>
        <v>0</v>
      </c>
      <c r="W38" s="18">
        <f t="shared" si="3"/>
        <v>0</v>
      </c>
      <c r="X38" s="30">
        <f t="shared" si="3"/>
        <v>0</v>
      </c>
      <c r="Y38" s="31" t="s">
        <v>72</v>
      </c>
      <c r="Z38" s="4"/>
      <c r="AA38" s="4"/>
      <c r="AB38" s="4"/>
      <c r="AC38" s="4"/>
      <c r="AD38" s="4"/>
      <c r="AE38" s="4"/>
      <c r="AF38" s="4"/>
      <c r="AG38" s="4"/>
      <c r="AH38" s="4"/>
      <c r="AI38" s="4"/>
      <c r="AJ38" s="4"/>
    </row>
    <row r="39" spans="1:36" x14ac:dyDescent="0.35">
      <c r="A39" s="256"/>
      <c r="B39" s="14"/>
      <c r="C39" s="259"/>
      <c r="D39" s="259"/>
      <c r="E39" s="261"/>
      <c r="F39" s="261"/>
      <c r="G39" s="261"/>
      <c r="H39" s="261"/>
      <c r="I39" s="29" t="s">
        <v>73</v>
      </c>
      <c r="J39" s="38" t="s">
        <v>74</v>
      </c>
      <c r="K39" s="38"/>
      <c r="L39" s="38"/>
      <c r="M39" s="18"/>
      <c r="N39" s="18"/>
      <c r="O39" s="18"/>
      <c r="P39" s="18"/>
      <c r="Q39" s="18"/>
      <c r="R39" s="18"/>
      <c r="S39" s="18"/>
      <c r="T39" s="18"/>
      <c r="U39" s="18"/>
      <c r="V39" s="18"/>
      <c r="W39" s="18"/>
      <c r="X39" s="30"/>
      <c r="Y39" s="238"/>
      <c r="Z39" s="4"/>
      <c r="AA39" s="4"/>
      <c r="AB39" s="4"/>
      <c r="AC39" s="4"/>
      <c r="AD39" s="4"/>
      <c r="AE39" s="4"/>
      <c r="AF39" s="4"/>
      <c r="AG39" s="4"/>
      <c r="AH39" s="4"/>
      <c r="AI39" s="4"/>
      <c r="AJ39" s="4"/>
    </row>
    <row r="40" spans="1:36" ht="21.4" customHeight="1" x14ac:dyDescent="0.35">
      <c r="A40" s="256"/>
      <c r="B40" s="14"/>
      <c r="C40" s="259"/>
      <c r="D40" s="259"/>
      <c r="E40" s="261"/>
      <c r="F40" s="261"/>
      <c r="G40" s="261"/>
      <c r="H40" s="261"/>
      <c r="I40" s="237" t="s">
        <v>75</v>
      </c>
      <c r="J40" s="38" t="s">
        <v>76</v>
      </c>
      <c r="K40" s="38" t="s">
        <v>36</v>
      </c>
      <c r="L40" s="38"/>
      <c r="M40" s="18">
        <v>7400</v>
      </c>
      <c r="N40" s="18"/>
      <c r="O40" s="18"/>
      <c r="P40" s="18"/>
      <c r="Q40" s="32">
        <f t="shared" ref="Q40:Q41" si="4">+M40*0.6</f>
        <v>4440</v>
      </c>
      <c r="R40" s="32"/>
      <c r="S40" s="32"/>
      <c r="T40" s="32"/>
      <c r="U40" s="32"/>
      <c r="V40" s="32"/>
      <c r="W40" s="32"/>
      <c r="X40" s="33"/>
      <c r="Y40" s="31" t="s">
        <v>77</v>
      </c>
      <c r="Z40" s="4"/>
      <c r="AA40" s="4"/>
      <c r="AB40" s="4"/>
      <c r="AC40" s="4"/>
      <c r="AD40" s="4"/>
      <c r="AE40" s="4"/>
      <c r="AF40" s="4"/>
      <c r="AG40" s="4"/>
      <c r="AH40" s="4"/>
      <c r="AI40" s="4"/>
      <c r="AJ40" s="4"/>
    </row>
    <row r="41" spans="1:36" ht="21.4" customHeight="1" x14ac:dyDescent="0.35">
      <c r="A41" s="256"/>
      <c r="B41" s="14"/>
      <c r="C41" s="259"/>
      <c r="D41" s="259"/>
      <c r="E41" s="261"/>
      <c r="F41" s="261"/>
      <c r="G41" s="261"/>
      <c r="H41" s="261"/>
      <c r="I41" s="237" t="s">
        <v>78</v>
      </c>
      <c r="J41" s="38" t="s">
        <v>79</v>
      </c>
      <c r="K41" s="38" t="s">
        <v>36</v>
      </c>
      <c r="L41" s="38"/>
      <c r="M41" s="18">
        <v>6200</v>
      </c>
      <c r="N41" s="18"/>
      <c r="O41" s="18"/>
      <c r="P41" s="18"/>
      <c r="Q41" s="32">
        <f t="shared" si="4"/>
        <v>3720</v>
      </c>
      <c r="R41" s="32"/>
      <c r="S41" s="32"/>
      <c r="T41" s="32"/>
      <c r="U41" s="32"/>
      <c r="V41" s="32"/>
      <c r="W41" s="32"/>
      <c r="X41" s="33"/>
      <c r="Y41" s="31" t="s">
        <v>80</v>
      </c>
      <c r="Z41" s="4"/>
      <c r="AA41" s="4"/>
      <c r="AB41" s="4"/>
      <c r="AC41" s="4"/>
      <c r="AD41" s="4"/>
      <c r="AE41" s="4"/>
      <c r="AF41" s="4"/>
      <c r="AG41" s="4"/>
      <c r="AH41" s="4"/>
      <c r="AI41" s="4"/>
      <c r="AJ41" s="4"/>
    </row>
    <row r="42" spans="1:36" x14ac:dyDescent="0.35">
      <c r="A42" s="256">
        <v>28</v>
      </c>
      <c r="B42" s="14" t="s">
        <v>81</v>
      </c>
      <c r="C42" s="259"/>
      <c r="D42" s="259"/>
      <c r="E42" s="261"/>
      <c r="F42" s="261"/>
      <c r="G42" s="261"/>
      <c r="H42" s="261"/>
      <c r="I42" s="256">
        <v>28</v>
      </c>
      <c r="J42" s="14" t="s">
        <v>81</v>
      </c>
      <c r="K42" s="259"/>
      <c r="L42" s="259"/>
      <c r="M42" s="261"/>
      <c r="N42" s="261"/>
      <c r="O42" s="261"/>
      <c r="P42" s="261"/>
      <c r="Q42" s="261"/>
      <c r="R42" s="261"/>
      <c r="S42" s="261"/>
      <c r="T42" s="261"/>
      <c r="U42" s="261"/>
      <c r="V42" s="261"/>
      <c r="W42" s="261"/>
      <c r="X42" s="34"/>
      <c r="Y42" s="38"/>
      <c r="Z42" s="4"/>
      <c r="AA42" s="4"/>
      <c r="AB42" s="4"/>
      <c r="AC42" s="4"/>
      <c r="AD42" s="4"/>
      <c r="AE42" s="4"/>
      <c r="AF42" s="4"/>
      <c r="AG42" s="4"/>
      <c r="AH42" s="4"/>
      <c r="AI42" s="4"/>
      <c r="AJ42" s="4"/>
    </row>
    <row r="43" spans="1:36" x14ac:dyDescent="0.35">
      <c r="A43" s="256"/>
      <c r="B43" s="14"/>
      <c r="C43" s="259"/>
      <c r="D43" s="259"/>
      <c r="E43" s="261"/>
      <c r="F43" s="261"/>
      <c r="G43" s="261"/>
      <c r="H43" s="261"/>
      <c r="I43" s="321"/>
      <c r="J43" s="496" t="s">
        <v>1079</v>
      </c>
      <c r="K43" s="497"/>
      <c r="L43" s="259"/>
      <c r="M43" s="261"/>
      <c r="N43" s="261"/>
      <c r="O43" s="261"/>
      <c r="P43" s="261"/>
      <c r="Q43" s="261"/>
      <c r="R43" s="261"/>
      <c r="S43" s="261"/>
      <c r="T43" s="261"/>
      <c r="U43" s="261"/>
      <c r="V43" s="261"/>
      <c r="W43" s="261"/>
      <c r="X43" s="34"/>
      <c r="Y43" s="38"/>
      <c r="Z43" s="4"/>
      <c r="AA43" s="4"/>
      <c r="AB43" s="4"/>
      <c r="AC43" s="4"/>
      <c r="AD43" s="4"/>
      <c r="AE43" s="4"/>
      <c r="AF43" s="4"/>
      <c r="AG43" s="4"/>
      <c r="AH43" s="4"/>
      <c r="AI43" s="4"/>
      <c r="AJ43" s="4"/>
    </row>
    <row r="44" spans="1:36" ht="49.5" customHeight="1" x14ac:dyDescent="0.35">
      <c r="A44" s="27"/>
      <c r="B44" s="38"/>
      <c r="C44" s="237"/>
      <c r="D44" s="237"/>
      <c r="E44" s="28"/>
      <c r="F44" s="28"/>
      <c r="G44" s="28"/>
      <c r="H44" s="28"/>
      <c r="I44" s="256" t="s">
        <v>82</v>
      </c>
      <c r="J44" s="38" t="s">
        <v>83</v>
      </c>
      <c r="K44" s="237" t="s">
        <v>84</v>
      </c>
      <c r="L44" s="237" t="s">
        <v>85</v>
      </c>
      <c r="M44" s="54">
        <v>2500</v>
      </c>
      <c r="N44" s="54">
        <v>2000</v>
      </c>
      <c r="O44" s="54">
        <v>1200</v>
      </c>
      <c r="P44" s="54">
        <v>1000</v>
      </c>
      <c r="Q44" s="54">
        <v>1500</v>
      </c>
      <c r="R44" s="54">
        <v>1200</v>
      </c>
      <c r="S44" s="54">
        <v>720</v>
      </c>
      <c r="T44" s="54">
        <v>600</v>
      </c>
      <c r="U44" s="54">
        <v>1000</v>
      </c>
      <c r="V44" s="54">
        <v>800</v>
      </c>
      <c r="W44" s="54">
        <v>480</v>
      </c>
      <c r="X44" s="54">
        <v>400</v>
      </c>
      <c r="Y44" s="38" t="s">
        <v>86</v>
      </c>
      <c r="Z44" s="1" t="s">
        <v>87</v>
      </c>
      <c r="AA44" s="4"/>
      <c r="AB44" s="4"/>
      <c r="AC44" s="4"/>
      <c r="AD44" s="4"/>
      <c r="AE44" s="4"/>
      <c r="AF44" s="4"/>
      <c r="AG44" s="4"/>
      <c r="AH44" s="4"/>
      <c r="AI44" s="4"/>
      <c r="AJ44" s="4"/>
    </row>
    <row r="45" spans="1:36" x14ac:dyDescent="0.35">
      <c r="A45" s="256">
        <v>29</v>
      </c>
      <c r="B45" s="14" t="s">
        <v>88</v>
      </c>
      <c r="C45" s="259" t="s">
        <v>89</v>
      </c>
      <c r="D45" s="259"/>
      <c r="E45" s="261"/>
      <c r="F45" s="261"/>
      <c r="G45" s="261"/>
      <c r="H45" s="261"/>
      <c r="I45" s="256">
        <v>29</v>
      </c>
      <c r="J45" s="14" t="s">
        <v>88</v>
      </c>
      <c r="K45" s="259"/>
      <c r="L45" s="259"/>
      <c r="M45" s="261"/>
      <c r="N45" s="261"/>
      <c r="O45" s="261"/>
      <c r="P45" s="261"/>
      <c r="Q45" s="261"/>
      <c r="R45" s="261"/>
      <c r="S45" s="261"/>
      <c r="T45" s="261"/>
      <c r="U45" s="261"/>
      <c r="V45" s="261"/>
      <c r="W45" s="261"/>
      <c r="X45" s="34"/>
      <c r="Y45" s="13"/>
      <c r="Z45" s="4"/>
      <c r="AA45" s="4"/>
      <c r="AB45" s="4"/>
      <c r="AC45" s="4"/>
      <c r="AD45" s="4"/>
      <c r="AE45" s="4"/>
      <c r="AF45" s="4"/>
      <c r="AG45" s="4"/>
      <c r="AH45" s="4"/>
      <c r="AI45" s="4"/>
      <c r="AJ45" s="4"/>
    </row>
    <row r="46" spans="1:36" x14ac:dyDescent="0.35">
      <c r="A46" s="256"/>
      <c r="B46" s="14"/>
      <c r="C46" s="259"/>
      <c r="D46" s="259"/>
      <c r="E46" s="261"/>
      <c r="F46" s="261"/>
      <c r="G46" s="261"/>
      <c r="H46" s="261"/>
      <c r="I46" s="321"/>
      <c r="J46" s="496" t="s">
        <v>1079</v>
      </c>
      <c r="K46" s="497"/>
      <c r="L46" s="259"/>
      <c r="M46" s="261"/>
      <c r="N46" s="261"/>
      <c r="O46" s="261"/>
      <c r="P46" s="261"/>
      <c r="Q46" s="261"/>
      <c r="R46" s="261"/>
      <c r="S46" s="261"/>
      <c r="T46" s="261"/>
      <c r="U46" s="261"/>
      <c r="V46" s="261"/>
      <c r="W46" s="261"/>
      <c r="X46" s="34"/>
      <c r="Y46" s="13"/>
      <c r="Z46" s="4"/>
      <c r="AA46" s="4"/>
      <c r="AB46" s="4"/>
      <c r="AC46" s="4"/>
      <c r="AD46" s="4"/>
      <c r="AE46" s="4"/>
      <c r="AF46" s="4"/>
      <c r="AG46" s="4"/>
      <c r="AH46" s="4"/>
      <c r="AI46" s="4"/>
      <c r="AJ46" s="4"/>
    </row>
    <row r="47" spans="1:36" ht="48.4" customHeight="1" x14ac:dyDescent="0.35">
      <c r="A47" s="256"/>
      <c r="B47" s="14"/>
      <c r="C47" s="259"/>
      <c r="D47" s="259"/>
      <c r="E47" s="261"/>
      <c r="F47" s="261"/>
      <c r="G47" s="261"/>
      <c r="H47" s="261"/>
      <c r="I47" s="27">
        <v>104</v>
      </c>
      <c r="J47" s="31" t="s">
        <v>90</v>
      </c>
      <c r="K47" s="237" t="s">
        <v>36</v>
      </c>
      <c r="L47" s="259"/>
      <c r="M47" s="36">
        <v>7400</v>
      </c>
      <c r="N47" s="261"/>
      <c r="O47" s="261"/>
      <c r="P47" s="261"/>
      <c r="Q47" s="261"/>
      <c r="R47" s="261"/>
      <c r="S47" s="261"/>
      <c r="T47" s="261"/>
      <c r="U47" s="261"/>
      <c r="V47" s="261"/>
      <c r="W47" s="261"/>
      <c r="X47" s="34"/>
      <c r="Y47" s="38" t="s">
        <v>91</v>
      </c>
      <c r="Z47" s="4"/>
      <c r="AA47" s="4"/>
      <c r="AB47" s="4"/>
      <c r="AC47" s="4"/>
      <c r="AD47" s="4"/>
      <c r="AE47" s="4"/>
      <c r="AF47" s="4"/>
      <c r="AG47" s="4"/>
      <c r="AH47" s="4"/>
      <c r="AI47" s="4"/>
      <c r="AJ47" s="4"/>
    </row>
    <row r="48" spans="1:36" x14ac:dyDescent="0.35">
      <c r="A48" s="256">
        <v>30</v>
      </c>
      <c r="B48" s="14" t="s">
        <v>92</v>
      </c>
      <c r="C48" s="259"/>
      <c r="D48" s="259"/>
      <c r="E48" s="261"/>
      <c r="F48" s="261"/>
      <c r="G48" s="261"/>
      <c r="H48" s="261"/>
      <c r="I48" s="256">
        <v>30</v>
      </c>
      <c r="J48" s="14" t="s">
        <v>92</v>
      </c>
      <c r="K48" s="259"/>
      <c r="L48" s="259"/>
      <c r="M48" s="261"/>
      <c r="N48" s="261"/>
      <c r="O48" s="261"/>
      <c r="P48" s="261"/>
      <c r="Q48" s="261"/>
      <c r="R48" s="261"/>
      <c r="S48" s="261"/>
      <c r="T48" s="261"/>
      <c r="U48" s="261"/>
      <c r="V48" s="261"/>
      <c r="W48" s="261"/>
      <c r="X48" s="34"/>
      <c r="Y48" s="13"/>
      <c r="Z48" s="4"/>
      <c r="AA48" s="4"/>
      <c r="AB48" s="4"/>
      <c r="AC48" s="4"/>
      <c r="AD48" s="4"/>
      <c r="AE48" s="4"/>
      <c r="AF48" s="4"/>
      <c r="AG48" s="4"/>
      <c r="AH48" s="4"/>
      <c r="AI48" s="4"/>
      <c r="AJ48" s="4"/>
    </row>
    <row r="49" spans="1:36" hidden="1" x14ac:dyDescent="0.35">
      <c r="A49" s="256"/>
      <c r="B49" s="14"/>
      <c r="C49" s="259"/>
      <c r="D49" s="259"/>
      <c r="E49" s="261"/>
      <c r="F49" s="261"/>
      <c r="G49" s="261"/>
      <c r="H49" s="261"/>
      <c r="I49" s="321"/>
      <c r="J49" s="496" t="s">
        <v>1078</v>
      </c>
      <c r="K49" s="497"/>
      <c r="L49" s="259"/>
      <c r="M49" s="261"/>
      <c r="N49" s="261"/>
      <c r="O49" s="261"/>
      <c r="P49" s="261"/>
      <c r="Q49" s="261"/>
      <c r="R49" s="261"/>
      <c r="S49" s="261"/>
      <c r="T49" s="261"/>
      <c r="U49" s="261"/>
      <c r="V49" s="261"/>
      <c r="W49" s="261"/>
      <c r="X49" s="34"/>
      <c r="Y49" s="13"/>
      <c r="Z49" s="4"/>
      <c r="AA49" s="4"/>
      <c r="AB49" s="4"/>
      <c r="AC49" s="4"/>
      <c r="AD49" s="4"/>
      <c r="AE49" s="4"/>
      <c r="AF49" s="4"/>
      <c r="AG49" s="4"/>
      <c r="AH49" s="4"/>
      <c r="AI49" s="4"/>
      <c r="AJ49" s="4"/>
    </row>
    <row r="50" spans="1:36" ht="34.75" hidden="1" customHeight="1" x14ac:dyDescent="0.35">
      <c r="A50" s="37" t="s">
        <v>93</v>
      </c>
      <c r="B50" s="38" t="s">
        <v>94</v>
      </c>
      <c r="C50" s="460" t="s">
        <v>36</v>
      </c>
      <c r="D50" s="451"/>
      <c r="E50" s="261"/>
      <c r="F50" s="261"/>
      <c r="G50" s="261"/>
      <c r="H50" s="261"/>
      <c r="I50" s="256">
        <v>14</v>
      </c>
      <c r="J50" s="13" t="s">
        <v>95</v>
      </c>
      <c r="K50" s="460" t="s">
        <v>36</v>
      </c>
      <c r="L50" s="451"/>
      <c r="M50" s="261"/>
      <c r="N50" s="261"/>
      <c r="O50" s="261"/>
      <c r="P50" s="261"/>
      <c r="Q50" s="261"/>
      <c r="R50" s="261"/>
      <c r="S50" s="261"/>
      <c r="T50" s="261"/>
      <c r="U50" s="261"/>
      <c r="V50" s="261"/>
      <c r="W50" s="261"/>
      <c r="X50" s="34"/>
      <c r="Y50" s="38" t="s">
        <v>96</v>
      </c>
      <c r="Z50" s="4"/>
      <c r="AA50" s="4"/>
      <c r="AB50" s="4"/>
      <c r="AC50" s="4"/>
      <c r="AD50" s="4"/>
      <c r="AE50" s="4"/>
      <c r="AF50" s="4"/>
      <c r="AG50" s="4"/>
      <c r="AH50" s="4"/>
      <c r="AI50" s="4"/>
      <c r="AJ50" s="4"/>
    </row>
    <row r="51" spans="1:36" ht="22" customHeight="1" x14ac:dyDescent="0.35">
      <c r="A51" s="37"/>
      <c r="B51" s="38"/>
      <c r="C51" s="237"/>
      <c r="D51" s="235"/>
      <c r="E51" s="261"/>
      <c r="F51" s="261"/>
      <c r="G51" s="261"/>
      <c r="H51" s="261"/>
      <c r="I51" s="256"/>
      <c r="J51" s="496" t="s">
        <v>1079</v>
      </c>
      <c r="K51" s="497"/>
      <c r="L51" s="235"/>
      <c r="M51" s="261"/>
      <c r="N51" s="261"/>
      <c r="O51" s="261"/>
      <c r="P51" s="261"/>
      <c r="Q51" s="261"/>
      <c r="R51" s="261"/>
      <c r="S51" s="261"/>
      <c r="T51" s="261"/>
      <c r="U51" s="261"/>
      <c r="V51" s="261"/>
      <c r="W51" s="261"/>
      <c r="X51" s="34"/>
      <c r="Y51" s="38"/>
      <c r="Z51" s="4"/>
      <c r="AA51" s="4"/>
      <c r="AB51" s="4"/>
      <c r="AC51" s="4"/>
      <c r="AD51" s="4"/>
      <c r="AE51" s="4"/>
      <c r="AF51" s="4"/>
      <c r="AG51" s="4"/>
      <c r="AH51" s="4"/>
      <c r="AI51" s="4"/>
      <c r="AJ51" s="4"/>
    </row>
    <row r="52" spans="1:36" ht="41.5" hidden="1" customHeight="1" x14ac:dyDescent="0.35">
      <c r="A52" s="256"/>
      <c r="B52" s="14"/>
      <c r="C52" s="259"/>
      <c r="D52" s="259"/>
      <c r="E52" s="261"/>
      <c r="F52" s="261"/>
      <c r="G52" s="261"/>
      <c r="H52" s="261"/>
      <c r="I52" s="27" t="s">
        <v>97</v>
      </c>
      <c r="J52" s="238" t="s">
        <v>98</v>
      </c>
      <c r="K52" s="259"/>
      <c r="L52" s="259"/>
      <c r="M52" s="18">
        <v>5330</v>
      </c>
      <c r="N52" s="18"/>
      <c r="O52" s="18"/>
      <c r="P52" s="18"/>
      <c r="Q52" s="18"/>
      <c r="R52" s="18"/>
      <c r="S52" s="18"/>
      <c r="T52" s="18"/>
      <c r="U52" s="18"/>
      <c r="V52" s="18"/>
      <c r="W52" s="18"/>
      <c r="X52" s="18"/>
      <c r="Y52" s="38" t="s">
        <v>99</v>
      </c>
      <c r="Z52" s="4"/>
      <c r="AA52" s="4"/>
      <c r="AB52" s="4"/>
      <c r="AC52" s="4"/>
      <c r="AD52" s="4"/>
      <c r="AE52" s="4"/>
      <c r="AF52" s="4"/>
      <c r="AG52" s="4"/>
      <c r="AH52" s="4"/>
      <c r="AI52" s="4"/>
      <c r="AJ52" s="4"/>
    </row>
    <row r="53" spans="1:36" ht="41.5" customHeight="1" x14ac:dyDescent="0.35">
      <c r="A53" s="256"/>
      <c r="B53" s="14"/>
      <c r="C53" s="259"/>
      <c r="D53" s="259"/>
      <c r="E53" s="261"/>
      <c r="F53" s="261"/>
      <c r="G53" s="261"/>
      <c r="H53" s="261"/>
      <c r="I53" s="238">
        <v>15</v>
      </c>
      <c r="J53" s="138" t="s">
        <v>1092</v>
      </c>
      <c r="K53" s="47"/>
      <c r="L53" s="47"/>
      <c r="M53" s="276"/>
      <c r="N53" s="18"/>
      <c r="O53" s="18"/>
      <c r="P53" s="18"/>
      <c r="Q53" s="18"/>
      <c r="R53" s="18"/>
      <c r="S53" s="18"/>
      <c r="T53" s="18"/>
      <c r="U53" s="18"/>
      <c r="V53" s="18"/>
      <c r="W53" s="18"/>
      <c r="X53" s="30"/>
      <c r="Y53" s="38"/>
      <c r="Z53" s="4"/>
      <c r="AA53" s="4"/>
      <c r="AB53" s="4"/>
      <c r="AC53" s="4"/>
      <c r="AD53" s="4"/>
      <c r="AE53" s="4"/>
      <c r="AF53" s="4"/>
      <c r="AG53" s="4"/>
      <c r="AH53" s="4"/>
      <c r="AI53" s="4"/>
      <c r="AJ53" s="4"/>
    </row>
    <row r="54" spans="1:36" ht="41.5" customHeight="1" x14ac:dyDescent="0.35">
      <c r="A54" s="256"/>
      <c r="B54" s="14"/>
      <c r="C54" s="259"/>
      <c r="D54" s="259"/>
      <c r="E54" s="261"/>
      <c r="F54" s="261"/>
      <c r="G54" s="261"/>
      <c r="H54" s="261"/>
      <c r="I54" s="238" t="s">
        <v>738</v>
      </c>
      <c r="J54" s="138" t="s">
        <v>1093</v>
      </c>
      <c r="K54" s="498" t="s">
        <v>36</v>
      </c>
      <c r="L54" s="499"/>
      <c r="M54" s="18">
        <v>11880</v>
      </c>
      <c r="N54" s="18"/>
      <c r="O54" s="18"/>
      <c r="P54" s="18"/>
      <c r="Q54" s="18"/>
      <c r="R54" s="18"/>
      <c r="S54" s="18"/>
      <c r="T54" s="18"/>
      <c r="U54" s="18"/>
      <c r="V54" s="18"/>
      <c r="W54" s="18"/>
      <c r="X54" s="30"/>
      <c r="Y54" s="38"/>
      <c r="Z54" s="4"/>
      <c r="AA54" s="4"/>
      <c r="AB54" s="4"/>
      <c r="AC54" s="4"/>
      <c r="AD54" s="4"/>
      <c r="AE54" s="4"/>
      <c r="AF54" s="4"/>
      <c r="AG54" s="4"/>
      <c r="AH54" s="4"/>
      <c r="AI54" s="4"/>
      <c r="AJ54" s="4"/>
    </row>
    <row r="55" spans="1:36" ht="41.5" customHeight="1" x14ac:dyDescent="0.35">
      <c r="A55" s="256"/>
      <c r="B55" s="14"/>
      <c r="C55" s="259"/>
      <c r="D55" s="259"/>
      <c r="E55" s="261"/>
      <c r="F55" s="261"/>
      <c r="G55" s="261"/>
      <c r="H55" s="261"/>
      <c r="I55" s="238" t="s">
        <v>739</v>
      </c>
      <c r="J55" s="138" t="s">
        <v>1094</v>
      </c>
      <c r="K55" s="498" t="s">
        <v>36</v>
      </c>
      <c r="L55" s="499"/>
      <c r="M55" s="18">
        <v>7490</v>
      </c>
      <c r="N55" s="18"/>
      <c r="O55" s="18"/>
      <c r="P55" s="18"/>
      <c r="Q55" s="18"/>
      <c r="R55" s="18"/>
      <c r="S55" s="18"/>
      <c r="T55" s="18"/>
      <c r="U55" s="18"/>
      <c r="V55" s="18"/>
      <c r="W55" s="18"/>
      <c r="X55" s="30"/>
      <c r="Y55" s="38"/>
      <c r="Z55" s="4"/>
      <c r="AA55" s="4"/>
      <c r="AB55" s="4"/>
      <c r="AC55" s="4"/>
      <c r="AD55" s="4"/>
      <c r="AE55" s="4"/>
      <c r="AF55" s="4"/>
      <c r="AG55" s="4"/>
      <c r="AH55" s="4"/>
      <c r="AI55" s="4"/>
      <c r="AJ55" s="4"/>
    </row>
    <row r="56" spans="1:36" ht="41.5" customHeight="1" x14ac:dyDescent="0.35">
      <c r="A56" s="256"/>
      <c r="B56" s="14"/>
      <c r="C56" s="259"/>
      <c r="D56" s="259"/>
      <c r="E56" s="261"/>
      <c r="F56" s="261"/>
      <c r="G56" s="261"/>
      <c r="H56" s="261"/>
      <c r="I56" s="238" t="s">
        <v>1035</v>
      </c>
      <c r="J56" s="138" t="s">
        <v>1095</v>
      </c>
      <c r="K56" s="498" t="s">
        <v>36</v>
      </c>
      <c r="L56" s="499"/>
      <c r="M56" s="18">
        <v>7230</v>
      </c>
      <c r="N56" s="18"/>
      <c r="O56" s="18"/>
      <c r="P56" s="18"/>
      <c r="Q56" s="18"/>
      <c r="R56" s="18"/>
      <c r="S56" s="18"/>
      <c r="T56" s="18"/>
      <c r="U56" s="18"/>
      <c r="V56" s="18"/>
      <c r="W56" s="18"/>
      <c r="X56" s="30"/>
      <c r="Y56" s="38"/>
      <c r="Z56" s="4"/>
      <c r="AA56" s="4"/>
      <c r="AB56" s="4"/>
      <c r="AC56" s="4"/>
      <c r="AD56" s="4"/>
      <c r="AE56" s="4"/>
      <c r="AF56" s="4"/>
      <c r="AG56" s="4"/>
      <c r="AH56" s="4"/>
      <c r="AI56" s="4"/>
      <c r="AJ56" s="4"/>
    </row>
    <row r="57" spans="1:36" ht="41.5" customHeight="1" x14ac:dyDescent="0.35">
      <c r="A57" s="256"/>
      <c r="B57" s="14"/>
      <c r="C57" s="259"/>
      <c r="D57" s="259"/>
      <c r="E57" s="261"/>
      <c r="F57" s="261"/>
      <c r="G57" s="261"/>
      <c r="H57" s="261"/>
      <c r="I57" s="238">
        <v>16</v>
      </c>
      <c r="J57" s="138" t="s">
        <v>1096</v>
      </c>
      <c r="K57" s="238"/>
      <c r="L57" s="238"/>
      <c r="M57" s="18"/>
      <c r="N57" s="18"/>
      <c r="O57" s="18"/>
      <c r="P57" s="18"/>
      <c r="Q57" s="18"/>
      <c r="R57" s="18"/>
      <c r="S57" s="18"/>
      <c r="T57" s="18"/>
      <c r="U57" s="18"/>
      <c r="V57" s="18"/>
      <c r="W57" s="18"/>
      <c r="X57" s="30"/>
      <c r="Y57" s="38"/>
      <c r="Z57" s="4"/>
      <c r="AA57" s="4"/>
      <c r="AB57" s="4"/>
      <c r="AC57" s="4"/>
      <c r="AD57" s="4"/>
      <c r="AE57" s="4"/>
      <c r="AF57" s="4"/>
      <c r="AG57" s="4"/>
      <c r="AH57" s="4"/>
      <c r="AI57" s="4"/>
      <c r="AJ57" s="4"/>
    </row>
    <row r="58" spans="1:36" ht="41.5" customHeight="1" x14ac:dyDescent="0.35">
      <c r="A58" s="256"/>
      <c r="B58" s="14"/>
      <c r="C58" s="259"/>
      <c r="D58" s="259"/>
      <c r="E58" s="261"/>
      <c r="F58" s="261"/>
      <c r="G58" s="261"/>
      <c r="H58" s="261"/>
      <c r="I58" s="238" t="s">
        <v>1097</v>
      </c>
      <c r="J58" s="138" t="s">
        <v>212</v>
      </c>
      <c r="K58" s="498" t="s">
        <v>36</v>
      </c>
      <c r="L58" s="499"/>
      <c r="M58" s="18">
        <v>6580</v>
      </c>
      <c r="N58" s="18"/>
      <c r="O58" s="18"/>
      <c r="P58" s="18"/>
      <c r="Q58" s="18"/>
      <c r="R58" s="18"/>
      <c r="S58" s="18"/>
      <c r="T58" s="18"/>
      <c r="U58" s="18"/>
      <c r="V58" s="18"/>
      <c r="W58" s="18"/>
      <c r="X58" s="30"/>
      <c r="Y58" s="38"/>
      <c r="Z58" s="4"/>
      <c r="AA58" s="4"/>
      <c r="AB58" s="4"/>
      <c r="AC58" s="4"/>
      <c r="AD58" s="4"/>
      <c r="AE58" s="4"/>
      <c r="AF58" s="4"/>
      <c r="AG58" s="4"/>
      <c r="AH58" s="4"/>
      <c r="AI58" s="4"/>
      <c r="AJ58" s="4"/>
    </row>
    <row r="59" spans="1:36" ht="41.5" customHeight="1" x14ac:dyDescent="0.35">
      <c r="A59" s="256"/>
      <c r="B59" s="14"/>
      <c r="C59" s="259"/>
      <c r="D59" s="259"/>
      <c r="E59" s="261"/>
      <c r="F59" s="261"/>
      <c r="G59" s="261"/>
      <c r="H59" s="261"/>
      <c r="I59" s="238" t="s">
        <v>1098</v>
      </c>
      <c r="J59" s="138" t="s">
        <v>218</v>
      </c>
      <c r="K59" s="498" t="s">
        <v>36</v>
      </c>
      <c r="L59" s="499"/>
      <c r="M59" s="18">
        <v>5640</v>
      </c>
      <c r="N59" s="18"/>
      <c r="O59" s="18"/>
      <c r="P59" s="18"/>
      <c r="Q59" s="18"/>
      <c r="R59" s="18"/>
      <c r="S59" s="18"/>
      <c r="T59" s="18"/>
      <c r="U59" s="18"/>
      <c r="V59" s="18"/>
      <c r="W59" s="18"/>
      <c r="X59" s="30"/>
      <c r="Y59" s="38"/>
      <c r="Z59" s="4"/>
      <c r="AA59" s="4"/>
      <c r="AB59" s="4"/>
      <c r="AC59" s="4"/>
      <c r="AD59" s="4"/>
      <c r="AE59" s="4"/>
      <c r="AF59" s="4"/>
      <c r="AG59" s="4"/>
      <c r="AH59" s="4"/>
      <c r="AI59" s="4"/>
      <c r="AJ59" s="4"/>
    </row>
    <row r="60" spans="1:36" ht="42" x14ac:dyDescent="0.35">
      <c r="A60" s="256">
        <v>31</v>
      </c>
      <c r="B60" s="14" t="s">
        <v>100</v>
      </c>
      <c r="C60" s="259"/>
      <c r="D60" s="259"/>
      <c r="E60" s="261"/>
      <c r="F60" s="261"/>
      <c r="G60" s="261"/>
      <c r="H60" s="261"/>
      <c r="I60" s="256">
        <v>31</v>
      </c>
      <c r="J60" s="14" t="s">
        <v>100</v>
      </c>
      <c r="K60" s="237"/>
      <c r="L60" s="259"/>
      <c r="M60" s="261"/>
      <c r="N60" s="261"/>
      <c r="O60" s="261"/>
      <c r="P60" s="261"/>
      <c r="Q60" s="261"/>
      <c r="R60" s="261"/>
      <c r="S60" s="261"/>
      <c r="T60" s="261"/>
      <c r="U60" s="261"/>
      <c r="V60" s="261"/>
      <c r="W60" s="261"/>
      <c r="X60" s="34"/>
      <c r="Y60" s="38" t="s">
        <v>101</v>
      </c>
      <c r="Z60" s="4"/>
      <c r="AA60" s="4"/>
      <c r="AB60" s="4"/>
      <c r="AC60" s="4"/>
      <c r="AD60" s="4"/>
      <c r="AE60" s="4"/>
      <c r="AF60" s="4"/>
      <c r="AG60" s="4"/>
      <c r="AH60" s="4"/>
      <c r="AI60" s="4"/>
      <c r="AJ60" s="4"/>
    </row>
    <row r="61" spans="1:36" ht="30" hidden="1" customHeight="1" x14ac:dyDescent="0.35">
      <c r="A61" s="39">
        <v>2.1</v>
      </c>
      <c r="B61" s="40" t="s">
        <v>102</v>
      </c>
      <c r="C61" s="237" t="s">
        <v>103</v>
      </c>
      <c r="D61" s="237" t="s">
        <v>104</v>
      </c>
      <c r="F61" s="28">
        <v>1900</v>
      </c>
      <c r="G61" s="28">
        <v>1000</v>
      </c>
      <c r="H61" s="28">
        <v>600</v>
      </c>
      <c r="I61" s="39">
        <v>2.1</v>
      </c>
      <c r="J61" s="40" t="s">
        <v>102</v>
      </c>
      <c r="K61" s="237" t="s">
        <v>103</v>
      </c>
      <c r="L61" s="237" t="s">
        <v>104</v>
      </c>
      <c r="M61" s="28"/>
      <c r="N61" s="28">
        <v>2600</v>
      </c>
      <c r="O61" s="28">
        <v>1500</v>
      </c>
      <c r="P61" s="28">
        <v>750</v>
      </c>
      <c r="Q61" s="41"/>
      <c r="R61" s="41"/>
      <c r="S61" s="41"/>
      <c r="T61" s="41"/>
      <c r="U61" s="41"/>
      <c r="V61" s="41"/>
      <c r="W61" s="41"/>
      <c r="X61" s="42"/>
      <c r="Y61" s="463" t="s">
        <v>105</v>
      </c>
      <c r="Z61" s="4" t="s">
        <v>106</v>
      </c>
      <c r="AA61" s="4"/>
      <c r="AB61" s="4"/>
      <c r="AC61" s="4"/>
      <c r="AD61" s="4"/>
      <c r="AE61" s="4"/>
      <c r="AF61" s="4"/>
      <c r="AG61" s="4"/>
      <c r="AH61" s="4"/>
      <c r="AI61" s="4"/>
      <c r="AJ61" s="4"/>
    </row>
    <row r="62" spans="1:36" ht="42" hidden="1" x14ac:dyDescent="0.35">
      <c r="A62" s="39">
        <v>2.2000000000000002</v>
      </c>
      <c r="B62" s="40" t="s">
        <v>102</v>
      </c>
      <c r="C62" s="237" t="s">
        <v>107</v>
      </c>
      <c r="D62" s="237" t="s">
        <v>108</v>
      </c>
      <c r="E62" s="28"/>
      <c r="F62" s="28">
        <v>1900</v>
      </c>
      <c r="G62" s="28">
        <v>1000</v>
      </c>
      <c r="H62" s="28">
        <v>600</v>
      </c>
      <c r="I62" s="39">
        <v>2.2000000000000002</v>
      </c>
      <c r="J62" s="40" t="s">
        <v>102</v>
      </c>
      <c r="K62" s="237" t="s">
        <v>107</v>
      </c>
      <c r="L62" s="237" t="s">
        <v>108</v>
      </c>
      <c r="M62" s="28"/>
      <c r="N62" s="28">
        <v>2600</v>
      </c>
      <c r="O62" s="28">
        <v>1500</v>
      </c>
      <c r="P62" s="28">
        <v>750</v>
      </c>
      <c r="Q62" s="43"/>
      <c r="R62" s="43"/>
      <c r="S62" s="43"/>
      <c r="T62" s="43"/>
      <c r="U62" s="43"/>
      <c r="V62" s="43"/>
      <c r="W62" s="43"/>
      <c r="X62" s="44"/>
      <c r="Y62" s="463"/>
      <c r="Z62" s="4" t="s">
        <v>106</v>
      </c>
      <c r="AA62" s="4"/>
      <c r="AB62" s="4"/>
      <c r="AC62" s="4"/>
      <c r="AD62" s="4"/>
      <c r="AE62" s="4"/>
      <c r="AF62" s="4"/>
      <c r="AG62" s="4"/>
      <c r="AH62" s="4"/>
      <c r="AI62" s="4"/>
      <c r="AJ62" s="4"/>
    </row>
    <row r="63" spans="1:36" hidden="1" x14ac:dyDescent="0.35">
      <c r="A63" s="39">
        <v>3</v>
      </c>
      <c r="B63" s="40" t="s">
        <v>109</v>
      </c>
      <c r="C63" s="237" t="s">
        <v>110</v>
      </c>
      <c r="D63" s="237" t="s">
        <v>111</v>
      </c>
      <c r="E63" s="28"/>
      <c r="F63" s="28">
        <v>1900</v>
      </c>
      <c r="G63" s="28">
        <v>1000</v>
      </c>
      <c r="H63" s="28">
        <v>600</v>
      </c>
      <c r="I63" s="39">
        <v>3</v>
      </c>
      <c r="J63" s="40" t="s">
        <v>109</v>
      </c>
      <c r="K63" s="237" t="s">
        <v>110</v>
      </c>
      <c r="L63" s="237" t="s">
        <v>111</v>
      </c>
      <c r="M63" s="28"/>
      <c r="N63" s="28">
        <v>2600</v>
      </c>
      <c r="O63" s="28">
        <v>1500</v>
      </c>
      <c r="P63" s="28">
        <v>750</v>
      </c>
      <c r="Q63" s="43"/>
      <c r="R63" s="43"/>
      <c r="S63" s="43"/>
      <c r="T63" s="43"/>
      <c r="U63" s="43"/>
      <c r="V63" s="43"/>
      <c r="W63" s="43"/>
      <c r="X63" s="44"/>
      <c r="Y63" s="463"/>
      <c r="Z63" s="4" t="s">
        <v>106</v>
      </c>
      <c r="AA63" s="4"/>
      <c r="AB63" s="4"/>
      <c r="AC63" s="4"/>
      <c r="AD63" s="4"/>
      <c r="AE63" s="4"/>
      <c r="AF63" s="4"/>
      <c r="AG63" s="4"/>
      <c r="AH63" s="4"/>
      <c r="AI63" s="4"/>
      <c r="AJ63" s="4"/>
    </row>
    <row r="64" spans="1:36" ht="42" hidden="1" x14ac:dyDescent="0.35">
      <c r="A64" s="39">
        <v>4</v>
      </c>
      <c r="B64" s="38" t="s">
        <v>112</v>
      </c>
      <c r="C64" s="237" t="s">
        <v>113</v>
      </c>
      <c r="D64" s="237" t="s">
        <v>114</v>
      </c>
      <c r="E64" s="28"/>
      <c r="F64" s="28">
        <v>1500</v>
      </c>
      <c r="G64" s="28">
        <v>1000</v>
      </c>
      <c r="H64" s="28">
        <v>600</v>
      </c>
      <c r="I64" s="39">
        <v>4</v>
      </c>
      <c r="J64" s="38" t="s">
        <v>112</v>
      </c>
      <c r="K64" s="237" t="s">
        <v>113</v>
      </c>
      <c r="L64" s="237" t="s">
        <v>114</v>
      </c>
      <c r="M64" s="28"/>
      <c r="N64" s="28">
        <v>2400</v>
      </c>
      <c r="O64" s="28">
        <v>1200</v>
      </c>
      <c r="P64" s="28">
        <v>750</v>
      </c>
      <c r="Q64" s="43"/>
      <c r="R64" s="43"/>
      <c r="S64" s="43"/>
      <c r="T64" s="43"/>
      <c r="U64" s="43"/>
      <c r="V64" s="43"/>
      <c r="W64" s="43"/>
      <c r="X64" s="44"/>
      <c r="Y64" s="463"/>
      <c r="Z64" s="4" t="s">
        <v>106</v>
      </c>
      <c r="AA64" s="4"/>
      <c r="AB64" s="4"/>
      <c r="AC64" s="4"/>
      <c r="AD64" s="4"/>
      <c r="AE64" s="4"/>
      <c r="AF64" s="4"/>
      <c r="AG64" s="4"/>
      <c r="AH64" s="4"/>
      <c r="AI64" s="4"/>
      <c r="AJ64" s="4"/>
    </row>
    <row r="65" spans="1:36" ht="42" hidden="1" x14ac:dyDescent="0.35">
      <c r="A65" s="39">
        <v>5</v>
      </c>
      <c r="B65" s="38" t="s">
        <v>115</v>
      </c>
      <c r="C65" s="237" t="s">
        <v>116</v>
      </c>
      <c r="D65" s="237" t="s">
        <v>117</v>
      </c>
      <c r="E65" s="28"/>
      <c r="F65" s="28">
        <v>1200</v>
      </c>
      <c r="G65" s="28">
        <v>1000</v>
      </c>
      <c r="H65" s="28">
        <v>6000</v>
      </c>
      <c r="I65" s="39">
        <v>5</v>
      </c>
      <c r="J65" s="38" t="s">
        <v>115</v>
      </c>
      <c r="K65" s="237" t="s">
        <v>116</v>
      </c>
      <c r="L65" s="237" t="s">
        <v>117</v>
      </c>
      <c r="M65" s="28"/>
      <c r="N65" s="28">
        <v>2400</v>
      </c>
      <c r="O65" s="28">
        <v>1200</v>
      </c>
      <c r="P65" s="28">
        <v>750</v>
      </c>
      <c r="Q65" s="45"/>
      <c r="R65" s="45"/>
      <c r="S65" s="45"/>
      <c r="T65" s="45"/>
      <c r="U65" s="45"/>
      <c r="V65" s="45"/>
      <c r="W65" s="45"/>
      <c r="X65" s="46"/>
      <c r="Y65" s="463"/>
      <c r="Z65" s="4" t="s">
        <v>106</v>
      </c>
      <c r="AA65" s="4"/>
      <c r="AB65" s="4"/>
      <c r="AC65" s="4"/>
      <c r="AD65" s="4"/>
      <c r="AE65" s="4"/>
      <c r="AF65" s="4"/>
      <c r="AG65" s="4"/>
      <c r="AH65" s="4"/>
      <c r="AI65" s="4"/>
      <c r="AJ65" s="4"/>
    </row>
    <row r="66" spans="1:36" x14ac:dyDescent="0.35">
      <c r="A66" s="39"/>
      <c r="B66" s="38"/>
      <c r="C66" s="237"/>
      <c r="D66" s="237"/>
      <c r="E66" s="28"/>
      <c r="F66" s="28"/>
      <c r="G66" s="28"/>
      <c r="H66" s="28"/>
      <c r="I66" s="321"/>
      <c r="J66" s="496" t="s">
        <v>1078</v>
      </c>
      <c r="K66" s="497"/>
      <c r="L66" s="237"/>
      <c r="M66" s="28"/>
      <c r="N66" s="28"/>
      <c r="O66" s="28"/>
      <c r="P66" s="28"/>
      <c r="Q66" s="45"/>
      <c r="R66" s="45"/>
      <c r="S66" s="45"/>
      <c r="T66" s="45"/>
      <c r="U66" s="45"/>
      <c r="V66" s="45"/>
      <c r="W66" s="45"/>
      <c r="X66" s="46"/>
      <c r="Y66" s="38"/>
      <c r="Z66" s="4"/>
      <c r="AA66" s="4"/>
      <c r="AB66" s="4"/>
      <c r="AC66" s="4"/>
      <c r="AD66" s="4"/>
      <c r="AE66" s="4"/>
      <c r="AF66" s="4"/>
      <c r="AG66" s="4"/>
      <c r="AH66" s="4"/>
      <c r="AI66" s="4"/>
      <c r="AJ66" s="4"/>
    </row>
    <row r="67" spans="1:36" ht="56" x14ac:dyDescent="0.35">
      <c r="A67" s="39">
        <v>18</v>
      </c>
      <c r="B67" s="38" t="s">
        <v>118</v>
      </c>
      <c r="C67" s="237"/>
      <c r="D67" s="237"/>
      <c r="E67" s="28"/>
      <c r="F67" s="28"/>
      <c r="G67" s="28"/>
      <c r="H67" s="28"/>
      <c r="I67" s="238">
        <v>18</v>
      </c>
      <c r="J67" s="138" t="s">
        <v>119</v>
      </c>
      <c r="K67" s="237"/>
      <c r="L67" s="237"/>
      <c r="M67" s="28"/>
      <c r="N67" s="28"/>
      <c r="O67" s="28"/>
      <c r="P67" s="28"/>
      <c r="Q67" s="45"/>
      <c r="R67" s="45"/>
      <c r="S67" s="45"/>
      <c r="T67" s="45"/>
      <c r="U67" s="45"/>
      <c r="V67" s="45"/>
      <c r="W67" s="45"/>
      <c r="X67" s="46"/>
      <c r="Y67" s="38" t="s">
        <v>120</v>
      </c>
      <c r="Z67" s="4"/>
      <c r="AA67" s="4"/>
      <c r="AB67" s="4"/>
      <c r="AC67" s="4"/>
      <c r="AD67" s="4"/>
      <c r="AE67" s="4"/>
      <c r="AF67" s="4"/>
      <c r="AG67" s="4"/>
      <c r="AH67" s="4"/>
      <c r="AI67" s="4"/>
      <c r="AJ67" s="4"/>
    </row>
    <row r="68" spans="1:36" ht="42" x14ac:dyDescent="0.35">
      <c r="A68" s="39" t="s">
        <v>121</v>
      </c>
      <c r="B68" s="49" t="s">
        <v>122</v>
      </c>
      <c r="C68" s="18" t="s">
        <v>123</v>
      </c>
      <c r="D68" s="18" t="s">
        <v>124</v>
      </c>
      <c r="E68" s="28">
        <v>4400</v>
      </c>
      <c r="F68" s="28">
        <v>1800</v>
      </c>
      <c r="G68" s="28">
        <v>1100</v>
      </c>
      <c r="H68" s="28">
        <v>600</v>
      </c>
      <c r="I68" s="39" t="s">
        <v>121</v>
      </c>
      <c r="J68" s="49" t="s">
        <v>122</v>
      </c>
      <c r="K68" s="18" t="s">
        <v>123</v>
      </c>
      <c r="L68" s="18" t="s">
        <v>125</v>
      </c>
      <c r="M68" s="265">
        <v>4400</v>
      </c>
      <c r="N68" s="265">
        <v>1800</v>
      </c>
      <c r="O68" s="265">
        <v>1100</v>
      </c>
      <c r="P68" s="265">
        <v>600</v>
      </c>
      <c r="Q68" s="265">
        <v>2600</v>
      </c>
      <c r="R68" s="265">
        <v>1100</v>
      </c>
      <c r="S68" s="265">
        <v>700</v>
      </c>
      <c r="T68" s="265">
        <v>400</v>
      </c>
      <c r="U68" s="265">
        <v>1800</v>
      </c>
      <c r="V68" s="265">
        <v>700</v>
      </c>
      <c r="W68" s="265">
        <v>400</v>
      </c>
      <c r="X68" s="265">
        <v>200</v>
      </c>
      <c r="Y68" s="463" t="s">
        <v>126</v>
      </c>
      <c r="Z68" s="4"/>
      <c r="AA68" s="4"/>
      <c r="AB68" s="4"/>
      <c r="AC68" s="4"/>
      <c r="AD68" s="4"/>
      <c r="AE68" s="4"/>
      <c r="AF68" s="4"/>
      <c r="AG68" s="4"/>
      <c r="AH68" s="4"/>
      <c r="AI68" s="4"/>
      <c r="AJ68" s="4"/>
    </row>
    <row r="69" spans="1:36" ht="30.4" customHeight="1" x14ac:dyDescent="0.35">
      <c r="A69" s="39" t="s">
        <v>127</v>
      </c>
      <c r="B69" s="49" t="s">
        <v>122</v>
      </c>
      <c r="C69" s="18" t="s">
        <v>128</v>
      </c>
      <c r="D69" s="18" t="s">
        <v>129</v>
      </c>
      <c r="E69" s="28">
        <v>5100</v>
      </c>
      <c r="F69" s="28">
        <v>2200</v>
      </c>
      <c r="G69" s="28">
        <v>1000</v>
      </c>
      <c r="H69" s="28">
        <v>600</v>
      </c>
      <c r="I69" s="39" t="s">
        <v>127</v>
      </c>
      <c r="J69" s="49" t="s">
        <v>122</v>
      </c>
      <c r="K69" s="18" t="s">
        <v>130</v>
      </c>
      <c r="L69" s="18" t="s">
        <v>129</v>
      </c>
      <c r="M69" s="265">
        <v>5100</v>
      </c>
      <c r="N69" s="265">
        <v>2200</v>
      </c>
      <c r="O69" s="265">
        <v>1000</v>
      </c>
      <c r="P69" s="265">
        <v>600</v>
      </c>
      <c r="Q69" s="265">
        <v>3100</v>
      </c>
      <c r="R69" s="265">
        <v>1300</v>
      </c>
      <c r="S69" s="265">
        <v>600</v>
      </c>
      <c r="T69" s="265">
        <v>400</v>
      </c>
      <c r="U69" s="265">
        <v>2000</v>
      </c>
      <c r="V69" s="265">
        <v>900</v>
      </c>
      <c r="W69" s="265">
        <v>400</v>
      </c>
      <c r="X69" s="265">
        <v>200</v>
      </c>
      <c r="Y69" s="464"/>
      <c r="Z69" s="4"/>
      <c r="AA69" s="4"/>
      <c r="AB69" s="4"/>
      <c r="AC69" s="4"/>
      <c r="AD69" s="4"/>
      <c r="AE69" s="4"/>
      <c r="AF69" s="4"/>
      <c r="AG69" s="4"/>
      <c r="AH69" s="4"/>
      <c r="AI69" s="4"/>
      <c r="AJ69" s="4"/>
    </row>
    <row r="70" spans="1:36" ht="21.4" customHeight="1" x14ac:dyDescent="0.35">
      <c r="A70" s="51">
        <v>32</v>
      </c>
      <c r="B70" s="52" t="s">
        <v>131</v>
      </c>
      <c r="C70" s="259"/>
      <c r="D70" s="259"/>
      <c r="E70" s="261"/>
      <c r="F70" s="261"/>
      <c r="G70" s="261"/>
      <c r="H70" s="261"/>
      <c r="I70" s="51">
        <v>32</v>
      </c>
      <c r="J70" s="52" t="s">
        <v>131</v>
      </c>
      <c r="K70" s="259"/>
      <c r="L70" s="259"/>
      <c r="M70" s="261"/>
      <c r="N70" s="261"/>
      <c r="O70" s="261"/>
      <c r="P70" s="261"/>
      <c r="Q70" s="261"/>
      <c r="R70" s="261"/>
      <c r="S70" s="261"/>
      <c r="T70" s="261"/>
      <c r="U70" s="261"/>
      <c r="V70" s="261"/>
      <c r="W70" s="261"/>
      <c r="X70" s="34"/>
      <c r="Y70" s="38"/>
      <c r="Z70" s="4"/>
      <c r="AA70" s="4"/>
      <c r="AB70" s="4"/>
      <c r="AC70" s="4"/>
      <c r="AD70" s="4"/>
      <c r="AE70" s="4"/>
      <c r="AF70" s="4"/>
      <c r="AG70" s="4"/>
      <c r="AH70" s="4"/>
      <c r="AI70" s="4"/>
      <c r="AJ70" s="4"/>
    </row>
    <row r="71" spans="1:36" ht="21.4" customHeight="1" x14ac:dyDescent="0.35">
      <c r="A71" s="51"/>
      <c r="B71" s="324"/>
      <c r="C71" s="325"/>
      <c r="D71" s="26"/>
      <c r="E71" s="261"/>
      <c r="F71" s="261"/>
      <c r="G71" s="261"/>
      <c r="H71" s="261"/>
      <c r="I71" s="321"/>
      <c r="J71" s="496" t="s">
        <v>1079</v>
      </c>
      <c r="K71" s="497"/>
      <c r="L71" s="26"/>
      <c r="M71" s="261"/>
      <c r="N71" s="261"/>
      <c r="O71" s="261"/>
      <c r="P71" s="261"/>
      <c r="Q71" s="261"/>
      <c r="R71" s="261"/>
      <c r="S71" s="261"/>
      <c r="T71" s="261"/>
      <c r="U71" s="261"/>
      <c r="V71" s="261"/>
      <c r="W71" s="261"/>
      <c r="X71" s="34"/>
      <c r="Y71" s="38"/>
      <c r="Z71" s="4"/>
      <c r="AA71" s="4"/>
      <c r="AB71" s="4"/>
      <c r="AC71" s="4"/>
      <c r="AD71" s="4"/>
      <c r="AE71" s="4"/>
      <c r="AF71" s="4"/>
      <c r="AG71" s="4"/>
      <c r="AH71" s="4"/>
      <c r="AI71" s="4"/>
      <c r="AJ71" s="4"/>
    </row>
    <row r="72" spans="1:36" ht="32.25" customHeight="1" x14ac:dyDescent="0.35">
      <c r="A72" s="39">
        <v>21</v>
      </c>
      <c r="B72" s="53" t="s">
        <v>132</v>
      </c>
      <c r="C72" s="504" t="s">
        <v>133</v>
      </c>
      <c r="D72" s="505"/>
      <c r="E72" s="28">
        <v>6200</v>
      </c>
      <c r="F72" s="28"/>
      <c r="G72" s="28"/>
      <c r="H72" s="28"/>
      <c r="I72" s="39">
        <v>21</v>
      </c>
      <c r="J72" s="53" t="s">
        <v>132</v>
      </c>
      <c r="K72" s="504" t="s">
        <v>133</v>
      </c>
      <c r="L72" s="505"/>
      <c r="M72" s="54">
        <v>6200</v>
      </c>
      <c r="N72" s="54">
        <v>4700</v>
      </c>
      <c r="O72" s="54">
        <v>2400</v>
      </c>
      <c r="P72" s="54">
        <v>1200</v>
      </c>
      <c r="Q72" s="54">
        <v>3700</v>
      </c>
      <c r="R72" s="54">
        <v>2800</v>
      </c>
      <c r="S72" s="54">
        <v>1400</v>
      </c>
      <c r="T72" s="54">
        <v>700</v>
      </c>
      <c r="U72" s="54">
        <v>2500</v>
      </c>
      <c r="V72" s="54">
        <v>1900</v>
      </c>
      <c r="W72" s="54">
        <v>1000</v>
      </c>
      <c r="X72" s="54">
        <v>500</v>
      </c>
      <c r="Y72" s="38" t="s">
        <v>134</v>
      </c>
      <c r="Z72" s="1" t="s">
        <v>135</v>
      </c>
      <c r="AA72" s="4"/>
      <c r="AB72" s="4"/>
      <c r="AC72" s="4"/>
      <c r="AD72" s="4"/>
      <c r="AE72" s="4"/>
      <c r="AF72" s="4"/>
      <c r="AG72" s="4"/>
      <c r="AH72" s="4"/>
      <c r="AI72" s="4"/>
      <c r="AJ72" s="4"/>
    </row>
    <row r="73" spans="1:36" ht="28" x14ac:dyDescent="0.35">
      <c r="A73" s="39"/>
      <c r="B73" s="55"/>
      <c r="C73" s="237"/>
      <c r="D73" s="237"/>
      <c r="E73" s="28"/>
      <c r="F73" s="28"/>
      <c r="G73" s="28"/>
      <c r="H73" s="28"/>
      <c r="I73" s="39">
        <v>70</v>
      </c>
      <c r="J73" s="254" t="s">
        <v>136</v>
      </c>
      <c r="K73" s="237"/>
      <c r="L73" s="237"/>
      <c r="M73" s="28"/>
      <c r="N73" s="28"/>
      <c r="O73" s="28"/>
      <c r="P73" s="28"/>
      <c r="Q73" s="28"/>
      <c r="R73" s="28"/>
      <c r="S73" s="28"/>
      <c r="T73" s="28"/>
      <c r="U73" s="28"/>
      <c r="V73" s="28"/>
      <c r="W73" s="28"/>
      <c r="X73" s="28"/>
      <c r="Y73" s="253"/>
      <c r="Z73" s="4"/>
      <c r="AA73" s="4"/>
      <c r="AB73" s="4"/>
      <c r="AC73" s="4"/>
      <c r="AD73" s="4"/>
      <c r="AE73" s="4"/>
      <c r="AF73" s="4"/>
      <c r="AG73" s="4"/>
      <c r="AH73" s="4"/>
      <c r="AI73" s="4"/>
      <c r="AJ73" s="4"/>
    </row>
    <row r="74" spans="1:36" ht="28.9" customHeight="1" x14ac:dyDescent="0.35">
      <c r="A74" s="27"/>
      <c r="B74" s="40"/>
      <c r="C74" s="237"/>
      <c r="D74" s="237"/>
      <c r="E74" s="28"/>
      <c r="F74" s="28"/>
      <c r="G74" s="28"/>
      <c r="H74" s="28"/>
      <c r="I74" s="27" t="s">
        <v>137</v>
      </c>
      <c r="J74" s="38" t="s">
        <v>138</v>
      </c>
      <c r="K74" s="237"/>
      <c r="L74" s="56"/>
      <c r="M74" s="18">
        <v>17130</v>
      </c>
      <c r="N74" s="41"/>
      <c r="O74" s="28"/>
      <c r="P74" s="28"/>
      <c r="Q74" s="28"/>
      <c r="R74" s="28"/>
      <c r="S74" s="28"/>
      <c r="T74" s="28"/>
      <c r="U74" s="28"/>
      <c r="V74" s="28"/>
      <c r="W74" s="28"/>
      <c r="X74" s="28"/>
      <c r="Y74" s="463" t="s">
        <v>139</v>
      </c>
      <c r="Z74" s="1" t="s">
        <v>135</v>
      </c>
      <c r="AA74" s="4"/>
      <c r="AB74" s="4"/>
      <c r="AC74" s="4"/>
      <c r="AD74" s="4"/>
      <c r="AE74" s="4"/>
      <c r="AF74" s="4"/>
      <c r="AG74" s="4"/>
      <c r="AH74" s="4"/>
      <c r="AI74" s="4"/>
      <c r="AJ74" s="4"/>
    </row>
    <row r="75" spans="1:36" ht="31.15" customHeight="1" x14ac:dyDescent="0.35">
      <c r="A75" s="27"/>
      <c r="B75" s="40"/>
      <c r="C75" s="237"/>
      <c r="D75" s="237"/>
      <c r="E75" s="28"/>
      <c r="F75" s="28"/>
      <c r="G75" s="28"/>
      <c r="H75" s="28"/>
      <c r="I75" s="27" t="s">
        <v>140</v>
      </c>
      <c r="J75" s="38" t="s">
        <v>141</v>
      </c>
      <c r="K75" s="237"/>
      <c r="L75" s="56"/>
      <c r="M75" s="18">
        <v>18030</v>
      </c>
      <c r="N75" s="41"/>
      <c r="O75" s="28"/>
      <c r="P75" s="28"/>
      <c r="Q75" s="28"/>
      <c r="R75" s="28"/>
      <c r="S75" s="28"/>
      <c r="T75" s="28"/>
      <c r="U75" s="28"/>
      <c r="V75" s="28"/>
      <c r="W75" s="28"/>
      <c r="X75" s="28"/>
      <c r="Y75" s="463"/>
      <c r="Z75" s="1"/>
      <c r="AA75" s="4"/>
      <c r="AB75" s="4"/>
      <c r="AC75" s="4"/>
      <c r="AD75" s="4"/>
      <c r="AE75" s="4"/>
      <c r="AF75" s="4"/>
      <c r="AG75" s="4"/>
      <c r="AH75" s="4"/>
      <c r="AI75" s="4"/>
      <c r="AJ75" s="4"/>
    </row>
    <row r="76" spans="1:36" ht="42" x14ac:dyDescent="0.35">
      <c r="A76" s="256">
        <v>33</v>
      </c>
      <c r="B76" s="14" t="s">
        <v>142</v>
      </c>
      <c r="C76" s="259"/>
      <c r="D76" s="259"/>
      <c r="E76" s="261"/>
      <c r="F76" s="261"/>
      <c r="G76" s="261"/>
      <c r="H76" s="261"/>
      <c r="I76" s="256">
        <v>33</v>
      </c>
      <c r="J76" s="14" t="s">
        <v>142</v>
      </c>
      <c r="K76" s="259"/>
      <c r="L76" s="259"/>
      <c r="M76" s="261"/>
      <c r="N76" s="261"/>
      <c r="O76" s="261"/>
      <c r="P76" s="261"/>
      <c r="Q76" s="261"/>
      <c r="R76" s="261"/>
      <c r="S76" s="261"/>
      <c r="T76" s="261"/>
      <c r="U76" s="261"/>
      <c r="V76" s="261"/>
      <c r="W76" s="261"/>
      <c r="X76" s="34"/>
      <c r="Y76" s="38" t="s">
        <v>101</v>
      </c>
      <c r="Z76" s="4"/>
      <c r="AA76" s="4"/>
      <c r="AB76" s="4"/>
      <c r="AC76" s="4"/>
      <c r="AD76" s="4"/>
      <c r="AE76" s="4"/>
      <c r="AF76" s="4"/>
      <c r="AG76" s="4"/>
      <c r="AH76" s="4"/>
      <c r="AI76" s="4"/>
      <c r="AJ76" s="4"/>
    </row>
    <row r="77" spans="1:36" x14ac:dyDescent="0.35">
      <c r="A77" s="256"/>
      <c r="B77" s="14"/>
      <c r="C77" s="259"/>
      <c r="D77" s="259"/>
      <c r="E77" s="261"/>
      <c r="F77" s="261"/>
      <c r="G77" s="261"/>
      <c r="H77" s="261"/>
      <c r="I77" s="321"/>
      <c r="J77" s="496" t="s">
        <v>1078</v>
      </c>
      <c r="K77" s="497"/>
      <c r="L77" s="259"/>
      <c r="M77" s="261"/>
      <c r="N77" s="261"/>
      <c r="O77" s="261"/>
      <c r="P77" s="261"/>
      <c r="Q77" s="261"/>
      <c r="R77" s="261"/>
      <c r="S77" s="261"/>
      <c r="T77" s="261"/>
      <c r="U77" s="261"/>
      <c r="V77" s="261"/>
      <c r="W77" s="261"/>
      <c r="X77" s="34"/>
      <c r="Y77" s="38"/>
      <c r="Z77" s="4"/>
      <c r="AA77" s="4"/>
      <c r="AB77" s="4"/>
      <c r="AC77" s="4"/>
      <c r="AD77" s="4"/>
      <c r="AE77" s="4"/>
      <c r="AF77" s="4"/>
      <c r="AG77" s="4"/>
      <c r="AH77" s="4"/>
      <c r="AI77" s="4"/>
      <c r="AJ77" s="4"/>
    </row>
    <row r="78" spans="1:36" ht="37.15" customHeight="1" x14ac:dyDescent="0.35">
      <c r="A78" s="19" t="s">
        <v>143</v>
      </c>
      <c r="B78" s="38" t="s">
        <v>144</v>
      </c>
      <c r="C78" s="237" t="s">
        <v>145</v>
      </c>
      <c r="D78" s="18" t="s">
        <v>146</v>
      </c>
      <c r="E78" s="57">
        <v>8800</v>
      </c>
      <c r="F78" s="57">
        <v>3100</v>
      </c>
      <c r="G78" s="57">
        <v>1200</v>
      </c>
      <c r="H78" s="57">
        <v>900</v>
      </c>
      <c r="I78" s="19" t="s">
        <v>143</v>
      </c>
      <c r="J78" s="38" t="s">
        <v>147</v>
      </c>
      <c r="K78" s="237" t="s">
        <v>145</v>
      </c>
      <c r="L78" s="18" t="s">
        <v>146</v>
      </c>
      <c r="M78" s="54">
        <v>8800</v>
      </c>
      <c r="N78" s="54">
        <v>3100</v>
      </c>
      <c r="O78" s="54">
        <v>1200</v>
      </c>
      <c r="P78" s="54">
        <v>900</v>
      </c>
      <c r="Q78" s="54">
        <v>5300</v>
      </c>
      <c r="R78" s="54">
        <v>1900</v>
      </c>
      <c r="S78" s="54">
        <v>700</v>
      </c>
      <c r="T78" s="54">
        <v>500</v>
      </c>
      <c r="U78" s="54">
        <v>3500</v>
      </c>
      <c r="V78" s="54">
        <v>1200</v>
      </c>
      <c r="W78" s="54">
        <v>500</v>
      </c>
      <c r="X78" s="54">
        <v>400</v>
      </c>
      <c r="Y78" s="38" t="s">
        <v>148</v>
      </c>
      <c r="Z78" s="4"/>
      <c r="AA78" s="4"/>
      <c r="AB78" s="4"/>
      <c r="AC78" s="4"/>
      <c r="AD78" s="4"/>
      <c r="AE78" s="4"/>
      <c r="AF78" s="4"/>
      <c r="AG78" s="4"/>
      <c r="AH78" s="4"/>
      <c r="AI78" s="4"/>
      <c r="AJ78" s="4"/>
    </row>
    <row r="79" spans="1:36" x14ac:dyDescent="0.35">
      <c r="A79" s="51">
        <v>35</v>
      </c>
      <c r="B79" s="52" t="s">
        <v>150</v>
      </c>
      <c r="C79" s="259"/>
      <c r="D79" s="259"/>
      <c r="E79" s="261"/>
      <c r="F79" s="261"/>
      <c r="G79" s="261"/>
      <c r="H79" s="261"/>
      <c r="I79" s="51">
        <v>35</v>
      </c>
      <c r="J79" s="52" t="s">
        <v>150</v>
      </c>
      <c r="K79" s="259"/>
      <c r="L79" s="259"/>
      <c r="M79" s="261"/>
      <c r="N79" s="261"/>
      <c r="O79" s="261"/>
      <c r="P79" s="261"/>
      <c r="Q79" s="261"/>
      <c r="R79" s="261"/>
      <c r="S79" s="261"/>
      <c r="T79" s="261"/>
      <c r="U79" s="261"/>
      <c r="V79" s="261"/>
      <c r="W79" s="261"/>
      <c r="X79" s="34"/>
      <c r="Y79" s="13" t="s">
        <v>22</v>
      </c>
      <c r="Z79" s="4"/>
      <c r="AA79" s="4"/>
      <c r="AB79" s="4"/>
      <c r="AC79" s="4"/>
      <c r="AD79" s="4"/>
      <c r="AE79" s="4"/>
      <c r="AF79" s="4"/>
      <c r="AG79" s="4"/>
      <c r="AH79" s="4"/>
      <c r="AI79" s="4"/>
      <c r="AJ79" s="4"/>
    </row>
    <row r="80" spans="1:36" x14ac:dyDescent="0.35">
      <c r="A80" s="51"/>
      <c r="B80" s="52"/>
      <c r="C80" s="259"/>
      <c r="D80" s="259"/>
      <c r="E80" s="261"/>
      <c r="F80" s="261"/>
      <c r="G80" s="261"/>
      <c r="H80" s="261"/>
      <c r="I80" s="51"/>
      <c r="J80" s="496" t="s">
        <v>1078</v>
      </c>
      <c r="K80" s="497"/>
      <c r="L80" s="259"/>
      <c r="M80" s="261"/>
      <c r="N80" s="261"/>
      <c r="O80" s="261"/>
      <c r="P80" s="261"/>
      <c r="Q80" s="261"/>
      <c r="R80" s="261"/>
      <c r="S80" s="261"/>
      <c r="T80" s="261"/>
      <c r="U80" s="261"/>
      <c r="V80" s="261"/>
      <c r="W80" s="261"/>
      <c r="X80" s="34"/>
      <c r="Y80" s="13"/>
      <c r="Z80" s="4"/>
      <c r="AA80" s="4"/>
      <c r="AB80" s="4"/>
      <c r="AC80" s="4"/>
      <c r="AD80" s="4"/>
      <c r="AE80" s="4"/>
      <c r="AF80" s="4"/>
      <c r="AG80" s="4"/>
      <c r="AH80" s="4"/>
      <c r="AI80" s="4"/>
      <c r="AJ80" s="4"/>
    </row>
    <row r="81" spans="1:16374" ht="42" x14ac:dyDescent="0.35">
      <c r="A81" s="51"/>
      <c r="B81" s="52"/>
      <c r="C81" s="259"/>
      <c r="D81" s="259"/>
      <c r="E81" s="261"/>
      <c r="F81" s="261"/>
      <c r="G81" s="261"/>
      <c r="H81" s="261"/>
      <c r="I81" s="88" t="s">
        <v>1108</v>
      </c>
      <c r="J81" s="24" t="s">
        <v>1107</v>
      </c>
      <c r="K81" s="506" t="s">
        <v>133</v>
      </c>
      <c r="L81" s="507"/>
      <c r="M81" s="18">
        <v>6800</v>
      </c>
      <c r="N81" s="18">
        <v>3800</v>
      </c>
      <c r="O81" s="18">
        <v>1800</v>
      </c>
      <c r="P81" s="18">
        <v>1000</v>
      </c>
      <c r="Q81" s="18">
        <v>4100</v>
      </c>
      <c r="R81" s="18">
        <v>2300</v>
      </c>
      <c r="S81" s="18">
        <v>1100</v>
      </c>
      <c r="T81" s="18">
        <v>600</v>
      </c>
      <c r="U81" s="18">
        <v>2700</v>
      </c>
      <c r="V81" s="18">
        <v>1500</v>
      </c>
      <c r="W81" s="18">
        <v>700</v>
      </c>
      <c r="X81" s="18">
        <v>400</v>
      </c>
      <c r="Y81" s="13"/>
      <c r="Z81" s="4"/>
      <c r="AA81" s="4"/>
      <c r="AB81" s="4"/>
      <c r="AC81" s="4"/>
      <c r="AD81" s="4"/>
      <c r="AE81" s="4"/>
      <c r="AF81" s="4"/>
      <c r="AG81" s="4"/>
      <c r="AH81" s="4"/>
      <c r="AI81" s="4"/>
      <c r="AJ81" s="4"/>
    </row>
    <row r="82" spans="1:16374" x14ac:dyDescent="0.35">
      <c r="A82" s="51"/>
      <c r="B82" s="52"/>
      <c r="C82" s="259"/>
      <c r="D82" s="259"/>
      <c r="E82" s="261"/>
      <c r="F82" s="261"/>
      <c r="G82" s="261"/>
      <c r="H82" s="261"/>
      <c r="I82" s="51"/>
      <c r="J82" s="496" t="s">
        <v>1079</v>
      </c>
      <c r="K82" s="497"/>
      <c r="L82" s="259"/>
      <c r="M82" s="261"/>
      <c r="N82" s="261"/>
      <c r="O82" s="261"/>
      <c r="P82" s="261"/>
      <c r="Q82" s="261"/>
      <c r="R82" s="261"/>
      <c r="S82" s="261"/>
      <c r="T82" s="261"/>
      <c r="U82" s="261"/>
      <c r="V82" s="261"/>
      <c r="W82" s="261"/>
      <c r="X82" s="34"/>
      <c r="Y82" s="13"/>
      <c r="Z82" s="4"/>
      <c r="AA82" s="4"/>
      <c r="AB82" s="4"/>
      <c r="AC82" s="4"/>
      <c r="AD82" s="4"/>
      <c r="AE82" s="4"/>
      <c r="AF82" s="4"/>
      <c r="AG82" s="4"/>
      <c r="AH82" s="4"/>
      <c r="AI82" s="4"/>
      <c r="AJ82" s="4"/>
    </row>
    <row r="83" spans="1:16374" x14ac:dyDescent="0.35">
      <c r="A83" s="51"/>
      <c r="B83" s="52"/>
      <c r="C83" s="259"/>
      <c r="D83" s="259"/>
      <c r="E83" s="261"/>
      <c r="F83" s="261"/>
      <c r="G83" s="261"/>
      <c r="H83" s="261"/>
      <c r="I83" s="238" t="s">
        <v>331</v>
      </c>
      <c r="J83" s="138" t="s">
        <v>1099</v>
      </c>
      <c r="K83" s="238" t="s">
        <v>36</v>
      </c>
      <c r="L83" s="238"/>
      <c r="M83" s="330">
        <v>5300</v>
      </c>
      <c r="N83" s="330"/>
      <c r="O83" s="330"/>
      <c r="P83" s="330"/>
      <c r="Q83" s="261"/>
      <c r="R83" s="261"/>
      <c r="S83" s="261"/>
      <c r="T83" s="261"/>
      <c r="U83" s="261"/>
      <c r="V83" s="261"/>
      <c r="W83" s="261"/>
      <c r="X83" s="34"/>
      <c r="Y83" s="13"/>
      <c r="Z83" s="4"/>
      <c r="AA83" s="4"/>
      <c r="AB83" s="4"/>
      <c r="AC83" s="4"/>
      <c r="AD83" s="4"/>
      <c r="AE83" s="4"/>
      <c r="AF83" s="4"/>
      <c r="AG83" s="4"/>
      <c r="AH83" s="4"/>
      <c r="AI83" s="4"/>
      <c r="AJ83" s="4"/>
    </row>
    <row r="84" spans="1:16374" ht="28" x14ac:dyDescent="0.35">
      <c r="A84" s="51"/>
      <c r="B84" s="52"/>
      <c r="C84" s="259"/>
      <c r="D84" s="259"/>
      <c r="E84" s="261"/>
      <c r="F84" s="261"/>
      <c r="G84" s="261"/>
      <c r="H84" s="261"/>
      <c r="I84" s="238">
        <v>26</v>
      </c>
      <c r="J84" s="138" t="s">
        <v>1100</v>
      </c>
      <c r="K84" s="238" t="s">
        <v>1101</v>
      </c>
      <c r="L84" s="238" t="s">
        <v>1102</v>
      </c>
      <c r="M84" s="330">
        <v>18000</v>
      </c>
      <c r="N84" s="330">
        <v>4600</v>
      </c>
      <c r="O84" s="330">
        <v>2000</v>
      </c>
      <c r="P84" s="330">
        <v>1000</v>
      </c>
      <c r="Q84" s="261"/>
      <c r="R84" s="261"/>
      <c r="S84" s="261"/>
      <c r="T84" s="261"/>
      <c r="U84" s="261"/>
      <c r="V84" s="261"/>
      <c r="W84" s="261"/>
      <c r="X84" s="34"/>
      <c r="Y84" s="13"/>
      <c r="Z84" s="4"/>
      <c r="AA84" s="4"/>
      <c r="AB84" s="4"/>
      <c r="AC84" s="4"/>
      <c r="AD84" s="4"/>
      <c r="AE84" s="4"/>
      <c r="AF84" s="4"/>
      <c r="AG84" s="4"/>
      <c r="AH84" s="4"/>
      <c r="AI84" s="4"/>
      <c r="AJ84" s="4"/>
    </row>
    <row r="85" spans="1:16374" ht="28" x14ac:dyDescent="0.35">
      <c r="A85" s="51"/>
      <c r="B85" s="52"/>
      <c r="C85" s="259"/>
      <c r="D85" s="259"/>
      <c r="E85" s="261"/>
      <c r="F85" s="261"/>
      <c r="G85" s="261"/>
      <c r="H85" s="261"/>
      <c r="I85" s="238">
        <v>27</v>
      </c>
      <c r="J85" s="138" t="s">
        <v>1103</v>
      </c>
      <c r="K85" s="238" t="s">
        <v>36</v>
      </c>
      <c r="L85" s="238"/>
      <c r="M85" s="330">
        <v>6800</v>
      </c>
      <c r="N85" s="330"/>
      <c r="O85" s="330"/>
      <c r="P85" s="330"/>
      <c r="Q85" s="261"/>
      <c r="R85" s="261"/>
      <c r="S85" s="261"/>
      <c r="T85" s="261"/>
      <c r="U85" s="261"/>
      <c r="V85" s="261"/>
      <c r="W85" s="261"/>
      <c r="X85" s="34"/>
      <c r="Y85" s="13"/>
      <c r="Z85" s="4"/>
      <c r="AA85" s="4"/>
      <c r="AB85" s="4"/>
      <c r="AC85" s="4"/>
      <c r="AD85" s="4"/>
      <c r="AE85" s="4"/>
      <c r="AF85" s="4"/>
      <c r="AG85" s="4"/>
      <c r="AH85" s="4"/>
      <c r="AI85" s="4"/>
      <c r="AJ85" s="4"/>
    </row>
    <row r="86" spans="1:16374" x14ac:dyDescent="0.35">
      <c r="A86" s="51"/>
      <c r="B86" s="52"/>
      <c r="C86" s="259"/>
      <c r="D86" s="259"/>
      <c r="E86" s="261"/>
      <c r="F86" s="261"/>
      <c r="G86" s="261"/>
      <c r="H86" s="261"/>
      <c r="I86" s="238">
        <v>28</v>
      </c>
      <c r="J86" s="138" t="s">
        <v>1104</v>
      </c>
      <c r="K86" s="238" t="s">
        <v>36</v>
      </c>
      <c r="L86" s="238"/>
      <c r="M86" s="330">
        <v>5000</v>
      </c>
      <c r="N86" s="330"/>
      <c r="O86" s="330"/>
      <c r="P86" s="330"/>
      <c r="Q86" s="261"/>
      <c r="R86" s="261"/>
      <c r="S86" s="261"/>
      <c r="T86" s="261"/>
      <c r="U86" s="261"/>
      <c r="V86" s="261"/>
      <c r="W86" s="261"/>
      <c r="X86" s="34"/>
      <c r="Y86" s="13"/>
      <c r="Z86" s="4"/>
      <c r="AA86" s="4"/>
      <c r="AB86" s="4"/>
      <c r="AC86" s="4"/>
      <c r="AD86" s="4"/>
      <c r="AE86" s="4"/>
      <c r="AF86" s="4"/>
      <c r="AG86" s="4"/>
      <c r="AH86" s="4"/>
      <c r="AI86" s="4"/>
      <c r="AJ86" s="4"/>
    </row>
    <row r="87" spans="1:16374" ht="28" x14ac:dyDescent="0.35">
      <c r="A87" s="51"/>
      <c r="B87" s="52"/>
      <c r="C87" s="259"/>
      <c r="D87" s="259"/>
      <c r="E87" s="261"/>
      <c r="F87" s="261"/>
      <c r="G87" s="261"/>
      <c r="H87" s="261"/>
      <c r="I87" s="238">
        <v>29</v>
      </c>
      <c r="J87" s="138" t="s">
        <v>1105</v>
      </c>
      <c r="K87" s="238" t="s">
        <v>36</v>
      </c>
      <c r="L87" s="238"/>
      <c r="M87" s="330">
        <v>4600</v>
      </c>
      <c r="N87" s="330"/>
      <c r="O87" s="330"/>
      <c r="P87" s="330"/>
      <c r="Q87" s="261"/>
      <c r="R87" s="261"/>
      <c r="S87" s="261"/>
      <c r="T87" s="261"/>
      <c r="U87" s="261"/>
      <c r="V87" s="261"/>
      <c r="W87" s="261"/>
      <c r="X87" s="34"/>
      <c r="Y87" s="13"/>
      <c r="Z87" s="4"/>
      <c r="AA87" s="4"/>
      <c r="AB87" s="4"/>
      <c r="AC87" s="4"/>
      <c r="AD87" s="4"/>
      <c r="AE87" s="4"/>
      <c r="AF87" s="4"/>
      <c r="AG87" s="4"/>
      <c r="AH87" s="4"/>
      <c r="AI87" s="4"/>
      <c r="AJ87" s="4"/>
    </row>
    <row r="88" spans="1:16374" ht="42" x14ac:dyDescent="0.35">
      <c r="A88" s="51"/>
      <c r="B88" s="52"/>
      <c r="C88" s="259"/>
      <c r="D88" s="259"/>
      <c r="E88" s="261"/>
      <c r="F88" s="261"/>
      <c r="G88" s="261"/>
      <c r="H88" s="261"/>
      <c r="I88" s="238">
        <v>30</v>
      </c>
      <c r="J88" s="138" t="s">
        <v>1106</v>
      </c>
      <c r="K88" s="238" t="s">
        <v>36</v>
      </c>
      <c r="L88" s="238"/>
      <c r="M88" s="330">
        <v>7630</v>
      </c>
      <c r="N88" s="330"/>
      <c r="O88" s="330"/>
      <c r="P88" s="330"/>
      <c r="Q88" s="261"/>
      <c r="R88" s="261"/>
      <c r="S88" s="261"/>
      <c r="T88" s="261"/>
      <c r="U88" s="261"/>
      <c r="V88" s="261"/>
      <c r="W88" s="261"/>
      <c r="X88" s="34"/>
      <c r="Y88" s="13"/>
      <c r="Z88" s="4"/>
      <c r="AA88" s="4"/>
      <c r="AB88" s="4"/>
      <c r="AC88" s="4"/>
      <c r="AD88" s="4"/>
      <c r="AE88" s="4"/>
      <c r="AF88" s="4"/>
      <c r="AG88" s="4"/>
      <c r="AH88" s="4"/>
      <c r="AI88" s="4"/>
      <c r="AJ88" s="4"/>
    </row>
    <row r="89" spans="1:16374" x14ac:dyDescent="0.35">
      <c r="A89" s="51">
        <v>37</v>
      </c>
      <c r="B89" s="52" t="s">
        <v>152</v>
      </c>
      <c r="C89" s="259"/>
      <c r="D89" s="259"/>
      <c r="E89" s="261"/>
      <c r="F89" s="261"/>
      <c r="G89" s="261"/>
      <c r="H89" s="261"/>
      <c r="I89" s="51">
        <v>37</v>
      </c>
      <c r="J89" s="52" t="s">
        <v>152</v>
      </c>
      <c r="K89" s="259"/>
      <c r="L89" s="259"/>
      <c r="M89" s="261"/>
      <c r="N89" s="261"/>
      <c r="O89" s="261"/>
      <c r="P89" s="261"/>
      <c r="Q89" s="261"/>
      <c r="R89" s="261"/>
      <c r="S89" s="261"/>
      <c r="T89" s="261"/>
      <c r="U89" s="261"/>
      <c r="V89" s="261"/>
      <c r="W89" s="261"/>
      <c r="X89" s="34"/>
      <c r="Y89" s="38"/>
      <c r="Z89" s="4"/>
      <c r="AA89" s="4"/>
      <c r="AB89" s="4"/>
      <c r="AC89" s="4"/>
      <c r="AD89" s="4"/>
      <c r="AE89" s="4"/>
      <c r="AF89" s="4"/>
      <c r="AG89" s="4"/>
      <c r="AH89" s="4"/>
      <c r="AI89" s="4"/>
      <c r="AJ89" s="4"/>
    </row>
    <row r="90" spans="1:16374" ht="56" hidden="1" x14ac:dyDescent="0.35">
      <c r="A90" s="19" t="s">
        <v>153</v>
      </c>
      <c r="B90" s="38" t="s">
        <v>154</v>
      </c>
      <c r="C90" s="237" t="s">
        <v>155</v>
      </c>
      <c r="D90" s="237" t="s">
        <v>156</v>
      </c>
      <c r="E90" s="18">
        <v>26200</v>
      </c>
      <c r="F90" s="18">
        <v>11000</v>
      </c>
      <c r="G90" s="18">
        <v>5000</v>
      </c>
      <c r="H90" s="18">
        <v>2500</v>
      </c>
      <c r="I90" s="19" t="s">
        <v>153</v>
      </c>
      <c r="J90" s="88" t="s">
        <v>157</v>
      </c>
      <c r="K90" s="88" t="s">
        <v>155</v>
      </c>
      <c r="L90" s="88" t="s">
        <v>156</v>
      </c>
      <c r="M90" s="58">
        <v>30285</v>
      </c>
      <c r="N90" s="18">
        <v>11000</v>
      </c>
      <c r="O90" s="18">
        <v>5000</v>
      </c>
      <c r="P90" s="18">
        <v>2500</v>
      </c>
      <c r="Q90" s="18"/>
      <c r="R90" s="18"/>
      <c r="S90" s="18"/>
      <c r="T90" s="18"/>
      <c r="U90" s="18"/>
      <c r="V90" s="18"/>
      <c r="W90" s="18"/>
      <c r="X90" s="30"/>
      <c r="Y90" s="21" t="s">
        <v>158</v>
      </c>
      <c r="Z90" s="59" t="s">
        <v>159</v>
      </c>
      <c r="AA90" s="60"/>
      <c r="AB90" s="60"/>
      <c r="AC90" s="61"/>
      <c r="AD90" s="61"/>
      <c r="AE90" s="61"/>
      <c r="AF90" s="61"/>
      <c r="AG90" s="62"/>
      <c r="AH90" s="53"/>
      <c r="AI90" s="60"/>
      <c r="AJ90" s="60"/>
      <c r="AK90" s="61"/>
      <c r="AL90" s="61"/>
      <c r="AM90" s="61"/>
      <c r="AN90" s="61"/>
      <c r="AO90" s="62"/>
      <c r="AP90" s="53"/>
      <c r="AQ90" s="60"/>
      <c r="AR90" s="60"/>
      <c r="AS90" s="61"/>
      <c r="AT90" s="61"/>
      <c r="AU90" s="61"/>
      <c r="AV90" s="61"/>
      <c r="AW90" s="62"/>
      <c r="AX90" s="53"/>
      <c r="AY90" s="60"/>
      <c r="AZ90" s="60"/>
      <c r="BA90" s="61"/>
      <c r="BB90" s="61"/>
      <c r="BC90" s="61"/>
      <c r="BD90" s="61"/>
      <c r="BE90" s="62"/>
      <c r="BF90" s="53"/>
      <c r="BG90" s="60"/>
      <c r="BH90" s="60"/>
      <c r="BI90" s="61"/>
      <c r="BJ90" s="61"/>
      <c r="BK90" s="61"/>
      <c r="BL90" s="61"/>
      <c r="BM90" s="62"/>
      <c r="BN90" s="53"/>
      <c r="BO90" s="60"/>
      <c r="BP90" s="60"/>
      <c r="BQ90" s="61"/>
      <c r="BR90" s="61"/>
      <c r="BS90" s="61"/>
      <c r="BT90" s="61"/>
      <c r="BU90" s="62"/>
      <c r="BV90" s="53"/>
      <c r="BW90" s="60"/>
      <c r="BX90" s="60"/>
      <c r="BY90" s="61"/>
      <c r="BZ90" s="61"/>
      <c r="CA90" s="61"/>
      <c r="CB90" s="61"/>
      <c r="CC90" s="62"/>
      <c r="CD90" s="53"/>
      <c r="CE90" s="60"/>
      <c r="CF90" s="60"/>
      <c r="CG90" s="61"/>
      <c r="CH90" s="61"/>
      <c r="CI90" s="61"/>
      <c r="CJ90" s="61"/>
      <c r="CK90" s="62"/>
      <c r="CL90" s="53"/>
      <c r="CM90" s="60"/>
      <c r="CN90" s="60"/>
      <c r="CO90" s="61"/>
      <c r="CP90" s="61"/>
      <c r="CQ90" s="61"/>
      <c r="CR90" s="61"/>
      <c r="CS90" s="62"/>
      <c r="CT90" s="53"/>
      <c r="CU90" s="60"/>
      <c r="CV90" s="60"/>
      <c r="CW90" s="61"/>
      <c r="CX90" s="61"/>
      <c r="CY90" s="61"/>
      <c r="CZ90" s="61"/>
      <c r="DA90" s="62"/>
      <c r="DB90" s="53"/>
      <c r="DC90" s="60"/>
      <c r="DD90" s="60"/>
      <c r="DE90" s="61"/>
      <c r="DF90" s="61"/>
      <c r="DG90" s="61"/>
      <c r="DH90" s="61"/>
      <c r="DI90" s="62"/>
      <c r="DJ90" s="53"/>
      <c r="DK90" s="60"/>
      <c r="DL90" s="60"/>
      <c r="DM90" s="61"/>
      <c r="DN90" s="61"/>
      <c r="DO90" s="61"/>
      <c r="DP90" s="61"/>
      <c r="DQ90" s="62"/>
      <c r="DR90" s="53"/>
      <c r="DS90" s="60"/>
      <c r="DT90" s="60"/>
      <c r="DU90" s="61"/>
      <c r="DV90" s="61"/>
      <c r="DW90" s="61"/>
      <c r="DX90" s="61"/>
      <c r="DY90" s="62"/>
      <c r="DZ90" s="53"/>
      <c r="EA90" s="60"/>
      <c r="EB90" s="60"/>
      <c r="EC90" s="61"/>
      <c r="ED90" s="61"/>
      <c r="EE90" s="61"/>
      <c r="EF90" s="61"/>
      <c r="EG90" s="62"/>
      <c r="EH90" s="53"/>
      <c r="EI90" s="60"/>
      <c r="EJ90" s="60"/>
      <c r="EK90" s="61"/>
      <c r="EL90" s="61"/>
      <c r="EM90" s="61"/>
      <c r="EN90" s="61"/>
      <c r="EO90" s="62"/>
      <c r="EP90" s="53"/>
      <c r="EQ90" s="60"/>
      <c r="ER90" s="60"/>
      <c r="ES90" s="61"/>
      <c r="ET90" s="61"/>
      <c r="EU90" s="61"/>
      <c r="EV90" s="61"/>
      <c r="EW90" s="62"/>
      <c r="EX90" s="53"/>
      <c r="EY90" s="60"/>
      <c r="EZ90" s="60"/>
      <c r="FA90" s="61"/>
      <c r="FB90" s="61"/>
      <c r="FC90" s="61"/>
      <c r="FD90" s="61"/>
      <c r="FE90" s="62"/>
      <c r="FF90" s="53"/>
      <c r="FG90" s="60"/>
      <c r="FH90" s="60"/>
      <c r="FI90" s="61"/>
      <c r="FJ90" s="61"/>
      <c r="FK90" s="61"/>
      <c r="FL90" s="61"/>
      <c r="FM90" s="62"/>
      <c r="FN90" s="53"/>
      <c r="FO90" s="60"/>
      <c r="FP90" s="60"/>
      <c r="FQ90" s="61"/>
      <c r="FR90" s="61"/>
      <c r="FS90" s="61"/>
      <c r="FT90" s="61"/>
      <c r="FU90" s="62"/>
      <c r="FV90" s="53"/>
      <c r="FW90" s="60"/>
      <c r="FX90" s="60"/>
      <c r="FY90" s="61"/>
      <c r="FZ90" s="61"/>
      <c r="GA90" s="61"/>
      <c r="GB90" s="61"/>
      <c r="GC90" s="62"/>
      <c r="GD90" s="53"/>
      <c r="GE90" s="60"/>
      <c r="GF90" s="60"/>
      <c r="GG90" s="61"/>
      <c r="GH90" s="61"/>
      <c r="GI90" s="61"/>
      <c r="GJ90" s="61"/>
      <c r="GK90" s="62"/>
      <c r="GL90" s="53"/>
      <c r="GM90" s="60"/>
      <c r="GN90" s="60"/>
      <c r="GO90" s="61"/>
      <c r="GP90" s="61"/>
      <c r="GQ90" s="61"/>
      <c r="GR90" s="61"/>
      <c r="GS90" s="62"/>
      <c r="GT90" s="53"/>
      <c r="GU90" s="60"/>
      <c r="GV90" s="60"/>
      <c r="GW90" s="61"/>
      <c r="GX90" s="61"/>
      <c r="GY90" s="61"/>
      <c r="GZ90" s="61"/>
      <c r="HA90" s="62"/>
      <c r="HB90" s="53"/>
      <c r="HC90" s="60"/>
      <c r="HD90" s="60"/>
      <c r="HE90" s="61"/>
      <c r="HF90" s="61"/>
      <c r="HG90" s="61"/>
      <c r="HH90" s="61"/>
      <c r="HI90" s="62"/>
      <c r="HJ90" s="53"/>
      <c r="HK90" s="60"/>
      <c r="HL90" s="60"/>
      <c r="HM90" s="61"/>
      <c r="HN90" s="61"/>
      <c r="HO90" s="61"/>
      <c r="HP90" s="61"/>
      <c r="HQ90" s="62"/>
      <c r="HR90" s="53"/>
      <c r="HS90" s="60"/>
      <c r="HT90" s="60"/>
      <c r="HU90" s="61"/>
      <c r="HV90" s="61"/>
      <c r="HW90" s="61"/>
      <c r="HX90" s="61"/>
      <c r="HY90" s="62"/>
      <c r="HZ90" s="53"/>
      <c r="IA90" s="60"/>
      <c r="IB90" s="60"/>
      <c r="IC90" s="61"/>
      <c r="ID90" s="61"/>
      <c r="IE90" s="61"/>
      <c r="IF90" s="61"/>
      <c r="IG90" s="62"/>
      <c r="IH90" s="53"/>
      <c r="II90" s="60"/>
      <c r="IJ90" s="60"/>
      <c r="IK90" s="61"/>
      <c r="IL90" s="61"/>
      <c r="IM90" s="61"/>
      <c r="IN90" s="61"/>
      <c r="IO90" s="62"/>
      <c r="IP90" s="53"/>
      <c r="IQ90" s="60"/>
      <c r="IR90" s="60"/>
      <c r="IS90" s="61"/>
      <c r="IT90" s="61"/>
      <c r="IU90" s="61"/>
      <c r="IV90" s="61"/>
      <c r="IW90" s="62"/>
      <c r="IX90" s="53"/>
      <c r="IY90" s="60"/>
      <c r="IZ90" s="60"/>
      <c r="JA90" s="61"/>
      <c r="JB90" s="61"/>
      <c r="JC90" s="61"/>
      <c r="JD90" s="61"/>
      <c r="JE90" s="62"/>
      <c r="JF90" s="53"/>
      <c r="JG90" s="60"/>
      <c r="JH90" s="60"/>
      <c r="JI90" s="61"/>
      <c r="JJ90" s="61"/>
      <c r="JK90" s="61"/>
      <c r="JL90" s="61"/>
      <c r="JM90" s="62"/>
      <c r="JN90" s="53"/>
      <c r="JO90" s="60"/>
      <c r="JP90" s="60"/>
      <c r="JQ90" s="61"/>
      <c r="JR90" s="61"/>
      <c r="JS90" s="61"/>
      <c r="JT90" s="61"/>
      <c r="JU90" s="62"/>
      <c r="JV90" s="53"/>
      <c r="JW90" s="60"/>
      <c r="JX90" s="60"/>
      <c r="JY90" s="61"/>
      <c r="JZ90" s="61"/>
      <c r="KA90" s="61"/>
      <c r="KB90" s="61"/>
      <c r="KC90" s="62"/>
      <c r="KD90" s="53"/>
      <c r="KE90" s="60"/>
      <c r="KF90" s="60"/>
      <c r="KG90" s="61"/>
      <c r="KH90" s="61"/>
      <c r="KI90" s="61"/>
      <c r="KJ90" s="61"/>
      <c r="KK90" s="62"/>
      <c r="KL90" s="53"/>
      <c r="KM90" s="60"/>
      <c r="KN90" s="60"/>
      <c r="KO90" s="61"/>
      <c r="KP90" s="61"/>
      <c r="KQ90" s="61"/>
      <c r="KR90" s="61"/>
      <c r="KS90" s="62"/>
      <c r="KT90" s="53"/>
      <c r="KU90" s="60"/>
      <c r="KV90" s="60"/>
      <c r="KW90" s="61"/>
      <c r="KX90" s="61"/>
      <c r="KY90" s="61"/>
      <c r="KZ90" s="61"/>
      <c r="LA90" s="62"/>
      <c r="LB90" s="53"/>
      <c r="LC90" s="60"/>
      <c r="LD90" s="60"/>
      <c r="LE90" s="61"/>
      <c r="LF90" s="61"/>
      <c r="LG90" s="61"/>
      <c r="LH90" s="61"/>
      <c r="LI90" s="62"/>
      <c r="LJ90" s="53"/>
      <c r="LK90" s="60"/>
      <c r="LL90" s="60"/>
      <c r="LM90" s="61"/>
      <c r="LN90" s="61"/>
      <c r="LO90" s="61"/>
      <c r="LP90" s="61"/>
      <c r="LQ90" s="62"/>
      <c r="LR90" s="53"/>
      <c r="LS90" s="60"/>
      <c r="LT90" s="60"/>
      <c r="LU90" s="61"/>
      <c r="LV90" s="61"/>
      <c r="LW90" s="61"/>
      <c r="LX90" s="61"/>
      <c r="LY90" s="62"/>
      <c r="LZ90" s="53"/>
      <c r="MA90" s="60"/>
      <c r="MB90" s="60"/>
      <c r="MC90" s="61"/>
      <c r="MD90" s="61"/>
      <c r="ME90" s="61"/>
      <c r="MF90" s="61"/>
      <c r="MG90" s="62"/>
      <c r="MH90" s="53"/>
      <c r="MI90" s="60"/>
      <c r="MJ90" s="60"/>
      <c r="MK90" s="61"/>
      <c r="ML90" s="61"/>
      <c r="MM90" s="61"/>
      <c r="MN90" s="61"/>
      <c r="MO90" s="62"/>
      <c r="MP90" s="53"/>
      <c r="MQ90" s="60"/>
      <c r="MR90" s="60"/>
      <c r="MS90" s="61"/>
      <c r="MT90" s="61"/>
      <c r="MU90" s="61"/>
      <c r="MV90" s="61"/>
      <c r="MW90" s="62"/>
      <c r="MX90" s="53"/>
      <c r="MY90" s="60"/>
      <c r="MZ90" s="60"/>
      <c r="NA90" s="61"/>
      <c r="NB90" s="61"/>
      <c r="NC90" s="61"/>
      <c r="ND90" s="61"/>
      <c r="NE90" s="62"/>
      <c r="NF90" s="53"/>
      <c r="NG90" s="60"/>
      <c r="NH90" s="60"/>
      <c r="NI90" s="61"/>
      <c r="NJ90" s="61"/>
      <c r="NK90" s="61"/>
      <c r="NL90" s="61"/>
      <c r="NM90" s="62"/>
      <c r="NN90" s="53"/>
      <c r="NO90" s="60"/>
      <c r="NP90" s="60"/>
      <c r="NQ90" s="61"/>
      <c r="NR90" s="61"/>
      <c r="NS90" s="61"/>
      <c r="NT90" s="61"/>
      <c r="NU90" s="62"/>
      <c r="NV90" s="53"/>
      <c r="NW90" s="60"/>
      <c r="NX90" s="60"/>
      <c r="NY90" s="61"/>
      <c r="NZ90" s="61"/>
      <c r="OA90" s="61"/>
      <c r="OB90" s="61"/>
      <c r="OC90" s="62"/>
      <c r="OD90" s="53"/>
      <c r="OE90" s="60"/>
      <c r="OF90" s="60"/>
      <c r="OG90" s="61"/>
      <c r="OH90" s="61"/>
      <c r="OI90" s="61"/>
      <c r="OJ90" s="61"/>
      <c r="OK90" s="62"/>
      <c r="OL90" s="53"/>
      <c r="OM90" s="60"/>
      <c r="ON90" s="60"/>
      <c r="OO90" s="61"/>
      <c r="OP90" s="61"/>
      <c r="OQ90" s="61"/>
      <c r="OR90" s="61"/>
      <c r="OS90" s="62"/>
      <c r="OT90" s="53"/>
      <c r="OU90" s="60"/>
      <c r="OV90" s="60"/>
      <c r="OW90" s="61"/>
      <c r="OX90" s="61"/>
      <c r="OY90" s="61"/>
      <c r="OZ90" s="61"/>
      <c r="PA90" s="62"/>
      <c r="PB90" s="53"/>
      <c r="PC90" s="60"/>
      <c r="PD90" s="60"/>
      <c r="PE90" s="61"/>
      <c r="PF90" s="61"/>
      <c r="PG90" s="61"/>
      <c r="PH90" s="61"/>
      <c r="PI90" s="62"/>
      <c r="PJ90" s="53"/>
      <c r="PK90" s="60"/>
      <c r="PL90" s="60"/>
      <c r="PM90" s="61"/>
      <c r="PN90" s="61"/>
      <c r="PO90" s="61"/>
      <c r="PP90" s="61"/>
      <c r="PQ90" s="62"/>
      <c r="PR90" s="53"/>
      <c r="PS90" s="60"/>
      <c r="PT90" s="60"/>
      <c r="PU90" s="61"/>
      <c r="PV90" s="61"/>
      <c r="PW90" s="61"/>
      <c r="PX90" s="61"/>
      <c r="PY90" s="62"/>
      <c r="PZ90" s="53"/>
      <c r="QA90" s="60"/>
      <c r="QB90" s="60"/>
      <c r="QC90" s="61"/>
      <c r="QD90" s="61"/>
      <c r="QE90" s="61"/>
      <c r="QF90" s="61"/>
      <c r="QG90" s="62"/>
      <c r="QH90" s="53"/>
      <c r="QI90" s="60"/>
      <c r="QJ90" s="60"/>
      <c r="QK90" s="61"/>
      <c r="QL90" s="61"/>
      <c r="QM90" s="61"/>
      <c r="QN90" s="61"/>
      <c r="QO90" s="62"/>
      <c r="QP90" s="53"/>
      <c r="QQ90" s="60"/>
      <c r="QR90" s="60"/>
      <c r="QS90" s="61"/>
      <c r="QT90" s="61"/>
      <c r="QU90" s="61"/>
      <c r="QV90" s="61"/>
      <c r="QW90" s="62"/>
      <c r="QX90" s="53"/>
      <c r="QY90" s="60"/>
      <c r="QZ90" s="60"/>
      <c r="RA90" s="61"/>
      <c r="RB90" s="61"/>
      <c r="RC90" s="61"/>
      <c r="RD90" s="61"/>
      <c r="RE90" s="62"/>
      <c r="RF90" s="53"/>
      <c r="RG90" s="60"/>
      <c r="RH90" s="60"/>
      <c r="RI90" s="61"/>
      <c r="RJ90" s="61"/>
      <c r="RK90" s="61"/>
      <c r="RL90" s="61"/>
      <c r="RM90" s="62"/>
      <c r="RN90" s="53"/>
      <c r="RO90" s="60"/>
      <c r="RP90" s="60"/>
      <c r="RQ90" s="61"/>
      <c r="RR90" s="61"/>
      <c r="RS90" s="61"/>
      <c r="RT90" s="61"/>
      <c r="RU90" s="62"/>
      <c r="RV90" s="53"/>
      <c r="RW90" s="60"/>
      <c r="RX90" s="60"/>
      <c r="RY90" s="61"/>
      <c r="RZ90" s="61"/>
      <c r="SA90" s="61"/>
      <c r="SB90" s="61"/>
      <c r="SC90" s="62"/>
      <c r="SD90" s="53"/>
      <c r="SE90" s="60"/>
      <c r="SF90" s="60"/>
      <c r="SG90" s="61"/>
      <c r="SH90" s="61"/>
      <c r="SI90" s="61"/>
      <c r="SJ90" s="61"/>
      <c r="SK90" s="62"/>
      <c r="SL90" s="53"/>
      <c r="SM90" s="60"/>
      <c r="SN90" s="60"/>
      <c r="SO90" s="61"/>
      <c r="SP90" s="61"/>
      <c r="SQ90" s="61"/>
      <c r="SR90" s="61"/>
      <c r="SS90" s="62"/>
      <c r="ST90" s="53"/>
      <c r="SU90" s="60"/>
      <c r="SV90" s="60"/>
      <c r="SW90" s="61"/>
      <c r="SX90" s="61"/>
      <c r="SY90" s="61"/>
      <c r="SZ90" s="61"/>
      <c r="TA90" s="62"/>
      <c r="TB90" s="53"/>
      <c r="TC90" s="60"/>
      <c r="TD90" s="60"/>
      <c r="TE90" s="61"/>
      <c r="TF90" s="61"/>
      <c r="TG90" s="61"/>
      <c r="TH90" s="61"/>
      <c r="TI90" s="62"/>
      <c r="TJ90" s="53"/>
      <c r="TK90" s="60"/>
      <c r="TL90" s="60"/>
      <c r="TM90" s="61"/>
      <c r="TN90" s="61"/>
      <c r="TO90" s="61"/>
      <c r="TP90" s="61"/>
      <c r="TQ90" s="62"/>
      <c r="TR90" s="53"/>
      <c r="TS90" s="60"/>
      <c r="TT90" s="60"/>
      <c r="TU90" s="61"/>
      <c r="TV90" s="61"/>
      <c r="TW90" s="61"/>
      <c r="TX90" s="61"/>
      <c r="TY90" s="62"/>
      <c r="TZ90" s="53"/>
      <c r="UA90" s="60"/>
      <c r="UB90" s="60"/>
      <c r="UC90" s="61"/>
      <c r="UD90" s="61"/>
      <c r="UE90" s="61"/>
      <c r="UF90" s="61"/>
      <c r="UG90" s="62"/>
      <c r="UH90" s="53"/>
      <c r="UI90" s="60"/>
      <c r="UJ90" s="60"/>
      <c r="UK90" s="61"/>
      <c r="UL90" s="61"/>
      <c r="UM90" s="61"/>
      <c r="UN90" s="61"/>
      <c r="UO90" s="62"/>
      <c r="UP90" s="53"/>
      <c r="UQ90" s="60"/>
      <c r="UR90" s="60"/>
      <c r="US90" s="61"/>
      <c r="UT90" s="61"/>
      <c r="UU90" s="61"/>
      <c r="UV90" s="61"/>
      <c r="UW90" s="62"/>
      <c r="UX90" s="53"/>
      <c r="UY90" s="60"/>
      <c r="UZ90" s="60"/>
      <c r="VA90" s="61"/>
      <c r="VB90" s="61"/>
      <c r="VC90" s="61"/>
      <c r="VD90" s="61"/>
      <c r="VE90" s="62"/>
      <c r="VF90" s="53"/>
      <c r="VG90" s="60"/>
      <c r="VH90" s="60"/>
      <c r="VI90" s="61"/>
      <c r="VJ90" s="61"/>
      <c r="VK90" s="61"/>
      <c r="VL90" s="61"/>
      <c r="VM90" s="62"/>
      <c r="VN90" s="53"/>
      <c r="VO90" s="60"/>
      <c r="VP90" s="60"/>
      <c r="VQ90" s="61"/>
      <c r="VR90" s="61"/>
      <c r="VS90" s="61"/>
      <c r="VT90" s="61"/>
      <c r="VU90" s="62"/>
      <c r="VV90" s="53"/>
      <c r="VW90" s="60"/>
      <c r="VX90" s="60"/>
      <c r="VY90" s="61"/>
      <c r="VZ90" s="61"/>
      <c r="WA90" s="61"/>
      <c r="WB90" s="61"/>
      <c r="WC90" s="62"/>
      <c r="WD90" s="53"/>
      <c r="WE90" s="60"/>
      <c r="WF90" s="60"/>
      <c r="WG90" s="61"/>
      <c r="WH90" s="61"/>
      <c r="WI90" s="61"/>
      <c r="WJ90" s="61"/>
      <c r="WK90" s="62"/>
      <c r="WL90" s="53"/>
      <c r="WM90" s="60"/>
      <c r="WN90" s="60"/>
      <c r="WO90" s="61"/>
      <c r="WP90" s="61"/>
      <c r="WQ90" s="61"/>
      <c r="WR90" s="61"/>
      <c r="WS90" s="62"/>
      <c r="WT90" s="53"/>
      <c r="WU90" s="60"/>
      <c r="WV90" s="60"/>
      <c r="WW90" s="61"/>
      <c r="WX90" s="61"/>
      <c r="WY90" s="61"/>
      <c r="WZ90" s="61"/>
      <c r="XA90" s="62"/>
      <c r="XB90" s="53"/>
      <c r="XC90" s="60"/>
      <c r="XD90" s="60"/>
      <c r="XE90" s="61"/>
      <c r="XF90" s="61"/>
      <c r="XG90" s="61"/>
      <c r="XH90" s="61"/>
      <c r="XI90" s="62"/>
      <c r="XJ90" s="53"/>
      <c r="XK90" s="60"/>
      <c r="XL90" s="60"/>
      <c r="XM90" s="61"/>
      <c r="XN90" s="61"/>
      <c r="XO90" s="61"/>
      <c r="XP90" s="61"/>
      <c r="XQ90" s="62"/>
      <c r="XR90" s="53"/>
      <c r="XS90" s="60"/>
      <c r="XT90" s="60"/>
      <c r="XU90" s="61"/>
      <c r="XV90" s="61"/>
      <c r="XW90" s="61"/>
      <c r="XX90" s="61"/>
      <c r="XY90" s="62"/>
      <c r="XZ90" s="53"/>
      <c r="YA90" s="60"/>
      <c r="YB90" s="60"/>
      <c r="YC90" s="61"/>
      <c r="YD90" s="61"/>
      <c r="YE90" s="61"/>
      <c r="YF90" s="61"/>
      <c r="YG90" s="62"/>
      <c r="YH90" s="53"/>
      <c r="YI90" s="60"/>
      <c r="YJ90" s="60"/>
      <c r="YK90" s="61"/>
      <c r="YL90" s="61"/>
      <c r="YM90" s="61"/>
      <c r="YN90" s="61"/>
      <c r="YO90" s="62"/>
      <c r="YP90" s="53"/>
      <c r="YQ90" s="60"/>
      <c r="YR90" s="60"/>
      <c r="YS90" s="61"/>
      <c r="YT90" s="61"/>
      <c r="YU90" s="61"/>
      <c r="YV90" s="61"/>
      <c r="YW90" s="62"/>
      <c r="YX90" s="53"/>
      <c r="YY90" s="60"/>
      <c r="YZ90" s="60"/>
      <c r="ZA90" s="61"/>
      <c r="ZB90" s="61"/>
      <c r="ZC90" s="61"/>
      <c r="ZD90" s="61"/>
      <c r="ZE90" s="62"/>
      <c r="ZF90" s="53"/>
      <c r="ZG90" s="60"/>
      <c r="ZH90" s="60"/>
      <c r="ZI90" s="61"/>
      <c r="ZJ90" s="61"/>
      <c r="ZK90" s="61"/>
      <c r="ZL90" s="61"/>
      <c r="ZM90" s="62"/>
      <c r="ZN90" s="53"/>
      <c r="ZO90" s="60"/>
      <c r="ZP90" s="60"/>
      <c r="ZQ90" s="61"/>
      <c r="ZR90" s="61"/>
      <c r="ZS90" s="61"/>
      <c r="ZT90" s="61"/>
      <c r="ZU90" s="62"/>
      <c r="ZV90" s="53"/>
      <c r="ZW90" s="60"/>
      <c r="ZX90" s="60"/>
      <c r="ZY90" s="61"/>
      <c r="ZZ90" s="61"/>
      <c r="AAA90" s="61"/>
      <c r="AAB90" s="61"/>
      <c r="AAC90" s="62"/>
      <c r="AAD90" s="53"/>
      <c r="AAE90" s="60"/>
      <c r="AAF90" s="60"/>
      <c r="AAG90" s="61"/>
      <c r="AAH90" s="61"/>
      <c r="AAI90" s="61"/>
      <c r="AAJ90" s="61"/>
      <c r="AAK90" s="62"/>
      <c r="AAL90" s="53"/>
      <c r="AAM90" s="60"/>
      <c r="AAN90" s="60"/>
      <c r="AAO90" s="61"/>
      <c r="AAP90" s="61"/>
      <c r="AAQ90" s="61"/>
      <c r="AAR90" s="61"/>
      <c r="AAS90" s="62"/>
      <c r="AAT90" s="53"/>
      <c r="AAU90" s="60"/>
      <c r="AAV90" s="60"/>
      <c r="AAW90" s="61"/>
      <c r="AAX90" s="61"/>
      <c r="AAY90" s="61"/>
      <c r="AAZ90" s="61"/>
      <c r="ABA90" s="62"/>
      <c r="ABB90" s="53"/>
      <c r="ABC90" s="60"/>
      <c r="ABD90" s="60"/>
      <c r="ABE90" s="61"/>
      <c r="ABF90" s="61"/>
      <c r="ABG90" s="61"/>
      <c r="ABH90" s="61"/>
      <c r="ABI90" s="62"/>
      <c r="ABJ90" s="53"/>
      <c r="ABK90" s="60"/>
      <c r="ABL90" s="60"/>
      <c r="ABM90" s="61"/>
      <c r="ABN90" s="61"/>
      <c r="ABO90" s="61"/>
      <c r="ABP90" s="61"/>
      <c r="ABQ90" s="62"/>
      <c r="ABR90" s="53"/>
      <c r="ABS90" s="60"/>
      <c r="ABT90" s="60"/>
      <c r="ABU90" s="61"/>
      <c r="ABV90" s="61"/>
      <c r="ABW90" s="61"/>
      <c r="ABX90" s="61"/>
      <c r="ABY90" s="62"/>
      <c r="ABZ90" s="53"/>
      <c r="ACA90" s="60"/>
      <c r="ACB90" s="60"/>
      <c r="ACC90" s="61"/>
      <c r="ACD90" s="61"/>
      <c r="ACE90" s="61"/>
      <c r="ACF90" s="61"/>
      <c r="ACG90" s="62"/>
      <c r="ACH90" s="53"/>
      <c r="ACI90" s="60"/>
      <c r="ACJ90" s="60"/>
      <c r="ACK90" s="61"/>
      <c r="ACL90" s="61"/>
      <c r="ACM90" s="61"/>
      <c r="ACN90" s="61"/>
      <c r="ACO90" s="62"/>
      <c r="ACP90" s="53"/>
      <c r="ACQ90" s="60"/>
      <c r="ACR90" s="60"/>
      <c r="ACS90" s="61"/>
      <c r="ACT90" s="61"/>
      <c r="ACU90" s="61"/>
      <c r="ACV90" s="61"/>
      <c r="ACW90" s="62"/>
      <c r="ACX90" s="53"/>
      <c r="ACY90" s="60"/>
      <c r="ACZ90" s="60"/>
      <c r="ADA90" s="61"/>
      <c r="ADB90" s="61"/>
      <c r="ADC90" s="61"/>
      <c r="ADD90" s="61"/>
      <c r="ADE90" s="62"/>
      <c r="ADF90" s="53"/>
      <c r="ADG90" s="60"/>
      <c r="ADH90" s="60"/>
      <c r="ADI90" s="61"/>
      <c r="ADJ90" s="61"/>
      <c r="ADK90" s="61"/>
      <c r="ADL90" s="61"/>
      <c r="ADM90" s="62"/>
      <c r="ADN90" s="53"/>
      <c r="ADO90" s="60"/>
      <c r="ADP90" s="60"/>
      <c r="ADQ90" s="61"/>
      <c r="ADR90" s="61"/>
      <c r="ADS90" s="61"/>
      <c r="ADT90" s="61"/>
      <c r="ADU90" s="62"/>
      <c r="ADV90" s="53"/>
      <c r="ADW90" s="60"/>
      <c r="ADX90" s="60"/>
      <c r="ADY90" s="61"/>
      <c r="ADZ90" s="61"/>
      <c r="AEA90" s="61"/>
      <c r="AEB90" s="61"/>
      <c r="AEC90" s="62"/>
      <c r="AED90" s="53"/>
      <c r="AEE90" s="60"/>
      <c r="AEF90" s="60"/>
      <c r="AEG90" s="61"/>
      <c r="AEH90" s="61"/>
      <c r="AEI90" s="61"/>
      <c r="AEJ90" s="61"/>
      <c r="AEK90" s="62"/>
      <c r="AEL90" s="53"/>
      <c r="AEM90" s="60"/>
      <c r="AEN90" s="60"/>
      <c r="AEO90" s="61"/>
      <c r="AEP90" s="61"/>
      <c r="AEQ90" s="61"/>
      <c r="AER90" s="61"/>
      <c r="AES90" s="62"/>
      <c r="AET90" s="53"/>
      <c r="AEU90" s="60"/>
      <c r="AEV90" s="60"/>
      <c r="AEW90" s="61"/>
      <c r="AEX90" s="61"/>
      <c r="AEY90" s="61"/>
      <c r="AEZ90" s="61"/>
      <c r="AFA90" s="62"/>
      <c r="AFB90" s="53"/>
      <c r="AFC90" s="60"/>
      <c r="AFD90" s="60"/>
      <c r="AFE90" s="61"/>
      <c r="AFF90" s="61"/>
      <c r="AFG90" s="61"/>
      <c r="AFH90" s="61"/>
      <c r="AFI90" s="62"/>
      <c r="AFJ90" s="53"/>
      <c r="AFK90" s="60"/>
      <c r="AFL90" s="60"/>
      <c r="AFM90" s="61"/>
      <c r="AFN90" s="61"/>
      <c r="AFO90" s="61"/>
      <c r="AFP90" s="61"/>
      <c r="AFQ90" s="62"/>
      <c r="AFR90" s="53"/>
      <c r="AFS90" s="60"/>
      <c r="AFT90" s="60"/>
      <c r="AFU90" s="61"/>
      <c r="AFV90" s="61"/>
      <c r="AFW90" s="61"/>
      <c r="AFX90" s="61"/>
      <c r="AFY90" s="62"/>
      <c r="AFZ90" s="53"/>
      <c r="AGA90" s="60"/>
      <c r="AGB90" s="60"/>
      <c r="AGC90" s="61"/>
      <c r="AGD90" s="61"/>
      <c r="AGE90" s="61"/>
      <c r="AGF90" s="61"/>
      <c r="AGG90" s="62"/>
      <c r="AGH90" s="53"/>
      <c r="AGI90" s="60"/>
      <c r="AGJ90" s="60"/>
      <c r="AGK90" s="61"/>
      <c r="AGL90" s="61"/>
      <c r="AGM90" s="61"/>
      <c r="AGN90" s="61"/>
      <c r="AGO90" s="62"/>
      <c r="AGP90" s="53"/>
      <c r="AGQ90" s="60"/>
      <c r="AGR90" s="60"/>
      <c r="AGS90" s="61"/>
      <c r="AGT90" s="61"/>
      <c r="AGU90" s="61"/>
      <c r="AGV90" s="61"/>
      <c r="AGW90" s="62"/>
      <c r="AGX90" s="53"/>
      <c r="AGY90" s="60"/>
      <c r="AGZ90" s="60"/>
      <c r="AHA90" s="61"/>
      <c r="AHB90" s="61"/>
      <c r="AHC90" s="61"/>
      <c r="AHD90" s="61"/>
      <c r="AHE90" s="62"/>
      <c r="AHF90" s="53"/>
      <c r="AHG90" s="60"/>
      <c r="AHH90" s="60"/>
      <c r="AHI90" s="61"/>
      <c r="AHJ90" s="61"/>
      <c r="AHK90" s="61"/>
      <c r="AHL90" s="61"/>
      <c r="AHM90" s="62"/>
      <c r="AHN90" s="53"/>
      <c r="AHO90" s="60"/>
      <c r="AHP90" s="60"/>
      <c r="AHQ90" s="61"/>
      <c r="AHR90" s="61"/>
      <c r="AHS90" s="61"/>
      <c r="AHT90" s="61"/>
      <c r="AHU90" s="62"/>
      <c r="AHV90" s="53"/>
      <c r="AHW90" s="60"/>
      <c r="AHX90" s="60"/>
      <c r="AHY90" s="61"/>
      <c r="AHZ90" s="61"/>
      <c r="AIA90" s="61"/>
      <c r="AIB90" s="61"/>
      <c r="AIC90" s="62"/>
      <c r="AID90" s="53"/>
      <c r="AIE90" s="60"/>
      <c r="AIF90" s="60"/>
      <c r="AIG90" s="61"/>
      <c r="AIH90" s="61"/>
      <c r="AII90" s="61"/>
      <c r="AIJ90" s="61"/>
      <c r="AIK90" s="62"/>
      <c r="AIL90" s="53"/>
      <c r="AIM90" s="60"/>
      <c r="AIN90" s="60"/>
      <c r="AIO90" s="61"/>
      <c r="AIP90" s="61"/>
      <c r="AIQ90" s="61"/>
      <c r="AIR90" s="61"/>
      <c r="AIS90" s="62"/>
      <c r="AIT90" s="53"/>
      <c r="AIU90" s="60"/>
      <c r="AIV90" s="60"/>
      <c r="AIW90" s="61"/>
      <c r="AIX90" s="61"/>
      <c r="AIY90" s="61"/>
      <c r="AIZ90" s="61"/>
      <c r="AJA90" s="62"/>
      <c r="AJB90" s="53"/>
      <c r="AJC90" s="60"/>
      <c r="AJD90" s="60"/>
      <c r="AJE90" s="61"/>
      <c r="AJF90" s="61"/>
      <c r="AJG90" s="61"/>
      <c r="AJH90" s="61"/>
      <c r="AJI90" s="62"/>
      <c r="AJJ90" s="53"/>
      <c r="AJK90" s="60"/>
      <c r="AJL90" s="60"/>
      <c r="AJM90" s="61"/>
      <c r="AJN90" s="61"/>
      <c r="AJO90" s="61"/>
      <c r="AJP90" s="61"/>
      <c r="AJQ90" s="62"/>
      <c r="AJR90" s="53"/>
      <c r="AJS90" s="60"/>
      <c r="AJT90" s="60"/>
      <c r="AJU90" s="61"/>
      <c r="AJV90" s="61"/>
      <c r="AJW90" s="61"/>
      <c r="AJX90" s="61"/>
      <c r="AJY90" s="62"/>
      <c r="AJZ90" s="53"/>
      <c r="AKA90" s="60"/>
      <c r="AKB90" s="60"/>
      <c r="AKC90" s="61"/>
      <c r="AKD90" s="61"/>
      <c r="AKE90" s="61"/>
      <c r="AKF90" s="61"/>
      <c r="AKG90" s="62"/>
      <c r="AKH90" s="53"/>
      <c r="AKI90" s="60"/>
      <c r="AKJ90" s="60"/>
      <c r="AKK90" s="61"/>
      <c r="AKL90" s="61"/>
      <c r="AKM90" s="61"/>
      <c r="AKN90" s="61"/>
      <c r="AKO90" s="62"/>
      <c r="AKP90" s="53"/>
      <c r="AKQ90" s="60"/>
      <c r="AKR90" s="60"/>
      <c r="AKS90" s="61"/>
      <c r="AKT90" s="61"/>
      <c r="AKU90" s="61"/>
      <c r="AKV90" s="61"/>
      <c r="AKW90" s="62"/>
      <c r="AKX90" s="53"/>
      <c r="AKY90" s="60"/>
      <c r="AKZ90" s="60"/>
      <c r="ALA90" s="61"/>
      <c r="ALB90" s="61"/>
      <c r="ALC90" s="61"/>
      <c r="ALD90" s="61"/>
      <c r="ALE90" s="62"/>
      <c r="ALF90" s="53"/>
      <c r="ALG90" s="60"/>
      <c r="ALH90" s="60"/>
      <c r="ALI90" s="61"/>
      <c r="ALJ90" s="61"/>
      <c r="ALK90" s="61"/>
      <c r="ALL90" s="61"/>
      <c r="ALM90" s="62"/>
      <c r="ALN90" s="53"/>
      <c r="ALO90" s="60"/>
      <c r="ALP90" s="60"/>
      <c r="ALQ90" s="61"/>
      <c r="ALR90" s="61"/>
      <c r="ALS90" s="61"/>
      <c r="ALT90" s="61"/>
      <c r="ALU90" s="62"/>
      <c r="ALV90" s="53"/>
      <c r="ALW90" s="60"/>
      <c r="ALX90" s="60"/>
      <c r="ALY90" s="61"/>
      <c r="ALZ90" s="61"/>
      <c r="AMA90" s="61"/>
      <c r="AMB90" s="61"/>
      <c r="AMC90" s="62"/>
      <c r="AMD90" s="53"/>
      <c r="AME90" s="60"/>
      <c r="AMF90" s="60"/>
      <c r="AMG90" s="61"/>
      <c r="AMH90" s="61"/>
      <c r="AMI90" s="61"/>
      <c r="AMJ90" s="61"/>
      <c r="AMK90" s="62"/>
      <c r="AML90" s="53"/>
      <c r="AMM90" s="60"/>
      <c r="AMN90" s="60"/>
      <c r="AMO90" s="61"/>
      <c r="AMP90" s="61"/>
      <c r="AMQ90" s="61"/>
      <c r="AMR90" s="61"/>
      <c r="AMS90" s="62"/>
      <c r="AMT90" s="53"/>
      <c r="AMU90" s="60"/>
      <c r="AMV90" s="60"/>
      <c r="AMW90" s="61"/>
      <c r="AMX90" s="61"/>
      <c r="AMY90" s="61"/>
      <c r="AMZ90" s="61"/>
      <c r="ANA90" s="62"/>
      <c r="ANB90" s="53"/>
      <c r="ANC90" s="60"/>
      <c r="AND90" s="60"/>
      <c r="ANE90" s="61"/>
      <c r="ANF90" s="61"/>
      <c r="ANG90" s="61"/>
      <c r="ANH90" s="61"/>
      <c r="ANI90" s="62"/>
      <c r="ANJ90" s="53"/>
      <c r="ANK90" s="60"/>
      <c r="ANL90" s="60"/>
      <c r="ANM90" s="61"/>
      <c r="ANN90" s="61"/>
      <c r="ANO90" s="61"/>
      <c r="ANP90" s="61"/>
      <c r="ANQ90" s="62"/>
      <c r="ANR90" s="53"/>
      <c r="ANS90" s="60"/>
      <c r="ANT90" s="60"/>
      <c r="ANU90" s="61"/>
      <c r="ANV90" s="61"/>
      <c r="ANW90" s="61"/>
      <c r="ANX90" s="61"/>
      <c r="ANY90" s="62"/>
      <c r="ANZ90" s="53"/>
      <c r="AOA90" s="60"/>
      <c r="AOB90" s="60"/>
      <c r="AOC90" s="61"/>
      <c r="AOD90" s="61"/>
      <c r="AOE90" s="61"/>
      <c r="AOF90" s="61"/>
      <c r="AOG90" s="62"/>
      <c r="AOH90" s="53"/>
      <c r="AOI90" s="60"/>
      <c r="AOJ90" s="60"/>
      <c r="AOK90" s="61"/>
      <c r="AOL90" s="61"/>
      <c r="AOM90" s="61"/>
      <c r="AON90" s="61"/>
      <c r="AOO90" s="62"/>
      <c r="AOP90" s="53"/>
      <c r="AOQ90" s="60"/>
      <c r="AOR90" s="60"/>
      <c r="AOS90" s="61"/>
      <c r="AOT90" s="61"/>
      <c r="AOU90" s="61"/>
      <c r="AOV90" s="61"/>
      <c r="AOW90" s="62"/>
      <c r="AOX90" s="53"/>
      <c r="AOY90" s="60"/>
      <c r="AOZ90" s="60"/>
      <c r="APA90" s="61"/>
      <c r="APB90" s="61"/>
      <c r="APC90" s="61"/>
      <c r="APD90" s="61"/>
      <c r="APE90" s="62"/>
      <c r="APF90" s="53"/>
      <c r="APG90" s="60"/>
      <c r="APH90" s="60"/>
      <c r="API90" s="61"/>
      <c r="APJ90" s="61"/>
      <c r="APK90" s="61"/>
      <c r="APL90" s="61"/>
      <c r="APM90" s="62"/>
      <c r="APN90" s="53"/>
      <c r="APO90" s="60"/>
      <c r="APP90" s="60"/>
      <c r="APQ90" s="61"/>
      <c r="APR90" s="61"/>
      <c r="APS90" s="61"/>
      <c r="APT90" s="61"/>
      <c r="APU90" s="62"/>
      <c r="APV90" s="53"/>
      <c r="APW90" s="60"/>
      <c r="APX90" s="60"/>
      <c r="APY90" s="61"/>
      <c r="APZ90" s="61"/>
      <c r="AQA90" s="61"/>
      <c r="AQB90" s="61"/>
      <c r="AQC90" s="62"/>
      <c r="AQD90" s="53"/>
      <c r="AQE90" s="60"/>
      <c r="AQF90" s="60"/>
      <c r="AQG90" s="61"/>
      <c r="AQH90" s="61"/>
      <c r="AQI90" s="61"/>
      <c r="AQJ90" s="61"/>
      <c r="AQK90" s="62"/>
      <c r="AQL90" s="53"/>
      <c r="AQM90" s="60"/>
      <c r="AQN90" s="60"/>
      <c r="AQO90" s="61"/>
      <c r="AQP90" s="61"/>
      <c r="AQQ90" s="61"/>
      <c r="AQR90" s="61"/>
      <c r="AQS90" s="62"/>
      <c r="AQT90" s="53"/>
      <c r="AQU90" s="60"/>
      <c r="AQV90" s="60"/>
      <c r="AQW90" s="61"/>
      <c r="AQX90" s="61"/>
      <c r="AQY90" s="61"/>
      <c r="AQZ90" s="61"/>
      <c r="ARA90" s="62"/>
      <c r="ARB90" s="53"/>
      <c r="ARC90" s="60"/>
      <c r="ARD90" s="60"/>
      <c r="ARE90" s="61"/>
      <c r="ARF90" s="61"/>
      <c r="ARG90" s="61"/>
      <c r="ARH90" s="61"/>
      <c r="ARI90" s="62"/>
      <c r="ARJ90" s="53"/>
      <c r="ARK90" s="60"/>
      <c r="ARL90" s="60"/>
      <c r="ARM90" s="61"/>
      <c r="ARN90" s="61"/>
      <c r="ARO90" s="61"/>
      <c r="ARP90" s="61"/>
      <c r="ARQ90" s="62"/>
      <c r="ARR90" s="53"/>
      <c r="ARS90" s="60"/>
      <c r="ART90" s="60"/>
      <c r="ARU90" s="61"/>
      <c r="ARV90" s="61"/>
      <c r="ARW90" s="61"/>
      <c r="ARX90" s="61"/>
      <c r="ARY90" s="62"/>
      <c r="ARZ90" s="53"/>
      <c r="ASA90" s="60"/>
      <c r="ASB90" s="60"/>
      <c r="ASC90" s="61"/>
      <c r="ASD90" s="61"/>
      <c r="ASE90" s="61"/>
      <c r="ASF90" s="61"/>
      <c r="ASG90" s="62"/>
      <c r="ASH90" s="53"/>
      <c r="ASI90" s="60"/>
      <c r="ASJ90" s="60"/>
      <c r="ASK90" s="61"/>
      <c r="ASL90" s="61"/>
      <c r="ASM90" s="61"/>
      <c r="ASN90" s="61"/>
      <c r="ASO90" s="62"/>
      <c r="ASP90" s="53"/>
      <c r="ASQ90" s="60"/>
      <c r="ASR90" s="60"/>
      <c r="ASS90" s="61"/>
      <c r="AST90" s="61"/>
      <c r="ASU90" s="61"/>
      <c r="ASV90" s="61"/>
      <c r="ASW90" s="62"/>
      <c r="ASX90" s="53"/>
      <c r="ASY90" s="60"/>
      <c r="ASZ90" s="60"/>
      <c r="ATA90" s="61"/>
      <c r="ATB90" s="61"/>
      <c r="ATC90" s="61"/>
      <c r="ATD90" s="61"/>
      <c r="ATE90" s="62"/>
      <c r="ATF90" s="53"/>
      <c r="ATG90" s="60"/>
      <c r="ATH90" s="60"/>
      <c r="ATI90" s="61"/>
      <c r="ATJ90" s="61"/>
      <c r="ATK90" s="61"/>
      <c r="ATL90" s="61"/>
      <c r="ATM90" s="62"/>
      <c r="ATN90" s="53"/>
      <c r="ATO90" s="60"/>
      <c r="ATP90" s="60"/>
      <c r="ATQ90" s="61"/>
      <c r="ATR90" s="61"/>
      <c r="ATS90" s="61"/>
      <c r="ATT90" s="61"/>
      <c r="ATU90" s="62"/>
      <c r="ATV90" s="53"/>
      <c r="ATW90" s="60"/>
      <c r="ATX90" s="60"/>
      <c r="ATY90" s="61"/>
      <c r="ATZ90" s="61"/>
      <c r="AUA90" s="61"/>
      <c r="AUB90" s="61"/>
      <c r="AUC90" s="62"/>
      <c r="AUD90" s="53"/>
      <c r="AUE90" s="60"/>
      <c r="AUF90" s="60"/>
      <c r="AUG90" s="61"/>
      <c r="AUH90" s="61"/>
      <c r="AUI90" s="61"/>
      <c r="AUJ90" s="61"/>
      <c r="AUK90" s="62"/>
      <c r="AUL90" s="53"/>
      <c r="AUM90" s="60"/>
      <c r="AUN90" s="60"/>
      <c r="AUO90" s="61"/>
      <c r="AUP90" s="61"/>
      <c r="AUQ90" s="61"/>
      <c r="AUR90" s="61"/>
      <c r="AUS90" s="62"/>
      <c r="AUT90" s="53"/>
      <c r="AUU90" s="60"/>
      <c r="AUV90" s="60"/>
      <c r="AUW90" s="61"/>
      <c r="AUX90" s="61"/>
      <c r="AUY90" s="61"/>
      <c r="AUZ90" s="61"/>
      <c r="AVA90" s="62"/>
      <c r="AVB90" s="53"/>
      <c r="AVC90" s="60"/>
      <c r="AVD90" s="60"/>
      <c r="AVE90" s="61"/>
      <c r="AVF90" s="61"/>
      <c r="AVG90" s="61"/>
      <c r="AVH90" s="61"/>
      <c r="AVI90" s="62"/>
      <c r="AVJ90" s="53"/>
      <c r="AVK90" s="60"/>
      <c r="AVL90" s="60"/>
      <c r="AVM90" s="61"/>
      <c r="AVN90" s="61"/>
      <c r="AVO90" s="61"/>
      <c r="AVP90" s="61"/>
      <c r="AVQ90" s="62"/>
      <c r="AVR90" s="53"/>
      <c r="AVS90" s="60"/>
      <c r="AVT90" s="60"/>
      <c r="AVU90" s="61"/>
      <c r="AVV90" s="61"/>
      <c r="AVW90" s="61"/>
      <c r="AVX90" s="61"/>
      <c r="AVY90" s="62"/>
      <c r="AVZ90" s="53"/>
      <c r="AWA90" s="60"/>
      <c r="AWB90" s="60"/>
      <c r="AWC90" s="61"/>
      <c r="AWD90" s="61"/>
      <c r="AWE90" s="61"/>
      <c r="AWF90" s="61"/>
      <c r="AWG90" s="62"/>
      <c r="AWH90" s="53"/>
      <c r="AWI90" s="60"/>
      <c r="AWJ90" s="60"/>
      <c r="AWK90" s="61"/>
      <c r="AWL90" s="61"/>
      <c r="AWM90" s="61"/>
      <c r="AWN90" s="61"/>
      <c r="AWO90" s="62"/>
      <c r="AWP90" s="53"/>
      <c r="AWQ90" s="60"/>
      <c r="AWR90" s="60"/>
      <c r="AWS90" s="61"/>
      <c r="AWT90" s="61"/>
      <c r="AWU90" s="61"/>
      <c r="AWV90" s="61"/>
      <c r="AWW90" s="62"/>
      <c r="AWX90" s="53"/>
      <c r="AWY90" s="60"/>
      <c r="AWZ90" s="60"/>
      <c r="AXA90" s="61"/>
      <c r="AXB90" s="61"/>
      <c r="AXC90" s="61"/>
      <c r="AXD90" s="61"/>
      <c r="AXE90" s="62"/>
      <c r="AXF90" s="53"/>
      <c r="AXG90" s="60"/>
      <c r="AXH90" s="60"/>
      <c r="AXI90" s="61"/>
      <c r="AXJ90" s="61"/>
      <c r="AXK90" s="61"/>
      <c r="AXL90" s="61"/>
      <c r="AXM90" s="62"/>
      <c r="AXN90" s="53"/>
      <c r="AXO90" s="60"/>
      <c r="AXP90" s="60"/>
      <c r="AXQ90" s="61"/>
      <c r="AXR90" s="61"/>
      <c r="AXS90" s="61"/>
      <c r="AXT90" s="61"/>
      <c r="AXU90" s="62"/>
      <c r="AXV90" s="53"/>
      <c r="AXW90" s="60"/>
      <c r="AXX90" s="60"/>
      <c r="AXY90" s="61"/>
      <c r="AXZ90" s="61"/>
      <c r="AYA90" s="61"/>
      <c r="AYB90" s="61"/>
      <c r="AYC90" s="62"/>
      <c r="AYD90" s="53"/>
      <c r="AYE90" s="60"/>
      <c r="AYF90" s="60"/>
      <c r="AYG90" s="61"/>
      <c r="AYH90" s="61"/>
      <c r="AYI90" s="61"/>
      <c r="AYJ90" s="61"/>
      <c r="AYK90" s="62"/>
      <c r="AYL90" s="53"/>
      <c r="AYM90" s="60"/>
      <c r="AYN90" s="60"/>
      <c r="AYO90" s="61"/>
      <c r="AYP90" s="61"/>
      <c r="AYQ90" s="61"/>
      <c r="AYR90" s="61"/>
      <c r="AYS90" s="62"/>
      <c r="AYT90" s="53"/>
      <c r="AYU90" s="60"/>
      <c r="AYV90" s="60"/>
      <c r="AYW90" s="61"/>
      <c r="AYX90" s="61"/>
      <c r="AYY90" s="61"/>
      <c r="AYZ90" s="61"/>
      <c r="AZA90" s="62"/>
      <c r="AZB90" s="53"/>
      <c r="AZC90" s="60"/>
      <c r="AZD90" s="60"/>
      <c r="AZE90" s="61"/>
      <c r="AZF90" s="61"/>
      <c r="AZG90" s="61"/>
      <c r="AZH90" s="61"/>
      <c r="AZI90" s="62"/>
      <c r="AZJ90" s="53"/>
      <c r="AZK90" s="60"/>
      <c r="AZL90" s="60"/>
      <c r="AZM90" s="61"/>
      <c r="AZN90" s="61"/>
      <c r="AZO90" s="61"/>
      <c r="AZP90" s="61"/>
      <c r="AZQ90" s="62"/>
      <c r="AZR90" s="53"/>
      <c r="AZS90" s="60"/>
      <c r="AZT90" s="60"/>
      <c r="AZU90" s="61"/>
      <c r="AZV90" s="61"/>
      <c r="AZW90" s="61"/>
      <c r="AZX90" s="61"/>
      <c r="AZY90" s="62"/>
      <c r="AZZ90" s="53"/>
      <c r="BAA90" s="60"/>
      <c r="BAB90" s="60"/>
      <c r="BAC90" s="61"/>
      <c r="BAD90" s="61"/>
      <c r="BAE90" s="61"/>
      <c r="BAF90" s="61"/>
      <c r="BAG90" s="62"/>
      <c r="BAH90" s="53"/>
      <c r="BAI90" s="60"/>
      <c r="BAJ90" s="60"/>
      <c r="BAK90" s="61"/>
      <c r="BAL90" s="61"/>
      <c r="BAM90" s="61"/>
      <c r="BAN90" s="61"/>
      <c r="BAO90" s="62"/>
      <c r="BAP90" s="53"/>
      <c r="BAQ90" s="60"/>
      <c r="BAR90" s="60"/>
      <c r="BAS90" s="61"/>
      <c r="BAT90" s="61"/>
      <c r="BAU90" s="61"/>
      <c r="BAV90" s="61"/>
      <c r="BAW90" s="62"/>
      <c r="BAX90" s="53"/>
      <c r="BAY90" s="60"/>
      <c r="BAZ90" s="60"/>
      <c r="BBA90" s="61"/>
      <c r="BBB90" s="61"/>
      <c r="BBC90" s="61"/>
      <c r="BBD90" s="61"/>
      <c r="BBE90" s="62"/>
      <c r="BBF90" s="53"/>
      <c r="BBG90" s="60"/>
      <c r="BBH90" s="60"/>
      <c r="BBI90" s="61"/>
      <c r="BBJ90" s="61"/>
      <c r="BBK90" s="61"/>
      <c r="BBL90" s="61"/>
      <c r="BBM90" s="62"/>
      <c r="BBN90" s="53"/>
      <c r="BBO90" s="60"/>
      <c r="BBP90" s="60"/>
      <c r="BBQ90" s="61"/>
      <c r="BBR90" s="61"/>
      <c r="BBS90" s="61"/>
      <c r="BBT90" s="61"/>
      <c r="BBU90" s="62"/>
      <c r="BBV90" s="53"/>
      <c r="BBW90" s="60"/>
      <c r="BBX90" s="60"/>
      <c r="BBY90" s="61"/>
      <c r="BBZ90" s="61"/>
      <c r="BCA90" s="61"/>
      <c r="BCB90" s="61"/>
      <c r="BCC90" s="62"/>
      <c r="BCD90" s="53"/>
      <c r="BCE90" s="60"/>
      <c r="BCF90" s="60"/>
      <c r="BCG90" s="61"/>
      <c r="BCH90" s="61"/>
      <c r="BCI90" s="61"/>
      <c r="BCJ90" s="61"/>
      <c r="BCK90" s="62"/>
      <c r="BCL90" s="53"/>
      <c r="BCM90" s="60"/>
      <c r="BCN90" s="60"/>
      <c r="BCO90" s="61"/>
      <c r="BCP90" s="61"/>
      <c r="BCQ90" s="61"/>
      <c r="BCR90" s="61"/>
      <c r="BCS90" s="62"/>
      <c r="BCT90" s="53"/>
      <c r="BCU90" s="60"/>
      <c r="BCV90" s="60"/>
      <c r="BCW90" s="61"/>
      <c r="BCX90" s="61"/>
      <c r="BCY90" s="61"/>
      <c r="BCZ90" s="61"/>
      <c r="BDA90" s="62"/>
      <c r="BDB90" s="53"/>
      <c r="BDC90" s="60"/>
      <c r="BDD90" s="60"/>
      <c r="BDE90" s="61"/>
      <c r="BDF90" s="61"/>
      <c r="BDG90" s="61"/>
      <c r="BDH90" s="61"/>
      <c r="BDI90" s="62"/>
      <c r="BDJ90" s="53"/>
      <c r="BDK90" s="60"/>
      <c r="BDL90" s="60"/>
      <c r="BDM90" s="61"/>
      <c r="BDN90" s="61"/>
      <c r="BDO90" s="61"/>
      <c r="BDP90" s="61"/>
      <c r="BDQ90" s="62"/>
      <c r="BDR90" s="53"/>
      <c r="BDS90" s="60"/>
      <c r="BDT90" s="60"/>
      <c r="BDU90" s="61"/>
      <c r="BDV90" s="61"/>
      <c r="BDW90" s="61"/>
      <c r="BDX90" s="61"/>
      <c r="BDY90" s="62"/>
      <c r="BDZ90" s="53"/>
      <c r="BEA90" s="60"/>
      <c r="BEB90" s="60"/>
      <c r="BEC90" s="61"/>
      <c r="BED90" s="61"/>
      <c r="BEE90" s="61"/>
      <c r="BEF90" s="61"/>
      <c r="BEG90" s="62"/>
      <c r="BEH90" s="53"/>
      <c r="BEI90" s="60"/>
      <c r="BEJ90" s="60"/>
      <c r="BEK90" s="61"/>
      <c r="BEL90" s="61"/>
      <c r="BEM90" s="61"/>
      <c r="BEN90" s="61"/>
      <c r="BEO90" s="62"/>
      <c r="BEP90" s="53"/>
      <c r="BEQ90" s="60"/>
      <c r="BER90" s="60"/>
      <c r="BES90" s="61"/>
      <c r="BET90" s="61"/>
      <c r="BEU90" s="61"/>
      <c r="BEV90" s="61"/>
      <c r="BEW90" s="62"/>
      <c r="BEX90" s="53"/>
      <c r="BEY90" s="60"/>
      <c r="BEZ90" s="60"/>
      <c r="BFA90" s="61"/>
      <c r="BFB90" s="61"/>
      <c r="BFC90" s="61"/>
      <c r="BFD90" s="61"/>
      <c r="BFE90" s="62"/>
      <c r="BFF90" s="53"/>
      <c r="BFG90" s="60"/>
      <c r="BFH90" s="60"/>
      <c r="BFI90" s="61"/>
      <c r="BFJ90" s="61"/>
      <c r="BFK90" s="61"/>
      <c r="BFL90" s="61"/>
      <c r="BFM90" s="62"/>
      <c r="BFN90" s="53"/>
      <c r="BFO90" s="60"/>
      <c r="BFP90" s="60"/>
      <c r="BFQ90" s="61"/>
      <c r="BFR90" s="61"/>
      <c r="BFS90" s="61"/>
      <c r="BFT90" s="61"/>
      <c r="BFU90" s="62"/>
      <c r="BFV90" s="53"/>
      <c r="BFW90" s="60"/>
      <c r="BFX90" s="60"/>
      <c r="BFY90" s="61"/>
      <c r="BFZ90" s="61"/>
      <c r="BGA90" s="61"/>
      <c r="BGB90" s="61"/>
      <c r="BGC90" s="62"/>
      <c r="BGD90" s="53"/>
      <c r="BGE90" s="60"/>
      <c r="BGF90" s="60"/>
      <c r="BGG90" s="61"/>
      <c r="BGH90" s="61"/>
      <c r="BGI90" s="61"/>
      <c r="BGJ90" s="61"/>
      <c r="BGK90" s="62"/>
      <c r="BGL90" s="53"/>
      <c r="BGM90" s="60"/>
      <c r="BGN90" s="60"/>
      <c r="BGO90" s="61"/>
      <c r="BGP90" s="61"/>
      <c r="BGQ90" s="61"/>
      <c r="BGR90" s="61"/>
      <c r="BGS90" s="62"/>
      <c r="BGT90" s="53"/>
      <c r="BGU90" s="60"/>
      <c r="BGV90" s="60"/>
      <c r="BGW90" s="61"/>
      <c r="BGX90" s="61"/>
      <c r="BGY90" s="61"/>
      <c r="BGZ90" s="61"/>
      <c r="BHA90" s="62"/>
      <c r="BHB90" s="53"/>
      <c r="BHC90" s="60"/>
      <c r="BHD90" s="60"/>
      <c r="BHE90" s="61"/>
      <c r="BHF90" s="61"/>
      <c r="BHG90" s="61"/>
      <c r="BHH90" s="61"/>
      <c r="BHI90" s="62"/>
      <c r="BHJ90" s="53"/>
      <c r="BHK90" s="60"/>
      <c r="BHL90" s="60"/>
      <c r="BHM90" s="61"/>
      <c r="BHN90" s="61"/>
      <c r="BHO90" s="61"/>
      <c r="BHP90" s="61"/>
      <c r="BHQ90" s="62"/>
      <c r="BHR90" s="53"/>
      <c r="BHS90" s="60"/>
      <c r="BHT90" s="60"/>
      <c r="BHU90" s="61"/>
      <c r="BHV90" s="61"/>
      <c r="BHW90" s="61"/>
      <c r="BHX90" s="61"/>
      <c r="BHY90" s="62"/>
      <c r="BHZ90" s="53"/>
      <c r="BIA90" s="60"/>
      <c r="BIB90" s="60"/>
      <c r="BIC90" s="61"/>
      <c r="BID90" s="61"/>
      <c r="BIE90" s="61"/>
      <c r="BIF90" s="61"/>
      <c r="BIG90" s="62"/>
      <c r="BIH90" s="53"/>
      <c r="BII90" s="60"/>
      <c r="BIJ90" s="60"/>
      <c r="BIK90" s="61"/>
      <c r="BIL90" s="61"/>
      <c r="BIM90" s="61"/>
      <c r="BIN90" s="61"/>
      <c r="BIO90" s="62"/>
      <c r="BIP90" s="53"/>
      <c r="BIQ90" s="60"/>
      <c r="BIR90" s="60"/>
      <c r="BIS90" s="61"/>
      <c r="BIT90" s="61"/>
      <c r="BIU90" s="61"/>
      <c r="BIV90" s="61"/>
      <c r="BIW90" s="62"/>
      <c r="BIX90" s="53"/>
      <c r="BIY90" s="60"/>
      <c r="BIZ90" s="60"/>
      <c r="BJA90" s="61"/>
      <c r="BJB90" s="61"/>
      <c r="BJC90" s="61"/>
      <c r="BJD90" s="61"/>
      <c r="BJE90" s="62"/>
      <c r="BJF90" s="53"/>
      <c r="BJG90" s="60"/>
      <c r="BJH90" s="60"/>
      <c r="BJI90" s="61"/>
      <c r="BJJ90" s="61"/>
      <c r="BJK90" s="61"/>
      <c r="BJL90" s="61"/>
      <c r="BJM90" s="62"/>
      <c r="BJN90" s="53"/>
      <c r="BJO90" s="60"/>
      <c r="BJP90" s="60"/>
      <c r="BJQ90" s="61"/>
      <c r="BJR90" s="61"/>
      <c r="BJS90" s="61"/>
      <c r="BJT90" s="61"/>
      <c r="BJU90" s="62"/>
      <c r="BJV90" s="53"/>
      <c r="BJW90" s="60"/>
      <c r="BJX90" s="60"/>
      <c r="BJY90" s="61"/>
      <c r="BJZ90" s="61"/>
      <c r="BKA90" s="61"/>
      <c r="BKB90" s="61"/>
      <c r="BKC90" s="62"/>
      <c r="BKD90" s="53"/>
      <c r="BKE90" s="60"/>
      <c r="BKF90" s="60"/>
      <c r="BKG90" s="61"/>
      <c r="BKH90" s="61"/>
      <c r="BKI90" s="61"/>
      <c r="BKJ90" s="61"/>
      <c r="BKK90" s="62"/>
      <c r="BKL90" s="53"/>
      <c r="BKM90" s="60"/>
      <c r="BKN90" s="60"/>
      <c r="BKO90" s="61"/>
      <c r="BKP90" s="61"/>
      <c r="BKQ90" s="61"/>
      <c r="BKR90" s="61"/>
      <c r="BKS90" s="62"/>
      <c r="BKT90" s="53"/>
      <c r="BKU90" s="60"/>
      <c r="BKV90" s="60"/>
      <c r="BKW90" s="61"/>
      <c r="BKX90" s="61"/>
      <c r="BKY90" s="61"/>
      <c r="BKZ90" s="61"/>
      <c r="BLA90" s="62"/>
      <c r="BLB90" s="53"/>
      <c r="BLC90" s="60"/>
      <c r="BLD90" s="60"/>
      <c r="BLE90" s="61"/>
      <c r="BLF90" s="61"/>
      <c r="BLG90" s="61"/>
      <c r="BLH90" s="61"/>
      <c r="BLI90" s="62"/>
      <c r="BLJ90" s="53"/>
      <c r="BLK90" s="60"/>
      <c r="BLL90" s="60"/>
      <c r="BLM90" s="61"/>
      <c r="BLN90" s="61"/>
      <c r="BLO90" s="61"/>
      <c r="BLP90" s="61"/>
      <c r="BLQ90" s="62"/>
      <c r="BLR90" s="53"/>
      <c r="BLS90" s="60"/>
      <c r="BLT90" s="60"/>
      <c r="BLU90" s="61"/>
      <c r="BLV90" s="61"/>
      <c r="BLW90" s="61"/>
      <c r="BLX90" s="61"/>
      <c r="BLY90" s="62"/>
      <c r="BLZ90" s="53"/>
      <c r="BMA90" s="60"/>
      <c r="BMB90" s="60"/>
      <c r="BMC90" s="61"/>
      <c r="BMD90" s="61"/>
      <c r="BME90" s="61"/>
      <c r="BMF90" s="61"/>
      <c r="BMG90" s="62"/>
      <c r="BMH90" s="53"/>
      <c r="BMI90" s="60"/>
      <c r="BMJ90" s="60"/>
      <c r="BMK90" s="61"/>
      <c r="BML90" s="61"/>
      <c r="BMM90" s="61"/>
      <c r="BMN90" s="61"/>
      <c r="BMO90" s="62"/>
      <c r="BMP90" s="53"/>
      <c r="BMQ90" s="60"/>
      <c r="BMR90" s="60"/>
      <c r="BMS90" s="61"/>
      <c r="BMT90" s="61"/>
      <c r="BMU90" s="61"/>
      <c r="BMV90" s="61"/>
      <c r="BMW90" s="62"/>
      <c r="BMX90" s="53"/>
      <c r="BMY90" s="60"/>
      <c r="BMZ90" s="60"/>
      <c r="BNA90" s="61"/>
      <c r="BNB90" s="61"/>
      <c r="BNC90" s="61"/>
      <c r="BND90" s="61"/>
      <c r="BNE90" s="62"/>
      <c r="BNF90" s="53"/>
      <c r="BNG90" s="60"/>
      <c r="BNH90" s="60"/>
      <c r="BNI90" s="61"/>
      <c r="BNJ90" s="61"/>
      <c r="BNK90" s="61"/>
      <c r="BNL90" s="61"/>
      <c r="BNM90" s="62"/>
      <c r="BNN90" s="53"/>
      <c r="BNO90" s="60"/>
      <c r="BNP90" s="60"/>
      <c r="BNQ90" s="61"/>
      <c r="BNR90" s="61"/>
      <c r="BNS90" s="61"/>
      <c r="BNT90" s="61"/>
      <c r="BNU90" s="62"/>
      <c r="BNV90" s="53"/>
      <c r="BNW90" s="60"/>
      <c r="BNX90" s="60"/>
      <c r="BNY90" s="61"/>
      <c r="BNZ90" s="61"/>
      <c r="BOA90" s="61"/>
      <c r="BOB90" s="61"/>
      <c r="BOC90" s="62"/>
      <c r="BOD90" s="53"/>
      <c r="BOE90" s="60"/>
      <c r="BOF90" s="60"/>
      <c r="BOG90" s="61"/>
      <c r="BOH90" s="61"/>
      <c r="BOI90" s="61"/>
      <c r="BOJ90" s="61"/>
      <c r="BOK90" s="62"/>
      <c r="BOL90" s="53"/>
      <c r="BOM90" s="60"/>
      <c r="BON90" s="60"/>
      <c r="BOO90" s="61"/>
      <c r="BOP90" s="61"/>
      <c r="BOQ90" s="61"/>
      <c r="BOR90" s="61"/>
      <c r="BOS90" s="62"/>
      <c r="BOT90" s="53"/>
      <c r="BOU90" s="60"/>
      <c r="BOV90" s="60"/>
      <c r="BOW90" s="61"/>
      <c r="BOX90" s="61"/>
      <c r="BOY90" s="61"/>
      <c r="BOZ90" s="61"/>
      <c r="BPA90" s="62"/>
      <c r="BPB90" s="53"/>
      <c r="BPC90" s="60"/>
      <c r="BPD90" s="60"/>
      <c r="BPE90" s="61"/>
      <c r="BPF90" s="61"/>
      <c r="BPG90" s="61"/>
      <c r="BPH90" s="61"/>
      <c r="BPI90" s="62"/>
      <c r="BPJ90" s="53"/>
      <c r="BPK90" s="60"/>
      <c r="BPL90" s="60"/>
      <c r="BPM90" s="61"/>
      <c r="BPN90" s="61"/>
      <c r="BPO90" s="61"/>
      <c r="BPP90" s="61"/>
      <c r="BPQ90" s="62"/>
      <c r="BPR90" s="53"/>
      <c r="BPS90" s="60"/>
      <c r="BPT90" s="60"/>
      <c r="BPU90" s="61"/>
      <c r="BPV90" s="61"/>
      <c r="BPW90" s="61"/>
      <c r="BPX90" s="61"/>
      <c r="BPY90" s="62"/>
      <c r="BPZ90" s="53"/>
      <c r="BQA90" s="60"/>
      <c r="BQB90" s="60"/>
      <c r="BQC90" s="61"/>
      <c r="BQD90" s="61"/>
      <c r="BQE90" s="61"/>
      <c r="BQF90" s="61"/>
      <c r="BQG90" s="62"/>
      <c r="BQH90" s="53"/>
      <c r="BQI90" s="60"/>
      <c r="BQJ90" s="60"/>
      <c r="BQK90" s="61"/>
      <c r="BQL90" s="61"/>
      <c r="BQM90" s="61"/>
      <c r="BQN90" s="61"/>
      <c r="BQO90" s="62"/>
      <c r="BQP90" s="53"/>
      <c r="BQQ90" s="60"/>
      <c r="BQR90" s="60"/>
      <c r="BQS90" s="61"/>
      <c r="BQT90" s="61"/>
      <c r="BQU90" s="61"/>
      <c r="BQV90" s="61"/>
      <c r="BQW90" s="62"/>
      <c r="BQX90" s="53"/>
      <c r="BQY90" s="60"/>
      <c r="BQZ90" s="60"/>
      <c r="BRA90" s="61"/>
      <c r="BRB90" s="61"/>
      <c r="BRC90" s="61"/>
      <c r="BRD90" s="61"/>
      <c r="BRE90" s="62"/>
      <c r="BRF90" s="53"/>
      <c r="BRG90" s="60"/>
      <c r="BRH90" s="60"/>
      <c r="BRI90" s="61"/>
      <c r="BRJ90" s="61"/>
      <c r="BRK90" s="61"/>
      <c r="BRL90" s="61"/>
      <c r="BRM90" s="62"/>
      <c r="BRN90" s="53"/>
      <c r="BRO90" s="60"/>
      <c r="BRP90" s="60"/>
      <c r="BRQ90" s="61"/>
      <c r="BRR90" s="61"/>
      <c r="BRS90" s="61"/>
      <c r="BRT90" s="61"/>
      <c r="BRU90" s="62"/>
      <c r="BRV90" s="53"/>
      <c r="BRW90" s="60"/>
      <c r="BRX90" s="60"/>
      <c r="BRY90" s="61"/>
      <c r="BRZ90" s="61"/>
      <c r="BSA90" s="61"/>
      <c r="BSB90" s="61"/>
      <c r="BSC90" s="62"/>
      <c r="BSD90" s="53"/>
      <c r="BSE90" s="60"/>
      <c r="BSF90" s="60"/>
      <c r="BSG90" s="61"/>
      <c r="BSH90" s="61"/>
      <c r="BSI90" s="61"/>
      <c r="BSJ90" s="61"/>
      <c r="BSK90" s="62"/>
      <c r="BSL90" s="53"/>
      <c r="BSM90" s="60"/>
      <c r="BSN90" s="60"/>
      <c r="BSO90" s="61"/>
      <c r="BSP90" s="61"/>
      <c r="BSQ90" s="61"/>
      <c r="BSR90" s="61"/>
      <c r="BSS90" s="62"/>
      <c r="BST90" s="53"/>
      <c r="BSU90" s="60"/>
      <c r="BSV90" s="60"/>
      <c r="BSW90" s="61"/>
      <c r="BSX90" s="61"/>
      <c r="BSY90" s="61"/>
      <c r="BSZ90" s="61"/>
      <c r="BTA90" s="62"/>
      <c r="BTB90" s="53"/>
      <c r="BTC90" s="60"/>
      <c r="BTD90" s="60"/>
      <c r="BTE90" s="61"/>
      <c r="BTF90" s="61"/>
      <c r="BTG90" s="61"/>
      <c r="BTH90" s="61"/>
      <c r="BTI90" s="62"/>
      <c r="BTJ90" s="53"/>
      <c r="BTK90" s="60"/>
      <c r="BTL90" s="60"/>
      <c r="BTM90" s="61"/>
      <c r="BTN90" s="61"/>
      <c r="BTO90" s="61"/>
      <c r="BTP90" s="61"/>
      <c r="BTQ90" s="62"/>
      <c r="BTR90" s="53"/>
      <c r="BTS90" s="60"/>
      <c r="BTT90" s="60"/>
      <c r="BTU90" s="61"/>
      <c r="BTV90" s="61"/>
      <c r="BTW90" s="61"/>
      <c r="BTX90" s="61"/>
      <c r="BTY90" s="62"/>
      <c r="BTZ90" s="53"/>
      <c r="BUA90" s="60"/>
      <c r="BUB90" s="60"/>
      <c r="BUC90" s="61"/>
      <c r="BUD90" s="61"/>
      <c r="BUE90" s="61"/>
      <c r="BUF90" s="61"/>
      <c r="BUG90" s="62"/>
      <c r="BUH90" s="53"/>
      <c r="BUI90" s="60"/>
      <c r="BUJ90" s="60"/>
      <c r="BUK90" s="61"/>
      <c r="BUL90" s="61"/>
      <c r="BUM90" s="61"/>
      <c r="BUN90" s="61"/>
      <c r="BUO90" s="62"/>
      <c r="BUP90" s="53"/>
      <c r="BUQ90" s="60"/>
      <c r="BUR90" s="60"/>
      <c r="BUS90" s="61"/>
      <c r="BUT90" s="61"/>
      <c r="BUU90" s="61"/>
      <c r="BUV90" s="61"/>
      <c r="BUW90" s="62"/>
      <c r="BUX90" s="53"/>
      <c r="BUY90" s="60"/>
      <c r="BUZ90" s="60"/>
      <c r="BVA90" s="61"/>
      <c r="BVB90" s="61"/>
      <c r="BVC90" s="61"/>
      <c r="BVD90" s="61"/>
      <c r="BVE90" s="62"/>
      <c r="BVF90" s="53"/>
      <c r="BVG90" s="60"/>
      <c r="BVH90" s="60"/>
      <c r="BVI90" s="61"/>
      <c r="BVJ90" s="61"/>
      <c r="BVK90" s="61"/>
      <c r="BVL90" s="61"/>
      <c r="BVM90" s="62"/>
      <c r="BVN90" s="53"/>
      <c r="BVO90" s="60"/>
      <c r="BVP90" s="60"/>
      <c r="BVQ90" s="61"/>
      <c r="BVR90" s="61"/>
      <c r="BVS90" s="61"/>
      <c r="BVT90" s="61"/>
      <c r="BVU90" s="62"/>
      <c r="BVV90" s="53"/>
      <c r="BVW90" s="60"/>
      <c r="BVX90" s="60"/>
      <c r="BVY90" s="61"/>
      <c r="BVZ90" s="61"/>
      <c r="BWA90" s="61"/>
      <c r="BWB90" s="61"/>
      <c r="BWC90" s="62"/>
      <c r="BWD90" s="53"/>
      <c r="BWE90" s="60"/>
      <c r="BWF90" s="60"/>
      <c r="BWG90" s="61"/>
      <c r="BWH90" s="61"/>
      <c r="BWI90" s="61"/>
      <c r="BWJ90" s="61"/>
      <c r="BWK90" s="62"/>
      <c r="BWL90" s="53"/>
      <c r="BWM90" s="60"/>
      <c r="BWN90" s="60"/>
      <c r="BWO90" s="61"/>
      <c r="BWP90" s="61"/>
      <c r="BWQ90" s="61"/>
      <c r="BWR90" s="61"/>
      <c r="BWS90" s="62"/>
      <c r="BWT90" s="53"/>
      <c r="BWU90" s="60"/>
      <c r="BWV90" s="60"/>
      <c r="BWW90" s="61"/>
      <c r="BWX90" s="61"/>
      <c r="BWY90" s="61"/>
      <c r="BWZ90" s="61"/>
      <c r="BXA90" s="62"/>
      <c r="BXB90" s="53"/>
      <c r="BXC90" s="60"/>
      <c r="BXD90" s="60"/>
      <c r="BXE90" s="61"/>
      <c r="BXF90" s="61"/>
      <c r="BXG90" s="61"/>
      <c r="BXH90" s="61"/>
      <c r="BXI90" s="62"/>
      <c r="BXJ90" s="53"/>
      <c r="BXK90" s="60"/>
      <c r="BXL90" s="60"/>
      <c r="BXM90" s="61"/>
      <c r="BXN90" s="61"/>
      <c r="BXO90" s="61"/>
      <c r="BXP90" s="61"/>
      <c r="BXQ90" s="62"/>
      <c r="BXR90" s="53"/>
      <c r="BXS90" s="60"/>
      <c r="BXT90" s="60"/>
      <c r="BXU90" s="61"/>
      <c r="BXV90" s="61"/>
      <c r="BXW90" s="61"/>
      <c r="BXX90" s="61"/>
      <c r="BXY90" s="62"/>
      <c r="BXZ90" s="53"/>
      <c r="BYA90" s="60"/>
      <c r="BYB90" s="60"/>
      <c r="BYC90" s="61"/>
      <c r="BYD90" s="61"/>
      <c r="BYE90" s="61"/>
      <c r="BYF90" s="61"/>
      <c r="BYG90" s="62"/>
      <c r="BYH90" s="53"/>
      <c r="BYI90" s="60"/>
      <c r="BYJ90" s="60"/>
      <c r="BYK90" s="61"/>
      <c r="BYL90" s="61"/>
      <c r="BYM90" s="61"/>
      <c r="BYN90" s="61"/>
      <c r="BYO90" s="62"/>
      <c r="BYP90" s="53"/>
      <c r="BYQ90" s="60"/>
      <c r="BYR90" s="60"/>
      <c r="BYS90" s="61"/>
      <c r="BYT90" s="61"/>
      <c r="BYU90" s="61"/>
      <c r="BYV90" s="61"/>
      <c r="BYW90" s="62"/>
      <c r="BYX90" s="53"/>
      <c r="BYY90" s="60"/>
      <c r="BYZ90" s="60"/>
      <c r="BZA90" s="61"/>
      <c r="BZB90" s="61"/>
      <c r="BZC90" s="61"/>
      <c r="BZD90" s="61"/>
      <c r="BZE90" s="62"/>
      <c r="BZF90" s="53"/>
      <c r="BZG90" s="60"/>
      <c r="BZH90" s="60"/>
      <c r="BZI90" s="61"/>
      <c r="BZJ90" s="61"/>
      <c r="BZK90" s="61"/>
      <c r="BZL90" s="61"/>
      <c r="BZM90" s="62"/>
      <c r="BZN90" s="53"/>
      <c r="BZO90" s="60"/>
      <c r="BZP90" s="60"/>
      <c r="BZQ90" s="61"/>
      <c r="BZR90" s="61"/>
      <c r="BZS90" s="61"/>
      <c r="BZT90" s="61"/>
      <c r="BZU90" s="62"/>
      <c r="BZV90" s="53"/>
      <c r="BZW90" s="60"/>
      <c r="BZX90" s="60"/>
      <c r="BZY90" s="61"/>
      <c r="BZZ90" s="61"/>
      <c r="CAA90" s="61"/>
      <c r="CAB90" s="61"/>
      <c r="CAC90" s="62"/>
      <c r="CAD90" s="53"/>
      <c r="CAE90" s="60"/>
      <c r="CAF90" s="60"/>
      <c r="CAG90" s="61"/>
      <c r="CAH90" s="61"/>
      <c r="CAI90" s="61"/>
      <c r="CAJ90" s="61"/>
      <c r="CAK90" s="62"/>
      <c r="CAL90" s="53"/>
      <c r="CAM90" s="60"/>
      <c r="CAN90" s="60"/>
      <c r="CAO90" s="61"/>
      <c r="CAP90" s="61"/>
      <c r="CAQ90" s="61"/>
      <c r="CAR90" s="61"/>
      <c r="CAS90" s="62"/>
      <c r="CAT90" s="53"/>
      <c r="CAU90" s="60"/>
      <c r="CAV90" s="60"/>
      <c r="CAW90" s="61"/>
      <c r="CAX90" s="61"/>
      <c r="CAY90" s="61"/>
      <c r="CAZ90" s="61"/>
      <c r="CBA90" s="62"/>
      <c r="CBB90" s="53"/>
      <c r="CBC90" s="60"/>
      <c r="CBD90" s="60"/>
      <c r="CBE90" s="61"/>
      <c r="CBF90" s="61"/>
      <c r="CBG90" s="61"/>
      <c r="CBH90" s="61"/>
      <c r="CBI90" s="62"/>
      <c r="CBJ90" s="53"/>
      <c r="CBK90" s="60"/>
      <c r="CBL90" s="60"/>
      <c r="CBM90" s="61"/>
      <c r="CBN90" s="61"/>
      <c r="CBO90" s="61"/>
      <c r="CBP90" s="61"/>
      <c r="CBQ90" s="62"/>
      <c r="CBR90" s="53"/>
      <c r="CBS90" s="60"/>
      <c r="CBT90" s="60"/>
      <c r="CBU90" s="61"/>
      <c r="CBV90" s="61"/>
      <c r="CBW90" s="61"/>
      <c r="CBX90" s="61"/>
      <c r="CBY90" s="62"/>
      <c r="CBZ90" s="53"/>
      <c r="CCA90" s="60"/>
      <c r="CCB90" s="60"/>
      <c r="CCC90" s="61"/>
      <c r="CCD90" s="61"/>
      <c r="CCE90" s="61"/>
      <c r="CCF90" s="61"/>
      <c r="CCG90" s="62"/>
      <c r="CCH90" s="53"/>
      <c r="CCI90" s="60"/>
      <c r="CCJ90" s="60"/>
      <c r="CCK90" s="61"/>
      <c r="CCL90" s="61"/>
      <c r="CCM90" s="61"/>
      <c r="CCN90" s="61"/>
      <c r="CCO90" s="62"/>
      <c r="CCP90" s="53"/>
      <c r="CCQ90" s="60"/>
      <c r="CCR90" s="60"/>
      <c r="CCS90" s="61"/>
      <c r="CCT90" s="61"/>
      <c r="CCU90" s="61"/>
      <c r="CCV90" s="61"/>
      <c r="CCW90" s="62"/>
      <c r="CCX90" s="53"/>
      <c r="CCY90" s="60"/>
      <c r="CCZ90" s="60"/>
      <c r="CDA90" s="61"/>
      <c r="CDB90" s="61"/>
      <c r="CDC90" s="61"/>
      <c r="CDD90" s="61"/>
      <c r="CDE90" s="62"/>
      <c r="CDF90" s="53"/>
      <c r="CDG90" s="60"/>
      <c r="CDH90" s="60"/>
      <c r="CDI90" s="61"/>
      <c r="CDJ90" s="61"/>
      <c r="CDK90" s="61"/>
      <c r="CDL90" s="61"/>
      <c r="CDM90" s="62"/>
      <c r="CDN90" s="53"/>
      <c r="CDO90" s="60"/>
      <c r="CDP90" s="60"/>
      <c r="CDQ90" s="61"/>
      <c r="CDR90" s="61"/>
      <c r="CDS90" s="61"/>
      <c r="CDT90" s="61"/>
      <c r="CDU90" s="62"/>
      <c r="CDV90" s="53"/>
      <c r="CDW90" s="60"/>
      <c r="CDX90" s="60"/>
      <c r="CDY90" s="61"/>
      <c r="CDZ90" s="61"/>
      <c r="CEA90" s="61"/>
      <c r="CEB90" s="61"/>
      <c r="CEC90" s="62"/>
      <c r="CED90" s="53"/>
      <c r="CEE90" s="60"/>
      <c r="CEF90" s="60"/>
      <c r="CEG90" s="61"/>
      <c r="CEH90" s="61"/>
      <c r="CEI90" s="61"/>
      <c r="CEJ90" s="61"/>
      <c r="CEK90" s="62"/>
      <c r="CEL90" s="53"/>
      <c r="CEM90" s="60"/>
      <c r="CEN90" s="60"/>
      <c r="CEO90" s="61"/>
      <c r="CEP90" s="61"/>
      <c r="CEQ90" s="61"/>
      <c r="CER90" s="61"/>
      <c r="CES90" s="62"/>
      <c r="CET90" s="53"/>
      <c r="CEU90" s="60"/>
      <c r="CEV90" s="60"/>
      <c r="CEW90" s="61"/>
      <c r="CEX90" s="61"/>
      <c r="CEY90" s="61"/>
      <c r="CEZ90" s="61"/>
      <c r="CFA90" s="62"/>
      <c r="CFB90" s="53"/>
      <c r="CFC90" s="60"/>
      <c r="CFD90" s="60"/>
      <c r="CFE90" s="61"/>
      <c r="CFF90" s="61"/>
      <c r="CFG90" s="61"/>
      <c r="CFH90" s="61"/>
      <c r="CFI90" s="62"/>
      <c r="CFJ90" s="53"/>
      <c r="CFK90" s="60"/>
      <c r="CFL90" s="60"/>
      <c r="CFM90" s="61"/>
      <c r="CFN90" s="61"/>
      <c r="CFO90" s="61"/>
      <c r="CFP90" s="61"/>
      <c r="CFQ90" s="62"/>
      <c r="CFR90" s="53"/>
      <c r="CFS90" s="60"/>
      <c r="CFT90" s="60"/>
      <c r="CFU90" s="61"/>
      <c r="CFV90" s="61"/>
      <c r="CFW90" s="61"/>
      <c r="CFX90" s="61"/>
      <c r="CFY90" s="62"/>
      <c r="CFZ90" s="53"/>
      <c r="CGA90" s="60"/>
      <c r="CGB90" s="60"/>
      <c r="CGC90" s="61"/>
      <c r="CGD90" s="61"/>
      <c r="CGE90" s="61"/>
      <c r="CGF90" s="61"/>
      <c r="CGG90" s="62"/>
      <c r="CGH90" s="53"/>
      <c r="CGI90" s="60"/>
      <c r="CGJ90" s="60"/>
      <c r="CGK90" s="61"/>
      <c r="CGL90" s="61"/>
      <c r="CGM90" s="61"/>
      <c r="CGN90" s="61"/>
      <c r="CGO90" s="62"/>
      <c r="CGP90" s="53"/>
      <c r="CGQ90" s="60"/>
      <c r="CGR90" s="60"/>
      <c r="CGS90" s="61"/>
      <c r="CGT90" s="61"/>
      <c r="CGU90" s="61"/>
      <c r="CGV90" s="61"/>
      <c r="CGW90" s="62"/>
      <c r="CGX90" s="53"/>
      <c r="CGY90" s="60"/>
      <c r="CGZ90" s="60"/>
      <c r="CHA90" s="61"/>
      <c r="CHB90" s="61"/>
      <c r="CHC90" s="61"/>
      <c r="CHD90" s="61"/>
      <c r="CHE90" s="62"/>
      <c r="CHF90" s="53"/>
      <c r="CHG90" s="60"/>
      <c r="CHH90" s="60"/>
      <c r="CHI90" s="61"/>
      <c r="CHJ90" s="61"/>
      <c r="CHK90" s="61"/>
      <c r="CHL90" s="61"/>
      <c r="CHM90" s="62"/>
      <c r="CHN90" s="53"/>
      <c r="CHO90" s="60"/>
      <c r="CHP90" s="60"/>
      <c r="CHQ90" s="61"/>
      <c r="CHR90" s="61"/>
      <c r="CHS90" s="61"/>
      <c r="CHT90" s="61"/>
      <c r="CHU90" s="62"/>
      <c r="CHV90" s="53"/>
      <c r="CHW90" s="60"/>
      <c r="CHX90" s="60"/>
      <c r="CHY90" s="61"/>
      <c r="CHZ90" s="61"/>
      <c r="CIA90" s="61"/>
      <c r="CIB90" s="61"/>
      <c r="CIC90" s="62"/>
      <c r="CID90" s="53"/>
      <c r="CIE90" s="60"/>
      <c r="CIF90" s="60"/>
      <c r="CIG90" s="61"/>
      <c r="CIH90" s="61"/>
      <c r="CII90" s="61"/>
      <c r="CIJ90" s="61"/>
      <c r="CIK90" s="62"/>
      <c r="CIL90" s="53"/>
      <c r="CIM90" s="60"/>
      <c r="CIN90" s="60"/>
      <c r="CIO90" s="61"/>
      <c r="CIP90" s="61"/>
      <c r="CIQ90" s="61"/>
      <c r="CIR90" s="61"/>
      <c r="CIS90" s="62"/>
      <c r="CIT90" s="53"/>
      <c r="CIU90" s="60"/>
      <c r="CIV90" s="60"/>
      <c r="CIW90" s="61"/>
      <c r="CIX90" s="61"/>
      <c r="CIY90" s="61"/>
      <c r="CIZ90" s="61"/>
      <c r="CJA90" s="62"/>
      <c r="CJB90" s="53"/>
      <c r="CJC90" s="60"/>
      <c r="CJD90" s="60"/>
      <c r="CJE90" s="61"/>
      <c r="CJF90" s="61"/>
      <c r="CJG90" s="61"/>
      <c r="CJH90" s="61"/>
      <c r="CJI90" s="62"/>
      <c r="CJJ90" s="53"/>
      <c r="CJK90" s="60"/>
      <c r="CJL90" s="60"/>
      <c r="CJM90" s="61"/>
      <c r="CJN90" s="61"/>
      <c r="CJO90" s="61"/>
      <c r="CJP90" s="61"/>
      <c r="CJQ90" s="62"/>
      <c r="CJR90" s="53"/>
      <c r="CJS90" s="60"/>
      <c r="CJT90" s="60"/>
      <c r="CJU90" s="61"/>
      <c r="CJV90" s="61"/>
      <c r="CJW90" s="61"/>
      <c r="CJX90" s="61"/>
      <c r="CJY90" s="62"/>
      <c r="CJZ90" s="53"/>
      <c r="CKA90" s="60"/>
      <c r="CKB90" s="60"/>
      <c r="CKC90" s="61"/>
      <c r="CKD90" s="61"/>
      <c r="CKE90" s="61"/>
      <c r="CKF90" s="61"/>
      <c r="CKG90" s="62"/>
      <c r="CKH90" s="53"/>
      <c r="CKI90" s="60"/>
      <c r="CKJ90" s="60"/>
      <c r="CKK90" s="61"/>
      <c r="CKL90" s="61"/>
      <c r="CKM90" s="61"/>
      <c r="CKN90" s="61"/>
      <c r="CKO90" s="62"/>
      <c r="CKP90" s="53"/>
      <c r="CKQ90" s="60"/>
      <c r="CKR90" s="60"/>
      <c r="CKS90" s="61"/>
      <c r="CKT90" s="61"/>
      <c r="CKU90" s="61"/>
      <c r="CKV90" s="61"/>
      <c r="CKW90" s="62"/>
      <c r="CKX90" s="53"/>
      <c r="CKY90" s="60"/>
      <c r="CKZ90" s="60"/>
      <c r="CLA90" s="61"/>
      <c r="CLB90" s="61"/>
      <c r="CLC90" s="61"/>
      <c r="CLD90" s="61"/>
      <c r="CLE90" s="62"/>
      <c r="CLF90" s="53"/>
      <c r="CLG90" s="60"/>
      <c r="CLH90" s="60"/>
      <c r="CLI90" s="61"/>
      <c r="CLJ90" s="61"/>
      <c r="CLK90" s="61"/>
      <c r="CLL90" s="61"/>
      <c r="CLM90" s="62"/>
      <c r="CLN90" s="53"/>
      <c r="CLO90" s="60"/>
      <c r="CLP90" s="60"/>
      <c r="CLQ90" s="61"/>
      <c r="CLR90" s="61"/>
      <c r="CLS90" s="61"/>
      <c r="CLT90" s="61"/>
      <c r="CLU90" s="62"/>
      <c r="CLV90" s="53"/>
      <c r="CLW90" s="60"/>
      <c r="CLX90" s="60"/>
      <c r="CLY90" s="61"/>
      <c r="CLZ90" s="61"/>
      <c r="CMA90" s="61"/>
      <c r="CMB90" s="61"/>
      <c r="CMC90" s="62"/>
      <c r="CMD90" s="53"/>
      <c r="CME90" s="60"/>
      <c r="CMF90" s="60"/>
      <c r="CMG90" s="61"/>
      <c r="CMH90" s="61"/>
      <c r="CMI90" s="61"/>
      <c r="CMJ90" s="61"/>
      <c r="CMK90" s="62"/>
      <c r="CML90" s="53"/>
      <c r="CMM90" s="60"/>
      <c r="CMN90" s="60"/>
      <c r="CMO90" s="61"/>
      <c r="CMP90" s="61"/>
      <c r="CMQ90" s="61"/>
      <c r="CMR90" s="61"/>
      <c r="CMS90" s="62"/>
      <c r="CMT90" s="53"/>
      <c r="CMU90" s="60"/>
      <c r="CMV90" s="60"/>
      <c r="CMW90" s="61"/>
      <c r="CMX90" s="61"/>
      <c r="CMY90" s="61"/>
      <c r="CMZ90" s="61"/>
      <c r="CNA90" s="62"/>
      <c r="CNB90" s="53"/>
      <c r="CNC90" s="60"/>
      <c r="CND90" s="60"/>
      <c r="CNE90" s="61"/>
      <c r="CNF90" s="61"/>
      <c r="CNG90" s="61"/>
      <c r="CNH90" s="61"/>
      <c r="CNI90" s="62"/>
      <c r="CNJ90" s="53"/>
      <c r="CNK90" s="60"/>
      <c r="CNL90" s="60"/>
      <c r="CNM90" s="61"/>
      <c r="CNN90" s="61"/>
      <c r="CNO90" s="61"/>
      <c r="CNP90" s="61"/>
      <c r="CNQ90" s="62"/>
      <c r="CNR90" s="53"/>
      <c r="CNS90" s="60"/>
      <c r="CNT90" s="60"/>
      <c r="CNU90" s="61"/>
      <c r="CNV90" s="61"/>
      <c r="CNW90" s="61"/>
      <c r="CNX90" s="61"/>
      <c r="CNY90" s="62"/>
      <c r="CNZ90" s="53"/>
      <c r="COA90" s="60"/>
      <c r="COB90" s="60"/>
      <c r="COC90" s="61"/>
      <c r="COD90" s="61"/>
      <c r="COE90" s="61"/>
      <c r="COF90" s="61"/>
      <c r="COG90" s="62"/>
      <c r="COH90" s="53"/>
      <c r="COI90" s="60"/>
      <c r="COJ90" s="60"/>
      <c r="COK90" s="61"/>
      <c r="COL90" s="61"/>
      <c r="COM90" s="61"/>
      <c r="CON90" s="61"/>
      <c r="COO90" s="62"/>
      <c r="COP90" s="53"/>
      <c r="COQ90" s="60"/>
      <c r="COR90" s="60"/>
      <c r="COS90" s="61"/>
      <c r="COT90" s="61"/>
      <c r="COU90" s="61"/>
      <c r="COV90" s="61"/>
      <c r="COW90" s="62"/>
      <c r="COX90" s="53"/>
      <c r="COY90" s="60"/>
      <c r="COZ90" s="60"/>
      <c r="CPA90" s="61"/>
      <c r="CPB90" s="61"/>
      <c r="CPC90" s="61"/>
      <c r="CPD90" s="61"/>
      <c r="CPE90" s="62"/>
      <c r="CPF90" s="53"/>
      <c r="CPG90" s="60"/>
      <c r="CPH90" s="60"/>
      <c r="CPI90" s="61"/>
      <c r="CPJ90" s="61"/>
      <c r="CPK90" s="61"/>
      <c r="CPL90" s="61"/>
      <c r="CPM90" s="62"/>
      <c r="CPN90" s="53"/>
      <c r="CPO90" s="60"/>
      <c r="CPP90" s="60"/>
      <c r="CPQ90" s="61"/>
      <c r="CPR90" s="61"/>
      <c r="CPS90" s="61"/>
      <c r="CPT90" s="61"/>
      <c r="CPU90" s="62"/>
      <c r="CPV90" s="53"/>
      <c r="CPW90" s="60"/>
      <c r="CPX90" s="60"/>
      <c r="CPY90" s="61"/>
      <c r="CPZ90" s="61"/>
      <c r="CQA90" s="61"/>
      <c r="CQB90" s="61"/>
      <c r="CQC90" s="62"/>
      <c r="CQD90" s="53"/>
      <c r="CQE90" s="60"/>
      <c r="CQF90" s="60"/>
      <c r="CQG90" s="61"/>
      <c r="CQH90" s="61"/>
      <c r="CQI90" s="61"/>
      <c r="CQJ90" s="61"/>
      <c r="CQK90" s="62"/>
      <c r="CQL90" s="53"/>
      <c r="CQM90" s="60"/>
      <c r="CQN90" s="60"/>
      <c r="CQO90" s="61"/>
      <c r="CQP90" s="61"/>
      <c r="CQQ90" s="61"/>
      <c r="CQR90" s="61"/>
      <c r="CQS90" s="62"/>
      <c r="CQT90" s="53"/>
      <c r="CQU90" s="60"/>
      <c r="CQV90" s="60"/>
      <c r="CQW90" s="61"/>
      <c r="CQX90" s="61"/>
      <c r="CQY90" s="61"/>
      <c r="CQZ90" s="61"/>
      <c r="CRA90" s="62"/>
      <c r="CRB90" s="53"/>
      <c r="CRC90" s="60"/>
      <c r="CRD90" s="60"/>
      <c r="CRE90" s="61"/>
      <c r="CRF90" s="61"/>
      <c r="CRG90" s="61"/>
      <c r="CRH90" s="61"/>
      <c r="CRI90" s="62"/>
      <c r="CRJ90" s="53"/>
      <c r="CRK90" s="60"/>
      <c r="CRL90" s="60"/>
      <c r="CRM90" s="61"/>
      <c r="CRN90" s="61"/>
      <c r="CRO90" s="61"/>
      <c r="CRP90" s="61"/>
      <c r="CRQ90" s="62"/>
      <c r="CRR90" s="53"/>
      <c r="CRS90" s="60"/>
      <c r="CRT90" s="60"/>
      <c r="CRU90" s="61"/>
      <c r="CRV90" s="61"/>
      <c r="CRW90" s="61"/>
      <c r="CRX90" s="61"/>
      <c r="CRY90" s="62"/>
      <c r="CRZ90" s="53"/>
      <c r="CSA90" s="60"/>
      <c r="CSB90" s="60"/>
      <c r="CSC90" s="61"/>
      <c r="CSD90" s="61"/>
      <c r="CSE90" s="61"/>
      <c r="CSF90" s="61"/>
      <c r="CSG90" s="62"/>
      <c r="CSH90" s="53"/>
      <c r="CSI90" s="60"/>
      <c r="CSJ90" s="60"/>
      <c r="CSK90" s="61"/>
      <c r="CSL90" s="61"/>
      <c r="CSM90" s="61"/>
      <c r="CSN90" s="61"/>
      <c r="CSO90" s="62"/>
      <c r="CSP90" s="53"/>
      <c r="CSQ90" s="60"/>
      <c r="CSR90" s="60"/>
      <c r="CSS90" s="61"/>
      <c r="CST90" s="61"/>
      <c r="CSU90" s="61"/>
      <c r="CSV90" s="61"/>
      <c r="CSW90" s="62"/>
      <c r="CSX90" s="53"/>
      <c r="CSY90" s="60"/>
      <c r="CSZ90" s="60"/>
      <c r="CTA90" s="61"/>
      <c r="CTB90" s="61"/>
      <c r="CTC90" s="61"/>
      <c r="CTD90" s="61"/>
      <c r="CTE90" s="62"/>
      <c r="CTF90" s="53"/>
      <c r="CTG90" s="60"/>
      <c r="CTH90" s="60"/>
      <c r="CTI90" s="61"/>
      <c r="CTJ90" s="61"/>
      <c r="CTK90" s="61"/>
      <c r="CTL90" s="61"/>
      <c r="CTM90" s="62"/>
      <c r="CTN90" s="53"/>
      <c r="CTO90" s="60"/>
      <c r="CTP90" s="60"/>
      <c r="CTQ90" s="61"/>
      <c r="CTR90" s="61"/>
      <c r="CTS90" s="61"/>
      <c r="CTT90" s="61"/>
      <c r="CTU90" s="62"/>
      <c r="CTV90" s="53"/>
      <c r="CTW90" s="60"/>
      <c r="CTX90" s="60"/>
      <c r="CTY90" s="61"/>
      <c r="CTZ90" s="61"/>
      <c r="CUA90" s="61"/>
      <c r="CUB90" s="61"/>
      <c r="CUC90" s="62"/>
      <c r="CUD90" s="53"/>
      <c r="CUE90" s="60"/>
      <c r="CUF90" s="60"/>
      <c r="CUG90" s="61"/>
      <c r="CUH90" s="61"/>
      <c r="CUI90" s="61"/>
      <c r="CUJ90" s="61"/>
      <c r="CUK90" s="62"/>
      <c r="CUL90" s="53"/>
      <c r="CUM90" s="60"/>
      <c r="CUN90" s="60"/>
      <c r="CUO90" s="61"/>
      <c r="CUP90" s="61"/>
      <c r="CUQ90" s="61"/>
      <c r="CUR90" s="61"/>
      <c r="CUS90" s="62"/>
      <c r="CUT90" s="53"/>
      <c r="CUU90" s="60"/>
      <c r="CUV90" s="60"/>
      <c r="CUW90" s="61"/>
      <c r="CUX90" s="61"/>
      <c r="CUY90" s="61"/>
      <c r="CUZ90" s="61"/>
      <c r="CVA90" s="62"/>
      <c r="CVB90" s="53"/>
      <c r="CVC90" s="60"/>
      <c r="CVD90" s="60"/>
      <c r="CVE90" s="61"/>
      <c r="CVF90" s="61"/>
      <c r="CVG90" s="61"/>
      <c r="CVH90" s="61"/>
      <c r="CVI90" s="62"/>
      <c r="CVJ90" s="53"/>
      <c r="CVK90" s="60"/>
      <c r="CVL90" s="60"/>
      <c r="CVM90" s="61"/>
      <c r="CVN90" s="61"/>
      <c r="CVO90" s="61"/>
      <c r="CVP90" s="61"/>
      <c r="CVQ90" s="62"/>
      <c r="CVR90" s="53"/>
      <c r="CVS90" s="60"/>
      <c r="CVT90" s="60"/>
      <c r="CVU90" s="61"/>
      <c r="CVV90" s="61"/>
      <c r="CVW90" s="61"/>
      <c r="CVX90" s="61"/>
      <c r="CVY90" s="62"/>
      <c r="CVZ90" s="53"/>
      <c r="CWA90" s="60"/>
      <c r="CWB90" s="60"/>
      <c r="CWC90" s="61"/>
      <c r="CWD90" s="61"/>
      <c r="CWE90" s="61"/>
      <c r="CWF90" s="61"/>
      <c r="CWG90" s="62"/>
      <c r="CWH90" s="53"/>
      <c r="CWI90" s="60"/>
      <c r="CWJ90" s="60"/>
      <c r="CWK90" s="61"/>
      <c r="CWL90" s="61"/>
      <c r="CWM90" s="61"/>
      <c r="CWN90" s="61"/>
      <c r="CWO90" s="62"/>
      <c r="CWP90" s="53"/>
      <c r="CWQ90" s="60"/>
      <c r="CWR90" s="60"/>
      <c r="CWS90" s="61"/>
      <c r="CWT90" s="61"/>
      <c r="CWU90" s="61"/>
      <c r="CWV90" s="61"/>
      <c r="CWW90" s="62"/>
      <c r="CWX90" s="53"/>
      <c r="CWY90" s="60"/>
      <c r="CWZ90" s="60"/>
      <c r="CXA90" s="61"/>
      <c r="CXB90" s="61"/>
      <c r="CXC90" s="61"/>
      <c r="CXD90" s="61"/>
      <c r="CXE90" s="62"/>
      <c r="CXF90" s="53"/>
      <c r="CXG90" s="60"/>
      <c r="CXH90" s="60"/>
      <c r="CXI90" s="61"/>
      <c r="CXJ90" s="61"/>
      <c r="CXK90" s="61"/>
      <c r="CXL90" s="61"/>
      <c r="CXM90" s="62"/>
      <c r="CXN90" s="53"/>
      <c r="CXO90" s="60"/>
      <c r="CXP90" s="60"/>
      <c r="CXQ90" s="61"/>
      <c r="CXR90" s="61"/>
      <c r="CXS90" s="61"/>
      <c r="CXT90" s="61"/>
      <c r="CXU90" s="62"/>
      <c r="CXV90" s="53"/>
      <c r="CXW90" s="60"/>
      <c r="CXX90" s="60"/>
      <c r="CXY90" s="61"/>
      <c r="CXZ90" s="61"/>
      <c r="CYA90" s="61"/>
      <c r="CYB90" s="61"/>
      <c r="CYC90" s="62"/>
      <c r="CYD90" s="53"/>
      <c r="CYE90" s="60"/>
      <c r="CYF90" s="60"/>
      <c r="CYG90" s="61"/>
      <c r="CYH90" s="61"/>
      <c r="CYI90" s="61"/>
      <c r="CYJ90" s="61"/>
      <c r="CYK90" s="62"/>
      <c r="CYL90" s="53"/>
      <c r="CYM90" s="60"/>
      <c r="CYN90" s="60"/>
      <c r="CYO90" s="61"/>
      <c r="CYP90" s="61"/>
      <c r="CYQ90" s="61"/>
      <c r="CYR90" s="61"/>
      <c r="CYS90" s="62"/>
      <c r="CYT90" s="53"/>
      <c r="CYU90" s="60"/>
      <c r="CYV90" s="60"/>
      <c r="CYW90" s="61"/>
      <c r="CYX90" s="61"/>
      <c r="CYY90" s="61"/>
      <c r="CYZ90" s="61"/>
      <c r="CZA90" s="62"/>
      <c r="CZB90" s="53"/>
      <c r="CZC90" s="60"/>
      <c r="CZD90" s="60"/>
      <c r="CZE90" s="61"/>
      <c r="CZF90" s="61"/>
      <c r="CZG90" s="61"/>
      <c r="CZH90" s="61"/>
      <c r="CZI90" s="62"/>
      <c r="CZJ90" s="53"/>
      <c r="CZK90" s="60"/>
      <c r="CZL90" s="60"/>
      <c r="CZM90" s="61"/>
      <c r="CZN90" s="61"/>
      <c r="CZO90" s="61"/>
      <c r="CZP90" s="61"/>
      <c r="CZQ90" s="62"/>
      <c r="CZR90" s="53"/>
      <c r="CZS90" s="60"/>
      <c r="CZT90" s="60"/>
      <c r="CZU90" s="61"/>
      <c r="CZV90" s="61"/>
      <c r="CZW90" s="61"/>
      <c r="CZX90" s="61"/>
      <c r="CZY90" s="62"/>
      <c r="CZZ90" s="53"/>
      <c r="DAA90" s="60"/>
      <c r="DAB90" s="60"/>
      <c r="DAC90" s="61"/>
      <c r="DAD90" s="61"/>
      <c r="DAE90" s="61"/>
      <c r="DAF90" s="61"/>
      <c r="DAG90" s="62"/>
      <c r="DAH90" s="53"/>
      <c r="DAI90" s="60"/>
      <c r="DAJ90" s="60"/>
      <c r="DAK90" s="61"/>
      <c r="DAL90" s="61"/>
      <c r="DAM90" s="61"/>
      <c r="DAN90" s="61"/>
      <c r="DAO90" s="62"/>
      <c r="DAP90" s="53"/>
      <c r="DAQ90" s="60"/>
      <c r="DAR90" s="60"/>
      <c r="DAS90" s="61"/>
      <c r="DAT90" s="61"/>
      <c r="DAU90" s="61"/>
      <c r="DAV90" s="61"/>
      <c r="DAW90" s="62"/>
      <c r="DAX90" s="53"/>
      <c r="DAY90" s="60"/>
      <c r="DAZ90" s="60"/>
      <c r="DBA90" s="61"/>
      <c r="DBB90" s="61"/>
      <c r="DBC90" s="61"/>
      <c r="DBD90" s="61"/>
      <c r="DBE90" s="62"/>
      <c r="DBF90" s="53"/>
      <c r="DBG90" s="60"/>
      <c r="DBH90" s="60"/>
      <c r="DBI90" s="61"/>
      <c r="DBJ90" s="61"/>
      <c r="DBK90" s="61"/>
      <c r="DBL90" s="61"/>
      <c r="DBM90" s="62"/>
      <c r="DBN90" s="53"/>
      <c r="DBO90" s="60"/>
      <c r="DBP90" s="60"/>
      <c r="DBQ90" s="61"/>
      <c r="DBR90" s="61"/>
      <c r="DBS90" s="61"/>
      <c r="DBT90" s="61"/>
      <c r="DBU90" s="62"/>
      <c r="DBV90" s="53"/>
      <c r="DBW90" s="60"/>
      <c r="DBX90" s="60"/>
      <c r="DBY90" s="61"/>
      <c r="DBZ90" s="61"/>
      <c r="DCA90" s="61"/>
      <c r="DCB90" s="61"/>
      <c r="DCC90" s="62"/>
      <c r="DCD90" s="53"/>
      <c r="DCE90" s="60"/>
      <c r="DCF90" s="60"/>
      <c r="DCG90" s="61"/>
      <c r="DCH90" s="61"/>
      <c r="DCI90" s="61"/>
      <c r="DCJ90" s="61"/>
      <c r="DCK90" s="62"/>
      <c r="DCL90" s="53"/>
      <c r="DCM90" s="60"/>
      <c r="DCN90" s="60"/>
      <c r="DCO90" s="61"/>
      <c r="DCP90" s="61"/>
      <c r="DCQ90" s="61"/>
      <c r="DCR90" s="61"/>
      <c r="DCS90" s="62"/>
      <c r="DCT90" s="53"/>
      <c r="DCU90" s="60"/>
      <c r="DCV90" s="60"/>
      <c r="DCW90" s="61"/>
      <c r="DCX90" s="61"/>
      <c r="DCY90" s="61"/>
      <c r="DCZ90" s="61"/>
      <c r="DDA90" s="62"/>
      <c r="DDB90" s="53"/>
      <c r="DDC90" s="60"/>
      <c r="DDD90" s="60"/>
      <c r="DDE90" s="61"/>
      <c r="DDF90" s="61"/>
      <c r="DDG90" s="61"/>
      <c r="DDH90" s="61"/>
      <c r="DDI90" s="62"/>
      <c r="DDJ90" s="53"/>
      <c r="DDK90" s="60"/>
      <c r="DDL90" s="60"/>
      <c r="DDM90" s="61"/>
      <c r="DDN90" s="61"/>
      <c r="DDO90" s="61"/>
      <c r="DDP90" s="61"/>
      <c r="DDQ90" s="62"/>
      <c r="DDR90" s="53"/>
      <c r="DDS90" s="60"/>
      <c r="DDT90" s="60"/>
      <c r="DDU90" s="61"/>
      <c r="DDV90" s="61"/>
      <c r="DDW90" s="61"/>
      <c r="DDX90" s="61"/>
      <c r="DDY90" s="62"/>
      <c r="DDZ90" s="53"/>
      <c r="DEA90" s="60"/>
      <c r="DEB90" s="60"/>
      <c r="DEC90" s="61"/>
      <c r="DED90" s="61"/>
      <c r="DEE90" s="61"/>
      <c r="DEF90" s="61"/>
      <c r="DEG90" s="62"/>
      <c r="DEH90" s="53"/>
      <c r="DEI90" s="60"/>
      <c r="DEJ90" s="60"/>
      <c r="DEK90" s="61"/>
      <c r="DEL90" s="61"/>
      <c r="DEM90" s="61"/>
      <c r="DEN90" s="61"/>
      <c r="DEO90" s="62"/>
      <c r="DEP90" s="53"/>
      <c r="DEQ90" s="60"/>
      <c r="DER90" s="60"/>
      <c r="DES90" s="61"/>
      <c r="DET90" s="61"/>
      <c r="DEU90" s="61"/>
      <c r="DEV90" s="61"/>
      <c r="DEW90" s="62"/>
      <c r="DEX90" s="53"/>
      <c r="DEY90" s="60"/>
      <c r="DEZ90" s="60"/>
      <c r="DFA90" s="61"/>
      <c r="DFB90" s="61"/>
      <c r="DFC90" s="61"/>
      <c r="DFD90" s="61"/>
      <c r="DFE90" s="62"/>
      <c r="DFF90" s="53"/>
      <c r="DFG90" s="60"/>
      <c r="DFH90" s="60"/>
      <c r="DFI90" s="61"/>
      <c r="DFJ90" s="61"/>
      <c r="DFK90" s="61"/>
      <c r="DFL90" s="61"/>
      <c r="DFM90" s="62"/>
      <c r="DFN90" s="53"/>
      <c r="DFO90" s="60"/>
      <c r="DFP90" s="60"/>
      <c r="DFQ90" s="61"/>
      <c r="DFR90" s="61"/>
      <c r="DFS90" s="61"/>
      <c r="DFT90" s="61"/>
      <c r="DFU90" s="62"/>
      <c r="DFV90" s="53"/>
      <c r="DFW90" s="60"/>
      <c r="DFX90" s="60"/>
      <c r="DFY90" s="61"/>
      <c r="DFZ90" s="61"/>
      <c r="DGA90" s="61"/>
      <c r="DGB90" s="61"/>
      <c r="DGC90" s="62"/>
      <c r="DGD90" s="53"/>
      <c r="DGE90" s="60"/>
      <c r="DGF90" s="60"/>
      <c r="DGG90" s="61"/>
      <c r="DGH90" s="61"/>
      <c r="DGI90" s="61"/>
      <c r="DGJ90" s="61"/>
      <c r="DGK90" s="62"/>
      <c r="DGL90" s="53"/>
      <c r="DGM90" s="60"/>
      <c r="DGN90" s="60"/>
      <c r="DGO90" s="61"/>
      <c r="DGP90" s="61"/>
      <c r="DGQ90" s="61"/>
      <c r="DGR90" s="61"/>
      <c r="DGS90" s="62"/>
      <c r="DGT90" s="53"/>
      <c r="DGU90" s="60"/>
      <c r="DGV90" s="60"/>
      <c r="DGW90" s="61"/>
      <c r="DGX90" s="61"/>
      <c r="DGY90" s="61"/>
      <c r="DGZ90" s="61"/>
      <c r="DHA90" s="62"/>
      <c r="DHB90" s="53"/>
      <c r="DHC90" s="60"/>
      <c r="DHD90" s="60"/>
      <c r="DHE90" s="61"/>
      <c r="DHF90" s="61"/>
      <c r="DHG90" s="61"/>
      <c r="DHH90" s="61"/>
      <c r="DHI90" s="62"/>
      <c r="DHJ90" s="53"/>
      <c r="DHK90" s="60"/>
      <c r="DHL90" s="60"/>
      <c r="DHM90" s="61"/>
      <c r="DHN90" s="61"/>
      <c r="DHO90" s="61"/>
      <c r="DHP90" s="61"/>
      <c r="DHQ90" s="62"/>
      <c r="DHR90" s="53"/>
      <c r="DHS90" s="60"/>
      <c r="DHT90" s="60"/>
      <c r="DHU90" s="61"/>
      <c r="DHV90" s="61"/>
      <c r="DHW90" s="61"/>
      <c r="DHX90" s="61"/>
      <c r="DHY90" s="62"/>
      <c r="DHZ90" s="53"/>
      <c r="DIA90" s="60"/>
      <c r="DIB90" s="60"/>
      <c r="DIC90" s="61"/>
      <c r="DID90" s="61"/>
      <c r="DIE90" s="61"/>
      <c r="DIF90" s="61"/>
      <c r="DIG90" s="62"/>
      <c r="DIH90" s="53"/>
      <c r="DII90" s="60"/>
      <c r="DIJ90" s="60"/>
      <c r="DIK90" s="61"/>
      <c r="DIL90" s="61"/>
      <c r="DIM90" s="61"/>
      <c r="DIN90" s="61"/>
      <c r="DIO90" s="62"/>
      <c r="DIP90" s="53"/>
      <c r="DIQ90" s="60"/>
      <c r="DIR90" s="60"/>
      <c r="DIS90" s="61"/>
      <c r="DIT90" s="61"/>
      <c r="DIU90" s="61"/>
      <c r="DIV90" s="61"/>
      <c r="DIW90" s="62"/>
      <c r="DIX90" s="53"/>
      <c r="DIY90" s="60"/>
      <c r="DIZ90" s="60"/>
      <c r="DJA90" s="61"/>
      <c r="DJB90" s="61"/>
      <c r="DJC90" s="61"/>
      <c r="DJD90" s="61"/>
      <c r="DJE90" s="62"/>
      <c r="DJF90" s="53"/>
      <c r="DJG90" s="60"/>
      <c r="DJH90" s="60"/>
      <c r="DJI90" s="61"/>
      <c r="DJJ90" s="61"/>
      <c r="DJK90" s="61"/>
      <c r="DJL90" s="61"/>
      <c r="DJM90" s="62"/>
      <c r="DJN90" s="53"/>
      <c r="DJO90" s="60"/>
      <c r="DJP90" s="60"/>
      <c r="DJQ90" s="61"/>
      <c r="DJR90" s="61"/>
      <c r="DJS90" s="61"/>
      <c r="DJT90" s="61"/>
      <c r="DJU90" s="62"/>
      <c r="DJV90" s="53"/>
      <c r="DJW90" s="60"/>
      <c r="DJX90" s="60"/>
      <c r="DJY90" s="61"/>
      <c r="DJZ90" s="61"/>
      <c r="DKA90" s="61"/>
      <c r="DKB90" s="61"/>
      <c r="DKC90" s="62"/>
      <c r="DKD90" s="53"/>
      <c r="DKE90" s="60"/>
      <c r="DKF90" s="60"/>
      <c r="DKG90" s="61"/>
      <c r="DKH90" s="61"/>
      <c r="DKI90" s="61"/>
      <c r="DKJ90" s="61"/>
      <c r="DKK90" s="62"/>
      <c r="DKL90" s="53"/>
      <c r="DKM90" s="60"/>
      <c r="DKN90" s="60"/>
      <c r="DKO90" s="61"/>
      <c r="DKP90" s="61"/>
      <c r="DKQ90" s="61"/>
      <c r="DKR90" s="61"/>
      <c r="DKS90" s="62"/>
      <c r="DKT90" s="53"/>
      <c r="DKU90" s="60"/>
      <c r="DKV90" s="60"/>
      <c r="DKW90" s="61"/>
      <c r="DKX90" s="61"/>
      <c r="DKY90" s="61"/>
      <c r="DKZ90" s="61"/>
      <c r="DLA90" s="62"/>
      <c r="DLB90" s="53"/>
      <c r="DLC90" s="60"/>
      <c r="DLD90" s="60"/>
      <c r="DLE90" s="61"/>
      <c r="DLF90" s="61"/>
      <c r="DLG90" s="61"/>
      <c r="DLH90" s="61"/>
      <c r="DLI90" s="62"/>
      <c r="DLJ90" s="53"/>
      <c r="DLK90" s="60"/>
      <c r="DLL90" s="60"/>
      <c r="DLM90" s="61"/>
      <c r="DLN90" s="61"/>
      <c r="DLO90" s="61"/>
      <c r="DLP90" s="61"/>
      <c r="DLQ90" s="62"/>
      <c r="DLR90" s="53"/>
      <c r="DLS90" s="60"/>
      <c r="DLT90" s="60"/>
      <c r="DLU90" s="61"/>
      <c r="DLV90" s="61"/>
      <c r="DLW90" s="61"/>
      <c r="DLX90" s="61"/>
      <c r="DLY90" s="62"/>
      <c r="DLZ90" s="53"/>
      <c r="DMA90" s="60"/>
      <c r="DMB90" s="60"/>
      <c r="DMC90" s="61"/>
      <c r="DMD90" s="61"/>
      <c r="DME90" s="61"/>
      <c r="DMF90" s="61"/>
      <c r="DMG90" s="62"/>
      <c r="DMH90" s="53"/>
      <c r="DMI90" s="60"/>
      <c r="DMJ90" s="60"/>
      <c r="DMK90" s="61"/>
      <c r="DML90" s="61"/>
      <c r="DMM90" s="61"/>
      <c r="DMN90" s="61"/>
      <c r="DMO90" s="62"/>
      <c r="DMP90" s="53"/>
      <c r="DMQ90" s="60"/>
      <c r="DMR90" s="60"/>
      <c r="DMS90" s="61"/>
      <c r="DMT90" s="61"/>
      <c r="DMU90" s="61"/>
      <c r="DMV90" s="61"/>
      <c r="DMW90" s="62"/>
      <c r="DMX90" s="53"/>
      <c r="DMY90" s="60"/>
      <c r="DMZ90" s="60"/>
      <c r="DNA90" s="61"/>
      <c r="DNB90" s="61"/>
      <c r="DNC90" s="61"/>
      <c r="DND90" s="61"/>
      <c r="DNE90" s="62"/>
      <c r="DNF90" s="53"/>
      <c r="DNG90" s="60"/>
      <c r="DNH90" s="60"/>
      <c r="DNI90" s="61"/>
      <c r="DNJ90" s="61"/>
      <c r="DNK90" s="61"/>
      <c r="DNL90" s="61"/>
      <c r="DNM90" s="62"/>
      <c r="DNN90" s="53"/>
      <c r="DNO90" s="60"/>
      <c r="DNP90" s="60"/>
      <c r="DNQ90" s="61"/>
      <c r="DNR90" s="61"/>
      <c r="DNS90" s="61"/>
      <c r="DNT90" s="61"/>
      <c r="DNU90" s="62"/>
      <c r="DNV90" s="53"/>
      <c r="DNW90" s="60"/>
      <c r="DNX90" s="60"/>
      <c r="DNY90" s="61"/>
      <c r="DNZ90" s="61"/>
      <c r="DOA90" s="61"/>
      <c r="DOB90" s="61"/>
      <c r="DOC90" s="62"/>
      <c r="DOD90" s="53"/>
      <c r="DOE90" s="60"/>
      <c r="DOF90" s="60"/>
      <c r="DOG90" s="61"/>
      <c r="DOH90" s="61"/>
      <c r="DOI90" s="61"/>
      <c r="DOJ90" s="61"/>
      <c r="DOK90" s="62"/>
      <c r="DOL90" s="53"/>
      <c r="DOM90" s="60"/>
      <c r="DON90" s="60"/>
      <c r="DOO90" s="61"/>
      <c r="DOP90" s="61"/>
      <c r="DOQ90" s="61"/>
      <c r="DOR90" s="61"/>
      <c r="DOS90" s="62"/>
      <c r="DOT90" s="53"/>
      <c r="DOU90" s="60"/>
      <c r="DOV90" s="60"/>
      <c r="DOW90" s="61"/>
      <c r="DOX90" s="61"/>
      <c r="DOY90" s="61"/>
      <c r="DOZ90" s="61"/>
      <c r="DPA90" s="62"/>
      <c r="DPB90" s="53"/>
      <c r="DPC90" s="60"/>
      <c r="DPD90" s="60"/>
      <c r="DPE90" s="61"/>
      <c r="DPF90" s="61"/>
      <c r="DPG90" s="61"/>
      <c r="DPH90" s="61"/>
      <c r="DPI90" s="62"/>
      <c r="DPJ90" s="53"/>
      <c r="DPK90" s="60"/>
      <c r="DPL90" s="60"/>
      <c r="DPM90" s="61"/>
      <c r="DPN90" s="61"/>
      <c r="DPO90" s="61"/>
      <c r="DPP90" s="61"/>
      <c r="DPQ90" s="62"/>
      <c r="DPR90" s="53"/>
      <c r="DPS90" s="60"/>
      <c r="DPT90" s="60"/>
      <c r="DPU90" s="61"/>
      <c r="DPV90" s="61"/>
      <c r="DPW90" s="61"/>
      <c r="DPX90" s="61"/>
      <c r="DPY90" s="62"/>
      <c r="DPZ90" s="53"/>
      <c r="DQA90" s="60"/>
      <c r="DQB90" s="60"/>
      <c r="DQC90" s="61"/>
      <c r="DQD90" s="61"/>
      <c r="DQE90" s="61"/>
      <c r="DQF90" s="61"/>
      <c r="DQG90" s="62"/>
      <c r="DQH90" s="53"/>
      <c r="DQI90" s="60"/>
      <c r="DQJ90" s="60"/>
      <c r="DQK90" s="61"/>
      <c r="DQL90" s="61"/>
      <c r="DQM90" s="61"/>
      <c r="DQN90" s="61"/>
      <c r="DQO90" s="62"/>
      <c r="DQP90" s="53"/>
      <c r="DQQ90" s="60"/>
      <c r="DQR90" s="60"/>
      <c r="DQS90" s="61"/>
      <c r="DQT90" s="61"/>
      <c r="DQU90" s="61"/>
      <c r="DQV90" s="61"/>
      <c r="DQW90" s="62"/>
      <c r="DQX90" s="53"/>
      <c r="DQY90" s="60"/>
      <c r="DQZ90" s="60"/>
      <c r="DRA90" s="61"/>
      <c r="DRB90" s="61"/>
      <c r="DRC90" s="61"/>
      <c r="DRD90" s="61"/>
      <c r="DRE90" s="62"/>
      <c r="DRF90" s="53"/>
      <c r="DRG90" s="60"/>
      <c r="DRH90" s="60"/>
      <c r="DRI90" s="61"/>
      <c r="DRJ90" s="61"/>
      <c r="DRK90" s="61"/>
      <c r="DRL90" s="61"/>
      <c r="DRM90" s="62"/>
      <c r="DRN90" s="53"/>
      <c r="DRO90" s="60"/>
      <c r="DRP90" s="60"/>
      <c r="DRQ90" s="61"/>
      <c r="DRR90" s="61"/>
      <c r="DRS90" s="61"/>
      <c r="DRT90" s="61"/>
      <c r="DRU90" s="62"/>
      <c r="DRV90" s="53"/>
      <c r="DRW90" s="60"/>
      <c r="DRX90" s="60"/>
      <c r="DRY90" s="61"/>
      <c r="DRZ90" s="61"/>
      <c r="DSA90" s="61"/>
      <c r="DSB90" s="61"/>
      <c r="DSC90" s="62"/>
      <c r="DSD90" s="53"/>
      <c r="DSE90" s="60"/>
      <c r="DSF90" s="60"/>
      <c r="DSG90" s="61"/>
      <c r="DSH90" s="61"/>
      <c r="DSI90" s="61"/>
      <c r="DSJ90" s="61"/>
      <c r="DSK90" s="62"/>
      <c r="DSL90" s="53"/>
      <c r="DSM90" s="60"/>
      <c r="DSN90" s="60"/>
      <c r="DSO90" s="61"/>
      <c r="DSP90" s="61"/>
      <c r="DSQ90" s="61"/>
      <c r="DSR90" s="61"/>
      <c r="DSS90" s="62"/>
      <c r="DST90" s="53"/>
      <c r="DSU90" s="60"/>
      <c r="DSV90" s="60"/>
      <c r="DSW90" s="61"/>
      <c r="DSX90" s="61"/>
      <c r="DSY90" s="61"/>
      <c r="DSZ90" s="61"/>
      <c r="DTA90" s="62"/>
      <c r="DTB90" s="53"/>
      <c r="DTC90" s="60"/>
      <c r="DTD90" s="60"/>
      <c r="DTE90" s="61"/>
      <c r="DTF90" s="61"/>
      <c r="DTG90" s="61"/>
      <c r="DTH90" s="61"/>
      <c r="DTI90" s="62"/>
      <c r="DTJ90" s="53"/>
      <c r="DTK90" s="60"/>
      <c r="DTL90" s="60"/>
      <c r="DTM90" s="61"/>
      <c r="DTN90" s="61"/>
      <c r="DTO90" s="61"/>
      <c r="DTP90" s="61"/>
      <c r="DTQ90" s="62"/>
      <c r="DTR90" s="53"/>
      <c r="DTS90" s="60"/>
      <c r="DTT90" s="60"/>
      <c r="DTU90" s="61"/>
      <c r="DTV90" s="61"/>
      <c r="DTW90" s="61"/>
      <c r="DTX90" s="61"/>
      <c r="DTY90" s="62"/>
      <c r="DTZ90" s="53"/>
      <c r="DUA90" s="60"/>
      <c r="DUB90" s="60"/>
      <c r="DUC90" s="61"/>
      <c r="DUD90" s="61"/>
      <c r="DUE90" s="61"/>
      <c r="DUF90" s="61"/>
      <c r="DUG90" s="62"/>
      <c r="DUH90" s="53"/>
      <c r="DUI90" s="60"/>
      <c r="DUJ90" s="60"/>
      <c r="DUK90" s="61"/>
      <c r="DUL90" s="61"/>
      <c r="DUM90" s="61"/>
      <c r="DUN90" s="61"/>
      <c r="DUO90" s="62"/>
      <c r="DUP90" s="53"/>
      <c r="DUQ90" s="60"/>
      <c r="DUR90" s="60"/>
      <c r="DUS90" s="61"/>
      <c r="DUT90" s="61"/>
      <c r="DUU90" s="61"/>
      <c r="DUV90" s="61"/>
      <c r="DUW90" s="62"/>
      <c r="DUX90" s="53"/>
      <c r="DUY90" s="60"/>
      <c r="DUZ90" s="60"/>
      <c r="DVA90" s="61"/>
      <c r="DVB90" s="61"/>
      <c r="DVC90" s="61"/>
      <c r="DVD90" s="61"/>
      <c r="DVE90" s="62"/>
      <c r="DVF90" s="53"/>
      <c r="DVG90" s="60"/>
      <c r="DVH90" s="60"/>
      <c r="DVI90" s="61"/>
      <c r="DVJ90" s="61"/>
      <c r="DVK90" s="61"/>
      <c r="DVL90" s="61"/>
      <c r="DVM90" s="62"/>
      <c r="DVN90" s="53"/>
      <c r="DVO90" s="60"/>
      <c r="DVP90" s="60"/>
      <c r="DVQ90" s="61"/>
      <c r="DVR90" s="61"/>
      <c r="DVS90" s="61"/>
      <c r="DVT90" s="61"/>
      <c r="DVU90" s="62"/>
      <c r="DVV90" s="53"/>
      <c r="DVW90" s="60"/>
      <c r="DVX90" s="60"/>
      <c r="DVY90" s="61"/>
      <c r="DVZ90" s="61"/>
      <c r="DWA90" s="61"/>
      <c r="DWB90" s="61"/>
      <c r="DWC90" s="62"/>
      <c r="DWD90" s="53"/>
      <c r="DWE90" s="60"/>
      <c r="DWF90" s="60"/>
      <c r="DWG90" s="61"/>
      <c r="DWH90" s="61"/>
      <c r="DWI90" s="61"/>
      <c r="DWJ90" s="61"/>
      <c r="DWK90" s="62"/>
      <c r="DWL90" s="53"/>
      <c r="DWM90" s="60"/>
      <c r="DWN90" s="60"/>
      <c r="DWO90" s="61"/>
      <c r="DWP90" s="61"/>
      <c r="DWQ90" s="61"/>
      <c r="DWR90" s="61"/>
      <c r="DWS90" s="62"/>
      <c r="DWT90" s="53"/>
      <c r="DWU90" s="60"/>
      <c r="DWV90" s="60"/>
      <c r="DWW90" s="61"/>
      <c r="DWX90" s="61"/>
      <c r="DWY90" s="61"/>
      <c r="DWZ90" s="61"/>
      <c r="DXA90" s="62"/>
      <c r="DXB90" s="53"/>
      <c r="DXC90" s="60"/>
      <c r="DXD90" s="60"/>
      <c r="DXE90" s="61"/>
      <c r="DXF90" s="61"/>
      <c r="DXG90" s="61"/>
      <c r="DXH90" s="61"/>
      <c r="DXI90" s="62"/>
      <c r="DXJ90" s="53"/>
      <c r="DXK90" s="60"/>
      <c r="DXL90" s="60"/>
      <c r="DXM90" s="61"/>
      <c r="DXN90" s="61"/>
      <c r="DXO90" s="61"/>
      <c r="DXP90" s="61"/>
      <c r="DXQ90" s="62"/>
      <c r="DXR90" s="53"/>
      <c r="DXS90" s="60"/>
      <c r="DXT90" s="60"/>
      <c r="DXU90" s="61"/>
      <c r="DXV90" s="61"/>
      <c r="DXW90" s="61"/>
      <c r="DXX90" s="61"/>
      <c r="DXY90" s="62"/>
      <c r="DXZ90" s="53"/>
      <c r="DYA90" s="60"/>
      <c r="DYB90" s="60"/>
      <c r="DYC90" s="61"/>
      <c r="DYD90" s="61"/>
      <c r="DYE90" s="61"/>
      <c r="DYF90" s="61"/>
      <c r="DYG90" s="62"/>
      <c r="DYH90" s="53"/>
      <c r="DYI90" s="60"/>
      <c r="DYJ90" s="60"/>
      <c r="DYK90" s="61"/>
      <c r="DYL90" s="61"/>
      <c r="DYM90" s="61"/>
      <c r="DYN90" s="61"/>
      <c r="DYO90" s="62"/>
      <c r="DYP90" s="53"/>
      <c r="DYQ90" s="60"/>
      <c r="DYR90" s="60"/>
      <c r="DYS90" s="61"/>
      <c r="DYT90" s="61"/>
      <c r="DYU90" s="61"/>
      <c r="DYV90" s="61"/>
      <c r="DYW90" s="62"/>
      <c r="DYX90" s="53"/>
      <c r="DYY90" s="60"/>
      <c r="DYZ90" s="60"/>
      <c r="DZA90" s="61"/>
      <c r="DZB90" s="61"/>
      <c r="DZC90" s="61"/>
      <c r="DZD90" s="61"/>
      <c r="DZE90" s="62"/>
      <c r="DZF90" s="53"/>
      <c r="DZG90" s="60"/>
      <c r="DZH90" s="60"/>
      <c r="DZI90" s="61"/>
      <c r="DZJ90" s="61"/>
      <c r="DZK90" s="61"/>
      <c r="DZL90" s="61"/>
      <c r="DZM90" s="62"/>
      <c r="DZN90" s="53"/>
      <c r="DZO90" s="60"/>
      <c r="DZP90" s="60"/>
      <c r="DZQ90" s="61"/>
      <c r="DZR90" s="61"/>
      <c r="DZS90" s="61"/>
      <c r="DZT90" s="61"/>
      <c r="DZU90" s="62"/>
      <c r="DZV90" s="53"/>
      <c r="DZW90" s="60"/>
      <c r="DZX90" s="60"/>
      <c r="DZY90" s="61"/>
      <c r="DZZ90" s="61"/>
      <c r="EAA90" s="61"/>
      <c r="EAB90" s="61"/>
      <c r="EAC90" s="62"/>
      <c r="EAD90" s="53"/>
      <c r="EAE90" s="60"/>
      <c r="EAF90" s="60"/>
      <c r="EAG90" s="61"/>
      <c r="EAH90" s="61"/>
      <c r="EAI90" s="61"/>
      <c r="EAJ90" s="61"/>
      <c r="EAK90" s="62"/>
      <c r="EAL90" s="53"/>
      <c r="EAM90" s="60"/>
      <c r="EAN90" s="60"/>
      <c r="EAO90" s="61"/>
      <c r="EAP90" s="61"/>
      <c r="EAQ90" s="61"/>
      <c r="EAR90" s="61"/>
      <c r="EAS90" s="62"/>
      <c r="EAT90" s="53"/>
      <c r="EAU90" s="60"/>
      <c r="EAV90" s="60"/>
      <c r="EAW90" s="61"/>
      <c r="EAX90" s="61"/>
      <c r="EAY90" s="61"/>
      <c r="EAZ90" s="61"/>
      <c r="EBA90" s="62"/>
      <c r="EBB90" s="53"/>
      <c r="EBC90" s="60"/>
      <c r="EBD90" s="60"/>
      <c r="EBE90" s="61"/>
      <c r="EBF90" s="61"/>
      <c r="EBG90" s="61"/>
      <c r="EBH90" s="61"/>
      <c r="EBI90" s="62"/>
      <c r="EBJ90" s="53"/>
      <c r="EBK90" s="60"/>
      <c r="EBL90" s="60"/>
      <c r="EBM90" s="61"/>
      <c r="EBN90" s="61"/>
      <c r="EBO90" s="61"/>
      <c r="EBP90" s="61"/>
      <c r="EBQ90" s="62"/>
      <c r="EBR90" s="53"/>
      <c r="EBS90" s="60"/>
      <c r="EBT90" s="60"/>
      <c r="EBU90" s="61"/>
      <c r="EBV90" s="61"/>
      <c r="EBW90" s="61"/>
      <c r="EBX90" s="61"/>
      <c r="EBY90" s="62"/>
      <c r="EBZ90" s="53"/>
      <c r="ECA90" s="60"/>
      <c r="ECB90" s="60"/>
      <c r="ECC90" s="61"/>
      <c r="ECD90" s="61"/>
      <c r="ECE90" s="61"/>
      <c r="ECF90" s="61"/>
      <c r="ECG90" s="62"/>
      <c r="ECH90" s="53"/>
      <c r="ECI90" s="60"/>
      <c r="ECJ90" s="60"/>
      <c r="ECK90" s="61"/>
      <c r="ECL90" s="61"/>
      <c r="ECM90" s="61"/>
      <c r="ECN90" s="61"/>
      <c r="ECO90" s="62"/>
      <c r="ECP90" s="53"/>
      <c r="ECQ90" s="60"/>
      <c r="ECR90" s="60"/>
      <c r="ECS90" s="61"/>
      <c r="ECT90" s="61"/>
      <c r="ECU90" s="61"/>
      <c r="ECV90" s="61"/>
      <c r="ECW90" s="62"/>
      <c r="ECX90" s="53"/>
      <c r="ECY90" s="60"/>
      <c r="ECZ90" s="60"/>
      <c r="EDA90" s="61"/>
      <c r="EDB90" s="61"/>
      <c r="EDC90" s="61"/>
      <c r="EDD90" s="61"/>
      <c r="EDE90" s="62"/>
      <c r="EDF90" s="53"/>
      <c r="EDG90" s="60"/>
      <c r="EDH90" s="60"/>
      <c r="EDI90" s="61"/>
      <c r="EDJ90" s="61"/>
      <c r="EDK90" s="61"/>
      <c r="EDL90" s="61"/>
      <c r="EDM90" s="62"/>
      <c r="EDN90" s="53"/>
      <c r="EDO90" s="60"/>
      <c r="EDP90" s="60"/>
      <c r="EDQ90" s="61"/>
      <c r="EDR90" s="61"/>
      <c r="EDS90" s="61"/>
      <c r="EDT90" s="61"/>
      <c r="EDU90" s="62"/>
      <c r="EDV90" s="53"/>
      <c r="EDW90" s="60"/>
      <c r="EDX90" s="60"/>
      <c r="EDY90" s="61"/>
      <c r="EDZ90" s="61"/>
      <c r="EEA90" s="61"/>
      <c r="EEB90" s="61"/>
      <c r="EEC90" s="62"/>
      <c r="EED90" s="53"/>
      <c r="EEE90" s="60"/>
      <c r="EEF90" s="60"/>
      <c r="EEG90" s="61"/>
      <c r="EEH90" s="61"/>
      <c r="EEI90" s="61"/>
      <c r="EEJ90" s="61"/>
      <c r="EEK90" s="62"/>
      <c r="EEL90" s="53"/>
      <c r="EEM90" s="60"/>
      <c r="EEN90" s="60"/>
      <c r="EEO90" s="61"/>
      <c r="EEP90" s="61"/>
      <c r="EEQ90" s="61"/>
      <c r="EER90" s="61"/>
      <c r="EES90" s="62"/>
      <c r="EET90" s="53"/>
      <c r="EEU90" s="60"/>
      <c r="EEV90" s="60"/>
      <c r="EEW90" s="61"/>
      <c r="EEX90" s="61"/>
      <c r="EEY90" s="61"/>
      <c r="EEZ90" s="61"/>
      <c r="EFA90" s="62"/>
      <c r="EFB90" s="53"/>
      <c r="EFC90" s="60"/>
      <c r="EFD90" s="60"/>
      <c r="EFE90" s="61"/>
      <c r="EFF90" s="61"/>
      <c r="EFG90" s="61"/>
      <c r="EFH90" s="61"/>
      <c r="EFI90" s="62"/>
      <c r="EFJ90" s="53"/>
      <c r="EFK90" s="60"/>
      <c r="EFL90" s="60"/>
      <c r="EFM90" s="61"/>
      <c r="EFN90" s="61"/>
      <c r="EFO90" s="61"/>
      <c r="EFP90" s="61"/>
      <c r="EFQ90" s="62"/>
      <c r="EFR90" s="53"/>
      <c r="EFS90" s="60"/>
      <c r="EFT90" s="60"/>
      <c r="EFU90" s="61"/>
      <c r="EFV90" s="61"/>
      <c r="EFW90" s="61"/>
      <c r="EFX90" s="61"/>
      <c r="EFY90" s="62"/>
      <c r="EFZ90" s="53"/>
      <c r="EGA90" s="60"/>
      <c r="EGB90" s="60"/>
      <c r="EGC90" s="61"/>
      <c r="EGD90" s="61"/>
      <c r="EGE90" s="61"/>
      <c r="EGF90" s="61"/>
      <c r="EGG90" s="62"/>
      <c r="EGH90" s="53"/>
      <c r="EGI90" s="60"/>
      <c r="EGJ90" s="60"/>
      <c r="EGK90" s="61"/>
      <c r="EGL90" s="61"/>
      <c r="EGM90" s="61"/>
      <c r="EGN90" s="61"/>
      <c r="EGO90" s="62"/>
      <c r="EGP90" s="53"/>
      <c r="EGQ90" s="60"/>
      <c r="EGR90" s="60"/>
      <c r="EGS90" s="61"/>
      <c r="EGT90" s="61"/>
      <c r="EGU90" s="61"/>
      <c r="EGV90" s="61"/>
      <c r="EGW90" s="62"/>
      <c r="EGX90" s="53"/>
      <c r="EGY90" s="60"/>
      <c r="EGZ90" s="60"/>
      <c r="EHA90" s="61"/>
      <c r="EHB90" s="61"/>
      <c r="EHC90" s="61"/>
      <c r="EHD90" s="61"/>
      <c r="EHE90" s="62"/>
      <c r="EHF90" s="53"/>
      <c r="EHG90" s="60"/>
      <c r="EHH90" s="60"/>
      <c r="EHI90" s="61"/>
      <c r="EHJ90" s="61"/>
      <c r="EHK90" s="61"/>
      <c r="EHL90" s="61"/>
      <c r="EHM90" s="62"/>
      <c r="EHN90" s="53"/>
      <c r="EHO90" s="60"/>
      <c r="EHP90" s="60"/>
      <c r="EHQ90" s="61"/>
      <c r="EHR90" s="61"/>
      <c r="EHS90" s="61"/>
      <c r="EHT90" s="61"/>
      <c r="EHU90" s="62"/>
      <c r="EHV90" s="53"/>
      <c r="EHW90" s="60"/>
      <c r="EHX90" s="60"/>
      <c r="EHY90" s="61"/>
      <c r="EHZ90" s="61"/>
      <c r="EIA90" s="61"/>
      <c r="EIB90" s="61"/>
      <c r="EIC90" s="62"/>
      <c r="EID90" s="53"/>
      <c r="EIE90" s="60"/>
      <c r="EIF90" s="60"/>
      <c r="EIG90" s="61"/>
      <c r="EIH90" s="61"/>
      <c r="EII90" s="61"/>
      <c r="EIJ90" s="61"/>
      <c r="EIK90" s="62"/>
      <c r="EIL90" s="53"/>
      <c r="EIM90" s="60"/>
      <c r="EIN90" s="60"/>
      <c r="EIO90" s="61"/>
      <c r="EIP90" s="61"/>
      <c r="EIQ90" s="61"/>
      <c r="EIR90" s="61"/>
      <c r="EIS90" s="62"/>
      <c r="EIT90" s="53"/>
      <c r="EIU90" s="60"/>
      <c r="EIV90" s="60"/>
      <c r="EIW90" s="61"/>
      <c r="EIX90" s="61"/>
      <c r="EIY90" s="61"/>
      <c r="EIZ90" s="61"/>
      <c r="EJA90" s="62"/>
      <c r="EJB90" s="53"/>
      <c r="EJC90" s="60"/>
      <c r="EJD90" s="60"/>
      <c r="EJE90" s="61"/>
      <c r="EJF90" s="61"/>
      <c r="EJG90" s="61"/>
      <c r="EJH90" s="61"/>
      <c r="EJI90" s="62"/>
      <c r="EJJ90" s="53"/>
      <c r="EJK90" s="60"/>
      <c r="EJL90" s="60"/>
      <c r="EJM90" s="61"/>
      <c r="EJN90" s="61"/>
      <c r="EJO90" s="61"/>
      <c r="EJP90" s="61"/>
      <c r="EJQ90" s="62"/>
      <c r="EJR90" s="53"/>
      <c r="EJS90" s="60"/>
      <c r="EJT90" s="60"/>
      <c r="EJU90" s="61"/>
      <c r="EJV90" s="61"/>
      <c r="EJW90" s="61"/>
      <c r="EJX90" s="61"/>
      <c r="EJY90" s="62"/>
      <c r="EJZ90" s="53"/>
      <c r="EKA90" s="60"/>
      <c r="EKB90" s="60"/>
      <c r="EKC90" s="61"/>
      <c r="EKD90" s="61"/>
      <c r="EKE90" s="61"/>
      <c r="EKF90" s="61"/>
      <c r="EKG90" s="62"/>
      <c r="EKH90" s="53"/>
      <c r="EKI90" s="60"/>
      <c r="EKJ90" s="60"/>
      <c r="EKK90" s="61"/>
      <c r="EKL90" s="61"/>
      <c r="EKM90" s="61"/>
      <c r="EKN90" s="61"/>
      <c r="EKO90" s="62"/>
      <c r="EKP90" s="53"/>
      <c r="EKQ90" s="60"/>
      <c r="EKR90" s="60"/>
      <c r="EKS90" s="61"/>
      <c r="EKT90" s="61"/>
      <c r="EKU90" s="61"/>
      <c r="EKV90" s="61"/>
      <c r="EKW90" s="62"/>
      <c r="EKX90" s="53"/>
      <c r="EKY90" s="60"/>
      <c r="EKZ90" s="60"/>
      <c r="ELA90" s="61"/>
      <c r="ELB90" s="61"/>
      <c r="ELC90" s="61"/>
      <c r="ELD90" s="61"/>
      <c r="ELE90" s="62"/>
      <c r="ELF90" s="53"/>
      <c r="ELG90" s="60"/>
      <c r="ELH90" s="60"/>
      <c r="ELI90" s="61"/>
      <c r="ELJ90" s="61"/>
      <c r="ELK90" s="61"/>
      <c r="ELL90" s="61"/>
      <c r="ELM90" s="62"/>
      <c r="ELN90" s="53"/>
      <c r="ELO90" s="60"/>
      <c r="ELP90" s="60"/>
      <c r="ELQ90" s="61"/>
      <c r="ELR90" s="61"/>
      <c r="ELS90" s="61"/>
      <c r="ELT90" s="61"/>
      <c r="ELU90" s="62"/>
      <c r="ELV90" s="53"/>
      <c r="ELW90" s="60"/>
      <c r="ELX90" s="60"/>
      <c r="ELY90" s="61"/>
      <c r="ELZ90" s="61"/>
      <c r="EMA90" s="61"/>
      <c r="EMB90" s="61"/>
      <c r="EMC90" s="62"/>
      <c r="EMD90" s="53"/>
      <c r="EME90" s="60"/>
      <c r="EMF90" s="60"/>
      <c r="EMG90" s="61"/>
      <c r="EMH90" s="61"/>
      <c r="EMI90" s="61"/>
      <c r="EMJ90" s="61"/>
      <c r="EMK90" s="62"/>
      <c r="EML90" s="53"/>
      <c r="EMM90" s="60"/>
      <c r="EMN90" s="60"/>
      <c r="EMO90" s="61"/>
      <c r="EMP90" s="61"/>
      <c r="EMQ90" s="61"/>
      <c r="EMR90" s="61"/>
      <c r="EMS90" s="62"/>
      <c r="EMT90" s="53"/>
      <c r="EMU90" s="60"/>
      <c r="EMV90" s="60"/>
      <c r="EMW90" s="61"/>
      <c r="EMX90" s="61"/>
      <c r="EMY90" s="61"/>
      <c r="EMZ90" s="61"/>
      <c r="ENA90" s="62"/>
      <c r="ENB90" s="53"/>
      <c r="ENC90" s="60"/>
      <c r="END90" s="60"/>
      <c r="ENE90" s="61"/>
      <c r="ENF90" s="61"/>
      <c r="ENG90" s="61"/>
      <c r="ENH90" s="61"/>
      <c r="ENI90" s="62"/>
      <c r="ENJ90" s="53"/>
      <c r="ENK90" s="60"/>
      <c r="ENL90" s="60"/>
      <c r="ENM90" s="61"/>
      <c r="ENN90" s="61"/>
      <c r="ENO90" s="61"/>
      <c r="ENP90" s="61"/>
      <c r="ENQ90" s="62"/>
      <c r="ENR90" s="53"/>
      <c r="ENS90" s="60"/>
      <c r="ENT90" s="60"/>
      <c r="ENU90" s="61"/>
      <c r="ENV90" s="61"/>
      <c r="ENW90" s="61"/>
      <c r="ENX90" s="61"/>
      <c r="ENY90" s="62"/>
      <c r="ENZ90" s="53"/>
      <c r="EOA90" s="60"/>
      <c r="EOB90" s="60"/>
      <c r="EOC90" s="61"/>
      <c r="EOD90" s="61"/>
      <c r="EOE90" s="61"/>
      <c r="EOF90" s="61"/>
      <c r="EOG90" s="62"/>
      <c r="EOH90" s="53"/>
      <c r="EOI90" s="60"/>
      <c r="EOJ90" s="60"/>
      <c r="EOK90" s="61"/>
      <c r="EOL90" s="61"/>
      <c r="EOM90" s="61"/>
      <c r="EON90" s="61"/>
      <c r="EOO90" s="62"/>
      <c r="EOP90" s="53"/>
      <c r="EOQ90" s="60"/>
      <c r="EOR90" s="60"/>
      <c r="EOS90" s="61"/>
      <c r="EOT90" s="61"/>
      <c r="EOU90" s="61"/>
      <c r="EOV90" s="61"/>
      <c r="EOW90" s="62"/>
      <c r="EOX90" s="53"/>
      <c r="EOY90" s="60"/>
      <c r="EOZ90" s="60"/>
      <c r="EPA90" s="61"/>
      <c r="EPB90" s="61"/>
      <c r="EPC90" s="61"/>
      <c r="EPD90" s="61"/>
      <c r="EPE90" s="62"/>
      <c r="EPF90" s="53"/>
      <c r="EPG90" s="60"/>
      <c r="EPH90" s="60"/>
      <c r="EPI90" s="61"/>
      <c r="EPJ90" s="61"/>
      <c r="EPK90" s="61"/>
      <c r="EPL90" s="61"/>
      <c r="EPM90" s="62"/>
      <c r="EPN90" s="53"/>
      <c r="EPO90" s="60"/>
      <c r="EPP90" s="60"/>
      <c r="EPQ90" s="61"/>
      <c r="EPR90" s="61"/>
      <c r="EPS90" s="61"/>
      <c r="EPT90" s="61"/>
      <c r="EPU90" s="62"/>
      <c r="EPV90" s="53"/>
      <c r="EPW90" s="60"/>
      <c r="EPX90" s="60"/>
      <c r="EPY90" s="61"/>
      <c r="EPZ90" s="61"/>
      <c r="EQA90" s="61"/>
      <c r="EQB90" s="61"/>
      <c r="EQC90" s="62"/>
      <c r="EQD90" s="53"/>
      <c r="EQE90" s="60"/>
      <c r="EQF90" s="60"/>
      <c r="EQG90" s="61"/>
      <c r="EQH90" s="61"/>
      <c r="EQI90" s="61"/>
      <c r="EQJ90" s="61"/>
      <c r="EQK90" s="62"/>
      <c r="EQL90" s="53"/>
      <c r="EQM90" s="60"/>
      <c r="EQN90" s="60"/>
      <c r="EQO90" s="61"/>
      <c r="EQP90" s="61"/>
      <c r="EQQ90" s="61"/>
      <c r="EQR90" s="61"/>
      <c r="EQS90" s="62"/>
      <c r="EQT90" s="53"/>
      <c r="EQU90" s="60"/>
      <c r="EQV90" s="60"/>
      <c r="EQW90" s="61"/>
      <c r="EQX90" s="61"/>
      <c r="EQY90" s="61"/>
      <c r="EQZ90" s="61"/>
      <c r="ERA90" s="62"/>
      <c r="ERB90" s="53"/>
      <c r="ERC90" s="60"/>
      <c r="ERD90" s="60"/>
      <c r="ERE90" s="61"/>
      <c r="ERF90" s="61"/>
      <c r="ERG90" s="61"/>
      <c r="ERH90" s="61"/>
      <c r="ERI90" s="62"/>
      <c r="ERJ90" s="53"/>
      <c r="ERK90" s="60"/>
      <c r="ERL90" s="60"/>
      <c r="ERM90" s="61"/>
      <c r="ERN90" s="61"/>
      <c r="ERO90" s="61"/>
      <c r="ERP90" s="61"/>
      <c r="ERQ90" s="62"/>
      <c r="ERR90" s="53"/>
      <c r="ERS90" s="60"/>
      <c r="ERT90" s="60"/>
      <c r="ERU90" s="61"/>
      <c r="ERV90" s="61"/>
      <c r="ERW90" s="61"/>
      <c r="ERX90" s="61"/>
      <c r="ERY90" s="62"/>
      <c r="ERZ90" s="53"/>
      <c r="ESA90" s="60"/>
      <c r="ESB90" s="60"/>
      <c r="ESC90" s="61"/>
      <c r="ESD90" s="61"/>
      <c r="ESE90" s="61"/>
      <c r="ESF90" s="61"/>
      <c r="ESG90" s="62"/>
      <c r="ESH90" s="53"/>
      <c r="ESI90" s="60"/>
      <c r="ESJ90" s="60"/>
      <c r="ESK90" s="61"/>
      <c r="ESL90" s="61"/>
      <c r="ESM90" s="61"/>
      <c r="ESN90" s="61"/>
      <c r="ESO90" s="62"/>
      <c r="ESP90" s="53"/>
      <c r="ESQ90" s="60"/>
      <c r="ESR90" s="60"/>
      <c r="ESS90" s="61"/>
      <c r="EST90" s="61"/>
      <c r="ESU90" s="61"/>
      <c r="ESV90" s="61"/>
      <c r="ESW90" s="62"/>
      <c r="ESX90" s="53"/>
      <c r="ESY90" s="60"/>
      <c r="ESZ90" s="60"/>
      <c r="ETA90" s="61"/>
      <c r="ETB90" s="61"/>
      <c r="ETC90" s="61"/>
      <c r="ETD90" s="61"/>
      <c r="ETE90" s="62"/>
      <c r="ETF90" s="53"/>
      <c r="ETG90" s="60"/>
      <c r="ETH90" s="60"/>
      <c r="ETI90" s="61"/>
      <c r="ETJ90" s="61"/>
      <c r="ETK90" s="61"/>
      <c r="ETL90" s="61"/>
      <c r="ETM90" s="62"/>
      <c r="ETN90" s="53"/>
      <c r="ETO90" s="60"/>
      <c r="ETP90" s="60"/>
      <c r="ETQ90" s="61"/>
      <c r="ETR90" s="61"/>
      <c r="ETS90" s="61"/>
      <c r="ETT90" s="61"/>
      <c r="ETU90" s="62"/>
      <c r="ETV90" s="53"/>
      <c r="ETW90" s="60"/>
      <c r="ETX90" s="60"/>
      <c r="ETY90" s="61"/>
      <c r="ETZ90" s="61"/>
      <c r="EUA90" s="61"/>
      <c r="EUB90" s="61"/>
      <c r="EUC90" s="62"/>
      <c r="EUD90" s="53"/>
      <c r="EUE90" s="60"/>
      <c r="EUF90" s="60"/>
      <c r="EUG90" s="61"/>
      <c r="EUH90" s="61"/>
      <c r="EUI90" s="61"/>
      <c r="EUJ90" s="61"/>
      <c r="EUK90" s="62"/>
      <c r="EUL90" s="53"/>
      <c r="EUM90" s="60"/>
      <c r="EUN90" s="60"/>
      <c r="EUO90" s="61"/>
      <c r="EUP90" s="61"/>
      <c r="EUQ90" s="61"/>
      <c r="EUR90" s="61"/>
      <c r="EUS90" s="62"/>
      <c r="EUT90" s="53"/>
      <c r="EUU90" s="60"/>
      <c r="EUV90" s="60"/>
      <c r="EUW90" s="61"/>
      <c r="EUX90" s="61"/>
      <c r="EUY90" s="61"/>
      <c r="EUZ90" s="61"/>
      <c r="EVA90" s="62"/>
      <c r="EVB90" s="53"/>
      <c r="EVC90" s="60"/>
      <c r="EVD90" s="60"/>
      <c r="EVE90" s="61"/>
      <c r="EVF90" s="61"/>
      <c r="EVG90" s="61"/>
      <c r="EVH90" s="61"/>
      <c r="EVI90" s="62"/>
      <c r="EVJ90" s="53"/>
      <c r="EVK90" s="60"/>
      <c r="EVL90" s="60"/>
      <c r="EVM90" s="61"/>
      <c r="EVN90" s="61"/>
      <c r="EVO90" s="61"/>
      <c r="EVP90" s="61"/>
      <c r="EVQ90" s="62"/>
      <c r="EVR90" s="53"/>
      <c r="EVS90" s="60"/>
      <c r="EVT90" s="60"/>
      <c r="EVU90" s="61"/>
      <c r="EVV90" s="61"/>
      <c r="EVW90" s="61"/>
      <c r="EVX90" s="61"/>
      <c r="EVY90" s="62"/>
      <c r="EVZ90" s="53"/>
      <c r="EWA90" s="60"/>
      <c r="EWB90" s="60"/>
      <c r="EWC90" s="61"/>
      <c r="EWD90" s="61"/>
      <c r="EWE90" s="61"/>
      <c r="EWF90" s="61"/>
      <c r="EWG90" s="62"/>
      <c r="EWH90" s="53"/>
      <c r="EWI90" s="60"/>
      <c r="EWJ90" s="60"/>
      <c r="EWK90" s="61"/>
      <c r="EWL90" s="61"/>
      <c r="EWM90" s="61"/>
      <c r="EWN90" s="61"/>
      <c r="EWO90" s="62"/>
      <c r="EWP90" s="53"/>
      <c r="EWQ90" s="60"/>
      <c r="EWR90" s="60"/>
      <c r="EWS90" s="61"/>
      <c r="EWT90" s="61"/>
      <c r="EWU90" s="61"/>
      <c r="EWV90" s="61"/>
      <c r="EWW90" s="62"/>
      <c r="EWX90" s="53"/>
      <c r="EWY90" s="60"/>
      <c r="EWZ90" s="60"/>
      <c r="EXA90" s="61"/>
      <c r="EXB90" s="61"/>
      <c r="EXC90" s="61"/>
      <c r="EXD90" s="61"/>
      <c r="EXE90" s="62"/>
      <c r="EXF90" s="53"/>
      <c r="EXG90" s="60"/>
      <c r="EXH90" s="60"/>
      <c r="EXI90" s="61"/>
      <c r="EXJ90" s="61"/>
      <c r="EXK90" s="61"/>
      <c r="EXL90" s="61"/>
      <c r="EXM90" s="62"/>
      <c r="EXN90" s="53"/>
      <c r="EXO90" s="60"/>
      <c r="EXP90" s="60"/>
      <c r="EXQ90" s="61"/>
      <c r="EXR90" s="61"/>
      <c r="EXS90" s="61"/>
      <c r="EXT90" s="61"/>
      <c r="EXU90" s="62"/>
      <c r="EXV90" s="53"/>
      <c r="EXW90" s="60"/>
      <c r="EXX90" s="60"/>
      <c r="EXY90" s="61"/>
      <c r="EXZ90" s="61"/>
      <c r="EYA90" s="61"/>
      <c r="EYB90" s="61"/>
      <c r="EYC90" s="62"/>
      <c r="EYD90" s="53"/>
      <c r="EYE90" s="60"/>
      <c r="EYF90" s="60"/>
      <c r="EYG90" s="61"/>
      <c r="EYH90" s="61"/>
      <c r="EYI90" s="61"/>
      <c r="EYJ90" s="61"/>
      <c r="EYK90" s="62"/>
      <c r="EYL90" s="53"/>
      <c r="EYM90" s="60"/>
      <c r="EYN90" s="60"/>
      <c r="EYO90" s="61"/>
      <c r="EYP90" s="61"/>
      <c r="EYQ90" s="61"/>
      <c r="EYR90" s="61"/>
      <c r="EYS90" s="62"/>
      <c r="EYT90" s="53"/>
      <c r="EYU90" s="60"/>
      <c r="EYV90" s="60"/>
      <c r="EYW90" s="61"/>
      <c r="EYX90" s="61"/>
      <c r="EYY90" s="61"/>
      <c r="EYZ90" s="61"/>
      <c r="EZA90" s="62"/>
      <c r="EZB90" s="53"/>
      <c r="EZC90" s="60"/>
      <c r="EZD90" s="60"/>
      <c r="EZE90" s="61"/>
      <c r="EZF90" s="61"/>
      <c r="EZG90" s="61"/>
      <c r="EZH90" s="61"/>
      <c r="EZI90" s="62"/>
      <c r="EZJ90" s="53"/>
      <c r="EZK90" s="60"/>
      <c r="EZL90" s="60"/>
      <c r="EZM90" s="61"/>
      <c r="EZN90" s="61"/>
      <c r="EZO90" s="61"/>
      <c r="EZP90" s="61"/>
      <c r="EZQ90" s="62"/>
      <c r="EZR90" s="53"/>
      <c r="EZS90" s="60"/>
      <c r="EZT90" s="60"/>
      <c r="EZU90" s="61"/>
      <c r="EZV90" s="61"/>
      <c r="EZW90" s="61"/>
      <c r="EZX90" s="61"/>
      <c r="EZY90" s="62"/>
      <c r="EZZ90" s="53"/>
      <c r="FAA90" s="60"/>
      <c r="FAB90" s="60"/>
      <c r="FAC90" s="61"/>
      <c r="FAD90" s="61"/>
      <c r="FAE90" s="61"/>
      <c r="FAF90" s="61"/>
      <c r="FAG90" s="62"/>
      <c r="FAH90" s="53"/>
      <c r="FAI90" s="60"/>
      <c r="FAJ90" s="60"/>
      <c r="FAK90" s="61"/>
      <c r="FAL90" s="61"/>
      <c r="FAM90" s="61"/>
      <c r="FAN90" s="61"/>
      <c r="FAO90" s="62"/>
      <c r="FAP90" s="53"/>
      <c r="FAQ90" s="60"/>
      <c r="FAR90" s="60"/>
      <c r="FAS90" s="61"/>
      <c r="FAT90" s="61"/>
      <c r="FAU90" s="61"/>
      <c r="FAV90" s="61"/>
      <c r="FAW90" s="62"/>
      <c r="FAX90" s="53"/>
      <c r="FAY90" s="60"/>
      <c r="FAZ90" s="60"/>
      <c r="FBA90" s="61"/>
      <c r="FBB90" s="61"/>
      <c r="FBC90" s="61"/>
      <c r="FBD90" s="61"/>
      <c r="FBE90" s="62"/>
      <c r="FBF90" s="53"/>
      <c r="FBG90" s="60"/>
      <c r="FBH90" s="60"/>
      <c r="FBI90" s="61"/>
      <c r="FBJ90" s="61"/>
      <c r="FBK90" s="61"/>
      <c r="FBL90" s="61"/>
      <c r="FBM90" s="62"/>
      <c r="FBN90" s="53"/>
      <c r="FBO90" s="60"/>
      <c r="FBP90" s="60"/>
      <c r="FBQ90" s="61"/>
      <c r="FBR90" s="61"/>
      <c r="FBS90" s="61"/>
      <c r="FBT90" s="61"/>
      <c r="FBU90" s="62"/>
      <c r="FBV90" s="53"/>
      <c r="FBW90" s="60"/>
      <c r="FBX90" s="60"/>
      <c r="FBY90" s="61"/>
      <c r="FBZ90" s="61"/>
      <c r="FCA90" s="61"/>
      <c r="FCB90" s="61"/>
      <c r="FCC90" s="62"/>
      <c r="FCD90" s="53"/>
      <c r="FCE90" s="60"/>
      <c r="FCF90" s="60"/>
      <c r="FCG90" s="61"/>
      <c r="FCH90" s="61"/>
      <c r="FCI90" s="61"/>
      <c r="FCJ90" s="61"/>
      <c r="FCK90" s="62"/>
      <c r="FCL90" s="53"/>
      <c r="FCM90" s="60"/>
      <c r="FCN90" s="60"/>
      <c r="FCO90" s="61"/>
      <c r="FCP90" s="61"/>
      <c r="FCQ90" s="61"/>
      <c r="FCR90" s="61"/>
      <c r="FCS90" s="62"/>
      <c r="FCT90" s="53"/>
      <c r="FCU90" s="60"/>
      <c r="FCV90" s="60"/>
      <c r="FCW90" s="61"/>
      <c r="FCX90" s="61"/>
      <c r="FCY90" s="61"/>
      <c r="FCZ90" s="61"/>
      <c r="FDA90" s="62"/>
      <c r="FDB90" s="53"/>
      <c r="FDC90" s="60"/>
      <c r="FDD90" s="60"/>
      <c r="FDE90" s="61"/>
      <c r="FDF90" s="61"/>
      <c r="FDG90" s="61"/>
      <c r="FDH90" s="61"/>
      <c r="FDI90" s="62"/>
      <c r="FDJ90" s="53"/>
      <c r="FDK90" s="60"/>
      <c r="FDL90" s="60"/>
      <c r="FDM90" s="61"/>
      <c r="FDN90" s="61"/>
      <c r="FDO90" s="61"/>
      <c r="FDP90" s="61"/>
      <c r="FDQ90" s="62"/>
      <c r="FDR90" s="53"/>
      <c r="FDS90" s="60"/>
      <c r="FDT90" s="60"/>
      <c r="FDU90" s="61"/>
      <c r="FDV90" s="61"/>
      <c r="FDW90" s="61"/>
      <c r="FDX90" s="61"/>
      <c r="FDY90" s="62"/>
      <c r="FDZ90" s="53"/>
      <c r="FEA90" s="60"/>
      <c r="FEB90" s="60"/>
      <c r="FEC90" s="61"/>
      <c r="FED90" s="61"/>
      <c r="FEE90" s="61"/>
      <c r="FEF90" s="61"/>
      <c r="FEG90" s="62"/>
      <c r="FEH90" s="53"/>
      <c r="FEI90" s="60"/>
      <c r="FEJ90" s="60"/>
      <c r="FEK90" s="61"/>
      <c r="FEL90" s="61"/>
      <c r="FEM90" s="61"/>
      <c r="FEN90" s="61"/>
      <c r="FEO90" s="62"/>
      <c r="FEP90" s="53"/>
      <c r="FEQ90" s="60"/>
      <c r="FER90" s="60"/>
      <c r="FES90" s="61"/>
      <c r="FET90" s="61"/>
      <c r="FEU90" s="61"/>
      <c r="FEV90" s="61"/>
      <c r="FEW90" s="62"/>
      <c r="FEX90" s="53"/>
      <c r="FEY90" s="60"/>
      <c r="FEZ90" s="60"/>
      <c r="FFA90" s="61"/>
      <c r="FFB90" s="61"/>
      <c r="FFC90" s="61"/>
      <c r="FFD90" s="61"/>
      <c r="FFE90" s="62"/>
      <c r="FFF90" s="53"/>
      <c r="FFG90" s="60"/>
      <c r="FFH90" s="60"/>
      <c r="FFI90" s="61"/>
      <c r="FFJ90" s="61"/>
      <c r="FFK90" s="61"/>
      <c r="FFL90" s="61"/>
      <c r="FFM90" s="62"/>
      <c r="FFN90" s="53"/>
      <c r="FFO90" s="60"/>
      <c r="FFP90" s="60"/>
      <c r="FFQ90" s="61"/>
      <c r="FFR90" s="61"/>
      <c r="FFS90" s="61"/>
      <c r="FFT90" s="61"/>
      <c r="FFU90" s="62"/>
      <c r="FFV90" s="53"/>
      <c r="FFW90" s="60"/>
      <c r="FFX90" s="60"/>
      <c r="FFY90" s="61"/>
      <c r="FFZ90" s="61"/>
      <c r="FGA90" s="61"/>
      <c r="FGB90" s="61"/>
      <c r="FGC90" s="62"/>
      <c r="FGD90" s="53"/>
      <c r="FGE90" s="60"/>
      <c r="FGF90" s="60"/>
      <c r="FGG90" s="61"/>
      <c r="FGH90" s="61"/>
      <c r="FGI90" s="61"/>
      <c r="FGJ90" s="61"/>
      <c r="FGK90" s="62"/>
      <c r="FGL90" s="53"/>
      <c r="FGM90" s="60"/>
      <c r="FGN90" s="60"/>
      <c r="FGO90" s="61"/>
      <c r="FGP90" s="61"/>
      <c r="FGQ90" s="61"/>
      <c r="FGR90" s="61"/>
      <c r="FGS90" s="62"/>
      <c r="FGT90" s="53"/>
      <c r="FGU90" s="60"/>
      <c r="FGV90" s="60"/>
      <c r="FGW90" s="61"/>
      <c r="FGX90" s="61"/>
      <c r="FGY90" s="61"/>
      <c r="FGZ90" s="61"/>
      <c r="FHA90" s="62"/>
      <c r="FHB90" s="53"/>
      <c r="FHC90" s="60"/>
      <c r="FHD90" s="60"/>
      <c r="FHE90" s="61"/>
      <c r="FHF90" s="61"/>
      <c r="FHG90" s="61"/>
      <c r="FHH90" s="61"/>
      <c r="FHI90" s="62"/>
      <c r="FHJ90" s="53"/>
      <c r="FHK90" s="60"/>
      <c r="FHL90" s="60"/>
      <c r="FHM90" s="61"/>
      <c r="FHN90" s="61"/>
      <c r="FHO90" s="61"/>
      <c r="FHP90" s="61"/>
      <c r="FHQ90" s="62"/>
      <c r="FHR90" s="53"/>
      <c r="FHS90" s="60"/>
      <c r="FHT90" s="60"/>
      <c r="FHU90" s="61"/>
      <c r="FHV90" s="61"/>
      <c r="FHW90" s="61"/>
      <c r="FHX90" s="61"/>
      <c r="FHY90" s="62"/>
      <c r="FHZ90" s="53"/>
      <c r="FIA90" s="60"/>
      <c r="FIB90" s="60"/>
      <c r="FIC90" s="61"/>
      <c r="FID90" s="61"/>
      <c r="FIE90" s="61"/>
      <c r="FIF90" s="61"/>
      <c r="FIG90" s="62"/>
      <c r="FIH90" s="53"/>
      <c r="FII90" s="60"/>
      <c r="FIJ90" s="60"/>
      <c r="FIK90" s="61"/>
      <c r="FIL90" s="61"/>
      <c r="FIM90" s="61"/>
      <c r="FIN90" s="61"/>
      <c r="FIO90" s="62"/>
      <c r="FIP90" s="53"/>
      <c r="FIQ90" s="60"/>
      <c r="FIR90" s="60"/>
      <c r="FIS90" s="61"/>
      <c r="FIT90" s="61"/>
      <c r="FIU90" s="61"/>
      <c r="FIV90" s="61"/>
      <c r="FIW90" s="62"/>
      <c r="FIX90" s="53"/>
      <c r="FIY90" s="60"/>
      <c r="FIZ90" s="60"/>
      <c r="FJA90" s="61"/>
      <c r="FJB90" s="61"/>
      <c r="FJC90" s="61"/>
      <c r="FJD90" s="61"/>
      <c r="FJE90" s="62"/>
      <c r="FJF90" s="53"/>
      <c r="FJG90" s="60"/>
      <c r="FJH90" s="60"/>
      <c r="FJI90" s="61"/>
      <c r="FJJ90" s="61"/>
      <c r="FJK90" s="61"/>
      <c r="FJL90" s="61"/>
      <c r="FJM90" s="62"/>
      <c r="FJN90" s="53"/>
      <c r="FJO90" s="60"/>
      <c r="FJP90" s="60"/>
      <c r="FJQ90" s="61"/>
      <c r="FJR90" s="61"/>
      <c r="FJS90" s="61"/>
      <c r="FJT90" s="61"/>
      <c r="FJU90" s="62"/>
      <c r="FJV90" s="53"/>
      <c r="FJW90" s="60"/>
      <c r="FJX90" s="60"/>
      <c r="FJY90" s="61"/>
      <c r="FJZ90" s="61"/>
      <c r="FKA90" s="61"/>
      <c r="FKB90" s="61"/>
      <c r="FKC90" s="62"/>
      <c r="FKD90" s="53"/>
      <c r="FKE90" s="60"/>
      <c r="FKF90" s="60"/>
      <c r="FKG90" s="61"/>
      <c r="FKH90" s="61"/>
      <c r="FKI90" s="61"/>
      <c r="FKJ90" s="61"/>
      <c r="FKK90" s="62"/>
      <c r="FKL90" s="53"/>
      <c r="FKM90" s="60"/>
      <c r="FKN90" s="60"/>
      <c r="FKO90" s="61"/>
      <c r="FKP90" s="61"/>
      <c r="FKQ90" s="61"/>
      <c r="FKR90" s="61"/>
      <c r="FKS90" s="62"/>
      <c r="FKT90" s="53"/>
      <c r="FKU90" s="60"/>
      <c r="FKV90" s="60"/>
      <c r="FKW90" s="61"/>
      <c r="FKX90" s="61"/>
      <c r="FKY90" s="61"/>
      <c r="FKZ90" s="61"/>
      <c r="FLA90" s="62"/>
      <c r="FLB90" s="53"/>
      <c r="FLC90" s="60"/>
      <c r="FLD90" s="60"/>
      <c r="FLE90" s="61"/>
      <c r="FLF90" s="61"/>
      <c r="FLG90" s="61"/>
      <c r="FLH90" s="61"/>
      <c r="FLI90" s="62"/>
      <c r="FLJ90" s="53"/>
      <c r="FLK90" s="60"/>
      <c r="FLL90" s="60"/>
      <c r="FLM90" s="61"/>
      <c r="FLN90" s="61"/>
      <c r="FLO90" s="61"/>
      <c r="FLP90" s="61"/>
      <c r="FLQ90" s="62"/>
      <c r="FLR90" s="53"/>
      <c r="FLS90" s="60"/>
      <c r="FLT90" s="60"/>
      <c r="FLU90" s="61"/>
      <c r="FLV90" s="61"/>
      <c r="FLW90" s="61"/>
      <c r="FLX90" s="61"/>
      <c r="FLY90" s="62"/>
      <c r="FLZ90" s="53"/>
      <c r="FMA90" s="60"/>
      <c r="FMB90" s="60"/>
      <c r="FMC90" s="61"/>
      <c r="FMD90" s="61"/>
      <c r="FME90" s="61"/>
      <c r="FMF90" s="61"/>
      <c r="FMG90" s="62"/>
      <c r="FMH90" s="53"/>
      <c r="FMI90" s="60"/>
      <c r="FMJ90" s="60"/>
      <c r="FMK90" s="61"/>
      <c r="FML90" s="61"/>
      <c r="FMM90" s="61"/>
      <c r="FMN90" s="61"/>
      <c r="FMO90" s="62"/>
      <c r="FMP90" s="53"/>
      <c r="FMQ90" s="60"/>
      <c r="FMR90" s="60"/>
      <c r="FMS90" s="61"/>
      <c r="FMT90" s="61"/>
      <c r="FMU90" s="61"/>
      <c r="FMV90" s="61"/>
      <c r="FMW90" s="62"/>
      <c r="FMX90" s="53"/>
      <c r="FMY90" s="60"/>
      <c r="FMZ90" s="60"/>
      <c r="FNA90" s="61"/>
      <c r="FNB90" s="61"/>
      <c r="FNC90" s="61"/>
      <c r="FND90" s="61"/>
      <c r="FNE90" s="62"/>
      <c r="FNF90" s="53"/>
      <c r="FNG90" s="60"/>
      <c r="FNH90" s="60"/>
      <c r="FNI90" s="61"/>
      <c r="FNJ90" s="61"/>
      <c r="FNK90" s="61"/>
      <c r="FNL90" s="61"/>
      <c r="FNM90" s="62"/>
      <c r="FNN90" s="53"/>
      <c r="FNO90" s="60"/>
      <c r="FNP90" s="60"/>
      <c r="FNQ90" s="61"/>
      <c r="FNR90" s="61"/>
      <c r="FNS90" s="61"/>
      <c r="FNT90" s="61"/>
      <c r="FNU90" s="62"/>
      <c r="FNV90" s="53"/>
      <c r="FNW90" s="60"/>
      <c r="FNX90" s="60"/>
      <c r="FNY90" s="61"/>
      <c r="FNZ90" s="61"/>
      <c r="FOA90" s="61"/>
      <c r="FOB90" s="61"/>
      <c r="FOC90" s="62"/>
      <c r="FOD90" s="53"/>
      <c r="FOE90" s="60"/>
      <c r="FOF90" s="60"/>
      <c r="FOG90" s="61"/>
      <c r="FOH90" s="61"/>
      <c r="FOI90" s="61"/>
      <c r="FOJ90" s="61"/>
      <c r="FOK90" s="62"/>
      <c r="FOL90" s="53"/>
      <c r="FOM90" s="60"/>
      <c r="FON90" s="60"/>
      <c r="FOO90" s="61"/>
      <c r="FOP90" s="61"/>
      <c r="FOQ90" s="61"/>
      <c r="FOR90" s="61"/>
      <c r="FOS90" s="62"/>
      <c r="FOT90" s="53"/>
      <c r="FOU90" s="60"/>
      <c r="FOV90" s="60"/>
      <c r="FOW90" s="61"/>
      <c r="FOX90" s="61"/>
      <c r="FOY90" s="61"/>
      <c r="FOZ90" s="61"/>
      <c r="FPA90" s="62"/>
      <c r="FPB90" s="53"/>
      <c r="FPC90" s="60"/>
      <c r="FPD90" s="60"/>
      <c r="FPE90" s="61"/>
      <c r="FPF90" s="61"/>
      <c r="FPG90" s="61"/>
      <c r="FPH90" s="61"/>
      <c r="FPI90" s="62"/>
      <c r="FPJ90" s="53"/>
      <c r="FPK90" s="60"/>
      <c r="FPL90" s="60"/>
      <c r="FPM90" s="61"/>
      <c r="FPN90" s="61"/>
      <c r="FPO90" s="61"/>
      <c r="FPP90" s="61"/>
      <c r="FPQ90" s="62"/>
      <c r="FPR90" s="53"/>
      <c r="FPS90" s="60"/>
      <c r="FPT90" s="60"/>
      <c r="FPU90" s="61"/>
      <c r="FPV90" s="61"/>
      <c r="FPW90" s="61"/>
      <c r="FPX90" s="61"/>
      <c r="FPY90" s="62"/>
      <c r="FPZ90" s="53"/>
      <c r="FQA90" s="60"/>
      <c r="FQB90" s="60"/>
      <c r="FQC90" s="61"/>
      <c r="FQD90" s="61"/>
      <c r="FQE90" s="61"/>
      <c r="FQF90" s="61"/>
      <c r="FQG90" s="62"/>
      <c r="FQH90" s="53"/>
      <c r="FQI90" s="60"/>
      <c r="FQJ90" s="60"/>
      <c r="FQK90" s="61"/>
      <c r="FQL90" s="61"/>
      <c r="FQM90" s="61"/>
      <c r="FQN90" s="61"/>
      <c r="FQO90" s="62"/>
      <c r="FQP90" s="53"/>
      <c r="FQQ90" s="60"/>
      <c r="FQR90" s="60"/>
      <c r="FQS90" s="61"/>
      <c r="FQT90" s="61"/>
      <c r="FQU90" s="61"/>
      <c r="FQV90" s="61"/>
      <c r="FQW90" s="62"/>
      <c r="FQX90" s="53"/>
      <c r="FQY90" s="60"/>
      <c r="FQZ90" s="60"/>
      <c r="FRA90" s="61"/>
      <c r="FRB90" s="61"/>
      <c r="FRC90" s="61"/>
      <c r="FRD90" s="61"/>
      <c r="FRE90" s="62"/>
      <c r="FRF90" s="53"/>
      <c r="FRG90" s="60"/>
      <c r="FRH90" s="60"/>
      <c r="FRI90" s="61"/>
      <c r="FRJ90" s="61"/>
      <c r="FRK90" s="61"/>
      <c r="FRL90" s="61"/>
      <c r="FRM90" s="62"/>
      <c r="FRN90" s="53"/>
      <c r="FRO90" s="60"/>
      <c r="FRP90" s="60"/>
      <c r="FRQ90" s="61"/>
      <c r="FRR90" s="61"/>
      <c r="FRS90" s="61"/>
      <c r="FRT90" s="61"/>
      <c r="FRU90" s="62"/>
      <c r="FRV90" s="53"/>
      <c r="FRW90" s="60"/>
      <c r="FRX90" s="60"/>
      <c r="FRY90" s="61"/>
      <c r="FRZ90" s="61"/>
      <c r="FSA90" s="61"/>
      <c r="FSB90" s="61"/>
      <c r="FSC90" s="62"/>
      <c r="FSD90" s="53"/>
      <c r="FSE90" s="60"/>
      <c r="FSF90" s="60"/>
      <c r="FSG90" s="61"/>
      <c r="FSH90" s="61"/>
      <c r="FSI90" s="61"/>
      <c r="FSJ90" s="61"/>
      <c r="FSK90" s="62"/>
      <c r="FSL90" s="53"/>
      <c r="FSM90" s="60"/>
      <c r="FSN90" s="60"/>
      <c r="FSO90" s="61"/>
      <c r="FSP90" s="61"/>
      <c r="FSQ90" s="61"/>
      <c r="FSR90" s="61"/>
      <c r="FSS90" s="62"/>
      <c r="FST90" s="53"/>
      <c r="FSU90" s="60"/>
      <c r="FSV90" s="60"/>
      <c r="FSW90" s="61"/>
      <c r="FSX90" s="61"/>
      <c r="FSY90" s="61"/>
      <c r="FSZ90" s="61"/>
      <c r="FTA90" s="62"/>
      <c r="FTB90" s="53"/>
      <c r="FTC90" s="60"/>
      <c r="FTD90" s="60"/>
      <c r="FTE90" s="61"/>
      <c r="FTF90" s="61"/>
      <c r="FTG90" s="61"/>
      <c r="FTH90" s="61"/>
      <c r="FTI90" s="62"/>
      <c r="FTJ90" s="53"/>
      <c r="FTK90" s="60"/>
      <c r="FTL90" s="60"/>
      <c r="FTM90" s="61"/>
      <c r="FTN90" s="61"/>
      <c r="FTO90" s="61"/>
      <c r="FTP90" s="61"/>
      <c r="FTQ90" s="62"/>
      <c r="FTR90" s="53"/>
      <c r="FTS90" s="60"/>
      <c r="FTT90" s="60"/>
      <c r="FTU90" s="61"/>
      <c r="FTV90" s="61"/>
      <c r="FTW90" s="61"/>
      <c r="FTX90" s="61"/>
      <c r="FTY90" s="62"/>
      <c r="FTZ90" s="53"/>
      <c r="FUA90" s="60"/>
      <c r="FUB90" s="60"/>
      <c r="FUC90" s="61"/>
      <c r="FUD90" s="61"/>
      <c r="FUE90" s="61"/>
      <c r="FUF90" s="61"/>
      <c r="FUG90" s="62"/>
      <c r="FUH90" s="53"/>
      <c r="FUI90" s="60"/>
      <c r="FUJ90" s="60"/>
      <c r="FUK90" s="61"/>
      <c r="FUL90" s="61"/>
      <c r="FUM90" s="61"/>
      <c r="FUN90" s="61"/>
      <c r="FUO90" s="62"/>
      <c r="FUP90" s="53"/>
      <c r="FUQ90" s="60"/>
      <c r="FUR90" s="60"/>
      <c r="FUS90" s="61"/>
      <c r="FUT90" s="61"/>
      <c r="FUU90" s="61"/>
      <c r="FUV90" s="61"/>
      <c r="FUW90" s="62"/>
      <c r="FUX90" s="53"/>
      <c r="FUY90" s="60"/>
      <c r="FUZ90" s="60"/>
      <c r="FVA90" s="61"/>
      <c r="FVB90" s="61"/>
      <c r="FVC90" s="61"/>
      <c r="FVD90" s="61"/>
      <c r="FVE90" s="62"/>
      <c r="FVF90" s="53"/>
      <c r="FVG90" s="60"/>
      <c r="FVH90" s="60"/>
      <c r="FVI90" s="61"/>
      <c r="FVJ90" s="61"/>
      <c r="FVK90" s="61"/>
      <c r="FVL90" s="61"/>
      <c r="FVM90" s="62"/>
      <c r="FVN90" s="53"/>
      <c r="FVO90" s="60"/>
      <c r="FVP90" s="60"/>
      <c r="FVQ90" s="61"/>
      <c r="FVR90" s="61"/>
      <c r="FVS90" s="61"/>
      <c r="FVT90" s="61"/>
      <c r="FVU90" s="62"/>
      <c r="FVV90" s="53"/>
      <c r="FVW90" s="60"/>
      <c r="FVX90" s="60"/>
      <c r="FVY90" s="61"/>
      <c r="FVZ90" s="61"/>
      <c r="FWA90" s="61"/>
      <c r="FWB90" s="61"/>
      <c r="FWC90" s="62"/>
      <c r="FWD90" s="53"/>
      <c r="FWE90" s="60"/>
      <c r="FWF90" s="60"/>
      <c r="FWG90" s="61"/>
      <c r="FWH90" s="61"/>
      <c r="FWI90" s="61"/>
      <c r="FWJ90" s="61"/>
      <c r="FWK90" s="62"/>
      <c r="FWL90" s="53"/>
      <c r="FWM90" s="60"/>
      <c r="FWN90" s="60"/>
      <c r="FWO90" s="61"/>
      <c r="FWP90" s="61"/>
      <c r="FWQ90" s="61"/>
      <c r="FWR90" s="61"/>
      <c r="FWS90" s="62"/>
      <c r="FWT90" s="53"/>
      <c r="FWU90" s="60"/>
      <c r="FWV90" s="60"/>
      <c r="FWW90" s="61"/>
      <c r="FWX90" s="61"/>
      <c r="FWY90" s="61"/>
      <c r="FWZ90" s="61"/>
      <c r="FXA90" s="62"/>
      <c r="FXB90" s="53"/>
      <c r="FXC90" s="60"/>
      <c r="FXD90" s="60"/>
      <c r="FXE90" s="61"/>
      <c r="FXF90" s="61"/>
      <c r="FXG90" s="61"/>
      <c r="FXH90" s="61"/>
      <c r="FXI90" s="62"/>
      <c r="FXJ90" s="53"/>
      <c r="FXK90" s="60"/>
      <c r="FXL90" s="60"/>
      <c r="FXM90" s="61"/>
      <c r="FXN90" s="61"/>
      <c r="FXO90" s="61"/>
      <c r="FXP90" s="61"/>
      <c r="FXQ90" s="62"/>
      <c r="FXR90" s="53"/>
      <c r="FXS90" s="60"/>
      <c r="FXT90" s="60"/>
      <c r="FXU90" s="61"/>
      <c r="FXV90" s="61"/>
      <c r="FXW90" s="61"/>
      <c r="FXX90" s="61"/>
      <c r="FXY90" s="62"/>
      <c r="FXZ90" s="53"/>
      <c r="FYA90" s="60"/>
      <c r="FYB90" s="60"/>
      <c r="FYC90" s="61"/>
      <c r="FYD90" s="61"/>
      <c r="FYE90" s="61"/>
      <c r="FYF90" s="61"/>
      <c r="FYG90" s="62"/>
      <c r="FYH90" s="53"/>
      <c r="FYI90" s="60"/>
      <c r="FYJ90" s="60"/>
      <c r="FYK90" s="61"/>
      <c r="FYL90" s="61"/>
      <c r="FYM90" s="61"/>
      <c r="FYN90" s="61"/>
      <c r="FYO90" s="62"/>
      <c r="FYP90" s="53"/>
      <c r="FYQ90" s="60"/>
      <c r="FYR90" s="60"/>
      <c r="FYS90" s="61"/>
      <c r="FYT90" s="61"/>
      <c r="FYU90" s="61"/>
      <c r="FYV90" s="61"/>
      <c r="FYW90" s="62"/>
      <c r="FYX90" s="53"/>
      <c r="FYY90" s="60"/>
      <c r="FYZ90" s="60"/>
      <c r="FZA90" s="61"/>
      <c r="FZB90" s="61"/>
      <c r="FZC90" s="61"/>
      <c r="FZD90" s="61"/>
      <c r="FZE90" s="62"/>
      <c r="FZF90" s="53"/>
      <c r="FZG90" s="60"/>
      <c r="FZH90" s="60"/>
      <c r="FZI90" s="61"/>
      <c r="FZJ90" s="61"/>
      <c r="FZK90" s="61"/>
      <c r="FZL90" s="61"/>
      <c r="FZM90" s="62"/>
      <c r="FZN90" s="53"/>
      <c r="FZO90" s="60"/>
      <c r="FZP90" s="60"/>
      <c r="FZQ90" s="61"/>
      <c r="FZR90" s="61"/>
      <c r="FZS90" s="61"/>
      <c r="FZT90" s="61"/>
      <c r="FZU90" s="62"/>
      <c r="FZV90" s="53"/>
      <c r="FZW90" s="60"/>
      <c r="FZX90" s="60"/>
      <c r="FZY90" s="61"/>
      <c r="FZZ90" s="61"/>
      <c r="GAA90" s="61"/>
      <c r="GAB90" s="61"/>
      <c r="GAC90" s="62"/>
      <c r="GAD90" s="53"/>
      <c r="GAE90" s="60"/>
      <c r="GAF90" s="60"/>
      <c r="GAG90" s="61"/>
      <c r="GAH90" s="61"/>
      <c r="GAI90" s="61"/>
      <c r="GAJ90" s="61"/>
      <c r="GAK90" s="62"/>
      <c r="GAL90" s="53"/>
      <c r="GAM90" s="60"/>
      <c r="GAN90" s="60"/>
      <c r="GAO90" s="61"/>
      <c r="GAP90" s="61"/>
      <c r="GAQ90" s="61"/>
      <c r="GAR90" s="61"/>
      <c r="GAS90" s="62"/>
      <c r="GAT90" s="53"/>
      <c r="GAU90" s="60"/>
      <c r="GAV90" s="60"/>
      <c r="GAW90" s="61"/>
      <c r="GAX90" s="61"/>
      <c r="GAY90" s="61"/>
      <c r="GAZ90" s="61"/>
      <c r="GBA90" s="62"/>
      <c r="GBB90" s="53"/>
      <c r="GBC90" s="60"/>
      <c r="GBD90" s="60"/>
      <c r="GBE90" s="61"/>
      <c r="GBF90" s="61"/>
      <c r="GBG90" s="61"/>
      <c r="GBH90" s="61"/>
      <c r="GBI90" s="62"/>
      <c r="GBJ90" s="53"/>
      <c r="GBK90" s="60"/>
      <c r="GBL90" s="60"/>
      <c r="GBM90" s="61"/>
      <c r="GBN90" s="61"/>
      <c r="GBO90" s="61"/>
      <c r="GBP90" s="61"/>
      <c r="GBQ90" s="62"/>
      <c r="GBR90" s="53"/>
      <c r="GBS90" s="60"/>
      <c r="GBT90" s="60"/>
      <c r="GBU90" s="61"/>
      <c r="GBV90" s="61"/>
      <c r="GBW90" s="61"/>
      <c r="GBX90" s="61"/>
      <c r="GBY90" s="62"/>
      <c r="GBZ90" s="53"/>
      <c r="GCA90" s="60"/>
      <c r="GCB90" s="60"/>
      <c r="GCC90" s="61"/>
      <c r="GCD90" s="61"/>
      <c r="GCE90" s="61"/>
      <c r="GCF90" s="61"/>
      <c r="GCG90" s="62"/>
      <c r="GCH90" s="53"/>
      <c r="GCI90" s="60"/>
      <c r="GCJ90" s="60"/>
      <c r="GCK90" s="61"/>
      <c r="GCL90" s="61"/>
      <c r="GCM90" s="61"/>
      <c r="GCN90" s="61"/>
      <c r="GCO90" s="62"/>
      <c r="GCP90" s="53"/>
      <c r="GCQ90" s="60"/>
      <c r="GCR90" s="60"/>
      <c r="GCS90" s="61"/>
      <c r="GCT90" s="61"/>
      <c r="GCU90" s="61"/>
      <c r="GCV90" s="61"/>
      <c r="GCW90" s="62"/>
      <c r="GCX90" s="53"/>
      <c r="GCY90" s="60"/>
      <c r="GCZ90" s="60"/>
      <c r="GDA90" s="61"/>
      <c r="GDB90" s="61"/>
      <c r="GDC90" s="61"/>
      <c r="GDD90" s="61"/>
      <c r="GDE90" s="62"/>
      <c r="GDF90" s="53"/>
      <c r="GDG90" s="60"/>
      <c r="GDH90" s="60"/>
      <c r="GDI90" s="61"/>
      <c r="GDJ90" s="61"/>
      <c r="GDK90" s="61"/>
      <c r="GDL90" s="61"/>
      <c r="GDM90" s="62"/>
      <c r="GDN90" s="53"/>
      <c r="GDO90" s="60"/>
      <c r="GDP90" s="60"/>
      <c r="GDQ90" s="61"/>
      <c r="GDR90" s="61"/>
      <c r="GDS90" s="61"/>
      <c r="GDT90" s="61"/>
      <c r="GDU90" s="62"/>
      <c r="GDV90" s="53"/>
      <c r="GDW90" s="60"/>
      <c r="GDX90" s="60"/>
      <c r="GDY90" s="61"/>
      <c r="GDZ90" s="61"/>
      <c r="GEA90" s="61"/>
      <c r="GEB90" s="61"/>
      <c r="GEC90" s="62"/>
      <c r="GED90" s="53"/>
      <c r="GEE90" s="60"/>
      <c r="GEF90" s="60"/>
      <c r="GEG90" s="61"/>
      <c r="GEH90" s="61"/>
      <c r="GEI90" s="61"/>
      <c r="GEJ90" s="61"/>
      <c r="GEK90" s="62"/>
      <c r="GEL90" s="53"/>
      <c r="GEM90" s="60"/>
      <c r="GEN90" s="60"/>
      <c r="GEO90" s="61"/>
      <c r="GEP90" s="61"/>
      <c r="GEQ90" s="61"/>
      <c r="GER90" s="61"/>
      <c r="GES90" s="62"/>
      <c r="GET90" s="53"/>
      <c r="GEU90" s="60"/>
      <c r="GEV90" s="60"/>
      <c r="GEW90" s="61"/>
      <c r="GEX90" s="61"/>
      <c r="GEY90" s="61"/>
      <c r="GEZ90" s="61"/>
      <c r="GFA90" s="62"/>
      <c r="GFB90" s="53"/>
      <c r="GFC90" s="60"/>
      <c r="GFD90" s="60"/>
      <c r="GFE90" s="61"/>
      <c r="GFF90" s="61"/>
      <c r="GFG90" s="61"/>
      <c r="GFH90" s="61"/>
      <c r="GFI90" s="62"/>
      <c r="GFJ90" s="53"/>
      <c r="GFK90" s="60"/>
      <c r="GFL90" s="60"/>
      <c r="GFM90" s="61"/>
      <c r="GFN90" s="61"/>
      <c r="GFO90" s="61"/>
      <c r="GFP90" s="61"/>
      <c r="GFQ90" s="62"/>
      <c r="GFR90" s="53"/>
      <c r="GFS90" s="60"/>
      <c r="GFT90" s="60"/>
      <c r="GFU90" s="61"/>
      <c r="GFV90" s="61"/>
      <c r="GFW90" s="61"/>
      <c r="GFX90" s="61"/>
      <c r="GFY90" s="62"/>
      <c r="GFZ90" s="53"/>
      <c r="GGA90" s="60"/>
      <c r="GGB90" s="60"/>
      <c r="GGC90" s="61"/>
      <c r="GGD90" s="61"/>
      <c r="GGE90" s="61"/>
      <c r="GGF90" s="61"/>
      <c r="GGG90" s="62"/>
      <c r="GGH90" s="53"/>
      <c r="GGI90" s="60"/>
      <c r="GGJ90" s="60"/>
      <c r="GGK90" s="61"/>
      <c r="GGL90" s="61"/>
      <c r="GGM90" s="61"/>
      <c r="GGN90" s="61"/>
      <c r="GGO90" s="62"/>
      <c r="GGP90" s="53"/>
      <c r="GGQ90" s="60"/>
      <c r="GGR90" s="60"/>
      <c r="GGS90" s="61"/>
      <c r="GGT90" s="61"/>
      <c r="GGU90" s="61"/>
      <c r="GGV90" s="61"/>
      <c r="GGW90" s="62"/>
      <c r="GGX90" s="53"/>
      <c r="GGY90" s="60"/>
      <c r="GGZ90" s="60"/>
      <c r="GHA90" s="61"/>
      <c r="GHB90" s="61"/>
      <c r="GHC90" s="61"/>
      <c r="GHD90" s="61"/>
      <c r="GHE90" s="62"/>
      <c r="GHF90" s="53"/>
      <c r="GHG90" s="60"/>
      <c r="GHH90" s="60"/>
      <c r="GHI90" s="61"/>
      <c r="GHJ90" s="61"/>
      <c r="GHK90" s="61"/>
      <c r="GHL90" s="61"/>
      <c r="GHM90" s="62"/>
      <c r="GHN90" s="53"/>
      <c r="GHO90" s="60"/>
      <c r="GHP90" s="60"/>
      <c r="GHQ90" s="61"/>
      <c r="GHR90" s="61"/>
      <c r="GHS90" s="61"/>
      <c r="GHT90" s="61"/>
      <c r="GHU90" s="62"/>
      <c r="GHV90" s="53"/>
      <c r="GHW90" s="60"/>
      <c r="GHX90" s="60"/>
      <c r="GHY90" s="61"/>
      <c r="GHZ90" s="61"/>
      <c r="GIA90" s="61"/>
      <c r="GIB90" s="61"/>
      <c r="GIC90" s="62"/>
      <c r="GID90" s="53"/>
      <c r="GIE90" s="60"/>
      <c r="GIF90" s="60"/>
      <c r="GIG90" s="61"/>
      <c r="GIH90" s="61"/>
      <c r="GII90" s="61"/>
      <c r="GIJ90" s="61"/>
      <c r="GIK90" s="62"/>
      <c r="GIL90" s="53"/>
      <c r="GIM90" s="60"/>
      <c r="GIN90" s="60"/>
      <c r="GIO90" s="61"/>
      <c r="GIP90" s="61"/>
      <c r="GIQ90" s="61"/>
      <c r="GIR90" s="61"/>
      <c r="GIS90" s="62"/>
      <c r="GIT90" s="53"/>
      <c r="GIU90" s="60"/>
      <c r="GIV90" s="60"/>
      <c r="GIW90" s="61"/>
      <c r="GIX90" s="61"/>
      <c r="GIY90" s="61"/>
      <c r="GIZ90" s="61"/>
      <c r="GJA90" s="62"/>
      <c r="GJB90" s="53"/>
      <c r="GJC90" s="60"/>
      <c r="GJD90" s="60"/>
      <c r="GJE90" s="61"/>
      <c r="GJF90" s="61"/>
      <c r="GJG90" s="61"/>
      <c r="GJH90" s="61"/>
      <c r="GJI90" s="62"/>
      <c r="GJJ90" s="53"/>
      <c r="GJK90" s="60"/>
      <c r="GJL90" s="60"/>
      <c r="GJM90" s="61"/>
      <c r="GJN90" s="61"/>
      <c r="GJO90" s="61"/>
      <c r="GJP90" s="61"/>
      <c r="GJQ90" s="62"/>
      <c r="GJR90" s="53"/>
      <c r="GJS90" s="60"/>
      <c r="GJT90" s="60"/>
      <c r="GJU90" s="61"/>
      <c r="GJV90" s="61"/>
      <c r="GJW90" s="61"/>
      <c r="GJX90" s="61"/>
      <c r="GJY90" s="62"/>
      <c r="GJZ90" s="53"/>
      <c r="GKA90" s="60"/>
      <c r="GKB90" s="60"/>
      <c r="GKC90" s="61"/>
      <c r="GKD90" s="61"/>
      <c r="GKE90" s="61"/>
      <c r="GKF90" s="61"/>
      <c r="GKG90" s="62"/>
      <c r="GKH90" s="53"/>
      <c r="GKI90" s="60"/>
      <c r="GKJ90" s="60"/>
      <c r="GKK90" s="61"/>
      <c r="GKL90" s="61"/>
      <c r="GKM90" s="61"/>
      <c r="GKN90" s="61"/>
      <c r="GKO90" s="62"/>
      <c r="GKP90" s="53"/>
      <c r="GKQ90" s="60"/>
      <c r="GKR90" s="60"/>
      <c r="GKS90" s="61"/>
      <c r="GKT90" s="61"/>
      <c r="GKU90" s="61"/>
      <c r="GKV90" s="61"/>
      <c r="GKW90" s="62"/>
      <c r="GKX90" s="53"/>
      <c r="GKY90" s="60"/>
      <c r="GKZ90" s="60"/>
      <c r="GLA90" s="61"/>
      <c r="GLB90" s="61"/>
      <c r="GLC90" s="61"/>
      <c r="GLD90" s="61"/>
      <c r="GLE90" s="62"/>
      <c r="GLF90" s="53"/>
      <c r="GLG90" s="60"/>
      <c r="GLH90" s="60"/>
      <c r="GLI90" s="61"/>
      <c r="GLJ90" s="61"/>
      <c r="GLK90" s="61"/>
      <c r="GLL90" s="61"/>
      <c r="GLM90" s="62"/>
      <c r="GLN90" s="53"/>
      <c r="GLO90" s="60"/>
      <c r="GLP90" s="60"/>
      <c r="GLQ90" s="61"/>
      <c r="GLR90" s="61"/>
      <c r="GLS90" s="61"/>
      <c r="GLT90" s="61"/>
      <c r="GLU90" s="62"/>
      <c r="GLV90" s="53"/>
      <c r="GLW90" s="60"/>
      <c r="GLX90" s="60"/>
      <c r="GLY90" s="61"/>
      <c r="GLZ90" s="61"/>
      <c r="GMA90" s="61"/>
      <c r="GMB90" s="61"/>
      <c r="GMC90" s="62"/>
      <c r="GMD90" s="53"/>
      <c r="GME90" s="60"/>
      <c r="GMF90" s="60"/>
      <c r="GMG90" s="61"/>
      <c r="GMH90" s="61"/>
      <c r="GMI90" s="61"/>
      <c r="GMJ90" s="61"/>
      <c r="GMK90" s="62"/>
      <c r="GML90" s="53"/>
      <c r="GMM90" s="60"/>
      <c r="GMN90" s="60"/>
      <c r="GMO90" s="61"/>
      <c r="GMP90" s="61"/>
      <c r="GMQ90" s="61"/>
      <c r="GMR90" s="61"/>
      <c r="GMS90" s="62"/>
      <c r="GMT90" s="53"/>
      <c r="GMU90" s="60"/>
      <c r="GMV90" s="60"/>
      <c r="GMW90" s="61"/>
      <c r="GMX90" s="61"/>
      <c r="GMY90" s="61"/>
      <c r="GMZ90" s="61"/>
      <c r="GNA90" s="62"/>
      <c r="GNB90" s="53"/>
      <c r="GNC90" s="60"/>
      <c r="GND90" s="60"/>
      <c r="GNE90" s="61"/>
      <c r="GNF90" s="61"/>
      <c r="GNG90" s="61"/>
      <c r="GNH90" s="61"/>
      <c r="GNI90" s="62"/>
      <c r="GNJ90" s="53"/>
      <c r="GNK90" s="60"/>
      <c r="GNL90" s="60"/>
      <c r="GNM90" s="61"/>
      <c r="GNN90" s="61"/>
      <c r="GNO90" s="61"/>
      <c r="GNP90" s="61"/>
      <c r="GNQ90" s="62"/>
      <c r="GNR90" s="53"/>
      <c r="GNS90" s="60"/>
      <c r="GNT90" s="60"/>
      <c r="GNU90" s="61"/>
      <c r="GNV90" s="61"/>
      <c r="GNW90" s="61"/>
      <c r="GNX90" s="61"/>
      <c r="GNY90" s="62"/>
      <c r="GNZ90" s="53"/>
      <c r="GOA90" s="60"/>
      <c r="GOB90" s="60"/>
      <c r="GOC90" s="61"/>
      <c r="GOD90" s="61"/>
      <c r="GOE90" s="61"/>
      <c r="GOF90" s="61"/>
      <c r="GOG90" s="62"/>
      <c r="GOH90" s="53"/>
      <c r="GOI90" s="60"/>
      <c r="GOJ90" s="60"/>
      <c r="GOK90" s="61"/>
      <c r="GOL90" s="61"/>
      <c r="GOM90" s="61"/>
      <c r="GON90" s="61"/>
      <c r="GOO90" s="62"/>
      <c r="GOP90" s="53"/>
      <c r="GOQ90" s="60"/>
      <c r="GOR90" s="60"/>
      <c r="GOS90" s="61"/>
      <c r="GOT90" s="61"/>
      <c r="GOU90" s="61"/>
      <c r="GOV90" s="61"/>
      <c r="GOW90" s="62"/>
      <c r="GOX90" s="53"/>
      <c r="GOY90" s="60"/>
      <c r="GOZ90" s="60"/>
      <c r="GPA90" s="61"/>
      <c r="GPB90" s="61"/>
      <c r="GPC90" s="61"/>
      <c r="GPD90" s="61"/>
      <c r="GPE90" s="62"/>
      <c r="GPF90" s="53"/>
      <c r="GPG90" s="60"/>
      <c r="GPH90" s="60"/>
      <c r="GPI90" s="61"/>
      <c r="GPJ90" s="61"/>
      <c r="GPK90" s="61"/>
      <c r="GPL90" s="61"/>
      <c r="GPM90" s="62"/>
      <c r="GPN90" s="53"/>
      <c r="GPO90" s="60"/>
      <c r="GPP90" s="60"/>
      <c r="GPQ90" s="61"/>
      <c r="GPR90" s="61"/>
      <c r="GPS90" s="61"/>
      <c r="GPT90" s="61"/>
      <c r="GPU90" s="62"/>
      <c r="GPV90" s="53"/>
      <c r="GPW90" s="60"/>
      <c r="GPX90" s="60"/>
      <c r="GPY90" s="61"/>
      <c r="GPZ90" s="61"/>
      <c r="GQA90" s="61"/>
      <c r="GQB90" s="61"/>
      <c r="GQC90" s="62"/>
      <c r="GQD90" s="53"/>
      <c r="GQE90" s="60"/>
      <c r="GQF90" s="60"/>
      <c r="GQG90" s="61"/>
      <c r="GQH90" s="61"/>
      <c r="GQI90" s="61"/>
      <c r="GQJ90" s="61"/>
      <c r="GQK90" s="62"/>
      <c r="GQL90" s="53"/>
      <c r="GQM90" s="60"/>
      <c r="GQN90" s="60"/>
      <c r="GQO90" s="61"/>
      <c r="GQP90" s="61"/>
      <c r="GQQ90" s="61"/>
      <c r="GQR90" s="61"/>
      <c r="GQS90" s="62"/>
      <c r="GQT90" s="53"/>
      <c r="GQU90" s="60"/>
      <c r="GQV90" s="60"/>
      <c r="GQW90" s="61"/>
      <c r="GQX90" s="61"/>
      <c r="GQY90" s="61"/>
      <c r="GQZ90" s="61"/>
      <c r="GRA90" s="62"/>
      <c r="GRB90" s="53"/>
      <c r="GRC90" s="60"/>
      <c r="GRD90" s="60"/>
      <c r="GRE90" s="61"/>
      <c r="GRF90" s="61"/>
      <c r="GRG90" s="61"/>
      <c r="GRH90" s="61"/>
      <c r="GRI90" s="62"/>
      <c r="GRJ90" s="53"/>
      <c r="GRK90" s="60"/>
      <c r="GRL90" s="60"/>
      <c r="GRM90" s="61"/>
      <c r="GRN90" s="61"/>
      <c r="GRO90" s="61"/>
      <c r="GRP90" s="61"/>
      <c r="GRQ90" s="62"/>
      <c r="GRR90" s="53"/>
      <c r="GRS90" s="60"/>
      <c r="GRT90" s="60"/>
      <c r="GRU90" s="61"/>
      <c r="GRV90" s="61"/>
      <c r="GRW90" s="61"/>
      <c r="GRX90" s="61"/>
      <c r="GRY90" s="62"/>
      <c r="GRZ90" s="53"/>
      <c r="GSA90" s="60"/>
      <c r="GSB90" s="60"/>
      <c r="GSC90" s="61"/>
      <c r="GSD90" s="61"/>
      <c r="GSE90" s="61"/>
      <c r="GSF90" s="61"/>
      <c r="GSG90" s="62"/>
      <c r="GSH90" s="53"/>
      <c r="GSI90" s="60"/>
      <c r="GSJ90" s="60"/>
      <c r="GSK90" s="61"/>
      <c r="GSL90" s="61"/>
      <c r="GSM90" s="61"/>
      <c r="GSN90" s="61"/>
      <c r="GSO90" s="62"/>
      <c r="GSP90" s="53"/>
      <c r="GSQ90" s="60"/>
      <c r="GSR90" s="60"/>
      <c r="GSS90" s="61"/>
      <c r="GST90" s="61"/>
      <c r="GSU90" s="61"/>
      <c r="GSV90" s="61"/>
      <c r="GSW90" s="62"/>
      <c r="GSX90" s="53"/>
      <c r="GSY90" s="60"/>
      <c r="GSZ90" s="60"/>
      <c r="GTA90" s="61"/>
      <c r="GTB90" s="61"/>
      <c r="GTC90" s="61"/>
      <c r="GTD90" s="61"/>
      <c r="GTE90" s="62"/>
      <c r="GTF90" s="53"/>
      <c r="GTG90" s="60"/>
      <c r="GTH90" s="60"/>
      <c r="GTI90" s="61"/>
      <c r="GTJ90" s="61"/>
      <c r="GTK90" s="61"/>
      <c r="GTL90" s="61"/>
      <c r="GTM90" s="62"/>
      <c r="GTN90" s="53"/>
      <c r="GTO90" s="60"/>
      <c r="GTP90" s="60"/>
      <c r="GTQ90" s="61"/>
      <c r="GTR90" s="61"/>
      <c r="GTS90" s="61"/>
      <c r="GTT90" s="61"/>
      <c r="GTU90" s="62"/>
      <c r="GTV90" s="53"/>
      <c r="GTW90" s="60"/>
      <c r="GTX90" s="60"/>
      <c r="GTY90" s="61"/>
      <c r="GTZ90" s="61"/>
      <c r="GUA90" s="61"/>
      <c r="GUB90" s="61"/>
      <c r="GUC90" s="62"/>
      <c r="GUD90" s="53"/>
      <c r="GUE90" s="60"/>
      <c r="GUF90" s="60"/>
      <c r="GUG90" s="61"/>
      <c r="GUH90" s="61"/>
      <c r="GUI90" s="61"/>
      <c r="GUJ90" s="61"/>
      <c r="GUK90" s="62"/>
      <c r="GUL90" s="53"/>
      <c r="GUM90" s="60"/>
      <c r="GUN90" s="60"/>
      <c r="GUO90" s="61"/>
      <c r="GUP90" s="61"/>
      <c r="GUQ90" s="61"/>
      <c r="GUR90" s="61"/>
      <c r="GUS90" s="62"/>
      <c r="GUT90" s="53"/>
      <c r="GUU90" s="60"/>
      <c r="GUV90" s="60"/>
      <c r="GUW90" s="61"/>
      <c r="GUX90" s="61"/>
      <c r="GUY90" s="61"/>
      <c r="GUZ90" s="61"/>
      <c r="GVA90" s="62"/>
      <c r="GVB90" s="53"/>
      <c r="GVC90" s="60"/>
      <c r="GVD90" s="60"/>
      <c r="GVE90" s="61"/>
      <c r="GVF90" s="61"/>
      <c r="GVG90" s="61"/>
      <c r="GVH90" s="61"/>
      <c r="GVI90" s="62"/>
      <c r="GVJ90" s="53"/>
      <c r="GVK90" s="60"/>
      <c r="GVL90" s="60"/>
      <c r="GVM90" s="61"/>
      <c r="GVN90" s="61"/>
      <c r="GVO90" s="61"/>
      <c r="GVP90" s="61"/>
      <c r="GVQ90" s="62"/>
      <c r="GVR90" s="53"/>
      <c r="GVS90" s="60"/>
      <c r="GVT90" s="60"/>
      <c r="GVU90" s="61"/>
      <c r="GVV90" s="61"/>
      <c r="GVW90" s="61"/>
      <c r="GVX90" s="61"/>
      <c r="GVY90" s="62"/>
      <c r="GVZ90" s="53"/>
      <c r="GWA90" s="60"/>
      <c r="GWB90" s="60"/>
      <c r="GWC90" s="61"/>
      <c r="GWD90" s="61"/>
      <c r="GWE90" s="61"/>
      <c r="GWF90" s="61"/>
      <c r="GWG90" s="62"/>
      <c r="GWH90" s="53"/>
      <c r="GWI90" s="60"/>
      <c r="GWJ90" s="60"/>
      <c r="GWK90" s="61"/>
      <c r="GWL90" s="61"/>
      <c r="GWM90" s="61"/>
      <c r="GWN90" s="61"/>
      <c r="GWO90" s="62"/>
      <c r="GWP90" s="53"/>
      <c r="GWQ90" s="60"/>
      <c r="GWR90" s="60"/>
      <c r="GWS90" s="61"/>
      <c r="GWT90" s="61"/>
      <c r="GWU90" s="61"/>
      <c r="GWV90" s="61"/>
      <c r="GWW90" s="62"/>
      <c r="GWX90" s="53"/>
      <c r="GWY90" s="60"/>
      <c r="GWZ90" s="60"/>
      <c r="GXA90" s="61"/>
      <c r="GXB90" s="61"/>
      <c r="GXC90" s="61"/>
      <c r="GXD90" s="61"/>
      <c r="GXE90" s="62"/>
      <c r="GXF90" s="53"/>
      <c r="GXG90" s="60"/>
      <c r="GXH90" s="60"/>
      <c r="GXI90" s="61"/>
      <c r="GXJ90" s="61"/>
      <c r="GXK90" s="61"/>
      <c r="GXL90" s="61"/>
      <c r="GXM90" s="62"/>
      <c r="GXN90" s="53"/>
      <c r="GXO90" s="60"/>
      <c r="GXP90" s="60"/>
      <c r="GXQ90" s="61"/>
      <c r="GXR90" s="61"/>
      <c r="GXS90" s="61"/>
      <c r="GXT90" s="61"/>
      <c r="GXU90" s="62"/>
      <c r="GXV90" s="53"/>
      <c r="GXW90" s="60"/>
      <c r="GXX90" s="60"/>
      <c r="GXY90" s="61"/>
      <c r="GXZ90" s="61"/>
      <c r="GYA90" s="61"/>
      <c r="GYB90" s="61"/>
      <c r="GYC90" s="62"/>
      <c r="GYD90" s="53"/>
      <c r="GYE90" s="60"/>
      <c r="GYF90" s="60"/>
      <c r="GYG90" s="61"/>
      <c r="GYH90" s="61"/>
      <c r="GYI90" s="61"/>
      <c r="GYJ90" s="61"/>
      <c r="GYK90" s="62"/>
      <c r="GYL90" s="53"/>
      <c r="GYM90" s="60"/>
      <c r="GYN90" s="60"/>
      <c r="GYO90" s="61"/>
      <c r="GYP90" s="61"/>
      <c r="GYQ90" s="61"/>
      <c r="GYR90" s="61"/>
      <c r="GYS90" s="62"/>
      <c r="GYT90" s="53"/>
      <c r="GYU90" s="60"/>
      <c r="GYV90" s="60"/>
      <c r="GYW90" s="61"/>
      <c r="GYX90" s="61"/>
      <c r="GYY90" s="61"/>
      <c r="GYZ90" s="61"/>
      <c r="GZA90" s="62"/>
      <c r="GZB90" s="53"/>
      <c r="GZC90" s="60"/>
      <c r="GZD90" s="60"/>
      <c r="GZE90" s="61"/>
      <c r="GZF90" s="61"/>
      <c r="GZG90" s="61"/>
      <c r="GZH90" s="61"/>
      <c r="GZI90" s="62"/>
      <c r="GZJ90" s="53"/>
      <c r="GZK90" s="60"/>
      <c r="GZL90" s="60"/>
      <c r="GZM90" s="61"/>
      <c r="GZN90" s="61"/>
      <c r="GZO90" s="61"/>
      <c r="GZP90" s="61"/>
      <c r="GZQ90" s="62"/>
      <c r="GZR90" s="53"/>
      <c r="GZS90" s="60"/>
      <c r="GZT90" s="60"/>
      <c r="GZU90" s="61"/>
      <c r="GZV90" s="61"/>
      <c r="GZW90" s="61"/>
      <c r="GZX90" s="61"/>
      <c r="GZY90" s="62"/>
      <c r="GZZ90" s="53"/>
      <c r="HAA90" s="60"/>
      <c r="HAB90" s="60"/>
      <c r="HAC90" s="61"/>
      <c r="HAD90" s="61"/>
      <c r="HAE90" s="61"/>
      <c r="HAF90" s="61"/>
      <c r="HAG90" s="62"/>
      <c r="HAH90" s="53"/>
      <c r="HAI90" s="60"/>
      <c r="HAJ90" s="60"/>
      <c r="HAK90" s="61"/>
      <c r="HAL90" s="61"/>
      <c r="HAM90" s="61"/>
      <c r="HAN90" s="61"/>
      <c r="HAO90" s="62"/>
      <c r="HAP90" s="53"/>
      <c r="HAQ90" s="60"/>
      <c r="HAR90" s="60"/>
      <c r="HAS90" s="61"/>
      <c r="HAT90" s="61"/>
      <c r="HAU90" s="61"/>
      <c r="HAV90" s="61"/>
      <c r="HAW90" s="62"/>
      <c r="HAX90" s="53"/>
      <c r="HAY90" s="60"/>
      <c r="HAZ90" s="60"/>
      <c r="HBA90" s="61"/>
      <c r="HBB90" s="61"/>
      <c r="HBC90" s="61"/>
      <c r="HBD90" s="61"/>
      <c r="HBE90" s="62"/>
      <c r="HBF90" s="53"/>
      <c r="HBG90" s="60"/>
      <c r="HBH90" s="60"/>
      <c r="HBI90" s="61"/>
      <c r="HBJ90" s="61"/>
      <c r="HBK90" s="61"/>
      <c r="HBL90" s="61"/>
      <c r="HBM90" s="62"/>
      <c r="HBN90" s="53"/>
      <c r="HBO90" s="60"/>
      <c r="HBP90" s="60"/>
      <c r="HBQ90" s="61"/>
      <c r="HBR90" s="61"/>
      <c r="HBS90" s="61"/>
      <c r="HBT90" s="61"/>
      <c r="HBU90" s="62"/>
      <c r="HBV90" s="53"/>
      <c r="HBW90" s="60"/>
      <c r="HBX90" s="60"/>
      <c r="HBY90" s="61"/>
      <c r="HBZ90" s="61"/>
      <c r="HCA90" s="61"/>
      <c r="HCB90" s="61"/>
      <c r="HCC90" s="62"/>
      <c r="HCD90" s="53"/>
      <c r="HCE90" s="60"/>
      <c r="HCF90" s="60"/>
      <c r="HCG90" s="61"/>
      <c r="HCH90" s="61"/>
      <c r="HCI90" s="61"/>
      <c r="HCJ90" s="61"/>
      <c r="HCK90" s="62"/>
      <c r="HCL90" s="53"/>
      <c r="HCM90" s="60"/>
      <c r="HCN90" s="60"/>
      <c r="HCO90" s="61"/>
      <c r="HCP90" s="61"/>
      <c r="HCQ90" s="61"/>
      <c r="HCR90" s="61"/>
      <c r="HCS90" s="62"/>
      <c r="HCT90" s="53"/>
      <c r="HCU90" s="60"/>
      <c r="HCV90" s="60"/>
      <c r="HCW90" s="61"/>
      <c r="HCX90" s="61"/>
      <c r="HCY90" s="61"/>
      <c r="HCZ90" s="61"/>
      <c r="HDA90" s="62"/>
      <c r="HDB90" s="53"/>
      <c r="HDC90" s="60"/>
      <c r="HDD90" s="60"/>
      <c r="HDE90" s="61"/>
      <c r="HDF90" s="61"/>
      <c r="HDG90" s="61"/>
      <c r="HDH90" s="61"/>
      <c r="HDI90" s="62"/>
      <c r="HDJ90" s="53"/>
      <c r="HDK90" s="60"/>
      <c r="HDL90" s="60"/>
      <c r="HDM90" s="61"/>
      <c r="HDN90" s="61"/>
      <c r="HDO90" s="61"/>
      <c r="HDP90" s="61"/>
      <c r="HDQ90" s="62"/>
      <c r="HDR90" s="53"/>
      <c r="HDS90" s="60"/>
      <c r="HDT90" s="60"/>
      <c r="HDU90" s="61"/>
      <c r="HDV90" s="61"/>
      <c r="HDW90" s="61"/>
      <c r="HDX90" s="61"/>
      <c r="HDY90" s="62"/>
      <c r="HDZ90" s="53"/>
      <c r="HEA90" s="60"/>
      <c r="HEB90" s="60"/>
      <c r="HEC90" s="61"/>
      <c r="HED90" s="61"/>
      <c r="HEE90" s="61"/>
      <c r="HEF90" s="61"/>
      <c r="HEG90" s="62"/>
      <c r="HEH90" s="53"/>
      <c r="HEI90" s="60"/>
      <c r="HEJ90" s="60"/>
      <c r="HEK90" s="61"/>
      <c r="HEL90" s="61"/>
      <c r="HEM90" s="61"/>
      <c r="HEN90" s="61"/>
      <c r="HEO90" s="62"/>
      <c r="HEP90" s="53"/>
      <c r="HEQ90" s="60"/>
      <c r="HER90" s="60"/>
      <c r="HES90" s="61"/>
      <c r="HET90" s="61"/>
      <c r="HEU90" s="61"/>
      <c r="HEV90" s="61"/>
      <c r="HEW90" s="62"/>
      <c r="HEX90" s="53"/>
      <c r="HEY90" s="60"/>
      <c r="HEZ90" s="60"/>
      <c r="HFA90" s="61"/>
      <c r="HFB90" s="61"/>
      <c r="HFC90" s="61"/>
      <c r="HFD90" s="61"/>
      <c r="HFE90" s="62"/>
      <c r="HFF90" s="53"/>
      <c r="HFG90" s="60"/>
      <c r="HFH90" s="60"/>
      <c r="HFI90" s="61"/>
      <c r="HFJ90" s="61"/>
      <c r="HFK90" s="61"/>
      <c r="HFL90" s="61"/>
      <c r="HFM90" s="62"/>
      <c r="HFN90" s="53"/>
      <c r="HFO90" s="60"/>
      <c r="HFP90" s="60"/>
      <c r="HFQ90" s="61"/>
      <c r="HFR90" s="61"/>
      <c r="HFS90" s="61"/>
      <c r="HFT90" s="61"/>
      <c r="HFU90" s="62"/>
      <c r="HFV90" s="53"/>
      <c r="HFW90" s="60"/>
      <c r="HFX90" s="60"/>
      <c r="HFY90" s="61"/>
      <c r="HFZ90" s="61"/>
      <c r="HGA90" s="61"/>
      <c r="HGB90" s="61"/>
      <c r="HGC90" s="62"/>
      <c r="HGD90" s="53"/>
      <c r="HGE90" s="60"/>
      <c r="HGF90" s="60"/>
      <c r="HGG90" s="61"/>
      <c r="HGH90" s="61"/>
      <c r="HGI90" s="61"/>
      <c r="HGJ90" s="61"/>
      <c r="HGK90" s="62"/>
      <c r="HGL90" s="53"/>
      <c r="HGM90" s="60"/>
      <c r="HGN90" s="60"/>
      <c r="HGO90" s="61"/>
      <c r="HGP90" s="61"/>
      <c r="HGQ90" s="61"/>
      <c r="HGR90" s="61"/>
      <c r="HGS90" s="62"/>
      <c r="HGT90" s="53"/>
      <c r="HGU90" s="60"/>
      <c r="HGV90" s="60"/>
      <c r="HGW90" s="61"/>
      <c r="HGX90" s="61"/>
      <c r="HGY90" s="61"/>
      <c r="HGZ90" s="61"/>
      <c r="HHA90" s="62"/>
      <c r="HHB90" s="53"/>
      <c r="HHC90" s="60"/>
      <c r="HHD90" s="60"/>
      <c r="HHE90" s="61"/>
      <c r="HHF90" s="61"/>
      <c r="HHG90" s="61"/>
      <c r="HHH90" s="61"/>
      <c r="HHI90" s="62"/>
      <c r="HHJ90" s="53"/>
      <c r="HHK90" s="60"/>
      <c r="HHL90" s="60"/>
      <c r="HHM90" s="61"/>
      <c r="HHN90" s="61"/>
      <c r="HHO90" s="61"/>
      <c r="HHP90" s="61"/>
      <c r="HHQ90" s="62"/>
      <c r="HHR90" s="53"/>
      <c r="HHS90" s="60"/>
      <c r="HHT90" s="60"/>
      <c r="HHU90" s="61"/>
      <c r="HHV90" s="61"/>
      <c r="HHW90" s="61"/>
      <c r="HHX90" s="61"/>
      <c r="HHY90" s="62"/>
      <c r="HHZ90" s="53"/>
      <c r="HIA90" s="60"/>
      <c r="HIB90" s="60"/>
      <c r="HIC90" s="61"/>
      <c r="HID90" s="61"/>
      <c r="HIE90" s="61"/>
      <c r="HIF90" s="61"/>
      <c r="HIG90" s="62"/>
      <c r="HIH90" s="53"/>
      <c r="HII90" s="60"/>
      <c r="HIJ90" s="60"/>
      <c r="HIK90" s="61"/>
      <c r="HIL90" s="61"/>
      <c r="HIM90" s="61"/>
      <c r="HIN90" s="61"/>
      <c r="HIO90" s="62"/>
      <c r="HIP90" s="53"/>
      <c r="HIQ90" s="60"/>
      <c r="HIR90" s="60"/>
      <c r="HIS90" s="61"/>
      <c r="HIT90" s="61"/>
      <c r="HIU90" s="61"/>
      <c r="HIV90" s="61"/>
      <c r="HIW90" s="62"/>
      <c r="HIX90" s="53"/>
      <c r="HIY90" s="60"/>
      <c r="HIZ90" s="60"/>
      <c r="HJA90" s="61"/>
      <c r="HJB90" s="61"/>
      <c r="HJC90" s="61"/>
      <c r="HJD90" s="61"/>
      <c r="HJE90" s="62"/>
      <c r="HJF90" s="53"/>
      <c r="HJG90" s="60"/>
      <c r="HJH90" s="60"/>
      <c r="HJI90" s="61"/>
      <c r="HJJ90" s="61"/>
      <c r="HJK90" s="61"/>
      <c r="HJL90" s="61"/>
      <c r="HJM90" s="62"/>
      <c r="HJN90" s="53"/>
      <c r="HJO90" s="60"/>
      <c r="HJP90" s="60"/>
      <c r="HJQ90" s="61"/>
      <c r="HJR90" s="61"/>
      <c r="HJS90" s="61"/>
      <c r="HJT90" s="61"/>
      <c r="HJU90" s="62"/>
      <c r="HJV90" s="53"/>
      <c r="HJW90" s="60"/>
      <c r="HJX90" s="60"/>
      <c r="HJY90" s="61"/>
      <c r="HJZ90" s="61"/>
      <c r="HKA90" s="61"/>
      <c r="HKB90" s="61"/>
      <c r="HKC90" s="62"/>
      <c r="HKD90" s="53"/>
      <c r="HKE90" s="60"/>
      <c r="HKF90" s="60"/>
      <c r="HKG90" s="61"/>
      <c r="HKH90" s="61"/>
      <c r="HKI90" s="61"/>
      <c r="HKJ90" s="61"/>
      <c r="HKK90" s="62"/>
      <c r="HKL90" s="53"/>
      <c r="HKM90" s="60"/>
      <c r="HKN90" s="60"/>
      <c r="HKO90" s="61"/>
      <c r="HKP90" s="61"/>
      <c r="HKQ90" s="61"/>
      <c r="HKR90" s="61"/>
      <c r="HKS90" s="62"/>
      <c r="HKT90" s="53"/>
      <c r="HKU90" s="60"/>
      <c r="HKV90" s="60"/>
      <c r="HKW90" s="61"/>
      <c r="HKX90" s="61"/>
      <c r="HKY90" s="61"/>
      <c r="HKZ90" s="61"/>
      <c r="HLA90" s="62"/>
      <c r="HLB90" s="53"/>
      <c r="HLC90" s="60"/>
      <c r="HLD90" s="60"/>
      <c r="HLE90" s="61"/>
      <c r="HLF90" s="61"/>
      <c r="HLG90" s="61"/>
      <c r="HLH90" s="61"/>
      <c r="HLI90" s="62"/>
      <c r="HLJ90" s="53"/>
      <c r="HLK90" s="60"/>
      <c r="HLL90" s="60"/>
      <c r="HLM90" s="61"/>
      <c r="HLN90" s="61"/>
      <c r="HLO90" s="61"/>
      <c r="HLP90" s="61"/>
      <c r="HLQ90" s="62"/>
      <c r="HLR90" s="53"/>
      <c r="HLS90" s="60"/>
      <c r="HLT90" s="60"/>
      <c r="HLU90" s="61"/>
      <c r="HLV90" s="61"/>
      <c r="HLW90" s="61"/>
      <c r="HLX90" s="61"/>
      <c r="HLY90" s="62"/>
      <c r="HLZ90" s="53"/>
      <c r="HMA90" s="60"/>
      <c r="HMB90" s="60"/>
      <c r="HMC90" s="61"/>
      <c r="HMD90" s="61"/>
      <c r="HME90" s="61"/>
      <c r="HMF90" s="61"/>
      <c r="HMG90" s="62"/>
      <c r="HMH90" s="53"/>
      <c r="HMI90" s="60"/>
      <c r="HMJ90" s="60"/>
      <c r="HMK90" s="61"/>
      <c r="HML90" s="61"/>
      <c r="HMM90" s="61"/>
      <c r="HMN90" s="61"/>
      <c r="HMO90" s="62"/>
      <c r="HMP90" s="53"/>
      <c r="HMQ90" s="60"/>
      <c r="HMR90" s="60"/>
      <c r="HMS90" s="61"/>
      <c r="HMT90" s="61"/>
      <c r="HMU90" s="61"/>
      <c r="HMV90" s="61"/>
      <c r="HMW90" s="62"/>
      <c r="HMX90" s="53"/>
      <c r="HMY90" s="60"/>
      <c r="HMZ90" s="60"/>
      <c r="HNA90" s="61"/>
      <c r="HNB90" s="61"/>
      <c r="HNC90" s="61"/>
      <c r="HND90" s="61"/>
      <c r="HNE90" s="62"/>
      <c r="HNF90" s="53"/>
      <c r="HNG90" s="60"/>
      <c r="HNH90" s="60"/>
      <c r="HNI90" s="61"/>
      <c r="HNJ90" s="61"/>
      <c r="HNK90" s="61"/>
      <c r="HNL90" s="61"/>
      <c r="HNM90" s="62"/>
      <c r="HNN90" s="53"/>
      <c r="HNO90" s="60"/>
      <c r="HNP90" s="60"/>
      <c r="HNQ90" s="61"/>
      <c r="HNR90" s="61"/>
      <c r="HNS90" s="61"/>
      <c r="HNT90" s="61"/>
      <c r="HNU90" s="62"/>
      <c r="HNV90" s="53"/>
      <c r="HNW90" s="60"/>
      <c r="HNX90" s="60"/>
      <c r="HNY90" s="61"/>
      <c r="HNZ90" s="61"/>
      <c r="HOA90" s="61"/>
      <c r="HOB90" s="61"/>
      <c r="HOC90" s="62"/>
      <c r="HOD90" s="53"/>
      <c r="HOE90" s="60"/>
      <c r="HOF90" s="60"/>
      <c r="HOG90" s="61"/>
      <c r="HOH90" s="61"/>
      <c r="HOI90" s="61"/>
      <c r="HOJ90" s="61"/>
      <c r="HOK90" s="62"/>
      <c r="HOL90" s="53"/>
      <c r="HOM90" s="60"/>
      <c r="HON90" s="60"/>
      <c r="HOO90" s="61"/>
      <c r="HOP90" s="61"/>
      <c r="HOQ90" s="61"/>
      <c r="HOR90" s="61"/>
      <c r="HOS90" s="62"/>
      <c r="HOT90" s="53"/>
      <c r="HOU90" s="60"/>
      <c r="HOV90" s="60"/>
      <c r="HOW90" s="61"/>
      <c r="HOX90" s="61"/>
      <c r="HOY90" s="61"/>
      <c r="HOZ90" s="61"/>
      <c r="HPA90" s="62"/>
      <c r="HPB90" s="53"/>
      <c r="HPC90" s="60"/>
      <c r="HPD90" s="60"/>
      <c r="HPE90" s="61"/>
      <c r="HPF90" s="61"/>
      <c r="HPG90" s="61"/>
      <c r="HPH90" s="61"/>
      <c r="HPI90" s="62"/>
      <c r="HPJ90" s="53"/>
      <c r="HPK90" s="60"/>
      <c r="HPL90" s="60"/>
      <c r="HPM90" s="61"/>
      <c r="HPN90" s="61"/>
      <c r="HPO90" s="61"/>
      <c r="HPP90" s="61"/>
      <c r="HPQ90" s="62"/>
      <c r="HPR90" s="53"/>
      <c r="HPS90" s="60"/>
      <c r="HPT90" s="60"/>
      <c r="HPU90" s="61"/>
      <c r="HPV90" s="61"/>
      <c r="HPW90" s="61"/>
      <c r="HPX90" s="61"/>
      <c r="HPY90" s="62"/>
      <c r="HPZ90" s="53"/>
      <c r="HQA90" s="60"/>
      <c r="HQB90" s="60"/>
      <c r="HQC90" s="61"/>
      <c r="HQD90" s="61"/>
      <c r="HQE90" s="61"/>
      <c r="HQF90" s="61"/>
      <c r="HQG90" s="62"/>
      <c r="HQH90" s="53"/>
      <c r="HQI90" s="60"/>
      <c r="HQJ90" s="60"/>
      <c r="HQK90" s="61"/>
      <c r="HQL90" s="61"/>
      <c r="HQM90" s="61"/>
      <c r="HQN90" s="61"/>
      <c r="HQO90" s="62"/>
      <c r="HQP90" s="53"/>
      <c r="HQQ90" s="60"/>
      <c r="HQR90" s="60"/>
      <c r="HQS90" s="61"/>
      <c r="HQT90" s="61"/>
      <c r="HQU90" s="61"/>
      <c r="HQV90" s="61"/>
      <c r="HQW90" s="62"/>
      <c r="HQX90" s="53"/>
      <c r="HQY90" s="60"/>
      <c r="HQZ90" s="60"/>
      <c r="HRA90" s="61"/>
      <c r="HRB90" s="61"/>
      <c r="HRC90" s="61"/>
      <c r="HRD90" s="61"/>
      <c r="HRE90" s="62"/>
      <c r="HRF90" s="53"/>
      <c r="HRG90" s="60"/>
      <c r="HRH90" s="60"/>
      <c r="HRI90" s="61"/>
      <c r="HRJ90" s="61"/>
      <c r="HRK90" s="61"/>
      <c r="HRL90" s="61"/>
      <c r="HRM90" s="62"/>
      <c r="HRN90" s="53"/>
      <c r="HRO90" s="60"/>
      <c r="HRP90" s="60"/>
      <c r="HRQ90" s="61"/>
      <c r="HRR90" s="61"/>
      <c r="HRS90" s="61"/>
      <c r="HRT90" s="61"/>
      <c r="HRU90" s="62"/>
      <c r="HRV90" s="53"/>
      <c r="HRW90" s="60"/>
      <c r="HRX90" s="60"/>
      <c r="HRY90" s="61"/>
      <c r="HRZ90" s="61"/>
      <c r="HSA90" s="61"/>
      <c r="HSB90" s="61"/>
      <c r="HSC90" s="62"/>
      <c r="HSD90" s="53"/>
      <c r="HSE90" s="60"/>
      <c r="HSF90" s="60"/>
      <c r="HSG90" s="61"/>
      <c r="HSH90" s="61"/>
      <c r="HSI90" s="61"/>
      <c r="HSJ90" s="61"/>
      <c r="HSK90" s="62"/>
      <c r="HSL90" s="53"/>
      <c r="HSM90" s="60"/>
      <c r="HSN90" s="60"/>
      <c r="HSO90" s="61"/>
      <c r="HSP90" s="61"/>
      <c r="HSQ90" s="61"/>
      <c r="HSR90" s="61"/>
      <c r="HSS90" s="62"/>
      <c r="HST90" s="53"/>
      <c r="HSU90" s="60"/>
      <c r="HSV90" s="60"/>
      <c r="HSW90" s="61"/>
      <c r="HSX90" s="61"/>
      <c r="HSY90" s="61"/>
      <c r="HSZ90" s="61"/>
      <c r="HTA90" s="62"/>
      <c r="HTB90" s="53"/>
      <c r="HTC90" s="60"/>
      <c r="HTD90" s="60"/>
      <c r="HTE90" s="61"/>
      <c r="HTF90" s="61"/>
      <c r="HTG90" s="61"/>
      <c r="HTH90" s="61"/>
      <c r="HTI90" s="62"/>
      <c r="HTJ90" s="53"/>
      <c r="HTK90" s="60"/>
      <c r="HTL90" s="60"/>
      <c r="HTM90" s="61"/>
      <c r="HTN90" s="61"/>
      <c r="HTO90" s="61"/>
      <c r="HTP90" s="61"/>
      <c r="HTQ90" s="62"/>
      <c r="HTR90" s="53"/>
      <c r="HTS90" s="60"/>
      <c r="HTT90" s="60"/>
      <c r="HTU90" s="61"/>
      <c r="HTV90" s="61"/>
      <c r="HTW90" s="61"/>
      <c r="HTX90" s="61"/>
      <c r="HTY90" s="62"/>
      <c r="HTZ90" s="53"/>
      <c r="HUA90" s="60"/>
      <c r="HUB90" s="60"/>
      <c r="HUC90" s="61"/>
      <c r="HUD90" s="61"/>
      <c r="HUE90" s="61"/>
      <c r="HUF90" s="61"/>
      <c r="HUG90" s="62"/>
      <c r="HUH90" s="53"/>
      <c r="HUI90" s="60"/>
      <c r="HUJ90" s="60"/>
      <c r="HUK90" s="61"/>
      <c r="HUL90" s="61"/>
      <c r="HUM90" s="61"/>
      <c r="HUN90" s="61"/>
      <c r="HUO90" s="62"/>
      <c r="HUP90" s="53"/>
      <c r="HUQ90" s="60"/>
      <c r="HUR90" s="60"/>
      <c r="HUS90" s="61"/>
      <c r="HUT90" s="61"/>
      <c r="HUU90" s="61"/>
      <c r="HUV90" s="61"/>
      <c r="HUW90" s="62"/>
      <c r="HUX90" s="53"/>
      <c r="HUY90" s="60"/>
      <c r="HUZ90" s="60"/>
      <c r="HVA90" s="61"/>
      <c r="HVB90" s="61"/>
      <c r="HVC90" s="61"/>
      <c r="HVD90" s="61"/>
      <c r="HVE90" s="62"/>
      <c r="HVF90" s="53"/>
      <c r="HVG90" s="60"/>
      <c r="HVH90" s="60"/>
      <c r="HVI90" s="61"/>
      <c r="HVJ90" s="61"/>
      <c r="HVK90" s="61"/>
      <c r="HVL90" s="61"/>
      <c r="HVM90" s="62"/>
      <c r="HVN90" s="53"/>
      <c r="HVO90" s="60"/>
      <c r="HVP90" s="60"/>
      <c r="HVQ90" s="61"/>
      <c r="HVR90" s="61"/>
      <c r="HVS90" s="61"/>
      <c r="HVT90" s="61"/>
      <c r="HVU90" s="62"/>
      <c r="HVV90" s="53"/>
      <c r="HVW90" s="60"/>
      <c r="HVX90" s="60"/>
      <c r="HVY90" s="61"/>
      <c r="HVZ90" s="61"/>
      <c r="HWA90" s="61"/>
      <c r="HWB90" s="61"/>
      <c r="HWC90" s="62"/>
      <c r="HWD90" s="53"/>
      <c r="HWE90" s="60"/>
      <c r="HWF90" s="60"/>
      <c r="HWG90" s="61"/>
      <c r="HWH90" s="61"/>
      <c r="HWI90" s="61"/>
      <c r="HWJ90" s="61"/>
      <c r="HWK90" s="62"/>
      <c r="HWL90" s="53"/>
      <c r="HWM90" s="60"/>
      <c r="HWN90" s="60"/>
      <c r="HWO90" s="61"/>
      <c r="HWP90" s="61"/>
      <c r="HWQ90" s="61"/>
      <c r="HWR90" s="61"/>
      <c r="HWS90" s="62"/>
      <c r="HWT90" s="53"/>
      <c r="HWU90" s="60"/>
      <c r="HWV90" s="60"/>
      <c r="HWW90" s="61"/>
      <c r="HWX90" s="61"/>
      <c r="HWY90" s="61"/>
      <c r="HWZ90" s="61"/>
      <c r="HXA90" s="62"/>
      <c r="HXB90" s="53"/>
      <c r="HXC90" s="60"/>
      <c r="HXD90" s="60"/>
      <c r="HXE90" s="61"/>
      <c r="HXF90" s="61"/>
      <c r="HXG90" s="61"/>
      <c r="HXH90" s="61"/>
      <c r="HXI90" s="62"/>
      <c r="HXJ90" s="53"/>
      <c r="HXK90" s="60"/>
      <c r="HXL90" s="60"/>
      <c r="HXM90" s="61"/>
      <c r="HXN90" s="61"/>
      <c r="HXO90" s="61"/>
      <c r="HXP90" s="61"/>
      <c r="HXQ90" s="62"/>
      <c r="HXR90" s="53"/>
      <c r="HXS90" s="60"/>
      <c r="HXT90" s="60"/>
      <c r="HXU90" s="61"/>
      <c r="HXV90" s="61"/>
      <c r="HXW90" s="61"/>
      <c r="HXX90" s="61"/>
      <c r="HXY90" s="62"/>
      <c r="HXZ90" s="53"/>
      <c r="HYA90" s="60"/>
      <c r="HYB90" s="60"/>
      <c r="HYC90" s="61"/>
      <c r="HYD90" s="61"/>
      <c r="HYE90" s="61"/>
      <c r="HYF90" s="61"/>
      <c r="HYG90" s="62"/>
      <c r="HYH90" s="53"/>
      <c r="HYI90" s="60"/>
      <c r="HYJ90" s="60"/>
      <c r="HYK90" s="61"/>
      <c r="HYL90" s="61"/>
      <c r="HYM90" s="61"/>
      <c r="HYN90" s="61"/>
      <c r="HYO90" s="62"/>
      <c r="HYP90" s="53"/>
      <c r="HYQ90" s="60"/>
      <c r="HYR90" s="60"/>
      <c r="HYS90" s="61"/>
      <c r="HYT90" s="61"/>
      <c r="HYU90" s="61"/>
      <c r="HYV90" s="61"/>
      <c r="HYW90" s="62"/>
      <c r="HYX90" s="53"/>
      <c r="HYY90" s="60"/>
      <c r="HYZ90" s="60"/>
      <c r="HZA90" s="61"/>
      <c r="HZB90" s="61"/>
      <c r="HZC90" s="61"/>
      <c r="HZD90" s="61"/>
      <c r="HZE90" s="62"/>
      <c r="HZF90" s="53"/>
      <c r="HZG90" s="60"/>
      <c r="HZH90" s="60"/>
      <c r="HZI90" s="61"/>
      <c r="HZJ90" s="61"/>
      <c r="HZK90" s="61"/>
      <c r="HZL90" s="61"/>
      <c r="HZM90" s="62"/>
      <c r="HZN90" s="53"/>
      <c r="HZO90" s="60"/>
      <c r="HZP90" s="60"/>
      <c r="HZQ90" s="61"/>
      <c r="HZR90" s="61"/>
      <c r="HZS90" s="61"/>
      <c r="HZT90" s="61"/>
      <c r="HZU90" s="62"/>
      <c r="HZV90" s="53"/>
      <c r="HZW90" s="60"/>
      <c r="HZX90" s="60"/>
      <c r="HZY90" s="61"/>
      <c r="HZZ90" s="61"/>
      <c r="IAA90" s="61"/>
      <c r="IAB90" s="61"/>
      <c r="IAC90" s="62"/>
      <c r="IAD90" s="53"/>
      <c r="IAE90" s="60"/>
      <c r="IAF90" s="60"/>
      <c r="IAG90" s="61"/>
      <c r="IAH90" s="61"/>
      <c r="IAI90" s="61"/>
      <c r="IAJ90" s="61"/>
      <c r="IAK90" s="62"/>
      <c r="IAL90" s="53"/>
      <c r="IAM90" s="60"/>
      <c r="IAN90" s="60"/>
      <c r="IAO90" s="61"/>
      <c r="IAP90" s="61"/>
      <c r="IAQ90" s="61"/>
      <c r="IAR90" s="61"/>
      <c r="IAS90" s="62"/>
      <c r="IAT90" s="53"/>
      <c r="IAU90" s="60"/>
      <c r="IAV90" s="60"/>
      <c r="IAW90" s="61"/>
      <c r="IAX90" s="61"/>
      <c r="IAY90" s="61"/>
      <c r="IAZ90" s="61"/>
      <c r="IBA90" s="62"/>
      <c r="IBB90" s="53"/>
      <c r="IBC90" s="60"/>
      <c r="IBD90" s="60"/>
      <c r="IBE90" s="61"/>
      <c r="IBF90" s="61"/>
      <c r="IBG90" s="61"/>
      <c r="IBH90" s="61"/>
      <c r="IBI90" s="62"/>
      <c r="IBJ90" s="53"/>
      <c r="IBK90" s="60"/>
      <c r="IBL90" s="60"/>
      <c r="IBM90" s="61"/>
      <c r="IBN90" s="61"/>
      <c r="IBO90" s="61"/>
      <c r="IBP90" s="61"/>
      <c r="IBQ90" s="62"/>
      <c r="IBR90" s="53"/>
      <c r="IBS90" s="60"/>
      <c r="IBT90" s="60"/>
      <c r="IBU90" s="61"/>
      <c r="IBV90" s="61"/>
      <c r="IBW90" s="61"/>
      <c r="IBX90" s="61"/>
      <c r="IBY90" s="62"/>
      <c r="IBZ90" s="53"/>
      <c r="ICA90" s="60"/>
      <c r="ICB90" s="60"/>
      <c r="ICC90" s="61"/>
      <c r="ICD90" s="61"/>
      <c r="ICE90" s="61"/>
      <c r="ICF90" s="61"/>
      <c r="ICG90" s="62"/>
      <c r="ICH90" s="53"/>
      <c r="ICI90" s="60"/>
      <c r="ICJ90" s="60"/>
      <c r="ICK90" s="61"/>
      <c r="ICL90" s="61"/>
      <c r="ICM90" s="61"/>
      <c r="ICN90" s="61"/>
      <c r="ICO90" s="62"/>
      <c r="ICP90" s="53"/>
      <c r="ICQ90" s="60"/>
      <c r="ICR90" s="60"/>
      <c r="ICS90" s="61"/>
      <c r="ICT90" s="61"/>
      <c r="ICU90" s="61"/>
      <c r="ICV90" s="61"/>
      <c r="ICW90" s="62"/>
      <c r="ICX90" s="53"/>
      <c r="ICY90" s="60"/>
      <c r="ICZ90" s="60"/>
      <c r="IDA90" s="61"/>
      <c r="IDB90" s="61"/>
      <c r="IDC90" s="61"/>
      <c r="IDD90" s="61"/>
      <c r="IDE90" s="62"/>
      <c r="IDF90" s="53"/>
      <c r="IDG90" s="60"/>
      <c r="IDH90" s="60"/>
      <c r="IDI90" s="61"/>
      <c r="IDJ90" s="61"/>
      <c r="IDK90" s="61"/>
      <c r="IDL90" s="61"/>
      <c r="IDM90" s="62"/>
      <c r="IDN90" s="53"/>
      <c r="IDO90" s="60"/>
      <c r="IDP90" s="60"/>
      <c r="IDQ90" s="61"/>
      <c r="IDR90" s="61"/>
      <c r="IDS90" s="61"/>
      <c r="IDT90" s="61"/>
      <c r="IDU90" s="62"/>
      <c r="IDV90" s="53"/>
      <c r="IDW90" s="60"/>
      <c r="IDX90" s="60"/>
      <c r="IDY90" s="61"/>
      <c r="IDZ90" s="61"/>
      <c r="IEA90" s="61"/>
      <c r="IEB90" s="61"/>
      <c r="IEC90" s="62"/>
      <c r="IED90" s="53"/>
      <c r="IEE90" s="60"/>
      <c r="IEF90" s="60"/>
      <c r="IEG90" s="61"/>
      <c r="IEH90" s="61"/>
      <c r="IEI90" s="61"/>
      <c r="IEJ90" s="61"/>
      <c r="IEK90" s="62"/>
      <c r="IEL90" s="53"/>
      <c r="IEM90" s="60"/>
      <c r="IEN90" s="60"/>
      <c r="IEO90" s="61"/>
      <c r="IEP90" s="61"/>
      <c r="IEQ90" s="61"/>
      <c r="IER90" s="61"/>
      <c r="IES90" s="62"/>
      <c r="IET90" s="53"/>
      <c r="IEU90" s="60"/>
      <c r="IEV90" s="60"/>
      <c r="IEW90" s="61"/>
      <c r="IEX90" s="61"/>
      <c r="IEY90" s="61"/>
      <c r="IEZ90" s="61"/>
      <c r="IFA90" s="62"/>
      <c r="IFB90" s="53"/>
      <c r="IFC90" s="60"/>
      <c r="IFD90" s="60"/>
      <c r="IFE90" s="61"/>
      <c r="IFF90" s="61"/>
      <c r="IFG90" s="61"/>
      <c r="IFH90" s="61"/>
      <c r="IFI90" s="62"/>
      <c r="IFJ90" s="53"/>
      <c r="IFK90" s="60"/>
      <c r="IFL90" s="60"/>
      <c r="IFM90" s="61"/>
      <c r="IFN90" s="61"/>
      <c r="IFO90" s="61"/>
      <c r="IFP90" s="61"/>
      <c r="IFQ90" s="62"/>
      <c r="IFR90" s="53"/>
      <c r="IFS90" s="60"/>
      <c r="IFT90" s="60"/>
      <c r="IFU90" s="61"/>
      <c r="IFV90" s="61"/>
      <c r="IFW90" s="61"/>
      <c r="IFX90" s="61"/>
      <c r="IFY90" s="62"/>
      <c r="IFZ90" s="53"/>
      <c r="IGA90" s="60"/>
      <c r="IGB90" s="60"/>
      <c r="IGC90" s="61"/>
      <c r="IGD90" s="61"/>
      <c r="IGE90" s="61"/>
      <c r="IGF90" s="61"/>
      <c r="IGG90" s="62"/>
      <c r="IGH90" s="53"/>
      <c r="IGI90" s="60"/>
      <c r="IGJ90" s="60"/>
      <c r="IGK90" s="61"/>
      <c r="IGL90" s="61"/>
      <c r="IGM90" s="61"/>
      <c r="IGN90" s="61"/>
      <c r="IGO90" s="62"/>
      <c r="IGP90" s="53"/>
      <c r="IGQ90" s="60"/>
      <c r="IGR90" s="60"/>
      <c r="IGS90" s="61"/>
      <c r="IGT90" s="61"/>
      <c r="IGU90" s="61"/>
      <c r="IGV90" s="61"/>
      <c r="IGW90" s="62"/>
      <c r="IGX90" s="53"/>
      <c r="IGY90" s="60"/>
      <c r="IGZ90" s="60"/>
      <c r="IHA90" s="61"/>
      <c r="IHB90" s="61"/>
      <c r="IHC90" s="61"/>
      <c r="IHD90" s="61"/>
      <c r="IHE90" s="62"/>
      <c r="IHF90" s="53"/>
      <c r="IHG90" s="60"/>
      <c r="IHH90" s="60"/>
      <c r="IHI90" s="61"/>
      <c r="IHJ90" s="61"/>
      <c r="IHK90" s="61"/>
      <c r="IHL90" s="61"/>
      <c r="IHM90" s="62"/>
      <c r="IHN90" s="53"/>
      <c r="IHO90" s="60"/>
      <c r="IHP90" s="60"/>
      <c r="IHQ90" s="61"/>
      <c r="IHR90" s="61"/>
      <c r="IHS90" s="61"/>
      <c r="IHT90" s="61"/>
      <c r="IHU90" s="62"/>
      <c r="IHV90" s="53"/>
      <c r="IHW90" s="60"/>
      <c r="IHX90" s="60"/>
      <c r="IHY90" s="61"/>
      <c r="IHZ90" s="61"/>
      <c r="IIA90" s="61"/>
      <c r="IIB90" s="61"/>
      <c r="IIC90" s="62"/>
      <c r="IID90" s="53"/>
      <c r="IIE90" s="60"/>
      <c r="IIF90" s="60"/>
      <c r="IIG90" s="61"/>
      <c r="IIH90" s="61"/>
      <c r="III90" s="61"/>
      <c r="IIJ90" s="61"/>
      <c r="IIK90" s="62"/>
      <c r="IIL90" s="53"/>
      <c r="IIM90" s="60"/>
      <c r="IIN90" s="60"/>
      <c r="IIO90" s="61"/>
      <c r="IIP90" s="61"/>
      <c r="IIQ90" s="61"/>
      <c r="IIR90" s="61"/>
      <c r="IIS90" s="62"/>
      <c r="IIT90" s="53"/>
      <c r="IIU90" s="60"/>
      <c r="IIV90" s="60"/>
      <c r="IIW90" s="61"/>
      <c r="IIX90" s="61"/>
      <c r="IIY90" s="61"/>
      <c r="IIZ90" s="61"/>
      <c r="IJA90" s="62"/>
      <c r="IJB90" s="53"/>
      <c r="IJC90" s="60"/>
      <c r="IJD90" s="60"/>
      <c r="IJE90" s="61"/>
      <c r="IJF90" s="61"/>
      <c r="IJG90" s="61"/>
      <c r="IJH90" s="61"/>
      <c r="IJI90" s="62"/>
      <c r="IJJ90" s="53"/>
      <c r="IJK90" s="60"/>
      <c r="IJL90" s="60"/>
      <c r="IJM90" s="61"/>
      <c r="IJN90" s="61"/>
      <c r="IJO90" s="61"/>
      <c r="IJP90" s="61"/>
      <c r="IJQ90" s="62"/>
      <c r="IJR90" s="53"/>
      <c r="IJS90" s="60"/>
      <c r="IJT90" s="60"/>
      <c r="IJU90" s="61"/>
      <c r="IJV90" s="61"/>
      <c r="IJW90" s="61"/>
      <c r="IJX90" s="61"/>
      <c r="IJY90" s="62"/>
      <c r="IJZ90" s="53"/>
      <c r="IKA90" s="60"/>
      <c r="IKB90" s="60"/>
      <c r="IKC90" s="61"/>
      <c r="IKD90" s="61"/>
      <c r="IKE90" s="61"/>
      <c r="IKF90" s="61"/>
      <c r="IKG90" s="62"/>
      <c r="IKH90" s="53"/>
      <c r="IKI90" s="60"/>
      <c r="IKJ90" s="60"/>
      <c r="IKK90" s="61"/>
      <c r="IKL90" s="61"/>
      <c r="IKM90" s="61"/>
      <c r="IKN90" s="61"/>
      <c r="IKO90" s="62"/>
      <c r="IKP90" s="53"/>
      <c r="IKQ90" s="60"/>
      <c r="IKR90" s="60"/>
      <c r="IKS90" s="61"/>
      <c r="IKT90" s="61"/>
      <c r="IKU90" s="61"/>
      <c r="IKV90" s="61"/>
      <c r="IKW90" s="62"/>
      <c r="IKX90" s="53"/>
      <c r="IKY90" s="60"/>
      <c r="IKZ90" s="60"/>
      <c r="ILA90" s="61"/>
      <c r="ILB90" s="61"/>
      <c r="ILC90" s="61"/>
      <c r="ILD90" s="61"/>
      <c r="ILE90" s="62"/>
      <c r="ILF90" s="53"/>
      <c r="ILG90" s="60"/>
      <c r="ILH90" s="60"/>
      <c r="ILI90" s="61"/>
      <c r="ILJ90" s="61"/>
      <c r="ILK90" s="61"/>
      <c r="ILL90" s="61"/>
      <c r="ILM90" s="62"/>
      <c r="ILN90" s="53"/>
      <c r="ILO90" s="60"/>
      <c r="ILP90" s="60"/>
      <c r="ILQ90" s="61"/>
      <c r="ILR90" s="61"/>
      <c r="ILS90" s="61"/>
      <c r="ILT90" s="61"/>
      <c r="ILU90" s="62"/>
      <c r="ILV90" s="53"/>
      <c r="ILW90" s="60"/>
      <c r="ILX90" s="60"/>
      <c r="ILY90" s="61"/>
      <c r="ILZ90" s="61"/>
      <c r="IMA90" s="61"/>
      <c r="IMB90" s="61"/>
      <c r="IMC90" s="62"/>
      <c r="IMD90" s="53"/>
      <c r="IME90" s="60"/>
      <c r="IMF90" s="60"/>
      <c r="IMG90" s="61"/>
      <c r="IMH90" s="61"/>
      <c r="IMI90" s="61"/>
      <c r="IMJ90" s="61"/>
      <c r="IMK90" s="62"/>
      <c r="IML90" s="53"/>
      <c r="IMM90" s="60"/>
      <c r="IMN90" s="60"/>
      <c r="IMO90" s="61"/>
      <c r="IMP90" s="61"/>
      <c r="IMQ90" s="61"/>
      <c r="IMR90" s="61"/>
      <c r="IMS90" s="62"/>
      <c r="IMT90" s="53"/>
      <c r="IMU90" s="60"/>
      <c r="IMV90" s="60"/>
      <c r="IMW90" s="61"/>
      <c r="IMX90" s="61"/>
      <c r="IMY90" s="61"/>
      <c r="IMZ90" s="61"/>
      <c r="INA90" s="62"/>
      <c r="INB90" s="53"/>
      <c r="INC90" s="60"/>
      <c r="IND90" s="60"/>
      <c r="INE90" s="61"/>
      <c r="INF90" s="61"/>
      <c r="ING90" s="61"/>
      <c r="INH90" s="61"/>
      <c r="INI90" s="62"/>
      <c r="INJ90" s="53"/>
      <c r="INK90" s="60"/>
      <c r="INL90" s="60"/>
      <c r="INM90" s="61"/>
      <c r="INN90" s="61"/>
      <c r="INO90" s="61"/>
      <c r="INP90" s="61"/>
      <c r="INQ90" s="62"/>
      <c r="INR90" s="53"/>
      <c r="INS90" s="60"/>
      <c r="INT90" s="60"/>
      <c r="INU90" s="61"/>
      <c r="INV90" s="61"/>
      <c r="INW90" s="61"/>
      <c r="INX90" s="61"/>
      <c r="INY90" s="62"/>
      <c r="INZ90" s="53"/>
      <c r="IOA90" s="60"/>
      <c r="IOB90" s="60"/>
      <c r="IOC90" s="61"/>
      <c r="IOD90" s="61"/>
      <c r="IOE90" s="61"/>
      <c r="IOF90" s="61"/>
      <c r="IOG90" s="62"/>
      <c r="IOH90" s="53"/>
      <c r="IOI90" s="60"/>
      <c r="IOJ90" s="60"/>
      <c r="IOK90" s="61"/>
      <c r="IOL90" s="61"/>
      <c r="IOM90" s="61"/>
      <c r="ION90" s="61"/>
      <c r="IOO90" s="62"/>
      <c r="IOP90" s="53"/>
      <c r="IOQ90" s="60"/>
      <c r="IOR90" s="60"/>
      <c r="IOS90" s="61"/>
      <c r="IOT90" s="61"/>
      <c r="IOU90" s="61"/>
      <c r="IOV90" s="61"/>
      <c r="IOW90" s="62"/>
      <c r="IOX90" s="53"/>
      <c r="IOY90" s="60"/>
      <c r="IOZ90" s="60"/>
      <c r="IPA90" s="61"/>
      <c r="IPB90" s="61"/>
      <c r="IPC90" s="61"/>
      <c r="IPD90" s="61"/>
      <c r="IPE90" s="62"/>
      <c r="IPF90" s="53"/>
      <c r="IPG90" s="60"/>
      <c r="IPH90" s="60"/>
      <c r="IPI90" s="61"/>
      <c r="IPJ90" s="61"/>
      <c r="IPK90" s="61"/>
      <c r="IPL90" s="61"/>
      <c r="IPM90" s="62"/>
      <c r="IPN90" s="53"/>
      <c r="IPO90" s="60"/>
      <c r="IPP90" s="60"/>
      <c r="IPQ90" s="61"/>
      <c r="IPR90" s="61"/>
      <c r="IPS90" s="61"/>
      <c r="IPT90" s="61"/>
      <c r="IPU90" s="62"/>
      <c r="IPV90" s="53"/>
      <c r="IPW90" s="60"/>
      <c r="IPX90" s="60"/>
      <c r="IPY90" s="61"/>
      <c r="IPZ90" s="61"/>
      <c r="IQA90" s="61"/>
      <c r="IQB90" s="61"/>
      <c r="IQC90" s="62"/>
      <c r="IQD90" s="53"/>
      <c r="IQE90" s="60"/>
      <c r="IQF90" s="60"/>
      <c r="IQG90" s="61"/>
      <c r="IQH90" s="61"/>
      <c r="IQI90" s="61"/>
      <c r="IQJ90" s="61"/>
      <c r="IQK90" s="62"/>
      <c r="IQL90" s="53"/>
      <c r="IQM90" s="60"/>
      <c r="IQN90" s="60"/>
      <c r="IQO90" s="61"/>
      <c r="IQP90" s="61"/>
      <c r="IQQ90" s="61"/>
      <c r="IQR90" s="61"/>
      <c r="IQS90" s="62"/>
      <c r="IQT90" s="53"/>
      <c r="IQU90" s="60"/>
      <c r="IQV90" s="60"/>
      <c r="IQW90" s="61"/>
      <c r="IQX90" s="61"/>
      <c r="IQY90" s="61"/>
      <c r="IQZ90" s="61"/>
      <c r="IRA90" s="62"/>
      <c r="IRB90" s="53"/>
      <c r="IRC90" s="60"/>
      <c r="IRD90" s="60"/>
      <c r="IRE90" s="61"/>
      <c r="IRF90" s="61"/>
      <c r="IRG90" s="61"/>
      <c r="IRH90" s="61"/>
      <c r="IRI90" s="62"/>
      <c r="IRJ90" s="53"/>
      <c r="IRK90" s="60"/>
      <c r="IRL90" s="60"/>
      <c r="IRM90" s="61"/>
      <c r="IRN90" s="61"/>
      <c r="IRO90" s="61"/>
      <c r="IRP90" s="61"/>
      <c r="IRQ90" s="62"/>
      <c r="IRR90" s="53"/>
      <c r="IRS90" s="60"/>
      <c r="IRT90" s="60"/>
      <c r="IRU90" s="61"/>
      <c r="IRV90" s="61"/>
      <c r="IRW90" s="61"/>
      <c r="IRX90" s="61"/>
      <c r="IRY90" s="62"/>
      <c r="IRZ90" s="53"/>
      <c r="ISA90" s="60"/>
      <c r="ISB90" s="60"/>
      <c r="ISC90" s="61"/>
      <c r="ISD90" s="61"/>
      <c r="ISE90" s="61"/>
      <c r="ISF90" s="61"/>
      <c r="ISG90" s="62"/>
      <c r="ISH90" s="53"/>
      <c r="ISI90" s="60"/>
      <c r="ISJ90" s="60"/>
      <c r="ISK90" s="61"/>
      <c r="ISL90" s="61"/>
      <c r="ISM90" s="61"/>
      <c r="ISN90" s="61"/>
      <c r="ISO90" s="62"/>
      <c r="ISP90" s="53"/>
      <c r="ISQ90" s="60"/>
      <c r="ISR90" s="60"/>
      <c r="ISS90" s="61"/>
      <c r="IST90" s="61"/>
      <c r="ISU90" s="61"/>
      <c r="ISV90" s="61"/>
      <c r="ISW90" s="62"/>
      <c r="ISX90" s="53"/>
      <c r="ISY90" s="60"/>
      <c r="ISZ90" s="60"/>
      <c r="ITA90" s="61"/>
      <c r="ITB90" s="61"/>
      <c r="ITC90" s="61"/>
      <c r="ITD90" s="61"/>
      <c r="ITE90" s="62"/>
      <c r="ITF90" s="53"/>
      <c r="ITG90" s="60"/>
      <c r="ITH90" s="60"/>
      <c r="ITI90" s="61"/>
      <c r="ITJ90" s="61"/>
      <c r="ITK90" s="61"/>
      <c r="ITL90" s="61"/>
      <c r="ITM90" s="62"/>
      <c r="ITN90" s="53"/>
      <c r="ITO90" s="60"/>
      <c r="ITP90" s="60"/>
      <c r="ITQ90" s="61"/>
      <c r="ITR90" s="61"/>
      <c r="ITS90" s="61"/>
      <c r="ITT90" s="61"/>
      <c r="ITU90" s="62"/>
      <c r="ITV90" s="53"/>
      <c r="ITW90" s="60"/>
      <c r="ITX90" s="60"/>
      <c r="ITY90" s="61"/>
      <c r="ITZ90" s="61"/>
      <c r="IUA90" s="61"/>
      <c r="IUB90" s="61"/>
      <c r="IUC90" s="62"/>
      <c r="IUD90" s="53"/>
      <c r="IUE90" s="60"/>
      <c r="IUF90" s="60"/>
      <c r="IUG90" s="61"/>
      <c r="IUH90" s="61"/>
      <c r="IUI90" s="61"/>
      <c r="IUJ90" s="61"/>
      <c r="IUK90" s="62"/>
      <c r="IUL90" s="53"/>
      <c r="IUM90" s="60"/>
      <c r="IUN90" s="60"/>
      <c r="IUO90" s="61"/>
      <c r="IUP90" s="61"/>
      <c r="IUQ90" s="61"/>
      <c r="IUR90" s="61"/>
      <c r="IUS90" s="62"/>
      <c r="IUT90" s="53"/>
      <c r="IUU90" s="60"/>
      <c r="IUV90" s="60"/>
      <c r="IUW90" s="61"/>
      <c r="IUX90" s="61"/>
      <c r="IUY90" s="61"/>
      <c r="IUZ90" s="61"/>
      <c r="IVA90" s="62"/>
      <c r="IVB90" s="53"/>
      <c r="IVC90" s="60"/>
      <c r="IVD90" s="60"/>
      <c r="IVE90" s="61"/>
      <c r="IVF90" s="61"/>
      <c r="IVG90" s="61"/>
      <c r="IVH90" s="61"/>
      <c r="IVI90" s="62"/>
      <c r="IVJ90" s="53"/>
      <c r="IVK90" s="60"/>
      <c r="IVL90" s="60"/>
      <c r="IVM90" s="61"/>
      <c r="IVN90" s="61"/>
      <c r="IVO90" s="61"/>
      <c r="IVP90" s="61"/>
      <c r="IVQ90" s="62"/>
      <c r="IVR90" s="53"/>
      <c r="IVS90" s="60"/>
      <c r="IVT90" s="60"/>
      <c r="IVU90" s="61"/>
      <c r="IVV90" s="61"/>
      <c r="IVW90" s="61"/>
      <c r="IVX90" s="61"/>
      <c r="IVY90" s="62"/>
      <c r="IVZ90" s="53"/>
      <c r="IWA90" s="60"/>
      <c r="IWB90" s="60"/>
      <c r="IWC90" s="61"/>
      <c r="IWD90" s="61"/>
      <c r="IWE90" s="61"/>
      <c r="IWF90" s="61"/>
      <c r="IWG90" s="62"/>
      <c r="IWH90" s="53"/>
      <c r="IWI90" s="60"/>
      <c r="IWJ90" s="60"/>
      <c r="IWK90" s="61"/>
      <c r="IWL90" s="61"/>
      <c r="IWM90" s="61"/>
      <c r="IWN90" s="61"/>
      <c r="IWO90" s="62"/>
      <c r="IWP90" s="53"/>
      <c r="IWQ90" s="60"/>
      <c r="IWR90" s="60"/>
      <c r="IWS90" s="61"/>
      <c r="IWT90" s="61"/>
      <c r="IWU90" s="61"/>
      <c r="IWV90" s="61"/>
      <c r="IWW90" s="62"/>
      <c r="IWX90" s="53"/>
      <c r="IWY90" s="60"/>
      <c r="IWZ90" s="60"/>
      <c r="IXA90" s="61"/>
      <c r="IXB90" s="61"/>
      <c r="IXC90" s="61"/>
      <c r="IXD90" s="61"/>
      <c r="IXE90" s="62"/>
      <c r="IXF90" s="53"/>
      <c r="IXG90" s="60"/>
      <c r="IXH90" s="60"/>
      <c r="IXI90" s="61"/>
      <c r="IXJ90" s="61"/>
      <c r="IXK90" s="61"/>
      <c r="IXL90" s="61"/>
      <c r="IXM90" s="62"/>
      <c r="IXN90" s="53"/>
      <c r="IXO90" s="60"/>
      <c r="IXP90" s="60"/>
      <c r="IXQ90" s="61"/>
      <c r="IXR90" s="61"/>
      <c r="IXS90" s="61"/>
      <c r="IXT90" s="61"/>
      <c r="IXU90" s="62"/>
      <c r="IXV90" s="53"/>
      <c r="IXW90" s="60"/>
      <c r="IXX90" s="60"/>
      <c r="IXY90" s="61"/>
      <c r="IXZ90" s="61"/>
      <c r="IYA90" s="61"/>
      <c r="IYB90" s="61"/>
      <c r="IYC90" s="62"/>
      <c r="IYD90" s="53"/>
      <c r="IYE90" s="60"/>
      <c r="IYF90" s="60"/>
      <c r="IYG90" s="61"/>
      <c r="IYH90" s="61"/>
      <c r="IYI90" s="61"/>
      <c r="IYJ90" s="61"/>
      <c r="IYK90" s="62"/>
      <c r="IYL90" s="53"/>
      <c r="IYM90" s="60"/>
      <c r="IYN90" s="60"/>
      <c r="IYO90" s="61"/>
      <c r="IYP90" s="61"/>
      <c r="IYQ90" s="61"/>
      <c r="IYR90" s="61"/>
      <c r="IYS90" s="62"/>
      <c r="IYT90" s="53"/>
      <c r="IYU90" s="60"/>
      <c r="IYV90" s="60"/>
      <c r="IYW90" s="61"/>
      <c r="IYX90" s="61"/>
      <c r="IYY90" s="61"/>
      <c r="IYZ90" s="61"/>
      <c r="IZA90" s="62"/>
      <c r="IZB90" s="53"/>
      <c r="IZC90" s="60"/>
      <c r="IZD90" s="60"/>
      <c r="IZE90" s="61"/>
      <c r="IZF90" s="61"/>
      <c r="IZG90" s="61"/>
      <c r="IZH90" s="61"/>
      <c r="IZI90" s="62"/>
      <c r="IZJ90" s="53"/>
      <c r="IZK90" s="60"/>
      <c r="IZL90" s="60"/>
      <c r="IZM90" s="61"/>
      <c r="IZN90" s="61"/>
      <c r="IZO90" s="61"/>
      <c r="IZP90" s="61"/>
      <c r="IZQ90" s="62"/>
      <c r="IZR90" s="53"/>
      <c r="IZS90" s="60"/>
      <c r="IZT90" s="60"/>
      <c r="IZU90" s="61"/>
      <c r="IZV90" s="61"/>
      <c r="IZW90" s="61"/>
      <c r="IZX90" s="61"/>
      <c r="IZY90" s="62"/>
      <c r="IZZ90" s="53"/>
      <c r="JAA90" s="60"/>
      <c r="JAB90" s="60"/>
      <c r="JAC90" s="61"/>
      <c r="JAD90" s="61"/>
      <c r="JAE90" s="61"/>
      <c r="JAF90" s="61"/>
      <c r="JAG90" s="62"/>
      <c r="JAH90" s="53"/>
      <c r="JAI90" s="60"/>
      <c r="JAJ90" s="60"/>
      <c r="JAK90" s="61"/>
      <c r="JAL90" s="61"/>
      <c r="JAM90" s="61"/>
      <c r="JAN90" s="61"/>
      <c r="JAO90" s="62"/>
      <c r="JAP90" s="53"/>
      <c r="JAQ90" s="60"/>
      <c r="JAR90" s="60"/>
      <c r="JAS90" s="61"/>
      <c r="JAT90" s="61"/>
      <c r="JAU90" s="61"/>
      <c r="JAV90" s="61"/>
      <c r="JAW90" s="62"/>
      <c r="JAX90" s="53"/>
      <c r="JAY90" s="60"/>
      <c r="JAZ90" s="60"/>
      <c r="JBA90" s="61"/>
      <c r="JBB90" s="61"/>
      <c r="JBC90" s="61"/>
      <c r="JBD90" s="61"/>
      <c r="JBE90" s="62"/>
      <c r="JBF90" s="53"/>
      <c r="JBG90" s="60"/>
      <c r="JBH90" s="60"/>
      <c r="JBI90" s="61"/>
      <c r="JBJ90" s="61"/>
      <c r="JBK90" s="61"/>
      <c r="JBL90" s="61"/>
      <c r="JBM90" s="62"/>
      <c r="JBN90" s="53"/>
      <c r="JBO90" s="60"/>
      <c r="JBP90" s="60"/>
      <c r="JBQ90" s="61"/>
      <c r="JBR90" s="61"/>
      <c r="JBS90" s="61"/>
      <c r="JBT90" s="61"/>
      <c r="JBU90" s="62"/>
      <c r="JBV90" s="53"/>
      <c r="JBW90" s="60"/>
      <c r="JBX90" s="60"/>
      <c r="JBY90" s="61"/>
      <c r="JBZ90" s="61"/>
      <c r="JCA90" s="61"/>
      <c r="JCB90" s="61"/>
      <c r="JCC90" s="62"/>
      <c r="JCD90" s="53"/>
      <c r="JCE90" s="60"/>
      <c r="JCF90" s="60"/>
      <c r="JCG90" s="61"/>
      <c r="JCH90" s="61"/>
      <c r="JCI90" s="61"/>
      <c r="JCJ90" s="61"/>
      <c r="JCK90" s="62"/>
      <c r="JCL90" s="53"/>
      <c r="JCM90" s="60"/>
      <c r="JCN90" s="60"/>
      <c r="JCO90" s="61"/>
      <c r="JCP90" s="61"/>
      <c r="JCQ90" s="61"/>
      <c r="JCR90" s="61"/>
      <c r="JCS90" s="62"/>
      <c r="JCT90" s="53"/>
      <c r="JCU90" s="60"/>
      <c r="JCV90" s="60"/>
      <c r="JCW90" s="61"/>
      <c r="JCX90" s="61"/>
      <c r="JCY90" s="61"/>
      <c r="JCZ90" s="61"/>
      <c r="JDA90" s="62"/>
      <c r="JDB90" s="53"/>
      <c r="JDC90" s="60"/>
      <c r="JDD90" s="60"/>
      <c r="JDE90" s="61"/>
      <c r="JDF90" s="61"/>
      <c r="JDG90" s="61"/>
      <c r="JDH90" s="61"/>
      <c r="JDI90" s="62"/>
      <c r="JDJ90" s="53"/>
      <c r="JDK90" s="60"/>
      <c r="JDL90" s="60"/>
      <c r="JDM90" s="61"/>
      <c r="JDN90" s="61"/>
      <c r="JDO90" s="61"/>
      <c r="JDP90" s="61"/>
      <c r="JDQ90" s="62"/>
      <c r="JDR90" s="53"/>
      <c r="JDS90" s="60"/>
      <c r="JDT90" s="60"/>
      <c r="JDU90" s="61"/>
      <c r="JDV90" s="61"/>
      <c r="JDW90" s="61"/>
      <c r="JDX90" s="61"/>
      <c r="JDY90" s="62"/>
      <c r="JDZ90" s="53"/>
      <c r="JEA90" s="60"/>
      <c r="JEB90" s="60"/>
      <c r="JEC90" s="61"/>
      <c r="JED90" s="61"/>
      <c r="JEE90" s="61"/>
      <c r="JEF90" s="61"/>
      <c r="JEG90" s="62"/>
      <c r="JEH90" s="53"/>
      <c r="JEI90" s="60"/>
      <c r="JEJ90" s="60"/>
      <c r="JEK90" s="61"/>
      <c r="JEL90" s="61"/>
      <c r="JEM90" s="61"/>
      <c r="JEN90" s="61"/>
      <c r="JEO90" s="62"/>
      <c r="JEP90" s="53"/>
      <c r="JEQ90" s="60"/>
      <c r="JER90" s="60"/>
      <c r="JES90" s="61"/>
      <c r="JET90" s="61"/>
      <c r="JEU90" s="61"/>
      <c r="JEV90" s="61"/>
      <c r="JEW90" s="62"/>
      <c r="JEX90" s="53"/>
      <c r="JEY90" s="60"/>
      <c r="JEZ90" s="60"/>
      <c r="JFA90" s="61"/>
      <c r="JFB90" s="61"/>
      <c r="JFC90" s="61"/>
      <c r="JFD90" s="61"/>
      <c r="JFE90" s="62"/>
      <c r="JFF90" s="53"/>
      <c r="JFG90" s="60"/>
      <c r="JFH90" s="60"/>
      <c r="JFI90" s="61"/>
      <c r="JFJ90" s="61"/>
      <c r="JFK90" s="61"/>
      <c r="JFL90" s="61"/>
      <c r="JFM90" s="62"/>
      <c r="JFN90" s="53"/>
      <c r="JFO90" s="60"/>
      <c r="JFP90" s="60"/>
      <c r="JFQ90" s="61"/>
      <c r="JFR90" s="61"/>
      <c r="JFS90" s="61"/>
      <c r="JFT90" s="61"/>
      <c r="JFU90" s="62"/>
      <c r="JFV90" s="53"/>
      <c r="JFW90" s="60"/>
      <c r="JFX90" s="60"/>
      <c r="JFY90" s="61"/>
      <c r="JFZ90" s="61"/>
      <c r="JGA90" s="61"/>
      <c r="JGB90" s="61"/>
      <c r="JGC90" s="62"/>
      <c r="JGD90" s="53"/>
      <c r="JGE90" s="60"/>
      <c r="JGF90" s="60"/>
      <c r="JGG90" s="61"/>
      <c r="JGH90" s="61"/>
      <c r="JGI90" s="61"/>
      <c r="JGJ90" s="61"/>
      <c r="JGK90" s="62"/>
      <c r="JGL90" s="53"/>
      <c r="JGM90" s="60"/>
      <c r="JGN90" s="60"/>
      <c r="JGO90" s="61"/>
      <c r="JGP90" s="61"/>
      <c r="JGQ90" s="61"/>
      <c r="JGR90" s="61"/>
      <c r="JGS90" s="62"/>
      <c r="JGT90" s="53"/>
      <c r="JGU90" s="60"/>
      <c r="JGV90" s="60"/>
      <c r="JGW90" s="61"/>
      <c r="JGX90" s="61"/>
      <c r="JGY90" s="61"/>
      <c r="JGZ90" s="61"/>
      <c r="JHA90" s="62"/>
      <c r="JHB90" s="53"/>
      <c r="JHC90" s="60"/>
      <c r="JHD90" s="60"/>
      <c r="JHE90" s="61"/>
      <c r="JHF90" s="61"/>
      <c r="JHG90" s="61"/>
      <c r="JHH90" s="61"/>
      <c r="JHI90" s="62"/>
      <c r="JHJ90" s="53"/>
      <c r="JHK90" s="60"/>
      <c r="JHL90" s="60"/>
      <c r="JHM90" s="61"/>
      <c r="JHN90" s="61"/>
      <c r="JHO90" s="61"/>
      <c r="JHP90" s="61"/>
      <c r="JHQ90" s="62"/>
      <c r="JHR90" s="53"/>
      <c r="JHS90" s="60"/>
      <c r="JHT90" s="60"/>
      <c r="JHU90" s="61"/>
      <c r="JHV90" s="61"/>
      <c r="JHW90" s="61"/>
      <c r="JHX90" s="61"/>
      <c r="JHY90" s="62"/>
      <c r="JHZ90" s="53"/>
      <c r="JIA90" s="60"/>
      <c r="JIB90" s="60"/>
      <c r="JIC90" s="61"/>
      <c r="JID90" s="61"/>
      <c r="JIE90" s="61"/>
      <c r="JIF90" s="61"/>
      <c r="JIG90" s="62"/>
      <c r="JIH90" s="53"/>
      <c r="JII90" s="60"/>
      <c r="JIJ90" s="60"/>
      <c r="JIK90" s="61"/>
      <c r="JIL90" s="61"/>
      <c r="JIM90" s="61"/>
      <c r="JIN90" s="61"/>
      <c r="JIO90" s="62"/>
      <c r="JIP90" s="53"/>
      <c r="JIQ90" s="60"/>
      <c r="JIR90" s="60"/>
      <c r="JIS90" s="61"/>
      <c r="JIT90" s="61"/>
      <c r="JIU90" s="61"/>
      <c r="JIV90" s="61"/>
      <c r="JIW90" s="62"/>
      <c r="JIX90" s="53"/>
      <c r="JIY90" s="60"/>
      <c r="JIZ90" s="60"/>
      <c r="JJA90" s="61"/>
      <c r="JJB90" s="61"/>
      <c r="JJC90" s="61"/>
      <c r="JJD90" s="61"/>
      <c r="JJE90" s="62"/>
      <c r="JJF90" s="53"/>
      <c r="JJG90" s="60"/>
      <c r="JJH90" s="60"/>
      <c r="JJI90" s="61"/>
      <c r="JJJ90" s="61"/>
      <c r="JJK90" s="61"/>
      <c r="JJL90" s="61"/>
      <c r="JJM90" s="62"/>
      <c r="JJN90" s="53"/>
      <c r="JJO90" s="60"/>
      <c r="JJP90" s="60"/>
      <c r="JJQ90" s="61"/>
      <c r="JJR90" s="61"/>
      <c r="JJS90" s="61"/>
      <c r="JJT90" s="61"/>
      <c r="JJU90" s="62"/>
      <c r="JJV90" s="53"/>
      <c r="JJW90" s="60"/>
      <c r="JJX90" s="60"/>
      <c r="JJY90" s="61"/>
      <c r="JJZ90" s="61"/>
      <c r="JKA90" s="61"/>
      <c r="JKB90" s="61"/>
      <c r="JKC90" s="62"/>
      <c r="JKD90" s="53"/>
      <c r="JKE90" s="60"/>
      <c r="JKF90" s="60"/>
      <c r="JKG90" s="61"/>
      <c r="JKH90" s="61"/>
      <c r="JKI90" s="61"/>
      <c r="JKJ90" s="61"/>
      <c r="JKK90" s="62"/>
      <c r="JKL90" s="53"/>
      <c r="JKM90" s="60"/>
      <c r="JKN90" s="60"/>
      <c r="JKO90" s="61"/>
      <c r="JKP90" s="61"/>
      <c r="JKQ90" s="61"/>
      <c r="JKR90" s="61"/>
      <c r="JKS90" s="62"/>
      <c r="JKT90" s="53"/>
      <c r="JKU90" s="60"/>
      <c r="JKV90" s="60"/>
      <c r="JKW90" s="61"/>
      <c r="JKX90" s="61"/>
      <c r="JKY90" s="61"/>
      <c r="JKZ90" s="61"/>
      <c r="JLA90" s="62"/>
      <c r="JLB90" s="53"/>
      <c r="JLC90" s="60"/>
      <c r="JLD90" s="60"/>
      <c r="JLE90" s="61"/>
      <c r="JLF90" s="61"/>
      <c r="JLG90" s="61"/>
      <c r="JLH90" s="61"/>
      <c r="JLI90" s="62"/>
      <c r="JLJ90" s="53"/>
      <c r="JLK90" s="60"/>
      <c r="JLL90" s="60"/>
      <c r="JLM90" s="61"/>
      <c r="JLN90" s="61"/>
      <c r="JLO90" s="61"/>
      <c r="JLP90" s="61"/>
      <c r="JLQ90" s="62"/>
      <c r="JLR90" s="53"/>
      <c r="JLS90" s="60"/>
      <c r="JLT90" s="60"/>
      <c r="JLU90" s="61"/>
      <c r="JLV90" s="61"/>
      <c r="JLW90" s="61"/>
      <c r="JLX90" s="61"/>
      <c r="JLY90" s="62"/>
      <c r="JLZ90" s="53"/>
      <c r="JMA90" s="60"/>
      <c r="JMB90" s="60"/>
      <c r="JMC90" s="61"/>
      <c r="JMD90" s="61"/>
      <c r="JME90" s="61"/>
      <c r="JMF90" s="61"/>
      <c r="JMG90" s="62"/>
      <c r="JMH90" s="53"/>
      <c r="JMI90" s="60"/>
      <c r="JMJ90" s="60"/>
      <c r="JMK90" s="61"/>
      <c r="JML90" s="61"/>
      <c r="JMM90" s="61"/>
      <c r="JMN90" s="61"/>
      <c r="JMO90" s="62"/>
      <c r="JMP90" s="53"/>
      <c r="JMQ90" s="60"/>
      <c r="JMR90" s="60"/>
      <c r="JMS90" s="61"/>
      <c r="JMT90" s="61"/>
      <c r="JMU90" s="61"/>
      <c r="JMV90" s="61"/>
      <c r="JMW90" s="62"/>
      <c r="JMX90" s="53"/>
      <c r="JMY90" s="60"/>
      <c r="JMZ90" s="60"/>
      <c r="JNA90" s="61"/>
      <c r="JNB90" s="61"/>
      <c r="JNC90" s="61"/>
      <c r="JND90" s="61"/>
      <c r="JNE90" s="62"/>
      <c r="JNF90" s="53"/>
      <c r="JNG90" s="60"/>
      <c r="JNH90" s="60"/>
      <c r="JNI90" s="61"/>
      <c r="JNJ90" s="61"/>
      <c r="JNK90" s="61"/>
      <c r="JNL90" s="61"/>
      <c r="JNM90" s="62"/>
      <c r="JNN90" s="53"/>
      <c r="JNO90" s="60"/>
      <c r="JNP90" s="60"/>
      <c r="JNQ90" s="61"/>
      <c r="JNR90" s="61"/>
      <c r="JNS90" s="61"/>
      <c r="JNT90" s="61"/>
      <c r="JNU90" s="62"/>
      <c r="JNV90" s="53"/>
      <c r="JNW90" s="60"/>
      <c r="JNX90" s="60"/>
      <c r="JNY90" s="61"/>
      <c r="JNZ90" s="61"/>
      <c r="JOA90" s="61"/>
      <c r="JOB90" s="61"/>
      <c r="JOC90" s="62"/>
      <c r="JOD90" s="53"/>
      <c r="JOE90" s="60"/>
      <c r="JOF90" s="60"/>
      <c r="JOG90" s="61"/>
      <c r="JOH90" s="61"/>
      <c r="JOI90" s="61"/>
      <c r="JOJ90" s="61"/>
      <c r="JOK90" s="62"/>
      <c r="JOL90" s="53"/>
      <c r="JOM90" s="60"/>
      <c r="JON90" s="60"/>
      <c r="JOO90" s="61"/>
      <c r="JOP90" s="61"/>
      <c r="JOQ90" s="61"/>
      <c r="JOR90" s="61"/>
      <c r="JOS90" s="62"/>
      <c r="JOT90" s="53"/>
      <c r="JOU90" s="60"/>
      <c r="JOV90" s="60"/>
      <c r="JOW90" s="61"/>
      <c r="JOX90" s="61"/>
      <c r="JOY90" s="61"/>
      <c r="JOZ90" s="61"/>
      <c r="JPA90" s="62"/>
      <c r="JPB90" s="53"/>
      <c r="JPC90" s="60"/>
      <c r="JPD90" s="60"/>
      <c r="JPE90" s="61"/>
      <c r="JPF90" s="61"/>
      <c r="JPG90" s="61"/>
      <c r="JPH90" s="61"/>
      <c r="JPI90" s="62"/>
      <c r="JPJ90" s="53"/>
      <c r="JPK90" s="60"/>
      <c r="JPL90" s="60"/>
      <c r="JPM90" s="61"/>
      <c r="JPN90" s="61"/>
      <c r="JPO90" s="61"/>
      <c r="JPP90" s="61"/>
      <c r="JPQ90" s="62"/>
      <c r="JPR90" s="53"/>
      <c r="JPS90" s="60"/>
      <c r="JPT90" s="60"/>
      <c r="JPU90" s="61"/>
      <c r="JPV90" s="61"/>
      <c r="JPW90" s="61"/>
      <c r="JPX90" s="61"/>
      <c r="JPY90" s="62"/>
      <c r="JPZ90" s="53"/>
      <c r="JQA90" s="60"/>
      <c r="JQB90" s="60"/>
      <c r="JQC90" s="61"/>
      <c r="JQD90" s="61"/>
      <c r="JQE90" s="61"/>
      <c r="JQF90" s="61"/>
      <c r="JQG90" s="62"/>
      <c r="JQH90" s="53"/>
      <c r="JQI90" s="60"/>
      <c r="JQJ90" s="60"/>
      <c r="JQK90" s="61"/>
      <c r="JQL90" s="61"/>
      <c r="JQM90" s="61"/>
      <c r="JQN90" s="61"/>
      <c r="JQO90" s="62"/>
      <c r="JQP90" s="53"/>
      <c r="JQQ90" s="60"/>
      <c r="JQR90" s="60"/>
      <c r="JQS90" s="61"/>
      <c r="JQT90" s="61"/>
      <c r="JQU90" s="61"/>
      <c r="JQV90" s="61"/>
      <c r="JQW90" s="62"/>
      <c r="JQX90" s="53"/>
      <c r="JQY90" s="60"/>
      <c r="JQZ90" s="60"/>
      <c r="JRA90" s="61"/>
      <c r="JRB90" s="61"/>
      <c r="JRC90" s="61"/>
      <c r="JRD90" s="61"/>
      <c r="JRE90" s="62"/>
      <c r="JRF90" s="53"/>
      <c r="JRG90" s="60"/>
      <c r="JRH90" s="60"/>
      <c r="JRI90" s="61"/>
      <c r="JRJ90" s="61"/>
      <c r="JRK90" s="61"/>
      <c r="JRL90" s="61"/>
      <c r="JRM90" s="62"/>
      <c r="JRN90" s="53"/>
      <c r="JRO90" s="60"/>
      <c r="JRP90" s="60"/>
      <c r="JRQ90" s="61"/>
      <c r="JRR90" s="61"/>
      <c r="JRS90" s="61"/>
      <c r="JRT90" s="61"/>
      <c r="JRU90" s="62"/>
      <c r="JRV90" s="53"/>
      <c r="JRW90" s="60"/>
      <c r="JRX90" s="60"/>
      <c r="JRY90" s="61"/>
      <c r="JRZ90" s="61"/>
      <c r="JSA90" s="61"/>
      <c r="JSB90" s="61"/>
      <c r="JSC90" s="62"/>
      <c r="JSD90" s="53"/>
      <c r="JSE90" s="60"/>
      <c r="JSF90" s="60"/>
      <c r="JSG90" s="61"/>
      <c r="JSH90" s="61"/>
      <c r="JSI90" s="61"/>
      <c r="JSJ90" s="61"/>
      <c r="JSK90" s="62"/>
      <c r="JSL90" s="53"/>
      <c r="JSM90" s="60"/>
      <c r="JSN90" s="60"/>
      <c r="JSO90" s="61"/>
      <c r="JSP90" s="61"/>
      <c r="JSQ90" s="61"/>
      <c r="JSR90" s="61"/>
      <c r="JSS90" s="62"/>
      <c r="JST90" s="53"/>
      <c r="JSU90" s="60"/>
      <c r="JSV90" s="60"/>
      <c r="JSW90" s="61"/>
      <c r="JSX90" s="61"/>
      <c r="JSY90" s="61"/>
      <c r="JSZ90" s="61"/>
      <c r="JTA90" s="62"/>
      <c r="JTB90" s="53"/>
      <c r="JTC90" s="60"/>
      <c r="JTD90" s="60"/>
      <c r="JTE90" s="61"/>
      <c r="JTF90" s="61"/>
      <c r="JTG90" s="61"/>
      <c r="JTH90" s="61"/>
      <c r="JTI90" s="62"/>
      <c r="JTJ90" s="53"/>
      <c r="JTK90" s="60"/>
      <c r="JTL90" s="60"/>
      <c r="JTM90" s="61"/>
      <c r="JTN90" s="61"/>
      <c r="JTO90" s="61"/>
      <c r="JTP90" s="61"/>
      <c r="JTQ90" s="62"/>
      <c r="JTR90" s="53"/>
      <c r="JTS90" s="60"/>
      <c r="JTT90" s="60"/>
      <c r="JTU90" s="61"/>
      <c r="JTV90" s="61"/>
      <c r="JTW90" s="61"/>
      <c r="JTX90" s="61"/>
      <c r="JTY90" s="62"/>
      <c r="JTZ90" s="53"/>
      <c r="JUA90" s="60"/>
      <c r="JUB90" s="60"/>
      <c r="JUC90" s="61"/>
      <c r="JUD90" s="61"/>
      <c r="JUE90" s="61"/>
      <c r="JUF90" s="61"/>
      <c r="JUG90" s="62"/>
      <c r="JUH90" s="53"/>
      <c r="JUI90" s="60"/>
      <c r="JUJ90" s="60"/>
      <c r="JUK90" s="61"/>
      <c r="JUL90" s="61"/>
      <c r="JUM90" s="61"/>
      <c r="JUN90" s="61"/>
      <c r="JUO90" s="62"/>
      <c r="JUP90" s="53"/>
      <c r="JUQ90" s="60"/>
      <c r="JUR90" s="60"/>
      <c r="JUS90" s="61"/>
      <c r="JUT90" s="61"/>
      <c r="JUU90" s="61"/>
      <c r="JUV90" s="61"/>
      <c r="JUW90" s="62"/>
      <c r="JUX90" s="53"/>
      <c r="JUY90" s="60"/>
      <c r="JUZ90" s="60"/>
      <c r="JVA90" s="61"/>
      <c r="JVB90" s="61"/>
      <c r="JVC90" s="61"/>
      <c r="JVD90" s="61"/>
      <c r="JVE90" s="62"/>
      <c r="JVF90" s="53"/>
      <c r="JVG90" s="60"/>
      <c r="JVH90" s="60"/>
      <c r="JVI90" s="61"/>
      <c r="JVJ90" s="61"/>
      <c r="JVK90" s="61"/>
      <c r="JVL90" s="61"/>
      <c r="JVM90" s="62"/>
      <c r="JVN90" s="53"/>
      <c r="JVO90" s="60"/>
      <c r="JVP90" s="60"/>
      <c r="JVQ90" s="61"/>
      <c r="JVR90" s="61"/>
      <c r="JVS90" s="61"/>
      <c r="JVT90" s="61"/>
      <c r="JVU90" s="62"/>
      <c r="JVV90" s="53"/>
      <c r="JVW90" s="60"/>
      <c r="JVX90" s="60"/>
      <c r="JVY90" s="61"/>
      <c r="JVZ90" s="61"/>
      <c r="JWA90" s="61"/>
      <c r="JWB90" s="61"/>
      <c r="JWC90" s="62"/>
      <c r="JWD90" s="53"/>
      <c r="JWE90" s="60"/>
      <c r="JWF90" s="60"/>
      <c r="JWG90" s="61"/>
      <c r="JWH90" s="61"/>
      <c r="JWI90" s="61"/>
      <c r="JWJ90" s="61"/>
      <c r="JWK90" s="62"/>
      <c r="JWL90" s="53"/>
      <c r="JWM90" s="60"/>
      <c r="JWN90" s="60"/>
      <c r="JWO90" s="61"/>
      <c r="JWP90" s="61"/>
      <c r="JWQ90" s="61"/>
      <c r="JWR90" s="61"/>
      <c r="JWS90" s="62"/>
      <c r="JWT90" s="53"/>
      <c r="JWU90" s="60"/>
      <c r="JWV90" s="60"/>
      <c r="JWW90" s="61"/>
      <c r="JWX90" s="61"/>
      <c r="JWY90" s="61"/>
      <c r="JWZ90" s="61"/>
      <c r="JXA90" s="62"/>
      <c r="JXB90" s="53"/>
      <c r="JXC90" s="60"/>
      <c r="JXD90" s="60"/>
      <c r="JXE90" s="61"/>
      <c r="JXF90" s="61"/>
      <c r="JXG90" s="61"/>
      <c r="JXH90" s="61"/>
      <c r="JXI90" s="62"/>
      <c r="JXJ90" s="53"/>
      <c r="JXK90" s="60"/>
      <c r="JXL90" s="60"/>
      <c r="JXM90" s="61"/>
      <c r="JXN90" s="61"/>
      <c r="JXO90" s="61"/>
      <c r="JXP90" s="61"/>
      <c r="JXQ90" s="62"/>
      <c r="JXR90" s="53"/>
      <c r="JXS90" s="60"/>
      <c r="JXT90" s="60"/>
      <c r="JXU90" s="61"/>
      <c r="JXV90" s="61"/>
      <c r="JXW90" s="61"/>
      <c r="JXX90" s="61"/>
      <c r="JXY90" s="62"/>
      <c r="JXZ90" s="53"/>
      <c r="JYA90" s="60"/>
      <c r="JYB90" s="60"/>
      <c r="JYC90" s="61"/>
      <c r="JYD90" s="61"/>
      <c r="JYE90" s="61"/>
      <c r="JYF90" s="61"/>
      <c r="JYG90" s="62"/>
      <c r="JYH90" s="53"/>
      <c r="JYI90" s="60"/>
      <c r="JYJ90" s="60"/>
      <c r="JYK90" s="61"/>
      <c r="JYL90" s="61"/>
      <c r="JYM90" s="61"/>
      <c r="JYN90" s="61"/>
      <c r="JYO90" s="62"/>
      <c r="JYP90" s="53"/>
      <c r="JYQ90" s="60"/>
      <c r="JYR90" s="60"/>
      <c r="JYS90" s="61"/>
      <c r="JYT90" s="61"/>
      <c r="JYU90" s="61"/>
      <c r="JYV90" s="61"/>
      <c r="JYW90" s="62"/>
      <c r="JYX90" s="53"/>
      <c r="JYY90" s="60"/>
      <c r="JYZ90" s="60"/>
      <c r="JZA90" s="61"/>
      <c r="JZB90" s="61"/>
      <c r="JZC90" s="61"/>
      <c r="JZD90" s="61"/>
      <c r="JZE90" s="62"/>
      <c r="JZF90" s="53"/>
      <c r="JZG90" s="60"/>
      <c r="JZH90" s="60"/>
      <c r="JZI90" s="61"/>
      <c r="JZJ90" s="61"/>
      <c r="JZK90" s="61"/>
      <c r="JZL90" s="61"/>
      <c r="JZM90" s="62"/>
      <c r="JZN90" s="53"/>
      <c r="JZO90" s="60"/>
      <c r="JZP90" s="60"/>
      <c r="JZQ90" s="61"/>
      <c r="JZR90" s="61"/>
      <c r="JZS90" s="61"/>
      <c r="JZT90" s="61"/>
      <c r="JZU90" s="62"/>
      <c r="JZV90" s="53"/>
      <c r="JZW90" s="60"/>
      <c r="JZX90" s="60"/>
      <c r="JZY90" s="61"/>
      <c r="JZZ90" s="61"/>
      <c r="KAA90" s="61"/>
      <c r="KAB90" s="61"/>
      <c r="KAC90" s="62"/>
      <c r="KAD90" s="53"/>
      <c r="KAE90" s="60"/>
      <c r="KAF90" s="60"/>
      <c r="KAG90" s="61"/>
      <c r="KAH90" s="61"/>
      <c r="KAI90" s="61"/>
      <c r="KAJ90" s="61"/>
      <c r="KAK90" s="62"/>
      <c r="KAL90" s="53"/>
      <c r="KAM90" s="60"/>
      <c r="KAN90" s="60"/>
      <c r="KAO90" s="61"/>
      <c r="KAP90" s="61"/>
      <c r="KAQ90" s="61"/>
      <c r="KAR90" s="61"/>
      <c r="KAS90" s="62"/>
      <c r="KAT90" s="53"/>
      <c r="KAU90" s="60"/>
      <c r="KAV90" s="60"/>
      <c r="KAW90" s="61"/>
      <c r="KAX90" s="61"/>
      <c r="KAY90" s="61"/>
      <c r="KAZ90" s="61"/>
      <c r="KBA90" s="62"/>
      <c r="KBB90" s="53"/>
      <c r="KBC90" s="60"/>
      <c r="KBD90" s="60"/>
      <c r="KBE90" s="61"/>
      <c r="KBF90" s="61"/>
      <c r="KBG90" s="61"/>
      <c r="KBH90" s="61"/>
      <c r="KBI90" s="62"/>
      <c r="KBJ90" s="53"/>
      <c r="KBK90" s="60"/>
      <c r="KBL90" s="60"/>
      <c r="KBM90" s="61"/>
      <c r="KBN90" s="61"/>
      <c r="KBO90" s="61"/>
      <c r="KBP90" s="61"/>
      <c r="KBQ90" s="62"/>
      <c r="KBR90" s="53"/>
      <c r="KBS90" s="60"/>
      <c r="KBT90" s="60"/>
      <c r="KBU90" s="61"/>
      <c r="KBV90" s="61"/>
      <c r="KBW90" s="61"/>
      <c r="KBX90" s="61"/>
      <c r="KBY90" s="62"/>
      <c r="KBZ90" s="53"/>
      <c r="KCA90" s="60"/>
      <c r="KCB90" s="60"/>
      <c r="KCC90" s="61"/>
      <c r="KCD90" s="61"/>
      <c r="KCE90" s="61"/>
      <c r="KCF90" s="61"/>
      <c r="KCG90" s="62"/>
      <c r="KCH90" s="53"/>
      <c r="KCI90" s="60"/>
      <c r="KCJ90" s="60"/>
      <c r="KCK90" s="61"/>
      <c r="KCL90" s="61"/>
      <c r="KCM90" s="61"/>
      <c r="KCN90" s="61"/>
      <c r="KCO90" s="62"/>
      <c r="KCP90" s="53"/>
      <c r="KCQ90" s="60"/>
      <c r="KCR90" s="60"/>
      <c r="KCS90" s="61"/>
      <c r="KCT90" s="61"/>
      <c r="KCU90" s="61"/>
      <c r="KCV90" s="61"/>
      <c r="KCW90" s="62"/>
      <c r="KCX90" s="53"/>
      <c r="KCY90" s="60"/>
      <c r="KCZ90" s="60"/>
      <c r="KDA90" s="61"/>
      <c r="KDB90" s="61"/>
      <c r="KDC90" s="61"/>
      <c r="KDD90" s="61"/>
      <c r="KDE90" s="62"/>
      <c r="KDF90" s="53"/>
      <c r="KDG90" s="60"/>
      <c r="KDH90" s="60"/>
      <c r="KDI90" s="61"/>
      <c r="KDJ90" s="61"/>
      <c r="KDK90" s="61"/>
      <c r="KDL90" s="61"/>
      <c r="KDM90" s="62"/>
      <c r="KDN90" s="53"/>
      <c r="KDO90" s="60"/>
      <c r="KDP90" s="60"/>
      <c r="KDQ90" s="61"/>
      <c r="KDR90" s="61"/>
      <c r="KDS90" s="61"/>
      <c r="KDT90" s="61"/>
      <c r="KDU90" s="62"/>
      <c r="KDV90" s="53"/>
      <c r="KDW90" s="60"/>
      <c r="KDX90" s="60"/>
      <c r="KDY90" s="61"/>
      <c r="KDZ90" s="61"/>
      <c r="KEA90" s="61"/>
      <c r="KEB90" s="61"/>
      <c r="KEC90" s="62"/>
      <c r="KED90" s="53"/>
      <c r="KEE90" s="60"/>
      <c r="KEF90" s="60"/>
      <c r="KEG90" s="61"/>
      <c r="KEH90" s="61"/>
      <c r="KEI90" s="61"/>
      <c r="KEJ90" s="61"/>
      <c r="KEK90" s="62"/>
      <c r="KEL90" s="53"/>
      <c r="KEM90" s="60"/>
      <c r="KEN90" s="60"/>
      <c r="KEO90" s="61"/>
      <c r="KEP90" s="61"/>
      <c r="KEQ90" s="61"/>
      <c r="KER90" s="61"/>
      <c r="KES90" s="62"/>
      <c r="KET90" s="53"/>
      <c r="KEU90" s="60"/>
      <c r="KEV90" s="60"/>
      <c r="KEW90" s="61"/>
      <c r="KEX90" s="61"/>
      <c r="KEY90" s="61"/>
      <c r="KEZ90" s="61"/>
      <c r="KFA90" s="62"/>
      <c r="KFB90" s="53"/>
      <c r="KFC90" s="60"/>
      <c r="KFD90" s="60"/>
      <c r="KFE90" s="61"/>
      <c r="KFF90" s="61"/>
      <c r="KFG90" s="61"/>
      <c r="KFH90" s="61"/>
      <c r="KFI90" s="62"/>
      <c r="KFJ90" s="53"/>
      <c r="KFK90" s="60"/>
      <c r="KFL90" s="60"/>
      <c r="KFM90" s="61"/>
      <c r="KFN90" s="61"/>
      <c r="KFO90" s="61"/>
      <c r="KFP90" s="61"/>
      <c r="KFQ90" s="62"/>
      <c r="KFR90" s="53"/>
      <c r="KFS90" s="60"/>
      <c r="KFT90" s="60"/>
      <c r="KFU90" s="61"/>
      <c r="KFV90" s="61"/>
      <c r="KFW90" s="61"/>
      <c r="KFX90" s="61"/>
      <c r="KFY90" s="62"/>
      <c r="KFZ90" s="53"/>
      <c r="KGA90" s="60"/>
      <c r="KGB90" s="60"/>
      <c r="KGC90" s="61"/>
      <c r="KGD90" s="61"/>
      <c r="KGE90" s="61"/>
      <c r="KGF90" s="61"/>
      <c r="KGG90" s="62"/>
      <c r="KGH90" s="53"/>
      <c r="KGI90" s="60"/>
      <c r="KGJ90" s="60"/>
      <c r="KGK90" s="61"/>
      <c r="KGL90" s="61"/>
      <c r="KGM90" s="61"/>
      <c r="KGN90" s="61"/>
      <c r="KGO90" s="62"/>
      <c r="KGP90" s="53"/>
      <c r="KGQ90" s="60"/>
      <c r="KGR90" s="60"/>
      <c r="KGS90" s="61"/>
      <c r="KGT90" s="61"/>
      <c r="KGU90" s="61"/>
      <c r="KGV90" s="61"/>
      <c r="KGW90" s="62"/>
      <c r="KGX90" s="53"/>
      <c r="KGY90" s="60"/>
      <c r="KGZ90" s="60"/>
      <c r="KHA90" s="61"/>
      <c r="KHB90" s="61"/>
      <c r="KHC90" s="61"/>
      <c r="KHD90" s="61"/>
      <c r="KHE90" s="62"/>
      <c r="KHF90" s="53"/>
      <c r="KHG90" s="60"/>
      <c r="KHH90" s="60"/>
      <c r="KHI90" s="61"/>
      <c r="KHJ90" s="61"/>
      <c r="KHK90" s="61"/>
      <c r="KHL90" s="61"/>
      <c r="KHM90" s="62"/>
      <c r="KHN90" s="53"/>
      <c r="KHO90" s="60"/>
      <c r="KHP90" s="60"/>
      <c r="KHQ90" s="61"/>
      <c r="KHR90" s="61"/>
      <c r="KHS90" s="61"/>
      <c r="KHT90" s="61"/>
      <c r="KHU90" s="62"/>
      <c r="KHV90" s="53"/>
      <c r="KHW90" s="60"/>
      <c r="KHX90" s="60"/>
      <c r="KHY90" s="61"/>
      <c r="KHZ90" s="61"/>
      <c r="KIA90" s="61"/>
      <c r="KIB90" s="61"/>
      <c r="KIC90" s="62"/>
      <c r="KID90" s="53"/>
      <c r="KIE90" s="60"/>
      <c r="KIF90" s="60"/>
      <c r="KIG90" s="61"/>
      <c r="KIH90" s="61"/>
      <c r="KII90" s="61"/>
      <c r="KIJ90" s="61"/>
      <c r="KIK90" s="62"/>
      <c r="KIL90" s="53"/>
      <c r="KIM90" s="60"/>
      <c r="KIN90" s="60"/>
      <c r="KIO90" s="61"/>
      <c r="KIP90" s="61"/>
      <c r="KIQ90" s="61"/>
      <c r="KIR90" s="61"/>
      <c r="KIS90" s="62"/>
      <c r="KIT90" s="53"/>
      <c r="KIU90" s="60"/>
      <c r="KIV90" s="60"/>
      <c r="KIW90" s="61"/>
      <c r="KIX90" s="61"/>
      <c r="KIY90" s="61"/>
      <c r="KIZ90" s="61"/>
      <c r="KJA90" s="62"/>
      <c r="KJB90" s="53"/>
      <c r="KJC90" s="60"/>
      <c r="KJD90" s="60"/>
      <c r="KJE90" s="61"/>
      <c r="KJF90" s="61"/>
      <c r="KJG90" s="61"/>
      <c r="KJH90" s="61"/>
      <c r="KJI90" s="62"/>
      <c r="KJJ90" s="53"/>
      <c r="KJK90" s="60"/>
      <c r="KJL90" s="60"/>
      <c r="KJM90" s="61"/>
      <c r="KJN90" s="61"/>
      <c r="KJO90" s="61"/>
      <c r="KJP90" s="61"/>
      <c r="KJQ90" s="62"/>
      <c r="KJR90" s="53"/>
      <c r="KJS90" s="60"/>
      <c r="KJT90" s="60"/>
      <c r="KJU90" s="61"/>
      <c r="KJV90" s="61"/>
      <c r="KJW90" s="61"/>
      <c r="KJX90" s="61"/>
      <c r="KJY90" s="62"/>
      <c r="KJZ90" s="53"/>
      <c r="KKA90" s="60"/>
      <c r="KKB90" s="60"/>
      <c r="KKC90" s="61"/>
      <c r="KKD90" s="61"/>
      <c r="KKE90" s="61"/>
      <c r="KKF90" s="61"/>
      <c r="KKG90" s="62"/>
      <c r="KKH90" s="53"/>
      <c r="KKI90" s="60"/>
      <c r="KKJ90" s="60"/>
      <c r="KKK90" s="61"/>
      <c r="KKL90" s="61"/>
      <c r="KKM90" s="61"/>
      <c r="KKN90" s="61"/>
      <c r="KKO90" s="62"/>
      <c r="KKP90" s="53"/>
      <c r="KKQ90" s="60"/>
      <c r="KKR90" s="60"/>
      <c r="KKS90" s="61"/>
      <c r="KKT90" s="61"/>
      <c r="KKU90" s="61"/>
      <c r="KKV90" s="61"/>
      <c r="KKW90" s="62"/>
      <c r="KKX90" s="53"/>
      <c r="KKY90" s="60"/>
      <c r="KKZ90" s="60"/>
      <c r="KLA90" s="61"/>
      <c r="KLB90" s="61"/>
      <c r="KLC90" s="61"/>
      <c r="KLD90" s="61"/>
      <c r="KLE90" s="62"/>
      <c r="KLF90" s="53"/>
      <c r="KLG90" s="60"/>
      <c r="KLH90" s="60"/>
      <c r="KLI90" s="61"/>
      <c r="KLJ90" s="61"/>
      <c r="KLK90" s="61"/>
      <c r="KLL90" s="61"/>
      <c r="KLM90" s="62"/>
      <c r="KLN90" s="53"/>
      <c r="KLO90" s="60"/>
      <c r="KLP90" s="60"/>
      <c r="KLQ90" s="61"/>
      <c r="KLR90" s="61"/>
      <c r="KLS90" s="61"/>
      <c r="KLT90" s="61"/>
      <c r="KLU90" s="62"/>
      <c r="KLV90" s="53"/>
      <c r="KLW90" s="60"/>
      <c r="KLX90" s="60"/>
      <c r="KLY90" s="61"/>
      <c r="KLZ90" s="61"/>
      <c r="KMA90" s="61"/>
      <c r="KMB90" s="61"/>
      <c r="KMC90" s="62"/>
      <c r="KMD90" s="53"/>
      <c r="KME90" s="60"/>
      <c r="KMF90" s="60"/>
      <c r="KMG90" s="61"/>
      <c r="KMH90" s="61"/>
      <c r="KMI90" s="61"/>
      <c r="KMJ90" s="61"/>
      <c r="KMK90" s="62"/>
      <c r="KML90" s="53"/>
      <c r="KMM90" s="60"/>
      <c r="KMN90" s="60"/>
      <c r="KMO90" s="61"/>
      <c r="KMP90" s="61"/>
      <c r="KMQ90" s="61"/>
      <c r="KMR90" s="61"/>
      <c r="KMS90" s="62"/>
      <c r="KMT90" s="53"/>
      <c r="KMU90" s="60"/>
      <c r="KMV90" s="60"/>
      <c r="KMW90" s="61"/>
      <c r="KMX90" s="61"/>
      <c r="KMY90" s="61"/>
      <c r="KMZ90" s="61"/>
      <c r="KNA90" s="62"/>
      <c r="KNB90" s="53"/>
      <c r="KNC90" s="60"/>
      <c r="KND90" s="60"/>
      <c r="KNE90" s="61"/>
      <c r="KNF90" s="61"/>
      <c r="KNG90" s="61"/>
      <c r="KNH90" s="61"/>
      <c r="KNI90" s="62"/>
      <c r="KNJ90" s="53"/>
      <c r="KNK90" s="60"/>
      <c r="KNL90" s="60"/>
      <c r="KNM90" s="61"/>
      <c r="KNN90" s="61"/>
      <c r="KNO90" s="61"/>
      <c r="KNP90" s="61"/>
      <c r="KNQ90" s="62"/>
      <c r="KNR90" s="53"/>
      <c r="KNS90" s="60"/>
      <c r="KNT90" s="60"/>
      <c r="KNU90" s="61"/>
      <c r="KNV90" s="61"/>
      <c r="KNW90" s="61"/>
      <c r="KNX90" s="61"/>
      <c r="KNY90" s="62"/>
      <c r="KNZ90" s="53"/>
      <c r="KOA90" s="60"/>
      <c r="KOB90" s="60"/>
      <c r="KOC90" s="61"/>
      <c r="KOD90" s="61"/>
      <c r="KOE90" s="61"/>
      <c r="KOF90" s="61"/>
      <c r="KOG90" s="62"/>
      <c r="KOH90" s="53"/>
      <c r="KOI90" s="60"/>
      <c r="KOJ90" s="60"/>
      <c r="KOK90" s="61"/>
      <c r="KOL90" s="61"/>
      <c r="KOM90" s="61"/>
      <c r="KON90" s="61"/>
      <c r="KOO90" s="62"/>
      <c r="KOP90" s="53"/>
      <c r="KOQ90" s="60"/>
      <c r="KOR90" s="60"/>
      <c r="KOS90" s="61"/>
      <c r="KOT90" s="61"/>
      <c r="KOU90" s="61"/>
      <c r="KOV90" s="61"/>
      <c r="KOW90" s="62"/>
      <c r="KOX90" s="53"/>
      <c r="KOY90" s="60"/>
      <c r="KOZ90" s="60"/>
      <c r="KPA90" s="61"/>
      <c r="KPB90" s="61"/>
      <c r="KPC90" s="61"/>
      <c r="KPD90" s="61"/>
      <c r="KPE90" s="62"/>
      <c r="KPF90" s="53"/>
      <c r="KPG90" s="60"/>
      <c r="KPH90" s="60"/>
      <c r="KPI90" s="61"/>
      <c r="KPJ90" s="61"/>
      <c r="KPK90" s="61"/>
      <c r="KPL90" s="61"/>
      <c r="KPM90" s="62"/>
      <c r="KPN90" s="53"/>
      <c r="KPO90" s="60"/>
      <c r="KPP90" s="60"/>
      <c r="KPQ90" s="61"/>
      <c r="KPR90" s="61"/>
      <c r="KPS90" s="61"/>
      <c r="KPT90" s="61"/>
      <c r="KPU90" s="62"/>
      <c r="KPV90" s="53"/>
      <c r="KPW90" s="60"/>
      <c r="KPX90" s="60"/>
      <c r="KPY90" s="61"/>
      <c r="KPZ90" s="61"/>
      <c r="KQA90" s="61"/>
      <c r="KQB90" s="61"/>
      <c r="KQC90" s="62"/>
      <c r="KQD90" s="53"/>
      <c r="KQE90" s="60"/>
      <c r="KQF90" s="60"/>
      <c r="KQG90" s="61"/>
      <c r="KQH90" s="61"/>
      <c r="KQI90" s="61"/>
      <c r="KQJ90" s="61"/>
      <c r="KQK90" s="62"/>
      <c r="KQL90" s="53"/>
      <c r="KQM90" s="60"/>
      <c r="KQN90" s="60"/>
      <c r="KQO90" s="61"/>
      <c r="KQP90" s="61"/>
      <c r="KQQ90" s="61"/>
      <c r="KQR90" s="61"/>
      <c r="KQS90" s="62"/>
      <c r="KQT90" s="53"/>
      <c r="KQU90" s="60"/>
      <c r="KQV90" s="60"/>
      <c r="KQW90" s="61"/>
      <c r="KQX90" s="61"/>
      <c r="KQY90" s="61"/>
      <c r="KQZ90" s="61"/>
      <c r="KRA90" s="62"/>
      <c r="KRB90" s="53"/>
      <c r="KRC90" s="60"/>
      <c r="KRD90" s="60"/>
      <c r="KRE90" s="61"/>
      <c r="KRF90" s="61"/>
      <c r="KRG90" s="61"/>
      <c r="KRH90" s="61"/>
      <c r="KRI90" s="62"/>
      <c r="KRJ90" s="53"/>
      <c r="KRK90" s="60"/>
      <c r="KRL90" s="60"/>
      <c r="KRM90" s="61"/>
      <c r="KRN90" s="61"/>
      <c r="KRO90" s="61"/>
      <c r="KRP90" s="61"/>
      <c r="KRQ90" s="62"/>
      <c r="KRR90" s="53"/>
      <c r="KRS90" s="60"/>
      <c r="KRT90" s="60"/>
      <c r="KRU90" s="61"/>
      <c r="KRV90" s="61"/>
      <c r="KRW90" s="61"/>
      <c r="KRX90" s="61"/>
      <c r="KRY90" s="62"/>
      <c r="KRZ90" s="53"/>
      <c r="KSA90" s="60"/>
      <c r="KSB90" s="60"/>
      <c r="KSC90" s="61"/>
      <c r="KSD90" s="61"/>
      <c r="KSE90" s="61"/>
      <c r="KSF90" s="61"/>
      <c r="KSG90" s="62"/>
      <c r="KSH90" s="53"/>
      <c r="KSI90" s="60"/>
      <c r="KSJ90" s="60"/>
      <c r="KSK90" s="61"/>
      <c r="KSL90" s="61"/>
      <c r="KSM90" s="61"/>
      <c r="KSN90" s="61"/>
      <c r="KSO90" s="62"/>
      <c r="KSP90" s="53"/>
      <c r="KSQ90" s="60"/>
      <c r="KSR90" s="60"/>
      <c r="KSS90" s="61"/>
      <c r="KST90" s="61"/>
      <c r="KSU90" s="61"/>
      <c r="KSV90" s="61"/>
      <c r="KSW90" s="62"/>
      <c r="KSX90" s="53"/>
      <c r="KSY90" s="60"/>
      <c r="KSZ90" s="60"/>
      <c r="KTA90" s="61"/>
      <c r="KTB90" s="61"/>
      <c r="KTC90" s="61"/>
      <c r="KTD90" s="61"/>
      <c r="KTE90" s="62"/>
      <c r="KTF90" s="53"/>
      <c r="KTG90" s="60"/>
      <c r="KTH90" s="60"/>
      <c r="KTI90" s="61"/>
      <c r="KTJ90" s="61"/>
      <c r="KTK90" s="61"/>
      <c r="KTL90" s="61"/>
      <c r="KTM90" s="62"/>
      <c r="KTN90" s="53"/>
      <c r="KTO90" s="60"/>
      <c r="KTP90" s="60"/>
      <c r="KTQ90" s="61"/>
      <c r="KTR90" s="61"/>
      <c r="KTS90" s="61"/>
      <c r="KTT90" s="61"/>
      <c r="KTU90" s="62"/>
      <c r="KTV90" s="53"/>
      <c r="KTW90" s="60"/>
      <c r="KTX90" s="60"/>
      <c r="KTY90" s="61"/>
      <c r="KTZ90" s="61"/>
      <c r="KUA90" s="61"/>
      <c r="KUB90" s="61"/>
      <c r="KUC90" s="62"/>
      <c r="KUD90" s="53"/>
      <c r="KUE90" s="60"/>
      <c r="KUF90" s="60"/>
      <c r="KUG90" s="61"/>
      <c r="KUH90" s="61"/>
      <c r="KUI90" s="61"/>
      <c r="KUJ90" s="61"/>
      <c r="KUK90" s="62"/>
      <c r="KUL90" s="53"/>
      <c r="KUM90" s="60"/>
      <c r="KUN90" s="60"/>
      <c r="KUO90" s="61"/>
      <c r="KUP90" s="61"/>
      <c r="KUQ90" s="61"/>
      <c r="KUR90" s="61"/>
      <c r="KUS90" s="62"/>
      <c r="KUT90" s="53"/>
      <c r="KUU90" s="60"/>
      <c r="KUV90" s="60"/>
      <c r="KUW90" s="61"/>
      <c r="KUX90" s="61"/>
      <c r="KUY90" s="61"/>
      <c r="KUZ90" s="61"/>
      <c r="KVA90" s="62"/>
      <c r="KVB90" s="53"/>
      <c r="KVC90" s="60"/>
      <c r="KVD90" s="60"/>
      <c r="KVE90" s="61"/>
      <c r="KVF90" s="61"/>
      <c r="KVG90" s="61"/>
      <c r="KVH90" s="61"/>
      <c r="KVI90" s="62"/>
      <c r="KVJ90" s="53"/>
      <c r="KVK90" s="60"/>
      <c r="KVL90" s="60"/>
      <c r="KVM90" s="61"/>
      <c r="KVN90" s="61"/>
      <c r="KVO90" s="61"/>
      <c r="KVP90" s="61"/>
      <c r="KVQ90" s="62"/>
      <c r="KVR90" s="53"/>
      <c r="KVS90" s="60"/>
      <c r="KVT90" s="60"/>
      <c r="KVU90" s="61"/>
      <c r="KVV90" s="61"/>
      <c r="KVW90" s="61"/>
      <c r="KVX90" s="61"/>
      <c r="KVY90" s="62"/>
      <c r="KVZ90" s="53"/>
      <c r="KWA90" s="60"/>
      <c r="KWB90" s="60"/>
      <c r="KWC90" s="61"/>
      <c r="KWD90" s="61"/>
      <c r="KWE90" s="61"/>
      <c r="KWF90" s="61"/>
      <c r="KWG90" s="62"/>
      <c r="KWH90" s="53"/>
      <c r="KWI90" s="60"/>
      <c r="KWJ90" s="60"/>
      <c r="KWK90" s="61"/>
      <c r="KWL90" s="61"/>
      <c r="KWM90" s="61"/>
      <c r="KWN90" s="61"/>
      <c r="KWO90" s="62"/>
      <c r="KWP90" s="53"/>
      <c r="KWQ90" s="60"/>
      <c r="KWR90" s="60"/>
      <c r="KWS90" s="61"/>
      <c r="KWT90" s="61"/>
      <c r="KWU90" s="61"/>
      <c r="KWV90" s="61"/>
      <c r="KWW90" s="62"/>
      <c r="KWX90" s="53"/>
      <c r="KWY90" s="60"/>
      <c r="KWZ90" s="60"/>
      <c r="KXA90" s="61"/>
      <c r="KXB90" s="61"/>
      <c r="KXC90" s="61"/>
      <c r="KXD90" s="61"/>
      <c r="KXE90" s="62"/>
      <c r="KXF90" s="53"/>
      <c r="KXG90" s="60"/>
      <c r="KXH90" s="60"/>
      <c r="KXI90" s="61"/>
      <c r="KXJ90" s="61"/>
      <c r="KXK90" s="61"/>
      <c r="KXL90" s="61"/>
      <c r="KXM90" s="62"/>
      <c r="KXN90" s="53"/>
      <c r="KXO90" s="60"/>
      <c r="KXP90" s="60"/>
      <c r="KXQ90" s="61"/>
      <c r="KXR90" s="61"/>
      <c r="KXS90" s="61"/>
      <c r="KXT90" s="61"/>
      <c r="KXU90" s="62"/>
      <c r="KXV90" s="53"/>
      <c r="KXW90" s="60"/>
      <c r="KXX90" s="60"/>
      <c r="KXY90" s="61"/>
      <c r="KXZ90" s="61"/>
      <c r="KYA90" s="61"/>
      <c r="KYB90" s="61"/>
      <c r="KYC90" s="62"/>
      <c r="KYD90" s="53"/>
      <c r="KYE90" s="60"/>
      <c r="KYF90" s="60"/>
      <c r="KYG90" s="61"/>
      <c r="KYH90" s="61"/>
      <c r="KYI90" s="61"/>
      <c r="KYJ90" s="61"/>
      <c r="KYK90" s="62"/>
      <c r="KYL90" s="53"/>
      <c r="KYM90" s="60"/>
      <c r="KYN90" s="60"/>
      <c r="KYO90" s="61"/>
      <c r="KYP90" s="61"/>
      <c r="KYQ90" s="61"/>
      <c r="KYR90" s="61"/>
      <c r="KYS90" s="62"/>
      <c r="KYT90" s="53"/>
      <c r="KYU90" s="60"/>
      <c r="KYV90" s="60"/>
      <c r="KYW90" s="61"/>
      <c r="KYX90" s="61"/>
      <c r="KYY90" s="61"/>
      <c r="KYZ90" s="61"/>
      <c r="KZA90" s="62"/>
      <c r="KZB90" s="53"/>
      <c r="KZC90" s="60"/>
      <c r="KZD90" s="60"/>
      <c r="KZE90" s="61"/>
      <c r="KZF90" s="61"/>
      <c r="KZG90" s="61"/>
      <c r="KZH90" s="61"/>
      <c r="KZI90" s="62"/>
      <c r="KZJ90" s="53"/>
      <c r="KZK90" s="60"/>
      <c r="KZL90" s="60"/>
      <c r="KZM90" s="61"/>
      <c r="KZN90" s="61"/>
      <c r="KZO90" s="61"/>
      <c r="KZP90" s="61"/>
      <c r="KZQ90" s="62"/>
      <c r="KZR90" s="53"/>
      <c r="KZS90" s="60"/>
      <c r="KZT90" s="60"/>
      <c r="KZU90" s="61"/>
      <c r="KZV90" s="61"/>
      <c r="KZW90" s="61"/>
      <c r="KZX90" s="61"/>
      <c r="KZY90" s="62"/>
      <c r="KZZ90" s="53"/>
      <c r="LAA90" s="60"/>
      <c r="LAB90" s="60"/>
      <c r="LAC90" s="61"/>
      <c r="LAD90" s="61"/>
      <c r="LAE90" s="61"/>
      <c r="LAF90" s="61"/>
      <c r="LAG90" s="62"/>
      <c r="LAH90" s="53"/>
      <c r="LAI90" s="60"/>
      <c r="LAJ90" s="60"/>
      <c r="LAK90" s="61"/>
      <c r="LAL90" s="61"/>
      <c r="LAM90" s="61"/>
      <c r="LAN90" s="61"/>
      <c r="LAO90" s="62"/>
      <c r="LAP90" s="53"/>
      <c r="LAQ90" s="60"/>
      <c r="LAR90" s="60"/>
      <c r="LAS90" s="61"/>
      <c r="LAT90" s="61"/>
      <c r="LAU90" s="61"/>
      <c r="LAV90" s="61"/>
      <c r="LAW90" s="62"/>
      <c r="LAX90" s="53"/>
      <c r="LAY90" s="60"/>
      <c r="LAZ90" s="60"/>
      <c r="LBA90" s="61"/>
      <c r="LBB90" s="61"/>
      <c r="LBC90" s="61"/>
      <c r="LBD90" s="61"/>
      <c r="LBE90" s="62"/>
      <c r="LBF90" s="53"/>
      <c r="LBG90" s="60"/>
      <c r="LBH90" s="60"/>
      <c r="LBI90" s="61"/>
      <c r="LBJ90" s="61"/>
      <c r="LBK90" s="61"/>
      <c r="LBL90" s="61"/>
      <c r="LBM90" s="62"/>
      <c r="LBN90" s="53"/>
      <c r="LBO90" s="60"/>
      <c r="LBP90" s="60"/>
      <c r="LBQ90" s="61"/>
      <c r="LBR90" s="61"/>
      <c r="LBS90" s="61"/>
      <c r="LBT90" s="61"/>
      <c r="LBU90" s="62"/>
      <c r="LBV90" s="53"/>
      <c r="LBW90" s="60"/>
      <c r="LBX90" s="60"/>
      <c r="LBY90" s="61"/>
      <c r="LBZ90" s="61"/>
      <c r="LCA90" s="61"/>
      <c r="LCB90" s="61"/>
      <c r="LCC90" s="62"/>
      <c r="LCD90" s="53"/>
      <c r="LCE90" s="60"/>
      <c r="LCF90" s="60"/>
      <c r="LCG90" s="61"/>
      <c r="LCH90" s="61"/>
      <c r="LCI90" s="61"/>
      <c r="LCJ90" s="61"/>
      <c r="LCK90" s="62"/>
      <c r="LCL90" s="53"/>
      <c r="LCM90" s="60"/>
      <c r="LCN90" s="60"/>
      <c r="LCO90" s="61"/>
      <c r="LCP90" s="61"/>
      <c r="LCQ90" s="61"/>
      <c r="LCR90" s="61"/>
      <c r="LCS90" s="62"/>
      <c r="LCT90" s="53"/>
      <c r="LCU90" s="60"/>
      <c r="LCV90" s="60"/>
      <c r="LCW90" s="61"/>
      <c r="LCX90" s="61"/>
      <c r="LCY90" s="61"/>
      <c r="LCZ90" s="61"/>
      <c r="LDA90" s="62"/>
      <c r="LDB90" s="53"/>
      <c r="LDC90" s="60"/>
      <c r="LDD90" s="60"/>
      <c r="LDE90" s="61"/>
      <c r="LDF90" s="61"/>
      <c r="LDG90" s="61"/>
      <c r="LDH90" s="61"/>
      <c r="LDI90" s="62"/>
      <c r="LDJ90" s="53"/>
      <c r="LDK90" s="60"/>
      <c r="LDL90" s="60"/>
      <c r="LDM90" s="61"/>
      <c r="LDN90" s="61"/>
      <c r="LDO90" s="61"/>
      <c r="LDP90" s="61"/>
      <c r="LDQ90" s="62"/>
      <c r="LDR90" s="53"/>
      <c r="LDS90" s="60"/>
      <c r="LDT90" s="60"/>
      <c r="LDU90" s="61"/>
      <c r="LDV90" s="61"/>
      <c r="LDW90" s="61"/>
      <c r="LDX90" s="61"/>
      <c r="LDY90" s="62"/>
      <c r="LDZ90" s="53"/>
      <c r="LEA90" s="60"/>
      <c r="LEB90" s="60"/>
      <c r="LEC90" s="61"/>
      <c r="LED90" s="61"/>
      <c r="LEE90" s="61"/>
      <c r="LEF90" s="61"/>
      <c r="LEG90" s="62"/>
      <c r="LEH90" s="53"/>
      <c r="LEI90" s="60"/>
      <c r="LEJ90" s="60"/>
      <c r="LEK90" s="61"/>
      <c r="LEL90" s="61"/>
      <c r="LEM90" s="61"/>
      <c r="LEN90" s="61"/>
      <c r="LEO90" s="62"/>
      <c r="LEP90" s="53"/>
      <c r="LEQ90" s="60"/>
      <c r="LER90" s="60"/>
      <c r="LES90" s="61"/>
      <c r="LET90" s="61"/>
      <c r="LEU90" s="61"/>
      <c r="LEV90" s="61"/>
      <c r="LEW90" s="62"/>
      <c r="LEX90" s="53"/>
      <c r="LEY90" s="60"/>
      <c r="LEZ90" s="60"/>
      <c r="LFA90" s="61"/>
      <c r="LFB90" s="61"/>
      <c r="LFC90" s="61"/>
      <c r="LFD90" s="61"/>
      <c r="LFE90" s="62"/>
      <c r="LFF90" s="53"/>
      <c r="LFG90" s="60"/>
      <c r="LFH90" s="60"/>
      <c r="LFI90" s="61"/>
      <c r="LFJ90" s="61"/>
      <c r="LFK90" s="61"/>
      <c r="LFL90" s="61"/>
      <c r="LFM90" s="62"/>
      <c r="LFN90" s="53"/>
      <c r="LFO90" s="60"/>
      <c r="LFP90" s="60"/>
      <c r="LFQ90" s="61"/>
      <c r="LFR90" s="61"/>
      <c r="LFS90" s="61"/>
      <c r="LFT90" s="61"/>
      <c r="LFU90" s="62"/>
      <c r="LFV90" s="53"/>
      <c r="LFW90" s="60"/>
      <c r="LFX90" s="60"/>
      <c r="LFY90" s="61"/>
      <c r="LFZ90" s="61"/>
      <c r="LGA90" s="61"/>
      <c r="LGB90" s="61"/>
      <c r="LGC90" s="62"/>
      <c r="LGD90" s="53"/>
      <c r="LGE90" s="60"/>
      <c r="LGF90" s="60"/>
      <c r="LGG90" s="61"/>
      <c r="LGH90" s="61"/>
      <c r="LGI90" s="61"/>
      <c r="LGJ90" s="61"/>
      <c r="LGK90" s="62"/>
      <c r="LGL90" s="53"/>
      <c r="LGM90" s="60"/>
      <c r="LGN90" s="60"/>
      <c r="LGO90" s="61"/>
      <c r="LGP90" s="61"/>
      <c r="LGQ90" s="61"/>
      <c r="LGR90" s="61"/>
      <c r="LGS90" s="62"/>
      <c r="LGT90" s="53"/>
      <c r="LGU90" s="60"/>
      <c r="LGV90" s="60"/>
      <c r="LGW90" s="61"/>
      <c r="LGX90" s="61"/>
      <c r="LGY90" s="61"/>
      <c r="LGZ90" s="61"/>
      <c r="LHA90" s="62"/>
      <c r="LHB90" s="53"/>
      <c r="LHC90" s="60"/>
      <c r="LHD90" s="60"/>
      <c r="LHE90" s="61"/>
      <c r="LHF90" s="61"/>
      <c r="LHG90" s="61"/>
      <c r="LHH90" s="61"/>
      <c r="LHI90" s="62"/>
      <c r="LHJ90" s="53"/>
      <c r="LHK90" s="60"/>
      <c r="LHL90" s="60"/>
      <c r="LHM90" s="61"/>
      <c r="LHN90" s="61"/>
      <c r="LHO90" s="61"/>
      <c r="LHP90" s="61"/>
      <c r="LHQ90" s="62"/>
      <c r="LHR90" s="53"/>
      <c r="LHS90" s="60"/>
      <c r="LHT90" s="60"/>
      <c r="LHU90" s="61"/>
      <c r="LHV90" s="61"/>
      <c r="LHW90" s="61"/>
      <c r="LHX90" s="61"/>
      <c r="LHY90" s="62"/>
      <c r="LHZ90" s="53"/>
      <c r="LIA90" s="60"/>
      <c r="LIB90" s="60"/>
      <c r="LIC90" s="61"/>
      <c r="LID90" s="61"/>
      <c r="LIE90" s="61"/>
      <c r="LIF90" s="61"/>
      <c r="LIG90" s="62"/>
      <c r="LIH90" s="53"/>
      <c r="LII90" s="60"/>
      <c r="LIJ90" s="60"/>
      <c r="LIK90" s="61"/>
      <c r="LIL90" s="61"/>
      <c r="LIM90" s="61"/>
      <c r="LIN90" s="61"/>
      <c r="LIO90" s="62"/>
      <c r="LIP90" s="53"/>
      <c r="LIQ90" s="60"/>
      <c r="LIR90" s="60"/>
      <c r="LIS90" s="61"/>
      <c r="LIT90" s="61"/>
      <c r="LIU90" s="61"/>
      <c r="LIV90" s="61"/>
      <c r="LIW90" s="62"/>
      <c r="LIX90" s="53"/>
      <c r="LIY90" s="60"/>
      <c r="LIZ90" s="60"/>
      <c r="LJA90" s="61"/>
      <c r="LJB90" s="61"/>
      <c r="LJC90" s="61"/>
      <c r="LJD90" s="61"/>
      <c r="LJE90" s="62"/>
      <c r="LJF90" s="53"/>
      <c r="LJG90" s="60"/>
      <c r="LJH90" s="60"/>
      <c r="LJI90" s="61"/>
      <c r="LJJ90" s="61"/>
      <c r="LJK90" s="61"/>
      <c r="LJL90" s="61"/>
      <c r="LJM90" s="62"/>
      <c r="LJN90" s="53"/>
      <c r="LJO90" s="60"/>
      <c r="LJP90" s="60"/>
      <c r="LJQ90" s="61"/>
      <c r="LJR90" s="61"/>
      <c r="LJS90" s="61"/>
      <c r="LJT90" s="61"/>
      <c r="LJU90" s="62"/>
      <c r="LJV90" s="53"/>
      <c r="LJW90" s="60"/>
      <c r="LJX90" s="60"/>
      <c r="LJY90" s="61"/>
      <c r="LJZ90" s="61"/>
      <c r="LKA90" s="61"/>
      <c r="LKB90" s="61"/>
      <c r="LKC90" s="62"/>
      <c r="LKD90" s="53"/>
      <c r="LKE90" s="60"/>
      <c r="LKF90" s="60"/>
      <c r="LKG90" s="61"/>
      <c r="LKH90" s="61"/>
      <c r="LKI90" s="61"/>
      <c r="LKJ90" s="61"/>
      <c r="LKK90" s="62"/>
      <c r="LKL90" s="53"/>
      <c r="LKM90" s="60"/>
      <c r="LKN90" s="60"/>
      <c r="LKO90" s="61"/>
      <c r="LKP90" s="61"/>
      <c r="LKQ90" s="61"/>
      <c r="LKR90" s="61"/>
      <c r="LKS90" s="62"/>
      <c r="LKT90" s="53"/>
      <c r="LKU90" s="60"/>
      <c r="LKV90" s="60"/>
      <c r="LKW90" s="61"/>
      <c r="LKX90" s="61"/>
      <c r="LKY90" s="61"/>
      <c r="LKZ90" s="61"/>
      <c r="LLA90" s="62"/>
      <c r="LLB90" s="53"/>
      <c r="LLC90" s="60"/>
      <c r="LLD90" s="60"/>
      <c r="LLE90" s="61"/>
      <c r="LLF90" s="61"/>
      <c r="LLG90" s="61"/>
      <c r="LLH90" s="61"/>
      <c r="LLI90" s="62"/>
      <c r="LLJ90" s="53"/>
      <c r="LLK90" s="60"/>
      <c r="LLL90" s="60"/>
      <c r="LLM90" s="61"/>
      <c r="LLN90" s="61"/>
      <c r="LLO90" s="61"/>
      <c r="LLP90" s="61"/>
      <c r="LLQ90" s="62"/>
      <c r="LLR90" s="53"/>
      <c r="LLS90" s="60"/>
      <c r="LLT90" s="60"/>
      <c r="LLU90" s="61"/>
      <c r="LLV90" s="61"/>
      <c r="LLW90" s="61"/>
      <c r="LLX90" s="61"/>
      <c r="LLY90" s="62"/>
      <c r="LLZ90" s="53"/>
      <c r="LMA90" s="60"/>
      <c r="LMB90" s="60"/>
      <c r="LMC90" s="61"/>
      <c r="LMD90" s="61"/>
      <c r="LME90" s="61"/>
      <c r="LMF90" s="61"/>
      <c r="LMG90" s="62"/>
      <c r="LMH90" s="53"/>
      <c r="LMI90" s="60"/>
      <c r="LMJ90" s="60"/>
      <c r="LMK90" s="61"/>
      <c r="LML90" s="61"/>
      <c r="LMM90" s="61"/>
      <c r="LMN90" s="61"/>
      <c r="LMO90" s="62"/>
      <c r="LMP90" s="53"/>
      <c r="LMQ90" s="60"/>
      <c r="LMR90" s="60"/>
      <c r="LMS90" s="61"/>
      <c r="LMT90" s="61"/>
      <c r="LMU90" s="61"/>
      <c r="LMV90" s="61"/>
      <c r="LMW90" s="62"/>
      <c r="LMX90" s="53"/>
      <c r="LMY90" s="60"/>
      <c r="LMZ90" s="60"/>
      <c r="LNA90" s="61"/>
      <c r="LNB90" s="61"/>
      <c r="LNC90" s="61"/>
      <c r="LND90" s="61"/>
      <c r="LNE90" s="62"/>
      <c r="LNF90" s="53"/>
      <c r="LNG90" s="60"/>
      <c r="LNH90" s="60"/>
      <c r="LNI90" s="61"/>
      <c r="LNJ90" s="61"/>
      <c r="LNK90" s="61"/>
      <c r="LNL90" s="61"/>
      <c r="LNM90" s="62"/>
      <c r="LNN90" s="53"/>
      <c r="LNO90" s="60"/>
      <c r="LNP90" s="60"/>
      <c r="LNQ90" s="61"/>
      <c r="LNR90" s="61"/>
      <c r="LNS90" s="61"/>
      <c r="LNT90" s="61"/>
      <c r="LNU90" s="62"/>
      <c r="LNV90" s="53"/>
      <c r="LNW90" s="60"/>
      <c r="LNX90" s="60"/>
      <c r="LNY90" s="61"/>
      <c r="LNZ90" s="61"/>
      <c r="LOA90" s="61"/>
      <c r="LOB90" s="61"/>
      <c r="LOC90" s="62"/>
      <c r="LOD90" s="53"/>
      <c r="LOE90" s="60"/>
      <c r="LOF90" s="60"/>
      <c r="LOG90" s="61"/>
      <c r="LOH90" s="61"/>
      <c r="LOI90" s="61"/>
      <c r="LOJ90" s="61"/>
      <c r="LOK90" s="62"/>
      <c r="LOL90" s="53"/>
      <c r="LOM90" s="60"/>
      <c r="LON90" s="60"/>
      <c r="LOO90" s="61"/>
      <c r="LOP90" s="61"/>
      <c r="LOQ90" s="61"/>
      <c r="LOR90" s="61"/>
      <c r="LOS90" s="62"/>
      <c r="LOT90" s="53"/>
      <c r="LOU90" s="60"/>
      <c r="LOV90" s="60"/>
      <c r="LOW90" s="61"/>
      <c r="LOX90" s="61"/>
      <c r="LOY90" s="61"/>
      <c r="LOZ90" s="61"/>
      <c r="LPA90" s="62"/>
      <c r="LPB90" s="53"/>
      <c r="LPC90" s="60"/>
      <c r="LPD90" s="60"/>
      <c r="LPE90" s="61"/>
      <c r="LPF90" s="61"/>
      <c r="LPG90" s="61"/>
      <c r="LPH90" s="61"/>
      <c r="LPI90" s="62"/>
      <c r="LPJ90" s="53"/>
      <c r="LPK90" s="60"/>
      <c r="LPL90" s="60"/>
      <c r="LPM90" s="61"/>
      <c r="LPN90" s="61"/>
      <c r="LPO90" s="61"/>
      <c r="LPP90" s="61"/>
      <c r="LPQ90" s="62"/>
      <c r="LPR90" s="53"/>
      <c r="LPS90" s="60"/>
      <c r="LPT90" s="60"/>
      <c r="LPU90" s="61"/>
      <c r="LPV90" s="61"/>
      <c r="LPW90" s="61"/>
      <c r="LPX90" s="61"/>
      <c r="LPY90" s="62"/>
      <c r="LPZ90" s="53"/>
      <c r="LQA90" s="60"/>
      <c r="LQB90" s="60"/>
      <c r="LQC90" s="61"/>
      <c r="LQD90" s="61"/>
      <c r="LQE90" s="61"/>
      <c r="LQF90" s="61"/>
      <c r="LQG90" s="62"/>
      <c r="LQH90" s="53"/>
      <c r="LQI90" s="60"/>
      <c r="LQJ90" s="60"/>
      <c r="LQK90" s="61"/>
      <c r="LQL90" s="61"/>
      <c r="LQM90" s="61"/>
      <c r="LQN90" s="61"/>
      <c r="LQO90" s="62"/>
      <c r="LQP90" s="53"/>
      <c r="LQQ90" s="60"/>
      <c r="LQR90" s="60"/>
      <c r="LQS90" s="61"/>
      <c r="LQT90" s="61"/>
      <c r="LQU90" s="61"/>
      <c r="LQV90" s="61"/>
      <c r="LQW90" s="62"/>
      <c r="LQX90" s="53"/>
      <c r="LQY90" s="60"/>
      <c r="LQZ90" s="60"/>
      <c r="LRA90" s="61"/>
      <c r="LRB90" s="61"/>
      <c r="LRC90" s="61"/>
      <c r="LRD90" s="61"/>
      <c r="LRE90" s="62"/>
      <c r="LRF90" s="53"/>
      <c r="LRG90" s="60"/>
      <c r="LRH90" s="60"/>
      <c r="LRI90" s="61"/>
      <c r="LRJ90" s="61"/>
      <c r="LRK90" s="61"/>
      <c r="LRL90" s="61"/>
      <c r="LRM90" s="62"/>
      <c r="LRN90" s="53"/>
      <c r="LRO90" s="60"/>
      <c r="LRP90" s="60"/>
      <c r="LRQ90" s="61"/>
      <c r="LRR90" s="61"/>
      <c r="LRS90" s="61"/>
      <c r="LRT90" s="61"/>
      <c r="LRU90" s="62"/>
      <c r="LRV90" s="53"/>
      <c r="LRW90" s="60"/>
      <c r="LRX90" s="60"/>
      <c r="LRY90" s="61"/>
      <c r="LRZ90" s="61"/>
      <c r="LSA90" s="61"/>
      <c r="LSB90" s="61"/>
      <c r="LSC90" s="62"/>
      <c r="LSD90" s="53"/>
      <c r="LSE90" s="60"/>
      <c r="LSF90" s="60"/>
      <c r="LSG90" s="61"/>
      <c r="LSH90" s="61"/>
      <c r="LSI90" s="61"/>
      <c r="LSJ90" s="61"/>
      <c r="LSK90" s="62"/>
      <c r="LSL90" s="53"/>
      <c r="LSM90" s="60"/>
      <c r="LSN90" s="60"/>
      <c r="LSO90" s="61"/>
      <c r="LSP90" s="61"/>
      <c r="LSQ90" s="61"/>
      <c r="LSR90" s="61"/>
      <c r="LSS90" s="62"/>
      <c r="LST90" s="53"/>
      <c r="LSU90" s="60"/>
      <c r="LSV90" s="60"/>
      <c r="LSW90" s="61"/>
      <c r="LSX90" s="61"/>
      <c r="LSY90" s="61"/>
      <c r="LSZ90" s="61"/>
      <c r="LTA90" s="62"/>
      <c r="LTB90" s="53"/>
      <c r="LTC90" s="60"/>
      <c r="LTD90" s="60"/>
      <c r="LTE90" s="61"/>
      <c r="LTF90" s="61"/>
      <c r="LTG90" s="61"/>
      <c r="LTH90" s="61"/>
      <c r="LTI90" s="62"/>
      <c r="LTJ90" s="53"/>
      <c r="LTK90" s="60"/>
      <c r="LTL90" s="60"/>
      <c r="LTM90" s="61"/>
      <c r="LTN90" s="61"/>
      <c r="LTO90" s="61"/>
      <c r="LTP90" s="61"/>
      <c r="LTQ90" s="62"/>
      <c r="LTR90" s="53"/>
      <c r="LTS90" s="60"/>
      <c r="LTT90" s="60"/>
      <c r="LTU90" s="61"/>
      <c r="LTV90" s="61"/>
      <c r="LTW90" s="61"/>
      <c r="LTX90" s="61"/>
      <c r="LTY90" s="62"/>
      <c r="LTZ90" s="53"/>
      <c r="LUA90" s="60"/>
      <c r="LUB90" s="60"/>
      <c r="LUC90" s="61"/>
      <c r="LUD90" s="61"/>
      <c r="LUE90" s="61"/>
      <c r="LUF90" s="61"/>
      <c r="LUG90" s="62"/>
      <c r="LUH90" s="53"/>
      <c r="LUI90" s="60"/>
      <c r="LUJ90" s="60"/>
      <c r="LUK90" s="61"/>
      <c r="LUL90" s="61"/>
      <c r="LUM90" s="61"/>
      <c r="LUN90" s="61"/>
      <c r="LUO90" s="62"/>
      <c r="LUP90" s="53"/>
      <c r="LUQ90" s="60"/>
      <c r="LUR90" s="60"/>
      <c r="LUS90" s="61"/>
      <c r="LUT90" s="61"/>
      <c r="LUU90" s="61"/>
      <c r="LUV90" s="61"/>
      <c r="LUW90" s="62"/>
      <c r="LUX90" s="53"/>
      <c r="LUY90" s="60"/>
      <c r="LUZ90" s="60"/>
      <c r="LVA90" s="61"/>
      <c r="LVB90" s="61"/>
      <c r="LVC90" s="61"/>
      <c r="LVD90" s="61"/>
      <c r="LVE90" s="62"/>
      <c r="LVF90" s="53"/>
      <c r="LVG90" s="60"/>
      <c r="LVH90" s="60"/>
      <c r="LVI90" s="61"/>
      <c r="LVJ90" s="61"/>
      <c r="LVK90" s="61"/>
      <c r="LVL90" s="61"/>
      <c r="LVM90" s="62"/>
      <c r="LVN90" s="53"/>
      <c r="LVO90" s="60"/>
      <c r="LVP90" s="60"/>
      <c r="LVQ90" s="61"/>
      <c r="LVR90" s="61"/>
      <c r="LVS90" s="61"/>
      <c r="LVT90" s="61"/>
      <c r="LVU90" s="62"/>
      <c r="LVV90" s="53"/>
      <c r="LVW90" s="60"/>
      <c r="LVX90" s="60"/>
      <c r="LVY90" s="61"/>
      <c r="LVZ90" s="61"/>
      <c r="LWA90" s="61"/>
      <c r="LWB90" s="61"/>
      <c r="LWC90" s="62"/>
      <c r="LWD90" s="53"/>
      <c r="LWE90" s="60"/>
      <c r="LWF90" s="60"/>
      <c r="LWG90" s="61"/>
      <c r="LWH90" s="61"/>
      <c r="LWI90" s="61"/>
      <c r="LWJ90" s="61"/>
      <c r="LWK90" s="62"/>
      <c r="LWL90" s="53"/>
      <c r="LWM90" s="60"/>
      <c r="LWN90" s="60"/>
      <c r="LWO90" s="61"/>
      <c r="LWP90" s="61"/>
      <c r="LWQ90" s="61"/>
      <c r="LWR90" s="61"/>
      <c r="LWS90" s="62"/>
      <c r="LWT90" s="53"/>
      <c r="LWU90" s="60"/>
      <c r="LWV90" s="60"/>
      <c r="LWW90" s="61"/>
      <c r="LWX90" s="61"/>
      <c r="LWY90" s="61"/>
      <c r="LWZ90" s="61"/>
      <c r="LXA90" s="62"/>
      <c r="LXB90" s="53"/>
      <c r="LXC90" s="60"/>
      <c r="LXD90" s="60"/>
      <c r="LXE90" s="61"/>
      <c r="LXF90" s="61"/>
      <c r="LXG90" s="61"/>
      <c r="LXH90" s="61"/>
      <c r="LXI90" s="62"/>
      <c r="LXJ90" s="53"/>
      <c r="LXK90" s="60"/>
      <c r="LXL90" s="60"/>
      <c r="LXM90" s="61"/>
      <c r="LXN90" s="61"/>
      <c r="LXO90" s="61"/>
      <c r="LXP90" s="61"/>
      <c r="LXQ90" s="62"/>
      <c r="LXR90" s="53"/>
      <c r="LXS90" s="60"/>
      <c r="LXT90" s="60"/>
      <c r="LXU90" s="61"/>
      <c r="LXV90" s="61"/>
      <c r="LXW90" s="61"/>
      <c r="LXX90" s="61"/>
      <c r="LXY90" s="62"/>
      <c r="LXZ90" s="53"/>
      <c r="LYA90" s="60"/>
      <c r="LYB90" s="60"/>
      <c r="LYC90" s="61"/>
      <c r="LYD90" s="61"/>
      <c r="LYE90" s="61"/>
      <c r="LYF90" s="61"/>
      <c r="LYG90" s="62"/>
      <c r="LYH90" s="53"/>
      <c r="LYI90" s="60"/>
      <c r="LYJ90" s="60"/>
      <c r="LYK90" s="61"/>
      <c r="LYL90" s="61"/>
      <c r="LYM90" s="61"/>
      <c r="LYN90" s="61"/>
      <c r="LYO90" s="62"/>
      <c r="LYP90" s="53"/>
      <c r="LYQ90" s="60"/>
      <c r="LYR90" s="60"/>
      <c r="LYS90" s="61"/>
      <c r="LYT90" s="61"/>
      <c r="LYU90" s="61"/>
      <c r="LYV90" s="61"/>
      <c r="LYW90" s="62"/>
      <c r="LYX90" s="53"/>
      <c r="LYY90" s="60"/>
      <c r="LYZ90" s="60"/>
      <c r="LZA90" s="61"/>
      <c r="LZB90" s="61"/>
      <c r="LZC90" s="61"/>
      <c r="LZD90" s="61"/>
      <c r="LZE90" s="62"/>
      <c r="LZF90" s="53"/>
      <c r="LZG90" s="60"/>
      <c r="LZH90" s="60"/>
      <c r="LZI90" s="61"/>
      <c r="LZJ90" s="61"/>
      <c r="LZK90" s="61"/>
      <c r="LZL90" s="61"/>
      <c r="LZM90" s="62"/>
      <c r="LZN90" s="53"/>
      <c r="LZO90" s="60"/>
      <c r="LZP90" s="60"/>
      <c r="LZQ90" s="61"/>
      <c r="LZR90" s="61"/>
      <c r="LZS90" s="61"/>
      <c r="LZT90" s="61"/>
      <c r="LZU90" s="62"/>
      <c r="LZV90" s="53"/>
      <c r="LZW90" s="60"/>
      <c r="LZX90" s="60"/>
      <c r="LZY90" s="61"/>
      <c r="LZZ90" s="61"/>
      <c r="MAA90" s="61"/>
      <c r="MAB90" s="61"/>
      <c r="MAC90" s="62"/>
      <c r="MAD90" s="53"/>
      <c r="MAE90" s="60"/>
      <c r="MAF90" s="60"/>
      <c r="MAG90" s="61"/>
      <c r="MAH90" s="61"/>
      <c r="MAI90" s="61"/>
      <c r="MAJ90" s="61"/>
      <c r="MAK90" s="62"/>
      <c r="MAL90" s="53"/>
      <c r="MAM90" s="60"/>
      <c r="MAN90" s="60"/>
      <c r="MAO90" s="61"/>
      <c r="MAP90" s="61"/>
      <c r="MAQ90" s="61"/>
      <c r="MAR90" s="61"/>
      <c r="MAS90" s="62"/>
      <c r="MAT90" s="53"/>
      <c r="MAU90" s="60"/>
      <c r="MAV90" s="60"/>
      <c r="MAW90" s="61"/>
      <c r="MAX90" s="61"/>
      <c r="MAY90" s="61"/>
      <c r="MAZ90" s="61"/>
      <c r="MBA90" s="62"/>
      <c r="MBB90" s="53"/>
      <c r="MBC90" s="60"/>
      <c r="MBD90" s="60"/>
      <c r="MBE90" s="61"/>
      <c r="MBF90" s="61"/>
      <c r="MBG90" s="61"/>
      <c r="MBH90" s="61"/>
      <c r="MBI90" s="62"/>
      <c r="MBJ90" s="53"/>
      <c r="MBK90" s="60"/>
      <c r="MBL90" s="60"/>
      <c r="MBM90" s="61"/>
      <c r="MBN90" s="61"/>
      <c r="MBO90" s="61"/>
      <c r="MBP90" s="61"/>
      <c r="MBQ90" s="62"/>
      <c r="MBR90" s="53"/>
      <c r="MBS90" s="60"/>
      <c r="MBT90" s="60"/>
      <c r="MBU90" s="61"/>
      <c r="MBV90" s="61"/>
      <c r="MBW90" s="61"/>
      <c r="MBX90" s="61"/>
      <c r="MBY90" s="62"/>
      <c r="MBZ90" s="53"/>
      <c r="MCA90" s="60"/>
      <c r="MCB90" s="60"/>
      <c r="MCC90" s="61"/>
      <c r="MCD90" s="61"/>
      <c r="MCE90" s="61"/>
      <c r="MCF90" s="61"/>
      <c r="MCG90" s="62"/>
      <c r="MCH90" s="53"/>
      <c r="MCI90" s="60"/>
      <c r="MCJ90" s="60"/>
      <c r="MCK90" s="61"/>
      <c r="MCL90" s="61"/>
      <c r="MCM90" s="61"/>
      <c r="MCN90" s="61"/>
      <c r="MCO90" s="62"/>
      <c r="MCP90" s="53"/>
      <c r="MCQ90" s="60"/>
      <c r="MCR90" s="60"/>
      <c r="MCS90" s="61"/>
      <c r="MCT90" s="61"/>
      <c r="MCU90" s="61"/>
      <c r="MCV90" s="61"/>
      <c r="MCW90" s="62"/>
      <c r="MCX90" s="53"/>
      <c r="MCY90" s="60"/>
      <c r="MCZ90" s="60"/>
      <c r="MDA90" s="61"/>
      <c r="MDB90" s="61"/>
      <c r="MDC90" s="61"/>
      <c r="MDD90" s="61"/>
      <c r="MDE90" s="62"/>
      <c r="MDF90" s="53"/>
      <c r="MDG90" s="60"/>
      <c r="MDH90" s="60"/>
      <c r="MDI90" s="61"/>
      <c r="MDJ90" s="61"/>
      <c r="MDK90" s="61"/>
      <c r="MDL90" s="61"/>
      <c r="MDM90" s="62"/>
      <c r="MDN90" s="53"/>
      <c r="MDO90" s="60"/>
      <c r="MDP90" s="60"/>
      <c r="MDQ90" s="61"/>
      <c r="MDR90" s="61"/>
      <c r="MDS90" s="61"/>
      <c r="MDT90" s="61"/>
      <c r="MDU90" s="62"/>
      <c r="MDV90" s="53"/>
      <c r="MDW90" s="60"/>
      <c r="MDX90" s="60"/>
      <c r="MDY90" s="61"/>
      <c r="MDZ90" s="61"/>
      <c r="MEA90" s="61"/>
      <c r="MEB90" s="61"/>
      <c r="MEC90" s="62"/>
      <c r="MED90" s="53"/>
      <c r="MEE90" s="60"/>
      <c r="MEF90" s="60"/>
      <c r="MEG90" s="61"/>
      <c r="MEH90" s="61"/>
      <c r="MEI90" s="61"/>
      <c r="MEJ90" s="61"/>
      <c r="MEK90" s="62"/>
      <c r="MEL90" s="53"/>
      <c r="MEM90" s="60"/>
      <c r="MEN90" s="60"/>
      <c r="MEO90" s="61"/>
      <c r="MEP90" s="61"/>
      <c r="MEQ90" s="61"/>
      <c r="MER90" s="61"/>
      <c r="MES90" s="62"/>
      <c r="MET90" s="53"/>
      <c r="MEU90" s="60"/>
      <c r="MEV90" s="60"/>
      <c r="MEW90" s="61"/>
      <c r="MEX90" s="61"/>
      <c r="MEY90" s="61"/>
      <c r="MEZ90" s="61"/>
      <c r="MFA90" s="62"/>
      <c r="MFB90" s="53"/>
      <c r="MFC90" s="60"/>
      <c r="MFD90" s="60"/>
      <c r="MFE90" s="61"/>
      <c r="MFF90" s="61"/>
      <c r="MFG90" s="61"/>
      <c r="MFH90" s="61"/>
      <c r="MFI90" s="62"/>
      <c r="MFJ90" s="53"/>
      <c r="MFK90" s="60"/>
      <c r="MFL90" s="60"/>
      <c r="MFM90" s="61"/>
      <c r="MFN90" s="61"/>
      <c r="MFO90" s="61"/>
      <c r="MFP90" s="61"/>
      <c r="MFQ90" s="62"/>
      <c r="MFR90" s="53"/>
      <c r="MFS90" s="60"/>
      <c r="MFT90" s="60"/>
      <c r="MFU90" s="61"/>
      <c r="MFV90" s="61"/>
      <c r="MFW90" s="61"/>
      <c r="MFX90" s="61"/>
      <c r="MFY90" s="62"/>
      <c r="MFZ90" s="53"/>
      <c r="MGA90" s="60"/>
      <c r="MGB90" s="60"/>
      <c r="MGC90" s="61"/>
      <c r="MGD90" s="61"/>
      <c r="MGE90" s="61"/>
      <c r="MGF90" s="61"/>
      <c r="MGG90" s="62"/>
      <c r="MGH90" s="53"/>
      <c r="MGI90" s="60"/>
      <c r="MGJ90" s="60"/>
      <c r="MGK90" s="61"/>
      <c r="MGL90" s="61"/>
      <c r="MGM90" s="61"/>
      <c r="MGN90" s="61"/>
      <c r="MGO90" s="62"/>
      <c r="MGP90" s="53"/>
      <c r="MGQ90" s="60"/>
      <c r="MGR90" s="60"/>
      <c r="MGS90" s="61"/>
      <c r="MGT90" s="61"/>
      <c r="MGU90" s="61"/>
      <c r="MGV90" s="61"/>
      <c r="MGW90" s="62"/>
      <c r="MGX90" s="53"/>
      <c r="MGY90" s="60"/>
      <c r="MGZ90" s="60"/>
      <c r="MHA90" s="61"/>
      <c r="MHB90" s="61"/>
      <c r="MHC90" s="61"/>
      <c r="MHD90" s="61"/>
      <c r="MHE90" s="62"/>
      <c r="MHF90" s="53"/>
      <c r="MHG90" s="60"/>
      <c r="MHH90" s="60"/>
      <c r="MHI90" s="61"/>
      <c r="MHJ90" s="61"/>
      <c r="MHK90" s="61"/>
      <c r="MHL90" s="61"/>
      <c r="MHM90" s="62"/>
      <c r="MHN90" s="53"/>
      <c r="MHO90" s="60"/>
      <c r="MHP90" s="60"/>
      <c r="MHQ90" s="61"/>
      <c r="MHR90" s="61"/>
      <c r="MHS90" s="61"/>
      <c r="MHT90" s="61"/>
      <c r="MHU90" s="62"/>
      <c r="MHV90" s="53"/>
      <c r="MHW90" s="60"/>
      <c r="MHX90" s="60"/>
      <c r="MHY90" s="61"/>
      <c r="MHZ90" s="61"/>
      <c r="MIA90" s="61"/>
      <c r="MIB90" s="61"/>
      <c r="MIC90" s="62"/>
      <c r="MID90" s="53"/>
      <c r="MIE90" s="60"/>
      <c r="MIF90" s="60"/>
      <c r="MIG90" s="61"/>
      <c r="MIH90" s="61"/>
      <c r="MII90" s="61"/>
      <c r="MIJ90" s="61"/>
      <c r="MIK90" s="62"/>
      <c r="MIL90" s="53"/>
      <c r="MIM90" s="60"/>
      <c r="MIN90" s="60"/>
      <c r="MIO90" s="61"/>
      <c r="MIP90" s="61"/>
      <c r="MIQ90" s="61"/>
      <c r="MIR90" s="61"/>
      <c r="MIS90" s="62"/>
      <c r="MIT90" s="53"/>
      <c r="MIU90" s="60"/>
      <c r="MIV90" s="60"/>
      <c r="MIW90" s="61"/>
      <c r="MIX90" s="61"/>
      <c r="MIY90" s="61"/>
      <c r="MIZ90" s="61"/>
      <c r="MJA90" s="62"/>
      <c r="MJB90" s="53"/>
      <c r="MJC90" s="60"/>
      <c r="MJD90" s="60"/>
      <c r="MJE90" s="61"/>
      <c r="MJF90" s="61"/>
      <c r="MJG90" s="61"/>
      <c r="MJH90" s="61"/>
      <c r="MJI90" s="62"/>
      <c r="MJJ90" s="53"/>
      <c r="MJK90" s="60"/>
      <c r="MJL90" s="60"/>
      <c r="MJM90" s="61"/>
      <c r="MJN90" s="61"/>
      <c r="MJO90" s="61"/>
      <c r="MJP90" s="61"/>
      <c r="MJQ90" s="62"/>
      <c r="MJR90" s="53"/>
      <c r="MJS90" s="60"/>
      <c r="MJT90" s="60"/>
      <c r="MJU90" s="61"/>
      <c r="MJV90" s="61"/>
      <c r="MJW90" s="61"/>
      <c r="MJX90" s="61"/>
      <c r="MJY90" s="62"/>
      <c r="MJZ90" s="53"/>
      <c r="MKA90" s="60"/>
      <c r="MKB90" s="60"/>
      <c r="MKC90" s="61"/>
      <c r="MKD90" s="61"/>
      <c r="MKE90" s="61"/>
      <c r="MKF90" s="61"/>
      <c r="MKG90" s="62"/>
      <c r="MKH90" s="53"/>
      <c r="MKI90" s="60"/>
      <c r="MKJ90" s="60"/>
      <c r="MKK90" s="61"/>
      <c r="MKL90" s="61"/>
      <c r="MKM90" s="61"/>
      <c r="MKN90" s="61"/>
      <c r="MKO90" s="62"/>
      <c r="MKP90" s="53"/>
      <c r="MKQ90" s="60"/>
      <c r="MKR90" s="60"/>
      <c r="MKS90" s="61"/>
      <c r="MKT90" s="61"/>
      <c r="MKU90" s="61"/>
      <c r="MKV90" s="61"/>
      <c r="MKW90" s="62"/>
      <c r="MKX90" s="53"/>
      <c r="MKY90" s="60"/>
      <c r="MKZ90" s="60"/>
      <c r="MLA90" s="61"/>
      <c r="MLB90" s="61"/>
      <c r="MLC90" s="61"/>
      <c r="MLD90" s="61"/>
      <c r="MLE90" s="62"/>
      <c r="MLF90" s="53"/>
      <c r="MLG90" s="60"/>
      <c r="MLH90" s="60"/>
      <c r="MLI90" s="61"/>
      <c r="MLJ90" s="61"/>
      <c r="MLK90" s="61"/>
      <c r="MLL90" s="61"/>
      <c r="MLM90" s="62"/>
      <c r="MLN90" s="53"/>
      <c r="MLO90" s="60"/>
      <c r="MLP90" s="60"/>
      <c r="MLQ90" s="61"/>
      <c r="MLR90" s="61"/>
      <c r="MLS90" s="61"/>
      <c r="MLT90" s="61"/>
      <c r="MLU90" s="62"/>
      <c r="MLV90" s="53"/>
      <c r="MLW90" s="60"/>
      <c r="MLX90" s="60"/>
      <c r="MLY90" s="61"/>
      <c r="MLZ90" s="61"/>
      <c r="MMA90" s="61"/>
      <c r="MMB90" s="61"/>
      <c r="MMC90" s="62"/>
      <c r="MMD90" s="53"/>
      <c r="MME90" s="60"/>
      <c r="MMF90" s="60"/>
      <c r="MMG90" s="61"/>
      <c r="MMH90" s="61"/>
      <c r="MMI90" s="61"/>
      <c r="MMJ90" s="61"/>
      <c r="MMK90" s="62"/>
      <c r="MML90" s="53"/>
      <c r="MMM90" s="60"/>
      <c r="MMN90" s="60"/>
      <c r="MMO90" s="61"/>
      <c r="MMP90" s="61"/>
      <c r="MMQ90" s="61"/>
      <c r="MMR90" s="61"/>
      <c r="MMS90" s="62"/>
      <c r="MMT90" s="53"/>
      <c r="MMU90" s="60"/>
      <c r="MMV90" s="60"/>
      <c r="MMW90" s="61"/>
      <c r="MMX90" s="61"/>
      <c r="MMY90" s="61"/>
      <c r="MMZ90" s="61"/>
      <c r="MNA90" s="62"/>
      <c r="MNB90" s="53"/>
      <c r="MNC90" s="60"/>
      <c r="MND90" s="60"/>
      <c r="MNE90" s="61"/>
      <c r="MNF90" s="61"/>
      <c r="MNG90" s="61"/>
      <c r="MNH90" s="61"/>
      <c r="MNI90" s="62"/>
      <c r="MNJ90" s="53"/>
      <c r="MNK90" s="60"/>
      <c r="MNL90" s="60"/>
      <c r="MNM90" s="61"/>
      <c r="MNN90" s="61"/>
      <c r="MNO90" s="61"/>
      <c r="MNP90" s="61"/>
      <c r="MNQ90" s="62"/>
      <c r="MNR90" s="53"/>
      <c r="MNS90" s="60"/>
      <c r="MNT90" s="60"/>
      <c r="MNU90" s="61"/>
      <c r="MNV90" s="61"/>
      <c r="MNW90" s="61"/>
      <c r="MNX90" s="61"/>
      <c r="MNY90" s="62"/>
      <c r="MNZ90" s="53"/>
      <c r="MOA90" s="60"/>
      <c r="MOB90" s="60"/>
      <c r="MOC90" s="61"/>
      <c r="MOD90" s="61"/>
      <c r="MOE90" s="61"/>
      <c r="MOF90" s="61"/>
      <c r="MOG90" s="62"/>
      <c r="MOH90" s="53"/>
      <c r="MOI90" s="60"/>
      <c r="MOJ90" s="60"/>
      <c r="MOK90" s="61"/>
      <c r="MOL90" s="61"/>
      <c r="MOM90" s="61"/>
      <c r="MON90" s="61"/>
      <c r="MOO90" s="62"/>
      <c r="MOP90" s="53"/>
      <c r="MOQ90" s="60"/>
      <c r="MOR90" s="60"/>
      <c r="MOS90" s="61"/>
      <c r="MOT90" s="61"/>
      <c r="MOU90" s="61"/>
      <c r="MOV90" s="61"/>
      <c r="MOW90" s="62"/>
      <c r="MOX90" s="53"/>
      <c r="MOY90" s="60"/>
      <c r="MOZ90" s="60"/>
      <c r="MPA90" s="61"/>
      <c r="MPB90" s="61"/>
      <c r="MPC90" s="61"/>
      <c r="MPD90" s="61"/>
      <c r="MPE90" s="62"/>
      <c r="MPF90" s="53"/>
      <c r="MPG90" s="60"/>
      <c r="MPH90" s="60"/>
      <c r="MPI90" s="61"/>
      <c r="MPJ90" s="61"/>
      <c r="MPK90" s="61"/>
      <c r="MPL90" s="61"/>
      <c r="MPM90" s="62"/>
      <c r="MPN90" s="53"/>
      <c r="MPO90" s="60"/>
      <c r="MPP90" s="60"/>
      <c r="MPQ90" s="61"/>
      <c r="MPR90" s="61"/>
      <c r="MPS90" s="61"/>
      <c r="MPT90" s="61"/>
      <c r="MPU90" s="62"/>
      <c r="MPV90" s="53"/>
      <c r="MPW90" s="60"/>
      <c r="MPX90" s="60"/>
      <c r="MPY90" s="61"/>
      <c r="MPZ90" s="61"/>
      <c r="MQA90" s="61"/>
      <c r="MQB90" s="61"/>
      <c r="MQC90" s="62"/>
      <c r="MQD90" s="53"/>
      <c r="MQE90" s="60"/>
      <c r="MQF90" s="60"/>
      <c r="MQG90" s="61"/>
      <c r="MQH90" s="61"/>
      <c r="MQI90" s="61"/>
      <c r="MQJ90" s="61"/>
      <c r="MQK90" s="62"/>
      <c r="MQL90" s="53"/>
      <c r="MQM90" s="60"/>
      <c r="MQN90" s="60"/>
      <c r="MQO90" s="61"/>
      <c r="MQP90" s="61"/>
      <c r="MQQ90" s="61"/>
      <c r="MQR90" s="61"/>
      <c r="MQS90" s="62"/>
      <c r="MQT90" s="53"/>
      <c r="MQU90" s="60"/>
      <c r="MQV90" s="60"/>
      <c r="MQW90" s="61"/>
      <c r="MQX90" s="61"/>
      <c r="MQY90" s="61"/>
      <c r="MQZ90" s="61"/>
      <c r="MRA90" s="62"/>
      <c r="MRB90" s="53"/>
      <c r="MRC90" s="60"/>
      <c r="MRD90" s="60"/>
      <c r="MRE90" s="61"/>
      <c r="MRF90" s="61"/>
      <c r="MRG90" s="61"/>
      <c r="MRH90" s="61"/>
      <c r="MRI90" s="62"/>
      <c r="MRJ90" s="53"/>
      <c r="MRK90" s="60"/>
      <c r="MRL90" s="60"/>
      <c r="MRM90" s="61"/>
      <c r="MRN90" s="61"/>
      <c r="MRO90" s="61"/>
      <c r="MRP90" s="61"/>
      <c r="MRQ90" s="62"/>
      <c r="MRR90" s="53"/>
      <c r="MRS90" s="60"/>
      <c r="MRT90" s="60"/>
      <c r="MRU90" s="61"/>
      <c r="MRV90" s="61"/>
      <c r="MRW90" s="61"/>
      <c r="MRX90" s="61"/>
      <c r="MRY90" s="62"/>
      <c r="MRZ90" s="53"/>
      <c r="MSA90" s="60"/>
      <c r="MSB90" s="60"/>
      <c r="MSC90" s="61"/>
      <c r="MSD90" s="61"/>
      <c r="MSE90" s="61"/>
      <c r="MSF90" s="61"/>
      <c r="MSG90" s="62"/>
      <c r="MSH90" s="53"/>
      <c r="MSI90" s="60"/>
      <c r="MSJ90" s="60"/>
      <c r="MSK90" s="61"/>
      <c r="MSL90" s="61"/>
      <c r="MSM90" s="61"/>
      <c r="MSN90" s="61"/>
      <c r="MSO90" s="62"/>
      <c r="MSP90" s="53"/>
      <c r="MSQ90" s="60"/>
      <c r="MSR90" s="60"/>
      <c r="MSS90" s="61"/>
      <c r="MST90" s="61"/>
      <c r="MSU90" s="61"/>
      <c r="MSV90" s="61"/>
      <c r="MSW90" s="62"/>
      <c r="MSX90" s="53"/>
      <c r="MSY90" s="60"/>
      <c r="MSZ90" s="60"/>
      <c r="MTA90" s="61"/>
      <c r="MTB90" s="61"/>
      <c r="MTC90" s="61"/>
      <c r="MTD90" s="61"/>
      <c r="MTE90" s="62"/>
      <c r="MTF90" s="53"/>
      <c r="MTG90" s="60"/>
      <c r="MTH90" s="60"/>
      <c r="MTI90" s="61"/>
      <c r="MTJ90" s="61"/>
      <c r="MTK90" s="61"/>
      <c r="MTL90" s="61"/>
      <c r="MTM90" s="62"/>
      <c r="MTN90" s="53"/>
      <c r="MTO90" s="60"/>
      <c r="MTP90" s="60"/>
      <c r="MTQ90" s="61"/>
      <c r="MTR90" s="61"/>
      <c r="MTS90" s="61"/>
      <c r="MTT90" s="61"/>
      <c r="MTU90" s="62"/>
      <c r="MTV90" s="53"/>
      <c r="MTW90" s="60"/>
      <c r="MTX90" s="60"/>
      <c r="MTY90" s="61"/>
      <c r="MTZ90" s="61"/>
      <c r="MUA90" s="61"/>
      <c r="MUB90" s="61"/>
      <c r="MUC90" s="62"/>
      <c r="MUD90" s="53"/>
      <c r="MUE90" s="60"/>
      <c r="MUF90" s="60"/>
      <c r="MUG90" s="61"/>
      <c r="MUH90" s="61"/>
      <c r="MUI90" s="61"/>
      <c r="MUJ90" s="61"/>
      <c r="MUK90" s="62"/>
      <c r="MUL90" s="53"/>
      <c r="MUM90" s="60"/>
      <c r="MUN90" s="60"/>
      <c r="MUO90" s="61"/>
      <c r="MUP90" s="61"/>
      <c r="MUQ90" s="61"/>
      <c r="MUR90" s="61"/>
      <c r="MUS90" s="62"/>
      <c r="MUT90" s="53"/>
      <c r="MUU90" s="60"/>
      <c r="MUV90" s="60"/>
      <c r="MUW90" s="61"/>
      <c r="MUX90" s="61"/>
      <c r="MUY90" s="61"/>
      <c r="MUZ90" s="61"/>
      <c r="MVA90" s="62"/>
      <c r="MVB90" s="53"/>
      <c r="MVC90" s="60"/>
      <c r="MVD90" s="60"/>
      <c r="MVE90" s="61"/>
      <c r="MVF90" s="61"/>
      <c r="MVG90" s="61"/>
      <c r="MVH90" s="61"/>
      <c r="MVI90" s="62"/>
      <c r="MVJ90" s="53"/>
      <c r="MVK90" s="60"/>
      <c r="MVL90" s="60"/>
      <c r="MVM90" s="61"/>
      <c r="MVN90" s="61"/>
      <c r="MVO90" s="61"/>
      <c r="MVP90" s="61"/>
      <c r="MVQ90" s="62"/>
      <c r="MVR90" s="53"/>
      <c r="MVS90" s="60"/>
      <c r="MVT90" s="60"/>
      <c r="MVU90" s="61"/>
      <c r="MVV90" s="61"/>
      <c r="MVW90" s="61"/>
      <c r="MVX90" s="61"/>
      <c r="MVY90" s="62"/>
      <c r="MVZ90" s="53"/>
      <c r="MWA90" s="60"/>
      <c r="MWB90" s="60"/>
      <c r="MWC90" s="61"/>
      <c r="MWD90" s="61"/>
      <c r="MWE90" s="61"/>
      <c r="MWF90" s="61"/>
      <c r="MWG90" s="62"/>
      <c r="MWH90" s="53"/>
      <c r="MWI90" s="60"/>
      <c r="MWJ90" s="60"/>
      <c r="MWK90" s="61"/>
      <c r="MWL90" s="61"/>
      <c r="MWM90" s="61"/>
      <c r="MWN90" s="61"/>
      <c r="MWO90" s="62"/>
      <c r="MWP90" s="53"/>
      <c r="MWQ90" s="60"/>
      <c r="MWR90" s="60"/>
      <c r="MWS90" s="61"/>
      <c r="MWT90" s="61"/>
      <c r="MWU90" s="61"/>
      <c r="MWV90" s="61"/>
      <c r="MWW90" s="62"/>
      <c r="MWX90" s="53"/>
      <c r="MWY90" s="60"/>
      <c r="MWZ90" s="60"/>
      <c r="MXA90" s="61"/>
      <c r="MXB90" s="61"/>
      <c r="MXC90" s="61"/>
      <c r="MXD90" s="61"/>
      <c r="MXE90" s="62"/>
      <c r="MXF90" s="53"/>
      <c r="MXG90" s="60"/>
      <c r="MXH90" s="60"/>
      <c r="MXI90" s="61"/>
      <c r="MXJ90" s="61"/>
      <c r="MXK90" s="61"/>
      <c r="MXL90" s="61"/>
      <c r="MXM90" s="62"/>
      <c r="MXN90" s="53"/>
      <c r="MXO90" s="60"/>
      <c r="MXP90" s="60"/>
      <c r="MXQ90" s="61"/>
      <c r="MXR90" s="61"/>
      <c r="MXS90" s="61"/>
      <c r="MXT90" s="61"/>
      <c r="MXU90" s="62"/>
      <c r="MXV90" s="53"/>
      <c r="MXW90" s="60"/>
      <c r="MXX90" s="60"/>
      <c r="MXY90" s="61"/>
      <c r="MXZ90" s="61"/>
      <c r="MYA90" s="61"/>
      <c r="MYB90" s="61"/>
      <c r="MYC90" s="62"/>
      <c r="MYD90" s="53"/>
      <c r="MYE90" s="60"/>
      <c r="MYF90" s="60"/>
      <c r="MYG90" s="61"/>
      <c r="MYH90" s="61"/>
      <c r="MYI90" s="61"/>
      <c r="MYJ90" s="61"/>
      <c r="MYK90" s="62"/>
      <c r="MYL90" s="53"/>
      <c r="MYM90" s="60"/>
      <c r="MYN90" s="60"/>
      <c r="MYO90" s="61"/>
      <c r="MYP90" s="61"/>
      <c r="MYQ90" s="61"/>
      <c r="MYR90" s="61"/>
      <c r="MYS90" s="62"/>
      <c r="MYT90" s="53"/>
      <c r="MYU90" s="60"/>
      <c r="MYV90" s="60"/>
      <c r="MYW90" s="61"/>
      <c r="MYX90" s="61"/>
      <c r="MYY90" s="61"/>
      <c r="MYZ90" s="61"/>
      <c r="MZA90" s="62"/>
      <c r="MZB90" s="53"/>
      <c r="MZC90" s="60"/>
      <c r="MZD90" s="60"/>
      <c r="MZE90" s="61"/>
      <c r="MZF90" s="61"/>
      <c r="MZG90" s="61"/>
      <c r="MZH90" s="61"/>
      <c r="MZI90" s="62"/>
      <c r="MZJ90" s="53"/>
      <c r="MZK90" s="60"/>
      <c r="MZL90" s="60"/>
      <c r="MZM90" s="61"/>
      <c r="MZN90" s="61"/>
      <c r="MZO90" s="61"/>
      <c r="MZP90" s="61"/>
      <c r="MZQ90" s="62"/>
      <c r="MZR90" s="53"/>
      <c r="MZS90" s="60"/>
      <c r="MZT90" s="60"/>
      <c r="MZU90" s="61"/>
      <c r="MZV90" s="61"/>
      <c r="MZW90" s="61"/>
      <c r="MZX90" s="61"/>
      <c r="MZY90" s="62"/>
      <c r="MZZ90" s="53"/>
      <c r="NAA90" s="60"/>
      <c r="NAB90" s="60"/>
      <c r="NAC90" s="61"/>
      <c r="NAD90" s="61"/>
      <c r="NAE90" s="61"/>
      <c r="NAF90" s="61"/>
      <c r="NAG90" s="62"/>
      <c r="NAH90" s="53"/>
      <c r="NAI90" s="60"/>
      <c r="NAJ90" s="60"/>
      <c r="NAK90" s="61"/>
      <c r="NAL90" s="61"/>
      <c r="NAM90" s="61"/>
      <c r="NAN90" s="61"/>
      <c r="NAO90" s="62"/>
      <c r="NAP90" s="53"/>
      <c r="NAQ90" s="60"/>
      <c r="NAR90" s="60"/>
      <c r="NAS90" s="61"/>
      <c r="NAT90" s="61"/>
      <c r="NAU90" s="61"/>
      <c r="NAV90" s="61"/>
      <c r="NAW90" s="62"/>
      <c r="NAX90" s="53"/>
      <c r="NAY90" s="60"/>
      <c r="NAZ90" s="60"/>
      <c r="NBA90" s="61"/>
      <c r="NBB90" s="61"/>
      <c r="NBC90" s="61"/>
      <c r="NBD90" s="61"/>
      <c r="NBE90" s="62"/>
      <c r="NBF90" s="53"/>
      <c r="NBG90" s="60"/>
      <c r="NBH90" s="60"/>
      <c r="NBI90" s="61"/>
      <c r="NBJ90" s="61"/>
      <c r="NBK90" s="61"/>
      <c r="NBL90" s="61"/>
      <c r="NBM90" s="62"/>
      <c r="NBN90" s="53"/>
      <c r="NBO90" s="60"/>
      <c r="NBP90" s="60"/>
      <c r="NBQ90" s="61"/>
      <c r="NBR90" s="61"/>
      <c r="NBS90" s="61"/>
      <c r="NBT90" s="61"/>
      <c r="NBU90" s="62"/>
      <c r="NBV90" s="53"/>
      <c r="NBW90" s="60"/>
      <c r="NBX90" s="60"/>
      <c r="NBY90" s="61"/>
      <c r="NBZ90" s="61"/>
      <c r="NCA90" s="61"/>
      <c r="NCB90" s="61"/>
      <c r="NCC90" s="62"/>
      <c r="NCD90" s="53"/>
      <c r="NCE90" s="60"/>
      <c r="NCF90" s="60"/>
      <c r="NCG90" s="61"/>
      <c r="NCH90" s="61"/>
      <c r="NCI90" s="61"/>
      <c r="NCJ90" s="61"/>
      <c r="NCK90" s="62"/>
      <c r="NCL90" s="53"/>
      <c r="NCM90" s="60"/>
      <c r="NCN90" s="60"/>
      <c r="NCO90" s="61"/>
      <c r="NCP90" s="61"/>
      <c r="NCQ90" s="61"/>
      <c r="NCR90" s="61"/>
      <c r="NCS90" s="62"/>
      <c r="NCT90" s="53"/>
      <c r="NCU90" s="60"/>
      <c r="NCV90" s="60"/>
      <c r="NCW90" s="61"/>
      <c r="NCX90" s="61"/>
      <c r="NCY90" s="61"/>
      <c r="NCZ90" s="61"/>
      <c r="NDA90" s="62"/>
      <c r="NDB90" s="53"/>
      <c r="NDC90" s="60"/>
      <c r="NDD90" s="60"/>
      <c r="NDE90" s="61"/>
      <c r="NDF90" s="61"/>
      <c r="NDG90" s="61"/>
      <c r="NDH90" s="61"/>
      <c r="NDI90" s="62"/>
      <c r="NDJ90" s="53"/>
      <c r="NDK90" s="60"/>
      <c r="NDL90" s="60"/>
      <c r="NDM90" s="61"/>
      <c r="NDN90" s="61"/>
      <c r="NDO90" s="61"/>
      <c r="NDP90" s="61"/>
      <c r="NDQ90" s="62"/>
      <c r="NDR90" s="53"/>
      <c r="NDS90" s="60"/>
      <c r="NDT90" s="60"/>
      <c r="NDU90" s="61"/>
      <c r="NDV90" s="61"/>
      <c r="NDW90" s="61"/>
      <c r="NDX90" s="61"/>
      <c r="NDY90" s="62"/>
      <c r="NDZ90" s="53"/>
      <c r="NEA90" s="60"/>
      <c r="NEB90" s="60"/>
      <c r="NEC90" s="61"/>
      <c r="NED90" s="61"/>
      <c r="NEE90" s="61"/>
      <c r="NEF90" s="61"/>
      <c r="NEG90" s="62"/>
      <c r="NEH90" s="53"/>
      <c r="NEI90" s="60"/>
      <c r="NEJ90" s="60"/>
      <c r="NEK90" s="61"/>
      <c r="NEL90" s="61"/>
      <c r="NEM90" s="61"/>
      <c r="NEN90" s="61"/>
      <c r="NEO90" s="62"/>
      <c r="NEP90" s="53"/>
      <c r="NEQ90" s="60"/>
      <c r="NER90" s="60"/>
      <c r="NES90" s="61"/>
      <c r="NET90" s="61"/>
      <c r="NEU90" s="61"/>
      <c r="NEV90" s="61"/>
      <c r="NEW90" s="62"/>
      <c r="NEX90" s="53"/>
      <c r="NEY90" s="60"/>
      <c r="NEZ90" s="60"/>
      <c r="NFA90" s="61"/>
      <c r="NFB90" s="61"/>
      <c r="NFC90" s="61"/>
      <c r="NFD90" s="61"/>
      <c r="NFE90" s="62"/>
      <c r="NFF90" s="53"/>
      <c r="NFG90" s="60"/>
      <c r="NFH90" s="60"/>
      <c r="NFI90" s="61"/>
      <c r="NFJ90" s="61"/>
      <c r="NFK90" s="61"/>
      <c r="NFL90" s="61"/>
      <c r="NFM90" s="62"/>
      <c r="NFN90" s="53"/>
      <c r="NFO90" s="60"/>
      <c r="NFP90" s="60"/>
      <c r="NFQ90" s="61"/>
      <c r="NFR90" s="61"/>
      <c r="NFS90" s="61"/>
      <c r="NFT90" s="61"/>
      <c r="NFU90" s="62"/>
      <c r="NFV90" s="53"/>
      <c r="NFW90" s="60"/>
      <c r="NFX90" s="60"/>
      <c r="NFY90" s="61"/>
      <c r="NFZ90" s="61"/>
      <c r="NGA90" s="61"/>
      <c r="NGB90" s="61"/>
      <c r="NGC90" s="62"/>
      <c r="NGD90" s="53"/>
      <c r="NGE90" s="60"/>
      <c r="NGF90" s="60"/>
      <c r="NGG90" s="61"/>
      <c r="NGH90" s="61"/>
      <c r="NGI90" s="61"/>
      <c r="NGJ90" s="61"/>
      <c r="NGK90" s="62"/>
      <c r="NGL90" s="53"/>
      <c r="NGM90" s="60"/>
      <c r="NGN90" s="60"/>
      <c r="NGO90" s="61"/>
      <c r="NGP90" s="61"/>
      <c r="NGQ90" s="61"/>
      <c r="NGR90" s="61"/>
      <c r="NGS90" s="62"/>
      <c r="NGT90" s="53"/>
      <c r="NGU90" s="60"/>
      <c r="NGV90" s="60"/>
      <c r="NGW90" s="61"/>
      <c r="NGX90" s="61"/>
      <c r="NGY90" s="61"/>
      <c r="NGZ90" s="61"/>
      <c r="NHA90" s="62"/>
      <c r="NHB90" s="53"/>
      <c r="NHC90" s="60"/>
      <c r="NHD90" s="60"/>
      <c r="NHE90" s="61"/>
      <c r="NHF90" s="61"/>
      <c r="NHG90" s="61"/>
      <c r="NHH90" s="61"/>
      <c r="NHI90" s="62"/>
      <c r="NHJ90" s="53"/>
      <c r="NHK90" s="60"/>
      <c r="NHL90" s="60"/>
      <c r="NHM90" s="61"/>
      <c r="NHN90" s="61"/>
      <c r="NHO90" s="61"/>
      <c r="NHP90" s="61"/>
      <c r="NHQ90" s="62"/>
      <c r="NHR90" s="53"/>
      <c r="NHS90" s="60"/>
      <c r="NHT90" s="60"/>
      <c r="NHU90" s="61"/>
      <c r="NHV90" s="61"/>
      <c r="NHW90" s="61"/>
      <c r="NHX90" s="61"/>
      <c r="NHY90" s="62"/>
      <c r="NHZ90" s="53"/>
      <c r="NIA90" s="60"/>
      <c r="NIB90" s="60"/>
      <c r="NIC90" s="61"/>
      <c r="NID90" s="61"/>
      <c r="NIE90" s="61"/>
      <c r="NIF90" s="61"/>
      <c r="NIG90" s="62"/>
      <c r="NIH90" s="53"/>
      <c r="NII90" s="60"/>
      <c r="NIJ90" s="60"/>
      <c r="NIK90" s="61"/>
      <c r="NIL90" s="61"/>
      <c r="NIM90" s="61"/>
      <c r="NIN90" s="61"/>
      <c r="NIO90" s="62"/>
      <c r="NIP90" s="53"/>
      <c r="NIQ90" s="60"/>
      <c r="NIR90" s="60"/>
      <c r="NIS90" s="61"/>
      <c r="NIT90" s="61"/>
      <c r="NIU90" s="61"/>
      <c r="NIV90" s="61"/>
      <c r="NIW90" s="62"/>
      <c r="NIX90" s="53"/>
      <c r="NIY90" s="60"/>
      <c r="NIZ90" s="60"/>
      <c r="NJA90" s="61"/>
      <c r="NJB90" s="61"/>
      <c r="NJC90" s="61"/>
      <c r="NJD90" s="61"/>
      <c r="NJE90" s="62"/>
      <c r="NJF90" s="53"/>
      <c r="NJG90" s="60"/>
      <c r="NJH90" s="60"/>
      <c r="NJI90" s="61"/>
      <c r="NJJ90" s="61"/>
      <c r="NJK90" s="61"/>
      <c r="NJL90" s="61"/>
      <c r="NJM90" s="62"/>
      <c r="NJN90" s="53"/>
      <c r="NJO90" s="60"/>
      <c r="NJP90" s="60"/>
      <c r="NJQ90" s="61"/>
      <c r="NJR90" s="61"/>
      <c r="NJS90" s="61"/>
      <c r="NJT90" s="61"/>
      <c r="NJU90" s="62"/>
      <c r="NJV90" s="53"/>
      <c r="NJW90" s="60"/>
      <c r="NJX90" s="60"/>
      <c r="NJY90" s="61"/>
      <c r="NJZ90" s="61"/>
      <c r="NKA90" s="61"/>
      <c r="NKB90" s="61"/>
      <c r="NKC90" s="62"/>
      <c r="NKD90" s="53"/>
      <c r="NKE90" s="60"/>
      <c r="NKF90" s="60"/>
      <c r="NKG90" s="61"/>
      <c r="NKH90" s="61"/>
      <c r="NKI90" s="61"/>
      <c r="NKJ90" s="61"/>
      <c r="NKK90" s="62"/>
      <c r="NKL90" s="53"/>
      <c r="NKM90" s="60"/>
      <c r="NKN90" s="60"/>
      <c r="NKO90" s="61"/>
      <c r="NKP90" s="61"/>
      <c r="NKQ90" s="61"/>
      <c r="NKR90" s="61"/>
      <c r="NKS90" s="62"/>
      <c r="NKT90" s="53"/>
      <c r="NKU90" s="60"/>
      <c r="NKV90" s="60"/>
      <c r="NKW90" s="61"/>
      <c r="NKX90" s="61"/>
      <c r="NKY90" s="61"/>
      <c r="NKZ90" s="61"/>
      <c r="NLA90" s="62"/>
      <c r="NLB90" s="53"/>
      <c r="NLC90" s="60"/>
      <c r="NLD90" s="60"/>
      <c r="NLE90" s="61"/>
      <c r="NLF90" s="61"/>
      <c r="NLG90" s="61"/>
      <c r="NLH90" s="61"/>
      <c r="NLI90" s="62"/>
      <c r="NLJ90" s="53"/>
      <c r="NLK90" s="60"/>
      <c r="NLL90" s="60"/>
      <c r="NLM90" s="61"/>
      <c r="NLN90" s="61"/>
      <c r="NLO90" s="61"/>
      <c r="NLP90" s="61"/>
      <c r="NLQ90" s="62"/>
      <c r="NLR90" s="53"/>
      <c r="NLS90" s="60"/>
      <c r="NLT90" s="60"/>
      <c r="NLU90" s="61"/>
      <c r="NLV90" s="61"/>
      <c r="NLW90" s="61"/>
      <c r="NLX90" s="61"/>
      <c r="NLY90" s="62"/>
      <c r="NLZ90" s="53"/>
      <c r="NMA90" s="60"/>
      <c r="NMB90" s="60"/>
      <c r="NMC90" s="61"/>
      <c r="NMD90" s="61"/>
      <c r="NME90" s="61"/>
      <c r="NMF90" s="61"/>
      <c r="NMG90" s="62"/>
      <c r="NMH90" s="53"/>
      <c r="NMI90" s="60"/>
      <c r="NMJ90" s="60"/>
      <c r="NMK90" s="61"/>
      <c r="NML90" s="61"/>
      <c r="NMM90" s="61"/>
      <c r="NMN90" s="61"/>
      <c r="NMO90" s="62"/>
      <c r="NMP90" s="53"/>
      <c r="NMQ90" s="60"/>
      <c r="NMR90" s="60"/>
      <c r="NMS90" s="61"/>
      <c r="NMT90" s="61"/>
      <c r="NMU90" s="61"/>
      <c r="NMV90" s="61"/>
      <c r="NMW90" s="62"/>
      <c r="NMX90" s="53"/>
      <c r="NMY90" s="60"/>
      <c r="NMZ90" s="60"/>
      <c r="NNA90" s="61"/>
      <c r="NNB90" s="61"/>
      <c r="NNC90" s="61"/>
      <c r="NND90" s="61"/>
      <c r="NNE90" s="62"/>
      <c r="NNF90" s="53"/>
      <c r="NNG90" s="60"/>
      <c r="NNH90" s="60"/>
      <c r="NNI90" s="61"/>
      <c r="NNJ90" s="61"/>
      <c r="NNK90" s="61"/>
      <c r="NNL90" s="61"/>
      <c r="NNM90" s="62"/>
      <c r="NNN90" s="53"/>
      <c r="NNO90" s="60"/>
      <c r="NNP90" s="60"/>
      <c r="NNQ90" s="61"/>
      <c r="NNR90" s="61"/>
      <c r="NNS90" s="61"/>
      <c r="NNT90" s="61"/>
      <c r="NNU90" s="62"/>
      <c r="NNV90" s="53"/>
      <c r="NNW90" s="60"/>
      <c r="NNX90" s="60"/>
      <c r="NNY90" s="61"/>
      <c r="NNZ90" s="61"/>
      <c r="NOA90" s="61"/>
      <c r="NOB90" s="61"/>
      <c r="NOC90" s="62"/>
      <c r="NOD90" s="53"/>
      <c r="NOE90" s="60"/>
      <c r="NOF90" s="60"/>
      <c r="NOG90" s="61"/>
      <c r="NOH90" s="61"/>
      <c r="NOI90" s="61"/>
      <c r="NOJ90" s="61"/>
      <c r="NOK90" s="62"/>
      <c r="NOL90" s="53"/>
      <c r="NOM90" s="60"/>
      <c r="NON90" s="60"/>
      <c r="NOO90" s="61"/>
      <c r="NOP90" s="61"/>
      <c r="NOQ90" s="61"/>
      <c r="NOR90" s="61"/>
      <c r="NOS90" s="62"/>
      <c r="NOT90" s="53"/>
      <c r="NOU90" s="60"/>
      <c r="NOV90" s="60"/>
      <c r="NOW90" s="61"/>
      <c r="NOX90" s="61"/>
      <c r="NOY90" s="61"/>
      <c r="NOZ90" s="61"/>
      <c r="NPA90" s="62"/>
      <c r="NPB90" s="53"/>
      <c r="NPC90" s="60"/>
      <c r="NPD90" s="60"/>
      <c r="NPE90" s="61"/>
      <c r="NPF90" s="61"/>
      <c r="NPG90" s="61"/>
      <c r="NPH90" s="61"/>
      <c r="NPI90" s="62"/>
      <c r="NPJ90" s="53"/>
      <c r="NPK90" s="60"/>
      <c r="NPL90" s="60"/>
      <c r="NPM90" s="61"/>
      <c r="NPN90" s="61"/>
      <c r="NPO90" s="61"/>
      <c r="NPP90" s="61"/>
      <c r="NPQ90" s="62"/>
      <c r="NPR90" s="53"/>
      <c r="NPS90" s="60"/>
      <c r="NPT90" s="60"/>
      <c r="NPU90" s="61"/>
      <c r="NPV90" s="61"/>
      <c r="NPW90" s="61"/>
      <c r="NPX90" s="61"/>
      <c r="NPY90" s="62"/>
      <c r="NPZ90" s="53"/>
      <c r="NQA90" s="60"/>
      <c r="NQB90" s="60"/>
      <c r="NQC90" s="61"/>
      <c r="NQD90" s="61"/>
      <c r="NQE90" s="61"/>
      <c r="NQF90" s="61"/>
      <c r="NQG90" s="62"/>
      <c r="NQH90" s="53"/>
      <c r="NQI90" s="60"/>
      <c r="NQJ90" s="60"/>
      <c r="NQK90" s="61"/>
      <c r="NQL90" s="61"/>
      <c r="NQM90" s="61"/>
      <c r="NQN90" s="61"/>
      <c r="NQO90" s="62"/>
      <c r="NQP90" s="53"/>
      <c r="NQQ90" s="60"/>
      <c r="NQR90" s="60"/>
      <c r="NQS90" s="61"/>
      <c r="NQT90" s="61"/>
      <c r="NQU90" s="61"/>
      <c r="NQV90" s="61"/>
      <c r="NQW90" s="62"/>
      <c r="NQX90" s="53"/>
      <c r="NQY90" s="60"/>
      <c r="NQZ90" s="60"/>
      <c r="NRA90" s="61"/>
      <c r="NRB90" s="61"/>
      <c r="NRC90" s="61"/>
      <c r="NRD90" s="61"/>
      <c r="NRE90" s="62"/>
      <c r="NRF90" s="53"/>
      <c r="NRG90" s="60"/>
      <c r="NRH90" s="60"/>
      <c r="NRI90" s="61"/>
      <c r="NRJ90" s="61"/>
      <c r="NRK90" s="61"/>
      <c r="NRL90" s="61"/>
      <c r="NRM90" s="62"/>
      <c r="NRN90" s="53"/>
      <c r="NRO90" s="60"/>
      <c r="NRP90" s="60"/>
      <c r="NRQ90" s="61"/>
      <c r="NRR90" s="61"/>
      <c r="NRS90" s="61"/>
      <c r="NRT90" s="61"/>
      <c r="NRU90" s="62"/>
      <c r="NRV90" s="53"/>
      <c r="NRW90" s="60"/>
      <c r="NRX90" s="60"/>
      <c r="NRY90" s="61"/>
      <c r="NRZ90" s="61"/>
      <c r="NSA90" s="61"/>
      <c r="NSB90" s="61"/>
      <c r="NSC90" s="62"/>
      <c r="NSD90" s="53"/>
      <c r="NSE90" s="60"/>
      <c r="NSF90" s="60"/>
      <c r="NSG90" s="61"/>
      <c r="NSH90" s="61"/>
      <c r="NSI90" s="61"/>
      <c r="NSJ90" s="61"/>
      <c r="NSK90" s="62"/>
      <c r="NSL90" s="53"/>
      <c r="NSM90" s="60"/>
      <c r="NSN90" s="60"/>
      <c r="NSO90" s="61"/>
      <c r="NSP90" s="61"/>
      <c r="NSQ90" s="61"/>
      <c r="NSR90" s="61"/>
      <c r="NSS90" s="62"/>
      <c r="NST90" s="53"/>
      <c r="NSU90" s="60"/>
      <c r="NSV90" s="60"/>
      <c r="NSW90" s="61"/>
      <c r="NSX90" s="61"/>
      <c r="NSY90" s="61"/>
      <c r="NSZ90" s="61"/>
      <c r="NTA90" s="62"/>
      <c r="NTB90" s="53"/>
      <c r="NTC90" s="60"/>
      <c r="NTD90" s="60"/>
      <c r="NTE90" s="61"/>
      <c r="NTF90" s="61"/>
      <c r="NTG90" s="61"/>
      <c r="NTH90" s="61"/>
      <c r="NTI90" s="62"/>
      <c r="NTJ90" s="53"/>
      <c r="NTK90" s="60"/>
      <c r="NTL90" s="60"/>
      <c r="NTM90" s="61"/>
      <c r="NTN90" s="61"/>
      <c r="NTO90" s="61"/>
      <c r="NTP90" s="61"/>
      <c r="NTQ90" s="62"/>
      <c r="NTR90" s="53"/>
      <c r="NTS90" s="60"/>
      <c r="NTT90" s="60"/>
      <c r="NTU90" s="61"/>
      <c r="NTV90" s="61"/>
      <c r="NTW90" s="61"/>
      <c r="NTX90" s="61"/>
      <c r="NTY90" s="62"/>
      <c r="NTZ90" s="53"/>
      <c r="NUA90" s="60"/>
      <c r="NUB90" s="60"/>
      <c r="NUC90" s="61"/>
      <c r="NUD90" s="61"/>
      <c r="NUE90" s="61"/>
      <c r="NUF90" s="61"/>
      <c r="NUG90" s="62"/>
      <c r="NUH90" s="53"/>
      <c r="NUI90" s="60"/>
      <c r="NUJ90" s="60"/>
      <c r="NUK90" s="61"/>
      <c r="NUL90" s="61"/>
      <c r="NUM90" s="61"/>
      <c r="NUN90" s="61"/>
      <c r="NUO90" s="62"/>
      <c r="NUP90" s="53"/>
      <c r="NUQ90" s="60"/>
      <c r="NUR90" s="60"/>
      <c r="NUS90" s="61"/>
      <c r="NUT90" s="61"/>
      <c r="NUU90" s="61"/>
      <c r="NUV90" s="61"/>
      <c r="NUW90" s="62"/>
      <c r="NUX90" s="53"/>
      <c r="NUY90" s="60"/>
      <c r="NUZ90" s="60"/>
      <c r="NVA90" s="61"/>
      <c r="NVB90" s="61"/>
      <c r="NVC90" s="61"/>
      <c r="NVD90" s="61"/>
      <c r="NVE90" s="62"/>
      <c r="NVF90" s="53"/>
      <c r="NVG90" s="60"/>
      <c r="NVH90" s="60"/>
      <c r="NVI90" s="61"/>
      <c r="NVJ90" s="61"/>
      <c r="NVK90" s="61"/>
      <c r="NVL90" s="61"/>
      <c r="NVM90" s="62"/>
      <c r="NVN90" s="53"/>
      <c r="NVO90" s="60"/>
      <c r="NVP90" s="60"/>
      <c r="NVQ90" s="61"/>
      <c r="NVR90" s="61"/>
      <c r="NVS90" s="61"/>
      <c r="NVT90" s="61"/>
      <c r="NVU90" s="62"/>
      <c r="NVV90" s="53"/>
      <c r="NVW90" s="60"/>
      <c r="NVX90" s="60"/>
      <c r="NVY90" s="61"/>
      <c r="NVZ90" s="61"/>
      <c r="NWA90" s="61"/>
      <c r="NWB90" s="61"/>
      <c r="NWC90" s="62"/>
      <c r="NWD90" s="53"/>
      <c r="NWE90" s="60"/>
      <c r="NWF90" s="60"/>
      <c r="NWG90" s="61"/>
      <c r="NWH90" s="61"/>
      <c r="NWI90" s="61"/>
      <c r="NWJ90" s="61"/>
      <c r="NWK90" s="62"/>
      <c r="NWL90" s="53"/>
      <c r="NWM90" s="60"/>
      <c r="NWN90" s="60"/>
      <c r="NWO90" s="61"/>
      <c r="NWP90" s="61"/>
      <c r="NWQ90" s="61"/>
      <c r="NWR90" s="61"/>
      <c r="NWS90" s="62"/>
      <c r="NWT90" s="53"/>
      <c r="NWU90" s="60"/>
      <c r="NWV90" s="60"/>
      <c r="NWW90" s="61"/>
      <c r="NWX90" s="61"/>
      <c r="NWY90" s="61"/>
      <c r="NWZ90" s="61"/>
      <c r="NXA90" s="62"/>
      <c r="NXB90" s="53"/>
      <c r="NXC90" s="60"/>
      <c r="NXD90" s="60"/>
      <c r="NXE90" s="61"/>
      <c r="NXF90" s="61"/>
      <c r="NXG90" s="61"/>
      <c r="NXH90" s="61"/>
      <c r="NXI90" s="62"/>
      <c r="NXJ90" s="53"/>
      <c r="NXK90" s="60"/>
      <c r="NXL90" s="60"/>
      <c r="NXM90" s="61"/>
      <c r="NXN90" s="61"/>
      <c r="NXO90" s="61"/>
      <c r="NXP90" s="61"/>
      <c r="NXQ90" s="62"/>
      <c r="NXR90" s="53"/>
      <c r="NXS90" s="60"/>
      <c r="NXT90" s="60"/>
      <c r="NXU90" s="61"/>
      <c r="NXV90" s="61"/>
      <c r="NXW90" s="61"/>
      <c r="NXX90" s="61"/>
      <c r="NXY90" s="62"/>
      <c r="NXZ90" s="53"/>
      <c r="NYA90" s="60"/>
      <c r="NYB90" s="60"/>
      <c r="NYC90" s="61"/>
      <c r="NYD90" s="61"/>
      <c r="NYE90" s="61"/>
      <c r="NYF90" s="61"/>
      <c r="NYG90" s="62"/>
      <c r="NYH90" s="53"/>
      <c r="NYI90" s="60"/>
      <c r="NYJ90" s="60"/>
      <c r="NYK90" s="61"/>
      <c r="NYL90" s="61"/>
      <c r="NYM90" s="61"/>
      <c r="NYN90" s="61"/>
      <c r="NYO90" s="62"/>
      <c r="NYP90" s="53"/>
      <c r="NYQ90" s="60"/>
      <c r="NYR90" s="60"/>
      <c r="NYS90" s="61"/>
      <c r="NYT90" s="61"/>
      <c r="NYU90" s="61"/>
      <c r="NYV90" s="61"/>
      <c r="NYW90" s="62"/>
      <c r="NYX90" s="53"/>
      <c r="NYY90" s="60"/>
      <c r="NYZ90" s="60"/>
      <c r="NZA90" s="61"/>
      <c r="NZB90" s="61"/>
      <c r="NZC90" s="61"/>
      <c r="NZD90" s="61"/>
      <c r="NZE90" s="62"/>
      <c r="NZF90" s="53"/>
      <c r="NZG90" s="60"/>
      <c r="NZH90" s="60"/>
      <c r="NZI90" s="61"/>
      <c r="NZJ90" s="61"/>
      <c r="NZK90" s="61"/>
      <c r="NZL90" s="61"/>
      <c r="NZM90" s="62"/>
      <c r="NZN90" s="53"/>
      <c r="NZO90" s="60"/>
      <c r="NZP90" s="60"/>
      <c r="NZQ90" s="61"/>
      <c r="NZR90" s="61"/>
      <c r="NZS90" s="61"/>
      <c r="NZT90" s="61"/>
      <c r="NZU90" s="62"/>
      <c r="NZV90" s="53"/>
      <c r="NZW90" s="60"/>
      <c r="NZX90" s="60"/>
      <c r="NZY90" s="61"/>
      <c r="NZZ90" s="61"/>
      <c r="OAA90" s="61"/>
      <c r="OAB90" s="61"/>
      <c r="OAC90" s="62"/>
      <c r="OAD90" s="53"/>
      <c r="OAE90" s="60"/>
      <c r="OAF90" s="60"/>
      <c r="OAG90" s="61"/>
      <c r="OAH90" s="61"/>
      <c r="OAI90" s="61"/>
      <c r="OAJ90" s="61"/>
      <c r="OAK90" s="62"/>
      <c r="OAL90" s="53"/>
      <c r="OAM90" s="60"/>
      <c r="OAN90" s="60"/>
      <c r="OAO90" s="61"/>
      <c r="OAP90" s="61"/>
      <c r="OAQ90" s="61"/>
      <c r="OAR90" s="61"/>
      <c r="OAS90" s="62"/>
      <c r="OAT90" s="53"/>
      <c r="OAU90" s="60"/>
      <c r="OAV90" s="60"/>
      <c r="OAW90" s="61"/>
      <c r="OAX90" s="61"/>
      <c r="OAY90" s="61"/>
      <c r="OAZ90" s="61"/>
      <c r="OBA90" s="62"/>
      <c r="OBB90" s="53"/>
      <c r="OBC90" s="60"/>
      <c r="OBD90" s="60"/>
      <c r="OBE90" s="61"/>
      <c r="OBF90" s="61"/>
      <c r="OBG90" s="61"/>
      <c r="OBH90" s="61"/>
      <c r="OBI90" s="62"/>
      <c r="OBJ90" s="53"/>
      <c r="OBK90" s="60"/>
      <c r="OBL90" s="60"/>
      <c r="OBM90" s="61"/>
      <c r="OBN90" s="61"/>
      <c r="OBO90" s="61"/>
      <c r="OBP90" s="61"/>
      <c r="OBQ90" s="62"/>
      <c r="OBR90" s="53"/>
      <c r="OBS90" s="60"/>
      <c r="OBT90" s="60"/>
      <c r="OBU90" s="61"/>
      <c r="OBV90" s="61"/>
      <c r="OBW90" s="61"/>
      <c r="OBX90" s="61"/>
      <c r="OBY90" s="62"/>
      <c r="OBZ90" s="53"/>
      <c r="OCA90" s="60"/>
      <c r="OCB90" s="60"/>
      <c r="OCC90" s="61"/>
      <c r="OCD90" s="61"/>
      <c r="OCE90" s="61"/>
      <c r="OCF90" s="61"/>
      <c r="OCG90" s="62"/>
      <c r="OCH90" s="53"/>
      <c r="OCI90" s="60"/>
      <c r="OCJ90" s="60"/>
      <c r="OCK90" s="61"/>
      <c r="OCL90" s="61"/>
      <c r="OCM90" s="61"/>
      <c r="OCN90" s="61"/>
      <c r="OCO90" s="62"/>
      <c r="OCP90" s="53"/>
      <c r="OCQ90" s="60"/>
      <c r="OCR90" s="60"/>
      <c r="OCS90" s="61"/>
      <c r="OCT90" s="61"/>
      <c r="OCU90" s="61"/>
      <c r="OCV90" s="61"/>
      <c r="OCW90" s="62"/>
      <c r="OCX90" s="53"/>
      <c r="OCY90" s="60"/>
      <c r="OCZ90" s="60"/>
      <c r="ODA90" s="61"/>
      <c r="ODB90" s="61"/>
      <c r="ODC90" s="61"/>
      <c r="ODD90" s="61"/>
      <c r="ODE90" s="62"/>
      <c r="ODF90" s="53"/>
      <c r="ODG90" s="60"/>
      <c r="ODH90" s="60"/>
      <c r="ODI90" s="61"/>
      <c r="ODJ90" s="61"/>
      <c r="ODK90" s="61"/>
      <c r="ODL90" s="61"/>
      <c r="ODM90" s="62"/>
      <c r="ODN90" s="53"/>
      <c r="ODO90" s="60"/>
      <c r="ODP90" s="60"/>
      <c r="ODQ90" s="61"/>
      <c r="ODR90" s="61"/>
      <c r="ODS90" s="61"/>
      <c r="ODT90" s="61"/>
      <c r="ODU90" s="62"/>
      <c r="ODV90" s="53"/>
      <c r="ODW90" s="60"/>
      <c r="ODX90" s="60"/>
      <c r="ODY90" s="61"/>
      <c r="ODZ90" s="61"/>
      <c r="OEA90" s="61"/>
      <c r="OEB90" s="61"/>
      <c r="OEC90" s="62"/>
      <c r="OED90" s="53"/>
      <c r="OEE90" s="60"/>
      <c r="OEF90" s="60"/>
      <c r="OEG90" s="61"/>
      <c r="OEH90" s="61"/>
      <c r="OEI90" s="61"/>
      <c r="OEJ90" s="61"/>
      <c r="OEK90" s="62"/>
      <c r="OEL90" s="53"/>
      <c r="OEM90" s="60"/>
      <c r="OEN90" s="60"/>
      <c r="OEO90" s="61"/>
      <c r="OEP90" s="61"/>
      <c r="OEQ90" s="61"/>
      <c r="OER90" s="61"/>
      <c r="OES90" s="62"/>
      <c r="OET90" s="53"/>
      <c r="OEU90" s="60"/>
      <c r="OEV90" s="60"/>
      <c r="OEW90" s="61"/>
      <c r="OEX90" s="61"/>
      <c r="OEY90" s="61"/>
      <c r="OEZ90" s="61"/>
      <c r="OFA90" s="62"/>
      <c r="OFB90" s="53"/>
      <c r="OFC90" s="60"/>
      <c r="OFD90" s="60"/>
      <c r="OFE90" s="61"/>
      <c r="OFF90" s="61"/>
      <c r="OFG90" s="61"/>
      <c r="OFH90" s="61"/>
      <c r="OFI90" s="62"/>
      <c r="OFJ90" s="53"/>
      <c r="OFK90" s="60"/>
      <c r="OFL90" s="60"/>
      <c r="OFM90" s="61"/>
      <c r="OFN90" s="61"/>
      <c r="OFO90" s="61"/>
      <c r="OFP90" s="61"/>
      <c r="OFQ90" s="62"/>
      <c r="OFR90" s="53"/>
      <c r="OFS90" s="60"/>
      <c r="OFT90" s="60"/>
      <c r="OFU90" s="61"/>
      <c r="OFV90" s="61"/>
      <c r="OFW90" s="61"/>
      <c r="OFX90" s="61"/>
      <c r="OFY90" s="62"/>
      <c r="OFZ90" s="53"/>
      <c r="OGA90" s="60"/>
      <c r="OGB90" s="60"/>
      <c r="OGC90" s="61"/>
      <c r="OGD90" s="61"/>
      <c r="OGE90" s="61"/>
      <c r="OGF90" s="61"/>
      <c r="OGG90" s="62"/>
      <c r="OGH90" s="53"/>
      <c r="OGI90" s="60"/>
      <c r="OGJ90" s="60"/>
      <c r="OGK90" s="61"/>
      <c r="OGL90" s="61"/>
      <c r="OGM90" s="61"/>
      <c r="OGN90" s="61"/>
      <c r="OGO90" s="62"/>
      <c r="OGP90" s="53"/>
      <c r="OGQ90" s="60"/>
      <c r="OGR90" s="60"/>
      <c r="OGS90" s="61"/>
      <c r="OGT90" s="61"/>
      <c r="OGU90" s="61"/>
      <c r="OGV90" s="61"/>
      <c r="OGW90" s="62"/>
      <c r="OGX90" s="53"/>
      <c r="OGY90" s="60"/>
      <c r="OGZ90" s="60"/>
      <c r="OHA90" s="61"/>
      <c r="OHB90" s="61"/>
      <c r="OHC90" s="61"/>
      <c r="OHD90" s="61"/>
      <c r="OHE90" s="62"/>
      <c r="OHF90" s="53"/>
      <c r="OHG90" s="60"/>
      <c r="OHH90" s="60"/>
      <c r="OHI90" s="61"/>
      <c r="OHJ90" s="61"/>
      <c r="OHK90" s="61"/>
      <c r="OHL90" s="61"/>
      <c r="OHM90" s="62"/>
      <c r="OHN90" s="53"/>
      <c r="OHO90" s="60"/>
      <c r="OHP90" s="60"/>
      <c r="OHQ90" s="61"/>
      <c r="OHR90" s="61"/>
      <c r="OHS90" s="61"/>
      <c r="OHT90" s="61"/>
      <c r="OHU90" s="62"/>
      <c r="OHV90" s="53"/>
      <c r="OHW90" s="60"/>
      <c r="OHX90" s="60"/>
      <c r="OHY90" s="61"/>
      <c r="OHZ90" s="61"/>
      <c r="OIA90" s="61"/>
      <c r="OIB90" s="61"/>
      <c r="OIC90" s="62"/>
      <c r="OID90" s="53"/>
      <c r="OIE90" s="60"/>
      <c r="OIF90" s="60"/>
      <c r="OIG90" s="61"/>
      <c r="OIH90" s="61"/>
      <c r="OII90" s="61"/>
      <c r="OIJ90" s="61"/>
      <c r="OIK90" s="62"/>
      <c r="OIL90" s="53"/>
      <c r="OIM90" s="60"/>
      <c r="OIN90" s="60"/>
      <c r="OIO90" s="61"/>
      <c r="OIP90" s="61"/>
      <c r="OIQ90" s="61"/>
      <c r="OIR90" s="61"/>
      <c r="OIS90" s="62"/>
      <c r="OIT90" s="53"/>
      <c r="OIU90" s="60"/>
      <c r="OIV90" s="60"/>
      <c r="OIW90" s="61"/>
      <c r="OIX90" s="61"/>
      <c r="OIY90" s="61"/>
      <c r="OIZ90" s="61"/>
      <c r="OJA90" s="62"/>
      <c r="OJB90" s="53"/>
      <c r="OJC90" s="60"/>
      <c r="OJD90" s="60"/>
      <c r="OJE90" s="61"/>
      <c r="OJF90" s="61"/>
      <c r="OJG90" s="61"/>
      <c r="OJH90" s="61"/>
      <c r="OJI90" s="62"/>
      <c r="OJJ90" s="53"/>
      <c r="OJK90" s="60"/>
      <c r="OJL90" s="60"/>
      <c r="OJM90" s="61"/>
      <c r="OJN90" s="61"/>
      <c r="OJO90" s="61"/>
      <c r="OJP90" s="61"/>
      <c r="OJQ90" s="62"/>
      <c r="OJR90" s="53"/>
      <c r="OJS90" s="60"/>
      <c r="OJT90" s="60"/>
      <c r="OJU90" s="61"/>
      <c r="OJV90" s="61"/>
      <c r="OJW90" s="61"/>
      <c r="OJX90" s="61"/>
      <c r="OJY90" s="62"/>
      <c r="OJZ90" s="53"/>
      <c r="OKA90" s="60"/>
      <c r="OKB90" s="60"/>
      <c r="OKC90" s="61"/>
      <c r="OKD90" s="61"/>
      <c r="OKE90" s="61"/>
      <c r="OKF90" s="61"/>
      <c r="OKG90" s="62"/>
      <c r="OKH90" s="53"/>
      <c r="OKI90" s="60"/>
      <c r="OKJ90" s="60"/>
      <c r="OKK90" s="61"/>
      <c r="OKL90" s="61"/>
      <c r="OKM90" s="61"/>
      <c r="OKN90" s="61"/>
      <c r="OKO90" s="62"/>
      <c r="OKP90" s="53"/>
      <c r="OKQ90" s="60"/>
      <c r="OKR90" s="60"/>
      <c r="OKS90" s="61"/>
      <c r="OKT90" s="61"/>
      <c r="OKU90" s="61"/>
      <c r="OKV90" s="61"/>
      <c r="OKW90" s="62"/>
      <c r="OKX90" s="53"/>
      <c r="OKY90" s="60"/>
      <c r="OKZ90" s="60"/>
      <c r="OLA90" s="61"/>
      <c r="OLB90" s="61"/>
      <c r="OLC90" s="61"/>
      <c r="OLD90" s="61"/>
      <c r="OLE90" s="62"/>
      <c r="OLF90" s="53"/>
      <c r="OLG90" s="60"/>
      <c r="OLH90" s="60"/>
      <c r="OLI90" s="61"/>
      <c r="OLJ90" s="61"/>
      <c r="OLK90" s="61"/>
      <c r="OLL90" s="61"/>
      <c r="OLM90" s="62"/>
      <c r="OLN90" s="53"/>
      <c r="OLO90" s="60"/>
      <c r="OLP90" s="60"/>
      <c r="OLQ90" s="61"/>
      <c r="OLR90" s="61"/>
      <c r="OLS90" s="61"/>
      <c r="OLT90" s="61"/>
      <c r="OLU90" s="62"/>
      <c r="OLV90" s="53"/>
      <c r="OLW90" s="60"/>
      <c r="OLX90" s="60"/>
      <c r="OLY90" s="61"/>
      <c r="OLZ90" s="61"/>
      <c r="OMA90" s="61"/>
      <c r="OMB90" s="61"/>
      <c r="OMC90" s="62"/>
      <c r="OMD90" s="53"/>
      <c r="OME90" s="60"/>
      <c r="OMF90" s="60"/>
      <c r="OMG90" s="61"/>
      <c r="OMH90" s="61"/>
      <c r="OMI90" s="61"/>
      <c r="OMJ90" s="61"/>
      <c r="OMK90" s="62"/>
      <c r="OML90" s="53"/>
      <c r="OMM90" s="60"/>
      <c r="OMN90" s="60"/>
      <c r="OMO90" s="61"/>
      <c r="OMP90" s="61"/>
      <c r="OMQ90" s="61"/>
      <c r="OMR90" s="61"/>
      <c r="OMS90" s="62"/>
      <c r="OMT90" s="53"/>
      <c r="OMU90" s="60"/>
      <c r="OMV90" s="60"/>
      <c r="OMW90" s="61"/>
      <c r="OMX90" s="61"/>
      <c r="OMY90" s="61"/>
      <c r="OMZ90" s="61"/>
      <c r="ONA90" s="62"/>
      <c r="ONB90" s="53"/>
      <c r="ONC90" s="60"/>
      <c r="OND90" s="60"/>
      <c r="ONE90" s="61"/>
      <c r="ONF90" s="61"/>
      <c r="ONG90" s="61"/>
      <c r="ONH90" s="61"/>
      <c r="ONI90" s="62"/>
      <c r="ONJ90" s="53"/>
      <c r="ONK90" s="60"/>
      <c r="ONL90" s="60"/>
      <c r="ONM90" s="61"/>
      <c r="ONN90" s="61"/>
      <c r="ONO90" s="61"/>
      <c r="ONP90" s="61"/>
      <c r="ONQ90" s="62"/>
      <c r="ONR90" s="53"/>
      <c r="ONS90" s="60"/>
      <c r="ONT90" s="60"/>
      <c r="ONU90" s="61"/>
      <c r="ONV90" s="61"/>
      <c r="ONW90" s="61"/>
      <c r="ONX90" s="61"/>
      <c r="ONY90" s="62"/>
      <c r="ONZ90" s="53"/>
      <c r="OOA90" s="60"/>
      <c r="OOB90" s="60"/>
      <c r="OOC90" s="61"/>
      <c r="OOD90" s="61"/>
      <c r="OOE90" s="61"/>
      <c r="OOF90" s="61"/>
      <c r="OOG90" s="62"/>
      <c r="OOH90" s="53"/>
      <c r="OOI90" s="60"/>
      <c r="OOJ90" s="60"/>
      <c r="OOK90" s="61"/>
      <c r="OOL90" s="61"/>
      <c r="OOM90" s="61"/>
      <c r="OON90" s="61"/>
      <c r="OOO90" s="62"/>
      <c r="OOP90" s="53"/>
      <c r="OOQ90" s="60"/>
      <c r="OOR90" s="60"/>
      <c r="OOS90" s="61"/>
      <c r="OOT90" s="61"/>
      <c r="OOU90" s="61"/>
      <c r="OOV90" s="61"/>
      <c r="OOW90" s="62"/>
      <c r="OOX90" s="53"/>
      <c r="OOY90" s="60"/>
      <c r="OOZ90" s="60"/>
      <c r="OPA90" s="61"/>
      <c r="OPB90" s="61"/>
      <c r="OPC90" s="61"/>
      <c r="OPD90" s="61"/>
      <c r="OPE90" s="62"/>
      <c r="OPF90" s="53"/>
      <c r="OPG90" s="60"/>
      <c r="OPH90" s="60"/>
      <c r="OPI90" s="61"/>
      <c r="OPJ90" s="61"/>
      <c r="OPK90" s="61"/>
      <c r="OPL90" s="61"/>
      <c r="OPM90" s="62"/>
      <c r="OPN90" s="53"/>
      <c r="OPO90" s="60"/>
      <c r="OPP90" s="60"/>
      <c r="OPQ90" s="61"/>
      <c r="OPR90" s="61"/>
      <c r="OPS90" s="61"/>
      <c r="OPT90" s="61"/>
      <c r="OPU90" s="62"/>
      <c r="OPV90" s="53"/>
      <c r="OPW90" s="60"/>
      <c r="OPX90" s="60"/>
      <c r="OPY90" s="61"/>
      <c r="OPZ90" s="61"/>
      <c r="OQA90" s="61"/>
      <c r="OQB90" s="61"/>
      <c r="OQC90" s="62"/>
      <c r="OQD90" s="53"/>
      <c r="OQE90" s="60"/>
      <c r="OQF90" s="60"/>
      <c r="OQG90" s="61"/>
      <c r="OQH90" s="61"/>
      <c r="OQI90" s="61"/>
      <c r="OQJ90" s="61"/>
      <c r="OQK90" s="62"/>
      <c r="OQL90" s="53"/>
      <c r="OQM90" s="60"/>
      <c r="OQN90" s="60"/>
      <c r="OQO90" s="61"/>
      <c r="OQP90" s="61"/>
      <c r="OQQ90" s="61"/>
      <c r="OQR90" s="61"/>
      <c r="OQS90" s="62"/>
      <c r="OQT90" s="53"/>
      <c r="OQU90" s="60"/>
      <c r="OQV90" s="60"/>
      <c r="OQW90" s="61"/>
      <c r="OQX90" s="61"/>
      <c r="OQY90" s="61"/>
      <c r="OQZ90" s="61"/>
      <c r="ORA90" s="62"/>
      <c r="ORB90" s="53"/>
      <c r="ORC90" s="60"/>
      <c r="ORD90" s="60"/>
      <c r="ORE90" s="61"/>
      <c r="ORF90" s="61"/>
      <c r="ORG90" s="61"/>
      <c r="ORH90" s="61"/>
      <c r="ORI90" s="62"/>
      <c r="ORJ90" s="53"/>
      <c r="ORK90" s="60"/>
      <c r="ORL90" s="60"/>
      <c r="ORM90" s="61"/>
      <c r="ORN90" s="61"/>
      <c r="ORO90" s="61"/>
      <c r="ORP90" s="61"/>
      <c r="ORQ90" s="62"/>
      <c r="ORR90" s="53"/>
      <c r="ORS90" s="60"/>
      <c r="ORT90" s="60"/>
      <c r="ORU90" s="61"/>
      <c r="ORV90" s="61"/>
      <c r="ORW90" s="61"/>
      <c r="ORX90" s="61"/>
      <c r="ORY90" s="62"/>
      <c r="ORZ90" s="53"/>
      <c r="OSA90" s="60"/>
      <c r="OSB90" s="60"/>
      <c r="OSC90" s="61"/>
      <c r="OSD90" s="61"/>
      <c r="OSE90" s="61"/>
      <c r="OSF90" s="61"/>
      <c r="OSG90" s="62"/>
      <c r="OSH90" s="53"/>
      <c r="OSI90" s="60"/>
      <c r="OSJ90" s="60"/>
      <c r="OSK90" s="61"/>
      <c r="OSL90" s="61"/>
      <c r="OSM90" s="61"/>
      <c r="OSN90" s="61"/>
      <c r="OSO90" s="62"/>
      <c r="OSP90" s="53"/>
      <c r="OSQ90" s="60"/>
      <c r="OSR90" s="60"/>
      <c r="OSS90" s="61"/>
      <c r="OST90" s="61"/>
      <c r="OSU90" s="61"/>
      <c r="OSV90" s="61"/>
      <c r="OSW90" s="62"/>
      <c r="OSX90" s="53"/>
      <c r="OSY90" s="60"/>
      <c r="OSZ90" s="60"/>
      <c r="OTA90" s="61"/>
      <c r="OTB90" s="61"/>
      <c r="OTC90" s="61"/>
      <c r="OTD90" s="61"/>
      <c r="OTE90" s="62"/>
      <c r="OTF90" s="53"/>
      <c r="OTG90" s="60"/>
      <c r="OTH90" s="60"/>
      <c r="OTI90" s="61"/>
      <c r="OTJ90" s="61"/>
      <c r="OTK90" s="61"/>
      <c r="OTL90" s="61"/>
      <c r="OTM90" s="62"/>
      <c r="OTN90" s="53"/>
      <c r="OTO90" s="60"/>
      <c r="OTP90" s="60"/>
      <c r="OTQ90" s="61"/>
      <c r="OTR90" s="61"/>
      <c r="OTS90" s="61"/>
      <c r="OTT90" s="61"/>
      <c r="OTU90" s="62"/>
      <c r="OTV90" s="53"/>
      <c r="OTW90" s="60"/>
      <c r="OTX90" s="60"/>
      <c r="OTY90" s="61"/>
      <c r="OTZ90" s="61"/>
      <c r="OUA90" s="61"/>
      <c r="OUB90" s="61"/>
      <c r="OUC90" s="62"/>
      <c r="OUD90" s="53"/>
      <c r="OUE90" s="60"/>
      <c r="OUF90" s="60"/>
      <c r="OUG90" s="61"/>
      <c r="OUH90" s="61"/>
      <c r="OUI90" s="61"/>
      <c r="OUJ90" s="61"/>
      <c r="OUK90" s="62"/>
      <c r="OUL90" s="53"/>
      <c r="OUM90" s="60"/>
      <c r="OUN90" s="60"/>
      <c r="OUO90" s="61"/>
      <c r="OUP90" s="61"/>
      <c r="OUQ90" s="61"/>
      <c r="OUR90" s="61"/>
      <c r="OUS90" s="62"/>
      <c r="OUT90" s="53"/>
      <c r="OUU90" s="60"/>
      <c r="OUV90" s="60"/>
      <c r="OUW90" s="61"/>
      <c r="OUX90" s="61"/>
      <c r="OUY90" s="61"/>
      <c r="OUZ90" s="61"/>
      <c r="OVA90" s="62"/>
      <c r="OVB90" s="53"/>
      <c r="OVC90" s="60"/>
      <c r="OVD90" s="60"/>
      <c r="OVE90" s="61"/>
      <c r="OVF90" s="61"/>
      <c r="OVG90" s="61"/>
      <c r="OVH90" s="61"/>
      <c r="OVI90" s="62"/>
      <c r="OVJ90" s="53"/>
      <c r="OVK90" s="60"/>
      <c r="OVL90" s="60"/>
      <c r="OVM90" s="61"/>
      <c r="OVN90" s="61"/>
      <c r="OVO90" s="61"/>
      <c r="OVP90" s="61"/>
      <c r="OVQ90" s="62"/>
      <c r="OVR90" s="53"/>
      <c r="OVS90" s="60"/>
      <c r="OVT90" s="60"/>
      <c r="OVU90" s="61"/>
      <c r="OVV90" s="61"/>
      <c r="OVW90" s="61"/>
      <c r="OVX90" s="61"/>
      <c r="OVY90" s="62"/>
      <c r="OVZ90" s="53"/>
      <c r="OWA90" s="60"/>
      <c r="OWB90" s="60"/>
      <c r="OWC90" s="61"/>
      <c r="OWD90" s="61"/>
      <c r="OWE90" s="61"/>
      <c r="OWF90" s="61"/>
      <c r="OWG90" s="62"/>
      <c r="OWH90" s="53"/>
      <c r="OWI90" s="60"/>
      <c r="OWJ90" s="60"/>
      <c r="OWK90" s="61"/>
      <c r="OWL90" s="61"/>
      <c r="OWM90" s="61"/>
      <c r="OWN90" s="61"/>
      <c r="OWO90" s="62"/>
      <c r="OWP90" s="53"/>
      <c r="OWQ90" s="60"/>
      <c r="OWR90" s="60"/>
      <c r="OWS90" s="61"/>
      <c r="OWT90" s="61"/>
      <c r="OWU90" s="61"/>
      <c r="OWV90" s="61"/>
      <c r="OWW90" s="62"/>
      <c r="OWX90" s="53"/>
      <c r="OWY90" s="60"/>
      <c r="OWZ90" s="60"/>
      <c r="OXA90" s="61"/>
      <c r="OXB90" s="61"/>
      <c r="OXC90" s="61"/>
      <c r="OXD90" s="61"/>
      <c r="OXE90" s="62"/>
      <c r="OXF90" s="53"/>
      <c r="OXG90" s="60"/>
      <c r="OXH90" s="60"/>
      <c r="OXI90" s="61"/>
      <c r="OXJ90" s="61"/>
      <c r="OXK90" s="61"/>
      <c r="OXL90" s="61"/>
      <c r="OXM90" s="62"/>
      <c r="OXN90" s="53"/>
      <c r="OXO90" s="60"/>
      <c r="OXP90" s="60"/>
      <c r="OXQ90" s="61"/>
      <c r="OXR90" s="61"/>
      <c r="OXS90" s="61"/>
      <c r="OXT90" s="61"/>
      <c r="OXU90" s="62"/>
      <c r="OXV90" s="53"/>
      <c r="OXW90" s="60"/>
      <c r="OXX90" s="60"/>
      <c r="OXY90" s="61"/>
      <c r="OXZ90" s="61"/>
      <c r="OYA90" s="61"/>
      <c r="OYB90" s="61"/>
      <c r="OYC90" s="62"/>
      <c r="OYD90" s="53"/>
      <c r="OYE90" s="60"/>
      <c r="OYF90" s="60"/>
      <c r="OYG90" s="61"/>
      <c r="OYH90" s="61"/>
      <c r="OYI90" s="61"/>
      <c r="OYJ90" s="61"/>
      <c r="OYK90" s="62"/>
      <c r="OYL90" s="53"/>
      <c r="OYM90" s="60"/>
      <c r="OYN90" s="60"/>
      <c r="OYO90" s="61"/>
      <c r="OYP90" s="61"/>
      <c r="OYQ90" s="61"/>
      <c r="OYR90" s="61"/>
      <c r="OYS90" s="62"/>
      <c r="OYT90" s="53"/>
      <c r="OYU90" s="60"/>
      <c r="OYV90" s="60"/>
      <c r="OYW90" s="61"/>
      <c r="OYX90" s="61"/>
      <c r="OYY90" s="61"/>
      <c r="OYZ90" s="61"/>
      <c r="OZA90" s="62"/>
      <c r="OZB90" s="53"/>
      <c r="OZC90" s="60"/>
      <c r="OZD90" s="60"/>
      <c r="OZE90" s="61"/>
      <c r="OZF90" s="61"/>
      <c r="OZG90" s="61"/>
      <c r="OZH90" s="61"/>
      <c r="OZI90" s="62"/>
      <c r="OZJ90" s="53"/>
      <c r="OZK90" s="60"/>
      <c r="OZL90" s="60"/>
      <c r="OZM90" s="61"/>
      <c r="OZN90" s="61"/>
      <c r="OZO90" s="61"/>
      <c r="OZP90" s="61"/>
      <c r="OZQ90" s="62"/>
      <c r="OZR90" s="53"/>
      <c r="OZS90" s="60"/>
      <c r="OZT90" s="60"/>
      <c r="OZU90" s="61"/>
      <c r="OZV90" s="61"/>
      <c r="OZW90" s="61"/>
      <c r="OZX90" s="61"/>
      <c r="OZY90" s="62"/>
      <c r="OZZ90" s="53"/>
      <c r="PAA90" s="60"/>
      <c r="PAB90" s="60"/>
      <c r="PAC90" s="61"/>
      <c r="PAD90" s="61"/>
      <c r="PAE90" s="61"/>
      <c r="PAF90" s="61"/>
      <c r="PAG90" s="62"/>
      <c r="PAH90" s="53"/>
      <c r="PAI90" s="60"/>
      <c r="PAJ90" s="60"/>
      <c r="PAK90" s="61"/>
      <c r="PAL90" s="61"/>
      <c r="PAM90" s="61"/>
      <c r="PAN90" s="61"/>
      <c r="PAO90" s="62"/>
      <c r="PAP90" s="53"/>
      <c r="PAQ90" s="60"/>
      <c r="PAR90" s="60"/>
      <c r="PAS90" s="61"/>
      <c r="PAT90" s="61"/>
      <c r="PAU90" s="61"/>
      <c r="PAV90" s="61"/>
      <c r="PAW90" s="62"/>
      <c r="PAX90" s="53"/>
      <c r="PAY90" s="60"/>
      <c r="PAZ90" s="60"/>
      <c r="PBA90" s="61"/>
      <c r="PBB90" s="61"/>
      <c r="PBC90" s="61"/>
      <c r="PBD90" s="61"/>
      <c r="PBE90" s="62"/>
      <c r="PBF90" s="53"/>
      <c r="PBG90" s="60"/>
      <c r="PBH90" s="60"/>
      <c r="PBI90" s="61"/>
      <c r="PBJ90" s="61"/>
      <c r="PBK90" s="61"/>
      <c r="PBL90" s="61"/>
      <c r="PBM90" s="62"/>
      <c r="PBN90" s="53"/>
      <c r="PBO90" s="60"/>
      <c r="PBP90" s="60"/>
      <c r="PBQ90" s="61"/>
      <c r="PBR90" s="61"/>
      <c r="PBS90" s="61"/>
      <c r="PBT90" s="61"/>
      <c r="PBU90" s="62"/>
      <c r="PBV90" s="53"/>
      <c r="PBW90" s="60"/>
      <c r="PBX90" s="60"/>
      <c r="PBY90" s="61"/>
      <c r="PBZ90" s="61"/>
      <c r="PCA90" s="61"/>
      <c r="PCB90" s="61"/>
      <c r="PCC90" s="62"/>
      <c r="PCD90" s="53"/>
      <c r="PCE90" s="60"/>
      <c r="PCF90" s="60"/>
      <c r="PCG90" s="61"/>
      <c r="PCH90" s="61"/>
      <c r="PCI90" s="61"/>
      <c r="PCJ90" s="61"/>
      <c r="PCK90" s="62"/>
      <c r="PCL90" s="53"/>
      <c r="PCM90" s="60"/>
      <c r="PCN90" s="60"/>
      <c r="PCO90" s="61"/>
      <c r="PCP90" s="61"/>
      <c r="PCQ90" s="61"/>
      <c r="PCR90" s="61"/>
      <c r="PCS90" s="62"/>
      <c r="PCT90" s="53"/>
      <c r="PCU90" s="60"/>
      <c r="PCV90" s="60"/>
      <c r="PCW90" s="61"/>
      <c r="PCX90" s="61"/>
      <c r="PCY90" s="61"/>
      <c r="PCZ90" s="61"/>
      <c r="PDA90" s="62"/>
      <c r="PDB90" s="53"/>
      <c r="PDC90" s="60"/>
      <c r="PDD90" s="60"/>
      <c r="PDE90" s="61"/>
      <c r="PDF90" s="61"/>
      <c r="PDG90" s="61"/>
      <c r="PDH90" s="61"/>
      <c r="PDI90" s="62"/>
      <c r="PDJ90" s="53"/>
      <c r="PDK90" s="60"/>
      <c r="PDL90" s="60"/>
      <c r="PDM90" s="61"/>
      <c r="PDN90" s="61"/>
      <c r="PDO90" s="61"/>
      <c r="PDP90" s="61"/>
      <c r="PDQ90" s="62"/>
      <c r="PDR90" s="53"/>
      <c r="PDS90" s="60"/>
      <c r="PDT90" s="60"/>
      <c r="PDU90" s="61"/>
      <c r="PDV90" s="61"/>
      <c r="PDW90" s="61"/>
      <c r="PDX90" s="61"/>
      <c r="PDY90" s="62"/>
      <c r="PDZ90" s="53"/>
      <c r="PEA90" s="60"/>
      <c r="PEB90" s="60"/>
      <c r="PEC90" s="61"/>
      <c r="PED90" s="61"/>
      <c r="PEE90" s="61"/>
      <c r="PEF90" s="61"/>
      <c r="PEG90" s="62"/>
      <c r="PEH90" s="53"/>
      <c r="PEI90" s="60"/>
      <c r="PEJ90" s="60"/>
      <c r="PEK90" s="61"/>
      <c r="PEL90" s="61"/>
      <c r="PEM90" s="61"/>
      <c r="PEN90" s="61"/>
      <c r="PEO90" s="62"/>
      <c r="PEP90" s="53"/>
      <c r="PEQ90" s="60"/>
      <c r="PER90" s="60"/>
      <c r="PES90" s="61"/>
      <c r="PET90" s="61"/>
      <c r="PEU90" s="61"/>
      <c r="PEV90" s="61"/>
      <c r="PEW90" s="62"/>
      <c r="PEX90" s="53"/>
      <c r="PEY90" s="60"/>
      <c r="PEZ90" s="60"/>
      <c r="PFA90" s="61"/>
      <c r="PFB90" s="61"/>
      <c r="PFC90" s="61"/>
      <c r="PFD90" s="61"/>
      <c r="PFE90" s="62"/>
      <c r="PFF90" s="53"/>
      <c r="PFG90" s="60"/>
      <c r="PFH90" s="60"/>
      <c r="PFI90" s="61"/>
      <c r="PFJ90" s="61"/>
      <c r="PFK90" s="61"/>
      <c r="PFL90" s="61"/>
      <c r="PFM90" s="62"/>
      <c r="PFN90" s="53"/>
      <c r="PFO90" s="60"/>
      <c r="PFP90" s="60"/>
      <c r="PFQ90" s="61"/>
      <c r="PFR90" s="61"/>
      <c r="PFS90" s="61"/>
      <c r="PFT90" s="61"/>
      <c r="PFU90" s="62"/>
      <c r="PFV90" s="53"/>
      <c r="PFW90" s="60"/>
      <c r="PFX90" s="60"/>
      <c r="PFY90" s="61"/>
      <c r="PFZ90" s="61"/>
      <c r="PGA90" s="61"/>
      <c r="PGB90" s="61"/>
      <c r="PGC90" s="62"/>
      <c r="PGD90" s="53"/>
      <c r="PGE90" s="60"/>
      <c r="PGF90" s="60"/>
      <c r="PGG90" s="61"/>
      <c r="PGH90" s="61"/>
      <c r="PGI90" s="61"/>
      <c r="PGJ90" s="61"/>
      <c r="PGK90" s="62"/>
      <c r="PGL90" s="53"/>
      <c r="PGM90" s="60"/>
      <c r="PGN90" s="60"/>
      <c r="PGO90" s="61"/>
      <c r="PGP90" s="61"/>
      <c r="PGQ90" s="61"/>
      <c r="PGR90" s="61"/>
      <c r="PGS90" s="62"/>
      <c r="PGT90" s="53"/>
      <c r="PGU90" s="60"/>
      <c r="PGV90" s="60"/>
      <c r="PGW90" s="61"/>
      <c r="PGX90" s="61"/>
      <c r="PGY90" s="61"/>
      <c r="PGZ90" s="61"/>
      <c r="PHA90" s="62"/>
      <c r="PHB90" s="53"/>
      <c r="PHC90" s="60"/>
      <c r="PHD90" s="60"/>
      <c r="PHE90" s="61"/>
      <c r="PHF90" s="61"/>
      <c r="PHG90" s="61"/>
      <c r="PHH90" s="61"/>
      <c r="PHI90" s="62"/>
      <c r="PHJ90" s="53"/>
      <c r="PHK90" s="60"/>
      <c r="PHL90" s="60"/>
      <c r="PHM90" s="61"/>
      <c r="PHN90" s="61"/>
      <c r="PHO90" s="61"/>
      <c r="PHP90" s="61"/>
      <c r="PHQ90" s="62"/>
      <c r="PHR90" s="53"/>
      <c r="PHS90" s="60"/>
      <c r="PHT90" s="60"/>
      <c r="PHU90" s="61"/>
      <c r="PHV90" s="61"/>
      <c r="PHW90" s="61"/>
      <c r="PHX90" s="61"/>
      <c r="PHY90" s="62"/>
      <c r="PHZ90" s="53"/>
      <c r="PIA90" s="60"/>
      <c r="PIB90" s="60"/>
      <c r="PIC90" s="61"/>
      <c r="PID90" s="61"/>
      <c r="PIE90" s="61"/>
      <c r="PIF90" s="61"/>
      <c r="PIG90" s="62"/>
      <c r="PIH90" s="53"/>
      <c r="PII90" s="60"/>
      <c r="PIJ90" s="60"/>
      <c r="PIK90" s="61"/>
      <c r="PIL90" s="61"/>
      <c r="PIM90" s="61"/>
      <c r="PIN90" s="61"/>
      <c r="PIO90" s="62"/>
      <c r="PIP90" s="53"/>
      <c r="PIQ90" s="60"/>
      <c r="PIR90" s="60"/>
      <c r="PIS90" s="61"/>
      <c r="PIT90" s="61"/>
      <c r="PIU90" s="61"/>
      <c r="PIV90" s="61"/>
      <c r="PIW90" s="62"/>
      <c r="PIX90" s="53"/>
      <c r="PIY90" s="60"/>
      <c r="PIZ90" s="60"/>
      <c r="PJA90" s="61"/>
      <c r="PJB90" s="61"/>
      <c r="PJC90" s="61"/>
      <c r="PJD90" s="61"/>
      <c r="PJE90" s="62"/>
      <c r="PJF90" s="53"/>
      <c r="PJG90" s="60"/>
      <c r="PJH90" s="60"/>
      <c r="PJI90" s="61"/>
      <c r="PJJ90" s="61"/>
      <c r="PJK90" s="61"/>
      <c r="PJL90" s="61"/>
      <c r="PJM90" s="62"/>
      <c r="PJN90" s="53"/>
      <c r="PJO90" s="60"/>
      <c r="PJP90" s="60"/>
      <c r="PJQ90" s="61"/>
      <c r="PJR90" s="61"/>
      <c r="PJS90" s="61"/>
      <c r="PJT90" s="61"/>
      <c r="PJU90" s="62"/>
      <c r="PJV90" s="53"/>
      <c r="PJW90" s="60"/>
      <c r="PJX90" s="60"/>
      <c r="PJY90" s="61"/>
      <c r="PJZ90" s="61"/>
      <c r="PKA90" s="61"/>
      <c r="PKB90" s="61"/>
      <c r="PKC90" s="62"/>
      <c r="PKD90" s="53"/>
      <c r="PKE90" s="60"/>
      <c r="PKF90" s="60"/>
      <c r="PKG90" s="61"/>
      <c r="PKH90" s="61"/>
      <c r="PKI90" s="61"/>
      <c r="PKJ90" s="61"/>
      <c r="PKK90" s="62"/>
      <c r="PKL90" s="53"/>
      <c r="PKM90" s="60"/>
      <c r="PKN90" s="60"/>
      <c r="PKO90" s="61"/>
      <c r="PKP90" s="61"/>
      <c r="PKQ90" s="61"/>
      <c r="PKR90" s="61"/>
      <c r="PKS90" s="62"/>
      <c r="PKT90" s="53"/>
      <c r="PKU90" s="60"/>
      <c r="PKV90" s="60"/>
      <c r="PKW90" s="61"/>
      <c r="PKX90" s="61"/>
      <c r="PKY90" s="61"/>
      <c r="PKZ90" s="61"/>
      <c r="PLA90" s="62"/>
      <c r="PLB90" s="53"/>
      <c r="PLC90" s="60"/>
      <c r="PLD90" s="60"/>
      <c r="PLE90" s="61"/>
      <c r="PLF90" s="61"/>
      <c r="PLG90" s="61"/>
      <c r="PLH90" s="61"/>
      <c r="PLI90" s="62"/>
      <c r="PLJ90" s="53"/>
      <c r="PLK90" s="60"/>
      <c r="PLL90" s="60"/>
      <c r="PLM90" s="61"/>
      <c r="PLN90" s="61"/>
      <c r="PLO90" s="61"/>
      <c r="PLP90" s="61"/>
      <c r="PLQ90" s="62"/>
      <c r="PLR90" s="53"/>
      <c r="PLS90" s="60"/>
      <c r="PLT90" s="60"/>
      <c r="PLU90" s="61"/>
      <c r="PLV90" s="61"/>
      <c r="PLW90" s="61"/>
      <c r="PLX90" s="61"/>
      <c r="PLY90" s="62"/>
      <c r="PLZ90" s="53"/>
      <c r="PMA90" s="60"/>
      <c r="PMB90" s="60"/>
      <c r="PMC90" s="61"/>
      <c r="PMD90" s="61"/>
      <c r="PME90" s="61"/>
      <c r="PMF90" s="61"/>
      <c r="PMG90" s="62"/>
      <c r="PMH90" s="53"/>
      <c r="PMI90" s="60"/>
      <c r="PMJ90" s="60"/>
      <c r="PMK90" s="61"/>
      <c r="PML90" s="61"/>
      <c r="PMM90" s="61"/>
      <c r="PMN90" s="61"/>
      <c r="PMO90" s="62"/>
      <c r="PMP90" s="53"/>
      <c r="PMQ90" s="60"/>
      <c r="PMR90" s="60"/>
      <c r="PMS90" s="61"/>
      <c r="PMT90" s="61"/>
      <c r="PMU90" s="61"/>
      <c r="PMV90" s="61"/>
      <c r="PMW90" s="62"/>
      <c r="PMX90" s="53"/>
      <c r="PMY90" s="60"/>
      <c r="PMZ90" s="60"/>
      <c r="PNA90" s="61"/>
      <c r="PNB90" s="61"/>
      <c r="PNC90" s="61"/>
      <c r="PND90" s="61"/>
      <c r="PNE90" s="62"/>
      <c r="PNF90" s="53"/>
      <c r="PNG90" s="60"/>
      <c r="PNH90" s="60"/>
      <c r="PNI90" s="61"/>
      <c r="PNJ90" s="61"/>
      <c r="PNK90" s="61"/>
      <c r="PNL90" s="61"/>
      <c r="PNM90" s="62"/>
      <c r="PNN90" s="53"/>
      <c r="PNO90" s="60"/>
      <c r="PNP90" s="60"/>
      <c r="PNQ90" s="61"/>
      <c r="PNR90" s="61"/>
      <c r="PNS90" s="61"/>
      <c r="PNT90" s="61"/>
      <c r="PNU90" s="62"/>
      <c r="PNV90" s="53"/>
      <c r="PNW90" s="60"/>
      <c r="PNX90" s="60"/>
      <c r="PNY90" s="61"/>
      <c r="PNZ90" s="61"/>
      <c r="POA90" s="61"/>
      <c r="POB90" s="61"/>
      <c r="POC90" s="62"/>
      <c r="POD90" s="53"/>
      <c r="POE90" s="60"/>
      <c r="POF90" s="60"/>
      <c r="POG90" s="61"/>
      <c r="POH90" s="61"/>
      <c r="POI90" s="61"/>
      <c r="POJ90" s="61"/>
      <c r="POK90" s="62"/>
      <c r="POL90" s="53"/>
      <c r="POM90" s="60"/>
      <c r="PON90" s="60"/>
      <c r="POO90" s="61"/>
      <c r="POP90" s="61"/>
      <c r="POQ90" s="61"/>
      <c r="POR90" s="61"/>
      <c r="POS90" s="62"/>
      <c r="POT90" s="53"/>
      <c r="POU90" s="60"/>
      <c r="POV90" s="60"/>
      <c r="POW90" s="61"/>
      <c r="POX90" s="61"/>
      <c r="POY90" s="61"/>
      <c r="POZ90" s="61"/>
      <c r="PPA90" s="62"/>
      <c r="PPB90" s="53"/>
      <c r="PPC90" s="60"/>
      <c r="PPD90" s="60"/>
      <c r="PPE90" s="61"/>
      <c r="PPF90" s="61"/>
      <c r="PPG90" s="61"/>
      <c r="PPH90" s="61"/>
      <c r="PPI90" s="62"/>
      <c r="PPJ90" s="53"/>
      <c r="PPK90" s="60"/>
      <c r="PPL90" s="60"/>
      <c r="PPM90" s="61"/>
      <c r="PPN90" s="61"/>
      <c r="PPO90" s="61"/>
      <c r="PPP90" s="61"/>
      <c r="PPQ90" s="62"/>
      <c r="PPR90" s="53"/>
      <c r="PPS90" s="60"/>
      <c r="PPT90" s="60"/>
      <c r="PPU90" s="61"/>
      <c r="PPV90" s="61"/>
      <c r="PPW90" s="61"/>
      <c r="PPX90" s="61"/>
      <c r="PPY90" s="62"/>
      <c r="PPZ90" s="53"/>
      <c r="PQA90" s="60"/>
      <c r="PQB90" s="60"/>
      <c r="PQC90" s="61"/>
      <c r="PQD90" s="61"/>
      <c r="PQE90" s="61"/>
      <c r="PQF90" s="61"/>
      <c r="PQG90" s="62"/>
      <c r="PQH90" s="53"/>
      <c r="PQI90" s="60"/>
      <c r="PQJ90" s="60"/>
      <c r="PQK90" s="61"/>
      <c r="PQL90" s="61"/>
      <c r="PQM90" s="61"/>
      <c r="PQN90" s="61"/>
      <c r="PQO90" s="62"/>
      <c r="PQP90" s="53"/>
      <c r="PQQ90" s="60"/>
      <c r="PQR90" s="60"/>
      <c r="PQS90" s="61"/>
      <c r="PQT90" s="61"/>
      <c r="PQU90" s="61"/>
      <c r="PQV90" s="61"/>
      <c r="PQW90" s="62"/>
      <c r="PQX90" s="53"/>
      <c r="PQY90" s="60"/>
      <c r="PQZ90" s="60"/>
      <c r="PRA90" s="61"/>
      <c r="PRB90" s="61"/>
      <c r="PRC90" s="61"/>
      <c r="PRD90" s="61"/>
      <c r="PRE90" s="62"/>
      <c r="PRF90" s="53"/>
      <c r="PRG90" s="60"/>
      <c r="PRH90" s="60"/>
      <c r="PRI90" s="61"/>
      <c r="PRJ90" s="61"/>
      <c r="PRK90" s="61"/>
      <c r="PRL90" s="61"/>
      <c r="PRM90" s="62"/>
      <c r="PRN90" s="53"/>
      <c r="PRO90" s="60"/>
      <c r="PRP90" s="60"/>
      <c r="PRQ90" s="61"/>
      <c r="PRR90" s="61"/>
      <c r="PRS90" s="61"/>
      <c r="PRT90" s="61"/>
      <c r="PRU90" s="62"/>
      <c r="PRV90" s="53"/>
      <c r="PRW90" s="60"/>
      <c r="PRX90" s="60"/>
      <c r="PRY90" s="61"/>
      <c r="PRZ90" s="61"/>
      <c r="PSA90" s="61"/>
      <c r="PSB90" s="61"/>
      <c r="PSC90" s="62"/>
      <c r="PSD90" s="53"/>
      <c r="PSE90" s="60"/>
      <c r="PSF90" s="60"/>
      <c r="PSG90" s="61"/>
      <c r="PSH90" s="61"/>
      <c r="PSI90" s="61"/>
      <c r="PSJ90" s="61"/>
      <c r="PSK90" s="62"/>
      <c r="PSL90" s="53"/>
      <c r="PSM90" s="60"/>
      <c r="PSN90" s="60"/>
      <c r="PSO90" s="61"/>
      <c r="PSP90" s="61"/>
      <c r="PSQ90" s="61"/>
      <c r="PSR90" s="61"/>
      <c r="PSS90" s="62"/>
      <c r="PST90" s="53"/>
      <c r="PSU90" s="60"/>
      <c r="PSV90" s="60"/>
      <c r="PSW90" s="61"/>
      <c r="PSX90" s="61"/>
      <c r="PSY90" s="61"/>
      <c r="PSZ90" s="61"/>
      <c r="PTA90" s="62"/>
      <c r="PTB90" s="53"/>
      <c r="PTC90" s="60"/>
      <c r="PTD90" s="60"/>
      <c r="PTE90" s="61"/>
      <c r="PTF90" s="61"/>
      <c r="PTG90" s="61"/>
      <c r="PTH90" s="61"/>
      <c r="PTI90" s="62"/>
      <c r="PTJ90" s="53"/>
      <c r="PTK90" s="60"/>
      <c r="PTL90" s="60"/>
      <c r="PTM90" s="61"/>
      <c r="PTN90" s="61"/>
      <c r="PTO90" s="61"/>
      <c r="PTP90" s="61"/>
      <c r="PTQ90" s="62"/>
      <c r="PTR90" s="53"/>
      <c r="PTS90" s="60"/>
      <c r="PTT90" s="60"/>
      <c r="PTU90" s="61"/>
      <c r="PTV90" s="61"/>
      <c r="PTW90" s="61"/>
      <c r="PTX90" s="61"/>
      <c r="PTY90" s="62"/>
      <c r="PTZ90" s="53"/>
      <c r="PUA90" s="60"/>
      <c r="PUB90" s="60"/>
      <c r="PUC90" s="61"/>
      <c r="PUD90" s="61"/>
      <c r="PUE90" s="61"/>
      <c r="PUF90" s="61"/>
      <c r="PUG90" s="62"/>
      <c r="PUH90" s="53"/>
      <c r="PUI90" s="60"/>
      <c r="PUJ90" s="60"/>
      <c r="PUK90" s="61"/>
      <c r="PUL90" s="61"/>
      <c r="PUM90" s="61"/>
      <c r="PUN90" s="61"/>
      <c r="PUO90" s="62"/>
      <c r="PUP90" s="53"/>
      <c r="PUQ90" s="60"/>
      <c r="PUR90" s="60"/>
      <c r="PUS90" s="61"/>
      <c r="PUT90" s="61"/>
      <c r="PUU90" s="61"/>
      <c r="PUV90" s="61"/>
      <c r="PUW90" s="62"/>
      <c r="PUX90" s="53"/>
      <c r="PUY90" s="60"/>
      <c r="PUZ90" s="60"/>
      <c r="PVA90" s="61"/>
      <c r="PVB90" s="61"/>
      <c r="PVC90" s="61"/>
      <c r="PVD90" s="61"/>
      <c r="PVE90" s="62"/>
      <c r="PVF90" s="53"/>
      <c r="PVG90" s="60"/>
      <c r="PVH90" s="60"/>
      <c r="PVI90" s="61"/>
      <c r="PVJ90" s="61"/>
      <c r="PVK90" s="61"/>
      <c r="PVL90" s="61"/>
      <c r="PVM90" s="62"/>
      <c r="PVN90" s="53"/>
      <c r="PVO90" s="60"/>
      <c r="PVP90" s="60"/>
      <c r="PVQ90" s="61"/>
      <c r="PVR90" s="61"/>
      <c r="PVS90" s="61"/>
      <c r="PVT90" s="61"/>
      <c r="PVU90" s="62"/>
      <c r="PVV90" s="53"/>
      <c r="PVW90" s="60"/>
      <c r="PVX90" s="60"/>
      <c r="PVY90" s="61"/>
      <c r="PVZ90" s="61"/>
      <c r="PWA90" s="61"/>
      <c r="PWB90" s="61"/>
      <c r="PWC90" s="62"/>
      <c r="PWD90" s="53"/>
      <c r="PWE90" s="60"/>
      <c r="PWF90" s="60"/>
      <c r="PWG90" s="61"/>
      <c r="PWH90" s="61"/>
      <c r="PWI90" s="61"/>
      <c r="PWJ90" s="61"/>
      <c r="PWK90" s="62"/>
      <c r="PWL90" s="53"/>
      <c r="PWM90" s="60"/>
      <c r="PWN90" s="60"/>
      <c r="PWO90" s="61"/>
      <c r="PWP90" s="61"/>
      <c r="PWQ90" s="61"/>
      <c r="PWR90" s="61"/>
      <c r="PWS90" s="62"/>
      <c r="PWT90" s="53"/>
      <c r="PWU90" s="60"/>
      <c r="PWV90" s="60"/>
      <c r="PWW90" s="61"/>
      <c r="PWX90" s="61"/>
      <c r="PWY90" s="61"/>
      <c r="PWZ90" s="61"/>
      <c r="PXA90" s="62"/>
      <c r="PXB90" s="53"/>
      <c r="PXC90" s="60"/>
      <c r="PXD90" s="60"/>
      <c r="PXE90" s="61"/>
      <c r="PXF90" s="61"/>
      <c r="PXG90" s="61"/>
      <c r="PXH90" s="61"/>
      <c r="PXI90" s="62"/>
      <c r="PXJ90" s="53"/>
      <c r="PXK90" s="60"/>
      <c r="PXL90" s="60"/>
      <c r="PXM90" s="61"/>
      <c r="PXN90" s="61"/>
      <c r="PXO90" s="61"/>
      <c r="PXP90" s="61"/>
      <c r="PXQ90" s="62"/>
      <c r="PXR90" s="53"/>
      <c r="PXS90" s="60"/>
      <c r="PXT90" s="60"/>
      <c r="PXU90" s="61"/>
      <c r="PXV90" s="61"/>
      <c r="PXW90" s="61"/>
      <c r="PXX90" s="61"/>
      <c r="PXY90" s="62"/>
      <c r="PXZ90" s="53"/>
      <c r="PYA90" s="60"/>
      <c r="PYB90" s="60"/>
      <c r="PYC90" s="61"/>
      <c r="PYD90" s="61"/>
      <c r="PYE90" s="61"/>
      <c r="PYF90" s="61"/>
      <c r="PYG90" s="62"/>
      <c r="PYH90" s="53"/>
      <c r="PYI90" s="60"/>
      <c r="PYJ90" s="60"/>
      <c r="PYK90" s="61"/>
      <c r="PYL90" s="61"/>
      <c r="PYM90" s="61"/>
      <c r="PYN90" s="61"/>
      <c r="PYO90" s="62"/>
      <c r="PYP90" s="53"/>
      <c r="PYQ90" s="60"/>
      <c r="PYR90" s="60"/>
      <c r="PYS90" s="61"/>
      <c r="PYT90" s="61"/>
      <c r="PYU90" s="61"/>
      <c r="PYV90" s="61"/>
      <c r="PYW90" s="62"/>
      <c r="PYX90" s="53"/>
      <c r="PYY90" s="60"/>
      <c r="PYZ90" s="60"/>
      <c r="PZA90" s="61"/>
      <c r="PZB90" s="61"/>
      <c r="PZC90" s="61"/>
      <c r="PZD90" s="61"/>
      <c r="PZE90" s="62"/>
      <c r="PZF90" s="53"/>
      <c r="PZG90" s="60"/>
      <c r="PZH90" s="60"/>
      <c r="PZI90" s="61"/>
      <c r="PZJ90" s="61"/>
      <c r="PZK90" s="61"/>
      <c r="PZL90" s="61"/>
      <c r="PZM90" s="62"/>
      <c r="PZN90" s="53"/>
      <c r="PZO90" s="60"/>
      <c r="PZP90" s="60"/>
      <c r="PZQ90" s="61"/>
      <c r="PZR90" s="61"/>
      <c r="PZS90" s="61"/>
      <c r="PZT90" s="61"/>
      <c r="PZU90" s="62"/>
      <c r="PZV90" s="53"/>
      <c r="PZW90" s="60"/>
      <c r="PZX90" s="60"/>
      <c r="PZY90" s="61"/>
      <c r="PZZ90" s="61"/>
      <c r="QAA90" s="61"/>
      <c r="QAB90" s="61"/>
      <c r="QAC90" s="62"/>
      <c r="QAD90" s="53"/>
      <c r="QAE90" s="60"/>
      <c r="QAF90" s="60"/>
      <c r="QAG90" s="61"/>
      <c r="QAH90" s="61"/>
      <c r="QAI90" s="61"/>
      <c r="QAJ90" s="61"/>
      <c r="QAK90" s="62"/>
      <c r="QAL90" s="53"/>
      <c r="QAM90" s="60"/>
      <c r="QAN90" s="60"/>
      <c r="QAO90" s="61"/>
      <c r="QAP90" s="61"/>
      <c r="QAQ90" s="61"/>
      <c r="QAR90" s="61"/>
      <c r="QAS90" s="62"/>
      <c r="QAT90" s="53"/>
      <c r="QAU90" s="60"/>
      <c r="QAV90" s="60"/>
      <c r="QAW90" s="61"/>
      <c r="QAX90" s="61"/>
      <c r="QAY90" s="61"/>
      <c r="QAZ90" s="61"/>
      <c r="QBA90" s="62"/>
      <c r="QBB90" s="53"/>
      <c r="QBC90" s="60"/>
      <c r="QBD90" s="60"/>
      <c r="QBE90" s="61"/>
      <c r="QBF90" s="61"/>
      <c r="QBG90" s="61"/>
      <c r="QBH90" s="61"/>
      <c r="QBI90" s="62"/>
      <c r="QBJ90" s="53"/>
      <c r="QBK90" s="60"/>
      <c r="QBL90" s="60"/>
      <c r="QBM90" s="61"/>
      <c r="QBN90" s="61"/>
      <c r="QBO90" s="61"/>
      <c r="QBP90" s="61"/>
      <c r="QBQ90" s="62"/>
      <c r="QBR90" s="53"/>
      <c r="QBS90" s="60"/>
      <c r="QBT90" s="60"/>
      <c r="QBU90" s="61"/>
      <c r="QBV90" s="61"/>
      <c r="QBW90" s="61"/>
      <c r="QBX90" s="61"/>
      <c r="QBY90" s="62"/>
      <c r="QBZ90" s="53"/>
      <c r="QCA90" s="60"/>
      <c r="QCB90" s="60"/>
      <c r="QCC90" s="61"/>
      <c r="QCD90" s="61"/>
      <c r="QCE90" s="61"/>
      <c r="QCF90" s="61"/>
      <c r="QCG90" s="62"/>
      <c r="QCH90" s="53"/>
      <c r="QCI90" s="60"/>
      <c r="QCJ90" s="60"/>
      <c r="QCK90" s="61"/>
      <c r="QCL90" s="61"/>
      <c r="QCM90" s="61"/>
      <c r="QCN90" s="61"/>
      <c r="QCO90" s="62"/>
      <c r="QCP90" s="53"/>
      <c r="QCQ90" s="60"/>
      <c r="QCR90" s="60"/>
      <c r="QCS90" s="61"/>
      <c r="QCT90" s="61"/>
      <c r="QCU90" s="61"/>
      <c r="QCV90" s="61"/>
      <c r="QCW90" s="62"/>
      <c r="QCX90" s="53"/>
      <c r="QCY90" s="60"/>
      <c r="QCZ90" s="60"/>
      <c r="QDA90" s="61"/>
      <c r="QDB90" s="61"/>
      <c r="QDC90" s="61"/>
      <c r="QDD90" s="61"/>
      <c r="QDE90" s="62"/>
      <c r="QDF90" s="53"/>
      <c r="QDG90" s="60"/>
      <c r="QDH90" s="60"/>
      <c r="QDI90" s="61"/>
      <c r="QDJ90" s="61"/>
      <c r="QDK90" s="61"/>
      <c r="QDL90" s="61"/>
      <c r="QDM90" s="62"/>
      <c r="QDN90" s="53"/>
      <c r="QDO90" s="60"/>
      <c r="QDP90" s="60"/>
      <c r="QDQ90" s="61"/>
      <c r="QDR90" s="61"/>
      <c r="QDS90" s="61"/>
      <c r="QDT90" s="61"/>
      <c r="QDU90" s="62"/>
      <c r="QDV90" s="53"/>
      <c r="QDW90" s="60"/>
      <c r="QDX90" s="60"/>
      <c r="QDY90" s="61"/>
      <c r="QDZ90" s="61"/>
      <c r="QEA90" s="61"/>
      <c r="QEB90" s="61"/>
      <c r="QEC90" s="62"/>
      <c r="QED90" s="53"/>
      <c r="QEE90" s="60"/>
      <c r="QEF90" s="60"/>
      <c r="QEG90" s="61"/>
      <c r="QEH90" s="61"/>
      <c r="QEI90" s="61"/>
      <c r="QEJ90" s="61"/>
      <c r="QEK90" s="62"/>
      <c r="QEL90" s="53"/>
      <c r="QEM90" s="60"/>
      <c r="QEN90" s="60"/>
      <c r="QEO90" s="61"/>
      <c r="QEP90" s="61"/>
      <c r="QEQ90" s="61"/>
      <c r="QER90" s="61"/>
      <c r="QES90" s="62"/>
      <c r="QET90" s="53"/>
      <c r="QEU90" s="60"/>
      <c r="QEV90" s="60"/>
      <c r="QEW90" s="61"/>
      <c r="QEX90" s="61"/>
      <c r="QEY90" s="61"/>
      <c r="QEZ90" s="61"/>
      <c r="QFA90" s="62"/>
      <c r="QFB90" s="53"/>
      <c r="QFC90" s="60"/>
      <c r="QFD90" s="60"/>
      <c r="QFE90" s="61"/>
      <c r="QFF90" s="61"/>
      <c r="QFG90" s="61"/>
      <c r="QFH90" s="61"/>
      <c r="QFI90" s="62"/>
      <c r="QFJ90" s="53"/>
      <c r="QFK90" s="60"/>
      <c r="QFL90" s="60"/>
      <c r="QFM90" s="61"/>
      <c r="QFN90" s="61"/>
      <c r="QFO90" s="61"/>
      <c r="QFP90" s="61"/>
      <c r="QFQ90" s="62"/>
      <c r="QFR90" s="53"/>
      <c r="QFS90" s="60"/>
      <c r="QFT90" s="60"/>
      <c r="QFU90" s="61"/>
      <c r="QFV90" s="61"/>
      <c r="QFW90" s="61"/>
      <c r="QFX90" s="61"/>
      <c r="QFY90" s="62"/>
      <c r="QFZ90" s="53"/>
      <c r="QGA90" s="60"/>
      <c r="QGB90" s="60"/>
      <c r="QGC90" s="61"/>
      <c r="QGD90" s="61"/>
      <c r="QGE90" s="61"/>
      <c r="QGF90" s="61"/>
      <c r="QGG90" s="62"/>
      <c r="QGH90" s="53"/>
      <c r="QGI90" s="60"/>
      <c r="QGJ90" s="60"/>
      <c r="QGK90" s="61"/>
      <c r="QGL90" s="61"/>
      <c r="QGM90" s="61"/>
      <c r="QGN90" s="61"/>
      <c r="QGO90" s="62"/>
      <c r="QGP90" s="53"/>
      <c r="QGQ90" s="60"/>
      <c r="QGR90" s="60"/>
      <c r="QGS90" s="61"/>
      <c r="QGT90" s="61"/>
      <c r="QGU90" s="61"/>
      <c r="QGV90" s="61"/>
      <c r="QGW90" s="62"/>
      <c r="QGX90" s="53"/>
      <c r="QGY90" s="60"/>
      <c r="QGZ90" s="60"/>
      <c r="QHA90" s="61"/>
      <c r="QHB90" s="61"/>
      <c r="QHC90" s="61"/>
      <c r="QHD90" s="61"/>
      <c r="QHE90" s="62"/>
      <c r="QHF90" s="53"/>
      <c r="QHG90" s="60"/>
      <c r="QHH90" s="60"/>
      <c r="QHI90" s="61"/>
      <c r="QHJ90" s="61"/>
      <c r="QHK90" s="61"/>
      <c r="QHL90" s="61"/>
      <c r="QHM90" s="62"/>
      <c r="QHN90" s="53"/>
      <c r="QHO90" s="60"/>
      <c r="QHP90" s="60"/>
      <c r="QHQ90" s="61"/>
      <c r="QHR90" s="61"/>
      <c r="QHS90" s="61"/>
      <c r="QHT90" s="61"/>
      <c r="QHU90" s="62"/>
      <c r="QHV90" s="53"/>
      <c r="QHW90" s="60"/>
      <c r="QHX90" s="60"/>
      <c r="QHY90" s="61"/>
      <c r="QHZ90" s="61"/>
      <c r="QIA90" s="61"/>
      <c r="QIB90" s="61"/>
      <c r="QIC90" s="62"/>
      <c r="QID90" s="53"/>
      <c r="QIE90" s="60"/>
      <c r="QIF90" s="60"/>
      <c r="QIG90" s="61"/>
      <c r="QIH90" s="61"/>
      <c r="QII90" s="61"/>
      <c r="QIJ90" s="61"/>
      <c r="QIK90" s="62"/>
      <c r="QIL90" s="53"/>
      <c r="QIM90" s="60"/>
      <c r="QIN90" s="60"/>
      <c r="QIO90" s="61"/>
      <c r="QIP90" s="61"/>
      <c r="QIQ90" s="61"/>
      <c r="QIR90" s="61"/>
      <c r="QIS90" s="62"/>
      <c r="QIT90" s="53"/>
      <c r="QIU90" s="60"/>
      <c r="QIV90" s="60"/>
      <c r="QIW90" s="61"/>
      <c r="QIX90" s="61"/>
      <c r="QIY90" s="61"/>
      <c r="QIZ90" s="61"/>
      <c r="QJA90" s="62"/>
      <c r="QJB90" s="53"/>
      <c r="QJC90" s="60"/>
      <c r="QJD90" s="60"/>
      <c r="QJE90" s="61"/>
      <c r="QJF90" s="61"/>
      <c r="QJG90" s="61"/>
      <c r="QJH90" s="61"/>
      <c r="QJI90" s="62"/>
      <c r="QJJ90" s="53"/>
      <c r="QJK90" s="60"/>
      <c r="QJL90" s="60"/>
      <c r="QJM90" s="61"/>
      <c r="QJN90" s="61"/>
      <c r="QJO90" s="61"/>
      <c r="QJP90" s="61"/>
      <c r="QJQ90" s="62"/>
      <c r="QJR90" s="53"/>
      <c r="QJS90" s="60"/>
      <c r="QJT90" s="60"/>
      <c r="QJU90" s="61"/>
      <c r="QJV90" s="61"/>
      <c r="QJW90" s="61"/>
      <c r="QJX90" s="61"/>
      <c r="QJY90" s="62"/>
      <c r="QJZ90" s="53"/>
      <c r="QKA90" s="60"/>
      <c r="QKB90" s="60"/>
      <c r="QKC90" s="61"/>
      <c r="QKD90" s="61"/>
      <c r="QKE90" s="61"/>
      <c r="QKF90" s="61"/>
      <c r="QKG90" s="62"/>
      <c r="QKH90" s="53"/>
      <c r="QKI90" s="60"/>
      <c r="QKJ90" s="60"/>
      <c r="QKK90" s="61"/>
      <c r="QKL90" s="61"/>
      <c r="QKM90" s="61"/>
      <c r="QKN90" s="61"/>
      <c r="QKO90" s="62"/>
      <c r="QKP90" s="53"/>
      <c r="QKQ90" s="60"/>
      <c r="QKR90" s="60"/>
      <c r="QKS90" s="61"/>
      <c r="QKT90" s="61"/>
      <c r="QKU90" s="61"/>
      <c r="QKV90" s="61"/>
      <c r="QKW90" s="62"/>
      <c r="QKX90" s="53"/>
      <c r="QKY90" s="60"/>
      <c r="QKZ90" s="60"/>
      <c r="QLA90" s="61"/>
      <c r="QLB90" s="61"/>
      <c r="QLC90" s="61"/>
      <c r="QLD90" s="61"/>
      <c r="QLE90" s="62"/>
      <c r="QLF90" s="53"/>
      <c r="QLG90" s="60"/>
      <c r="QLH90" s="60"/>
      <c r="QLI90" s="61"/>
      <c r="QLJ90" s="61"/>
      <c r="QLK90" s="61"/>
      <c r="QLL90" s="61"/>
      <c r="QLM90" s="62"/>
      <c r="QLN90" s="53"/>
      <c r="QLO90" s="60"/>
      <c r="QLP90" s="60"/>
      <c r="QLQ90" s="61"/>
      <c r="QLR90" s="61"/>
      <c r="QLS90" s="61"/>
      <c r="QLT90" s="61"/>
      <c r="QLU90" s="62"/>
      <c r="QLV90" s="53"/>
      <c r="QLW90" s="60"/>
      <c r="QLX90" s="60"/>
      <c r="QLY90" s="61"/>
      <c r="QLZ90" s="61"/>
      <c r="QMA90" s="61"/>
      <c r="QMB90" s="61"/>
      <c r="QMC90" s="62"/>
      <c r="QMD90" s="53"/>
      <c r="QME90" s="60"/>
      <c r="QMF90" s="60"/>
      <c r="QMG90" s="61"/>
      <c r="QMH90" s="61"/>
      <c r="QMI90" s="61"/>
      <c r="QMJ90" s="61"/>
      <c r="QMK90" s="62"/>
      <c r="QML90" s="53"/>
      <c r="QMM90" s="60"/>
      <c r="QMN90" s="60"/>
      <c r="QMO90" s="61"/>
      <c r="QMP90" s="61"/>
      <c r="QMQ90" s="61"/>
      <c r="QMR90" s="61"/>
      <c r="QMS90" s="62"/>
      <c r="QMT90" s="53"/>
      <c r="QMU90" s="60"/>
      <c r="QMV90" s="60"/>
      <c r="QMW90" s="61"/>
      <c r="QMX90" s="61"/>
      <c r="QMY90" s="61"/>
      <c r="QMZ90" s="61"/>
      <c r="QNA90" s="62"/>
      <c r="QNB90" s="53"/>
      <c r="QNC90" s="60"/>
      <c r="QND90" s="60"/>
      <c r="QNE90" s="61"/>
      <c r="QNF90" s="61"/>
      <c r="QNG90" s="61"/>
      <c r="QNH90" s="61"/>
      <c r="QNI90" s="62"/>
      <c r="QNJ90" s="53"/>
      <c r="QNK90" s="60"/>
      <c r="QNL90" s="60"/>
      <c r="QNM90" s="61"/>
      <c r="QNN90" s="61"/>
      <c r="QNO90" s="61"/>
      <c r="QNP90" s="61"/>
      <c r="QNQ90" s="62"/>
      <c r="QNR90" s="53"/>
      <c r="QNS90" s="60"/>
      <c r="QNT90" s="60"/>
      <c r="QNU90" s="61"/>
      <c r="QNV90" s="61"/>
      <c r="QNW90" s="61"/>
      <c r="QNX90" s="61"/>
      <c r="QNY90" s="62"/>
      <c r="QNZ90" s="53"/>
      <c r="QOA90" s="60"/>
      <c r="QOB90" s="60"/>
      <c r="QOC90" s="61"/>
      <c r="QOD90" s="61"/>
      <c r="QOE90" s="61"/>
      <c r="QOF90" s="61"/>
      <c r="QOG90" s="62"/>
      <c r="QOH90" s="53"/>
      <c r="QOI90" s="60"/>
      <c r="QOJ90" s="60"/>
      <c r="QOK90" s="61"/>
      <c r="QOL90" s="61"/>
      <c r="QOM90" s="61"/>
      <c r="QON90" s="61"/>
      <c r="QOO90" s="62"/>
      <c r="QOP90" s="53"/>
      <c r="QOQ90" s="60"/>
      <c r="QOR90" s="60"/>
      <c r="QOS90" s="61"/>
      <c r="QOT90" s="61"/>
      <c r="QOU90" s="61"/>
      <c r="QOV90" s="61"/>
      <c r="QOW90" s="62"/>
      <c r="QOX90" s="53"/>
      <c r="QOY90" s="60"/>
      <c r="QOZ90" s="60"/>
      <c r="QPA90" s="61"/>
      <c r="QPB90" s="61"/>
      <c r="QPC90" s="61"/>
      <c r="QPD90" s="61"/>
      <c r="QPE90" s="62"/>
      <c r="QPF90" s="53"/>
      <c r="QPG90" s="60"/>
      <c r="QPH90" s="60"/>
      <c r="QPI90" s="61"/>
      <c r="QPJ90" s="61"/>
      <c r="QPK90" s="61"/>
      <c r="QPL90" s="61"/>
      <c r="QPM90" s="62"/>
      <c r="QPN90" s="53"/>
      <c r="QPO90" s="60"/>
      <c r="QPP90" s="60"/>
      <c r="QPQ90" s="61"/>
      <c r="QPR90" s="61"/>
      <c r="QPS90" s="61"/>
      <c r="QPT90" s="61"/>
      <c r="QPU90" s="62"/>
      <c r="QPV90" s="53"/>
      <c r="QPW90" s="60"/>
      <c r="QPX90" s="60"/>
      <c r="QPY90" s="61"/>
      <c r="QPZ90" s="61"/>
      <c r="QQA90" s="61"/>
      <c r="QQB90" s="61"/>
      <c r="QQC90" s="62"/>
      <c r="QQD90" s="53"/>
      <c r="QQE90" s="60"/>
      <c r="QQF90" s="60"/>
      <c r="QQG90" s="61"/>
      <c r="QQH90" s="61"/>
      <c r="QQI90" s="61"/>
      <c r="QQJ90" s="61"/>
      <c r="QQK90" s="62"/>
      <c r="QQL90" s="53"/>
      <c r="QQM90" s="60"/>
      <c r="QQN90" s="60"/>
      <c r="QQO90" s="61"/>
      <c r="QQP90" s="61"/>
      <c r="QQQ90" s="61"/>
      <c r="QQR90" s="61"/>
      <c r="QQS90" s="62"/>
      <c r="QQT90" s="53"/>
      <c r="QQU90" s="60"/>
      <c r="QQV90" s="60"/>
      <c r="QQW90" s="61"/>
      <c r="QQX90" s="61"/>
      <c r="QQY90" s="61"/>
      <c r="QQZ90" s="61"/>
      <c r="QRA90" s="62"/>
      <c r="QRB90" s="53"/>
      <c r="QRC90" s="60"/>
      <c r="QRD90" s="60"/>
      <c r="QRE90" s="61"/>
      <c r="QRF90" s="61"/>
      <c r="QRG90" s="61"/>
      <c r="QRH90" s="61"/>
      <c r="QRI90" s="62"/>
      <c r="QRJ90" s="53"/>
      <c r="QRK90" s="60"/>
      <c r="QRL90" s="60"/>
      <c r="QRM90" s="61"/>
      <c r="QRN90" s="61"/>
      <c r="QRO90" s="61"/>
      <c r="QRP90" s="61"/>
      <c r="QRQ90" s="62"/>
      <c r="QRR90" s="53"/>
      <c r="QRS90" s="60"/>
      <c r="QRT90" s="60"/>
      <c r="QRU90" s="61"/>
      <c r="QRV90" s="61"/>
      <c r="QRW90" s="61"/>
      <c r="QRX90" s="61"/>
      <c r="QRY90" s="62"/>
      <c r="QRZ90" s="53"/>
      <c r="QSA90" s="60"/>
      <c r="QSB90" s="60"/>
      <c r="QSC90" s="61"/>
      <c r="QSD90" s="61"/>
      <c r="QSE90" s="61"/>
      <c r="QSF90" s="61"/>
      <c r="QSG90" s="62"/>
      <c r="QSH90" s="53"/>
      <c r="QSI90" s="60"/>
      <c r="QSJ90" s="60"/>
      <c r="QSK90" s="61"/>
      <c r="QSL90" s="61"/>
      <c r="QSM90" s="61"/>
      <c r="QSN90" s="61"/>
      <c r="QSO90" s="62"/>
      <c r="QSP90" s="53"/>
      <c r="QSQ90" s="60"/>
      <c r="QSR90" s="60"/>
      <c r="QSS90" s="61"/>
      <c r="QST90" s="61"/>
      <c r="QSU90" s="61"/>
      <c r="QSV90" s="61"/>
      <c r="QSW90" s="62"/>
      <c r="QSX90" s="53"/>
      <c r="QSY90" s="60"/>
      <c r="QSZ90" s="60"/>
      <c r="QTA90" s="61"/>
      <c r="QTB90" s="61"/>
      <c r="QTC90" s="61"/>
      <c r="QTD90" s="61"/>
      <c r="QTE90" s="62"/>
      <c r="QTF90" s="53"/>
      <c r="QTG90" s="60"/>
      <c r="QTH90" s="60"/>
      <c r="QTI90" s="61"/>
      <c r="QTJ90" s="61"/>
      <c r="QTK90" s="61"/>
      <c r="QTL90" s="61"/>
      <c r="QTM90" s="62"/>
      <c r="QTN90" s="53"/>
      <c r="QTO90" s="60"/>
      <c r="QTP90" s="60"/>
      <c r="QTQ90" s="61"/>
      <c r="QTR90" s="61"/>
      <c r="QTS90" s="61"/>
      <c r="QTT90" s="61"/>
      <c r="QTU90" s="62"/>
      <c r="QTV90" s="53"/>
      <c r="QTW90" s="60"/>
      <c r="QTX90" s="60"/>
      <c r="QTY90" s="61"/>
      <c r="QTZ90" s="61"/>
      <c r="QUA90" s="61"/>
      <c r="QUB90" s="61"/>
      <c r="QUC90" s="62"/>
      <c r="QUD90" s="53"/>
      <c r="QUE90" s="60"/>
      <c r="QUF90" s="60"/>
      <c r="QUG90" s="61"/>
      <c r="QUH90" s="61"/>
      <c r="QUI90" s="61"/>
      <c r="QUJ90" s="61"/>
      <c r="QUK90" s="62"/>
      <c r="QUL90" s="53"/>
      <c r="QUM90" s="60"/>
      <c r="QUN90" s="60"/>
      <c r="QUO90" s="61"/>
      <c r="QUP90" s="61"/>
      <c r="QUQ90" s="61"/>
      <c r="QUR90" s="61"/>
      <c r="QUS90" s="62"/>
      <c r="QUT90" s="53"/>
      <c r="QUU90" s="60"/>
      <c r="QUV90" s="60"/>
      <c r="QUW90" s="61"/>
      <c r="QUX90" s="61"/>
      <c r="QUY90" s="61"/>
      <c r="QUZ90" s="61"/>
      <c r="QVA90" s="62"/>
      <c r="QVB90" s="53"/>
      <c r="QVC90" s="60"/>
      <c r="QVD90" s="60"/>
      <c r="QVE90" s="61"/>
      <c r="QVF90" s="61"/>
      <c r="QVG90" s="61"/>
      <c r="QVH90" s="61"/>
      <c r="QVI90" s="62"/>
      <c r="QVJ90" s="53"/>
      <c r="QVK90" s="60"/>
      <c r="QVL90" s="60"/>
      <c r="QVM90" s="61"/>
      <c r="QVN90" s="61"/>
      <c r="QVO90" s="61"/>
      <c r="QVP90" s="61"/>
      <c r="QVQ90" s="62"/>
      <c r="QVR90" s="53"/>
      <c r="QVS90" s="60"/>
      <c r="QVT90" s="60"/>
      <c r="QVU90" s="61"/>
      <c r="QVV90" s="61"/>
      <c r="QVW90" s="61"/>
      <c r="QVX90" s="61"/>
      <c r="QVY90" s="62"/>
      <c r="QVZ90" s="53"/>
      <c r="QWA90" s="60"/>
      <c r="QWB90" s="60"/>
      <c r="QWC90" s="61"/>
      <c r="QWD90" s="61"/>
      <c r="QWE90" s="61"/>
      <c r="QWF90" s="61"/>
      <c r="QWG90" s="62"/>
      <c r="QWH90" s="53"/>
      <c r="QWI90" s="60"/>
      <c r="QWJ90" s="60"/>
      <c r="QWK90" s="61"/>
      <c r="QWL90" s="61"/>
      <c r="QWM90" s="61"/>
      <c r="QWN90" s="61"/>
      <c r="QWO90" s="62"/>
      <c r="QWP90" s="53"/>
      <c r="QWQ90" s="60"/>
      <c r="QWR90" s="60"/>
      <c r="QWS90" s="61"/>
      <c r="QWT90" s="61"/>
      <c r="QWU90" s="61"/>
      <c r="QWV90" s="61"/>
      <c r="QWW90" s="62"/>
      <c r="QWX90" s="53"/>
      <c r="QWY90" s="60"/>
      <c r="QWZ90" s="60"/>
      <c r="QXA90" s="61"/>
      <c r="QXB90" s="61"/>
      <c r="QXC90" s="61"/>
      <c r="QXD90" s="61"/>
      <c r="QXE90" s="62"/>
      <c r="QXF90" s="53"/>
      <c r="QXG90" s="60"/>
      <c r="QXH90" s="60"/>
      <c r="QXI90" s="61"/>
      <c r="QXJ90" s="61"/>
      <c r="QXK90" s="61"/>
      <c r="QXL90" s="61"/>
      <c r="QXM90" s="62"/>
      <c r="QXN90" s="53"/>
      <c r="QXO90" s="60"/>
      <c r="QXP90" s="60"/>
      <c r="QXQ90" s="61"/>
      <c r="QXR90" s="61"/>
      <c r="QXS90" s="61"/>
      <c r="QXT90" s="61"/>
      <c r="QXU90" s="62"/>
      <c r="QXV90" s="53"/>
      <c r="QXW90" s="60"/>
      <c r="QXX90" s="60"/>
      <c r="QXY90" s="61"/>
      <c r="QXZ90" s="61"/>
      <c r="QYA90" s="61"/>
      <c r="QYB90" s="61"/>
      <c r="QYC90" s="62"/>
      <c r="QYD90" s="53"/>
      <c r="QYE90" s="60"/>
      <c r="QYF90" s="60"/>
      <c r="QYG90" s="61"/>
      <c r="QYH90" s="61"/>
      <c r="QYI90" s="61"/>
      <c r="QYJ90" s="61"/>
      <c r="QYK90" s="62"/>
      <c r="QYL90" s="53"/>
      <c r="QYM90" s="60"/>
      <c r="QYN90" s="60"/>
      <c r="QYO90" s="61"/>
      <c r="QYP90" s="61"/>
      <c r="QYQ90" s="61"/>
      <c r="QYR90" s="61"/>
      <c r="QYS90" s="62"/>
      <c r="QYT90" s="53"/>
      <c r="QYU90" s="60"/>
      <c r="QYV90" s="60"/>
      <c r="QYW90" s="61"/>
      <c r="QYX90" s="61"/>
      <c r="QYY90" s="61"/>
      <c r="QYZ90" s="61"/>
      <c r="QZA90" s="62"/>
      <c r="QZB90" s="53"/>
      <c r="QZC90" s="60"/>
      <c r="QZD90" s="60"/>
      <c r="QZE90" s="61"/>
      <c r="QZF90" s="61"/>
      <c r="QZG90" s="61"/>
      <c r="QZH90" s="61"/>
      <c r="QZI90" s="62"/>
      <c r="QZJ90" s="53"/>
      <c r="QZK90" s="60"/>
      <c r="QZL90" s="60"/>
      <c r="QZM90" s="61"/>
      <c r="QZN90" s="61"/>
      <c r="QZO90" s="61"/>
      <c r="QZP90" s="61"/>
      <c r="QZQ90" s="62"/>
      <c r="QZR90" s="53"/>
      <c r="QZS90" s="60"/>
      <c r="QZT90" s="60"/>
      <c r="QZU90" s="61"/>
      <c r="QZV90" s="61"/>
      <c r="QZW90" s="61"/>
      <c r="QZX90" s="61"/>
      <c r="QZY90" s="62"/>
      <c r="QZZ90" s="53"/>
      <c r="RAA90" s="60"/>
      <c r="RAB90" s="60"/>
      <c r="RAC90" s="61"/>
      <c r="RAD90" s="61"/>
      <c r="RAE90" s="61"/>
      <c r="RAF90" s="61"/>
      <c r="RAG90" s="62"/>
      <c r="RAH90" s="53"/>
      <c r="RAI90" s="60"/>
      <c r="RAJ90" s="60"/>
      <c r="RAK90" s="61"/>
      <c r="RAL90" s="61"/>
      <c r="RAM90" s="61"/>
      <c r="RAN90" s="61"/>
      <c r="RAO90" s="62"/>
      <c r="RAP90" s="53"/>
      <c r="RAQ90" s="60"/>
      <c r="RAR90" s="60"/>
      <c r="RAS90" s="61"/>
      <c r="RAT90" s="61"/>
      <c r="RAU90" s="61"/>
      <c r="RAV90" s="61"/>
      <c r="RAW90" s="62"/>
      <c r="RAX90" s="53"/>
      <c r="RAY90" s="60"/>
      <c r="RAZ90" s="60"/>
      <c r="RBA90" s="61"/>
      <c r="RBB90" s="61"/>
      <c r="RBC90" s="61"/>
      <c r="RBD90" s="61"/>
      <c r="RBE90" s="62"/>
      <c r="RBF90" s="53"/>
      <c r="RBG90" s="60"/>
      <c r="RBH90" s="60"/>
      <c r="RBI90" s="61"/>
      <c r="RBJ90" s="61"/>
      <c r="RBK90" s="61"/>
      <c r="RBL90" s="61"/>
      <c r="RBM90" s="62"/>
      <c r="RBN90" s="53"/>
      <c r="RBO90" s="60"/>
      <c r="RBP90" s="60"/>
      <c r="RBQ90" s="61"/>
      <c r="RBR90" s="61"/>
      <c r="RBS90" s="61"/>
      <c r="RBT90" s="61"/>
      <c r="RBU90" s="62"/>
      <c r="RBV90" s="53"/>
      <c r="RBW90" s="60"/>
      <c r="RBX90" s="60"/>
      <c r="RBY90" s="61"/>
      <c r="RBZ90" s="61"/>
      <c r="RCA90" s="61"/>
      <c r="RCB90" s="61"/>
      <c r="RCC90" s="62"/>
      <c r="RCD90" s="53"/>
      <c r="RCE90" s="60"/>
      <c r="RCF90" s="60"/>
      <c r="RCG90" s="61"/>
      <c r="RCH90" s="61"/>
      <c r="RCI90" s="61"/>
      <c r="RCJ90" s="61"/>
      <c r="RCK90" s="62"/>
      <c r="RCL90" s="53"/>
      <c r="RCM90" s="60"/>
      <c r="RCN90" s="60"/>
      <c r="RCO90" s="61"/>
      <c r="RCP90" s="61"/>
      <c r="RCQ90" s="61"/>
      <c r="RCR90" s="61"/>
      <c r="RCS90" s="62"/>
      <c r="RCT90" s="53"/>
      <c r="RCU90" s="60"/>
      <c r="RCV90" s="60"/>
      <c r="RCW90" s="61"/>
      <c r="RCX90" s="61"/>
      <c r="RCY90" s="61"/>
      <c r="RCZ90" s="61"/>
      <c r="RDA90" s="62"/>
      <c r="RDB90" s="53"/>
      <c r="RDC90" s="60"/>
      <c r="RDD90" s="60"/>
      <c r="RDE90" s="61"/>
      <c r="RDF90" s="61"/>
      <c r="RDG90" s="61"/>
      <c r="RDH90" s="61"/>
      <c r="RDI90" s="62"/>
      <c r="RDJ90" s="53"/>
      <c r="RDK90" s="60"/>
      <c r="RDL90" s="60"/>
      <c r="RDM90" s="61"/>
      <c r="RDN90" s="61"/>
      <c r="RDO90" s="61"/>
      <c r="RDP90" s="61"/>
      <c r="RDQ90" s="62"/>
      <c r="RDR90" s="53"/>
      <c r="RDS90" s="60"/>
      <c r="RDT90" s="60"/>
      <c r="RDU90" s="61"/>
      <c r="RDV90" s="61"/>
      <c r="RDW90" s="61"/>
      <c r="RDX90" s="61"/>
      <c r="RDY90" s="62"/>
      <c r="RDZ90" s="53"/>
      <c r="REA90" s="60"/>
      <c r="REB90" s="60"/>
      <c r="REC90" s="61"/>
      <c r="RED90" s="61"/>
      <c r="REE90" s="61"/>
      <c r="REF90" s="61"/>
      <c r="REG90" s="62"/>
      <c r="REH90" s="53"/>
      <c r="REI90" s="60"/>
      <c r="REJ90" s="60"/>
      <c r="REK90" s="61"/>
      <c r="REL90" s="61"/>
      <c r="REM90" s="61"/>
      <c r="REN90" s="61"/>
      <c r="REO90" s="62"/>
      <c r="REP90" s="53"/>
      <c r="REQ90" s="60"/>
      <c r="RER90" s="60"/>
      <c r="RES90" s="61"/>
      <c r="RET90" s="61"/>
      <c r="REU90" s="61"/>
      <c r="REV90" s="61"/>
      <c r="REW90" s="62"/>
      <c r="REX90" s="53"/>
      <c r="REY90" s="60"/>
      <c r="REZ90" s="60"/>
      <c r="RFA90" s="61"/>
      <c r="RFB90" s="61"/>
      <c r="RFC90" s="61"/>
      <c r="RFD90" s="61"/>
      <c r="RFE90" s="62"/>
      <c r="RFF90" s="53"/>
      <c r="RFG90" s="60"/>
      <c r="RFH90" s="60"/>
      <c r="RFI90" s="61"/>
      <c r="RFJ90" s="61"/>
      <c r="RFK90" s="61"/>
      <c r="RFL90" s="61"/>
      <c r="RFM90" s="62"/>
      <c r="RFN90" s="53"/>
      <c r="RFO90" s="60"/>
      <c r="RFP90" s="60"/>
      <c r="RFQ90" s="61"/>
      <c r="RFR90" s="61"/>
      <c r="RFS90" s="61"/>
      <c r="RFT90" s="61"/>
      <c r="RFU90" s="62"/>
      <c r="RFV90" s="53"/>
      <c r="RFW90" s="60"/>
      <c r="RFX90" s="60"/>
      <c r="RFY90" s="61"/>
      <c r="RFZ90" s="61"/>
      <c r="RGA90" s="61"/>
      <c r="RGB90" s="61"/>
      <c r="RGC90" s="62"/>
      <c r="RGD90" s="53"/>
      <c r="RGE90" s="60"/>
      <c r="RGF90" s="60"/>
      <c r="RGG90" s="61"/>
      <c r="RGH90" s="61"/>
      <c r="RGI90" s="61"/>
      <c r="RGJ90" s="61"/>
      <c r="RGK90" s="62"/>
      <c r="RGL90" s="53"/>
      <c r="RGM90" s="60"/>
      <c r="RGN90" s="60"/>
      <c r="RGO90" s="61"/>
      <c r="RGP90" s="61"/>
      <c r="RGQ90" s="61"/>
      <c r="RGR90" s="61"/>
      <c r="RGS90" s="62"/>
      <c r="RGT90" s="53"/>
      <c r="RGU90" s="60"/>
      <c r="RGV90" s="60"/>
      <c r="RGW90" s="61"/>
      <c r="RGX90" s="61"/>
      <c r="RGY90" s="61"/>
      <c r="RGZ90" s="61"/>
      <c r="RHA90" s="62"/>
      <c r="RHB90" s="53"/>
      <c r="RHC90" s="60"/>
      <c r="RHD90" s="60"/>
      <c r="RHE90" s="61"/>
      <c r="RHF90" s="61"/>
      <c r="RHG90" s="61"/>
      <c r="RHH90" s="61"/>
      <c r="RHI90" s="62"/>
      <c r="RHJ90" s="53"/>
      <c r="RHK90" s="60"/>
      <c r="RHL90" s="60"/>
      <c r="RHM90" s="61"/>
      <c r="RHN90" s="61"/>
      <c r="RHO90" s="61"/>
      <c r="RHP90" s="61"/>
      <c r="RHQ90" s="62"/>
      <c r="RHR90" s="53"/>
      <c r="RHS90" s="60"/>
      <c r="RHT90" s="60"/>
      <c r="RHU90" s="61"/>
      <c r="RHV90" s="61"/>
      <c r="RHW90" s="61"/>
      <c r="RHX90" s="61"/>
      <c r="RHY90" s="62"/>
      <c r="RHZ90" s="53"/>
      <c r="RIA90" s="60"/>
      <c r="RIB90" s="60"/>
      <c r="RIC90" s="61"/>
      <c r="RID90" s="61"/>
      <c r="RIE90" s="61"/>
      <c r="RIF90" s="61"/>
      <c r="RIG90" s="62"/>
      <c r="RIH90" s="53"/>
      <c r="RII90" s="60"/>
      <c r="RIJ90" s="60"/>
      <c r="RIK90" s="61"/>
      <c r="RIL90" s="61"/>
      <c r="RIM90" s="61"/>
      <c r="RIN90" s="61"/>
      <c r="RIO90" s="62"/>
      <c r="RIP90" s="53"/>
      <c r="RIQ90" s="60"/>
      <c r="RIR90" s="60"/>
      <c r="RIS90" s="61"/>
      <c r="RIT90" s="61"/>
      <c r="RIU90" s="61"/>
      <c r="RIV90" s="61"/>
      <c r="RIW90" s="62"/>
      <c r="RIX90" s="53"/>
      <c r="RIY90" s="60"/>
      <c r="RIZ90" s="60"/>
      <c r="RJA90" s="61"/>
      <c r="RJB90" s="61"/>
      <c r="RJC90" s="61"/>
      <c r="RJD90" s="61"/>
      <c r="RJE90" s="62"/>
      <c r="RJF90" s="53"/>
      <c r="RJG90" s="60"/>
      <c r="RJH90" s="60"/>
      <c r="RJI90" s="61"/>
      <c r="RJJ90" s="61"/>
      <c r="RJK90" s="61"/>
      <c r="RJL90" s="61"/>
      <c r="RJM90" s="62"/>
      <c r="RJN90" s="53"/>
      <c r="RJO90" s="60"/>
      <c r="RJP90" s="60"/>
      <c r="RJQ90" s="61"/>
      <c r="RJR90" s="61"/>
      <c r="RJS90" s="61"/>
      <c r="RJT90" s="61"/>
      <c r="RJU90" s="62"/>
      <c r="RJV90" s="53"/>
      <c r="RJW90" s="60"/>
      <c r="RJX90" s="60"/>
      <c r="RJY90" s="61"/>
      <c r="RJZ90" s="61"/>
      <c r="RKA90" s="61"/>
      <c r="RKB90" s="61"/>
      <c r="RKC90" s="62"/>
      <c r="RKD90" s="53"/>
      <c r="RKE90" s="60"/>
      <c r="RKF90" s="60"/>
      <c r="RKG90" s="61"/>
      <c r="RKH90" s="61"/>
      <c r="RKI90" s="61"/>
      <c r="RKJ90" s="61"/>
      <c r="RKK90" s="62"/>
      <c r="RKL90" s="53"/>
      <c r="RKM90" s="60"/>
      <c r="RKN90" s="60"/>
      <c r="RKO90" s="61"/>
      <c r="RKP90" s="61"/>
      <c r="RKQ90" s="61"/>
      <c r="RKR90" s="61"/>
      <c r="RKS90" s="62"/>
      <c r="RKT90" s="53"/>
      <c r="RKU90" s="60"/>
      <c r="RKV90" s="60"/>
      <c r="RKW90" s="61"/>
      <c r="RKX90" s="61"/>
      <c r="RKY90" s="61"/>
      <c r="RKZ90" s="61"/>
      <c r="RLA90" s="62"/>
      <c r="RLB90" s="53"/>
      <c r="RLC90" s="60"/>
      <c r="RLD90" s="60"/>
      <c r="RLE90" s="61"/>
      <c r="RLF90" s="61"/>
      <c r="RLG90" s="61"/>
      <c r="RLH90" s="61"/>
      <c r="RLI90" s="62"/>
      <c r="RLJ90" s="53"/>
      <c r="RLK90" s="60"/>
      <c r="RLL90" s="60"/>
      <c r="RLM90" s="61"/>
      <c r="RLN90" s="61"/>
      <c r="RLO90" s="61"/>
      <c r="RLP90" s="61"/>
      <c r="RLQ90" s="62"/>
      <c r="RLR90" s="53"/>
      <c r="RLS90" s="60"/>
      <c r="RLT90" s="60"/>
      <c r="RLU90" s="61"/>
      <c r="RLV90" s="61"/>
      <c r="RLW90" s="61"/>
      <c r="RLX90" s="61"/>
      <c r="RLY90" s="62"/>
      <c r="RLZ90" s="53"/>
      <c r="RMA90" s="60"/>
      <c r="RMB90" s="60"/>
      <c r="RMC90" s="61"/>
      <c r="RMD90" s="61"/>
      <c r="RME90" s="61"/>
      <c r="RMF90" s="61"/>
      <c r="RMG90" s="62"/>
      <c r="RMH90" s="53"/>
      <c r="RMI90" s="60"/>
      <c r="RMJ90" s="60"/>
      <c r="RMK90" s="61"/>
      <c r="RML90" s="61"/>
      <c r="RMM90" s="61"/>
      <c r="RMN90" s="61"/>
      <c r="RMO90" s="62"/>
      <c r="RMP90" s="53"/>
      <c r="RMQ90" s="60"/>
      <c r="RMR90" s="60"/>
      <c r="RMS90" s="61"/>
      <c r="RMT90" s="61"/>
      <c r="RMU90" s="61"/>
      <c r="RMV90" s="61"/>
      <c r="RMW90" s="62"/>
      <c r="RMX90" s="53"/>
      <c r="RMY90" s="60"/>
      <c r="RMZ90" s="60"/>
      <c r="RNA90" s="61"/>
      <c r="RNB90" s="61"/>
      <c r="RNC90" s="61"/>
      <c r="RND90" s="61"/>
      <c r="RNE90" s="62"/>
      <c r="RNF90" s="53"/>
      <c r="RNG90" s="60"/>
      <c r="RNH90" s="60"/>
      <c r="RNI90" s="61"/>
      <c r="RNJ90" s="61"/>
      <c r="RNK90" s="61"/>
      <c r="RNL90" s="61"/>
      <c r="RNM90" s="62"/>
      <c r="RNN90" s="53"/>
      <c r="RNO90" s="60"/>
      <c r="RNP90" s="60"/>
      <c r="RNQ90" s="61"/>
      <c r="RNR90" s="61"/>
      <c r="RNS90" s="61"/>
      <c r="RNT90" s="61"/>
      <c r="RNU90" s="62"/>
      <c r="RNV90" s="53"/>
      <c r="RNW90" s="60"/>
      <c r="RNX90" s="60"/>
      <c r="RNY90" s="61"/>
      <c r="RNZ90" s="61"/>
      <c r="ROA90" s="61"/>
      <c r="ROB90" s="61"/>
      <c r="ROC90" s="62"/>
      <c r="ROD90" s="53"/>
      <c r="ROE90" s="60"/>
      <c r="ROF90" s="60"/>
      <c r="ROG90" s="61"/>
      <c r="ROH90" s="61"/>
      <c r="ROI90" s="61"/>
      <c r="ROJ90" s="61"/>
      <c r="ROK90" s="62"/>
      <c r="ROL90" s="53"/>
      <c r="ROM90" s="60"/>
      <c r="RON90" s="60"/>
      <c r="ROO90" s="61"/>
      <c r="ROP90" s="61"/>
      <c r="ROQ90" s="61"/>
      <c r="ROR90" s="61"/>
      <c r="ROS90" s="62"/>
      <c r="ROT90" s="53"/>
      <c r="ROU90" s="60"/>
      <c r="ROV90" s="60"/>
      <c r="ROW90" s="61"/>
      <c r="ROX90" s="61"/>
      <c r="ROY90" s="61"/>
      <c r="ROZ90" s="61"/>
      <c r="RPA90" s="62"/>
      <c r="RPB90" s="53"/>
      <c r="RPC90" s="60"/>
      <c r="RPD90" s="60"/>
      <c r="RPE90" s="61"/>
      <c r="RPF90" s="61"/>
      <c r="RPG90" s="61"/>
      <c r="RPH90" s="61"/>
      <c r="RPI90" s="62"/>
      <c r="RPJ90" s="53"/>
      <c r="RPK90" s="60"/>
      <c r="RPL90" s="60"/>
      <c r="RPM90" s="61"/>
      <c r="RPN90" s="61"/>
      <c r="RPO90" s="61"/>
      <c r="RPP90" s="61"/>
      <c r="RPQ90" s="62"/>
      <c r="RPR90" s="53"/>
      <c r="RPS90" s="60"/>
      <c r="RPT90" s="60"/>
      <c r="RPU90" s="61"/>
      <c r="RPV90" s="61"/>
      <c r="RPW90" s="61"/>
      <c r="RPX90" s="61"/>
      <c r="RPY90" s="62"/>
      <c r="RPZ90" s="53"/>
      <c r="RQA90" s="60"/>
      <c r="RQB90" s="60"/>
      <c r="RQC90" s="61"/>
      <c r="RQD90" s="61"/>
      <c r="RQE90" s="61"/>
      <c r="RQF90" s="61"/>
      <c r="RQG90" s="62"/>
      <c r="RQH90" s="53"/>
      <c r="RQI90" s="60"/>
      <c r="RQJ90" s="60"/>
      <c r="RQK90" s="61"/>
      <c r="RQL90" s="61"/>
      <c r="RQM90" s="61"/>
      <c r="RQN90" s="61"/>
      <c r="RQO90" s="62"/>
      <c r="RQP90" s="53"/>
      <c r="RQQ90" s="60"/>
      <c r="RQR90" s="60"/>
      <c r="RQS90" s="61"/>
      <c r="RQT90" s="61"/>
      <c r="RQU90" s="61"/>
      <c r="RQV90" s="61"/>
      <c r="RQW90" s="62"/>
      <c r="RQX90" s="53"/>
      <c r="RQY90" s="60"/>
      <c r="RQZ90" s="60"/>
      <c r="RRA90" s="61"/>
      <c r="RRB90" s="61"/>
      <c r="RRC90" s="61"/>
      <c r="RRD90" s="61"/>
      <c r="RRE90" s="62"/>
      <c r="RRF90" s="53"/>
      <c r="RRG90" s="60"/>
      <c r="RRH90" s="60"/>
      <c r="RRI90" s="61"/>
      <c r="RRJ90" s="61"/>
      <c r="RRK90" s="61"/>
      <c r="RRL90" s="61"/>
      <c r="RRM90" s="62"/>
      <c r="RRN90" s="53"/>
      <c r="RRO90" s="60"/>
      <c r="RRP90" s="60"/>
      <c r="RRQ90" s="61"/>
      <c r="RRR90" s="61"/>
      <c r="RRS90" s="61"/>
      <c r="RRT90" s="61"/>
      <c r="RRU90" s="62"/>
      <c r="RRV90" s="53"/>
      <c r="RRW90" s="60"/>
      <c r="RRX90" s="60"/>
      <c r="RRY90" s="61"/>
      <c r="RRZ90" s="61"/>
      <c r="RSA90" s="61"/>
      <c r="RSB90" s="61"/>
      <c r="RSC90" s="62"/>
      <c r="RSD90" s="53"/>
      <c r="RSE90" s="60"/>
      <c r="RSF90" s="60"/>
      <c r="RSG90" s="61"/>
      <c r="RSH90" s="61"/>
      <c r="RSI90" s="61"/>
      <c r="RSJ90" s="61"/>
      <c r="RSK90" s="62"/>
      <c r="RSL90" s="53"/>
      <c r="RSM90" s="60"/>
      <c r="RSN90" s="60"/>
      <c r="RSO90" s="61"/>
      <c r="RSP90" s="61"/>
      <c r="RSQ90" s="61"/>
      <c r="RSR90" s="61"/>
      <c r="RSS90" s="62"/>
      <c r="RST90" s="53"/>
      <c r="RSU90" s="60"/>
      <c r="RSV90" s="60"/>
      <c r="RSW90" s="61"/>
      <c r="RSX90" s="61"/>
      <c r="RSY90" s="61"/>
      <c r="RSZ90" s="61"/>
      <c r="RTA90" s="62"/>
      <c r="RTB90" s="53"/>
      <c r="RTC90" s="60"/>
      <c r="RTD90" s="60"/>
      <c r="RTE90" s="61"/>
      <c r="RTF90" s="61"/>
      <c r="RTG90" s="61"/>
      <c r="RTH90" s="61"/>
      <c r="RTI90" s="62"/>
      <c r="RTJ90" s="53"/>
      <c r="RTK90" s="60"/>
      <c r="RTL90" s="60"/>
      <c r="RTM90" s="61"/>
      <c r="RTN90" s="61"/>
      <c r="RTO90" s="61"/>
      <c r="RTP90" s="61"/>
      <c r="RTQ90" s="62"/>
      <c r="RTR90" s="53"/>
      <c r="RTS90" s="60"/>
      <c r="RTT90" s="60"/>
      <c r="RTU90" s="61"/>
      <c r="RTV90" s="61"/>
      <c r="RTW90" s="61"/>
      <c r="RTX90" s="61"/>
      <c r="RTY90" s="62"/>
      <c r="RTZ90" s="53"/>
      <c r="RUA90" s="60"/>
      <c r="RUB90" s="60"/>
      <c r="RUC90" s="61"/>
      <c r="RUD90" s="61"/>
      <c r="RUE90" s="61"/>
      <c r="RUF90" s="61"/>
      <c r="RUG90" s="62"/>
      <c r="RUH90" s="53"/>
      <c r="RUI90" s="60"/>
      <c r="RUJ90" s="60"/>
      <c r="RUK90" s="61"/>
      <c r="RUL90" s="61"/>
      <c r="RUM90" s="61"/>
      <c r="RUN90" s="61"/>
      <c r="RUO90" s="62"/>
      <c r="RUP90" s="53"/>
      <c r="RUQ90" s="60"/>
      <c r="RUR90" s="60"/>
      <c r="RUS90" s="61"/>
      <c r="RUT90" s="61"/>
      <c r="RUU90" s="61"/>
      <c r="RUV90" s="61"/>
      <c r="RUW90" s="62"/>
      <c r="RUX90" s="53"/>
      <c r="RUY90" s="60"/>
      <c r="RUZ90" s="60"/>
      <c r="RVA90" s="61"/>
      <c r="RVB90" s="61"/>
      <c r="RVC90" s="61"/>
      <c r="RVD90" s="61"/>
      <c r="RVE90" s="62"/>
      <c r="RVF90" s="53"/>
      <c r="RVG90" s="60"/>
      <c r="RVH90" s="60"/>
      <c r="RVI90" s="61"/>
      <c r="RVJ90" s="61"/>
      <c r="RVK90" s="61"/>
      <c r="RVL90" s="61"/>
      <c r="RVM90" s="62"/>
      <c r="RVN90" s="53"/>
      <c r="RVO90" s="60"/>
      <c r="RVP90" s="60"/>
      <c r="RVQ90" s="61"/>
      <c r="RVR90" s="61"/>
      <c r="RVS90" s="61"/>
      <c r="RVT90" s="61"/>
      <c r="RVU90" s="62"/>
      <c r="RVV90" s="53"/>
      <c r="RVW90" s="60"/>
      <c r="RVX90" s="60"/>
      <c r="RVY90" s="61"/>
      <c r="RVZ90" s="61"/>
      <c r="RWA90" s="61"/>
      <c r="RWB90" s="61"/>
      <c r="RWC90" s="62"/>
      <c r="RWD90" s="53"/>
      <c r="RWE90" s="60"/>
      <c r="RWF90" s="60"/>
      <c r="RWG90" s="61"/>
      <c r="RWH90" s="61"/>
      <c r="RWI90" s="61"/>
      <c r="RWJ90" s="61"/>
      <c r="RWK90" s="62"/>
      <c r="RWL90" s="53"/>
      <c r="RWM90" s="60"/>
      <c r="RWN90" s="60"/>
      <c r="RWO90" s="61"/>
      <c r="RWP90" s="61"/>
      <c r="RWQ90" s="61"/>
      <c r="RWR90" s="61"/>
      <c r="RWS90" s="62"/>
      <c r="RWT90" s="53"/>
      <c r="RWU90" s="60"/>
      <c r="RWV90" s="60"/>
      <c r="RWW90" s="61"/>
      <c r="RWX90" s="61"/>
      <c r="RWY90" s="61"/>
      <c r="RWZ90" s="61"/>
      <c r="RXA90" s="62"/>
      <c r="RXB90" s="53"/>
      <c r="RXC90" s="60"/>
      <c r="RXD90" s="60"/>
      <c r="RXE90" s="61"/>
      <c r="RXF90" s="61"/>
      <c r="RXG90" s="61"/>
      <c r="RXH90" s="61"/>
      <c r="RXI90" s="62"/>
      <c r="RXJ90" s="53"/>
      <c r="RXK90" s="60"/>
      <c r="RXL90" s="60"/>
      <c r="RXM90" s="61"/>
      <c r="RXN90" s="61"/>
      <c r="RXO90" s="61"/>
      <c r="RXP90" s="61"/>
      <c r="RXQ90" s="62"/>
      <c r="RXR90" s="53"/>
      <c r="RXS90" s="60"/>
      <c r="RXT90" s="60"/>
      <c r="RXU90" s="61"/>
      <c r="RXV90" s="61"/>
      <c r="RXW90" s="61"/>
      <c r="RXX90" s="61"/>
      <c r="RXY90" s="62"/>
      <c r="RXZ90" s="53"/>
      <c r="RYA90" s="60"/>
      <c r="RYB90" s="60"/>
      <c r="RYC90" s="61"/>
      <c r="RYD90" s="61"/>
      <c r="RYE90" s="61"/>
      <c r="RYF90" s="61"/>
      <c r="RYG90" s="62"/>
      <c r="RYH90" s="53"/>
      <c r="RYI90" s="60"/>
      <c r="RYJ90" s="60"/>
      <c r="RYK90" s="61"/>
      <c r="RYL90" s="61"/>
      <c r="RYM90" s="61"/>
      <c r="RYN90" s="61"/>
      <c r="RYO90" s="62"/>
      <c r="RYP90" s="53"/>
      <c r="RYQ90" s="60"/>
      <c r="RYR90" s="60"/>
      <c r="RYS90" s="61"/>
      <c r="RYT90" s="61"/>
      <c r="RYU90" s="61"/>
      <c r="RYV90" s="61"/>
      <c r="RYW90" s="62"/>
      <c r="RYX90" s="53"/>
      <c r="RYY90" s="60"/>
      <c r="RYZ90" s="60"/>
      <c r="RZA90" s="61"/>
      <c r="RZB90" s="61"/>
      <c r="RZC90" s="61"/>
      <c r="RZD90" s="61"/>
      <c r="RZE90" s="62"/>
      <c r="RZF90" s="53"/>
      <c r="RZG90" s="60"/>
      <c r="RZH90" s="60"/>
      <c r="RZI90" s="61"/>
      <c r="RZJ90" s="61"/>
      <c r="RZK90" s="61"/>
      <c r="RZL90" s="61"/>
      <c r="RZM90" s="62"/>
      <c r="RZN90" s="53"/>
      <c r="RZO90" s="60"/>
      <c r="RZP90" s="60"/>
      <c r="RZQ90" s="61"/>
      <c r="RZR90" s="61"/>
      <c r="RZS90" s="61"/>
      <c r="RZT90" s="61"/>
      <c r="RZU90" s="62"/>
      <c r="RZV90" s="53"/>
      <c r="RZW90" s="60"/>
      <c r="RZX90" s="60"/>
      <c r="RZY90" s="61"/>
      <c r="RZZ90" s="61"/>
      <c r="SAA90" s="61"/>
      <c r="SAB90" s="61"/>
      <c r="SAC90" s="62"/>
      <c r="SAD90" s="53"/>
      <c r="SAE90" s="60"/>
      <c r="SAF90" s="60"/>
      <c r="SAG90" s="61"/>
      <c r="SAH90" s="61"/>
      <c r="SAI90" s="61"/>
      <c r="SAJ90" s="61"/>
      <c r="SAK90" s="62"/>
      <c r="SAL90" s="53"/>
      <c r="SAM90" s="60"/>
      <c r="SAN90" s="60"/>
      <c r="SAO90" s="61"/>
      <c r="SAP90" s="61"/>
      <c r="SAQ90" s="61"/>
      <c r="SAR90" s="61"/>
      <c r="SAS90" s="62"/>
      <c r="SAT90" s="53"/>
      <c r="SAU90" s="60"/>
      <c r="SAV90" s="60"/>
      <c r="SAW90" s="61"/>
      <c r="SAX90" s="61"/>
      <c r="SAY90" s="61"/>
      <c r="SAZ90" s="61"/>
      <c r="SBA90" s="62"/>
      <c r="SBB90" s="53"/>
      <c r="SBC90" s="60"/>
      <c r="SBD90" s="60"/>
      <c r="SBE90" s="61"/>
      <c r="SBF90" s="61"/>
      <c r="SBG90" s="61"/>
      <c r="SBH90" s="61"/>
      <c r="SBI90" s="62"/>
      <c r="SBJ90" s="53"/>
      <c r="SBK90" s="60"/>
      <c r="SBL90" s="60"/>
      <c r="SBM90" s="61"/>
      <c r="SBN90" s="61"/>
      <c r="SBO90" s="61"/>
      <c r="SBP90" s="61"/>
      <c r="SBQ90" s="62"/>
      <c r="SBR90" s="53"/>
      <c r="SBS90" s="60"/>
      <c r="SBT90" s="60"/>
      <c r="SBU90" s="61"/>
      <c r="SBV90" s="61"/>
      <c r="SBW90" s="61"/>
      <c r="SBX90" s="61"/>
      <c r="SBY90" s="62"/>
      <c r="SBZ90" s="53"/>
      <c r="SCA90" s="60"/>
      <c r="SCB90" s="60"/>
      <c r="SCC90" s="61"/>
      <c r="SCD90" s="61"/>
      <c r="SCE90" s="61"/>
      <c r="SCF90" s="61"/>
      <c r="SCG90" s="62"/>
      <c r="SCH90" s="53"/>
      <c r="SCI90" s="60"/>
      <c r="SCJ90" s="60"/>
      <c r="SCK90" s="61"/>
      <c r="SCL90" s="61"/>
      <c r="SCM90" s="61"/>
      <c r="SCN90" s="61"/>
      <c r="SCO90" s="62"/>
      <c r="SCP90" s="53"/>
      <c r="SCQ90" s="60"/>
      <c r="SCR90" s="60"/>
      <c r="SCS90" s="61"/>
      <c r="SCT90" s="61"/>
      <c r="SCU90" s="61"/>
      <c r="SCV90" s="61"/>
      <c r="SCW90" s="62"/>
      <c r="SCX90" s="53"/>
      <c r="SCY90" s="60"/>
      <c r="SCZ90" s="60"/>
      <c r="SDA90" s="61"/>
      <c r="SDB90" s="61"/>
      <c r="SDC90" s="61"/>
      <c r="SDD90" s="61"/>
      <c r="SDE90" s="62"/>
      <c r="SDF90" s="53"/>
      <c r="SDG90" s="60"/>
      <c r="SDH90" s="60"/>
      <c r="SDI90" s="61"/>
      <c r="SDJ90" s="61"/>
      <c r="SDK90" s="61"/>
      <c r="SDL90" s="61"/>
      <c r="SDM90" s="62"/>
      <c r="SDN90" s="53"/>
      <c r="SDO90" s="60"/>
      <c r="SDP90" s="60"/>
      <c r="SDQ90" s="61"/>
      <c r="SDR90" s="61"/>
      <c r="SDS90" s="61"/>
      <c r="SDT90" s="61"/>
      <c r="SDU90" s="62"/>
      <c r="SDV90" s="53"/>
      <c r="SDW90" s="60"/>
      <c r="SDX90" s="60"/>
      <c r="SDY90" s="61"/>
      <c r="SDZ90" s="61"/>
      <c r="SEA90" s="61"/>
      <c r="SEB90" s="61"/>
      <c r="SEC90" s="62"/>
      <c r="SED90" s="53"/>
      <c r="SEE90" s="60"/>
      <c r="SEF90" s="60"/>
      <c r="SEG90" s="61"/>
      <c r="SEH90" s="61"/>
      <c r="SEI90" s="61"/>
      <c r="SEJ90" s="61"/>
      <c r="SEK90" s="62"/>
      <c r="SEL90" s="53"/>
      <c r="SEM90" s="60"/>
      <c r="SEN90" s="60"/>
      <c r="SEO90" s="61"/>
      <c r="SEP90" s="61"/>
      <c r="SEQ90" s="61"/>
      <c r="SER90" s="61"/>
      <c r="SES90" s="62"/>
      <c r="SET90" s="53"/>
      <c r="SEU90" s="60"/>
      <c r="SEV90" s="60"/>
      <c r="SEW90" s="61"/>
      <c r="SEX90" s="61"/>
      <c r="SEY90" s="61"/>
      <c r="SEZ90" s="61"/>
      <c r="SFA90" s="62"/>
      <c r="SFB90" s="53"/>
      <c r="SFC90" s="60"/>
      <c r="SFD90" s="60"/>
      <c r="SFE90" s="61"/>
      <c r="SFF90" s="61"/>
      <c r="SFG90" s="61"/>
      <c r="SFH90" s="61"/>
      <c r="SFI90" s="62"/>
      <c r="SFJ90" s="53"/>
      <c r="SFK90" s="60"/>
      <c r="SFL90" s="60"/>
      <c r="SFM90" s="61"/>
      <c r="SFN90" s="61"/>
      <c r="SFO90" s="61"/>
      <c r="SFP90" s="61"/>
      <c r="SFQ90" s="62"/>
      <c r="SFR90" s="53"/>
      <c r="SFS90" s="60"/>
      <c r="SFT90" s="60"/>
      <c r="SFU90" s="61"/>
      <c r="SFV90" s="61"/>
      <c r="SFW90" s="61"/>
      <c r="SFX90" s="61"/>
      <c r="SFY90" s="62"/>
      <c r="SFZ90" s="53"/>
      <c r="SGA90" s="60"/>
      <c r="SGB90" s="60"/>
      <c r="SGC90" s="61"/>
      <c r="SGD90" s="61"/>
      <c r="SGE90" s="61"/>
      <c r="SGF90" s="61"/>
      <c r="SGG90" s="62"/>
      <c r="SGH90" s="53"/>
      <c r="SGI90" s="60"/>
      <c r="SGJ90" s="60"/>
      <c r="SGK90" s="61"/>
      <c r="SGL90" s="61"/>
      <c r="SGM90" s="61"/>
      <c r="SGN90" s="61"/>
      <c r="SGO90" s="62"/>
      <c r="SGP90" s="53"/>
      <c r="SGQ90" s="60"/>
      <c r="SGR90" s="60"/>
      <c r="SGS90" s="61"/>
      <c r="SGT90" s="61"/>
      <c r="SGU90" s="61"/>
      <c r="SGV90" s="61"/>
      <c r="SGW90" s="62"/>
      <c r="SGX90" s="53"/>
      <c r="SGY90" s="60"/>
      <c r="SGZ90" s="60"/>
      <c r="SHA90" s="61"/>
      <c r="SHB90" s="61"/>
      <c r="SHC90" s="61"/>
      <c r="SHD90" s="61"/>
      <c r="SHE90" s="62"/>
      <c r="SHF90" s="53"/>
      <c r="SHG90" s="60"/>
      <c r="SHH90" s="60"/>
      <c r="SHI90" s="61"/>
      <c r="SHJ90" s="61"/>
      <c r="SHK90" s="61"/>
      <c r="SHL90" s="61"/>
      <c r="SHM90" s="62"/>
      <c r="SHN90" s="53"/>
      <c r="SHO90" s="60"/>
      <c r="SHP90" s="60"/>
      <c r="SHQ90" s="61"/>
      <c r="SHR90" s="61"/>
      <c r="SHS90" s="61"/>
      <c r="SHT90" s="61"/>
      <c r="SHU90" s="62"/>
      <c r="SHV90" s="53"/>
      <c r="SHW90" s="60"/>
      <c r="SHX90" s="60"/>
      <c r="SHY90" s="61"/>
      <c r="SHZ90" s="61"/>
      <c r="SIA90" s="61"/>
      <c r="SIB90" s="61"/>
      <c r="SIC90" s="62"/>
      <c r="SID90" s="53"/>
      <c r="SIE90" s="60"/>
      <c r="SIF90" s="60"/>
      <c r="SIG90" s="61"/>
      <c r="SIH90" s="61"/>
      <c r="SII90" s="61"/>
      <c r="SIJ90" s="61"/>
      <c r="SIK90" s="62"/>
      <c r="SIL90" s="53"/>
      <c r="SIM90" s="60"/>
      <c r="SIN90" s="60"/>
      <c r="SIO90" s="61"/>
      <c r="SIP90" s="61"/>
      <c r="SIQ90" s="61"/>
      <c r="SIR90" s="61"/>
      <c r="SIS90" s="62"/>
      <c r="SIT90" s="53"/>
      <c r="SIU90" s="60"/>
      <c r="SIV90" s="60"/>
      <c r="SIW90" s="61"/>
      <c r="SIX90" s="61"/>
      <c r="SIY90" s="61"/>
      <c r="SIZ90" s="61"/>
      <c r="SJA90" s="62"/>
      <c r="SJB90" s="53"/>
      <c r="SJC90" s="60"/>
      <c r="SJD90" s="60"/>
      <c r="SJE90" s="61"/>
      <c r="SJF90" s="61"/>
      <c r="SJG90" s="61"/>
      <c r="SJH90" s="61"/>
      <c r="SJI90" s="62"/>
      <c r="SJJ90" s="53"/>
      <c r="SJK90" s="60"/>
      <c r="SJL90" s="60"/>
      <c r="SJM90" s="61"/>
      <c r="SJN90" s="61"/>
      <c r="SJO90" s="61"/>
      <c r="SJP90" s="61"/>
      <c r="SJQ90" s="62"/>
      <c r="SJR90" s="53"/>
      <c r="SJS90" s="60"/>
      <c r="SJT90" s="60"/>
      <c r="SJU90" s="61"/>
      <c r="SJV90" s="61"/>
      <c r="SJW90" s="61"/>
      <c r="SJX90" s="61"/>
      <c r="SJY90" s="62"/>
      <c r="SJZ90" s="53"/>
      <c r="SKA90" s="60"/>
      <c r="SKB90" s="60"/>
      <c r="SKC90" s="61"/>
      <c r="SKD90" s="61"/>
      <c r="SKE90" s="61"/>
      <c r="SKF90" s="61"/>
      <c r="SKG90" s="62"/>
      <c r="SKH90" s="53"/>
      <c r="SKI90" s="60"/>
      <c r="SKJ90" s="60"/>
      <c r="SKK90" s="61"/>
      <c r="SKL90" s="61"/>
      <c r="SKM90" s="61"/>
      <c r="SKN90" s="61"/>
      <c r="SKO90" s="62"/>
      <c r="SKP90" s="53"/>
      <c r="SKQ90" s="60"/>
      <c r="SKR90" s="60"/>
      <c r="SKS90" s="61"/>
      <c r="SKT90" s="61"/>
      <c r="SKU90" s="61"/>
      <c r="SKV90" s="61"/>
      <c r="SKW90" s="62"/>
      <c r="SKX90" s="53"/>
      <c r="SKY90" s="60"/>
      <c r="SKZ90" s="60"/>
      <c r="SLA90" s="61"/>
      <c r="SLB90" s="61"/>
      <c r="SLC90" s="61"/>
      <c r="SLD90" s="61"/>
      <c r="SLE90" s="62"/>
      <c r="SLF90" s="53"/>
      <c r="SLG90" s="60"/>
      <c r="SLH90" s="60"/>
      <c r="SLI90" s="61"/>
      <c r="SLJ90" s="61"/>
      <c r="SLK90" s="61"/>
      <c r="SLL90" s="61"/>
      <c r="SLM90" s="62"/>
      <c r="SLN90" s="53"/>
      <c r="SLO90" s="60"/>
      <c r="SLP90" s="60"/>
      <c r="SLQ90" s="61"/>
      <c r="SLR90" s="61"/>
      <c r="SLS90" s="61"/>
      <c r="SLT90" s="61"/>
      <c r="SLU90" s="62"/>
      <c r="SLV90" s="53"/>
      <c r="SLW90" s="60"/>
      <c r="SLX90" s="60"/>
      <c r="SLY90" s="61"/>
      <c r="SLZ90" s="61"/>
      <c r="SMA90" s="61"/>
      <c r="SMB90" s="61"/>
      <c r="SMC90" s="62"/>
      <c r="SMD90" s="53"/>
      <c r="SME90" s="60"/>
      <c r="SMF90" s="60"/>
      <c r="SMG90" s="61"/>
      <c r="SMH90" s="61"/>
      <c r="SMI90" s="61"/>
      <c r="SMJ90" s="61"/>
      <c r="SMK90" s="62"/>
      <c r="SML90" s="53"/>
      <c r="SMM90" s="60"/>
      <c r="SMN90" s="60"/>
      <c r="SMO90" s="61"/>
      <c r="SMP90" s="61"/>
      <c r="SMQ90" s="61"/>
      <c r="SMR90" s="61"/>
      <c r="SMS90" s="62"/>
      <c r="SMT90" s="53"/>
      <c r="SMU90" s="60"/>
      <c r="SMV90" s="60"/>
      <c r="SMW90" s="61"/>
      <c r="SMX90" s="61"/>
      <c r="SMY90" s="61"/>
      <c r="SMZ90" s="61"/>
      <c r="SNA90" s="62"/>
      <c r="SNB90" s="53"/>
      <c r="SNC90" s="60"/>
      <c r="SND90" s="60"/>
      <c r="SNE90" s="61"/>
      <c r="SNF90" s="61"/>
      <c r="SNG90" s="61"/>
      <c r="SNH90" s="61"/>
      <c r="SNI90" s="62"/>
      <c r="SNJ90" s="53"/>
      <c r="SNK90" s="60"/>
      <c r="SNL90" s="60"/>
      <c r="SNM90" s="61"/>
      <c r="SNN90" s="61"/>
      <c r="SNO90" s="61"/>
      <c r="SNP90" s="61"/>
      <c r="SNQ90" s="62"/>
      <c r="SNR90" s="53"/>
      <c r="SNS90" s="60"/>
      <c r="SNT90" s="60"/>
      <c r="SNU90" s="61"/>
      <c r="SNV90" s="61"/>
      <c r="SNW90" s="61"/>
      <c r="SNX90" s="61"/>
      <c r="SNY90" s="62"/>
      <c r="SNZ90" s="53"/>
      <c r="SOA90" s="60"/>
      <c r="SOB90" s="60"/>
      <c r="SOC90" s="61"/>
      <c r="SOD90" s="61"/>
      <c r="SOE90" s="61"/>
      <c r="SOF90" s="61"/>
      <c r="SOG90" s="62"/>
      <c r="SOH90" s="53"/>
      <c r="SOI90" s="60"/>
      <c r="SOJ90" s="60"/>
      <c r="SOK90" s="61"/>
      <c r="SOL90" s="61"/>
      <c r="SOM90" s="61"/>
      <c r="SON90" s="61"/>
      <c r="SOO90" s="62"/>
      <c r="SOP90" s="53"/>
      <c r="SOQ90" s="60"/>
      <c r="SOR90" s="60"/>
      <c r="SOS90" s="61"/>
      <c r="SOT90" s="61"/>
      <c r="SOU90" s="61"/>
      <c r="SOV90" s="61"/>
      <c r="SOW90" s="62"/>
      <c r="SOX90" s="53"/>
      <c r="SOY90" s="60"/>
      <c r="SOZ90" s="60"/>
      <c r="SPA90" s="61"/>
      <c r="SPB90" s="61"/>
      <c r="SPC90" s="61"/>
      <c r="SPD90" s="61"/>
      <c r="SPE90" s="62"/>
      <c r="SPF90" s="53"/>
      <c r="SPG90" s="60"/>
      <c r="SPH90" s="60"/>
      <c r="SPI90" s="61"/>
      <c r="SPJ90" s="61"/>
      <c r="SPK90" s="61"/>
      <c r="SPL90" s="61"/>
      <c r="SPM90" s="62"/>
      <c r="SPN90" s="53"/>
      <c r="SPO90" s="60"/>
      <c r="SPP90" s="60"/>
      <c r="SPQ90" s="61"/>
      <c r="SPR90" s="61"/>
      <c r="SPS90" s="61"/>
      <c r="SPT90" s="61"/>
      <c r="SPU90" s="62"/>
      <c r="SPV90" s="53"/>
      <c r="SPW90" s="60"/>
      <c r="SPX90" s="60"/>
      <c r="SPY90" s="61"/>
      <c r="SPZ90" s="61"/>
      <c r="SQA90" s="61"/>
      <c r="SQB90" s="61"/>
      <c r="SQC90" s="62"/>
      <c r="SQD90" s="53"/>
      <c r="SQE90" s="60"/>
      <c r="SQF90" s="60"/>
      <c r="SQG90" s="61"/>
      <c r="SQH90" s="61"/>
      <c r="SQI90" s="61"/>
      <c r="SQJ90" s="61"/>
      <c r="SQK90" s="62"/>
      <c r="SQL90" s="53"/>
      <c r="SQM90" s="60"/>
      <c r="SQN90" s="60"/>
      <c r="SQO90" s="61"/>
      <c r="SQP90" s="61"/>
      <c r="SQQ90" s="61"/>
      <c r="SQR90" s="61"/>
      <c r="SQS90" s="62"/>
      <c r="SQT90" s="53"/>
      <c r="SQU90" s="60"/>
      <c r="SQV90" s="60"/>
      <c r="SQW90" s="61"/>
      <c r="SQX90" s="61"/>
      <c r="SQY90" s="61"/>
      <c r="SQZ90" s="61"/>
      <c r="SRA90" s="62"/>
      <c r="SRB90" s="53"/>
      <c r="SRC90" s="60"/>
      <c r="SRD90" s="60"/>
      <c r="SRE90" s="61"/>
      <c r="SRF90" s="61"/>
      <c r="SRG90" s="61"/>
      <c r="SRH90" s="61"/>
      <c r="SRI90" s="62"/>
      <c r="SRJ90" s="53"/>
      <c r="SRK90" s="60"/>
      <c r="SRL90" s="60"/>
      <c r="SRM90" s="61"/>
      <c r="SRN90" s="61"/>
      <c r="SRO90" s="61"/>
      <c r="SRP90" s="61"/>
      <c r="SRQ90" s="62"/>
      <c r="SRR90" s="53"/>
      <c r="SRS90" s="60"/>
      <c r="SRT90" s="60"/>
      <c r="SRU90" s="61"/>
      <c r="SRV90" s="61"/>
      <c r="SRW90" s="61"/>
      <c r="SRX90" s="61"/>
      <c r="SRY90" s="62"/>
      <c r="SRZ90" s="53"/>
      <c r="SSA90" s="60"/>
      <c r="SSB90" s="60"/>
      <c r="SSC90" s="61"/>
      <c r="SSD90" s="61"/>
      <c r="SSE90" s="61"/>
      <c r="SSF90" s="61"/>
      <c r="SSG90" s="62"/>
      <c r="SSH90" s="53"/>
      <c r="SSI90" s="60"/>
      <c r="SSJ90" s="60"/>
      <c r="SSK90" s="61"/>
      <c r="SSL90" s="61"/>
      <c r="SSM90" s="61"/>
      <c r="SSN90" s="61"/>
      <c r="SSO90" s="62"/>
      <c r="SSP90" s="53"/>
      <c r="SSQ90" s="60"/>
      <c r="SSR90" s="60"/>
      <c r="SSS90" s="61"/>
      <c r="SST90" s="61"/>
      <c r="SSU90" s="61"/>
      <c r="SSV90" s="61"/>
      <c r="SSW90" s="62"/>
      <c r="SSX90" s="53"/>
      <c r="SSY90" s="60"/>
      <c r="SSZ90" s="60"/>
      <c r="STA90" s="61"/>
      <c r="STB90" s="61"/>
      <c r="STC90" s="61"/>
      <c r="STD90" s="61"/>
      <c r="STE90" s="62"/>
      <c r="STF90" s="53"/>
      <c r="STG90" s="60"/>
      <c r="STH90" s="60"/>
      <c r="STI90" s="61"/>
      <c r="STJ90" s="61"/>
      <c r="STK90" s="61"/>
      <c r="STL90" s="61"/>
      <c r="STM90" s="62"/>
      <c r="STN90" s="53"/>
      <c r="STO90" s="60"/>
      <c r="STP90" s="60"/>
      <c r="STQ90" s="61"/>
      <c r="STR90" s="61"/>
      <c r="STS90" s="61"/>
      <c r="STT90" s="61"/>
      <c r="STU90" s="62"/>
      <c r="STV90" s="53"/>
      <c r="STW90" s="60"/>
      <c r="STX90" s="60"/>
      <c r="STY90" s="61"/>
      <c r="STZ90" s="61"/>
      <c r="SUA90" s="61"/>
      <c r="SUB90" s="61"/>
      <c r="SUC90" s="62"/>
      <c r="SUD90" s="53"/>
      <c r="SUE90" s="60"/>
      <c r="SUF90" s="60"/>
      <c r="SUG90" s="61"/>
      <c r="SUH90" s="61"/>
      <c r="SUI90" s="61"/>
      <c r="SUJ90" s="61"/>
      <c r="SUK90" s="62"/>
      <c r="SUL90" s="53"/>
      <c r="SUM90" s="60"/>
      <c r="SUN90" s="60"/>
      <c r="SUO90" s="61"/>
      <c r="SUP90" s="61"/>
      <c r="SUQ90" s="61"/>
      <c r="SUR90" s="61"/>
      <c r="SUS90" s="62"/>
      <c r="SUT90" s="53"/>
      <c r="SUU90" s="60"/>
      <c r="SUV90" s="60"/>
      <c r="SUW90" s="61"/>
      <c r="SUX90" s="61"/>
      <c r="SUY90" s="61"/>
      <c r="SUZ90" s="61"/>
      <c r="SVA90" s="62"/>
      <c r="SVB90" s="53"/>
      <c r="SVC90" s="60"/>
      <c r="SVD90" s="60"/>
      <c r="SVE90" s="61"/>
      <c r="SVF90" s="61"/>
      <c r="SVG90" s="61"/>
      <c r="SVH90" s="61"/>
      <c r="SVI90" s="62"/>
      <c r="SVJ90" s="53"/>
      <c r="SVK90" s="60"/>
      <c r="SVL90" s="60"/>
      <c r="SVM90" s="61"/>
      <c r="SVN90" s="61"/>
      <c r="SVO90" s="61"/>
      <c r="SVP90" s="61"/>
      <c r="SVQ90" s="62"/>
      <c r="SVR90" s="53"/>
      <c r="SVS90" s="60"/>
      <c r="SVT90" s="60"/>
      <c r="SVU90" s="61"/>
      <c r="SVV90" s="61"/>
      <c r="SVW90" s="61"/>
      <c r="SVX90" s="61"/>
      <c r="SVY90" s="62"/>
      <c r="SVZ90" s="53"/>
      <c r="SWA90" s="60"/>
      <c r="SWB90" s="60"/>
      <c r="SWC90" s="61"/>
      <c r="SWD90" s="61"/>
      <c r="SWE90" s="61"/>
      <c r="SWF90" s="61"/>
      <c r="SWG90" s="62"/>
      <c r="SWH90" s="53"/>
      <c r="SWI90" s="60"/>
      <c r="SWJ90" s="60"/>
      <c r="SWK90" s="61"/>
      <c r="SWL90" s="61"/>
      <c r="SWM90" s="61"/>
      <c r="SWN90" s="61"/>
      <c r="SWO90" s="62"/>
      <c r="SWP90" s="53"/>
      <c r="SWQ90" s="60"/>
      <c r="SWR90" s="60"/>
      <c r="SWS90" s="61"/>
      <c r="SWT90" s="61"/>
      <c r="SWU90" s="61"/>
      <c r="SWV90" s="61"/>
      <c r="SWW90" s="62"/>
      <c r="SWX90" s="53"/>
      <c r="SWY90" s="60"/>
      <c r="SWZ90" s="60"/>
      <c r="SXA90" s="61"/>
      <c r="SXB90" s="61"/>
      <c r="SXC90" s="61"/>
      <c r="SXD90" s="61"/>
      <c r="SXE90" s="62"/>
      <c r="SXF90" s="53"/>
      <c r="SXG90" s="60"/>
      <c r="SXH90" s="60"/>
      <c r="SXI90" s="61"/>
      <c r="SXJ90" s="61"/>
      <c r="SXK90" s="61"/>
      <c r="SXL90" s="61"/>
      <c r="SXM90" s="62"/>
      <c r="SXN90" s="53"/>
      <c r="SXO90" s="60"/>
      <c r="SXP90" s="60"/>
      <c r="SXQ90" s="61"/>
      <c r="SXR90" s="61"/>
      <c r="SXS90" s="61"/>
      <c r="SXT90" s="61"/>
      <c r="SXU90" s="62"/>
      <c r="SXV90" s="53"/>
      <c r="SXW90" s="60"/>
      <c r="SXX90" s="60"/>
      <c r="SXY90" s="61"/>
      <c r="SXZ90" s="61"/>
      <c r="SYA90" s="61"/>
      <c r="SYB90" s="61"/>
      <c r="SYC90" s="62"/>
      <c r="SYD90" s="53"/>
      <c r="SYE90" s="60"/>
      <c r="SYF90" s="60"/>
      <c r="SYG90" s="61"/>
      <c r="SYH90" s="61"/>
      <c r="SYI90" s="61"/>
      <c r="SYJ90" s="61"/>
      <c r="SYK90" s="62"/>
      <c r="SYL90" s="53"/>
      <c r="SYM90" s="60"/>
      <c r="SYN90" s="60"/>
      <c r="SYO90" s="61"/>
      <c r="SYP90" s="61"/>
      <c r="SYQ90" s="61"/>
      <c r="SYR90" s="61"/>
      <c r="SYS90" s="62"/>
      <c r="SYT90" s="53"/>
      <c r="SYU90" s="60"/>
      <c r="SYV90" s="60"/>
      <c r="SYW90" s="61"/>
      <c r="SYX90" s="61"/>
      <c r="SYY90" s="61"/>
      <c r="SYZ90" s="61"/>
      <c r="SZA90" s="62"/>
      <c r="SZB90" s="53"/>
      <c r="SZC90" s="60"/>
      <c r="SZD90" s="60"/>
      <c r="SZE90" s="61"/>
      <c r="SZF90" s="61"/>
      <c r="SZG90" s="61"/>
      <c r="SZH90" s="61"/>
      <c r="SZI90" s="62"/>
      <c r="SZJ90" s="53"/>
      <c r="SZK90" s="60"/>
      <c r="SZL90" s="60"/>
      <c r="SZM90" s="61"/>
      <c r="SZN90" s="61"/>
      <c r="SZO90" s="61"/>
      <c r="SZP90" s="61"/>
      <c r="SZQ90" s="62"/>
      <c r="SZR90" s="53"/>
      <c r="SZS90" s="60"/>
      <c r="SZT90" s="60"/>
      <c r="SZU90" s="61"/>
      <c r="SZV90" s="61"/>
      <c r="SZW90" s="61"/>
      <c r="SZX90" s="61"/>
      <c r="SZY90" s="62"/>
      <c r="SZZ90" s="53"/>
      <c r="TAA90" s="60"/>
      <c r="TAB90" s="60"/>
      <c r="TAC90" s="61"/>
      <c r="TAD90" s="61"/>
      <c r="TAE90" s="61"/>
      <c r="TAF90" s="61"/>
      <c r="TAG90" s="62"/>
      <c r="TAH90" s="53"/>
      <c r="TAI90" s="60"/>
      <c r="TAJ90" s="60"/>
      <c r="TAK90" s="61"/>
      <c r="TAL90" s="61"/>
      <c r="TAM90" s="61"/>
      <c r="TAN90" s="61"/>
      <c r="TAO90" s="62"/>
      <c r="TAP90" s="53"/>
      <c r="TAQ90" s="60"/>
      <c r="TAR90" s="60"/>
      <c r="TAS90" s="61"/>
      <c r="TAT90" s="61"/>
      <c r="TAU90" s="61"/>
      <c r="TAV90" s="61"/>
      <c r="TAW90" s="62"/>
      <c r="TAX90" s="53"/>
      <c r="TAY90" s="60"/>
      <c r="TAZ90" s="60"/>
      <c r="TBA90" s="61"/>
      <c r="TBB90" s="61"/>
      <c r="TBC90" s="61"/>
      <c r="TBD90" s="61"/>
      <c r="TBE90" s="62"/>
      <c r="TBF90" s="53"/>
      <c r="TBG90" s="60"/>
      <c r="TBH90" s="60"/>
      <c r="TBI90" s="61"/>
      <c r="TBJ90" s="61"/>
      <c r="TBK90" s="61"/>
      <c r="TBL90" s="61"/>
      <c r="TBM90" s="62"/>
      <c r="TBN90" s="53"/>
      <c r="TBO90" s="60"/>
      <c r="TBP90" s="60"/>
      <c r="TBQ90" s="61"/>
      <c r="TBR90" s="61"/>
      <c r="TBS90" s="61"/>
      <c r="TBT90" s="61"/>
      <c r="TBU90" s="62"/>
      <c r="TBV90" s="53"/>
      <c r="TBW90" s="60"/>
      <c r="TBX90" s="60"/>
      <c r="TBY90" s="61"/>
      <c r="TBZ90" s="61"/>
      <c r="TCA90" s="61"/>
      <c r="TCB90" s="61"/>
      <c r="TCC90" s="62"/>
      <c r="TCD90" s="53"/>
      <c r="TCE90" s="60"/>
      <c r="TCF90" s="60"/>
      <c r="TCG90" s="61"/>
      <c r="TCH90" s="61"/>
      <c r="TCI90" s="61"/>
      <c r="TCJ90" s="61"/>
      <c r="TCK90" s="62"/>
      <c r="TCL90" s="53"/>
      <c r="TCM90" s="60"/>
      <c r="TCN90" s="60"/>
      <c r="TCO90" s="61"/>
      <c r="TCP90" s="61"/>
      <c r="TCQ90" s="61"/>
      <c r="TCR90" s="61"/>
      <c r="TCS90" s="62"/>
      <c r="TCT90" s="53"/>
      <c r="TCU90" s="60"/>
      <c r="TCV90" s="60"/>
      <c r="TCW90" s="61"/>
      <c r="TCX90" s="61"/>
      <c r="TCY90" s="61"/>
      <c r="TCZ90" s="61"/>
      <c r="TDA90" s="62"/>
      <c r="TDB90" s="53"/>
      <c r="TDC90" s="60"/>
      <c r="TDD90" s="60"/>
      <c r="TDE90" s="61"/>
      <c r="TDF90" s="61"/>
      <c r="TDG90" s="61"/>
      <c r="TDH90" s="61"/>
      <c r="TDI90" s="62"/>
      <c r="TDJ90" s="53"/>
      <c r="TDK90" s="60"/>
      <c r="TDL90" s="60"/>
      <c r="TDM90" s="61"/>
      <c r="TDN90" s="61"/>
      <c r="TDO90" s="61"/>
      <c r="TDP90" s="61"/>
      <c r="TDQ90" s="62"/>
      <c r="TDR90" s="53"/>
      <c r="TDS90" s="60"/>
      <c r="TDT90" s="60"/>
      <c r="TDU90" s="61"/>
      <c r="TDV90" s="61"/>
      <c r="TDW90" s="61"/>
      <c r="TDX90" s="61"/>
      <c r="TDY90" s="62"/>
      <c r="TDZ90" s="53"/>
      <c r="TEA90" s="60"/>
      <c r="TEB90" s="60"/>
      <c r="TEC90" s="61"/>
      <c r="TED90" s="61"/>
      <c r="TEE90" s="61"/>
      <c r="TEF90" s="61"/>
      <c r="TEG90" s="62"/>
      <c r="TEH90" s="53"/>
      <c r="TEI90" s="60"/>
      <c r="TEJ90" s="60"/>
      <c r="TEK90" s="61"/>
      <c r="TEL90" s="61"/>
      <c r="TEM90" s="61"/>
      <c r="TEN90" s="61"/>
      <c r="TEO90" s="62"/>
      <c r="TEP90" s="53"/>
      <c r="TEQ90" s="60"/>
      <c r="TER90" s="60"/>
      <c r="TES90" s="61"/>
      <c r="TET90" s="61"/>
      <c r="TEU90" s="61"/>
      <c r="TEV90" s="61"/>
      <c r="TEW90" s="62"/>
      <c r="TEX90" s="53"/>
      <c r="TEY90" s="60"/>
      <c r="TEZ90" s="60"/>
      <c r="TFA90" s="61"/>
      <c r="TFB90" s="61"/>
      <c r="TFC90" s="61"/>
      <c r="TFD90" s="61"/>
      <c r="TFE90" s="62"/>
      <c r="TFF90" s="53"/>
      <c r="TFG90" s="60"/>
      <c r="TFH90" s="60"/>
      <c r="TFI90" s="61"/>
      <c r="TFJ90" s="61"/>
      <c r="TFK90" s="61"/>
      <c r="TFL90" s="61"/>
      <c r="TFM90" s="62"/>
      <c r="TFN90" s="53"/>
      <c r="TFO90" s="60"/>
      <c r="TFP90" s="60"/>
      <c r="TFQ90" s="61"/>
      <c r="TFR90" s="61"/>
      <c r="TFS90" s="61"/>
      <c r="TFT90" s="61"/>
      <c r="TFU90" s="62"/>
      <c r="TFV90" s="53"/>
      <c r="TFW90" s="60"/>
      <c r="TFX90" s="60"/>
      <c r="TFY90" s="61"/>
      <c r="TFZ90" s="61"/>
      <c r="TGA90" s="61"/>
      <c r="TGB90" s="61"/>
      <c r="TGC90" s="62"/>
      <c r="TGD90" s="53"/>
      <c r="TGE90" s="60"/>
      <c r="TGF90" s="60"/>
      <c r="TGG90" s="61"/>
      <c r="TGH90" s="61"/>
      <c r="TGI90" s="61"/>
      <c r="TGJ90" s="61"/>
      <c r="TGK90" s="62"/>
      <c r="TGL90" s="53"/>
      <c r="TGM90" s="60"/>
      <c r="TGN90" s="60"/>
      <c r="TGO90" s="61"/>
      <c r="TGP90" s="61"/>
      <c r="TGQ90" s="61"/>
      <c r="TGR90" s="61"/>
      <c r="TGS90" s="62"/>
      <c r="TGT90" s="53"/>
      <c r="TGU90" s="60"/>
      <c r="TGV90" s="60"/>
      <c r="TGW90" s="61"/>
      <c r="TGX90" s="61"/>
      <c r="TGY90" s="61"/>
      <c r="TGZ90" s="61"/>
      <c r="THA90" s="62"/>
      <c r="THB90" s="53"/>
      <c r="THC90" s="60"/>
      <c r="THD90" s="60"/>
      <c r="THE90" s="61"/>
      <c r="THF90" s="61"/>
      <c r="THG90" s="61"/>
      <c r="THH90" s="61"/>
      <c r="THI90" s="62"/>
      <c r="THJ90" s="53"/>
      <c r="THK90" s="60"/>
      <c r="THL90" s="60"/>
      <c r="THM90" s="61"/>
      <c r="THN90" s="61"/>
      <c r="THO90" s="61"/>
      <c r="THP90" s="61"/>
      <c r="THQ90" s="62"/>
      <c r="THR90" s="53"/>
      <c r="THS90" s="60"/>
      <c r="THT90" s="60"/>
      <c r="THU90" s="61"/>
      <c r="THV90" s="61"/>
      <c r="THW90" s="61"/>
      <c r="THX90" s="61"/>
      <c r="THY90" s="62"/>
      <c r="THZ90" s="53"/>
      <c r="TIA90" s="60"/>
      <c r="TIB90" s="60"/>
      <c r="TIC90" s="61"/>
      <c r="TID90" s="61"/>
      <c r="TIE90" s="61"/>
      <c r="TIF90" s="61"/>
      <c r="TIG90" s="62"/>
      <c r="TIH90" s="53"/>
      <c r="TII90" s="60"/>
      <c r="TIJ90" s="60"/>
      <c r="TIK90" s="61"/>
      <c r="TIL90" s="61"/>
      <c r="TIM90" s="61"/>
      <c r="TIN90" s="61"/>
      <c r="TIO90" s="62"/>
      <c r="TIP90" s="53"/>
      <c r="TIQ90" s="60"/>
      <c r="TIR90" s="60"/>
      <c r="TIS90" s="61"/>
      <c r="TIT90" s="61"/>
      <c r="TIU90" s="61"/>
      <c r="TIV90" s="61"/>
      <c r="TIW90" s="62"/>
      <c r="TIX90" s="53"/>
      <c r="TIY90" s="60"/>
      <c r="TIZ90" s="60"/>
      <c r="TJA90" s="61"/>
      <c r="TJB90" s="61"/>
      <c r="TJC90" s="61"/>
      <c r="TJD90" s="61"/>
      <c r="TJE90" s="62"/>
      <c r="TJF90" s="53"/>
      <c r="TJG90" s="60"/>
      <c r="TJH90" s="60"/>
      <c r="TJI90" s="61"/>
      <c r="TJJ90" s="61"/>
      <c r="TJK90" s="61"/>
      <c r="TJL90" s="61"/>
      <c r="TJM90" s="62"/>
      <c r="TJN90" s="53"/>
      <c r="TJO90" s="60"/>
      <c r="TJP90" s="60"/>
      <c r="TJQ90" s="61"/>
      <c r="TJR90" s="61"/>
      <c r="TJS90" s="61"/>
      <c r="TJT90" s="61"/>
      <c r="TJU90" s="62"/>
      <c r="TJV90" s="53"/>
      <c r="TJW90" s="60"/>
      <c r="TJX90" s="60"/>
      <c r="TJY90" s="61"/>
      <c r="TJZ90" s="61"/>
      <c r="TKA90" s="61"/>
      <c r="TKB90" s="61"/>
      <c r="TKC90" s="62"/>
      <c r="TKD90" s="53"/>
      <c r="TKE90" s="60"/>
      <c r="TKF90" s="60"/>
      <c r="TKG90" s="61"/>
      <c r="TKH90" s="61"/>
      <c r="TKI90" s="61"/>
      <c r="TKJ90" s="61"/>
      <c r="TKK90" s="62"/>
      <c r="TKL90" s="53"/>
      <c r="TKM90" s="60"/>
      <c r="TKN90" s="60"/>
      <c r="TKO90" s="61"/>
      <c r="TKP90" s="61"/>
      <c r="TKQ90" s="61"/>
      <c r="TKR90" s="61"/>
      <c r="TKS90" s="62"/>
      <c r="TKT90" s="53"/>
      <c r="TKU90" s="60"/>
      <c r="TKV90" s="60"/>
      <c r="TKW90" s="61"/>
      <c r="TKX90" s="61"/>
      <c r="TKY90" s="61"/>
      <c r="TKZ90" s="61"/>
      <c r="TLA90" s="62"/>
      <c r="TLB90" s="53"/>
      <c r="TLC90" s="60"/>
      <c r="TLD90" s="60"/>
      <c r="TLE90" s="61"/>
      <c r="TLF90" s="61"/>
      <c r="TLG90" s="61"/>
      <c r="TLH90" s="61"/>
      <c r="TLI90" s="62"/>
      <c r="TLJ90" s="53"/>
      <c r="TLK90" s="60"/>
      <c r="TLL90" s="60"/>
      <c r="TLM90" s="61"/>
      <c r="TLN90" s="61"/>
      <c r="TLO90" s="61"/>
      <c r="TLP90" s="61"/>
      <c r="TLQ90" s="62"/>
      <c r="TLR90" s="53"/>
      <c r="TLS90" s="60"/>
      <c r="TLT90" s="60"/>
      <c r="TLU90" s="61"/>
      <c r="TLV90" s="61"/>
      <c r="TLW90" s="61"/>
      <c r="TLX90" s="61"/>
      <c r="TLY90" s="62"/>
      <c r="TLZ90" s="53"/>
      <c r="TMA90" s="60"/>
      <c r="TMB90" s="60"/>
      <c r="TMC90" s="61"/>
      <c r="TMD90" s="61"/>
      <c r="TME90" s="61"/>
      <c r="TMF90" s="61"/>
      <c r="TMG90" s="62"/>
      <c r="TMH90" s="53"/>
      <c r="TMI90" s="60"/>
      <c r="TMJ90" s="60"/>
      <c r="TMK90" s="61"/>
      <c r="TML90" s="61"/>
      <c r="TMM90" s="61"/>
      <c r="TMN90" s="61"/>
      <c r="TMO90" s="62"/>
      <c r="TMP90" s="53"/>
      <c r="TMQ90" s="60"/>
      <c r="TMR90" s="60"/>
      <c r="TMS90" s="61"/>
      <c r="TMT90" s="61"/>
      <c r="TMU90" s="61"/>
      <c r="TMV90" s="61"/>
      <c r="TMW90" s="62"/>
      <c r="TMX90" s="53"/>
      <c r="TMY90" s="60"/>
      <c r="TMZ90" s="60"/>
      <c r="TNA90" s="61"/>
      <c r="TNB90" s="61"/>
      <c r="TNC90" s="61"/>
      <c r="TND90" s="61"/>
      <c r="TNE90" s="62"/>
      <c r="TNF90" s="53"/>
      <c r="TNG90" s="60"/>
      <c r="TNH90" s="60"/>
      <c r="TNI90" s="61"/>
      <c r="TNJ90" s="61"/>
      <c r="TNK90" s="61"/>
      <c r="TNL90" s="61"/>
      <c r="TNM90" s="62"/>
      <c r="TNN90" s="53"/>
      <c r="TNO90" s="60"/>
      <c r="TNP90" s="60"/>
      <c r="TNQ90" s="61"/>
      <c r="TNR90" s="61"/>
      <c r="TNS90" s="61"/>
      <c r="TNT90" s="61"/>
      <c r="TNU90" s="62"/>
      <c r="TNV90" s="53"/>
      <c r="TNW90" s="60"/>
      <c r="TNX90" s="60"/>
      <c r="TNY90" s="61"/>
      <c r="TNZ90" s="61"/>
      <c r="TOA90" s="61"/>
      <c r="TOB90" s="61"/>
      <c r="TOC90" s="62"/>
      <c r="TOD90" s="53"/>
      <c r="TOE90" s="60"/>
      <c r="TOF90" s="60"/>
      <c r="TOG90" s="61"/>
      <c r="TOH90" s="61"/>
      <c r="TOI90" s="61"/>
      <c r="TOJ90" s="61"/>
      <c r="TOK90" s="62"/>
      <c r="TOL90" s="53"/>
      <c r="TOM90" s="60"/>
      <c r="TON90" s="60"/>
      <c r="TOO90" s="61"/>
      <c r="TOP90" s="61"/>
      <c r="TOQ90" s="61"/>
      <c r="TOR90" s="61"/>
      <c r="TOS90" s="62"/>
      <c r="TOT90" s="53"/>
      <c r="TOU90" s="60"/>
      <c r="TOV90" s="60"/>
      <c r="TOW90" s="61"/>
      <c r="TOX90" s="61"/>
      <c r="TOY90" s="61"/>
      <c r="TOZ90" s="61"/>
      <c r="TPA90" s="62"/>
      <c r="TPB90" s="53"/>
      <c r="TPC90" s="60"/>
      <c r="TPD90" s="60"/>
      <c r="TPE90" s="61"/>
      <c r="TPF90" s="61"/>
      <c r="TPG90" s="61"/>
      <c r="TPH90" s="61"/>
      <c r="TPI90" s="62"/>
      <c r="TPJ90" s="53"/>
      <c r="TPK90" s="60"/>
      <c r="TPL90" s="60"/>
      <c r="TPM90" s="61"/>
      <c r="TPN90" s="61"/>
      <c r="TPO90" s="61"/>
      <c r="TPP90" s="61"/>
      <c r="TPQ90" s="62"/>
      <c r="TPR90" s="53"/>
      <c r="TPS90" s="60"/>
      <c r="TPT90" s="60"/>
      <c r="TPU90" s="61"/>
      <c r="TPV90" s="61"/>
      <c r="TPW90" s="61"/>
      <c r="TPX90" s="61"/>
      <c r="TPY90" s="62"/>
      <c r="TPZ90" s="53"/>
      <c r="TQA90" s="60"/>
      <c r="TQB90" s="60"/>
      <c r="TQC90" s="61"/>
      <c r="TQD90" s="61"/>
      <c r="TQE90" s="61"/>
      <c r="TQF90" s="61"/>
      <c r="TQG90" s="62"/>
      <c r="TQH90" s="53"/>
      <c r="TQI90" s="60"/>
      <c r="TQJ90" s="60"/>
      <c r="TQK90" s="61"/>
      <c r="TQL90" s="61"/>
      <c r="TQM90" s="61"/>
      <c r="TQN90" s="61"/>
      <c r="TQO90" s="62"/>
      <c r="TQP90" s="53"/>
      <c r="TQQ90" s="60"/>
      <c r="TQR90" s="60"/>
      <c r="TQS90" s="61"/>
      <c r="TQT90" s="61"/>
      <c r="TQU90" s="61"/>
      <c r="TQV90" s="61"/>
      <c r="TQW90" s="62"/>
      <c r="TQX90" s="53"/>
      <c r="TQY90" s="60"/>
      <c r="TQZ90" s="60"/>
      <c r="TRA90" s="61"/>
      <c r="TRB90" s="61"/>
      <c r="TRC90" s="61"/>
      <c r="TRD90" s="61"/>
      <c r="TRE90" s="62"/>
      <c r="TRF90" s="53"/>
      <c r="TRG90" s="60"/>
      <c r="TRH90" s="60"/>
      <c r="TRI90" s="61"/>
      <c r="TRJ90" s="61"/>
      <c r="TRK90" s="61"/>
      <c r="TRL90" s="61"/>
      <c r="TRM90" s="62"/>
      <c r="TRN90" s="53"/>
      <c r="TRO90" s="60"/>
      <c r="TRP90" s="60"/>
      <c r="TRQ90" s="61"/>
      <c r="TRR90" s="61"/>
      <c r="TRS90" s="61"/>
      <c r="TRT90" s="61"/>
      <c r="TRU90" s="62"/>
      <c r="TRV90" s="53"/>
      <c r="TRW90" s="60"/>
      <c r="TRX90" s="60"/>
      <c r="TRY90" s="61"/>
      <c r="TRZ90" s="61"/>
      <c r="TSA90" s="61"/>
      <c r="TSB90" s="61"/>
      <c r="TSC90" s="62"/>
      <c r="TSD90" s="53"/>
      <c r="TSE90" s="60"/>
      <c r="TSF90" s="60"/>
      <c r="TSG90" s="61"/>
      <c r="TSH90" s="61"/>
      <c r="TSI90" s="61"/>
      <c r="TSJ90" s="61"/>
      <c r="TSK90" s="62"/>
      <c r="TSL90" s="53"/>
      <c r="TSM90" s="60"/>
      <c r="TSN90" s="60"/>
      <c r="TSO90" s="61"/>
      <c r="TSP90" s="61"/>
      <c r="TSQ90" s="61"/>
      <c r="TSR90" s="61"/>
      <c r="TSS90" s="62"/>
      <c r="TST90" s="53"/>
      <c r="TSU90" s="60"/>
      <c r="TSV90" s="60"/>
      <c r="TSW90" s="61"/>
      <c r="TSX90" s="61"/>
      <c r="TSY90" s="61"/>
      <c r="TSZ90" s="61"/>
      <c r="TTA90" s="62"/>
      <c r="TTB90" s="53"/>
      <c r="TTC90" s="60"/>
      <c r="TTD90" s="60"/>
      <c r="TTE90" s="61"/>
      <c r="TTF90" s="61"/>
      <c r="TTG90" s="61"/>
      <c r="TTH90" s="61"/>
      <c r="TTI90" s="62"/>
      <c r="TTJ90" s="53"/>
      <c r="TTK90" s="60"/>
      <c r="TTL90" s="60"/>
      <c r="TTM90" s="61"/>
      <c r="TTN90" s="61"/>
      <c r="TTO90" s="61"/>
      <c r="TTP90" s="61"/>
      <c r="TTQ90" s="62"/>
      <c r="TTR90" s="53"/>
      <c r="TTS90" s="60"/>
      <c r="TTT90" s="60"/>
      <c r="TTU90" s="61"/>
      <c r="TTV90" s="61"/>
      <c r="TTW90" s="61"/>
      <c r="TTX90" s="61"/>
      <c r="TTY90" s="62"/>
      <c r="TTZ90" s="53"/>
      <c r="TUA90" s="60"/>
      <c r="TUB90" s="60"/>
      <c r="TUC90" s="61"/>
      <c r="TUD90" s="61"/>
      <c r="TUE90" s="61"/>
      <c r="TUF90" s="61"/>
      <c r="TUG90" s="62"/>
      <c r="TUH90" s="53"/>
      <c r="TUI90" s="60"/>
      <c r="TUJ90" s="60"/>
      <c r="TUK90" s="61"/>
      <c r="TUL90" s="61"/>
      <c r="TUM90" s="61"/>
      <c r="TUN90" s="61"/>
      <c r="TUO90" s="62"/>
      <c r="TUP90" s="53"/>
      <c r="TUQ90" s="60"/>
      <c r="TUR90" s="60"/>
      <c r="TUS90" s="61"/>
      <c r="TUT90" s="61"/>
      <c r="TUU90" s="61"/>
      <c r="TUV90" s="61"/>
      <c r="TUW90" s="62"/>
      <c r="TUX90" s="53"/>
      <c r="TUY90" s="60"/>
      <c r="TUZ90" s="60"/>
      <c r="TVA90" s="61"/>
      <c r="TVB90" s="61"/>
      <c r="TVC90" s="61"/>
      <c r="TVD90" s="61"/>
      <c r="TVE90" s="62"/>
      <c r="TVF90" s="53"/>
      <c r="TVG90" s="60"/>
      <c r="TVH90" s="60"/>
      <c r="TVI90" s="61"/>
      <c r="TVJ90" s="61"/>
      <c r="TVK90" s="61"/>
      <c r="TVL90" s="61"/>
      <c r="TVM90" s="62"/>
      <c r="TVN90" s="53"/>
      <c r="TVO90" s="60"/>
      <c r="TVP90" s="60"/>
      <c r="TVQ90" s="61"/>
      <c r="TVR90" s="61"/>
      <c r="TVS90" s="61"/>
      <c r="TVT90" s="61"/>
      <c r="TVU90" s="62"/>
      <c r="TVV90" s="53"/>
      <c r="TVW90" s="60"/>
      <c r="TVX90" s="60"/>
      <c r="TVY90" s="61"/>
      <c r="TVZ90" s="61"/>
      <c r="TWA90" s="61"/>
      <c r="TWB90" s="61"/>
      <c r="TWC90" s="62"/>
      <c r="TWD90" s="53"/>
      <c r="TWE90" s="60"/>
      <c r="TWF90" s="60"/>
      <c r="TWG90" s="61"/>
      <c r="TWH90" s="61"/>
      <c r="TWI90" s="61"/>
      <c r="TWJ90" s="61"/>
      <c r="TWK90" s="62"/>
      <c r="TWL90" s="53"/>
      <c r="TWM90" s="60"/>
      <c r="TWN90" s="60"/>
      <c r="TWO90" s="61"/>
      <c r="TWP90" s="61"/>
      <c r="TWQ90" s="61"/>
      <c r="TWR90" s="61"/>
      <c r="TWS90" s="62"/>
      <c r="TWT90" s="53"/>
      <c r="TWU90" s="60"/>
      <c r="TWV90" s="60"/>
      <c r="TWW90" s="61"/>
      <c r="TWX90" s="61"/>
      <c r="TWY90" s="61"/>
      <c r="TWZ90" s="61"/>
      <c r="TXA90" s="62"/>
      <c r="TXB90" s="53"/>
      <c r="TXC90" s="60"/>
      <c r="TXD90" s="60"/>
      <c r="TXE90" s="61"/>
      <c r="TXF90" s="61"/>
      <c r="TXG90" s="61"/>
      <c r="TXH90" s="61"/>
      <c r="TXI90" s="62"/>
      <c r="TXJ90" s="53"/>
      <c r="TXK90" s="60"/>
      <c r="TXL90" s="60"/>
      <c r="TXM90" s="61"/>
      <c r="TXN90" s="61"/>
      <c r="TXO90" s="61"/>
      <c r="TXP90" s="61"/>
      <c r="TXQ90" s="62"/>
      <c r="TXR90" s="53"/>
      <c r="TXS90" s="60"/>
      <c r="TXT90" s="60"/>
      <c r="TXU90" s="61"/>
      <c r="TXV90" s="61"/>
      <c r="TXW90" s="61"/>
      <c r="TXX90" s="61"/>
      <c r="TXY90" s="62"/>
      <c r="TXZ90" s="53"/>
      <c r="TYA90" s="60"/>
      <c r="TYB90" s="60"/>
      <c r="TYC90" s="61"/>
      <c r="TYD90" s="61"/>
      <c r="TYE90" s="61"/>
      <c r="TYF90" s="61"/>
      <c r="TYG90" s="62"/>
      <c r="TYH90" s="53"/>
      <c r="TYI90" s="60"/>
      <c r="TYJ90" s="60"/>
      <c r="TYK90" s="61"/>
      <c r="TYL90" s="61"/>
      <c r="TYM90" s="61"/>
      <c r="TYN90" s="61"/>
      <c r="TYO90" s="62"/>
      <c r="TYP90" s="53"/>
      <c r="TYQ90" s="60"/>
      <c r="TYR90" s="60"/>
      <c r="TYS90" s="61"/>
      <c r="TYT90" s="61"/>
      <c r="TYU90" s="61"/>
      <c r="TYV90" s="61"/>
      <c r="TYW90" s="62"/>
      <c r="TYX90" s="53"/>
      <c r="TYY90" s="60"/>
      <c r="TYZ90" s="60"/>
      <c r="TZA90" s="61"/>
      <c r="TZB90" s="61"/>
      <c r="TZC90" s="61"/>
      <c r="TZD90" s="61"/>
      <c r="TZE90" s="62"/>
      <c r="TZF90" s="53"/>
      <c r="TZG90" s="60"/>
      <c r="TZH90" s="60"/>
      <c r="TZI90" s="61"/>
      <c r="TZJ90" s="61"/>
      <c r="TZK90" s="61"/>
      <c r="TZL90" s="61"/>
      <c r="TZM90" s="62"/>
      <c r="TZN90" s="53"/>
      <c r="TZO90" s="60"/>
      <c r="TZP90" s="60"/>
      <c r="TZQ90" s="61"/>
      <c r="TZR90" s="61"/>
      <c r="TZS90" s="61"/>
      <c r="TZT90" s="61"/>
      <c r="TZU90" s="62"/>
      <c r="TZV90" s="53"/>
      <c r="TZW90" s="60"/>
      <c r="TZX90" s="60"/>
      <c r="TZY90" s="61"/>
      <c r="TZZ90" s="61"/>
      <c r="UAA90" s="61"/>
      <c r="UAB90" s="61"/>
      <c r="UAC90" s="62"/>
      <c r="UAD90" s="53"/>
      <c r="UAE90" s="60"/>
      <c r="UAF90" s="60"/>
      <c r="UAG90" s="61"/>
      <c r="UAH90" s="61"/>
      <c r="UAI90" s="61"/>
      <c r="UAJ90" s="61"/>
      <c r="UAK90" s="62"/>
      <c r="UAL90" s="53"/>
      <c r="UAM90" s="60"/>
      <c r="UAN90" s="60"/>
      <c r="UAO90" s="61"/>
      <c r="UAP90" s="61"/>
      <c r="UAQ90" s="61"/>
      <c r="UAR90" s="61"/>
      <c r="UAS90" s="62"/>
      <c r="UAT90" s="53"/>
      <c r="UAU90" s="60"/>
      <c r="UAV90" s="60"/>
      <c r="UAW90" s="61"/>
      <c r="UAX90" s="61"/>
      <c r="UAY90" s="61"/>
      <c r="UAZ90" s="61"/>
      <c r="UBA90" s="62"/>
      <c r="UBB90" s="53"/>
      <c r="UBC90" s="60"/>
      <c r="UBD90" s="60"/>
      <c r="UBE90" s="61"/>
      <c r="UBF90" s="61"/>
      <c r="UBG90" s="61"/>
      <c r="UBH90" s="61"/>
      <c r="UBI90" s="62"/>
      <c r="UBJ90" s="53"/>
      <c r="UBK90" s="60"/>
      <c r="UBL90" s="60"/>
      <c r="UBM90" s="61"/>
      <c r="UBN90" s="61"/>
      <c r="UBO90" s="61"/>
      <c r="UBP90" s="61"/>
      <c r="UBQ90" s="62"/>
      <c r="UBR90" s="53"/>
      <c r="UBS90" s="60"/>
      <c r="UBT90" s="60"/>
      <c r="UBU90" s="61"/>
      <c r="UBV90" s="61"/>
      <c r="UBW90" s="61"/>
      <c r="UBX90" s="61"/>
      <c r="UBY90" s="62"/>
      <c r="UBZ90" s="53"/>
      <c r="UCA90" s="60"/>
      <c r="UCB90" s="60"/>
      <c r="UCC90" s="61"/>
      <c r="UCD90" s="61"/>
      <c r="UCE90" s="61"/>
      <c r="UCF90" s="61"/>
      <c r="UCG90" s="62"/>
      <c r="UCH90" s="53"/>
      <c r="UCI90" s="60"/>
      <c r="UCJ90" s="60"/>
      <c r="UCK90" s="61"/>
      <c r="UCL90" s="61"/>
      <c r="UCM90" s="61"/>
      <c r="UCN90" s="61"/>
      <c r="UCO90" s="62"/>
      <c r="UCP90" s="53"/>
      <c r="UCQ90" s="60"/>
      <c r="UCR90" s="60"/>
      <c r="UCS90" s="61"/>
      <c r="UCT90" s="61"/>
      <c r="UCU90" s="61"/>
      <c r="UCV90" s="61"/>
      <c r="UCW90" s="62"/>
      <c r="UCX90" s="53"/>
      <c r="UCY90" s="60"/>
      <c r="UCZ90" s="60"/>
      <c r="UDA90" s="61"/>
      <c r="UDB90" s="61"/>
      <c r="UDC90" s="61"/>
      <c r="UDD90" s="61"/>
      <c r="UDE90" s="62"/>
      <c r="UDF90" s="53"/>
      <c r="UDG90" s="60"/>
      <c r="UDH90" s="60"/>
      <c r="UDI90" s="61"/>
      <c r="UDJ90" s="61"/>
      <c r="UDK90" s="61"/>
      <c r="UDL90" s="61"/>
      <c r="UDM90" s="62"/>
      <c r="UDN90" s="53"/>
      <c r="UDO90" s="60"/>
      <c r="UDP90" s="60"/>
      <c r="UDQ90" s="61"/>
      <c r="UDR90" s="61"/>
      <c r="UDS90" s="61"/>
      <c r="UDT90" s="61"/>
      <c r="UDU90" s="62"/>
      <c r="UDV90" s="53"/>
      <c r="UDW90" s="60"/>
      <c r="UDX90" s="60"/>
      <c r="UDY90" s="61"/>
      <c r="UDZ90" s="61"/>
      <c r="UEA90" s="61"/>
      <c r="UEB90" s="61"/>
      <c r="UEC90" s="62"/>
      <c r="UED90" s="53"/>
      <c r="UEE90" s="60"/>
      <c r="UEF90" s="60"/>
      <c r="UEG90" s="61"/>
      <c r="UEH90" s="61"/>
      <c r="UEI90" s="61"/>
      <c r="UEJ90" s="61"/>
      <c r="UEK90" s="62"/>
      <c r="UEL90" s="53"/>
      <c r="UEM90" s="60"/>
      <c r="UEN90" s="60"/>
      <c r="UEO90" s="61"/>
      <c r="UEP90" s="61"/>
      <c r="UEQ90" s="61"/>
      <c r="UER90" s="61"/>
      <c r="UES90" s="62"/>
      <c r="UET90" s="53"/>
      <c r="UEU90" s="60"/>
      <c r="UEV90" s="60"/>
      <c r="UEW90" s="61"/>
      <c r="UEX90" s="61"/>
      <c r="UEY90" s="61"/>
      <c r="UEZ90" s="61"/>
      <c r="UFA90" s="62"/>
      <c r="UFB90" s="53"/>
      <c r="UFC90" s="60"/>
      <c r="UFD90" s="60"/>
      <c r="UFE90" s="61"/>
      <c r="UFF90" s="61"/>
      <c r="UFG90" s="61"/>
      <c r="UFH90" s="61"/>
      <c r="UFI90" s="62"/>
      <c r="UFJ90" s="53"/>
      <c r="UFK90" s="60"/>
      <c r="UFL90" s="60"/>
      <c r="UFM90" s="61"/>
      <c r="UFN90" s="61"/>
      <c r="UFO90" s="61"/>
      <c r="UFP90" s="61"/>
      <c r="UFQ90" s="62"/>
      <c r="UFR90" s="53"/>
      <c r="UFS90" s="60"/>
      <c r="UFT90" s="60"/>
      <c r="UFU90" s="61"/>
      <c r="UFV90" s="61"/>
      <c r="UFW90" s="61"/>
      <c r="UFX90" s="61"/>
      <c r="UFY90" s="62"/>
      <c r="UFZ90" s="53"/>
      <c r="UGA90" s="60"/>
      <c r="UGB90" s="60"/>
      <c r="UGC90" s="61"/>
      <c r="UGD90" s="61"/>
      <c r="UGE90" s="61"/>
      <c r="UGF90" s="61"/>
      <c r="UGG90" s="62"/>
      <c r="UGH90" s="53"/>
      <c r="UGI90" s="60"/>
      <c r="UGJ90" s="60"/>
      <c r="UGK90" s="61"/>
      <c r="UGL90" s="61"/>
      <c r="UGM90" s="61"/>
      <c r="UGN90" s="61"/>
      <c r="UGO90" s="62"/>
      <c r="UGP90" s="53"/>
      <c r="UGQ90" s="60"/>
      <c r="UGR90" s="60"/>
      <c r="UGS90" s="61"/>
      <c r="UGT90" s="61"/>
      <c r="UGU90" s="61"/>
      <c r="UGV90" s="61"/>
      <c r="UGW90" s="62"/>
      <c r="UGX90" s="53"/>
      <c r="UGY90" s="60"/>
      <c r="UGZ90" s="60"/>
      <c r="UHA90" s="61"/>
      <c r="UHB90" s="61"/>
      <c r="UHC90" s="61"/>
      <c r="UHD90" s="61"/>
      <c r="UHE90" s="62"/>
      <c r="UHF90" s="53"/>
      <c r="UHG90" s="60"/>
      <c r="UHH90" s="60"/>
      <c r="UHI90" s="61"/>
      <c r="UHJ90" s="61"/>
      <c r="UHK90" s="61"/>
      <c r="UHL90" s="61"/>
      <c r="UHM90" s="62"/>
      <c r="UHN90" s="53"/>
      <c r="UHO90" s="60"/>
      <c r="UHP90" s="60"/>
      <c r="UHQ90" s="61"/>
      <c r="UHR90" s="61"/>
      <c r="UHS90" s="61"/>
      <c r="UHT90" s="61"/>
      <c r="UHU90" s="62"/>
      <c r="UHV90" s="53"/>
      <c r="UHW90" s="60"/>
      <c r="UHX90" s="60"/>
      <c r="UHY90" s="61"/>
      <c r="UHZ90" s="61"/>
      <c r="UIA90" s="61"/>
      <c r="UIB90" s="61"/>
      <c r="UIC90" s="62"/>
      <c r="UID90" s="53"/>
      <c r="UIE90" s="60"/>
      <c r="UIF90" s="60"/>
      <c r="UIG90" s="61"/>
      <c r="UIH90" s="61"/>
      <c r="UII90" s="61"/>
      <c r="UIJ90" s="61"/>
      <c r="UIK90" s="62"/>
      <c r="UIL90" s="53"/>
      <c r="UIM90" s="60"/>
      <c r="UIN90" s="60"/>
      <c r="UIO90" s="61"/>
      <c r="UIP90" s="61"/>
      <c r="UIQ90" s="61"/>
      <c r="UIR90" s="61"/>
      <c r="UIS90" s="62"/>
      <c r="UIT90" s="53"/>
      <c r="UIU90" s="60"/>
      <c r="UIV90" s="60"/>
      <c r="UIW90" s="61"/>
      <c r="UIX90" s="61"/>
      <c r="UIY90" s="61"/>
      <c r="UIZ90" s="61"/>
      <c r="UJA90" s="62"/>
      <c r="UJB90" s="53"/>
      <c r="UJC90" s="60"/>
      <c r="UJD90" s="60"/>
      <c r="UJE90" s="61"/>
      <c r="UJF90" s="61"/>
      <c r="UJG90" s="61"/>
      <c r="UJH90" s="61"/>
      <c r="UJI90" s="62"/>
      <c r="UJJ90" s="53"/>
      <c r="UJK90" s="60"/>
      <c r="UJL90" s="60"/>
      <c r="UJM90" s="61"/>
      <c r="UJN90" s="61"/>
      <c r="UJO90" s="61"/>
      <c r="UJP90" s="61"/>
      <c r="UJQ90" s="62"/>
      <c r="UJR90" s="53"/>
      <c r="UJS90" s="60"/>
      <c r="UJT90" s="60"/>
      <c r="UJU90" s="61"/>
      <c r="UJV90" s="61"/>
      <c r="UJW90" s="61"/>
      <c r="UJX90" s="61"/>
      <c r="UJY90" s="62"/>
      <c r="UJZ90" s="53"/>
      <c r="UKA90" s="60"/>
      <c r="UKB90" s="60"/>
      <c r="UKC90" s="61"/>
      <c r="UKD90" s="61"/>
      <c r="UKE90" s="61"/>
      <c r="UKF90" s="61"/>
      <c r="UKG90" s="62"/>
      <c r="UKH90" s="53"/>
      <c r="UKI90" s="60"/>
      <c r="UKJ90" s="60"/>
      <c r="UKK90" s="61"/>
      <c r="UKL90" s="61"/>
      <c r="UKM90" s="61"/>
      <c r="UKN90" s="61"/>
      <c r="UKO90" s="62"/>
      <c r="UKP90" s="53"/>
      <c r="UKQ90" s="60"/>
      <c r="UKR90" s="60"/>
      <c r="UKS90" s="61"/>
      <c r="UKT90" s="61"/>
      <c r="UKU90" s="61"/>
      <c r="UKV90" s="61"/>
      <c r="UKW90" s="62"/>
      <c r="UKX90" s="53"/>
      <c r="UKY90" s="60"/>
      <c r="UKZ90" s="60"/>
      <c r="ULA90" s="61"/>
      <c r="ULB90" s="61"/>
      <c r="ULC90" s="61"/>
      <c r="ULD90" s="61"/>
      <c r="ULE90" s="62"/>
      <c r="ULF90" s="53"/>
      <c r="ULG90" s="60"/>
      <c r="ULH90" s="60"/>
      <c r="ULI90" s="61"/>
      <c r="ULJ90" s="61"/>
      <c r="ULK90" s="61"/>
      <c r="ULL90" s="61"/>
      <c r="ULM90" s="62"/>
      <c r="ULN90" s="53"/>
      <c r="ULO90" s="60"/>
      <c r="ULP90" s="60"/>
      <c r="ULQ90" s="61"/>
      <c r="ULR90" s="61"/>
      <c r="ULS90" s="61"/>
      <c r="ULT90" s="61"/>
      <c r="ULU90" s="62"/>
      <c r="ULV90" s="53"/>
      <c r="ULW90" s="60"/>
      <c r="ULX90" s="60"/>
      <c r="ULY90" s="61"/>
      <c r="ULZ90" s="61"/>
      <c r="UMA90" s="61"/>
      <c r="UMB90" s="61"/>
      <c r="UMC90" s="62"/>
      <c r="UMD90" s="53"/>
      <c r="UME90" s="60"/>
      <c r="UMF90" s="60"/>
      <c r="UMG90" s="61"/>
      <c r="UMH90" s="61"/>
      <c r="UMI90" s="61"/>
      <c r="UMJ90" s="61"/>
      <c r="UMK90" s="62"/>
      <c r="UML90" s="53"/>
      <c r="UMM90" s="60"/>
      <c r="UMN90" s="60"/>
      <c r="UMO90" s="61"/>
      <c r="UMP90" s="61"/>
      <c r="UMQ90" s="61"/>
      <c r="UMR90" s="61"/>
      <c r="UMS90" s="62"/>
      <c r="UMT90" s="53"/>
      <c r="UMU90" s="60"/>
      <c r="UMV90" s="60"/>
      <c r="UMW90" s="61"/>
      <c r="UMX90" s="61"/>
      <c r="UMY90" s="61"/>
      <c r="UMZ90" s="61"/>
      <c r="UNA90" s="62"/>
      <c r="UNB90" s="53"/>
      <c r="UNC90" s="60"/>
      <c r="UND90" s="60"/>
      <c r="UNE90" s="61"/>
      <c r="UNF90" s="61"/>
      <c r="UNG90" s="61"/>
      <c r="UNH90" s="61"/>
      <c r="UNI90" s="62"/>
      <c r="UNJ90" s="53"/>
      <c r="UNK90" s="60"/>
      <c r="UNL90" s="60"/>
      <c r="UNM90" s="61"/>
      <c r="UNN90" s="61"/>
      <c r="UNO90" s="61"/>
      <c r="UNP90" s="61"/>
      <c r="UNQ90" s="62"/>
      <c r="UNR90" s="53"/>
      <c r="UNS90" s="60"/>
      <c r="UNT90" s="60"/>
      <c r="UNU90" s="61"/>
      <c r="UNV90" s="61"/>
      <c r="UNW90" s="61"/>
      <c r="UNX90" s="61"/>
      <c r="UNY90" s="62"/>
      <c r="UNZ90" s="53"/>
      <c r="UOA90" s="60"/>
      <c r="UOB90" s="60"/>
      <c r="UOC90" s="61"/>
      <c r="UOD90" s="61"/>
      <c r="UOE90" s="61"/>
      <c r="UOF90" s="61"/>
      <c r="UOG90" s="62"/>
      <c r="UOH90" s="53"/>
      <c r="UOI90" s="60"/>
      <c r="UOJ90" s="60"/>
      <c r="UOK90" s="61"/>
      <c r="UOL90" s="61"/>
      <c r="UOM90" s="61"/>
      <c r="UON90" s="61"/>
      <c r="UOO90" s="62"/>
      <c r="UOP90" s="53"/>
      <c r="UOQ90" s="60"/>
      <c r="UOR90" s="60"/>
      <c r="UOS90" s="61"/>
      <c r="UOT90" s="61"/>
      <c r="UOU90" s="61"/>
      <c r="UOV90" s="61"/>
      <c r="UOW90" s="62"/>
      <c r="UOX90" s="53"/>
      <c r="UOY90" s="60"/>
      <c r="UOZ90" s="60"/>
      <c r="UPA90" s="61"/>
      <c r="UPB90" s="61"/>
      <c r="UPC90" s="61"/>
      <c r="UPD90" s="61"/>
      <c r="UPE90" s="62"/>
      <c r="UPF90" s="53"/>
      <c r="UPG90" s="60"/>
      <c r="UPH90" s="60"/>
      <c r="UPI90" s="61"/>
      <c r="UPJ90" s="61"/>
      <c r="UPK90" s="61"/>
      <c r="UPL90" s="61"/>
      <c r="UPM90" s="62"/>
      <c r="UPN90" s="53"/>
      <c r="UPO90" s="60"/>
      <c r="UPP90" s="60"/>
      <c r="UPQ90" s="61"/>
      <c r="UPR90" s="61"/>
      <c r="UPS90" s="61"/>
      <c r="UPT90" s="61"/>
      <c r="UPU90" s="62"/>
      <c r="UPV90" s="53"/>
      <c r="UPW90" s="60"/>
      <c r="UPX90" s="60"/>
      <c r="UPY90" s="61"/>
      <c r="UPZ90" s="61"/>
      <c r="UQA90" s="61"/>
      <c r="UQB90" s="61"/>
      <c r="UQC90" s="62"/>
      <c r="UQD90" s="53"/>
      <c r="UQE90" s="60"/>
      <c r="UQF90" s="60"/>
      <c r="UQG90" s="61"/>
      <c r="UQH90" s="61"/>
      <c r="UQI90" s="61"/>
      <c r="UQJ90" s="61"/>
      <c r="UQK90" s="62"/>
      <c r="UQL90" s="53"/>
      <c r="UQM90" s="60"/>
      <c r="UQN90" s="60"/>
      <c r="UQO90" s="61"/>
      <c r="UQP90" s="61"/>
      <c r="UQQ90" s="61"/>
      <c r="UQR90" s="61"/>
      <c r="UQS90" s="62"/>
      <c r="UQT90" s="53"/>
      <c r="UQU90" s="60"/>
      <c r="UQV90" s="60"/>
      <c r="UQW90" s="61"/>
      <c r="UQX90" s="61"/>
      <c r="UQY90" s="61"/>
      <c r="UQZ90" s="61"/>
      <c r="URA90" s="62"/>
      <c r="URB90" s="53"/>
      <c r="URC90" s="60"/>
      <c r="URD90" s="60"/>
      <c r="URE90" s="61"/>
      <c r="URF90" s="61"/>
      <c r="URG90" s="61"/>
      <c r="URH90" s="61"/>
      <c r="URI90" s="62"/>
      <c r="URJ90" s="53"/>
      <c r="URK90" s="60"/>
      <c r="URL90" s="60"/>
      <c r="URM90" s="61"/>
      <c r="URN90" s="61"/>
      <c r="URO90" s="61"/>
      <c r="URP90" s="61"/>
      <c r="URQ90" s="62"/>
      <c r="URR90" s="53"/>
      <c r="URS90" s="60"/>
      <c r="URT90" s="60"/>
      <c r="URU90" s="61"/>
      <c r="URV90" s="61"/>
      <c r="URW90" s="61"/>
      <c r="URX90" s="61"/>
      <c r="URY90" s="62"/>
      <c r="URZ90" s="53"/>
      <c r="USA90" s="60"/>
      <c r="USB90" s="60"/>
      <c r="USC90" s="61"/>
      <c r="USD90" s="61"/>
      <c r="USE90" s="61"/>
      <c r="USF90" s="61"/>
      <c r="USG90" s="62"/>
      <c r="USH90" s="53"/>
      <c r="USI90" s="60"/>
      <c r="USJ90" s="60"/>
      <c r="USK90" s="61"/>
      <c r="USL90" s="61"/>
      <c r="USM90" s="61"/>
      <c r="USN90" s="61"/>
      <c r="USO90" s="62"/>
      <c r="USP90" s="53"/>
      <c r="USQ90" s="60"/>
      <c r="USR90" s="60"/>
      <c r="USS90" s="61"/>
      <c r="UST90" s="61"/>
      <c r="USU90" s="61"/>
      <c r="USV90" s="61"/>
      <c r="USW90" s="62"/>
      <c r="USX90" s="53"/>
      <c r="USY90" s="60"/>
      <c r="USZ90" s="60"/>
      <c r="UTA90" s="61"/>
      <c r="UTB90" s="61"/>
      <c r="UTC90" s="61"/>
      <c r="UTD90" s="61"/>
      <c r="UTE90" s="62"/>
      <c r="UTF90" s="53"/>
      <c r="UTG90" s="60"/>
      <c r="UTH90" s="60"/>
      <c r="UTI90" s="61"/>
      <c r="UTJ90" s="61"/>
      <c r="UTK90" s="61"/>
      <c r="UTL90" s="61"/>
      <c r="UTM90" s="62"/>
      <c r="UTN90" s="53"/>
      <c r="UTO90" s="60"/>
      <c r="UTP90" s="60"/>
      <c r="UTQ90" s="61"/>
      <c r="UTR90" s="61"/>
      <c r="UTS90" s="61"/>
      <c r="UTT90" s="61"/>
      <c r="UTU90" s="62"/>
      <c r="UTV90" s="53"/>
      <c r="UTW90" s="60"/>
      <c r="UTX90" s="60"/>
      <c r="UTY90" s="61"/>
      <c r="UTZ90" s="61"/>
      <c r="UUA90" s="61"/>
      <c r="UUB90" s="61"/>
      <c r="UUC90" s="62"/>
      <c r="UUD90" s="53"/>
      <c r="UUE90" s="60"/>
      <c r="UUF90" s="60"/>
      <c r="UUG90" s="61"/>
      <c r="UUH90" s="61"/>
      <c r="UUI90" s="61"/>
      <c r="UUJ90" s="61"/>
      <c r="UUK90" s="62"/>
      <c r="UUL90" s="53"/>
      <c r="UUM90" s="60"/>
      <c r="UUN90" s="60"/>
      <c r="UUO90" s="61"/>
      <c r="UUP90" s="61"/>
      <c r="UUQ90" s="61"/>
      <c r="UUR90" s="61"/>
      <c r="UUS90" s="62"/>
      <c r="UUT90" s="53"/>
      <c r="UUU90" s="60"/>
      <c r="UUV90" s="60"/>
      <c r="UUW90" s="61"/>
      <c r="UUX90" s="61"/>
      <c r="UUY90" s="61"/>
      <c r="UUZ90" s="61"/>
      <c r="UVA90" s="62"/>
      <c r="UVB90" s="53"/>
      <c r="UVC90" s="60"/>
      <c r="UVD90" s="60"/>
      <c r="UVE90" s="61"/>
      <c r="UVF90" s="61"/>
      <c r="UVG90" s="61"/>
      <c r="UVH90" s="61"/>
      <c r="UVI90" s="62"/>
      <c r="UVJ90" s="53"/>
      <c r="UVK90" s="60"/>
      <c r="UVL90" s="60"/>
      <c r="UVM90" s="61"/>
      <c r="UVN90" s="61"/>
      <c r="UVO90" s="61"/>
      <c r="UVP90" s="61"/>
      <c r="UVQ90" s="62"/>
      <c r="UVR90" s="53"/>
      <c r="UVS90" s="60"/>
      <c r="UVT90" s="60"/>
      <c r="UVU90" s="61"/>
      <c r="UVV90" s="61"/>
      <c r="UVW90" s="61"/>
      <c r="UVX90" s="61"/>
      <c r="UVY90" s="62"/>
      <c r="UVZ90" s="53"/>
      <c r="UWA90" s="60"/>
      <c r="UWB90" s="60"/>
      <c r="UWC90" s="61"/>
      <c r="UWD90" s="61"/>
      <c r="UWE90" s="61"/>
      <c r="UWF90" s="61"/>
      <c r="UWG90" s="62"/>
      <c r="UWH90" s="53"/>
      <c r="UWI90" s="60"/>
      <c r="UWJ90" s="60"/>
      <c r="UWK90" s="61"/>
      <c r="UWL90" s="61"/>
      <c r="UWM90" s="61"/>
      <c r="UWN90" s="61"/>
      <c r="UWO90" s="62"/>
      <c r="UWP90" s="53"/>
      <c r="UWQ90" s="60"/>
      <c r="UWR90" s="60"/>
      <c r="UWS90" s="61"/>
      <c r="UWT90" s="61"/>
      <c r="UWU90" s="61"/>
      <c r="UWV90" s="61"/>
      <c r="UWW90" s="62"/>
      <c r="UWX90" s="53"/>
      <c r="UWY90" s="60"/>
      <c r="UWZ90" s="60"/>
      <c r="UXA90" s="61"/>
      <c r="UXB90" s="61"/>
      <c r="UXC90" s="61"/>
      <c r="UXD90" s="61"/>
      <c r="UXE90" s="62"/>
      <c r="UXF90" s="53"/>
      <c r="UXG90" s="60"/>
      <c r="UXH90" s="60"/>
      <c r="UXI90" s="61"/>
      <c r="UXJ90" s="61"/>
      <c r="UXK90" s="61"/>
      <c r="UXL90" s="61"/>
      <c r="UXM90" s="62"/>
      <c r="UXN90" s="53"/>
      <c r="UXO90" s="60"/>
      <c r="UXP90" s="60"/>
      <c r="UXQ90" s="61"/>
      <c r="UXR90" s="61"/>
      <c r="UXS90" s="61"/>
      <c r="UXT90" s="61"/>
      <c r="UXU90" s="62"/>
      <c r="UXV90" s="53"/>
      <c r="UXW90" s="60"/>
      <c r="UXX90" s="60"/>
      <c r="UXY90" s="61"/>
      <c r="UXZ90" s="61"/>
      <c r="UYA90" s="61"/>
      <c r="UYB90" s="61"/>
      <c r="UYC90" s="62"/>
      <c r="UYD90" s="53"/>
      <c r="UYE90" s="60"/>
      <c r="UYF90" s="60"/>
      <c r="UYG90" s="61"/>
      <c r="UYH90" s="61"/>
      <c r="UYI90" s="61"/>
      <c r="UYJ90" s="61"/>
      <c r="UYK90" s="62"/>
      <c r="UYL90" s="53"/>
      <c r="UYM90" s="60"/>
      <c r="UYN90" s="60"/>
      <c r="UYO90" s="61"/>
      <c r="UYP90" s="61"/>
      <c r="UYQ90" s="61"/>
      <c r="UYR90" s="61"/>
      <c r="UYS90" s="62"/>
      <c r="UYT90" s="53"/>
      <c r="UYU90" s="60"/>
      <c r="UYV90" s="60"/>
      <c r="UYW90" s="61"/>
      <c r="UYX90" s="61"/>
      <c r="UYY90" s="61"/>
      <c r="UYZ90" s="61"/>
      <c r="UZA90" s="62"/>
      <c r="UZB90" s="53"/>
      <c r="UZC90" s="60"/>
      <c r="UZD90" s="60"/>
      <c r="UZE90" s="61"/>
      <c r="UZF90" s="61"/>
      <c r="UZG90" s="61"/>
      <c r="UZH90" s="61"/>
      <c r="UZI90" s="62"/>
      <c r="UZJ90" s="53"/>
      <c r="UZK90" s="60"/>
      <c r="UZL90" s="60"/>
      <c r="UZM90" s="61"/>
      <c r="UZN90" s="61"/>
      <c r="UZO90" s="61"/>
      <c r="UZP90" s="61"/>
      <c r="UZQ90" s="62"/>
      <c r="UZR90" s="53"/>
      <c r="UZS90" s="60"/>
      <c r="UZT90" s="60"/>
      <c r="UZU90" s="61"/>
      <c r="UZV90" s="61"/>
      <c r="UZW90" s="61"/>
      <c r="UZX90" s="61"/>
      <c r="UZY90" s="62"/>
      <c r="UZZ90" s="53"/>
      <c r="VAA90" s="60"/>
      <c r="VAB90" s="60"/>
      <c r="VAC90" s="61"/>
      <c r="VAD90" s="61"/>
      <c r="VAE90" s="61"/>
      <c r="VAF90" s="61"/>
      <c r="VAG90" s="62"/>
      <c r="VAH90" s="53"/>
      <c r="VAI90" s="60"/>
      <c r="VAJ90" s="60"/>
      <c r="VAK90" s="61"/>
      <c r="VAL90" s="61"/>
      <c r="VAM90" s="61"/>
      <c r="VAN90" s="61"/>
      <c r="VAO90" s="62"/>
      <c r="VAP90" s="53"/>
      <c r="VAQ90" s="60"/>
      <c r="VAR90" s="60"/>
      <c r="VAS90" s="61"/>
      <c r="VAT90" s="61"/>
      <c r="VAU90" s="61"/>
      <c r="VAV90" s="61"/>
      <c r="VAW90" s="62"/>
      <c r="VAX90" s="53"/>
      <c r="VAY90" s="60"/>
      <c r="VAZ90" s="60"/>
      <c r="VBA90" s="61"/>
      <c r="VBB90" s="61"/>
      <c r="VBC90" s="61"/>
      <c r="VBD90" s="61"/>
      <c r="VBE90" s="62"/>
      <c r="VBF90" s="53"/>
      <c r="VBG90" s="60"/>
      <c r="VBH90" s="60"/>
      <c r="VBI90" s="61"/>
      <c r="VBJ90" s="61"/>
      <c r="VBK90" s="61"/>
      <c r="VBL90" s="61"/>
      <c r="VBM90" s="62"/>
      <c r="VBN90" s="53"/>
      <c r="VBO90" s="60"/>
      <c r="VBP90" s="60"/>
      <c r="VBQ90" s="61"/>
      <c r="VBR90" s="61"/>
      <c r="VBS90" s="61"/>
      <c r="VBT90" s="61"/>
      <c r="VBU90" s="62"/>
      <c r="VBV90" s="53"/>
      <c r="VBW90" s="60"/>
      <c r="VBX90" s="60"/>
      <c r="VBY90" s="61"/>
      <c r="VBZ90" s="61"/>
      <c r="VCA90" s="61"/>
      <c r="VCB90" s="61"/>
      <c r="VCC90" s="62"/>
      <c r="VCD90" s="53"/>
      <c r="VCE90" s="60"/>
      <c r="VCF90" s="60"/>
      <c r="VCG90" s="61"/>
      <c r="VCH90" s="61"/>
      <c r="VCI90" s="61"/>
      <c r="VCJ90" s="61"/>
      <c r="VCK90" s="62"/>
      <c r="VCL90" s="53"/>
      <c r="VCM90" s="60"/>
      <c r="VCN90" s="60"/>
      <c r="VCO90" s="61"/>
      <c r="VCP90" s="61"/>
      <c r="VCQ90" s="61"/>
      <c r="VCR90" s="61"/>
      <c r="VCS90" s="62"/>
      <c r="VCT90" s="53"/>
      <c r="VCU90" s="60"/>
      <c r="VCV90" s="60"/>
      <c r="VCW90" s="61"/>
      <c r="VCX90" s="61"/>
      <c r="VCY90" s="61"/>
      <c r="VCZ90" s="61"/>
      <c r="VDA90" s="62"/>
      <c r="VDB90" s="53"/>
      <c r="VDC90" s="60"/>
      <c r="VDD90" s="60"/>
      <c r="VDE90" s="61"/>
      <c r="VDF90" s="61"/>
      <c r="VDG90" s="61"/>
      <c r="VDH90" s="61"/>
      <c r="VDI90" s="62"/>
      <c r="VDJ90" s="53"/>
      <c r="VDK90" s="60"/>
      <c r="VDL90" s="60"/>
      <c r="VDM90" s="61"/>
      <c r="VDN90" s="61"/>
      <c r="VDO90" s="61"/>
      <c r="VDP90" s="61"/>
      <c r="VDQ90" s="62"/>
      <c r="VDR90" s="53"/>
      <c r="VDS90" s="60"/>
      <c r="VDT90" s="60"/>
      <c r="VDU90" s="61"/>
      <c r="VDV90" s="61"/>
      <c r="VDW90" s="61"/>
      <c r="VDX90" s="61"/>
      <c r="VDY90" s="62"/>
      <c r="VDZ90" s="53"/>
      <c r="VEA90" s="60"/>
      <c r="VEB90" s="60"/>
      <c r="VEC90" s="61"/>
      <c r="VED90" s="61"/>
      <c r="VEE90" s="61"/>
      <c r="VEF90" s="61"/>
      <c r="VEG90" s="62"/>
      <c r="VEH90" s="53"/>
      <c r="VEI90" s="60"/>
      <c r="VEJ90" s="60"/>
      <c r="VEK90" s="61"/>
      <c r="VEL90" s="61"/>
      <c r="VEM90" s="61"/>
      <c r="VEN90" s="61"/>
      <c r="VEO90" s="62"/>
      <c r="VEP90" s="53"/>
      <c r="VEQ90" s="60"/>
      <c r="VER90" s="60"/>
      <c r="VES90" s="61"/>
      <c r="VET90" s="61"/>
      <c r="VEU90" s="61"/>
      <c r="VEV90" s="61"/>
      <c r="VEW90" s="62"/>
      <c r="VEX90" s="53"/>
      <c r="VEY90" s="60"/>
      <c r="VEZ90" s="60"/>
      <c r="VFA90" s="61"/>
      <c r="VFB90" s="61"/>
      <c r="VFC90" s="61"/>
      <c r="VFD90" s="61"/>
      <c r="VFE90" s="62"/>
      <c r="VFF90" s="53"/>
      <c r="VFG90" s="60"/>
      <c r="VFH90" s="60"/>
      <c r="VFI90" s="61"/>
      <c r="VFJ90" s="61"/>
      <c r="VFK90" s="61"/>
      <c r="VFL90" s="61"/>
      <c r="VFM90" s="62"/>
      <c r="VFN90" s="53"/>
      <c r="VFO90" s="60"/>
      <c r="VFP90" s="60"/>
      <c r="VFQ90" s="61"/>
      <c r="VFR90" s="61"/>
      <c r="VFS90" s="61"/>
      <c r="VFT90" s="61"/>
      <c r="VFU90" s="62"/>
      <c r="VFV90" s="53"/>
      <c r="VFW90" s="60"/>
      <c r="VFX90" s="60"/>
      <c r="VFY90" s="61"/>
      <c r="VFZ90" s="61"/>
      <c r="VGA90" s="61"/>
      <c r="VGB90" s="61"/>
      <c r="VGC90" s="62"/>
      <c r="VGD90" s="53"/>
      <c r="VGE90" s="60"/>
      <c r="VGF90" s="60"/>
      <c r="VGG90" s="61"/>
      <c r="VGH90" s="61"/>
      <c r="VGI90" s="61"/>
      <c r="VGJ90" s="61"/>
      <c r="VGK90" s="62"/>
      <c r="VGL90" s="53"/>
      <c r="VGM90" s="60"/>
      <c r="VGN90" s="60"/>
      <c r="VGO90" s="61"/>
      <c r="VGP90" s="61"/>
      <c r="VGQ90" s="61"/>
      <c r="VGR90" s="61"/>
      <c r="VGS90" s="62"/>
      <c r="VGT90" s="53"/>
      <c r="VGU90" s="60"/>
      <c r="VGV90" s="60"/>
      <c r="VGW90" s="61"/>
      <c r="VGX90" s="61"/>
      <c r="VGY90" s="61"/>
      <c r="VGZ90" s="61"/>
      <c r="VHA90" s="62"/>
      <c r="VHB90" s="53"/>
      <c r="VHC90" s="60"/>
      <c r="VHD90" s="60"/>
      <c r="VHE90" s="61"/>
      <c r="VHF90" s="61"/>
      <c r="VHG90" s="61"/>
      <c r="VHH90" s="61"/>
      <c r="VHI90" s="62"/>
      <c r="VHJ90" s="53"/>
      <c r="VHK90" s="60"/>
      <c r="VHL90" s="60"/>
      <c r="VHM90" s="61"/>
      <c r="VHN90" s="61"/>
      <c r="VHO90" s="61"/>
      <c r="VHP90" s="61"/>
      <c r="VHQ90" s="62"/>
      <c r="VHR90" s="53"/>
      <c r="VHS90" s="60"/>
      <c r="VHT90" s="60"/>
      <c r="VHU90" s="61"/>
      <c r="VHV90" s="61"/>
      <c r="VHW90" s="61"/>
      <c r="VHX90" s="61"/>
      <c r="VHY90" s="62"/>
      <c r="VHZ90" s="53"/>
      <c r="VIA90" s="60"/>
      <c r="VIB90" s="60"/>
      <c r="VIC90" s="61"/>
      <c r="VID90" s="61"/>
      <c r="VIE90" s="61"/>
      <c r="VIF90" s="61"/>
      <c r="VIG90" s="62"/>
      <c r="VIH90" s="53"/>
      <c r="VII90" s="60"/>
      <c r="VIJ90" s="60"/>
      <c r="VIK90" s="61"/>
      <c r="VIL90" s="61"/>
      <c r="VIM90" s="61"/>
      <c r="VIN90" s="61"/>
      <c r="VIO90" s="62"/>
      <c r="VIP90" s="53"/>
      <c r="VIQ90" s="60"/>
      <c r="VIR90" s="60"/>
      <c r="VIS90" s="61"/>
      <c r="VIT90" s="61"/>
      <c r="VIU90" s="61"/>
      <c r="VIV90" s="61"/>
      <c r="VIW90" s="62"/>
      <c r="VIX90" s="53"/>
      <c r="VIY90" s="60"/>
      <c r="VIZ90" s="60"/>
      <c r="VJA90" s="61"/>
      <c r="VJB90" s="61"/>
      <c r="VJC90" s="61"/>
      <c r="VJD90" s="61"/>
      <c r="VJE90" s="62"/>
      <c r="VJF90" s="53"/>
      <c r="VJG90" s="60"/>
      <c r="VJH90" s="60"/>
      <c r="VJI90" s="61"/>
      <c r="VJJ90" s="61"/>
      <c r="VJK90" s="61"/>
      <c r="VJL90" s="61"/>
      <c r="VJM90" s="62"/>
      <c r="VJN90" s="53"/>
      <c r="VJO90" s="60"/>
      <c r="VJP90" s="60"/>
      <c r="VJQ90" s="61"/>
      <c r="VJR90" s="61"/>
      <c r="VJS90" s="61"/>
      <c r="VJT90" s="61"/>
      <c r="VJU90" s="62"/>
      <c r="VJV90" s="53"/>
      <c r="VJW90" s="60"/>
      <c r="VJX90" s="60"/>
      <c r="VJY90" s="61"/>
      <c r="VJZ90" s="61"/>
      <c r="VKA90" s="61"/>
      <c r="VKB90" s="61"/>
      <c r="VKC90" s="62"/>
      <c r="VKD90" s="53"/>
      <c r="VKE90" s="60"/>
      <c r="VKF90" s="60"/>
      <c r="VKG90" s="61"/>
      <c r="VKH90" s="61"/>
      <c r="VKI90" s="61"/>
      <c r="VKJ90" s="61"/>
      <c r="VKK90" s="62"/>
      <c r="VKL90" s="53"/>
      <c r="VKM90" s="60"/>
      <c r="VKN90" s="60"/>
      <c r="VKO90" s="61"/>
      <c r="VKP90" s="61"/>
      <c r="VKQ90" s="61"/>
      <c r="VKR90" s="61"/>
      <c r="VKS90" s="62"/>
      <c r="VKT90" s="53"/>
      <c r="VKU90" s="60"/>
      <c r="VKV90" s="60"/>
      <c r="VKW90" s="61"/>
      <c r="VKX90" s="61"/>
      <c r="VKY90" s="61"/>
      <c r="VKZ90" s="61"/>
      <c r="VLA90" s="62"/>
      <c r="VLB90" s="53"/>
      <c r="VLC90" s="60"/>
      <c r="VLD90" s="60"/>
      <c r="VLE90" s="61"/>
      <c r="VLF90" s="61"/>
      <c r="VLG90" s="61"/>
      <c r="VLH90" s="61"/>
      <c r="VLI90" s="62"/>
      <c r="VLJ90" s="53"/>
      <c r="VLK90" s="60"/>
      <c r="VLL90" s="60"/>
      <c r="VLM90" s="61"/>
      <c r="VLN90" s="61"/>
      <c r="VLO90" s="61"/>
      <c r="VLP90" s="61"/>
      <c r="VLQ90" s="62"/>
      <c r="VLR90" s="53"/>
      <c r="VLS90" s="60"/>
      <c r="VLT90" s="60"/>
      <c r="VLU90" s="61"/>
      <c r="VLV90" s="61"/>
      <c r="VLW90" s="61"/>
      <c r="VLX90" s="61"/>
      <c r="VLY90" s="62"/>
      <c r="VLZ90" s="53"/>
      <c r="VMA90" s="60"/>
      <c r="VMB90" s="60"/>
      <c r="VMC90" s="61"/>
      <c r="VMD90" s="61"/>
      <c r="VME90" s="61"/>
      <c r="VMF90" s="61"/>
      <c r="VMG90" s="62"/>
      <c r="VMH90" s="53"/>
      <c r="VMI90" s="60"/>
      <c r="VMJ90" s="60"/>
      <c r="VMK90" s="61"/>
      <c r="VML90" s="61"/>
      <c r="VMM90" s="61"/>
      <c r="VMN90" s="61"/>
      <c r="VMO90" s="62"/>
      <c r="VMP90" s="53"/>
      <c r="VMQ90" s="60"/>
      <c r="VMR90" s="60"/>
      <c r="VMS90" s="61"/>
      <c r="VMT90" s="61"/>
      <c r="VMU90" s="61"/>
      <c r="VMV90" s="61"/>
      <c r="VMW90" s="62"/>
      <c r="VMX90" s="53"/>
      <c r="VMY90" s="60"/>
      <c r="VMZ90" s="60"/>
      <c r="VNA90" s="61"/>
      <c r="VNB90" s="61"/>
      <c r="VNC90" s="61"/>
      <c r="VND90" s="61"/>
      <c r="VNE90" s="62"/>
      <c r="VNF90" s="53"/>
      <c r="VNG90" s="60"/>
      <c r="VNH90" s="60"/>
      <c r="VNI90" s="61"/>
      <c r="VNJ90" s="61"/>
      <c r="VNK90" s="61"/>
      <c r="VNL90" s="61"/>
      <c r="VNM90" s="62"/>
      <c r="VNN90" s="53"/>
      <c r="VNO90" s="60"/>
      <c r="VNP90" s="60"/>
      <c r="VNQ90" s="61"/>
      <c r="VNR90" s="61"/>
      <c r="VNS90" s="61"/>
      <c r="VNT90" s="61"/>
      <c r="VNU90" s="62"/>
      <c r="VNV90" s="53"/>
      <c r="VNW90" s="60"/>
      <c r="VNX90" s="60"/>
      <c r="VNY90" s="61"/>
      <c r="VNZ90" s="61"/>
      <c r="VOA90" s="61"/>
      <c r="VOB90" s="61"/>
      <c r="VOC90" s="62"/>
      <c r="VOD90" s="53"/>
      <c r="VOE90" s="60"/>
      <c r="VOF90" s="60"/>
      <c r="VOG90" s="61"/>
      <c r="VOH90" s="61"/>
      <c r="VOI90" s="61"/>
      <c r="VOJ90" s="61"/>
      <c r="VOK90" s="62"/>
      <c r="VOL90" s="53"/>
      <c r="VOM90" s="60"/>
      <c r="VON90" s="60"/>
      <c r="VOO90" s="61"/>
      <c r="VOP90" s="61"/>
      <c r="VOQ90" s="61"/>
      <c r="VOR90" s="61"/>
      <c r="VOS90" s="62"/>
      <c r="VOT90" s="53"/>
      <c r="VOU90" s="60"/>
      <c r="VOV90" s="60"/>
      <c r="VOW90" s="61"/>
      <c r="VOX90" s="61"/>
      <c r="VOY90" s="61"/>
      <c r="VOZ90" s="61"/>
      <c r="VPA90" s="62"/>
      <c r="VPB90" s="53"/>
      <c r="VPC90" s="60"/>
      <c r="VPD90" s="60"/>
      <c r="VPE90" s="61"/>
      <c r="VPF90" s="61"/>
      <c r="VPG90" s="61"/>
      <c r="VPH90" s="61"/>
      <c r="VPI90" s="62"/>
      <c r="VPJ90" s="53"/>
      <c r="VPK90" s="60"/>
      <c r="VPL90" s="60"/>
      <c r="VPM90" s="61"/>
      <c r="VPN90" s="61"/>
      <c r="VPO90" s="61"/>
      <c r="VPP90" s="61"/>
      <c r="VPQ90" s="62"/>
      <c r="VPR90" s="53"/>
      <c r="VPS90" s="60"/>
      <c r="VPT90" s="60"/>
      <c r="VPU90" s="61"/>
      <c r="VPV90" s="61"/>
      <c r="VPW90" s="61"/>
      <c r="VPX90" s="61"/>
      <c r="VPY90" s="62"/>
      <c r="VPZ90" s="53"/>
      <c r="VQA90" s="60"/>
      <c r="VQB90" s="60"/>
      <c r="VQC90" s="61"/>
      <c r="VQD90" s="61"/>
      <c r="VQE90" s="61"/>
      <c r="VQF90" s="61"/>
      <c r="VQG90" s="62"/>
      <c r="VQH90" s="53"/>
      <c r="VQI90" s="60"/>
      <c r="VQJ90" s="60"/>
      <c r="VQK90" s="61"/>
      <c r="VQL90" s="61"/>
      <c r="VQM90" s="61"/>
      <c r="VQN90" s="61"/>
      <c r="VQO90" s="62"/>
      <c r="VQP90" s="53"/>
      <c r="VQQ90" s="60"/>
      <c r="VQR90" s="60"/>
      <c r="VQS90" s="61"/>
      <c r="VQT90" s="61"/>
      <c r="VQU90" s="61"/>
      <c r="VQV90" s="61"/>
      <c r="VQW90" s="62"/>
      <c r="VQX90" s="53"/>
      <c r="VQY90" s="60"/>
      <c r="VQZ90" s="60"/>
      <c r="VRA90" s="61"/>
      <c r="VRB90" s="61"/>
      <c r="VRC90" s="61"/>
      <c r="VRD90" s="61"/>
      <c r="VRE90" s="62"/>
      <c r="VRF90" s="53"/>
      <c r="VRG90" s="60"/>
      <c r="VRH90" s="60"/>
      <c r="VRI90" s="61"/>
      <c r="VRJ90" s="61"/>
      <c r="VRK90" s="61"/>
      <c r="VRL90" s="61"/>
      <c r="VRM90" s="62"/>
      <c r="VRN90" s="53"/>
      <c r="VRO90" s="60"/>
      <c r="VRP90" s="60"/>
      <c r="VRQ90" s="61"/>
      <c r="VRR90" s="61"/>
      <c r="VRS90" s="61"/>
      <c r="VRT90" s="61"/>
      <c r="VRU90" s="62"/>
      <c r="VRV90" s="53"/>
      <c r="VRW90" s="60"/>
      <c r="VRX90" s="60"/>
      <c r="VRY90" s="61"/>
      <c r="VRZ90" s="61"/>
      <c r="VSA90" s="61"/>
      <c r="VSB90" s="61"/>
      <c r="VSC90" s="62"/>
      <c r="VSD90" s="53"/>
      <c r="VSE90" s="60"/>
      <c r="VSF90" s="60"/>
      <c r="VSG90" s="61"/>
      <c r="VSH90" s="61"/>
      <c r="VSI90" s="61"/>
      <c r="VSJ90" s="61"/>
      <c r="VSK90" s="62"/>
      <c r="VSL90" s="53"/>
      <c r="VSM90" s="60"/>
      <c r="VSN90" s="60"/>
      <c r="VSO90" s="61"/>
      <c r="VSP90" s="61"/>
      <c r="VSQ90" s="61"/>
      <c r="VSR90" s="61"/>
      <c r="VSS90" s="62"/>
      <c r="VST90" s="53"/>
      <c r="VSU90" s="60"/>
      <c r="VSV90" s="60"/>
      <c r="VSW90" s="61"/>
      <c r="VSX90" s="61"/>
      <c r="VSY90" s="61"/>
      <c r="VSZ90" s="61"/>
      <c r="VTA90" s="62"/>
      <c r="VTB90" s="53"/>
      <c r="VTC90" s="60"/>
      <c r="VTD90" s="60"/>
      <c r="VTE90" s="61"/>
      <c r="VTF90" s="61"/>
      <c r="VTG90" s="61"/>
      <c r="VTH90" s="61"/>
      <c r="VTI90" s="62"/>
      <c r="VTJ90" s="53"/>
      <c r="VTK90" s="60"/>
      <c r="VTL90" s="60"/>
      <c r="VTM90" s="61"/>
      <c r="VTN90" s="61"/>
      <c r="VTO90" s="61"/>
      <c r="VTP90" s="61"/>
      <c r="VTQ90" s="62"/>
      <c r="VTR90" s="53"/>
      <c r="VTS90" s="60"/>
      <c r="VTT90" s="60"/>
      <c r="VTU90" s="61"/>
      <c r="VTV90" s="61"/>
      <c r="VTW90" s="61"/>
      <c r="VTX90" s="61"/>
      <c r="VTY90" s="62"/>
      <c r="VTZ90" s="53"/>
      <c r="VUA90" s="60"/>
      <c r="VUB90" s="60"/>
      <c r="VUC90" s="61"/>
      <c r="VUD90" s="61"/>
      <c r="VUE90" s="61"/>
      <c r="VUF90" s="61"/>
      <c r="VUG90" s="62"/>
      <c r="VUH90" s="53"/>
      <c r="VUI90" s="60"/>
      <c r="VUJ90" s="60"/>
      <c r="VUK90" s="61"/>
      <c r="VUL90" s="61"/>
      <c r="VUM90" s="61"/>
      <c r="VUN90" s="61"/>
      <c r="VUO90" s="62"/>
      <c r="VUP90" s="53"/>
      <c r="VUQ90" s="60"/>
      <c r="VUR90" s="60"/>
      <c r="VUS90" s="61"/>
      <c r="VUT90" s="61"/>
      <c r="VUU90" s="61"/>
      <c r="VUV90" s="61"/>
      <c r="VUW90" s="62"/>
      <c r="VUX90" s="53"/>
      <c r="VUY90" s="60"/>
      <c r="VUZ90" s="60"/>
      <c r="VVA90" s="61"/>
      <c r="VVB90" s="61"/>
      <c r="VVC90" s="61"/>
      <c r="VVD90" s="61"/>
      <c r="VVE90" s="62"/>
      <c r="VVF90" s="53"/>
      <c r="VVG90" s="60"/>
      <c r="VVH90" s="60"/>
      <c r="VVI90" s="61"/>
      <c r="VVJ90" s="61"/>
      <c r="VVK90" s="61"/>
      <c r="VVL90" s="61"/>
      <c r="VVM90" s="62"/>
      <c r="VVN90" s="53"/>
      <c r="VVO90" s="60"/>
      <c r="VVP90" s="60"/>
      <c r="VVQ90" s="61"/>
      <c r="VVR90" s="61"/>
      <c r="VVS90" s="61"/>
      <c r="VVT90" s="61"/>
      <c r="VVU90" s="62"/>
      <c r="VVV90" s="53"/>
      <c r="VVW90" s="60"/>
      <c r="VVX90" s="60"/>
      <c r="VVY90" s="61"/>
      <c r="VVZ90" s="61"/>
      <c r="VWA90" s="61"/>
      <c r="VWB90" s="61"/>
      <c r="VWC90" s="62"/>
      <c r="VWD90" s="53"/>
      <c r="VWE90" s="60"/>
      <c r="VWF90" s="60"/>
      <c r="VWG90" s="61"/>
      <c r="VWH90" s="61"/>
      <c r="VWI90" s="61"/>
      <c r="VWJ90" s="61"/>
      <c r="VWK90" s="62"/>
      <c r="VWL90" s="53"/>
      <c r="VWM90" s="60"/>
      <c r="VWN90" s="60"/>
      <c r="VWO90" s="61"/>
      <c r="VWP90" s="61"/>
      <c r="VWQ90" s="61"/>
      <c r="VWR90" s="61"/>
      <c r="VWS90" s="62"/>
      <c r="VWT90" s="53"/>
      <c r="VWU90" s="60"/>
      <c r="VWV90" s="60"/>
      <c r="VWW90" s="61"/>
      <c r="VWX90" s="61"/>
      <c r="VWY90" s="61"/>
      <c r="VWZ90" s="61"/>
      <c r="VXA90" s="62"/>
      <c r="VXB90" s="53"/>
      <c r="VXC90" s="60"/>
      <c r="VXD90" s="60"/>
      <c r="VXE90" s="61"/>
      <c r="VXF90" s="61"/>
      <c r="VXG90" s="61"/>
      <c r="VXH90" s="61"/>
      <c r="VXI90" s="62"/>
      <c r="VXJ90" s="53"/>
      <c r="VXK90" s="60"/>
      <c r="VXL90" s="60"/>
      <c r="VXM90" s="61"/>
      <c r="VXN90" s="61"/>
      <c r="VXO90" s="61"/>
      <c r="VXP90" s="61"/>
      <c r="VXQ90" s="62"/>
      <c r="VXR90" s="53"/>
      <c r="VXS90" s="60"/>
      <c r="VXT90" s="60"/>
      <c r="VXU90" s="61"/>
      <c r="VXV90" s="61"/>
      <c r="VXW90" s="61"/>
      <c r="VXX90" s="61"/>
      <c r="VXY90" s="62"/>
      <c r="VXZ90" s="53"/>
      <c r="VYA90" s="60"/>
      <c r="VYB90" s="60"/>
      <c r="VYC90" s="61"/>
      <c r="VYD90" s="61"/>
      <c r="VYE90" s="61"/>
      <c r="VYF90" s="61"/>
      <c r="VYG90" s="62"/>
      <c r="VYH90" s="53"/>
      <c r="VYI90" s="60"/>
      <c r="VYJ90" s="60"/>
      <c r="VYK90" s="61"/>
      <c r="VYL90" s="61"/>
      <c r="VYM90" s="61"/>
      <c r="VYN90" s="61"/>
      <c r="VYO90" s="62"/>
      <c r="VYP90" s="53"/>
      <c r="VYQ90" s="60"/>
      <c r="VYR90" s="60"/>
      <c r="VYS90" s="61"/>
      <c r="VYT90" s="61"/>
      <c r="VYU90" s="61"/>
      <c r="VYV90" s="61"/>
      <c r="VYW90" s="62"/>
      <c r="VYX90" s="53"/>
      <c r="VYY90" s="60"/>
      <c r="VYZ90" s="60"/>
      <c r="VZA90" s="61"/>
      <c r="VZB90" s="61"/>
      <c r="VZC90" s="61"/>
      <c r="VZD90" s="61"/>
      <c r="VZE90" s="62"/>
      <c r="VZF90" s="53"/>
      <c r="VZG90" s="60"/>
      <c r="VZH90" s="60"/>
      <c r="VZI90" s="61"/>
      <c r="VZJ90" s="61"/>
      <c r="VZK90" s="61"/>
      <c r="VZL90" s="61"/>
      <c r="VZM90" s="62"/>
      <c r="VZN90" s="53"/>
      <c r="VZO90" s="60"/>
      <c r="VZP90" s="60"/>
      <c r="VZQ90" s="61"/>
      <c r="VZR90" s="61"/>
      <c r="VZS90" s="61"/>
      <c r="VZT90" s="61"/>
      <c r="VZU90" s="62"/>
      <c r="VZV90" s="53"/>
      <c r="VZW90" s="60"/>
      <c r="VZX90" s="60"/>
      <c r="VZY90" s="61"/>
      <c r="VZZ90" s="61"/>
      <c r="WAA90" s="61"/>
      <c r="WAB90" s="61"/>
      <c r="WAC90" s="62"/>
      <c r="WAD90" s="53"/>
      <c r="WAE90" s="60"/>
      <c r="WAF90" s="60"/>
      <c r="WAG90" s="61"/>
      <c r="WAH90" s="61"/>
      <c r="WAI90" s="61"/>
      <c r="WAJ90" s="61"/>
      <c r="WAK90" s="62"/>
      <c r="WAL90" s="53"/>
      <c r="WAM90" s="60"/>
      <c r="WAN90" s="60"/>
      <c r="WAO90" s="61"/>
      <c r="WAP90" s="61"/>
      <c r="WAQ90" s="61"/>
      <c r="WAR90" s="61"/>
      <c r="WAS90" s="62"/>
      <c r="WAT90" s="53"/>
      <c r="WAU90" s="60"/>
      <c r="WAV90" s="60"/>
      <c r="WAW90" s="61"/>
      <c r="WAX90" s="61"/>
      <c r="WAY90" s="61"/>
      <c r="WAZ90" s="61"/>
      <c r="WBA90" s="62"/>
      <c r="WBB90" s="53"/>
      <c r="WBC90" s="60"/>
      <c r="WBD90" s="60"/>
      <c r="WBE90" s="61"/>
      <c r="WBF90" s="61"/>
      <c r="WBG90" s="61"/>
      <c r="WBH90" s="61"/>
      <c r="WBI90" s="62"/>
      <c r="WBJ90" s="53"/>
      <c r="WBK90" s="60"/>
      <c r="WBL90" s="60"/>
      <c r="WBM90" s="61"/>
      <c r="WBN90" s="61"/>
      <c r="WBO90" s="61"/>
      <c r="WBP90" s="61"/>
      <c r="WBQ90" s="62"/>
      <c r="WBR90" s="53"/>
      <c r="WBS90" s="60"/>
      <c r="WBT90" s="60"/>
      <c r="WBU90" s="61"/>
      <c r="WBV90" s="61"/>
      <c r="WBW90" s="61"/>
      <c r="WBX90" s="61"/>
      <c r="WBY90" s="62"/>
      <c r="WBZ90" s="53"/>
      <c r="WCA90" s="60"/>
      <c r="WCB90" s="60"/>
      <c r="WCC90" s="61"/>
      <c r="WCD90" s="61"/>
      <c r="WCE90" s="61"/>
      <c r="WCF90" s="61"/>
      <c r="WCG90" s="62"/>
      <c r="WCH90" s="53"/>
      <c r="WCI90" s="60"/>
      <c r="WCJ90" s="60"/>
      <c r="WCK90" s="61"/>
      <c r="WCL90" s="61"/>
      <c r="WCM90" s="61"/>
      <c r="WCN90" s="61"/>
      <c r="WCO90" s="62"/>
      <c r="WCP90" s="53"/>
      <c r="WCQ90" s="60"/>
      <c r="WCR90" s="60"/>
      <c r="WCS90" s="61"/>
      <c r="WCT90" s="61"/>
      <c r="WCU90" s="61"/>
      <c r="WCV90" s="61"/>
      <c r="WCW90" s="62"/>
      <c r="WCX90" s="53"/>
      <c r="WCY90" s="60"/>
      <c r="WCZ90" s="60"/>
      <c r="WDA90" s="61"/>
      <c r="WDB90" s="61"/>
      <c r="WDC90" s="61"/>
      <c r="WDD90" s="61"/>
      <c r="WDE90" s="62"/>
      <c r="WDF90" s="53"/>
      <c r="WDG90" s="60"/>
      <c r="WDH90" s="60"/>
      <c r="WDI90" s="61"/>
      <c r="WDJ90" s="61"/>
      <c r="WDK90" s="61"/>
      <c r="WDL90" s="61"/>
      <c r="WDM90" s="62"/>
      <c r="WDN90" s="53"/>
      <c r="WDO90" s="60"/>
      <c r="WDP90" s="60"/>
      <c r="WDQ90" s="61"/>
      <c r="WDR90" s="61"/>
      <c r="WDS90" s="61"/>
      <c r="WDT90" s="61"/>
      <c r="WDU90" s="62"/>
      <c r="WDV90" s="53"/>
      <c r="WDW90" s="60"/>
      <c r="WDX90" s="60"/>
      <c r="WDY90" s="61"/>
      <c r="WDZ90" s="61"/>
      <c r="WEA90" s="61"/>
      <c r="WEB90" s="61"/>
      <c r="WEC90" s="62"/>
      <c r="WED90" s="53"/>
      <c r="WEE90" s="60"/>
      <c r="WEF90" s="60"/>
      <c r="WEG90" s="61"/>
      <c r="WEH90" s="61"/>
      <c r="WEI90" s="61"/>
      <c r="WEJ90" s="61"/>
      <c r="WEK90" s="62"/>
      <c r="WEL90" s="53"/>
      <c r="WEM90" s="60"/>
      <c r="WEN90" s="60"/>
      <c r="WEO90" s="61"/>
      <c r="WEP90" s="61"/>
      <c r="WEQ90" s="61"/>
      <c r="WER90" s="61"/>
      <c r="WES90" s="62"/>
      <c r="WET90" s="53"/>
      <c r="WEU90" s="60"/>
      <c r="WEV90" s="60"/>
      <c r="WEW90" s="61"/>
      <c r="WEX90" s="61"/>
      <c r="WEY90" s="61"/>
      <c r="WEZ90" s="61"/>
      <c r="WFA90" s="62"/>
      <c r="WFB90" s="53"/>
      <c r="WFC90" s="60"/>
      <c r="WFD90" s="60"/>
      <c r="WFE90" s="61"/>
      <c r="WFF90" s="61"/>
      <c r="WFG90" s="61"/>
      <c r="WFH90" s="61"/>
      <c r="WFI90" s="62"/>
      <c r="WFJ90" s="53"/>
      <c r="WFK90" s="60"/>
      <c r="WFL90" s="60"/>
      <c r="WFM90" s="61"/>
      <c r="WFN90" s="61"/>
      <c r="WFO90" s="61"/>
      <c r="WFP90" s="61"/>
      <c r="WFQ90" s="62"/>
      <c r="WFR90" s="53"/>
      <c r="WFS90" s="60"/>
      <c r="WFT90" s="60"/>
      <c r="WFU90" s="61"/>
      <c r="WFV90" s="61"/>
      <c r="WFW90" s="61"/>
      <c r="WFX90" s="61"/>
      <c r="WFY90" s="62"/>
      <c r="WFZ90" s="53"/>
      <c r="WGA90" s="60"/>
      <c r="WGB90" s="60"/>
      <c r="WGC90" s="61"/>
      <c r="WGD90" s="61"/>
      <c r="WGE90" s="61"/>
      <c r="WGF90" s="61"/>
      <c r="WGG90" s="62"/>
      <c r="WGH90" s="53"/>
      <c r="WGI90" s="60"/>
      <c r="WGJ90" s="60"/>
      <c r="WGK90" s="61"/>
      <c r="WGL90" s="61"/>
      <c r="WGM90" s="61"/>
      <c r="WGN90" s="61"/>
      <c r="WGO90" s="62"/>
      <c r="WGP90" s="53"/>
      <c r="WGQ90" s="60"/>
      <c r="WGR90" s="60"/>
      <c r="WGS90" s="61"/>
      <c r="WGT90" s="61"/>
      <c r="WGU90" s="61"/>
      <c r="WGV90" s="61"/>
      <c r="WGW90" s="62"/>
      <c r="WGX90" s="53"/>
      <c r="WGY90" s="60"/>
      <c r="WGZ90" s="60"/>
      <c r="WHA90" s="61"/>
      <c r="WHB90" s="61"/>
      <c r="WHC90" s="61"/>
      <c r="WHD90" s="61"/>
      <c r="WHE90" s="62"/>
      <c r="WHF90" s="53"/>
      <c r="WHG90" s="60"/>
      <c r="WHH90" s="60"/>
      <c r="WHI90" s="61"/>
      <c r="WHJ90" s="61"/>
      <c r="WHK90" s="61"/>
      <c r="WHL90" s="61"/>
      <c r="WHM90" s="62"/>
      <c r="WHN90" s="53"/>
      <c r="WHO90" s="60"/>
      <c r="WHP90" s="60"/>
      <c r="WHQ90" s="61"/>
      <c r="WHR90" s="61"/>
      <c r="WHS90" s="61"/>
      <c r="WHT90" s="61"/>
      <c r="WHU90" s="62"/>
      <c r="WHV90" s="53"/>
      <c r="WHW90" s="60"/>
      <c r="WHX90" s="60"/>
      <c r="WHY90" s="61"/>
      <c r="WHZ90" s="61"/>
      <c r="WIA90" s="61"/>
      <c r="WIB90" s="61"/>
      <c r="WIC90" s="62"/>
      <c r="WID90" s="53"/>
      <c r="WIE90" s="60"/>
      <c r="WIF90" s="60"/>
      <c r="WIG90" s="61"/>
      <c r="WIH90" s="61"/>
      <c r="WII90" s="61"/>
      <c r="WIJ90" s="61"/>
      <c r="WIK90" s="62"/>
      <c r="WIL90" s="53"/>
      <c r="WIM90" s="60"/>
      <c r="WIN90" s="60"/>
      <c r="WIO90" s="61"/>
      <c r="WIP90" s="61"/>
      <c r="WIQ90" s="61"/>
      <c r="WIR90" s="61"/>
      <c r="WIS90" s="62"/>
      <c r="WIT90" s="53"/>
      <c r="WIU90" s="60"/>
      <c r="WIV90" s="60"/>
      <c r="WIW90" s="61"/>
      <c r="WIX90" s="61"/>
      <c r="WIY90" s="61"/>
      <c r="WIZ90" s="61"/>
      <c r="WJA90" s="62"/>
      <c r="WJB90" s="53"/>
      <c r="WJC90" s="60"/>
      <c r="WJD90" s="60"/>
      <c r="WJE90" s="61"/>
      <c r="WJF90" s="61"/>
      <c r="WJG90" s="61"/>
      <c r="WJH90" s="61"/>
      <c r="WJI90" s="62"/>
      <c r="WJJ90" s="53"/>
      <c r="WJK90" s="60"/>
      <c r="WJL90" s="60"/>
      <c r="WJM90" s="61"/>
      <c r="WJN90" s="61"/>
      <c r="WJO90" s="61"/>
      <c r="WJP90" s="61"/>
      <c r="WJQ90" s="62"/>
      <c r="WJR90" s="53"/>
      <c r="WJS90" s="60"/>
      <c r="WJT90" s="60"/>
      <c r="WJU90" s="61"/>
      <c r="WJV90" s="61"/>
      <c r="WJW90" s="61"/>
      <c r="WJX90" s="61"/>
      <c r="WJY90" s="62"/>
      <c r="WJZ90" s="53"/>
      <c r="WKA90" s="60"/>
      <c r="WKB90" s="60"/>
      <c r="WKC90" s="61"/>
      <c r="WKD90" s="61"/>
      <c r="WKE90" s="61"/>
      <c r="WKF90" s="61"/>
      <c r="WKG90" s="62"/>
      <c r="WKH90" s="53"/>
      <c r="WKI90" s="60"/>
      <c r="WKJ90" s="60"/>
      <c r="WKK90" s="61"/>
      <c r="WKL90" s="61"/>
      <c r="WKM90" s="61"/>
      <c r="WKN90" s="61"/>
      <c r="WKO90" s="62"/>
      <c r="WKP90" s="53"/>
      <c r="WKQ90" s="60"/>
      <c r="WKR90" s="60"/>
      <c r="WKS90" s="61"/>
      <c r="WKT90" s="61"/>
      <c r="WKU90" s="61"/>
      <c r="WKV90" s="61"/>
      <c r="WKW90" s="62"/>
      <c r="WKX90" s="53"/>
      <c r="WKY90" s="60"/>
      <c r="WKZ90" s="60"/>
      <c r="WLA90" s="61"/>
      <c r="WLB90" s="61"/>
      <c r="WLC90" s="61"/>
      <c r="WLD90" s="61"/>
      <c r="WLE90" s="62"/>
      <c r="WLF90" s="53"/>
      <c r="WLG90" s="60"/>
      <c r="WLH90" s="60"/>
      <c r="WLI90" s="61"/>
      <c r="WLJ90" s="61"/>
      <c r="WLK90" s="61"/>
      <c r="WLL90" s="61"/>
      <c r="WLM90" s="62"/>
      <c r="WLN90" s="53"/>
      <c r="WLO90" s="60"/>
      <c r="WLP90" s="60"/>
      <c r="WLQ90" s="61"/>
      <c r="WLR90" s="61"/>
      <c r="WLS90" s="61"/>
      <c r="WLT90" s="61"/>
      <c r="WLU90" s="62"/>
      <c r="WLV90" s="53"/>
      <c r="WLW90" s="60"/>
      <c r="WLX90" s="60"/>
      <c r="WLY90" s="61"/>
      <c r="WLZ90" s="61"/>
      <c r="WMA90" s="61"/>
      <c r="WMB90" s="61"/>
      <c r="WMC90" s="62"/>
      <c r="WMD90" s="53"/>
      <c r="WME90" s="60"/>
      <c r="WMF90" s="60"/>
      <c r="WMG90" s="61"/>
      <c r="WMH90" s="61"/>
      <c r="WMI90" s="61"/>
      <c r="WMJ90" s="61"/>
      <c r="WMK90" s="62"/>
      <c r="WML90" s="53"/>
      <c r="WMM90" s="60"/>
      <c r="WMN90" s="60"/>
      <c r="WMO90" s="61"/>
      <c r="WMP90" s="61"/>
      <c r="WMQ90" s="61"/>
      <c r="WMR90" s="61"/>
      <c r="WMS90" s="62"/>
      <c r="WMT90" s="53"/>
      <c r="WMU90" s="60"/>
      <c r="WMV90" s="60"/>
      <c r="WMW90" s="61"/>
      <c r="WMX90" s="61"/>
      <c r="WMY90" s="61"/>
      <c r="WMZ90" s="61"/>
      <c r="WNA90" s="62"/>
      <c r="WNB90" s="53"/>
      <c r="WNC90" s="60"/>
      <c r="WND90" s="60"/>
      <c r="WNE90" s="61"/>
      <c r="WNF90" s="61"/>
      <c r="WNG90" s="61"/>
      <c r="WNH90" s="61"/>
      <c r="WNI90" s="62"/>
      <c r="WNJ90" s="53"/>
      <c r="WNK90" s="60"/>
      <c r="WNL90" s="60"/>
      <c r="WNM90" s="61"/>
      <c r="WNN90" s="61"/>
      <c r="WNO90" s="61"/>
      <c r="WNP90" s="61"/>
      <c r="WNQ90" s="62"/>
      <c r="WNR90" s="53"/>
      <c r="WNS90" s="60"/>
      <c r="WNT90" s="60"/>
      <c r="WNU90" s="61"/>
      <c r="WNV90" s="61"/>
      <c r="WNW90" s="61"/>
      <c r="WNX90" s="61"/>
      <c r="WNY90" s="62"/>
      <c r="WNZ90" s="53"/>
      <c r="WOA90" s="60"/>
      <c r="WOB90" s="60"/>
      <c r="WOC90" s="61"/>
      <c r="WOD90" s="61"/>
      <c r="WOE90" s="61"/>
      <c r="WOF90" s="61"/>
      <c r="WOG90" s="62"/>
      <c r="WOH90" s="53"/>
      <c r="WOI90" s="60"/>
      <c r="WOJ90" s="60"/>
      <c r="WOK90" s="61"/>
      <c r="WOL90" s="61"/>
      <c r="WOM90" s="61"/>
      <c r="WON90" s="61"/>
      <c r="WOO90" s="62"/>
      <c r="WOP90" s="53"/>
      <c r="WOQ90" s="60"/>
      <c r="WOR90" s="60"/>
      <c r="WOS90" s="61"/>
      <c r="WOT90" s="61"/>
      <c r="WOU90" s="61"/>
      <c r="WOV90" s="61"/>
      <c r="WOW90" s="62"/>
      <c r="WOX90" s="53"/>
      <c r="WOY90" s="60"/>
      <c r="WOZ90" s="60"/>
      <c r="WPA90" s="61"/>
      <c r="WPB90" s="61"/>
      <c r="WPC90" s="61"/>
      <c r="WPD90" s="61"/>
      <c r="WPE90" s="62"/>
      <c r="WPF90" s="53"/>
      <c r="WPG90" s="60"/>
      <c r="WPH90" s="60"/>
      <c r="WPI90" s="61"/>
      <c r="WPJ90" s="61"/>
      <c r="WPK90" s="61"/>
      <c r="WPL90" s="61"/>
      <c r="WPM90" s="62"/>
      <c r="WPN90" s="53"/>
      <c r="WPO90" s="60"/>
      <c r="WPP90" s="60"/>
      <c r="WPQ90" s="61"/>
      <c r="WPR90" s="61"/>
      <c r="WPS90" s="61"/>
      <c r="WPT90" s="61"/>
      <c r="WPU90" s="62"/>
      <c r="WPV90" s="53"/>
      <c r="WPW90" s="60"/>
      <c r="WPX90" s="60"/>
      <c r="WPY90" s="61"/>
      <c r="WPZ90" s="61"/>
      <c r="WQA90" s="61"/>
      <c r="WQB90" s="61"/>
      <c r="WQC90" s="62"/>
      <c r="WQD90" s="53"/>
      <c r="WQE90" s="60"/>
      <c r="WQF90" s="60"/>
      <c r="WQG90" s="61"/>
      <c r="WQH90" s="61"/>
      <c r="WQI90" s="61"/>
      <c r="WQJ90" s="61"/>
      <c r="WQK90" s="62"/>
      <c r="WQL90" s="53"/>
      <c r="WQM90" s="60"/>
      <c r="WQN90" s="60"/>
      <c r="WQO90" s="61"/>
      <c r="WQP90" s="61"/>
      <c r="WQQ90" s="61"/>
      <c r="WQR90" s="61"/>
      <c r="WQS90" s="62"/>
      <c r="WQT90" s="53"/>
      <c r="WQU90" s="60"/>
      <c r="WQV90" s="60"/>
      <c r="WQW90" s="61"/>
      <c r="WQX90" s="61"/>
      <c r="WQY90" s="61"/>
      <c r="WQZ90" s="61"/>
      <c r="WRA90" s="62"/>
      <c r="WRB90" s="53"/>
      <c r="WRC90" s="60"/>
      <c r="WRD90" s="60"/>
      <c r="WRE90" s="61"/>
      <c r="WRF90" s="61"/>
      <c r="WRG90" s="61"/>
      <c r="WRH90" s="61"/>
      <c r="WRI90" s="62"/>
      <c r="WRJ90" s="53"/>
      <c r="WRK90" s="60"/>
      <c r="WRL90" s="60"/>
      <c r="WRM90" s="61"/>
      <c r="WRN90" s="61"/>
      <c r="WRO90" s="61"/>
      <c r="WRP90" s="61"/>
      <c r="WRQ90" s="62"/>
      <c r="WRR90" s="53"/>
      <c r="WRS90" s="60"/>
      <c r="WRT90" s="60"/>
      <c r="WRU90" s="61"/>
      <c r="WRV90" s="61"/>
      <c r="WRW90" s="61"/>
      <c r="WRX90" s="61"/>
      <c r="WRY90" s="62"/>
      <c r="WRZ90" s="53"/>
      <c r="WSA90" s="60"/>
      <c r="WSB90" s="60"/>
      <c r="WSC90" s="61"/>
      <c r="WSD90" s="61"/>
      <c r="WSE90" s="61"/>
      <c r="WSF90" s="61"/>
      <c r="WSG90" s="62"/>
      <c r="WSH90" s="53"/>
      <c r="WSI90" s="60"/>
      <c r="WSJ90" s="60"/>
      <c r="WSK90" s="61"/>
      <c r="WSL90" s="61"/>
      <c r="WSM90" s="61"/>
      <c r="WSN90" s="61"/>
      <c r="WSO90" s="62"/>
      <c r="WSP90" s="53"/>
      <c r="WSQ90" s="60"/>
      <c r="WSR90" s="60"/>
      <c r="WSS90" s="61"/>
      <c r="WST90" s="61"/>
      <c r="WSU90" s="61"/>
      <c r="WSV90" s="61"/>
      <c r="WSW90" s="62"/>
      <c r="WSX90" s="53"/>
      <c r="WSY90" s="60"/>
      <c r="WSZ90" s="60"/>
      <c r="WTA90" s="61"/>
      <c r="WTB90" s="61"/>
      <c r="WTC90" s="61"/>
      <c r="WTD90" s="61"/>
      <c r="WTE90" s="62"/>
      <c r="WTF90" s="53"/>
      <c r="WTG90" s="60"/>
      <c r="WTH90" s="60"/>
      <c r="WTI90" s="61"/>
      <c r="WTJ90" s="61"/>
      <c r="WTK90" s="61"/>
      <c r="WTL90" s="61"/>
      <c r="WTM90" s="62"/>
      <c r="WTN90" s="53"/>
      <c r="WTO90" s="60"/>
      <c r="WTP90" s="60"/>
      <c r="WTQ90" s="61"/>
      <c r="WTR90" s="61"/>
      <c r="WTS90" s="61"/>
      <c r="WTT90" s="61"/>
      <c r="WTU90" s="62"/>
      <c r="WTV90" s="53"/>
      <c r="WTW90" s="60"/>
      <c r="WTX90" s="60"/>
      <c r="WTY90" s="61"/>
      <c r="WTZ90" s="61"/>
      <c r="WUA90" s="61"/>
      <c r="WUB90" s="61"/>
      <c r="WUC90" s="62"/>
      <c r="WUD90" s="53"/>
      <c r="WUE90" s="60"/>
      <c r="WUF90" s="60"/>
      <c r="WUG90" s="61"/>
      <c r="WUH90" s="61"/>
      <c r="WUI90" s="61"/>
      <c r="WUJ90" s="61"/>
      <c r="WUK90" s="62"/>
      <c r="WUL90" s="53"/>
      <c r="WUM90" s="60"/>
      <c r="WUN90" s="60"/>
      <c r="WUO90" s="61"/>
      <c r="WUP90" s="61"/>
      <c r="WUQ90" s="61"/>
      <c r="WUR90" s="61"/>
      <c r="WUS90" s="62"/>
      <c r="WUT90" s="53"/>
      <c r="WUU90" s="60"/>
      <c r="WUV90" s="60"/>
      <c r="WUW90" s="61"/>
      <c r="WUX90" s="61"/>
      <c r="WUY90" s="61"/>
      <c r="WUZ90" s="61"/>
      <c r="WVA90" s="62"/>
      <c r="WVB90" s="53"/>
      <c r="WVC90" s="60"/>
      <c r="WVD90" s="60"/>
      <c r="WVE90" s="61"/>
      <c r="WVF90" s="61"/>
      <c r="WVG90" s="61"/>
      <c r="WVH90" s="61"/>
      <c r="WVI90" s="62"/>
      <c r="WVJ90" s="53"/>
      <c r="WVK90" s="60"/>
      <c r="WVL90" s="60"/>
      <c r="WVM90" s="61"/>
      <c r="WVN90" s="61"/>
      <c r="WVO90" s="61"/>
      <c r="WVP90" s="61"/>
      <c r="WVQ90" s="62"/>
      <c r="WVR90" s="53"/>
      <c r="WVS90" s="60"/>
      <c r="WVT90" s="60"/>
      <c r="WVU90" s="61"/>
      <c r="WVV90" s="61"/>
      <c r="WVW90" s="61"/>
      <c r="WVX90" s="61"/>
      <c r="WVY90" s="62"/>
      <c r="WVZ90" s="53"/>
      <c r="WWA90" s="60"/>
      <c r="WWB90" s="60"/>
      <c r="WWC90" s="61"/>
      <c r="WWD90" s="61"/>
      <c r="WWE90" s="61"/>
      <c r="WWF90" s="61"/>
      <c r="WWG90" s="62"/>
      <c r="WWH90" s="53"/>
      <c r="WWI90" s="60"/>
      <c r="WWJ90" s="60"/>
      <c r="WWK90" s="61"/>
      <c r="WWL90" s="61"/>
      <c r="WWM90" s="61"/>
      <c r="WWN90" s="61"/>
      <c r="WWO90" s="62"/>
      <c r="WWP90" s="53"/>
      <c r="WWQ90" s="60"/>
      <c r="WWR90" s="60"/>
      <c r="WWS90" s="61"/>
      <c r="WWT90" s="61"/>
      <c r="WWU90" s="61"/>
      <c r="WWV90" s="61"/>
      <c r="WWW90" s="62"/>
      <c r="WWX90" s="53"/>
      <c r="WWY90" s="60"/>
      <c r="WWZ90" s="60"/>
      <c r="WXA90" s="61"/>
      <c r="WXB90" s="61"/>
      <c r="WXC90" s="61"/>
      <c r="WXD90" s="61"/>
      <c r="WXE90" s="62"/>
      <c r="WXF90" s="53"/>
      <c r="WXG90" s="60"/>
      <c r="WXH90" s="60"/>
      <c r="WXI90" s="61"/>
      <c r="WXJ90" s="61"/>
      <c r="WXK90" s="61"/>
      <c r="WXL90" s="61"/>
      <c r="WXM90" s="62"/>
      <c r="WXN90" s="53"/>
      <c r="WXO90" s="60"/>
      <c r="WXP90" s="60"/>
      <c r="WXQ90" s="61"/>
      <c r="WXR90" s="61"/>
      <c r="WXS90" s="61"/>
      <c r="WXT90" s="61"/>
      <c r="WXU90" s="62"/>
      <c r="WXV90" s="53"/>
      <c r="WXW90" s="60"/>
      <c r="WXX90" s="60"/>
      <c r="WXY90" s="61"/>
      <c r="WXZ90" s="61"/>
      <c r="WYA90" s="61"/>
      <c r="WYB90" s="61"/>
      <c r="WYC90" s="62"/>
      <c r="WYD90" s="53"/>
      <c r="WYE90" s="60"/>
      <c r="WYF90" s="60"/>
      <c r="WYG90" s="61"/>
      <c r="WYH90" s="61"/>
      <c r="WYI90" s="61"/>
      <c r="WYJ90" s="61"/>
      <c r="WYK90" s="62"/>
      <c r="WYL90" s="53"/>
      <c r="WYM90" s="60"/>
      <c r="WYN90" s="60"/>
      <c r="WYO90" s="61"/>
      <c r="WYP90" s="61"/>
      <c r="WYQ90" s="61"/>
      <c r="WYR90" s="61"/>
      <c r="WYS90" s="62"/>
      <c r="WYT90" s="53"/>
      <c r="WYU90" s="60"/>
      <c r="WYV90" s="60"/>
      <c r="WYW90" s="61"/>
      <c r="WYX90" s="61"/>
      <c r="WYY90" s="61"/>
      <c r="WYZ90" s="61"/>
      <c r="WZA90" s="62"/>
      <c r="WZB90" s="53"/>
      <c r="WZC90" s="60"/>
      <c r="WZD90" s="60"/>
      <c r="WZE90" s="61"/>
      <c r="WZF90" s="61"/>
      <c r="WZG90" s="61"/>
      <c r="WZH90" s="61"/>
      <c r="WZI90" s="62"/>
      <c r="WZJ90" s="53"/>
      <c r="WZK90" s="60"/>
      <c r="WZL90" s="60"/>
      <c r="WZM90" s="61"/>
      <c r="WZN90" s="61"/>
      <c r="WZO90" s="61"/>
      <c r="WZP90" s="61"/>
      <c r="WZQ90" s="62"/>
      <c r="WZR90" s="53"/>
      <c r="WZS90" s="60"/>
      <c r="WZT90" s="60"/>
      <c r="WZU90" s="61"/>
      <c r="WZV90" s="61"/>
      <c r="WZW90" s="61"/>
      <c r="WZX90" s="61"/>
      <c r="WZY90" s="62"/>
      <c r="WZZ90" s="53"/>
      <c r="XAA90" s="60"/>
      <c r="XAB90" s="60"/>
      <c r="XAC90" s="61"/>
      <c r="XAD90" s="61"/>
      <c r="XAE90" s="61"/>
      <c r="XAF90" s="61"/>
      <c r="XAG90" s="62"/>
      <c r="XAH90" s="53"/>
      <c r="XAI90" s="60"/>
      <c r="XAJ90" s="60"/>
      <c r="XAK90" s="61"/>
      <c r="XAL90" s="61"/>
      <c r="XAM90" s="61"/>
      <c r="XAN90" s="61"/>
      <c r="XAO90" s="62"/>
      <c r="XAP90" s="53"/>
      <c r="XAQ90" s="60"/>
      <c r="XAR90" s="60"/>
      <c r="XAS90" s="61"/>
      <c r="XAT90" s="61"/>
      <c r="XAU90" s="61"/>
      <c r="XAV90" s="61"/>
      <c r="XAW90" s="62"/>
      <c r="XAX90" s="53"/>
      <c r="XAY90" s="60"/>
      <c r="XAZ90" s="60"/>
      <c r="XBA90" s="61"/>
      <c r="XBB90" s="61"/>
      <c r="XBC90" s="61"/>
      <c r="XBD90" s="61"/>
      <c r="XBE90" s="62"/>
      <c r="XBF90" s="53"/>
      <c r="XBG90" s="60"/>
      <c r="XBH90" s="60"/>
      <c r="XBI90" s="61"/>
      <c r="XBJ90" s="61"/>
      <c r="XBK90" s="61"/>
      <c r="XBL90" s="61"/>
      <c r="XBM90" s="62"/>
      <c r="XBN90" s="53"/>
      <c r="XBO90" s="60"/>
      <c r="XBP90" s="60"/>
      <c r="XBQ90" s="61"/>
      <c r="XBR90" s="61"/>
      <c r="XBS90" s="61"/>
      <c r="XBT90" s="61"/>
      <c r="XBU90" s="62"/>
      <c r="XBV90" s="53"/>
      <c r="XBW90" s="60"/>
      <c r="XBX90" s="60"/>
      <c r="XBY90" s="61"/>
      <c r="XBZ90" s="61"/>
      <c r="XCA90" s="61"/>
      <c r="XCB90" s="61"/>
      <c r="XCC90" s="62"/>
      <c r="XCD90" s="53"/>
      <c r="XCE90" s="60"/>
      <c r="XCF90" s="60"/>
      <c r="XCG90" s="61"/>
      <c r="XCH90" s="61"/>
      <c r="XCI90" s="61"/>
      <c r="XCJ90" s="61"/>
      <c r="XCK90" s="62"/>
      <c r="XCL90" s="53"/>
      <c r="XCM90" s="60"/>
      <c r="XCN90" s="60"/>
      <c r="XCO90" s="61"/>
      <c r="XCP90" s="61"/>
      <c r="XCQ90" s="61"/>
      <c r="XCR90" s="61"/>
      <c r="XCS90" s="62"/>
      <c r="XCT90" s="53"/>
      <c r="XCU90" s="60"/>
      <c r="XCV90" s="60"/>
      <c r="XCW90" s="61"/>
      <c r="XCX90" s="61"/>
      <c r="XCY90" s="61"/>
      <c r="XCZ90" s="61"/>
      <c r="XDA90" s="62"/>
      <c r="XDB90" s="53"/>
      <c r="XDC90" s="60"/>
      <c r="XDD90" s="60"/>
      <c r="XDE90" s="61"/>
      <c r="XDF90" s="61"/>
      <c r="XDG90" s="61"/>
      <c r="XDH90" s="61"/>
      <c r="XDI90" s="62"/>
      <c r="XDJ90" s="53"/>
      <c r="XDK90" s="60"/>
      <c r="XDL90" s="60"/>
      <c r="XDM90" s="61"/>
      <c r="XDN90" s="61"/>
      <c r="XDO90" s="61"/>
      <c r="XDP90" s="61"/>
      <c r="XDQ90" s="62"/>
      <c r="XDR90" s="53"/>
      <c r="XDS90" s="60"/>
      <c r="XDT90" s="60"/>
      <c r="XDU90" s="61"/>
      <c r="XDV90" s="61"/>
      <c r="XDW90" s="61"/>
      <c r="XDX90" s="61"/>
      <c r="XDY90" s="62"/>
      <c r="XDZ90" s="53"/>
      <c r="XEA90" s="60"/>
      <c r="XEB90" s="60"/>
      <c r="XEC90" s="61"/>
      <c r="XED90" s="61"/>
      <c r="XEE90" s="61"/>
      <c r="XEF90" s="61"/>
      <c r="XEG90" s="62"/>
      <c r="XEH90" s="53"/>
      <c r="XEI90" s="60"/>
      <c r="XEJ90" s="60"/>
      <c r="XEK90" s="61"/>
      <c r="XEL90" s="61"/>
      <c r="XEM90" s="61"/>
      <c r="XEN90" s="61"/>
      <c r="XEO90" s="62"/>
      <c r="XEP90" s="53"/>
      <c r="XEQ90" s="60"/>
      <c r="XER90" s="60"/>
      <c r="XES90" s="61"/>
      <c r="XET90" s="61"/>
    </row>
    <row r="91" spans="1:16374" ht="28" hidden="1" x14ac:dyDescent="0.35">
      <c r="A91" s="19" t="s">
        <v>160</v>
      </c>
      <c r="B91" s="38" t="s">
        <v>161</v>
      </c>
      <c r="C91" s="237" t="s">
        <v>162</v>
      </c>
      <c r="D91" s="237" t="s">
        <v>163</v>
      </c>
      <c r="E91" s="18">
        <v>14000</v>
      </c>
      <c r="F91" s="18">
        <v>4000</v>
      </c>
      <c r="G91" s="18">
        <v>1600</v>
      </c>
      <c r="H91" s="18">
        <v>1000</v>
      </c>
      <c r="I91" s="19" t="s">
        <v>160</v>
      </c>
      <c r="J91" s="14"/>
      <c r="K91" s="259"/>
      <c r="L91" s="259"/>
      <c r="M91" s="261"/>
      <c r="N91" s="261"/>
      <c r="O91" s="261"/>
      <c r="P91" s="261"/>
      <c r="Q91" s="261"/>
      <c r="R91" s="261"/>
      <c r="S91" s="261"/>
      <c r="T91" s="261"/>
      <c r="U91" s="261"/>
      <c r="V91" s="261"/>
      <c r="W91" s="261"/>
      <c r="X91" s="34"/>
      <c r="Y91" s="21" t="s">
        <v>164</v>
      </c>
      <c r="Z91" s="4" t="s">
        <v>135</v>
      </c>
      <c r="AA91" s="4"/>
      <c r="AB91" s="4"/>
      <c r="AC91" s="4"/>
      <c r="AD91" s="4"/>
      <c r="AE91" s="4"/>
      <c r="AF91" s="4"/>
      <c r="AG91" s="4"/>
      <c r="AH91" s="4"/>
      <c r="AI91" s="4"/>
      <c r="AJ91" s="4"/>
    </row>
    <row r="92" spans="1:16374" ht="28" hidden="1" x14ac:dyDescent="0.35">
      <c r="A92" s="19" t="s">
        <v>165</v>
      </c>
      <c r="B92" s="38" t="s">
        <v>161</v>
      </c>
      <c r="C92" s="237" t="s">
        <v>163</v>
      </c>
      <c r="D92" s="237" t="s">
        <v>166</v>
      </c>
      <c r="E92" s="18">
        <v>11000</v>
      </c>
      <c r="F92" s="18">
        <v>2500</v>
      </c>
      <c r="G92" s="18">
        <v>1300</v>
      </c>
      <c r="H92" s="18">
        <v>1000</v>
      </c>
      <c r="I92" s="19" t="s">
        <v>165</v>
      </c>
      <c r="J92" s="14"/>
      <c r="K92" s="259"/>
      <c r="L92" s="259"/>
      <c r="M92" s="261"/>
      <c r="N92" s="261"/>
      <c r="O92" s="261"/>
      <c r="P92" s="261"/>
      <c r="Q92" s="261"/>
      <c r="R92" s="261"/>
      <c r="S92" s="261"/>
      <c r="T92" s="261"/>
      <c r="U92" s="261"/>
      <c r="V92" s="261"/>
      <c r="W92" s="261"/>
      <c r="X92" s="34"/>
      <c r="Y92" s="21" t="s">
        <v>164</v>
      </c>
      <c r="Z92" s="4" t="s">
        <v>135</v>
      </c>
      <c r="AA92" s="4"/>
      <c r="AB92" s="4"/>
      <c r="AC92" s="4"/>
      <c r="AD92" s="4"/>
      <c r="AE92" s="4"/>
      <c r="AF92" s="4"/>
      <c r="AG92" s="4"/>
      <c r="AH92" s="4"/>
      <c r="AI92" s="4"/>
      <c r="AJ92" s="4"/>
    </row>
    <row r="93" spans="1:16374" ht="81.75" hidden="1" customHeight="1" x14ac:dyDescent="0.35">
      <c r="A93" s="19" t="s">
        <v>167</v>
      </c>
      <c r="B93" s="38" t="s">
        <v>168</v>
      </c>
      <c r="C93" s="460" t="s">
        <v>36</v>
      </c>
      <c r="D93" s="460"/>
      <c r="E93" s="18">
        <v>20000</v>
      </c>
      <c r="F93" s="261"/>
      <c r="G93" s="261"/>
      <c r="H93" s="261"/>
      <c r="I93" s="19" t="s">
        <v>167</v>
      </c>
      <c r="J93" s="38" t="s">
        <v>169</v>
      </c>
      <c r="K93" s="460" t="s">
        <v>36</v>
      </c>
      <c r="L93" s="460"/>
      <c r="M93" s="18">
        <v>20000</v>
      </c>
      <c r="N93" s="261"/>
      <c r="O93" s="261"/>
      <c r="P93" s="261"/>
      <c r="Q93" s="261"/>
      <c r="R93" s="261"/>
      <c r="S93" s="261"/>
      <c r="T93" s="261"/>
      <c r="U93" s="261"/>
      <c r="V93" s="261"/>
      <c r="W93" s="261"/>
      <c r="X93" s="34"/>
      <c r="Y93" s="12" t="s">
        <v>170</v>
      </c>
      <c r="Z93" s="4" t="s">
        <v>171</v>
      </c>
      <c r="AA93" s="4"/>
      <c r="AB93" s="4"/>
      <c r="AC93" s="4"/>
      <c r="AD93" s="4"/>
      <c r="AE93" s="4"/>
      <c r="AF93" s="4"/>
      <c r="AG93" s="4"/>
      <c r="AH93" s="4"/>
      <c r="AI93" s="4"/>
      <c r="AJ93" s="4"/>
    </row>
    <row r="94" spans="1:16374" ht="119.25" hidden="1" customHeight="1" x14ac:dyDescent="0.35">
      <c r="A94" s="19" t="s">
        <v>172</v>
      </c>
      <c r="B94" s="38" t="s">
        <v>173</v>
      </c>
      <c r="C94" s="237" t="s">
        <v>174</v>
      </c>
      <c r="D94" s="237" t="s">
        <v>175</v>
      </c>
      <c r="E94" s="18">
        <v>19000</v>
      </c>
      <c r="F94" s="18">
        <v>7000</v>
      </c>
      <c r="G94" s="18">
        <v>4500</v>
      </c>
      <c r="H94" s="18">
        <v>1700</v>
      </c>
      <c r="I94" s="19" t="s">
        <v>172</v>
      </c>
      <c r="J94" s="21" t="s">
        <v>176</v>
      </c>
      <c r="K94" s="88" t="s">
        <v>174</v>
      </c>
      <c r="L94" s="88" t="s">
        <v>175</v>
      </c>
      <c r="M94" s="63">
        <v>19000</v>
      </c>
      <c r="N94" s="64">
        <v>8820</v>
      </c>
      <c r="O94" s="63">
        <v>4500</v>
      </c>
      <c r="P94" s="63">
        <v>1700</v>
      </c>
      <c r="Q94" s="63"/>
      <c r="R94" s="63"/>
      <c r="S94" s="63"/>
      <c r="T94" s="63"/>
      <c r="U94" s="63"/>
      <c r="V94" s="63"/>
      <c r="W94" s="63"/>
      <c r="X94" s="65"/>
      <c r="Y94" s="21" t="s">
        <v>177</v>
      </c>
      <c r="Z94" s="4"/>
      <c r="AA94" s="4"/>
      <c r="AB94" s="4"/>
      <c r="AC94" s="4"/>
      <c r="AD94" s="4"/>
      <c r="AE94" s="4"/>
      <c r="AF94" s="4"/>
      <c r="AG94" s="4"/>
      <c r="AH94" s="4"/>
      <c r="AI94" s="4"/>
      <c r="AJ94" s="4"/>
    </row>
    <row r="95" spans="1:16374" ht="23.15" customHeight="1" x14ac:dyDescent="0.35">
      <c r="A95" s="19"/>
      <c r="B95" s="38"/>
      <c r="C95" s="237"/>
      <c r="D95" s="237"/>
      <c r="E95" s="18"/>
      <c r="F95" s="18"/>
      <c r="G95" s="18"/>
      <c r="H95" s="18"/>
      <c r="I95" s="321"/>
      <c r="J95" s="496" t="s">
        <v>1078</v>
      </c>
      <c r="K95" s="497"/>
      <c r="L95" s="88"/>
      <c r="M95" s="63"/>
      <c r="N95" s="64"/>
      <c r="O95" s="63"/>
      <c r="P95" s="63"/>
      <c r="Q95" s="63"/>
      <c r="R95" s="63"/>
      <c r="S95" s="63"/>
      <c r="T95" s="63"/>
      <c r="U95" s="63"/>
      <c r="V95" s="63"/>
      <c r="W95" s="63"/>
      <c r="X95" s="65"/>
      <c r="Y95" s="21"/>
      <c r="Z95" s="4"/>
      <c r="AA95" s="4"/>
      <c r="AB95" s="4"/>
      <c r="AC95" s="4"/>
      <c r="AD95" s="4"/>
      <c r="AE95" s="4"/>
      <c r="AF95" s="4"/>
      <c r="AG95" s="4"/>
      <c r="AH95" s="4"/>
      <c r="AI95" s="4"/>
      <c r="AJ95" s="4"/>
    </row>
    <row r="96" spans="1:16374" ht="38.25" customHeight="1" x14ac:dyDescent="0.35">
      <c r="A96" s="19" t="s">
        <v>178</v>
      </c>
      <c r="B96" s="38" t="s">
        <v>179</v>
      </c>
      <c r="C96" s="237" t="s">
        <v>180</v>
      </c>
      <c r="D96" s="237" t="s">
        <v>181</v>
      </c>
      <c r="E96" s="18">
        <v>14000</v>
      </c>
      <c r="F96" s="18">
        <v>4000</v>
      </c>
      <c r="G96" s="18">
        <v>1600</v>
      </c>
      <c r="H96" s="18">
        <v>1000</v>
      </c>
      <c r="I96" s="19" t="s">
        <v>178</v>
      </c>
      <c r="J96" s="38" t="s">
        <v>179</v>
      </c>
      <c r="K96" s="237" t="s">
        <v>180</v>
      </c>
      <c r="L96" s="237" t="s">
        <v>182</v>
      </c>
      <c r="M96" s="54">
        <v>14000</v>
      </c>
      <c r="N96" s="54">
        <v>4000</v>
      </c>
      <c r="O96" s="54">
        <v>1600</v>
      </c>
      <c r="P96" s="54">
        <v>1000</v>
      </c>
      <c r="Q96" s="54">
        <v>8400</v>
      </c>
      <c r="R96" s="54">
        <v>2400</v>
      </c>
      <c r="S96" s="54">
        <v>960</v>
      </c>
      <c r="T96" s="54">
        <v>600</v>
      </c>
      <c r="U96" s="54">
        <v>5600</v>
      </c>
      <c r="V96" s="54">
        <v>1600</v>
      </c>
      <c r="W96" s="54">
        <v>640</v>
      </c>
      <c r="X96" s="54">
        <v>400</v>
      </c>
      <c r="Y96" s="21" t="s">
        <v>183</v>
      </c>
      <c r="Z96" s="4" t="s">
        <v>184</v>
      </c>
      <c r="AA96" s="4"/>
      <c r="AB96" s="4"/>
      <c r="AC96" s="4"/>
      <c r="AD96" s="4"/>
      <c r="AE96" s="4"/>
      <c r="AF96" s="4"/>
      <c r="AG96" s="4"/>
      <c r="AH96" s="4"/>
      <c r="AI96" s="4"/>
      <c r="AJ96" s="4"/>
    </row>
    <row r="97" spans="1:36" ht="95.25" hidden="1" customHeight="1" x14ac:dyDescent="0.35">
      <c r="A97" s="19" t="s">
        <v>185</v>
      </c>
      <c r="B97" s="38" t="s">
        <v>186</v>
      </c>
      <c r="C97" s="237" t="s">
        <v>187</v>
      </c>
      <c r="D97" s="237" t="s">
        <v>188</v>
      </c>
      <c r="E97" s="18">
        <v>3800</v>
      </c>
      <c r="F97" s="18">
        <v>1500</v>
      </c>
      <c r="G97" s="18">
        <v>1000</v>
      </c>
      <c r="H97" s="18">
        <v>600</v>
      </c>
      <c r="I97" s="19" t="s">
        <v>185</v>
      </c>
      <c r="J97" s="88" t="s">
        <v>189</v>
      </c>
      <c r="K97" s="88" t="s">
        <v>190</v>
      </c>
      <c r="L97" s="88" t="s">
        <v>188</v>
      </c>
      <c r="M97" s="66">
        <v>3800</v>
      </c>
      <c r="N97" s="67">
        <v>1866</v>
      </c>
      <c r="O97" s="66">
        <v>1000</v>
      </c>
      <c r="P97" s="66">
        <v>600</v>
      </c>
      <c r="Q97" s="66"/>
      <c r="R97" s="66"/>
      <c r="S97" s="66"/>
      <c r="T97" s="66"/>
      <c r="U97" s="66"/>
      <c r="V97" s="66"/>
      <c r="W97" s="66"/>
      <c r="X97" s="68"/>
      <c r="Y97" s="21" t="s">
        <v>191</v>
      </c>
      <c r="Z97" s="4"/>
      <c r="AA97" s="4"/>
      <c r="AB97" s="4"/>
      <c r="AC97" s="4"/>
      <c r="AD97" s="4"/>
      <c r="AE97" s="4"/>
      <c r="AF97" s="4"/>
      <c r="AG97" s="4"/>
      <c r="AH97" s="4"/>
      <c r="AI97" s="4"/>
      <c r="AJ97" s="4"/>
    </row>
    <row r="98" spans="1:36" hidden="1" x14ac:dyDescent="0.35">
      <c r="A98" s="27"/>
      <c r="B98" s="14"/>
      <c r="C98" s="259"/>
      <c r="D98" s="259"/>
      <c r="E98" s="261"/>
      <c r="F98" s="261"/>
      <c r="G98" s="261"/>
      <c r="H98" s="261"/>
      <c r="I98" s="27">
        <v>32</v>
      </c>
      <c r="J98" s="253" t="s">
        <v>192</v>
      </c>
      <c r="K98" s="253"/>
      <c r="L98" s="253"/>
      <c r="M98" s="253"/>
      <c r="N98" s="253"/>
      <c r="O98" s="253"/>
      <c r="P98" s="253"/>
      <c r="Q98" s="253"/>
      <c r="R98" s="253"/>
      <c r="S98" s="253"/>
      <c r="T98" s="253"/>
      <c r="U98" s="253"/>
      <c r="V98" s="253"/>
      <c r="W98" s="253"/>
      <c r="X98" s="255"/>
      <c r="Y98" s="69"/>
      <c r="Z98" s="4" t="s">
        <v>106</v>
      </c>
      <c r="AA98" s="4"/>
      <c r="AB98" s="4"/>
      <c r="AC98" s="4"/>
      <c r="AD98" s="4"/>
      <c r="AE98" s="4"/>
      <c r="AF98" s="4"/>
      <c r="AG98" s="4"/>
      <c r="AH98" s="4"/>
      <c r="AI98" s="4"/>
      <c r="AJ98" s="4"/>
    </row>
    <row r="99" spans="1:36" ht="28" hidden="1" x14ac:dyDescent="0.35">
      <c r="A99" s="27"/>
      <c r="B99" s="14"/>
      <c r="C99" s="259"/>
      <c r="D99" s="259"/>
      <c r="E99" s="261"/>
      <c r="F99" s="261"/>
      <c r="G99" s="261"/>
      <c r="H99" s="261"/>
      <c r="I99" s="27" t="s">
        <v>193</v>
      </c>
      <c r="J99" s="253" t="s">
        <v>194</v>
      </c>
      <c r="K99" s="88" t="s">
        <v>195</v>
      </c>
      <c r="L99" s="253" t="s">
        <v>163</v>
      </c>
      <c r="M99" s="18">
        <v>14000</v>
      </c>
      <c r="N99" s="18">
        <v>4000</v>
      </c>
      <c r="O99" s="18">
        <v>1600</v>
      </c>
      <c r="P99" s="18">
        <v>1000</v>
      </c>
      <c r="Q99" s="18"/>
      <c r="R99" s="18"/>
      <c r="S99" s="18"/>
      <c r="T99" s="18"/>
      <c r="U99" s="18"/>
      <c r="V99" s="18"/>
      <c r="W99" s="18"/>
      <c r="X99" s="30"/>
      <c r="Y99" s="21" t="s">
        <v>196</v>
      </c>
      <c r="Z99" s="4" t="s">
        <v>106</v>
      </c>
      <c r="AA99" s="4"/>
      <c r="AB99" s="4"/>
      <c r="AC99" s="4"/>
      <c r="AD99" s="4"/>
      <c r="AE99" s="4"/>
      <c r="AF99" s="4"/>
      <c r="AG99" s="4"/>
      <c r="AH99" s="4"/>
      <c r="AI99" s="4"/>
      <c r="AJ99" s="4"/>
    </row>
    <row r="100" spans="1:36" ht="28" hidden="1" x14ac:dyDescent="0.35">
      <c r="A100" s="39"/>
      <c r="B100" s="52"/>
      <c r="C100" s="259"/>
      <c r="D100" s="259"/>
      <c r="E100" s="261"/>
      <c r="F100" s="261"/>
      <c r="G100" s="261"/>
      <c r="H100" s="261"/>
      <c r="I100" s="39" t="s">
        <v>197</v>
      </c>
      <c r="J100" s="253" t="s">
        <v>194</v>
      </c>
      <c r="K100" s="253" t="s">
        <v>163</v>
      </c>
      <c r="L100" s="253" t="s">
        <v>198</v>
      </c>
      <c r="M100" s="18">
        <v>11000</v>
      </c>
      <c r="N100" s="18">
        <v>2500</v>
      </c>
      <c r="O100" s="18">
        <v>1300</v>
      </c>
      <c r="P100" s="18">
        <v>1000</v>
      </c>
      <c r="Q100" s="18"/>
      <c r="R100" s="18"/>
      <c r="S100" s="18"/>
      <c r="T100" s="18"/>
      <c r="U100" s="18"/>
      <c r="V100" s="18"/>
      <c r="W100" s="18"/>
      <c r="X100" s="30"/>
      <c r="Y100" s="21" t="s">
        <v>196</v>
      </c>
      <c r="Z100" s="4" t="s">
        <v>106</v>
      </c>
      <c r="AA100" s="4"/>
      <c r="AB100" s="4"/>
      <c r="AC100" s="4"/>
      <c r="AD100" s="4"/>
      <c r="AE100" s="4"/>
      <c r="AF100" s="4"/>
      <c r="AG100" s="4"/>
      <c r="AH100" s="4"/>
      <c r="AI100" s="4"/>
      <c r="AJ100" s="4"/>
    </row>
    <row r="101" spans="1:36" hidden="1" x14ac:dyDescent="0.35">
      <c r="A101" s="51">
        <v>38</v>
      </c>
      <c r="B101" s="52" t="s">
        <v>199</v>
      </c>
      <c r="C101" s="259"/>
      <c r="D101" s="259"/>
      <c r="E101" s="261"/>
      <c r="F101" s="261"/>
      <c r="G101" s="261"/>
      <c r="H101" s="261"/>
      <c r="I101" s="51">
        <v>38</v>
      </c>
      <c r="J101" s="52" t="s">
        <v>199</v>
      </c>
      <c r="K101" s="259"/>
      <c r="L101" s="259"/>
      <c r="M101" s="261"/>
      <c r="N101" s="261"/>
      <c r="O101" s="261"/>
      <c r="P101" s="261"/>
      <c r="Q101" s="261"/>
      <c r="R101" s="261"/>
      <c r="S101" s="261"/>
      <c r="T101" s="261"/>
      <c r="U101" s="261"/>
      <c r="V101" s="261"/>
      <c r="W101" s="261"/>
      <c r="X101" s="34"/>
      <c r="Y101" s="13"/>
      <c r="Z101" s="4"/>
      <c r="AA101" s="4"/>
      <c r="AB101" s="4"/>
      <c r="AC101" s="4"/>
      <c r="AD101" s="4"/>
      <c r="AE101" s="4"/>
      <c r="AF101" s="4"/>
      <c r="AG101" s="4"/>
      <c r="AH101" s="4"/>
      <c r="AI101" s="4"/>
      <c r="AJ101" s="4"/>
    </row>
    <row r="102" spans="1:36" hidden="1" x14ac:dyDescent="0.35">
      <c r="A102" s="19" t="s">
        <v>200</v>
      </c>
      <c r="B102" s="21" t="s">
        <v>201</v>
      </c>
      <c r="C102" s="88"/>
      <c r="D102" s="88"/>
      <c r="E102" s="18"/>
      <c r="F102" s="18"/>
      <c r="G102" s="18"/>
      <c r="H102" s="18"/>
      <c r="I102" s="51"/>
      <c r="J102" s="52"/>
      <c r="K102" s="259"/>
      <c r="L102" s="259"/>
      <c r="M102" s="261"/>
      <c r="N102" s="261"/>
      <c r="O102" s="261"/>
      <c r="P102" s="261"/>
      <c r="Q102" s="261"/>
      <c r="R102" s="261"/>
      <c r="S102" s="261"/>
      <c r="T102" s="261"/>
      <c r="U102" s="261"/>
      <c r="V102" s="261"/>
      <c r="W102" s="261"/>
      <c r="X102" s="34"/>
      <c r="Y102" s="13"/>
      <c r="Z102" s="4"/>
      <c r="AA102" s="4"/>
      <c r="AB102" s="4"/>
      <c r="AC102" s="4"/>
      <c r="AD102" s="4"/>
      <c r="AE102" s="4"/>
      <c r="AF102" s="4"/>
      <c r="AG102" s="4"/>
      <c r="AH102" s="4"/>
      <c r="AI102" s="4"/>
      <c r="AJ102" s="4"/>
    </row>
    <row r="103" spans="1:36" ht="56" hidden="1" x14ac:dyDescent="0.35">
      <c r="A103" s="19" t="s">
        <v>202</v>
      </c>
      <c r="B103" s="21" t="s">
        <v>201</v>
      </c>
      <c r="C103" s="88" t="s">
        <v>203</v>
      </c>
      <c r="D103" s="88" t="s">
        <v>204</v>
      </c>
      <c r="E103" s="18">
        <v>32500</v>
      </c>
      <c r="F103" s="18">
        <v>12700</v>
      </c>
      <c r="G103" s="18">
        <v>5200</v>
      </c>
      <c r="H103" s="18">
        <v>2600</v>
      </c>
      <c r="I103" s="51"/>
      <c r="J103" s="21" t="s">
        <v>201</v>
      </c>
      <c r="K103" s="88" t="s">
        <v>203</v>
      </c>
      <c r="L103" s="88" t="s">
        <v>204</v>
      </c>
      <c r="M103" s="58">
        <v>46990</v>
      </c>
      <c r="N103" s="58">
        <v>17580</v>
      </c>
      <c r="O103" s="58">
        <v>15400</v>
      </c>
      <c r="P103" s="18">
        <v>2600</v>
      </c>
      <c r="Q103" s="18"/>
      <c r="R103" s="18"/>
      <c r="S103" s="18"/>
      <c r="T103" s="18"/>
      <c r="U103" s="18"/>
      <c r="V103" s="18"/>
      <c r="W103" s="18"/>
      <c r="X103" s="30"/>
      <c r="Y103" s="21" t="s">
        <v>205</v>
      </c>
      <c r="Z103" s="4"/>
      <c r="AA103" s="4"/>
      <c r="AB103" s="4"/>
      <c r="AC103" s="4"/>
      <c r="AD103" s="4"/>
      <c r="AE103" s="4"/>
      <c r="AF103" s="4"/>
      <c r="AG103" s="4"/>
      <c r="AH103" s="4"/>
      <c r="AI103" s="4"/>
      <c r="AJ103" s="4"/>
    </row>
    <row r="104" spans="1:36" x14ac:dyDescent="0.35">
      <c r="A104" s="51">
        <v>39</v>
      </c>
      <c r="B104" s="52" t="s">
        <v>206</v>
      </c>
      <c r="C104" s="259"/>
      <c r="D104" s="259"/>
      <c r="E104" s="261"/>
      <c r="F104" s="261"/>
      <c r="G104" s="261"/>
      <c r="H104" s="261"/>
      <c r="I104" s="51">
        <v>39</v>
      </c>
      <c r="J104" s="52" t="s">
        <v>206</v>
      </c>
      <c r="K104" s="259"/>
      <c r="L104" s="259"/>
      <c r="M104" s="261"/>
      <c r="N104" s="261"/>
      <c r="O104" s="261"/>
      <c r="P104" s="261"/>
      <c r="Q104" s="261"/>
      <c r="R104" s="261"/>
      <c r="S104" s="261"/>
      <c r="T104" s="261"/>
      <c r="U104" s="261"/>
      <c r="V104" s="261"/>
      <c r="W104" s="261"/>
      <c r="X104" s="34"/>
      <c r="Y104" s="38"/>
      <c r="Z104" s="4"/>
      <c r="AA104" s="4"/>
      <c r="AB104" s="4"/>
      <c r="AC104" s="4"/>
      <c r="AD104" s="4"/>
      <c r="AE104" s="4"/>
      <c r="AF104" s="4"/>
      <c r="AG104" s="4"/>
      <c r="AH104" s="4"/>
      <c r="AI104" s="4"/>
      <c r="AJ104" s="4"/>
    </row>
    <row r="105" spans="1:36" x14ac:dyDescent="0.35">
      <c r="A105" s="51"/>
      <c r="B105" s="52"/>
      <c r="C105" s="259"/>
      <c r="D105" s="259"/>
      <c r="E105" s="261"/>
      <c r="F105" s="261"/>
      <c r="G105" s="261"/>
      <c r="H105" s="261"/>
      <c r="I105" s="321"/>
      <c r="J105" s="496" t="s">
        <v>1079</v>
      </c>
      <c r="K105" s="497"/>
      <c r="L105" s="259"/>
      <c r="M105" s="261"/>
      <c r="N105" s="261"/>
      <c r="O105" s="261"/>
      <c r="P105" s="261"/>
      <c r="Q105" s="261"/>
      <c r="R105" s="261"/>
      <c r="S105" s="261"/>
      <c r="T105" s="261"/>
      <c r="U105" s="261"/>
      <c r="V105" s="261"/>
      <c r="W105" s="261"/>
      <c r="X105" s="34"/>
      <c r="Y105" s="38"/>
      <c r="Z105" s="4"/>
      <c r="AA105" s="4"/>
      <c r="AB105" s="4"/>
      <c r="AC105" s="4"/>
      <c r="AD105" s="4"/>
      <c r="AE105" s="4"/>
      <c r="AF105" s="4"/>
      <c r="AG105" s="4"/>
      <c r="AH105" s="4"/>
      <c r="AI105" s="4"/>
      <c r="AJ105" s="4"/>
    </row>
    <row r="106" spans="1:36" x14ac:dyDescent="0.35">
      <c r="A106" s="51"/>
      <c r="B106" s="52"/>
      <c r="C106" s="259"/>
      <c r="D106" s="259"/>
      <c r="E106" s="261"/>
      <c r="F106" s="261"/>
      <c r="G106" s="261"/>
      <c r="H106" s="261"/>
      <c r="I106" s="39">
        <v>21</v>
      </c>
      <c r="J106" s="55" t="s">
        <v>207</v>
      </c>
      <c r="K106" s="259"/>
      <c r="L106" s="259"/>
      <c r="M106" s="261"/>
      <c r="N106" s="261"/>
      <c r="O106" s="261"/>
      <c r="P106" s="261"/>
      <c r="Q106" s="261"/>
      <c r="R106" s="261"/>
      <c r="S106" s="261"/>
      <c r="T106" s="261"/>
      <c r="U106" s="261"/>
      <c r="V106" s="261"/>
      <c r="W106" s="261"/>
      <c r="X106" s="261"/>
      <c r="Y106" s="463" t="s">
        <v>208</v>
      </c>
      <c r="Z106" s="4"/>
      <c r="AA106" s="4"/>
      <c r="AB106" s="4"/>
      <c r="AC106" s="4"/>
      <c r="AD106" s="4"/>
      <c r="AE106" s="4"/>
      <c r="AF106" s="4"/>
      <c r="AG106" s="4"/>
      <c r="AH106" s="4"/>
      <c r="AI106" s="4"/>
      <c r="AJ106" s="4"/>
    </row>
    <row r="107" spans="1:36" x14ac:dyDescent="0.35">
      <c r="A107" s="51"/>
      <c r="B107" s="52"/>
      <c r="C107" s="259"/>
      <c r="D107" s="259"/>
      <c r="E107" s="261"/>
      <c r="F107" s="261"/>
      <c r="G107" s="261"/>
      <c r="H107" s="261"/>
      <c r="I107" s="39" t="s">
        <v>209</v>
      </c>
      <c r="J107" s="55" t="s">
        <v>210</v>
      </c>
      <c r="K107" s="259"/>
      <c r="L107" s="259"/>
      <c r="M107" s="28">
        <v>46200</v>
      </c>
      <c r="N107" s="261"/>
      <c r="O107" s="261"/>
      <c r="P107" s="261"/>
      <c r="Q107" s="28">
        <v>27720</v>
      </c>
      <c r="R107" s="28"/>
      <c r="S107" s="28"/>
      <c r="T107" s="28"/>
      <c r="U107" s="28">
        <v>18480</v>
      </c>
      <c r="V107" s="261"/>
      <c r="W107" s="261"/>
      <c r="X107" s="261"/>
      <c r="Y107" s="463"/>
      <c r="Z107" s="4"/>
      <c r="AA107" s="4"/>
      <c r="AB107" s="4"/>
      <c r="AC107" s="4"/>
      <c r="AD107" s="4"/>
      <c r="AE107" s="4"/>
      <c r="AF107" s="4"/>
      <c r="AG107" s="4"/>
      <c r="AH107" s="4"/>
      <c r="AI107" s="4"/>
      <c r="AJ107" s="4"/>
    </row>
    <row r="108" spans="1:36" x14ac:dyDescent="0.35">
      <c r="A108" s="51"/>
      <c r="B108" s="52"/>
      <c r="C108" s="259"/>
      <c r="D108" s="259"/>
      <c r="E108" s="261"/>
      <c r="F108" s="261"/>
      <c r="G108" s="261"/>
      <c r="H108" s="261"/>
      <c r="I108" s="39" t="s">
        <v>211</v>
      </c>
      <c r="J108" s="55" t="s">
        <v>212</v>
      </c>
      <c r="K108" s="259"/>
      <c r="L108" s="259"/>
      <c r="M108" s="28"/>
      <c r="N108" s="261"/>
      <c r="O108" s="261"/>
      <c r="P108" s="261"/>
      <c r="Q108" s="28"/>
      <c r="R108" s="28"/>
      <c r="S108" s="28"/>
      <c r="T108" s="28"/>
      <c r="U108" s="28"/>
      <c r="V108" s="261"/>
      <c r="W108" s="261"/>
      <c r="X108" s="261"/>
      <c r="Y108" s="463"/>
      <c r="Z108" s="4"/>
      <c r="AA108" s="4"/>
      <c r="AB108" s="4"/>
      <c r="AC108" s="4"/>
      <c r="AD108" s="4"/>
      <c r="AE108" s="4"/>
      <c r="AF108" s="4"/>
      <c r="AG108" s="4"/>
      <c r="AH108" s="4"/>
      <c r="AI108" s="4"/>
      <c r="AJ108" s="4"/>
    </row>
    <row r="109" spans="1:36" x14ac:dyDescent="0.35">
      <c r="A109" s="51"/>
      <c r="B109" s="52"/>
      <c r="C109" s="259"/>
      <c r="D109" s="259"/>
      <c r="E109" s="261"/>
      <c r="F109" s="261"/>
      <c r="G109" s="261"/>
      <c r="H109" s="261"/>
      <c r="I109" s="39" t="s">
        <v>213</v>
      </c>
      <c r="J109" s="55" t="s">
        <v>214</v>
      </c>
      <c r="K109" s="259"/>
      <c r="L109" s="259"/>
      <c r="M109" s="28">
        <v>22000</v>
      </c>
      <c r="N109" s="261"/>
      <c r="O109" s="261"/>
      <c r="P109" s="261"/>
      <c r="Q109" s="28">
        <v>13200</v>
      </c>
      <c r="R109" s="28"/>
      <c r="S109" s="28"/>
      <c r="T109" s="28"/>
      <c r="U109" s="28">
        <v>8800</v>
      </c>
      <c r="V109" s="261"/>
      <c r="W109" s="261"/>
      <c r="X109" s="261"/>
      <c r="Y109" s="463"/>
      <c r="Z109" s="4"/>
      <c r="AA109" s="4"/>
      <c r="AB109" s="4"/>
      <c r="AC109" s="4"/>
      <c r="AD109" s="4"/>
      <c r="AE109" s="4"/>
      <c r="AF109" s="4"/>
      <c r="AG109" s="4"/>
      <c r="AH109" s="4"/>
      <c r="AI109" s="4"/>
      <c r="AJ109" s="4"/>
    </row>
    <row r="110" spans="1:36" x14ac:dyDescent="0.35">
      <c r="A110" s="51"/>
      <c r="B110" s="52"/>
      <c r="C110" s="259"/>
      <c r="D110" s="259"/>
      <c r="E110" s="261"/>
      <c r="F110" s="261"/>
      <c r="G110" s="261"/>
      <c r="H110" s="261"/>
      <c r="I110" s="39" t="s">
        <v>215</v>
      </c>
      <c r="J110" s="55" t="s">
        <v>216</v>
      </c>
      <c r="K110" s="259"/>
      <c r="L110" s="259"/>
      <c r="M110" s="28">
        <v>20500</v>
      </c>
      <c r="N110" s="261"/>
      <c r="O110" s="261"/>
      <c r="P110" s="261"/>
      <c r="Q110" s="28">
        <v>12300</v>
      </c>
      <c r="R110" s="28"/>
      <c r="S110" s="28"/>
      <c r="T110" s="28"/>
      <c r="U110" s="28">
        <v>8200</v>
      </c>
      <c r="V110" s="261"/>
      <c r="W110" s="261"/>
      <c r="X110" s="261"/>
      <c r="Y110" s="463"/>
      <c r="Z110" s="4"/>
      <c r="AA110" s="4"/>
      <c r="AB110" s="4"/>
      <c r="AC110" s="4"/>
      <c r="AD110" s="4"/>
      <c r="AE110" s="4"/>
      <c r="AF110" s="4"/>
      <c r="AG110" s="4"/>
      <c r="AH110" s="4"/>
      <c r="AI110" s="4"/>
      <c r="AJ110" s="4"/>
    </row>
    <row r="111" spans="1:36" x14ac:dyDescent="0.35">
      <c r="A111" s="51"/>
      <c r="B111" s="52"/>
      <c r="C111" s="259"/>
      <c r="D111" s="259"/>
      <c r="E111" s="261"/>
      <c r="F111" s="261"/>
      <c r="G111" s="261"/>
      <c r="H111" s="261"/>
      <c r="I111" s="39" t="s">
        <v>217</v>
      </c>
      <c r="J111" s="55" t="s">
        <v>218</v>
      </c>
      <c r="K111" s="259"/>
      <c r="L111" s="259"/>
      <c r="N111" s="261"/>
      <c r="O111" s="261"/>
      <c r="P111" s="261"/>
      <c r="Q111" s="28"/>
      <c r="R111" s="28"/>
      <c r="S111" s="28"/>
      <c r="T111" s="28"/>
      <c r="U111" s="28"/>
      <c r="V111" s="261"/>
      <c r="W111" s="261"/>
      <c r="X111" s="261"/>
      <c r="Y111" s="463"/>
      <c r="Z111" s="4"/>
      <c r="AA111" s="4"/>
      <c r="AB111" s="4"/>
      <c r="AC111" s="4"/>
      <c r="AD111" s="4"/>
      <c r="AE111" s="4"/>
      <c r="AF111" s="4"/>
      <c r="AG111" s="4"/>
      <c r="AH111" s="4"/>
      <c r="AI111" s="4"/>
      <c r="AJ111" s="4"/>
    </row>
    <row r="112" spans="1:36" x14ac:dyDescent="0.35">
      <c r="A112" s="51"/>
      <c r="B112" s="52"/>
      <c r="C112" s="259"/>
      <c r="D112" s="259"/>
      <c r="E112" s="261"/>
      <c r="F112" s="261"/>
      <c r="G112" s="261"/>
      <c r="H112" s="261"/>
      <c r="I112" s="39" t="s">
        <v>219</v>
      </c>
      <c r="J112" s="55" t="s">
        <v>216</v>
      </c>
      <c r="K112" s="259"/>
      <c r="L112" s="259"/>
      <c r="M112" s="28">
        <v>19000</v>
      </c>
      <c r="N112" s="261"/>
      <c r="O112" s="261"/>
      <c r="P112" s="261"/>
      <c r="Q112" s="28">
        <v>11400</v>
      </c>
      <c r="R112" s="28"/>
      <c r="S112" s="28"/>
      <c r="T112" s="28"/>
      <c r="U112" s="28">
        <v>7600</v>
      </c>
      <c r="V112" s="261"/>
      <c r="W112" s="261"/>
      <c r="X112" s="261"/>
      <c r="Y112" s="463"/>
      <c r="Z112" s="4"/>
      <c r="AA112" s="4"/>
      <c r="AB112" s="4"/>
      <c r="AC112" s="4"/>
      <c r="AD112" s="4"/>
      <c r="AE112" s="4"/>
      <c r="AF112" s="4"/>
      <c r="AG112" s="4"/>
      <c r="AH112" s="4"/>
      <c r="AI112" s="4"/>
      <c r="AJ112" s="4"/>
    </row>
    <row r="113" spans="1:36" x14ac:dyDescent="0.35">
      <c r="A113" s="51"/>
      <c r="B113" s="52"/>
      <c r="C113" s="259"/>
      <c r="D113" s="259"/>
      <c r="E113" s="261"/>
      <c r="F113" s="261"/>
      <c r="G113" s="261"/>
      <c r="H113" s="261"/>
      <c r="I113" s="39">
        <v>22</v>
      </c>
      <c r="J113" s="55" t="s">
        <v>220</v>
      </c>
      <c r="K113" s="259"/>
      <c r="L113" s="259"/>
      <c r="M113" s="28"/>
      <c r="N113" s="261"/>
      <c r="O113" s="261"/>
      <c r="P113" s="261"/>
      <c r="Q113" s="28"/>
      <c r="R113" s="28"/>
      <c r="S113" s="28"/>
      <c r="T113" s="28"/>
      <c r="U113" s="28"/>
      <c r="V113" s="261"/>
      <c r="W113" s="261"/>
      <c r="X113" s="261"/>
      <c r="Y113" s="463"/>
      <c r="Z113" s="4"/>
      <c r="AA113" s="4"/>
      <c r="AB113" s="4"/>
      <c r="AC113" s="4"/>
      <c r="AD113" s="4"/>
      <c r="AE113" s="4"/>
      <c r="AF113" s="4"/>
      <c r="AG113" s="4"/>
      <c r="AH113" s="4"/>
      <c r="AI113" s="4"/>
      <c r="AJ113" s="4"/>
    </row>
    <row r="114" spans="1:36" x14ac:dyDescent="0.35">
      <c r="A114" s="51"/>
      <c r="B114" s="52"/>
      <c r="C114" s="259"/>
      <c r="D114" s="259"/>
      <c r="E114" s="261"/>
      <c r="F114" s="261"/>
      <c r="G114" s="261"/>
      <c r="H114" s="261"/>
      <c r="I114" s="39" t="s">
        <v>221</v>
      </c>
      <c r="J114" s="55" t="s">
        <v>1071</v>
      </c>
      <c r="K114" s="259"/>
      <c r="L114" s="259"/>
      <c r="M114" s="28">
        <v>11100</v>
      </c>
      <c r="N114" s="261"/>
      <c r="O114" s="261"/>
      <c r="P114" s="261"/>
      <c r="Q114" s="28">
        <v>6660</v>
      </c>
      <c r="R114" s="28"/>
      <c r="S114" s="28"/>
      <c r="T114" s="28"/>
      <c r="U114" s="28">
        <v>4440</v>
      </c>
      <c r="V114" s="261"/>
      <c r="W114" s="261"/>
      <c r="X114" s="261"/>
      <c r="Y114" s="463"/>
      <c r="Z114" s="4"/>
      <c r="AA114" s="4"/>
      <c r="AB114" s="4"/>
      <c r="AC114" s="4"/>
      <c r="AD114" s="4"/>
      <c r="AE114" s="4"/>
      <c r="AF114" s="4"/>
      <c r="AG114" s="4"/>
      <c r="AH114" s="4"/>
      <c r="AI114" s="4"/>
      <c r="AJ114" s="4"/>
    </row>
    <row r="115" spans="1:36" x14ac:dyDescent="0.35">
      <c r="A115" s="51"/>
      <c r="B115" s="52"/>
      <c r="C115" s="259"/>
      <c r="D115" s="259"/>
      <c r="E115" s="261"/>
      <c r="F115" s="261"/>
      <c r="G115" s="261"/>
      <c r="H115" s="261"/>
      <c r="I115" s="39" t="s">
        <v>223</v>
      </c>
      <c r="J115" s="55" t="s">
        <v>79</v>
      </c>
      <c r="K115" s="259"/>
      <c r="L115" s="259"/>
      <c r="M115" s="28">
        <v>6400</v>
      </c>
      <c r="N115" s="261"/>
      <c r="O115" s="261"/>
      <c r="P115" s="261"/>
      <c r="Q115" s="28">
        <v>3840</v>
      </c>
      <c r="R115" s="28"/>
      <c r="S115" s="28"/>
      <c r="T115" s="28"/>
      <c r="U115" s="28">
        <v>2560</v>
      </c>
      <c r="V115" s="261"/>
      <c r="W115" s="261"/>
      <c r="X115" s="261"/>
      <c r="Y115" s="463"/>
      <c r="Z115" s="4"/>
      <c r="AA115" s="4"/>
      <c r="AB115" s="4"/>
      <c r="AC115" s="4"/>
      <c r="AD115" s="4"/>
      <c r="AE115" s="4"/>
      <c r="AF115" s="4"/>
      <c r="AG115" s="4"/>
      <c r="AH115" s="4"/>
      <c r="AI115" s="4"/>
      <c r="AJ115" s="4"/>
    </row>
    <row r="116" spans="1:36" x14ac:dyDescent="0.35">
      <c r="A116" s="51">
        <v>40</v>
      </c>
      <c r="B116" s="52" t="s">
        <v>224</v>
      </c>
      <c r="C116" s="259"/>
      <c r="D116" s="259"/>
      <c r="E116" s="261"/>
      <c r="F116" s="261"/>
      <c r="G116" s="261"/>
      <c r="H116" s="261"/>
      <c r="I116" s="51">
        <v>40</v>
      </c>
      <c r="J116" s="52" t="s">
        <v>224</v>
      </c>
      <c r="K116" s="259"/>
      <c r="L116" s="259"/>
      <c r="M116" s="261"/>
      <c r="N116" s="261"/>
      <c r="O116" s="261"/>
      <c r="P116" s="261"/>
      <c r="Q116" s="261"/>
      <c r="R116" s="261"/>
      <c r="S116" s="261"/>
      <c r="T116" s="261"/>
      <c r="U116" s="261"/>
      <c r="V116" s="261"/>
      <c r="W116" s="261"/>
      <c r="X116" s="34"/>
      <c r="Y116" s="13"/>
      <c r="Z116" s="4"/>
      <c r="AA116" s="4"/>
      <c r="AB116" s="4"/>
      <c r="AC116" s="4"/>
      <c r="AD116" s="4"/>
      <c r="AE116" s="4"/>
      <c r="AF116" s="4"/>
      <c r="AG116" s="4"/>
      <c r="AH116" s="4"/>
      <c r="AI116" s="4"/>
      <c r="AJ116" s="4"/>
    </row>
    <row r="117" spans="1:36" x14ac:dyDescent="0.35">
      <c r="A117" s="51"/>
      <c r="B117" s="52"/>
      <c r="C117" s="259"/>
      <c r="D117" s="259"/>
      <c r="E117" s="261"/>
      <c r="F117" s="261"/>
      <c r="G117" s="261"/>
      <c r="H117" s="261"/>
      <c r="I117" s="51"/>
      <c r="J117" s="496" t="s">
        <v>1078</v>
      </c>
      <c r="K117" s="497"/>
      <c r="L117" s="259"/>
      <c r="M117" s="261"/>
      <c r="N117" s="261"/>
      <c r="O117" s="261"/>
      <c r="P117" s="261"/>
      <c r="Q117" s="261"/>
      <c r="R117" s="261"/>
      <c r="S117" s="261"/>
      <c r="T117" s="261"/>
      <c r="U117" s="261"/>
      <c r="V117" s="261"/>
      <c r="W117" s="261"/>
      <c r="X117" s="34"/>
      <c r="Y117" s="13"/>
      <c r="Z117" s="4"/>
      <c r="AA117" s="4"/>
      <c r="AB117" s="4"/>
      <c r="AC117" s="4"/>
      <c r="AD117" s="4"/>
      <c r="AE117" s="4"/>
      <c r="AF117" s="4"/>
      <c r="AG117" s="4"/>
      <c r="AH117" s="4"/>
      <c r="AI117" s="4"/>
      <c r="AJ117" s="4"/>
    </row>
    <row r="118" spans="1:36" ht="14.5" x14ac:dyDescent="0.35">
      <c r="A118" s="70"/>
      <c r="B118" s="38" t="s">
        <v>225</v>
      </c>
      <c r="C118" s="237"/>
      <c r="D118" s="237"/>
      <c r="E118" s="18"/>
      <c r="F118" s="18"/>
      <c r="G118" s="18"/>
      <c r="H118" s="18"/>
      <c r="I118" s="71">
        <v>1</v>
      </c>
      <c r="J118" s="254" t="s">
        <v>225</v>
      </c>
      <c r="K118" s="237"/>
      <c r="L118" s="237"/>
      <c r="M118" s="18"/>
      <c r="N118" s="18"/>
      <c r="O118" s="18"/>
      <c r="P118" s="18"/>
      <c r="Q118" s="261"/>
      <c r="R118" s="261"/>
      <c r="S118" s="261"/>
      <c r="T118" s="261"/>
      <c r="U118" s="261"/>
      <c r="V118" s="261"/>
      <c r="W118" s="261"/>
      <c r="X118" s="34"/>
      <c r="Y118" s="13"/>
      <c r="Z118" s="4"/>
      <c r="AA118" s="4"/>
      <c r="AB118" s="4"/>
      <c r="AC118" s="4"/>
      <c r="AD118" s="4"/>
      <c r="AE118" s="4"/>
      <c r="AF118" s="4"/>
      <c r="AG118" s="4"/>
      <c r="AH118" s="4"/>
      <c r="AI118" s="4"/>
      <c r="AJ118" s="4"/>
    </row>
    <row r="119" spans="1:36" ht="42" x14ac:dyDescent="0.35">
      <c r="A119" s="71">
        <f>I119</f>
        <v>1.8</v>
      </c>
      <c r="B119" s="21" t="s">
        <v>225</v>
      </c>
      <c r="C119" s="88" t="s">
        <v>226</v>
      </c>
      <c r="D119" s="88" t="s">
        <v>227</v>
      </c>
      <c r="E119" s="89">
        <v>19300</v>
      </c>
      <c r="F119" s="89">
        <v>6600</v>
      </c>
      <c r="G119" s="89">
        <v>2500</v>
      </c>
      <c r="H119" s="89">
        <v>1600</v>
      </c>
      <c r="I119" s="71">
        <v>1.8</v>
      </c>
      <c r="J119" s="72" t="s">
        <v>225</v>
      </c>
      <c r="K119" s="73" t="s">
        <v>226</v>
      </c>
      <c r="L119" s="90" t="s">
        <v>228</v>
      </c>
      <c r="M119" s="89">
        <v>19300</v>
      </c>
      <c r="N119" s="89">
        <v>6600</v>
      </c>
      <c r="O119" s="89">
        <v>2500</v>
      </c>
      <c r="P119" s="89">
        <v>1600</v>
      </c>
      <c r="Q119" s="54">
        <v>11580</v>
      </c>
      <c r="R119" s="54">
        <v>3960</v>
      </c>
      <c r="S119" s="54">
        <v>1500</v>
      </c>
      <c r="T119" s="54">
        <v>960</v>
      </c>
      <c r="U119" s="54">
        <v>7720</v>
      </c>
      <c r="V119" s="54">
        <v>2640</v>
      </c>
      <c r="W119" s="54">
        <v>1000</v>
      </c>
      <c r="X119" s="54">
        <v>640</v>
      </c>
      <c r="Y119" s="15" t="s">
        <v>229</v>
      </c>
      <c r="Z119" s="4"/>
      <c r="AA119" s="4"/>
      <c r="AB119" s="4"/>
      <c r="AC119" s="4"/>
      <c r="AD119" s="4"/>
      <c r="AE119" s="4"/>
      <c r="AF119" s="4"/>
      <c r="AG119" s="4"/>
      <c r="AH119" s="4"/>
      <c r="AI119" s="4"/>
      <c r="AJ119" s="4"/>
    </row>
    <row r="120" spans="1:36" ht="42" x14ac:dyDescent="0.35">
      <c r="A120" s="71">
        <f t="shared" ref="A120:A147" si="5">I120</f>
        <v>1.9</v>
      </c>
      <c r="B120" s="21" t="s">
        <v>225</v>
      </c>
      <c r="C120" s="88" t="s">
        <v>227</v>
      </c>
      <c r="D120" s="88" t="s">
        <v>230</v>
      </c>
      <c r="E120" s="89">
        <v>24000</v>
      </c>
      <c r="F120" s="89">
        <v>8100</v>
      </c>
      <c r="G120" s="89">
        <v>3300</v>
      </c>
      <c r="H120" s="89">
        <v>1600</v>
      </c>
      <c r="I120" s="71">
        <v>1.9</v>
      </c>
      <c r="J120" s="72" t="s">
        <v>225</v>
      </c>
      <c r="K120" s="73" t="s">
        <v>228</v>
      </c>
      <c r="L120" s="73" t="s">
        <v>230</v>
      </c>
      <c r="M120" s="89">
        <v>24000</v>
      </c>
      <c r="N120" s="89">
        <v>8100</v>
      </c>
      <c r="O120" s="89">
        <v>3300</v>
      </c>
      <c r="P120" s="89">
        <v>1600</v>
      </c>
      <c r="Q120" s="54">
        <v>14400</v>
      </c>
      <c r="R120" s="54">
        <v>4860</v>
      </c>
      <c r="S120" s="54">
        <v>1980</v>
      </c>
      <c r="T120" s="54">
        <v>960</v>
      </c>
      <c r="U120" s="54">
        <v>9600</v>
      </c>
      <c r="V120" s="54">
        <v>3240</v>
      </c>
      <c r="W120" s="54">
        <v>1320</v>
      </c>
      <c r="X120" s="54">
        <v>640</v>
      </c>
      <c r="Y120" s="15" t="s">
        <v>229</v>
      </c>
      <c r="Z120" s="4"/>
      <c r="AA120" s="4"/>
      <c r="AB120" s="4"/>
      <c r="AC120" s="4"/>
      <c r="AD120" s="4"/>
      <c r="AE120" s="4"/>
      <c r="AF120" s="4"/>
      <c r="AG120" s="4"/>
      <c r="AH120" s="4"/>
      <c r="AI120" s="4"/>
      <c r="AJ120" s="4"/>
    </row>
    <row r="121" spans="1:36" ht="42" x14ac:dyDescent="0.35">
      <c r="A121" s="75">
        <f t="shared" si="5"/>
        <v>1.1000000000000001</v>
      </c>
      <c r="B121" s="21" t="s">
        <v>225</v>
      </c>
      <c r="C121" s="88" t="s">
        <v>231</v>
      </c>
      <c r="D121" s="88" t="s">
        <v>232</v>
      </c>
      <c r="E121" s="54">
        <v>19600</v>
      </c>
      <c r="F121" s="54">
        <v>6300</v>
      </c>
      <c r="G121" s="54">
        <v>2300</v>
      </c>
      <c r="H121" s="54">
        <v>1600</v>
      </c>
      <c r="I121" s="75">
        <v>1.1000000000000001</v>
      </c>
      <c r="J121" s="72" t="s">
        <v>225</v>
      </c>
      <c r="K121" s="73" t="s">
        <v>233</v>
      </c>
      <c r="L121" s="73" t="s">
        <v>234</v>
      </c>
      <c r="M121" s="54">
        <v>19600</v>
      </c>
      <c r="N121" s="54">
        <v>6300</v>
      </c>
      <c r="O121" s="54">
        <v>2300</v>
      </c>
      <c r="P121" s="54">
        <v>1600</v>
      </c>
      <c r="Q121" s="54">
        <v>11760</v>
      </c>
      <c r="R121" s="54">
        <v>3780</v>
      </c>
      <c r="S121" s="54">
        <v>1380</v>
      </c>
      <c r="T121" s="54">
        <v>960</v>
      </c>
      <c r="U121" s="54">
        <v>7840</v>
      </c>
      <c r="V121" s="54">
        <v>2520</v>
      </c>
      <c r="W121" s="54">
        <v>920</v>
      </c>
      <c r="X121" s="54">
        <v>640</v>
      </c>
      <c r="Y121" s="15" t="s">
        <v>229</v>
      </c>
      <c r="Z121" s="4"/>
      <c r="AA121" s="4"/>
      <c r="AB121" s="4"/>
      <c r="AC121" s="4"/>
      <c r="AD121" s="4"/>
      <c r="AE121" s="4"/>
      <c r="AF121" s="4"/>
      <c r="AG121" s="4"/>
      <c r="AH121" s="4"/>
      <c r="AI121" s="4"/>
      <c r="AJ121" s="4"/>
    </row>
    <row r="122" spans="1:36" ht="50.65" customHeight="1" x14ac:dyDescent="0.35">
      <c r="A122" s="71">
        <f t="shared" si="5"/>
        <v>3</v>
      </c>
      <c r="B122" s="76" t="s">
        <v>235</v>
      </c>
      <c r="C122" s="76"/>
      <c r="D122" s="76"/>
      <c r="E122" s="77"/>
      <c r="F122" s="77"/>
      <c r="G122" s="77"/>
      <c r="H122" s="77"/>
      <c r="I122" s="78">
        <v>3</v>
      </c>
      <c r="J122" s="55" t="str">
        <f>B122</f>
        <v>Đường Bãi Muối</v>
      </c>
      <c r="K122" s="237"/>
      <c r="L122" s="237"/>
      <c r="M122" s="77"/>
      <c r="N122" s="77"/>
      <c r="O122" s="77"/>
      <c r="P122" s="77"/>
      <c r="Q122" s="261"/>
      <c r="R122" s="261"/>
      <c r="S122" s="261"/>
      <c r="T122" s="261"/>
      <c r="U122" s="261"/>
      <c r="V122" s="261"/>
      <c r="W122" s="261"/>
      <c r="X122" s="34"/>
      <c r="Y122" s="15" t="s">
        <v>229</v>
      </c>
      <c r="Z122" s="4"/>
      <c r="AA122" s="4"/>
      <c r="AB122" s="4"/>
      <c r="AC122" s="4"/>
      <c r="AD122" s="4"/>
      <c r="AE122" s="4"/>
      <c r="AF122" s="4"/>
      <c r="AG122" s="4"/>
      <c r="AH122" s="4"/>
      <c r="AI122" s="4"/>
      <c r="AJ122" s="4"/>
    </row>
    <row r="123" spans="1:36" ht="42" x14ac:dyDescent="0.35">
      <c r="A123" s="71">
        <f t="shared" si="5"/>
        <v>3.1</v>
      </c>
      <c r="B123" s="21" t="s">
        <v>235</v>
      </c>
      <c r="C123" s="88" t="s">
        <v>225</v>
      </c>
      <c r="D123" s="88" t="s">
        <v>236</v>
      </c>
      <c r="E123" s="89">
        <v>31900</v>
      </c>
      <c r="F123" s="89">
        <v>13400</v>
      </c>
      <c r="G123" s="89">
        <v>5500</v>
      </c>
      <c r="H123" s="89">
        <v>2500</v>
      </c>
      <c r="I123" s="79">
        <v>3.1</v>
      </c>
      <c r="J123" s="80" t="str">
        <f t="shared" ref="J123:J124" si="6">B123</f>
        <v>Đường Bãi Muối</v>
      </c>
      <c r="K123" s="73" t="str">
        <f>C123</f>
        <v>Đường 336</v>
      </c>
      <c r="L123" s="73" t="s">
        <v>237</v>
      </c>
      <c r="M123" s="89">
        <v>31900</v>
      </c>
      <c r="N123" s="89">
        <v>13400</v>
      </c>
      <c r="O123" s="89">
        <v>5500</v>
      </c>
      <c r="P123" s="89">
        <v>2500</v>
      </c>
      <c r="Q123" s="54">
        <v>19140</v>
      </c>
      <c r="R123" s="54">
        <v>8040</v>
      </c>
      <c r="S123" s="54">
        <v>3300</v>
      </c>
      <c r="T123" s="54">
        <v>1500</v>
      </c>
      <c r="U123" s="54">
        <v>12760</v>
      </c>
      <c r="V123" s="54">
        <v>5360</v>
      </c>
      <c r="W123" s="54">
        <v>2200</v>
      </c>
      <c r="X123" s="54">
        <v>1000</v>
      </c>
      <c r="Y123" s="15" t="s">
        <v>229</v>
      </c>
      <c r="Z123" s="4"/>
      <c r="AA123" s="4"/>
      <c r="AB123" s="4"/>
      <c r="AC123" s="4"/>
      <c r="AD123" s="4"/>
      <c r="AE123" s="4"/>
      <c r="AF123" s="4"/>
      <c r="AG123" s="4"/>
      <c r="AH123" s="4"/>
      <c r="AI123" s="4"/>
      <c r="AJ123" s="4"/>
    </row>
    <row r="124" spans="1:36" ht="42" x14ac:dyDescent="0.35">
      <c r="A124" s="71">
        <f t="shared" si="5"/>
        <v>3.2</v>
      </c>
      <c r="B124" s="21" t="s">
        <v>235</v>
      </c>
      <c r="C124" s="88" t="s">
        <v>236</v>
      </c>
      <c r="D124" s="88" t="s">
        <v>238</v>
      </c>
      <c r="E124" s="89">
        <v>16400</v>
      </c>
      <c r="F124" s="89">
        <v>5600</v>
      </c>
      <c r="G124" s="89">
        <v>2300</v>
      </c>
      <c r="H124" s="89">
        <v>2000</v>
      </c>
      <c r="I124" s="79">
        <v>3.2</v>
      </c>
      <c r="J124" s="80" t="str">
        <f t="shared" si="6"/>
        <v>Đường Bãi Muối</v>
      </c>
      <c r="K124" s="73" t="s">
        <v>239</v>
      </c>
      <c r="L124" s="73" t="s">
        <v>240</v>
      </c>
      <c r="M124" s="89">
        <v>16400</v>
      </c>
      <c r="N124" s="89">
        <v>5600</v>
      </c>
      <c r="O124" s="89">
        <v>2300</v>
      </c>
      <c r="P124" s="89">
        <v>2000</v>
      </c>
      <c r="Q124" s="54">
        <v>9840</v>
      </c>
      <c r="R124" s="54">
        <v>3360</v>
      </c>
      <c r="S124" s="54">
        <v>1380</v>
      </c>
      <c r="T124" s="54">
        <v>1200</v>
      </c>
      <c r="U124" s="54">
        <v>6560</v>
      </c>
      <c r="V124" s="54">
        <v>2240</v>
      </c>
      <c r="W124" s="54">
        <v>920</v>
      </c>
      <c r="X124" s="54">
        <v>800</v>
      </c>
      <c r="Y124" s="15" t="s">
        <v>229</v>
      </c>
      <c r="Z124" s="4"/>
      <c r="AA124" s="4"/>
      <c r="AB124" s="4"/>
      <c r="AC124" s="4"/>
      <c r="AD124" s="4"/>
      <c r="AE124" s="4"/>
      <c r="AF124" s="4"/>
      <c r="AG124" s="4"/>
      <c r="AH124" s="4"/>
      <c r="AI124" s="4"/>
      <c r="AJ124" s="4"/>
    </row>
    <row r="125" spans="1:36" ht="56" x14ac:dyDescent="0.35">
      <c r="A125" s="71">
        <f t="shared" si="5"/>
        <v>3.3</v>
      </c>
      <c r="B125" s="21" t="s">
        <v>235</v>
      </c>
      <c r="C125" s="88" t="s">
        <v>236</v>
      </c>
      <c r="D125" s="88" t="s">
        <v>241</v>
      </c>
      <c r="E125" s="89">
        <v>23900</v>
      </c>
      <c r="F125" s="89">
        <v>7900</v>
      </c>
      <c r="G125" s="89">
        <v>2800</v>
      </c>
      <c r="H125" s="89">
        <v>2500</v>
      </c>
      <c r="I125" s="81">
        <v>3.3</v>
      </c>
      <c r="J125" s="80" t="str">
        <f>B126</f>
        <v>Đường Bãi Muối</v>
      </c>
      <c r="K125" s="73" t="s">
        <v>242</v>
      </c>
      <c r="L125" s="73" t="s">
        <v>243</v>
      </c>
      <c r="M125" s="89">
        <v>23900</v>
      </c>
      <c r="N125" s="89">
        <v>7900</v>
      </c>
      <c r="O125" s="89">
        <v>2800</v>
      </c>
      <c r="P125" s="89">
        <v>2500</v>
      </c>
      <c r="Q125" s="54">
        <v>14340</v>
      </c>
      <c r="R125" s="54">
        <v>4740</v>
      </c>
      <c r="S125" s="54">
        <v>1680</v>
      </c>
      <c r="T125" s="54">
        <v>1500</v>
      </c>
      <c r="U125" s="54">
        <v>9560</v>
      </c>
      <c r="V125" s="54">
        <v>3160</v>
      </c>
      <c r="W125" s="54">
        <v>1120</v>
      </c>
      <c r="X125" s="54">
        <v>1000</v>
      </c>
      <c r="Y125" s="15" t="s">
        <v>229</v>
      </c>
      <c r="Z125" s="4"/>
      <c r="AA125" s="4"/>
      <c r="AB125" s="4"/>
      <c r="AC125" s="4"/>
      <c r="AD125" s="4"/>
      <c r="AE125" s="4"/>
      <c r="AF125" s="4"/>
      <c r="AG125" s="4"/>
      <c r="AH125" s="4"/>
      <c r="AI125" s="4"/>
      <c r="AJ125" s="4"/>
    </row>
    <row r="126" spans="1:36" ht="49.5" customHeight="1" x14ac:dyDescent="0.35">
      <c r="A126" s="71">
        <f t="shared" si="5"/>
        <v>3.4</v>
      </c>
      <c r="B126" s="21" t="s">
        <v>235</v>
      </c>
      <c r="C126" s="88" t="s">
        <v>244</v>
      </c>
      <c r="D126" s="88" t="s">
        <v>245</v>
      </c>
      <c r="E126" s="89">
        <v>16800</v>
      </c>
      <c r="F126" s="89">
        <v>7900</v>
      </c>
      <c r="G126" s="89">
        <v>2800</v>
      </c>
      <c r="H126" s="89">
        <v>2500</v>
      </c>
      <c r="I126" s="81">
        <v>3.4</v>
      </c>
      <c r="J126" s="80" t="str">
        <f>B127</f>
        <v>Đường ngõ 5 đường 336</v>
      </c>
      <c r="K126" s="73" t="s">
        <v>246</v>
      </c>
      <c r="L126" s="73" t="s">
        <v>247</v>
      </c>
      <c r="M126" s="89">
        <v>16800</v>
      </c>
      <c r="N126" s="89">
        <v>7900</v>
      </c>
      <c r="O126" s="89">
        <v>2800</v>
      </c>
      <c r="P126" s="89">
        <v>2500</v>
      </c>
      <c r="Q126" s="54">
        <v>10080</v>
      </c>
      <c r="R126" s="54">
        <v>4740</v>
      </c>
      <c r="S126" s="54">
        <v>1680</v>
      </c>
      <c r="T126" s="54">
        <v>1500</v>
      </c>
      <c r="U126" s="54">
        <v>6720</v>
      </c>
      <c r="V126" s="54">
        <v>3160</v>
      </c>
      <c r="W126" s="54">
        <v>1120</v>
      </c>
      <c r="X126" s="54">
        <v>1000</v>
      </c>
      <c r="Y126" s="15" t="s">
        <v>229</v>
      </c>
      <c r="Z126" s="4"/>
      <c r="AA126" s="4"/>
      <c r="AB126" s="4"/>
      <c r="AC126" s="4"/>
      <c r="AD126" s="4"/>
      <c r="AE126" s="4"/>
      <c r="AF126" s="4"/>
      <c r="AG126" s="4"/>
      <c r="AH126" s="4"/>
      <c r="AI126" s="4"/>
      <c r="AJ126" s="4"/>
    </row>
    <row r="127" spans="1:36" ht="49.5" customHeight="1" x14ac:dyDescent="0.35">
      <c r="A127" s="71">
        <f t="shared" si="5"/>
        <v>4</v>
      </c>
      <c r="B127" s="53" t="s">
        <v>248</v>
      </c>
      <c r="C127" s="237"/>
      <c r="D127" s="237"/>
      <c r="E127" s="18"/>
      <c r="F127" s="18"/>
      <c r="G127" s="18"/>
      <c r="H127" s="18"/>
      <c r="I127" s="81">
        <v>4</v>
      </c>
      <c r="J127" s="53" t="s">
        <v>248</v>
      </c>
      <c r="K127" s="237"/>
      <c r="L127" s="237"/>
      <c r="M127" s="18"/>
      <c r="N127" s="18"/>
      <c r="O127" s="18"/>
      <c r="P127" s="18"/>
      <c r="Q127" s="261"/>
      <c r="R127" s="261"/>
      <c r="S127" s="261"/>
      <c r="T127" s="261"/>
      <c r="U127" s="261"/>
      <c r="V127" s="261"/>
      <c r="W127" s="261"/>
      <c r="X127" s="34"/>
      <c r="Y127" s="15" t="s">
        <v>229</v>
      </c>
      <c r="Z127" s="4"/>
      <c r="AA127" s="4"/>
      <c r="AB127" s="4"/>
      <c r="AC127" s="4"/>
      <c r="AD127" s="4"/>
      <c r="AE127" s="4"/>
      <c r="AF127" s="4"/>
      <c r="AG127" s="4"/>
      <c r="AH127" s="4"/>
      <c r="AI127" s="4"/>
      <c r="AJ127" s="4"/>
    </row>
    <row r="128" spans="1:36" ht="54.25" customHeight="1" x14ac:dyDescent="0.35">
      <c r="A128" s="71">
        <f t="shared" si="5"/>
        <v>4.0999999999999996</v>
      </c>
      <c r="B128" s="21" t="s">
        <v>249</v>
      </c>
      <c r="C128" s="88" t="s">
        <v>225</v>
      </c>
      <c r="D128" s="88" t="s">
        <v>250</v>
      </c>
      <c r="E128" s="89">
        <v>26300</v>
      </c>
      <c r="F128" s="89">
        <v>6600</v>
      </c>
      <c r="G128" s="89">
        <v>3500</v>
      </c>
      <c r="H128" s="89">
        <v>2500</v>
      </c>
      <c r="I128" s="81">
        <v>4.0999999999999996</v>
      </c>
      <c r="J128" s="80" t="s">
        <v>248</v>
      </c>
      <c r="K128" s="73" t="s">
        <v>225</v>
      </c>
      <c r="L128" s="73" t="s">
        <v>251</v>
      </c>
      <c r="M128" s="89">
        <v>26300</v>
      </c>
      <c r="N128" s="89">
        <v>6600</v>
      </c>
      <c r="O128" s="89">
        <v>3500</v>
      </c>
      <c r="P128" s="89">
        <v>2500</v>
      </c>
      <c r="Q128" s="54">
        <v>15780</v>
      </c>
      <c r="R128" s="54">
        <v>3960</v>
      </c>
      <c r="S128" s="54">
        <v>2100</v>
      </c>
      <c r="T128" s="54">
        <v>1500</v>
      </c>
      <c r="U128" s="54">
        <v>10520</v>
      </c>
      <c r="V128" s="54">
        <v>2640</v>
      </c>
      <c r="W128" s="54">
        <v>1400</v>
      </c>
      <c r="X128" s="54">
        <v>1000</v>
      </c>
      <c r="Y128" s="15" t="s">
        <v>229</v>
      </c>
      <c r="Z128" s="4"/>
      <c r="AA128" s="4"/>
      <c r="AB128" s="4"/>
      <c r="AC128" s="4"/>
      <c r="AD128" s="4"/>
      <c r="AE128" s="4"/>
      <c r="AF128" s="4"/>
      <c r="AG128" s="4"/>
      <c r="AH128" s="4"/>
      <c r="AI128" s="4"/>
      <c r="AJ128" s="4"/>
    </row>
    <row r="129" spans="1:36" ht="42.75" customHeight="1" x14ac:dyDescent="0.35">
      <c r="A129" s="71">
        <f t="shared" si="5"/>
        <v>4.2</v>
      </c>
      <c r="B129" s="21" t="s">
        <v>249</v>
      </c>
      <c r="C129" s="88" t="s">
        <v>250</v>
      </c>
      <c r="D129" s="88" t="s">
        <v>252</v>
      </c>
      <c r="E129" s="89">
        <v>15100</v>
      </c>
      <c r="F129" s="89">
        <v>5000</v>
      </c>
      <c r="G129" s="89">
        <v>2300</v>
      </c>
      <c r="H129" s="89">
        <v>2000</v>
      </c>
      <c r="I129" s="81">
        <v>4.2</v>
      </c>
      <c r="J129" s="80" t="s">
        <v>248</v>
      </c>
      <c r="K129" s="73" t="s">
        <v>251</v>
      </c>
      <c r="L129" s="73" t="s">
        <v>252</v>
      </c>
      <c r="M129" s="89">
        <v>15100</v>
      </c>
      <c r="N129" s="89">
        <v>5000</v>
      </c>
      <c r="O129" s="89">
        <v>2300</v>
      </c>
      <c r="P129" s="89">
        <v>2000</v>
      </c>
      <c r="Q129" s="54">
        <v>9060</v>
      </c>
      <c r="R129" s="54">
        <v>3000</v>
      </c>
      <c r="S129" s="54">
        <v>1380</v>
      </c>
      <c r="T129" s="54">
        <v>1200</v>
      </c>
      <c r="U129" s="54">
        <v>6040</v>
      </c>
      <c r="V129" s="54">
        <v>2000</v>
      </c>
      <c r="W129" s="54">
        <v>920</v>
      </c>
      <c r="X129" s="54">
        <v>800</v>
      </c>
      <c r="Y129" s="15" t="s">
        <v>229</v>
      </c>
      <c r="Z129" s="4"/>
      <c r="AA129" s="4"/>
      <c r="AB129" s="4"/>
      <c r="AC129" s="4"/>
      <c r="AD129" s="4"/>
      <c r="AE129" s="4"/>
      <c r="AF129" s="4"/>
      <c r="AG129" s="4"/>
      <c r="AH129" s="4"/>
      <c r="AI129" s="4"/>
      <c r="AJ129" s="4"/>
    </row>
    <row r="130" spans="1:36" ht="42.75" customHeight="1" x14ac:dyDescent="0.35">
      <c r="A130" s="71">
        <f t="shared" si="5"/>
        <v>7</v>
      </c>
      <c r="B130" s="21" t="s">
        <v>253</v>
      </c>
      <c r="C130" s="88" t="s">
        <v>254</v>
      </c>
      <c r="D130" s="88" t="s">
        <v>255</v>
      </c>
      <c r="E130" s="89">
        <v>12500</v>
      </c>
      <c r="F130" s="89">
        <v>5600</v>
      </c>
      <c r="G130" s="89">
        <v>2300</v>
      </c>
      <c r="H130" s="89">
        <v>1600</v>
      </c>
      <c r="I130" s="81">
        <v>7</v>
      </c>
      <c r="J130" s="82" t="str">
        <f>B130</f>
        <v>Đường vào trường 5/8</v>
      </c>
      <c r="K130" s="73" t="s">
        <v>256</v>
      </c>
      <c r="L130" s="73" t="s">
        <v>255</v>
      </c>
      <c r="M130" s="89">
        <v>12500</v>
      </c>
      <c r="N130" s="89">
        <v>5600</v>
      </c>
      <c r="O130" s="89">
        <v>2300</v>
      </c>
      <c r="P130" s="89">
        <v>1600</v>
      </c>
      <c r="Q130" s="54">
        <v>7920</v>
      </c>
      <c r="R130" s="54">
        <v>3360</v>
      </c>
      <c r="S130" s="54">
        <v>1380</v>
      </c>
      <c r="T130" s="54">
        <v>1040</v>
      </c>
      <c r="U130" s="54">
        <v>5940</v>
      </c>
      <c r="V130" s="54">
        <v>2400</v>
      </c>
      <c r="W130" s="54">
        <v>1020</v>
      </c>
      <c r="X130" s="54">
        <v>780</v>
      </c>
      <c r="Y130" s="15" t="s">
        <v>229</v>
      </c>
      <c r="Z130" s="4"/>
      <c r="AA130" s="4"/>
      <c r="AB130" s="4"/>
      <c r="AC130" s="4"/>
      <c r="AD130" s="4"/>
      <c r="AE130" s="4"/>
      <c r="AF130" s="4"/>
      <c r="AG130" s="4"/>
      <c r="AH130" s="4"/>
      <c r="AI130" s="4"/>
      <c r="AJ130" s="4"/>
    </row>
    <row r="131" spans="1:36" ht="56" x14ac:dyDescent="0.35">
      <c r="A131" s="71">
        <f t="shared" si="5"/>
        <v>8</v>
      </c>
      <c r="B131" s="21" t="s">
        <v>257</v>
      </c>
      <c r="C131" s="88" t="s">
        <v>225</v>
      </c>
      <c r="D131" s="88" t="s">
        <v>258</v>
      </c>
      <c r="E131" s="89">
        <v>16800</v>
      </c>
      <c r="F131" s="89">
        <v>5000</v>
      </c>
      <c r="G131" s="89">
        <v>2300</v>
      </c>
      <c r="H131" s="89">
        <v>2000</v>
      </c>
      <c r="I131" s="81">
        <v>8</v>
      </c>
      <c r="J131" s="83" t="str">
        <f>B131</f>
        <v>Đường ngõ 13 (Đường lên đồi tạp phẩm cũ)</v>
      </c>
      <c r="K131" s="73" t="str">
        <f>C131</f>
        <v>Đường 336</v>
      </c>
      <c r="L131" s="73" t="s">
        <v>259</v>
      </c>
      <c r="M131" s="89">
        <v>16800</v>
      </c>
      <c r="N131" s="89">
        <v>5000</v>
      </c>
      <c r="O131" s="89">
        <v>2300</v>
      </c>
      <c r="P131" s="89">
        <v>2000</v>
      </c>
      <c r="Q131" s="54">
        <v>10080</v>
      </c>
      <c r="R131" s="54">
        <v>3000</v>
      </c>
      <c r="S131" s="54">
        <v>1380</v>
      </c>
      <c r="T131" s="54">
        <v>1200</v>
      </c>
      <c r="U131" s="54">
        <v>6720</v>
      </c>
      <c r="V131" s="54">
        <v>2000</v>
      </c>
      <c r="W131" s="54">
        <v>920</v>
      </c>
      <c r="X131" s="54">
        <v>800</v>
      </c>
      <c r="Y131" s="15" t="s">
        <v>229</v>
      </c>
      <c r="Z131" s="4"/>
      <c r="AA131" s="4"/>
      <c r="AB131" s="4"/>
      <c r="AC131" s="4"/>
      <c r="AD131" s="4"/>
      <c r="AE131" s="4"/>
      <c r="AF131" s="4"/>
      <c r="AG131" s="4"/>
      <c r="AH131" s="4"/>
      <c r="AI131" s="4"/>
      <c r="AJ131" s="4"/>
    </row>
    <row r="132" spans="1:36" ht="54.25" customHeight="1" x14ac:dyDescent="0.35">
      <c r="A132" s="71">
        <f t="shared" si="5"/>
        <v>9</v>
      </c>
      <c r="B132" s="21" t="s">
        <v>260</v>
      </c>
      <c r="C132" s="88" t="s">
        <v>225</v>
      </c>
      <c r="D132" s="88" t="s">
        <v>261</v>
      </c>
      <c r="E132" s="89">
        <v>15300</v>
      </c>
      <c r="F132" s="89">
        <v>5500</v>
      </c>
      <c r="G132" s="89">
        <v>2300</v>
      </c>
      <c r="H132" s="89">
        <v>2000</v>
      </c>
      <c r="I132" s="81">
        <v>9</v>
      </c>
      <c r="J132" s="83" t="str">
        <f>B132</f>
        <v>Đường ngõ 17 (Đường vào đập nước cũ)</v>
      </c>
      <c r="K132" s="73" t="str">
        <f>C132</f>
        <v>Đường 336</v>
      </c>
      <c r="L132" s="73" t="s">
        <v>262</v>
      </c>
      <c r="M132" s="89">
        <v>15300</v>
      </c>
      <c r="N132" s="89">
        <v>5500</v>
      </c>
      <c r="O132" s="89">
        <v>2300</v>
      </c>
      <c r="P132" s="89">
        <v>2000</v>
      </c>
      <c r="Q132" s="54">
        <v>9180</v>
      </c>
      <c r="R132" s="54">
        <v>3300</v>
      </c>
      <c r="S132" s="54">
        <v>1380</v>
      </c>
      <c r="T132" s="54">
        <v>1200</v>
      </c>
      <c r="U132" s="54">
        <v>6120</v>
      </c>
      <c r="V132" s="54">
        <v>2200</v>
      </c>
      <c r="W132" s="54">
        <v>920</v>
      </c>
      <c r="X132" s="54">
        <v>800</v>
      </c>
      <c r="Y132" s="15" t="s">
        <v>229</v>
      </c>
      <c r="Z132" s="4"/>
      <c r="AA132" s="4"/>
      <c r="AB132" s="4"/>
      <c r="AC132" s="4"/>
      <c r="AD132" s="4"/>
      <c r="AE132" s="4"/>
      <c r="AF132" s="4"/>
      <c r="AG132" s="4"/>
      <c r="AH132" s="4"/>
      <c r="AI132" s="4"/>
      <c r="AJ132" s="4"/>
    </row>
    <row r="133" spans="1:36" ht="42" x14ac:dyDescent="0.35">
      <c r="A133" s="71">
        <f t="shared" si="5"/>
        <v>10</v>
      </c>
      <c r="B133" s="21" t="s">
        <v>263</v>
      </c>
      <c r="C133" s="88" t="s">
        <v>225</v>
      </c>
      <c r="D133" s="88" t="s">
        <v>264</v>
      </c>
      <c r="E133" s="89">
        <v>15300</v>
      </c>
      <c r="F133" s="89">
        <v>5000</v>
      </c>
      <c r="G133" s="89">
        <v>2300</v>
      </c>
      <c r="H133" s="89">
        <v>2000</v>
      </c>
      <c r="I133" s="81">
        <v>10</v>
      </c>
      <c r="J133" s="84" t="str">
        <f>B133</f>
        <v>Đường ngõ 18</v>
      </c>
      <c r="K133" s="73" t="str">
        <f>C133</f>
        <v>Đường 336</v>
      </c>
      <c r="L133" s="73" t="s">
        <v>265</v>
      </c>
      <c r="M133" s="89">
        <v>15300</v>
      </c>
      <c r="N133" s="89">
        <v>5000</v>
      </c>
      <c r="O133" s="89">
        <v>2300</v>
      </c>
      <c r="P133" s="89">
        <v>2000</v>
      </c>
      <c r="Q133" s="54">
        <v>9180</v>
      </c>
      <c r="R133" s="54">
        <v>3000</v>
      </c>
      <c r="S133" s="54">
        <v>1380</v>
      </c>
      <c r="T133" s="54">
        <v>1200</v>
      </c>
      <c r="U133" s="54">
        <v>6120</v>
      </c>
      <c r="V133" s="54">
        <v>2000</v>
      </c>
      <c r="W133" s="54">
        <v>920</v>
      </c>
      <c r="X133" s="54">
        <v>800</v>
      </c>
      <c r="Y133" s="15" t="s">
        <v>229</v>
      </c>
      <c r="Z133" s="4"/>
      <c r="AA133" s="4"/>
      <c r="AB133" s="4"/>
      <c r="AC133" s="4"/>
      <c r="AD133" s="4"/>
      <c r="AE133" s="4"/>
      <c r="AF133" s="4"/>
      <c r="AG133" s="4"/>
      <c r="AH133" s="4"/>
      <c r="AI133" s="4"/>
      <c r="AJ133" s="4"/>
    </row>
    <row r="134" spans="1:36" ht="56" x14ac:dyDescent="0.35">
      <c r="A134" s="71">
        <f t="shared" si="5"/>
        <v>16</v>
      </c>
      <c r="B134" s="21" t="s">
        <v>266</v>
      </c>
      <c r="C134" s="88" t="s">
        <v>36</v>
      </c>
      <c r="D134" s="88"/>
      <c r="E134" s="89">
        <v>21000</v>
      </c>
      <c r="F134" s="89"/>
      <c r="G134" s="89"/>
      <c r="H134" s="89"/>
      <c r="I134" s="81">
        <v>16</v>
      </c>
      <c r="J134" s="84" t="s">
        <v>1067</v>
      </c>
      <c r="K134" s="237"/>
      <c r="L134" s="237"/>
      <c r="M134" s="89">
        <v>21000</v>
      </c>
      <c r="N134" s="89"/>
      <c r="O134" s="89"/>
      <c r="P134" s="89"/>
      <c r="Q134" s="54">
        <v>12600</v>
      </c>
      <c r="R134" s="54"/>
      <c r="S134" s="54"/>
      <c r="T134" s="54"/>
      <c r="U134" s="54">
        <v>8400</v>
      </c>
      <c r="V134" s="54"/>
      <c r="W134" s="54"/>
      <c r="X134" s="54"/>
      <c r="Y134" s="15" t="s">
        <v>229</v>
      </c>
      <c r="Z134" s="4"/>
      <c r="AA134" s="4"/>
      <c r="AB134" s="4"/>
      <c r="AC134" s="4"/>
      <c r="AD134" s="4"/>
      <c r="AE134" s="4"/>
      <c r="AF134" s="4"/>
      <c r="AG134" s="4"/>
      <c r="AH134" s="4"/>
      <c r="AI134" s="4"/>
      <c r="AJ134" s="4"/>
    </row>
    <row r="135" spans="1:36" ht="42" x14ac:dyDescent="0.35">
      <c r="A135" s="71">
        <f t="shared" si="5"/>
        <v>18</v>
      </c>
      <c r="B135" s="21" t="s">
        <v>268</v>
      </c>
      <c r="C135" s="88" t="s">
        <v>269</v>
      </c>
      <c r="D135" s="88" t="s">
        <v>270</v>
      </c>
      <c r="E135" s="89">
        <v>11000</v>
      </c>
      <c r="F135" s="89">
        <v>4000</v>
      </c>
      <c r="G135" s="89">
        <v>2300</v>
      </c>
      <c r="H135" s="89">
        <v>2000</v>
      </c>
      <c r="I135" s="81">
        <v>18</v>
      </c>
      <c r="J135" s="84" t="s">
        <v>271</v>
      </c>
      <c r="K135" s="73" t="s">
        <v>272</v>
      </c>
      <c r="L135" s="73" t="s">
        <v>273</v>
      </c>
      <c r="M135" s="89">
        <v>11000</v>
      </c>
      <c r="N135" s="89">
        <v>4000</v>
      </c>
      <c r="O135" s="89">
        <v>2300</v>
      </c>
      <c r="P135" s="89">
        <v>2000</v>
      </c>
      <c r="Q135" s="54">
        <v>6600</v>
      </c>
      <c r="R135" s="54">
        <v>2400</v>
      </c>
      <c r="S135" s="54">
        <v>1380</v>
      </c>
      <c r="T135" s="54">
        <v>1200</v>
      </c>
      <c r="U135" s="54">
        <v>4400</v>
      </c>
      <c r="V135" s="54">
        <v>1600</v>
      </c>
      <c r="W135" s="54">
        <v>920</v>
      </c>
      <c r="X135" s="54">
        <v>800</v>
      </c>
      <c r="Y135" s="15" t="s">
        <v>229</v>
      </c>
      <c r="Z135" s="4"/>
      <c r="AA135" s="4"/>
      <c r="AB135" s="4"/>
      <c r="AC135" s="4"/>
      <c r="AD135" s="4"/>
      <c r="AE135" s="4"/>
      <c r="AF135" s="4"/>
      <c r="AG135" s="4"/>
      <c r="AH135" s="4"/>
      <c r="AI135" s="4"/>
      <c r="AJ135" s="4"/>
    </row>
    <row r="136" spans="1:36" ht="70" x14ac:dyDescent="0.35">
      <c r="A136" s="71">
        <f t="shared" si="5"/>
        <v>20</v>
      </c>
      <c r="B136" s="21" t="s">
        <v>274</v>
      </c>
      <c r="C136" s="88" t="s">
        <v>36</v>
      </c>
      <c r="D136" s="88"/>
      <c r="E136" s="89">
        <v>12000</v>
      </c>
      <c r="F136" s="253"/>
      <c r="G136" s="253"/>
      <c r="H136" s="253"/>
      <c r="I136" s="81">
        <v>20</v>
      </c>
      <c r="J136" s="84" t="s">
        <v>1068</v>
      </c>
      <c r="K136" s="73"/>
      <c r="L136" s="74"/>
      <c r="M136" s="89">
        <v>12000</v>
      </c>
      <c r="N136" s="253"/>
      <c r="O136" s="253"/>
      <c r="P136" s="253"/>
      <c r="Q136" s="54">
        <v>7200</v>
      </c>
      <c r="R136" s="54"/>
      <c r="S136" s="54"/>
      <c r="T136" s="54"/>
      <c r="U136" s="54">
        <v>4800</v>
      </c>
      <c r="V136" s="54"/>
      <c r="W136" s="54"/>
      <c r="X136" s="54"/>
      <c r="Y136" s="15" t="s">
        <v>229</v>
      </c>
      <c r="Z136" s="4"/>
      <c r="AA136" s="4"/>
      <c r="AB136" s="4"/>
      <c r="AC136" s="4"/>
      <c r="AD136" s="4"/>
      <c r="AE136" s="4"/>
      <c r="AF136" s="4"/>
      <c r="AG136" s="4"/>
      <c r="AH136" s="4"/>
      <c r="AI136" s="4"/>
      <c r="AJ136" s="4"/>
    </row>
    <row r="137" spans="1:36" ht="42" x14ac:dyDescent="0.35">
      <c r="A137" s="71">
        <f t="shared" si="5"/>
        <v>22</v>
      </c>
      <c r="B137" s="21" t="s">
        <v>276</v>
      </c>
      <c r="C137" s="88" t="s">
        <v>36</v>
      </c>
      <c r="D137" s="88"/>
      <c r="E137" s="89">
        <v>21600</v>
      </c>
      <c r="F137" s="253"/>
      <c r="G137" s="253"/>
      <c r="H137" s="253"/>
      <c r="I137" s="81">
        <v>22</v>
      </c>
      <c r="J137" s="84" t="s">
        <v>277</v>
      </c>
      <c r="K137" s="73"/>
      <c r="L137" s="74"/>
      <c r="M137" s="89">
        <v>21600</v>
      </c>
      <c r="N137" s="253"/>
      <c r="O137" s="253"/>
      <c r="P137" s="253"/>
      <c r="Q137" s="54">
        <v>12960</v>
      </c>
      <c r="R137" s="54"/>
      <c r="S137" s="54"/>
      <c r="T137" s="54"/>
      <c r="U137" s="54">
        <v>8640</v>
      </c>
      <c r="V137" s="261"/>
      <c r="W137" s="261"/>
      <c r="X137" s="34"/>
      <c r="Y137" s="15" t="s">
        <v>229</v>
      </c>
      <c r="Z137" s="4"/>
      <c r="AA137" s="4"/>
      <c r="AB137" s="4"/>
      <c r="AC137" s="4"/>
      <c r="AD137" s="4"/>
      <c r="AE137" s="4"/>
      <c r="AF137" s="4"/>
      <c r="AG137" s="4"/>
      <c r="AH137" s="4"/>
      <c r="AI137" s="4"/>
      <c r="AJ137" s="4"/>
    </row>
    <row r="138" spans="1:36" ht="58.15" customHeight="1" x14ac:dyDescent="0.35">
      <c r="A138" s="71">
        <f t="shared" si="5"/>
        <v>30</v>
      </c>
      <c r="B138" s="38" t="s">
        <v>278</v>
      </c>
      <c r="C138" s="237"/>
      <c r="D138" s="237"/>
      <c r="E138" s="18"/>
      <c r="F138" s="18"/>
      <c r="G138" s="18"/>
      <c r="H138" s="18"/>
      <c r="I138" s="71">
        <v>30</v>
      </c>
      <c r="J138" s="85" t="s">
        <v>278</v>
      </c>
      <c r="K138" s="73"/>
      <c r="L138" s="74"/>
      <c r="M138" s="18"/>
      <c r="N138" s="18"/>
      <c r="O138" s="18"/>
      <c r="P138" s="18"/>
      <c r="Q138" s="261"/>
      <c r="R138" s="261"/>
      <c r="S138" s="261"/>
      <c r="T138" s="261"/>
      <c r="U138" s="261"/>
      <c r="V138" s="261"/>
      <c r="W138" s="261"/>
      <c r="X138" s="34"/>
      <c r="Y138" s="15" t="s">
        <v>229</v>
      </c>
      <c r="Z138" s="4"/>
      <c r="AA138" s="4"/>
      <c r="AB138" s="4"/>
      <c r="AC138" s="4"/>
      <c r="AD138" s="4"/>
      <c r="AE138" s="4"/>
      <c r="AF138" s="4"/>
      <c r="AG138" s="4"/>
      <c r="AH138" s="4"/>
      <c r="AI138" s="4"/>
      <c r="AJ138" s="4"/>
    </row>
    <row r="139" spans="1:36" ht="58.15" customHeight="1" x14ac:dyDescent="0.35">
      <c r="A139" s="71">
        <f t="shared" si="5"/>
        <v>30.1</v>
      </c>
      <c r="B139" s="21" t="s">
        <v>279</v>
      </c>
      <c r="C139" s="88" t="s">
        <v>225</v>
      </c>
      <c r="D139" s="88" t="s">
        <v>280</v>
      </c>
      <c r="E139" s="89">
        <v>24800</v>
      </c>
      <c r="F139" s="89">
        <v>8000</v>
      </c>
      <c r="G139" s="89">
        <v>4400</v>
      </c>
      <c r="H139" s="89">
        <v>2000</v>
      </c>
      <c r="I139" s="71">
        <v>30.1</v>
      </c>
      <c r="J139" s="85" t="s">
        <v>278</v>
      </c>
      <c r="K139" s="73" t="s">
        <v>225</v>
      </c>
      <c r="L139" s="73" t="s">
        <v>281</v>
      </c>
      <c r="M139" s="89">
        <v>24800</v>
      </c>
      <c r="N139" s="89">
        <v>8000</v>
      </c>
      <c r="O139" s="89">
        <v>4400</v>
      </c>
      <c r="P139" s="89">
        <v>2000</v>
      </c>
      <c r="Q139" s="54">
        <v>14880</v>
      </c>
      <c r="R139" s="54">
        <v>4800</v>
      </c>
      <c r="S139" s="54">
        <v>2640</v>
      </c>
      <c r="T139" s="54">
        <v>1200</v>
      </c>
      <c r="U139" s="54">
        <v>9920</v>
      </c>
      <c r="V139" s="54">
        <v>3360</v>
      </c>
      <c r="W139" s="54">
        <v>1760</v>
      </c>
      <c r="X139" s="54">
        <v>800</v>
      </c>
      <c r="Y139" s="15" t="s">
        <v>229</v>
      </c>
      <c r="Z139" s="4"/>
      <c r="AA139" s="4"/>
      <c r="AB139" s="4"/>
      <c r="AC139" s="4"/>
      <c r="AD139" s="4"/>
      <c r="AE139" s="4"/>
      <c r="AF139" s="4"/>
      <c r="AG139" s="4"/>
      <c r="AH139" s="4"/>
      <c r="AI139" s="4"/>
      <c r="AJ139" s="4"/>
    </row>
    <row r="140" spans="1:36" ht="58.15" customHeight="1" x14ac:dyDescent="0.35">
      <c r="A140" s="71">
        <f t="shared" si="5"/>
        <v>30.2</v>
      </c>
      <c r="B140" s="21" t="s">
        <v>279</v>
      </c>
      <c r="C140" s="88" t="s">
        <v>282</v>
      </c>
      <c r="D140" s="88" t="s">
        <v>283</v>
      </c>
      <c r="E140" s="89">
        <v>8000</v>
      </c>
      <c r="F140" s="89">
        <v>2800</v>
      </c>
      <c r="G140" s="89">
        <v>1800</v>
      </c>
      <c r="H140" s="89">
        <v>1600</v>
      </c>
      <c r="I140" s="81">
        <v>30.2</v>
      </c>
      <c r="J140" s="85" t="s">
        <v>278</v>
      </c>
      <c r="K140" s="73" t="s">
        <v>284</v>
      </c>
      <c r="L140" s="73" t="str">
        <f>D140</f>
        <v>Giáp phường Cao Xanh</v>
      </c>
      <c r="M140" s="89">
        <v>8000</v>
      </c>
      <c r="N140" s="89">
        <v>2800</v>
      </c>
      <c r="O140" s="89">
        <v>1800</v>
      </c>
      <c r="P140" s="89">
        <v>1600</v>
      </c>
      <c r="Q140" s="54">
        <v>4800</v>
      </c>
      <c r="R140" s="54">
        <v>1680</v>
      </c>
      <c r="S140" s="54">
        <v>1080</v>
      </c>
      <c r="T140" s="54">
        <v>960</v>
      </c>
      <c r="U140" s="54">
        <v>3200</v>
      </c>
      <c r="V140" s="54">
        <v>1120</v>
      </c>
      <c r="W140" s="54">
        <v>720</v>
      </c>
      <c r="X140" s="54">
        <v>640</v>
      </c>
      <c r="Y140" s="15" t="s">
        <v>229</v>
      </c>
      <c r="Z140" s="4"/>
      <c r="AA140" s="4"/>
      <c r="AB140" s="4"/>
      <c r="AC140" s="4"/>
      <c r="AD140" s="4"/>
      <c r="AE140" s="4"/>
      <c r="AF140" s="4"/>
      <c r="AG140" s="4"/>
      <c r="AH140" s="4"/>
      <c r="AI140" s="4"/>
      <c r="AJ140" s="4"/>
    </row>
    <row r="141" spans="1:36" ht="58.15" customHeight="1" x14ac:dyDescent="0.35">
      <c r="A141" s="71">
        <f t="shared" si="5"/>
        <v>42</v>
      </c>
      <c r="B141" s="21" t="s">
        <v>285</v>
      </c>
      <c r="C141" s="88" t="s">
        <v>225</v>
      </c>
      <c r="D141" s="88" t="s">
        <v>286</v>
      </c>
      <c r="E141" s="89">
        <v>7400</v>
      </c>
      <c r="F141" s="89"/>
      <c r="G141" s="89"/>
      <c r="H141" s="89"/>
      <c r="I141" s="81">
        <v>42</v>
      </c>
      <c r="J141" s="86" t="str">
        <f>B141</f>
        <v>Đường Khu tự xây Trường Nguyễn Bá Ngọc</v>
      </c>
      <c r="K141" s="73" t="s">
        <v>287</v>
      </c>
      <c r="L141" s="73" t="s">
        <v>288</v>
      </c>
      <c r="M141" s="89">
        <v>7400</v>
      </c>
      <c r="N141" s="89"/>
      <c r="O141" s="89"/>
      <c r="P141" s="89"/>
      <c r="Q141" s="54">
        <v>4440</v>
      </c>
      <c r="R141" s="54"/>
      <c r="S141" s="54"/>
      <c r="T141" s="54"/>
      <c r="U141" s="54">
        <v>2960</v>
      </c>
      <c r="V141" s="54"/>
      <c r="W141" s="54"/>
      <c r="X141" s="54"/>
      <c r="Y141" s="15" t="s">
        <v>229</v>
      </c>
      <c r="Z141" s="4"/>
      <c r="AA141" s="4"/>
      <c r="AB141" s="4"/>
      <c r="AC141" s="4"/>
      <c r="AD141" s="4"/>
      <c r="AE141" s="4"/>
      <c r="AF141" s="4"/>
      <c r="AG141" s="4"/>
      <c r="AH141" s="4"/>
      <c r="AI141" s="4"/>
      <c r="AJ141" s="4"/>
    </row>
    <row r="142" spans="1:36" ht="58.15" customHeight="1" x14ac:dyDescent="0.35">
      <c r="A142" s="71">
        <f t="shared" si="5"/>
        <v>43</v>
      </c>
      <c r="B142" s="87" t="s">
        <v>289</v>
      </c>
      <c r="C142" s="237"/>
      <c r="D142" s="237"/>
      <c r="E142" s="58"/>
      <c r="F142" s="58"/>
      <c r="G142" s="58"/>
      <c r="H142" s="58"/>
      <c r="I142" s="81">
        <v>43</v>
      </c>
      <c r="J142" s="86" t="str">
        <f>B142</f>
        <v>Đường vào Lán 14</v>
      </c>
      <c r="K142" s="73"/>
      <c r="L142" s="73"/>
      <c r="M142" s="58"/>
      <c r="N142" s="58"/>
      <c r="O142" s="58"/>
      <c r="P142" s="58"/>
      <c r="Q142" s="261"/>
      <c r="R142" s="261"/>
      <c r="S142" s="261"/>
      <c r="T142" s="261"/>
      <c r="U142" s="261"/>
      <c r="V142" s="261"/>
      <c r="W142" s="261"/>
      <c r="X142" s="34"/>
      <c r="Y142" s="15" t="s">
        <v>229</v>
      </c>
      <c r="Z142" s="4"/>
      <c r="AA142" s="4"/>
      <c r="AB142" s="4"/>
      <c r="AC142" s="4"/>
      <c r="AD142" s="4"/>
      <c r="AE142" s="4"/>
      <c r="AF142" s="4"/>
      <c r="AG142" s="4"/>
      <c r="AH142" s="4"/>
      <c r="AI142" s="4"/>
      <c r="AJ142" s="4"/>
    </row>
    <row r="143" spans="1:36" ht="58.15" customHeight="1" x14ac:dyDescent="0.35">
      <c r="A143" s="71">
        <f t="shared" si="5"/>
        <v>43.1</v>
      </c>
      <c r="B143" s="21" t="s">
        <v>289</v>
      </c>
      <c r="C143" s="88" t="s">
        <v>225</v>
      </c>
      <c r="D143" s="88" t="s">
        <v>290</v>
      </c>
      <c r="E143" s="89">
        <v>8700</v>
      </c>
      <c r="F143" s="89">
        <v>3200</v>
      </c>
      <c r="G143" s="89">
        <v>1600</v>
      </c>
      <c r="H143" s="89">
        <v>1200</v>
      </c>
      <c r="I143" s="81">
        <v>43.1</v>
      </c>
      <c r="J143" s="86" t="str">
        <f t="shared" ref="J143:J147" si="7">B143</f>
        <v>Đường vào Lán 14</v>
      </c>
      <c r="K143" s="73" t="s">
        <v>225</v>
      </c>
      <c r="L143" s="73" t="s">
        <v>291</v>
      </c>
      <c r="M143" s="89">
        <v>8700</v>
      </c>
      <c r="N143" s="89">
        <v>3200</v>
      </c>
      <c r="O143" s="89">
        <v>1600</v>
      </c>
      <c r="P143" s="89">
        <v>1200</v>
      </c>
      <c r="Q143" s="54">
        <v>5220</v>
      </c>
      <c r="R143" s="54">
        <v>1920</v>
      </c>
      <c r="S143" s="54">
        <v>960</v>
      </c>
      <c r="T143" s="54">
        <v>720</v>
      </c>
      <c r="U143" s="54">
        <v>3480</v>
      </c>
      <c r="V143" s="54">
        <v>1280</v>
      </c>
      <c r="W143" s="54">
        <v>640</v>
      </c>
      <c r="X143" s="54">
        <v>540</v>
      </c>
      <c r="Y143" s="15" t="s">
        <v>229</v>
      </c>
      <c r="Z143" s="4"/>
      <c r="AA143" s="4"/>
      <c r="AB143" s="4"/>
      <c r="AC143" s="4"/>
      <c r="AD143" s="4"/>
      <c r="AE143" s="4"/>
      <c r="AF143" s="4"/>
      <c r="AG143" s="4"/>
      <c r="AH143" s="4"/>
      <c r="AI143" s="4"/>
      <c r="AJ143" s="4"/>
    </row>
    <row r="144" spans="1:36" ht="58.15" customHeight="1" x14ac:dyDescent="0.35">
      <c r="A144" s="71">
        <f t="shared" si="5"/>
        <v>43.2</v>
      </c>
      <c r="B144" s="21" t="s">
        <v>289</v>
      </c>
      <c r="C144" s="88" t="s">
        <v>290</v>
      </c>
      <c r="D144" s="88" t="s">
        <v>292</v>
      </c>
      <c r="E144" s="89">
        <v>6500</v>
      </c>
      <c r="F144" s="89">
        <v>2300</v>
      </c>
      <c r="G144" s="89">
        <v>1600</v>
      </c>
      <c r="H144" s="89">
        <v>1200</v>
      </c>
      <c r="I144" s="81">
        <v>43.2</v>
      </c>
      <c r="J144" s="86" t="str">
        <f t="shared" si="7"/>
        <v>Đường vào Lán 14</v>
      </c>
      <c r="K144" s="73" t="s">
        <v>291</v>
      </c>
      <c r="L144" s="73" t="s">
        <v>293</v>
      </c>
      <c r="M144" s="89">
        <v>6500</v>
      </c>
      <c r="N144" s="89">
        <v>2300</v>
      </c>
      <c r="O144" s="89">
        <v>1600</v>
      </c>
      <c r="P144" s="89">
        <v>1200</v>
      </c>
      <c r="Q144" s="54">
        <v>3900</v>
      </c>
      <c r="R144" s="54">
        <v>1380</v>
      </c>
      <c r="S144" s="54">
        <v>960</v>
      </c>
      <c r="T144" s="54">
        <v>720</v>
      </c>
      <c r="U144" s="54">
        <v>2600</v>
      </c>
      <c r="V144" s="54">
        <v>920</v>
      </c>
      <c r="W144" s="54">
        <v>640</v>
      </c>
      <c r="X144" s="54">
        <v>480</v>
      </c>
      <c r="Y144" s="15" t="s">
        <v>229</v>
      </c>
      <c r="Z144" s="4"/>
      <c r="AA144" s="4"/>
      <c r="AB144" s="4"/>
      <c r="AC144" s="4"/>
      <c r="AD144" s="4"/>
      <c r="AE144" s="4"/>
      <c r="AF144" s="4"/>
      <c r="AG144" s="4"/>
      <c r="AH144" s="4"/>
      <c r="AI144" s="4"/>
      <c r="AJ144" s="4"/>
    </row>
    <row r="145" spans="1:36" ht="58.15" customHeight="1" x14ac:dyDescent="0.35">
      <c r="A145" s="71">
        <f t="shared" si="5"/>
        <v>45.1</v>
      </c>
      <c r="B145" s="21" t="s">
        <v>294</v>
      </c>
      <c r="C145" s="88" t="s">
        <v>225</v>
      </c>
      <c r="D145" s="88" t="s">
        <v>295</v>
      </c>
      <c r="E145" s="89">
        <v>7800</v>
      </c>
      <c r="F145" s="89"/>
      <c r="G145" s="89"/>
      <c r="H145" s="89"/>
      <c r="I145" s="71">
        <v>45.1</v>
      </c>
      <c r="J145" s="86" t="str">
        <f t="shared" si="7"/>
        <v>Dãy bám đường đoạn từ đường 366 đến nhà văn hóa khu 1 (Bên phải tuyến đến hết thửa 113 TBĐ 68)</v>
      </c>
      <c r="K145" s="73" t="s">
        <v>225</v>
      </c>
      <c r="L145" s="73" t="s">
        <v>296</v>
      </c>
      <c r="M145" s="89"/>
      <c r="N145" s="89"/>
      <c r="O145" s="89"/>
      <c r="P145" s="58"/>
      <c r="Q145" s="265">
        <v>4680</v>
      </c>
      <c r="R145" s="265"/>
      <c r="S145" s="265"/>
      <c r="T145" s="265"/>
      <c r="U145" s="265">
        <v>3120</v>
      </c>
      <c r="V145" s="265"/>
      <c r="W145" s="265"/>
      <c r="X145" s="265"/>
      <c r="Y145" s="15" t="s">
        <v>229</v>
      </c>
      <c r="Z145" s="4"/>
      <c r="AA145" s="4"/>
      <c r="AB145" s="4"/>
      <c r="AC145" s="4"/>
      <c r="AD145" s="4"/>
      <c r="AE145" s="4"/>
      <c r="AF145" s="4"/>
      <c r="AG145" s="4"/>
      <c r="AH145" s="4"/>
      <c r="AI145" s="4"/>
      <c r="AJ145" s="4"/>
    </row>
    <row r="146" spans="1:36" ht="58.15" customHeight="1" x14ac:dyDescent="0.35">
      <c r="A146" s="71">
        <f t="shared" si="5"/>
        <v>48</v>
      </c>
      <c r="B146" s="21" t="s">
        <v>297</v>
      </c>
      <c r="C146" s="88" t="s">
        <v>298</v>
      </c>
      <c r="D146" s="88" t="s">
        <v>299</v>
      </c>
      <c r="E146" s="89">
        <v>7400</v>
      </c>
      <c r="F146" s="89">
        <v>5200</v>
      </c>
      <c r="G146" s="89">
        <v>2300</v>
      </c>
      <c r="H146" s="89">
        <v>1200</v>
      </c>
      <c r="I146" s="81">
        <v>48</v>
      </c>
      <c r="J146" s="84" t="str">
        <f t="shared" si="7"/>
        <v>Đường vào khu tập thể Gia Binh</v>
      </c>
      <c r="K146" s="90" t="s">
        <v>298</v>
      </c>
      <c r="L146" s="90" t="s">
        <v>300</v>
      </c>
      <c r="M146" s="89">
        <v>7400</v>
      </c>
      <c r="N146" s="89">
        <v>5200</v>
      </c>
      <c r="O146" s="89">
        <v>2300</v>
      </c>
      <c r="P146" s="89">
        <v>1200</v>
      </c>
      <c r="Q146" s="54">
        <v>4440</v>
      </c>
      <c r="R146" s="54">
        <v>3120</v>
      </c>
      <c r="S146" s="54">
        <v>1380</v>
      </c>
      <c r="T146" s="54">
        <v>720</v>
      </c>
      <c r="U146" s="54">
        <v>3240</v>
      </c>
      <c r="V146" s="54">
        <v>2160</v>
      </c>
      <c r="W146" s="54">
        <v>920</v>
      </c>
      <c r="X146" s="54">
        <v>480</v>
      </c>
      <c r="Y146" s="15" t="s">
        <v>229</v>
      </c>
      <c r="Z146" s="4"/>
      <c r="AA146" s="4"/>
      <c r="AB146" s="4"/>
      <c r="AC146" s="4"/>
      <c r="AD146" s="4"/>
      <c r="AE146" s="4"/>
      <c r="AF146" s="4"/>
      <c r="AG146" s="4"/>
      <c r="AH146" s="4"/>
      <c r="AI146" s="4"/>
      <c r="AJ146" s="4"/>
    </row>
    <row r="147" spans="1:36" ht="58.15" customHeight="1" x14ac:dyDescent="0.35">
      <c r="A147" s="71">
        <f t="shared" si="5"/>
        <v>49</v>
      </c>
      <c r="B147" s="21" t="s">
        <v>301</v>
      </c>
      <c r="C147" s="88" t="s">
        <v>302</v>
      </c>
      <c r="D147" s="88" t="s">
        <v>303</v>
      </c>
      <c r="E147" s="89">
        <v>3400</v>
      </c>
      <c r="F147" s="253"/>
      <c r="G147" s="253"/>
      <c r="H147" s="253"/>
      <c r="I147" s="81">
        <v>49</v>
      </c>
      <c r="J147" s="84" t="str">
        <f t="shared" si="7"/>
        <v>Đường khu dân cư tổ 47 (Cạnh trường mầm non Hà Trung)</v>
      </c>
      <c r="K147" s="90" t="s">
        <v>304</v>
      </c>
      <c r="L147" s="90" t="s">
        <v>305</v>
      </c>
      <c r="M147" s="89">
        <v>3400</v>
      </c>
      <c r="N147" s="253"/>
      <c r="O147" s="253"/>
      <c r="P147" s="253"/>
      <c r="Q147" s="54">
        <v>2040</v>
      </c>
      <c r="R147" s="54"/>
      <c r="S147" s="54"/>
      <c r="T147" s="54"/>
      <c r="U147" s="54">
        <v>1360</v>
      </c>
      <c r="V147" s="54"/>
      <c r="W147" s="54"/>
      <c r="X147" s="54"/>
      <c r="Y147" s="15" t="s">
        <v>229</v>
      </c>
      <c r="Z147" s="4"/>
      <c r="AA147" s="4"/>
      <c r="AB147" s="4"/>
      <c r="AC147" s="4"/>
      <c r="AD147" s="4"/>
      <c r="AE147" s="4"/>
      <c r="AF147" s="4"/>
      <c r="AG147" s="4"/>
      <c r="AH147" s="4"/>
      <c r="AI147" s="4"/>
      <c r="AJ147" s="4"/>
    </row>
    <row r="148" spans="1:36" hidden="1" x14ac:dyDescent="0.35">
      <c r="A148" s="51">
        <v>41</v>
      </c>
      <c r="B148" s="52" t="s">
        <v>306</v>
      </c>
      <c r="C148" s="259"/>
      <c r="D148" s="259"/>
      <c r="E148" s="261"/>
      <c r="F148" s="261"/>
      <c r="G148" s="261"/>
      <c r="H148" s="261"/>
      <c r="I148" s="51">
        <v>41</v>
      </c>
      <c r="J148" s="52" t="s">
        <v>306</v>
      </c>
      <c r="K148" s="237"/>
      <c r="L148" s="237"/>
      <c r="M148" s="261"/>
      <c r="N148" s="261"/>
      <c r="O148" s="261"/>
      <c r="P148" s="261"/>
      <c r="Q148" s="261"/>
      <c r="R148" s="261"/>
      <c r="S148" s="261"/>
      <c r="T148" s="261"/>
      <c r="U148" s="261"/>
      <c r="V148" s="261"/>
      <c r="W148" s="261"/>
      <c r="X148" s="34"/>
      <c r="Y148" s="13" t="s">
        <v>307</v>
      </c>
      <c r="Z148" s="4"/>
      <c r="AA148" s="4"/>
      <c r="AB148" s="4"/>
      <c r="AC148" s="4"/>
      <c r="AD148" s="4"/>
      <c r="AE148" s="4"/>
      <c r="AF148" s="4"/>
      <c r="AG148" s="4"/>
      <c r="AH148" s="4"/>
      <c r="AI148" s="4"/>
      <c r="AJ148" s="4"/>
    </row>
    <row r="149" spans="1:36" x14ac:dyDescent="0.35">
      <c r="A149" s="51">
        <v>42</v>
      </c>
      <c r="B149" s="52" t="s">
        <v>308</v>
      </c>
      <c r="C149" s="259"/>
      <c r="D149" s="259"/>
      <c r="E149" s="261"/>
      <c r="F149" s="261"/>
      <c r="G149" s="261"/>
      <c r="H149" s="261"/>
      <c r="I149" s="51">
        <v>42</v>
      </c>
      <c r="J149" s="52" t="s">
        <v>308</v>
      </c>
      <c r="K149" s="237"/>
      <c r="L149" s="237"/>
      <c r="M149" s="261"/>
      <c r="N149" s="261"/>
      <c r="O149" s="261"/>
      <c r="P149" s="261"/>
      <c r="Q149" s="261"/>
      <c r="R149" s="261"/>
      <c r="S149" s="261"/>
      <c r="T149" s="261"/>
      <c r="U149" s="261"/>
      <c r="V149" s="261"/>
      <c r="W149" s="261"/>
      <c r="X149" s="34"/>
      <c r="Y149" s="38"/>
      <c r="Z149" s="4"/>
      <c r="AA149" s="4"/>
      <c r="AB149" s="4"/>
      <c r="AC149" s="4"/>
      <c r="AD149" s="4"/>
      <c r="AE149" s="4"/>
      <c r="AF149" s="4"/>
      <c r="AG149" s="4"/>
      <c r="AH149" s="4"/>
      <c r="AI149" s="4"/>
      <c r="AJ149" s="4"/>
    </row>
    <row r="150" spans="1:36" x14ac:dyDescent="0.35">
      <c r="A150" s="51"/>
      <c r="B150" s="52"/>
      <c r="C150" s="259"/>
      <c r="D150" s="259"/>
      <c r="E150" s="261"/>
      <c r="F150" s="261"/>
      <c r="G150" s="261"/>
      <c r="H150" s="261"/>
      <c r="I150" s="51"/>
      <c r="J150" s="52" t="s">
        <v>1078</v>
      </c>
      <c r="K150" s="237"/>
      <c r="L150" s="237"/>
      <c r="M150" s="261"/>
      <c r="N150" s="261"/>
      <c r="O150" s="261"/>
      <c r="P150" s="261"/>
      <c r="Q150" s="261"/>
      <c r="R150" s="261"/>
      <c r="S150" s="261"/>
      <c r="T150" s="261"/>
      <c r="U150" s="261"/>
      <c r="V150" s="261"/>
      <c r="W150" s="261"/>
      <c r="X150" s="34"/>
      <c r="Y150" s="38"/>
      <c r="Z150" s="4"/>
      <c r="AA150" s="4"/>
      <c r="AB150" s="4"/>
      <c r="AC150" s="4"/>
      <c r="AD150" s="4"/>
      <c r="AE150" s="4"/>
      <c r="AF150" s="4"/>
      <c r="AG150" s="4"/>
      <c r="AH150" s="4"/>
      <c r="AI150" s="4"/>
      <c r="AJ150" s="4"/>
    </row>
    <row r="151" spans="1:36" ht="103" customHeight="1" x14ac:dyDescent="0.35">
      <c r="A151" s="19" t="s">
        <v>309</v>
      </c>
      <c r="B151" s="38" t="s">
        <v>310</v>
      </c>
      <c r="C151" s="237" t="s">
        <v>311</v>
      </c>
      <c r="D151" s="237" t="s">
        <v>312</v>
      </c>
      <c r="E151" s="91">
        <v>31000</v>
      </c>
      <c r="F151" s="91">
        <v>8000</v>
      </c>
      <c r="G151" s="91">
        <v>4300</v>
      </c>
      <c r="H151" s="91">
        <v>2900</v>
      </c>
      <c r="I151" s="91" t="s">
        <v>309</v>
      </c>
      <c r="J151" s="38" t="s">
        <v>310</v>
      </c>
      <c r="K151" s="237" t="s">
        <v>311</v>
      </c>
      <c r="L151" s="237" t="s">
        <v>313</v>
      </c>
      <c r="M151" s="91">
        <v>31000</v>
      </c>
      <c r="N151" s="91">
        <v>8000</v>
      </c>
      <c r="O151" s="91">
        <v>4300</v>
      </c>
      <c r="P151" s="91">
        <v>2900</v>
      </c>
      <c r="Q151" s="54">
        <v>18600</v>
      </c>
      <c r="R151" s="54">
        <v>4800</v>
      </c>
      <c r="S151" s="54">
        <v>2580</v>
      </c>
      <c r="T151" s="54">
        <v>1740</v>
      </c>
      <c r="U151" s="54">
        <v>12400</v>
      </c>
      <c r="V151" s="54">
        <v>3200</v>
      </c>
      <c r="W151" s="54">
        <v>1720</v>
      </c>
      <c r="X151" s="54">
        <v>1160</v>
      </c>
      <c r="Y151" s="38" t="s">
        <v>314</v>
      </c>
      <c r="Z151" s="4"/>
      <c r="AA151" s="4"/>
      <c r="AB151" s="4"/>
      <c r="AC151" s="4"/>
      <c r="AD151" s="4"/>
      <c r="AE151" s="4"/>
      <c r="AF151" s="4"/>
      <c r="AG151" s="4"/>
      <c r="AH151" s="4"/>
      <c r="AI151" s="4"/>
      <c r="AJ151" s="4"/>
    </row>
    <row r="152" spans="1:36" ht="70" x14ac:dyDescent="0.35">
      <c r="A152" s="19" t="s">
        <v>185</v>
      </c>
      <c r="B152" s="38" t="s">
        <v>310</v>
      </c>
      <c r="C152" s="237" t="s">
        <v>312</v>
      </c>
      <c r="D152" s="237" t="s">
        <v>315</v>
      </c>
      <c r="E152" s="91">
        <v>19000</v>
      </c>
      <c r="F152" s="91">
        <v>7000</v>
      </c>
      <c r="G152" s="91">
        <v>3700</v>
      </c>
      <c r="H152" s="91">
        <v>2700</v>
      </c>
      <c r="I152" s="91" t="s">
        <v>185</v>
      </c>
      <c r="J152" s="38" t="s">
        <v>310</v>
      </c>
      <c r="K152" s="91" t="s">
        <v>316</v>
      </c>
      <c r="L152" s="91" t="s">
        <v>317</v>
      </c>
      <c r="M152" s="91">
        <v>19000</v>
      </c>
      <c r="N152" s="91">
        <v>7000</v>
      </c>
      <c r="O152" s="91">
        <v>3700</v>
      </c>
      <c r="P152" s="91">
        <v>2700</v>
      </c>
      <c r="Q152" s="54">
        <v>11400</v>
      </c>
      <c r="R152" s="54">
        <v>4200</v>
      </c>
      <c r="S152" s="54">
        <v>2220</v>
      </c>
      <c r="T152" s="54">
        <v>1620</v>
      </c>
      <c r="U152" s="54">
        <v>7600</v>
      </c>
      <c r="V152" s="54">
        <v>2800</v>
      </c>
      <c r="W152" s="54">
        <v>1480</v>
      </c>
      <c r="X152" s="54">
        <v>1080</v>
      </c>
      <c r="Y152" s="38" t="s">
        <v>314</v>
      </c>
      <c r="Z152" s="4"/>
      <c r="AA152" s="4"/>
      <c r="AB152" s="4"/>
      <c r="AC152" s="4"/>
      <c r="AD152" s="4"/>
      <c r="AE152" s="4"/>
      <c r="AF152" s="4"/>
      <c r="AG152" s="4"/>
      <c r="AH152" s="4"/>
      <c r="AI152" s="4"/>
      <c r="AJ152" s="4"/>
    </row>
    <row r="153" spans="1:36" ht="42" x14ac:dyDescent="0.35">
      <c r="A153" s="19" t="s">
        <v>318</v>
      </c>
      <c r="B153" s="38" t="s">
        <v>310</v>
      </c>
      <c r="C153" s="237" t="s">
        <v>319</v>
      </c>
      <c r="D153" s="237" t="s">
        <v>320</v>
      </c>
      <c r="E153" s="91">
        <v>20000</v>
      </c>
      <c r="F153" s="91">
        <v>7000</v>
      </c>
      <c r="G153" s="91">
        <v>3500</v>
      </c>
      <c r="H153" s="91">
        <v>2700</v>
      </c>
      <c r="I153" s="91" t="s">
        <v>318</v>
      </c>
      <c r="J153" s="38" t="s">
        <v>310</v>
      </c>
      <c r="K153" s="91" t="s">
        <v>321</v>
      </c>
      <c r="L153" s="237" t="s">
        <v>322</v>
      </c>
      <c r="M153" s="91">
        <v>20000</v>
      </c>
      <c r="N153" s="91">
        <v>7000</v>
      </c>
      <c r="O153" s="91">
        <v>3500</v>
      </c>
      <c r="P153" s="91">
        <v>2700</v>
      </c>
      <c r="Q153" s="54">
        <v>12000</v>
      </c>
      <c r="R153" s="54">
        <v>4200</v>
      </c>
      <c r="S153" s="54">
        <v>2100</v>
      </c>
      <c r="T153" s="54">
        <v>1620</v>
      </c>
      <c r="U153" s="54">
        <v>8000</v>
      </c>
      <c r="V153" s="54">
        <v>2800</v>
      </c>
      <c r="W153" s="54">
        <v>1400</v>
      </c>
      <c r="X153" s="54">
        <v>1080</v>
      </c>
      <c r="Y153" s="38" t="s">
        <v>314</v>
      </c>
      <c r="Z153" s="4"/>
      <c r="AA153" s="4"/>
      <c r="AB153" s="4"/>
      <c r="AC153" s="4"/>
      <c r="AD153" s="4"/>
      <c r="AE153" s="4"/>
      <c r="AF153" s="4"/>
      <c r="AG153" s="4"/>
      <c r="AH153" s="4"/>
      <c r="AI153" s="4"/>
      <c r="AJ153" s="4"/>
    </row>
    <row r="154" spans="1:36" hidden="1" x14ac:dyDescent="0.35">
      <c r="A154" s="19" t="s">
        <v>323</v>
      </c>
      <c r="B154" s="38" t="s">
        <v>324</v>
      </c>
      <c r="C154" s="237"/>
      <c r="D154" s="237"/>
      <c r="E154" s="91"/>
      <c r="F154" s="91"/>
      <c r="G154" s="91"/>
      <c r="H154" s="91"/>
      <c r="I154" s="91"/>
      <c r="J154" s="91"/>
      <c r="K154" s="91"/>
      <c r="L154" s="91"/>
      <c r="M154" s="91"/>
      <c r="N154" s="91"/>
      <c r="O154" s="91"/>
      <c r="P154" s="91"/>
      <c r="Q154" s="54"/>
      <c r="R154" s="54"/>
      <c r="S154" s="54"/>
      <c r="T154" s="54"/>
      <c r="U154" s="54"/>
      <c r="V154" s="54"/>
      <c r="W154" s="54"/>
      <c r="X154" s="54"/>
      <c r="Y154" s="38"/>
      <c r="Z154" s="4"/>
      <c r="AA154" s="4"/>
      <c r="AB154" s="4"/>
      <c r="AC154" s="4"/>
      <c r="AD154" s="4"/>
      <c r="AE154" s="4"/>
      <c r="AF154" s="4"/>
      <c r="AG154" s="4"/>
      <c r="AH154" s="4"/>
      <c r="AI154" s="4"/>
      <c r="AJ154" s="4"/>
    </row>
    <row r="155" spans="1:36" ht="70" x14ac:dyDescent="0.35">
      <c r="A155" s="19" t="s">
        <v>209</v>
      </c>
      <c r="B155" s="38" t="s">
        <v>324</v>
      </c>
      <c r="C155" s="60" t="s">
        <v>315</v>
      </c>
      <c r="D155" s="237" t="s">
        <v>325</v>
      </c>
      <c r="E155" s="91">
        <v>12000</v>
      </c>
      <c r="F155" s="91">
        <v>4000</v>
      </c>
      <c r="G155" s="91">
        <v>37000</v>
      </c>
      <c r="H155" s="91">
        <v>27000</v>
      </c>
      <c r="I155" s="91" t="s">
        <v>209</v>
      </c>
      <c r="J155" s="38" t="s">
        <v>324</v>
      </c>
      <c r="K155" s="60" t="s">
        <v>326</v>
      </c>
      <c r="L155" s="237" t="s">
        <v>325</v>
      </c>
      <c r="M155" s="91">
        <v>12000</v>
      </c>
      <c r="N155" s="91">
        <v>4000</v>
      </c>
      <c r="O155" s="91">
        <v>37000</v>
      </c>
      <c r="P155" s="91">
        <v>27000</v>
      </c>
      <c r="Q155" s="54">
        <v>7200</v>
      </c>
      <c r="R155" s="54">
        <v>2400</v>
      </c>
      <c r="S155" s="54">
        <v>2220</v>
      </c>
      <c r="T155" s="54">
        <v>1620</v>
      </c>
      <c r="U155" s="54">
        <v>4800</v>
      </c>
      <c r="V155" s="54">
        <v>1600</v>
      </c>
      <c r="W155" s="54">
        <v>1480</v>
      </c>
      <c r="X155" s="54">
        <v>1080</v>
      </c>
      <c r="Y155" s="38" t="s">
        <v>314</v>
      </c>
      <c r="Z155" s="4"/>
      <c r="AA155" s="4"/>
      <c r="AB155" s="4"/>
      <c r="AC155" s="4"/>
      <c r="AD155" s="4"/>
      <c r="AE155" s="4"/>
      <c r="AF155" s="4"/>
      <c r="AG155" s="4"/>
      <c r="AH155" s="4"/>
      <c r="AI155" s="4"/>
      <c r="AJ155" s="4"/>
    </row>
    <row r="156" spans="1:36" ht="84" x14ac:dyDescent="0.35">
      <c r="A156" s="19" t="s">
        <v>211</v>
      </c>
      <c r="B156" s="38" t="s">
        <v>324</v>
      </c>
      <c r="C156" s="237" t="s">
        <v>327</v>
      </c>
      <c r="D156" s="237" t="s">
        <v>328</v>
      </c>
      <c r="E156" s="91">
        <v>5000</v>
      </c>
      <c r="F156" s="91"/>
      <c r="G156" s="91"/>
      <c r="H156" s="91"/>
      <c r="I156" s="19" t="s">
        <v>211</v>
      </c>
      <c r="J156" s="38" t="s">
        <v>324</v>
      </c>
      <c r="K156" s="237" t="s">
        <v>329</v>
      </c>
      <c r="L156" s="237" t="s">
        <v>330</v>
      </c>
      <c r="M156" s="91">
        <v>5000</v>
      </c>
      <c r="N156" s="91"/>
      <c r="O156" s="91"/>
      <c r="P156" s="91"/>
      <c r="Q156" s="54">
        <v>3000</v>
      </c>
      <c r="R156" s="54"/>
      <c r="S156" s="54"/>
      <c r="T156" s="54"/>
      <c r="U156" s="54">
        <v>2000</v>
      </c>
      <c r="V156" s="54"/>
      <c r="W156" s="54"/>
      <c r="X156" s="54"/>
      <c r="Y156" s="38" t="s">
        <v>314</v>
      </c>
      <c r="Z156" s="4"/>
      <c r="AA156" s="4"/>
      <c r="AB156" s="4"/>
      <c r="AC156" s="4"/>
      <c r="AD156" s="4"/>
      <c r="AE156" s="4"/>
      <c r="AF156" s="4"/>
      <c r="AG156" s="4"/>
      <c r="AH156" s="4"/>
      <c r="AI156" s="4"/>
      <c r="AJ156" s="4"/>
    </row>
    <row r="157" spans="1:36" x14ac:dyDescent="0.35">
      <c r="A157" s="19" t="s">
        <v>331</v>
      </c>
      <c r="B157" s="38" t="s">
        <v>332</v>
      </c>
      <c r="C157" s="237"/>
      <c r="D157" s="237"/>
      <c r="E157" s="91"/>
      <c r="F157" s="91"/>
      <c r="G157" s="91"/>
      <c r="H157" s="91"/>
      <c r="I157" s="91"/>
      <c r="J157" s="91"/>
      <c r="K157" s="91"/>
      <c r="L157" s="91"/>
      <c r="M157" s="91"/>
      <c r="N157" s="91"/>
      <c r="O157" s="91"/>
      <c r="P157" s="91"/>
      <c r="Q157" s="91"/>
      <c r="R157" s="91"/>
      <c r="S157" s="91"/>
      <c r="T157" s="91"/>
      <c r="U157" s="91"/>
      <c r="V157" s="91"/>
      <c r="W157" s="91"/>
      <c r="X157" s="258"/>
      <c r="Y157" s="38"/>
      <c r="Z157" s="4"/>
      <c r="AA157" s="4"/>
      <c r="AB157" s="4"/>
      <c r="AC157" s="4"/>
      <c r="AD157" s="4"/>
      <c r="AE157" s="4"/>
      <c r="AF157" s="4"/>
      <c r="AG157" s="4"/>
      <c r="AH157" s="4"/>
      <c r="AI157" s="4"/>
      <c r="AJ157" s="4"/>
    </row>
    <row r="158" spans="1:36" ht="78" customHeight="1" x14ac:dyDescent="0.35">
      <c r="A158" s="19" t="s">
        <v>333</v>
      </c>
      <c r="B158" s="38" t="s">
        <v>332</v>
      </c>
      <c r="C158" s="237" t="s">
        <v>334</v>
      </c>
      <c r="D158" s="237" t="s">
        <v>335</v>
      </c>
      <c r="E158" s="91">
        <v>61000</v>
      </c>
      <c r="F158" s="91">
        <v>19000</v>
      </c>
      <c r="G158" s="91">
        <v>10000</v>
      </c>
      <c r="H158" s="91">
        <v>4900</v>
      </c>
      <c r="I158" s="19" t="s">
        <v>333</v>
      </c>
      <c r="J158" s="38" t="s">
        <v>332</v>
      </c>
      <c r="K158" s="237" t="s">
        <v>334</v>
      </c>
      <c r="L158" s="237" t="s">
        <v>336</v>
      </c>
      <c r="M158" s="91">
        <v>61000</v>
      </c>
      <c r="N158" s="91">
        <v>19000</v>
      </c>
      <c r="O158" s="91">
        <v>10000</v>
      </c>
      <c r="P158" s="91">
        <v>4900</v>
      </c>
      <c r="Q158" s="54">
        <v>36600</v>
      </c>
      <c r="R158" s="54">
        <v>11400</v>
      </c>
      <c r="S158" s="54">
        <v>6000</v>
      </c>
      <c r="T158" s="54">
        <v>2940</v>
      </c>
      <c r="U158" s="54">
        <v>24400</v>
      </c>
      <c r="V158" s="54">
        <v>7600</v>
      </c>
      <c r="W158" s="54">
        <v>4000</v>
      </c>
      <c r="X158" s="54">
        <v>1960</v>
      </c>
      <c r="Y158" s="38" t="s">
        <v>314</v>
      </c>
      <c r="Z158" s="4"/>
      <c r="AA158" s="4"/>
      <c r="AB158" s="4"/>
      <c r="AC158" s="4"/>
      <c r="AD158" s="4"/>
      <c r="AE158" s="4"/>
      <c r="AF158" s="4"/>
      <c r="AG158" s="4"/>
      <c r="AH158" s="4"/>
      <c r="AI158" s="4"/>
      <c r="AJ158" s="4"/>
    </row>
    <row r="159" spans="1:36" ht="42" x14ac:dyDescent="0.35">
      <c r="A159" s="19" t="s">
        <v>337</v>
      </c>
      <c r="B159" s="38" t="s">
        <v>338</v>
      </c>
      <c r="C159" s="460" t="s">
        <v>36</v>
      </c>
      <c r="D159" s="451"/>
      <c r="E159" s="91">
        <v>38000</v>
      </c>
      <c r="F159" s="91"/>
      <c r="G159" s="91"/>
      <c r="H159" s="91"/>
      <c r="I159" s="19" t="s">
        <v>337</v>
      </c>
      <c r="J159" s="38" t="s">
        <v>338</v>
      </c>
      <c r="K159" s="460" t="s">
        <v>339</v>
      </c>
      <c r="L159" s="451"/>
      <c r="M159" s="91">
        <v>38000</v>
      </c>
      <c r="N159" s="91"/>
      <c r="O159" s="91"/>
      <c r="P159" s="91"/>
      <c r="Q159" s="54">
        <v>22800</v>
      </c>
      <c r="R159" s="54"/>
      <c r="S159" s="54"/>
      <c r="T159" s="54"/>
      <c r="U159" s="54">
        <v>15200</v>
      </c>
      <c r="V159" s="54"/>
      <c r="W159" s="54"/>
      <c r="X159" s="54"/>
      <c r="Y159" s="38" t="s">
        <v>314</v>
      </c>
      <c r="Z159" s="4"/>
      <c r="AA159" s="4"/>
      <c r="AB159" s="4"/>
      <c r="AC159" s="4"/>
      <c r="AD159" s="4"/>
      <c r="AE159" s="4"/>
      <c r="AF159" s="4"/>
      <c r="AG159" s="4"/>
      <c r="AH159" s="4"/>
      <c r="AI159" s="4"/>
      <c r="AJ159" s="4"/>
    </row>
    <row r="160" spans="1:36" ht="14.5" customHeight="1" x14ac:dyDescent="0.35">
      <c r="A160" s="19" t="s">
        <v>340</v>
      </c>
      <c r="B160" s="38" t="s">
        <v>341</v>
      </c>
      <c r="C160" s="237"/>
      <c r="D160" s="237"/>
      <c r="E160" s="91"/>
      <c r="F160" s="91"/>
      <c r="G160" s="91"/>
      <c r="H160" s="91"/>
      <c r="I160" s="19" t="s">
        <v>340</v>
      </c>
      <c r="J160" s="38" t="s">
        <v>341</v>
      </c>
      <c r="K160" s="237"/>
      <c r="L160" s="237"/>
      <c r="M160" s="91"/>
      <c r="N160" s="91"/>
      <c r="O160" s="91"/>
      <c r="P160" s="91"/>
      <c r="Q160" s="91"/>
      <c r="R160" s="91"/>
      <c r="S160" s="91"/>
      <c r="T160" s="91"/>
      <c r="U160" s="91"/>
      <c r="V160" s="91"/>
      <c r="W160" s="91"/>
      <c r="X160" s="258"/>
      <c r="Y160" s="38"/>
      <c r="Z160" s="4"/>
      <c r="AA160" s="4"/>
      <c r="AB160" s="4"/>
      <c r="AC160" s="4"/>
      <c r="AD160" s="4"/>
      <c r="AE160" s="4"/>
      <c r="AF160" s="4"/>
      <c r="AG160" s="4"/>
      <c r="AH160" s="4"/>
      <c r="AI160" s="4"/>
      <c r="AJ160" s="4"/>
    </row>
    <row r="161" spans="1:36" ht="42" x14ac:dyDescent="0.35">
      <c r="A161" s="19" t="s">
        <v>342</v>
      </c>
      <c r="B161" s="38" t="s">
        <v>341</v>
      </c>
      <c r="C161" s="237" t="s">
        <v>343</v>
      </c>
      <c r="D161" s="237" t="s">
        <v>344</v>
      </c>
      <c r="E161" s="91">
        <v>18000</v>
      </c>
      <c r="F161" s="91"/>
      <c r="G161" s="91"/>
      <c r="H161" s="91"/>
      <c r="I161" s="19" t="s">
        <v>342</v>
      </c>
      <c r="J161" s="38" t="s">
        <v>341</v>
      </c>
      <c r="K161" s="237" t="s">
        <v>343</v>
      </c>
      <c r="L161" s="237" t="s">
        <v>345</v>
      </c>
      <c r="M161" s="91">
        <v>18000</v>
      </c>
      <c r="N161" s="91"/>
      <c r="O161" s="91"/>
      <c r="P161" s="91"/>
      <c r="Q161" s="54">
        <v>10800</v>
      </c>
      <c r="R161" s="54"/>
      <c r="S161" s="54"/>
      <c r="T161" s="54"/>
      <c r="U161" s="54">
        <v>7200</v>
      </c>
      <c r="V161" s="91"/>
      <c r="W161" s="91"/>
      <c r="X161" s="258"/>
      <c r="Y161" s="38" t="s">
        <v>314</v>
      </c>
      <c r="Z161" s="4"/>
      <c r="AA161" s="4"/>
      <c r="AB161" s="4"/>
      <c r="AC161" s="4"/>
      <c r="AD161" s="4"/>
      <c r="AE161" s="4"/>
      <c r="AF161" s="4"/>
      <c r="AG161" s="4"/>
      <c r="AH161" s="4"/>
      <c r="AI161" s="4"/>
      <c r="AJ161" s="4"/>
    </row>
    <row r="162" spans="1:36" ht="42" hidden="1" x14ac:dyDescent="0.35">
      <c r="A162" s="19" t="s">
        <v>31</v>
      </c>
      <c r="B162" s="38" t="s">
        <v>346</v>
      </c>
      <c r="C162" s="237" t="s">
        <v>347</v>
      </c>
      <c r="D162" s="237" t="s">
        <v>348</v>
      </c>
      <c r="E162" s="91">
        <v>64000</v>
      </c>
      <c r="F162" s="91">
        <v>19000</v>
      </c>
      <c r="G162" s="91">
        <v>10000</v>
      </c>
      <c r="H162" s="91">
        <v>4900</v>
      </c>
      <c r="I162" s="19" t="s">
        <v>31</v>
      </c>
      <c r="J162" s="38" t="s">
        <v>346</v>
      </c>
      <c r="K162" s="237" t="s">
        <v>341</v>
      </c>
      <c r="L162" s="237" t="s">
        <v>349</v>
      </c>
      <c r="M162" s="91">
        <v>64000</v>
      </c>
      <c r="N162" s="91">
        <v>19000</v>
      </c>
      <c r="O162" s="91">
        <v>10000</v>
      </c>
      <c r="P162" s="91">
        <v>4900</v>
      </c>
      <c r="Q162" s="91"/>
      <c r="R162" s="91"/>
      <c r="S162" s="91"/>
      <c r="T162" s="91"/>
      <c r="U162" s="91"/>
      <c r="V162" s="91"/>
      <c r="W162" s="91"/>
      <c r="X162" s="258"/>
      <c r="Y162" s="38" t="s">
        <v>350</v>
      </c>
      <c r="Z162" s="4"/>
      <c r="AA162" s="4"/>
      <c r="AB162" s="4"/>
      <c r="AC162" s="4"/>
      <c r="AD162" s="4"/>
      <c r="AE162" s="4"/>
      <c r="AF162" s="4"/>
      <c r="AG162" s="4"/>
      <c r="AH162" s="4"/>
      <c r="AI162" s="4"/>
      <c r="AJ162" s="4"/>
    </row>
    <row r="163" spans="1:36" ht="28" hidden="1" x14ac:dyDescent="0.35">
      <c r="A163" s="19" t="s">
        <v>351</v>
      </c>
      <c r="B163" s="38" t="s">
        <v>352</v>
      </c>
      <c r="C163" s="237"/>
      <c r="D163" s="237"/>
      <c r="E163" s="91"/>
      <c r="F163" s="91"/>
      <c r="G163" s="91"/>
      <c r="H163" s="91"/>
      <c r="I163" s="19" t="s">
        <v>351</v>
      </c>
      <c r="J163" s="38" t="s">
        <v>352</v>
      </c>
      <c r="K163" s="508" t="s">
        <v>36</v>
      </c>
      <c r="L163" s="509"/>
      <c r="M163" s="91"/>
      <c r="N163" s="91"/>
      <c r="O163" s="91"/>
      <c r="P163" s="91"/>
      <c r="Q163" s="93"/>
      <c r="R163" s="93"/>
      <c r="S163" s="93"/>
      <c r="T163" s="93"/>
      <c r="U163" s="93"/>
      <c r="V163" s="93"/>
      <c r="W163" s="93"/>
      <c r="X163" s="93"/>
      <c r="Y163" s="21"/>
      <c r="Z163" s="4"/>
      <c r="AA163" s="4"/>
      <c r="AB163" s="4"/>
      <c r="AC163" s="4"/>
      <c r="AD163" s="4"/>
      <c r="AE163" s="4"/>
      <c r="AF163" s="4"/>
      <c r="AG163" s="4"/>
      <c r="AH163" s="4"/>
      <c r="AI163" s="4"/>
      <c r="AJ163" s="4"/>
    </row>
    <row r="164" spans="1:36" ht="70" hidden="1" x14ac:dyDescent="0.35">
      <c r="A164" s="19" t="s">
        <v>353</v>
      </c>
      <c r="B164" s="38" t="s">
        <v>354</v>
      </c>
      <c r="C164" s="237" t="s">
        <v>355</v>
      </c>
      <c r="D164" s="237" t="s">
        <v>356</v>
      </c>
      <c r="E164" s="91">
        <v>25000</v>
      </c>
      <c r="F164" s="91"/>
      <c r="G164" s="91"/>
      <c r="H164" s="91"/>
      <c r="I164" s="91"/>
      <c r="J164" s="91"/>
      <c r="K164" s="91"/>
      <c r="L164" s="91"/>
      <c r="M164" s="91"/>
      <c r="N164" s="91"/>
      <c r="O164" s="91"/>
      <c r="P164" s="91"/>
      <c r="Q164" s="94"/>
      <c r="R164" s="94"/>
      <c r="S164" s="94"/>
      <c r="T164" s="94"/>
      <c r="U164" s="94"/>
      <c r="V164" s="94"/>
      <c r="W164" s="94"/>
      <c r="X164" s="95"/>
      <c r="Y164" s="463" t="s">
        <v>357</v>
      </c>
      <c r="Z164" s="4" t="s">
        <v>106</v>
      </c>
      <c r="AA164" s="4"/>
      <c r="AB164" s="4"/>
      <c r="AC164" s="4"/>
      <c r="AD164" s="4"/>
      <c r="AE164" s="4"/>
      <c r="AF164" s="4"/>
      <c r="AG164" s="4"/>
      <c r="AH164" s="4"/>
      <c r="AI164" s="4"/>
      <c r="AJ164" s="4"/>
    </row>
    <row r="165" spans="1:36" ht="28" hidden="1" x14ac:dyDescent="0.35">
      <c r="A165" s="19" t="s">
        <v>358</v>
      </c>
      <c r="B165" s="38" t="s">
        <v>359</v>
      </c>
      <c r="C165" s="460" t="s">
        <v>36</v>
      </c>
      <c r="D165" s="451"/>
      <c r="E165" s="91">
        <v>29000</v>
      </c>
      <c r="F165" s="91"/>
      <c r="G165" s="91"/>
      <c r="H165" s="91"/>
      <c r="I165" s="91"/>
      <c r="J165" s="91"/>
      <c r="K165" s="91"/>
      <c r="L165" s="91"/>
      <c r="M165" s="91"/>
      <c r="N165" s="91"/>
      <c r="O165" s="91"/>
      <c r="P165" s="91"/>
      <c r="Q165" s="96"/>
      <c r="R165" s="96"/>
      <c r="S165" s="96"/>
      <c r="T165" s="96"/>
      <c r="U165" s="96"/>
      <c r="V165" s="96"/>
      <c r="W165" s="96"/>
      <c r="X165" s="97"/>
      <c r="Y165" s="463"/>
      <c r="Z165" s="4"/>
      <c r="AA165" s="4"/>
      <c r="AB165" s="4"/>
      <c r="AC165" s="4"/>
      <c r="AD165" s="4"/>
      <c r="AE165" s="4"/>
      <c r="AF165" s="4"/>
      <c r="AG165" s="4"/>
      <c r="AH165" s="4"/>
      <c r="AI165" s="4"/>
      <c r="AJ165" s="4"/>
    </row>
    <row r="166" spans="1:36" ht="56" x14ac:dyDescent="0.35">
      <c r="A166" s="19" t="s">
        <v>360</v>
      </c>
      <c r="B166" s="53" t="s">
        <v>361</v>
      </c>
      <c r="C166" s="60" t="s">
        <v>362</v>
      </c>
      <c r="D166" s="60" t="s">
        <v>363</v>
      </c>
      <c r="E166" s="98">
        <v>159000</v>
      </c>
      <c r="F166" s="99">
        <v>27000</v>
      </c>
      <c r="G166" s="99">
        <v>13000</v>
      </c>
      <c r="H166" s="99">
        <v>5000</v>
      </c>
      <c r="I166" s="91">
        <v>38</v>
      </c>
      <c r="J166" s="38" t="s">
        <v>361</v>
      </c>
      <c r="K166" s="237" t="s">
        <v>364</v>
      </c>
      <c r="L166" s="237" t="s">
        <v>363</v>
      </c>
      <c r="M166" s="91">
        <v>159000</v>
      </c>
      <c r="N166" s="89">
        <v>27000</v>
      </c>
      <c r="O166" s="89">
        <v>13000</v>
      </c>
      <c r="P166" s="89">
        <v>5000</v>
      </c>
      <c r="Q166" s="54">
        <v>95400</v>
      </c>
      <c r="R166" s="54">
        <v>16200</v>
      </c>
      <c r="S166" s="54">
        <v>7800</v>
      </c>
      <c r="T166" s="54">
        <v>3000</v>
      </c>
      <c r="U166" s="54">
        <v>63600</v>
      </c>
      <c r="V166" s="54">
        <v>10800</v>
      </c>
      <c r="W166" s="54">
        <v>5200</v>
      </c>
      <c r="X166" s="54">
        <v>2000</v>
      </c>
      <c r="Y166" s="38" t="s">
        <v>314</v>
      </c>
      <c r="Z166" s="4"/>
      <c r="AA166" s="4"/>
      <c r="AB166" s="4"/>
      <c r="AC166" s="4"/>
      <c r="AD166" s="4"/>
      <c r="AE166" s="4"/>
      <c r="AF166" s="4"/>
      <c r="AG166" s="4"/>
      <c r="AH166" s="4"/>
      <c r="AI166" s="4"/>
      <c r="AJ166" s="4"/>
    </row>
    <row r="167" spans="1:36" ht="80.25" hidden="1" customHeight="1" x14ac:dyDescent="0.35">
      <c r="A167" s="19" t="s">
        <v>58</v>
      </c>
      <c r="B167" s="38" t="s">
        <v>365</v>
      </c>
      <c r="C167" s="60"/>
      <c r="D167" s="60"/>
      <c r="E167" s="98"/>
      <c r="F167" s="100"/>
      <c r="G167" s="100"/>
      <c r="H167" s="100"/>
      <c r="I167" s="91">
        <v>39</v>
      </c>
      <c r="J167" s="13" t="s">
        <v>365</v>
      </c>
      <c r="K167" s="237"/>
      <c r="L167" s="237"/>
      <c r="M167" s="91"/>
      <c r="N167" s="88"/>
      <c r="O167" s="88"/>
      <c r="P167" s="88"/>
      <c r="Q167" s="88"/>
      <c r="R167" s="88"/>
      <c r="S167" s="88"/>
      <c r="T167" s="88"/>
      <c r="U167" s="88"/>
      <c r="V167" s="88"/>
      <c r="W167" s="88"/>
      <c r="X167" s="101"/>
      <c r="Y167" s="38" t="s">
        <v>350</v>
      </c>
      <c r="Z167" s="4"/>
      <c r="AA167" s="4"/>
      <c r="AB167" s="4"/>
      <c r="AC167" s="4"/>
      <c r="AD167" s="4"/>
      <c r="AE167" s="4"/>
      <c r="AF167" s="4"/>
      <c r="AG167" s="4"/>
      <c r="AH167" s="4"/>
      <c r="AI167" s="4"/>
      <c r="AJ167" s="4"/>
    </row>
    <row r="168" spans="1:36" ht="14.5" hidden="1" customHeight="1" x14ac:dyDescent="0.35">
      <c r="A168" s="19" t="s">
        <v>366</v>
      </c>
      <c r="B168" s="38" t="s">
        <v>367</v>
      </c>
      <c r="C168" s="237"/>
      <c r="D168" s="237"/>
      <c r="E168" s="91"/>
      <c r="F168" s="91"/>
      <c r="G168" s="91"/>
      <c r="H168" s="91"/>
      <c r="I168" s="91"/>
      <c r="J168" s="91"/>
      <c r="K168" s="91"/>
      <c r="L168" s="91"/>
      <c r="M168" s="91"/>
      <c r="N168" s="91"/>
      <c r="O168" s="91"/>
      <c r="P168" s="91"/>
      <c r="Q168" s="91"/>
      <c r="R168" s="91"/>
      <c r="S168" s="91"/>
      <c r="T168" s="91"/>
      <c r="U168" s="91"/>
      <c r="V168" s="91"/>
      <c r="W168" s="91"/>
      <c r="X168" s="258"/>
      <c r="Y168" s="38"/>
      <c r="Z168" s="4"/>
      <c r="AA168" s="4"/>
      <c r="AB168" s="4"/>
      <c r="AC168" s="4"/>
      <c r="AD168" s="4"/>
      <c r="AE168" s="4"/>
      <c r="AF168" s="4"/>
      <c r="AG168" s="4"/>
      <c r="AH168" s="4"/>
      <c r="AI168" s="4"/>
      <c r="AJ168" s="4"/>
    </row>
    <row r="169" spans="1:36" ht="42" hidden="1" x14ac:dyDescent="0.35">
      <c r="A169" s="19" t="s">
        <v>368</v>
      </c>
      <c r="B169" s="38" t="s">
        <v>367</v>
      </c>
      <c r="C169" s="237" t="s">
        <v>369</v>
      </c>
      <c r="D169" s="237" t="s">
        <v>370</v>
      </c>
      <c r="E169" s="91">
        <v>43000</v>
      </c>
      <c r="F169" s="91">
        <v>14000</v>
      </c>
      <c r="G169" s="91">
        <v>7000</v>
      </c>
      <c r="H169" s="91">
        <v>2900</v>
      </c>
      <c r="I169" s="19" t="s">
        <v>368</v>
      </c>
      <c r="J169" s="38" t="s">
        <v>367</v>
      </c>
      <c r="K169" s="237" t="s">
        <v>371</v>
      </c>
      <c r="L169" s="237" t="s">
        <v>372</v>
      </c>
      <c r="M169" s="91">
        <v>43000</v>
      </c>
      <c r="N169" s="91">
        <v>14000</v>
      </c>
      <c r="O169" s="91">
        <v>7000</v>
      </c>
      <c r="P169" s="91">
        <v>2900</v>
      </c>
      <c r="Q169" s="91"/>
      <c r="R169" s="91"/>
      <c r="S169" s="91"/>
      <c r="T169" s="91"/>
      <c r="U169" s="91"/>
      <c r="V169" s="91"/>
      <c r="W169" s="91"/>
      <c r="X169" s="258"/>
      <c r="Y169" s="38" t="s">
        <v>373</v>
      </c>
      <c r="Z169" s="4" t="s">
        <v>374</v>
      </c>
      <c r="AA169" s="4"/>
      <c r="AB169" s="4"/>
      <c r="AC169" s="4"/>
      <c r="AD169" s="4"/>
      <c r="AE169" s="4"/>
      <c r="AF169" s="4"/>
      <c r="AG169" s="4"/>
      <c r="AH169" s="4"/>
      <c r="AI169" s="4"/>
      <c r="AJ169" s="4"/>
    </row>
    <row r="170" spans="1:36" ht="42" hidden="1" x14ac:dyDescent="0.35">
      <c r="A170" s="19" t="s">
        <v>375</v>
      </c>
      <c r="B170" s="38" t="s">
        <v>367</v>
      </c>
      <c r="C170" s="237" t="s">
        <v>376</v>
      </c>
      <c r="D170" s="237" t="s">
        <v>377</v>
      </c>
      <c r="E170" s="91">
        <v>43000</v>
      </c>
      <c r="F170" s="91">
        <v>14000</v>
      </c>
      <c r="G170" s="91">
        <v>7000</v>
      </c>
      <c r="H170" s="91">
        <v>2900</v>
      </c>
      <c r="I170" s="19" t="s">
        <v>375</v>
      </c>
      <c r="J170" s="38" t="s">
        <v>367</v>
      </c>
      <c r="K170" s="237" t="s">
        <v>378</v>
      </c>
      <c r="L170" s="237" t="s">
        <v>379</v>
      </c>
      <c r="M170" s="91">
        <v>43000</v>
      </c>
      <c r="N170" s="91">
        <v>14000</v>
      </c>
      <c r="O170" s="91">
        <v>7000</v>
      </c>
      <c r="P170" s="91">
        <v>2900</v>
      </c>
      <c r="Q170" s="91"/>
      <c r="R170" s="91"/>
      <c r="S170" s="91"/>
      <c r="T170" s="91"/>
      <c r="U170" s="91"/>
      <c r="V170" s="91"/>
      <c r="W170" s="91"/>
      <c r="X170" s="258"/>
      <c r="Y170" s="38" t="s">
        <v>380</v>
      </c>
      <c r="Z170" s="4" t="s">
        <v>374</v>
      </c>
      <c r="AA170" s="4"/>
      <c r="AB170" s="4"/>
      <c r="AC170" s="4"/>
      <c r="AD170" s="4"/>
      <c r="AE170" s="4"/>
      <c r="AF170" s="4"/>
      <c r="AG170" s="4"/>
      <c r="AH170" s="4"/>
      <c r="AI170" s="4"/>
      <c r="AJ170" s="4"/>
    </row>
    <row r="171" spans="1:36" ht="42" hidden="1" x14ac:dyDescent="0.35">
      <c r="A171" s="19" t="s">
        <v>381</v>
      </c>
      <c r="B171" s="38" t="s">
        <v>382</v>
      </c>
      <c r="C171" s="237" t="s">
        <v>377</v>
      </c>
      <c r="D171" s="237" t="s">
        <v>383</v>
      </c>
      <c r="E171" s="91">
        <v>30000</v>
      </c>
      <c r="F171" s="91">
        <v>10000</v>
      </c>
      <c r="G171" s="91">
        <v>4600</v>
      </c>
      <c r="H171" s="91">
        <v>2900</v>
      </c>
      <c r="I171" s="19" t="s">
        <v>381</v>
      </c>
      <c r="J171" s="38" t="s">
        <v>382</v>
      </c>
      <c r="K171" s="237" t="s">
        <v>384</v>
      </c>
      <c r="L171" s="237" t="s">
        <v>385</v>
      </c>
      <c r="M171" s="91">
        <v>30000</v>
      </c>
      <c r="N171" s="91">
        <v>10000</v>
      </c>
      <c r="O171" s="91">
        <v>4600</v>
      </c>
      <c r="P171" s="91">
        <v>2900</v>
      </c>
      <c r="Q171" s="91"/>
      <c r="R171" s="91"/>
      <c r="S171" s="91"/>
      <c r="T171" s="91"/>
      <c r="U171" s="91"/>
      <c r="V171" s="91"/>
      <c r="W171" s="91"/>
      <c r="X171" s="258"/>
      <c r="Y171" s="38" t="s">
        <v>386</v>
      </c>
      <c r="Z171" s="4" t="s">
        <v>374</v>
      </c>
      <c r="AA171" s="4"/>
      <c r="AB171" s="4"/>
      <c r="AC171" s="4"/>
      <c r="AD171" s="4"/>
      <c r="AE171" s="4"/>
      <c r="AF171" s="4"/>
      <c r="AG171" s="4"/>
      <c r="AH171" s="4"/>
      <c r="AI171" s="4"/>
      <c r="AJ171" s="4"/>
    </row>
    <row r="172" spans="1:36" s="234" customFormat="1" ht="28" hidden="1" x14ac:dyDescent="0.35">
      <c r="A172" s="102" t="s">
        <v>387</v>
      </c>
      <c r="B172" s="31" t="s">
        <v>388</v>
      </c>
      <c r="C172" s="238" t="s">
        <v>389</v>
      </c>
      <c r="D172" s="238" t="s">
        <v>390</v>
      </c>
      <c r="E172" s="32">
        <v>30000</v>
      </c>
      <c r="F172" s="32">
        <v>10000</v>
      </c>
      <c r="G172" s="32">
        <v>4600</v>
      </c>
      <c r="H172" s="32">
        <v>2900</v>
      </c>
      <c r="I172" s="102" t="s">
        <v>387</v>
      </c>
      <c r="J172" s="31" t="s">
        <v>388</v>
      </c>
      <c r="K172" s="238" t="s">
        <v>389</v>
      </c>
      <c r="L172" s="238" t="s">
        <v>390</v>
      </c>
      <c r="M172" s="32">
        <v>30000</v>
      </c>
      <c r="N172" s="32">
        <v>10000</v>
      </c>
      <c r="O172" s="32">
        <v>4600</v>
      </c>
      <c r="P172" s="32">
        <v>2900</v>
      </c>
      <c r="Q172" s="32"/>
      <c r="R172" s="32"/>
      <c r="S172" s="32"/>
      <c r="T172" s="32"/>
      <c r="U172" s="32"/>
      <c r="V172" s="32"/>
      <c r="W172" s="32"/>
      <c r="X172" s="33"/>
      <c r="Y172" s="31" t="s">
        <v>391</v>
      </c>
      <c r="Z172" s="4" t="s">
        <v>374</v>
      </c>
    </row>
    <row r="173" spans="1:36" hidden="1" x14ac:dyDescent="0.35">
      <c r="A173" s="19" t="s">
        <v>51</v>
      </c>
      <c r="B173" s="38" t="s">
        <v>392</v>
      </c>
      <c r="C173" s="237"/>
      <c r="D173" s="237"/>
      <c r="E173" s="91"/>
      <c r="F173" s="91"/>
      <c r="G173" s="91"/>
      <c r="H173" s="91"/>
      <c r="I173" s="19" t="s">
        <v>51</v>
      </c>
      <c r="J173" s="38" t="s">
        <v>392</v>
      </c>
      <c r="K173" s="237"/>
      <c r="L173" s="237"/>
      <c r="M173" s="91"/>
      <c r="N173" s="91"/>
      <c r="O173" s="91"/>
      <c r="P173" s="91"/>
      <c r="Q173" s="91"/>
      <c r="R173" s="91"/>
      <c r="S173" s="91"/>
      <c r="T173" s="91"/>
      <c r="U173" s="91"/>
      <c r="V173" s="91"/>
      <c r="W173" s="91"/>
      <c r="X173" s="258"/>
      <c r="Y173" s="38"/>
      <c r="Z173" s="4"/>
      <c r="AA173" s="4"/>
      <c r="AB173" s="4"/>
      <c r="AC173" s="4"/>
      <c r="AD173" s="4"/>
      <c r="AE173" s="4"/>
      <c r="AF173" s="4"/>
      <c r="AG173" s="4"/>
      <c r="AH173" s="4"/>
      <c r="AI173" s="4"/>
      <c r="AJ173" s="4"/>
    </row>
    <row r="174" spans="1:36" ht="42" hidden="1" x14ac:dyDescent="0.35">
      <c r="A174" s="19" t="s">
        <v>393</v>
      </c>
      <c r="B174" s="38" t="s">
        <v>392</v>
      </c>
      <c r="C174" s="237" t="s">
        <v>394</v>
      </c>
      <c r="D174" s="237" t="s">
        <v>395</v>
      </c>
      <c r="E174" s="91">
        <v>43000</v>
      </c>
      <c r="F174" s="91"/>
      <c r="G174" s="91"/>
      <c r="H174" s="91"/>
      <c r="I174" s="19" t="s">
        <v>393</v>
      </c>
      <c r="J174" s="38" t="s">
        <v>392</v>
      </c>
      <c r="K174" s="237" t="s">
        <v>396</v>
      </c>
      <c r="L174" s="237" t="s">
        <v>397</v>
      </c>
      <c r="M174" s="91"/>
      <c r="N174" s="91"/>
      <c r="O174" s="91"/>
      <c r="P174" s="91"/>
      <c r="Q174" s="91"/>
      <c r="R174" s="91"/>
      <c r="S174" s="91"/>
      <c r="T174" s="91"/>
      <c r="U174" s="91"/>
      <c r="V174" s="91"/>
      <c r="W174" s="91"/>
      <c r="X174" s="258"/>
      <c r="Y174" s="38" t="s">
        <v>398</v>
      </c>
      <c r="Z174" s="4" t="s">
        <v>374</v>
      </c>
      <c r="AA174" s="4"/>
      <c r="AB174" s="4"/>
      <c r="AC174" s="4"/>
      <c r="AD174" s="4"/>
      <c r="AE174" s="4"/>
      <c r="AF174" s="4"/>
      <c r="AG174" s="4"/>
      <c r="AH174" s="4"/>
      <c r="AI174" s="4"/>
      <c r="AJ174" s="4"/>
    </row>
    <row r="175" spans="1:36" ht="70" hidden="1" x14ac:dyDescent="0.35">
      <c r="A175" s="19" t="s">
        <v>399</v>
      </c>
      <c r="B175" s="38" t="s">
        <v>392</v>
      </c>
      <c r="C175" s="237" t="s">
        <v>400</v>
      </c>
      <c r="D175" s="237" t="s">
        <v>401</v>
      </c>
      <c r="E175" s="91">
        <v>38600</v>
      </c>
      <c r="F175" s="91">
        <v>10000</v>
      </c>
      <c r="G175" s="91">
        <v>4600</v>
      </c>
      <c r="H175" s="91">
        <v>2900</v>
      </c>
      <c r="I175" s="19" t="s">
        <v>399</v>
      </c>
      <c r="J175" s="38" t="s">
        <v>392</v>
      </c>
      <c r="K175" s="237" t="s">
        <v>402</v>
      </c>
      <c r="L175" s="237" t="s">
        <v>403</v>
      </c>
      <c r="M175" s="91"/>
      <c r="N175" s="91"/>
      <c r="O175" s="91"/>
      <c r="P175" s="91"/>
      <c r="Q175" s="91"/>
      <c r="R175" s="91"/>
      <c r="S175" s="91"/>
      <c r="T175" s="91"/>
      <c r="U175" s="91"/>
      <c r="V175" s="91"/>
      <c r="W175" s="91"/>
      <c r="X175" s="258"/>
      <c r="Y175" s="38" t="s">
        <v>404</v>
      </c>
      <c r="Z175" s="4" t="s">
        <v>374</v>
      </c>
      <c r="AA175" s="4"/>
      <c r="AB175" s="4"/>
      <c r="AC175" s="4"/>
      <c r="AD175" s="4"/>
      <c r="AE175" s="4"/>
      <c r="AF175" s="4"/>
      <c r="AG175" s="4"/>
      <c r="AH175" s="4"/>
      <c r="AI175" s="4"/>
      <c r="AJ175" s="4"/>
    </row>
    <row r="176" spans="1:36" ht="42" hidden="1" x14ac:dyDescent="0.35">
      <c r="A176" s="19" t="s">
        <v>405</v>
      </c>
      <c r="B176" s="38" t="s">
        <v>392</v>
      </c>
      <c r="C176" s="237" t="s">
        <v>406</v>
      </c>
      <c r="D176" s="237" t="s">
        <v>407</v>
      </c>
      <c r="E176" s="91">
        <v>27000</v>
      </c>
      <c r="F176" s="91">
        <v>8000</v>
      </c>
      <c r="G176" s="91">
        <v>4300</v>
      </c>
      <c r="H176" s="91">
        <v>2900</v>
      </c>
      <c r="I176" s="19" t="s">
        <v>405</v>
      </c>
      <c r="J176" s="38" t="s">
        <v>392</v>
      </c>
      <c r="K176" s="237" t="s">
        <v>403</v>
      </c>
      <c r="L176" s="237" t="s">
        <v>408</v>
      </c>
      <c r="M176" s="91"/>
      <c r="N176" s="91"/>
      <c r="O176" s="91"/>
      <c r="P176" s="91"/>
      <c r="Q176" s="91"/>
      <c r="R176" s="91"/>
      <c r="S176" s="91"/>
      <c r="T176" s="91"/>
      <c r="U176" s="91"/>
      <c r="V176" s="91"/>
      <c r="W176" s="91"/>
      <c r="X176" s="258"/>
      <c r="Y176" s="38" t="s">
        <v>409</v>
      </c>
      <c r="Z176" s="4" t="s">
        <v>374</v>
      </c>
      <c r="AA176" s="4"/>
      <c r="AB176" s="4"/>
      <c r="AC176" s="4"/>
      <c r="AD176" s="4"/>
      <c r="AE176" s="4"/>
      <c r="AF176" s="4"/>
      <c r="AG176" s="4"/>
      <c r="AH176" s="4"/>
      <c r="AI176" s="4"/>
      <c r="AJ176" s="4"/>
    </row>
    <row r="177" spans="1:36" ht="28" x14ac:dyDescent="0.35">
      <c r="A177" s="19" t="s">
        <v>410</v>
      </c>
      <c r="B177" s="38" t="s">
        <v>411</v>
      </c>
      <c r="C177" s="237"/>
      <c r="D177" s="237"/>
      <c r="E177" s="91"/>
      <c r="F177" s="91"/>
      <c r="G177" s="91"/>
      <c r="H177" s="91"/>
      <c r="I177" s="19" t="s">
        <v>410</v>
      </c>
      <c r="J177" s="38" t="s">
        <v>411</v>
      </c>
      <c r="K177" s="253"/>
      <c r="L177" s="253"/>
      <c r="M177" s="91"/>
      <c r="N177" s="91"/>
      <c r="O177" s="91"/>
      <c r="P177" s="91"/>
      <c r="Q177" s="91"/>
      <c r="R177" s="91"/>
      <c r="S177" s="91"/>
      <c r="T177" s="91"/>
      <c r="U177" s="91"/>
      <c r="V177" s="91"/>
      <c r="W177" s="91"/>
      <c r="X177" s="258"/>
      <c r="Y177" s="38"/>
      <c r="Z177" s="4"/>
      <c r="AA177" s="4"/>
      <c r="AB177" s="4"/>
      <c r="AC177" s="4"/>
      <c r="AD177" s="4"/>
      <c r="AE177" s="4"/>
      <c r="AF177" s="4"/>
      <c r="AG177" s="4"/>
      <c r="AH177" s="4"/>
      <c r="AI177" s="4"/>
      <c r="AJ177" s="4"/>
    </row>
    <row r="178" spans="1:36" ht="84" x14ac:dyDescent="0.35">
      <c r="A178" s="19" t="s">
        <v>412</v>
      </c>
      <c r="B178" s="38" t="s">
        <v>411</v>
      </c>
      <c r="C178" s="237" t="s">
        <v>413</v>
      </c>
      <c r="D178" s="237" t="s">
        <v>414</v>
      </c>
      <c r="E178" s="91">
        <v>17000</v>
      </c>
      <c r="F178" s="91">
        <v>6000</v>
      </c>
      <c r="G178" s="91">
        <v>3700</v>
      </c>
      <c r="H178" s="91">
        <v>2700</v>
      </c>
      <c r="I178" s="19" t="s">
        <v>412</v>
      </c>
      <c r="J178" s="38" t="s">
        <v>411</v>
      </c>
      <c r="K178" s="237" t="s">
        <v>413</v>
      </c>
      <c r="L178" s="237" t="s">
        <v>415</v>
      </c>
      <c r="M178" s="91">
        <v>17000</v>
      </c>
      <c r="N178" s="91">
        <v>6000</v>
      </c>
      <c r="O178" s="91">
        <v>3700</v>
      </c>
      <c r="P178" s="91">
        <v>2700</v>
      </c>
      <c r="Q178" s="54">
        <v>10200</v>
      </c>
      <c r="R178" s="54">
        <v>3600</v>
      </c>
      <c r="S178" s="54">
        <v>2220</v>
      </c>
      <c r="T178" s="54">
        <v>1620</v>
      </c>
      <c r="U178" s="54">
        <v>6800</v>
      </c>
      <c r="V178" s="54">
        <v>2400</v>
      </c>
      <c r="W178" s="54">
        <v>1480</v>
      </c>
      <c r="X178" s="54">
        <v>1080</v>
      </c>
      <c r="Y178" s="38" t="s">
        <v>314</v>
      </c>
      <c r="Z178" s="4"/>
      <c r="AA178" s="4"/>
      <c r="AB178" s="4"/>
      <c r="AC178" s="4"/>
      <c r="AD178" s="4"/>
      <c r="AE178" s="4"/>
      <c r="AF178" s="4"/>
      <c r="AG178" s="4"/>
      <c r="AH178" s="4"/>
      <c r="AI178" s="4"/>
      <c r="AJ178" s="4"/>
    </row>
    <row r="179" spans="1:36" ht="84" x14ac:dyDescent="0.35">
      <c r="A179" s="19" t="s">
        <v>416</v>
      </c>
      <c r="B179" s="38" t="s">
        <v>411</v>
      </c>
      <c r="C179" s="237" t="s">
        <v>417</v>
      </c>
      <c r="D179" s="237" t="s">
        <v>418</v>
      </c>
      <c r="E179" s="91">
        <v>13200</v>
      </c>
      <c r="F179" s="91">
        <v>5500</v>
      </c>
      <c r="G179" s="91">
        <v>3700</v>
      </c>
      <c r="H179" s="91">
        <v>2700</v>
      </c>
      <c r="I179" s="91" t="s">
        <v>416</v>
      </c>
      <c r="J179" s="38" t="s">
        <v>411</v>
      </c>
      <c r="K179" s="237" t="s">
        <v>419</v>
      </c>
      <c r="L179" s="237" t="s">
        <v>420</v>
      </c>
      <c r="M179" s="91">
        <v>13200</v>
      </c>
      <c r="N179" s="91">
        <v>5500</v>
      </c>
      <c r="O179" s="91">
        <v>3700</v>
      </c>
      <c r="P179" s="91">
        <v>2700</v>
      </c>
      <c r="Q179" s="54">
        <v>7920</v>
      </c>
      <c r="R179" s="54">
        <v>3300</v>
      </c>
      <c r="S179" s="54">
        <v>2220</v>
      </c>
      <c r="T179" s="54">
        <v>1620</v>
      </c>
      <c r="U179" s="54">
        <v>5280</v>
      </c>
      <c r="V179" s="54">
        <v>2200</v>
      </c>
      <c r="W179" s="54">
        <v>1480</v>
      </c>
      <c r="X179" s="54">
        <v>1080</v>
      </c>
      <c r="Y179" s="38" t="s">
        <v>314</v>
      </c>
      <c r="Z179" s="4"/>
      <c r="AA179" s="4"/>
      <c r="AB179" s="4"/>
      <c r="AC179" s="4"/>
      <c r="AD179" s="4"/>
      <c r="AE179" s="4"/>
      <c r="AF179" s="4"/>
      <c r="AG179" s="4"/>
      <c r="AH179" s="4"/>
      <c r="AI179" s="4"/>
      <c r="AJ179" s="4"/>
    </row>
    <row r="180" spans="1:36" ht="42" x14ac:dyDescent="0.35">
      <c r="A180" s="19" t="s">
        <v>421</v>
      </c>
      <c r="B180" s="38" t="s">
        <v>422</v>
      </c>
      <c r="C180" s="237" t="s">
        <v>423</v>
      </c>
      <c r="D180" s="237" t="s">
        <v>424</v>
      </c>
      <c r="E180" s="91">
        <v>96600</v>
      </c>
      <c r="F180" s="91">
        <v>31000</v>
      </c>
      <c r="G180" s="91">
        <v>16000</v>
      </c>
      <c r="H180" s="91">
        <v>8000</v>
      </c>
      <c r="I180" s="19" t="s">
        <v>421</v>
      </c>
      <c r="J180" s="38" t="s">
        <v>422</v>
      </c>
      <c r="K180" s="237" t="s">
        <v>423</v>
      </c>
      <c r="L180" s="237" t="s">
        <v>425</v>
      </c>
      <c r="M180" s="91">
        <v>96600</v>
      </c>
      <c r="N180" s="91">
        <v>31000</v>
      </c>
      <c r="O180" s="91">
        <v>16000</v>
      </c>
      <c r="P180" s="91">
        <v>8000</v>
      </c>
      <c r="Q180" s="54">
        <v>57960</v>
      </c>
      <c r="R180" s="54">
        <v>18600</v>
      </c>
      <c r="S180" s="54">
        <v>9600</v>
      </c>
      <c r="T180" s="54">
        <v>4800</v>
      </c>
      <c r="U180" s="54">
        <v>38640</v>
      </c>
      <c r="V180" s="54">
        <v>12400</v>
      </c>
      <c r="W180" s="54">
        <v>6400</v>
      </c>
      <c r="X180" s="54">
        <v>3200</v>
      </c>
      <c r="Y180" s="38" t="s">
        <v>426</v>
      </c>
      <c r="Z180" s="4"/>
      <c r="AA180" s="4"/>
      <c r="AB180" s="4"/>
      <c r="AC180" s="4"/>
      <c r="AD180" s="4"/>
      <c r="AE180" s="4"/>
      <c r="AF180" s="4"/>
      <c r="AG180" s="4"/>
      <c r="AH180" s="4"/>
      <c r="AI180" s="4"/>
      <c r="AJ180" s="4"/>
    </row>
    <row r="181" spans="1:36" ht="42" x14ac:dyDescent="0.35">
      <c r="A181" s="19" t="s">
        <v>427</v>
      </c>
      <c r="B181" s="38" t="s">
        <v>428</v>
      </c>
      <c r="C181" s="460" t="s">
        <v>36</v>
      </c>
      <c r="D181" s="451"/>
      <c r="E181" s="91">
        <v>36200</v>
      </c>
      <c r="F181" s="91"/>
      <c r="G181" s="91"/>
      <c r="H181" s="91"/>
      <c r="I181" s="19" t="s">
        <v>427</v>
      </c>
      <c r="J181" s="38" t="s">
        <v>429</v>
      </c>
      <c r="K181" s="460" t="s">
        <v>36</v>
      </c>
      <c r="L181" s="451"/>
      <c r="M181" s="91">
        <v>36200</v>
      </c>
      <c r="N181" s="91"/>
      <c r="O181" s="91"/>
      <c r="P181" s="91"/>
      <c r="Q181" s="54">
        <v>21720</v>
      </c>
      <c r="R181" s="54"/>
      <c r="S181" s="54"/>
      <c r="T181" s="54"/>
      <c r="U181" s="54">
        <v>14480</v>
      </c>
      <c r="V181" s="54"/>
      <c r="W181" s="54"/>
      <c r="X181" s="54"/>
      <c r="Y181" s="38" t="s">
        <v>430</v>
      </c>
      <c r="Z181" s="4"/>
      <c r="AA181" s="4"/>
      <c r="AB181" s="4"/>
      <c r="AC181" s="4"/>
      <c r="AD181" s="4"/>
      <c r="AE181" s="4"/>
      <c r="AF181" s="4"/>
      <c r="AG181" s="4"/>
      <c r="AH181" s="4"/>
      <c r="AI181" s="4"/>
      <c r="AJ181" s="4"/>
    </row>
    <row r="182" spans="1:36" ht="28" hidden="1" x14ac:dyDescent="0.35">
      <c r="A182" s="19" t="s">
        <v>431</v>
      </c>
      <c r="B182" s="38" t="s">
        <v>432</v>
      </c>
      <c r="C182" s="237"/>
      <c r="D182" s="237"/>
      <c r="E182" s="91">
        <v>49000</v>
      </c>
      <c r="F182" s="91">
        <v>14000</v>
      </c>
      <c r="G182" s="91">
        <v>7000</v>
      </c>
      <c r="H182" s="91">
        <v>2700</v>
      </c>
      <c r="I182" s="19" t="s">
        <v>431</v>
      </c>
      <c r="J182" s="38" t="s">
        <v>432</v>
      </c>
      <c r="K182" s="237"/>
      <c r="L182" s="237"/>
      <c r="M182" s="91">
        <v>36200</v>
      </c>
      <c r="N182" s="91">
        <v>14000</v>
      </c>
      <c r="O182" s="91">
        <v>7000</v>
      </c>
      <c r="P182" s="91">
        <v>2700</v>
      </c>
      <c r="Q182" s="91"/>
      <c r="R182" s="91"/>
      <c r="S182" s="91"/>
      <c r="T182" s="91"/>
      <c r="U182" s="91"/>
      <c r="V182" s="91"/>
      <c r="W182" s="91"/>
      <c r="X182" s="258"/>
      <c r="Y182" s="38" t="s">
        <v>433</v>
      </c>
      <c r="Z182" s="4" t="s">
        <v>106</v>
      </c>
      <c r="AA182" s="4"/>
      <c r="AB182" s="4"/>
      <c r="AC182" s="4"/>
      <c r="AD182" s="4"/>
      <c r="AE182" s="4"/>
      <c r="AF182" s="4"/>
      <c r="AG182" s="4"/>
      <c r="AH182" s="4"/>
      <c r="AI182" s="4"/>
      <c r="AJ182" s="4"/>
    </row>
    <row r="183" spans="1:36" ht="14.5" hidden="1" customHeight="1" x14ac:dyDescent="0.35">
      <c r="A183" s="19" t="s">
        <v>434</v>
      </c>
      <c r="B183" s="38" t="s">
        <v>435</v>
      </c>
      <c r="C183" s="237"/>
      <c r="D183" s="237"/>
      <c r="E183" s="91"/>
      <c r="F183" s="91"/>
      <c r="G183" s="91"/>
      <c r="H183" s="91"/>
      <c r="I183" s="91"/>
      <c r="J183" s="91"/>
      <c r="K183" s="91"/>
      <c r="L183" s="91"/>
      <c r="M183" s="91"/>
      <c r="N183" s="91"/>
      <c r="O183" s="91"/>
      <c r="P183" s="91"/>
      <c r="Q183" s="91"/>
      <c r="R183" s="91"/>
      <c r="S183" s="91"/>
      <c r="T183" s="91"/>
      <c r="U183" s="91"/>
      <c r="V183" s="91"/>
      <c r="W183" s="91"/>
      <c r="X183" s="258"/>
      <c r="Y183" s="38" t="s">
        <v>436</v>
      </c>
      <c r="Z183" s="4"/>
      <c r="AA183" s="4"/>
      <c r="AB183" s="4"/>
      <c r="AC183" s="4"/>
      <c r="AD183" s="4"/>
      <c r="AE183" s="4"/>
      <c r="AF183" s="4"/>
      <c r="AG183" s="4"/>
      <c r="AH183" s="4"/>
      <c r="AI183" s="4"/>
      <c r="AJ183" s="4"/>
    </row>
    <row r="184" spans="1:36" ht="84" hidden="1" x14ac:dyDescent="0.35">
      <c r="A184" s="19" t="s">
        <v>437</v>
      </c>
      <c r="B184" s="38" t="s">
        <v>435</v>
      </c>
      <c r="C184" s="237" t="s">
        <v>438</v>
      </c>
      <c r="D184" s="237" t="s">
        <v>439</v>
      </c>
      <c r="E184" s="91">
        <v>11500</v>
      </c>
      <c r="F184" s="91">
        <v>5000</v>
      </c>
      <c r="G184" s="91">
        <v>3700</v>
      </c>
      <c r="H184" s="91">
        <v>2700</v>
      </c>
      <c r="I184" s="91" t="s">
        <v>437</v>
      </c>
      <c r="J184" s="13" t="s">
        <v>435</v>
      </c>
      <c r="K184" s="237" t="s">
        <v>440</v>
      </c>
      <c r="L184" s="237" t="s">
        <v>441</v>
      </c>
      <c r="M184" s="91">
        <v>11500</v>
      </c>
      <c r="N184" s="91">
        <v>5000</v>
      </c>
      <c r="O184" s="91">
        <v>3700</v>
      </c>
      <c r="P184" s="91">
        <v>2700</v>
      </c>
      <c r="Q184" s="91"/>
      <c r="R184" s="91"/>
      <c r="S184" s="91"/>
      <c r="T184" s="91"/>
      <c r="U184" s="91"/>
      <c r="V184" s="91"/>
      <c r="W184" s="91"/>
      <c r="X184" s="258"/>
      <c r="Y184" s="38" t="s">
        <v>442</v>
      </c>
      <c r="Z184" s="4" t="s">
        <v>106</v>
      </c>
      <c r="AA184" s="4"/>
      <c r="AB184" s="4"/>
      <c r="AC184" s="4"/>
      <c r="AD184" s="4"/>
      <c r="AE184" s="4"/>
      <c r="AF184" s="4"/>
      <c r="AG184" s="4"/>
      <c r="AH184" s="4"/>
      <c r="AI184" s="4"/>
      <c r="AJ184" s="4"/>
    </row>
    <row r="185" spans="1:36" ht="82.5" hidden="1" customHeight="1" x14ac:dyDescent="0.35">
      <c r="A185" s="19" t="s">
        <v>443</v>
      </c>
      <c r="B185" s="38" t="s">
        <v>435</v>
      </c>
      <c r="C185" s="237" t="s">
        <v>444</v>
      </c>
      <c r="D185" s="237" t="s">
        <v>175</v>
      </c>
      <c r="E185" s="91">
        <v>6000</v>
      </c>
      <c r="F185" s="91">
        <v>4000</v>
      </c>
      <c r="G185" s="91">
        <v>3500</v>
      </c>
      <c r="H185" s="91">
        <v>2700</v>
      </c>
      <c r="I185" s="91" t="s">
        <v>443</v>
      </c>
      <c r="J185" s="13" t="s">
        <v>435</v>
      </c>
      <c r="K185" s="237" t="s">
        <v>444</v>
      </c>
      <c r="L185" s="237" t="s">
        <v>175</v>
      </c>
      <c r="M185" s="91">
        <v>6000</v>
      </c>
      <c r="N185" s="91">
        <v>4000</v>
      </c>
      <c r="O185" s="91">
        <v>3500</v>
      </c>
      <c r="P185" s="91">
        <v>2700</v>
      </c>
      <c r="Q185" s="91"/>
      <c r="R185" s="91"/>
      <c r="S185" s="91"/>
      <c r="T185" s="91"/>
      <c r="U185" s="91"/>
      <c r="V185" s="91"/>
      <c r="W185" s="91"/>
      <c r="X185" s="258"/>
      <c r="Y185" s="38" t="s">
        <v>442</v>
      </c>
      <c r="Z185" s="4" t="s">
        <v>106</v>
      </c>
      <c r="AA185" s="4"/>
      <c r="AB185" s="4"/>
      <c r="AC185" s="4"/>
      <c r="AD185" s="4"/>
      <c r="AE185" s="4"/>
      <c r="AF185" s="4"/>
      <c r="AG185" s="4"/>
      <c r="AH185" s="4"/>
      <c r="AI185" s="4"/>
      <c r="AJ185" s="4"/>
    </row>
    <row r="186" spans="1:36" ht="42" hidden="1" x14ac:dyDescent="0.35">
      <c r="A186" s="19" t="s">
        <v>445</v>
      </c>
      <c r="B186" s="38" t="s">
        <v>446</v>
      </c>
      <c r="C186" s="460" t="s">
        <v>36</v>
      </c>
      <c r="D186" s="451"/>
      <c r="E186" s="91">
        <v>41000</v>
      </c>
      <c r="F186" s="91"/>
      <c r="G186" s="91"/>
      <c r="H186" s="91"/>
      <c r="I186" s="91"/>
      <c r="J186" s="91"/>
      <c r="K186" s="91"/>
      <c r="L186" s="91"/>
      <c r="M186" s="91"/>
      <c r="N186" s="91"/>
      <c r="O186" s="91"/>
      <c r="P186" s="91"/>
      <c r="Q186" s="91"/>
      <c r="R186" s="91"/>
      <c r="S186" s="91"/>
      <c r="T186" s="91"/>
      <c r="U186" s="91"/>
      <c r="V186" s="91"/>
      <c r="W186" s="91"/>
      <c r="X186" s="258"/>
      <c r="Y186" s="38" t="s">
        <v>447</v>
      </c>
      <c r="Z186" s="4"/>
      <c r="AA186" s="4"/>
      <c r="AB186" s="4"/>
      <c r="AC186" s="4"/>
      <c r="AD186" s="4"/>
      <c r="AE186" s="4"/>
      <c r="AF186" s="4"/>
      <c r="AG186" s="4"/>
      <c r="AH186" s="4"/>
      <c r="AI186" s="4"/>
      <c r="AJ186" s="4"/>
    </row>
    <row r="187" spans="1:36" ht="14.5" customHeight="1" x14ac:dyDescent="0.35">
      <c r="A187" s="19" t="s">
        <v>448</v>
      </c>
      <c r="B187" s="38" t="s">
        <v>449</v>
      </c>
      <c r="C187" s="237"/>
      <c r="D187" s="237"/>
      <c r="E187" s="91"/>
      <c r="F187" s="91"/>
      <c r="G187" s="91"/>
      <c r="H187" s="91"/>
      <c r="I187" s="91"/>
      <c r="J187" s="91"/>
      <c r="K187" s="91"/>
      <c r="L187" s="91"/>
      <c r="M187" s="91"/>
      <c r="N187" s="91"/>
      <c r="O187" s="91"/>
      <c r="P187" s="91"/>
      <c r="Q187" s="91"/>
      <c r="R187" s="91"/>
      <c r="S187" s="91"/>
      <c r="T187" s="91"/>
      <c r="U187" s="91"/>
      <c r="V187" s="91"/>
      <c r="W187" s="91"/>
      <c r="X187" s="258"/>
      <c r="Y187" s="38"/>
      <c r="Z187" s="4"/>
      <c r="AA187" s="4"/>
      <c r="AB187" s="4"/>
      <c r="AC187" s="4"/>
      <c r="AD187" s="4"/>
      <c r="AE187" s="4"/>
      <c r="AF187" s="4"/>
      <c r="AG187" s="4"/>
      <c r="AH187" s="4"/>
      <c r="AI187" s="4"/>
      <c r="AJ187" s="4"/>
    </row>
    <row r="188" spans="1:36" ht="56" x14ac:dyDescent="0.35">
      <c r="A188" s="19" t="s">
        <v>450</v>
      </c>
      <c r="B188" s="38" t="s">
        <v>449</v>
      </c>
      <c r="C188" s="237" t="s">
        <v>451</v>
      </c>
      <c r="D188" s="237" t="s">
        <v>452</v>
      </c>
      <c r="E188" s="91">
        <v>53000</v>
      </c>
      <c r="F188" s="91">
        <v>20000</v>
      </c>
      <c r="G188" s="91">
        <v>10800</v>
      </c>
      <c r="H188" s="91">
        <v>3800</v>
      </c>
      <c r="I188" s="19" t="s">
        <v>450</v>
      </c>
      <c r="J188" s="38" t="s">
        <v>449</v>
      </c>
      <c r="K188" s="237" t="s">
        <v>453</v>
      </c>
      <c r="L188" s="237" t="s">
        <v>452</v>
      </c>
      <c r="M188" s="91">
        <v>53000</v>
      </c>
      <c r="N188" s="91">
        <v>20000</v>
      </c>
      <c r="O188" s="91">
        <v>10800</v>
      </c>
      <c r="P188" s="91">
        <v>3800</v>
      </c>
      <c r="Q188" s="54">
        <v>31800</v>
      </c>
      <c r="R188" s="54">
        <v>12000</v>
      </c>
      <c r="S188" s="54">
        <v>6480</v>
      </c>
      <c r="T188" s="54">
        <v>2280</v>
      </c>
      <c r="U188" s="54">
        <v>21200</v>
      </c>
      <c r="V188" s="54">
        <v>8000</v>
      </c>
      <c r="W188" s="54">
        <v>4320</v>
      </c>
      <c r="X188" s="54">
        <v>1520</v>
      </c>
      <c r="Y188" s="38" t="s">
        <v>314</v>
      </c>
      <c r="Z188" s="4"/>
      <c r="AA188" s="4"/>
      <c r="AB188" s="4"/>
      <c r="AC188" s="4"/>
      <c r="AD188" s="4"/>
      <c r="AE188" s="4"/>
      <c r="AF188" s="4"/>
      <c r="AG188" s="4"/>
      <c r="AH188" s="4"/>
      <c r="AI188" s="4"/>
      <c r="AJ188" s="4"/>
    </row>
    <row r="189" spans="1:36" ht="56" x14ac:dyDescent="0.35">
      <c r="A189" s="19" t="s">
        <v>454</v>
      </c>
      <c r="B189" s="38" t="s">
        <v>449</v>
      </c>
      <c r="C189" s="237" t="s">
        <v>455</v>
      </c>
      <c r="D189" s="237" t="s">
        <v>456</v>
      </c>
      <c r="E189" s="91">
        <v>26000</v>
      </c>
      <c r="F189" s="91">
        <v>12000</v>
      </c>
      <c r="G189" s="91">
        <v>4600</v>
      </c>
      <c r="H189" s="91">
        <v>3800</v>
      </c>
      <c r="I189" s="19" t="s">
        <v>454</v>
      </c>
      <c r="J189" s="38" t="s">
        <v>449</v>
      </c>
      <c r="K189" s="237" t="s">
        <v>455</v>
      </c>
      <c r="L189" s="237" t="s">
        <v>457</v>
      </c>
      <c r="M189" s="91">
        <v>26000</v>
      </c>
      <c r="N189" s="91">
        <v>12000</v>
      </c>
      <c r="O189" s="91">
        <v>4600</v>
      </c>
      <c r="P189" s="91">
        <v>3800</v>
      </c>
      <c r="Q189" s="54">
        <v>15600</v>
      </c>
      <c r="R189" s="54">
        <v>7200</v>
      </c>
      <c r="S189" s="54">
        <v>2760</v>
      </c>
      <c r="T189" s="54">
        <v>2280</v>
      </c>
      <c r="U189" s="54">
        <v>10400</v>
      </c>
      <c r="V189" s="54">
        <v>4800</v>
      </c>
      <c r="W189" s="54">
        <v>1840</v>
      </c>
      <c r="X189" s="54">
        <v>1520</v>
      </c>
      <c r="Y189" s="38" t="s">
        <v>314</v>
      </c>
      <c r="Z189" s="4"/>
      <c r="AA189" s="4"/>
      <c r="AB189" s="4"/>
      <c r="AC189" s="4"/>
      <c r="AD189" s="4"/>
      <c r="AE189" s="4"/>
      <c r="AF189" s="4"/>
      <c r="AG189" s="4"/>
      <c r="AH189" s="4"/>
      <c r="AI189" s="4"/>
      <c r="AJ189" s="4"/>
    </row>
    <row r="190" spans="1:36" ht="70" hidden="1" x14ac:dyDescent="0.35">
      <c r="A190" s="19" t="s">
        <v>458</v>
      </c>
      <c r="B190" s="38" t="s">
        <v>449</v>
      </c>
      <c r="C190" s="237" t="s">
        <v>459</v>
      </c>
      <c r="D190" s="237" t="s">
        <v>460</v>
      </c>
      <c r="E190" s="91">
        <v>30400</v>
      </c>
      <c r="F190" s="91">
        <v>12000</v>
      </c>
      <c r="G190" s="91">
        <v>8000</v>
      </c>
      <c r="H190" s="91">
        <v>3800</v>
      </c>
      <c r="I190" s="19" t="s">
        <v>458</v>
      </c>
      <c r="J190" s="38" t="s">
        <v>449</v>
      </c>
      <c r="K190" s="237" t="s">
        <v>457</v>
      </c>
      <c r="L190" s="237" t="s">
        <v>461</v>
      </c>
      <c r="M190" s="91">
        <v>30400</v>
      </c>
      <c r="N190" s="91">
        <v>12000</v>
      </c>
      <c r="O190" s="91">
        <v>8000</v>
      </c>
      <c r="P190" s="91">
        <v>3800</v>
      </c>
      <c r="Q190" s="91"/>
      <c r="R190" s="91"/>
      <c r="S190" s="91"/>
      <c r="T190" s="91"/>
      <c r="U190" s="91"/>
      <c r="V190" s="91"/>
      <c r="W190" s="91"/>
      <c r="X190" s="258"/>
      <c r="Y190" s="38" t="s">
        <v>462</v>
      </c>
      <c r="Z190" s="4" t="s">
        <v>463</v>
      </c>
      <c r="AA190" s="4"/>
      <c r="AB190" s="4"/>
      <c r="AC190" s="4"/>
      <c r="AD190" s="4"/>
      <c r="AE190" s="4"/>
      <c r="AF190" s="4"/>
      <c r="AG190" s="4"/>
      <c r="AH190" s="4"/>
      <c r="AI190" s="4"/>
      <c r="AJ190" s="4"/>
    </row>
    <row r="191" spans="1:36" ht="42" x14ac:dyDescent="0.35">
      <c r="A191" s="19" t="s">
        <v>464</v>
      </c>
      <c r="B191" s="38" t="s">
        <v>449</v>
      </c>
      <c r="C191" s="237" t="s">
        <v>465</v>
      </c>
      <c r="D191" s="237" t="s">
        <v>466</v>
      </c>
      <c r="E191" s="91">
        <v>26000</v>
      </c>
      <c r="F191" s="91">
        <v>9000</v>
      </c>
      <c r="G191" s="91">
        <v>4300</v>
      </c>
      <c r="H191" s="91">
        <v>2900</v>
      </c>
      <c r="I191" s="19" t="s">
        <v>464</v>
      </c>
      <c r="J191" s="38" t="s">
        <v>449</v>
      </c>
      <c r="K191" s="237" t="s">
        <v>467</v>
      </c>
      <c r="L191" s="237" t="s">
        <v>468</v>
      </c>
      <c r="M191" s="91">
        <v>26000</v>
      </c>
      <c r="N191" s="91">
        <v>9000</v>
      </c>
      <c r="O191" s="91">
        <v>4300</v>
      </c>
      <c r="P191" s="91">
        <v>2900</v>
      </c>
      <c r="Q191" s="54">
        <v>15600</v>
      </c>
      <c r="R191" s="54">
        <v>5400</v>
      </c>
      <c r="S191" s="54">
        <v>2580</v>
      </c>
      <c r="T191" s="54">
        <v>1740</v>
      </c>
      <c r="U191" s="54">
        <v>10400</v>
      </c>
      <c r="V191" s="54">
        <v>3600</v>
      </c>
      <c r="W191" s="54">
        <v>1720</v>
      </c>
      <c r="X191" s="54">
        <v>1160</v>
      </c>
      <c r="Y191" s="38" t="s">
        <v>469</v>
      </c>
      <c r="Z191" s="4"/>
      <c r="AA191" s="4"/>
      <c r="AB191" s="4"/>
      <c r="AC191" s="4"/>
      <c r="AD191" s="4"/>
      <c r="AE191" s="4"/>
      <c r="AF191" s="4"/>
      <c r="AG191" s="4"/>
      <c r="AH191" s="4"/>
      <c r="AI191" s="4"/>
      <c r="AJ191" s="4"/>
    </row>
    <row r="192" spans="1:36" ht="70" hidden="1" x14ac:dyDescent="0.35">
      <c r="A192" s="19" t="s">
        <v>470</v>
      </c>
      <c r="B192" s="38" t="s">
        <v>471</v>
      </c>
      <c r="C192" s="237" t="s">
        <v>472</v>
      </c>
      <c r="D192" s="237" t="s">
        <v>473</v>
      </c>
      <c r="E192" s="91">
        <v>27000</v>
      </c>
      <c r="F192" s="91">
        <v>9000</v>
      </c>
      <c r="G192" s="91">
        <v>4300</v>
      </c>
      <c r="H192" s="91">
        <v>2900</v>
      </c>
      <c r="I192" s="19" t="s">
        <v>470</v>
      </c>
      <c r="J192" s="38" t="s">
        <v>471</v>
      </c>
      <c r="K192" s="237" t="s">
        <v>472</v>
      </c>
      <c r="L192" s="237" t="s">
        <v>474</v>
      </c>
      <c r="M192" s="91">
        <v>27000</v>
      </c>
      <c r="N192" s="91">
        <v>9000</v>
      </c>
      <c r="O192" s="91">
        <v>4300</v>
      </c>
      <c r="P192" s="91">
        <v>2900</v>
      </c>
      <c r="Q192" s="91"/>
      <c r="R192" s="91"/>
      <c r="S192" s="91"/>
      <c r="T192" s="91"/>
      <c r="U192" s="91"/>
      <c r="V192" s="91"/>
      <c r="W192" s="91"/>
      <c r="X192" s="258"/>
      <c r="Y192" s="38" t="s">
        <v>475</v>
      </c>
      <c r="Z192" s="4" t="s">
        <v>463</v>
      </c>
      <c r="AA192" s="4"/>
      <c r="AB192" s="4"/>
      <c r="AC192" s="4"/>
      <c r="AD192" s="4"/>
      <c r="AE192" s="4"/>
      <c r="AF192" s="4"/>
      <c r="AG192" s="4"/>
      <c r="AH192" s="4"/>
      <c r="AI192" s="4"/>
      <c r="AJ192" s="4"/>
    </row>
    <row r="193" spans="1:36" ht="70" x14ac:dyDescent="0.35">
      <c r="A193" s="19" t="s">
        <v>476</v>
      </c>
      <c r="B193" s="38" t="s">
        <v>471</v>
      </c>
      <c r="C193" s="237" t="s">
        <v>473</v>
      </c>
      <c r="D193" s="237" t="s">
        <v>477</v>
      </c>
      <c r="E193" s="91">
        <v>13000</v>
      </c>
      <c r="F193" s="91">
        <v>5000</v>
      </c>
      <c r="G193" s="91">
        <v>3700</v>
      </c>
      <c r="H193" s="91">
        <v>2700</v>
      </c>
      <c r="I193" s="19" t="s">
        <v>476</v>
      </c>
      <c r="J193" s="38" t="s">
        <v>471</v>
      </c>
      <c r="K193" s="237" t="s">
        <v>478</v>
      </c>
      <c r="L193" s="237" t="s">
        <v>477</v>
      </c>
      <c r="M193" s="91">
        <v>13000</v>
      </c>
      <c r="N193" s="91">
        <v>5000</v>
      </c>
      <c r="O193" s="91">
        <v>3700</v>
      </c>
      <c r="P193" s="91">
        <v>2700</v>
      </c>
      <c r="Q193" s="54">
        <v>7800</v>
      </c>
      <c r="R193" s="54">
        <v>3000</v>
      </c>
      <c r="S193" s="54">
        <v>2220</v>
      </c>
      <c r="T193" s="54">
        <v>1620</v>
      </c>
      <c r="U193" s="54">
        <v>5200</v>
      </c>
      <c r="V193" s="54">
        <v>2000</v>
      </c>
      <c r="W193" s="54">
        <v>1480</v>
      </c>
      <c r="X193" s="54">
        <v>1080</v>
      </c>
      <c r="Y193" s="38" t="s">
        <v>314</v>
      </c>
      <c r="Z193" s="4"/>
      <c r="AA193" s="4"/>
      <c r="AB193" s="4"/>
      <c r="AC193" s="4"/>
      <c r="AD193" s="4"/>
      <c r="AE193" s="4"/>
      <c r="AF193" s="4"/>
      <c r="AG193" s="4"/>
      <c r="AH193" s="4"/>
      <c r="AI193" s="4"/>
      <c r="AJ193" s="4"/>
    </row>
    <row r="194" spans="1:36" ht="14.5" hidden="1" customHeight="1" x14ac:dyDescent="0.35">
      <c r="A194" s="19" t="s">
        <v>479</v>
      </c>
      <c r="B194" s="38" t="s">
        <v>471</v>
      </c>
      <c r="C194" s="237" t="s">
        <v>480</v>
      </c>
      <c r="D194" s="237" t="s">
        <v>481</v>
      </c>
      <c r="E194" s="91">
        <v>7000</v>
      </c>
      <c r="F194" s="91">
        <v>5000</v>
      </c>
      <c r="G194" s="91">
        <v>3700</v>
      </c>
      <c r="H194" s="91">
        <v>2700</v>
      </c>
      <c r="I194" s="91"/>
      <c r="J194" s="91"/>
      <c r="K194" s="91"/>
      <c r="L194" s="91"/>
      <c r="M194" s="91"/>
      <c r="N194" s="91"/>
      <c r="O194" s="91"/>
      <c r="P194" s="91"/>
      <c r="Q194" s="91"/>
      <c r="R194" s="91"/>
      <c r="S194" s="91"/>
      <c r="T194" s="91"/>
      <c r="U194" s="91"/>
      <c r="V194" s="91"/>
      <c r="W194" s="91"/>
      <c r="X194" s="258"/>
      <c r="Y194" s="38"/>
      <c r="Z194" s="4"/>
      <c r="AA194" s="4"/>
      <c r="AB194" s="4"/>
      <c r="AC194" s="4"/>
      <c r="AD194" s="4"/>
      <c r="AE194" s="4"/>
      <c r="AF194" s="4"/>
      <c r="AG194" s="4"/>
      <c r="AH194" s="4"/>
      <c r="AI194" s="4"/>
      <c r="AJ194" s="4"/>
    </row>
    <row r="195" spans="1:36" ht="87.75" hidden="1" customHeight="1" x14ac:dyDescent="0.35">
      <c r="A195" s="19" t="s">
        <v>482</v>
      </c>
      <c r="B195" s="38" t="s">
        <v>483</v>
      </c>
      <c r="C195" s="460" t="s">
        <v>36</v>
      </c>
      <c r="D195" s="451"/>
      <c r="I195" s="19" t="s">
        <v>482</v>
      </c>
      <c r="J195" s="13" t="s">
        <v>484</v>
      </c>
      <c r="K195" s="460" t="s">
        <v>36</v>
      </c>
      <c r="L195" s="451"/>
      <c r="M195" s="91">
        <v>45000</v>
      </c>
      <c r="N195" s="91"/>
      <c r="O195" s="91"/>
      <c r="P195" s="91"/>
      <c r="Q195" s="91"/>
      <c r="R195" s="91"/>
      <c r="S195" s="91"/>
      <c r="T195" s="91"/>
      <c r="U195" s="91"/>
      <c r="V195" s="91"/>
      <c r="W195" s="91"/>
      <c r="X195" s="258"/>
      <c r="Y195" s="38" t="s">
        <v>485</v>
      </c>
      <c r="Z195" s="4"/>
      <c r="AA195" s="4"/>
      <c r="AB195" s="4"/>
      <c r="AC195" s="4"/>
      <c r="AD195" s="4"/>
      <c r="AE195" s="4"/>
      <c r="AF195" s="4"/>
      <c r="AG195" s="4"/>
      <c r="AH195" s="4"/>
      <c r="AI195" s="4"/>
      <c r="AJ195" s="4"/>
    </row>
    <row r="196" spans="1:36" s="105" customFormat="1" ht="79.5" hidden="1" customHeight="1" x14ac:dyDescent="0.35">
      <c r="A196" s="37" t="s">
        <v>486</v>
      </c>
      <c r="B196" s="21" t="s">
        <v>487</v>
      </c>
      <c r="C196" s="465" t="s">
        <v>36</v>
      </c>
      <c r="D196" s="462"/>
      <c r="E196" s="91">
        <v>39000</v>
      </c>
      <c r="F196" s="103"/>
      <c r="G196" s="103"/>
      <c r="H196" s="103"/>
      <c r="I196" s="103"/>
      <c r="J196" s="103"/>
      <c r="K196" s="103"/>
      <c r="L196" s="103"/>
      <c r="M196" s="103"/>
      <c r="N196" s="103"/>
      <c r="O196" s="103"/>
      <c r="P196" s="103"/>
      <c r="Q196" s="103"/>
      <c r="R196" s="103"/>
      <c r="S196" s="103"/>
      <c r="T196" s="103"/>
      <c r="U196" s="103"/>
      <c r="V196" s="103"/>
      <c r="W196" s="103"/>
      <c r="X196" s="104"/>
      <c r="Y196" s="21" t="s">
        <v>488</v>
      </c>
    </row>
    <row r="197" spans="1:36" ht="42" x14ac:dyDescent="0.35">
      <c r="A197" s="19" t="s">
        <v>489</v>
      </c>
      <c r="B197" s="38" t="s">
        <v>490</v>
      </c>
      <c r="C197" s="237" t="s">
        <v>449</v>
      </c>
      <c r="D197" s="237" t="s">
        <v>491</v>
      </c>
      <c r="E197" s="91">
        <v>22000</v>
      </c>
      <c r="F197" s="91">
        <v>9000</v>
      </c>
      <c r="G197" s="91">
        <v>4300</v>
      </c>
      <c r="H197" s="91">
        <v>2700</v>
      </c>
      <c r="I197" s="91">
        <v>57</v>
      </c>
      <c r="J197" s="38" t="s">
        <v>490</v>
      </c>
      <c r="K197" s="237" t="s">
        <v>492</v>
      </c>
      <c r="L197" s="237" t="s">
        <v>493</v>
      </c>
      <c r="M197" s="91">
        <v>22000</v>
      </c>
      <c r="N197" s="91">
        <v>9000</v>
      </c>
      <c r="O197" s="91">
        <v>4300</v>
      </c>
      <c r="P197" s="91">
        <v>2700</v>
      </c>
      <c r="Q197" s="54">
        <v>13200</v>
      </c>
      <c r="R197" s="54">
        <v>5400</v>
      </c>
      <c r="S197" s="54">
        <v>2580</v>
      </c>
      <c r="T197" s="54">
        <v>1620</v>
      </c>
      <c r="U197" s="54">
        <v>8800</v>
      </c>
      <c r="V197" s="54">
        <v>3600</v>
      </c>
      <c r="W197" s="54">
        <v>1720</v>
      </c>
      <c r="X197" s="54">
        <v>1080</v>
      </c>
      <c r="Y197" s="38" t="s">
        <v>314</v>
      </c>
      <c r="Z197" s="4"/>
      <c r="AA197" s="4"/>
      <c r="AB197" s="4"/>
      <c r="AC197" s="4"/>
      <c r="AD197" s="4"/>
      <c r="AE197" s="4"/>
      <c r="AF197" s="4"/>
      <c r="AG197" s="4"/>
      <c r="AH197" s="4"/>
      <c r="AI197" s="4"/>
      <c r="AJ197" s="4"/>
    </row>
    <row r="198" spans="1:36" ht="60" hidden="1" customHeight="1" x14ac:dyDescent="0.35">
      <c r="A198" s="19" t="s">
        <v>494</v>
      </c>
      <c r="B198" s="38" t="s">
        <v>495</v>
      </c>
      <c r="C198" s="460" t="s">
        <v>36</v>
      </c>
      <c r="D198" s="451"/>
      <c r="E198" s="91">
        <v>13000</v>
      </c>
      <c r="F198" s="91"/>
      <c r="G198" s="91"/>
      <c r="H198" s="91"/>
      <c r="I198" s="91">
        <v>58</v>
      </c>
      <c r="J198" s="13" t="s">
        <v>496</v>
      </c>
      <c r="K198" s="460" t="s">
        <v>36</v>
      </c>
      <c r="L198" s="451"/>
      <c r="M198" s="91">
        <v>13000</v>
      </c>
      <c r="N198" s="91"/>
      <c r="O198" s="91"/>
      <c r="P198" s="91"/>
      <c r="Q198" s="91"/>
      <c r="R198" s="91"/>
      <c r="S198" s="91"/>
      <c r="T198" s="91"/>
      <c r="U198" s="91"/>
      <c r="V198" s="91"/>
      <c r="W198" s="91"/>
      <c r="X198" s="258"/>
      <c r="Y198" s="38" t="s">
        <v>497</v>
      </c>
      <c r="Z198" s="4"/>
      <c r="AA198" s="4"/>
      <c r="AB198" s="4"/>
      <c r="AC198" s="4"/>
      <c r="AD198" s="4"/>
      <c r="AE198" s="4"/>
      <c r="AF198" s="4"/>
      <c r="AG198" s="4"/>
      <c r="AH198" s="4"/>
      <c r="AI198" s="4"/>
      <c r="AJ198" s="4"/>
    </row>
    <row r="199" spans="1:36" ht="69" customHeight="1" x14ac:dyDescent="0.35">
      <c r="A199" s="19" t="s">
        <v>498</v>
      </c>
      <c r="B199" s="38" t="s">
        <v>499</v>
      </c>
      <c r="C199" s="460" t="s">
        <v>36</v>
      </c>
      <c r="D199" s="451"/>
      <c r="E199" s="91">
        <v>23500</v>
      </c>
      <c r="F199" s="91"/>
      <c r="G199" s="91"/>
      <c r="H199" s="91"/>
      <c r="I199" s="91">
        <v>60</v>
      </c>
      <c r="J199" s="38" t="s">
        <v>500</v>
      </c>
      <c r="K199" s="460" t="s">
        <v>36</v>
      </c>
      <c r="L199" s="451"/>
      <c r="M199" s="91">
        <v>23500</v>
      </c>
      <c r="N199" s="91"/>
      <c r="O199" s="91"/>
      <c r="P199" s="91"/>
      <c r="Q199" s="54">
        <v>14100</v>
      </c>
      <c r="R199" s="54"/>
      <c r="S199" s="54"/>
      <c r="T199" s="54"/>
      <c r="U199" s="54">
        <v>9400</v>
      </c>
      <c r="V199" s="54"/>
      <c r="W199" s="54"/>
      <c r="X199" s="54"/>
      <c r="Y199" s="38" t="s">
        <v>469</v>
      </c>
      <c r="Z199" s="4"/>
      <c r="AA199" s="4"/>
      <c r="AB199" s="4"/>
      <c r="AC199" s="4"/>
      <c r="AD199" s="4"/>
      <c r="AE199" s="4"/>
      <c r="AF199" s="4"/>
      <c r="AG199" s="4"/>
      <c r="AH199" s="4"/>
      <c r="AI199" s="4"/>
      <c r="AJ199" s="4"/>
    </row>
    <row r="200" spans="1:36" ht="104.25" customHeight="1" x14ac:dyDescent="0.35">
      <c r="A200" s="19" t="s">
        <v>501</v>
      </c>
      <c r="B200" s="38" t="s">
        <v>502</v>
      </c>
      <c r="C200" s="460" t="s">
        <v>36</v>
      </c>
      <c r="D200" s="451"/>
      <c r="E200" s="91">
        <v>9000</v>
      </c>
      <c r="F200" s="91"/>
      <c r="G200" s="91"/>
      <c r="H200" s="91"/>
      <c r="I200" s="91">
        <v>61</v>
      </c>
      <c r="J200" s="38" t="s">
        <v>503</v>
      </c>
      <c r="K200" s="460" t="s">
        <v>36</v>
      </c>
      <c r="L200" s="451"/>
      <c r="M200" s="91">
        <v>9000</v>
      </c>
      <c r="N200" s="91"/>
      <c r="O200" s="91"/>
      <c r="P200" s="91"/>
      <c r="Q200" s="54">
        <v>5400</v>
      </c>
      <c r="R200" s="54"/>
      <c r="S200" s="54"/>
      <c r="T200" s="54"/>
      <c r="U200" s="54">
        <v>3600</v>
      </c>
      <c r="V200" s="54"/>
      <c r="W200" s="54"/>
      <c r="X200" s="54"/>
      <c r="Y200" s="38" t="s">
        <v>469</v>
      </c>
      <c r="Z200" s="4"/>
      <c r="AA200" s="4"/>
      <c r="AB200" s="4"/>
      <c r="AC200" s="4"/>
      <c r="AD200" s="4"/>
      <c r="AE200" s="4"/>
      <c r="AF200" s="4"/>
      <c r="AG200" s="4"/>
      <c r="AH200" s="4"/>
      <c r="AI200" s="4"/>
      <c r="AJ200" s="4"/>
    </row>
    <row r="201" spans="1:36" ht="22" hidden="1" customHeight="1" x14ac:dyDescent="0.35">
      <c r="A201" s="19" t="s">
        <v>504</v>
      </c>
      <c r="B201" s="38" t="s">
        <v>505</v>
      </c>
      <c r="C201" s="460" t="s">
        <v>36</v>
      </c>
      <c r="D201" s="451"/>
      <c r="E201" s="91">
        <v>15000</v>
      </c>
      <c r="F201" s="91"/>
      <c r="G201" s="91"/>
      <c r="H201" s="91"/>
      <c r="I201" s="91"/>
      <c r="J201" s="91"/>
      <c r="K201" s="508"/>
      <c r="L201" s="509"/>
      <c r="M201" s="91"/>
      <c r="N201" s="91"/>
      <c r="O201" s="91"/>
      <c r="P201" s="91"/>
      <c r="Q201" s="54"/>
      <c r="R201" s="54"/>
      <c r="S201" s="54"/>
      <c r="T201" s="54"/>
      <c r="U201" s="54"/>
      <c r="V201" s="91"/>
      <c r="W201" s="91"/>
      <c r="X201" s="258"/>
      <c r="Y201" s="24" t="s">
        <v>506</v>
      </c>
      <c r="Z201" s="4"/>
      <c r="AA201" s="4"/>
      <c r="AB201" s="4"/>
      <c r="AC201" s="4"/>
      <c r="AD201" s="4"/>
      <c r="AE201" s="4"/>
      <c r="AF201" s="4"/>
      <c r="AG201" s="4"/>
      <c r="AH201" s="4"/>
      <c r="AI201" s="4"/>
      <c r="AJ201" s="4"/>
    </row>
    <row r="202" spans="1:36" ht="56" x14ac:dyDescent="0.35">
      <c r="A202" s="19" t="s">
        <v>507</v>
      </c>
      <c r="B202" s="38" t="s">
        <v>508</v>
      </c>
      <c r="C202" s="460" t="s">
        <v>36</v>
      </c>
      <c r="D202" s="451"/>
      <c r="E202" s="91">
        <v>10000</v>
      </c>
      <c r="F202" s="91">
        <v>5000</v>
      </c>
      <c r="G202" s="91">
        <v>3700</v>
      </c>
      <c r="H202" s="91">
        <v>2700</v>
      </c>
      <c r="I202" s="91">
        <v>63</v>
      </c>
      <c r="J202" s="38" t="s">
        <v>509</v>
      </c>
      <c r="K202" s="460" t="s">
        <v>36</v>
      </c>
      <c r="L202" s="451"/>
      <c r="M202" s="91">
        <v>10000</v>
      </c>
      <c r="N202" s="91">
        <v>5000</v>
      </c>
      <c r="O202" s="91">
        <v>3700</v>
      </c>
      <c r="P202" s="91">
        <v>2700</v>
      </c>
      <c r="Q202" s="54">
        <v>6000</v>
      </c>
      <c r="R202" s="54">
        <v>3000</v>
      </c>
      <c r="S202" s="54">
        <v>2220</v>
      </c>
      <c r="T202" s="54">
        <v>1620</v>
      </c>
      <c r="U202" s="54">
        <v>4000</v>
      </c>
      <c r="V202" s="54">
        <v>2000</v>
      </c>
      <c r="W202" s="54">
        <v>1480</v>
      </c>
      <c r="X202" s="54">
        <v>1080</v>
      </c>
      <c r="Y202" s="38" t="s">
        <v>510</v>
      </c>
      <c r="Z202" s="4"/>
      <c r="AA202" s="4"/>
      <c r="AB202" s="4"/>
      <c r="AC202" s="4"/>
      <c r="AD202" s="4"/>
      <c r="AE202" s="4"/>
      <c r="AF202" s="4"/>
      <c r="AG202" s="4"/>
      <c r="AH202" s="4"/>
      <c r="AI202" s="4"/>
      <c r="AJ202" s="4"/>
    </row>
    <row r="203" spans="1:36" ht="31.15" hidden="1" customHeight="1" x14ac:dyDescent="0.35">
      <c r="A203" s="19" t="s">
        <v>511</v>
      </c>
      <c r="B203" s="38" t="s">
        <v>512</v>
      </c>
      <c r="C203" s="237" t="s">
        <v>513</v>
      </c>
      <c r="D203" s="237" t="s">
        <v>514</v>
      </c>
      <c r="E203" s="91">
        <v>12000</v>
      </c>
      <c r="F203" s="91">
        <v>5000</v>
      </c>
      <c r="G203" s="91">
        <v>3700</v>
      </c>
      <c r="H203" s="91">
        <v>2700</v>
      </c>
      <c r="I203" s="91" t="s">
        <v>511</v>
      </c>
      <c r="J203" s="91"/>
      <c r="K203" s="91"/>
      <c r="L203" s="91"/>
      <c r="M203" s="91"/>
      <c r="N203" s="91"/>
      <c r="O203" s="91"/>
      <c r="P203" s="91"/>
      <c r="Q203" s="91"/>
      <c r="R203" s="91"/>
      <c r="S203" s="91"/>
      <c r="T203" s="91"/>
      <c r="U203" s="91"/>
      <c r="V203" s="91"/>
      <c r="W203" s="91"/>
      <c r="X203" s="258"/>
      <c r="Y203" s="38" t="s">
        <v>515</v>
      </c>
      <c r="Z203" s="4"/>
      <c r="AA203" s="4"/>
      <c r="AB203" s="4"/>
      <c r="AC203" s="4"/>
      <c r="AD203" s="4"/>
      <c r="AE203" s="4"/>
      <c r="AF203" s="4"/>
      <c r="AG203" s="4"/>
      <c r="AH203" s="4"/>
      <c r="AI203" s="4"/>
      <c r="AJ203" s="4"/>
    </row>
    <row r="204" spans="1:36" ht="51" customHeight="1" x14ac:dyDescent="0.35">
      <c r="A204" s="19" t="s">
        <v>516</v>
      </c>
      <c r="B204" s="38" t="s">
        <v>517</v>
      </c>
      <c r="C204" s="237" t="s">
        <v>518</v>
      </c>
      <c r="D204" s="237" t="s">
        <v>519</v>
      </c>
      <c r="E204" s="91">
        <v>13000</v>
      </c>
      <c r="F204" s="91">
        <v>5000</v>
      </c>
      <c r="G204" s="91">
        <v>3700</v>
      </c>
      <c r="H204" s="91">
        <v>2700</v>
      </c>
      <c r="I204" s="19" t="s">
        <v>516</v>
      </c>
      <c r="J204" s="38" t="s">
        <v>517</v>
      </c>
      <c r="K204" s="237" t="s">
        <v>518</v>
      </c>
      <c r="L204" s="237" t="s">
        <v>520</v>
      </c>
      <c r="M204" s="91">
        <v>13000</v>
      </c>
      <c r="N204" s="91">
        <v>5000</v>
      </c>
      <c r="O204" s="91">
        <v>3700</v>
      </c>
      <c r="P204" s="91">
        <v>2700</v>
      </c>
      <c r="Q204" s="54">
        <v>7800</v>
      </c>
      <c r="R204" s="54">
        <v>3000</v>
      </c>
      <c r="S204" s="54">
        <v>2220</v>
      </c>
      <c r="T204" s="54">
        <v>1620</v>
      </c>
      <c r="U204" s="54">
        <v>5200</v>
      </c>
      <c r="V204" s="54">
        <v>2000</v>
      </c>
      <c r="W204" s="54">
        <v>1480</v>
      </c>
      <c r="X204" s="54">
        <v>1080</v>
      </c>
      <c r="Y204" s="38" t="s">
        <v>229</v>
      </c>
      <c r="Z204" s="4"/>
      <c r="AA204" s="4"/>
      <c r="AB204" s="4"/>
      <c r="AC204" s="4"/>
      <c r="AD204" s="4"/>
      <c r="AE204" s="4"/>
      <c r="AF204" s="4"/>
      <c r="AG204" s="4"/>
      <c r="AH204" s="4"/>
      <c r="AI204" s="4"/>
      <c r="AJ204" s="4"/>
    </row>
    <row r="205" spans="1:36" ht="28" hidden="1" x14ac:dyDescent="0.35">
      <c r="A205" s="19" t="s">
        <v>521</v>
      </c>
      <c r="B205" s="38" t="s">
        <v>522</v>
      </c>
      <c r="C205" s="237" t="s">
        <v>523</v>
      </c>
      <c r="D205" s="237" t="s">
        <v>524</v>
      </c>
      <c r="E205" s="91">
        <v>7000</v>
      </c>
      <c r="F205" s="91">
        <v>5000</v>
      </c>
      <c r="G205" s="91">
        <v>3700</v>
      </c>
      <c r="H205" s="91">
        <v>2700</v>
      </c>
      <c r="I205" s="91"/>
      <c r="J205" s="91"/>
      <c r="K205" s="91"/>
      <c r="L205" s="91"/>
      <c r="M205" s="91"/>
      <c r="N205" s="91"/>
      <c r="O205" s="91"/>
      <c r="P205" s="91"/>
      <c r="Q205" s="91"/>
      <c r="R205" s="91"/>
      <c r="S205" s="91"/>
      <c r="T205" s="91"/>
      <c r="U205" s="91"/>
      <c r="V205" s="91"/>
      <c r="W205" s="91"/>
      <c r="X205" s="258"/>
      <c r="Y205" s="38" t="s">
        <v>515</v>
      </c>
      <c r="Z205" s="4"/>
      <c r="AA205" s="4"/>
      <c r="AB205" s="4"/>
      <c r="AC205" s="4"/>
      <c r="AD205" s="4"/>
      <c r="AE205" s="4"/>
      <c r="AF205" s="4"/>
      <c r="AG205" s="4"/>
      <c r="AH205" s="4"/>
      <c r="AI205" s="4"/>
      <c r="AJ205" s="4"/>
    </row>
    <row r="206" spans="1:36" ht="47.25" hidden="1" customHeight="1" x14ac:dyDescent="0.35">
      <c r="A206" s="19" t="s">
        <v>525</v>
      </c>
      <c r="B206" s="38" t="s">
        <v>526</v>
      </c>
      <c r="C206" s="237" t="s">
        <v>527</v>
      </c>
      <c r="D206" s="237" t="s">
        <v>528</v>
      </c>
      <c r="E206" s="91">
        <v>25000</v>
      </c>
      <c r="F206" s="91">
        <v>8000</v>
      </c>
      <c r="G206" s="91">
        <v>4300</v>
      </c>
      <c r="H206" s="91">
        <v>2200</v>
      </c>
      <c r="I206" s="19" t="s">
        <v>525</v>
      </c>
      <c r="J206" s="38" t="s">
        <v>526</v>
      </c>
      <c r="K206" s="237" t="s">
        <v>527</v>
      </c>
      <c r="L206" s="237" t="s">
        <v>529</v>
      </c>
      <c r="M206" s="91">
        <v>25000</v>
      </c>
      <c r="N206" s="91">
        <v>8000</v>
      </c>
      <c r="O206" s="91">
        <v>4300</v>
      </c>
      <c r="P206" s="91">
        <v>2200</v>
      </c>
      <c r="Q206" s="91"/>
      <c r="R206" s="91"/>
      <c r="S206" s="91"/>
      <c r="T206" s="91"/>
      <c r="U206" s="91"/>
      <c r="V206" s="91"/>
      <c r="W206" s="91"/>
      <c r="X206" s="258"/>
      <c r="Y206" s="38" t="s">
        <v>530</v>
      </c>
      <c r="Z206" s="4" t="s">
        <v>106</v>
      </c>
      <c r="AA206" s="4"/>
      <c r="AB206" s="4"/>
      <c r="AC206" s="4"/>
      <c r="AD206" s="4"/>
      <c r="AE206" s="4"/>
      <c r="AF206" s="4"/>
      <c r="AG206" s="4"/>
      <c r="AH206" s="4"/>
      <c r="AI206" s="4"/>
      <c r="AJ206" s="4"/>
    </row>
    <row r="207" spans="1:36" ht="28" hidden="1" x14ac:dyDescent="0.35">
      <c r="A207" s="19" t="s">
        <v>531</v>
      </c>
      <c r="B207" s="38" t="s">
        <v>532</v>
      </c>
      <c r="C207" s="237" t="s">
        <v>528</v>
      </c>
      <c r="D207" s="237" t="s">
        <v>533</v>
      </c>
      <c r="E207" s="91">
        <v>13000</v>
      </c>
      <c r="F207" s="91">
        <v>4000</v>
      </c>
      <c r="G207" s="91">
        <v>2000</v>
      </c>
      <c r="H207" s="91">
        <v>1900</v>
      </c>
      <c r="I207" s="91"/>
      <c r="J207" s="91"/>
      <c r="K207" s="91"/>
      <c r="L207" s="91"/>
      <c r="M207" s="91"/>
      <c r="N207" s="91"/>
      <c r="O207" s="91"/>
      <c r="P207" s="91"/>
      <c r="Q207" s="91"/>
      <c r="R207" s="91"/>
      <c r="S207" s="91"/>
      <c r="T207" s="91"/>
      <c r="U207" s="91"/>
      <c r="V207" s="91"/>
      <c r="W207" s="91"/>
      <c r="X207" s="258"/>
      <c r="Y207" s="38" t="s">
        <v>515</v>
      </c>
      <c r="Z207" s="4"/>
      <c r="AA207" s="4"/>
      <c r="AB207" s="4"/>
      <c r="AC207" s="4"/>
      <c r="AD207" s="4"/>
      <c r="AE207" s="4"/>
      <c r="AF207" s="4"/>
      <c r="AG207" s="4"/>
      <c r="AH207" s="4"/>
      <c r="AI207" s="4"/>
      <c r="AJ207" s="4"/>
    </row>
    <row r="208" spans="1:36" ht="56" hidden="1" x14ac:dyDescent="0.35">
      <c r="A208" s="62" t="s">
        <v>534</v>
      </c>
      <c r="B208" s="53" t="s">
        <v>535</v>
      </c>
      <c r="C208" s="510" t="s">
        <v>36</v>
      </c>
      <c r="D208" s="484"/>
      <c r="E208" s="98">
        <v>20000</v>
      </c>
      <c r="F208" s="100"/>
      <c r="G208" s="100"/>
      <c r="H208" s="100"/>
      <c r="I208" s="62" t="s">
        <v>534</v>
      </c>
      <c r="J208" s="38" t="s">
        <v>536</v>
      </c>
      <c r="K208" s="510" t="s">
        <v>36</v>
      </c>
      <c r="L208" s="484"/>
      <c r="M208" s="98">
        <v>20000</v>
      </c>
      <c r="N208" s="100"/>
      <c r="O208" s="100"/>
      <c r="P208" s="107"/>
      <c r="Q208" s="88"/>
      <c r="R208" s="88"/>
      <c r="S208" s="88"/>
      <c r="T208" s="88"/>
      <c r="U208" s="88"/>
      <c r="V208" s="88"/>
      <c r="W208" s="88"/>
      <c r="X208" s="88"/>
      <c r="Y208" s="38" t="s">
        <v>537</v>
      </c>
      <c r="Z208" s="4"/>
      <c r="AA208" s="4"/>
      <c r="AB208" s="4"/>
      <c r="AC208" s="4"/>
      <c r="AD208" s="4"/>
      <c r="AE208" s="4"/>
      <c r="AF208" s="4"/>
      <c r="AG208" s="4"/>
      <c r="AH208" s="4"/>
      <c r="AI208" s="4"/>
      <c r="AJ208" s="4"/>
    </row>
    <row r="209" spans="1:36" ht="42" x14ac:dyDescent="0.35">
      <c r="A209" s="62" t="s">
        <v>538</v>
      </c>
      <c r="B209" s="53" t="s">
        <v>539</v>
      </c>
      <c r="C209" s="510" t="s">
        <v>36</v>
      </c>
      <c r="D209" s="484"/>
      <c r="E209" s="98">
        <v>20000</v>
      </c>
      <c r="F209" s="100"/>
      <c r="G209" s="100"/>
      <c r="H209" s="100"/>
      <c r="I209" s="62" t="s">
        <v>538</v>
      </c>
      <c r="J209" s="38" t="s">
        <v>540</v>
      </c>
      <c r="K209" s="510" t="s">
        <v>36</v>
      </c>
      <c r="L209" s="484"/>
      <c r="M209" s="98">
        <v>20000</v>
      </c>
      <c r="N209" s="100"/>
      <c r="O209" s="100"/>
      <c r="P209" s="107"/>
      <c r="Q209" s="54">
        <v>12000</v>
      </c>
      <c r="R209" s="54"/>
      <c r="S209" s="54"/>
      <c r="T209" s="54"/>
      <c r="U209" s="54">
        <v>8000</v>
      </c>
      <c r="V209" s="88"/>
      <c r="W209" s="88"/>
      <c r="X209" s="88"/>
      <c r="Y209" s="38" t="s">
        <v>541</v>
      </c>
      <c r="Z209" s="4"/>
      <c r="AA209" s="4">
        <v>55</v>
      </c>
      <c r="AB209" s="4"/>
      <c r="AC209" s="4"/>
      <c r="AD209" s="4"/>
      <c r="AE209" s="4"/>
      <c r="AF209" s="4"/>
      <c r="AG209" s="4"/>
      <c r="AH209" s="4"/>
      <c r="AI209" s="4"/>
      <c r="AJ209" s="4"/>
    </row>
    <row r="210" spans="1:36" ht="28" hidden="1" x14ac:dyDescent="0.35">
      <c r="A210" s="108" t="s">
        <v>542</v>
      </c>
      <c r="B210" s="38" t="s">
        <v>543</v>
      </c>
      <c r="C210" s="460"/>
      <c r="D210" s="451"/>
      <c r="F210" s="18"/>
      <c r="G210" s="18"/>
      <c r="H210" s="18"/>
      <c r="I210" s="28"/>
      <c r="J210" s="237"/>
      <c r="K210" s="237"/>
      <c r="L210" s="237"/>
      <c r="M210" s="28">
        <v>65000</v>
      </c>
      <c r="N210" s="18"/>
      <c r="O210" s="18"/>
      <c r="P210" s="18"/>
      <c r="Q210" s="18"/>
      <c r="R210" s="18"/>
      <c r="S210" s="18"/>
      <c r="T210" s="18"/>
      <c r="U210" s="18"/>
      <c r="V210" s="18"/>
      <c r="W210" s="18"/>
      <c r="X210" s="30"/>
      <c r="Y210" s="38" t="s">
        <v>544</v>
      </c>
      <c r="Z210" s="109"/>
      <c r="AA210" s="109"/>
      <c r="AB210" s="109"/>
      <c r="AC210" s="109"/>
      <c r="AD210" s="109"/>
      <c r="AE210" s="109"/>
      <c r="AF210" s="109"/>
      <c r="AG210" s="109"/>
      <c r="AH210" s="109"/>
      <c r="AI210" s="109"/>
      <c r="AJ210" s="109"/>
    </row>
    <row r="211" spans="1:36" hidden="1" x14ac:dyDescent="0.35">
      <c r="A211" s="110">
        <v>43</v>
      </c>
      <c r="B211" s="111" t="s">
        <v>545</v>
      </c>
      <c r="C211" s="112"/>
      <c r="D211" s="112"/>
      <c r="E211" s="113"/>
      <c r="F211" s="113"/>
      <c r="G211" s="113"/>
      <c r="H211" s="113"/>
      <c r="I211" s="110">
        <v>43</v>
      </c>
      <c r="J211" s="111" t="s">
        <v>545</v>
      </c>
      <c r="K211" s="278"/>
      <c r="L211" s="278"/>
      <c r="M211" s="113"/>
      <c r="N211" s="113"/>
      <c r="O211" s="113"/>
      <c r="P211" s="113"/>
      <c r="Q211" s="113"/>
      <c r="R211" s="113"/>
      <c r="S211" s="113"/>
      <c r="T211" s="113"/>
      <c r="U211" s="113"/>
      <c r="V211" s="113"/>
      <c r="W211" s="113"/>
      <c r="X211" s="114"/>
      <c r="Y211" s="38"/>
      <c r="Z211" s="4"/>
      <c r="AA211" s="4"/>
      <c r="AB211" s="4"/>
      <c r="AC211" s="4"/>
      <c r="AD211" s="4"/>
      <c r="AE211" s="4"/>
      <c r="AF211" s="4"/>
      <c r="AG211" s="4"/>
      <c r="AH211" s="4"/>
      <c r="AI211" s="4"/>
      <c r="AJ211" s="4"/>
    </row>
    <row r="212" spans="1:36" ht="28" hidden="1" x14ac:dyDescent="0.35">
      <c r="A212" s="88" t="s">
        <v>546</v>
      </c>
      <c r="B212" s="24" t="s">
        <v>547</v>
      </c>
      <c r="C212" s="88" t="s">
        <v>548</v>
      </c>
      <c r="D212" s="88" t="s">
        <v>549</v>
      </c>
      <c r="E212" s="91">
        <v>46600</v>
      </c>
      <c r="F212" s="261"/>
      <c r="G212" s="261"/>
      <c r="H212" s="261"/>
      <c r="I212" s="88" t="s">
        <v>546</v>
      </c>
      <c r="J212" s="24" t="s">
        <v>547</v>
      </c>
      <c r="K212" s="88" t="s">
        <v>548</v>
      </c>
      <c r="L212" s="88" t="s">
        <v>549</v>
      </c>
      <c r="M212" s="258">
        <v>46600</v>
      </c>
      <c r="N212" s="92">
        <v>15600</v>
      </c>
      <c r="O212" s="92">
        <v>9000</v>
      </c>
      <c r="P212" s="92">
        <v>4200</v>
      </c>
      <c r="Q212" s="260"/>
      <c r="R212" s="260"/>
      <c r="S212" s="260"/>
      <c r="T212" s="260"/>
      <c r="U212" s="260"/>
      <c r="V212" s="260"/>
      <c r="W212" s="260"/>
      <c r="X212" s="115"/>
      <c r="Y212" s="38" t="s">
        <v>550</v>
      </c>
      <c r="Z212" s="4" t="s">
        <v>551</v>
      </c>
      <c r="AA212" s="4"/>
      <c r="AB212" s="4"/>
      <c r="AC212" s="4"/>
      <c r="AD212" s="4"/>
      <c r="AE212" s="4"/>
      <c r="AF212" s="4"/>
      <c r="AG212" s="4"/>
      <c r="AH212" s="4"/>
      <c r="AI212" s="4"/>
      <c r="AJ212" s="4"/>
    </row>
    <row r="213" spans="1:36" hidden="1" x14ac:dyDescent="0.35">
      <c r="A213" s="116"/>
      <c r="B213" s="117"/>
      <c r="C213" s="116"/>
      <c r="D213" s="116"/>
      <c r="E213" s="96"/>
      <c r="F213" s="118"/>
      <c r="G213" s="118"/>
      <c r="H213" s="118"/>
      <c r="I213" s="116"/>
      <c r="J213" s="117" t="s">
        <v>552</v>
      </c>
      <c r="K213" s="116"/>
      <c r="L213" s="116"/>
      <c r="M213" s="97"/>
      <c r="N213" s="119"/>
      <c r="O213" s="119"/>
      <c r="P213" s="119"/>
      <c r="Q213" s="120"/>
      <c r="R213" s="120"/>
      <c r="S213" s="120"/>
      <c r="T213" s="120"/>
      <c r="U213" s="120"/>
      <c r="V213" s="120"/>
      <c r="W213" s="120"/>
      <c r="X213" s="121"/>
      <c r="Y213" s="38" t="s">
        <v>553</v>
      </c>
      <c r="Z213" s="4" t="s">
        <v>551</v>
      </c>
      <c r="AA213" s="4"/>
      <c r="AB213" s="4"/>
      <c r="AC213" s="4"/>
      <c r="AD213" s="4"/>
      <c r="AE213" s="4"/>
      <c r="AF213" s="4"/>
      <c r="AG213" s="4"/>
      <c r="AH213" s="4"/>
      <c r="AI213" s="4"/>
      <c r="AJ213" s="4"/>
    </row>
    <row r="214" spans="1:36" hidden="1" x14ac:dyDescent="0.35">
      <c r="A214" s="116"/>
      <c r="B214" s="117"/>
      <c r="C214" s="116"/>
      <c r="D214" s="116"/>
      <c r="E214" s="96"/>
      <c r="F214" s="118"/>
      <c r="G214" s="118"/>
      <c r="H214" s="118"/>
      <c r="I214" s="116" t="s">
        <v>554</v>
      </c>
      <c r="J214" s="117"/>
      <c r="K214" s="116"/>
      <c r="L214" s="116"/>
      <c r="M214" s="97"/>
      <c r="N214" s="119"/>
      <c r="O214" s="119"/>
      <c r="P214" s="119"/>
      <c r="Q214" s="120"/>
      <c r="R214" s="120"/>
      <c r="S214" s="120"/>
      <c r="T214" s="120"/>
      <c r="U214" s="120"/>
      <c r="V214" s="120"/>
      <c r="W214" s="120"/>
      <c r="X214" s="121"/>
      <c r="Y214" s="38" t="s">
        <v>553</v>
      </c>
      <c r="Z214" s="4" t="s">
        <v>551</v>
      </c>
      <c r="AA214" s="4"/>
      <c r="AB214" s="4"/>
      <c r="AC214" s="4"/>
      <c r="AD214" s="4"/>
      <c r="AE214" s="4"/>
      <c r="AF214" s="4"/>
      <c r="AG214" s="4"/>
      <c r="AH214" s="4"/>
      <c r="AI214" s="4"/>
      <c r="AJ214" s="4"/>
    </row>
    <row r="215" spans="1:36" hidden="1" x14ac:dyDescent="0.35">
      <c r="A215" s="116"/>
      <c r="B215" s="117"/>
      <c r="C215" s="116"/>
      <c r="D215" s="116"/>
      <c r="E215" s="96"/>
      <c r="F215" s="118"/>
      <c r="G215" s="118"/>
      <c r="H215" s="118"/>
      <c r="I215" s="116"/>
      <c r="J215" s="117"/>
      <c r="K215" s="116"/>
      <c r="L215" s="116"/>
      <c r="M215" s="97"/>
      <c r="N215" s="119"/>
      <c r="O215" s="119"/>
      <c r="P215" s="119"/>
      <c r="Q215" s="120"/>
      <c r="R215" s="120"/>
      <c r="S215" s="120"/>
      <c r="T215" s="120"/>
      <c r="U215" s="120"/>
      <c r="V215" s="120"/>
      <c r="W215" s="120"/>
      <c r="X215" s="121"/>
      <c r="Y215" s="38"/>
      <c r="Z215" s="4"/>
      <c r="AA215" s="4"/>
      <c r="AB215" s="4"/>
      <c r="AC215" s="4"/>
      <c r="AD215" s="4"/>
      <c r="AE215" s="4"/>
      <c r="AF215" s="4"/>
      <c r="AG215" s="4"/>
      <c r="AH215" s="4"/>
      <c r="AI215" s="4"/>
      <c r="AJ215" s="4"/>
    </row>
    <row r="216" spans="1:36" ht="28" hidden="1" x14ac:dyDescent="0.35">
      <c r="A216" s="116"/>
      <c r="B216" s="117" t="s">
        <v>552</v>
      </c>
      <c r="C216" s="116"/>
      <c r="D216" s="116"/>
      <c r="E216" s="96"/>
      <c r="F216" s="118"/>
      <c r="G216" s="118"/>
      <c r="H216" s="118"/>
      <c r="I216" s="116"/>
      <c r="J216" s="117"/>
      <c r="K216" s="116"/>
      <c r="L216" s="116"/>
      <c r="M216" s="97"/>
      <c r="N216" s="119"/>
      <c r="O216" s="119"/>
      <c r="P216" s="119"/>
      <c r="Q216" s="120"/>
      <c r="R216" s="120"/>
      <c r="S216" s="120"/>
      <c r="T216" s="120"/>
      <c r="U216" s="120"/>
      <c r="V216" s="120"/>
      <c r="W216" s="120"/>
      <c r="X216" s="121"/>
      <c r="Y216" s="38" t="s">
        <v>555</v>
      </c>
      <c r="Z216" s="4"/>
      <c r="AA216" s="4" t="s">
        <v>106</v>
      </c>
      <c r="AB216" s="4"/>
      <c r="AC216" s="4"/>
      <c r="AD216" s="4"/>
      <c r="AE216" s="4"/>
      <c r="AF216" s="4"/>
      <c r="AG216" s="4"/>
      <c r="AH216" s="4"/>
      <c r="AI216" s="4"/>
      <c r="AJ216" s="4"/>
    </row>
    <row r="217" spans="1:36" hidden="1" x14ac:dyDescent="0.35">
      <c r="A217" s="116"/>
      <c r="B217" s="117"/>
      <c r="C217" s="116"/>
      <c r="D217" s="116"/>
      <c r="E217" s="96"/>
      <c r="F217" s="118"/>
      <c r="G217" s="118"/>
      <c r="H217" s="118"/>
      <c r="I217" s="116"/>
      <c r="J217" s="117"/>
      <c r="K217" s="116"/>
      <c r="L217" s="116"/>
      <c r="M217" s="97"/>
      <c r="N217" s="119"/>
      <c r="O217" s="119"/>
      <c r="P217" s="119"/>
      <c r="Q217" s="120"/>
      <c r="R217" s="120"/>
      <c r="S217" s="120"/>
      <c r="T217" s="120"/>
      <c r="U217" s="120"/>
      <c r="V217" s="120"/>
      <c r="W217" s="120"/>
      <c r="X217" s="121"/>
      <c r="Y217" s="38"/>
      <c r="Z217" s="4"/>
      <c r="AA217" s="4"/>
      <c r="AB217" s="4"/>
      <c r="AC217" s="4"/>
      <c r="AD217" s="4"/>
      <c r="AE217" s="4"/>
      <c r="AF217" s="4"/>
      <c r="AG217" s="4"/>
      <c r="AH217" s="4"/>
      <c r="AI217" s="4"/>
      <c r="AJ217" s="4"/>
    </row>
    <row r="218" spans="1:36" x14ac:dyDescent="0.35">
      <c r="A218" s="51">
        <v>44</v>
      </c>
      <c r="B218" s="52" t="s">
        <v>556</v>
      </c>
      <c r="C218" s="122"/>
      <c r="D218" s="122"/>
      <c r="E218" s="118"/>
      <c r="F218" s="118"/>
      <c r="G218" s="118"/>
      <c r="H218" s="118"/>
      <c r="I218" s="51">
        <v>44</v>
      </c>
      <c r="J218" s="52" t="s">
        <v>556</v>
      </c>
      <c r="K218" s="152"/>
      <c r="L218" s="152"/>
      <c r="M218" s="118"/>
      <c r="N218" s="118"/>
      <c r="O218" s="118"/>
      <c r="P218" s="118"/>
      <c r="Q218" s="118"/>
      <c r="R218" s="118"/>
      <c r="S218" s="118"/>
      <c r="T218" s="118"/>
      <c r="U218" s="118"/>
      <c r="V218" s="118"/>
      <c r="W218" s="118"/>
      <c r="X218" s="123"/>
      <c r="Y218" s="38"/>
      <c r="Z218" s="4"/>
      <c r="AA218" s="4"/>
      <c r="AB218" s="4"/>
      <c r="AC218" s="4"/>
      <c r="AD218" s="4"/>
      <c r="AE218" s="4"/>
      <c r="AF218" s="4"/>
      <c r="AG218" s="4"/>
      <c r="AH218" s="4"/>
      <c r="AI218" s="4"/>
      <c r="AJ218" s="4"/>
    </row>
    <row r="219" spans="1:36" ht="60.4" hidden="1" customHeight="1" x14ac:dyDescent="0.35">
      <c r="A219" s="62"/>
      <c r="B219" s="53"/>
      <c r="C219" s="53"/>
      <c r="D219" s="53"/>
      <c r="E219" s="61"/>
      <c r="F219" s="61"/>
      <c r="G219" s="61"/>
      <c r="H219" s="61"/>
      <c r="I219" s="62"/>
      <c r="J219" s="53" t="s">
        <v>557</v>
      </c>
      <c r="K219" s="53"/>
      <c r="L219" s="53"/>
      <c r="M219" s="61"/>
      <c r="N219" s="61"/>
      <c r="O219" s="61"/>
      <c r="P219" s="61"/>
      <c r="Q219" s="124"/>
      <c r="R219" s="124"/>
      <c r="S219" s="124"/>
      <c r="T219" s="124"/>
      <c r="U219" s="124"/>
      <c r="V219" s="124"/>
      <c r="W219" s="124"/>
      <c r="X219" s="124"/>
      <c r="Y219" s="463" t="s">
        <v>558</v>
      </c>
      <c r="Z219" s="4" t="s">
        <v>551</v>
      </c>
      <c r="AA219" s="4"/>
      <c r="AB219" s="4"/>
      <c r="AC219" s="4"/>
      <c r="AD219" s="4"/>
      <c r="AE219" s="4"/>
      <c r="AF219" s="4"/>
      <c r="AG219" s="4"/>
      <c r="AH219" s="4"/>
      <c r="AI219" s="4"/>
      <c r="AJ219" s="4"/>
    </row>
    <row r="220" spans="1:36" ht="28" hidden="1" x14ac:dyDescent="0.35">
      <c r="A220" s="62"/>
      <c r="B220" s="53"/>
      <c r="C220" s="53"/>
      <c r="D220" s="53"/>
      <c r="E220" s="61"/>
      <c r="F220" s="61"/>
      <c r="G220" s="61"/>
      <c r="H220" s="61"/>
      <c r="I220" s="62"/>
      <c r="J220" s="53" t="s">
        <v>559</v>
      </c>
      <c r="K220" s="53"/>
      <c r="L220" s="53"/>
      <c r="M220" s="261"/>
      <c r="N220" s="261"/>
      <c r="O220" s="261"/>
      <c r="P220" s="261"/>
      <c r="Q220" s="125"/>
      <c r="R220" s="125"/>
      <c r="S220" s="125"/>
      <c r="T220" s="125"/>
      <c r="U220" s="125"/>
      <c r="V220" s="125"/>
      <c r="W220" s="125"/>
      <c r="X220" s="126"/>
      <c r="Y220" s="463"/>
      <c r="Z220" s="4"/>
      <c r="AA220" s="4"/>
      <c r="AB220" s="4"/>
      <c r="AC220" s="4"/>
      <c r="AD220" s="4"/>
      <c r="AE220" s="4"/>
      <c r="AF220" s="4"/>
      <c r="AG220" s="4"/>
      <c r="AH220" s="4"/>
      <c r="AI220" s="4"/>
      <c r="AJ220" s="4"/>
    </row>
    <row r="221" spans="1:36" ht="28" hidden="1" x14ac:dyDescent="0.35">
      <c r="A221" s="62" t="s">
        <v>143</v>
      </c>
      <c r="B221" s="53" t="s">
        <v>560</v>
      </c>
      <c r="C221" s="259"/>
      <c r="D221" s="259"/>
      <c r="E221" s="261"/>
      <c r="F221" s="261"/>
      <c r="G221" s="261"/>
      <c r="H221" s="261"/>
      <c r="I221" s="62" t="s">
        <v>143</v>
      </c>
      <c r="J221" s="53" t="s">
        <v>560</v>
      </c>
      <c r="K221" s="237"/>
      <c r="L221" s="237"/>
      <c r="M221" s="261"/>
      <c r="N221" s="261"/>
      <c r="O221" s="261"/>
      <c r="P221" s="261"/>
      <c r="Q221" s="261"/>
      <c r="R221" s="261"/>
      <c r="S221" s="261"/>
      <c r="T221" s="261"/>
      <c r="U221" s="261"/>
      <c r="V221" s="261"/>
      <c r="W221" s="261"/>
      <c r="X221" s="34"/>
      <c r="Y221" s="38"/>
      <c r="Z221" s="4"/>
      <c r="AA221" s="4"/>
      <c r="AB221" s="4"/>
      <c r="AC221" s="4"/>
      <c r="AD221" s="4"/>
      <c r="AE221" s="4"/>
      <c r="AF221" s="4"/>
      <c r="AG221" s="4"/>
      <c r="AH221" s="4"/>
      <c r="AI221" s="4"/>
      <c r="AJ221" s="4"/>
    </row>
    <row r="222" spans="1:36" ht="43.15" hidden="1" customHeight="1" x14ac:dyDescent="0.35">
      <c r="A222" s="62" t="s">
        <v>561</v>
      </c>
      <c r="B222" s="53" t="s">
        <v>560</v>
      </c>
      <c r="C222" s="53" t="s">
        <v>562</v>
      </c>
      <c r="D222" s="53" t="s">
        <v>563</v>
      </c>
      <c r="E222" s="61">
        <v>21000</v>
      </c>
      <c r="F222" s="61">
        <v>9300</v>
      </c>
      <c r="G222" s="61">
        <v>3500</v>
      </c>
      <c r="H222" s="61">
        <v>1100</v>
      </c>
      <c r="I222" s="62" t="s">
        <v>561</v>
      </c>
      <c r="J222" s="53" t="s">
        <v>560</v>
      </c>
      <c r="K222" s="53" t="s">
        <v>562</v>
      </c>
      <c r="L222" s="53" t="s">
        <v>563</v>
      </c>
      <c r="M222" s="58">
        <v>25100</v>
      </c>
      <c r="N222" s="58">
        <v>8000</v>
      </c>
      <c r="O222" s="58">
        <v>2900</v>
      </c>
      <c r="P222" s="58">
        <v>900</v>
      </c>
      <c r="Q222" s="127"/>
      <c r="R222" s="127"/>
      <c r="S222" s="127"/>
      <c r="T222" s="127"/>
      <c r="U222" s="127"/>
      <c r="V222" s="127"/>
      <c r="W222" s="127"/>
      <c r="X222" s="128"/>
      <c r="Y222" s="463" t="s">
        <v>564</v>
      </c>
      <c r="Z222" s="4" t="s">
        <v>551</v>
      </c>
      <c r="AA222" s="4"/>
      <c r="AB222" s="4"/>
      <c r="AC222" s="4"/>
      <c r="AD222" s="4"/>
      <c r="AE222" s="4"/>
      <c r="AF222" s="4"/>
      <c r="AG222" s="4"/>
      <c r="AH222" s="4"/>
      <c r="AI222" s="4"/>
      <c r="AJ222" s="4"/>
    </row>
    <row r="223" spans="1:36" ht="56" hidden="1" x14ac:dyDescent="0.35">
      <c r="A223" s="19" t="s">
        <v>565</v>
      </c>
      <c r="B223" s="38" t="s">
        <v>560</v>
      </c>
      <c r="C223" s="237" t="s">
        <v>566</v>
      </c>
      <c r="D223" s="237" t="s">
        <v>567</v>
      </c>
      <c r="E223" s="18">
        <v>25100</v>
      </c>
      <c r="F223" s="18">
        <v>8000</v>
      </c>
      <c r="G223" s="18">
        <v>2900</v>
      </c>
      <c r="H223" s="18">
        <v>900</v>
      </c>
      <c r="I223" s="19" t="s">
        <v>565</v>
      </c>
      <c r="J223" s="38" t="s">
        <v>560</v>
      </c>
      <c r="K223" s="237" t="s">
        <v>566</v>
      </c>
      <c r="L223" s="237" t="s">
        <v>567</v>
      </c>
      <c r="M223" s="129">
        <v>21000</v>
      </c>
      <c r="N223" s="129">
        <v>9300</v>
      </c>
      <c r="O223" s="129">
        <v>3500</v>
      </c>
      <c r="P223" s="129">
        <v>1100</v>
      </c>
      <c r="Q223" s="130"/>
      <c r="R223" s="130"/>
      <c r="S223" s="130"/>
      <c r="T223" s="130"/>
      <c r="U223" s="130"/>
      <c r="V223" s="130"/>
      <c r="W223" s="130"/>
      <c r="X223" s="130"/>
      <c r="Y223" s="463"/>
      <c r="Z223" s="4" t="s">
        <v>551</v>
      </c>
      <c r="AA223" s="4"/>
      <c r="AB223" s="4"/>
      <c r="AC223" s="4"/>
      <c r="AD223" s="4"/>
      <c r="AE223" s="4"/>
      <c r="AF223" s="4"/>
      <c r="AG223" s="4"/>
      <c r="AH223" s="4"/>
      <c r="AI223" s="4"/>
      <c r="AJ223" s="4"/>
    </row>
    <row r="224" spans="1:36" x14ac:dyDescent="0.35">
      <c r="A224" s="19"/>
      <c r="B224" s="38"/>
      <c r="C224" s="1"/>
      <c r="D224" s="1"/>
      <c r="E224" s="124"/>
      <c r="F224" s="124"/>
      <c r="G224" s="124"/>
      <c r="H224" s="124"/>
      <c r="I224" s="19"/>
      <c r="J224" s="52" t="s">
        <v>1078</v>
      </c>
      <c r="K224" s="237"/>
      <c r="L224" s="237"/>
      <c r="M224" s="130"/>
      <c r="N224" s="130"/>
      <c r="O224" s="130"/>
      <c r="P224" s="130"/>
      <c r="Q224" s="130"/>
      <c r="R224" s="130"/>
      <c r="S224" s="130"/>
      <c r="T224" s="130"/>
      <c r="U224" s="130"/>
      <c r="V224" s="130"/>
      <c r="W224" s="130"/>
      <c r="X224" s="130"/>
      <c r="Y224" s="38"/>
      <c r="Z224" s="4"/>
      <c r="AA224" s="4"/>
      <c r="AB224" s="4"/>
      <c r="AC224" s="4"/>
      <c r="AD224" s="4"/>
      <c r="AE224" s="4"/>
      <c r="AF224" s="4"/>
      <c r="AG224" s="4"/>
      <c r="AH224" s="4"/>
      <c r="AI224" s="4"/>
      <c r="AJ224" s="4"/>
    </row>
    <row r="225" spans="1:36" ht="56" x14ac:dyDescent="0.35">
      <c r="A225" s="19" t="s">
        <v>200</v>
      </c>
      <c r="B225" s="38" t="s">
        <v>568</v>
      </c>
      <c r="C225" s="1"/>
      <c r="D225" s="1"/>
      <c r="E225" s="124"/>
      <c r="F225" s="124"/>
      <c r="G225" s="124"/>
      <c r="H225" s="124"/>
      <c r="I225" s="19" t="s">
        <v>200</v>
      </c>
      <c r="J225" s="38" t="s">
        <v>568</v>
      </c>
      <c r="K225" s="237"/>
      <c r="L225" s="237"/>
      <c r="M225" s="58"/>
      <c r="N225" s="58"/>
      <c r="O225" s="58"/>
      <c r="P225" s="58"/>
      <c r="Q225" s="58"/>
      <c r="R225" s="58"/>
      <c r="S225" s="58"/>
      <c r="T225" s="58"/>
      <c r="U225" s="58"/>
      <c r="V225" s="58"/>
      <c r="W225" s="58"/>
      <c r="X225" s="58"/>
      <c r="Y225" s="38"/>
      <c r="Z225" s="4"/>
      <c r="AA225" s="4"/>
      <c r="AB225" s="4"/>
      <c r="AC225" s="4"/>
      <c r="AD225" s="4"/>
      <c r="AE225" s="4"/>
      <c r="AF225" s="4"/>
      <c r="AG225" s="4"/>
      <c r="AH225" s="4"/>
      <c r="AI225" s="4"/>
      <c r="AJ225" s="4"/>
    </row>
    <row r="226" spans="1:36" ht="70" x14ac:dyDescent="0.35">
      <c r="A226" s="19" t="s">
        <v>153</v>
      </c>
      <c r="B226" s="38" t="s">
        <v>569</v>
      </c>
      <c r="C226" s="237" t="s">
        <v>570</v>
      </c>
      <c r="D226" s="237" t="s">
        <v>571</v>
      </c>
      <c r="E226" s="18">
        <v>10000</v>
      </c>
      <c r="F226" s="18">
        <v>4400</v>
      </c>
      <c r="G226" s="18">
        <v>1900</v>
      </c>
      <c r="H226" s="18">
        <v>600</v>
      </c>
      <c r="I226" s="19" t="s">
        <v>153</v>
      </c>
      <c r="J226" s="38" t="s">
        <v>569</v>
      </c>
      <c r="K226" s="238" t="s">
        <v>570</v>
      </c>
      <c r="L226" s="238" t="s">
        <v>572</v>
      </c>
      <c r="M226" s="18">
        <v>10000</v>
      </c>
      <c r="N226" s="18">
        <v>4400</v>
      </c>
      <c r="O226" s="18">
        <v>1900</v>
      </c>
      <c r="P226" s="18">
        <v>600</v>
      </c>
      <c r="Q226" s="54">
        <v>6000</v>
      </c>
      <c r="R226" s="54">
        <v>2640</v>
      </c>
      <c r="S226" s="54">
        <v>1140</v>
      </c>
      <c r="T226" s="54">
        <v>360</v>
      </c>
      <c r="U226" s="54">
        <v>4000</v>
      </c>
      <c r="V226" s="54">
        <v>1760</v>
      </c>
      <c r="W226" s="54">
        <v>760</v>
      </c>
      <c r="X226" s="54">
        <v>240</v>
      </c>
      <c r="Y226" s="38" t="s">
        <v>469</v>
      </c>
      <c r="Z226" s="4"/>
      <c r="AA226" s="4"/>
      <c r="AB226" s="4"/>
      <c r="AC226" s="4"/>
      <c r="AD226" s="4"/>
      <c r="AE226" s="4"/>
      <c r="AF226" s="4"/>
      <c r="AG226" s="4"/>
      <c r="AH226" s="4"/>
      <c r="AI226" s="4"/>
      <c r="AJ226" s="4"/>
    </row>
    <row r="227" spans="1:36" ht="70" x14ac:dyDescent="0.35">
      <c r="A227" s="19" t="s">
        <v>573</v>
      </c>
      <c r="B227" s="38" t="s">
        <v>569</v>
      </c>
      <c r="C227" s="237" t="s">
        <v>574</v>
      </c>
      <c r="D227" s="237" t="s">
        <v>575</v>
      </c>
      <c r="E227" s="18">
        <v>6300</v>
      </c>
      <c r="F227" s="18">
        <v>2700</v>
      </c>
      <c r="G227" s="18">
        <v>1000</v>
      </c>
      <c r="H227" s="18">
        <v>450</v>
      </c>
      <c r="I227" s="19" t="s">
        <v>573</v>
      </c>
      <c r="J227" s="38" t="s">
        <v>569</v>
      </c>
      <c r="K227" s="238" t="s">
        <v>576</v>
      </c>
      <c r="L227" s="238" t="s">
        <v>575</v>
      </c>
      <c r="M227" s="18">
        <v>6300</v>
      </c>
      <c r="N227" s="18">
        <v>2700</v>
      </c>
      <c r="O227" s="18">
        <v>1000</v>
      </c>
      <c r="P227" s="18">
        <v>450</v>
      </c>
      <c r="Q227" s="54">
        <v>3780</v>
      </c>
      <c r="R227" s="54">
        <v>1620</v>
      </c>
      <c r="S227" s="54">
        <v>600</v>
      </c>
      <c r="T227" s="54">
        <v>270</v>
      </c>
      <c r="U227" s="54">
        <v>2520</v>
      </c>
      <c r="V227" s="54">
        <v>1080</v>
      </c>
      <c r="W227" s="54">
        <v>400</v>
      </c>
      <c r="X227" s="54">
        <v>180</v>
      </c>
      <c r="Y227" s="38" t="s">
        <v>469</v>
      </c>
      <c r="Z227" s="4"/>
      <c r="AA227" s="4"/>
      <c r="AB227" s="4"/>
      <c r="AC227" s="4"/>
      <c r="AD227" s="4"/>
      <c r="AE227" s="4"/>
      <c r="AF227" s="4"/>
      <c r="AG227" s="4"/>
      <c r="AH227" s="4"/>
      <c r="AI227" s="4"/>
      <c r="AJ227" s="4"/>
    </row>
    <row r="228" spans="1:36" ht="28" hidden="1" x14ac:dyDescent="0.35">
      <c r="A228" s="19" t="s">
        <v>577</v>
      </c>
      <c r="B228" s="38" t="s">
        <v>560</v>
      </c>
      <c r="C228" s="237" t="s">
        <v>578</v>
      </c>
      <c r="D228" s="237" t="s">
        <v>579</v>
      </c>
      <c r="E228" s="18">
        <v>5100</v>
      </c>
      <c r="F228" s="18">
        <v>2700</v>
      </c>
      <c r="G228" s="18">
        <v>1200</v>
      </c>
      <c r="H228" s="18">
        <v>450</v>
      </c>
      <c r="I228" s="51"/>
      <c r="J228" s="52"/>
      <c r="K228" s="237"/>
      <c r="L228" s="237"/>
      <c r="M228" s="261"/>
      <c r="N228" s="261"/>
      <c r="O228" s="261"/>
      <c r="P228" s="261"/>
      <c r="Q228" s="261"/>
      <c r="R228" s="261"/>
      <c r="S228" s="261"/>
      <c r="T228" s="261"/>
      <c r="U228" s="261"/>
      <c r="V228" s="261"/>
      <c r="W228" s="261"/>
      <c r="X228" s="34"/>
      <c r="Y228" s="38" t="s">
        <v>580</v>
      </c>
      <c r="Z228" s="4"/>
      <c r="AA228" s="4"/>
      <c r="AB228" s="4"/>
      <c r="AC228" s="4"/>
      <c r="AD228" s="4"/>
      <c r="AE228" s="4"/>
      <c r="AF228" s="4"/>
      <c r="AG228" s="4"/>
      <c r="AH228" s="4"/>
      <c r="AI228" s="4"/>
      <c r="AJ228" s="4"/>
    </row>
    <row r="229" spans="1:36" ht="42" x14ac:dyDescent="0.35">
      <c r="A229" s="19"/>
      <c r="B229" s="38"/>
      <c r="C229" s="237"/>
      <c r="D229" s="237"/>
      <c r="E229" s="18"/>
      <c r="F229" s="18"/>
      <c r="G229" s="18"/>
      <c r="H229" s="18"/>
      <c r="I229" s="102" t="s">
        <v>593</v>
      </c>
      <c r="J229" s="31" t="s">
        <v>592</v>
      </c>
      <c r="K229" s="238" t="s">
        <v>596</v>
      </c>
      <c r="L229" s="238" t="s">
        <v>597</v>
      </c>
      <c r="M229" s="18">
        <v>5300</v>
      </c>
      <c r="N229" s="18">
        <v>2400</v>
      </c>
      <c r="O229" s="18">
        <v>1200</v>
      </c>
      <c r="P229" s="18">
        <v>450</v>
      </c>
      <c r="Q229" s="54">
        <v>3180</v>
      </c>
      <c r="R229" s="54">
        <v>1440</v>
      </c>
      <c r="S229" s="54">
        <v>720</v>
      </c>
      <c r="T229" s="54">
        <v>270</v>
      </c>
      <c r="U229" s="54">
        <v>2120</v>
      </c>
      <c r="V229" s="54">
        <v>960</v>
      </c>
      <c r="W229" s="54">
        <v>480</v>
      </c>
      <c r="X229" s="54">
        <v>180</v>
      </c>
      <c r="Y229" s="38"/>
      <c r="Z229" s="4"/>
      <c r="AA229" s="4"/>
      <c r="AB229" s="4"/>
      <c r="AC229" s="4"/>
      <c r="AD229" s="4"/>
      <c r="AE229" s="4"/>
      <c r="AF229" s="4"/>
      <c r="AG229" s="4"/>
      <c r="AH229" s="4"/>
      <c r="AI229" s="4"/>
      <c r="AJ229" s="4"/>
    </row>
    <row r="230" spans="1:36" ht="17.25" customHeight="1" x14ac:dyDescent="0.35">
      <c r="A230" s="19" t="s">
        <v>581</v>
      </c>
      <c r="B230" s="38" t="s">
        <v>79</v>
      </c>
      <c r="C230" s="237"/>
      <c r="D230" s="237"/>
      <c r="E230" s="18"/>
      <c r="F230" s="18"/>
      <c r="G230" s="18"/>
      <c r="H230" s="18"/>
      <c r="J230" s="496" t="s">
        <v>1079</v>
      </c>
      <c r="K230" s="497"/>
      <c r="M230" s="7"/>
      <c r="N230" s="7"/>
      <c r="O230" s="7"/>
      <c r="P230" s="7"/>
      <c r="Q230" s="7"/>
      <c r="R230" s="7"/>
      <c r="S230" s="7"/>
      <c r="T230" s="7"/>
      <c r="U230" s="7"/>
      <c r="V230" s="7"/>
      <c r="W230" s="7"/>
      <c r="X230" s="7"/>
      <c r="Y230" s="38" t="s">
        <v>582</v>
      </c>
      <c r="Z230" s="109" t="s">
        <v>583</v>
      </c>
      <c r="AA230" s="4"/>
      <c r="AB230" s="4"/>
      <c r="AC230" s="4"/>
      <c r="AD230" s="4"/>
      <c r="AE230" s="4"/>
      <c r="AF230" s="4"/>
      <c r="AG230" s="4"/>
      <c r="AH230" s="4"/>
      <c r="AI230" s="4"/>
      <c r="AJ230" s="4"/>
    </row>
    <row r="231" spans="1:36" ht="42" hidden="1" x14ac:dyDescent="0.35">
      <c r="A231" s="131" t="s">
        <v>584</v>
      </c>
      <c r="B231" s="132" t="s">
        <v>585</v>
      </c>
      <c r="C231" s="112"/>
      <c r="D231" s="112"/>
      <c r="E231" s="113"/>
      <c r="F231" s="113"/>
      <c r="G231" s="113"/>
      <c r="H231" s="113"/>
      <c r="I231" s="51"/>
      <c r="J231" s="52"/>
      <c r="K231" s="237"/>
      <c r="L231" s="237"/>
      <c r="M231" s="261"/>
      <c r="N231" s="261"/>
      <c r="O231" s="261"/>
      <c r="P231" s="261"/>
      <c r="Q231" s="261"/>
      <c r="R231" s="261"/>
      <c r="S231" s="261"/>
      <c r="T231" s="261"/>
      <c r="U231" s="261"/>
      <c r="V231" s="261"/>
      <c r="W231" s="261"/>
      <c r="X231" s="34"/>
      <c r="Y231" s="38"/>
      <c r="Z231" s="4"/>
      <c r="AA231" s="4"/>
      <c r="AB231" s="4"/>
      <c r="AC231" s="4"/>
      <c r="AD231" s="4"/>
      <c r="AE231" s="4"/>
      <c r="AF231" s="4"/>
      <c r="AG231" s="4"/>
      <c r="AH231" s="4"/>
      <c r="AI231" s="4"/>
      <c r="AJ231" s="4"/>
    </row>
    <row r="232" spans="1:36" ht="42" hidden="1" x14ac:dyDescent="0.35">
      <c r="A232" s="19" t="s">
        <v>586</v>
      </c>
      <c r="B232" s="38" t="s">
        <v>587</v>
      </c>
      <c r="C232" s="38" t="s">
        <v>588</v>
      </c>
      <c r="D232" s="38" t="s">
        <v>589</v>
      </c>
      <c r="E232" s="18">
        <v>400</v>
      </c>
      <c r="F232" s="18">
        <v>350</v>
      </c>
      <c r="G232" s="18">
        <v>300</v>
      </c>
      <c r="H232" s="18">
        <v>250</v>
      </c>
      <c r="I232" s="256"/>
      <c r="J232" s="14"/>
      <c r="K232" s="237"/>
      <c r="L232" s="237"/>
      <c r="M232" s="261"/>
      <c r="N232" s="261"/>
      <c r="O232" s="133"/>
      <c r="P232" s="113"/>
      <c r="Q232" s="113"/>
      <c r="R232" s="113"/>
      <c r="S232" s="113"/>
      <c r="T232" s="113"/>
      <c r="U232" s="113"/>
      <c r="V232" s="113"/>
      <c r="W232" s="113"/>
      <c r="X232" s="114"/>
      <c r="Y232" s="24" t="s">
        <v>590</v>
      </c>
      <c r="Z232" s="4"/>
      <c r="AA232" s="4"/>
      <c r="AB232" s="4"/>
      <c r="AC232" s="4"/>
      <c r="AD232" s="4"/>
      <c r="AE232" s="4"/>
      <c r="AF232" s="4"/>
      <c r="AG232" s="4"/>
      <c r="AH232" s="4"/>
      <c r="AI232" s="4"/>
      <c r="AJ232" s="4"/>
    </row>
    <row r="233" spans="1:36" hidden="1" x14ac:dyDescent="0.35">
      <c r="A233" s="19" t="s">
        <v>591</v>
      </c>
      <c r="B233" s="38" t="s">
        <v>592</v>
      </c>
      <c r="C233" s="38"/>
      <c r="D233" s="38"/>
      <c r="E233" s="18"/>
      <c r="F233" s="18"/>
      <c r="G233" s="18"/>
      <c r="H233" s="18"/>
      <c r="I233" s="256"/>
      <c r="J233" s="14"/>
      <c r="K233" s="237"/>
      <c r="L233" s="237"/>
      <c r="M233" s="261"/>
      <c r="N233" s="261"/>
      <c r="O233" s="133"/>
      <c r="P233" s="113"/>
      <c r="Q233" s="113"/>
      <c r="R233" s="113"/>
      <c r="S233" s="113"/>
      <c r="T233" s="113"/>
      <c r="U233" s="113"/>
      <c r="V233" s="113"/>
      <c r="W233" s="113"/>
      <c r="X233" s="114"/>
      <c r="Y233" s="134"/>
      <c r="Z233" s="4"/>
      <c r="AA233" s="4"/>
      <c r="AB233" s="4"/>
      <c r="AC233" s="4"/>
      <c r="AD233" s="4"/>
      <c r="AE233" s="4"/>
      <c r="AF233" s="4"/>
      <c r="AG233" s="4"/>
      <c r="AH233" s="4"/>
      <c r="AI233" s="4"/>
      <c r="AJ233" s="4"/>
    </row>
    <row r="234" spans="1:36" s="253" customFormat="1" ht="23.15" customHeight="1" x14ac:dyDescent="0.35">
      <c r="A234" s="19" t="s">
        <v>593</v>
      </c>
      <c r="B234" s="38" t="s">
        <v>592</v>
      </c>
      <c r="C234" s="237" t="s">
        <v>594</v>
      </c>
      <c r="D234" s="237" t="s">
        <v>595</v>
      </c>
      <c r="E234" s="18">
        <v>5300</v>
      </c>
      <c r="F234" s="18">
        <v>2400</v>
      </c>
      <c r="G234" s="18">
        <v>1200</v>
      </c>
      <c r="H234" s="18">
        <v>450</v>
      </c>
      <c r="I234" s="19" t="s">
        <v>581</v>
      </c>
      <c r="J234" s="38" t="s">
        <v>79</v>
      </c>
      <c r="K234" s="237"/>
      <c r="L234" s="237"/>
      <c r="M234" s="28">
        <v>7000</v>
      </c>
      <c r="N234" s="261"/>
      <c r="O234" s="261"/>
      <c r="P234" s="261"/>
      <c r="Q234" s="261"/>
      <c r="R234" s="261"/>
      <c r="S234" s="261"/>
      <c r="T234" s="261"/>
      <c r="U234" s="261"/>
      <c r="V234" s="261"/>
      <c r="W234" s="261"/>
      <c r="X234" s="34"/>
      <c r="Y234" s="38" t="s">
        <v>469</v>
      </c>
      <c r="Z234" s="4" t="s">
        <v>551</v>
      </c>
      <c r="AA234" s="27"/>
      <c r="AB234" s="27"/>
      <c r="AC234" s="27"/>
      <c r="AD234" s="27"/>
      <c r="AE234" s="27"/>
      <c r="AF234" s="27"/>
      <c r="AG234" s="27"/>
      <c r="AH234" s="27"/>
      <c r="AI234" s="27"/>
      <c r="AJ234" s="27"/>
    </row>
    <row r="235" spans="1:36" s="253" customFormat="1" ht="121" customHeight="1" x14ac:dyDescent="0.35">
      <c r="A235" s="19"/>
      <c r="B235" s="38"/>
      <c r="C235" s="237"/>
      <c r="D235" s="237"/>
      <c r="E235" s="18"/>
      <c r="F235" s="18"/>
      <c r="G235" s="30"/>
      <c r="H235" s="18"/>
      <c r="I235" s="102" t="s">
        <v>598</v>
      </c>
      <c r="J235" s="31" t="s">
        <v>599</v>
      </c>
      <c r="K235" s="238" t="s">
        <v>600</v>
      </c>
      <c r="L235" s="238" t="s">
        <v>601</v>
      </c>
      <c r="M235" s="242">
        <v>5300</v>
      </c>
      <c r="N235" s="242">
        <v>2400</v>
      </c>
      <c r="O235" s="242">
        <v>1200</v>
      </c>
      <c r="P235" s="242">
        <v>450</v>
      </c>
      <c r="Q235" s="242">
        <v>3180</v>
      </c>
      <c r="R235" s="242">
        <v>1440</v>
      </c>
      <c r="S235" s="242">
        <v>720</v>
      </c>
      <c r="T235" s="242">
        <v>270</v>
      </c>
      <c r="U235" s="242">
        <v>2120</v>
      </c>
      <c r="V235" s="242">
        <v>960</v>
      </c>
      <c r="W235" s="242">
        <v>480</v>
      </c>
      <c r="X235" s="242">
        <v>180</v>
      </c>
      <c r="Y235" s="134" t="s">
        <v>602</v>
      </c>
      <c r="Z235" s="4"/>
      <c r="AA235" s="27"/>
      <c r="AB235" s="27"/>
      <c r="AC235" s="27"/>
      <c r="AD235" s="27"/>
      <c r="AE235" s="27"/>
      <c r="AF235" s="27"/>
      <c r="AG235" s="27"/>
      <c r="AH235" s="27"/>
      <c r="AI235" s="27"/>
      <c r="AJ235" s="27"/>
    </row>
    <row r="236" spans="1:36" s="253" customFormat="1" ht="72.650000000000006" customHeight="1" x14ac:dyDescent="0.35">
      <c r="B236" s="12"/>
      <c r="E236" s="89"/>
      <c r="F236" s="89"/>
      <c r="G236" s="136"/>
      <c r="H236" s="89"/>
      <c r="I236" s="253">
        <v>28</v>
      </c>
      <c r="J236" s="38" t="s">
        <v>603</v>
      </c>
      <c r="K236" s="469" t="s">
        <v>36</v>
      </c>
      <c r="L236" s="469"/>
      <c r="M236" s="235">
        <v>7110</v>
      </c>
      <c r="N236" s="235"/>
      <c r="O236" s="235"/>
      <c r="P236" s="235"/>
      <c r="Q236" s="89"/>
      <c r="R236" s="89"/>
      <c r="S236" s="89"/>
      <c r="T236" s="89"/>
      <c r="U236" s="89"/>
      <c r="V236" s="89"/>
      <c r="W236" s="89"/>
      <c r="X236" s="136"/>
      <c r="Y236" s="15" t="s">
        <v>604</v>
      </c>
      <c r="Z236" s="4" t="s">
        <v>551</v>
      </c>
    </row>
    <row r="237" spans="1:36" ht="39.75" customHeight="1" x14ac:dyDescent="0.35">
      <c r="A237" s="51">
        <v>45</v>
      </c>
      <c r="B237" s="52" t="s">
        <v>605</v>
      </c>
      <c r="C237" s="259"/>
      <c r="D237" s="259"/>
      <c r="E237" s="261"/>
      <c r="F237" s="261"/>
      <c r="G237" s="34"/>
      <c r="H237" s="261"/>
      <c r="I237" s="256">
        <v>45</v>
      </c>
      <c r="J237" s="14" t="s">
        <v>605</v>
      </c>
      <c r="K237" s="237"/>
      <c r="L237" s="237"/>
      <c r="M237" s="261"/>
      <c r="N237" s="261"/>
      <c r="O237" s="137"/>
      <c r="P237" s="261"/>
      <c r="Q237" s="261"/>
      <c r="R237" s="261"/>
      <c r="S237" s="261"/>
      <c r="T237" s="261"/>
      <c r="U237" s="261"/>
      <c r="V237" s="261"/>
      <c r="W237" s="261"/>
      <c r="X237" s="34"/>
      <c r="Y237" s="15"/>
      <c r="Z237" s="4"/>
      <c r="AA237" s="4"/>
      <c r="AB237" s="4"/>
      <c r="AC237" s="4"/>
      <c r="AD237" s="4"/>
      <c r="AE237" s="4"/>
      <c r="AF237" s="4"/>
      <c r="AG237" s="4"/>
      <c r="AH237" s="4"/>
      <c r="AI237" s="4"/>
      <c r="AJ237" s="4"/>
    </row>
    <row r="238" spans="1:36" ht="21.4" customHeight="1" x14ac:dyDescent="0.35">
      <c r="A238" s="51"/>
      <c r="B238" s="52"/>
      <c r="C238" s="259"/>
      <c r="D238" s="259"/>
      <c r="E238" s="261"/>
      <c r="F238" s="261"/>
      <c r="G238" s="34"/>
      <c r="H238" s="261"/>
      <c r="I238" s="256"/>
      <c r="J238" s="52" t="s">
        <v>1078</v>
      </c>
      <c r="K238" s="237"/>
      <c r="L238" s="237"/>
      <c r="M238" s="261"/>
      <c r="N238" s="261"/>
      <c r="O238" s="326"/>
      <c r="P238" s="261"/>
      <c r="Q238" s="261"/>
      <c r="R238" s="261"/>
      <c r="S238" s="261"/>
      <c r="T238" s="261"/>
      <c r="U238" s="261"/>
      <c r="V238" s="261"/>
      <c r="W238" s="261"/>
      <c r="X238" s="34"/>
      <c r="Y238" s="15"/>
      <c r="Z238" s="4"/>
      <c r="AA238" s="4"/>
      <c r="AB238" s="4"/>
      <c r="AC238" s="4"/>
      <c r="AD238" s="4"/>
      <c r="AE238" s="4"/>
      <c r="AF238" s="4"/>
      <c r="AG238" s="4"/>
      <c r="AH238" s="4"/>
      <c r="AI238" s="4"/>
      <c r="AJ238" s="4"/>
    </row>
    <row r="239" spans="1:36" ht="39.75" customHeight="1" x14ac:dyDescent="0.35">
      <c r="A239" s="19" t="s">
        <v>167</v>
      </c>
      <c r="B239" s="38" t="s">
        <v>606</v>
      </c>
      <c r="C239" s="259"/>
      <c r="D239" s="259"/>
      <c r="E239" s="261"/>
      <c r="F239" s="261"/>
      <c r="G239" s="34"/>
      <c r="H239" s="261"/>
      <c r="I239" s="19" t="s">
        <v>167</v>
      </c>
      <c r="J239" s="38" t="s">
        <v>607</v>
      </c>
      <c r="K239" s="237"/>
      <c r="L239" s="237"/>
      <c r="M239" s="261"/>
      <c r="N239" s="261"/>
      <c r="O239" s="34"/>
      <c r="P239" s="261"/>
      <c r="Q239" s="261"/>
      <c r="R239" s="261"/>
      <c r="S239" s="261"/>
      <c r="T239" s="261"/>
      <c r="U239" s="261"/>
      <c r="V239" s="261"/>
      <c r="W239" s="261"/>
      <c r="X239" s="34"/>
      <c r="Y239" s="38" t="s">
        <v>469</v>
      </c>
      <c r="Z239" s="4"/>
      <c r="AA239" s="4"/>
      <c r="AB239" s="4"/>
      <c r="AC239" s="4"/>
      <c r="AD239" s="4"/>
      <c r="AE239" s="4"/>
      <c r="AF239" s="4"/>
      <c r="AG239" s="4"/>
      <c r="AH239" s="4"/>
      <c r="AI239" s="4"/>
      <c r="AJ239" s="4"/>
    </row>
    <row r="240" spans="1:36" ht="39.75" customHeight="1" x14ac:dyDescent="0.35">
      <c r="A240" s="19" t="s">
        <v>608</v>
      </c>
      <c r="B240" s="38" t="s">
        <v>609</v>
      </c>
      <c r="C240" s="237"/>
      <c r="D240" s="237"/>
      <c r="E240" s="237"/>
      <c r="F240" s="18"/>
      <c r="G240" s="18"/>
      <c r="H240" s="237"/>
      <c r="I240" s="19" t="s">
        <v>608</v>
      </c>
      <c r="J240" s="38" t="s">
        <v>610</v>
      </c>
      <c r="K240" s="237"/>
      <c r="L240" s="237"/>
      <c r="M240" s="237"/>
      <c r="N240" s="18"/>
      <c r="O240" s="18"/>
      <c r="P240" s="237"/>
      <c r="Q240" s="261"/>
      <c r="R240" s="261"/>
      <c r="S240" s="261"/>
      <c r="T240" s="261"/>
      <c r="U240" s="261"/>
      <c r="V240" s="261"/>
      <c r="W240" s="261"/>
      <c r="X240" s="34"/>
      <c r="Y240" s="38" t="s">
        <v>469</v>
      </c>
      <c r="Z240" s="4"/>
      <c r="AA240" s="4"/>
      <c r="AB240" s="4"/>
      <c r="AC240" s="4"/>
      <c r="AD240" s="4"/>
      <c r="AE240" s="4"/>
      <c r="AF240" s="4"/>
      <c r="AG240" s="4"/>
      <c r="AH240" s="4"/>
      <c r="AI240" s="4"/>
      <c r="AJ240" s="4"/>
    </row>
    <row r="241" spans="1:36" ht="39.75" customHeight="1" x14ac:dyDescent="0.35">
      <c r="A241" s="19" t="s">
        <v>611</v>
      </c>
      <c r="B241" s="38" t="s">
        <v>612</v>
      </c>
      <c r="C241" s="237"/>
      <c r="D241" s="237"/>
      <c r="E241" s="237">
        <v>700</v>
      </c>
      <c r="F241" s="18"/>
      <c r="G241" s="18"/>
      <c r="H241" s="237"/>
      <c r="I241" s="19" t="s">
        <v>611</v>
      </c>
      <c r="J241" s="38" t="s">
        <v>613</v>
      </c>
      <c r="K241" s="237"/>
      <c r="L241" s="237"/>
      <c r="M241" s="237">
        <v>700</v>
      </c>
      <c r="N241" s="18"/>
      <c r="O241" s="18"/>
      <c r="P241" s="237"/>
      <c r="Q241" s="54">
        <v>420</v>
      </c>
      <c r="R241" s="54"/>
      <c r="S241" s="54"/>
      <c r="T241" s="54"/>
      <c r="U241" s="54">
        <v>280</v>
      </c>
      <c r="V241" s="261"/>
      <c r="W241" s="261"/>
      <c r="X241" s="34"/>
      <c r="Y241" s="38" t="s">
        <v>469</v>
      </c>
      <c r="Z241" s="4"/>
      <c r="AA241" s="4"/>
      <c r="AB241" s="4"/>
      <c r="AC241" s="4"/>
      <c r="AD241" s="4"/>
      <c r="AE241" s="4"/>
      <c r="AF241" s="4"/>
      <c r="AG241" s="4"/>
      <c r="AH241" s="4"/>
      <c r="AI241" s="4"/>
      <c r="AJ241" s="4"/>
    </row>
    <row r="242" spans="1:36" ht="39.75" hidden="1" customHeight="1" x14ac:dyDescent="0.35">
      <c r="A242" s="19" t="s">
        <v>614</v>
      </c>
      <c r="B242" s="38" t="s">
        <v>615</v>
      </c>
      <c r="C242" s="237"/>
      <c r="D242" s="237"/>
      <c r="E242" s="237">
        <v>500</v>
      </c>
      <c r="F242" s="18"/>
      <c r="G242" s="18"/>
      <c r="H242" s="237"/>
      <c r="I242" s="19" t="s">
        <v>614</v>
      </c>
      <c r="J242" s="138" t="s">
        <v>615</v>
      </c>
      <c r="K242" s="237"/>
      <c r="L242" s="237"/>
      <c r="M242" s="237">
        <v>500</v>
      </c>
      <c r="N242" s="18"/>
      <c r="O242" s="18"/>
      <c r="P242" s="237"/>
      <c r="Q242" s="261"/>
      <c r="R242" s="261"/>
      <c r="S242" s="261"/>
      <c r="T242" s="261"/>
      <c r="U242" s="261"/>
      <c r="V242" s="261"/>
      <c r="W242" s="261"/>
      <c r="X242" s="34"/>
      <c r="Y242" s="15" t="s">
        <v>616</v>
      </c>
      <c r="Z242" s="4"/>
      <c r="AA242" s="4"/>
      <c r="AB242" s="4"/>
      <c r="AC242" s="4"/>
      <c r="AD242" s="4"/>
      <c r="AE242" s="4"/>
      <c r="AF242" s="4"/>
      <c r="AG242" s="4"/>
      <c r="AH242" s="4"/>
      <c r="AI242" s="4"/>
      <c r="AJ242" s="4"/>
    </row>
    <row r="243" spans="1:36" ht="42.75" customHeight="1" x14ac:dyDescent="0.35">
      <c r="A243" s="51">
        <v>46</v>
      </c>
      <c r="B243" s="52" t="s">
        <v>617</v>
      </c>
      <c r="C243" s="259"/>
      <c r="D243" s="259"/>
      <c r="E243" s="261"/>
      <c r="F243" s="261"/>
      <c r="G243" s="34"/>
      <c r="H243" s="261"/>
      <c r="I243" s="256">
        <v>46</v>
      </c>
      <c r="J243" s="14" t="s">
        <v>617</v>
      </c>
      <c r="K243" s="237"/>
      <c r="L243" s="237"/>
      <c r="M243" s="261"/>
      <c r="N243" s="261"/>
      <c r="O243" s="137"/>
      <c r="P243" s="261"/>
      <c r="Q243" s="261"/>
      <c r="R243" s="261"/>
      <c r="S243" s="261"/>
      <c r="T243" s="261"/>
      <c r="U243" s="261"/>
      <c r="V243" s="261"/>
      <c r="W243" s="261"/>
      <c r="X243" s="34"/>
      <c r="Y243" s="15" t="s">
        <v>101</v>
      </c>
      <c r="Z243" s="4"/>
      <c r="AA243" s="4"/>
      <c r="AB243" s="4"/>
      <c r="AC243" s="4"/>
      <c r="AD243" s="4"/>
      <c r="AE243" s="4"/>
      <c r="AF243" s="4"/>
      <c r="AG243" s="4"/>
      <c r="AH243" s="4"/>
      <c r="AI243" s="4"/>
      <c r="AJ243" s="4"/>
    </row>
    <row r="244" spans="1:36" ht="20.9" customHeight="1" x14ac:dyDescent="0.35">
      <c r="A244" s="109"/>
      <c r="B244" s="324"/>
      <c r="C244" s="259"/>
      <c r="D244" s="259"/>
      <c r="E244" s="261"/>
      <c r="F244" s="261"/>
      <c r="G244" s="34"/>
      <c r="H244" s="261"/>
      <c r="I244" s="256"/>
      <c r="J244" s="52" t="s">
        <v>1078</v>
      </c>
      <c r="K244" s="237"/>
      <c r="L244" s="237"/>
      <c r="M244" s="261"/>
      <c r="N244" s="261"/>
      <c r="O244" s="137"/>
      <c r="P244" s="261"/>
      <c r="Q244" s="261"/>
      <c r="R244" s="261"/>
      <c r="S244" s="261"/>
      <c r="T244" s="261"/>
      <c r="U244" s="261"/>
      <c r="V244" s="261"/>
      <c r="W244" s="261"/>
      <c r="X244" s="34"/>
      <c r="Y244" s="15"/>
      <c r="Z244" s="4"/>
      <c r="AA244" s="4"/>
      <c r="AB244" s="4"/>
      <c r="AC244" s="4"/>
      <c r="AD244" s="4"/>
      <c r="AE244" s="4"/>
      <c r="AF244" s="4"/>
      <c r="AG244" s="4"/>
      <c r="AH244" s="4"/>
      <c r="AI244" s="4"/>
      <c r="AJ244" s="4"/>
    </row>
    <row r="245" spans="1:36" x14ac:dyDescent="0.35">
      <c r="A245" s="62" t="s">
        <v>200</v>
      </c>
      <c r="B245" s="53" t="s">
        <v>201</v>
      </c>
      <c r="C245" s="259"/>
      <c r="D245" s="259"/>
      <c r="E245" s="261"/>
      <c r="F245" s="261"/>
      <c r="G245" s="34"/>
      <c r="H245" s="261"/>
      <c r="I245" s="19" t="s">
        <v>200</v>
      </c>
      <c r="J245" s="38" t="s">
        <v>201</v>
      </c>
      <c r="K245" s="237"/>
      <c r="L245" s="237"/>
      <c r="M245" s="261"/>
      <c r="N245" s="261"/>
      <c r="O245" s="137"/>
      <c r="P245" s="261"/>
      <c r="Q245" s="261"/>
      <c r="R245" s="261"/>
      <c r="S245" s="261"/>
      <c r="T245" s="261"/>
      <c r="U245" s="261"/>
      <c r="V245" s="261"/>
      <c r="W245" s="261"/>
      <c r="X245" s="34"/>
      <c r="Y245" s="38"/>
      <c r="Z245" s="4"/>
      <c r="AA245" s="4"/>
      <c r="AB245" s="4"/>
      <c r="AC245" s="4"/>
      <c r="AD245" s="4"/>
      <c r="AE245" s="4"/>
      <c r="AF245" s="4"/>
      <c r="AG245" s="4"/>
      <c r="AH245" s="4"/>
      <c r="AI245" s="4"/>
      <c r="AJ245" s="4"/>
    </row>
    <row r="246" spans="1:36" ht="67.5" customHeight="1" x14ac:dyDescent="0.35">
      <c r="A246" s="62" t="s">
        <v>573</v>
      </c>
      <c r="B246" s="53" t="s">
        <v>618</v>
      </c>
      <c r="C246" s="60" t="s">
        <v>619</v>
      </c>
      <c r="D246" s="60" t="s">
        <v>620</v>
      </c>
      <c r="E246" s="139">
        <v>21000</v>
      </c>
      <c r="F246" s="139" t="s">
        <v>621</v>
      </c>
      <c r="G246" s="140" t="s">
        <v>621</v>
      </c>
      <c r="H246" s="141" t="s">
        <v>621</v>
      </c>
      <c r="I246" s="19" t="s">
        <v>573</v>
      </c>
      <c r="J246" s="38" t="s">
        <v>618</v>
      </c>
      <c r="K246" s="237" t="s">
        <v>619</v>
      </c>
      <c r="L246" s="237" t="s">
        <v>622</v>
      </c>
      <c r="M246" s="57">
        <v>21000</v>
      </c>
      <c r="N246" s="57" t="s">
        <v>621</v>
      </c>
      <c r="O246" s="142" t="s">
        <v>621</v>
      </c>
      <c r="P246" s="143" t="s">
        <v>621</v>
      </c>
      <c r="Q246" s="54">
        <v>12600</v>
      </c>
      <c r="R246" s="54"/>
      <c r="S246" s="54"/>
      <c r="T246" s="54"/>
      <c r="U246" s="54">
        <v>8400</v>
      </c>
      <c r="V246" s="141"/>
      <c r="W246" s="141"/>
      <c r="X246" s="144"/>
      <c r="Y246" s="38" t="s">
        <v>229</v>
      </c>
      <c r="Z246" s="4"/>
      <c r="AA246" s="4"/>
      <c r="AB246" s="4"/>
      <c r="AC246" s="4"/>
      <c r="AD246" s="4"/>
      <c r="AE246" s="4"/>
      <c r="AF246" s="4"/>
      <c r="AG246" s="4"/>
      <c r="AH246" s="4"/>
      <c r="AI246" s="4"/>
      <c r="AJ246" s="4"/>
    </row>
    <row r="247" spans="1:36" ht="24" customHeight="1" x14ac:dyDescent="0.35">
      <c r="A247" s="62" t="s">
        <v>623</v>
      </c>
      <c r="B247" s="38" t="s">
        <v>624</v>
      </c>
      <c r="C247" s="259"/>
      <c r="D247" s="259"/>
      <c r="E247" s="261"/>
      <c r="F247" s="261"/>
      <c r="G247" s="34"/>
      <c r="H247" s="261"/>
      <c r="I247" s="19" t="s">
        <v>623</v>
      </c>
      <c r="J247" s="38" t="s">
        <v>624</v>
      </c>
      <c r="K247" s="237"/>
      <c r="L247" s="237"/>
      <c r="M247" s="261"/>
      <c r="N247" s="261"/>
      <c r="O247" s="137"/>
      <c r="P247" s="34"/>
      <c r="Q247" s="54"/>
      <c r="R247" s="54"/>
      <c r="S247" s="54"/>
      <c r="T247" s="54"/>
      <c r="U247" s="54"/>
      <c r="V247" s="261"/>
      <c r="W247" s="261"/>
      <c r="X247" s="34"/>
      <c r="Y247" s="38"/>
      <c r="Z247" s="4"/>
      <c r="AA247" s="4"/>
      <c r="AB247" s="4"/>
      <c r="AC247" s="4"/>
      <c r="AD247" s="4"/>
      <c r="AE247" s="4"/>
      <c r="AF247" s="4"/>
      <c r="AG247" s="4"/>
      <c r="AH247" s="4"/>
      <c r="AI247" s="4"/>
      <c r="AJ247" s="4"/>
    </row>
    <row r="248" spans="1:36" ht="84" customHeight="1" x14ac:dyDescent="0.35">
      <c r="A248" s="62" t="s">
        <v>625</v>
      </c>
      <c r="B248" s="53" t="s">
        <v>626</v>
      </c>
      <c r="C248" s="60" t="s">
        <v>627</v>
      </c>
      <c r="D248" s="60" t="s">
        <v>628</v>
      </c>
      <c r="E248" s="139">
        <v>44800</v>
      </c>
      <c r="F248" s="139" t="s">
        <v>621</v>
      </c>
      <c r="G248" s="140" t="s">
        <v>621</v>
      </c>
      <c r="H248" s="141" t="s">
        <v>621</v>
      </c>
      <c r="I248" s="19" t="s">
        <v>625</v>
      </c>
      <c r="J248" s="13" t="s">
        <v>624</v>
      </c>
      <c r="K248" s="237" t="s">
        <v>629</v>
      </c>
      <c r="L248" s="237" t="s">
        <v>630</v>
      </c>
      <c r="M248" s="57">
        <v>44800</v>
      </c>
      <c r="N248" s="57" t="s">
        <v>621</v>
      </c>
      <c r="O248" s="142" t="s">
        <v>621</v>
      </c>
      <c r="P248" s="143" t="s">
        <v>621</v>
      </c>
      <c r="Q248" s="54">
        <v>26880</v>
      </c>
      <c r="R248" s="54"/>
      <c r="S248" s="54"/>
      <c r="T248" s="54"/>
      <c r="U248" s="54">
        <v>17920</v>
      </c>
      <c r="V248" s="141"/>
      <c r="W248" s="141"/>
      <c r="X248" s="144"/>
      <c r="Y248" s="38" t="s">
        <v>229</v>
      </c>
      <c r="Z248" s="4" t="s">
        <v>631</v>
      </c>
      <c r="AA248" s="4"/>
      <c r="AB248" s="4"/>
      <c r="AC248" s="4"/>
      <c r="AD248" s="4"/>
      <c r="AE248" s="4"/>
      <c r="AF248" s="4"/>
      <c r="AG248" s="4"/>
      <c r="AH248" s="4"/>
      <c r="AI248" s="4"/>
      <c r="AJ248" s="4"/>
    </row>
    <row r="249" spans="1:36" x14ac:dyDescent="0.35">
      <c r="A249" s="51">
        <v>47</v>
      </c>
      <c r="B249" s="52" t="s">
        <v>632</v>
      </c>
      <c r="C249" s="259"/>
      <c r="D249" s="259"/>
      <c r="E249" s="261"/>
      <c r="F249" s="261"/>
      <c r="G249" s="34"/>
      <c r="H249" s="261"/>
      <c r="I249" s="256">
        <v>47</v>
      </c>
      <c r="J249" s="14" t="s">
        <v>632</v>
      </c>
      <c r="K249" s="237"/>
      <c r="L249" s="237"/>
      <c r="M249" s="261"/>
      <c r="N249" s="261"/>
      <c r="O249" s="137"/>
      <c r="P249" s="34"/>
      <c r="Q249" s="261"/>
      <c r="R249" s="261"/>
      <c r="S249" s="261"/>
      <c r="T249" s="261"/>
      <c r="U249" s="261"/>
      <c r="V249" s="261"/>
      <c r="W249" s="261"/>
      <c r="X249" s="34"/>
      <c r="Y249" s="13"/>
      <c r="Z249" s="4"/>
      <c r="AA249" s="4"/>
      <c r="AB249" s="4"/>
      <c r="AC249" s="4"/>
      <c r="AD249" s="4"/>
      <c r="AE249" s="4"/>
      <c r="AF249" s="4"/>
      <c r="AG249" s="4"/>
      <c r="AH249" s="4"/>
      <c r="AI249" s="4"/>
      <c r="AJ249" s="4"/>
    </row>
    <row r="250" spans="1:36" x14ac:dyDescent="0.35">
      <c r="A250" s="51"/>
      <c r="B250" s="52"/>
      <c r="C250" s="259"/>
      <c r="D250" s="259"/>
      <c r="E250" s="261"/>
      <c r="F250" s="261"/>
      <c r="G250" s="34"/>
      <c r="H250" s="261"/>
      <c r="I250" s="256"/>
      <c r="J250" s="52" t="s">
        <v>1078</v>
      </c>
      <c r="K250" s="237"/>
      <c r="L250" s="237"/>
      <c r="M250" s="261"/>
      <c r="N250" s="261"/>
      <c r="O250" s="137"/>
      <c r="P250" s="34"/>
      <c r="Q250" s="261"/>
      <c r="R250" s="261"/>
      <c r="S250" s="261"/>
      <c r="T250" s="261"/>
      <c r="U250" s="261"/>
      <c r="V250" s="261"/>
      <c r="W250" s="261"/>
      <c r="X250" s="34"/>
      <c r="Y250" s="327"/>
      <c r="Z250" s="4"/>
      <c r="AA250" s="4"/>
      <c r="AB250" s="4"/>
      <c r="AC250" s="4"/>
      <c r="AD250" s="4"/>
      <c r="AE250" s="4"/>
      <c r="AF250" s="4"/>
      <c r="AG250" s="4"/>
      <c r="AH250" s="4"/>
      <c r="AI250" s="4"/>
      <c r="AJ250" s="4"/>
    </row>
    <row r="251" spans="1:36" ht="56" x14ac:dyDescent="0.35">
      <c r="A251" s="19" t="s">
        <v>25</v>
      </c>
      <c r="B251" s="38" t="s">
        <v>633</v>
      </c>
      <c r="C251" s="237" t="s">
        <v>634</v>
      </c>
      <c r="D251" s="237" t="s">
        <v>635</v>
      </c>
      <c r="E251" s="18">
        <v>7500</v>
      </c>
      <c r="F251" s="18"/>
      <c r="G251" s="18"/>
      <c r="H251" s="237"/>
      <c r="I251" s="102" t="s">
        <v>25</v>
      </c>
      <c r="J251" s="31" t="s">
        <v>636</v>
      </c>
      <c r="K251" s="238" t="s">
        <v>637</v>
      </c>
      <c r="L251" s="238" t="s">
        <v>638</v>
      </c>
      <c r="M251" s="18">
        <v>7500</v>
      </c>
      <c r="N251" s="261"/>
      <c r="O251" s="137"/>
      <c r="P251" s="34"/>
      <c r="Q251" s="54">
        <v>4500</v>
      </c>
      <c r="R251" s="54"/>
      <c r="S251" s="54"/>
      <c r="T251" s="54"/>
      <c r="U251" s="54">
        <v>3000</v>
      </c>
      <c r="V251" s="261"/>
      <c r="W251" s="261"/>
      <c r="X251" s="34"/>
      <c r="Y251" s="511" t="s">
        <v>639</v>
      </c>
      <c r="Z251" s="4"/>
      <c r="AA251" s="4"/>
      <c r="AB251" s="4"/>
      <c r="AC251" s="4"/>
      <c r="AD251" s="4"/>
      <c r="AE251" s="4"/>
      <c r="AF251" s="4"/>
      <c r="AG251" s="4"/>
      <c r="AH251" s="4"/>
      <c r="AI251" s="4"/>
      <c r="AJ251" s="4"/>
    </row>
    <row r="252" spans="1:36" ht="56" x14ac:dyDescent="0.35">
      <c r="A252" s="19" t="s">
        <v>640</v>
      </c>
      <c r="B252" s="38" t="s">
        <v>641</v>
      </c>
      <c r="C252" s="237" t="s">
        <v>642</v>
      </c>
      <c r="D252" s="237" t="s">
        <v>643</v>
      </c>
      <c r="E252" s="18">
        <v>3500</v>
      </c>
      <c r="F252" s="18"/>
      <c r="G252" s="18"/>
      <c r="H252" s="237"/>
      <c r="I252" s="102" t="s">
        <v>640</v>
      </c>
      <c r="J252" s="31" t="s">
        <v>644</v>
      </c>
      <c r="K252" s="238" t="s">
        <v>642</v>
      </c>
      <c r="L252" s="238" t="s">
        <v>643</v>
      </c>
      <c r="M252" s="18">
        <v>3500</v>
      </c>
      <c r="N252" s="261"/>
      <c r="O252" s="137"/>
      <c r="P252" s="34"/>
      <c r="Q252" s="54">
        <v>2100</v>
      </c>
      <c r="R252" s="54"/>
      <c r="S252" s="54"/>
      <c r="T252" s="54"/>
      <c r="U252" s="54">
        <v>1400</v>
      </c>
      <c r="V252" s="261"/>
      <c r="W252" s="261"/>
      <c r="X252" s="34"/>
      <c r="Y252" s="512"/>
      <c r="Z252" s="4"/>
      <c r="AA252" s="4"/>
      <c r="AB252" s="4"/>
      <c r="AC252" s="4"/>
      <c r="AD252" s="4"/>
      <c r="AE252" s="4"/>
      <c r="AF252" s="4"/>
      <c r="AG252" s="4"/>
      <c r="AH252" s="4"/>
      <c r="AI252" s="4"/>
      <c r="AJ252" s="4"/>
    </row>
    <row r="253" spans="1:36" ht="56" x14ac:dyDescent="0.35">
      <c r="A253" s="19" t="s">
        <v>645</v>
      </c>
      <c r="B253" s="38" t="s">
        <v>646</v>
      </c>
      <c r="C253" s="237" t="s">
        <v>647</v>
      </c>
      <c r="D253" s="237" t="s">
        <v>648</v>
      </c>
      <c r="E253" s="18">
        <v>5800</v>
      </c>
      <c r="F253" s="261"/>
      <c r="G253" s="34"/>
      <c r="H253" s="261"/>
      <c r="I253" s="102" t="s">
        <v>645</v>
      </c>
      <c r="J253" s="31" t="s">
        <v>649</v>
      </c>
      <c r="K253" s="238" t="s">
        <v>650</v>
      </c>
      <c r="L253" s="238" t="s">
        <v>648</v>
      </c>
      <c r="M253" s="18">
        <v>5800</v>
      </c>
      <c r="N253" s="261"/>
      <c r="O253" s="137"/>
      <c r="P253" s="34"/>
      <c r="Q253" s="54">
        <v>3480</v>
      </c>
      <c r="R253" s="54"/>
      <c r="S253" s="54"/>
      <c r="T253" s="54"/>
      <c r="U253" s="54">
        <v>2320</v>
      </c>
      <c r="V253" s="261"/>
      <c r="W253" s="261"/>
      <c r="X253" s="34"/>
      <c r="Y253" s="512"/>
      <c r="Z253" s="4"/>
      <c r="AA253" s="4"/>
      <c r="AB253" s="4"/>
      <c r="AC253" s="4"/>
      <c r="AD253" s="4"/>
      <c r="AE253" s="4"/>
      <c r="AF253" s="4"/>
      <c r="AG253" s="4"/>
      <c r="AH253" s="4"/>
      <c r="AI253" s="4"/>
      <c r="AJ253" s="4"/>
    </row>
    <row r="254" spans="1:36" ht="56" x14ac:dyDescent="0.35">
      <c r="A254" s="19" t="s">
        <v>651</v>
      </c>
      <c r="B254" s="38" t="s">
        <v>652</v>
      </c>
      <c r="C254" s="237" t="s">
        <v>653</v>
      </c>
      <c r="D254" s="237" t="s">
        <v>654</v>
      </c>
      <c r="E254" s="18">
        <v>7500</v>
      </c>
      <c r="F254" s="18"/>
      <c r="G254" s="18"/>
      <c r="H254" s="237"/>
      <c r="I254" s="102" t="s">
        <v>651</v>
      </c>
      <c r="J254" s="31" t="s">
        <v>655</v>
      </c>
      <c r="K254" s="238" t="s">
        <v>653</v>
      </c>
      <c r="L254" s="238" t="s">
        <v>654</v>
      </c>
      <c r="M254" s="18">
        <v>7500</v>
      </c>
      <c r="N254" s="261"/>
      <c r="O254" s="137"/>
      <c r="P254" s="34"/>
      <c r="Q254" s="54">
        <v>4500</v>
      </c>
      <c r="R254" s="54"/>
      <c r="S254" s="54"/>
      <c r="T254" s="54"/>
      <c r="U254" s="54">
        <v>3000</v>
      </c>
      <c r="V254" s="261"/>
      <c r="W254" s="261"/>
      <c r="X254" s="34"/>
      <c r="Y254" s="512"/>
      <c r="Z254" s="4"/>
      <c r="AA254" s="4"/>
      <c r="AB254" s="4"/>
      <c r="AC254" s="4"/>
      <c r="AD254" s="4"/>
      <c r="AE254" s="4"/>
      <c r="AF254" s="4"/>
      <c r="AG254" s="4"/>
      <c r="AH254" s="4"/>
      <c r="AI254" s="4"/>
      <c r="AJ254" s="4"/>
    </row>
    <row r="255" spans="1:36" ht="70" x14ac:dyDescent="0.35">
      <c r="A255" s="19" t="s">
        <v>656</v>
      </c>
      <c r="B255" s="38" t="s">
        <v>657</v>
      </c>
      <c r="C255" s="237" t="s">
        <v>658</v>
      </c>
      <c r="D255" s="237" t="s">
        <v>659</v>
      </c>
      <c r="E255" s="18">
        <v>10400</v>
      </c>
      <c r="F255" s="18"/>
      <c r="G255" s="18"/>
      <c r="H255" s="237"/>
      <c r="I255" s="102" t="s">
        <v>656</v>
      </c>
      <c r="J255" s="38" t="s">
        <v>660</v>
      </c>
      <c r="K255" s="38" t="s">
        <v>661</v>
      </c>
      <c r="L255" s="38" t="s">
        <v>662</v>
      </c>
      <c r="M255" s="18">
        <v>10400</v>
      </c>
      <c r="N255" s="261"/>
      <c r="O255" s="137"/>
      <c r="P255" s="34"/>
      <c r="Q255" s="54">
        <v>6240</v>
      </c>
      <c r="R255" s="54"/>
      <c r="S255" s="54"/>
      <c r="T255" s="54"/>
      <c r="U255" s="54">
        <v>4200</v>
      </c>
      <c r="V255" s="261"/>
      <c r="W255" s="261"/>
      <c r="X255" s="34"/>
      <c r="Y255" s="512"/>
      <c r="Z255" s="4"/>
      <c r="AA255" s="4"/>
      <c r="AB255" s="4"/>
      <c r="AC255" s="4"/>
      <c r="AD255" s="4"/>
      <c r="AE255" s="4"/>
      <c r="AF255" s="4"/>
      <c r="AG255" s="4"/>
      <c r="AH255" s="4"/>
      <c r="AI255" s="4"/>
      <c r="AJ255" s="4"/>
    </row>
    <row r="256" spans="1:36" ht="28" x14ac:dyDescent="0.35">
      <c r="A256" s="19" t="s">
        <v>663</v>
      </c>
      <c r="B256" s="38" t="s">
        <v>664</v>
      </c>
      <c r="C256" s="237" t="s">
        <v>665</v>
      </c>
      <c r="D256" s="237" t="s">
        <v>666</v>
      </c>
      <c r="E256" s="18">
        <v>1900</v>
      </c>
      <c r="F256" s="18"/>
      <c r="G256" s="18"/>
      <c r="H256" s="237"/>
      <c r="I256" s="102" t="s">
        <v>663</v>
      </c>
      <c r="J256" s="38" t="s">
        <v>667</v>
      </c>
      <c r="K256" s="38" t="s">
        <v>668</v>
      </c>
      <c r="L256" s="38" t="s">
        <v>669</v>
      </c>
      <c r="M256" s="18">
        <v>1900</v>
      </c>
      <c r="N256" s="261"/>
      <c r="O256" s="137"/>
      <c r="P256" s="34"/>
      <c r="Q256" s="54">
        <v>1140</v>
      </c>
      <c r="R256" s="54"/>
      <c r="S256" s="54"/>
      <c r="T256" s="54"/>
      <c r="U256" s="54">
        <v>760</v>
      </c>
      <c r="V256" s="261"/>
      <c r="W256" s="261"/>
      <c r="X256" s="34"/>
      <c r="Y256" s="512"/>
      <c r="Z256" s="4"/>
      <c r="AA256" s="4"/>
      <c r="AB256" s="4"/>
      <c r="AC256" s="4"/>
      <c r="AD256" s="4"/>
      <c r="AE256" s="4"/>
      <c r="AF256" s="4"/>
      <c r="AG256" s="4"/>
      <c r="AH256" s="4"/>
      <c r="AI256" s="4"/>
      <c r="AJ256" s="4"/>
    </row>
    <row r="257" spans="1:36" ht="56" x14ac:dyDescent="0.35">
      <c r="A257" s="19" t="s">
        <v>670</v>
      </c>
      <c r="B257" s="38" t="s">
        <v>671</v>
      </c>
      <c r="C257" s="237" t="s">
        <v>672</v>
      </c>
      <c r="D257" s="237" t="s">
        <v>673</v>
      </c>
      <c r="E257" s="18">
        <v>4400</v>
      </c>
      <c r="F257" s="18"/>
      <c r="G257" s="18"/>
      <c r="H257" s="237"/>
      <c r="I257" s="102" t="s">
        <v>670</v>
      </c>
      <c r="J257" s="38" t="s">
        <v>674</v>
      </c>
      <c r="K257" s="38" t="s">
        <v>675</v>
      </c>
      <c r="L257" s="38" t="s">
        <v>676</v>
      </c>
      <c r="M257" s="18">
        <v>4400</v>
      </c>
      <c r="N257" s="261"/>
      <c r="O257" s="137"/>
      <c r="P257" s="34"/>
      <c r="Q257" s="265">
        <v>2640</v>
      </c>
      <c r="R257" s="265"/>
      <c r="S257" s="265"/>
      <c r="T257" s="265"/>
      <c r="U257" s="265">
        <v>1800</v>
      </c>
      <c r="V257" s="261"/>
      <c r="W257" s="261"/>
      <c r="X257" s="34"/>
      <c r="Y257" s="512"/>
      <c r="Z257" s="4"/>
      <c r="AA257" s="4"/>
      <c r="AB257" s="4"/>
      <c r="AC257" s="4"/>
      <c r="AD257" s="4"/>
      <c r="AE257" s="4"/>
      <c r="AF257" s="4"/>
      <c r="AG257" s="4"/>
      <c r="AH257" s="4"/>
      <c r="AI257" s="4"/>
      <c r="AJ257" s="4"/>
    </row>
    <row r="258" spans="1:36" ht="56" x14ac:dyDescent="0.35">
      <c r="A258" s="19" t="s">
        <v>677</v>
      </c>
      <c r="B258" s="38" t="s">
        <v>678</v>
      </c>
      <c r="C258" s="237" t="s">
        <v>679</v>
      </c>
      <c r="D258" s="237" t="s">
        <v>680</v>
      </c>
      <c r="E258" s="18">
        <v>3500</v>
      </c>
      <c r="F258" s="18"/>
      <c r="G258" s="18"/>
      <c r="H258" s="237"/>
      <c r="I258" s="102" t="s">
        <v>677</v>
      </c>
      <c r="J258" s="38" t="s">
        <v>681</v>
      </c>
      <c r="K258" s="38" t="s">
        <v>679</v>
      </c>
      <c r="L258" s="38" t="s">
        <v>680</v>
      </c>
      <c r="M258" s="18">
        <v>3500</v>
      </c>
      <c r="N258" s="261"/>
      <c r="O258" s="137"/>
      <c r="P258" s="34"/>
      <c r="Q258" s="265">
        <v>2100</v>
      </c>
      <c r="R258" s="265"/>
      <c r="S258" s="265"/>
      <c r="T258" s="265"/>
      <c r="U258" s="265">
        <v>1400</v>
      </c>
      <c r="V258" s="261"/>
      <c r="W258" s="261"/>
      <c r="X258" s="34"/>
      <c r="Y258" s="513"/>
      <c r="Z258" s="4"/>
      <c r="AA258" s="4"/>
      <c r="AB258" s="4"/>
      <c r="AC258" s="4"/>
      <c r="AD258" s="4"/>
      <c r="AE258" s="4"/>
      <c r="AF258" s="4"/>
      <c r="AG258" s="4"/>
      <c r="AH258" s="4"/>
      <c r="AI258" s="4"/>
      <c r="AJ258" s="4"/>
    </row>
    <row r="259" spans="1:36" x14ac:dyDescent="0.35">
      <c r="A259" s="51">
        <v>48</v>
      </c>
      <c r="B259" s="52" t="s">
        <v>682</v>
      </c>
      <c r="C259" s="259"/>
      <c r="D259" s="259"/>
      <c r="E259" s="261"/>
      <c r="F259" s="261"/>
      <c r="G259" s="34"/>
      <c r="H259" s="261"/>
      <c r="I259" s="256">
        <v>48</v>
      </c>
      <c r="J259" s="14" t="s">
        <v>682</v>
      </c>
      <c r="K259" s="237"/>
      <c r="L259" s="237"/>
      <c r="M259" s="261"/>
      <c r="N259" s="261"/>
      <c r="O259" s="137"/>
      <c r="P259" s="34"/>
      <c r="Q259" s="261"/>
      <c r="R259" s="261"/>
      <c r="S259" s="261"/>
      <c r="T259" s="261"/>
      <c r="U259" s="261"/>
      <c r="V259" s="261"/>
      <c r="W259" s="261"/>
      <c r="X259" s="34"/>
      <c r="Y259" s="13"/>
      <c r="Z259" s="4"/>
      <c r="AA259" s="4"/>
      <c r="AB259" s="4"/>
      <c r="AC259" s="4"/>
      <c r="AD259" s="4"/>
      <c r="AE259" s="4"/>
      <c r="AF259" s="4"/>
      <c r="AG259" s="4"/>
      <c r="AH259" s="4"/>
      <c r="AI259" s="4"/>
      <c r="AJ259" s="4"/>
    </row>
    <row r="260" spans="1:36" x14ac:dyDescent="0.35">
      <c r="A260" s="51"/>
      <c r="B260" s="52"/>
      <c r="C260" s="259"/>
      <c r="D260" s="25"/>
      <c r="E260" s="261"/>
      <c r="F260" s="137"/>
      <c r="G260" s="34"/>
      <c r="H260" s="261"/>
      <c r="I260" s="256"/>
      <c r="J260" s="52" t="s">
        <v>1078</v>
      </c>
      <c r="K260" s="237"/>
      <c r="L260" s="237"/>
      <c r="M260" s="261"/>
      <c r="N260" s="261"/>
      <c r="O260" s="137"/>
      <c r="P260" s="34"/>
      <c r="Q260" s="261"/>
      <c r="R260" s="261"/>
      <c r="S260" s="261"/>
      <c r="T260" s="261"/>
      <c r="U260" s="261"/>
      <c r="V260" s="261"/>
      <c r="W260" s="261"/>
      <c r="X260" s="34"/>
      <c r="Y260" s="13"/>
      <c r="Z260" s="4"/>
      <c r="AA260" s="4"/>
      <c r="AB260" s="4"/>
      <c r="AC260" s="4"/>
      <c r="AD260" s="4"/>
      <c r="AE260" s="4"/>
      <c r="AF260" s="4"/>
      <c r="AG260" s="4"/>
      <c r="AH260" s="4"/>
      <c r="AI260" s="4"/>
      <c r="AJ260" s="4"/>
    </row>
    <row r="261" spans="1:36" ht="42" x14ac:dyDescent="0.35">
      <c r="A261" s="145">
        <v>1.1000000000000001</v>
      </c>
      <c r="B261" s="38" t="s">
        <v>683</v>
      </c>
      <c r="C261" s="237" t="s">
        <v>684</v>
      </c>
      <c r="D261" s="146" t="s">
        <v>685</v>
      </c>
      <c r="E261" s="28">
        <v>13200</v>
      </c>
      <c r="F261" s="147"/>
      <c r="G261" s="28"/>
      <c r="H261" s="28"/>
      <c r="I261" s="145" t="s">
        <v>1076</v>
      </c>
      <c r="J261" s="38" t="s">
        <v>686</v>
      </c>
      <c r="K261" s="237" t="s">
        <v>684</v>
      </c>
      <c r="L261" s="237" t="s">
        <v>687</v>
      </c>
      <c r="M261" s="28">
        <v>13200</v>
      </c>
      <c r="N261" s="261"/>
      <c r="O261" s="137"/>
      <c r="P261" s="34"/>
      <c r="Q261" s="54">
        <v>7920</v>
      </c>
      <c r="R261" s="54"/>
      <c r="S261" s="54"/>
      <c r="T261" s="54"/>
      <c r="U261" s="54">
        <v>5280</v>
      </c>
      <c r="V261" s="261"/>
      <c r="W261" s="261"/>
      <c r="X261" s="34"/>
      <c r="Y261" s="238" t="s">
        <v>120</v>
      </c>
      <c r="Z261" s="4"/>
      <c r="AA261" s="4"/>
      <c r="AB261" s="4"/>
      <c r="AC261" s="4"/>
      <c r="AD261" s="4"/>
      <c r="AE261" s="4"/>
      <c r="AF261" s="4"/>
      <c r="AG261" s="4"/>
      <c r="AH261" s="4"/>
      <c r="AI261" s="4"/>
      <c r="AJ261" s="4"/>
    </row>
    <row r="262" spans="1:36" ht="56" x14ac:dyDescent="0.35">
      <c r="A262" s="27">
        <v>1.1100000000000001</v>
      </c>
      <c r="B262" s="38" t="s">
        <v>688</v>
      </c>
      <c r="C262" s="237" t="s">
        <v>689</v>
      </c>
      <c r="D262" s="146" t="s">
        <v>690</v>
      </c>
      <c r="E262" s="28">
        <v>11300</v>
      </c>
      <c r="F262" s="147"/>
      <c r="G262" s="28"/>
      <c r="H262" s="28"/>
      <c r="I262" s="27" t="s">
        <v>1077</v>
      </c>
      <c r="J262" s="38" t="s">
        <v>691</v>
      </c>
      <c r="K262" s="237" t="s">
        <v>692</v>
      </c>
      <c r="L262" s="237" t="s">
        <v>693</v>
      </c>
      <c r="M262" s="28">
        <v>11300</v>
      </c>
      <c r="N262" s="261"/>
      <c r="O262" s="137"/>
      <c r="P262" s="34"/>
      <c r="Q262" s="54">
        <v>6780</v>
      </c>
      <c r="R262" s="54"/>
      <c r="S262" s="54"/>
      <c r="T262" s="54"/>
      <c r="U262" s="54">
        <v>4520</v>
      </c>
      <c r="V262" s="261"/>
      <c r="W262" s="261"/>
      <c r="X262" s="34"/>
      <c r="Y262" s="238" t="s">
        <v>120</v>
      </c>
      <c r="Z262" s="4"/>
      <c r="AA262" s="4"/>
      <c r="AB262" s="4" t="s">
        <v>694</v>
      </c>
      <c r="AC262" s="4"/>
      <c r="AD262" s="4"/>
      <c r="AE262" s="4"/>
      <c r="AF262" s="4"/>
      <c r="AG262" s="4"/>
      <c r="AH262" s="4"/>
      <c r="AI262" s="4"/>
      <c r="AJ262" s="4"/>
    </row>
    <row r="263" spans="1:36" hidden="1" x14ac:dyDescent="0.35">
      <c r="A263" s="51"/>
      <c r="B263" s="52"/>
      <c r="C263" s="259"/>
      <c r="D263" s="259"/>
      <c r="E263" s="261"/>
      <c r="F263" s="261"/>
      <c r="G263" s="34"/>
      <c r="H263" s="261"/>
      <c r="I263" s="256"/>
      <c r="J263" s="14"/>
      <c r="K263" s="237"/>
      <c r="L263" s="237"/>
      <c r="M263" s="261"/>
      <c r="N263" s="261"/>
      <c r="O263" s="137"/>
      <c r="P263" s="34"/>
      <c r="Q263" s="261"/>
      <c r="R263" s="261"/>
      <c r="S263" s="261"/>
      <c r="T263" s="261"/>
      <c r="U263" s="261"/>
      <c r="V263" s="261"/>
      <c r="W263" s="261"/>
      <c r="X263" s="34"/>
      <c r="Y263" s="13"/>
      <c r="Z263" s="4"/>
      <c r="AA263" s="4"/>
      <c r="AB263" s="4"/>
      <c r="AC263" s="4"/>
      <c r="AD263" s="4"/>
      <c r="AE263" s="4"/>
      <c r="AF263" s="4"/>
      <c r="AG263" s="4"/>
      <c r="AH263" s="4"/>
      <c r="AI263" s="4"/>
      <c r="AJ263" s="4"/>
    </row>
    <row r="264" spans="1:36" hidden="1" x14ac:dyDescent="0.35">
      <c r="A264" s="51">
        <v>49</v>
      </c>
      <c r="B264" s="52" t="s">
        <v>695</v>
      </c>
      <c r="C264" s="259"/>
      <c r="D264" s="259"/>
      <c r="E264" s="261"/>
      <c r="F264" s="261"/>
      <c r="G264" s="34"/>
      <c r="H264" s="261"/>
      <c r="I264" s="256">
        <v>49</v>
      </c>
      <c r="J264" s="14" t="s">
        <v>695</v>
      </c>
      <c r="K264" s="237"/>
      <c r="L264" s="237"/>
      <c r="M264" s="261"/>
      <c r="N264" s="261"/>
      <c r="O264" s="137"/>
      <c r="P264" s="34"/>
      <c r="Q264" s="261"/>
      <c r="R264" s="261"/>
      <c r="S264" s="261"/>
      <c r="T264" s="261"/>
      <c r="U264" s="261"/>
      <c r="V264" s="261"/>
      <c r="W264" s="261"/>
      <c r="X264" s="34"/>
      <c r="Y264" s="38"/>
      <c r="Z264" s="4"/>
      <c r="AA264" s="4"/>
      <c r="AB264" s="4"/>
      <c r="AC264" s="4"/>
      <c r="AD264" s="4"/>
      <c r="AE264" s="4"/>
      <c r="AF264" s="4"/>
      <c r="AG264" s="4"/>
      <c r="AH264" s="4"/>
      <c r="AI264" s="4"/>
      <c r="AJ264" s="4"/>
    </row>
    <row r="265" spans="1:36" hidden="1" x14ac:dyDescent="0.35">
      <c r="A265" s="148" t="s">
        <v>696</v>
      </c>
      <c r="B265" s="53" t="s">
        <v>697</v>
      </c>
      <c r="C265" s="259"/>
      <c r="D265" s="259"/>
      <c r="E265" s="261"/>
      <c r="F265" s="261"/>
      <c r="G265" s="34"/>
      <c r="H265" s="261"/>
      <c r="I265" s="108" t="s">
        <v>696</v>
      </c>
      <c r="J265" s="38" t="s">
        <v>697</v>
      </c>
      <c r="K265" s="237"/>
      <c r="L265" s="237"/>
      <c r="M265" s="261"/>
      <c r="N265" s="261"/>
      <c r="O265" s="137"/>
      <c r="P265" s="34"/>
      <c r="Q265" s="261"/>
      <c r="R265" s="261"/>
      <c r="S265" s="261"/>
      <c r="T265" s="261"/>
      <c r="U265" s="261"/>
      <c r="V265" s="261"/>
      <c r="W265" s="261"/>
      <c r="X265" s="34"/>
      <c r="Y265" s="38"/>
      <c r="Z265" s="4"/>
      <c r="AA265" s="4"/>
      <c r="AB265" s="4"/>
      <c r="AC265" s="4"/>
      <c r="AD265" s="4"/>
      <c r="AE265" s="4"/>
      <c r="AF265" s="4"/>
      <c r="AG265" s="4"/>
      <c r="AH265" s="4"/>
      <c r="AI265" s="4"/>
      <c r="AJ265" s="4"/>
    </row>
    <row r="266" spans="1:36" ht="42.4" hidden="1" customHeight="1" x14ac:dyDescent="0.35">
      <c r="A266" s="51"/>
      <c r="B266" s="52"/>
      <c r="C266" s="259"/>
      <c r="D266" s="259"/>
      <c r="E266" s="261"/>
      <c r="F266" s="261"/>
      <c r="G266" s="34"/>
      <c r="H266" s="261"/>
      <c r="I266" s="256" t="s">
        <v>698</v>
      </c>
      <c r="J266" s="14"/>
      <c r="K266" s="237" t="s">
        <v>699</v>
      </c>
      <c r="L266" s="237" t="s">
        <v>700</v>
      </c>
      <c r="M266" s="261"/>
      <c r="N266" s="261"/>
      <c r="O266" s="137"/>
      <c r="P266" s="34"/>
      <c r="Q266" s="261"/>
      <c r="R266" s="261"/>
      <c r="S266" s="261"/>
      <c r="T266" s="261"/>
      <c r="U266" s="261"/>
      <c r="V266" s="261"/>
      <c r="W266" s="261"/>
      <c r="X266" s="34"/>
      <c r="Y266" s="38" t="s">
        <v>701</v>
      </c>
      <c r="Z266" s="4" t="s">
        <v>106</v>
      </c>
      <c r="AA266" s="4"/>
      <c r="AB266" s="4"/>
      <c r="AC266" s="4"/>
      <c r="AD266" s="4"/>
      <c r="AE266" s="4"/>
      <c r="AF266" s="4"/>
      <c r="AG266" s="4"/>
      <c r="AH266" s="4"/>
      <c r="AI266" s="4"/>
      <c r="AJ266" s="4"/>
    </row>
    <row r="267" spans="1:36" ht="42.4" hidden="1" customHeight="1" x14ac:dyDescent="0.35">
      <c r="A267" s="51"/>
      <c r="B267" s="52"/>
      <c r="C267" s="259"/>
      <c r="D267" s="259"/>
      <c r="E267" s="261"/>
      <c r="F267" s="261"/>
      <c r="G267" s="34"/>
      <c r="H267" s="261"/>
      <c r="I267" s="256"/>
      <c r="J267" s="13" t="s">
        <v>702</v>
      </c>
      <c r="K267" s="237"/>
      <c r="L267" s="237"/>
      <c r="M267" s="261"/>
      <c r="N267" s="261"/>
      <c r="O267" s="137"/>
      <c r="P267" s="34"/>
      <c r="Q267" s="261"/>
      <c r="R267" s="261"/>
      <c r="S267" s="261"/>
      <c r="T267" s="261"/>
      <c r="U267" s="261"/>
      <c r="V267" s="261"/>
      <c r="W267" s="261"/>
      <c r="X267" s="34"/>
      <c r="Y267" s="38" t="s">
        <v>701</v>
      </c>
      <c r="Z267" s="4" t="s">
        <v>106</v>
      </c>
      <c r="AA267" s="4"/>
      <c r="AB267" s="4"/>
      <c r="AC267" s="4"/>
      <c r="AD267" s="4"/>
      <c r="AE267" s="4"/>
      <c r="AF267" s="4"/>
      <c r="AG267" s="4"/>
      <c r="AH267" s="4"/>
      <c r="AI267" s="4"/>
      <c r="AJ267" s="4"/>
    </row>
    <row r="268" spans="1:36" ht="42.4" hidden="1" customHeight="1" x14ac:dyDescent="0.35">
      <c r="A268" s="51"/>
      <c r="B268" s="52"/>
      <c r="C268" s="259"/>
      <c r="D268" s="259"/>
      <c r="E268" s="261"/>
      <c r="F268" s="261"/>
      <c r="G268" s="34"/>
      <c r="H268" s="261"/>
      <c r="I268" s="256"/>
      <c r="J268" s="13" t="s">
        <v>703</v>
      </c>
      <c r="K268" s="237"/>
      <c r="L268" s="237"/>
      <c r="M268" s="261"/>
      <c r="N268" s="261"/>
      <c r="O268" s="137"/>
      <c r="P268" s="34"/>
      <c r="Q268" s="261"/>
      <c r="R268" s="261"/>
      <c r="S268" s="261"/>
      <c r="T268" s="261"/>
      <c r="U268" s="261"/>
      <c r="V268" s="261"/>
      <c r="W268" s="261"/>
      <c r="X268" s="34"/>
      <c r="Y268" s="38" t="s">
        <v>701</v>
      </c>
      <c r="Z268" s="4" t="s">
        <v>106</v>
      </c>
      <c r="AA268" s="4"/>
      <c r="AB268" s="4"/>
      <c r="AC268" s="4"/>
      <c r="AD268" s="4"/>
      <c r="AE268" s="4"/>
      <c r="AF268" s="4"/>
      <c r="AG268" s="4"/>
      <c r="AH268" s="4"/>
      <c r="AI268" s="4"/>
      <c r="AJ268" s="4"/>
    </row>
    <row r="269" spans="1:36" ht="42" x14ac:dyDescent="0.35">
      <c r="A269" s="51">
        <v>50</v>
      </c>
      <c r="B269" s="52" t="s">
        <v>704</v>
      </c>
      <c r="C269" s="259"/>
      <c r="D269" s="259"/>
      <c r="E269" s="261"/>
      <c r="F269" s="261"/>
      <c r="G269" s="34"/>
      <c r="H269" s="261"/>
      <c r="I269" s="256">
        <v>50</v>
      </c>
      <c r="J269" s="14" t="s">
        <v>704</v>
      </c>
      <c r="K269" s="237"/>
      <c r="L269" s="237"/>
      <c r="M269" s="261"/>
      <c r="N269" s="261"/>
      <c r="O269" s="137"/>
      <c r="P269" s="34"/>
      <c r="Q269" s="261"/>
      <c r="R269" s="261"/>
      <c r="S269" s="261"/>
      <c r="T269" s="261"/>
      <c r="U269" s="261"/>
      <c r="V269" s="261"/>
      <c r="W269" s="261"/>
      <c r="X269" s="34"/>
      <c r="Y269" s="13" t="s">
        <v>101</v>
      </c>
      <c r="Z269" s="4"/>
      <c r="AA269" s="4"/>
      <c r="AB269" s="4"/>
      <c r="AC269" s="4"/>
      <c r="AD269" s="4"/>
      <c r="AE269" s="4"/>
      <c r="AF269" s="4"/>
      <c r="AG269" s="4"/>
      <c r="AH269" s="4"/>
      <c r="AI269" s="4"/>
      <c r="AJ269" s="4"/>
    </row>
    <row r="270" spans="1:36" x14ac:dyDescent="0.35">
      <c r="A270" s="51"/>
      <c r="B270" s="328"/>
      <c r="C270" s="259"/>
      <c r="D270" s="259"/>
      <c r="E270" s="3"/>
      <c r="F270" s="3"/>
      <c r="G270" s="3"/>
      <c r="H270" s="261"/>
      <c r="I270" s="256"/>
      <c r="J270" s="52" t="s">
        <v>1078</v>
      </c>
      <c r="K270" s="237"/>
      <c r="L270" s="237"/>
      <c r="M270" s="261"/>
      <c r="N270" s="261"/>
      <c r="O270" s="3"/>
      <c r="P270" s="3"/>
      <c r="Q270" s="261"/>
      <c r="R270" s="261"/>
      <c r="S270" s="261"/>
      <c r="T270" s="261"/>
      <c r="U270" s="261"/>
      <c r="V270" s="261"/>
      <c r="W270" s="261"/>
      <c r="X270" s="34"/>
      <c r="Y270" s="13"/>
      <c r="Z270" s="4"/>
      <c r="AA270" s="4"/>
      <c r="AB270" s="4"/>
      <c r="AC270" s="4"/>
      <c r="AD270" s="4"/>
      <c r="AE270" s="4"/>
      <c r="AF270" s="4"/>
      <c r="AG270" s="4"/>
      <c r="AH270" s="4"/>
      <c r="AI270" s="4"/>
      <c r="AJ270" s="4"/>
    </row>
    <row r="271" spans="1:36" ht="42" x14ac:dyDescent="0.35">
      <c r="A271" s="27" t="s">
        <v>705</v>
      </c>
      <c r="B271" s="149" t="s">
        <v>706</v>
      </c>
      <c r="C271" s="237" t="s">
        <v>707</v>
      </c>
      <c r="D271" s="237" t="s">
        <v>643</v>
      </c>
      <c r="E271" s="139">
        <v>5200</v>
      </c>
      <c r="F271" s="139">
        <v>3600</v>
      </c>
      <c r="G271" s="140">
        <v>2600</v>
      </c>
      <c r="H271" s="141">
        <v>2000</v>
      </c>
      <c r="I271" s="27" t="s">
        <v>708</v>
      </c>
      <c r="J271" s="38" t="s">
        <v>709</v>
      </c>
      <c r="K271" s="237" t="s">
        <v>707</v>
      </c>
      <c r="L271" s="237" t="s">
        <v>643</v>
      </c>
      <c r="M271" s="57">
        <v>5200</v>
      </c>
      <c r="N271" s="57">
        <v>3600</v>
      </c>
      <c r="O271" s="142">
        <v>2600</v>
      </c>
      <c r="P271" s="143">
        <v>2000</v>
      </c>
      <c r="Q271" s="54">
        <v>3120</v>
      </c>
      <c r="R271" s="54">
        <v>2160</v>
      </c>
      <c r="S271" s="54">
        <v>1560</v>
      </c>
      <c r="T271" s="54">
        <v>1200</v>
      </c>
      <c r="U271" s="54">
        <v>2080</v>
      </c>
      <c r="V271" s="54">
        <v>1440</v>
      </c>
      <c r="W271" s="54">
        <v>1040</v>
      </c>
      <c r="X271" s="54">
        <v>800</v>
      </c>
      <c r="Y271" s="31" t="s">
        <v>710</v>
      </c>
      <c r="Z271" s="4" t="s">
        <v>711</v>
      </c>
      <c r="AA271" s="4"/>
      <c r="AB271" s="4"/>
      <c r="AC271" s="4"/>
      <c r="AD271" s="4"/>
      <c r="AE271" s="4"/>
      <c r="AF271" s="4"/>
      <c r="AG271" s="4"/>
      <c r="AH271" s="4"/>
      <c r="AI271" s="4"/>
      <c r="AJ271" s="4"/>
    </row>
    <row r="272" spans="1:36" ht="54" hidden="1" customHeight="1" x14ac:dyDescent="0.35">
      <c r="A272" s="27" t="s">
        <v>712</v>
      </c>
      <c r="B272" s="149" t="s">
        <v>713</v>
      </c>
      <c r="C272" s="237" t="s">
        <v>707</v>
      </c>
      <c r="D272" s="237" t="s">
        <v>643</v>
      </c>
      <c r="E272" s="261"/>
      <c r="F272" s="261"/>
      <c r="G272" s="34"/>
      <c r="H272" s="261"/>
      <c r="I272" s="27"/>
      <c r="J272" s="38"/>
      <c r="K272" s="237"/>
      <c r="L272" s="237"/>
      <c r="M272" s="261"/>
      <c r="N272" s="261"/>
      <c r="O272" s="137"/>
      <c r="P272" s="34"/>
      <c r="Q272" s="261"/>
      <c r="R272" s="261"/>
      <c r="S272" s="261"/>
      <c r="T272" s="261"/>
      <c r="U272" s="261"/>
      <c r="V272" s="261"/>
      <c r="W272" s="261"/>
      <c r="X272" s="34"/>
      <c r="Y272" s="38" t="s">
        <v>714</v>
      </c>
      <c r="Z272" s="4" t="s">
        <v>711</v>
      </c>
      <c r="AA272" s="4"/>
      <c r="AB272" s="4"/>
      <c r="AC272" s="4"/>
      <c r="AD272" s="4"/>
      <c r="AE272" s="4"/>
      <c r="AF272" s="4"/>
      <c r="AG272" s="4"/>
      <c r="AH272" s="4"/>
      <c r="AI272" s="4"/>
      <c r="AJ272" s="4"/>
    </row>
    <row r="273" spans="1:36" ht="54" customHeight="1" x14ac:dyDescent="0.35">
      <c r="A273" s="27" t="s">
        <v>715</v>
      </c>
      <c r="B273" s="149" t="s">
        <v>716</v>
      </c>
      <c r="C273" s="237" t="s">
        <v>707</v>
      </c>
      <c r="D273" s="237" t="s">
        <v>643</v>
      </c>
      <c r="E273" s="139">
        <v>7500</v>
      </c>
      <c r="F273" s="139">
        <v>4500</v>
      </c>
      <c r="G273" s="140">
        <v>3000</v>
      </c>
      <c r="H273" s="141">
        <v>2000</v>
      </c>
      <c r="I273" s="27" t="s">
        <v>717</v>
      </c>
      <c r="J273" s="38" t="s">
        <v>716</v>
      </c>
      <c r="K273" s="237" t="s">
        <v>707</v>
      </c>
      <c r="L273" s="237" t="s">
        <v>643</v>
      </c>
      <c r="M273" s="57">
        <v>7500</v>
      </c>
      <c r="N273" s="57">
        <v>4500</v>
      </c>
      <c r="O273" s="142">
        <v>3000</v>
      </c>
      <c r="P273" s="143">
        <v>2000</v>
      </c>
      <c r="Q273" s="54">
        <v>4500</v>
      </c>
      <c r="R273" s="54">
        <v>2700</v>
      </c>
      <c r="S273" s="54">
        <v>1800</v>
      </c>
      <c r="T273" s="54">
        <v>1200</v>
      </c>
      <c r="U273" s="54">
        <v>3000</v>
      </c>
      <c r="V273" s="54">
        <v>1800</v>
      </c>
      <c r="W273" s="54">
        <v>1200</v>
      </c>
      <c r="X273" s="54">
        <v>800</v>
      </c>
      <c r="Y273" s="266" t="s">
        <v>718</v>
      </c>
      <c r="Z273" s="4" t="s">
        <v>711</v>
      </c>
      <c r="AA273" s="4"/>
      <c r="AB273" s="4"/>
      <c r="AC273" s="4"/>
      <c r="AD273" s="4"/>
      <c r="AE273" s="4"/>
      <c r="AF273" s="4"/>
      <c r="AG273" s="4"/>
      <c r="AH273" s="4"/>
      <c r="AI273" s="4"/>
      <c r="AJ273" s="4"/>
    </row>
    <row r="274" spans="1:36" ht="54" customHeight="1" x14ac:dyDescent="0.35">
      <c r="A274" s="27" t="s">
        <v>719</v>
      </c>
      <c r="B274" s="149" t="s">
        <v>720</v>
      </c>
      <c r="C274" s="237" t="s">
        <v>707</v>
      </c>
      <c r="D274" s="237" t="s">
        <v>643</v>
      </c>
      <c r="E274" s="139">
        <v>4600</v>
      </c>
      <c r="F274" s="139">
        <v>3200</v>
      </c>
      <c r="G274" s="139">
        <v>2300</v>
      </c>
      <c r="H274" s="150">
        <v>2000</v>
      </c>
      <c r="I274" s="39" t="s">
        <v>721</v>
      </c>
      <c r="J274" s="151" t="s">
        <v>720</v>
      </c>
      <c r="K274" s="152" t="s">
        <v>707</v>
      </c>
      <c r="L274" s="152" t="s">
        <v>643</v>
      </c>
      <c r="M274" s="153">
        <v>4600</v>
      </c>
      <c r="N274" s="153">
        <v>3200</v>
      </c>
      <c r="O274" s="139">
        <v>2300</v>
      </c>
      <c r="P274" s="143">
        <v>2000</v>
      </c>
      <c r="Q274" s="54">
        <v>2760</v>
      </c>
      <c r="R274" s="54">
        <v>1920</v>
      </c>
      <c r="S274" s="54">
        <v>1380</v>
      </c>
      <c r="T274" s="54">
        <v>1200</v>
      </c>
      <c r="U274" s="54">
        <v>1840</v>
      </c>
      <c r="V274" s="54">
        <v>1280</v>
      </c>
      <c r="W274" s="54">
        <v>920</v>
      </c>
      <c r="X274" s="54">
        <v>800</v>
      </c>
      <c r="Y274" s="24" t="s">
        <v>722</v>
      </c>
      <c r="Z274" s="4" t="s">
        <v>711</v>
      </c>
      <c r="AA274" s="4"/>
      <c r="AB274" s="4"/>
      <c r="AC274" s="4"/>
      <c r="AD274" s="4"/>
      <c r="AE274" s="4"/>
      <c r="AF274" s="4"/>
      <c r="AG274" s="4"/>
      <c r="AH274" s="4"/>
      <c r="AI274" s="4"/>
      <c r="AJ274" s="4"/>
    </row>
    <row r="275" spans="1:36" x14ac:dyDescent="0.35">
      <c r="A275" s="27" t="s">
        <v>721</v>
      </c>
      <c r="B275" s="149" t="s">
        <v>723</v>
      </c>
      <c r="C275" s="259"/>
      <c r="D275" s="259"/>
      <c r="E275" s="139">
        <v>2000</v>
      </c>
      <c r="F275" s="139"/>
      <c r="G275" s="139"/>
      <c r="H275" s="154"/>
      <c r="I275" s="27" t="s">
        <v>724</v>
      </c>
      <c r="J275" s="149" t="s">
        <v>723</v>
      </c>
      <c r="K275" s="237"/>
      <c r="L275" s="237"/>
      <c r="M275" s="139">
        <v>2000</v>
      </c>
      <c r="N275" s="139"/>
      <c r="O275" s="139"/>
      <c r="P275" s="143"/>
      <c r="Q275" s="54">
        <v>1200</v>
      </c>
      <c r="R275" s="54"/>
      <c r="S275" s="54"/>
      <c r="T275" s="54"/>
      <c r="U275" s="54">
        <v>800</v>
      </c>
      <c r="V275" s="141"/>
      <c r="W275" s="141"/>
      <c r="X275" s="144"/>
      <c r="Y275" s="24" t="s">
        <v>725</v>
      </c>
      <c r="Z275" s="4" t="s">
        <v>711</v>
      </c>
      <c r="AA275" s="4"/>
      <c r="AB275" s="4"/>
      <c r="AC275" s="4"/>
      <c r="AD275" s="4"/>
      <c r="AE275" s="4"/>
      <c r="AF275" s="4"/>
      <c r="AG275" s="4"/>
      <c r="AH275" s="4"/>
      <c r="AI275" s="4"/>
      <c r="AJ275" s="4"/>
    </row>
    <row r="276" spans="1:36" hidden="1" x14ac:dyDescent="0.35">
      <c r="A276" s="51">
        <v>51</v>
      </c>
      <c r="B276" s="52" t="s">
        <v>726</v>
      </c>
      <c r="C276" s="259"/>
      <c r="D276" s="259"/>
      <c r="E276" s="261"/>
      <c r="F276" s="261"/>
      <c r="G276" s="261"/>
      <c r="H276" s="261"/>
      <c r="I276" s="51">
        <v>51</v>
      </c>
      <c r="J276" s="52" t="s">
        <v>726</v>
      </c>
      <c r="K276" s="237"/>
      <c r="L276" s="237"/>
      <c r="M276" s="261"/>
      <c r="N276" s="261"/>
      <c r="O276" s="261"/>
      <c r="P276" s="34"/>
      <c r="Q276" s="261"/>
      <c r="R276" s="261"/>
      <c r="S276" s="261"/>
      <c r="T276" s="261"/>
      <c r="U276" s="261"/>
      <c r="V276" s="261"/>
      <c r="W276" s="261"/>
      <c r="X276" s="34"/>
      <c r="Y276" s="13" t="s">
        <v>22</v>
      </c>
      <c r="Z276" s="4"/>
      <c r="AA276" s="4"/>
      <c r="AB276" s="4"/>
      <c r="AC276" s="4"/>
      <c r="AD276" s="4"/>
      <c r="AE276" s="4"/>
      <c r="AF276" s="4"/>
      <c r="AG276" s="4"/>
      <c r="AH276" s="4"/>
      <c r="AI276" s="4"/>
      <c r="AJ276" s="4"/>
    </row>
    <row r="277" spans="1:36" x14ac:dyDescent="0.35">
      <c r="A277" s="51">
        <v>52</v>
      </c>
      <c r="B277" s="52" t="s">
        <v>727</v>
      </c>
      <c r="C277" s="259"/>
      <c r="D277" s="259"/>
      <c r="E277" s="261"/>
      <c r="F277" s="261"/>
      <c r="G277" s="261"/>
      <c r="H277" s="261"/>
      <c r="I277" s="51">
        <v>52</v>
      </c>
      <c r="J277" s="52" t="s">
        <v>727</v>
      </c>
      <c r="K277" s="237"/>
      <c r="L277" s="237"/>
      <c r="M277" s="261"/>
      <c r="N277" s="261"/>
      <c r="O277" s="261"/>
      <c r="P277" s="34"/>
      <c r="Q277" s="261"/>
      <c r="R277" s="261"/>
      <c r="S277" s="261"/>
      <c r="T277" s="261"/>
      <c r="U277" s="261"/>
      <c r="V277" s="261"/>
      <c r="W277" s="261"/>
      <c r="X277" s="34"/>
      <c r="Y277" s="38"/>
      <c r="Z277" s="4"/>
      <c r="AA277" s="4"/>
      <c r="AB277" s="4"/>
      <c r="AC277" s="4"/>
      <c r="AD277" s="4"/>
      <c r="AE277" s="4"/>
      <c r="AF277" s="4"/>
      <c r="AG277" s="4"/>
      <c r="AH277" s="4"/>
      <c r="AI277" s="4"/>
      <c r="AJ277" s="4"/>
    </row>
    <row r="278" spans="1:36" x14ac:dyDescent="0.35">
      <c r="A278" s="109"/>
      <c r="B278" s="324"/>
      <c r="C278" s="259"/>
      <c r="D278" s="259"/>
      <c r="E278" s="261"/>
      <c r="F278" s="261"/>
      <c r="G278" s="261"/>
      <c r="H278" s="261"/>
      <c r="I278" s="109"/>
      <c r="J278" s="52" t="s">
        <v>1078</v>
      </c>
      <c r="K278" s="237"/>
      <c r="L278" s="237"/>
      <c r="M278" s="261"/>
      <c r="N278" s="261"/>
      <c r="O278" s="261"/>
      <c r="P278" s="34"/>
      <c r="Q278" s="261"/>
      <c r="R278" s="261"/>
      <c r="S278" s="261"/>
      <c r="T278" s="261"/>
      <c r="U278" s="261"/>
      <c r="V278" s="261"/>
      <c r="W278" s="261"/>
      <c r="X278" s="34"/>
      <c r="Y278" s="38"/>
      <c r="Z278" s="4"/>
      <c r="AA278" s="4"/>
      <c r="AB278" s="4"/>
      <c r="AC278" s="4"/>
      <c r="AD278" s="4"/>
      <c r="AE278" s="4"/>
      <c r="AF278" s="4"/>
      <c r="AG278" s="4"/>
      <c r="AH278" s="4"/>
      <c r="AI278" s="4"/>
      <c r="AJ278" s="4"/>
    </row>
    <row r="279" spans="1:36" ht="28" x14ac:dyDescent="0.35">
      <c r="A279" s="148" t="s">
        <v>200</v>
      </c>
      <c r="B279" s="53" t="s">
        <v>728</v>
      </c>
      <c r="C279" s="259"/>
      <c r="D279" s="259"/>
      <c r="E279" s="261"/>
      <c r="F279" s="261"/>
      <c r="G279" s="261"/>
      <c r="H279" s="261"/>
      <c r="I279" s="148" t="s">
        <v>200</v>
      </c>
      <c r="J279" s="53" t="s">
        <v>728</v>
      </c>
      <c r="K279" s="237"/>
      <c r="L279" s="237"/>
      <c r="M279" s="261"/>
      <c r="N279" s="261"/>
      <c r="O279" s="261"/>
      <c r="P279" s="34"/>
      <c r="Q279" s="261"/>
      <c r="R279" s="261"/>
      <c r="S279" s="261"/>
      <c r="T279" s="261"/>
      <c r="U279" s="261"/>
      <c r="V279" s="261"/>
      <c r="W279" s="261"/>
      <c r="X279" s="34"/>
      <c r="Y279" s="38"/>
      <c r="Z279" s="4"/>
      <c r="AA279" s="4"/>
      <c r="AB279" s="4"/>
      <c r="AC279" s="4"/>
      <c r="AD279" s="4"/>
      <c r="AE279" s="4"/>
      <c r="AF279" s="4"/>
      <c r="AG279" s="4"/>
      <c r="AH279" s="4"/>
      <c r="AI279" s="4"/>
      <c r="AJ279" s="4"/>
    </row>
    <row r="280" spans="1:36" ht="70" x14ac:dyDescent="0.35">
      <c r="A280" s="148" t="s">
        <v>729</v>
      </c>
      <c r="B280" s="53" t="s">
        <v>730</v>
      </c>
      <c r="C280" s="53" t="s">
        <v>731</v>
      </c>
      <c r="D280" s="53" t="s">
        <v>732</v>
      </c>
      <c r="E280" s="155">
        <v>15000</v>
      </c>
      <c r="F280" s="155">
        <v>6000</v>
      </c>
      <c r="G280" s="155">
        <v>3500</v>
      </c>
      <c r="H280" s="155">
        <v>2000</v>
      </c>
      <c r="I280" s="148" t="s">
        <v>729</v>
      </c>
      <c r="J280" s="53" t="s">
        <v>733</v>
      </c>
      <c r="K280" s="53" t="s">
        <v>731</v>
      </c>
      <c r="L280" s="53" t="s">
        <v>734</v>
      </c>
      <c r="M280" s="155">
        <v>15000</v>
      </c>
      <c r="N280" s="155">
        <v>6000</v>
      </c>
      <c r="O280" s="155">
        <v>3500</v>
      </c>
      <c r="P280" s="157">
        <v>2000</v>
      </c>
      <c r="Q280" s="54">
        <v>9000</v>
      </c>
      <c r="R280" s="54">
        <v>3600</v>
      </c>
      <c r="S280" s="54">
        <v>2100</v>
      </c>
      <c r="T280" s="54">
        <v>1280</v>
      </c>
      <c r="U280" s="54">
        <v>6000</v>
      </c>
      <c r="V280" s="54">
        <v>2400</v>
      </c>
      <c r="W280" s="54">
        <v>1400</v>
      </c>
      <c r="X280" s="54">
        <v>960</v>
      </c>
      <c r="Y280" s="38" t="s">
        <v>229</v>
      </c>
      <c r="Z280" s="4"/>
      <c r="AA280" s="4"/>
      <c r="AB280" s="4"/>
      <c r="AC280" s="4"/>
      <c r="AD280" s="4"/>
      <c r="AE280" s="4"/>
      <c r="AF280" s="4"/>
      <c r="AG280" s="4"/>
      <c r="AH280" s="4"/>
      <c r="AI280" s="4"/>
      <c r="AJ280" s="4"/>
    </row>
    <row r="281" spans="1:36" x14ac:dyDescent="0.35">
      <c r="A281" s="51"/>
      <c r="B281" s="52"/>
      <c r="C281" s="259"/>
      <c r="D281" s="259"/>
      <c r="E281" s="261"/>
      <c r="F281" s="261"/>
      <c r="G281" s="261"/>
      <c r="H281" s="261"/>
      <c r="I281" s="51"/>
      <c r="J281" s="52"/>
      <c r="K281" s="237"/>
      <c r="L281" s="237"/>
      <c r="M281" s="261"/>
      <c r="N281" s="261"/>
      <c r="O281" s="261"/>
      <c r="P281" s="34"/>
      <c r="Q281" s="261"/>
      <c r="R281" s="261"/>
      <c r="S281" s="261"/>
      <c r="T281" s="261"/>
      <c r="U281" s="261"/>
      <c r="V281" s="261"/>
      <c r="W281" s="261"/>
      <c r="X281" s="34"/>
      <c r="Y281" s="38"/>
      <c r="Z281" s="4"/>
      <c r="AA281" s="4"/>
      <c r="AB281" s="4"/>
      <c r="AC281" s="4"/>
      <c r="AD281" s="4"/>
      <c r="AE281" s="4"/>
      <c r="AF281" s="4"/>
      <c r="AG281" s="4"/>
      <c r="AH281" s="4"/>
      <c r="AI281" s="4"/>
      <c r="AJ281" s="4"/>
    </row>
    <row r="282" spans="1:36" x14ac:dyDescent="0.35">
      <c r="A282" s="51">
        <v>53</v>
      </c>
      <c r="B282" s="52" t="s">
        <v>735</v>
      </c>
      <c r="C282" s="259"/>
      <c r="D282" s="259"/>
      <c r="E282" s="261"/>
      <c r="F282" s="261"/>
      <c r="G282" s="261"/>
      <c r="H282" s="261"/>
      <c r="I282" s="51">
        <v>53</v>
      </c>
      <c r="J282" s="52" t="s">
        <v>735</v>
      </c>
      <c r="K282" s="237"/>
      <c r="L282" s="237"/>
      <c r="M282" s="261"/>
      <c r="N282" s="261"/>
      <c r="O282" s="261"/>
      <c r="P282" s="34"/>
      <c r="Q282" s="261"/>
      <c r="R282" s="261"/>
      <c r="S282" s="261"/>
      <c r="T282" s="261"/>
      <c r="U282" s="261"/>
      <c r="V282" s="261"/>
      <c r="W282" s="261"/>
      <c r="X282" s="34"/>
      <c r="Y282" s="38"/>
      <c r="Z282" s="4"/>
      <c r="AA282" s="4"/>
      <c r="AB282" s="4"/>
      <c r="AC282" s="4"/>
      <c r="AD282" s="4"/>
      <c r="AE282" s="4"/>
      <c r="AF282" s="4"/>
      <c r="AG282" s="4"/>
      <c r="AH282" s="4"/>
      <c r="AI282" s="4"/>
      <c r="AJ282" s="4"/>
    </row>
    <row r="283" spans="1:36" x14ac:dyDescent="0.35">
      <c r="A283" s="109"/>
      <c r="B283" s="324"/>
      <c r="C283" s="329"/>
      <c r="D283" s="329"/>
      <c r="E283" s="3"/>
      <c r="F283" s="3"/>
      <c r="G283" s="3"/>
      <c r="H283" s="3"/>
      <c r="I283" s="109"/>
      <c r="J283" s="52" t="s">
        <v>1078</v>
      </c>
      <c r="K283" s="1"/>
      <c r="L283" s="1"/>
      <c r="M283" s="3"/>
      <c r="N283" s="3"/>
      <c r="O283" s="3"/>
      <c r="P283" s="3"/>
      <c r="Q283" s="113"/>
      <c r="R283" s="113"/>
      <c r="S283" s="113"/>
      <c r="T283" s="113"/>
      <c r="U283" s="113"/>
      <c r="V283" s="113"/>
      <c r="W283" s="113"/>
      <c r="X283" s="114"/>
      <c r="Y283" s="38"/>
      <c r="Z283" s="4"/>
      <c r="AA283" s="4"/>
      <c r="AB283" s="4"/>
      <c r="AC283" s="4"/>
      <c r="AD283" s="4"/>
      <c r="AE283" s="4"/>
      <c r="AF283" s="4"/>
      <c r="AG283" s="4"/>
      <c r="AH283" s="4"/>
      <c r="AI283" s="4"/>
      <c r="AJ283" s="4"/>
    </row>
    <row r="284" spans="1:36" ht="32.25" customHeight="1" x14ac:dyDescent="0.35">
      <c r="A284" s="148" t="s">
        <v>745</v>
      </c>
      <c r="B284" s="158" t="s">
        <v>743</v>
      </c>
      <c r="C284" s="100" t="s">
        <v>746</v>
      </c>
      <c r="D284" s="100" t="s">
        <v>744</v>
      </c>
      <c r="E284" s="159">
        <v>8200</v>
      </c>
      <c r="F284" s="159">
        <v>2900</v>
      </c>
      <c r="G284" s="159">
        <v>1700</v>
      </c>
      <c r="H284" s="159">
        <v>1200</v>
      </c>
      <c r="I284" s="317" t="s">
        <v>591</v>
      </c>
      <c r="J284" s="318" t="s">
        <v>1050</v>
      </c>
      <c r="K284" s="319" t="s">
        <v>1081</v>
      </c>
      <c r="L284" s="319" t="s">
        <v>1053</v>
      </c>
      <c r="M284" s="89">
        <v>1800</v>
      </c>
      <c r="N284" s="89">
        <v>1400</v>
      </c>
      <c r="O284" s="89">
        <v>1000</v>
      </c>
      <c r="P284" s="253">
        <v>700</v>
      </c>
      <c r="Q284" s="89">
        <v>1080</v>
      </c>
      <c r="R284" s="253">
        <v>840</v>
      </c>
      <c r="S284" s="253">
        <v>600</v>
      </c>
      <c r="T284" s="253">
        <v>420</v>
      </c>
      <c r="U284" s="253">
        <v>720</v>
      </c>
      <c r="V284" s="253">
        <v>560</v>
      </c>
      <c r="W284" s="253">
        <v>420</v>
      </c>
      <c r="X284" s="253">
        <v>300</v>
      </c>
      <c r="Y284" s="38" t="s">
        <v>748</v>
      </c>
      <c r="Z284" s="4"/>
      <c r="AA284" s="4"/>
      <c r="AB284" s="4"/>
      <c r="AC284" s="4"/>
      <c r="AD284" s="4"/>
      <c r="AE284" s="4"/>
      <c r="AF284" s="4"/>
      <c r="AG284" s="4"/>
      <c r="AH284" s="4"/>
      <c r="AI284" s="4"/>
      <c r="AJ284" s="4"/>
    </row>
    <row r="285" spans="1:36" x14ac:dyDescent="0.35">
      <c r="A285" s="4"/>
      <c r="B285" s="4"/>
      <c r="C285" s="4"/>
      <c r="D285" s="4"/>
      <c r="E285" s="4"/>
      <c r="F285" s="4"/>
      <c r="G285" s="4"/>
      <c r="H285" s="4"/>
      <c r="I285" s="259" t="s">
        <v>1069</v>
      </c>
      <c r="J285" s="311" t="s">
        <v>1075</v>
      </c>
      <c r="K285" s="27"/>
      <c r="L285" s="253"/>
      <c r="M285" s="253"/>
      <c r="N285" s="253"/>
      <c r="O285" s="253"/>
      <c r="P285" s="253"/>
      <c r="Q285" s="253"/>
      <c r="R285" s="253"/>
      <c r="S285" s="253"/>
      <c r="T285" s="253"/>
      <c r="U285" s="253"/>
      <c r="V285" s="253"/>
      <c r="W285" s="253"/>
      <c r="X285" s="253"/>
      <c r="Y285" s="316"/>
    </row>
    <row r="286" spans="1:36" ht="28.9" customHeight="1" x14ac:dyDescent="0.35">
      <c r="A286" s="4"/>
      <c r="B286" s="4"/>
      <c r="C286" s="4"/>
      <c r="D286" s="4"/>
      <c r="E286" s="4"/>
      <c r="F286" s="4"/>
      <c r="G286" s="4"/>
      <c r="H286" s="4"/>
      <c r="I286" s="256">
        <v>25</v>
      </c>
      <c r="J286" s="14" t="s">
        <v>30</v>
      </c>
      <c r="K286" s="27"/>
      <c r="L286" s="253"/>
      <c r="M286" s="253"/>
      <c r="N286" s="253"/>
      <c r="O286" s="253"/>
      <c r="P286" s="253"/>
      <c r="Q286" s="253"/>
      <c r="R286" s="253"/>
      <c r="S286" s="253"/>
      <c r="T286" s="253"/>
      <c r="U286" s="253"/>
      <c r="V286" s="253"/>
      <c r="W286" s="253"/>
      <c r="X286" s="253"/>
      <c r="Y286" s="9"/>
    </row>
    <row r="287" spans="1:36" ht="14.5" customHeight="1" x14ac:dyDescent="0.35">
      <c r="A287" s="4"/>
      <c r="B287" s="4"/>
      <c r="C287" s="4"/>
      <c r="D287" s="4"/>
      <c r="E287" s="4"/>
      <c r="F287" s="4"/>
      <c r="G287" s="4"/>
      <c r="H287" s="4"/>
      <c r="I287" s="19" t="s">
        <v>42</v>
      </c>
      <c r="J287" s="38" t="s">
        <v>43</v>
      </c>
      <c r="K287" s="237" t="s">
        <v>36</v>
      </c>
      <c r="L287" s="253"/>
      <c r="M287" s="18">
        <v>7500</v>
      </c>
      <c r="N287" s="253"/>
      <c r="O287" s="253"/>
      <c r="P287" s="253"/>
      <c r="Q287" s="18">
        <v>4500</v>
      </c>
      <c r="R287" s="253"/>
      <c r="S287" s="253"/>
      <c r="T287" s="253"/>
      <c r="U287" s="18">
        <v>3000</v>
      </c>
      <c r="V287" s="253"/>
      <c r="W287" s="253"/>
      <c r="X287" s="253"/>
      <c r="Y287" s="9"/>
    </row>
    <row r="288" spans="1:36" x14ac:dyDescent="0.35">
      <c r="A288" s="4"/>
      <c r="B288" s="4"/>
      <c r="C288" s="4"/>
      <c r="D288" s="4"/>
      <c r="E288" s="4"/>
      <c r="F288" s="4"/>
      <c r="G288" s="4"/>
      <c r="H288" s="4"/>
      <c r="I288" s="19" t="s">
        <v>45</v>
      </c>
      <c r="J288" s="38" t="s">
        <v>46</v>
      </c>
      <c r="K288" s="237" t="s">
        <v>36</v>
      </c>
      <c r="L288" s="253"/>
      <c r="M288" s="18">
        <v>7300</v>
      </c>
      <c r="N288" s="253"/>
      <c r="O288" s="253"/>
      <c r="P288" s="253"/>
      <c r="Q288" s="18">
        <v>4380</v>
      </c>
      <c r="R288" s="253"/>
      <c r="S288" s="253"/>
      <c r="T288" s="253"/>
      <c r="U288" s="18">
        <v>2920</v>
      </c>
      <c r="V288" s="253"/>
      <c r="W288" s="253"/>
      <c r="X288" s="253"/>
      <c r="Y288" s="9"/>
    </row>
    <row r="289" spans="1:25" x14ac:dyDescent="0.35">
      <c r="A289" s="4"/>
      <c r="B289" s="4"/>
      <c r="C289" s="4"/>
      <c r="D289" s="4"/>
      <c r="E289" s="4"/>
      <c r="F289" s="4"/>
      <c r="G289" s="4"/>
      <c r="H289" s="4"/>
      <c r="I289" s="19" t="s">
        <v>47</v>
      </c>
      <c r="J289" s="38" t="s">
        <v>48</v>
      </c>
      <c r="K289" s="237" t="s">
        <v>36</v>
      </c>
      <c r="L289" s="253"/>
      <c r="M289" s="18">
        <v>7100</v>
      </c>
      <c r="N289" s="253"/>
      <c r="O289" s="253"/>
      <c r="P289" s="253"/>
      <c r="Q289" s="18">
        <v>4260</v>
      </c>
      <c r="R289" s="253"/>
      <c r="S289" s="253"/>
      <c r="T289" s="253"/>
      <c r="U289" s="18">
        <v>2840</v>
      </c>
      <c r="V289" s="253"/>
      <c r="W289" s="253"/>
      <c r="X289" s="253"/>
      <c r="Y289" s="9"/>
    </row>
    <row r="290" spans="1:25" x14ac:dyDescent="0.35">
      <c r="A290" s="4"/>
      <c r="B290" s="4"/>
      <c r="C290" s="4"/>
      <c r="D290" s="4"/>
      <c r="E290" s="4"/>
      <c r="F290" s="4"/>
      <c r="G290" s="4"/>
      <c r="H290" s="4"/>
      <c r="I290" s="256">
        <v>42</v>
      </c>
      <c r="J290" s="14" t="s">
        <v>308</v>
      </c>
      <c r="K290" s="27"/>
      <c r="L290" s="253"/>
      <c r="M290" s="253"/>
      <c r="N290" s="253"/>
      <c r="O290" s="253"/>
      <c r="P290" s="253"/>
      <c r="Q290" s="253"/>
      <c r="R290" s="253"/>
      <c r="S290" s="253"/>
      <c r="T290" s="253"/>
      <c r="U290" s="253"/>
      <c r="V290" s="253"/>
      <c r="W290" s="253"/>
      <c r="X290" s="253"/>
      <c r="Y290" s="9"/>
    </row>
    <row r="291" spans="1:25" ht="14.5" customHeight="1" x14ac:dyDescent="0.35">
      <c r="A291" s="4"/>
      <c r="B291" s="4"/>
      <c r="C291" s="4"/>
      <c r="D291" s="4"/>
      <c r="E291" s="4"/>
      <c r="F291" s="4"/>
      <c r="G291" s="4"/>
      <c r="H291" s="4"/>
      <c r="I291" s="19" t="s">
        <v>504</v>
      </c>
      <c r="J291" s="38" t="s">
        <v>505</v>
      </c>
      <c r="K291" s="460" t="s">
        <v>36</v>
      </c>
      <c r="L291" s="451"/>
      <c r="M291" s="91">
        <v>15000</v>
      </c>
      <c r="N291" s="253"/>
      <c r="O291" s="253"/>
      <c r="P291" s="253"/>
      <c r="Q291" s="253"/>
      <c r="R291" s="253"/>
      <c r="S291" s="253"/>
      <c r="T291" s="253"/>
      <c r="U291" s="253"/>
      <c r="V291" s="253"/>
      <c r="W291" s="253"/>
      <c r="X291" s="253"/>
      <c r="Y291" s="9"/>
    </row>
    <row r="292" spans="1:25" ht="14.5" customHeight="1" x14ac:dyDescent="0.35">
      <c r="A292" s="4"/>
      <c r="B292" s="4"/>
      <c r="C292" s="4"/>
      <c r="D292" s="4"/>
      <c r="E292" s="4"/>
      <c r="F292" s="4"/>
      <c r="G292" s="4"/>
      <c r="H292" s="4"/>
      <c r="I292" s="256">
        <v>44</v>
      </c>
      <c r="J292" s="14" t="s">
        <v>556</v>
      </c>
      <c r="K292" s="27"/>
      <c r="L292" s="253"/>
      <c r="M292" s="253"/>
      <c r="N292" s="253"/>
      <c r="O292" s="253"/>
      <c r="P292" s="253"/>
      <c r="Q292" s="253"/>
      <c r="R292" s="253"/>
      <c r="S292" s="253"/>
      <c r="T292" s="253"/>
      <c r="U292" s="253"/>
      <c r="V292" s="253"/>
      <c r="W292" s="253"/>
      <c r="X292" s="253"/>
      <c r="Y292" s="9"/>
    </row>
    <row r="293" spans="1:25" ht="14.5" customHeight="1" x14ac:dyDescent="0.35">
      <c r="A293" s="4"/>
      <c r="B293" s="4"/>
      <c r="C293" s="4"/>
      <c r="D293" s="4"/>
      <c r="E293" s="4"/>
      <c r="F293" s="4"/>
      <c r="G293" s="4"/>
      <c r="H293" s="4"/>
      <c r="I293" s="19" t="s">
        <v>577</v>
      </c>
      <c r="J293" s="38" t="s">
        <v>560</v>
      </c>
      <c r="K293" s="237" t="s">
        <v>578</v>
      </c>
      <c r="L293" s="237" t="s">
        <v>579</v>
      </c>
      <c r="M293" s="18">
        <v>5100</v>
      </c>
      <c r="N293" s="18">
        <v>2700</v>
      </c>
      <c r="O293" s="18">
        <v>1200</v>
      </c>
      <c r="P293" s="18">
        <v>450</v>
      </c>
      <c r="Q293" s="18">
        <v>3060</v>
      </c>
      <c r="R293" s="18">
        <v>1620</v>
      </c>
      <c r="S293" s="18">
        <v>720</v>
      </c>
      <c r="T293" s="18">
        <v>270</v>
      </c>
      <c r="U293" s="18">
        <v>2040</v>
      </c>
      <c r="V293" s="18">
        <v>1080</v>
      </c>
      <c r="W293" s="18">
        <v>480</v>
      </c>
      <c r="X293" s="18">
        <v>180</v>
      </c>
      <c r="Y293" s="9"/>
    </row>
    <row r="294" spans="1:25" ht="14.5" customHeight="1" x14ac:dyDescent="0.35">
      <c r="A294" s="4"/>
      <c r="B294" s="4"/>
      <c r="C294" s="4"/>
      <c r="D294" s="4"/>
      <c r="E294" s="4"/>
      <c r="F294" s="4"/>
      <c r="G294" s="4"/>
      <c r="H294" s="4"/>
      <c r="I294" s="19" t="s">
        <v>584</v>
      </c>
      <c r="J294" s="38" t="s">
        <v>585</v>
      </c>
      <c r="K294" s="259"/>
      <c r="L294" s="259"/>
      <c r="M294" s="253"/>
      <c r="N294" s="253"/>
      <c r="O294" s="253"/>
      <c r="P294" s="253"/>
      <c r="Q294" s="253"/>
      <c r="R294" s="253"/>
      <c r="S294" s="253"/>
      <c r="T294" s="253"/>
      <c r="U294" s="253"/>
      <c r="V294" s="253"/>
      <c r="W294" s="253"/>
      <c r="X294" s="253"/>
      <c r="Y294" s="9"/>
    </row>
    <row r="295" spans="1:25" ht="14.5" customHeight="1" x14ac:dyDescent="0.35">
      <c r="A295" s="4"/>
      <c r="B295" s="4"/>
      <c r="C295" s="4"/>
      <c r="D295" s="4"/>
      <c r="E295" s="4"/>
      <c r="F295" s="4"/>
      <c r="G295" s="4"/>
      <c r="H295" s="4"/>
      <c r="I295" s="19" t="s">
        <v>586</v>
      </c>
      <c r="J295" s="38" t="s">
        <v>587</v>
      </c>
      <c r="K295" s="38" t="s">
        <v>588</v>
      </c>
      <c r="L295" s="38" t="s">
        <v>589</v>
      </c>
      <c r="M295" s="18">
        <v>400</v>
      </c>
      <c r="N295" s="18">
        <v>350</v>
      </c>
      <c r="O295" s="18">
        <v>300</v>
      </c>
      <c r="P295" s="18">
        <v>250</v>
      </c>
      <c r="Q295" s="18">
        <v>240</v>
      </c>
      <c r="R295" s="18">
        <v>210</v>
      </c>
      <c r="S295" s="18">
        <v>180</v>
      </c>
      <c r="T295" s="18">
        <v>150</v>
      </c>
      <c r="U295" s="18">
        <v>160</v>
      </c>
      <c r="V295" s="18">
        <v>140</v>
      </c>
      <c r="W295" s="18">
        <v>120</v>
      </c>
      <c r="X295" s="18">
        <v>100</v>
      </c>
      <c r="Y295" s="9"/>
    </row>
    <row r="296" spans="1:25" ht="14.5" customHeight="1" x14ac:dyDescent="0.35">
      <c r="A296" s="4"/>
      <c r="B296" s="4"/>
      <c r="C296" s="4"/>
      <c r="D296" s="4"/>
      <c r="E296" s="4"/>
      <c r="F296" s="4"/>
      <c r="G296" s="4"/>
      <c r="H296" s="4"/>
      <c r="I296" s="256">
        <v>50</v>
      </c>
      <c r="J296" s="14" t="s">
        <v>704</v>
      </c>
      <c r="K296" s="27"/>
      <c r="L296" s="253"/>
      <c r="M296" s="253"/>
      <c r="N296" s="253"/>
      <c r="O296" s="253"/>
      <c r="P296" s="253"/>
      <c r="Q296" s="253"/>
      <c r="R296" s="253"/>
      <c r="S296" s="253"/>
      <c r="T296" s="253"/>
      <c r="U296" s="253"/>
      <c r="V296" s="253"/>
      <c r="W296" s="253"/>
      <c r="X296" s="253"/>
      <c r="Y296" s="9"/>
    </row>
    <row r="297" spans="1:25" ht="28" x14ac:dyDescent="0.35">
      <c r="A297" s="4"/>
      <c r="B297" s="4"/>
      <c r="C297" s="4"/>
      <c r="D297" s="4"/>
      <c r="E297" s="4"/>
      <c r="F297" s="4"/>
      <c r="G297" s="4"/>
      <c r="H297" s="4"/>
      <c r="I297" s="27" t="s">
        <v>712</v>
      </c>
      <c r="J297" s="38" t="s">
        <v>713</v>
      </c>
      <c r="K297" s="237" t="s">
        <v>707</v>
      </c>
      <c r="L297" s="237" t="s">
        <v>643</v>
      </c>
      <c r="M297" s="253"/>
      <c r="N297" s="253"/>
      <c r="O297" s="253"/>
      <c r="P297" s="253"/>
      <c r="Q297" s="253"/>
      <c r="R297" s="253"/>
      <c r="S297" s="253"/>
      <c r="T297" s="253"/>
      <c r="U297" s="253"/>
      <c r="V297" s="253"/>
      <c r="W297" s="253"/>
      <c r="X297" s="253"/>
      <c r="Y297" s="9"/>
    </row>
    <row r="298" spans="1:25" ht="14.5" customHeight="1" x14ac:dyDescent="0.35">
      <c r="A298" s="4"/>
      <c r="B298" s="4"/>
      <c r="C298" s="4"/>
      <c r="D298" s="4"/>
      <c r="E298" s="4"/>
      <c r="F298" s="4"/>
      <c r="G298" s="4"/>
      <c r="H298" s="4"/>
      <c r="I298" s="4"/>
      <c r="J298" s="4"/>
      <c r="K298" s="4"/>
      <c r="M298" s="7"/>
      <c r="N298" s="7"/>
      <c r="O298" s="7"/>
      <c r="P298" s="7"/>
      <c r="Q298" s="7"/>
      <c r="R298" s="7"/>
      <c r="S298" s="7"/>
      <c r="T298" s="7"/>
      <c r="U298" s="7"/>
      <c r="V298" s="7"/>
      <c r="W298" s="7"/>
      <c r="X298" s="7"/>
      <c r="Y298" s="9"/>
    </row>
    <row r="299" spans="1:25" ht="14.5" customHeight="1" x14ac:dyDescent="0.35">
      <c r="A299" s="4"/>
      <c r="B299" s="4"/>
      <c r="C299" s="4"/>
      <c r="D299" s="4"/>
      <c r="E299" s="4"/>
      <c r="F299" s="4"/>
      <c r="G299" s="4"/>
      <c r="H299" s="4"/>
      <c r="I299" s="4"/>
      <c r="J299" s="4"/>
      <c r="K299" s="4"/>
      <c r="M299" s="7"/>
      <c r="N299" s="7"/>
      <c r="O299" s="7"/>
      <c r="P299" s="7"/>
      <c r="Q299" s="7"/>
      <c r="R299" s="7"/>
      <c r="S299" s="7"/>
      <c r="T299" s="7"/>
      <c r="U299" s="7"/>
      <c r="V299" s="7"/>
      <c r="W299" s="7"/>
      <c r="X299" s="7"/>
      <c r="Y299" s="9"/>
    </row>
    <row r="300" spans="1:25" ht="14.5" customHeight="1" x14ac:dyDescent="0.35">
      <c r="A300" s="4"/>
      <c r="B300" s="4"/>
      <c r="C300" s="4"/>
      <c r="D300" s="4"/>
      <c r="E300" s="4"/>
      <c r="F300" s="4"/>
      <c r="G300" s="4"/>
      <c r="H300" s="4"/>
      <c r="I300" s="4"/>
      <c r="J300" s="4"/>
      <c r="K300" s="4"/>
      <c r="M300" s="7"/>
      <c r="N300" s="7"/>
      <c r="O300" s="7"/>
      <c r="P300" s="7"/>
      <c r="Q300" s="7"/>
      <c r="R300" s="7"/>
      <c r="S300" s="7"/>
      <c r="T300" s="7"/>
      <c r="U300" s="7"/>
      <c r="V300" s="7"/>
      <c r="W300" s="7"/>
      <c r="X300" s="7"/>
      <c r="Y300" s="9"/>
    </row>
    <row r="301" spans="1:25" ht="14.5" customHeight="1" x14ac:dyDescent="0.35">
      <c r="A301" s="4"/>
      <c r="B301" s="4"/>
      <c r="C301" s="4"/>
      <c r="D301" s="4"/>
      <c r="E301" s="4"/>
      <c r="F301" s="4"/>
      <c r="G301" s="4"/>
      <c r="H301" s="4"/>
      <c r="I301" s="4"/>
      <c r="J301" s="4"/>
      <c r="K301" s="4"/>
      <c r="M301" s="7"/>
      <c r="N301" s="7"/>
      <c r="O301" s="7"/>
      <c r="P301" s="7"/>
      <c r="Q301" s="7"/>
      <c r="R301" s="7"/>
      <c r="S301" s="7"/>
      <c r="T301" s="7"/>
      <c r="U301" s="7"/>
      <c r="V301" s="7"/>
      <c r="W301" s="7"/>
      <c r="X301" s="7"/>
      <c r="Y301" s="9"/>
    </row>
    <row r="302" spans="1:25" x14ac:dyDescent="0.35">
      <c r="A302" s="4"/>
      <c r="B302" s="4"/>
      <c r="C302" s="4"/>
      <c r="D302" s="4"/>
      <c r="E302" s="4"/>
      <c r="F302" s="4"/>
      <c r="G302" s="4"/>
      <c r="H302" s="4"/>
      <c r="I302" s="4"/>
      <c r="J302" s="4"/>
      <c r="K302" s="4"/>
      <c r="M302" s="7"/>
      <c r="N302" s="7"/>
      <c r="O302" s="7"/>
      <c r="P302" s="7"/>
      <c r="Q302" s="7"/>
      <c r="R302" s="7"/>
      <c r="S302" s="7"/>
      <c r="T302" s="7"/>
      <c r="U302" s="7"/>
      <c r="V302" s="7"/>
      <c r="W302" s="7"/>
      <c r="X302" s="7"/>
      <c r="Y302" s="9"/>
    </row>
    <row r="303" spans="1:25" ht="37.5" customHeight="1" x14ac:dyDescent="0.35">
      <c r="A303" s="4"/>
      <c r="B303" s="4"/>
      <c r="C303" s="4"/>
      <c r="D303" s="4"/>
      <c r="E303" s="4"/>
      <c r="F303" s="4"/>
      <c r="G303" s="4"/>
      <c r="H303" s="4"/>
      <c r="I303" s="4"/>
      <c r="J303" s="4"/>
      <c r="K303" s="4"/>
      <c r="M303" s="7"/>
      <c r="N303" s="7"/>
      <c r="O303" s="7"/>
      <c r="P303" s="7"/>
      <c r="Q303" s="7"/>
      <c r="R303" s="7"/>
      <c r="S303" s="7"/>
      <c r="T303" s="7"/>
      <c r="U303" s="7"/>
      <c r="V303" s="7"/>
      <c r="W303" s="7"/>
      <c r="X303" s="7"/>
      <c r="Y303" s="9"/>
    </row>
    <row r="304" spans="1:25" ht="14.5" customHeight="1" x14ac:dyDescent="0.35">
      <c r="A304" s="4"/>
      <c r="B304" s="4"/>
      <c r="C304" s="4"/>
      <c r="D304" s="4"/>
      <c r="E304" s="4"/>
      <c r="F304" s="4"/>
      <c r="G304" s="4"/>
      <c r="H304" s="4"/>
      <c r="I304" s="4"/>
      <c r="J304" s="4"/>
      <c r="K304" s="4"/>
      <c r="M304" s="7"/>
      <c r="N304" s="7"/>
      <c r="O304" s="7"/>
      <c r="P304" s="7"/>
      <c r="Q304" s="7"/>
      <c r="R304" s="7"/>
      <c r="S304" s="7"/>
      <c r="T304" s="7"/>
      <c r="U304" s="7"/>
      <c r="V304" s="7"/>
      <c r="W304" s="7"/>
      <c r="X304" s="7"/>
      <c r="Y304" s="9"/>
    </row>
    <row r="305" spans="1:25" x14ac:dyDescent="0.35">
      <c r="A305" s="4"/>
      <c r="B305" s="4"/>
      <c r="C305" s="4"/>
      <c r="D305" s="4"/>
      <c r="E305" s="4"/>
      <c r="F305" s="4"/>
      <c r="G305" s="4"/>
      <c r="H305" s="4"/>
      <c r="I305" s="4"/>
      <c r="J305" s="4"/>
      <c r="K305" s="4"/>
      <c r="M305" s="7"/>
      <c r="N305" s="7"/>
      <c r="O305" s="7"/>
      <c r="P305" s="7"/>
      <c r="Q305" s="7"/>
      <c r="R305" s="7"/>
      <c r="S305" s="7"/>
      <c r="T305" s="7"/>
      <c r="U305" s="7"/>
      <c r="V305" s="7"/>
      <c r="W305" s="7"/>
      <c r="X305" s="7"/>
      <c r="Y305" s="9"/>
    </row>
    <row r="306" spans="1:25" ht="14.5" customHeight="1" x14ac:dyDescent="0.35">
      <c r="A306" s="4"/>
      <c r="B306" s="4"/>
      <c r="C306" s="4"/>
      <c r="D306" s="4"/>
      <c r="E306" s="4"/>
      <c r="F306" s="4"/>
      <c r="G306" s="4"/>
      <c r="H306" s="4"/>
      <c r="I306" s="4"/>
      <c r="J306" s="4"/>
      <c r="K306" s="4"/>
      <c r="M306" s="7"/>
      <c r="N306" s="7"/>
      <c r="O306" s="7"/>
      <c r="P306" s="7"/>
      <c r="Q306" s="7"/>
      <c r="R306" s="7"/>
      <c r="S306" s="7"/>
      <c r="T306" s="7"/>
      <c r="U306" s="7"/>
      <c r="V306" s="7"/>
      <c r="W306" s="7"/>
      <c r="X306" s="7"/>
      <c r="Y306" s="9"/>
    </row>
    <row r="307" spans="1:25" ht="14.5" customHeight="1" x14ac:dyDescent="0.35">
      <c r="A307" s="4"/>
      <c r="B307" s="4"/>
      <c r="C307" s="4"/>
      <c r="D307" s="4"/>
      <c r="E307" s="4"/>
      <c r="F307" s="4"/>
      <c r="G307" s="4"/>
      <c r="H307" s="4"/>
      <c r="I307" s="4"/>
      <c r="J307" s="4"/>
      <c r="K307" s="4"/>
      <c r="M307" s="7"/>
      <c r="N307" s="7"/>
      <c r="O307" s="7"/>
      <c r="P307" s="7"/>
      <c r="Q307" s="7"/>
      <c r="R307" s="7"/>
      <c r="S307" s="7"/>
      <c r="T307" s="7"/>
      <c r="U307" s="7"/>
      <c r="V307" s="7"/>
      <c r="W307" s="7"/>
      <c r="X307" s="7"/>
      <c r="Y307" s="9"/>
    </row>
    <row r="308" spans="1:25" ht="14.5" customHeight="1" x14ac:dyDescent="0.35">
      <c r="A308" s="4"/>
      <c r="B308" s="4"/>
      <c r="C308" s="4"/>
      <c r="D308" s="4"/>
      <c r="E308" s="4"/>
      <c r="F308" s="4"/>
      <c r="G308" s="4"/>
      <c r="H308" s="4"/>
      <c r="I308" s="4"/>
      <c r="J308" s="4"/>
      <c r="K308" s="4"/>
      <c r="M308" s="7"/>
      <c r="N308" s="7"/>
      <c r="O308" s="7"/>
      <c r="P308" s="7"/>
      <c r="Q308" s="7"/>
      <c r="R308" s="7"/>
      <c r="S308" s="7"/>
      <c r="T308" s="7"/>
      <c r="U308" s="7"/>
      <c r="V308" s="7"/>
      <c r="W308" s="7"/>
      <c r="X308" s="7"/>
      <c r="Y308" s="9"/>
    </row>
    <row r="309" spans="1:25" ht="14.5" customHeight="1" x14ac:dyDescent="0.35">
      <c r="A309" s="4"/>
      <c r="B309" s="4"/>
      <c r="C309" s="4"/>
      <c r="D309" s="4"/>
      <c r="E309" s="4"/>
      <c r="F309" s="4"/>
      <c r="G309" s="4"/>
      <c r="H309" s="4"/>
      <c r="I309" s="4"/>
      <c r="J309" s="4"/>
      <c r="K309" s="4"/>
      <c r="M309" s="7"/>
      <c r="N309" s="7"/>
      <c r="O309" s="7"/>
      <c r="P309" s="7"/>
      <c r="Q309" s="7"/>
      <c r="R309" s="7"/>
      <c r="S309" s="7"/>
      <c r="T309" s="7"/>
      <c r="U309" s="7"/>
      <c r="V309" s="7"/>
      <c r="W309" s="7"/>
      <c r="X309" s="7"/>
      <c r="Y309" s="9"/>
    </row>
    <row r="310" spans="1:25" ht="14.5" customHeight="1" x14ac:dyDescent="0.35">
      <c r="A310" s="4"/>
      <c r="B310" s="4"/>
      <c r="C310" s="4"/>
      <c r="D310" s="4"/>
      <c r="E310" s="4"/>
      <c r="F310" s="4"/>
      <c r="G310" s="4"/>
      <c r="H310" s="4"/>
      <c r="I310" s="4"/>
      <c r="J310" s="4"/>
      <c r="K310" s="4"/>
      <c r="M310" s="7"/>
      <c r="N310" s="7"/>
      <c r="O310" s="7"/>
      <c r="P310" s="7"/>
      <c r="Q310" s="7"/>
      <c r="R310" s="7"/>
      <c r="S310" s="7"/>
      <c r="T310" s="7"/>
      <c r="U310" s="7"/>
      <c r="V310" s="7"/>
      <c r="W310" s="7"/>
      <c r="X310" s="7"/>
      <c r="Y310" s="9"/>
    </row>
    <row r="311" spans="1:25" ht="14.5" customHeight="1" x14ac:dyDescent="0.35">
      <c r="A311" s="4"/>
      <c r="B311" s="4"/>
      <c r="C311" s="4"/>
      <c r="D311" s="4"/>
      <c r="E311" s="4"/>
      <c r="F311" s="4"/>
      <c r="G311" s="4"/>
      <c r="H311" s="4"/>
      <c r="I311" s="4"/>
      <c r="J311" s="4"/>
      <c r="K311" s="4"/>
      <c r="M311" s="7"/>
      <c r="N311" s="7"/>
      <c r="O311" s="7"/>
      <c r="P311" s="7"/>
      <c r="Q311" s="7"/>
      <c r="R311" s="7"/>
      <c r="S311" s="7"/>
      <c r="T311" s="7"/>
      <c r="U311" s="7"/>
      <c r="V311" s="7"/>
      <c r="W311" s="7"/>
      <c r="X311" s="7"/>
      <c r="Y311" s="9"/>
    </row>
    <row r="312" spans="1:25" ht="14.5" customHeight="1" x14ac:dyDescent="0.35">
      <c r="A312" s="4"/>
      <c r="B312" s="4"/>
      <c r="C312" s="4"/>
      <c r="D312" s="4"/>
      <c r="E312" s="4"/>
      <c r="F312" s="4"/>
      <c r="G312" s="4"/>
      <c r="H312" s="4"/>
      <c r="I312" s="4"/>
      <c r="J312" s="4"/>
      <c r="K312" s="4"/>
      <c r="M312" s="7"/>
      <c r="N312" s="7"/>
      <c r="O312" s="7"/>
      <c r="P312" s="7"/>
      <c r="Q312" s="7"/>
      <c r="R312" s="7"/>
      <c r="S312" s="7"/>
      <c r="T312" s="7"/>
      <c r="U312" s="7"/>
      <c r="V312" s="7"/>
      <c r="W312" s="7"/>
      <c r="X312" s="7"/>
      <c r="Y312" s="9"/>
    </row>
    <row r="313" spans="1:25" x14ac:dyDescent="0.35">
      <c r="A313" s="4"/>
      <c r="B313" s="4"/>
      <c r="C313" s="4"/>
      <c r="D313" s="4"/>
      <c r="E313" s="4"/>
      <c r="F313" s="4"/>
      <c r="G313" s="4"/>
      <c r="H313" s="4"/>
      <c r="I313" s="4"/>
      <c r="J313" s="4"/>
      <c r="K313" s="4"/>
      <c r="M313" s="7"/>
      <c r="N313" s="7"/>
      <c r="O313" s="7"/>
      <c r="P313" s="7"/>
      <c r="Q313" s="7"/>
      <c r="R313" s="7"/>
      <c r="S313" s="7"/>
      <c r="T313" s="7"/>
      <c r="U313" s="7"/>
      <c r="V313" s="7"/>
      <c r="W313" s="7"/>
      <c r="X313" s="7"/>
      <c r="Y313" s="9"/>
    </row>
    <row r="314" spans="1:25" x14ac:dyDescent="0.35">
      <c r="A314" s="4"/>
      <c r="B314" s="4"/>
      <c r="C314" s="4"/>
      <c r="D314" s="4"/>
      <c r="E314" s="4"/>
      <c r="F314" s="4"/>
      <c r="G314" s="4"/>
      <c r="H314" s="4"/>
      <c r="I314" s="4"/>
      <c r="J314" s="4"/>
      <c r="K314" s="4"/>
      <c r="M314" s="7"/>
      <c r="N314" s="7"/>
      <c r="O314" s="7"/>
      <c r="P314" s="7"/>
      <c r="Q314" s="7"/>
      <c r="R314" s="7"/>
      <c r="S314" s="7"/>
      <c r="T314" s="7"/>
      <c r="U314" s="7"/>
      <c r="V314" s="7"/>
      <c r="W314" s="7"/>
      <c r="X314" s="7"/>
      <c r="Y314" s="9"/>
    </row>
    <row r="315" spans="1:25" x14ac:dyDescent="0.35">
      <c r="A315" s="4"/>
      <c r="B315" s="4"/>
      <c r="C315" s="4"/>
      <c r="D315" s="4"/>
      <c r="E315" s="4"/>
      <c r="F315" s="4"/>
      <c r="G315" s="4"/>
      <c r="H315" s="4"/>
      <c r="I315" s="4"/>
      <c r="J315" s="4"/>
      <c r="K315" s="4"/>
      <c r="M315" s="7"/>
      <c r="N315" s="7"/>
      <c r="O315" s="7"/>
      <c r="P315" s="7"/>
      <c r="Q315" s="7"/>
      <c r="R315" s="7"/>
      <c r="S315" s="7"/>
      <c r="T315" s="7"/>
      <c r="U315" s="7"/>
      <c r="V315" s="7"/>
      <c r="W315" s="7"/>
      <c r="X315" s="7"/>
      <c r="Y315" s="9"/>
    </row>
    <row r="316" spans="1:25" ht="14.5" customHeight="1" x14ac:dyDescent="0.35">
      <c r="A316" s="4"/>
      <c r="B316" s="4"/>
      <c r="C316" s="4"/>
      <c r="D316" s="4"/>
      <c r="E316" s="4"/>
      <c r="F316" s="4"/>
      <c r="G316" s="4"/>
      <c r="H316" s="4"/>
      <c r="I316" s="4"/>
      <c r="J316" s="4"/>
      <c r="K316" s="4"/>
      <c r="M316" s="7"/>
      <c r="N316" s="7"/>
      <c r="O316" s="7"/>
      <c r="P316" s="7"/>
      <c r="Q316" s="7"/>
      <c r="R316" s="7"/>
      <c r="S316" s="7"/>
      <c r="T316" s="7"/>
      <c r="U316" s="7"/>
      <c r="V316" s="7"/>
      <c r="W316" s="7"/>
      <c r="X316" s="7"/>
      <c r="Y316" s="9"/>
    </row>
    <row r="317" spans="1:25" ht="14.5" customHeight="1" x14ac:dyDescent="0.35">
      <c r="A317" s="4"/>
      <c r="B317" s="4"/>
      <c r="C317" s="4"/>
      <c r="D317" s="4"/>
      <c r="E317" s="4"/>
      <c r="F317" s="4"/>
      <c r="G317" s="4"/>
      <c r="H317" s="4"/>
      <c r="I317" s="4"/>
      <c r="J317" s="4"/>
      <c r="K317" s="4"/>
      <c r="M317" s="7"/>
      <c r="N317" s="7"/>
      <c r="O317" s="7"/>
      <c r="P317" s="7"/>
      <c r="Q317" s="7"/>
      <c r="R317" s="7"/>
      <c r="S317" s="7"/>
      <c r="T317" s="7"/>
      <c r="U317" s="7"/>
      <c r="V317" s="7"/>
      <c r="W317" s="7"/>
      <c r="X317" s="7"/>
      <c r="Y317" s="9"/>
    </row>
    <row r="318" spans="1:25" ht="14.5" customHeight="1" x14ac:dyDescent="0.35">
      <c r="A318" s="4"/>
      <c r="B318" s="4"/>
      <c r="C318" s="4"/>
      <c r="D318" s="4"/>
      <c r="E318" s="4"/>
      <c r="F318" s="4"/>
      <c r="G318" s="4"/>
      <c r="H318" s="4"/>
      <c r="I318" s="4"/>
      <c r="J318" s="4"/>
      <c r="K318" s="4"/>
      <c r="M318" s="7"/>
      <c r="N318" s="7"/>
      <c r="O318" s="7"/>
      <c r="P318" s="7"/>
      <c r="Q318" s="7"/>
      <c r="R318" s="7"/>
      <c r="S318" s="7"/>
      <c r="T318" s="7"/>
      <c r="U318" s="7"/>
      <c r="V318" s="7"/>
      <c r="W318" s="7"/>
      <c r="X318" s="7"/>
      <c r="Y318" s="9"/>
    </row>
    <row r="319" spans="1:25" ht="14.5" customHeight="1" x14ac:dyDescent="0.35">
      <c r="A319" s="4"/>
      <c r="B319" s="4"/>
      <c r="C319" s="4"/>
      <c r="D319" s="4"/>
      <c r="E319" s="4"/>
      <c r="F319" s="4"/>
      <c r="G319" s="4"/>
      <c r="H319" s="4"/>
      <c r="I319" s="4"/>
      <c r="J319" s="4"/>
      <c r="K319" s="4"/>
      <c r="M319" s="7"/>
      <c r="N319" s="7"/>
      <c r="O319" s="7"/>
      <c r="P319" s="7"/>
      <c r="Q319" s="7"/>
      <c r="R319" s="7"/>
      <c r="S319" s="7"/>
      <c r="T319" s="7"/>
      <c r="U319" s="7"/>
      <c r="V319" s="7"/>
      <c r="W319" s="7"/>
      <c r="X319" s="7"/>
      <c r="Y319" s="9"/>
    </row>
    <row r="320" spans="1:25" ht="14.5" customHeight="1" x14ac:dyDescent="0.35">
      <c r="A320" s="4"/>
      <c r="B320" s="4"/>
      <c r="C320" s="4"/>
      <c r="D320" s="4"/>
      <c r="E320" s="4"/>
      <c r="F320" s="4"/>
      <c r="G320" s="4"/>
      <c r="H320" s="4"/>
      <c r="I320" s="4"/>
      <c r="J320" s="4"/>
      <c r="K320" s="4"/>
      <c r="M320" s="7"/>
      <c r="N320" s="7"/>
      <c r="O320" s="7"/>
      <c r="P320" s="7"/>
      <c r="Q320" s="7"/>
      <c r="R320" s="7"/>
      <c r="S320" s="7"/>
      <c r="T320" s="7"/>
      <c r="U320" s="7"/>
      <c r="V320" s="7"/>
      <c r="W320" s="7"/>
      <c r="X320" s="7"/>
      <c r="Y320" s="9"/>
    </row>
    <row r="321" spans="1:25" ht="14.5" customHeight="1" x14ac:dyDescent="0.35">
      <c r="A321" s="4"/>
      <c r="B321" s="4"/>
      <c r="C321" s="4"/>
      <c r="D321" s="4"/>
      <c r="E321" s="4"/>
      <c r="F321" s="4"/>
      <c r="G321" s="4"/>
      <c r="H321" s="4"/>
      <c r="I321" s="4"/>
      <c r="J321" s="4"/>
      <c r="K321" s="4"/>
      <c r="M321" s="7"/>
      <c r="N321" s="7"/>
      <c r="O321" s="7"/>
      <c r="P321" s="7"/>
      <c r="Q321" s="7"/>
      <c r="R321" s="7"/>
      <c r="S321" s="7"/>
      <c r="T321" s="7"/>
      <c r="U321" s="7"/>
      <c r="V321" s="7"/>
      <c r="W321" s="7"/>
      <c r="X321" s="7"/>
      <c r="Y321" s="9"/>
    </row>
    <row r="322" spans="1:25" ht="14.5" customHeight="1" x14ac:dyDescent="0.35">
      <c r="A322" s="4"/>
      <c r="B322" s="4"/>
      <c r="C322" s="4"/>
      <c r="D322" s="4"/>
      <c r="E322" s="4"/>
      <c r="F322" s="4"/>
      <c r="G322" s="4"/>
      <c r="H322" s="4"/>
      <c r="I322" s="4"/>
      <c r="J322" s="4"/>
      <c r="K322" s="4"/>
      <c r="M322" s="7"/>
      <c r="N322" s="7"/>
      <c r="O322" s="7"/>
      <c r="P322" s="7"/>
      <c r="Q322" s="7"/>
      <c r="R322" s="7"/>
      <c r="S322" s="7"/>
      <c r="T322" s="7"/>
      <c r="U322" s="7"/>
      <c r="V322" s="7"/>
      <c r="W322" s="7"/>
      <c r="X322" s="7"/>
      <c r="Y322" s="9"/>
    </row>
    <row r="323" spans="1:25" x14ac:dyDescent="0.35">
      <c r="A323" s="4"/>
      <c r="B323" s="4"/>
      <c r="C323" s="4"/>
      <c r="D323" s="4"/>
      <c r="E323" s="4"/>
      <c r="F323" s="4"/>
      <c r="G323" s="4"/>
      <c r="H323" s="4"/>
      <c r="I323" s="4"/>
      <c r="J323" s="4"/>
      <c r="K323" s="4"/>
      <c r="M323" s="7"/>
      <c r="N323" s="7"/>
      <c r="O323" s="7"/>
      <c r="P323" s="7"/>
      <c r="Q323" s="7"/>
      <c r="R323" s="7"/>
      <c r="S323" s="7"/>
      <c r="T323" s="7"/>
      <c r="U323" s="7"/>
      <c r="V323" s="7"/>
      <c r="W323" s="7"/>
      <c r="X323" s="7"/>
      <c r="Y323" s="9"/>
    </row>
    <row r="324" spans="1:25" x14ac:dyDescent="0.35">
      <c r="A324" s="4"/>
      <c r="B324" s="4"/>
      <c r="C324" s="4"/>
      <c r="D324" s="4"/>
      <c r="E324" s="4"/>
      <c r="F324" s="4"/>
      <c r="G324" s="4"/>
      <c r="H324" s="4"/>
      <c r="I324" s="4"/>
      <c r="J324" s="4"/>
      <c r="K324" s="4"/>
      <c r="M324" s="7"/>
      <c r="N324" s="7"/>
      <c r="O324" s="7"/>
      <c r="P324" s="7"/>
      <c r="Q324" s="7"/>
      <c r="R324" s="7"/>
      <c r="S324" s="7"/>
      <c r="T324" s="7"/>
      <c r="U324" s="7"/>
      <c r="V324" s="7"/>
      <c r="W324" s="7"/>
      <c r="X324" s="7"/>
      <c r="Y324" s="9"/>
    </row>
    <row r="325" spans="1:25" x14ac:dyDescent="0.35">
      <c r="A325" s="4"/>
      <c r="B325" s="4"/>
      <c r="C325" s="4"/>
      <c r="D325" s="4"/>
      <c r="E325" s="4"/>
      <c r="F325" s="4"/>
      <c r="G325" s="4"/>
      <c r="H325" s="4"/>
      <c r="I325" s="4"/>
      <c r="J325" s="4"/>
      <c r="K325" s="4"/>
      <c r="M325" s="7"/>
      <c r="N325" s="7"/>
      <c r="O325" s="7"/>
      <c r="P325" s="7"/>
      <c r="Q325" s="7"/>
      <c r="R325" s="7"/>
      <c r="S325" s="7"/>
      <c r="T325" s="7"/>
      <c r="U325" s="7"/>
      <c r="V325" s="7"/>
      <c r="W325" s="7"/>
      <c r="X325" s="7"/>
      <c r="Y325" s="9"/>
    </row>
    <row r="326" spans="1:25" s="234" customFormat="1" x14ac:dyDescent="0.35">
      <c r="Y326" s="162"/>
    </row>
    <row r="327" spans="1:25" x14ac:dyDescent="0.35">
      <c r="A327" s="4"/>
      <c r="B327" s="4"/>
      <c r="C327" s="4"/>
      <c r="D327" s="4"/>
      <c r="E327" s="4"/>
      <c r="F327" s="4"/>
      <c r="G327" s="4"/>
      <c r="H327" s="4"/>
      <c r="I327" s="4"/>
      <c r="J327" s="4"/>
      <c r="K327" s="4"/>
      <c r="M327" s="7"/>
      <c r="N327" s="7"/>
      <c r="O327" s="7"/>
      <c r="P327" s="7"/>
      <c r="Q327" s="7"/>
      <c r="R327" s="7"/>
      <c r="S327" s="7"/>
      <c r="T327" s="7"/>
      <c r="U327" s="7"/>
      <c r="V327" s="7"/>
      <c r="W327" s="7"/>
      <c r="X327" s="7"/>
      <c r="Y327" s="9"/>
    </row>
    <row r="328" spans="1:25" x14ac:dyDescent="0.35">
      <c r="A328" s="4"/>
      <c r="B328" s="4"/>
      <c r="C328" s="4"/>
      <c r="D328" s="4"/>
      <c r="E328" s="4"/>
      <c r="F328" s="4"/>
      <c r="G328" s="4"/>
      <c r="H328" s="4"/>
      <c r="I328" s="4"/>
      <c r="J328" s="4"/>
      <c r="K328" s="4"/>
      <c r="M328" s="7"/>
      <c r="N328" s="7"/>
      <c r="O328" s="7"/>
      <c r="P328" s="7"/>
      <c r="Q328" s="7"/>
      <c r="R328" s="7"/>
      <c r="S328" s="7"/>
      <c r="T328" s="7"/>
      <c r="U328" s="7"/>
      <c r="V328" s="7"/>
      <c r="W328" s="7"/>
      <c r="X328" s="7"/>
      <c r="Y328" s="9"/>
    </row>
    <row r="329" spans="1:25" x14ac:dyDescent="0.35">
      <c r="A329" s="4"/>
      <c r="B329" s="4"/>
      <c r="C329" s="4"/>
      <c r="D329" s="4"/>
      <c r="E329" s="4"/>
      <c r="F329" s="4"/>
      <c r="G329" s="4"/>
      <c r="H329" s="4"/>
      <c r="I329" s="4"/>
      <c r="J329" s="4"/>
      <c r="K329" s="4"/>
      <c r="M329" s="7"/>
      <c r="N329" s="7"/>
      <c r="O329" s="7"/>
      <c r="P329" s="7"/>
      <c r="Q329" s="7"/>
      <c r="R329" s="7"/>
      <c r="S329" s="7"/>
      <c r="T329" s="7"/>
      <c r="U329" s="7"/>
      <c r="V329" s="7"/>
      <c r="W329" s="7"/>
      <c r="X329" s="7"/>
      <c r="Y329" s="9"/>
    </row>
    <row r="330" spans="1:25" x14ac:dyDescent="0.35">
      <c r="A330" s="4"/>
      <c r="B330" s="4"/>
      <c r="C330" s="4"/>
      <c r="D330" s="4"/>
      <c r="E330" s="4"/>
      <c r="F330" s="4"/>
      <c r="G330" s="4"/>
      <c r="H330" s="4"/>
      <c r="I330" s="4"/>
      <c r="J330" s="4"/>
      <c r="K330" s="4"/>
      <c r="M330" s="7"/>
      <c r="N330" s="7"/>
      <c r="O330" s="7"/>
      <c r="P330" s="7"/>
      <c r="Q330" s="7"/>
      <c r="R330" s="7"/>
      <c r="S330" s="7"/>
      <c r="T330" s="7"/>
      <c r="U330" s="7"/>
      <c r="V330" s="7"/>
      <c r="W330" s="7"/>
      <c r="X330" s="7"/>
      <c r="Y330" s="9"/>
    </row>
    <row r="331" spans="1:25" ht="14.5" customHeight="1" x14ac:dyDescent="0.35">
      <c r="A331" s="4"/>
      <c r="B331" s="4"/>
      <c r="C331" s="4"/>
      <c r="D331" s="4"/>
      <c r="E331" s="4"/>
      <c r="F331" s="4"/>
      <c r="G331" s="4"/>
      <c r="H331" s="4"/>
      <c r="I331" s="4"/>
      <c r="J331" s="4"/>
      <c r="K331" s="4"/>
      <c r="M331" s="7"/>
      <c r="N331" s="7"/>
      <c r="O331" s="7"/>
      <c r="P331" s="7"/>
      <c r="Q331" s="7"/>
      <c r="R331" s="7"/>
      <c r="S331" s="7"/>
      <c r="T331" s="7"/>
      <c r="U331" s="7"/>
      <c r="V331" s="7"/>
      <c r="W331" s="7"/>
      <c r="X331" s="7"/>
      <c r="Y331" s="9"/>
    </row>
    <row r="332" spans="1:25" ht="14.5" customHeight="1" x14ac:dyDescent="0.35">
      <c r="A332" s="4"/>
      <c r="B332" s="4"/>
      <c r="C332" s="4"/>
      <c r="D332" s="4"/>
      <c r="E332" s="4"/>
      <c r="F332" s="4"/>
      <c r="G332" s="4"/>
      <c r="H332" s="4"/>
      <c r="I332" s="4"/>
      <c r="J332" s="4"/>
      <c r="K332" s="4"/>
      <c r="M332" s="7"/>
      <c r="N332" s="7"/>
      <c r="O332" s="7"/>
      <c r="P332" s="7"/>
      <c r="Q332" s="7"/>
      <c r="R332" s="7"/>
      <c r="S332" s="7"/>
      <c r="T332" s="7"/>
      <c r="U332" s="7"/>
      <c r="V332" s="7"/>
      <c r="W332" s="7"/>
      <c r="X332" s="7"/>
      <c r="Y332" s="9"/>
    </row>
    <row r="333" spans="1:25" ht="14.5" customHeight="1" x14ac:dyDescent="0.35">
      <c r="A333" s="4"/>
      <c r="B333" s="4"/>
      <c r="C333" s="4"/>
      <c r="D333" s="4"/>
      <c r="E333" s="4"/>
      <c r="F333" s="4"/>
      <c r="G333" s="4"/>
      <c r="H333" s="4"/>
      <c r="I333" s="4"/>
      <c r="J333" s="4"/>
      <c r="K333" s="4"/>
      <c r="M333" s="7"/>
      <c r="N333" s="7"/>
      <c r="O333" s="7"/>
      <c r="P333" s="7"/>
      <c r="Q333" s="7"/>
      <c r="R333" s="7"/>
      <c r="S333" s="7"/>
      <c r="T333" s="7"/>
      <c r="U333" s="7"/>
      <c r="V333" s="7"/>
      <c r="W333" s="7"/>
      <c r="X333" s="7"/>
      <c r="Y333" s="9"/>
    </row>
    <row r="334" spans="1:25" ht="14.5" customHeight="1" x14ac:dyDescent="0.35">
      <c r="A334" s="4"/>
      <c r="B334" s="4"/>
      <c r="C334" s="4"/>
      <c r="D334" s="4"/>
      <c r="E334" s="4"/>
      <c r="F334" s="4"/>
      <c r="G334" s="4"/>
      <c r="H334" s="4"/>
      <c r="I334" s="4"/>
      <c r="J334" s="4"/>
      <c r="K334" s="4"/>
      <c r="M334" s="7"/>
      <c r="N334" s="7"/>
      <c r="O334" s="7"/>
      <c r="P334" s="7"/>
      <c r="Q334" s="7"/>
      <c r="R334" s="7"/>
      <c r="S334" s="7"/>
      <c r="T334" s="7"/>
      <c r="U334" s="7"/>
      <c r="V334" s="7"/>
      <c r="W334" s="7"/>
      <c r="X334" s="7"/>
      <c r="Y334" s="9"/>
    </row>
    <row r="335" spans="1:25" ht="14.5" customHeight="1" x14ac:dyDescent="0.35">
      <c r="A335" s="4"/>
      <c r="B335" s="4"/>
      <c r="C335" s="4"/>
      <c r="D335" s="4"/>
      <c r="E335" s="4"/>
      <c r="F335" s="4"/>
      <c r="G335" s="4"/>
      <c r="H335" s="4"/>
      <c r="I335" s="4"/>
      <c r="J335" s="4"/>
      <c r="K335" s="4"/>
      <c r="M335" s="7"/>
      <c r="N335" s="7"/>
      <c r="O335" s="7"/>
      <c r="P335" s="7"/>
      <c r="Q335" s="7"/>
      <c r="R335" s="7"/>
      <c r="S335" s="7"/>
      <c r="T335" s="7"/>
      <c r="U335" s="7"/>
      <c r="V335" s="7"/>
      <c r="W335" s="7"/>
      <c r="X335" s="7"/>
      <c r="Y335" s="9"/>
    </row>
    <row r="336" spans="1:25" ht="14.5" customHeight="1" x14ac:dyDescent="0.35">
      <c r="A336" s="4"/>
      <c r="B336" s="4"/>
      <c r="C336" s="4"/>
      <c r="D336" s="4"/>
      <c r="E336" s="4"/>
      <c r="F336" s="4"/>
      <c r="G336" s="4"/>
      <c r="H336" s="4"/>
      <c r="I336" s="4"/>
      <c r="J336" s="4"/>
      <c r="K336" s="4"/>
      <c r="M336" s="7"/>
      <c r="N336" s="7"/>
      <c r="O336" s="7"/>
      <c r="P336" s="7"/>
      <c r="Q336" s="7"/>
      <c r="R336" s="7"/>
      <c r="S336" s="7"/>
      <c r="T336" s="7"/>
      <c r="U336" s="7"/>
      <c r="V336" s="7"/>
      <c r="W336" s="7"/>
      <c r="X336" s="7"/>
      <c r="Y336" s="9"/>
    </row>
    <row r="337" spans="1:25" x14ac:dyDescent="0.35">
      <c r="A337" s="4"/>
      <c r="B337" s="4"/>
      <c r="C337" s="4"/>
      <c r="D337" s="4"/>
      <c r="E337" s="4"/>
      <c r="F337" s="4"/>
      <c r="G337" s="4"/>
      <c r="H337" s="4"/>
      <c r="I337" s="4"/>
      <c r="J337" s="4"/>
      <c r="K337" s="4"/>
      <c r="M337" s="7"/>
      <c r="N337" s="7"/>
      <c r="O337" s="7"/>
      <c r="P337" s="7"/>
      <c r="Q337" s="7"/>
      <c r="R337" s="7"/>
      <c r="S337" s="7"/>
      <c r="T337" s="7"/>
      <c r="U337" s="7"/>
      <c r="V337" s="7"/>
      <c r="W337" s="7"/>
      <c r="X337" s="7"/>
      <c r="Y337" s="9"/>
    </row>
    <row r="338" spans="1:25" x14ac:dyDescent="0.35">
      <c r="A338" s="4"/>
      <c r="B338" s="4"/>
      <c r="C338" s="4"/>
      <c r="D338" s="4"/>
      <c r="E338" s="4"/>
      <c r="F338" s="4"/>
      <c r="G338" s="4"/>
      <c r="H338" s="4"/>
      <c r="I338" s="4"/>
      <c r="J338" s="4"/>
      <c r="K338" s="4"/>
      <c r="M338" s="7"/>
      <c r="N338" s="7"/>
      <c r="O338" s="7"/>
      <c r="P338" s="7"/>
      <c r="Q338" s="7"/>
      <c r="R338" s="7"/>
      <c r="S338" s="7"/>
      <c r="T338" s="7"/>
      <c r="U338" s="7"/>
      <c r="V338" s="7"/>
      <c r="W338" s="7"/>
      <c r="X338" s="7"/>
      <c r="Y338" s="9"/>
    </row>
    <row r="339" spans="1:25" x14ac:dyDescent="0.35">
      <c r="A339" s="4"/>
      <c r="B339" s="4"/>
      <c r="C339" s="4"/>
      <c r="D339" s="4"/>
      <c r="E339" s="4"/>
      <c r="F339" s="4"/>
      <c r="G339" s="4"/>
      <c r="H339" s="4"/>
      <c r="I339" s="4"/>
      <c r="J339" s="4"/>
      <c r="K339" s="4"/>
      <c r="M339" s="7"/>
      <c r="N339" s="7"/>
      <c r="O339" s="7"/>
      <c r="P339" s="7"/>
      <c r="Q339" s="7"/>
      <c r="R339" s="7"/>
      <c r="S339" s="7"/>
      <c r="T339" s="7"/>
      <c r="U339" s="7"/>
      <c r="V339" s="7"/>
      <c r="W339" s="7"/>
      <c r="X339" s="7"/>
      <c r="Y339" s="9"/>
    </row>
    <row r="340" spans="1:25" x14ac:dyDescent="0.35">
      <c r="A340" s="4"/>
      <c r="B340" s="4"/>
      <c r="C340" s="4"/>
      <c r="D340" s="4"/>
      <c r="E340" s="4"/>
      <c r="F340" s="4"/>
      <c r="G340" s="4"/>
      <c r="H340" s="4"/>
      <c r="I340" s="4"/>
      <c r="J340" s="4"/>
      <c r="K340" s="4"/>
      <c r="M340" s="7"/>
      <c r="N340" s="7"/>
      <c r="O340" s="7"/>
      <c r="P340" s="7"/>
      <c r="Q340" s="7"/>
      <c r="R340" s="7"/>
      <c r="S340" s="7"/>
      <c r="T340" s="7"/>
      <c r="U340" s="7"/>
      <c r="V340" s="7"/>
      <c r="W340" s="7"/>
      <c r="X340" s="7"/>
      <c r="Y340" s="9"/>
    </row>
    <row r="341" spans="1:25" x14ac:dyDescent="0.35">
      <c r="A341" s="4"/>
      <c r="B341" s="4"/>
      <c r="C341" s="4"/>
      <c r="D341" s="4"/>
      <c r="E341" s="4"/>
      <c r="F341" s="4"/>
      <c r="G341" s="4"/>
      <c r="H341" s="4"/>
      <c r="I341" s="4"/>
      <c r="J341" s="4"/>
      <c r="K341" s="4"/>
      <c r="M341" s="7"/>
      <c r="N341" s="7"/>
      <c r="O341" s="7"/>
      <c r="P341" s="7"/>
      <c r="Q341" s="7"/>
      <c r="R341" s="7"/>
      <c r="S341" s="7"/>
      <c r="T341" s="7"/>
      <c r="U341" s="7"/>
      <c r="V341" s="7"/>
      <c r="W341" s="7"/>
      <c r="X341" s="7"/>
      <c r="Y341" s="9"/>
    </row>
    <row r="342" spans="1:25" x14ac:dyDescent="0.35">
      <c r="A342" s="4"/>
      <c r="B342" s="4"/>
      <c r="C342" s="4"/>
      <c r="D342" s="4"/>
      <c r="E342" s="4"/>
      <c r="F342" s="4"/>
      <c r="G342" s="4"/>
      <c r="H342" s="4"/>
      <c r="I342" s="4"/>
      <c r="J342" s="4"/>
      <c r="K342" s="4"/>
      <c r="M342" s="7"/>
      <c r="N342" s="7"/>
      <c r="O342" s="7"/>
      <c r="P342" s="7"/>
      <c r="Q342" s="7"/>
      <c r="R342" s="7"/>
      <c r="S342" s="7"/>
      <c r="T342" s="7"/>
      <c r="U342" s="7"/>
      <c r="V342" s="7"/>
      <c r="W342" s="7"/>
      <c r="X342" s="7"/>
      <c r="Y342" s="9"/>
    </row>
    <row r="343" spans="1:25" ht="14.5" customHeight="1" x14ac:dyDescent="0.35">
      <c r="A343" s="4"/>
      <c r="B343" s="4"/>
      <c r="C343" s="4"/>
      <c r="D343" s="4"/>
      <c r="E343" s="4"/>
      <c r="F343" s="4"/>
      <c r="G343" s="4"/>
      <c r="H343" s="4"/>
      <c r="I343" s="4"/>
      <c r="J343" s="4"/>
      <c r="K343" s="4"/>
      <c r="M343" s="7"/>
      <c r="N343" s="7"/>
      <c r="O343" s="7"/>
      <c r="P343" s="7"/>
      <c r="Q343" s="7"/>
      <c r="R343" s="7"/>
      <c r="S343" s="7"/>
      <c r="T343" s="7"/>
      <c r="U343" s="7"/>
      <c r="V343" s="7"/>
      <c r="W343" s="7"/>
      <c r="X343" s="7"/>
      <c r="Y343" s="9"/>
    </row>
    <row r="344" spans="1:25" x14ac:dyDescent="0.35">
      <c r="A344" s="4"/>
      <c r="B344" s="4"/>
      <c r="C344" s="4"/>
      <c r="D344" s="4"/>
      <c r="E344" s="4"/>
      <c r="F344" s="4"/>
      <c r="G344" s="4"/>
      <c r="H344" s="4"/>
      <c r="I344" s="4"/>
      <c r="J344" s="4"/>
      <c r="K344" s="4"/>
      <c r="M344" s="7"/>
      <c r="N344" s="7"/>
      <c r="O344" s="7"/>
      <c r="P344" s="7"/>
      <c r="Q344" s="7"/>
      <c r="R344" s="7"/>
      <c r="S344" s="7"/>
      <c r="T344" s="7"/>
      <c r="U344" s="7"/>
      <c r="V344" s="7"/>
      <c r="W344" s="7"/>
      <c r="X344" s="7"/>
      <c r="Y344" s="9"/>
    </row>
    <row r="345" spans="1:25" x14ac:dyDescent="0.35">
      <c r="A345" s="4"/>
      <c r="B345" s="4"/>
      <c r="C345" s="4"/>
      <c r="D345" s="4"/>
      <c r="E345" s="4"/>
      <c r="F345" s="4"/>
      <c r="G345" s="4"/>
      <c r="H345" s="4"/>
      <c r="I345" s="4"/>
      <c r="J345" s="4"/>
      <c r="K345" s="4"/>
      <c r="M345" s="7"/>
      <c r="N345" s="7"/>
      <c r="O345" s="7"/>
      <c r="P345" s="7"/>
      <c r="Q345" s="7"/>
      <c r="R345" s="7"/>
      <c r="S345" s="7"/>
      <c r="T345" s="7"/>
      <c r="U345" s="7"/>
      <c r="V345" s="7"/>
      <c r="W345" s="7"/>
      <c r="X345" s="7"/>
      <c r="Y345" s="9"/>
    </row>
    <row r="346" spans="1:25" x14ac:dyDescent="0.35">
      <c r="A346" s="4"/>
      <c r="B346" s="4"/>
      <c r="C346" s="4"/>
      <c r="D346" s="4"/>
      <c r="E346" s="4"/>
      <c r="F346" s="4"/>
      <c r="G346" s="4"/>
      <c r="H346" s="4"/>
      <c r="I346" s="4"/>
      <c r="J346" s="4"/>
      <c r="K346" s="4"/>
      <c r="M346" s="7"/>
      <c r="N346" s="7"/>
      <c r="O346" s="7"/>
      <c r="P346" s="7"/>
      <c r="Q346" s="7"/>
      <c r="R346" s="7"/>
      <c r="S346" s="7"/>
      <c r="T346" s="7"/>
      <c r="U346" s="7"/>
      <c r="V346" s="7"/>
      <c r="W346" s="7"/>
      <c r="X346" s="7"/>
      <c r="Y346" s="9"/>
    </row>
    <row r="347" spans="1:25" ht="14.5" customHeight="1" x14ac:dyDescent="0.35">
      <c r="A347" s="4"/>
      <c r="B347" s="4"/>
      <c r="C347" s="4"/>
      <c r="D347" s="4"/>
      <c r="E347" s="4"/>
      <c r="F347" s="4"/>
      <c r="G347" s="4"/>
      <c r="H347" s="4"/>
      <c r="I347" s="4"/>
      <c r="J347" s="4"/>
      <c r="K347" s="4"/>
      <c r="M347" s="7"/>
      <c r="N347" s="7"/>
      <c r="O347" s="7"/>
      <c r="P347" s="7"/>
      <c r="Q347" s="7"/>
      <c r="R347" s="7"/>
      <c r="S347" s="7"/>
      <c r="T347" s="7"/>
      <c r="U347" s="7"/>
      <c r="V347" s="7"/>
      <c r="W347" s="7"/>
      <c r="X347" s="7"/>
      <c r="Y347" s="9"/>
    </row>
    <row r="348" spans="1:25" ht="14.5" customHeight="1" x14ac:dyDescent="0.35">
      <c r="A348" s="4"/>
      <c r="B348" s="4"/>
      <c r="C348" s="4"/>
      <c r="D348" s="4"/>
      <c r="E348" s="4"/>
      <c r="F348" s="4"/>
      <c r="G348" s="4"/>
      <c r="H348" s="4"/>
      <c r="I348" s="4"/>
      <c r="J348" s="4"/>
      <c r="K348" s="4"/>
      <c r="M348" s="7"/>
      <c r="N348" s="7"/>
      <c r="O348" s="7"/>
      <c r="P348" s="7"/>
      <c r="Q348" s="7"/>
      <c r="R348" s="7"/>
      <c r="S348" s="7"/>
      <c r="T348" s="7"/>
      <c r="U348" s="7"/>
      <c r="V348" s="7"/>
      <c r="W348" s="7"/>
      <c r="X348" s="7"/>
      <c r="Y348" s="9"/>
    </row>
    <row r="349" spans="1:25" x14ac:dyDescent="0.35">
      <c r="A349" s="4"/>
      <c r="B349" s="4"/>
      <c r="C349" s="4"/>
      <c r="D349" s="4"/>
      <c r="E349" s="4"/>
      <c r="F349" s="4"/>
      <c r="G349" s="4"/>
      <c r="H349" s="4"/>
      <c r="I349" s="4"/>
      <c r="J349" s="4"/>
      <c r="K349" s="4"/>
      <c r="M349" s="7"/>
      <c r="N349" s="7"/>
      <c r="O349" s="7"/>
      <c r="P349" s="7"/>
      <c r="Q349" s="7"/>
      <c r="R349" s="7"/>
      <c r="S349" s="7"/>
      <c r="T349" s="7"/>
      <c r="U349" s="7"/>
      <c r="V349" s="7"/>
      <c r="W349" s="7"/>
      <c r="X349" s="7"/>
      <c r="Y349" s="9"/>
    </row>
    <row r="350" spans="1:25" x14ac:dyDescent="0.35">
      <c r="A350" s="4"/>
      <c r="B350" s="4"/>
      <c r="C350" s="4"/>
      <c r="D350" s="4"/>
      <c r="E350" s="4"/>
      <c r="F350" s="4"/>
      <c r="G350" s="4"/>
      <c r="H350" s="4"/>
      <c r="I350" s="4"/>
      <c r="J350" s="4"/>
      <c r="K350" s="4"/>
      <c r="M350" s="7"/>
      <c r="N350" s="7"/>
      <c r="O350" s="7"/>
      <c r="P350" s="7"/>
      <c r="Q350" s="7"/>
      <c r="R350" s="7"/>
      <c r="S350" s="7"/>
      <c r="T350" s="7"/>
      <c r="U350" s="7"/>
      <c r="V350" s="7"/>
      <c r="W350" s="7"/>
      <c r="X350" s="7"/>
      <c r="Y350" s="9"/>
    </row>
    <row r="351" spans="1:25" x14ac:dyDescent="0.35">
      <c r="A351" s="4"/>
      <c r="B351" s="4"/>
      <c r="C351" s="4"/>
      <c r="D351" s="4"/>
      <c r="E351" s="4"/>
      <c r="F351" s="4"/>
      <c r="G351" s="4"/>
      <c r="H351" s="4"/>
      <c r="I351" s="4"/>
      <c r="J351" s="4"/>
      <c r="K351" s="4"/>
      <c r="M351" s="7"/>
      <c r="N351" s="7"/>
      <c r="O351" s="7"/>
      <c r="P351" s="7"/>
      <c r="Q351" s="7"/>
      <c r="R351" s="7"/>
      <c r="S351" s="7"/>
      <c r="T351" s="7"/>
      <c r="U351" s="7"/>
      <c r="V351" s="7"/>
      <c r="W351" s="7"/>
      <c r="X351" s="7"/>
      <c r="Y351" s="9"/>
    </row>
    <row r="352" spans="1:25" x14ac:dyDescent="0.35">
      <c r="A352" s="4"/>
      <c r="B352" s="4"/>
      <c r="C352" s="4"/>
      <c r="D352" s="4"/>
      <c r="E352" s="4"/>
      <c r="F352" s="4"/>
      <c r="G352" s="4"/>
      <c r="H352" s="4"/>
      <c r="I352" s="4"/>
      <c r="J352" s="4"/>
      <c r="K352" s="4"/>
      <c r="M352" s="7"/>
      <c r="N352" s="7"/>
      <c r="O352" s="7"/>
      <c r="P352" s="7"/>
      <c r="Q352" s="7"/>
      <c r="R352" s="7"/>
      <c r="S352" s="7"/>
      <c r="T352" s="7"/>
      <c r="U352" s="7"/>
      <c r="V352" s="7"/>
      <c r="W352" s="7"/>
      <c r="X352" s="7"/>
      <c r="Y352" s="9"/>
    </row>
    <row r="353" spans="1:25" x14ac:dyDescent="0.35">
      <c r="A353" s="4"/>
      <c r="B353" s="4"/>
      <c r="C353" s="4"/>
      <c r="D353" s="4"/>
      <c r="E353" s="4"/>
      <c r="F353" s="4"/>
      <c r="G353" s="4"/>
      <c r="H353" s="4"/>
      <c r="I353" s="4"/>
      <c r="J353" s="4"/>
      <c r="K353" s="4"/>
      <c r="M353" s="7"/>
      <c r="N353" s="7"/>
      <c r="O353" s="7"/>
      <c r="P353" s="7"/>
      <c r="Q353" s="7"/>
      <c r="R353" s="7"/>
      <c r="S353" s="7"/>
      <c r="T353" s="7"/>
      <c r="U353" s="7"/>
      <c r="V353" s="7"/>
      <c r="W353" s="7"/>
      <c r="X353" s="7"/>
      <c r="Y353" s="9"/>
    </row>
    <row r="354" spans="1:25" x14ac:dyDescent="0.35">
      <c r="A354" s="4"/>
      <c r="B354" s="4"/>
      <c r="C354" s="4"/>
      <c r="D354" s="4"/>
      <c r="E354" s="4"/>
      <c r="F354" s="4"/>
      <c r="G354" s="4"/>
      <c r="H354" s="4"/>
      <c r="I354" s="4"/>
      <c r="J354" s="4"/>
      <c r="K354" s="4"/>
      <c r="M354" s="7"/>
      <c r="N354" s="7"/>
      <c r="O354" s="7"/>
      <c r="P354" s="7"/>
      <c r="Q354" s="7"/>
      <c r="R354" s="7"/>
      <c r="S354" s="7"/>
      <c r="T354" s="7"/>
      <c r="U354" s="7"/>
      <c r="V354" s="7"/>
      <c r="W354" s="7"/>
      <c r="X354" s="7"/>
      <c r="Y354" s="9"/>
    </row>
    <row r="355" spans="1:25" ht="14.5" customHeight="1" x14ac:dyDescent="0.35">
      <c r="A355" s="4"/>
      <c r="B355" s="4"/>
      <c r="C355" s="4"/>
      <c r="D355" s="4"/>
      <c r="E355" s="4"/>
      <c r="F355" s="4"/>
      <c r="G355" s="4"/>
      <c r="H355" s="4"/>
      <c r="I355" s="4"/>
      <c r="J355" s="4"/>
      <c r="K355" s="4"/>
      <c r="M355" s="7"/>
      <c r="N355" s="7"/>
      <c r="O355" s="7"/>
      <c r="P355" s="7"/>
      <c r="Q355" s="7"/>
      <c r="R355" s="7"/>
      <c r="S355" s="7"/>
      <c r="T355" s="7"/>
      <c r="U355" s="7"/>
      <c r="V355" s="7"/>
      <c r="W355" s="7"/>
      <c r="X355" s="7"/>
      <c r="Y355" s="9"/>
    </row>
    <row r="356" spans="1:25" x14ac:dyDescent="0.35">
      <c r="A356" s="4"/>
      <c r="B356" s="4"/>
      <c r="C356" s="4"/>
      <c r="D356" s="4"/>
      <c r="E356" s="4"/>
      <c r="F356" s="4"/>
      <c r="G356" s="4"/>
      <c r="H356" s="4"/>
      <c r="I356" s="4"/>
      <c r="J356" s="4"/>
      <c r="K356" s="4"/>
      <c r="M356" s="7"/>
      <c r="N356" s="7"/>
      <c r="O356" s="7"/>
      <c r="P356" s="7"/>
      <c r="Q356" s="7"/>
      <c r="R356" s="7"/>
      <c r="S356" s="7"/>
      <c r="T356" s="7"/>
      <c r="U356" s="7"/>
      <c r="V356" s="7"/>
      <c r="W356" s="7"/>
      <c r="X356" s="7"/>
      <c r="Y356" s="9"/>
    </row>
    <row r="357" spans="1:25" s="105" customFormat="1" x14ac:dyDescent="0.35">
      <c r="Y357" s="163"/>
    </row>
    <row r="358" spans="1:25" x14ac:dyDescent="0.35">
      <c r="A358" s="4"/>
      <c r="B358" s="4"/>
      <c r="C358" s="4"/>
      <c r="D358" s="4"/>
      <c r="E358" s="4"/>
      <c r="F358" s="4"/>
      <c r="G358" s="4"/>
      <c r="H358" s="4"/>
      <c r="I358" s="4"/>
      <c r="J358" s="4"/>
      <c r="K358" s="4"/>
      <c r="M358" s="7"/>
      <c r="N358" s="7"/>
      <c r="O358" s="7"/>
      <c r="P358" s="7"/>
      <c r="Q358" s="7"/>
      <c r="R358" s="7"/>
      <c r="S358" s="7"/>
      <c r="T358" s="7"/>
      <c r="U358" s="7"/>
      <c r="V358" s="7"/>
      <c r="W358" s="7"/>
      <c r="X358" s="7"/>
      <c r="Y358" s="9"/>
    </row>
    <row r="359" spans="1:25" x14ac:dyDescent="0.35">
      <c r="A359" s="4"/>
      <c r="B359" s="4"/>
      <c r="C359" s="4"/>
      <c r="D359" s="4"/>
      <c r="E359" s="4"/>
      <c r="F359" s="4"/>
      <c r="G359" s="4"/>
      <c r="H359" s="4"/>
      <c r="I359" s="4"/>
      <c r="J359" s="4"/>
      <c r="K359" s="4"/>
      <c r="M359" s="7"/>
      <c r="N359" s="7"/>
      <c r="O359" s="7"/>
      <c r="P359" s="7"/>
      <c r="Q359" s="7"/>
      <c r="R359" s="7"/>
      <c r="S359" s="7"/>
      <c r="T359" s="7"/>
      <c r="U359" s="7"/>
      <c r="V359" s="7"/>
      <c r="W359" s="7"/>
      <c r="X359" s="7"/>
      <c r="Y359" s="9"/>
    </row>
    <row r="360" spans="1:25" ht="14.5" customHeight="1" x14ac:dyDescent="0.35">
      <c r="A360" s="4"/>
      <c r="B360" s="4"/>
      <c r="C360" s="4"/>
      <c r="D360" s="4"/>
      <c r="E360" s="4"/>
      <c r="F360" s="4"/>
      <c r="G360" s="4"/>
      <c r="H360" s="4"/>
      <c r="I360" s="4"/>
      <c r="J360" s="4"/>
      <c r="K360" s="4"/>
      <c r="M360" s="7"/>
      <c r="N360" s="7"/>
      <c r="O360" s="7"/>
      <c r="P360" s="7"/>
      <c r="Q360" s="7"/>
      <c r="R360" s="7"/>
      <c r="S360" s="7"/>
      <c r="T360" s="7"/>
      <c r="U360" s="7"/>
      <c r="V360" s="7"/>
      <c r="W360" s="7"/>
      <c r="X360" s="7"/>
      <c r="Y360" s="9"/>
    </row>
    <row r="361" spans="1:25" ht="14.5" customHeight="1" x14ac:dyDescent="0.35">
      <c r="A361" s="4"/>
      <c r="B361" s="4"/>
      <c r="C361" s="4"/>
      <c r="D361" s="4"/>
      <c r="E361" s="4"/>
      <c r="F361" s="4"/>
      <c r="G361" s="4"/>
      <c r="H361" s="4"/>
      <c r="I361" s="4"/>
      <c r="J361" s="4"/>
      <c r="K361" s="4"/>
      <c r="M361" s="7"/>
      <c r="N361" s="7"/>
      <c r="O361" s="7"/>
      <c r="P361" s="7"/>
      <c r="Q361" s="7"/>
      <c r="R361" s="7"/>
      <c r="S361" s="7"/>
      <c r="T361" s="7"/>
      <c r="U361" s="7"/>
      <c r="V361" s="7"/>
      <c r="W361" s="7"/>
      <c r="X361" s="7"/>
      <c r="Y361" s="9"/>
    </row>
    <row r="362" spans="1:25" ht="14.5" customHeight="1" x14ac:dyDescent="0.35">
      <c r="A362" s="4"/>
      <c r="B362" s="4"/>
      <c r="C362" s="4"/>
      <c r="D362" s="4"/>
      <c r="E362" s="4"/>
      <c r="F362" s="4"/>
      <c r="G362" s="4"/>
      <c r="H362" s="4"/>
      <c r="I362" s="4"/>
      <c r="J362" s="4"/>
      <c r="K362" s="4"/>
      <c r="M362" s="7"/>
      <c r="N362" s="7"/>
      <c r="O362" s="7"/>
      <c r="P362" s="7"/>
      <c r="Q362" s="7"/>
      <c r="R362" s="7"/>
      <c r="S362" s="7"/>
      <c r="T362" s="7"/>
      <c r="U362" s="7"/>
      <c r="V362" s="7"/>
      <c r="W362" s="7"/>
      <c r="X362" s="7"/>
      <c r="Y362" s="9"/>
    </row>
    <row r="363" spans="1:25" ht="14.5" customHeight="1" x14ac:dyDescent="0.35">
      <c r="A363" s="4"/>
      <c r="B363" s="4"/>
      <c r="C363" s="4"/>
      <c r="D363" s="4"/>
      <c r="E363" s="4"/>
      <c r="F363" s="4"/>
      <c r="G363" s="4"/>
      <c r="H363" s="4"/>
      <c r="I363" s="4"/>
      <c r="J363" s="4"/>
      <c r="K363" s="4"/>
      <c r="M363" s="7"/>
      <c r="N363" s="7"/>
      <c r="O363" s="7"/>
      <c r="P363" s="7"/>
      <c r="Q363" s="7"/>
      <c r="R363" s="7"/>
      <c r="S363" s="7"/>
      <c r="T363" s="7"/>
      <c r="U363" s="7"/>
      <c r="V363" s="7"/>
      <c r="W363" s="7"/>
      <c r="X363" s="7"/>
      <c r="Y363" s="9"/>
    </row>
    <row r="364" spans="1:25" x14ac:dyDescent="0.35">
      <c r="A364" s="4"/>
      <c r="B364" s="4"/>
      <c r="C364" s="4"/>
      <c r="D364" s="4"/>
      <c r="E364" s="4"/>
      <c r="F364" s="4"/>
      <c r="G364" s="4"/>
      <c r="H364" s="4"/>
      <c r="I364" s="4"/>
      <c r="J364" s="4"/>
      <c r="K364" s="4"/>
      <c r="M364" s="7"/>
      <c r="N364" s="7"/>
      <c r="O364" s="7"/>
      <c r="P364" s="7"/>
      <c r="Q364" s="7"/>
      <c r="R364" s="7"/>
      <c r="S364" s="7"/>
      <c r="T364" s="7"/>
      <c r="U364" s="7"/>
      <c r="V364" s="7"/>
      <c r="W364" s="7"/>
      <c r="X364" s="7"/>
      <c r="Y364" s="9"/>
    </row>
    <row r="365" spans="1:25" x14ac:dyDescent="0.35">
      <c r="A365" s="4"/>
      <c r="B365" s="4"/>
      <c r="C365" s="4"/>
      <c r="D365" s="4"/>
      <c r="E365" s="4"/>
      <c r="F365" s="4"/>
      <c r="G365" s="4"/>
      <c r="H365" s="4"/>
      <c r="I365" s="4"/>
      <c r="J365" s="4"/>
      <c r="K365" s="4"/>
      <c r="M365" s="7"/>
      <c r="N365" s="7"/>
      <c r="O365" s="7"/>
      <c r="P365" s="7"/>
      <c r="Q365" s="7"/>
      <c r="R365" s="7"/>
      <c r="S365" s="7"/>
      <c r="T365" s="7"/>
      <c r="U365" s="7"/>
      <c r="V365" s="7"/>
      <c r="W365" s="7"/>
      <c r="X365" s="7"/>
      <c r="Y365" s="9"/>
    </row>
    <row r="366" spans="1:25" x14ac:dyDescent="0.35">
      <c r="A366" s="4"/>
      <c r="B366" s="4"/>
      <c r="C366" s="4"/>
      <c r="D366" s="4"/>
      <c r="E366" s="4"/>
      <c r="F366" s="4"/>
      <c r="G366" s="4"/>
      <c r="H366" s="4"/>
      <c r="I366" s="4"/>
      <c r="J366" s="4"/>
      <c r="K366" s="4"/>
      <c r="M366" s="7"/>
      <c r="N366" s="7"/>
      <c r="O366" s="7"/>
      <c r="P366" s="7"/>
      <c r="Q366" s="7"/>
      <c r="R366" s="7"/>
      <c r="S366" s="7"/>
      <c r="T366" s="7"/>
      <c r="U366" s="7"/>
      <c r="V366" s="7"/>
      <c r="W366" s="7"/>
      <c r="X366" s="7"/>
      <c r="Y366" s="9"/>
    </row>
    <row r="367" spans="1:25" x14ac:dyDescent="0.35">
      <c r="A367" s="4"/>
      <c r="B367" s="4"/>
      <c r="C367" s="4"/>
      <c r="D367" s="4"/>
      <c r="E367" s="4"/>
      <c r="F367" s="4"/>
      <c r="G367" s="4"/>
      <c r="H367" s="4"/>
      <c r="I367" s="4"/>
      <c r="J367" s="4"/>
      <c r="K367" s="4"/>
      <c r="M367" s="7"/>
      <c r="N367" s="7"/>
      <c r="O367" s="7"/>
      <c r="P367" s="7"/>
      <c r="Q367" s="7"/>
      <c r="R367" s="7"/>
      <c r="S367" s="7"/>
      <c r="T367" s="7"/>
      <c r="U367" s="7"/>
      <c r="V367" s="7"/>
      <c r="W367" s="7"/>
      <c r="X367" s="7"/>
      <c r="Y367" s="9"/>
    </row>
    <row r="368" spans="1:25" ht="14.5" customHeight="1" x14ac:dyDescent="0.35">
      <c r="A368" s="4"/>
      <c r="B368" s="4"/>
      <c r="C368" s="4"/>
      <c r="D368" s="4"/>
      <c r="E368" s="4"/>
      <c r="F368" s="4"/>
      <c r="G368" s="4"/>
      <c r="H368" s="4"/>
      <c r="I368" s="4"/>
      <c r="J368" s="4"/>
      <c r="K368" s="4"/>
      <c r="M368" s="7"/>
      <c r="N368" s="7"/>
      <c r="O368" s="7"/>
      <c r="P368" s="7"/>
      <c r="Q368" s="7"/>
      <c r="R368" s="7"/>
      <c r="S368" s="7"/>
      <c r="T368" s="7"/>
      <c r="U368" s="7"/>
      <c r="V368" s="7"/>
      <c r="W368" s="7"/>
      <c r="X368" s="7"/>
      <c r="Y368" s="9"/>
    </row>
    <row r="369" spans="1:25" ht="14.5" customHeight="1" x14ac:dyDescent="0.35">
      <c r="A369" s="4"/>
      <c r="B369" s="4"/>
      <c r="C369" s="4"/>
      <c r="D369" s="4"/>
      <c r="E369" s="4"/>
      <c r="F369" s="4"/>
      <c r="G369" s="4"/>
      <c r="H369" s="4"/>
      <c r="I369" s="4"/>
      <c r="J369" s="4"/>
      <c r="K369" s="4"/>
      <c r="M369" s="7"/>
      <c r="N369" s="7"/>
      <c r="O369" s="7"/>
      <c r="P369" s="7"/>
      <c r="Q369" s="7"/>
      <c r="R369" s="7"/>
      <c r="S369" s="7"/>
      <c r="T369" s="7"/>
      <c r="U369" s="7"/>
      <c r="V369" s="7"/>
      <c r="W369" s="7"/>
      <c r="X369" s="7"/>
      <c r="Y369" s="9"/>
    </row>
    <row r="370" spans="1:25" ht="14.5" customHeight="1" x14ac:dyDescent="0.35">
      <c r="A370" s="4"/>
      <c r="B370" s="4"/>
      <c r="C370" s="4"/>
      <c r="D370" s="4"/>
      <c r="E370" s="4"/>
      <c r="F370" s="4"/>
      <c r="G370" s="4"/>
      <c r="H370" s="4"/>
      <c r="I370" s="4"/>
      <c r="J370" s="4"/>
      <c r="K370" s="4"/>
      <c r="M370" s="7"/>
      <c r="N370" s="7"/>
      <c r="O370" s="7"/>
      <c r="P370" s="7"/>
      <c r="Q370" s="7"/>
      <c r="R370" s="7"/>
      <c r="S370" s="7"/>
      <c r="T370" s="7"/>
      <c r="U370" s="7"/>
      <c r="V370" s="7"/>
      <c r="W370" s="7"/>
      <c r="X370" s="7"/>
      <c r="Y370" s="9"/>
    </row>
    <row r="371" spans="1:25" x14ac:dyDescent="0.35">
      <c r="A371" s="4"/>
      <c r="B371" s="4"/>
      <c r="C371" s="4"/>
      <c r="D371" s="4"/>
      <c r="E371" s="4"/>
      <c r="F371" s="4"/>
      <c r="G371" s="4"/>
      <c r="H371" s="4"/>
      <c r="I371" s="4"/>
      <c r="J371" s="4"/>
      <c r="K371" s="4"/>
      <c r="M371" s="7"/>
      <c r="N371" s="7"/>
      <c r="O371" s="7"/>
      <c r="P371" s="7"/>
      <c r="Q371" s="7"/>
      <c r="R371" s="7"/>
      <c r="S371" s="7"/>
      <c r="T371" s="7"/>
      <c r="U371" s="7"/>
      <c r="V371" s="7"/>
      <c r="W371" s="7"/>
      <c r="X371" s="7"/>
      <c r="Y371" s="9"/>
    </row>
    <row r="372" spans="1:25" x14ac:dyDescent="0.35">
      <c r="A372" s="4"/>
      <c r="B372" s="4"/>
      <c r="C372" s="4"/>
      <c r="D372" s="4"/>
      <c r="E372" s="4"/>
      <c r="F372" s="4"/>
      <c r="G372" s="4"/>
      <c r="H372" s="4"/>
      <c r="I372" s="4"/>
      <c r="J372" s="4"/>
      <c r="K372" s="4"/>
      <c r="M372" s="7"/>
      <c r="N372" s="7"/>
      <c r="O372" s="7"/>
      <c r="P372" s="7"/>
      <c r="Q372" s="7"/>
      <c r="R372" s="7"/>
      <c r="S372" s="7"/>
      <c r="T372" s="7"/>
      <c r="U372" s="7"/>
      <c r="V372" s="7"/>
      <c r="W372" s="7"/>
      <c r="X372" s="7"/>
      <c r="Y372" s="9"/>
    </row>
    <row r="373" spans="1:25" x14ac:dyDescent="0.35">
      <c r="A373" s="4"/>
      <c r="B373" s="4"/>
      <c r="C373" s="4"/>
      <c r="D373" s="4"/>
      <c r="E373" s="4"/>
      <c r="F373" s="4"/>
      <c r="G373" s="4"/>
      <c r="H373" s="4"/>
      <c r="I373" s="4"/>
      <c r="J373" s="4"/>
      <c r="K373" s="4"/>
      <c r="M373" s="7"/>
      <c r="N373" s="7"/>
      <c r="O373" s="7"/>
      <c r="P373" s="7"/>
      <c r="Q373" s="7"/>
      <c r="R373" s="7"/>
      <c r="S373" s="7"/>
      <c r="T373" s="7"/>
      <c r="U373" s="7"/>
      <c r="V373" s="7"/>
      <c r="W373" s="7"/>
      <c r="X373" s="7"/>
      <c r="Y373" s="9"/>
    </row>
    <row r="374" spans="1:25" x14ac:dyDescent="0.35">
      <c r="A374" s="4"/>
      <c r="B374" s="4"/>
      <c r="C374" s="4"/>
      <c r="D374" s="4"/>
      <c r="E374" s="4"/>
      <c r="F374" s="4"/>
      <c r="G374" s="4"/>
      <c r="H374" s="4"/>
      <c r="I374" s="4"/>
      <c r="J374" s="4"/>
      <c r="K374" s="4"/>
      <c r="M374" s="7"/>
      <c r="N374" s="7"/>
      <c r="O374" s="7"/>
      <c r="P374" s="7"/>
      <c r="Q374" s="7"/>
      <c r="R374" s="7"/>
      <c r="S374" s="7"/>
      <c r="T374" s="7"/>
      <c r="U374" s="7"/>
      <c r="V374" s="7"/>
      <c r="W374" s="7"/>
      <c r="X374" s="7"/>
      <c r="Y374" s="9"/>
    </row>
    <row r="375" spans="1:25" ht="14.5" customHeight="1" x14ac:dyDescent="0.35">
      <c r="A375" s="4"/>
      <c r="B375" s="4"/>
      <c r="C375" s="4"/>
      <c r="D375" s="4"/>
      <c r="E375" s="4"/>
      <c r="F375" s="4"/>
      <c r="G375" s="4"/>
      <c r="H375" s="4"/>
      <c r="I375" s="4"/>
      <c r="J375" s="4"/>
      <c r="K375" s="4"/>
      <c r="M375" s="7"/>
      <c r="N375" s="7"/>
      <c r="O375" s="7"/>
      <c r="P375" s="7"/>
      <c r="Q375" s="7"/>
      <c r="R375" s="7"/>
      <c r="S375" s="7"/>
      <c r="T375" s="7"/>
      <c r="U375" s="7"/>
      <c r="V375" s="7"/>
      <c r="W375" s="7"/>
      <c r="X375" s="7"/>
      <c r="Y375" s="9"/>
    </row>
    <row r="376" spans="1:25" ht="14.5" customHeight="1" x14ac:dyDescent="0.35">
      <c r="A376" s="4"/>
      <c r="B376" s="4"/>
      <c r="C376" s="4"/>
      <c r="D376" s="4"/>
      <c r="E376" s="4"/>
      <c r="F376" s="4"/>
      <c r="G376" s="4"/>
      <c r="H376" s="4"/>
      <c r="I376" s="4"/>
      <c r="J376" s="4"/>
      <c r="K376" s="4"/>
      <c r="M376" s="7"/>
      <c r="N376" s="7"/>
      <c r="O376" s="7"/>
      <c r="P376" s="7"/>
      <c r="Q376" s="7"/>
      <c r="R376" s="7"/>
      <c r="S376" s="7"/>
      <c r="T376" s="7"/>
      <c r="U376" s="7"/>
      <c r="V376" s="7"/>
      <c r="W376" s="7"/>
      <c r="X376" s="7"/>
      <c r="Y376" s="9"/>
    </row>
    <row r="377" spans="1:25" ht="14.5" customHeight="1" x14ac:dyDescent="0.35">
      <c r="A377" s="4"/>
      <c r="B377" s="4"/>
      <c r="C377" s="4"/>
      <c r="D377" s="4"/>
      <c r="E377" s="4"/>
      <c r="F377" s="4"/>
      <c r="G377" s="4"/>
      <c r="H377" s="4"/>
      <c r="I377" s="4"/>
      <c r="J377" s="4"/>
      <c r="K377" s="4"/>
      <c r="M377" s="7"/>
      <c r="N377" s="7"/>
      <c r="O377" s="7"/>
      <c r="P377" s="7"/>
      <c r="Q377" s="7"/>
      <c r="R377" s="7"/>
      <c r="S377" s="7"/>
      <c r="T377" s="7"/>
      <c r="U377" s="7"/>
      <c r="V377" s="7"/>
      <c r="W377" s="7"/>
      <c r="X377" s="7"/>
      <c r="Y377" s="9"/>
    </row>
    <row r="378" spans="1:25" ht="14.5" customHeight="1" x14ac:dyDescent="0.35">
      <c r="A378" s="4"/>
      <c r="B378" s="4"/>
      <c r="C378" s="4"/>
      <c r="D378" s="4"/>
      <c r="E378" s="4"/>
      <c r="F378" s="4"/>
      <c r="G378" s="4"/>
      <c r="H378" s="4"/>
      <c r="I378" s="4"/>
      <c r="J378" s="4"/>
      <c r="K378" s="4"/>
      <c r="M378" s="7"/>
      <c r="N378" s="7"/>
      <c r="O378" s="7"/>
      <c r="P378" s="7"/>
      <c r="Q378" s="7"/>
      <c r="R378" s="7"/>
      <c r="S378" s="7"/>
      <c r="T378" s="7"/>
      <c r="U378" s="7"/>
      <c r="V378" s="7"/>
      <c r="W378" s="7"/>
      <c r="X378" s="7"/>
      <c r="Y378" s="9"/>
    </row>
    <row r="379" spans="1:25" ht="14.5" customHeight="1" x14ac:dyDescent="0.35">
      <c r="A379" s="4"/>
      <c r="B379" s="4"/>
      <c r="C379" s="4"/>
      <c r="D379" s="4"/>
      <c r="E379" s="4"/>
      <c r="F379" s="4"/>
      <c r="G379" s="4"/>
      <c r="H379" s="4"/>
      <c r="I379" s="4"/>
      <c r="J379" s="4"/>
      <c r="K379" s="4"/>
      <c r="M379" s="7"/>
      <c r="N379" s="7"/>
      <c r="O379" s="7"/>
      <c r="P379" s="7"/>
      <c r="Q379" s="7"/>
      <c r="R379" s="7"/>
      <c r="S379" s="7"/>
      <c r="T379" s="7"/>
      <c r="U379" s="7"/>
      <c r="V379" s="7"/>
      <c r="W379" s="7"/>
      <c r="X379" s="7"/>
      <c r="Y379" s="9"/>
    </row>
    <row r="380" spans="1:25" ht="14.5" customHeight="1" x14ac:dyDescent="0.35">
      <c r="A380" s="4"/>
      <c r="B380" s="4"/>
      <c r="C380" s="4"/>
      <c r="D380" s="4"/>
      <c r="E380" s="4"/>
      <c r="F380" s="4"/>
      <c r="G380" s="4"/>
      <c r="H380" s="4"/>
      <c r="I380" s="4"/>
      <c r="J380" s="4"/>
      <c r="K380" s="4"/>
      <c r="M380" s="7"/>
      <c r="N380" s="7"/>
      <c r="O380" s="7"/>
      <c r="P380" s="7"/>
      <c r="Q380" s="7"/>
      <c r="R380" s="7"/>
      <c r="S380" s="7"/>
      <c r="T380" s="7"/>
      <c r="U380" s="7"/>
      <c r="V380" s="7"/>
      <c r="W380" s="7"/>
      <c r="X380" s="7"/>
      <c r="Y380" s="9"/>
    </row>
    <row r="381" spans="1:25" ht="14.5" customHeight="1" x14ac:dyDescent="0.35">
      <c r="A381" s="4"/>
      <c r="B381" s="4"/>
      <c r="C381" s="4"/>
      <c r="D381" s="4"/>
      <c r="E381" s="4"/>
      <c r="F381" s="4"/>
      <c r="G381" s="4"/>
      <c r="H381" s="4"/>
      <c r="I381" s="4"/>
      <c r="J381" s="4"/>
      <c r="K381" s="4"/>
      <c r="M381" s="7"/>
      <c r="N381" s="7"/>
      <c r="O381" s="7"/>
      <c r="P381" s="7"/>
      <c r="Q381" s="7"/>
      <c r="R381" s="7"/>
      <c r="S381" s="7"/>
      <c r="T381" s="7"/>
      <c r="U381" s="7"/>
      <c r="V381" s="7"/>
      <c r="W381" s="7"/>
      <c r="X381" s="7"/>
      <c r="Y381" s="9"/>
    </row>
    <row r="382" spans="1:25" ht="68.25" customHeight="1" x14ac:dyDescent="0.35">
      <c r="A382" s="109"/>
      <c r="B382" s="109"/>
      <c r="C382" s="109"/>
      <c r="D382" s="109"/>
      <c r="E382" s="109"/>
      <c r="F382" s="109"/>
      <c r="G382" s="109"/>
      <c r="H382" s="109"/>
      <c r="I382" s="109"/>
      <c r="J382" s="109"/>
      <c r="K382" s="109"/>
      <c r="M382" s="7"/>
      <c r="N382" s="7"/>
      <c r="O382" s="7"/>
      <c r="P382" s="7"/>
      <c r="Q382" s="7"/>
      <c r="R382" s="7"/>
      <c r="S382" s="7"/>
      <c r="T382" s="7"/>
      <c r="U382" s="7"/>
      <c r="V382" s="7"/>
      <c r="W382" s="7"/>
      <c r="X382" s="7"/>
      <c r="Y382" s="9"/>
    </row>
    <row r="383" spans="1:25" x14ac:dyDescent="0.35">
      <c r="B383" s="7"/>
      <c r="E383" s="7"/>
      <c r="F383" s="7"/>
      <c r="G383" s="7"/>
      <c r="H383" s="7"/>
      <c r="M383" s="7"/>
      <c r="N383" s="7"/>
      <c r="O383" s="7"/>
      <c r="P383" s="7"/>
      <c r="Q383" s="7"/>
      <c r="R383" s="7"/>
      <c r="S383" s="7"/>
      <c r="T383" s="7"/>
      <c r="U383" s="7"/>
      <c r="V383" s="7"/>
      <c r="W383" s="7"/>
      <c r="X383" s="7"/>
      <c r="Y383" s="9"/>
    </row>
  </sheetData>
  <autoFilter ref="A7:Z33">
    <filterColumn colId="13" showButton="0"/>
    <filterColumn colId="14" showButton="0"/>
  </autoFilter>
  <mergeCells count="88">
    <mergeCell ref="K291:L291"/>
    <mergeCell ref="Y251:Y258"/>
    <mergeCell ref="I1:J1"/>
    <mergeCell ref="I2:Y2"/>
    <mergeCell ref="I3:Y3"/>
    <mergeCell ref="I4:Y4"/>
    <mergeCell ref="K236:L236"/>
    <mergeCell ref="Y61:Y65"/>
    <mergeCell ref="Y68:Y69"/>
    <mergeCell ref="Y22:Y23"/>
    <mergeCell ref="K23:L23"/>
    <mergeCell ref="Y24:Y26"/>
    <mergeCell ref="K28:L28"/>
    <mergeCell ref="K29:L29"/>
    <mergeCell ref="Q9:T9"/>
    <mergeCell ref="U9:X9"/>
    <mergeCell ref="C209:D209"/>
    <mergeCell ref="K209:L209"/>
    <mergeCell ref="C210:D210"/>
    <mergeCell ref="Y219:Y220"/>
    <mergeCell ref="Y222:Y223"/>
    <mergeCell ref="C201:D201"/>
    <mergeCell ref="K201:L201"/>
    <mergeCell ref="C202:D202"/>
    <mergeCell ref="K202:L202"/>
    <mergeCell ref="C208:D208"/>
    <mergeCell ref="K208:L208"/>
    <mergeCell ref="C198:D198"/>
    <mergeCell ref="K198:L198"/>
    <mergeCell ref="C199:D199"/>
    <mergeCell ref="K199:L199"/>
    <mergeCell ref="C200:D200"/>
    <mergeCell ref="K200:L200"/>
    <mergeCell ref="C196:D196"/>
    <mergeCell ref="Y106:Y115"/>
    <mergeCell ref="C159:D159"/>
    <mergeCell ref="K159:L159"/>
    <mergeCell ref="K163:L163"/>
    <mergeCell ref="Y164:Y165"/>
    <mergeCell ref="C165:D165"/>
    <mergeCell ref="C181:D181"/>
    <mergeCell ref="K181:L181"/>
    <mergeCell ref="C186:D186"/>
    <mergeCell ref="C195:D195"/>
    <mergeCell ref="K195:L195"/>
    <mergeCell ref="C72:D72"/>
    <mergeCell ref="K72:L72"/>
    <mergeCell ref="Y74:Y75"/>
    <mergeCell ref="C93:D93"/>
    <mergeCell ref="K93:L93"/>
    <mergeCell ref="J82:K82"/>
    <mergeCell ref="J80:K80"/>
    <mergeCell ref="K81:L81"/>
    <mergeCell ref="C50:D50"/>
    <mergeCell ref="K50:L50"/>
    <mergeCell ref="J9:J10"/>
    <mergeCell ref="K9:L9"/>
    <mergeCell ref="M9:P9"/>
    <mergeCell ref="K22:L22"/>
    <mergeCell ref="J15:K15"/>
    <mergeCell ref="J27:K27"/>
    <mergeCell ref="J31:K31"/>
    <mergeCell ref="J34:K34"/>
    <mergeCell ref="J43:K43"/>
    <mergeCell ref="J46:K46"/>
    <mergeCell ref="J49:K49"/>
    <mergeCell ref="A1:B1"/>
    <mergeCell ref="N7:P7"/>
    <mergeCell ref="A8:H8"/>
    <mergeCell ref="I8:X8"/>
    <mergeCell ref="A9:A10"/>
    <mergeCell ref="B9:B10"/>
    <mergeCell ref="C9:D9"/>
    <mergeCell ref="E9:H9"/>
    <mergeCell ref="I9:I10"/>
    <mergeCell ref="J105:K105"/>
    <mergeCell ref="J117:K117"/>
    <mergeCell ref="J230:K230"/>
    <mergeCell ref="J51:K51"/>
    <mergeCell ref="J66:K66"/>
    <mergeCell ref="J71:K71"/>
    <mergeCell ref="J77:K77"/>
    <mergeCell ref="J95:K95"/>
    <mergeCell ref="K54:L54"/>
    <mergeCell ref="K55:L55"/>
    <mergeCell ref="K56:L56"/>
    <mergeCell ref="K58:L58"/>
    <mergeCell ref="K59:L59"/>
  </mergeCells>
  <pageMargins left="0.70866141732283472" right="0" top="0.74803149606299213" bottom="0" header="0.31496062992125984" footer="0.31496062992125984"/>
  <pageSetup paperSize="9" scale="65" orientation="landscape" r:id="rId1"/>
  <colBreaks count="1" manualBreakCount="1">
    <brk id="25" max="25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0"/>
  <sheetViews>
    <sheetView view="pageBreakPreview" topLeftCell="G1" zoomScale="80" zoomScaleNormal="80" zoomScaleSheetLayoutView="80" workbookViewId="0">
      <pane ySplit="9" topLeftCell="A55" activePane="bottomLeft" state="frozen"/>
      <selection pane="bottomLeft" activeCell="G59" sqref="G59:I59"/>
    </sheetView>
  </sheetViews>
  <sheetFormatPr defaultColWidth="8.81640625" defaultRowHeight="14.5" x14ac:dyDescent="0.35"/>
  <cols>
    <col min="1" max="1" width="8.81640625" style="165" hidden="1" customWidth="1"/>
    <col min="2" max="2" width="33.81640625" style="165" hidden="1" customWidth="1"/>
    <col min="3" max="3" width="19.54296875" style="165" hidden="1" customWidth="1"/>
    <col min="4" max="6" width="8.81640625" style="165" hidden="1" customWidth="1"/>
    <col min="7" max="7" width="6.54296875" style="165" customWidth="1"/>
    <col min="8" max="8" width="31.81640625" style="165" customWidth="1"/>
    <col min="9" max="9" width="10.453125" style="293" customWidth="1"/>
    <col min="10" max="20" width="12.453125" style="293" customWidth="1"/>
    <col min="21" max="21" width="45.26953125" style="166" hidden="1" customWidth="1"/>
    <col min="22" max="22" width="15.7265625" customWidth="1"/>
  </cols>
  <sheetData>
    <row r="1" spans="1:26" x14ac:dyDescent="0.35">
      <c r="G1" s="454" t="s">
        <v>871</v>
      </c>
      <c r="H1" s="454"/>
      <c r="T1" s="109"/>
      <c r="U1" s="233" t="s">
        <v>872</v>
      </c>
    </row>
    <row r="2" spans="1:26" x14ac:dyDescent="0.35">
      <c r="A2" s="232" t="s">
        <v>749</v>
      </c>
      <c r="B2" s="232"/>
      <c r="C2" s="232"/>
      <c r="D2" s="232"/>
      <c r="E2" s="232"/>
      <c r="F2" s="232"/>
      <c r="G2" s="521" t="s">
        <v>1072</v>
      </c>
      <c r="H2" s="521"/>
      <c r="I2" s="521"/>
      <c r="J2" s="521"/>
      <c r="K2" s="521"/>
      <c r="L2" s="521"/>
      <c r="M2" s="521"/>
      <c r="N2" s="521"/>
      <c r="O2" s="521"/>
      <c r="P2" s="521"/>
      <c r="Q2" s="521"/>
      <c r="R2" s="521"/>
      <c r="S2" s="521"/>
      <c r="T2" s="521"/>
      <c r="U2" s="521"/>
      <c r="V2" s="164"/>
      <c r="W2" s="164"/>
      <c r="X2" s="164"/>
      <c r="Y2" s="164"/>
      <c r="Z2" s="164"/>
    </row>
    <row r="3" spans="1:26" x14ac:dyDescent="0.35">
      <c r="C3" s="448" t="s">
        <v>1022</v>
      </c>
      <c r="D3" s="449"/>
      <c r="E3" s="449"/>
      <c r="F3" s="449"/>
      <c r="G3" s="449"/>
      <c r="H3" s="449"/>
      <c r="I3" s="449"/>
      <c r="J3" s="449"/>
      <c r="K3" s="449"/>
      <c r="L3" s="449"/>
      <c r="M3" s="449"/>
      <c r="N3" s="449"/>
      <c r="O3" s="449"/>
      <c r="P3" s="449"/>
      <c r="Q3" s="449"/>
      <c r="R3" s="449"/>
      <c r="S3" s="449"/>
      <c r="T3" s="449"/>
      <c r="U3" s="449"/>
    </row>
    <row r="4" spans="1:26" x14ac:dyDescent="0.35">
      <c r="C4" s="448" t="s">
        <v>1</v>
      </c>
      <c r="D4" s="449"/>
      <c r="E4" s="449"/>
      <c r="F4" s="449"/>
      <c r="G4" s="449"/>
      <c r="H4" s="449"/>
      <c r="I4" s="449"/>
      <c r="J4" s="449"/>
      <c r="K4" s="449"/>
      <c r="L4" s="449"/>
      <c r="M4" s="449"/>
      <c r="N4" s="449"/>
      <c r="O4" s="449"/>
      <c r="P4" s="449"/>
      <c r="Q4" s="449"/>
      <c r="R4" s="449"/>
      <c r="S4" s="449"/>
      <c r="T4" s="449"/>
      <c r="U4" s="449"/>
    </row>
    <row r="5" spans="1:26" ht="8.5" customHeight="1" x14ac:dyDescent="0.35"/>
    <row r="7" spans="1:26" ht="34.15" hidden="1" customHeight="1" x14ac:dyDescent="0.35">
      <c r="A7" s="494" t="s">
        <v>2</v>
      </c>
      <c r="B7" s="494"/>
      <c r="C7" s="494"/>
      <c r="D7" s="494"/>
      <c r="E7" s="494"/>
      <c r="F7" s="494"/>
      <c r="G7" s="458" t="s">
        <v>3</v>
      </c>
      <c r="H7" s="458"/>
      <c r="I7" s="458"/>
      <c r="J7" s="458"/>
      <c r="K7" s="458"/>
      <c r="L7" s="458"/>
      <c r="M7" s="458"/>
      <c r="N7" s="458"/>
      <c r="O7" s="458"/>
      <c r="P7" s="458"/>
      <c r="Q7" s="458"/>
      <c r="R7" s="458"/>
      <c r="S7" s="458"/>
      <c r="T7" s="458"/>
      <c r="U7" s="13" t="s">
        <v>4</v>
      </c>
      <c r="V7" s="167"/>
    </row>
    <row r="8" spans="1:26" ht="14.5" customHeight="1" x14ac:dyDescent="0.35">
      <c r="A8" s="450" t="s">
        <v>5</v>
      </c>
      <c r="B8" s="452" t="s">
        <v>6</v>
      </c>
      <c r="C8" s="453" t="s">
        <v>750</v>
      </c>
      <c r="D8" s="451"/>
      <c r="E8" s="451"/>
      <c r="F8" s="451"/>
      <c r="G8" s="450" t="s">
        <v>5</v>
      </c>
      <c r="H8" s="452" t="s">
        <v>6</v>
      </c>
      <c r="I8" s="443" t="s">
        <v>750</v>
      </c>
      <c r="J8" s="444"/>
      <c r="K8" s="444"/>
      <c r="L8" s="445"/>
      <c r="M8" s="495" t="s">
        <v>11</v>
      </c>
      <c r="N8" s="495"/>
      <c r="O8" s="495"/>
      <c r="P8" s="495"/>
      <c r="Q8" s="495" t="s">
        <v>12</v>
      </c>
      <c r="R8" s="495"/>
      <c r="S8" s="495"/>
      <c r="T8" s="495"/>
      <c r="U8" s="168"/>
      <c r="V8" s="167"/>
    </row>
    <row r="9" spans="1:26" x14ac:dyDescent="0.35">
      <c r="A9" s="451"/>
      <c r="B9" s="451"/>
      <c r="C9" s="236" t="s">
        <v>15</v>
      </c>
      <c r="D9" s="236" t="s">
        <v>16</v>
      </c>
      <c r="E9" s="236" t="s">
        <v>17</v>
      </c>
      <c r="F9" s="236" t="s">
        <v>18</v>
      </c>
      <c r="G9" s="451"/>
      <c r="H9" s="451"/>
      <c r="I9" s="236" t="s">
        <v>15</v>
      </c>
      <c r="J9" s="236" t="s">
        <v>16</v>
      </c>
      <c r="K9" s="236" t="s">
        <v>17</v>
      </c>
      <c r="L9" s="252" t="s">
        <v>18</v>
      </c>
      <c r="M9" s="279" t="s">
        <v>15</v>
      </c>
      <c r="N9" s="279" t="s">
        <v>16</v>
      </c>
      <c r="O9" s="279" t="s">
        <v>17</v>
      </c>
      <c r="P9" s="279" t="s">
        <v>18</v>
      </c>
      <c r="Q9" s="279" t="s">
        <v>15</v>
      </c>
      <c r="R9" s="279" t="s">
        <v>16</v>
      </c>
      <c r="S9" s="279" t="s">
        <v>17</v>
      </c>
      <c r="T9" s="279" t="s">
        <v>18</v>
      </c>
      <c r="U9" s="169"/>
      <c r="V9" s="167"/>
    </row>
    <row r="10" spans="1:26" hidden="1" x14ac:dyDescent="0.35">
      <c r="A10" s="236">
        <v>1</v>
      </c>
      <c r="B10" s="156" t="s">
        <v>751</v>
      </c>
      <c r="C10" s="236"/>
      <c r="D10" s="236"/>
      <c r="E10" s="236"/>
      <c r="F10" s="236"/>
      <c r="G10" s="236">
        <v>1</v>
      </c>
      <c r="H10" s="156" t="s">
        <v>751</v>
      </c>
      <c r="I10" s="236"/>
      <c r="J10" s="236"/>
      <c r="K10" s="236"/>
      <c r="L10" s="252"/>
      <c r="M10" s="236"/>
      <c r="N10" s="236"/>
      <c r="O10" s="236"/>
      <c r="P10" s="236"/>
      <c r="Q10" s="236"/>
      <c r="R10" s="236"/>
      <c r="S10" s="236"/>
      <c r="T10" s="294"/>
      <c r="U10" s="170" t="s">
        <v>752</v>
      </c>
      <c r="V10" s="167"/>
    </row>
    <row r="11" spans="1:26" x14ac:dyDescent="0.35">
      <c r="A11" s="236"/>
      <c r="B11" s="156"/>
      <c r="C11" s="236"/>
      <c r="D11" s="236"/>
      <c r="E11" s="236"/>
      <c r="F11" s="236"/>
      <c r="G11" s="256" t="s">
        <v>1070</v>
      </c>
      <c r="H11" s="14" t="s">
        <v>1074</v>
      </c>
      <c r="I11" s="236"/>
      <c r="J11" s="236"/>
      <c r="K11" s="236"/>
      <c r="L11" s="252"/>
      <c r="M11" s="236"/>
      <c r="N11" s="236"/>
      <c r="O11" s="236"/>
      <c r="P11" s="236"/>
      <c r="Q11" s="236"/>
      <c r="R11" s="236"/>
      <c r="S11" s="236"/>
      <c r="T11" s="294"/>
      <c r="U11" s="170"/>
      <c r="V11" s="167"/>
    </row>
    <row r="12" spans="1:26" x14ac:dyDescent="0.35">
      <c r="A12" s="236">
        <v>2</v>
      </c>
      <c r="B12" s="156" t="s">
        <v>753</v>
      </c>
      <c r="C12" s="236"/>
      <c r="D12" s="236"/>
      <c r="E12" s="236"/>
      <c r="F12" s="236"/>
      <c r="G12" s="236">
        <v>2</v>
      </c>
      <c r="H12" s="156" t="s">
        <v>753</v>
      </c>
      <c r="I12" s="236"/>
      <c r="J12" s="236"/>
      <c r="K12" s="236"/>
      <c r="L12" s="252"/>
      <c r="M12" s="236"/>
      <c r="N12" s="236"/>
      <c r="O12" s="236"/>
      <c r="P12" s="236"/>
      <c r="Q12" s="236"/>
      <c r="R12" s="236"/>
      <c r="S12" s="236"/>
      <c r="T12" s="294"/>
      <c r="U12" s="169"/>
      <c r="V12" s="167"/>
    </row>
    <row r="13" spans="1:26" x14ac:dyDescent="0.35">
      <c r="A13" s="236"/>
      <c r="B13" s="320"/>
      <c r="C13" s="236"/>
      <c r="D13" s="236"/>
      <c r="E13" s="236"/>
      <c r="F13" s="236"/>
      <c r="G13" s="236"/>
      <c r="H13" s="14" t="s">
        <v>1078</v>
      </c>
      <c r="I13" s="236"/>
      <c r="J13" s="236"/>
      <c r="K13" s="236"/>
      <c r="L13" s="252"/>
      <c r="M13" s="236"/>
      <c r="N13" s="236"/>
      <c r="O13" s="236"/>
      <c r="P13" s="236"/>
      <c r="Q13" s="236"/>
      <c r="R13" s="236"/>
      <c r="S13" s="236"/>
      <c r="T13" s="294"/>
      <c r="U13" s="169"/>
      <c r="V13" s="167"/>
    </row>
    <row r="14" spans="1:26" x14ac:dyDescent="0.35">
      <c r="A14" s="171" t="s">
        <v>200</v>
      </c>
      <c r="B14" s="31" t="s">
        <v>754</v>
      </c>
      <c r="C14" s="237"/>
      <c r="D14" s="237"/>
      <c r="E14" s="88"/>
      <c r="F14" s="88"/>
      <c r="G14" s="171" t="s">
        <v>200</v>
      </c>
      <c r="H14" s="31" t="s">
        <v>754</v>
      </c>
      <c r="I14" s="236"/>
      <c r="J14" s="236"/>
      <c r="K14" s="236"/>
      <c r="L14" s="252"/>
      <c r="M14" s="236"/>
      <c r="N14" s="236"/>
      <c r="O14" s="236"/>
      <c r="P14" s="236"/>
      <c r="Q14" s="236"/>
      <c r="R14" s="236"/>
      <c r="S14" s="236"/>
      <c r="T14" s="294"/>
      <c r="U14" s="169"/>
      <c r="V14" s="167"/>
    </row>
    <row r="15" spans="1:26" ht="42" x14ac:dyDescent="0.35">
      <c r="A15" s="171" t="s">
        <v>755</v>
      </c>
      <c r="B15" s="31" t="s">
        <v>756</v>
      </c>
      <c r="C15" s="240">
        <v>3000</v>
      </c>
      <c r="D15" s="240">
        <v>800</v>
      </c>
      <c r="E15" s="235">
        <v>300</v>
      </c>
      <c r="F15" s="235">
        <v>250</v>
      </c>
      <c r="G15" s="171" t="s">
        <v>755</v>
      </c>
      <c r="H15" s="31" t="s">
        <v>757</v>
      </c>
      <c r="I15" s="240">
        <v>3000</v>
      </c>
      <c r="J15" s="240">
        <v>800</v>
      </c>
      <c r="K15" s="235">
        <v>300</v>
      </c>
      <c r="L15" s="172">
        <v>250</v>
      </c>
      <c r="M15" s="295">
        <v>1800</v>
      </c>
      <c r="N15" s="295">
        <v>480</v>
      </c>
      <c r="O15" s="295">
        <v>180</v>
      </c>
      <c r="P15" s="295">
        <v>150</v>
      </c>
      <c r="Q15" s="295">
        <v>1200</v>
      </c>
      <c r="R15" s="295">
        <v>320</v>
      </c>
      <c r="S15" s="295">
        <v>120</v>
      </c>
      <c r="T15" s="295">
        <v>100</v>
      </c>
      <c r="U15" s="173" t="s">
        <v>758</v>
      </c>
      <c r="V15" s="167"/>
    </row>
    <row r="16" spans="1:26" ht="75.400000000000006" customHeight="1" x14ac:dyDescent="0.35">
      <c r="A16" s="171" t="s">
        <v>759</v>
      </c>
      <c r="B16" s="31" t="s">
        <v>760</v>
      </c>
      <c r="C16" s="240">
        <v>2200</v>
      </c>
      <c r="D16" s="240">
        <v>800</v>
      </c>
      <c r="E16" s="235">
        <v>300</v>
      </c>
      <c r="F16" s="235">
        <v>250</v>
      </c>
      <c r="G16" s="171" t="s">
        <v>759</v>
      </c>
      <c r="H16" s="31" t="s">
        <v>761</v>
      </c>
      <c r="I16" s="240">
        <v>2200</v>
      </c>
      <c r="J16" s="240">
        <v>800</v>
      </c>
      <c r="K16" s="235">
        <v>300</v>
      </c>
      <c r="L16" s="172">
        <v>250</v>
      </c>
      <c r="M16" s="295">
        <v>1320</v>
      </c>
      <c r="N16" s="295">
        <v>480</v>
      </c>
      <c r="O16" s="295">
        <v>180</v>
      </c>
      <c r="P16" s="295">
        <v>150</v>
      </c>
      <c r="Q16" s="295">
        <v>880</v>
      </c>
      <c r="R16" s="295">
        <v>320</v>
      </c>
      <c r="S16" s="295">
        <v>120</v>
      </c>
      <c r="T16" s="295">
        <v>100</v>
      </c>
      <c r="U16" s="173" t="s">
        <v>758</v>
      </c>
      <c r="V16" s="167"/>
    </row>
    <row r="17" spans="1:22" ht="75.400000000000006" customHeight="1" x14ac:dyDescent="0.35">
      <c r="A17" s="174" t="s">
        <v>762</v>
      </c>
      <c r="B17" s="175" t="s">
        <v>763</v>
      </c>
      <c r="C17" s="175">
        <v>1800</v>
      </c>
      <c r="D17" s="175">
        <v>800</v>
      </c>
      <c r="E17" s="175">
        <v>400</v>
      </c>
      <c r="F17" s="175">
        <v>250</v>
      </c>
      <c r="G17" s="174" t="s">
        <v>762</v>
      </c>
      <c r="H17" s="175" t="s">
        <v>764</v>
      </c>
      <c r="I17" s="277">
        <v>1800</v>
      </c>
      <c r="J17" s="277">
        <v>800</v>
      </c>
      <c r="K17" s="277">
        <v>400</v>
      </c>
      <c r="L17" s="296">
        <v>250</v>
      </c>
      <c r="M17" s="295">
        <v>1080</v>
      </c>
      <c r="N17" s="295">
        <v>480</v>
      </c>
      <c r="O17" s="295">
        <v>240</v>
      </c>
      <c r="P17" s="295">
        <v>150</v>
      </c>
      <c r="Q17" s="295">
        <v>720</v>
      </c>
      <c r="R17" s="295">
        <v>320</v>
      </c>
      <c r="S17" s="295">
        <v>160</v>
      </c>
      <c r="T17" s="295">
        <v>100</v>
      </c>
      <c r="U17" s="173" t="s">
        <v>758</v>
      </c>
      <c r="V17" s="167"/>
    </row>
    <row r="18" spans="1:22" ht="17.25" customHeight="1" x14ac:dyDescent="0.35">
      <c r="A18" s="174"/>
      <c r="B18" s="175"/>
      <c r="C18" s="175"/>
      <c r="D18" s="175"/>
      <c r="E18" s="175"/>
      <c r="F18" s="175"/>
      <c r="G18" s="321"/>
      <c r="H18" s="496" t="s">
        <v>1079</v>
      </c>
      <c r="I18" s="497"/>
      <c r="J18" s="277"/>
      <c r="K18" s="277"/>
      <c r="L18" s="296"/>
      <c r="M18" s="295"/>
      <c r="N18" s="295"/>
      <c r="O18" s="295"/>
      <c r="P18" s="295"/>
      <c r="Q18" s="295"/>
      <c r="R18" s="295"/>
      <c r="S18" s="295"/>
      <c r="T18" s="295"/>
      <c r="U18" s="173"/>
      <c r="V18" s="167"/>
    </row>
    <row r="19" spans="1:22" ht="49.5" customHeight="1" x14ac:dyDescent="0.35">
      <c r="A19" s="177"/>
      <c r="B19" s="241"/>
      <c r="C19" s="31"/>
      <c r="D19" s="31"/>
      <c r="E19" s="31"/>
      <c r="F19" s="31"/>
      <c r="G19" s="235">
        <v>11</v>
      </c>
      <c r="H19" s="31" t="s">
        <v>765</v>
      </c>
      <c r="I19" s="94">
        <v>2400</v>
      </c>
      <c r="J19" s="236"/>
      <c r="K19" s="236"/>
      <c r="L19" s="252"/>
      <c r="M19" s="236"/>
      <c r="N19" s="236"/>
      <c r="O19" s="236"/>
      <c r="P19" s="236"/>
      <c r="Q19" s="236"/>
      <c r="R19" s="236"/>
      <c r="S19" s="236"/>
      <c r="T19" s="294"/>
      <c r="U19" s="169" t="s">
        <v>766</v>
      </c>
      <c r="V19" s="167"/>
    </row>
    <row r="20" spans="1:22" ht="49.5" customHeight="1" x14ac:dyDescent="0.35">
      <c r="A20" s="177"/>
      <c r="B20" s="241"/>
      <c r="C20" s="31"/>
      <c r="D20" s="31"/>
      <c r="E20" s="31"/>
      <c r="F20" s="31"/>
      <c r="G20" s="235">
        <v>12</v>
      </c>
      <c r="H20" s="31" t="s">
        <v>767</v>
      </c>
      <c r="I20" s="91">
        <v>492</v>
      </c>
      <c r="J20" s="236"/>
      <c r="K20" s="236"/>
      <c r="L20" s="252"/>
      <c r="M20" s="236"/>
      <c r="N20" s="236"/>
      <c r="O20" s="236"/>
      <c r="P20" s="236"/>
      <c r="Q20" s="236"/>
      <c r="R20" s="236"/>
      <c r="S20" s="236"/>
      <c r="T20" s="294"/>
      <c r="U20" s="169" t="s">
        <v>768</v>
      </c>
      <c r="V20" s="167"/>
    </row>
    <row r="21" spans="1:22" ht="49.5" customHeight="1" x14ac:dyDescent="0.35">
      <c r="A21" s="177"/>
      <c r="B21" s="241"/>
      <c r="C21" s="31"/>
      <c r="D21" s="31"/>
      <c r="E21" s="31"/>
      <c r="F21" s="31"/>
      <c r="G21" s="235">
        <v>13</v>
      </c>
      <c r="H21" s="31" t="s">
        <v>769</v>
      </c>
      <c r="I21" s="91">
        <v>2400</v>
      </c>
      <c r="J21" s="236"/>
      <c r="K21" s="236"/>
      <c r="L21" s="252"/>
      <c r="M21" s="236"/>
      <c r="N21" s="236"/>
      <c r="O21" s="236"/>
      <c r="P21" s="236"/>
      <c r="Q21" s="236"/>
      <c r="R21" s="236"/>
      <c r="S21" s="236"/>
      <c r="T21" s="294"/>
      <c r="U21" s="169" t="s">
        <v>770</v>
      </c>
      <c r="V21" s="167"/>
    </row>
    <row r="22" spans="1:22" x14ac:dyDescent="0.35">
      <c r="A22" s="236">
        <v>3</v>
      </c>
      <c r="B22" s="178" t="s">
        <v>771</v>
      </c>
      <c r="C22" s="236"/>
      <c r="D22" s="236"/>
      <c r="E22" s="236"/>
      <c r="F22" s="236"/>
      <c r="G22" s="236">
        <v>4</v>
      </c>
      <c r="H22" s="13" t="s">
        <v>772</v>
      </c>
      <c r="I22" s="236"/>
      <c r="J22" s="236"/>
      <c r="K22" s="236"/>
      <c r="L22" s="252"/>
      <c r="M22" s="236"/>
      <c r="N22" s="236"/>
      <c r="O22" s="236"/>
      <c r="P22" s="236"/>
      <c r="Q22" s="236"/>
      <c r="R22" s="236"/>
      <c r="S22" s="236"/>
      <c r="T22" s="294"/>
      <c r="U22" s="170" t="s">
        <v>752</v>
      </c>
      <c r="V22" s="167"/>
    </row>
    <row r="23" spans="1:22" x14ac:dyDescent="0.35">
      <c r="A23" s="236">
        <v>4</v>
      </c>
      <c r="B23" s="156" t="s">
        <v>772</v>
      </c>
      <c r="C23" s="236"/>
      <c r="D23" s="236"/>
      <c r="E23" s="236"/>
      <c r="F23" s="236"/>
      <c r="G23" s="235"/>
      <c r="H23" s="14" t="s">
        <v>1078</v>
      </c>
      <c r="I23" s="236"/>
      <c r="J23" s="236"/>
      <c r="K23" s="236"/>
      <c r="L23" s="252"/>
      <c r="M23" s="236"/>
      <c r="N23" s="236"/>
      <c r="O23" s="236"/>
      <c r="P23" s="236"/>
      <c r="Q23" s="236"/>
      <c r="R23" s="236"/>
      <c r="S23" s="236"/>
      <c r="T23" s="294"/>
      <c r="U23" s="170" t="s">
        <v>752</v>
      </c>
      <c r="V23" s="167"/>
    </row>
    <row r="24" spans="1:22" ht="28" x14ac:dyDescent="0.35">
      <c r="A24" s="236"/>
      <c r="B24" s="179"/>
      <c r="C24" s="236"/>
      <c r="D24" s="236"/>
      <c r="E24" s="236"/>
      <c r="F24" s="236"/>
      <c r="G24" s="235" t="s">
        <v>1083</v>
      </c>
      <c r="H24" s="31" t="s">
        <v>1082</v>
      </c>
      <c r="I24" s="236"/>
      <c r="J24" s="236"/>
      <c r="K24" s="236"/>
      <c r="L24" s="252"/>
      <c r="M24" s="236"/>
      <c r="N24" s="236"/>
      <c r="O24" s="236"/>
      <c r="P24" s="236"/>
      <c r="Q24" s="236"/>
      <c r="R24" s="236"/>
      <c r="S24" s="236"/>
      <c r="T24" s="294"/>
      <c r="U24" s="170"/>
      <c r="V24" s="167"/>
    </row>
    <row r="25" spans="1:22" x14ac:dyDescent="0.35">
      <c r="A25" s="236"/>
      <c r="B25" s="179"/>
      <c r="C25" s="236"/>
      <c r="D25" s="236"/>
      <c r="E25" s="236"/>
      <c r="F25" s="236"/>
      <c r="G25" s="235"/>
      <c r="H25" s="496" t="s">
        <v>1079</v>
      </c>
      <c r="I25" s="497"/>
      <c r="J25" s="236"/>
      <c r="K25" s="236"/>
      <c r="L25" s="252"/>
      <c r="M25" s="236"/>
      <c r="N25" s="236"/>
      <c r="O25" s="236"/>
      <c r="P25" s="236"/>
      <c r="Q25" s="236"/>
      <c r="R25" s="236"/>
      <c r="S25" s="236"/>
      <c r="T25" s="294"/>
      <c r="U25" s="170"/>
      <c r="V25" s="167"/>
    </row>
    <row r="26" spans="1:22" x14ac:dyDescent="0.35">
      <c r="A26" s="236"/>
      <c r="B26" s="179"/>
      <c r="C26" s="236"/>
      <c r="D26" s="236"/>
      <c r="E26" s="236"/>
      <c r="F26" s="236"/>
      <c r="G26" s="235" t="s">
        <v>1084</v>
      </c>
      <c r="H26" s="31" t="s">
        <v>1085</v>
      </c>
      <c r="I26" s="31"/>
      <c r="J26" s="236"/>
      <c r="K26" s="236"/>
      <c r="L26" s="252"/>
      <c r="M26" s="236"/>
      <c r="N26" s="236"/>
      <c r="O26" s="236"/>
      <c r="P26" s="236"/>
      <c r="Q26" s="236"/>
      <c r="R26" s="236"/>
      <c r="S26" s="236"/>
      <c r="T26" s="294"/>
      <c r="U26" s="170"/>
      <c r="V26" s="167"/>
    </row>
    <row r="27" spans="1:22" x14ac:dyDescent="0.35">
      <c r="A27" s="236"/>
      <c r="B27" s="179"/>
      <c r="C27" s="236"/>
      <c r="D27" s="236"/>
      <c r="E27" s="236"/>
      <c r="F27" s="236"/>
      <c r="G27" s="235" t="s">
        <v>1086</v>
      </c>
      <c r="H27" s="31" t="s">
        <v>1087</v>
      </c>
      <c r="I27" s="91">
        <v>3800</v>
      </c>
      <c r="J27" s="236"/>
      <c r="K27" s="236"/>
      <c r="L27" s="252"/>
      <c r="M27" s="236"/>
      <c r="N27" s="236"/>
      <c r="O27" s="236"/>
      <c r="P27" s="236"/>
      <c r="Q27" s="236"/>
      <c r="R27" s="236"/>
      <c r="S27" s="236"/>
      <c r="T27" s="294"/>
      <c r="U27" s="170"/>
      <c r="V27" s="167"/>
    </row>
    <row r="28" spans="1:22" x14ac:dyDescent="0.35">
      <c r="A28" s="236"/>
      <c r="B28" s="179"/>
      <c r="C28" s="236"/>
      <c r="D28" s="236"/>
      <c r="E28" s="236"/>
      <c r="F28" s="236"/>
      <c r="G28" s="235" t="s">
        <v>1088</v>
      </c>
      <c r="H28" s="31" t="s">
        <v>1089</v>
      </c>
      <c r="I28" s="91">
        <v>3600</v>
      </c>
      <c r="J28" s="236"/>
      <c r="K28" s="236"/>
      <c r="L28" s="252"/>
      <c r="M28" s="236"/>
      <c r="N28" s="236"/>
      <c r="O28" s="236"/>
      <c r="P28" s="236"/>
      <c r="Q28" s="236"/>
      <c r="R28" s="236"/>
      <c r="S28" s="236"/>
      <c r="T28" s="294"/>
      <c r="U28" s="170"/>
      <c r="V28" s="167"/>
    </row>
    <row r="29" spans="1:22" x14ac:dyDescent="0.35">
      <c r="A29" s="236"/>
      <c r="B29" s="179"/>
      <c r="C29" s="236"/>
      <c r="D29" s="236"/>
      <c r="E29" s="236"/>
      <c r="F29" s="236"/>
      <c r="G29" s="235" t="s">
        <v>1090</v>
      </c>
      <c r="H29" s="31" t="s">
        <v>1091</v>
      </c>
      <c r="I29" s="91">
        <v>3500</v>
      </c>
      <c r="J29" s="236"/>
      <c r="K29" s="236"/>
      <c r="L29" s="252"/>
      <c r="M29" s="236"/>
      <c r="N29" s="236"/>
      <c r="O29" s="236"/>
      <c r="P29" s="236"/>
      <c r="Q29" s="236"/>
      <c r="R29" s="236"/>
      <c r="S29" s="236"/>
      <c r="T29" s="294"/>
      <c r="U29" s="170"/>
      <c r="V29" s="167"/>
    </row>
    <row r="30" spans="1:22" x14ac:dyDescent="0.35">
      <c r="A30" s="236">
        <v>5</v>
      </c>
      <c r="B30" s="179" t="s">
        <v>773</v>
      </c>
      <c r="C30" s="236"/>
      <c r="D30" s="236"/>
      <c r="E30" s="236"/>
      <c r="F30" s="236"/>
      <c r="G30" s="236">
        <v>5</v>
      </c>
      <c r="H30" s="179" t="s">
        <v>773</v>
      </c>
      <c r="I30" s="236"/>
      <c r="J30" s="236"/>
      <c r="K30" s="236"/>
      <c r="L30" s="252"/>
      <c r="M30" s="236"/>
      <c r="N30" s="236"/>
      <c r="O30" s="236"/>
      <c r="P30" s="236"/>
      <c r="Q30" s="236"/>
      <c r="R30" s="236"/>
      <c r="S30" s="236"/>
      <c r="T30" s="294"/>
      <c r="U30" s="169"/>
      <c r="V30" s="167"/>
    </row>
    <row r="31" spans="1:22" ht="70" hidden="1" x14ac:dyDescent="0.35">
      <c r="A31" s="172">
        <v>1</v>
      </c>
      <c r="B31" s="138" t="s">
        <v>774</v>
      </c>
      <c r="C31" s="180">
        <v>2500</v>
      </c>
      <c r="D31" s="181">
        <v>350</v>
      </c>
      <c r="E31" s="181">
        <v>500</v>
      </c>
      <c r="F31" s="181">
        <v>380</v>
      </c>
      <c r="G31" s="172">
        <v>1</v>
      </c>
      <c r="H31" s="138" t="s">
        <v>774</v>
      </c>
      <c r="I31" s="32">
        <v>2500</v>
      </c>
      <c r="J31" s="238">
        <v>1000</v>
      </c>
      <c r="K31" s="238">
        <v>250</v>
      </c>
      <c r="L31" s="297">
        <v>200</v>
      </c>
      <c r="M31" s="238"/>
      <c r="N31" s="238"/>
      <c r="O31" s="238"/>
      <c r="P31" s="238"/>
      <c r="Q31" s="238"/>
      <c r="R31" s="238"/>
      <c r="S31" s="238"/>
      <c r="T31" s="294"/>
      <c r="U31" s="169" t="s">
        <v>775</v>
      </c>
      <c r="V31" s="167" t="s">
        <v>551</v>
      </c>
    </row>
    <row r="32" spans="1:22" ht="75.400000000000006" hidden="1" customHeight="1" x14ac:dyDescent="0.35">
      <c r="A32" s="183">
        <v>45659</v>
      </c>
      <c r="B32" s="138" t="s">
        <v>776</v>
      </c>
      <c r="C32" s="180">
        <v>2500</v>
      </c>
      <c r="D32" s="181">
        <v>1000</v>
      </c>
      <c r="E32" s="181">
        <v>500</v>
      </c>
      <c r="F32" s="181">
        <v>380</v>
      </c>
      <c r="G32" s="183">
        <v>45659</v>
      </c>
      <c r="H32" s="138" t="s">
        <v>776</v>
      </c>
      <c r="I32" s="32">
        <v>2500</v>
      </c>
      <c r="J32" s="238">
        <v>1000</v>
      </c>
      <c r="K32" s="238">
        <v>250</v>
      </c>
      <c r="L32" s="297">
        <v>200</v>
      </c>
      <c r="M32" s="238"/>
      <c r="N32" s="238"/>
      <c r="O32" s="238"/>
      <c r="P32" s="238"/>
      <c r="Q32" s="238"/>
      <c r="R32" s="238"/>
      <c r="S32" s="238"/>
      <c r="T32" s="294"/>
      <c r="U32" s="169" t="s">
        <v>777</v>
      </c>
      <c r="V32" s="167" t="s">
        <v>551</v>
      </c>
    </row>
    <row r="33" spans="1:22" ht="42" hidden="1" x14ac:dyDescent="0.35">
      <c r="A33" s="62" t="s">
        <v>778</v>
      </c>
      <c r="B33" s="53" t="s">
        <v>779</v>
      </c>
      <c r="C33" s="184">
        <v>500</v>
      </c>
      <c r="D33" s="185">
        <v>350</v>
      </c>
      <c r="E33" s="185">
        <v>250</v>
      </c>
      <c r="F33" s="185">
        <v>200</v>
      </c>
      <c r="G33" s="62" t="s">
        <v>778</v>
      </c>
      <c r="H33" s="53" t="s">
        <v>779</v>
      </c>
      <c r="I33" s="298">
        <v>400</v>
      </c>
      <c r="J33" s="268">
        <v>350</v>
      </c>
      <c r="K33" s="268">
        <v>250</v>
      </c>
      <c r="L33" s="160">
        <v>200</v>
      </c>
      <c r="M33" s="253"/>
      <c r="N33" s="253"/>
      <c r="O33" s="253"/>
      <c r="P33" s="253"/>
      <c r="Q33" s="253"/>
      <c r="R33" s="253"/>
      <c r="S33" s="253"/>
      <c r="T33" s="294"/>
      <c r="U33" s="169" t="s">
        <v>780</v>
      </c>
      <c r="V33" s="167" t="s">
        <v>781</v>
      </c>
    </row>
    <row r="34" spans="1:22" ht="42" hidden="1" x14ac:dyDescent="0.35">
      <c r="A34" s="62" t="s">
        <v>143</v>
      </c>
      <c r="B34" s="53" t="s">
        <v>782</v>
      </c>
      <c r="C34" s="189">
        <v>500</v>
      </c>
      <c r="D34" s="190">
        <v>350</v>
      </c>
      <c r="E34" s="185">
        <v>250</v>
      </c>
      <c r="F34" s="185">
        <v>200</v>
      </c>
      <c r="G34" s="62" t="s">
        <v>143</v>
      </c>
      <c r="H34" s="53" t="s">
        <v>782</v>
      </c>
      <c r="I34" s="299">
        <v>380</v>
      </c>
      <c r="J34" s="159">
        <v>350</v>
      </c>
      <c r="K34" s="268">
        <v>250</v>
      </c>
      <c r="L34" s="160">
        <v>200</v>
      </c>
      <c r="M34" s="253"/>
      <c r="N34" s="253"/>
      <c r="O34" s="253"/>
      <c r="P34" s="253"/>
      <c r="Q34" s="253"/>
      <c r="R34" s="253"/>
      <c r="S34" s="253"/>
      <c r="T34" s="294"/>
      <c r="U34" s="169" t="s">
        <v>783</v>
      </c>
      <c r="V34" s="167" t="s">
        <v>781</v>
      </c>
    </row>
    <row r="35" spans="1:22" ht="28" hidden="1" x14ac:dyDescent="0.35">
      <c r="A35" s="62" t="s">
        <v>784</v>
      </c>
      <c r="B35" s="53" t="s">
        <v>785</v>
      </c>
      <c r="C35" s="189">
        <v>500</v>
      </c>
      <c r="D35" s="190">
        <v>350</v>
      </c>
      <c r="E35" s="190">
        <v>250</v>
      </c>
      <c r="F35" s="185">
        <v>200</v>
      </c>
      <c r="G35" s="62" t="s">
        <v>784</v>
      </c>
      <c r="H35" s="53"/>
      <c r="I35" s="300"/>
      <c r="J35" s="159"/>
      <c r="K35" s="159"/>
      <c r="L35" s="160"/>
      <c r="M35" s="253"/>
      <c r="N35" s="253"/>
      <c r="O35" s="253"/>
      <c r="P35" s="253"/>
      <c r="Q35" s="253"/>
      <c r="R35" s="253"/>
      <c r="S35" s="253"/>
      <c r="T35" s="294"/>
      <c r="U35" s="169" t="s">
        <v>786</v>
      </c>
      <c r="V35" s="167" t="s">
        <v>781</v>
      </c>
    </row>
    <row r="36" spans="1:22" ht="56" hidden="1" x14ac:dyDescent="0.35">
      <c r="A36" s="62" t="s">
        <v>787</v>
      </c>
      <c r="B36" s="192" t="s">
        <v>788</v>
      </c>
      <c r="C36" s="189">
        <v>500</v>
      </c>
      <c r="D36" s="190">
        <v>350</v>
      </c>
      <c r="E36" s="185">
        <v>250</v>
      </c>
      <c r="F36" s="185">
        <v>200</v>
      </c>
      <c r="G36" s="62" t="s">
        <v>787</v>
      </c>
      <c r="H36" s="192" t="s">
        <v>788</v>
      </c>
      <c r="I36" s="301">
        <v>380</v>
      </c>
      <c r="J36" s="302">
        <v>350</v>
      </c>
      <c r="K36" s="303">
        <v>250</v>
      </c>
      <c r="L36" s="160">
        <v>200</v>
      </c>
      <c r="M36" s="253"/>
      <c r="N36" s="253"/>
      <c r="O36" s="253"/>
      <c r="P36" s="253"/>
      <c r="Q36" s="253"/>
      <c r="R36" s="253"/>
      <c r="S36" s="253"/>
      <c r="T36" s="294"/>
      <c r="U36" s="169" t="s">
        <v>789</v>
      </c>
      <c r="V36" s="167" t="s">
        <v>781</v>
      </c>
    </row>
    <row r="37" spans="1:22" ht="42" hidden="1" x14ac:dyDescent="0.35">
      <c r="A37" s="196" t="s">
        <v>790</v>
      </c>
      <c r="B37" s="239" t="s">
        <v>791</v>
      </c>
      <c r="C37" s="197">
        <v>380</v>
      </c>
      <c r="D37" s="190">
        <v>350</v>
      </c>
      <c r="E37" s="185">
        <v>250</v>
      </c>
      <c r="F37" s="185">
        <v>200</v>
      </c>
      <c r="G37" s="198" t="s">
        <v>790</v>
      </c>
      <c r="H37" s="38" t="s">
        <v>791</v>
      </c>
      <c r="I37" s="304">
        <v>300</v>
      </c>
      <c r="J37" s="89">
        <v>350</v>
      </c>
      <c r="K37" s="253">
        <v>250</v>
      </c>
      <c r="L37" s="305">
        <v>200</v>
      </c>
      <c r="M37" s="253"/>
      <c r="N37" s="253"/>
      <c r="O37" s="253"/>
      <c r="P37" s="253"/>
      <c r="Q37" s="253"/>
      <c r="R37" s="253"/>
      <c r="S37" s="253"/>
      <c r="T37" s="294"/>
      <c r="U37" s="169" t="s">
        <v>792</v>
      </c>
      <c r="V37" s="167" t="s">
        <v>781</v>
      </c>
    </row>
    <row r="38" spans="1:22" hidden="1" x14ac:dyDescent="0.35">
      <c r="A38" s="202">
        <v>6</v>
      </c>
      <c r="B38" s="179" t="s">
        <v>793</v>
      </c>
      <c r="C38" s="202"/>
      <c r="D38" s="236"/>
      <c r="E38" s="236"/>
      <c r="F38" s="236"/>
      <c r="G38" s="235"/>
      <c r="H38" s="235"/>
      <c r="I38" s="236"/>
      <c r="J38" s="236"/>
      <c r="K38" s="236"/>
      <c r="L38" s="252"/>
      <c r="M38" s="236"/>
      <c r="N38" s="236"/>
      <c r="O38" s="236"/>
      <c r="P38" s="236"/>
      <c r="Q38" s="236"/>
      <c r="R38" s="236"/>
      <c r="S38" s="236"/>
      <c r="T38" s="294"/>
      <c r="U38" s="170" t="s">
        <v>752</v>
      </c>
      <c r="V38" s="167"/>
    </row>
    <row r="39" spans="1:22" hidden="1" x14ac:dyDescent="0.35">
      <c r="A39" s="236">
        <v>7</v>
      </c>
      <c r="B39" s="179" t="s">
        <v>794</v>
      </c>
      <c r="C39" s="236"/>
      <c r="D39" s="236"/>
      <c r="E39" s="236"/>
      <c r="F39" s="236"/>
      <c r="G39" s="235"/>
      <c r="H39" s="235"/>
      <c r="I39" s="236"/>
      <c r="J39" s="236"/>
      <c r="K39" s="236"/>
      <c r="L39" s="252"/>
      <c r="M39" s="236"/>
      <c r="N39" s="236"/>
      <c r="O39" s="236"/>
      <c r="P39" s="236"/>
      <c r="Q39" s="236"/>
      <c r="R39" s="236"/>
      <c r="S39" s="236"/>
      <c r="T39" s="294"/>
      <c r="U39" s="170" t="s">
        <v>752</v>
      </c>
      <c r="V39" s="167"/>
    </row>
    <row r="40" spans="1:22" hidden="1" x14ac:dyDescent="0.35">
      <c r="A40" s="236">
        <v>8</v>
      </c>
      <c r="B40" s="203" t="s">
        <v>795</v>
      </c>
      <c r="C40" s="236"/>
      <c r="D40" s="236"/>
      <c r="E40" s="236"/>
      <c r="F40" s="236"/>
      <c r="G40" s="235"/>
      <c r="H40" s="235"/>
      <c r="I40" s="236"/>
      <c r="J40" s="236"/>
      <c r="K40" s="236"/>
      <c r="L40" s="252"/>
      <c r="M40" s="236"/>
      <c r="N40" s="236"/>
      <c r="O40" s="236"/>
      <c r="P40" s="236"/>
      <c r="Q40" s="236"/>
      <c r="R40" s="236"/>
      <c r="S40" s="236"/>
      <c r="T40" s="294"/>
      <c r="U40" s="170" t="s">
        <v>752</v>
      </c>
      <c r="V40" s="167"/>
    </row>
    <row r="41" spans="1:22" hidden="1" x14ac:dyDescent="0.35">
      <c r="A41" s="204">
        <v>9</v>
      </c>
      <c r="B41" s="205" t="s">
        <v>796</v>
      </c>
      <c r="C41" s="204"/>
      <c r="D41" s="204"/>
      <c r="E41" s="204"/>
      <c r="F41" s="204"/>
      <c r="G41" s="235"/>
      <c r="H41" s="235"/>
      <c r="I41" s="236"/>
      <c r="J41" s="236"/>
      <c r="K41" s="236"/>
      <c r="L41" s="252"/>
      <c r="M41" s="236"/>
      <c r="N41" s="236"/>
      <c r="O41" s="236"/>
      <c r="P41" s="236"/>
      <c r="Q41" s="236"/>
      <c r="R41" s="236"/>
      <c r="S41" s="236"/>
      <c r="T41" s="294"/>
      <c r="U41" s="170" t="s">
        <v>22</v>
      </c>
      <c r="V41" s="167"/>
    </row>
    <row r="42" spans="1:22" x14ac:dyDescent="0.35">
      <c r="A42" s="204"/>
      <c r="B42" s="320"/>
      <c r="C42" s="204"/>
      <c r="D42" s="204"/>
      <c r="E42" s="204"/>
      <c r="F42" s="204"/>
      <c r="G42" s="321"/>
      <c r="H42" s="496" t="s">
        <v>1079</v>
      </c>
      <c r="I42" s="497"/>
      <c r="J42" s="204"/>
      <c r="K42" s="204"/>
      <c r="L42" s="252"/>
      <c r="M42" s="236"/>
      <c r="N42" s="236"/>
      <c r="O42" s="236"/>
      <c r="P42" s="236"/>
      <c r="Q42" s="236"/>
      <c r="R42" s="236"/>
      <c r="S42" s="236"/>
      <c r="T42" s="294"/>
      <c r="U42" s="170"/>
      <c r="V42" s="167"/>
    </row>
    <row r="43" spans="1:22" ht="45.25" customHeight="1" x14ac:dyDescent="0.35">
      <c r="A43" s="236"/>
      <c r="B43" s="206"/>
      <c r="C43" s="206"/>
      <c r="D43" s="206"/>
      <c r="E43" s="206"/>
      <c r="F43" s="236"/>
      <c r="G43" s="238">
        <v>14</v>
      </c>
      <c r="H43" s="243" t="s">
        <v>797</v>
      </c>
      <c r="I43" s="244">
        <v>2500</v>
      </c>
      <c r="J43" s="244"/>
      <c r="K43" s="244"/>
      <c r="L43" s="252"/>
      <c r="M43" s="236"/>
      <c r="N43" s="236"/>
      <c r="O43" s="236"/>
      <c r="P43" s="236"/>
      <c r="Q43" s="236"/>
      <c r="R43" s="236"/>
      <c r="S43" s="236"/>
      <c r="T43" s="294"/>
      <c r="U43" s="207" t="s">
        <v>798</v>
      </c>
      <c r="V43" s="167"/>
    </row>
    <row r="44" spans="1:22" ht="45.25" customHeight="1" x14ac:dyDescent="0.35">
      <c r="A44" s="236"/>
      <c r="B44" s="206"/>
      <c r="C44" s="206"/>
      <c r="D44" s="206"/>
      <c r="E44" s="206"/>
      <c r="F44" s="236"/>
      <c r="G44" s="238">
        <v>15</v>
      </c>
      <c r="H44" s="243" t="s">
        <v>799</v>
      </c>
      <c r="I44" s="245"/>
      <c r="J44" s="245"/>
      <c r="K44" s="245"/>
      <c r="L44" s="252"/>
      <c r="M44" s="236"/>
      <c r="N44" s="236"/>
      <c r="O44" s="236"/>
      <c r="P44" s="236"/>
      <c r="Q44" s="236"/>
      <c r="R44" s="236"/>
      <c r="S44" s="236"/>
      <c r="T44" s="294"/>
      <c r="U44" s="207"/>
      <c r="V44" s="167"/>
    </row>
    <row r="45" spans="1:22" ht="45.25" customHeight="1" x14ac:dyDescent="0.35">
      <c r="A45" s="236"/>
      <c r="B45" s="206"/>
      <c r="C45" s="206"/>
      <c r="D45" s="206"/>
      <c r="E45" s="206"/>
      <c r="F45" s="236"/>
      <c r="G45" s="238" t="s">
        <v>738</v>
      </c>
      <c r="H45" s="138" t="s">
        <v>800</v>
      </c>
      <c r="I45" s="245">
        <v>3000</v>
      </c>
      <c r="J45" s="245"/>
      <c r="K45" s="245"/>
      <c r="L45" s="252"/>
      <c r="M45" s="236"/>
      <c r="N45" s="236"/>
      <c r="O45" s="236"/>
      <c r="P45" s="236"/>
      <c r="Q45" s="236"/>
      <c r="R45" s="236"/>
      <c r="S45" s="236"/>
      <c r="T45" s="294"/>
      <c r="U45" s="207" t="s">
        <v>801</v>
      </c>
      <c r="V45" s="167"/>
    </row>
    <row r="46" spans="1:22" ht="45.25" customHeight="1" x14ac:dyDescent="0.35">
      <c r="A46" s="236"/>
      <c r="B46" s="206"/>
      <c r="C46" s="206"/>
      <c r="D46" s="206"/>
      <c r="E46" s="206"/>
      <c r="F46" s="236"/>
      <c r="G46" s="238" t="s">
        <v>739</v>
      </c>
      <c r="H46" s="138" t="s">
        <v>79</v>
      </c>
      <c r="I46" s="32">
        <v>2500</v>
      </c>
      <c r="J46" s="32"/>
      <c r="K46" s="32"/>
      <c r="L46" s="252"/>
      <c r="M46" s="236"/>
      <c r="N46" s="236"/>
      <c r="O46" s="236"/>
      <c r="P46" s="236"/>
      <c r="Q46" s="236"/>
      <c r="R46" s="236"/>
      <c r="S46" s="236"/>
      <c r="T46" s="294"/>
      <c r="U46" s="207" t="s">
        <v>802</v>
      </c>
      <c r="V46" s="167"/>
    </row>
    <row r="47" spans="1:22" x14ac:dyDescent="0.35">
      <c r="A47" s="236">
        <v>10</v>
      </c>
      <c r="B47" s="156" t="s">
        <v>803</v>
      </c>
      <c r="C47" s="236"/>
      <c r="D47" s="236"/>
      <c r="E47" s="236"/>
      <c r="F47" s="236"/>
      <c r="G47" s="236">
        <v>10</v>
      </c>
      <c r="H47" s="156" t="s">
        <v>803</v>
      </c>
      <c r="I47" s="236"/>
      <c r="J47" s="236"/>
      <c r="K47" s="236"/>
      <c r="L47" s="252"/>
      <c r="M47" s="236"/>
      <c r="N47" s="236"/>
      <c r="O47" s="236"/>
      <c r="P47" s="236"/>
      <c r="Q47" s="236"/>
      <c r="R47" s="236"/>
      <c r="S47" s="236"/>
      <c r="T47" s="294"/>
      <c r="V47" s="208" t="s">
        <v>804</v>
      </c>
    </row>
    <row r="48" spans="1:22" x14ac:dyDescent="0.35">
      <c r="A48" s="322"/>
      <c r="B48" s="156"/>
      <c r="C48" s="322"/>
      <c r="D48" s="322"/>
      <c r="E48" s="322"/>
      <c r="F48" s="322"/>
      <c r="G48" s="236"/>
      <c r="H48" s="14" t="s">
        <v>1078</v>
      </c>
      <c r="I48" s="322"/>
      <c r="J48" s="322"/>
      <c r="K48" s="322"/>
      <c r="L48" s="322"/>
      <c r="M48" s="236"/>
      <c r="N48" s="236"/>
      <c r="O48" s="236"/>
      <c r="P48" s="236"/>
      <c r="Q48" s="236"/>
      <c r="R48" s="236"/>
      <c r="S48" s="236"/>
      <c r="T48" s="294"/>
      <c r="V48" s="323"/>
    </row>
    <row r="49" spans="1:23" ht="84" customHeight="1" x14ac:dyDescent="0.35">
      <c r="A49" s="209" t="s">
        <v>805</v>
      </c>
      <c r="B49" s="158" t="s">
        <v>806</v>
      </c>
      <c r="C49" s="61">
        <v>1500</v>
      </c>
      <c r="D49" s="61">
        <v>1000</v>
      </c>
      <c r="E49" s="60">
        <v>600</v>
      </c>
      <c r="F49" s="60">
        <v>400</v>
      </c>
      <c r="G49" s="209" t="s">
        <v>805</v>
      </c>
      <c r="H49" s="158" t="s">
        <v>807</v>
      </c>
      <c r="I49" s="61">
        <v>1500</v>
      </c>
      <c r="J49" s="61">
        <v>1000</v>
      </c>
      <c r="K49" s="60">
        <v>600</v>
      </c>
      <c r="L49" s="257">
        <v>400</v>
      </c>
      <c r="M49" s="295">
        <v>900</v>
      </c>
      <c r="N49" s="295">
        <v>600</v>
      </c>
      <c r="O49" s="295">
        <v>360</v>
      </c>
      <c r="P49" s="295">
        <v>240</v>
      </c>
      <c r="Q49" s="295">
        <v>600</v>
      </c>
      <c r="R49" s="295">
        <v>400</v>
      </c>
      <c r="S49" s="295">
        <v>240</v>
      </c>
      <c r="T49" s="295">
        <v>160</v>
      </c>
      <c r="U49" s="169" t="s">
        <v>808</v>
      </c>
      <c r="V49" s="167" t="s">
        <v>809</v>
      </c>
    </row>
    <row r="50" spans="1:23" ht="101.25" customHeight="1" x14ac:dyDescent="0.35">
      <c r="A50" s="209" t="s">
        <v>810</v>
      </c>
      <c r="B50" s="53" t="s">
        <v>811</v>
      </c>
      <c r="C50" s="61">
        <v>13000</v>
      </c>
      <c r="D50" s="61">
        <v>9000</v>
      </c>
      <c r="E50" s="61">
        <v>7000</v>
      </c>
      <c r="F50" s="61">
        <v>2000</v>
      </c>
      <c r="G50" s="209" t="s">
        <v>810</v>
      </c>
      <c r="H50" s="53" t="s">
        <v>812</v>
      </c>
      <c r="I50" s="61">
        <v>13000</v>
      </c>
      <c r="J50" s="61">
        <v>9000</v>
      </c>
      <c r="K50" s="61">
        <v>7000</v>
      </c>
      <c r="L50" s="211">
        <v>2000</v>
      </c>
      <c r="M50" s="295">
        <v>7800</v>
      </c>
      <c r="N50" s="295">
        <v>5400</v>
      </c>
      <c r="O50" s="295">
        <v>4200</v>
      </c>
      <c r="P50" s="295">
        <v>1200</v>
      </c>
      <c r="Q50" s="295">
        <v>5200</v>
      </c>
      <c r="R50" s="295">
        <v>3600</v>
      </c>
      <c r="S50" s="295">
        <v>2800</v>
      </c>
      <c r="T50" s="295">
        <v>800</v>
      </c>
      <c r="U50" s="169" t="s">
        <v>808</v>
      </c>
      <c r="V50" s="167" t="s">
        <v>809</v>
      </c>
    </row>
    <row r="51" spans="1:23" ht="87" customHeight="1" x14ac:dyDescent="0.35">
      <c r="A51" s="209" t="s">
        <v>813</v>
      </c>
      <c r="B51" s="53" t="s">
        <v>814</v>
      </c>
      <c r="C51" s="61">
        <v>9000</v>
      </c>
      <c r="D51" s="61">
        <v>7000</v>
      </c>
      <c r="E51" s="61">
        <v>5000</v>
      </c>
      <c r="F51" s="61">
        <v>2000</v>
      </c>
      <c r="G51" s="209" t="s">
        <v>813</v>
      </c>
      <c r="H51" s="53" t="s">
        <v>815</v>
      </c>
      <c r="I51" s="61">
        <v>9000</v>
      </c>
      <c r="J51" s="61">
        <v>7000</v>
      </c>
      <c r="K51" s="61">
        <v>5000</v>
      </c>
      <c r="L51" s="211">
        <v>2000</v>
      </c>
      <c r="M51" s="295">
        <v>5400</v>
      </c>
      <c r="N51" s="295">
        <v>4200</v>
      </c>
      <c r="O51" s="295">
        <v>3000</v>
      </c>
      <c r="P51" s="295">
        <v>1200</v>
      </c>
      <c r="Q51" s="295">
        <v>3600</v>
      </c>
      <c r="R51" s="295">
        <v>2800</v>
      </c>
      <c r="S51" s="295">
        <v>2000</v>
      </c>
      <c r="T51" s="295">
        <v>800</v>
      </c>
      <c r="U51" s="169" t="s">
        <v>808</v>
      </c>
      <c r="V51" s="167" t="s">
        <v>809</v>
      </c>
    </row>
    <row r="52" spans="1:23" ht="80.25" customHeight="1" x14ac:dyDescent="0.35">
      <c r="A52" s="209" t="s">
        <v>816</v>
      </c>
      <c r="B52" s="53" t="s">
        <v>817</v>
      </c>
      <c r="C52" s="61">
        <v>7000</v>
      </c>
      <c r="D52" s="61">
        <v>4000</v>
      </c>
      <c r="E52" s="61">
        <v>2000</v>
      </c>
      <c r="F52" s="61">
        <v>1000</v>
      </c>
      <c r="G52" s="209" t="s">
        <v>816</v>
      </c>
      <c r="H52" s="53" t="s">
        <v>818</v>
      </c>
      <c r="I52" s="61">
        <v>7000</v>
      </c>
      <c r="J52" s="61">
        <v>4000</v>
      </c>
      <c r="K52" s="61">
        <v>2000</v>
      </c>
      <c r="L52" s="211">
        <v>1000</v>
      </c>
      <c r="M52" s="295">
        <v>4200</v>
      </c>
      <c r="N52" s="295">
        <v>2400</v>
      </c>
      <c r="O52" s="295">
        <v>1200</v>
      </c>
      <c r="P52" s="295">
        <v>600</v>
      </c>
      <c r="Q52" s="295">
        <v>2800</v>
      </c>
      <c r="R52" s="295">
        <v>1600</v>
      </c>
      <c r="S52" s="295">
        <v>800</v>
      </c>
      <c r="T52" s="295">
        <v>400</v>
      </c>
      <c r="U52" s="169" t="s">
        <v>808</v>
      </c>
      <c r="V52" s="167" t="s">
        <v>809</v>
      </c>
    </row>
    <row r="53" spans="1:23" ht="70.75" customHeight="1" x14ac:dyDescent="0.35">
      <c r="A53" s="209" t="s">
        <v>740</v>
      </c>
      <c r="B53" s="158" t="s">
        <v>819</v>
      </c>
      <c r="C53" s="61">
        <v>11000</v>
      </c>
      <c r="D53" s="60"/>
      <c r="E53" s="60"/>
      <c r="F53" s="60"/>
      <c r="G53" s="209" t="s">
        <v>740</v>
      </c>
      <c r="H53" s="158" t="s">
        <v>820</v>
      </c>
      <c r="I53" s="61">
        <v>11000</v>
      </c>
      <c r="J53" s="60"/>
      <c r="K53" s="60"/>
      <c r="L53" s="257"/>
      <c r="M53" s="237"/>
      <c r="N53" s="237"/>
      <c r="O53" s="237"/>
      <c r="P53" s="237"/>
      <c r="Q53" s="237"/>
      <c r="R53" s="237"/>
      <c r="S53" s="237"/>
      <c r="T53" s="294"/>
      <c r="U53" s="169" t="s">
        <v>808</v>
      </c>
      <c r="V53" s="167" t="s">
        <v>809</v>
      </c>
    </row>
    <row r="54" spans="1:23" hidden="1" x14ac:dyDescent="0.35">
      <c r="A54" s="236">
        <v>11</v>
      </c>
      <c r="B54" s="156" t="s">
        <v>821</v>
      </c>
      <c r="C54" s="236"/>
      <c r="D54" s="236"/>
      <c r="E54" s="236"/>
      <c r="F54" s="236"/>
      <c r="G54" s="236">
        <v>11</v>
      </c>
      <c r="H54" s="156" t="s">
        <v>821</v>
      </c>
      <c r="I54" s="236"/>
      <c r="J54" s="236"/>
      <c r="K54" s="236"/>
      <c r="L54" s="252"/>
      <c r="M54" s="236"/>
      <c r="N54" s="236"/>
      <c r="O54" s="236"/>
      <c r="P54" s="236"/>
      <c r="Q54" s="236"/>
      <c r="R54" s="236"/>
      <c r="S54" s="236"/>
      <c r="T54" s="294"/>
      <c r="U54" s="170" t="s">
        <v>752</v>
      </c>
      <c r="V54" s="167"/>
    </row>
    <row r="55" spans="1:23" x14ac:dyDescent="0.35">
      <c r="A55" s="236">
        <v>12</v>
      </c>
      <c r="B55" s="156" t="s">
        <v>822</v>
      </c>
      <c r="C55" s="204"/>
      <c r="D55" s="204"/>
      <c r="E55" s="204"/>
      <c r="F55" s="204"/>
      <c r="G55" s="204">
        <v>12</v>
      </c>
      <c r="H55" s="205" t="s">
        <v>823</v>
      </c>
      <c r="I55" s="204"/>
      <c r="J55" s="204"/>
      <c r="K55" s="204"/>
      <c r="L55" s="252"/>
      <c r="M55" s="236"/>
      <c r="N55" s="236"/>
      <c r="O55" s="236"/>
      <c r="P55" s="236"/>
      <c r="Q55" s="236"/>
      <c r="R55" s="236"/>
      <c r="S55" s="236"/>
      <c r="T55" s="294"/>
      <c r="U55" s="169"/>
      <c r="V55" s="167"/>
    </row>
    <row r="56" spans="1:23" x14ac:dyDescent="0.35">
      <c r="A56" s="322"/>
      <c r="B56" s="320"/>
      <c r="C56" s="204"/>
      <c r="D56" s="204"/>
      <c r="E56" s="204"/>
      <c r="F56" s="204"/>
      <c r="G56" s="236"/>
      <c r="H56" s="14" t="s">
        <v>1078</v>
      </c>
      <c r="I56" s="204"/>
      <c r="J56" s="204"/>
      <c r="K56" s="204"/>
      <c r="L56" s="252"/>
      <c r="M56" s="236"/>
      <c r="N56" s="236"/>
      <c r="O56" s="236"/>
      <c r="P56" s="236"/>
      <c r="Q56" s="236"/>
      <c r="R56" s="236"/>
      <c r="S56" s="236"/>
      <c r="T56" s="294"/>
      <c r="U56" s="213"/>
      <c r="V56" s="167"/>
    </row>
    <row r="57" spans="1:23" ht="42" x14ac:dyDescent="0.35">
      <c r="A57" s="234" t="s">
        <v>824</v>
      </c>
      <c r="B57" s="212" t="s">
        <v>825</v>
      </c>
      <c r="C57" s="235">
        <v>1100</v>
      </c>
      <c r="D57" s="236"/>
      <c r="E57" s="236"/>
      <c r="F57" s="236"/>
      <c r="G57" s="235" t="s">
        <v>824</v>
      </c>
      <c r="H57" s="31" t="s">
        <v>826</v>
      </c>
      <c r="I57" s="235">
        <v>1100</v>
      </c>
      <c r="J57" s="236"/>
      <c r="K57" s="236"/>
      <c r="L57" s="252"/>
      <c r="M57" s="295">
        <v>660</v>
      </c>
      <c r="N57" s="295"/>
      <c r="O57" s="295"/>
      <c r="P57" s="295"/>
      <c r="Q57" s="295">
        <v>440</v>
      </c>
      <c r="R57" s="236"/>
      <c r="S57" s="236"/>
      <c r="T57" s="294"/>
      <c r="U57" s="213" t="s">
        <v>827</v>
      </c>
      <c r="V57" s="167"/>
    </row>
    <row r="58" spans="1:23" ht="49" customHeight="1" x14ac:dyDescent="0.35">
      <c r="A58" s="62" t="s">
        <v>778</v>
      </c>
      <c r="B58" s="214" t="s">
        <v>828</v>
      </c>
      <c r="C58" s="57"/>
      <c r="D58" s="141"/>
      <c r="E58" s="141"/>
      <c r="F58" s="57"/>
      <c r="G58" s="18">
        <v>3</v>
      </c>
      <c r="H58" s="31" t="s">
        <v>829</v>
      </c>
      <c r="I58" s="236"/>
      <c r="J58" s="236"/>
      <c r="K58" s="236"/>
      <c r="L58" s="252"/>
      <c r="M58" s="236"/>
      <c r="N58" s="236"/>
      <c r="O58" s="236"/>
      <c r="P58" s="236"/>
      <c r="Q58" s="236"/>
      <c r="R58" s="236"/>
      <c r="S58" s="236"/>
      <c r="T58" s="294"/>
      <c r="U58" s="169" t="s">
        <v>830</v>
      </c>
      <c r="V58" s="167" t="s">
        <v>809</v>
      </c>
    </row>
    <row r="59" spans="1:23" ht="38.65" customHeight="1" x14ac:dyDescent="0.35">
      <c r="A59" s="215"/>
      <c r="B59" s="214"/>
      <c r="C59" s="216"/>
      <c r="D59" s="217"/>
      <c r="E59" s="217"/>
      <c r="F59" s="216"/>
      <c r="G59" s="218">
        <v>6</v>
      </c>
      <c r="H59" s="31" t="s">
        <v>831</v>
      </c>
      <c r="I59" s="219">
        <v>1900</v>
      </c>
      <c r="J59" s="202"/>
      <c r="K59" s="202"/>
      <c r="L59" s="252"/>
      <c r="M59" s="236"/>
      <c r="N59" s="236"/>
      <c r="O59" s="236"/>
      <c r="P59" s="236"/>
      <c r="Q59" s="236"/>
      <c r="R59" s="236"/>
      <c r="S59" s="236"/>
      <c r="T59" s="294"/>
      <c r="U59" s="169" t="s">
        <v>832</v>
      </c>
      <c r="V59" s="167" t="s">
        <v>106</v>
      </c>
      <c r="W59" s="220"/>
    </row>
    <row r="60" spans="1:23" x14ac:dyDescent="0.35">
      <c r="A60" s="204">
        <v>13</v>
      </c>
      <c r="B60" s="205" t="s">
        <v>833</v>
      </c>
      <c r="C60" s="221"/>
      <c r="D60" s="221"/>
      <c r="E60" s="221"/>
      <c r="F60" s="221"/>
      <c r="G60" s="221">
        <v>13</v>
      </c>
      <c r="H60" s="222" t="s">
        <v>833</v>
      </c>
      <c r="I60" s="221"/>
      <c r="J60" s="221"/>
      <c r="K60" s="221"/>
      <c r="L60" s="223"/>
      <c r="M60" s="236"/>
      <c r="N60" s="236"/>
      <c r="O60" s="236"/>
      <c r="P60" s="236"/>
      <c r="Q60" s="236"/>
      <c r="R60" s="236"/>
      <c r="S60" s="236"/>
      <c r="T60" s="294"/>
      <c r="U60" s="169"/>
      <c r="V60" s="167"/>
    </row>
    <row r="61" spans="1:23" x14ac:dyDescent="0.35">
      <c r="A61" s="204"/>
      <c r="B61" s="320"/>
      <c r="C61" s="221"/>
      <c r="D61" s="221"/>
      <c r="E61" s="221"/>
      <c r="F61" s="221"/>
      <c r="G61" s="236"/>
      <c r="H61" s="14" t="s">
        <v>1080</v>
      </c>
      <c r="I61" s="221"/>
      <c r="J61" s="221"/>
      <c r="K61" s="221"/>
      <c r="L61" s="223"/>
      <c r="M61" s="236"/>
      <c r="N61" s="236"/>
      <c r="O61" s="236"/>
      <c r="P61" s="236"/>
      <c r="Q61" s="236"/>
      <c r="R61" s="236"/>
      <c r="S61" s="236"/>
      <c r="T61" s="294"/>
      <c r="U61" s="169"/>
      <c r="V61" s="167"/>
    </row>
    <row r="62" spans="1:23" ht="42" x14ac:dyDescent="0.35">
      <c r="A62" s="235" t="s">
        <v>759</v>
      </c>
      <c r="B62" s="38" t="s">
        <v>834</v>
      </c>
      <c r="C62" s="18">
        <v>5000</v>
      </c>
      <c r="D62" s="18">
        <v>400</v>
      </c>
      <c r="E62" s="18">
        <v>320</v>
      </c>
      <c r="F62" s="18">
        <v>260</v>
      </c>
      <c r="G62" s="235">
        <v>1.7</v>
      </c>
      <c r="H62" s="238" t="s">
        <v>835</v>
      </c>
      <c r="I62" s="18">
        <v>5000</v>
      </c>
      <c r="J62" s="18">
        <v>400</v>
      </c>
      <c r="K62" s="18">
        <v>320</v>
      </c>
      <c r="L62" s="30">
        <v>260</v>
      </c>
      <c r="M62" s="295">
        <v>3000</v>
      </c>
      <c r="N62" s="295">
        <v>240</v>
      </c>
      <c r="O62" s="295">
        <v>190</v>
      </c>
      <c r="P62" s="295">
        <v>160</v>
      </c>
      <c r="Q62" s="295">
        <v>2000</v>
      </c>
      <c r="R62" s="295">
        <v>160</v>
      </c>
      <c r="S62" s="295">
        <v>130</v>
      </c>
      <c r="T62" s="295">
        <v>100</v>
      </c>
      <c r="U62" s="169" t="s">
        <v>836</v>
      </c>
      <c r="V62" s="167" t="s">
        <v>837</v>
      </c>
    </row>
    <row r="63" spans="1:23" hidden="1" x14ac:dyDescent="0.35">
      <c r="A63" s="202">
        <v>14</v>
      </c>
      <c r="B63" s="178" t="s">
        <v>838</v>
      </c>
      <c r="C63" s="202"/>
      <c r="D63" s="202"/>
      <c r="E63" s="202"/>
      <c r="F63" s="202"/>
      <c r="G63" s="202">
        <v>14</v>
      </c>
      <c r="H63" s="178" t="s">
        <v>838</v>
      </c>
      <c r="I63" s="202"/>
      <c r="J63" s="202"/>
      <c r="K63" s="202"/>
      <c r="L63" s="224"/>
      <c r="M63" s="236"/>
      <c r="N63" s="236"/>
      <c r="O63" s="236"/>
      <c r="P63" s="236"/>
      <c r="Q63" s="236"/>
      <c r="R63" s="236"/>
      <c r="S63" s="236"/>
      <c r="T63" s="294"/>
      <c r="U63" s="170" t="s">
        <v>752</v>
      </c>
      <c r="V63" s="167"/>
    </row>
    <row r="64" spans="1:23" x14ac:dyDescent="0.35">
      <c r="A64" s="204">
        <v>15</v>
      </c>
      <c r="B64" s="205" t="s">
        <v>839</v>
      </c>
      <c r="C64" s="204"/>
      <c r="D64" s="204"/>
      <c r="E64" s="204"/>
      <c r="F64" s="204"/>
      <c r="G64" s="204">
        <v>15</v>
      </c>
      <c r="H64" s="205" t="s">
        <v>839</v>
      </c>
      <c r="I64" s="204"/>
      <c r="J64" s="204"/>
      <c r="K64" s="204"/>
      <c r="L64" s="223"/>
      <c r="M64" s="236"/>
      <c r="N64" s="236"/>
      <c r="O64" s="236"/>
      <c r="P64" s="236"/>
      <c r="Q64" s="236"/>
      <c r="R64" s="236"/>
      <c r="S64" s="236"/>
      <c r="T64" s="294"/>
      <c r="U64" s="225"/>
      <c r="V64" s="167"/>
    </row>
    <row r="65" spans="1:22" x14ac:dyDescent="0.35">
      <c r="A65" s="204"/>
      <c r="B65" s="320"/>
      <c r="C65" s="204"/>
      <c r="D65" s="204"/>
      <c r="E65" s="204"/>
      <c r="F65" s="204"/>
      <c r="G65" s="321"/>
      <c r="H65" s="496" t="s">
        <v>1079</v>
      </c>
      <c r="I65" s="497"/>
      <c r="J65" s="204"/>
      <c r="K65" s="204"/>
      <c r="L65" s="223"/>
      <c r="M65" s="236"/>
      <c r="N65" s="236"/>
      <c r="O65" s="236"/>
      <c r="P65" s="236"/>
      <c r="Q65" s="236"/>
      <c r="R65" s="236"/>
      <c r="S65" s="236"/>
      <c r="T65" s="294"/>
      <c r="U65" s="225"/>
      <c r="V65" s="167"/>
    </row>
    <row r="66" spans="1:22" s="206" customFormat="1" ht="28.9" customHeight="1" x14ac:dyDescent="0.35">
      <c r="A66" s="236"/>
      <c r="B66" s="13"/>
      <c r="C66" s="236"/>
      <c r="D66" s="236"/>
      <c r="E66" s="236"/>
      <c r="F66" s="236"/>
      <c r="G66" s="235">
        <v>13</v>
      </c>
      <c r="H66" s="38" t="s">
        <v>840</v>
      </c>
      <c r="I66" s="236"/>
      <c r="J66" s="236"/>
      <c r="K66" s="236"/>
      <c r="L66" s="252"/>
      <c r="M66" s="236"/>
      <c r="N66" s="236"/>
      <c r="O66" s="236"/>
      <c r="P66" s="236"/>
      <c r="Q66" s="236"/>
      <c r="R66" s="236"/>
      <c r="S66" s="236"/>
      <c r="T66" s="306"/>
      <c r="U66" s="246"/>
      <c r="V66" s="22"/>
    </row>
    <row r="67" spans="1:22" s="206" customFormat="1" ht="140" x14ac:dyDescent="0.35">
      <c r="A67" s="236"/>
      <c r="B67" s="13"/>
      <c r="C67" s="236"/>
      <c r="D67" s="236"/>
      <c r="E67" s="236"/>
      <c r="F67" s="236"/>
      <c r="G67" s="235" t="s">
        <v>841</v>
      </c>
      <c r="H67" s="38" t="s">
        <v>842</v>
      </c>
      <c r="I67" s="18">
        <v>3300</v>
      </c>
      <c r="J67" s="236"/>
      <c r="K67" s="236"/>
      <c r="L67" s="252"/>
      <c r="M67" s="236"/>
      <c r="N67" s="236"/>
      <c r="O67" s="236"/>
      <c r="P67" s="236"/>
      <c r="Q67" s="236"/>
      <c r="R67" s="236"/>
      <c r="S67" s="236"/>
      <c r="T67" s="306"/>
      <c r="U67" s="169" t="s">
        <v>843</v>
      </c>
      <c r="V67" s="22"/>
    </row>
    <row r="68" spans="1:22" s="206" customFormat="1" ht="140" x14ac:dyDescent="0.35">
      <c r="A68" s="236"/>
      <c r="B68" s="13"/>
      <c r="C68" s="236"/>
      <c r="D68" s="236"/>
      <c r="E68" s="236"/>
      <c r="F68" s="236"/>
      <c r="G68" s="235" t="s">
        <v>844</v>
      </c>
      <c r="H68" s="38" t="s">
        <v>845</v>
      </c>
      <c r="I68" s="18">
        <v>3500</v>
      </c>
      <c r="J68" s="236"/>
      <c r="K68" s="236"/>
      <c r="L68" s="252"/>
      <c r="M68" s="236"/>
      <c r="N68" s="236"/>
      <c r="O68" s="236"/>
      <c r="P68" s="236"/>
      <c r="Q68" s="236"/>
      <c r="R68" s="236"/>
      <c r="S68" s="236"/>
      <c r="T68" s="306"/>
      <c r="U68" s="169" t="s">
        <v>846</v>
      </c>
      <c r="V68" s="22"/>
    </row>
    <row r="69" spans="1:22" s="206" customFormat="1" ht="140" x14ac:dyDescent="0.35">
      <c r="A69" s="236"/>
      <c r="B69" s="13"/>
      <c r="C69" s="236"/>
      <c r="D69" s="236"/>
      <c r="E69" s="236"/>
      <c r="F69" s="236"/>
      <c r="G69" s="235" t="s">
        <v>847</v>
      </c>
      <c r="H69" s="38" t="s">
        <v>848</v>
      </c>
      <c r="I69" s="18">
        <v>3800</v>
      </c>
      <c r="J69" s="236"/>
      <c r="K69" s="236"/>
      <c r="L69" s="252"/>
      <c r="M69" s="236"/>
      <c r="N69" s="236"/>
      <c r="O69" s="236"/>
      <c r="P69" s="236"/>
      <c r="Q69" s="236"/>
      <c r="R69" s="236"/>
      <c r="S69" s="236"/>
      <c r="T69" s="306"/>
      <c r="U69" s="169" t="s">
        <v>849</v>
      </c>
      <c r="V69" s="22"/>
    </row>
    <row r="70" spans="1:22" x14ac:dyDescent="0.35">
      <c r="A70" s="221">
        <v>16</v>
      </c>
      <c r="B70" s="226" t="s">
        <v>850</v>
      </c>
      <c r="C70" s="221"/>
      <c r="D70" s="221"/>
      <c r="E70" s="221"/>
      <c r="F70" s="221"/>
      <c r="G70" s="221">
        <v>16</v>
      </c>
      <c r="H70" s="226" t="s">
        <v>850</v>
      </c>
      <c r="I70" s="202"/>
      <c r="J70" s="202"/>
      <c r="K70" s="202"/>
      <c r="L70" s="224"/>
      <c r="M70" s="236"/>
      <c r="N70" s="236"/>
      <c r="O70" s="236"/>
      <c r="P70" s="236"/>
      <c r="Q70" s="236"/>
      <c r="R70" s="236"/>
      <c r="S70" s="236"/>
      <c r="T70" s="294"/>
      <c r="U70" s="227"/>
      <c r="V70" s="167"/>
    </row>
    <row r="71" spans="1:22" hidden="1" x14ac:dyDescent="0.35">
      <c r="A71" s="235">
        <v>2</v>
      </c>
      <c r="B71" s="228" t="s">
        <v>851</v>
      </c>
      <c r="C71" s="236"/>
      <c r="D71" s="236"/>
      <c r="E71" s="236"/>
      <c r="F71" s="236"/>
      <c r="G71" s="235">
        <v>2</v>
      </c>
      <c r="H71" s="228" t="s">
        <v>851</v>
      </c>
      <c r="I71" s="236"/>
      <c r="J71" s="236"/>
      <c r="K71" s="236"/>
      <c r="L71" s="252"/>
      <c r="M71" s="236"/>
      <c r="N71" s="236"/>
      <c r="O71" s="236"/>
      <c r="P71" s="236"/>
      <c r="Q71" s="236"/>
      <c r="R71" s="236"/>
      <c r="S71" s="236"/>
      <c r="T71" s="294"/>
      <c r="U71" s="213"/>
      <c r="V71" s="167"/>
    </row>
    <row r="72" spans="1:22" ht="42" hidden="1" x14ac:dyDescent="0.35">
      <c r="A72" s="19" t="s">
        <v>165</v>
      </c>
      <c r="B72" s="38" t="s">
        <v>852</v>
      </c>
      <c r="C72" s="28">
        <v>600</v>
      </c>
      <c r="D72" s="27">
        <v>450</v>
      </c>
      <c r="E72" s="27">
        <v>300</v>
      </c>
      <c r="F72" s="27">
        <v>250</v>
      </c>
      <c r="G72" s="19" t="s">
        <v>165</v>
      </c>
      <c r="H72" s="38" t="s">
        <v>853</v>
      </c>
      <c r="I72" s="28">
        <v>600</v>
      </c>
      <c r="J72" s="27">
        <v>450</v>
      </c>
      <c r="K72" s="27">
        <v>300</v>
      </c>
      <c r="L72" s="307">
        <v>250</v>
      </c>
      <c r="M72" s="27"/>
      <c r="N72" s="27"/>
      <c r="O72" s="27"/>
      <c r="P72" s="27"/>
      <c r="Q72" s="27"/>
      <c r="R72" s="27"/>
      <c r="S72" s="27"/>
      <c r="T72" s="294"/>
      <c r="U72" s="213" t="s">
        <v>854</v>
      </c>
      <c r="V72" s="167" t="s">
        <v>809</v>
      </c>
    </row>
    <row r="73" spans="1:22" x14ac:dyDescent="0.35">
      <c r="A73" s="19"/>
      <c r="B73" s="38"/>
      <c r="C73" s="28"/>
      <c r="D73" s="27"/>
      <c r="E73" s="27"/>
      <c r="F73" s="27"/>
      <c r="G73" s="236"/>
      <c r="H73" s="14" t="s">
        <v>1078</v>
      </c>
      <c r="I73" s="28"/>
      <c r="J73" s="27"/>
      <c r="K73" s="27"/>
      <c r="L73" s="307"/>
      <c r="M73" s="27"/>
      <c r="N73" s="27"/>
      <c r="O73" s="27"/>
      <c r="P73" s="27"/>
      <c r="Q73" s="27"/>
      <c r="R73" s="27"/>
      <c r="S73" s="27"/>
      <c r="T73" s="294"/>
      <c r="U73" s="213"/>
      <c r="V73" s="167"/>
    </row>
    <row r="74" spans="1:22" ht="42" x14ac:dyDescent="0.35">
      <c r="A74" s="19" t="s">
        <v>143</v>
      </c>
      <c r="B74" s="31" t="s">
        <v>855</v>
      </c>
      <c r="C74" s="28">
        <v>8000</v>
      </c>
      <c r="D74" s="40"/>
      <c r="E74" s="40"/>
      <c r="F74" s="40"/>
      <c r="G74" s="19" t="s">
        <v>143</v>
      </c>
      <c r="H74" s="149" t="s">
        <v>856</v>
      </c>
      <c r="I74" s="28">
        <v>8000</v>
      </c>
      <c r="J74" s="27"/>
      <c r="K74" s="27"/>
      <c r="L74" s="307"/>
      <c r="M74" s="295">
        <v>4800</v>
      </c>
      <c r="N74" s="295"/>
      <c r="O74" s="295"/>
      <c r="P74" s="295"/>
      <c r="Q74" s="295">
        <v>3200</v>
      </c>
      <c r="R74" s="27"/>
      <c r="S74" s="27"/>
      <c r="T74" s="294"/>
      <c r="U74" s="213" t="s">
        <v>120</v>
      </c>
      <c r="V74" s="167" t="s">
        <v>781</v>
      </c>
    </row>
    <row r="75" spans="1:22" ht="42" x14ac:dyDescent="0.35">
      <c r="A75" s="19" t="s">
        <v>787</v>
      </c>
      <c r="B75" s="31" t="s">
        <v>857</v>
      </c>
      <c r="C75" s="28">
        <v>300</v>
      </c>
      <c r="D75" s="40"/>
      <c r="E75" s="40"/>
      <c r="F75" s="40"/>
      <c r="G75" s="19" t="s">
        <v>787</v>
      </c>
      <c r="H75" s="38" t="s">
        <v>858</v>
      </c>
      <c r="I75" s="28">
        <v>300</v>
      </c>
      <c r="J75" s="27"/>
      <c r="K75" s="27"/>
      <c r="L75" s="307"/>
      <c r="M75" s="295">
        <v>180</v>
      </c>
      <c r="N75" s="295"/>
      <c r="O75" s="295"/>
      <c r="P75" s="295"/>
      <c r="Q75" s="295">
        <v>120</v>
      </c>
      <c r="R75" s="27"/>
      <c r="S75" s="27"/>
      <c r="T75" s="294"/>
      <c r="U75" s="213" t="s">
        <v>120</v>
      </c>
      <c r="V75" s="167"/>
    </row>
    <row r="76" spans="1:22" x14ac:dyDescent="0.35">
      <c r="A76" s="19"/>
      <c r="B76" s="31"/>
      <c r="C76" s="28"/>
      <c r="D76" s="40"/>
      <c r="E76" s="40"/>
      <c r="F76" s="40"/>
      <c r="G76" s="321"/>
      <c r="H76" s="496" t="s">
        <v>1079</v>
      </c>
      <c r="I76" s="497"/>
      <c r="J76" s="27"/>
      <c r="K76" s="27"/>
      <c r="L76" s="307"/>
      <c r="M76" s="295"/>
      <c r="N76" s="295"/>
      <c r="O76" s="295"/>
      <c r="P76" s="295"/>
      <c r="Q76" s="295"/>
      <c r="R76" s="27"/>
      <c r="S76" s="27"/>
      <c r="T76" s="294"/>
      <c r="U76" s="213"/>
      <c r="V76" s="167"/>
    </row>
    <row r="77" spans="1:22" ht="70" x14ac:dyDescent="0.35">
      <c r="A77" s="19"/>
      <c r="B77" s="31"/>
      <c r="C77" s="28"/>
      <c r="D77" s="40"/>
      <c r="E77" s="40"/>
      <c r="F77" s="40"/>
      <c r="G77" s="19" t="s">
        <v>591</v>
      </c>
      <c r="H77" s="38" t="s">
        <v>859</v>
      </c>
      <c r="I77" s="28">
        <v>2000</v>
      </c>
      <c r="J77" s="28">
        <v>1500</v>
      </c>
      <c r="K77" s="28">
        <v>1000</v>
      </c>
      <c r="L77" s="230">
        <v>500</v>
      </c>
      <c r="M77" s="308">
        <v>1500</v>
      </c>
      <c r="N77" s="308">
        <v>900</v>
      </c>
      <c r="O77" s="308">
        <v>600</v>
      </c>
      <c r="P77" s="308">
        <v>180</v>
      </c>
      <c r="Q77" s="308">
        <v>1000</v>
      </c>
      <c r="R77" s="308">
        <v>600</v>
      </c>
      <c r="S77" s="308">
        <v>400</v>
      </c>
      <c r="T77" s="308">
        <v>120</v>
      </c>
      <c r="U77" s="231" t="s">
        <v>860</v>
      </c>
      <c r="V77" s="167" t="s">
        <v>551</v>
      </c>
    </row>
    <row r="78" spans="1:22" ht="70" x14ac:dyDescent="0.35">
      <c r="A78" s="19"/>
      <c r="B78" s="31"/>
      <c r="C78" s="28"/>
      <c r="D78" s="40"/>
      <c r="E78" s="40"/>
      <c r="F78" s="40"/>
      <c r="G78" s="19" t="s">
        <v>323</v>
      </c>
      <c r="H78" s="38" t="s">
        <v>861</v>
      </c>
      <c r="I78" s="28">
        <v>300</v>
      </c>
      <c r="J78" s="28"/>
      <c r="K78" s="28"/>
      <c r="L78" s="230"/>
      <c r="M78" s="295">
        <v>180</v>
      </c>
      <c r="N78" s="295"/>
      <c r="O78" s="295"/>
      <c r="P78" s="295"/>
      <c r="Q78" s="295">
        <v>120</v>
      </c>
      <c r="R78" s="28"/>
      <c r="S78" s="28"/>
      <c r="T78" s="294"/>
      <c r="U78" s="231" t="s">
        <v>862</v>
      </c>
      <c r="V78" s="167" t="s">
        <v>551</v>
      </c>
    </row>
    <row r="79" spans="1:22" ht="70" x14ac:dyDescent="0.35">
      <c r="A79" s="19"/>
      <c r="B79" s="31"/>
      <c r="C79" s="28"/>
      <c r="D79" s="40"/>
      <c r="E79" s="40"/>
      <c r="F79" s="40"/>
      <c r="G79" s="19" t="s">
        <v>741</v>
      </c>
      <c r="H79" s="38" t="s">
        <v>863</v>
      </c>
      <c r="I79" s="28">
        <v>300</v>
      </c>
      <c r="J79" s="28"/>
      <c r="K79" s="28"/>
      <c r="L79" s="230"/>
      <c r="M79" s="295">
        <v>180</v>
      </c>
      <c r="N79" s="295"/>
      <c r="O79" s="295"/>
      <c r="P79" s="295"/>
      <c r="Q79" s="295">
        <v>120</v>
      </c>
      <c r="R79" s="28"/>
      <c r="S79" s="28"/>
      <c r="T79" s="294"/>
      <c r="U79" s="231" t="s">
        <v>864</v>
      </c>
      <c r="V79" s="167" t="s">
        <v>551</v>
      </c>
    </row>
    <row r="80" spans="1:22" hidden="1" x14ac:dyDescent="0.35">
      <c r="A80" s="236">
        <v>17</v>
      </c>
      <c r="B80" s="13" t="s">
        <v>865</v>
      </c>
      <c r="C80" s="236"/>
      <c r="D80" s="236"/>
      <c r="E80" s="236"/>
      <c r="F80" s="236"/>
      <c r="G80" s="235"/>
      <c r="H80" s="235"/>
      <c r="I80" s="236"/>
      <c r="J80" s="236"/>
      <c r="K80" s="236"/>
      <c r="L80" s="236"/>
      <c r="M80" s="236"/>
      <c r="N80" s="236"/>
      <c r="O80" s="236"/>
      <c r="P80" s="236"/>
      <c r="Q80" s="236"/>
      <c r="R80" s="236"/>
      <c r="S80" s="236"/>
      <c r="T80" s="236"/>
      <c r="U80" s="208" t="s">
        <v>752</v>
      </c>
      <c r="V80" s="167"/>
    </row>
    <row r="81" spans="1:22" hidden="1" x14ac:dyDescent="0.35">
      <c r="A81" s="236">
        <v>18</v>
      </c>
      <c r="B81" s="13" t="s">
        <v>866</v>
      </c>
      <c r="C81" s="236"/>
      <c r="D81" s="236"/>
      <c r="E81" s="236"/>
      <c r="F81" s="236"/>
      <c r="G81" s="235"/>
      <c r="H81" s="235"/>
      <c r="I81" s="236"/>
      <c r="J81" s="236"/>
      <c r="K81" s="236"/>
      <c r="L81" s="236"/>
      <c r="M81" s="236"/>
      <c r="N81" s="236"/>
      <c r="O81" s="236"/>
      <c r="P81" s="236"/>
      <c r="Q81" s="236"/>
      <c r="R81" s="236"/>
      <c r="S81" s="236"/>
      <c r="T81" s="236"/>
      <c r="U81" s="208" t="s">
        <v>22</v>
      </c>
      <c r="V81" s="167"/>
    </row>
    <row r="82" spans="1:22" hidden="1" x14ac:dyDescent="0.35">
      <c r="A82" s="202">
        <v>19</v>
      </c>
      <c r="B82" s="178" t="s">
        <v>867</v>
      </c>
      <c r="C82" s="202"/>
      <c r="D82" s="202"/>
      <c r="E82" s="202"/>
      <c r="F82" s="202"/>
      <c r="G82" s="219"/>
      <c r="H82" s="235"/>
      <c r="I82" s="236"/>
      <c r="J82" s="236"/>
      <c r="K82" s="236"/>
      <c r="L82" s="236"/>
      <c r="M82" s="236"/>
      <c r="N82" s="236"/>
      <c r="O82" s="236"/>
      <c r="P82" s="236"/>
      <c r="Q82" s="236"/>
      <c r="R82" s="236"/>
      <c r="S82" s="236"/>
      <c r="T82" s="236"/>
      <c r="U82" s="208" t="s">
        <v>22</v>
      </c>
      <c r="V82" s="167"/>
    </row>
    <row r="83" spans="1:22" hidden="1" x14ac:dyDescent="0.35">
      <c r="A83" s="236">
        <v>20</v>
      </c>
      <c r="B83" s="156" t="s">
        <v>868</v>
      </c>
      <c r="C83" s="236"/>
      <c r="D83" s="236"/>
      <c r="E83" s="236"/>
      <c r="F83" s="236"/>
      <c r="G83" s="235"/>
      <c r="H83" s="235"/>
      <c r="I83" s="236"/>
      <c r="J83" s="236"/>
      <c r="K83" s="236"/>
      <c r="L83" s="236"/>
      <c r="M83" s="236"/>
      <c r="N83" s="236"/>
      <c r="O83" s="236"/>
      <c r="P83" s="236"/>
      <c r="Q83" s="236"/>
      <c r="R83" s="236"/>
      <c r="S83" s="236"/>
      <c r="T83" s="236"/>
      <c r="U83" s="208" t="s">
        <v>752</v>
      </c>
      <c r="V83" s="167"/>
    </row>
    <row r="84" spans="1:22" hidden="1" x14ac:dyDescent="0.35">
      <c r="A84" s="236">
        <v>21</v>
      </c>
      <c r="B84" s="156" t="s">
        <v>869</v>
      </c>
      <c r="C84" s="236"/>
      <c r="D84" s="236"/>
      <c r="E84" s="236"/>
      <c r="F84" s="236"/>
      <c r="G84" s="235"/>
      <c r="H84" s="235"/>
      <c r="I84" s="236"/>
      <c r="J84" s="236"/>
      <c r="K84" s="236"/>
      <c r="L84" s="236"/>
      <c r="M84" s="236"/>
      <c r="N84" s="236"/>
      <c r="O84" s="236"/>
      <c r="P84" s="236"/>
      <c r="Q84" s="236"/>
      <c r="R84" s="236"/>
      <c r="S84" s="236"/>
      <c r="T84" s="236"/>
      <c r="U84" s="208" t="s">
        <v>752</v>
      </c>
      <c r="V84" s="167"/>
    </row>
    <row r="85" spans="1:22" hidden="1" x14ac:dyDescent="0.35">
      <c r="A85" s="236">
        <v>54</v>
      </c>
      <c r="B85" s="156" t="s">
        <v>870</v>
      </c>
      <c r="C85" s="236"/>
      <c r="D85" s="236"/>
      <c r="E85" s="236"/>
      <c r="F85" s="236"/>
      <c r="G85" s="235"/>
      <c r="H85" s="235"/>
      <c r="I85" s="236"/>
      <c r="J85" s="236"/>
      <c r="K85" s="236"/>
      <c r="L85" s="236"/>
      <c r="M85" s="236"/>
      <c r="N85" s="236"/>
      <c r="O85" s="236"/>
      <c r="P85" s="236"/>
      <c r="Q85" s="236"/>
      <c r="R85" s="236"/>
      <c r="S85" s="236"/>
      <c r="T85" s="236"/>
      <c r="U85" s="208" t="s">
        <v>22</v>
      </c>
      <c r="V85" s="167"/>
    </row>
    <row r="86" spans="1:22" hidden="1" x14ac:dyDescent="0.35">
      <c r="G86" s="247">
        <v>53</v>
      </c>
      <c r="H86" s="208" t="s">
        <v>735</v>
      </c>
    </row>
    <row r="87" spans="1:22" hidden="1" x14ac:dyDescent="0.35">
      <c r="G87" s="19">
        <v>1</v>
      </c>
      <c r="H87" s="38" t="s">
        <v>743</v>
      </c>
      <c r="I87" s="237"/>
      <c r="J87" s="237"/>
      <c r="K87" s="237"/>
      <c r="L87" s="237"/>
      <c r="M87" s="237"/>
      <c r="N87" s="237"/>
      <c r="O87" s="237"/>
      <c r="P87" s="237"/>
      <c r="Q87" s="237"/>
      <c r="R87" s="237"/>
      <c r="S87" s="237"/>
      <c r="T87" s="237"/>
    </row>
    <row r="88" spans="1:22" ht="28" hidden="1" x14ac:dyDescent="0.35">
      <c r="G88" s="19" t="s">
        <v>729</v>
      </c>
      <c r="H88" s="38" t="s">
        <v>873</v>
      </c>
      <c r="I88" s="237">
        <v>3300</v>
      </c>
      <c r="J88" s="237">
        <v>2300</v>
      </c>
      <c r="K88" s="237">
        <v>1200</v>
      </c>
      <c r="L88" s="237">
        <v>700</v>
      </c>
      <c r="M88" s="237">
        <v>1980</v>
      </c>
      <c r="N88" s="237">
        <v>1380</v>
      </c>
      <c r="O88" s="237">
        <v>720</v>
      </c>
      <c r="P88" s="237">
        <v>420</v>
      </c>
      <c r="Q88" s="237">
        <v>1200</v>
      </c>
      <c r="R88" s="237">
        <v>920</v>
      </c>
      <c r="S88" s="237">
        <v>480</v>
      </c>
      <c r="T88" s="237">
        <v>300</v>
      </c>
    </row>
    <row r="89" spans="1:22" ht="28" hidden="1" x14ac:dyDescent="0.35">
      <c r="G89" s="19" t="s">
        <v>202</v>
      </c>
      <c r="H89" s="38" t="s">
        <v>874</v>
      </c>
      <c r="I89" s="237">
        <v>3000</v>
      </c>
      <c r="J89" s="237">
        <v>2300</v>
      </c>
      <c r="K89" s="237">
        <v>1200</v>
      </c>
      <c r="L89" s="237">
        <v>700</v>
      </c>
      <c r="M89" s="237">
        <v>1800</v>
      </c>
      <c r="N89" s="237">
        <v>1380</v>
      </c>
      <c r="O89" s="237">
        <v>720</v>
      </c>
      <c r="P89" s="237">
        <v>420</v>
      </c>
      <c r="Q89" s="237">
        <v>1200</v>
      </c>
      <c r="R89" s="237">
        <v>920</v>
      </c>
      <c r="S89" s="237">
        <v>540</v>
      </c>
      <c r="T89" s="237">
        <v>300</v>
      </c>
    </row>
    <row r="90" spans="1:22" hidden="1" x14ac:dyDescent="0.35">
      <c r="G90" s="19">
        <v>2</v>
      </c>
      <c r="H90" s="38" t="s">
        <v>736</v>
      </c>
      <c r="I90" s="237"/>
      <c r="J90" s="237"/>
      <c r="K90" s="237"/>
      <c r="L90" s="237"/>
      <c r="M90" s="237"/>
      <c r="N90" s="237"/>
      <c r="O90" s="237"/>
      <c r="P90" s="237"/>
      <c r="Q90" s="237"/>
      <c r="R90" s="237"/>
      <c r="S90" s="237"/>
      <c r="T90" s="237"/>
    </row>
    <row r="91" spans="1:22" ht="42" hidden="1" x14ac:dyDescent="0.35">
      <c r="G91" s="19" t="s">
        <v>890</v>
      </c>
      <c r="H91" s="38" t="s">
        <v>875</v>
      </c>
      <c r="I91" s="237">
        <v>3800</v>
      </c>
      <c r="J91" s="237">
        <v>1400</v>
      </c>
      <c r="K91" s="237">
        <v>1000</v>
      </c>
      <c r="L91" s="237">
        <v>700</v>
      </c>
      <c r="M91" s="237">
        <v>2280</v>
      </c>
      <c r="N91" s="237">
        <v>840</v>
      </c>
      <c r="O91" s="237">
        <v>600</v>
      </c>
      <c r="P91" s="237">
        <v>420</v>
      </c>
      <c r="Q91" s="237">
        <v>1520</v>
      </c>
      <c r="R91" s="237">
        <v>600</v>
      </c>
      <c r="S91" s="237">
        <v>420</v>
      </c>
      <c r="T91" s="237">
        <v>300</v>
      </c>
    </row>
    <row r="92" spans="1:22" ht="42" hidden="1" x14ac:dyDescent="0.35">
      <c r="G92" s="19" t="s">
        <v>891</v>
      </c>
      <c r="H92" s="38" t="s">
        <v>876</v>
      </c>
      <c r="I92" s="237">
        <v>5000</v>
      </c>
      <c r="J92" s="237">
        <v>1400</v>
      </c>
      <c r="K92" s="237">
        <v>1000</v>
      </c>
      <c r="L92" s="237">
        <v>700</v>
      </c>
      <c r="M92" s="237">
        <v>3000</v>
      </c>
      <c r="N92" s="237">
        <v>840</v>
      </c>
      <c r="O92" s="237">
        <v>600</v>
      </c>
      <c r="P92" s="237">
        <v>420</v>
      </c>
      <c r="Q92" s="237">
        <v>2000</v>
      </c>
      <c r="R92" s="237">
        <v>560</v>
      </c>
      <c r="S92" s="237">
        <v>400</v>
      </c>
      <c r="T92" s="237">
        <v>280</v>
      </c>
    </row>
    <row r="93" spans="1:22" hidden="1" x14ac:dyDescent="0.35">
      <c r="G93" s="19">
        <v>3</v>
      </c>
      <c r="H93" s="38" t="s">
        <v>737</v>
      </c>
      <c r="I93" s="237">
        <v>6100</v>
      </c>
      <c r="J93" s="237">
        <v>3000</v>
      </c>
      <c r="K93" s="237">
        <v>2300</v>
      </c>
      <c r="L93" s="237">
        <v>1200</v>
      </c>
      <c r="M93" s="237">
        <v>3660</v>
      </c>
      <c r="N93" s="237">
        <v>1800</v>
      </c>
      <c r="O93" s="237">
        <v>1380</v>
      </c>
      <c r="P93" s="237">
        <v>720</v>
      </c>
      <c r="Q93" s="237">
        <v>2440</v>
      </c>
      <c r="R93" s="237">
        <v>1200</v>
      </c>
      <c r="S93" s="237">
        <v>920</v>
      </c>
      <c r="T93" s="237">
        <v>480</v>
      </c>
    </row>
    <row r="94" spans="1:22" ht="42" hidden="1" x14ac:dyDescent="0.35">
      <c r="G94" s="19" t="s">
        <v>892</v>
      </c>
      <c r="H94" s="38" t="s">
        <v>877</v>
      </c>
      <c r="I94" s="237">
        <v>5800</v>
      </c>
      <c r="J94" s="237">
        <v>3000</v>
      </c>
      <c r="K94" s="237">
        <v>1400</v>
      </c>
      <c r="L94" s="237">
        <v>1000</v>
      </c>
      <c r="M94" s="237">
        <v>3480</v>
      </c>
      <c r="N94" s="237">
        <v>1800</v>
      </c>
      <c r="O94" s="237">
        <v>840</v>
      </c>
      <c r="P94" s="237">
        <v>600</v>
      </c>
      <c r="Q94" s="237">
        <v>2320</v>
      </c>
      <c r="R94" s="237">
        <v>1200</v>
      </c>
      <c r="S94" s="237">
        <v>600</v>
      </c>
      <c r="T94" s="237">
        <v>400</v>
      </c>
    </row>
    <row r="95" spans="1:22" ht="42" hidden="1" x14ac:dyDescent="0.35">
      <c r="G95" s="19" t="s">
        <v>893</v>
      </c>
      <c r="H95" s="38" t="s">
        <v>878</v>
      </c>
      <c r="I95" s="237">
        <v>5000</v>
      </c>
      <c r="J95" s="237">
        <v>1400</v>
      </c>
      <c r="K95" s="237">
        <v>1000</v>
      </c>
      <c r="L95" s="237">
        <v>700</v>
      </c>
      <c r="M95" s="237">
        <v>3000</v>
      </c>
      <c r="N95" s="237">
        <v>840</v>
      </c>
      <c r="O95" s="237">
        <v>600</v>
      </c>
      <c r="P95" s="237">
        <v>420</v>
      </c>
      <c r="Q95" s="237">
        <v>2000</v>
      </c>
      <c r="R95" s="237">
        <v>560</v>
      </c>
      <c r="S95" s="237">
        <v>400</v>
      </c>
      <c r="T95" s="237">
        <v>280</v>
      </c>
    </row>
    <row r="96" spans="1:22" ht="42" hidden="1" x14ac:dyDescent="0.35">
      <c r="G96" s="19" t="s">
        <v>894</v>
      </c>
      <c r="H96" s="38" t="s">
        <v>879</v>
      </c>
      <c r="I96" s="237"/>
      <c r="J96" s="237"/>
      <c r="K96" s="237"/>
      <c r="L96" s="237"/>
      <c r="M96" s="237"/>
      <c r="N96" s="237"/>
      <c r="O96" s="237"/>
      <c r="P96" s="237"/>
      <c r="Q96" s="237"/>
      <c r="R96" s="237"/>
      <c r="S96" s="237"/>
      <c r="T96" s="237"/>
    </row>
    <row r="97" spans="7:20" ht="42" hidden="1" x14ac:dyDescent="0.35">
      <c r="G97" s="19">
        <v>4</v>
      </c>
      <c r="H97" s="38" t="s">
        <v>880</v>
      </c>
      <c r="I97" s="237">
        <v>4300</v>
      </c>
      <c r="J97" s="237">
        <v>2300</v>
      </c>
      <c r="K97" s="237">
        <v>2000</v>
      </c>
      <c r="L97" s="237">
        <v>1200</v>
      </c>
      <c r="M97" s="237">
        <v>2580</v>
      </c>
      <c r="N97" s="237">
        <v>1380</v>
      </c>
      <c r="O97" s="237">
        <v>1200</v>
      </c>
      <c r="P97" s="237">
        <v>720</v>
      </c>
      <c r="Q97" s="237">
        <v>1720</v>
      </c>
      <c r="R97" s="237">
        <v>1080</v>
      </c>
      <c r="S97" s="237">
        <v>840</v>
      </c>
      <c r="T97" s="237">
        <v>540</v>
      </c>
    </row>
    <row r="98" spans="7:20" ht="70" hidden="1" x14ac:dyDescent="0.35">
      <c r="G98" s="19">
        <v>5</v>
      </c>
      <c r="H98" s="38" t="s">
        <v>881</v>
      </c>
      <c r="I98" s="237">
        <v>4000</v>
      </c>
      <c r="J98" s="237">
        <v>2300</v>
      </c>
      <c r="K98" s="237">
        <v>2000</v>
      </c>
      <c r="L98" s="237">
        <v>1200</v>
      </c>
      <c r="M98" s="237">
        <v>2400</v>
      </c>
      <c r="N98" s="237">
        <v>1380</v>
      </c>
      <c r="O98" s="237">
        <v>1200</v>
      </c>
      <c r="P98" s="237">
        <v>720</v>
      </c>
      <c r="Q98" s="237">
        <v>1600</v>
      </c>
      <c r="R98" s="237">
        <v>920</v>
      </c>
      <c r="S98" s="237">
        <v>800</v>
      </c>
      <c r="T98" s="237">
        <v>540</v>
      </c>
    </row>
    <row r="99" spans="7:20" ht="28" hidden="1" x14ac:dyDescent="0.35">
      <c r="G99" s="19">
        <v>6</v>
      </c>
      <c r="H99" s="38" t="s">
        <v>882</v>
      </c>
      <c r="I99" s="237">
        <v>2700</v>
      </c>
      <c r="J99" s="237">
        <v>1400</v>
      </c>
      <c r="K99" s="237">
        <v>1000</v>
      </c>
      <c r="L99" s="237">
        <v>700</v>
      </c>
      <c r="M99" s="237">
        <v>1620</v>
      </c>
      <c r="N99" s="237">
        <v>840</v>
      </c>
      <c r="O99" s="237">
        <v>600</v>
      </c>
      <c r="P99" s="237">
        <v>420</v>
      </c>
      <c r="Q99" s="237">
        <v>1080</v>
      </c>
      <c r="R99" s="237">
        <v>600</v>
      </c>
      <c r="S99" s="237">
        <v>420</v>
      </c>
      <c r="T99" s="237">
        <v>300</v>
      </c>
    </row>
    <row r="100" spans="7:20" ht="28" hidden="1" x14ac:dyDescent="0.35">
      <c r="G100" s="19" t="s">
        <v>895</v>
      </c>
      <c r="H100" s="38" t="s">
        <v>883</v>
      </c>
      <c r="I100" s="237">
        <v>1800</v>
      </c>
      <c r="J100" s="237">
        <v>1400</v>
      </c>
      <c r="K100" s="237">
        <v>1000</v>
      </c>
      <c r="L100" s="237">
        <v>700</v>
      </c>
      <c r="M100" s="237">
        <v>1080</v>
      </c>
      <c r="N100" s="237">
        <v>840</v>
      </c>
      <c r="O100" s="237">
        <v>600</v>
      </c>
      <c r="P100" s="237">
        <v>420</v>
      </c>
      <c r="Q100" s="237">
        <v>720</v>
      </c>
      <c r="R100" s="237">
        <v>560</v>
      </c>
      <c r="S100" s="237">
        <v>420</v>
      </c>
      <c r="T100" s="237">
        <v>300</v>
      </c>
    </row>
    <row r="101" spans="7:20" ht="28" hidden="1" x14ac:dyDescent="0.35">
      <c r="G101" s="19" t="s">
        <v>608</v>
      </c>
      <c r="H101" s="38" t="s">
        <v>884</v>
      </c>
      <c r="I101" s="237">
        <v>300</v>
      </c>
      <c r="J101" s="237"/>
      <c r="K101" s="237">
        <v>200</v>
      </c>
      <c r="L101" s="237">
        <v>100</v>
      </c>
      <c r="M101" s="237">
        <v>240</v>
      </c>
      <c r="N101" s="237"/>
      <c r="O101" s="237">
        <v>160</v>
      </c>
      <c r="P101" s="237">
        <v>80</v>
      </c>
      <c r="Q101" s="237">
        <v>180</v>
      </c>
      <c r="R101" s="237"/>
      <c r="S101" s="237">
        <v>120</v>
      </c>
      <c r="T101" s="237">
        <v>60</v>
      </c>
    </row>
    <row r="102" spans="7:20" ht="28" hidden="1" x14ac:dyDescent="0.35">
      <c r="G102" s="19">
        <v>7</v>
      </c>
      <c r="H102" s="38" t="s">
        <v>885</v>
      </c>
      <c r="I102" s="237">
        <v>4300</v>
      </c>
      <c r="J102" s="237"/>
      <c r="K102" s="237"/>
      <c r="L102" s="237"/>
      <c r="M102" s="237">
        <v>2580</v>
      </c>
      <c r="N102" s="237"/>
      <c r="O102" s="237"/>
      <c r="P102" s="237"/>
      <c r="Q102" s="237">
        <v>1720</v>
      </c>
      <c r="R102" s="237"/>
      <c r="S102" s="237"/>
      <c r="T102" s="237"/>
    </row>
    <row r="103" spans="7:20" ht="28" hidden="1" x14ac:dyDescent="0.35">
      <c r="G103" s="19">
        <v>8</v>
      </c>
      <c r="H103" s="38" t="s">
        <v>886</v>
      </c>
      <c r="I103" s="237">
        <v>3500</v>
      </c>
      <c r="J103" s="237"/>
      <c r="K103" s="237"/>
      <c r="L103" s="237"/>
      <c r="M103" s="237">
        <v>2100</v>
      </c>
      <c r="N103" s="237"/>
      <c r="O103" s="237"/>
      <c r="P103" s="237"/>
      <c r="Q103" s="237">
        <v>1400</v>
      </c>
      <c r="R103" s="237"/>
      <c r="S103" s="237"/>
      <c r="T103" s="237"/>
    </row>
    <row r="104" spans="7:20" ht="42" hidden="1" x14ac:dyDescent="0.35">
      <c r="G104" s="19">
        <v>9</v>
      </c>
      <c r="H104" s="38" t="s">
        <v>887</v>
      </c>
      <c r="I104" s="237">
        <v>2700</v>
      </c>
      <c r="J104" s="237"/>
      <c r="K104" s="237"/>
      <c r="L104" s="237"/>
      <c r="M104" s="237">
        <v>1620</v>
      </c>
      <c r="N104" s="237"/>
      <c r="O104" s="237"/>
      <c r="P104" s="237"/>
      <c r="Q104" s="237">
        <v>1080</v>
      </c>
      <c r="R104" s="237"/>
      <c r="S104" s="237"/>
      <c r="T104" s="237"/>
    </row>
    <row r="105" spans="7:20" ht="42" hidden="1" x14ac:dyDescent="0.35">
      <c r="G105" s="19">
        <v>10</v>
      </c>
      <c r="H105" s="38" t="s">
        <v>888</v>
      </c>
      <c r="I105" s="237">
        <v>4300</v>
      </c>
      <c r="J105" s="237">
        <v>2300</v>
      </c>
      <c r="K105" s="237">
        <v>1400</v>
      </c>
      <c r="L105" s="237">
        <v>700</v>
      </c>
      <c r="M105" s="237">
        <v>2580</v>
      </c>
      <c r="N105" s="237">
        <v>1380</v>
      </c>
      <c r="O105" s="237">
        <v>840</v>
      </c>
      <c r="P105" s="237">
        <v>420</v>
      </c>
      <c r="Q105" s="237">
        <v>1720</v>
      </c>
      <c r="R105" s="237">
        <v>920</v>
      </c>
      <c r="S105" s="237">
        <v>560</v>
      </c>
      <c r="T105" s="237">
        <v>300</v>
      </c>
    </row>
    <row r="106" spans="7:20" ht="42" hidden="1" x14ac:dyDescent="0.35">
      <c r="G106" s="19">
        <v>11</v>
      </c>
      <c r="H106" s="38" t="s">
        <v>742</v>
      </c>
      <c r="I106" s="237">
        <v>8200</v>
      </c>
      <c r="J106" s="237">
        <v>2900</v>
      </c>
      <c r="K106" s="237">
        <v>1700</v>
      </c>
      <c r="L106" s="237">
        <v>1200</v>
      </c>
      <c r="M106" s="237">
        <v>4920</v>
      </c>
      <c r="N106" s="237">
        <v>1740</v>
      </c>
      <c r="O106" s="237">
        <v>1020</v>
      </c>
      <c r="P106" s="237">
        <v>720</v>
      </c>
      <c r="Q106" s="237">
        <v>3280</v>
      </c>
      <c r="R106" s="237">
        <v>1200</v>
      </c>
      <c r="S106" s="237">
        <v>680</v>
      </c>
      <c r="T106" s="237">
        <v>480</v>
      </c>
    </row>
    <row r="107" spans="7:20" ht="56" hidden="1" x14ac:dyDescent="0.35">
      <c r="G107" s="19">
        <v>12</v>
      </c>
      <c r="H107" s="38" t="s">
        <v>889</v>
      </c>
      <c r="I107" s="237">
        <v>2700</v>
      </c>
      <c r="J107" s="237"/>
      <c r="K107" s="237"/>
      <c r="L107" s="237"/>
      <c r="M107" s="237">
        <v>1620</v>
      </c>
      <c r="N107" s="237"/>
      <c r="O107" s="237"/>
      <c r="P107" s="237"/>
      <c r="Q107" s="237">
        <v>1080</v>
      </c>
      <c r="R107" s="237"/>
      <c r="S107" s="237"/>
      <c r="T107" s="237"/>
    </row>
    <row r="108" spans="7:20" hidden="1" x14ac:dyDescent="0.35">
      <c r="G108" s="248">
        <v>52</v>
      </c>
      <c r="H108" s="249" t="s">
        <v>896</v>
      </c>
      <c r="I108" s="309"/>
      <c r="J108" s="310"/>
      <c r="K108" s="310"/>
      <c r="L108" s="310"/>
      <c r="M108" s="309"/>
      <c r="N108" s="309"/>
      <c r="O108" s="309"/>
      <c r="P108" s="309"/>
      <c r="Q108" s="309"/>
      <c r="R108" s="309"/>
      <c r="S108" s="309"/>
      <c r="T108" s="309"/>
    </row>
    <row r="109" spans="7:20" ht="28" hidden="1" x14ac:dyDescent="0.35">
      <c r="G109" s="250" t="s">
        <v>165</v>
      </c>
      <c r="H109" s="251" t="s">
        <v>897</v>
      </c>
      <c r="I109" s="91">
        <v>5000</v>
      </c>
      <c r="J109" s="91">
        <v>2000</v>
      </c>
      <c r="K109" s="91">
        <v>1500</v>
      </c>
      <c r="L109" s="88">
        <v>550</v>
      </c>
      <c r="M109" s="91">
        <v>3000</v>
      </c>
      <c r="N109" s="91">
        <v>1200</v>
      </c>
      <c r="O109" s="88">
        <v>960</v>
      </c>
      <c r="P109" s="88">
        <v>400</v>
      </c>
      <c r="Q109" s="91">
        <v>2000</v>
      </c>
      <c r="R109" s="88">
        <v>800</v>
      </c>
      <c r="S109" s="88">
        <v>720</v>
      </c>
      <c r="T109" s="88">
        <v>300</v>
      </c>
    </row>
    <row r="110" spans="7:20" ht="42" hidden="1" x14ac:dyDescent="0.35">
      <c r="G110" s="250" t="s">
        <v>898</v>
      </c>
      <c r="H110" s="251" t="s">
        <v>899</v>
      </c>
      <c r="I110" s="91">
        <v>4000</v>
      </c>
      <c r="J110" s="91">
        <v>2000</v>
      </c>
      <c r="K110" s="91">
        <v>1500</v>
      </c>
      <c r="L110" s="88">
        <v>800</v>
      </c>
      <c r="M110" s="91">
        <v>2560</v>
      </c>
      <c r="N110" s="91">
        <v>1200</v>
      </c>
      <c r="O110" s="88">
        <v>900</v>
      </c>
      <c r="P110" s="88">
        <v>520</v>
      </c>
      <c r="Q110" s="91">
        <v>1920</v>
      </c>
      <c r="R110" s="88">
        <v>800</v>
      </c>
      <c r="S110" s="88">
        <v>600</v>
      </c>
      <c r="T110" s="88">
        <v>390</v>
      </c>
    </row>
    <row r="111" spans="7:20" ht="42" hidden="1" x14ac:dyDescent="0.35">
      <c r="G111" s="250" t="s">
        <v>900</v>
      </c>
      <c r="H111" s="251" t="s">
        <v>901</v>
      </c>
      <c r="I111" s="91">
        <v>3500</v>
      </c>
      <c r="J111" s="91">
        <v>2000</v>
      </c>
      <c r="K111" s="91">
        <v>1500</v>
      </c>
      <c r="L111" s="88">
        <v>550</v>
      </c>
      <c r="M111" s="91">
        <v>2100</v>
      </c>
      <c r="N111" s="91">
        <v>1200</v>
      </c>
      <c r="O111" s="88">
        <v>900</v>
      </c>
      <c r="P111" s="88">
        <v>400</v>
      </c>
      <c r="Q111" s="91">
        <v>1400</v>
      </c>
      <c r="R111" s="88">
        <v>800</v>
      </c>
      <c r="S111" s="88">
        <v>600</v>
      </c>
      <c r="T111" s="88">
        <v>300</v>
      </c>
    </row>
    <row r="112" spans="7:20" ht="28" hidden="1" x14ac:dyDescent="0.35">
      <c r="G112" s="250" t="s">
        <v>902</v>
      </c>
      <c r="H112" s="251" t="s">
        <v>903</v>
      </c>
      <c r="I112" s="91">
        <v>3000</v>
      </c>
      <c r="J112" s="91">
        <v>2000</v>
      </c>
      <c r="K112" s="91">
        <v>1500</v>
      </c>
      <c r="L112" s="88">
        <v>550</v>
      </c>
      <c r="M112" s="91">
        <v>1800</v>
      </c>
      <c r="N112" s="91">
        <v>1200</v>
      </c>
      <c r="O112" s="88">
        <v>900</v>
      </c>
      <c r="P112" s="88">
        <v>400</v>
      </c>
      <c r="Q112" s="91">
        <v>1200</v>
      </c>
      <c r="R112" s="88">
        <v>800</v>
      </c>
      <c r="S112" s="88">
        <v>600</v>
      </c>
      <c r="T112" s="88">
        <v>300</v>
      </c>
    </row>
    <row r="113" spans="7:20" hidden="1" x14ac:dyDescent="0.35">
      <c r="G113" s="250">
        <v>4</v>
      </c>
      <c r="H113" s="251" t="s">
        <v>904</v>
      </c>
      <c r="I113" s="88"/>
      <c r="J113" s="88"/>
      <c r="K113" s="88"/>
      <c r="L113" s="88"/>
      <c r="M113" s="88"/>
      <c r="N113" s="88"/>
      <c r="O113" s="88"/>
      <c r="P113" s="88"/>
      <c r="Q113" s="88"/>
      <c r="R113" s="88"/>
      <c r="S113" s="88"/>
      <c r="T113" s="88"/>
    </row>
    <row r="114" spans="7:20" ht="28" hidden="1" x14ac:dyDescent="0.35">
      <c r="G114" s="250" t="s">
        <v>565</v>
      </c>
      <c r="H114" s="251" t="s">
        <v>905</v>
      </c>
      <c r="I114" s="91">
        <v>20000</v>
      </c>
      <c r="J114" s="91">
        <v>6000</v>
      </c>
      <c r="K114" s="91">
        <v>3000</v>
      </c>
      <c r="L114" s="91">
        <v>1500</v>
      </c>
      <c r="M114" s="91">
        <v>12000</v>
      </c>
      <c r="N114" s="91">
        <v>3600</v>
      </c>
      <c r="O114" s="91">
        <v>1800</v>
      </c>
      <c r="P114" s="88">
        <v>960</v>
      </c>
      <c r="Q114" s="91">
        <v>8000</v>
      </c>
      <c r="R114" s="91">
        <v>2400</v>
      </c>
      <c r="S114" s="91">
        <v>1200</v>
      </c>
      <c r="T114" s="88">
        <v>720</v>
      </c>
    </row>
    <row r="115" spans="7:20" ht="98" hidden="1" x14ac:dyDescent="0.35">
      <c r="G115" s="250">
        <v>30</v>
      </c>
      <c r="H115" s="251" t="s">
        <v>906</v>
      </c>
      <c r="I115" s="91">
        <v>5000</v>
      </c>
      <c r="J115" s="91">
        <v>3000</v>
      </c>
      <c r="K115" s="91">
        <v>2500</v>
      </c>
      <c r="L115" s="91">
        <v>1500</v>
      </c>
      <c r="M115" s="91">
        <v>3000</v>
      </c>
      <c r="N115" s="91">
        <v>1800</v>
      </c>
      <c r="O115" s="91">
        <v>1500</v>
      </c>
      <c r="P115" s="88">
        <v>960</v>
      </c>
      <c r="Q115" s="91">
        <v>2000</v>
      </c>
      <c r="R115" s="91">
        <v>1200</v>
      </c>
      <c r="S115" s="91">
        <v>1000</v>
      </c>
      <c r="T115" s="88">
        <v>720</v>
      </c>
    </row>
    <row r="116" spans="7:20" ht="28" hidden="1" x14ac:dyDescent="0.35">
      <c r="G116" s="250">
        <v>31</v>
      </c>
      <c r="H116" s="251" t="s">
        <v>907</v>
      </c>
      <c r="I116" s="91">
        <v>4000</v>
      </c>
      <c r="J116" s="91">
        <v>3000</v>
      </c>
      <c r="K116" s="91">
        <v>2500</v>
      </c>
      <c r="L116" s="91">
        <v>1500</v>
      </c>
      <c r="M116" s="91">
        <v>2400</v>
      </c>
      <c r="N116" s="91">
        <v>1800</v>
      </c>
      <c r="O116" s="91">
        <v>1500</v>
      </c>
      <c r="P116" s="88">
        <v>960</v>
      </c>
      <c r="Q116" s="91">
        <v>1600</v>
      </c>
      <c r="R116" s="91">
        <v>1200</v>
      </c>
      <c r="S116" s="91">
        <v>1000</v>
      </c>
      <c r="T116" s="88">
        <v>720</v>
      </c>
    </row>
    <row r="117" spans="7:20" ht="70" hidden="1" x14ac:dyDescent="0.35">
      <c r="G117" s="250">
        <v>32</v>
      </c>
      <c r="H117" s="251" t="s">
        <v>908</v>
      </c>
      <c r="I117" s="91">
        <v>4000</v>
      </c>
      <c r="J117" s="91">
        <v>3000</v>
      </c>
      <c r="K117" s="91">
        <v>2500</v>
      </c>
      <c r="L117" s="91">
        <v>1500</v>
      </c>
      <c r="M117" s="91">
        <v>2400</v>
      </c>
      <c r="N117" s="91">
        <v>1800</v>
      </c>
      <c r="O117" s="91">
        <v>1500</v>
      </c>
      <c r="P117" s="88">
        <v>960</v>
      </c>
      <c r="Q117" s="91">
        <v>1600</v>
      </c>
      <c r="R117" s="91">
        <v>1200</v>
      </c>
      <c r="S117" s="91">
        <v>1000</v>
      </c>
      <c r="T117" s="88">
        <v>720</v>
      </c>
    </row>
    <row r="118" spans="7:20" ht="56" hidden="1" x14ac:dyDescent="0.35">
      <c r="G118" s="250">
        <v>33</v>
      </c>
      <c r="H118" s="251" t="s">
        <v>909</v>
      </c>
      <c r="I118" s="91">
        <v>9300</v>
      </c>
      <c r="J118" s="91">
        <v>3000</v>
      </c>
      <c r="K118" s="91">
        <v>2500</v>
      </c>
      <c r="L118" s="91">
        <v>1500</v>
      </c>
      <c r="M118" s="91">
        <v>6720</v>
      </c>
      <c r="N118" s="91">
        <v>1800</v>
      </c>
      <c r="O118" s="91">
        <v>1500</v>
      </c>
      <c r="P118" s="88">
        <v>960</v>
      </c>
      <c r="Q118" s="91">
        <v>5040</v>
      </c>
      <c r="R118" s="91">
        <v>1200</v>
      </c>
      <c r="S118" s="91">
        <v>1000</v>
      </c>
      <c r="T118" s="88">
        <v>720</v>
      </c>
    </row>
    <row r="119" spans="7:20" ht="56" hidden="1" x14ac:dyDescent="0.35">
      <c r="G119" s="250">
        <v>34</v>
      </c>
      <c r="H119" s="251" t="s">
        <v>910</v>
      </c>
      <c r="I119" s="91">
        <v>8300</v>
      </c>
      <c r="J119" s="91">
        <v>3000</v>
      </c>
      <c r="K119" s="91">
        <v>2500</v>
      </c>
      <c r="L119" s="91">
        <v>1500</v>
      </c>
      <c r="M119" s="91">
        <v>6000</v>
      </c>
      <c r="N119" s="91">
        <v>1800</v>
      </c>
      <c r="O119" s="91">
        <v>1500</v>
      </c>
      <c r="P119" s="88">
        <v>960</v>
      </c>
      <c r="Q119" s="91">
        <v>4500</v>
      </c>
      <c r="R119" s="91">
        <v>1200</v>
      </c>
      <c r="S119" s="91">
        <v>1000</v>
      </c>
      <c r="T119" s="88">
        <v>720</v>
      </c>
    </row>
    <row r="120" spans="7:20" ht="42" hidden="1" x14ac:dyDescent="0.35">
      <c r="G120" s="250">
        <v>35</v>
      </c>
      <c r="H120" s="251" t="s">
        <v>911</v>
      </c>
      <c r="I120" s="91">
        <v>7000</v>
      </c>
      <c r="J120" s="91">
        <v>3000</v>
      </c>
      <c r="K120" s="91">
        <v>2500</v>
      </c>
      <c r="L120" s="91">
        <v>1500</v>
      </c>
      <c r="M120" s="91">
        <v>5600</v>
      </c>
      <c r="N120" s="91">
        <v>1800</v>
      </c>
      <c r="O120" s="91">
        <v>1500</v>
      </c>
      <c r="P120" s="88">
        <v>960</v>
      </c>
      <c r="Q120" s="91">
        <v>4200</v>
      </c>
      <c r="R120" s="91">
        <v>1200</v>
      </c>
      <c r="S120" s="91">
        <v>1000</v>
      </c>
      <c r="T120" s="88">
        <v>720</v>
      </c>
    </row>
    <row r="121" spans="7:20" ht="42" hidden="1" x14ac:dyDescent="0.35">
      <c r="G121" s="250">
        <v>36</v>
      </c>
      <c r="H121" s="251" t="s">
        <v>912</v>
      </c>
      <c r="I121" s="91">
        <v>5000</v>
      </c>
      <c r="J121" s="91">
        <v>3000</v>
      </c>
      <c r="K121" s="91">
        <v>2500</v>
      </c>
      <c r="L121" s="91">
        <v>1500</v>
      </c>
      <c r="M121" s="91">
        <v>4000</v>
      </c>
      <c r="N121" s="91">
        <v>1800</v>
      </c>
      <c r="O121" s="91">
        <v>1500</v>
      </c>
      <c r="P121" s="88">
        <v>960</v>
      </c>
      <c r="Q121" s="91">
        <v>3000</v>
      </c>
      <c r="R121" s="91">
        <v>1200</v>
      </c>
      <c r="S121" s="91">
        <v>1000</v>
      </c>
      <c r="T121" s="88">
        <v>720</v>
      </c>
    </row>
    <row r="122" spans="7:20" ht="56" hidden="1" x14ac:dyDescent="0.35">
      <c r="G122" s="250">
        <v>37</v>
      </c>
      <c r="H122" s="251" t="s">
        <v>913</v>
      </c>
      <c r="I122" s="91">
        <v>4000</v>
      </c>
      <c r="J122" s="91">
        <v>3000</v>
      </c>
      <c r="K122" s="91">
        <v>2500</v>
      </c>
      <c r="L122" s="91">
        <v>1500</v>
      </c>
      <c r="M122" s="91">
        <v>2400</v>
      </c>
      <c r="N122" s="91">
        <v>1800</v>
      </c>
      <c r="O122" s="91">
        <v>1500</v>
      </c>
      <c r="P122" s="88">
        <v>960</v>
      </c>
      <c r="Q122" s="91">
        <v>1600</v>
      </c>
      <c r="R122" s="91">
        <v>1200</v>
      </c>
      <c r="S122" s="91">
        <v>1000</v>
      </c>
      <c r="T122" s="88">
        <v>720</v>
      </c>
    </row>
    <row r="123" spans="7:20" ht="42" hidden="1" x14ac:dyDescent="0.35">
      <c r="G123" s="250">
        <v>38</v>
      </c>
      <c r="H123" s="251" t="s">
        <v>914</v>
      </c>
      <c r="I123" s="91">
        <v>4000</v>
      </c>
      <c r="J123" s="91">
        <v>3000</v>
      </c>
      <c r="K123" s="91">
        <v>2500</v>
      </c>
      <c r="L123" s="91">
        <v>1500</v>
      </c>
      <c r="M123" s="91">
        <v>2400</v>
      </c>
      <c r="N123" s="91">
        <v>1800</v>
      </c>
      <c r="O123" s="91">
        <v>1500</v>
      </c>
      <c r="P123" s="88">
        <v>960</v>
      </c>
      <c r="Q123" s="91">
        <v>1600</v>
      </c>
      <c r="R123" s="91">
        <v>1200</v>
      </c>
      <c r="S123" s="91">
        <v>1000</v>
      </c>
      <c r="T123" s="88">
        <v>720</v>
      </c>
    </row>
    <row r="124" spans="7:20" ht="42" hidden="1" x14ac:dyDescent="0.35">
      <c r="G124" s="250">
        <v>39</v>
      </c>
      <c r="H124" s="251" t="s">
        <v>915</v>
      </c>
      <c r="I124" s="91">
        <v>4000</v>
      </c>
      <c r="J124" s="91">
        <v>3000</v>
      </c>
      <c r="K124" s="91">
        <v>2500</v>
      </c>
      <c r="L124" s="91">
        <v>1500</v>
      </c>
      <c r="M124" s="91">
        <v>2400</v>
      </c>
      <c r="N124" s="91">
        <v>1800</v>
      </c>
      <c r="O124" s="91">
        <v>1500</v>
      </c>
      <c r="P124" s="88">
        <v>960</v>
      </c>
      <c r="Q124" s="91">
        <v>1600</v>
      </c>
      <c r="R124" s="91">
        <v>1200</v>
      </c>
      <c r="S124" s="91">
        <v>1000</v>
      </c>
      <c r="T124" s="88">
        <v>720</v>
      </c>
    </row>
    <row r="125" spans="7:20" ht="42" hidden="1" x14ac:dyDescent="0.35">
      <c r="G125" s="250">
        <v>40</v>
      </c>
      <c r="H125" s="251" t="s">
        <v>916</v>
      </c>
      <c r="I125" s="88"/>
      <c r="J125" s="88"/>
      <c r="K125" s="88"/>
      <c r="L125" s="88"/>
      <c r="M125" s="88"/>
      <c r="N125" s="88"/>
      <c r="O125" s="88"/>
      <c r="P125" s="88"/>
      <c r="Q125" s="88"/>
      <c r="R125" s="88"/>
      <c r="S125" s="88"/>
      <c r="T125" s="88"/>
    </row>
    <row r="126" spans="7:20" ht="28" hidden="1" x14ac:dyDescent="0.35">
      <c r="G126" s="250" t="s">
        <v>640</v>
      </c>
      <c r="H126" s="251" t="s">
        <v>917</v>
      </c>
      <c r="I126" s="91">
        <v>13000</v>
      </c>
      <c r="J126" s="88"/>
      <c r="K126" s="88"/>
      <c r="L126" s="88"/>
      <c r="M126" s="91">
        <v>7800</v>
      </c>
      <c r="N126" s="88"/>
      <c r="O126" s="88"/>
      <c r="P126" s="88"/>
      <c r="Q126" s="91">
        <v>5200</v>
      </c>
      <c r="R126" s="88"/>
      <c r="S126" s="88"/>
      <c r="T126" s="88"/>
    </row>
    <row r="127" spans="7:20" ht="28" hidden="1" x14ac:dyDescent="0.35">
      <c r="G127" s="250" t="s">
        <v>918</v>
      </c>
      <c r="H127" s="251" t="s">
        <v>919</v>
      </c>
      <c r="I127" s="91">
        <v>13400</v>
      </c>
      <c r="J127" s="88"/>
      <c r="K127" s="88"/>
      <c r="L127" s="88"/>
      <c r="M127" s="91">
        <v>8040</v>
      </c>
      <c r="N127" s="88"/>
      <c r="O127" s="88"/>
      <c r="P127" s="88"/>
      <c r="Q127" s="91">
        <v>5360</v>
      </c>
      <c r="R127" s="88"/>
      <c r="S127" s="88"/>
      <c r="T127" s="88"/>
    </row>
    <row r="128" spans="7:20" ht="28" hidden="1" x14ac:dyDescent="0.35">
      <c r="G128" s="250" t="s">
        <v>920</v>
      </c>
      <c r="H128" s="251" t="s">
        <v>921</v>
      </c>
      <c r="I128" s="91">
        <v>16000</v>
      </c>
      <c r="J128" s="88"/>
      <c r="K128" s="88"/>
      <c r="L128" s="88"/>
      <c r="M128" s="91">
        <v>9600</v>
      </c>
      <c r="N128" s="88"/>
      <c r="O128" s="88"/>
      <c r="P128" s="88"/>
      <c r="Q128" s="91">
        <v>6400</v>
      </c>
      <c r="R128" s="88"/>
      <c r="S128" s="88"/>
      <c r="T128" s="88"/>
    </row>
    <row r="129" spans="7:20" ht="28" hidden="1" x14ac:dyDescent="0.35">
      <c r="G129" s="250" t="s">
        <v>922</v>
      </c>
      <c r="H129" s="251" t="s">
        <v>923</v>
      </c>
      <c r="I129" s="91">
        <v>12700</v>
      </c>
      <c r="J129" s="88"/>
      <c r="K129" s="88"/>
      <c r="L129" s="88"/>
      <c r="M129" s="91">
        <v>7620</v>
      </c>
      <c r="N129" s="88"/>
      <c r="O129" s="88"/>
      <c r="P129" s="88"/>
      <c r="Q129" s="91">
        <v>5080</v>
      </c>
      <c r="R129" s="88"/>
      <c r="S129" s="88"/>
      <c r="T129" s="88"/>
    </row>
    <row r="130" spans="7:20" ht="42" hidden="1" x14ac:dyDescent="0.35">
      <c r="G130" s="250" t="s">
        <v>924</v>
      </c>
      <c r="H130" s="251" t="s">
        <v>925</v>
      </c>
      <c r="I130" s="91">
        <v>12700</v>
      </c>
      <c r="J130" s="88"/>
      <c r="K130" s="88"/>
      <c r="L130" s="88"/>
      <c r="M130" s="91">
        <v>7620</v>
      </c>
      <c r="N130" s="88"/>
      <c r="O130" s="88"/>
      <c r="P130" s="88"/>
      <c r="Q130" s="91">
        <v>5080</v>
      </c>
      <c r="R130" s="88"/>
      <c r="S130" s="88"/>
      <c r="T130" s="88"/>
    </row>
    <row r="131" spans="7:20" ht="42" hidden="1" x14ac:dyDescent="0.35">
      <c r="G131" s="250" t="s">
        <v>926</v>
      </c>
      <c r="H131" s="251" t="s">
        <v>927</v>
      </c>
      <c r="I131" s="91">
        <v>13400</v>
      </c>
      <c r="J131" s="88"/>
      <c r="K131" s="88"/>
      <c r="L131" s="88"/>
      <c r="M131" s="91">
        <v>8040</v>
      </c>
      <c r="N131" s="88"/>
      <c r="O131" s="88"/>
      <c r="P131" s="88"/>
      <c r="Q131" s="91">
        <v>5360</v>
      </c>
      <c r="R131" s="88"/>
      <c r="S131" s="88"/>
      <c r="T131" s="88"/>
    </row>
    <row r="132" spans="7:20" ht="42" hidden="1" x14ac:dyDescent="0.35">
      <c r="G132" s="250">
        <v>41</v>
      </c>
      <c r="H132" s="251" t="s">
        <v>928</v>
      </c>
      <c r="I132" s="91">
        <v>2500</v>
      </c>
      <c r="J132" s="91">
        <v>2000</v>
      </c>
      <c r="K132" s="91">
        <v>1500</v>
      </c>
      <c r="L132" s="88">
        <v>880</v>
      </c>
      <c r="M132" s="91">
        <v>1500</v>
      </c>
      <c r="N132" s="91">
        <v>1200</v>
      </c>
      <c r="O132" s="88">
        <v>900</v>
      </c>
      <c r="P132" s="88">
        <v>640</v>
      </c>
      <c r="Q132" s="91">
        <v>1000</v>
      </c>
      <c r="R132" s="88">
        <v>800</v>
      </c>
      <c r="S132" s="88">
        <v>600</v>
      </c>
      <c r="T132" s="88">
        <v>480</v>
      </c>
    </row>
    <row r="133" spans="7:20" ht="70" hidden="1" x14ac:dyDescent="0.35">
      <c r="G133" s="250">
        <v>42</v>
      </c>
      <c r="H133" s="251" t="s">
        <v>929</v>
      </c>
      <c r="I133" s="91">
        <v>3000</v>
      </c>
      <c r="J133" s="91">
        <v>2000</v>
      </c>
      <c r="K133" s="91">
        <v>1500</v>
      </c>
      <c r="L133" s="88">
        <v>880</v>
      </c>
      <c r="M133" s="91">
        <v>1800</v>
      </c>
      <c r="N133" s="91">
        <v>1200</v>
      </c>
      <c r="O133" s="88">
        <v>900</v>
      </c>
      <c r="P133" s="88">
        <v>640</v>
      </c>
      <c r="Q133" s="91">
        <v>1200</v>
      </c>
      <c r="R133" s="88">
        <v>800</v>
      </c>
      <c r="S133" s="88">
        <v>600</v>
      </c>
      <c r="T133" s="88">
        <v>480</v>
      </c>
    </row>
    <row r="134" spans="7:20" ht="126" hidden="1" x14ac:dyDescent="0.35">
      <c r="G134" s="250">
        <v>43</v>
      </c>
      <c r="H134" s="251" t="s">
        <v>930</v>
      </c>
      <c r="I134" s="91">
        <v>2000</v>
      </c>
      <c r="J134" s="91">
        <v>1800</v>
      </c>
      <c r="K134" s="91">
        <v>1500</v>
      </c>
      <c r="L134" s="88">
        <v>880</v>
      </c>
      <c r="M134" s="91">
        <v>1200</v>
      </c>
      <c r="N134" s="91">
        <v>1080</v>
      </c>
      <c r="O134" s="88">
        <v>900</v>
      </c>
      <c r="P134" s="88">
        <v>530</v>
      </c>
      <c r="Q134" s="88">
        <v>800</v>
      </c>
      <c r="R134" s="88">
        <v>720</v>
      </c>
      <c r="S134" s="88">
        <v>600</v>
      </c>
      <c r="T134" s="88">
        <v>350</v>
      </c>
    </row>
    <row r="135" spans="7:20" ht="28" hidden="1" x14ac:dyDescent="0.35">
      <c r="G135" s="250">
        <v>44</v>
      </c>
      <c r="H135" s="251" t="s">
        <v>931</v>
      </c>
      <c r="I135" s="91">
        <v>2500</v>
      </c>
      <c r="J135" s="91">
        <v>1500</v>
      </c>
      <c r="K135" s="91">
        <v>1000</v>
      </c>
      <c r="L135" s="88">
        <v>550</v>
      </c>
      <c r="M135" s="91">
        <v>1680</v>
      </c>
      <c r="N135" s="88">
        <v>900</v>
      </c>
      <c r="O135" s="88">
        <v>600</v>
      </c>
      <c r="P135" s="88">
        <v>400</v>
      </c>
      <c r="Q135" s="91">
        <v>1260</v>
      </c>
      <c r="R135" s="88">
        <v>600</v>
      </c>
      <c r="S135" s="88">
        <v>400</v>
      </c>
      <c r="T135" s="88">
        <v>300</v>
      </c>
    </row>
    <row r="136" spans="7:20" ht="56" hidden="1" x14ac:dyDescent="0.35">
      <c r="G136" s="250">
        <v>45</v>
      </c>
      <c r="H136" s="251" t="s">
        <v>932</v>
      </c>
      <c r="I136" s="91">
        <v>3100</v>
      </c>
      <c r="J136" s="91">
        <v>1500</v>
      </c>
      <c r="K136" s="91">
        <v>1000</v>
      </c>
      <c r="L136" s="88">
        <v>550</v>
      </c>
      <c r="M136" s="91">
        <v>2240</v>
      </c>
      <c r="N136" s="88">
        <v>900</v>
      </c>
      <c r="O136" s="88">
        <v>600</v>
      </c>
      <c r="P136" s="88">
        <v>400</v>
      </c>
      <c r="Q136" s="91">
        <v>1680</v>
      </c>
      <c r="R136" s="88">
        <v>600</v>
      </c>
      <c r="S136" s="88">
        <v>400</v>
      </c>
      <c r="T136" s="88">
        <v>300</v>
      </c>
    </row>
    <row r="137" spans="7:20" ht="28" hidden="1" x14ac:dyDescent="0.35">
      <c r="G137" s="250">
        <v>46</v>
      </c>
      <c r="H137" s="251" t="s">
        <v>933</v>
      </c>
      <c r="I137" s="91">
        <v>2500</v>
      </c>
      <c r="J137" s="91">
        <v>1500</v>
      </c>
      <c r="K137" s="91">
        <v>1000</v>
      </c>
      <c r="L137" s="88">
        <v>500</v>
      </c>
      <c r="M137" s="91">
        <v>1680</v>
      </c>
      <c r="N137" s="88">
        <v>900</v>
      </c>
      <c r="O137" s="88">
        <v>600</v>
      </c>
      <c r="P137" s="88">
        <v>320</v>
      </c>
      <c r="Q137" s="91">
        <v>1260</v>
      </c>
      <c r="R137" s="88">
        <v>600</v>
      </c>
      <c r="S137" s="88">
        <v>400</v>
      </c>
      <c r="T137" s="88">
        <v>240</v>
      </c>
    </row>
    <row r="138" spans="7:20" ht="28" hidden="1" x14ac:dyDescent="0.35">
      <c r="G138" s="250">
        <v>47</v>
      </c>
      <c r="H138" s="251" t="s">
        <v>934</v>
      </c>
      <c r="I138" s="91">
        <v>1500</v>
      </c>
      <c r="J138" s="91">
        <v>1200</v>
      </c>
      <c r="K138" s="91">
        <v>1000</v>
      </c>
      <c r="L138" s="88">
        <v>550</v>
      </c>
      <c r="M138" s="88">
        <v>1000</v>
      </c>
      <c r="N138" s="88">
        <v>720</v>
      </c>
      <c r="O138" s="88">
        <v>600</v>
      </c>
      <c r="P138" s="88">
        <v>400</v>
      </c>
      <c r="Q138" s="88">
        <v>750</v>
      </c>
      <c r="R138" s="88">
        <v>480</v>
      </c>
      <c r="S138" s="88">
        <v>400</v>
      </c>
      <c r="T138" s="88">
        <v>300</v>
      </c>
    </row>
    <row r="139" spans="7:20" ht="28" hidden="1" x14ac:dyDescent="0.35">
      <c r="G139" s="250">
        <v>48</v>
      </c>
      <c r="H139" s="251" t="s">
        <v>935</v>
      </c>
      <c r="I139" s="91">
        <v>1200</v>
      </c>
      <c r="J139" s="91">
        <v>1000</v>
      </c>
      <c r="K139" s="88">
        <v>800</v>
      </c>
      <c r="L139" s="88">
        <v>450</v>
      </c>
      <c r="M139" s="88">
        <v>720</v>
      </c>
      <c r="N139" s="88">
        <v>600</v>
      </c>
      <c r="O139" s="88">
        <v>500</v>
      </c>
      <c r="P139" s="88">
        <v>270</v>
      </c>
      <c r="Q139" s="88">
        <v>480</v>
      </c>
      <c r="R139" s="88">
        <v>400</v>
      </c>
      <c r="S139" s="88">
        <v>375</v>
      </c>
      <c r="T139" s="88">
        <v>180</v>
      </c>
    </row>
    <row r="140" spans="7:20" ht="42" hidden="1" x14ac:dyDescent="0.35">
      <c r="G140" s="250">
        <v>49</v>
      </c>
      <c r="H140" s="251" t="s">
        <v>936</v>
      </c>
      <c r="I140" s="91">
        <v>1200</v>
      </c>
      <c r="J140" s="91">
        <v>1000</v>
      </c>
      <c r="K140" s="88">
        <v>800</v>
      </c>
      <c r="L140" s="88">
        <v>450</v>
      </c>
      <c r="M140" s="88">
        <v>720</v>
      </c>
      <c r="N140" s="88">
        <v>600</v>
      </c>
      <c r="O140" s="88">
        <v>480</v>
      </c>
      <c r="P140" s="88">
        <v>270</v>
      </c>
      <c r="Q140" s="88">
        <v>480</v>
      </c>
      <c r="R140" s="88">
        <v>400</v>
      </c>
      <c r="S140" s="88">
        <v>320</v>
      </c>
      <c r="T140" s="88">
        <v>180</v>
      </c>
    </row>
    <row r="141" spans="7:20" ht="56" hidden="1" x14ac:dyDescent="0.35">
      <c r="G141" s="250">
        <v>50</v>
      </c>
      <c r="H141" s="251" t="s">
        <v>937</v>
      </c>
      <c r="I141" s="91">
        <v>3000</v>
      </c>
      <c r="J141" s="91">
        <v>1000</v>
      </c>
      <c r="K141" s="88">
        <v>800</v>
      </c>
      <c r="L141" s="88">
        <v>450</v>
      </c>
      <c r="M141" s="91">
        <v>2000</v>
      </c>
      <c r="N141" s="88">
        <v>600</v>
      </c>
      <c r="O141" s="88">
        <v>480</v>
      </c>
      <c r="P141" s="88">
        <v>270</v>
      </c>
      <c r="Q141" s="91">
        <v>1500</v>
      </c>
      <c r="R141" s="88">
        <v>400</v>
      </c>
      <c r="S141" s="88">
        <v>320</v>
      </c>
      <c r="T141" s="88">
        <v>180</v>
      </c>
    </row>
    <row r="142" spans="7:20" ht="42" hidden="1" x14ac:dyDescent="0.35">
      <c r="G142" s="250">
        <v>51</v>
      </c>
      <c r="H142" s="251" t="s">
        <v>938</v>
      </c>
      <c r="I142" s="91">
        <v>3000</v>
      </c>
      <c r="J142" s="91">
        <v>1000</v>
      </c>
      <c r="K142" s="88">
        <v>800</v>
      </c>
      <c r="L142" s="88">
        <v>550</v>
      </c>
      <c r="M142" s="91">
        <v>1840</v>
      </c>
      <c r="N142" s="88">
        <v>600</v>
      </c>
      <c r="O142" s="88">
        <v>480</v>
      </c>
      <c r="P142" s="88">
        <v>400</v>
      </c>
      <c r="Q142" s="91">
        <v>1380</v>
      </c>
      <c r="R142" s="88">
        <v>400</v>
      </c>
      <c r="S142" s="88">
        <v>320</v>
      </c>
      <c r="T142" s="88">
        <v>300</v>
      </c>
    </row>
    <row r="143" spans="7:20" ht="42" hidden="1" x14ac:dyDescent="0.35">
      <c r="G143" s="250">
        <v>52</v>
      </c>
      <c r="H143" s="251" t="s">
        <v>939</v>
      </c>
      <c r="I143" s="91">
        <v>2000</v>
      </c>
      <c r="J143" s="91">
        <v>1000</v>
      </c>
      <c r="K143" s="88">
        <v>800</v>
      </c>
      <c r="L143" s="88">
        <v>550</v>
      </c>
      <c r="M143" s="91">
        <v>1200</v>
      </c>
      <c r="N143" s="88">
        <v>600</v>
      </c>
      <c r="O143" s="88">
        <v>480</v>
      </c>
      <c r="P143" s="88">
        <v>400</v>
      </c>
      <c r="Q143" s="88">
        <v>800</v>
      </c>
      <c r="R143" s="88">
        <v>400</v>
      </c>
      <c r="S143" s="88">
        <v>320</v>
      </c>
      <c r="T143" s="88">
        <v>300</v>
      </c>
    </row>
    <row r="144" spans="7:20" ht="42" hidden="1" x14ac:dyDescent="0.35">
      <c r="G144" s="250">
        <v>53</v>
      </c>
      <c r="H144" s="251" t="s">
        <v>940</v>
      </c>
      <c r="I144" s="91">
        <v>2000</v>
      </c>
      <c r="J144" s="91">
        <v>1100</v>
      </c>
      <c r="K144" s="88">
        <v>800</v>
      </c>
      <c r="L144" s="88">
        <v>550</v>
      </c>
      <c r="M144" s="91">
        <v>1280</v>
      </c>
      <c r="N144" s="88">
        <v>800</v>
      </c>
      <c r="O144" s="88">
        <v>480</v>
      </c>
      <c r="P144" s="88">
        <v>360</v>
      </c>
      <c r="Q144" s="88">
        <v>960</v>
      </c>
      <c r="R144" s="88">
        <v>600</v>
      </c>
      <c r="S144" s="88">
        <v>320</v>
      </c>
      <c r="T144" s="88">
        <v>270</v>
      </c>
    </row>
    <row r="145" spans="7:20" ht="42" hidden="1" x14ac:dyDescent="0.35">
      <c r="G145" s="250">
        <v>54</v>
      </c>
      <c r="H145" s="251" t="s">
        <v>941</v>
      </c>
      <c r="I145" s="91">
        <v>2500</v>
      </c>
      <c r="J145" s="91">
        <v>1500</v>
      </c>
      <c r="K145" s="91">
        <v>1000</v>
      </c>
      <c r="L145" s="88">
        <v>800</v>
      </c>
      <c r="M145" s="91">
        <v>1600</v>
      </c>
      <c r="N145" s="88">
        <v>900</v>
      </c>
      <c r="O145" s="88">
        <v>600</v>
      </c>
      <c r="P145" s="88">
        <v>520</v>
      </c>
      <c r="Q145" s="91">
        <v>1200</v>
      </c>
      <c r="R145" s="88">
        <v>600</v>
      </c>
      <c r="S145" s="88">
        <v>400</v>
      </c>
      <c r="T145" s="88">
        <v>390</v>
      </c>
    </row>
    <row r="146" spans="7:20" ht="42" hidden="1" x14ac:dyDescent="0.35">
      <c r="G146" s="250">
        <v>55</v>
      </c>
      <c r="H146" s="251" t="s">
        <v>942</v>
      </c>
      <c r="I146" s="91">
        <v>1800</v>
      </c>
      <c r="J146" s="91">
        <v>1500</v>
      </c>
      <c r="K146" s="91">
        <v>1000</v>
      </c>
      <c r="L146" s="88">
        <v>800</v>
      </c>
      <c r="M146" s="91">
        <v>1080</v>
      </c>
      <c r="N146" s="88">
        <v>900</v>
      </c>
      <c r="O146" s="88">
        <v>600</v>
      </c>
      <c r="P146" s="88">
        <v>520</v>
      </c>
      <c r="Q146" s="88">
        <v>720</v>
      </c>
      <c r="R146" s="88">
        <v>600</v>
      </c>
      <c r="S146" s="88">
        <v>400</v>
      </c>
      <c r="T146" s="88">
        <v>390</v>
      </c>
    </row>
    <row r="147" spans="7:20" ht="56" hidden="1" x14ac:dyDescent="0.35">
      <c r="G147" s="250">
        <v>56</v>
      </c>
      <c r="H147" s="251" t="s">
        <v>943</v>
      </c>
      <c r="I147" s="91">
        <v>1800</v>
      </c>
      <c r="J147" s="91">
        <v>1500</v>
      </c>
      <c r="K147" s="88">
        <v>800</v>
      </c>
      <c r="L147" s="88">
        <v>550</v>
      </c>
      <c r="M147" s="91">
        <v>1080</v>
      </c>
      <c r="N147" s="88">
        <v>900</v>
      </c>
      <c r="O147" s="88">
        <v>480</v>
      </c>
      <c r="P147" s="88">
        <v>400</v>
      </c>
      <c r="Q147" s="88">
        <v>720</v>
      </c>
      <c r="R147" s="88">
        <v>600</v>
      </c>
      <c r="S147" s="88">
        <v>320</v>
      </c>
      <c r="T147" s="88">
        <v>300</v>
      </c>
    </row>
    <row r="148" spans="7:20" ht="28" hidden="1" x14ac:dyDescent="0.35">
      <c r="G148" s="250">
        <v>57</v>
      </c>
      <c r="H148" s="251" t="s">
        <v>944</v>
      </c>
      <c r="I148" s="88"/>
      <c r="J148" s="88"/>
      <c r="K148" s="88"/>
      <c r="L148" s="88"/>
      <c r="M148" s="88"/>
      <c r="N148" s="88"/>
      <c r="O148" s="88"/>
      <c r="P148" s="88"/>
      <c r="Q148" s="88"/>
      <c r="R148" s="88"/>
      <c r="S148" s="88"/>
      <c r="T148" s="88"/>
    </row>
    <row r="149" spans="7:20" ht="28" hidden="1" x14ac:dyDescent="0.35">
      <c r="G149" s="250" t="s">
        <v>945</v>
      </c>
      <c r="H149" s="251" t="s">
        <v>946</v>
      </c>
      <c r="I149" s="91">
        <v>10000</v>
      </c>
      <c r="J149" s="88"/>
      <c r="K149" s="88"/>
      <c r="L149" s="88"/>
      <c r="M149" s="91">
        <v>6000</v>
      </c>
      <c r="N149" s="88"/>
      <c r="O149" s="88"/>
      <c r="P149" s="88"/>
      <c r="Q149" s="91">
        <v>4000</v>
      </c>
      <c r="R149" s="88"/>
      <c r="S149" s="88"/>
      <c r="T149" s="88"/>
    </row>
    <row r="150" spans="7:20" ht="28" hidden="1" x14ac:dyDescent="0.35">
      <c r="G150" s="250" t="s">
        <v>947</v>
      </c>
      <c r="H150" s="251" t="s">
        <v>948</v>
      </c>
      <c r="I150" s="91">
        <v>9000</v>
      </c>
      <c r="J150" s="88"/>
      <c r="K150" s="88"/>
      <c r="L150" s="88"/>
      <c r="M150" s="91">
        <v>5400</v>
      </c>
      <c r="N150" s="88"/>
      <c r="O150" s="88"/>
      <c r="P150" s="88"/>
      <c r="Q150" s="91">
        <v>3600</v>
      </c>
      <c r="R150" s="88"/>
      <c r="S150" s="88"/>
      <c r="T150" s="88"/>
    </row>
    <row r="151" spans="7:20" ht="28" hidden="1" x14ac:dyDescent="0.35">
      <c r="G151" s="250">
        <v>58</v>
      </c>
      <c r="H151" s="251" t="s">
        <v>949</v>
      </c>
      <c r="I151" s="88"/>
      <c r="J151" s="88"/>
      <c r="K151" s="88"/>
      <c r="L151" s="88"/>
      <c r="M151" s="88"/>
      <c r="N151" s="88"/>
      <c r="O151" s="88"/>
      <c r="P151" s="88"/>
      <c r="Q151" s="88"/>
      <c r="R151" s="88"/>
      <c r="S151" s="88"/>
      <c r="T151" s="88"/>
    </row>
    <row r="152" spans="7:20" ht="28" hidden="1" x14ac:dyDescent="0.35">
      <c r="G152" s="250" t="s">
        <v>950</v>
      </c>
      <c r="H152" s="251" t="s">
        <v>951</v>
      </c>
      <c r="I152" s="91">
        <v>2000</v>
      </c>
      <c r="J152" s="91">
        <v>1000</v>
      </c>
      <c r="K152" s="88">
        <v>800</v>
      </c>
      <c r="L152" s="88">
        <v>550</v>
      </c>
      <c r="M152" s="91">
        <v>1400</v>
      </c>
      <c r="N152" s="88">
        <v>600</v>
      </c>
      <c r="O152" s="88">
        <v>480</v>
      </c>
      <c r="P152" s="88">
        <v>360</v>
      </c>
      <c r="Q152" s="88">
        <v>1050</v>
      </c>
      <c r="R152" s="88">
        <v>400</v>
      </c>
      <c r="S152" s="88">
        <v>320</v>
      </c>
      <c r="T152" s="88">
        <v>270</v>
      </c>
    </row>
    <row r="153" spans="7:20" ht="70" hidden="1" x14ac:dyDescent="0.35">
      <c r="G153" s="250" t="s">
        <v>952</v>
      </c>
      <c r="H153" s="251" t="s">
        <v>953</v>
      </c>
      <c r="I153" s="91">
        <v>6000</v>
      </c>
      <c r="J153" s="91">
        <v>3000</v>
      </c>
      <c r="K153" s="91">
        <v>1500</v>
      </c>
      <c r="L153" s="91">
        <v>1000</v>
      </c>
      <c r="M153" s="91">
        <v>3600</v>
      </c>
      <c r="N153" s="91">
        <v>1800</v>
      </c>
      <c r="O153" s="88">
        <v>900</v>
      </c>
      <c r="P153" s="88">
        <v>600</v>
      </c>
      <c r="Q153" s="91">
        <v>2400</v>
      </c>
      <c r="R153" s="91">
        <v>1200</v>
      </c>
      <c r="S153" s="88">
        <v>600</v>
      </c>
      <c r="T153" s="88">
        <v>400</v>
      </c>
    </row>
    <row r="154" spans="7:20" ht="28" hidden="1" x14ac:dyDescent="0.35">
      <c r="G154" s="250" t="s">
        <v>954</v>
      </c>
      <c r="H154" s="251" t="s">
        <v>955</v>
      </c>
      <c r="I154" s="91">
        <v>2000</v>
      </c>
      <c r="J154" s="91">
        <v>1500</v>
      </c>
      <c r="K154" s="91">
        <v>1200</v>
      </c>
      <c r="L154" s="91">
        <v>1000</v>
      </c>
      <c r="M154" s="91">
        <v>1200</v>
      </c>
      <c r="N154" s="88">
        <v>900</v>
      </c>
      <c r="O154" s="88">
        <v>720</v>
      </c>
      <c r="P154" s="88">
        <v>600</v>
      </c>
      <c r="Q154" s="88">
        <v>800</v>
      </c>
      <c r="R154" s="88">
        <v>600</v>
      </c>
      <c r="S154" s="88">
        <v>480</v>
      </c>
      <c r="T154" s="88">
        <v>400</v>
      </c>
    </row>
    <row r="155" spans="7:20" ht="56" hidden="1" x14ac:dyDescent="0.35">
      <c r="G155" s="250" t="s">
        <v>956</v>
      </c>
      <c r="H155" s="251" t="s">
        <v>957</v>
      </c>
      <c r="I155" s="91">
        <v>4000</v>
      </c>
      <c r="J155" s="91">
        <v>1500</v>
      </c>
      <c r="K155" s="91">
        <v>1200</v>
      </c>
      <c r="L155" s="91">
        <v>1000</v>
      </c>
      <c r="M155" s="91">
        <v>2560</v>
      </c>
      <c r="N155" s="88">
        <v>900</v>
      </c>
      <c r="O155" s="88">
        <v>720</v>
      </c>
      <c r="P155" s="88">
        <v>640</v>
      </c>
      <c r="Q155" s="91">
        <v>1920</v>
      </c>
      <c r="R155" s="88">
        <v>600</v>
      </c>
      <c r="S155" s="88">
        <v>480</v>
      </c>
      <c r="T155" s="88">
        <v>480</v>
      </c>
    </row>
    <row r="156" spans="7:20" ht="56" hidden="1" x14ac:dyDescent="0.35">
      <c r="G156" s="250" t="s">
        <v>958</v>
      </c>
      <c r="H156" s="251" t="s">
        <v>959</v>
      </c>
      <c r="I156" s="91">
        <v>4000</v>
      </c>
      <c r="J156" s="91">
        <v>2000</v>
      </c>
      <c r="K156" s="91">
        <v>1200</v>
      </c>
      <c r="L156" s="91">
        <v>1000</v>
      </c>
      <c r="M156" s="91">
        <v>2400</v>
      </c>
      <c r="N156" s="91">
        <v>1200</v>
      </c>
      <c r="O156" s="88">
        <v>720</v>
      </c>
      <c r="P156" s="88">
        <v>640</v>
      </c>
      <c r="Q156" s="91">
        <v>1600</v>
      </c>
      <c r="R156" s="88">
        <v>800</v>
      </c>
      <c r="S156" s="88">
        <v>480</v>
      </c>
      <c r="T156" s="88">
        <v>480</v>
      </c>
    </row>
    <row r="157" spans="7:20" ht="42" hidden="1" x14ac:dyDescent="0.35">
      <c r="G157" s="250" t="s">
        <v>960</v>
      </c>
      <c r="H157" s="251" t="s">
        <v>961</v>
      </c>
      <c r="I157" s="91">
        <v>5000</v>
      </c>
      <c r="J157" s="91">
        <v>2000</v>
      </c>
      <c r="K157" s="91">
        <v>1200</v>
      </c>
      <c r="L157" s="91">
        <v>1000</v>
      </c>
      <c r="M157" s="91">
        <v>3600</v>
      </c>
      <c r="N157" s="91">
        <v>1200</v>
      </c>
      <c r="O157" s="88">
        <v>720</v>
      </c>
      <c r="P157" s="88">
        <v>640</v>
      </c>
      <c r="Q157" s="91">
        <v>2700</v>
      </c>
      <c r="R157" s="88">
        <v>800</v>
      </c>
      <c r="S157" s="88">
        <v>480</v>
      </c>
      <c r="T157" s="88">
        <v>480</v>
      </c>
    </row>
    <row r="158" spans="7:20" ht="56" hidden="1" x14ac:dyDescent="0.35">
      <c r="G158" s="250" t="s">
        <v>962</v>
      </c>
      <c r="H158" s="251" t="s">
        <v>963</v>
      </c>
      <c r="I158" s="91">
        <v>12000</v>
      </c>
      <c r="J158" s="91">
        <v>5000</v>
      </c>
      <c r="K158" s="91">
        <v>2000</v>
      </c>
      <c r="L158" s="91">
        <v>1500</v>
      </c>
      <c r="M158" s="91">
        <v>7200</v>
      </c>
      <c r="N158" s="91">
        <v>3000</v>
      </c>
      <c r="O158" s="91">
        <v>1200</v>
      </c>
      <c r="P158" s="88">
        <v>900</v>
      </c>
      <c r="Q158" s="91">
        <v>4800</v>
      </c>
      <c r="R158" s="91">
        <v>2000</v>
      </c>
      <c r="S158" s="88">
        <v>800</v>
      </c>
      <c r="T158" s="88">
        <v>600</v>
      </c>
    </row>
    <row r="159" spans="7:20" ht="70" hidden="1" x14ac:dyDescent="0.35">
      <c r="G159" s="250" t="s">
        <v>964</v>
      </c>
      <c r="H159" s="251" t="s">
        <v>965</v>
      </c>
      <c r="I159" s="91">
        <v>15000</v>
      </c>
      <c r="J159" s="91">
        <v>4000</v>
      </c>
      <c r="K159" s="91">
        <v>2000</v>
      </c>
      <c r="L159" s="91">
        <v>1500</v>
      </c>
      <c r="M159" s="91">
        <v>9000</v>
      </c>
      <c r="N159" s="91">
        <v>2400</v>
      </c>
      <c r="O159" s="91">
        <v>1200</v>
      </c>
      <c r="P159" s="88">
        <v>900</v>
      </c>
      <c r="Q159" s="91">
        <v>6000</v>
      </c>
      <c r="R159" s="91">
        <v>1600</v>
      </c>
      <c r="S159" s="88">
        <v>800</v>
      </c>
      <c r="T159" s="88">
        <v>600</v>
      </c>
    </row>
    <row r="160" spans="7:20" ht="42" hidden="1" x14ac:dyDescent="0.35">
      <c r="G160" s="250" t="s">
        <v>966</v>
      </c>
      <c r="H160" s="251" t="s">
        <v>967</v>
      </c>
      <c r="I160" s="91">
        <v>4000</v>
      </c>
      <c r="J160" s="91">
        <v>3000</v>
      </c>
      <c r="K160" s="91">
        <v>2000</v>
      </c>
      <c r="L160" s="91">
        <v>1500</v>
      </c>
      <c r="M160" s="91">
        <v>2400</v>
      </c>
      <c r="N160" s="91">
        <v>1800</v>
      </c>
      <c r="O160" s="91">
        <v>1200</v>
      </c>
      <c r="P160" s="88">
        <v>900</v>
      </c>
      <c r="Q160" s="91">
        <v>1600</v>
      </c>
      <c r="R160" s="91">
        <v>1200</v>
      </c>
      <c r="S160" s="88">
        <v>800</v>
      </c>
      <c r="T160" s="88">
        <v>600</v>
      </c>
    </row>
    <row r="161" spans="7:20" ht="28" hidden="1" x14ac:dyDescent="0.35">
      <c r="G161" s="250">
        <v>59</v>
      </c>
      <c r="H161" s="251" t="s">
        <v>968</v>
      </c>
      <c r="I161" s="88"/>
      <c r="J161" s="88"/>
      <c r="K161" s="88"/>
      <c r="L161" s="88"/>
      <c r="M161" s="88"/>
      <c r="N161" s="88"/>
      <c r="O161" s="88"/>
      <c r="P161" s="88"/>
      <c r="Q161" s="88"/>
      <c r="R161" s="88"/>
      <c r="S161" s="88"/>
      <c r="T161" s="88"/>
    </row>
    <row r="162" spans="7:20" ht="28" hidden="1" x14ac:dyDescent="0.35">
      <c r="G162" s="250" t="s">
        <v>969</v>
      </c>
      <c r="H162" s="251" t="s">
        <v>970</v>
      </c>
      <c r="I162" s="91">
        <v>7000</v>
      </c>
      <c r="J162" s="91">
        <v>3000</v>
      </c>
      <c r="K162" s="91">
        <v>1500</v>
      </c>
      <c r="L162" s="91">
        <v>1000</v>
      </c>
      <c r="M162" s="91">
        <v>4200</v>
      </c>
      <c r="N162" s="91">
        <v>1800</v>
      </c>
      <c r="O162" s="88">
        <v>900</v>
      </c>
      <c r="P162" s="88">
        <v>600</v>
      </c>
      <c r="Q162" s="91">
        <v>2800</v>
      </c>
      <c r="R162" s="91">
        <v>1200</v>
      </c>
      <c r="S162" s="88">
        <v>600</v>
      </c>
      <c r="T162" s="88">
        <v>400</v>
      </c>
    </row>
    <row r="163" spans="7:20" ht="28" hidden="1" x14ac:dyDescent="0.35">
      <c r="G163" s="250" t="s">
        <v>971</v>
      </c>
      <c r="H163" s="251" t="s">
        <v>972</v>
      </c>
      <c r="I163" s="91">
        <v>6000</v>
      </c>
      <c r="J163" s="91">
        <v>3000</v>
      </c>
      <c r="K163" s="91">
        <v>1500</v>
      </c>
      <c r="L163" s="88">
        <v>800</v>
      </c>
      <c r="M163" s="91">
        <v>3600</v>
      </c>
      <c r="N163" s="91">
        <v>1800</v>
      </c>
      <c r="O163" s="88">
        <v>900</v>
      </c>
      <c r="P163" s="88">
        <v>480</v>
      </c>
      <c r="Q163" s="91">
        <v>2400</v>
      </c>
      <c r="R163" s="91">
        <v>1200</v>
      </c>
      <c r="S163" s="88">
        <v>600</v>
      </c>
      <c r="T163" s="88">
        <v>320</v>
      </c>
    </row>
    <row r="164" spans="7:20" ht="70" hidden="1" x14ac:dyDescent="0.35">
      <c r="G164" s="250">
        <v>60</v>
      </c>
      <c r="H164" s="251" t="s">
        <v>973</v>
      </c>
      <c r="I164" s="91">
        <v>5000</v>
      </c>
      <c r="J164" s="91">
        <v>3000</v>
      </c>
      <c r="K164" s="91">
        <v>1500</v>
      </c>
      <c r="L164" s="91">
        <v>1000</v>
      </c>
      <c r="M164" s="91">
        <v>3200</v>
      </c>
      <c r="N164" s="91">
        <v>1800</v>
      </c>
      <c r="O164" s="88">
        <v>900</v>
      </c>
      <c r="P164" s="88">
        <v>600</v>
      </c>
      <c r="Q164" s="91">
        <v>2400</v>
      </c>
      <c r="R164" s="91">
        <v>1200</v>
      </c>
      <c r="S164" s="88">
        <v>600</v>
      </c>
      <c r="T164" s="88">
        <v>400</v>
      </c>
    </row>
    <row r="165" spans="7:20" hidden="1" x14ac:dyDescent="0.35">
      <c r="G165" s="250">
        <v>61</v>
      </c>
      <c r="H165" s="251" t="s">
        <v>974</v>
      </c>
      <c r="I165" s="91">
        <v>4000</v>
      </c>
      <c r="J165" s="91">
        <v>3000</v>
      </c>
      <c r="K165" s="91">
        <v>1500</v>
      </c>
      <c r="L165" s="88">
        <v>800</v>
      </c>
      <c r="M165" s="91">
        <v>2400</v>
      </c>
      <c r="N165" s="91">
        <v>1800</v>
      </c>
      <c r="O165" s="88">
        <v>900</v>
      </c>
      <c r="P165" s="88">
        <v>480</v>
      </c>
      <c r="Q165" s="91">
        <v>1600</v>
      </c>
      <c r="R165" s="91">
        <v>1200</v>
      </c>
      <c r="S165" s="88">
        <v>600</v>
      </c>
      <c r="T165" s="88">
        <v>320</v>
      </c>
    </row>
    <row r="166" spans="7:20" ht="56" hidden="1" x14ac:dyDescent="0.35">
      <c r="G166" s="250">
        <v>62</v>
      </c>
      <c r="H166" s="251" t="s">
        <v>975</v>
      </c>
      <c r="I166" s="91">
        <v>7000</v>
      </c>
      <c r="J166" s="91">
        <v>3000</v>
      </c>
      <c r="K166" s="91">
        <v>1500</v>
      </c>
      <c r="L166" s="91">
        <v>1000</v>
      </c>
      <c r="M166" s="91">
        <v>4200</v>
      </c>
      <c r="N166" s="91">
        <v>1800</v>
      </c>
      <c r="O166" s="88">
        <v>900</v>
      </c>
      <c r="P166" s="88">
        <v>600</v>
      </c>
      <c r="Q166" s="91">
        <v>2800</v>
      </c>
      <c r="R166" s="91">
        <v>1200</v>
      </c>
      <c r="S166" s="88">
        <v>600</v>
      </c>
      <c r="T166" s="88">
        <v>400</v>
      </c>
    </row>
    <row r="167" spans="7:20" ht="56" hidden="1" x14ac:dyDescent="0.35">
      <c r="G167" s="250">
        <v>63</v>
      </c>
      <c r="H167" s="251" t="s">
        <v>976</v>
      </c>
      <c r="I167" s="91">
        <v>1800</v>
      </c>
      <c r="J167" s="91">
        <v>1000</v>
      </c>
      <c r="K167" s="88">
        <v>800</v>
      </c>
      <c r="L167" s="88">
        <v>550</v>
      </c>
      <c r="M167" s="91">
        <v>1200</v>
      </c>
      <c r="N167" s="88">
        <v>600</v>
      </c>
      <c r="O167" s="88">
        <v>480</v>
      </c>
      <c r="P167" s="88">
        <v>360</v>
      </c>
      <c r="Q167" s="88">
        <v>900</v>
      </c>
      <c r="R167" s="88">
        <v>400</v>
      </c>
      <c r="S167" s="88">
        <v>320</v>
      </c>
      <c r="T167" s="88">
        <v>270</v>
      </c>
    </row>
    <row r="168" spans="7:20" ht="56" hidden="1" x14ac:dyDescent="0.35">
      <c r="G168" s="250">
        <v>64</v>
      </c>
      <c r="H168" s="251" t="s">
        <v>977</v>
      </c>
      <c r="I168" s="91">
        <v>3000</v>
      </c>
      <c r="J168" s="91">
        <v>2000</v>
      </c>
      <c r="K168" s="91">
        <v>1200</v>
      </c>
      <c r="L168" s="91">
        <v>1000</v>
      </c>
      <c r="M168" s="91">
        <v>1800</v>
      </c>
      <c r="N168" s="91">
        <v>1200</v>
      </c>
      <c r="O168" s="88">
        <v>720</v>
      </c>
      <c r="P168" s="88">
        <v>600</v>
      </c>
      <c r="Q168" s="91">
        <v>1200</v>
      </c>
      <c r="R168" s="88">
        <v>800</v>
      </c>
      <c r="S168" s="88">
        <v>480</v>
      </c>
      <c r="T168" s="88">
        <v>400</v>
      </c>
    </row>
    <row r="169" spans="7:20" ht="42" hidden="1" x14ac:dyDescent="0.35">
      <c r="G169" s="250">
        <v>65</v>
      </c>
      <c r="H169" s="251" t="s">
        <v>978</v>
      </c>
      <c r="I169" s="91">
        <v>3500</v>
      </c>
      <c r="J169" s="91">
        <v>2000</v>
      </c>
      <c r="K169" s="91">
        <v>1200</v>
      </c>
      <c r="L169" s="91">
        <v>1000</v>
      </c>
      <c r="M169" s="91">
        <v>2100</v>
      </c>
      <c r="N169" s="91">
        <v>1200</v>
      </c>
      <c r="O169" s="88">
        <v>720</v>
      </c>
      <c r="P169" s="88">
        <v>640</v>
      </c>
      <c r="Q169" s="91">
        <v>1400</v>
      </c>
      <c r="R169" s="88">
        <v>800</v>
      </c>
      <c r="S169" s="88">
        <v>480</v>
      </c>
      <c r="T169" s="88">
        <v>480</v>
      </c>
    </row>
    <row r="170" spans="7:20" ht="42" hidden="1" x14ac:dyDescent="0.35">
      <c r="G170" s="250">
        <v>66</v>
      </c>
      <c r="H170" s="251" t="s">
        <v>979</v>
      </c>
      <c r="I170" s="91">
        <v>8000</v>
      </c>
      <c r="J170" s="91">
        <v>3000</v>
      </c>
      <c r="K170" s="91">
        <v>2000</v>
      </c>
      <c r="L170" s="91">
        <v>1500</v>
      </c>
      <c r="M170" s="91">
        <v>4800</v>
      </c>
      <c r="N170" s="91">
        <v>1800</v>
      </c>
      <c r="O170" s="91">
        <v>1200</v>
      </c>
      <c r="P170" s="88">
        <v>900</v>
      </c>
      <c r="Q170" s="91">
        <v>3200</v>
      </c>
      <c r="R170" s="91">
        <v>1200</v>
      </c>
      <c r="S170" s="88">
        <v>800</v>
      </c>
      <c r="T170" s="88">
        <v>600</v>
      </c>
    </row>
    <row r="171" spans="7:20" ht="28" hidden="1" x14ac:dyDescent="0.35">
      <c r="G171" s="250">
        <v>67</v>
      </c>
      <c r="H171" s="251" t="s">
        <v>980</v>
      </c>
      <c r="I171" s="91">
        <v>4000</v>
      </c>
      <c r="J171" s="91">
        <v>2000</v>
      </c>
      <c r="K171" s="91">
        <v>1200</v>
      </c>
      <c r="L171" s="91">
        <v>1000</v>
      </c>
      <c r="M171" s="91">
        <v>2400</v>
      </c>
      <c r="N171" s="91">
        <v>1200</v>
      </c>
      <c r="O171" s="88">
        <v>720</v>
      </c>
      <c r="P171" s="88">
        <v>640</v>
      </c>
      <c r="Q171" s="91">
        <v>1600</v>
      </c>
      <c r="R171" s="88">
        <v>800</v>
      </c>
      <c r="S171" s="88">
        <v>480</v>
      </c>
      <c r="T171" s="88">
        <v>480</v>
      </c>
    </row>
    <row r="172" spans="7:20" ht="28" hidden="1" x14ac:dyDescent="0.35">
      <c r="G172" s="250">
        <v>68</v>
      </c>
      <c r="H172" s="251" t="s">
        <v>981</v>
      </c>
      <c r="I172" s="91">
        <v>3000</v>
      </c>
      <c r="J172" s="91">
        <v>2000</v>
      </c>
      <c r="K172" s="91">
        <v>1200</v>
      </c>
      <c r="L172" s="91">
        <v>1000</v>
      </c>
      <c r="M172" s="91">
        <v>1800</v>
      </c>
      <c r="N172" s="91">
        <v>1200</v>
      </c>
      <c r="O172" s="88">
        <v>720</v>
      </c>
      <c r="P172" s="88">
        <v>600</v>
      </c>
      <c r="Q172" s="91">
        <v>1200</v>
      </c>
      <c r="R172" s="88">
        <v>800</v>
      </c>
      <c r="S172" s="88">
        <v>480</v>
      </c>
      <c r="T172" s="88">
        <v>400</v>
      </c>
    </row>
    <row r="173" spans="7:20" ht="56" hidden="1" x14ac:dyDescent="0.35">
      <c r="G173" s="250">
        <v>69</v>
      </c>
      <c r="H173" s="251" t="s">
        <v>982</v>
      </c>
      <c r="I173" s="91">
        <v>5000</v>
      </c>
      <c r="J173" s="91">
        <v>2000</v>
      </c>
      <c r="K173" s="91">
        <v>1200</v>
      </c>
      <c r="L173" s="91">
        <v>1000</v>
      </c>
      <c r="M173" s="91">
        <v>3000</v>
      </c>
      <c r="N173" s="91">
        <v>1200</v>
      </c>
      <c r="O173" s="88">
        <v>720</v>
      </c>
      <c r="P173" s="88">
        <v>640</v>
      </c>
      <c r="Q173" s="91">
        <v>2000</v>
      </c>
      <c r="R173" s="88">
        <v>800</v>
      </c>
      <c r="S173" s="88">
        <v>480</v>
      </c>
      <c r="T173" s="88">
        <v>480</v>
      </c>
    </row>
    <row r="174" spans="7:20" ht="56" hidden="1" x14ac:dyDescent="0.35">
      <c r="G174" s="250">
        <v>70</v>
      </c>
      <c r="H174" s="251" t="s">
        <v>983</v>
      </c>
      <c r="I174" s="91">
        <v>5000</v>
      </c>
      <c r="J174" s="91">
        <v>2000</v>
      </c>
      <c r="K174" s="91">
        <v>1200</v>
      </c>
      <c r="L174" s="91">
        <v>1000</v>
      </c>
      <c r="M174" s="91">
        <v>3000</v>
      </c>
      <c r="N174" s="91">
        <v>1200</v>
      </c>
      <c r="O174" s="88">
        <v>720</v>
      </c>
      <c r="P174" s="88">
        <v>640</v>
      </c>
      <c r="Q174" s="91">
        <v>2000</v>
      </c>
      <c r="R174" s="88">
        <v>800</v>
      </c>
      <c r="S174" s="88">
        <v>480</v>
      </c>
      <c r="T174" s="88">
        <v>480</v>
      </c>
    </row>
    <row r="175" spans="7:20" ht="28" hidden="1" x14ac:dyDescent="0.35">
      <c r="G175" s="250">
        <v>71</v>
      </c>
      <c r="H175" s="251" t="s">
        <v>984</v>
      </c>
      <c r="I175" s="91">
        <v>5000</v>
      </c>
      <c r="J175" s="88"/>
      <c r="K175" s="88"/>
      <c r="L175" s="88"/>
      <c r="M175" s="91">
        <v>3000</v>
      </c>
      <c r="N175" s="88"/>
      <c r="O175" s="88"/>
      <c r="P175" s="88"/>
      <c r="Q175" s="91">
        <v>2000</v>
      </c>
      <c r="R175" s="88"/>
      <c r="S175" s="88"/>
      <c r="T175" s="88"/>
    </row>
    <row r="176" spans="7:20" ht="28" hidden="1" x14ac:dyDescent="0.35">
      <c r="G176" s="250">
        <v>72</v>
      </c>
      <c r="H176" s="251" t="s">
        <v>985</v>
      </c>
      <c r="I176" s="88">
        <v>660</v>
      </c>
      <c r="J176" s="88"/>
      <c r="K176" s="88"/>
      <c r="L176" s="88"/>
      <c r="M176" s="88">
        <v>480</v>
      </c>
      <c r="N176" s="88"/>
      <c r="O176" s="88"/>
      <c r="P176" s="88"/>
      <c r="Q176" s="88">
        <v>360</v>
      </c>
      <c r="R176" s="88"/>
      <c r="S176" s="88"/>
      <c r="T176" s="88"/>
    </row>
    <row r="177" spans="7:20" ht="28" hidden="1" x14ac:dyDescent="0.35">
      <c r="G177" s="250">
        <v>73</v>
      </c>
      <c r="H177" s="251" t="s">
        <v>986</v>
      </c>
      <c r="I177" s="88"/>
      <c r="J177" s="88"/>
      <c r="K177" s="88"/>
      <c r="L177" s="88"/>
      <c r="M177" s="88"/>
      <c r="N177" s="88"/>
      <c r="O177" s="88"/>
      <c r="P177" s="88"/>
      <c r="Q177" s="88"/>
      <c r="R177" s="88"/>
      <c r="S177" s="88"/>
      <c r="T177" s="88"/>
    </row>
    <row r="178" spans="7:20" hidden="1" x14ac:dyDescent="0.35">
      <c r="G178" s="250" t="s">
        <v>987</v>
      </c>
      <c r="H178" s="251" t="s">
        <v>988</v>
      </c>
      <c r="I178" s="91">
        <v>13300</v>
      </c>
      <c r="J178" s="88"/>
      <c r="K178" s="88"/>
      <c r="L178" s="88"/>
      <c r="M178" s="91">
        <v>7980</v>
      </c>
      <c r="N178" s="88"/>
      <c r="O178" s="88"/>
      <c r="P178" s="88"/>
      <c r="Q178" s="91">
        <v>5320</v>
      </c>
      <c r="R178" s="88"/>
      <c r="S178" s="88"/>
      <c r="T178" s="88"/>
    </row>
    <row r="179" spans="7:20" ht="28" hidden="1" x14ac:dyDescent="0.35">
      <c r="G179" s="250" t="s">
        <v>989</v>
      </c>
      <c r="H179" s="251" t="s">
        <v>990</v>
      </c>
      <c r="I179" s="91">
        <v>10000</v>
      </c>
      <c r="J179" s="88"/>
      <c r="K179" s="88"/>
      <c r="L179" s="88"/>
      <c r="M179" s="91">
        <v>6000</v>
      </c>
      <c r="N179" s="88"/>
      <c r="O179" s="88"/>
      <c r="P179" s="88"/>
      <c r="Q179" s="91">
        <v>4000</v>
      </c>
      <c r="R179" s="88"/>
      <c r="S179" s="88"/>
      <c r="T179" s="88"/>
    </row>
    <row r="180" spans="7:20" ht="28" hidden="1" x14ac:dyDescent="0.35">
      <c r="G180" s="250">
        <v>74</v>
      </c>
      <c r="H180" s="251" t="s">
        <v>991</v>
      </c>
      <c r="I180" s="91">
        <v>1000</v>
      </c>
      <c r="J180" s="88">
        <v>800</v>
      </c>
      <c r="K180" s="88">
        <v>700</v>
      </c>
      <c r="L180" s="88">
        <v>660</v>
      </c>
      <c r="M180" s="88">
        <v>720</v>
      </c>
      <c r="N180" s="88">
        <v>520</v>
      </c>
      <c r="O180" s="88">
        <v>500</v>
      </c>
      <c r="P180" s="88">
        <v>480</v>
      </c>
      <c r="Q180" s="88">
        <v>540</v>
      </c>
      <c r="R180" s="88">
        <v>400</v>
      </c>
      <c r="S180" s="88">
        <v>380</v>
      </c>
      <c r="T180" s="88">
        <v>360</v>
      </c>
    </row>
    <row r="181" spans="7:20" ht="42" hidden="1" x14ac:dyDescent="0.35">
      <c r="G181" s="250">
        <v>75</v>
      </c>
      <c r="H181" s="251" t="s">
        <v>992</v>
      </c>
      <c r="I181" s="91">
        <v>1000</v>
      </c>
      <c r="J181" s="88">
        <v>800</v>
      </c>
      <c r="K181" s="88">
        <v>700</v>
      </c>
      <c r="L181" s="88">
        <v>660</v>
      </c>
      <c r="M181" s="88">
        <v>640</v>
      </c>
      <c r="N181" s="88">
        <v>520</v>
      </c>
      <c r="O181" s="88">
        <v>500</v>
      </c>
      <c r="P181" s="88">
        <v>480</v>
      </c>
      <c r="Q181" s="88">
        <v>480</v>
      </c>
      <c r="R181" s="88">
        <v>400</v>
      </c>
      <c r="S181" s="88">
        <v>380</v>
      </c>
      <c r="T181" s="88">
        <v>360</v>
      </c>
    </row>
    <row r="182" spans="7:20" ht="28" hidden="1" x14ac:dyDescent="0.35">
      <c r="G182" s="250">
        <v>76</v>
      </c>
      <c r="H182" s="251" t="s">
        <v>993</v>
      </c>
      <c r="I182" s="91">
        <v>1500</v>
      </c>
      <c r="J182" s="88">
        <v>800</v>
      </c>
      <c r="K182" s="88">
        <v>700</v>
      </c>
      <c r="L182" s="88">
        <v>660</v>
      </c>
      <c r="M182" s="88">
        <v>900</v>
      </c>
      <c r="N182" s="88">
        <v>520</v>
      </c>
      <c r="O182" s="88">
        <v>500</v>
      </c>
      <c r="P182" s="88">
        <v>480</v>
      </c>
      <c r="Q182" s="88">
        <v>660</v>
      </c>
      <c r="R182" s="88">
        <v>400</v>
      </c>
      <c r="S182" s="88">
        <v>380</v>
      </c>
      <c r="T182" s="88">
        <v>360</v>
      </c>
    </row>
    <row r="183" spans="7:20" ht="28" hidden="1" x14ac:dyDescent="0.35">
      <c r="G183" s="250">
        <v>77</v>
      </c>
      <c r="H183" s="251" t="s">
        <v>994</v>
      </c>
      <c r="I183" s="91">
        <v>1000</v>
      </c>
      <c r="J183" s="88">
        <v>800</v>
      </c>
      <c r="K183" s="88">
        <v>700</v>
      </c>
      <c r="L183" s="88">
        <v>660</v>
      </c>
      <c r="M183" s="88">
        <v>720</v>
      </c>
      <c r="N183" s="88">
        <v>520</v>
      </c>
      <c r="O183" s="88">
        <v>500</v>
      </c>
      <c r="P183" s="88">
        <v>480</v>
      </c>
      <c r="Q183" s="88">
        <v>540</v>
      </c>
      <c r="R183" s="88">
        <v>400</v>
      </c>
      <c r="S183" s="88">
        <v>380</v>
      </c>
      <c r="T183" s="88">
        <v>360</v>
      </c>
    </row>
    <row r="184" spans="7:20" ht="42" hidden="1" x14ac:dyDescent="0.35">
      <c r="G184" s="250">
        <v>78</v>
      </c>
      <c r="H184" s="251" t="s">
        <v>995</v>
      </c>
      <c r="I184" s="88">
        <v>660</v>
      </c>
      <c r="J184" s="88"/>
      <c r="K184" s="88"/>
      <c r="L184" s="88"/>
      <c r="M184" s="88">
        <v>440</v>
      </c>
      <c r="N184" s="88"/>
      <c r="O184" s="88"/>
      <c r="P184" s="88"/>
      <c r="Q184" s="88">
        <v>330</v>
      </c>
      <c r="R184" s="88"/>
      <c r="S184" s="88"/>
      <c r="T184" s="88"/>
    </row>
    <row r="185" spans="7:20" ht="28" hidden="1" x14ac:dyDescent="0.35">
      <c r="G185" s="250">
        <v>79</v>
      </c>
      <c r="H185" s="251" t="s">
        <v>996</v>
      </c>
      <c r="I185" s="88">
        <v>740</v>
      </c>
      <c r="J185" s="88"/>
      <c r="K185" s="88"/>
      <c r="L185" s="88"/>
      <c r="M185" s="88">
        <v>590</v>
      </c>
      <c r="N185" s="88"/>
      <c r="O185" s="88"/>
      <c r="P185" s="88"/>
      <c r="Q185" s="88">
        <v>443</v>
      </c>
      <c r="R185" s="88"/>
      <c r="S185" s="88"/>
      <c r="T185" s="88"/>
    </row>
    <row r="186" spans="7:20" ht="70" hidden="1" x14ac:dyDescent="0.35">
      <c r="G186" s="250">
        <v>80</v>
      </c>
      <c r="H186" s="251" t="s">
        <v>997</v>
      </c>
      <c r="I186" s="91">
        <v>3000</v>
      </c>
      <c r="J186" s="88">
        <v>800</v>
      </c>
      <c r="K186" s="88">
        <v>700</v>
      </c>
      <c r="L186" s="88">
        <v>660</v>
      </c>
      <c r="M186" s="91">
        <v>2000</v>
      </c>
      <c r="N186" s="88">
        <v>520</v>
      </c>
      <c r="O186" s="88">
        <v>500</v>
      </c>
      <c r="P186" s="88">
        <v>480</v>
      </c>
      <c r="Q186" s="91">
        <v>1500</v>
      </c>
      <c r="R186" s="88">
        <v>400</v>
      </c>
      <c r="S186" s="88">
        <v>380</v>
      </c>
      <c r="T186" s="88">
        <v>360</v>
      </c>
    </row>
    <row r="187" spans="7:20" ht="84" hidden="1" x14ac:dyDescent="0.35">
      <c r="G187" s="250">
        <v>81</v>
      </c>
      <c r="H187" s="251" t="s">
        <v>998</v>
      </c>
      <c r="I187" s="91">
        <v>2000</v>
      </c>
      <c r="J187" s="88">
        <v>800</v>
      </c>
      <c r="K187" s="88">
        <v>700</v>
      </c>
      <c r="L187" s="88">
        <v>660</v>
      </c>
      <c r="M187" s="91">
        <v>1200</v>
      </c>
      <c r="N187" s="88">
        <v>520</v>
      </c>
      <c r="O187" s="88">
        <v>500</v>
      </c>
      <c r="P187" s="88">
        <v>480</v>
      </c>
      <c r="Q187" s="88">
        <v>800</v>
      </c>
      <c r="R187" s="88">
        <v>400</v>
      </c>
      <c r="S187" s="88">
        <v>380</v>
      </c>
      <c r="T187" s="88">
        <v>360</v>
      </c>
    </row>
    <row r="188" spans="7:20" ht="28" hidden="1" x14ac:dyDescent="0.35">
      <c r="G188" s="250">
        <v>82</v>
      </c>
      <c r="H188" s="251" t="s">
        <v>999</v>
      </c>
      <c r="I188" s="91">
        <v>2500</v>
      </c>
      <c r="J188" s="88">
        <v>800</v>
      </c>
      <c r="K188" s="88">
        <v>700</v>
      </c>
      <c r="L188" s="88">
        <v>660</v>
      </c>
      <c r="M188" s="91">
        <v>1500</v>
      </c>
      <c r="N188" s="88">
        <v>520</v>
      </c>
      <c r="O188" s="88">
        <v>500</v>
      </c>
      <c r="P188" s="88">
        <v>480</v>
      </c>
      <c r="Q188" s="91">
        <v>1000</v>
      </c>
      <c r="R188" s="88">
        <v>400</v>
      </c>
      <c r="S188" s="88">
        <v>380</v>
      </c>
      <c r="T188" s="88">
        <v>360</v>
      </c>
    </row>
    <row r="189" spans="7:20" ht="70" hidden="1" x14ac:dyDescent="0.35">
      <c r="G189" s="250">
        <v>83</v>
      </c>
      <c r="H189" s="251" t="s">
        <v>1000</v>
      </c>
      <c r="I189" s="91">
        <v>4000</v>
      </c>
      <c r="J189" s="88">
        <v>800</v>
      </c>
      <c r="K189" s="88">
        <v>700</v>
      </c>
      <c r="L189" s="88">
        <v>660</v>
      </c>
      <c r="M189" s="91">
        <v>2800</v>
      </c>
      <c r="N189" s="88">
        <v>520</v>
      </c>
      <c r="O189" s="88">
        <v>500</v>
      </c>
      <c r="P189" s="88">
        <v>480</v>
      </c>
      <c r="Q189" s="91">
        <v>2100</v>
      </c>
      <c r="R189" s="88">
        <v>400</v>
      </c>
      <c r="S189" s="88">
        <v>380</v>
      </c>
      <c r="T189" s="88">
        <v>360</v>
      </c>
    </row>
    <row r="190" spans="7:20" ht="42" hidden="1" x14ac:dyDescent="0.35">
      <c r="G190" s="250">
        <v>84</v>
      </c>
      <c r="H190" s="251" t="s">
        <v>1001</v>
      </c>
      <c r="I190" s="91">
        <v>6000</v>
      </c>
      <c r="J190" s="88">
        <v>800</v>
      </c>
      <c r="K190" s="88">
        <v>700</v>
      </c>
      <c r="L190" s="88">
        <v>660</v>
      </c>
      <c r="M190" s="91">
        <v>3600</v>
      </c>
      <c r="N190" s="88">
        <v>520</v>
      </c>
      <c r="O190" s="88">
        <v>500</v>
      </c>
      <c r="P190" s="88">
        <v>480</v>
      </c>
      <c r="Q190" s="91">
        <v>2580</v>
      </c>
      <c r="R190" s="88">
        <v>400</v>
      </c>
      <c r="S190" s="88">
        <v>380</v>
      </c>
      <c r="T190" s="88">
        <v>360</v>
      </c>
    </row>
    <row r="191" spans="7:20" ht="84" hidden="1" x14ac:dyDescent="0.35">
      <c r="G191" s="250">
        <v>85</v>
      </c>
      <c r="H191" s="251" t="s">
        <v>1002</v>
      </c>
      <c r="I191" s="91">
        <v>3300</v>
      </c>
      <c r="J191" s="88">
        <v>800</v>
      </c>
      <c r="K191" s="88">
        <v>700</v>
      </c>
      <c r="L191" s="88">
        <v>660</v>
      </c>
      <c r="M191" s="91">
        <v>2240</v>
      </c>
      <c r="N191" s="88">
        <v>520</v>
      </c>
      <c r="O191" s="88">
        <v>500</v>
      </c>
      <c r="P191" s="88">
        <v>480</v>
      </c>
      <c r="Q191" s="91">
        <v>1680</v>
      </c>
      <c r="R191" s="88">
        <v>400</v>
      </c>
      <c r="S191" s="88">
        <v>380</v>
      </c>
      <c r="T191" s="88">
        <v>360</v>
      </c>
    </row>
    <row r="192" spans="7:20" ht="84" hidden="1" x14ac:dyDescent="0.35">
      <c r="G192" s="250">
        <v>86</v>
      </c>
      <c r="H192" s="251" t="s">
        <v>1003</v>
      </c>
      <c r="I192" s="91">
        <v>4000</v>
      </c>
      <c r="J192" s="91">
        <v>3300</v>
      </c>
      <c r="K192" s="88">
        <v>700</v>
      </c>
      <c r="L192" s="88">
        <v>660</v>
      </c>
      <c r="M192" s="91">
        <v>2400</v>
      </c>
      <c r="N192" s="91">
        <v>1980</v>
      </c>
      <c r="O192" s="88">
        <v>500</v>
      </c>
      <c r="P192" s="88">
        <v>480</v>
      </c>
      <c r="Q192" s="91">
        <v>1800</v>
      </c>
      <c r="R192" s="91">
        <v>1320</v>
      </c>
      <c r="S192" s="88">
        <v>380</v>
      </c>
      <c r="T192" s="88">
        <v>360</v>
      </c>
    </row>
    <row r="193" spans="7:20" ht="42" hidden="1" x14ac:dyDescent="0.35">
      <c r="G193" s="250">
        <v>87</v>
      </c>
      <c r="H193" s="251" t="s">
        <v>1004</v>
      </c>
      <c r="I193" s="91">
        <v>3000</v>
      </c>
      <c r="J193" s="88">
        <v>800</v>
      </c>
      <c r="K193" s="88">
        <v>700</v>
      </c>
      <c r="L193" s="88">
        <v>660</v>
      </c>
      <c r="M193" s="91">
        <v>1800</v>
      </c>
      <c r="N193" s="88">
        <v>520</v>
      </c>
      <c r="O193" s="88">
        <v>500</v>
      </c>
      <c r="P193" s="88">
        <v>480</v>
      </c>
      <c r="Q193" s="91">
        <v>1200</v>
      </c>
      <c r="R193" s="88">
        <v>400</v>
      </c>
      <c r="S193" s="88">
        <v>380</v>
      </c>
      <c r="T193" s="88">
        <v>360</v>
      </c>
    </row>
    <row r="194" spans="7:20" ht="70" hidden="1" x14ac:dyDescent="0.35">
      <c r="G194" s="250">
        <v>88</v>
      </c>
      <c r="H194" s="251" t="s">
        <v>1005</v>
      </c>
      <c r="I194" s="91">
        <v>1500</v>
      </c>
      <c r="J194" s="88">
        <v>800</v>
      </c>
      <c r="K194" s="88">
        <v>700</v>
      </c>
      <c r="L194" s="88">
        <v>660</v>
      </c>
      <c r="M194" s="88">
        <v>900</v>
      </c>
      <c r="N194" s="88">
        <v>520</v>
      </c>
      <c r="O194" s="88">
        <v>500</v>
      </c>
      <c r="P194" s="88">
        <v>480</v>
      </c>
      <c r="Q194" s="88">
        <v>660</v>
      </c>
      <c r="R194" s="88">
        <v>400</v>
      </c>
      <c r="S194" s="88">
        <v>380</v>
      </c>
      <c r="T194" s="88">
        <v>360</v>
      </c>
    </row>
    <row r="195" spans="7:20" ht="70" hidden="1" x14ac:dyDescent="0.35">
      <c r="G195" s="250">
        <v>89</v>
      </c>
      <c r="H195" s="251" t="s">
        <v>1006</v>
      </c>
      <c r="I195" s="91">
        <v>4000</v>
      </c>
      <c r="J195" s="88">
        <v>800</v>
      </c>
      <c r="K195" s="88">
        <v>700</v>
      </c>
      <c r="L195" s="88">
        <v>660</v>
      </c>
      <c r="M195" s="91">
        <v>2400</v>
      </c>
      <c r="N195" s="88">
        <v>520</v>
      </c>
      <c r="O195" s="88">
        <v>500</v>
      </c>
      <c r="P195" s="88">
        <v>480</v>
      </c>
      <c r="Q195" s="91">
        <v>1800</v>
      </c>
      <c r="R195" s="88">
        <v>400</v>
      </c>
      <c r="S195" s="88">
        <v>380</v>
      </c>
      <c r="T195" s="88">
        <v>360</v>
      </c>
    </row>
    <row r="196" spans="7:20" hidden="1" x14ac:dyDescent="0.35">
      <c r="G196" s="250">
        <v>90</v>
      </c>
      <c r="H196" s="251" t="s">
        <v>1007</v>
      </c>
      <c r="I196" s="91">
        <v>9200</v>
      </c>
      <c r="J196" s="88"/>
      <c r="K196" s="88"/>
      <c r="L196" s="88"/>
      <c r="M196" s="91">
        <v>5520</v>
      </c>
      <c r="N196" s="88"/>
      <c r="O196" s="88"/>
      <c r="P196" s="88"/>
      <c r="Q196" s="91">
        <v>3680</v>
      </c>
      <c r="R196" s="88"/>
      <c r="S196" s="88"/>
      <c r="T196" s="88"/>
    </row>
    <row r="197" spans="7:20" ht="28" hidden="1" x14ac:dyDescent="0.35">
      <c r="G197" s="250">
        <v>91</v>
      </c>
      <c r="H197" s="251" t="s">
        <v>1008</v>
      </c>
      <c r="I197" s="91">
        <v>4400</v>
      </c>
      <c r="J197" s="88"/>
      <c r="K197" s="88"/>
      <c r="L197" s="88"/>
      <c r="M197" s="91">
        <v>3200</v>
      </c>
      <c r="N197" s="88"/>
      <c r="O197" s="88"/>
      <c r="P197" s="88"/>
      <c r="Q197" s="91">
        <v>2400</v>
      </c>
      <c r="R197" s="88"/>
      <c r="S197" s="88"/>
      <c r="T197" s="88"/>
    </row>
    <row r="198" spans="7:20" ht="28" hidden="1" x14ac:dyDescent="0.35">
      <c r="G198" s="250">
        <v>92</v>
      </c>
      <c r="H198" s="251" t="s">
        <v>1009</v>
      </c>
      <c r="I198" s="91">
        <v>1100</v>
      </c>
      <c r="J198" s="88"/>
      <c r="K198" s="88"/>
      <c r="L198" s="88"/>
      <c r="M198" s="88">
        <v>800</v>
      </c>
      <c r="N198" s="88"/>
      <c r="O198" s="88"/>
      <c r="P198" s="88"/>
      <c r="Q198" s="88">
        <v>600</v>
      </c>
      <c r="R198" s="88"/>
      <c r="S198" s="88"/>
      <c r="T198" s="88"/>
    </row>
    <row r="199" spans="7:20" ht="70" hidden="1" x14ac:dyDescent="0.35">
      <c r="G199" s="250">
        <v>93</v>
      </c>
      <c r="H199" s="251" t="s">
        <v>1010</v>
      </c>
      <c r="I199" s="91">
        <v>1000</v>
      </c>
      <c r="J199" s="88">
        <v>800</v>
      </c>
      <c r="K199" s="88">
        <v>700</v>
      </c>
      <c r="L199" s="88">
        <v>600</v>
      </c>
      <c r="M199" s="88">
        <v>730</v>
      </c>
      <c r="N199" s="88">
        <v>480</v>
      </c>
      <c r="O199" s="88">
        <v>420</v>
      </c>
      <c r="P199" s="88">
        <v>400</v>
      </c>
      <c r="Q199" s="88">
        <v>548</v>
      </c>
      <c r="R199" s="88">
        <v>320</v>
      </c>
      <c r="S199" s="88">
        <v>310</v>
      </c>
      <c r="T199" s="88">
        <v>300</v>
      </c>
    </row>
    <row r="200" spans="7:20" ht="70" hidden="1" x14ac:dyDescent="0.35">
      <c r="G200" s="250">
        <v>94</v>
      </c>
      <c r="H200" s="251" t="s">
        <v>1011</v>
      </c>
      <c r="I200" s="91">
        <v>1500</v>
      </c>
      <c r="J200" s="88">
        <v>800</v>
      </c>
      <c r="K200" s="88">
        <v>700</v>
      </c>
      <c r="L200" s="88">
        <v>600</v>
      </c>
      <c r="M200" s="88">
        <v>900</v>
      </c>
      <c r="N200" s="88">
        <v>480</v>
      </c>
      <c r="O200" s="88">
        <v>420</v>
      </c>
      <c r="P200" s="88">
        <v>400</v>
      </c>
      <c r="Q200" s="88">
        <v>600</v>
      </c>
      <c r="R200" s="88">
        <v>320</v>
      </c>
      <c r="S200" s="88">
        <v>310</v>
      </c>
      <c r="T200" s="88">
        <v>300</v>
      </c>
    </row>
    <row r="201" spans="7:20" ht="70" hidden="1" x14ac:dyDescent="0.35">
      <c r="G201" s="250">
        <v>95</v>
      </c>
      <c r="H201" s="251" t="s">
        <v>1012</v>
      </c>
      <c r="I201" s="91">
        <v>1100</v>
      </c>
      <c r="J201" s="88">
        <v>800</v>
      </c>
      <c r="K201" s="88">
        <v>700</v>
      </c>
      <c r="L201" s="88">
        <v>600</v>
      </c>
      <c r="M201" s="88">
        <v>660</v>
      </c>
      <c r="N201" s="88">
        <v>480</v>
      </c>
      <c r="O201" s="88">
        <v>420</v>
      </c>
      <c r="P201" s="88">
        <v>400</v>
      </c>
      <c r="Q201" s="88">
        <v>440</v>
      </c>
      <c r="R201" s="88">
        <v>320</v>
      </c>
      <c r="S201" s="88">
        <v>310</v>
      </c>
      <c r="T201" s="88">
        <v>300</v>
      </c>
    </row>
    <row r="202" spans="7:20" ht="70" hidden="1" x14ac:dyDescent="0.35">
      <c r="G202" s="250">
        <v>96</v>
      </c>
      <c r="H202" s="251" t="s">
        <v>1013</v>
      </c>
      <c r="I202" s="91">
        <v>1600</v>
      </c>
      <c r="J202" s="88">
        <v>800</v>
      </c>
      <c r="K202" s="88">
        <v>700</v>
      </c>
      <c r="L202" s="88">
        <v>600</v>
      </c>
      <c r="M202" s="91">
        <v>960</v>
      </c>
      <c r="N202" s="88">
        <v>480</v>
      </c>
      <c r="O202" s="88">
        <v>420</v>
      </c>
      <c r="P202" s="88">
        <v>400</v>
      </c>
      <c r="Q202" s="88">
        <v>640</v>
      </c>
      <c r="R202" s="88">
        <v>320</v>
      </c>
      <c r="S202" s="88">
        <v>310</v>
      </c>
      <c r="T202" s="88">
        <v>300</v>
      </c>
    </row>
    <row r="203" spans="7:20" ht="70" hidden="1" x14ac:dyDescent="0.35">
      <c r="G203" s="250">
        <v>97</v>
      </c>
      <c r="H203" s="251" t="s">
        <v>1014</v>
      </c>
      <c r="I203" s="91">
        <v>1500</v>
      </c>
      <c r="J203" s="88">
        <v>800</v>
      </c>
      <c r="K203" s="88">
        <v>700</v>
      </c>
      <c r="L203" s="88">
        <v>600</v>
      </c>
      <c r="M203" s="88">
        <v>900</v>
      </c>
      <c r="N203" s="88">
        <v>480</v>
      </c>
      <c r="O203" s="88">
        <v>420</v>
      </c>
      <c r="P203" s="88">
        <v>400</v>
      </c>
      <c r="Q203" s="88">
        <v>600</v>
      </c>
      <c r="R203" s="88">
        <v>320</v>
      </c>
      <c r="S203" s="88">
        <v>310</v>
      </c>
      <c r="T203" s="88">
        <v>300</v>
      </c>
    </row>
    <row r="204" spans="7:20" ht="42" hidden="1" x14ac:dyDescent="0.35">
      <c r="G204" s="250">
        <v>98</v>
      </c>
      <c r="H204" s="251" t="s">
        <v>1015</v>
      </c>
      <c r="I204" s="91">
        <v>1200</v>
      </c>
      <c r="J204" s="88">
        <v>800</v>
      </c>
      <c r="K204" s="88">
        <v>700</v>
      </c>
      <c r="L204" s="88">
        <v>600</v>
      </c>
      <c r="M204" s="88">
        <v>720</v>
      </c>
      <c r="N204" s="88">
        <v>480</v>
      </c>
      <c r="O204" s="88">
        <v>420</v>
      </c>
      <c r="P204" s="88">
        <v>400</v>
      </c>
      <c r="Q204" s="88">
        <v>480</v>
      </c>
      <c r="R204" s="88">
        <v>320</v>
      </c>
      <c r="S204" s="88">
        <v>310</v>
      </c>
      <c r="T204" s="88">
        <v>300</v>
      </c>
    </row>
    <row r="205" spans="7:20" ht="56" hidden="1" x14ac:dyDescent="0.35">
      <c r="G205" s="250">
        <v>99</v>
      </c>
      <c r="H205" s="251" t="s">
        <v>1016</v>
      </c>
      <c r="I205" s="91">
        <v>1200</v>
      </c>
      <c r="J205" s="88">
        <v>800</v>
      </c>
      <c r="K205" s="88">
        <v>700</v>
      </c>
      <c r="L205" s="88">
        <v>600</v>
      </c>
      <c r="M205" s="88">
        <v>730</v>
      </c>
      <c r="N205" s="88">
        <v>480</v>
      </c>
      <c r="O205" s="88">
        <v>420</v>
      </c>
      <c r="P205" s="88">
        <v>400</v>
      </c>
      <c r="Q205" s="88">
        <v>548</v>
      </c>
      <c r="R205" s="88">
        <v>320</v>
      </c>
      <c r="S205" s="88">
        <v>310</v>
      </c>
      <c r="T205" s="88">
        <v>300</v>
      </c>
    </row>
    <row r="206" spans="7:20" ht="28" hidden="1" x14ac:dyDescent="0.35">
      <c r="G206" s="250">
        <v>100</v>
      </c>
      <c r="H206" s="251" t="s">
        <v>1017</v>
      </c>
      <c r="I206" s="91">
        <v>1100</v>
      </c>
      <c r="J206" s="88"/>
      <c r="K206" s="88"/>
      <c r="L206" s="88"/>
      <c r="M206" s="88">
        <v>880</v>
      </c>
      <c r="N206" s="88"/>
      <c r="O206" s="88"/>
      <c r="P206" s="88"/>
      <c r="Q206" s="88">
        <v>660</v>
      </c>
      <c r="R206" s="88"/>
      <c r="S206" s="88"/>
      <c r="T206" s="88"/>
    </row>
    <row r="207" spans="7:20" ht="28" hidden="1" x14ac:dyDescent="0.35">
      <c r="G207" s="312">
        <v>111</v>
      </c>
      <c r="H207" s="313" t="s">
        <v>1018</v>
      </c>
      <c r="I207" s="314">
        <v>7500</v>
      </c>
      <c r="J207" s="314">
        <v>3000</v>
      </c>
      <c r="K207" s="314">
        <v>2500</v>
      </c>
      <c r="L207" s="314">
        <v>1500</v>
      </c>
      <c r="M207" s="314">
        <v>4500</v>
      </c>
      <c r="N207" s="314">
        <v>1800</v>
      </c>
      <c r="O207" s="314">
        <v>1500</v>
      </c>
      <c r="P207" s="315">
        <v>960</v>
      </c>
      <c r="Q207" s="314">
        <v>3000</v>
      </c>
      <c r="R207" s="314">
        <v>1200</v>
      </c>
      <c r="S207" s="314">
        <v>1000</v>
      </c>
      <c r="T207" s="315">
        <v>720</v>
      </c>
    </row>
    <row r="208" spans="7:20" x14ac:dyDescent="0.35">
      <c r="G208" s="236" t="s">
        <v>1069</v>
      </c>
      <c r="H208" s="13" t="s">
        <v>1075</v>
      </c>
      <c r="I208" s="294"/>
      <c r="J208" s="294"/>
      <c r="K208" s="294"/>
      <c r="L208" s="294"/>
      <c r="M208" s="294"/>
      <c r="N208" s="294"/>
      <c r="O208" s="294"/>
      <c r="P208" s="294"/>
      <c r="Q208" s="294"/>
      <c r="R208" s="294"/>
      <c r="S208" s="294"/>
      <c r="T208" s="294"/>
    </row>
    <row r="209" spans="7:20" x14ac:dyDescent="0.35">
      <c r="G209" s="236">
        <v>5</v>
      </c>
      <c r="H209" s="13" t="s">
        <v>773</v>
      </c>
      <c r="I209" s="294"/>
      <c r="J209" s="294"/>
      <c r="K209" s="294"/>
      <c r="L209" s="294"/>
      <c r="M209" s="294"/>
      <c r="N209" s="294"/>
      <c r="O209" s="294"/>
      <c r="P209" s="294"/>
      <c r="Q209" s="294"/>
      <c r="R209" s="294"/>
      <c r="S209" s="294"/>
      <c r="T209" s="294"/>
    </row>
    <row r="210" spans="7:20" ht="28" x14ac:dyDescent="0.35">
      <c r="G210" s="19" t="s">
        <v>784</v>
      </c>
      <c r="H210" s="38" t="s">
        <v>785</v>
      </c>
      <c r="I210" s="240">
        <v>500</v>
      </c>
      <c r="J210" s="240">
        <v>350</v>
      </c>
      <c r="K210" s="240">
        <v>250</v>
      </c>
      <c r="L210" s="235">
        <v>200</v>
      </c>
      <c r="M210" s="240">
        <v>320</v>
      </c>
      <c r="N210" s="240">
        <v>210</v>
      </c>
      <c r="O210" s="240">
        <v>150</v>
      </c>
      <c r="P210" s="240">
        <v>120</v>
      </c>
      <c r="Q210" s="240">
        <v>240</v>
      </c>
      <c r="R210" s="240">
        <v>140</v>
      </c>
      <c r="S210" s="240">
        <v>100</v>
      </c>
      <c r="T210" s="240">
        <v>80</v>
      </c>
    </row>
  </sheetData>
  <mergeCells count="19">
    <mergeCell ref="I8:L8"/>
    <mergeCell ref="M8:P8"/>
    <mergeCell ref="Q8:T8"/>
    <mergeCell ref="G1:H1"/>
    <mergeCell ref="G2:U2"/>
    <mergeCell ref="C3:U3"/>
    <mergeCell ref="C4:U4"/>
    <mergeCell ref="A7:F7"/>
    <mergeCell ref="G7:T7"/>
    <mergeCell ref="A8:A9"/>
    <mergeCell ref="B8:B9"/>
    <mergeCell ref="C8:F8"/>
    <mergeCell ref="G8:G9"/>
    <mergeCell ref="H8:H9"/>
    <mergeCell ref="H18:I18"/>
    <mergeCell ref="H42:I42"/>
    <mergeCell ref="H65:I65"/>
    <mergeCell ref="H76:I76"/>
    <mergeCell ref="H25:I25"/>
  </mergeCells>
  <conditionalFormatting sqref="A31:F31">
    <cfRule type="duplicateValues" dxfId="4" priority="5"/>
  </conditionalFormatting>
  <conditionalFormatting sqref="A32:F32">
    <cfRule type="duplicateValues" dxfId="3" priority="4"/>
  </conditionalFormatting>
  <conditionalFormatting sqref="G31:H31">
    <cfRule type="duplicateValues" dxfId="2" priority="6"/>
  </conditionalFormatting>
  <conditionalFormatting sqref="G32:S32">
    <cfRule type="duplicateValues" dxfId="1" priority="3"/>
  </conditionalFormatting>
  <conditionalFormatting sqref="I31:S31">
    <cfRule type="duplicateValues" dxfId="0" priority="7"/>
  </conditionalFormatting>
  <pageMargins left="0.70866141732283472" right="0.70866141732283472" top="0.74803149606299213" bottom="0" header="0.31496062992125984" footer="0.31496062992125984"/>
  <pageSetup paperSize="9" scale="70" orientation="landscape" r:id="rId1"/>
  <colBreaks count="1" manualBreakCount="1">
    <brk id="21"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ONT (Vị trí bỏ)</vt:lpstr>
      <vt:lpstr>ODT (Vị trí bỏ)</vt:lpstr>
      <vt:lpstr>Biểu 1</vt:lpstr>
      <vt:lpstr>Biểu 2</vt:lpstr>
      <vt:lpstr>Biểu 3</vt:lpstr>
      <vt:lpstr>ODT</vt:lpstr>
      <vt:lpstr>ONT</vt:lpstr>
      <vt:lpstr>'Biểu 1'!Print_Area</vt:lpstr>
      <vt:lpstr>'Biểu 2'!Print_Area</vt:lpstr>
      <vt:lpstr>'Biểu 3'!Print_Area</vt:lpstr>
      <vt:lpstr>ODT!Print_Area</vt:lpstr>
      <vt:lpstr>'ODT (Vị trí bỏ)'!Print_Area</vt:lpstr>
      <vt:lpstr>ONT!Print_Area</vt:lpstr>
      <vt:lpstr>'ONT (Vị trí bỏ)'!Print_Area</vt:lpstr>
      <vt:lpstr>'Biểu 1'!Print_Titles</vt:lpstr>
      <vt:lpstr>'Biểu 2'!Print_Titles</vt:lpstr>
      <vt:lpstr>'Biểu 3'!Print_Titles</vt:lpstr>
      <vt:lpstr>ODT!Print_Titles</vt:lpstr>
      <vt:lpstr>ONT!Print_Titles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2026-07-13T03:55:05Z</cp:lastPrinted>
  <dcterms:created xsi:type="dcterms:W3CDTF">2026-06-13T06:55:21Z</dcterms:created>
  <dcterms:modified xsi:type="dcterms:W3CDTF">2026-07-13T03:56:07Z</dcterms:modified>
</cp:coreProperties>
</file>