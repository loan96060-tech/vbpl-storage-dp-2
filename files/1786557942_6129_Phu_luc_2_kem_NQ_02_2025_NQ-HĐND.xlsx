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CẬP NHẬT CƠ SỞ DỮ LIỆU VBQPPL\NQ\2025\02.2025\"/>
    </mc:Choice>
  </mc:AlternateContent>
  <xr:revisionPtr revIDLastSave="0" documentId="13_ncr:1_{D66CDA2B-43BA-4D00-83BB-06FD13264478}" xr6:coauthVersionLast="47" xr6:coauthVersionMax="47" xr10:uidLastSave="{00000000-0000-0000-0000-000000000000}"/>
  <bookViews>
    <workbookView xWindow="-120" yWindow="-120" windowWidth="29040" windowHeight="15840" firstSheet="1" activeTab="1" xr2:uid="{00000000-000D-0000-FFFF-FFFF00000000}"/>
  </bookViews>
  <sheets>
    <sheet name="Thuyết minh" sheetId="1" r:id="rId1"/>
    <sheet name="PhulucII" sheetId="2" r:id="rId2"/>
  </sheets>
  <definedNames>
    <definedName name="_xlnm.Print_Titles" localSheetId="1">PhulucII!$6:$6</definedName>
    <definedName name="_xlnm.Print_Titles" localSheetId="0">'Thuyết minh'!$5:$5</definedName>
  </definedNames>
  <calcPr calcId="191029"/>
</workbook>
</file>

<file path=xl/calcChain.xml><?xml version="1.0" encoding="utf-8"?>
<calcChain xmlns="http://schemas.openxmlformats.org/spreadsheetml/2006/main">
  <c r="D188" i="2" l="1"/>
  <c r="D52" i="2"/>
  <c r="D191" i="2" l="1"/>
  <c r="D190" i="2"/>
  <c r="D128" i="2"/>
  <c r="D143" i="2" s="1"/>
  <c r="D127" i="2"/>
  <c r="D135" i="2" s="1"/>
  <c r="D55" i="2"/>
  <c r="D54" i="2"/>
  <c r="G31" i="1"/>
  <c r="H31" i="1"/>
  <c r="H30" i="1"/>
  <c r="G30" i="1"/>
  <c r="D150" i="2" l="1"/>
  <c r="D196" i="2"/>
  <c r="D195" i="2"/>
  <c r="D199" i="2"/>
  <c r="D198" i="2"/>
  <c r="D200" i="2"/>
  <c r="D152" i="2"/>
  <c r="D134" i="2"/>
  <c r="D133" i="2"/>
  <c r="D137" i="2"/>
  <c r="D138" i="2"/>
  <c r="D151" i="2"/>
  <c r="D146" i="2"/>
  <c r="D147" i="2"/>
  <c r="D139" i="2"/>
  <c r="D142" i="2"/>
  <c r="D144" i="2"/>
  <c r="D148" i="2"/>
  <c r="D59" i="2"/>
  <c r="D60" i="2"/>
  <c r="D65" i="2"/>
  <c r="D63" i="2"/>
  <c r="D61" i="2"/>
  <c r="D64" i="2"/>
</calcChain>
</file>

<file path=xl/sharedStrings.xml><?xml version="1.0" encoding="utf-8"?>
<sst xmlns="http://schemas.openxmlformats.org/spreadsheetml/2006/main" count="472" uniqueCount="140">
  <si>
    <t>Nội dung</t>
  </si>
  <si>
    <t>Đơn vị tính</t>
  </si>
  <si>
    <t>I</t>
  </si>
  <si>
    <t>Đồng/bữa sáng/học sinh</t>
  </si>
  <si>
    <t>Đồng/ngày /học sinh</t>
  </si>
  <si>
    <t>MẦM NON</t>
  </si>
  <si>
    <t xml:space="preserve">Hoạt động bán trú tại trường </t>
  </si>
  <si>
    <t>II</t>
  </si>
  <si>
    <t>III</t>
  </si>
  <si>
    <t>TRUNG HỌC CƠ SỞ</t>
  </si>
  <si>
    <t xml:space="preserve">Chi phí khấu hao tài sản phục vụ việc ăn uống </t>
  </si>
  <si>
    <t>a</t>
  </si>
  <si>
    <t>b</t>
  </si>
  <si>
    <t>STT</t>
  </si>
  <si>
    <t>Đồng/tháng /học sinh</t>
  </si>
  <si>
    <t>TIỂU HỌC</t>
  </si>
  <si>
    <t>Dịch vụ phục vụ tổ chức ăn sáng</t>
  </si>
  <si>
    <t xml:space="preserve">Dịch vụ phục vụ tổ chức ăn sáng </t>
  </si>
  <si>
    <t>Dịch vụ hỗ trợ công tác vệ sinh lớp học</t>
  </si>
  <si>
    <t xml:space="preserve"> - Vùng II</t>
  </si>
  <si>
    <t xml:space="preserve"> - Vùng III</t>
  </si>
  <si>
    <t xml:space="preserve"> - Vùng IV</t>
  </si>
  <si>
    <t>Chi trả lương nhân viên nấu ăn</t>
  </si>
  <si>
    <t>- Vùng II</t>
  </si>
  <si>
    <t>- Vùng III</t>
  </si>
  <si>
    <t>- Vùng IV</t>
  </si>
  <si>
    <t>Dịch vụ dạy học 2 buổi/ngày</t>
  </si>
  <si>
    <t>VI</t>
  </si>
  <si>
    <t>TRUNG HỌC PHỔ THÔNG</t>
  </si>
  <si>
    <t xml:space="preserve">Dịch vụ giáo dục mầm non ngoài giờ </t>
  </si>
  <si>
    <t>Chăm sóc, nuôi dưỡng, giáo dục trẻ em mầm non ngày nghỉ hè</t>
  </si>
  <si>
    <t>Dịch vụ dạy thêm, học thêm trong nhà trường</t>
  </si>
  <si>
    <t>Chăm sóc, nuôi dưỡng, giáo dục trẻ em mầm non ngày thứ bảy, chủ nhật, ngày nghỉ lễ, tết.</t>
  </si>
  <si>
    <t>Đồng/tiết/học sinh</t>
  </si>
  <si>
    <t>MỨC THU DỊCH VỤ HỖ TRỢ HOẠT ĐỘNG GIÁO DỤC, ĐÀO TẠO ĐỐI VỚI CƠ SỞ GIÁO DỤC CÔNG LẬP TRÊN ĐỊA BÀN TỈNH TIỀN GIANG</t>
  </si>
  <si>
    <t xml:space="preserve">Phụ lục II </t>
  </si>
  <si>
    <t>Phụ phí cho hoạt động bán trú (phục vụ vệ sinh đồ dùng, chế biến thức ăn, chất đốt, điện, nước sinh hoạt)</t>
  </si>
  <si>
    <t>- Trường thuộc địa bàn thành phố, thị xã</t>
  </si>
  <si>
    <t>- Trường có quy mô từ 6 lớp trở xuống</t>
  </si>
  <si>
    <t>- Trường có quy mô từ 7 đến 8 lớp</t>
  </si>
  <si>
    <t>- Trường có quy mô từ 9 lớp trở lên</t>
  </si>
  <si>
    <t>Hoạt động bán trú có tổ chức nấu ăn</t>
  </si>
  <si>
    <t>- Trường có quy mô từ 8 lớp trở xuống</t>
  </si>
  <si>
    <t>- Trường có quy mô từ 9 đến 15 lớp</t>
  </si>
  <si>
    <t>- Trường có quy mô từ 16 lớp trở lên</t>
  </si>
  <si>
    <t>Hoạt động bán trú không tổ chức nấu ăn (nhà trường tổ chức giữ học sinh giờ bán trú, không tổ chức nấu ăn; nấu ăn do cơ sở dịch vụ nấu ăn cung cấp)</t>
  </si>
  <si>
    <t>- Trường thuộc địa bàn xã</t>
  </si>
  <si>
    <t>+ Vùng II</t>
  </si>
  <si>
    <t>+ Vùng III</t>
  </si>
  <si>
    <t>. Trường có quy mô từ 9 lớp trở lên</t>
  </si>
  <si>
    <t>. Trường có quy mô từ 7 đến 8 lớp</t>
  </si>
  <si>
    <t>. Trường có quy mô từ 6 lớp trở xuống</t>
  </si>
  <si>
    <t>+ Vùng IV</t>
  </si>
  <si>
    <t>. Trường có quy mô từ 16 lớp trở lên</t>
  </si>
  <si>
    <t>. Trường có quy mô từ 9 đến 15 lớp</t>
  </si>
  <si>
    <t>. Trường có quy mô từ 8 lớp trở xuống</t>
  </si>
  <si>
    <t>Lương: 4.160.000 đồng, 7% người lao động có chứng chỉ nghề: 291.200 đồng, các khoản đóng góp (21,5%): 894.000 đồng, thâm niên: 1.302.000 đồng. Tổng cộng: 6.647.600 đồng. 6.647.600 đồng/ 45 HS  = 147.724 đồng. Mức thu có tính thuế  (147.724 đồng + 5% thuế)= 155.000 đồng</t>
  </si>
  <si>
    <t xml:space="preserve">Lương: 3.640.000 đồng, 7% người lao động có chứng chỉ nghề: 254.800 đồng, các khoản đóng góp (21,5%): 783.000 đồng, thâm niên: 1.134.000 đồng. Tổng cộng: 5.811.400 đồng. 5.811.400 đồng/ 45 HS  = 129.142 đồng. Mức thu có tính thuế  (129.142 đồng + 5% thuế)= 135.000 đồng.       </t>
  </si>
  <si>
    <t>Lương: 3.250.000 đồng, 7% người lao động có chứng chỉ nghề: 227.500 đồng, các khoản đóng góp (21,5%): 699.000 đồng, thâm niên: 1.008.000 đồng. Tổng cộng: 5.184.250 đồng. 5.184.250 đồng/ 45 HS  = 115.206 đồng. Mức thu có tính thuế  (115.206 đồng + 5% thuế)= 120.000 đồng.</t>
  </si>
  <si>
    <t xml:space="preserve">  - Mức chi hỗ trợ trực 01 giờ trưa của 01 giáo viên:
         (3,0  x 1.800.000đ x 12 tháng) /(6 giờ x 5 ngày x 52 tuần) x 150% = 62.308 đ /giờ
   - Mức thu hỗ trợ 2 giờ trưa:
         (62.308đ  x 2 giờ x 5 ngày x 4 tuần) /30 trẻ= 83.077đ/ tháng/trẻ.
   - Thuế: 83.077 đ x 5% = 4.154đ/tháng/trẻ
      Cộng số tiền: 83.077đ + 4.154đ = 87.231 đ/tháng/trẻ.</t>
  </si>
  <si>
    <t xml:space="preserve">  - Tiền lương làm thêm 01 giờ làm việc: (3,0 x 1.800.000đ) /22 ngày /8 giờ x 150% = 46.023đ
  - Số tiền chi hỗ trợ Viên chức quản lý, kế toán, thủ quỹ bán trú trong tháng:
     =  (số tiền làm thêm 1 giờ x (số giờ làm thêm 1 ngày x 5 ngày làm việc/tuần x 4 tuần)
     + Viên chức quản lý:  (46.023đ  x 2 giờ x 5 ngày x 4 tuần x 2 người) = 3.681.818đ
     + Kế toán:  (46.023đ x 2 giờ x 5 ngày x 4 tuần) = 1.840.909đ
     + Thủ quỹ: (46.023đ x 01 giờ x 5 ngày x 4 tuần) = 920.455đ
    - Số tiền 1 HS phải đóng: 
     ( 3.681.818đ + 1.840.909đ + 920.455đ)/270 HS = 23.864đ
     - Thuế: 23.864đ x 5% = 1.193đ
      Cộng số tiền: 23.864đ + 1.193đ = 25.057 đ/tháng/trẻ.
   </t>
  </si>
  <si>
    <t xml:space="preserve"> - Tiền công 1 giờ làm việc của 1 người: 
          (3,0 x 1.800.000đ x 12 tháng) /(6 giờ x 5 ngày x 52 tuần) x 150% = 62.308 đ /giờ. Mức đóng của 1 HS: 62.308đ )/30 HS = 2.076 đồng/HS.
  - Phụ phí: 120.000 đồng/ HS/ tháng /22 ngày /2 giờ = 2.727 đồng/HS/ giờ
  - Khấu hao tài sản: 26.000 đồng/ HS/ tháng /22 ngày /2 giờ = 591 đồng/HS/ giờ 
  - Thuế: =(2.076đ + 2.727đ +591đ)*5% = 270đ/ HS/ giờ 
     Mức thu đề xuất: (2.076đ + 2.727đ +591đ + 270đ) = 5.664 đồng (làm tròn 5.500đ)</t>
  </si>
  <si>
    <t xml:space="preserve"> - Tiền công 1 giờ làm việc của 1 người: 
         (3,0 x 1.800.000đ x12 tháng) /(6 giờ x 5 ngày x 52 tuần)  = 41.538 đ /giờ
  - Mức đóng góp của 1 HS trả công tổ chức trông giữ trẻ: 
        (02 người x 41.538đ x 10 giờ)/30 HS = 28.000 đồng/HS/ngày.
  - (Quản lý + Phụ phí + Khấu hao tài sản) =( 25.000/đồng +120.000đồng  + 26.000 đồng) /20 ngày = 9.000 đồng/HS/ ngày
  - Thuế: = (27.692đ + 8.550đ)*5% = 2.000đ/ HS/ ngày.
  - Tiền công nhân viên nấu ăn: 155.000 đồng/tháng/HS /20 ngày = 8.000 đồng
     Cộng số tiền : (28.000đ +9.000đ +2.000đ+ 8.000đ) = 47.000 đồng/ HS/ ngày
      </t>
  </si>
  <si>
    <t xml:space="preserve"> - Tiền công 1 giờ làm việc của 1 người: 
        (3,0 x 1.800.000đ x 12 tháng) /(6 giờ x 5 ngày x 52 tuần) x 150% = 62.308 đ /giờ
  - Mức đóng góp của 1 HS trả công tổ chức trông giữ trẻ: 
        (02 người x 62.308đ x 10 giờ)/30 HS = 42.000 đồng/HS/ngày.
  - (Quản lý + Phụ phí + Khấu hao tài sản) =( 25.000/đồng +130.000đồng  + 26.000 đồng) /20 ngày = 9.000 đồng/HS/ ngày
  - Thuế: = (42.000 + 9.000đ)*5% = 2.500đ/ HS/ ngày.
  -Tiền công nhân viên nấu ăn: 155.000 đồng/tháng/HS /20 ngày = 8.000 đồng
     Cộng số tiền : (42.000 + 9.000đ +2.500đ+ 8.000đ) = 61.500 đồng/ HS/ ngày
      Mức thu đề xuất: 61.000 đồng</t>
  </si>
  <si>
    <t>Lương vùng II: 4.160.000 đồng, các khoản đóng góp (21,5%): 894.000. Tổng cộng: 5.054.000 đồng. Tiền lương phải trả cho 01 nhân viên 01 giờ: 5.054.000/ (8 giờ x 22 ngày)  = 29.000 đồng. 
Mức thu 01 trẻ/ tháng: (29.000 đồng  x 5 ngày x 4 tuần) / 30 trẻ =  19.000 đồng. Mức thu có tính thuế  (21.481 đồng + 5% thuế)= 20.000 đồng.</t>
  </si>
  <si>
    <t xml:space="preserve">Lương vùng III: 3.640.000 đồng, các khoản đóng góp (21,5%): 783.000 đồng. Tổng cộng: 4.423.000 đồng. Tiền lương phải trả cho 01 nhân viên 01 giờ: 4.423.000/ (8 giờ x 22 ngày)  = 25.000 đồng.
 Mức thu 01 trẻ/ tháng: (25.000 đồng x 5 ngày x 4 tuần) / 30 trẻ =  16.000 đồng. Mức thu có tính thuế  (16.000 đồng + 5% thuế)= 17.000 đồng. </t>
  </si>
  <si>
    <t xml:space="preserve">Lương vùng IV: 3.250.000 đồng, các khoản đóng góp (21,5%): 699.000. Tổng cộng: 3.949.000 đồng. Tiền lương phải trả cho 01 nhân viên 01 giờ: 3.949.000/ (8 giờ x 22 ngày)  = 22.000 đồng. 
Mức thu 01 trẻ/ tháng: (22.000 đồng x 5 ngày x 4 tuần) / 30 trẻ =  14.000 đồng. Mức thu có tính thuế  (16.296 đồng + 5% thuế)= 15.000 đồng. </t>
  </si>
  <si>
    <t xml:space="preserve"> Lương vùng II: 4.160.000 đồng, 7% người lao động  có chứng chỉ nghề: 291.200 đồng, các khoản đóng góp (21,5%): 894.000 đồng, thâm niên:1.302.000 đồng. Tổng cộng: 6.647.600 đồng.
  1 nhân viên phục vụ bán trú cho 35 HS: 6.647.600 đồng/ 35 HS  = 189.931 đồng. Mức thu có tính thuế  (189.931 đồng + 5% thuế)= 199.429 đồng. Mức thu đề xuất: 195.000 đồng.</t>
  </si>
  <si>
    <t xml:space="preserve"> - Lương vùng IV: 3.250.000 đồng, 7% người lao động có chứng chỉ nghề: 227.500 đồng, các khoản đóng góp (21,5%): 699.000 đồng, thâm niên:1.008.000 đồng. Tổng cộng: 5.184.250 đồng.
    1 nhân viên phục vụ bán trú cho 35 HS: 5.184.250 đồng/ 35 HS  = 148.121 đồng. Mức thu có tính thuế  (148.121 đồng + 5% thuế)= 155.000 đồng.       </t>
  </si>
  <si>
    <t xml:space="preserve"> - Lương vùng III: 3.640.000 đồng, 7% người lao động  có chứng chỉ nghề: 254.800 đồng, các khoản đóng góp (21,5%): 783.000 đồng, thâm niên:1.134.000 đồng. Tổng cộng: 5.811.400 đồng.
    1 nhân viên phục vụ bán trú cho 35 HS: 5.811.400 đồng/ 35 HS  = 166.040 đồng. Mức thu có tính thuế  (166.040  đồng + 5% thuế)= 175.000 đồng.       </t>
  </si>
  <si>
    <t xml:space="preserve"> - Tiền lương làm thêm 01 giờ làm việc (3,66 x 1.800.000đ) /22 ngày /8 giờ x 150% = 56.148 đ.
 - Số tiền chi hỗ trợ Viên chức quản lý, kế toán, thủ quỹ bán trú trong tháng:
     + Viên chức quản lý:  (56.148đ  x 2 giờ x 5 ngày x 4 tuần x 2 người) = 4.491.818đ
     + Kế toán:  (56.148đ  x 2 giờ x 5 ngày x 4 tuần) = 2.245.909đ
     + Thủ quỹ: (56.148đ  x 01 giờ x 5 ngày x 4 tuần) = 1.122.955đ
 - Số tiền 1 HS phải đóng là: (4.491.818đ  + 2.245.909đ + 1.122.955đ) /350 HS = 23.582đ 
 - Thuế: 23.582 đồng x 5% = 1.123 đồng
      Cộng số tiền: 23.582đ + 1.123đ = 23.582đ</t>
  </si>
  <si>
    <t xml:space="preserve"> - Tiền công 1 giờ làm việc của 1 người: 
         (3,66 x 1.800.000đ x12 tháng) /(23 tiết  x 52 tuần) x 150%  = 99.150 đ/giờ 
  - Mức thu 1 HS:  99.150đ / 35 HS = 2.833 đồng/HS
  - (Quản lý + Phụ phí + Khấu hao tài sản) =(23.000/đồng +53.000đồng  + 34.000 đồng) /22 ngày /8 giờ = 625 đồng/HS/ giờ
  - Thuế: =(2.833đ +625đ)*5% = 173đ/ HS/ giờ
        Cộng số tiền: (2.833đ +625đ + 173đ) = 3.631 đồng
         Mức thu đề xuất: 4.000 đồng</t>
  </si>
  <si>
    <t>Lương vùng II: 4.160.000 đồng, các khoản đóng góp (21,5%): 894.000. Tổng cộng: 5.054.000 đồng. Tiền lương phải trả cho 01 nhân viên 01 giờ: 5.054.000/ (8 giờ x 22 ngày)  = 29.000 đồng. 
Mức thu 01 HS/ tháng: (29.000 đồng  x 5 ngày x 4 tuần) / 35 HS =  16.571 đồng. Mức thu có tính thuế  (16.517 đồng + 5% thuế)= 17.000 đồng.</t>
  </si>
  <si>
    <t>Lương vùng III: 3.640.000 đồng, các khoản đóng góp (21,5%): 783.000 đồng. Tổng cộng: 4.423.000 đồng.Tiền lương phải trả cho 01 nhân viên 01 giờ: 4.423.000/ (8 giờ x 22 ngày)  = 25.000 đồng.
 Mức thu 01 HS/ tháng: (25.000 đồng x 5 ngày x 4 tuần) / 35 HS =  14.286 đồng. Mức thu có tính thuế  (14.286 đồng + 5% thuế)= 15.000 đồng</t>
  </si>
  <si>
    <t>Lương vùng IV: 3.250.000 đồng, các khoản đóng góp (21,5%): 699.000. Tổng cộng: 3.949.000 đồng. Tiền lương phải trả cho 01 nhân viên 01 giờ: 3.949.000/ (8 giờ x 22 ngày)  = 22.000 đồng. 
Mức thu 01 HS/ tháng: (22.000 đồng x 5 ngày x 4 tuần) / 35 HS =  12.570 đồng. Mức thu có tính thuế  (12.570 đồng + 5% thuế)= 13.000 đồng</t>
  </si>
  <si>
    <t xml:space="preserve">  - Tiền lương 01 tiết dạy = (Tiền lương của 12 tháng trong năm học) / (Định mức giờ dạy/ năm: (19 tiết x 52 tuần)
     Tiền lương làm thêm 01 tiết = Tiền lương 01 tiết dạy x 150%
     Hệ số lương đề xuất: Theo mức lương bình quân của cấp Trung học cơ sở  là 5,01
     Mức lương cơ sở: 1.800.000 đồng.
     Tiền 1 tiết dạy thêm của 01 giáo viên: (5,01 x 1.800.000đ x12 tháng) /(19 tiết x 52 tuần) x 150% = 164.295 đồng /giờ
  - Mức thu 01 tiết dạy thêm / HS cho lớp có 30 HS đăng ký học thêm:  164.295 đồng / 30HS= 5.477 đồng/HS/tiết
  - Chi phí quản lý: mức đề xuất là 5% tiền dạy thêm 1 tiết/HS = 5.477 x 5%  = 274 đồng /HS/ tiết
  - Chi phí khấu hao tài sản: 175.000.000 đồng /(8 giờ x 24 ngày)/ 810 HS = 1.125 đồng/ HS/ tiết
     Bình quân/HS/tiết = 5.477 đồng + 274 đồng + 1.125 đồng + 2% thuế thu nhập doanh nghiệp  = 7.013 đồng. Mức thu đề xuất: 7.000 đồng/.</t>
  </si>
  <si>
    <t xml:space="preserve"> - Tiền lương 01 tiết dạy = (Tiền lương của 12 tháng trong năm học) / (Định mức giờ dạy/ năm: (17 tiết x 52 tuần)
     Tiền lương làm thêm 01 tiết = Tiền lương 01 tiết dạy x 150%
     Hệ số lương đề xuất: Theo mức lương bình quân của cấp Trung học phổ thông  là 4,71
     Mức lương cơ sở: 1.800.000 đồng.
     - Tiền 1 tiết dạy thêm của 01 giáo viên: (4,71 x 1.800.000đ x 12 tháng) /(17 tiết x 52 tuần) x 150% = 172.629 đồng /giờ
  - Mức thu 01 tiết dạy thêm / HS cho lớp có 30 HS đăng ký học thêm:  172.629 đồng / 30HS= 5.754 đồng/HS/tiết
  - Chi phí quản lý: mức đề xuất là 5% tiền dạy thêm 1 tiết/HS = 5.754 x 5%  = 288 đồng /HS/ tiết
  - Chi phí khấu hao tài sản: 283.370.840 đồng /(8 giờ x 24 ngày)/ 810 HS = 1.822 đồng/ HS/ tiết
     Bình quân/tiết/HS = 5.754 đồng + 288 đồng + 1.822 đồng + 2% thuế thu nhập doanh nghiệp  = 8.021 đồng. Mức thu đề xuất: 8.000 đồng/tiết/HS</t>
  </si>
  <si>
    <t xml:space="preserve"> - Tiền lương thên 01 giờ làm việc của viên chức = (Hệ số lương* Lương cơ bản)/ 22 ngày /8 giờ x 150%
      = (3,99 x 1.800.000đ) /22 ngày /8 giờ x 150% = 61.210 đ.
  - Số tiền chi hỗ trợ Ban giám hiệu, kế toán, thủ quỹ bán trú trong tháng:
     =  (số tiền 1 giờ làm thêm  x  (số giờ làm thêm 1 ngày x 5 ngày làm việc/tuần x 4 tuần)
     + Viên chức quản lý:  (61.210đ  x 2 giờ x 5 ngày x 4 tuần x 2 người) = 4.896.818đ
     + Kế toán:  (61.210đ  x 2 giờ x 5 ngày x 4 tuần) = 2.448.409đ
     + Thủ quỹ: (61.210đ  x 1 giờ x 5 ngày x 4 tuần) = 1.224.205đ
    - Mức thu  1 HS:  
    - Số tiền 1 HS phải đóng là: Số tiền chi hỗ trợ / Số HS bình quân các trường có tổ chức bán trú (7 lớp x 45 HS = 315HS)
       (4.896.818đ  + 2.448.409đ+ 1.224.205đ /315 HS = 27.205đ
    - Thuế: 27.205đ  x 5% = 1.360đ
      Cộng số tiền: 27.205đ + 1.360đ = 28.565đ
      Mức thu đề xuất: 28.000 đồng/tháng/HS.</t>
  </si>
  <si>
    <t xml:space="preserve">Lương: 3.640.000 đồng, 7% người lao động có chứng chỉ nghề: 254.800 đồng, các khoản đóng góp (21,5%): 783.000 đồng, thâm niên: 1.134.000 đồng. Tổng cộng: 5.811.400 đồng. 5.811.400 đồng/ 55 HS  = 106.000 đồng. Mức thu có tính thuế  (106.000 đồng + 5% thuế)= 110.000 đồng.       </t>
  </si>
  <si>
    <t>Lương: 4.160.000 đồng, 7% người lao động có chứng chỉ nghề: 291.200 đồng, các khoản đóng góp (21,5%): 894.000 đồng, thâm niên: 1.302.000 đồng. Tổng cộng: 6.647.600 đồng. 6.647.600 đồng/ 55 HS  = 111.000 đồng. Mức thu có tính thuế  (111.000 đồng + 5% thuế)= 120.000 đồng</t>
  </si>
  <si>
    <t>Lương: 3.250.000 đồng, 7% người lao động có chứng chỉ nghề: 227.500 đồng, các khoản đóng góp (21,5%): 699.000 đồng, thâm niên: 1.008.000 đồng. Tổng cộng: 5.184.250 đồng. 5.184.250 đồng/ 55 HS  = 95.000 đồng. Mức thu có tính thuế  (95.000 đồng + 5% thuế)= 99.750 đồng.  Mức thu đề xuất: 105.000 đồng/tháng/HS.</t>
  </si>
  <si>
    <t>Thuyết minh cơ sở xây dựng định mức</t>
  </si>
  <si>
    <t>Mức thu 
tối đa</t>
  </si>
  <si>
    <t>THUYẾT MINH CƠ SỞ XÂY DỰNG ĐỊNH MỨC</t>
  </si>
  <si>
    <t>TỔNG CỘNG</t>
  </si>
  <si>
    <t xml:space="preserve"> - Chi trả lương nhân viên nấu ăn</t>
  </si>
  <si>
    <t xml:space="preserve"> + Vùng III</t>
  </si>
  <si>
    <t xml:space="preserve"> + Vùng IV</t>
  </si>
  <si>
    <t xml:space="preserve"> + Vùng II</t>
  </si>
  <si>
    <t xml:space="preserve"> + Trường có quy mô từ 9 lớp trở lên</t>
  </si>
  <si>
    <t xml:space="preserve"> + Trường có quy mô từ 7 đến 8 lớp</t>
  </si>
  <si>
    <t xml:space="preserve"> + Trường có quy mô từ 6 lớp trở xuống</t>
  </si>
  <si>
    <t xml:space="preserve"> - Phụ phí cho hoạt động bán trú (phục vụ vệ sinh đồ dùng, chế biến thức ăn, chất đốt, điện, nước sinh hoạt)</t>
  </si>
  <si>
    <t xml:space="preserve"> + Trường thuộc địa bàn xã</t>
  </si>
  <si>
    <t xml:space="preserve"> - Chi phí khấu hao tài sản phục vụ việc ăn uống </t>
  </si>
  <si>
    <t xml:space="preserve"> + Trường có quy mô từ 16 lớp trở lên</t>
  </si>
  <si>
    <t xml:space="preserve"> + Trường có quy mô từ 9 đến 15 lớp</t>
  </si>
  <si>
    <t xml:space="preserve"> + Trường có quy mô từ 8 lớp trở xuống</t>
  </si>
  <si>
    <t xml:space="preserve"> +  Vùng IV</t>
  </si>
  <si>
    <t xml:space="preserve">Gồm các chất tẩy rửa vệ sinh phòng, vệ sinh đồ dùng cá nhân, đồ dùng chế biến thức ăn; chất đốt, điện, nước sinh hoạt phục vụ nấu ăn, sinh hoạt 4 giờ trưa.  (có Bảng phụ lục danh mục sơ bộ đính kèm)
   Ước tính chi phí cho 01 lớp có 30 trẻ  đăng ký ăn bán trú: 3.630.500 đồng / tháng
    - Số tiền: (Tổng mức chi phí/tháng/lớp)/30 trẻ = 3.630.500 đ /30 trẻ = 121.000đ
    - Thuế: 121.000đ x 5% = 6.050đ
      Cộng số tiền: 121.000đ + 6.050đ= 127.050đ đ/tháng/trẻ.
     </t>
  </si>
  <si>
    <t>Chi phí khấu hao tài sản phục vụ ăn bán trú = chi phí khấu hao tài sản sử dụng cho hoạt động bán trú 01 tháng/ số trẻ
Khấu hao tài sản 01 năm: 261.405.865 đồng.
Khấu hao tài sản 01 giờ = 261.405.865 đồng /12 tháng / (8giờ x 22 ngày) = 123.772 đồng.
 - Khấu hao tài sản bình quân cho 01 HS/ tháng ăn trưa bán trú = 123.772 đồng /214 HS x 2 giờ x 22 ngày = 25.448đ
 - Thuế: 25.448đ x 5% = 1.272đ
      Cộng số tiền: 25.448đ + 1.272đ = 26.721đ/tháng/trẻ.
      Mức thu đề xuất: 26.000đ/tháng/trẻ.</t>
  </si>
  <si>
    <t xml:space="preserve">Gồm các chất tẩy rửa vệ sinh phòng, vệ sinh đồ dùng cá nhân, đồ dùng chế biến thức ăn; chất đốt, điện, nước sinh hoạt phục vụ nấu ăn, sinh hoạt giờ trưa  (có Bảng phụ lục danh mục sơ bộ đính kèm)
                          Số tiền = (Tổng mức chi phí/tháng/trường)/số HS toàn trường
    Ước tính chi phí cho 01 trường có 1.118 học sinh đăng ký ăn bán trú: 32.868.000 đồng / tháng
  - Mức thu 01 học sinh  =32.868.000 đ / 1.118 HS = 29.399đ
  - Thuế: 29.399đ  x 5% = 1.470đồng
      Cộng số tiền: 29.399đ + 1.470đ = 30.869 đ
      </t>
  </si>
  <si>
    <t>Chi phí khấu hao tài sản phục vụ ăn bán trú = chi phí khấu hao tài sản 01 tháng/ số HS
Khấu hao tài sản 01 năm: 244.322.393 đồng.
Khấu hao tài sản 01 giờ = 244.322.393 đồng /12 tháng / (8giờ x 22 ngày) = 115.683 đồng.
Khấu hao tài sản bình quân cho 01 HS/ tháng ăn trưa bán trú = (115.683 đồng x 4 giờ x 20 ngày) / 945 HS = 9.793 đồng.
Thuế: 9.793 x 5% = 490 đồng
      Cộng số tiền: 9.793đ + 490đ = 10.283đ</t>
  </si>
  <si>
    <t xml:space="preserve">Gồm các chất tẩy rửa vệ sinh phòng, vệ sinh đồ dùng cá nhân, đồ dùng chế biến thức ăn; chất đốt, điện, nước sinh hoạt phục vụ nấu ăn, sinh hoạt 4 giờ trưa.  (có Bảng phụ lục danh mục sơ bộ đính kèm)
   Ước tính chi phí cho 01 lớp có 30 trẻ  đăng ký ăn bán trú: 3.630.500 đồng / tháng
    - Số tiền: (Tổng mức chi phí/tháng/lớp)/30 trẻ = 3.630.500 đ /30 trẻ = 68.000đ
    - Thuế:68.000đ x 5% = 3.400đ
      Cộng số tiền: 68.000đ + 3.400đ= 71.400đ đ/tháng/trẻ.
     </t>
  </si>
  <si>
    <t>Chi phí khấu hao tài sản phục vụ ăn bán trú = chi phí khấu hao tài sản sử dụng cho hoạt động bán trú 01 tháng/ số trẻ
Khấu hao tài sản 01 năm: 261.405.865 đồng.
Khấu hao tài sản 01 giờ = 261.405.865 đồng /12 tháng / (8giờ x 22 ngày) = 100.195 đồng.
 - Khấu hao tài sản bình quân cho 01 HS/ tháng ăn trưa bán trú = 100.195 đồng /214 HS x 2 giờ x 22 ngày = 26.600đ
 - Thuế: 20.600đ x 5% = 1.030đ
      Cộng số tiền: 20.600đ + 1.030đ = 21.630đ/tháng/trẻ.
      Mức thu đề xuất: 20.000đ/tháng/trẻ.</t>
  </si>
  <si>
    <t xml:space="preserve">Phụ phí cho hoạt động bán trú </t>
  </si>
  <si>
    <t xml:space="preserve">Gồm các chất tẩy rửa vệ sinh phòng, vệ sinh đồ dùng cá nhân; điện, nước sinh hoạt phục vụ sinh hoạt giờ trưa  (có Bảng phụ lục danh mục sơ bộ đính kèm)
                          Số tiền = (Tổng mức chi phí/tháng/trường)/số HS toàn trường
    Ước tính chi phí cho 01 trường có 1.118 học sinh đăng ký ăn bán trú: 12.749.000 đồng / tháng
  - Mức thu 01 học sinh  =12.749.000 đ / 1.118 HS = 11.400đ
  - Thuế: 11.400đ  x 5% = 570đồng
      Cộng số tiền: 11.400đ + 570đ = 11.970 đ
      </t>
  </si>
  <si>
    <t>Chi phí khấu hao tài sản phục vụ ăn bán trú = chi phí khấu hao tài sản 01 tháng/ số HS
Khấu hao tài sản 01 năm: 162.997.721 đồng.
Khấu hao tài sản 01 giờ = 162.997.721 đồng /12 tháng / (8giờ x 22 ngày) = 77.177đồng.
Khấu hao tài sản bình quân cho 01 HS/ tháng ăn trưa bán trú = (77.177 đồng x 4 giờ x 20 ngày) / 945 HS = 6.533 đồng.
Thuế: 6.533 x 5% = 327 đồng
      Cộng số tiền: 6.533đ + 327đ = 6.860đ</t>
  </si>
  <si>
    <t xml:space="preserve"> - Chi hỗ trợ viên chức quản lý, nhân viên kế toán, thủ quỹ phục vụ bán trú</t>
  </si>
  <si>
    <t>Dịch vụ bán trú (chi trả lương nhân viên nấu ăn; hỗ trợ viên chức quản lý; hỗ trợ nhân viên phục vụ bán trú; nhân viên kế toán, thủ quỹ phục vụ bán trú; phụ phí cho hoạt động bán trú: phục vụ vệ sinh đồ dùng, chế biến thức ăn, chất đốt, điện, nước sinh hoạt; khấu hao tài sản phục vụ bán trú).</t>
  </si>
  <si>
    <t>của Uỷ ban nhân dân tỉnh Tiền Giang)</t>
  </si>
  <si>
    <t>Dịch vụ bán trú (chi trả lương nhân viên nấu ăn; hỗ trợ viên chức quản lý và giáo viên phục vụ bán trú; nhân viên kế toán, thủ quỹ phục vụ bán trú; phụ phí cho hoạt động bán trú: phục vụ vệ sinh đồ dùng, chế biến thức ăn, chất đốt, điện, nước sinh hoạt; khấu hao tài sản phục vụ bán trú).</t>
  </si>
  <si>
    <t xml:space="preserve"> - Chi hỗ trợ giáo viên phục vụ bán trú.</t>
  </si>
  <si>
    <t>Dịch vụ bán trú (chi trả lương nhân viên nấu ăn; hỗ trợ viên chức quản lý;  hỗ trợ nhân viên phục vụ bán trú; nhân viên kế toán, thủ quỹ phục vụ bán trú; phụ phí cho hoạt động bán trú: phục vụ vệ sinh đồ dùng, chế biến thức ăn, chất đốt, điện, nước sinh hoạt; khấu hao tài sản phục vụ bán trú).</t>
  </si>
  <si>
    <t xml:space="preserve"> - Chi hỗ trợ nhân viên phục vụ bán trú</t>
  </si>
  <si>
    <t xml:space="preserve"> - Chi hỗ trợ nhân viên phục vụ bán trú.</t>
  </si>
  <si>
    <t xml:space="preserve"> - Chi hỗ trợ viên chức quản lý nhân viên kế toán, thủ quỹ phục vụ bán trú</t>
  </si>
  <si>
    <t>(Kèm theo Công văn số           UBND-            ngày      tháng  7  năm 2023</t>
  </si>
  <si>
    <t xml:space="preserve"> + Trường thuộc địa bàn phường, thị trấn</t>
  </si>
  <si>
    <t>- Trường thuộc địa bàn phường, thị trấn</t>
  </si>
  <si>
    <t xml:space="preserve"> + Trường thuộc địa bàn  xã</t>
  </si>
  <si>
    <t xml:space="preserve"> Không tổ chức nấu ăn nhưng nhiệm vụ cũng giống như có tổ chức nấu ăn, chỉ giảm nhiệm vụ kiểm tra số lượng thực phẩm hàng ngày. Đề xuất thu bằng 80% đối với hoạt động có tổ chức nấu ăn. Tổ chức 7 lớp với 315 HS/4 đối tượng. Bình quân thu nhập 1 người/tháng là 315 HSx 16.000 =5.040.000/4 =1.260.000 đ. </t>
  </si>
  <si>
    <t xml:space="preserve"> Không tổ chức nấu ăn nhưng nhiệm vụ cũng giống như có tổ chức nấu ăn, chỉ giảm nhiệm vụ kiểm tra số lượng thực phẩm hàng ngày. Đề xuất thu bằng 80% đối với hoạt động có tổ chức nấu ăn. Tổ chức 8 lớp với 280 HS/4 đối tượng. Bình quân thu nhập 1 người/tháng là 280 HSx 18.400 =5.152.000/4 =1.288.000 đ. </t>
  </si>
  <si>
    <t xml:space="preserve"> Không tổ chức nấu ăn nhưng nhiệm vụ cũng giống như có tổ chức nấu ăn, chỉ giảm nhiệm vụ kiểm tra số lượng thực phẩm hàng ngày. Đề xuất thu bằng 80% đối với hoạt động có tổ chức nấu ăn. Tổ chức 6 lớp với 180 HS/4 đối tượng. Bình quân thu nhập 1 người/tháng là 280 HSx 18.400 =3.600/4 = 900.000 đ. </t>
  </si>
  <si>
    <t>Dịch vụ bán trú (chi trả lương nhân viên nấu ăn; hỗ trợ viên chức quản lý và giáo viên  phục vụ bán trú; nhân viên kế toán, thủ quỹ phục vụ bán trú; phụ phí cho hoạt động bán trú: phục vụ vệ sinh đồ dùng, chế biến thức ăn, chất đốt, điện, nước sinh hoạt; khấu hao tài sản phục vụ bán trú).</t>
  </si>
  <si>
    <t>Chi hỗ trợ giáo viên phục vụ bán trú.</t>
  </si>
  <si>
    <t>Chi hỗ trợ viên chức quản lý, nhân viên kế toán, thủ quỹ phục vụ bán trú</t>
  </si>
  <si>
    <t>Chi hỗ trợ nhân viên phục vụ bán trú</t>
  </si>
  <si>
    <t>Chi hỗ trợ nhân viên phục vụ bán trú.</t>
  </si>
  <si>
    <t>NỘI DUNG</t>
  </si>
  <si>
    <t>ĐƠN VỊ TÍNH</t>
  </si>
  <si>
    <t>MỨC THU</t>
  </si>
  <si>
    <t>Đồng/tháng/ học sinh</t>
  </si>
  <si>
    <t xml:space="preserve"> - Phụ phí cho hoạt động bán trú (phục vụ vệ sinh đồ dùng,  điện, nước sinh hoạt)</t>
  </si>
  <si>
    <t xml:space="preserve">
</t>
  </si>
  <si>
    <t>Đồng/ngày/ học sinh</t>
  </si>
  <si>
    <t xml:space="preserve"> - Phụ phí cho hoạt động bán trú (phục vụ vệ sinh đồ dùng, điện, nước sinh hoạt)</t>
  </si>
  <si>
    <t>Chăm sóc, nuôi dưỡng, giáo dục trẻ em mầm non ngày thứ Bảy, chủ Nhật, ngày nghỉ lễ, tết.</t>
  </si>
  <si>
    <t>Dịch vụ phục vụ công tác vệ sinh lớp học</t>
  </si>
  <si>
    <r>
      <t xml:space="preserve">MỨC THU DỊCH VỤ PHỤC VỤ HOẠT ĐỘNG GIÁO DỤC, ĐÀO TẠO ĐỐI VỚI 
CƠ SỞ GIÁO DỤC CÔNG LẬP CHƯA TỰ BẢO ĐẢM CHI THƯỜNG XUYÊN TRÊN ĐỊA BÀN TỈNH TIỀN GIANG
</t>
    </r>
    <r>
      <rPr>
        <i/>
        <sz val="13"/>
        <rFont val="Times New Roman"/>
        <family val="1"/>
      </rPr>
      <t>(Ban hành kèm theo Nghị quyết số 02/2025/NQ-HĐND ngày 29 tháng 4 năm 2025 
của Hội đồng nhân dân tỉnh Tiền Giang)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</si>
</sst>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_(* \(#,##0\);_(* &quot;-&quot;??_);_(@_)"/>
  </numFmts>
  <fonts count="15" x14ac:knownFonts="1">
    <font>
      <sz val="11"/>
      <color theme="1"/>
      <name val="Calibri"/>
      <family val="2"/>
      <charset val="163"/>
      <scheme val="minor"/>
    </font>
    <font>
      <sz val="8"/>
      <name val="Calibri"/>
      <family val="2"/>
      <charset val="163"/>
    </font>
    <font>
      <sz val="14"/>
      <name val="Times New Roman"/>
      <family val="1"/>
    </font>
    <font>
      <sz val="11"/>
      <color indexed="8"/>
      <name val="Calibri"/>
      <family val="2"/>
      <charset val="163"/>
    </font>
    <font>
      <b/>
      <sz val="14"/>
      <name val="Times New Roman"/>
      <family val="1"/>
    </font>
    <font>
      <i/>
      <sz val="14"/>
      <name val="Times New Roman"/>
      <family val="1"/>
    </font>
    <font>
      <sz val="11"/>
      <name val="Times New Roman"/>
      <family val="1"/>
    </font>
    <font>
      <sz val="11"/>
      <color theme="1"/>
      <name val="Calibri"/>
      <family val="2"/>
      <charset val="163"/>
      <scheme val="minor"/>
    </font>
    <font>
      <sz val="12"/>
      <name val="Times New Roman"/>
      <family val="1"/>
    </font>
    <font>
      <b/>
      <sz val="12"/>
      <name val="Times New Roman"/>
      <family val="1"/>
    </font>
    <font>
      <b/>
      <i/>
      <sz val="14"/>
      <name val="Times New Roman"/>
      <family val="1"/>
    </font>
    <font>
      <sz val="11"/>
      <color theme="1"/>
      <name val="Calibri"/>
      <family val="2"/>
      <scheme val="minor"/>
    </font>
    <font>
      <sz val="13"/>
      <name val="Times New Roman"/>
      <family val="1"/>
    </font>
    <font>
      <i/>
      <sz val="13"/>
      <name val="Times New Roman"/>
      <family val="1"/>
    </font>
    <font>
      <sz val="10"/>
      <color rgb="FF000000"/>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s>
  <cellStyleXfs count="10">
    <xf numFmtId="0" fontId="0" fillId="0" borderId="0"/>
    <xf numFmtId="0" fontId="3" fillId="0" borderId="0"/>
    <xf numFmtId="43" fontId="7" fillId="0" borderId="0" applyFont="0" applyFill="0" applyBorder="0" applyAlignment="0" applyProtection="0"/>
    <xf numFmtId="9" fontId="7" fillId="0" borderId="0" applyFont="0" applyFill="0" applyBorder="0" applyAlignment="0" applyProtection="0"/>
    <xf numFmtId="0" fontId="11" fillId="0" borderId="0"/>
    <xf numFmtId="43" fontId="11" fillId="0" borderId="0" applyFont="0" applyFill="0" applyBorder="0" applyAlignment="0" applyProtection="0"/>
    <xf numFmtId="0" fontId="14" fillId="0" borderId="0"/>
    <xf numFmtId="164"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cellStyleXfs>
  <cellXfs count="82">
    <xf numFmtId="0" fontId="0" fillId="0" borderId="0" xfId="0"/>
    <xf numFmtId="165" fontId="8" fillId="0" borderId="1" xfId="2" applyNumberFormat="1" applyFont="1" applyFill="1" applyBorder="1" applyAlignment="1">
      <alignment vertical="center" wrapText="1"/>
    </xf>
    <xf numFmtId="165" fontId="9" fillId="0" borderId="1" xfId="2" applyNumberFormat="1" applyFont="1" applyFill="1" applyBorder="1" applyAlignment="1">
      <alignment vertical="center" wrapText="1"/>
    </xf>
    <xf numFmtId="165" fontId="8" fillId="0" borderId="4" xfId="2" applyNumberFormat="1" applyFont="1" applyFill="1" applyBorder="1" applyAlignment="1">
      <alignment horizontal="left" vertical="center" wrapText="1"/>
    </xf>
    <xf numFmtId="165" fontId="8" fillId="0" borderId="1" xfId="3" applyNumberFormat="1" applyFont="1" applyFill="1" applyBorder="1" applyAlignment="1">
      <alignment vertical="center" wrapText="1"/>
    </xf>
    <xf numFmtId="165" fontId="8" fillId="0" borderId="1" xfId="2" applyNumberFormat="1" applyFont="1" applyFill="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vertical="center" wrapText="1"/>
    </xf>
    <xf numFmtId="0" fontId="2" fillId="0" borderId="1" xfId="0" applyFont="1" applyBorder="1" applyAlignment="1">
      <alignment horizontal="left" vertical="center" wrapText="1"/>
    </xf>
    <xf numFmtId="0" fontId="2" fillId="0" borderId="4" xfId="0" applyFont="1" applyBorder="1" applyAlignment="1">
      <alignment vertical="center" wrapText="1"/>
    </xf>
    <xf numFmtId="0" fontId="2" fillId="0" borderId="1" xfId="0" quotePrefix="1"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6" fillId="0" borderId="0" xfId="0" applyFont="1" applyAlignment="1">
      <alignment wrapText="1"/>
    </xf>
    <xf numFmtId="3" fontId="8" fillId="0" borderId="1" xfId="0" applyNumberFormat="1" applyFont="1" applyBorder="1" applyAlignment="1">
      <alignment vertical="center" wrapText="1"/>
    </xf>
    <xf numFmtId="3" fontId="8" fillId="0" borderId="1" xfId="0" applyNumberFormat="1" applyFont="1" applyBorder="1" applyAlignment="1">
      <alignment horizontal="right" vertical="center" wrapText="1"/>
    </xf>
    <xf numFmtId="0" fontId="6" fillId="0" borderId="0" xfId="0" applyFont="1"/>
    <xf numFmtId="165" fontId="6" fillId="0" borderId="0" xfId="2" applyNumberFormat="1" applyFont="1" applyFill="1" applyAlignment="1">
      <alignment wrapText="1"/>
    </xf>
    <xf numFmtId="0" fontId="2" fillId="0" borderId="7" xfId="0" quotePrefix="1" applyFont="1" applyBorder="1" applyAlignment="1">
      <alignment vertical="center" wrapText="1"/>
    </xf>
    <xf numFmtId="165" fontId="8" fillId="0" borderId="7" xfId="2" applyNumberFormat="1" applyFont="1" applyFill="1" applyBorder="1" applyAlignment="1">
      <alignment vertical="center" wrapText="1"/>
    </xf>
    <xf numFmtId="0" fontId="6" fillId="0" borderId="8" xfId="0" applyFont="1" applyBorder="1" applyAlignment="1">
      <alignment vertical="top" wrapText="1"/>
    </xf>
    <xf numFmtId="0" fontId="4" fillId="0" borderId="6" xfId="0" applyFont="1" applyBorder="1" applyAlignment="1">
      <alignment vertical="center" wrapText="1"/>
    </xf>
    <xf numFmtId="165" fontId="6" fillId="0" borderId="0" xfId="2" applyNumberFormat="1" applyFont="1" applyFill="1"/>
    <xf numFmtId="0" fontId="6" fillId="0" borderId="0" xfId="0" applyFont="1" applyAlignment="1">
      <alignment horizontal="left"/>
    </xf>
    <xf numFmtId="0" fontId="2" fillId="0" borderId="6" xfId="0" applyFont="1" applyBorder="1" applyAlignment="1">
      <alignment vertical="center" wrapText="1"/>
    </xf>
    <xf numFmtId="0" fontId="6" fillId="0" borderId="8" xfId="0" applyFont="1" applyBorder="1" applyAlignment="1">
      <alignment horizontal="center" vertical="top" wrapText="1"/>
    </xf>
    <xf numFmtId="165" fontId="6" fillId="0" borderId="0" xfId="0" applyNumberFormat="1" applyFont="1"/>
    <xf numFmtId="0" fontId="4" fillId="0" borderId="5" xfId="0" applyFont="1" applyBorder="1" applyAlignment="1">
      <alignment vertical="center" wrapText="1"/>
    </xf>
    <xf numFmtId="0" fontId="5" fillId="0" borderId="0" xfId="0" applyFont="1"/>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0" fillId="0" borderId="2" xfId="0" applyFont="1" applyBorder="1" applyAlignment="1">
      <alignment horizontal="left" vertical="center" wrapText="1"/>
    </xf>
    <xf numFmtId="0" fontId="4" fillId="0" borderId="1" xfId="0" applyFont="1" applyBorder="1" applyAlignment="1">
      <alignment horizontal="left" vertical="center" wrapText="1"/>
    </xf>
    <xf numFmtId="0" fontId="6" fillId="0" borderId="8" xfId="0" applyFont="1" applyBorder="1" applyAlignment="1">
      <alignment vertical="center" wrapText="1"/>
    </xf>
    <xf numFmtId="0" fontId="6" fillId="0" borderId="0" xfId="0" applyFont="1" applyAlignment="1">
      <alignment vertical="center" wrapText="1"/>
    </xf>
    <xf numFmtId="0" fontId="6" fillId="0" borderId="1" xfId="0" applyFont="1" applyBorder="1" applyAlignment="1">
      <alignment horizontal="left" vertical="center" wrapText="1"/>
    </xf>
    <xf numFmtId="0" fontId="2" fillId="0" borderId="1" xfId="0" quotePrefix="1" applyFont="1" applyBorder="1" applyAlignment="1">
      <alignment horizontal="left" vertical="center" wrapText="1"/>
    </xf>
    <xf numFmtId="0" fontId="2" fillId="0" borderId="2" xfId="0" applyFont="1" applyBorder="1" applyAlignment="1">
      <alignment horizontal="left" vertical="center" wrapText="1"/>
    </xf>
    <xf numFmtId="0" fontId="4" fillId="0" borderId="2" xfId="0" applyFont="1" applyBorder="1" applyAlignment="1">
      <alignment horizontal="left" vertical="center" wrapText="1"/>
    </xf>
    <xf numFmtId="0" fontId="4" fillId="0" borderId="6" xfId="0" applyFont="1" applyBorder="1" applyAlignment="1">
      <alignment horizontal="center" vertical="center" wrapText="1"/>
    </xf>
    <xf numFmtId="0" fontId="12" fillId="0" borderId="0" xfId="0" applyFont="1"/>
    <xf numFmtId="0" fontId="5" fillId="0" borderId="0" xfId="0" applyFont="1" applyAlignment="1">
      <alignment horizontal="center" vertical="center"/>
    </xf>
    <xf numFmtId="0" fontId="6" fillId="0" borderId="1" xfId="0" applyFont="1" applyBorder="1" applyAlignment="1">
      <alignment wrapText="1"/>
    </xf>
    <xf numFmtId="0" fontId="5" fillId="0" borderId="0" xfId="0" applyFont="1" applyAlignment="1">
      <alignment horizontal="center"/>
    </xf>
    <xf numFmtId="0" fontId="6" fillId="0" borderId="0" xfId="0" applyFont="1" applyAlignment="1">
      <alignment horizontal="center"/>
    </xf>
    <xf numFmtId="0" fontId="2"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applyAlignment="1">
      <alignment horizontal="center"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6"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6"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7" xfId="0" applyFont="1" applyBorder="1" applyAlignment="1">
      <alignment horizontal="left" vertical="center" wrapText="1"/>
    </xf>
    <xf numFmtId="0" fontId="5" fillId="0" borderId="0" xfId="0" applyFont="1" applyAlignment="1">
      <alignment horizontal="left" vertical="center" wrapText="1"/>
    </xf>
    <xf numFmtId="0" fontId="4" fillId="0" borderId="4" xfId="0" applyFont="1" applyBorder="1" applyAlignment="1">
      <alignment horizontal="left" vertical="center" wrapText="1"/>
    </xf>
    <xf numFmtId="0" fontId="9" fillId="0" borderId="0" xfId="0" applyFont="1" applyAlignment="1">
      <alignment horizontal="center"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9"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2" fillId="3" borderId="1" xfId="0" applyFont="1" applyFill="1" applyBorder="1" applyAlignment="1">
      <alignment horizontal="center" vertical="center" wrapText="1"/>
    </xf>
  </cellXfs>
  <cellStyles count="10">
    <cellStyle name="Bình thường 2" xfId="4" xr:uid="{00000000-0005-0000-0000-000000000000}"/>
    <cellStyle name="Bình thường 2 2" xfId="6" xr:uid="{00000000-0005-0000-0000-000001000000}"/>
    <cellStyle name="Comma" xfId="2" builtinId="3"/>
    <cellStyle name="Dấu phẩy 2" xfId="5" xr:uid="{00000000-0005-0000-0000-000003000000}"/>
    <cellStyle name="Dấu phẩy 2 2" xfId="7" xr:uid="{00000000-0005-0000-0000-000004000000}"/>
    <cellStyle name="Dấu phẩy 2 3" xfId="9" xr:uid="{00000000-0005-0000-0000-000005000000}"/>
    <cellStyle name="Normal" xfId="0" builtinId="0"/>
    <cellStyle name="Normal 2" xfId="1" xr:uid="{00000000-0005-0000-0000-000007000000}"/>
    <cellStyle name="Percent" xfId="3" builtinId="5"/>
    <cellStyle name="Phần trăm 2" xfId="8"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2228850</xdr:colOff>
      <xdr:row>2</xdr:row>
      <xdr:rowOff>76200</xdr:rowOff>
    </xdr:from>
    <xdr:to>
      <xdr:col>1</xdr:col>
      <xdr:colOff>3429000</xdr:colOff>
      <xdr:row>2</xdr:row>
      <xdr:rowOff>76200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2619375" y="1276350"/>
          <a:ext cx="120015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46"/>
  <sheetViews>
    <sheetView topLeftCell="A58" zoomScale="90" zoomScaleNormal="90" workbookViewId="0">
      <selection activeCell="B58" sqref="B58"/>
    </sheetView>
  </sheetViews>
  <sheetFormatPr defaultColWidth="9.140625" defaultRowHeight="15" x14ac:dyDescent="0.25"/>
  <cols>
    <col min="1" max="1" width="5.85546875" style="16" customWidth="1"/>
    <col min="2" max="2" width="59.140625" style="16" customWidth="1"/>
    <col min="3" max="3" width="17.7109375" style="13" customWidth="1"/>
    <col min="4" max="4" width="13.42578125" style="16" customWidth="1"/>
    <col min="5" max="5" width="65.85546875" style="13" customWidth="1"/>
    <col min="6" max="6" width="24.42578125" style="16" customWidth="1"/>
    <col min="7" max="16384" width="9.140625" style="16"/>
  </cols>
  <sheetData>
    <row r="1" spans="1:5" ht="15.75" x14ac:dyDescent="0.25">
      <c r="A1" s="73" t="s">
        <v>83</v>
      </c>
      <c r="B1" s="73"/>
      <c r="C1" s="73"/>
      <c r="D1" s="73"/>
      <c r="E1" s="73"/>
    </row>
    <row r="2" spans="1:5" ht="29.25" customHeight="1" x14ac:dyDescent="0.25">
      <c r="A2" s="70" t="s">
        <v>34</v>
      </c>
      <c r="B2" s="70"/>
      <c r="C2" s="70"/>
      <c r="D2" s="70"/>
      <c r="E2" s="70"/>
    </row>
    <row r="3" spans="1:5" ht="18.75" customHeight="1" x14ac:dyDescent="0.25">
      <c r="A3" s="51" t="s">
        <v>117</v>
      </c>
      <c r="B3" s="51"/>
      <c r="C3" s="51"/>
      <c r="D3" s="51"/>
      <c r="E3" s="51"/>
    </row>
    <row r="4" spans="1:5" ht="18.75" x14ac:dyDescent="0.25">
      <c r="A4" s="52" t="s">
        <v>110</v>
      </c>
      <c r="B4" s="52"/>
      <c r="C4" s="52"/>
      <c r="D4" s="52"/>
      <c r="E4" s="52"/>
    </row>
    <row r="5" spans="1:5" ht="42" customHeight="1" x14ac:dyDescent="0.25">
      <c r="A5" s="6" t="s">
        <v>13</v>
      </c>
      <c r="B5" s="6" t="s">
        <v>0</v>
      </c>
      <c r="C5" s="6" t="s">
        <v>1</v>
      </c>
      <c r="D5" s="6" t="s">
        <v>82</v>
      </c>
      <c r="E5" s="6" t="s">
        <v>81</v>
      </c>
    </row>
    <row r="6" spans="1:5" ht="18.75" x14ac:dyDescent="0.25">
      <c r="A6" s="6" t="s">
        <v>2</v>
      </c>
      <c r="B6" s="57" t="s">
        <v>5</v>
      </c>
      <c r="C6" s="58"/>
      <c r="D6" s="7"/>
      <c r="E6" s="7"/>
    </row>
    <row r="7" spans="1:5" ht="27" customHeight="1" x14ac:dyDescent="0.25">
      <c r="A7" s="6">
        <v>1</v>
      </c>
      <c r="B7" s="57" t="s">
        <v>6</v>
      </c>
      <c r="C7" s="58"/>
      <c r="D7" s="69"/>
      <c r="E7" s="7"/>
    </row>
    <row r="8" spans="1:5" ht="111" customHeight="1" x14ac:dyDescent="0.25">
      <c r="A8" s="49" t="s">
        <v>11</v>
      </c>
      <c r="B8" s="53" t="s">
        <v>124</v>
      </c>
      <c r="C8" s="54"/>
      <c r="D8" s="55"/>
      <c r="E8" s="7"/>
    </row>
    <row r="9" spans="1:5" ht="35.25" customHeight="1" x14ac:dyDescent="0.25">
      <c r="A9" s="56"/>
      <c r="B9" s="33" t="s">
        <v>41</v>
      </c>
      <c r="C9" s="31"/>
      <c r="D9" s="32"/>
      <c r="E9" s="7"/>
    </row>
    <row r="10" spans="1:5" ht="34.5" customHeight="1" x14ac:dyDescent="0.25">
      <c r="A10" s="56"/>
      <c r="B10" s="53" t="s">
        <v>22</v>
      </c>
      <c r="C10" s="54"/>
      <c r="D10" s="9"/>
      <c r="E10" s="7"/>
    </row>
    <row r="11" spans="1:5" ht="68.25" customHeight="1" x14ac:dyDescent="0.25">
      <c r="A11" s="56"/>
      <c r="B11" s="10" t="s">
        <v>23</v>
      </c>
      <c r="C11" s="49" t="s">
        <v>14</v>
      </c>
      <c r="D11" s="4">
        <v>155000</v>
      </c>
      <c r="E11" s="7" t="s">
        <v>56</v>
      </c>
    </row>
    <row r="12" spans="1:5" ht="68.25" customHeight="1" x14ac:dyDescent="0.25">
      <c r="A12" s="56"/>
      <c r="B12" s="10" t="s">
        <v>24</v>
      </c>
      <c r="C12" s="56"/>
      <c r="D12" s="4">
        <v>135000</v>
      </c>
      <c r="E12" s="7" t="s">
        <v>57</v>
      </c>
    </row>
    <row r="13" spans="1:5" ht="68.25" customHeight="1" x14ac:dyDescent="0.25">
      <c r="A13" s="56"/>
      <c r="B13" s="10" t="s">
        <v>25</v>
      </c>
      <c r="C13" s="50"/>
      <c r="D13" s="4">
        <v>120000</v>
      </c>
      <c r="E13" s="7" t="s">
        <v>58</v>
      </c>
    </row>
    <row r="14" spans="1:5" ht="96" customHeight="1" x14ac:dyDescent="0.25">
      <c r="A14" s="56"/>
      <c r="B14" s="11" t="s">
        <v>125</v>
      </c>
      <c r="C14" s="12" t="s">
        <v>14</v>
      </c>
      <c r="D14" s="1">
        <v>88000</v>
      </c>
      <c r="E14" s="7" t="s">
        <v>59</v>
      </c>
    </row>
    <row r="15" spans="1:5" ht="45" customHeight="1" x14ac:dyDescent="0.25">
      <c r="A15" s="56"/>
      <c r="B15" s="11" t="s">
        <v>126</v>
      </c>
      <c r="C15" s="11"/>
      <c r="D15" s="7"/>
      <c r="E15" s="7"/>
    </row>
    <row r="16" spans="1:5" ht="63" customHeight="1" x14ac:dyDescent="0.25">
      <c r="A16" s="56"/>
      <c r="B16" s="18" t="s">
        <v>40</v>
      </c>
      <c r="C16" s="56" t="s">
        <v>14</v>
      </c>
      <c r="D16" s="19">
        <v>17000</v>
      </c>
      <c r="E16" s="62" t="s">
        <v>60</v>
      </c>
    </row>
    <row r="17" spans="1:8" ht="63" customHeight="1" x14ac:dyDescent="0.25">
      <c r="A17" s="56"/>
      <c r="B17" s="10" t="s">
        <v>39</v>
      </c>
      <c r="C17" s="56"/>
      <c r="D17" s="1">
        <v>20000</v>
      </c>
      <c r="E17" s="62"/>
      <c r="F17" s="22"/>
      <c r="G17" s="22"/>
    </row>
    <row r="18" spans="1:8" ht="63" customHeight="1" x14ac:dyDescent="0.25">
      <c r="A18" s="56"/>
      <c r="B18" s="10" t="s">
        <v>38</v>
      </c>
      <c r="C18" s="50"/>
      <c r="D18" s="1">
        <v>25000</v>
      </c>
      <c r="E18" s="62"/>
      <c r="F18" s="22"/>
      <c r="G18" s="22"/>
      <c r="H18" s="22"/>
    </row>
    <row r="19" spans="1:8" ht="56.25" customHeight="1" x14ac:dyDescent="0.25">
      <c r="A19" s="56"/>
      <c r="B19" s="11" t="s">
        <v>36</v>
      </c>
      <c r="C19" s="11"/>
      <c r="D19" s="9"/>
      <c r="E19" s="7"/>
    </row>
    <row r="20" spans="1:8" s="23" customFormat="1" ht="67.5" customHeight="1" x14ac:dyDescent="0.25">
      <c r="A20" s="56"/>
      <c r="B20" s="38" t="s">
        <v>119</v>
      </c>
      <c r="C20" s="71" t="s">
        <v>14</v>
      </c>
      <c r="D20" s="5">
        <v>120000</v>
      </c>
      <c r="E20" s="66" t="s">
        <v>99</v>
      </c>
    </row>
    <row r="21" spans="1:8" s="23" customFormat="1" ht="120" customHeight="1" x14ac:dyDescent="0.25">
      <c r="A21" s="56"/>
      <c r="B21" s="38" t="s">
        <v>46</v>
      </c>
      <c r="C21" s="72"/>
      <c r="D21" s="5">
        <v>100000</v>
      </c>
      <c r="E21" s="67"/>
    </row>
    <row r="22" spans="1:8" ht="167.25" customHeight="1" x14ac:dyDescent="0.25">
      <c r="A22" s="56"/>
      <c r="B22" s="11" t="s">
        <v>10</v>
      </c>
      <c r="C22" s="12" t="s">
        <v>14</v>
      </c>
      <c r="D22" s="1">
        <v>26000</v>
      </c>
      <c r="E22" s="7" t="s">
        <v>100</v>
      </c>
    </row>
    <row r="23" spans="1:8" ht="27.75" customHeight="1" x14ac:dyDescent="0.25">
      <c r="A23" s="24"/>
      <c r="B23" s="57"/>
      <c r="C23" s="58"/>
      <c r="D23" s="69"/>
      <c r="E23" s="7"/>
    </row>
    <row r="24" spans="1:8" ht="96.75" customHeight="1" x14ac:dyDescent="0.25">
      <c r="A24" s="56"/>
      <c r="B24" s="63" t="s">
        <v>45</v>
      </c>
      <c r="C24" s="64"/>
      <c r="D24" s="65"/>
      <c r="E24" s="7"/>
    </row>
    <row r="25" spans="1:8" ht="97.5" customHeight="1" x14ac:dyDescent="0.25">
      <c r="A25" s="56"/>
      <c r="B25" s="11" t="s">
        <v>125</v>
      </c>
      <c r="C25" s="12" t="s">
        <v>14</v>
      </c>
      <c r="D25" s="1">
        <v>88000</v>
      </c>
      <c r="E25" s="7" t="s">
        <v>59</v>
      </c>
    </row>
    <row r="26" spans="1:8" ht="105.75" customHeight="1" x14ac:dyDescent="0.25">
      <c r="A26" s="56"/>
      <c r="B26" s="11" t="s">
        <v>126</v>
      </c>
      <c r="C26" s="11"/>
      <c r="D26" s="7"/>
      <c r="E26" s="35" t="s">
        <v>123</v>
      </c>
    </row>
    <row r="27" spans="1:8" ht="56.25" customHeight="1" x14ac:dyDescent="0.25">
      <c r="A27" s="56"/>
      <c r="B27" s="11" t="s">
        <v>105</v>
      </c>
      <c r="C27" s="11"/>
      <c r="D27" s="9"/>
      <c r="E27" s="7"/>
    </row>
    <row r="28" spans="1:8" s="23" customFormat="1" ht="67.5" customHeight="1" x14ac:dyDescent="0.25">
      <c r="A28" s="56"/>
      <c r="B28" s="38" t="s">
        <v>119</v>
      </c>
      <c r="C28" s="71" t="s">
        <v>14</v>
      </c>
      <c r="D28" s="5">
        <v>70000</v>
      </c>
      <c r="E28" s="66" t="s">
        <v>103</v>
      </c>
    </row>
    <row r="29" spans="1:8" s="23" customFormat="1" ht="113.25" customHeight="1" x14ac:dyDescent="0.25">
      <c r="A29" s="56"/>
      <c r="B29" s="38" t="s">
        <v>46</v>
      </c>
      <c r="C29" s="72"/>
      <c r="D29" s="5">
        <v>50000</v>
      </c>
      <c r="E29" s="67"/>
    </row>
    <row r="30" spans="1:8" ht="150" x14ac:dyDescent="0.25">
      <c r="A30" s="50"/>
      <c r="B30" s="11" t="s">
        <v>10</v>
      </c>
      <c r="C30" s="12" t="s">
        <v>14</v>
      </c>
      <c r="D30" s="1">
        <v>20000</v>
      </c>
      <c r="E30" s="7" t="s">
        <v>104</v>
      </c>
      <c r="F30" s="16">
        <v>211611500</v>
      </c>
      <c r="G30" s="16">
        <f>F30/12/8/22</f>
        <v>100194.83901515152</v>
      </c>
      <c r="H30" s="16">
        <f>100195/214*2*22</f>
        <v>20600.841121495327</v>
      </c>
    </row>
    <row r="31" spans="1:8" ht="177" customHeight="1" x14ac:dyDescent="0.25">
      <c r="A31" s="12" t="s">
        <v>12</v>
      </c>
      <c r="B31" s="11" t="s">
        <v>16</v>
      </c>
      <c r="C31" s="12" t="s">
        <v>3</v>
      </c>
      <c r="D31" s="1">
        <v>5500</v>
      </c>
      <c r="E31" s="7" t="s">
        <v>61</v>
      </c>
      <c r="G31" s="16">
        <f>20600+1030</f>
        <v>21630</v>
      </c>
      <c r="H31" s="16">
        <f>20600*0.05</f>
        <v>1030</v>
      </c>
    </row>
    <row r="32" spans="1:8" ht="42" customHeight="1" x14ac:dyDescent="0.25">
      <c r="A32" s="6">
        <v>2</v>
      </c>
      <c r="B32" s="48" t="s">
        <v>29</v>
      </c>
      <c r="C32" s="48"/>
      <c r="D32" s="48"/>
      <c r="E32" s="7"/>
    </row>
    <row r="33" spans="1:5" ht="195" x14ac:dyDescent="0.25">
      <c r="A33" s="29" t="s">
        <v>11</v>
      </c>
      <c r="B33" s="11" t="s">
        <v>32</v>
      </c>
      <c r="C33" s="49" t="s">
        <v>4</v>
      </c>
      <c r="D33" s="1">
        <v>61000</v>
      </c>
      <c r="E33" s="7" t="s">
        <v>63</v>
      </c>
    </row>
    <row r="34" spans="1:5" ht="195" x14ac:dyDescent="0.25">
      <c r="A34" s="29" t="s">
        <v>12</v>
      </c>
      <c r="B34" s="11" t="s">
        <v>30</v>
      </c>
      <c r="C34" s="50"/>
      <c r="D34" s="1">
        <v>47000</v>
      </c>
      <c r="E34" s="7" t="s">
        <v>62</v>
      </c>
    </row>
    <row r="35" spans="1:5" ht="18.75" customHeight="1" x14ac:dyDescent="0.25">
      <c r="A35" s="59">
        <v>3</v>
      </c>
      <c r="B35" s="57" t="s">
        <v>18</v>
      </c>
      <c r="C35" s="58"/>
      <c r="D35" s="1"/>
      <c r="E35" s="7"/>
    </row>
    <row r="36" spans="1:5" ht="73.5" customHeight="1" x14ac:dyDescent="0.25">
      <c r="A36" s="60"/>
      <c r="B36" s="8" t="s">
        <v>19</v>
      </c>
      <c r="C36" s="49" t="s">
        <v>14</v>
      </c>
      <c r="D36" s="1">
        <v>20000</v>
      </c>
      <c r="E36" s="7" t="s">
        <v>64</v>
      </c>
    </row>
    <row r="37" spans="1:5" ht="109.5" customHeight="1" x14ac:dyDescent="0.25">
      <c r="A37" s="60"/>
      <c r="B37" s="8" t="s">
        <v>20</v>
      </c>
      <c r="C37" s="56"/>
      <c r="D37" s="1">
        <v>17000</v>
      </c>
      <c r="E37" s="7" t="s">
        <v>65</v>
      </c>
    </row>
    <row r="38" spans="1:5" ht="150" customHeight="1" x14ac:dyDescent="0.25">
      <c r="A38" s="61"/>
      <c r="B38" s="8" t="s">
        <v>21</v>
      </c>
      <c r="C38" s="50"/>
      <c r="D38" s="1">
        <v>15000</v>
      </c>
      <c r="E38" s="7" t="s">
        <v>66</v>
      </c>
    </row>
    <row r="39" spans="1:5" ht="33" customHeight="1" x14ac:dyDescent="0.25">
      <c r="A39" s="6" t="s">
        <v>7</v>
      </c>
      <c r="B39" s="57" t="s">
        <v>15</v>
      </c>
      <c r="C39" s="58"/>
      <c r="D39" s="1"/>
      <c r="E39" s="7"/>
    </row>
    <row r="40" spans="1:5" ht="31.5" customHeight="1" x14ac:dyDescent="0.25">
      <c r="A40" s="6">
        <v>1</v>
      </c>
      <c r="B40" s="57" t="s">
        <v>6</v>
      </c>
      <c r="C40" s="58"/>
      <c r="D40" s="1"/>
      <c r="E40" s="7"/>
    </row>
    <row r="41" spans="1:5" ht="102" customHeight="1" x14ac:dyDescent="0.25">
      <c r="A41" s="49" t="s">
        <v>11</v>
      </c>
      <c r="B41" s="53" t="s">
        <v>113</v>
      </c>
      <c r="C41" s="54"/>
      <c r="D41" s="55"/>
      <c r="E41" s="7"/>
    </row>
    <row r="42" spans="1:5" ht="33" customHeight="1" x14ac:dyDescent="0.25">
      <c r="A42" s="56"/>
      <c r="B42" s="33" t="s">
        <v>41</v>
      </c>
      <c r="C42" s="31"/>
      <c r="D42" s="32"/>
      <c r="E42" s="7"/>
    </row>
    <row r="43" spans="1:5" ht="36.75" customHeight="1" x14ac:dyDescent="0.25">
      <c r="A43" s="56"/>
      <c r="B43" s="53" t="s">
        <v>22</v>
      </c>
      <c r="C43" s="54"/>
      <c r="D43" s="55"/>
      <c r="E43" s="7"/>
    </row>
    <row r="44" spans="1:5" ht="71.25" customHeight="1" x14ac:dyDescent="0.25">
      <c r="A44" s="56"/>
      <c r="B44" s="10" t="s">
        <v>23</v>
      </c>
      <c r="C44" s="49" t="s">
        <v>14</v>
      </c>
      <c r="D44" s="4">
        <v>155000</v>
      </c>
      <c r="E44" s="7" t="s">
        <v>56</v>
      </c>
    </row>
    <row r="45" spans="1:5" ht="71.25" customHeight="1" x14ac:dyDescent="0.25">
      <c r="A45" s="56"/>
      <c r="B45" s="10" t="s">
        <v>24</v>
      </c>
      <c r="C45" s="56"/>
      <c r="D45" s="4">
        <v>135000</v>
      </c>
      <c r="E45" s="7" t="s">
        <v>57</v>
      </c>
    </row>
    <row r="46" spans="1:5" ht="71.25" customHeight="1" x14ac:dyDescent="0.25">
      <c r="A46" s="56"/>
      <c r="B46" s="10" t="s">
        <v>25</v>
      </c>
      <c r="C46" s="50"/>
      <c r="D46" s="4">
        <v>120000</v>
      </c>
      <c r="E46" s="7" t="s">
        <v>58</v>
      </c>
    </row>
    <row r="47" spans="1:5" ht="47.25" customHeight="1" x14ac:dyDescent="0.25">
      <c r="A47" s="56"/>
      <c r="B47" s="11" t="s">
        <v>127</v>
      </c>
      <c r="C47" s="7"/>
      <c r="D47" s="7"/>
      <c r="E47" s="7"/>
    </row>
    <row r="48" spans="1:5" ht="93.75" customHeight="1" x14ac:dyDescent="0.25">
      <c r="A48" s="56"/>
      <c r="B48" s="10" t="s">
        <v>23</v>
      </c>
      <c r="C48" s="49" t="s">
        <v>14</v>
      </c>
      <c r="D48" s="14">
        <v>195000</v>
      </c>
      <c r="E48" s="7" t="s">
        <v>67</v>
      </c>
    </row>
    <row r="49" spans="1:6" ht="84.75" customHeight="1" x14ac:dyDescent="0.25">
      <c r="A49" s="56"/>
      <c r="B49" s="10" t="s">
        <v>24</v>
      </c>
      <c r="C49" s="56"/>
      <c r="D49" s="14">
        <v>175000</v>
      </c>
      <c r="E49" s="7" t="s">
        <v>69</v>
      </c>
    </row>
    <row r="50" spans="1:6" ht="93.75" customHeight="1" x14ac:dyDescent="0.25">
      <c r="A50" s="56"/>
      <c r="B50" s="10" t="s">
        <v>25</v>
      </c>
      <c r="C50" s="50"/>
      <c r="D50" s="14">
        <v>155000</v>
      </c>
      <c r="E50" s="7" t="s">
        <v>68</v>
      </c>
    </row>
    <row r="51" spans="1:6" ht="66.75" customHeight="1" x14ac:dyDescent="0.25">
      <c r="A51" s="56"/>
      <c r="B51" s="11" t="s">
        <v>126</v>
      </c>
      <c r="C51" s="36"/>
      <c r="D51" s="1"/>
      <c r="E51" s="7"/>
    </row>
    <row r="52" spans="1:6" ht="52.5" customHeight="1" x14ac:dyDescent="0.25">
      <c r="A52" s="56"/>
      <c r="B52" s="18" t="s">
        <v>44</v>
      </c>
      <c r="C52" s="49" t="s">
        <v>14</v>
      </c>
      <c r="D52" s="1">
        <v>11000</v>
      </c>
      <c r="E52" s="62" t="s">
        <v>70</v>
      </c>
    </row>
    <row r="53" spans="1:6" ht="52.5" customHeight="1" x14ac:dyDescent="0.25">
      <c r="A53" s="56"/>
      <c r="B53" s="10" t="s">
        <v>43</v>
      </c>
      <c r="C53" s="56"/>
      <c r="D53" s="1">
        <v>17000</v>
      </c>
      <c r="E53" s="62"/>
    </row>
    <row r="54" spans="1:6" ht="52.5" customHeight="1" x14ac:dyDescent="0.25">
      <c r="A54" s="56"/>
      <c r="B54" s="10" t="s">
        <v>42</v>
      </c>
      <c r="C54" s="50"/>
      <c r="D54" s="1">
        <v>23000</v>
      </c>
      <c r="E54" s="62"/>
    </row>
    <row r="55" spans="1:6" ht="70.5" customHeight="1" x14ac:dyDescent="0.25">
      <c r="A55" s="56"/>
      <c r="B55" s="11" t="s">
        <v>36</v>
      </c>
      <c r="C55" s="36"/>
      <c r="D55" s="1"/>
      <c r="E55" s="7"/>
    </row>
    <row r="56" spans="1:6" ht="84.75" customHeight="1" x14ac:dyDescent="0.25">
      <c r="A56" s="56"/>
      <c r="B56" s="10" t="s">
        <v>37</v>
      </c>
      <c r="C56" s="49" t="s">
        <v>14</v>
      </c>
      <c r="D56" s="1">
        <v>30000</v>
      </c>
      <c r="E56" s="66" t="s">
        <v>101</v>
      </c>
    </row>
    <row r="57" spans="1:6" ht="98.25" customHeight="1" x14ac:dyDescent="0.25">
      <c r="A57" s="56"/>
      <c r="B57" s="10" t="s">
        <v>37</v>
      </c>
      <c r="C57" s="50"/>
      <c r="D57" s="1">
        <v>25000</v>
      </c>
      <c r="E57" s="67"/>
    </row>
    <row r="58" spans="1:6" ht="182.25" customHeight="1" x14ac:dyDescent="0.25">
      <c r="A58" s="56"/>
      <c r="B58" s="11" t="s">
        <v>10</v>
      </c>
      <c r="C58" s="12" t="s">
        <v>14</v>
      </c>
      <c r="D58" s="1">
        <v>10000</v>
      </c>
      <c r="E58" s="7" t="s">
        <v>102</v>
      </c>
    </row>
    <row r="59" spans="1:6" ht="52.5" customHeight="1" x14ac:dyDescent="0.25">
      <c r="A59" s="56"/>
      <c r="B59" s="63" t="s">
        <v>45</v>
      </c>
      <c r="C59" s="64"/>
      <c r="D59" s="65"/>
      <c r="E59" s="7"/>
    </row>
    <row r="60" spans="1:6" ht="40.5" customHeight="1" x14ac:dyDescent="0.25">
      <c r="A60" s="56"/>
      <c r="B60" s="11" t="s">
        <v>127</v>
      </c>
      <c r="C60" s="30"/>
      <c r="D60" s="2"/>
      <c r="E60" s="7"/>
    </row>
    <row r="61" spans="1:6" ht="96.75" customHeight="1" x14ac:dyDescent="0.25">
      <c r="A61" s="56"/>
      <c r="B61" s="10" t="s">
        <v>23</v>
      </c>
      <c r="C61" s="49" t="s">
        <v>14</v>
      </c>
      <c r="D61" s="14">
        <v>195000</v>
      </c>
      <c r="E61" s="7" t="s">
        <v>67</v>
      </c>
    </row>
    <row r="62" spans="1:6" ht="96.75" customHeight="1" x14ac:dyDescent="0.25">
      <c r="A62" s="56"/>
      <c r="B62" s="10" t="s">
        <v>24</v>
      </c>
      <c r="C62" s="56"/>
      <c r="D62" s="14">
        <v>175000</v>
      </c>
      <c r="E62" s="7" t="s">
        <v>69</v>
      </c>
    </row>
    <row r="63" spans="1:6" ht="96.75" customHeight="1" x14ac:dyDescent="0.25">
      <c r="A63" s="56"/>
      <c r="B63" s="10" t="s">
        <v>25</v>
      </c>
      <c r="C63" s="50"/>
      <c r="D63" s="14">
        <v>155000</v>
      </c>
      <c r="E63" s="7" t="s">
        <v>68</v>
      </c>
    </row>
    <row r="64" spans="1:6" ht="109.5" customHeight="1" x14ac:dyDescent="0.25">
      <c r="A64" s="56"/>
      <c r="B64" s="11" t="s">
        <v>126</v>
      </c>
      <c r="C64" s="36"/>
      <c r="D64" s="1"/>
      <c r="E64" s="35" t="s">
        <v>122</v>
      </c>
      <c r="F64" s="25"/>
    </row>
    <row r="65" spans="1:9" ht="70.5" customHeight="1" x14ac:dyDescent="0.25">
      <c r="A65" s="56"/>
      <c r="B65" s="11" t="s">
        <v>105</v>
      </c>
      <c r="C65" s="36"/>
      <c r="D65" s="1"/>
      <c r="E65" s="7"/>
    </row>
    <row r="66" spans="1:9" ht="84.75" customHeight="1" x14ac:dyDescent="0.25">
      <c r="A66" s="56"/>
      <c r="B66" s="10" t="s">
        <v>37</v>
      </c>
      <c r="C66" s="49" t="s">
        <v>14</v>
      </c>
      <c r="D66" s="1">
        <v>12000</v>
      </c>
      <c r="E66" s="66" t="s">
        <v>106</v>
      </c>
      <c r="F66" s="22"/>
    </row>
    <row r="67" spans="1:9" ht="84.75" customHeight="1" x14ac:dyDescent="0.25">
      <c r="A67" s="56"/>
      <c r="B67" s="10" t="s">
        <v>119</v>
      </c>
      <c r="C67" s="50"/>
      <c r="D67" s="1">
        <v>10000</v>
      </c>
      <c r="E67" s="67"/>
      <c r="F67" s="26"/>
      <c r="H67" s="26"/>
    </row>
    <row r="68" spans="1:9" ht="180" customHeight="1" x14ac:dyDescent="0.25">
      <c r="A68" s="50"/>
      <c r="B68" s="11" t="s">
        <v>10</v>
      </c>
      <c r="C68" s="12" t="s">
        <v>14</v>
      </c>
      <c r="D68" s="1">
        <v>7000</v>
      </c>
      <c r="E68" s="7" t="s">
        <v>107</v>
      </c>
      <c r="F68" s="22">
        <v>162997721</v>
      </c>
      <c r="G68" s="26"/>
      <c r="H68" s="26"/>
      <c r="I68" s="26"/>
    </row>
    <row r="69" spans="1:9" ht="135" x14ac:dyDescent="0.25">
      <c r="A69" s="12" t="s">
        <v>12</v>
      </c>
      <c r="B69" s="11" t="s">
        <v>17</v>
      </c>
      <c r="C69" s="12" t="s">
        <v>3</v>
      </c>
      <c r="D69" s="14">
        <v>4000</v>
      </c>
      <c r="E69" s="37" t="s">
        <v>71</v>
      </c>
      <c r="I69" s="26"/>
    </row>
    <row r="70" spans="1:9" ht="29.25" customHeight="1" x14ac:dyDescent="0.25">
      <c r="A70" s="59">
        <v>2</v>
      </c>
      <c r="B70" s="57" t="s">
        <v>18</v>
      </c>
      <c r="C70" s="58"/>
      <c r="D70" s="1"/>
      <c r="E70" s="7"/>
      <c r="I70" s="26"/>
    </row>
    <row r="71" spans="1:9" ht="84.75" customHeight="1" x14ac:dyDescent="0.25">
      <c r="A71" s="60"/>
      <c r="B71" s="8" t="s">
        <v>19</v>
      </c>
      <c r="C71" s="49" t="s">
        <v>14</v>
      </c>
      <c r="D71" s="15">
        <v>17000</v>
      </c>
      <c r="E71" s="7" t="s">
        <v>72</v>
      </c>
    </row>
    <row r="72" spans="1:9" ht="84.75" customHeight="1" x14ac:dyDescent="0.25">
      <c r="A72" s="60"/>
      <c r="B72" s="8" t="s">
        <v>20</v>
      </c>
      <c r="C72" s="56"/>
      <c r="D72" s="15">
        <v>15000</v>
      </c>
      <c r="E72" s="7" t="s">
        <v>73</v>
      </c>
    </row>
    <row r="73" spans="1:9" ht="84.75" customHeight="1" x14ac:dyDescent="0.25">
      <c r="A73" s="61"/>
      <c r="B73" s="8" t="s">
        <v>21</v>
      </c>
      <c r="C73" s="50"/>
      <c r="D73" s="15">
        <v>13000</v>
      </c>
      <c r="E73" s="7" t="s">
        <v>74</v>
      </c>
    </row>
    <row r="74" spans="1:9" ht="43.5" customHeight="1" x14ac:dyDescent="0.25">
      <c r="A74" s="6" t="s">
        <v>8</v>
      </c>
      <c r="B74" s="57" t="s">
        <v>9</v>
      </c>
      <c r="C74" s="58"/>
      <c r="D74" s="69"/>
      <c r="E74" s="7"/>
    </row>
    <row r="75" spans="1:9" ht="33.75" customHeight="1" x14ac:dyDescent="0.25">
      <c r="A75" s="6">
        <v>1</v>
      </c>
      <c r="B75" s="57" t="s">
        <v>6</v>
      </c>
      <c r="C75" s="58"/>
      <c r="D75" s="69"/>
      <c r="E75" s="7"/>
    </row>
    <row r="76" spans="1:9" ht="93.75" customHeight="1" x14ac:dyDescent="0.25">
      <c r="A76" s="27"/>
      <c r="B76" s="53" t="s">
        <v>109</v>
      </c>
      <c r="C76" s="54"/>
      <c r="D76" s="55"/>
      <c r="E76" s="7"/>
    </row>
    <row r="77" spans="1:9" ht="40.5" customHeight="1" x14ac:dyDescent="0.25">
      <c r="A77" s="21"/>
      <c r="B77" s="33" t="s">
        <v>41</v>
      </c>
      <c r="C77" s="31"/>
      <c r="D77" s="32"/>
      <c r="E77" s="7"/>
    </row>
    <row r="78" spans="1:9" ht="39" customHeight="1" x14ac:dyDescent="0.25">
      <c r="A78" s="21"/>
      <c r="B78" s="53" t="s">
        <v>22</v>
      </c>
      <c r="C78" s="54"/>
      <c r="D78" s="55"/>
      <c r="E78" s="7"/>
    </row>
    <row r="79" spans="1:9" ht="68.25" customHeight="1" x14ac:dyDescent="0.25">
      <c r="A79" s="21"/>
      <c r="B79" s="10" t="s">
        <v>23</v>
      </c>
      <c r="C79" s="49" t="s">
        <v>14</v>
      </c>
      <c r="D79" s="4">
        <v>155000</v>
      </c>
      <c r="E79" s="7" t="s">
        <v>56</v>
      </c>
    </row>
    <row r="80" spans="1:9" ht="68.25" customHeight="1" x14ac:dyDescent="0.25">
      <c r="A80" s="21"/>
      <c r="B80" s="10" t="s">
        <v>24</v>
      </c>
      <c r="C80" s="56"/>
      <c r="D80" s="4">
        <v>135000</v>
      </c>
      <c r="E80" s="7" t="s">
        <v>57</v>
      </c>
    </row>
    <row r="81" spans="1:5" ht="68.25" customHeight="1" x14ac:dyDescent="0.25">
      <c r="A81" s="21"/>
      <c r="B81" s="10" t="s">
        <v>25</v>
      </c>
      <c r="C81" s="50"/>
      <c r="D81" s="4">
        <v>120000</v>
      </c>
      <c r="E81" s="7" t="s">
        <v>58</v>
      </c>
    </row>
    <row r="82" spans="1:5" ht="44.25" customHeight="1" x14ac:dyDescent="0.25">
      <c r="A82" s="21"/>
      <c r="B82" s="11" t="s">
        <v>128</v>
      </c>
      <c r="C82" s="12" t="s">
        <v>14</v>
      </c>
      <c r="D82" s="14"/>
      <c r="E82" s="7"/>
    </row>
    <row r="83" spans="1:5" ht="66.75" customHeight="1" x14ac:dyDescent="0.25">
      <c r="A83" s="21"/>
      <c r="B83" s="10" t="s">
        <v>23</v>
      </c>
      <c r="C83" s="49" t="s">
        <v>14</v>
      </c>
      <c r="D83" s="14">
        <v>120000</v>
      </c>
      <c r="E83" s="7" t="s">
        <v>79</v>
      </c>
    </row>
    <row r="84" spans="1:5" ht="66.75" customHeight="1" x14ac:dyDescent="0.25">
      <c r="A84" s="21"/>
      <c r="B84" s="10" t="s">
        <v>24</v>
      </c>
      <c r="C84" s="56"/>
      <c r="D84" s="14">
        <v>110000</v>
      </c>
      <c r="E84" s="7" t="s">
        <v>78</v>
      </c>
    </row>
    <row r="85" spans="1:5" ht="66.75" customHeight="1" x14ac:dyDescent="0.25">
      <c r="A85" s="21"/>
      <c r="B85" s="10" t="s">
        <v>25</v>
      </c>
      <c r="C85" s="50"/>
      <c r="D85" s="14">
        <v>105000</v>
      </c>
      <c r="E85" s="7" t="s">
        <v>80</v>
      </c>
    </row>
    <row r="86" spans="1:5" ht="255" x14ac:dyDescent="0.25">
      <c r="A86" s="21"/>
      <c r="B86" s="11" t="s">
        <v>126</v>
      </c>
      <c r="C86" s="12" t="s">
        <v>14</v>
      </c>
      <c r="D86" s="14">
        <v>20000</v>
      </c>
      <c r="E86" s="7" t="s">
        <v>77</v>
      </c>
    </row>
    <row r="87" spans="1:5" ht="62.25" customHeight="1" x14ac:dyDescent="0.25">
      <c r="A87" s="21"/>
      <c r="B87" s="11" t="s">
        <v>36</v>
      </c>
      <c r="C87" s="36"/>
      <c r="D87" s="1"/>
      <c r="E87" s="7"/>
    </row>
    <row r="88" spans="1:5" ht="84.75" customHeight="1" x14ac:dyDescent="0.25">
      <c r="A88" s="21"/>
      <c r="B88" s="10" t="s">
        <v>119</v>
      </c>
      <c r="C88" s="49" t="s">
        <v>14</v>
      </c>
      <c r="D88" s="1">
        <v>30000</v>
      </c>
      <c r="E88" s="66" t="s">
        <v>101</v>
      </c>
    </row>
    <row r="89" spans="1:5" ht="84.75" customHeight="1" x14ac:dyDescent="0.25">
      <c r="A89" s="21"/>
      <c r="B89" s="10" t="s">
        <v>46</v>
      </c>
      <c r="C89" s="50"/>
      <c r="D89" s="1">
        <v>25000</v>
      </c>
      <c r="E89" s="67"/>
    </row>
    <row r="90" spans="1:5" ht="189.75" customHeight="1" x14ac:dyDescent="0.25">
      <c r="A90" s="21"/>
      <c r="B90" s="11" t="s">
        <v>10</v>
      </c>
      <c r="C90" s="12" t="s">
        <v>14</v>
      </c>
      <c r="D90" s="1">
        <v>10000</v>
      </c>
      <c r="E90" s="7" t="s">
        <v>102</v>
      </c>
    </row>
    <row r="91" spans="1:5" ht="18.75" x14ac:dyDescent="0.25">
      <c r="A91" s="21"/>
      <c r="B91" s="53"/>
      <c r="C91" s="54"/>
      <c r="D91" s="55"/>
      <c r="E91" s="7"/>
    </row>
    <row r="92" spans="1:5" ht="58.5" customHeight="1" x14ac:dyDescent="0.25">
      <c r="A92" s="6"/>
      <c r="B92" s="63" t="s">
        <v>45</v>
      </c>
      <c r="C92" s="64"/>
      <c r="D92" s="65"/>
      <c r="E92" s="7"/>
    </row>
    <row r="93" spans="1:5" ht="37.5" x14ac:dyDescent="0.25">
      <c r="A93" s="6"/>
      <c r="B93" s="11" t="s">
        <v>128</v>
      </c>
      <c r="C93" s="12" t="s">
        <v>14</v>
      </c>
      <c r="D93" s="14">
        <v>155000</v>
      </c>
      <c r="E93" s="7"/>
    </row>
    <row r="94" spans="1:5" ht="111" customHeight="1" x14ac:dyDescent="0.25">
      <c r="A94" s="6"/>
      <c r="B94" s="10" t="s">
        <v>23</v>
      </c>
      <c r="C94" s="49" t="s">
        <v>14</v>
      </c>
      <c r="D94" s="14">
        <v>120000</v>
      </c>
      <c r="E94" s="7" t="s">
        <v>79</v>
      </c>
    </row>
    <row r="95" spans="1:5" ht="88.5" customHeight="1" x14ac:dyDescent="0.25">
      <c r="A95" s="6"/>
      <c r="B95" s="10" t="s">
        <v>24</v>
      </c>
      <c r="C95" s="56"/>
      <c r="D95" s="14">
        <v>110000</v>
      </c>
      <c r="E95" s="7" t="s">
        <v>78</v>
      </c>
    </row>
    <row r="96" spans="1:5" ht="75" x14ac:dyDescent="0.25">
      <c r="A96" s="6"/>
      <c r="B96" s="10" t="s">
        <v>25</v>
      </c>
      <c r="C96" s="50"/>
      <c r="D96" s="14">
        <v>105000</v>
      </c>
      <c r="E96" s="7" t="s">
        <v>80</v>
      </c>
    </row>
    <row r="97" spans="1:6" ht="111" customHeight="1" x14ac:dyDescent="0.25">
      <c r="A97" s="21"/>
      <c r="B97" s="11" t="s">
        <v>126</v>
      </c>
      <c r="C97" s="12" t="s">
        <v>14</v>
      </c>
      <c r="D97" s="14">
        <v>16000</v>
      </c>
      <c r="E97" s="35" t="s">
        <v>121</v>
      </c>
      <c r="F97" s="20"/>
    </row>
    <row r="98" spans="1:6" ht="62.25" customHeight="1" x14ac:dyDescent="0.25">
      <c r="A98" s="21"/>
      <c r="B98" s="11" t="s">
        <v>36</v>
      </c>
      <c r="C98" s="36"/>
      <c r="D98" s="1"/>
      <c r="E98" s="7"/>
      <c r="F98" s="20"/>
    </row>
    <row r="99" spans="1:6" ht="84.75" customHeight="1" x14ac:dyDescent="0.25">
      <c r="A99" s="21"/>
      <c r="B99" s="10" t="s">
        <v>119</v>
      </c>
      <c r="C99" s="49" t="s">
        <v>14</v>
      </c>
      <c r="D99" s="1">
        <v>12000</v>
      </c>
      <c r="E99" s="66" t="s">
        <v>106</v>
      </c>
      <c r="F99" s="20"/>
    </row>
    <row r="100" spans="1:6" ht="84.75" customHeight="1" x14ac:dyDescent="0.25">
      <c r="A100" s="21"/>
      <c r="B100" s="10" t="s">
        <v>46</v>
      </c>
      <c r="C100" s="50"/>
      <c r="D100" s="1">
        <v>10000</v>
      </c>
      <c r="E100" s="67"/>
      <c r="F100" s="20"/>
    </row>
    <row r="101" spans="1:6" ht="135" x14ac:dyDescent="0.25">
      <c r="A101" s="21"/>
      <c r="B101" s="11" t="s">
        <v>10</v>
      </c>
      <c r="C101" s="12" t="s">
        <v>14</v>
      </c>
      <c r="D101" s="1">
        <v>7000</v>
      </c>
      <c r="E101" s="7" t="s">
        <v>107</v>
      </c>
    </row>
    <row r="102" spans="1:6" ht="121.5" customHeight="1" x14ac:dyDescent="0.25">
      <c r="A102" s="6">
        <v>2</v>
      </c>
      <c r="B102" s="34" t="s">
        <v>31</v>
      </c>
      <c r="C102" s="12" t="s">
        <v>33</v>
      </c>
      <c r="D102" s="1">
        <v>7000</v>
      </c>
      <c r="E102" s="62" t="s">
        <v>75</v>
      </c>
    </row>
    <row r="103" spans="1:6" ht="121.5" customHeight="1" x14ac:dyDescent="0.25">
      <c r="A103" s="6">
        <v>3</v>
      </c>
      <c r="B103" s="34" t="s">
        <v>26</v>
      </c>
      <c r="C103" s="12" t="s">
        <v>33</v>
      </c>
      <c r="D103" s="1">
        <v>7000</v>
      </c>
      <c r="E103" s="62"/>
    </row>
    <row r="104" spans="1:6" ht="18.75" x14ac:dyDescent="0.25">
      <c r="A104" s="6" t="s">
        <v>27</v>
      </c>
      <c r="B104" s="57" t="s">
        <v>28</v>
      </c>
      <c r="C104" s="58"/>
      <c r="D104" s="69"/>
      <c r="E104" s="7"/>
    </row>
    <row r="105" spans="1:6" ht="128.25" customHeight="1" x14ac:dyDescent="0.25">
      <c r="A105" s="6">
        <v>1</v>
      </c>
      <c r="B105" s="34" t="s">
        <v>31</v>
      </c>
      <c r="C105" s="12" t="s">
        <v>33</v>
      </c>
      <c r="D105" s="3">
        <v>8000</v>
      </c>
      <c r="E105" s="62" t="s">
        <v>76</v>
      </c>
    </row>
    <row r="106" spans="1:6" ht="128.25" customHeight="1" x14ac:dyDescent="0.25">
      <c r="A106" s="6">
        <v>2</v>
      </c>
      <c r="B106" s="34" t="s">
        <v>26</v>
      </c>
      <c r="C106" s="12" t="s">
        <v>33</v>
      </c>
      <c r="D106" s="3">
        <v>8000</v>
      </c>
      <c r="E106" s="62"/>
    </row>
    <row r="107" spans="1:6" ht="33" customHeight="1" x14ac:dyDescent="0.25">
      <c r="A107" s="68"/>
      <c r="B107" s="68"/>
      <c r="C107" s="68"/>
    </row>
    <row r="108" spans="1:6" ht="18.75" x14ac:dyDescent="0.3">
      <c r="A108" s="28"/>
    </row>
    <row r="109" spans="1:6" ht="18.75" x14ac:dyDescent="0.3">
      <c r="A109" s="28"/>
    </row>
    <row r="112" spans="1:6" ht="18.75" customHeight="1" x14ac:dyDescent="0.25"/>
    <row r="120" spans="3:3" ht="18.75" customHeight="1" x14ac:dyDescent="0.25"/>
    <row r="127" spans="3:3" ht="18.75" customHeight="1" x14ac:dyDescent="0.25">
      <c r="C127" s="16"/>
    </row>
    <row r="134" spans="3:3" ht="18.75" customHeight="1" x14ac:dyDescent="0.25">
      <c r="C134" s="16"/>
    </row>
    <row r="137" spans="3:3" ht="18.75" customHeight="1" x14ac:dyDescent="0.25">
      <c r="C137" s="16"/>
    </row>
    <row r="146" spans="3:3" ht="18.75" customHeight="1" x14ac:dyDescent="0.25">
      <c r="C146" s="16"/>
    </row>
  </sheetData>
  <mergeCells count="60">
    <mergeCell ref="E66:E67"/>
    <mergeCell ref="C44:C46"/>
    <mergeCell ref="B40:C40"/>
    <mergeCell ref="B39:C39"/>
    <mergeCell ref="B41:D41"/>
    <mergeCell ref="A2:E2"/>
    <mergeCell ref="C28:C29"/>
    <mergeCell ref="E28:E29"/>
    <mergeCell ref="A1:E1"/>
    <mergeCell ref="C11:C13"/>
    <mergeCell ref="B8:D8"/>
    <mergeCell ref="B7:D7"/>
    <mergeCell ref="B23:D23"/>
    <mergeCell ref="C20:C21"/>
    <mergeCell ref="C16:C18"/>
    <mergeCell ref="B10:C10"/>
    <mergeCell ref="E20:E21"/>
    <mergeCell ref="A8:A22"/>
    <mergeCell ref="E16:E18"/>
    <mergeCell ref="B24:D24"/>
    <mergeCell ref="A24:A30"/>
    <mergeCell ref="A107:C107"/>
    <mergeCell ref="C79:C81"/>
    <mergeCell ref="B70:C70"/>
    <mergeCell ref="B104:D104"/>
    <mergeCell ref="A70:A73"/>
    <mergeCell ref="C71:C73"/>
    <mergeCell ref="B91:D91"/>
    <mergeCell ref="B74:D74"/>
    <mergeCell ref="B75:D75"/>
    <mergeCell ref="B76:D76"/>
    <mergeCell ref="B78:D78"/>
    <mergeCell ref="C99:C100"/>
    <mergeCell ref="A59:A68"/>
    <mergeCell ref="E105:E106"/>
    <mergeCell ref="B92:D92"/>
    <mergeCell ref="E52:E54"/>
    <mergeCell ref="B59:D59"/>
    <mergeCell ref="E102:E103"/>
    <mergeCell ref="C94:C96"/>
    <mergeCell ref="C52:C54"/>
    <mergeCell ref="C56:C57"/>
    <mergeCell ref="C61:C63"/>
    <mergeCell ref="C88:C89"/>
    <mergeCell ref="C83:C85"/>
    <mergeCell ref="E99:E100"/>
    <mergeCell ref="E56:E57"/>
    <mergeCell ref="E88:E89"/>
    <mergeCell ref="C66:C67"/>
    <mergeCell ref="B32:D32"/>
    <mergeCell ref="C33:C34"/>
    <mergeCell ref="A3:E3"/>
    <mergeCell ref="A4:E4"/>
    <mergeCell ref="B43:D43"/>
    <mergeCell ref="A41:A58"/>
    <mergeCell ref="C48:C50"/>
    <mergeCell ref="B6:C6"/>
    <mergeCell ref="A35:A38"/>
    <mergeCell ref="B35:C35"/>
    <mergeCell ref="C36:C38"/>
  </mergeCells>
  <phoneticPr fontId="1" type="noConversion"/>
  <printOptions horizontalCentered="1"/>
  <pageMargins left="0.25" right="0.25" top="0.52" bottom="0.17" header="0.31496062992126" footer="0.17"/>
  <pageSetup paperSize="9" scale="81" fitToHeight="0" orientation="landscape" r:id="rId1"/>
  <headerFooter differentFirst="1">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4"/>
  <sheetViews>
    <sheetView tabSelected="1" zoomScale="90" zoomScaleNormal="90" workbookViewId="0">
      <selection activeCell="B76" sqref="B76:D76"/>
    </sheetView>
  </sheetViews>
  <sheetFormatPr defaultColWidth="9.140625" defaultRowHeight="15" x14ac:dyDescent="0.25"/>
  <cols>
    <col min="1" max="1" width="5.85546875" style="46" customWidth="1"/>
    <col min="2" max="2" width="66.140625" style="16" customWidth="1"/>
    <col min="3" max="3" width="17.7109375" style="13" customWidth="1"/>
    <col min="4" max="4" width="13.42578125" style="16" customWidth="1"/>
    <col min="5" max="5" width="9.140625" style="16"/>
    <col min="6" max="6" width="21.140625" style="16" customWidth="1"/>
    <col min="7" max="16384" width="9.140625" style="16"/>
  </cols>
  <sheetData>
    <row r="1" spans="1:5" ht="18.75" x14ac:dyDescent="0.25">
      <c r="A1" s="74" t="s">
        <v>35</v>
      </c>
      <c r="B1" s="74"/>
      <c r="C1" s="74"/>
      <c r="D1" s="74"/>
    </row>
    <row r="2" spans="1:5" ht="90.75" customHeight="1" x14ac:dyDescent="0.25">
      <c r="A2" s="75" t="s">
        <v>139</v>
      </c>
      <c r="B2" s="75"/>
      <c r="C2" s="75"/>
      <c r="D2" s="75"/>
    </row>
    <row r="3" spans="1:5" ht="18.75" customHeight="1" x14ac:dyDescent="0.25">
      <c r="A3" s="76"/>
      <c r="B3" s="76"/>
      <c r="C3" s="76"/>
      <c r="D3" s="76"/>
      <c r="E3" s="76"/>
    </row>
    <row r="4" spans="1:5" ht="2.25" customHeight="1" x14ac:dyDescent="0.25">
      <c r="A4" s="76" t="s">
        <v>134</v>
      </c>
      <c r="B4" s="77"/>
      <c r="C4" s="77"/>
      <c r="D4" s="77"/>
      <c r="E4" s="42"/>
    </row>
    <row r="5" spans="1:5" ht="18.75" hidden="1" x14ac:dyDescent="0.25">
      <c r="A5" s="43"/>
    </row>
    <row r="6" spans="1:5" ht="42" customHeight="1" x14ac:dyDescent="0.25">
      <c r="A6" s="6" t="s">
        <v>13</v>
      </c>
      <c r="B6" s="6" t="s">
        <v>129</v>
      </c>
      <c r="C6" s="6" t="s">
        <v>130</v>
      </c>
      <c r="D6" s="6" t="s">
        <v>131</v>
      </c>
    </row>
    <row r="7" spans="1:5" ht="18.75" x14ac:dyDescent="0.25">
      <c r="A7" s="6" t="s">
        <v>2</v>
      </c>
      <c r="B7" s="57" t="s">
        <v>5</v>
      </c>
      <c r="C7" s="58"/>
      <c r="D7" s="7"/>
    </row>
    <row r="8" spans="1:5" ht="27" customHeight="1" x14ac:dyDescent="0.25">
      <c r="A8" s="6">
        <v>1</v>
      </c>
      <c r="B8" s="57" t="s">
        <v>6</v>
      </c>
      <c r="C8" s="58"/>
      <c r="D8" s="69"/>
    </row>
    <row r="9" spans="1:5" s="13" customFormat="1" ht="82.5" customHeight="1" x14ac:dyDescent="0.25">
      <c r="A9" s="49" t="s">
        <v>11</v>
      </c>
      <c r="B9" s="78" t="s">
        <v>111</v>
      </c>
      <c r="C9" s="79"/>
      <c r="D9" s="80"/>
    </row>
    <row r="10" spans="1:5" s="13" customFormat="1" ht="35.25" customHeight="1" x14ac:dyDescent="0.25">
      <c r="A10" s="56"/>
      <c r="B10" s="8" t="s">
        <v>41</v>
      </c>
      <c r="C10" s="8"/>
      <c r="D10" s="8"/>
    </row>
    <row r="11" spans="1:5" s="13" customFormat="1" ht="18.75" x14ac:dyDescent="0.25">
      <c r="A11" s="56"/>
      <c r="B11" s="53" t="s">
        <v>85</v>
      </c>
      <c r="C11" s="54"/>
      <c r="D11" s="9"/>
    </row>
    <row r="12" spans="1:5" s="13" customFormat="1" ht="18.75" x14ac:dyDescent="0.25">
      <c r="A12" s="56"/>
      <c r="B12" s="10" t="s">
        <v>88</v>
      </c>
      <c r="C12" s="49" t="s">
        <v>132</v>
      </c>
      <c r="D12" s="4">
        <v>155000</v>
      </c>
    </row>
    <row r="13" spans="1:5" s="13" customFormat="1" ht="18.75" x14ac:dyDescent="0.25">
      <c r="A13" s="56"/>
      <c r="B13" s="10" t="s">
        <v>86</v>
      </c>
      <c r="C13" s="56"/>
      <c r="D13" s="4">
        <v>135000</v>
      </c>
    </row>
    <row r="14" spans="1:5" s="13" customFormat="1" ht="18.75" x14ac:dyDescent="0.25">
      <c r="A14" s="56"/>
      <c r="B14" s="10" t="s">
        <v>87</v>
      </c>
      <c r="C14" s="50"/>
      <c r="D14" s="4">
        <v>120000</v>
      </c>
    </row>
    <row r="15" spans="1:5" s="13" customFormat="1" ht="37.5" x14ac:dyDescent="0.25">
      <c r="A15" s="56"/>
      <c r="B15" s="11" t="s">
        <v>112</v>
      </c>
      <c r="C15" s="12" t="s">
        <v>132</v>
      </c>
      <c r="D15" s="1">
        <v>88000</v>
      </c>
    </row>
    <row r="16" spans="1:5" s="13" customFormat="1" ht="37.5" x14ac:dyDescent="0.25">
      <c r="A16" s="56"/>
      <c r="B16" s="11" t="s">
        <v>108</v>
      </c>
      <c r="C16" s="11"/>
      <c r="D16" s="44"/>
    </row>
    <row r="17" spans="1:7" s="13" customFormat="1" ht="18.75" x14ac:dyDescent="0.25">
      <c r="A17" s="56"/>
      <c r="B17" s="18" t="s">
        <v>89</v>
      </c>
      <c r="C17" s="56" t="s">
        <v>132</v>
      </c>
      <c r="D17" s="19">
        <v>17000</v>
      </c>
    </row>
    <row r="18" spans="1:7" s="13" customFormat="1" ht="18.75" x14ac:dyDescent="0.25">
      <c r="A18" s="56"/>
      <c r="B18" s="10" t="s">
        <v>90</v>
      </c>
      <c r="C18" s="56"/>
      <c r="D18" s="1">
        <v>20000</v>
      </c>
      <c r="E18" s="17"/>
      <c r="F18" s="17"/>
    </row>
    <row r="19" spans="1:7" s="13" customFormat="1" ht="18.75" x14ac:dyDescent="0.25">
      <c r="A19" s="56"/>
      <c r="B19" s="10" t="s">
        <v>91</v>
      </c>
      <c r="C19" s="50"/>
      <c r="D19" s="1">
        <v>25000</v>
      </c>
      <c r="E19" s="17"/>
      <c r="F19" s="17"/>
      <c r="G19" s="17"/>
    </row>
    <row r="20" spans="1:7" s="13" customFormat="1" ht="37.5" x14ac:dyDescent="0.25">
      <c r="A20" s="56"/>
      <c r="B20" s="11" t="s">
        <v>92</v>
      </c>
      <c r="C20" s="11"/>
      <c r="D20" s="9"/>
    </row>
    <row r="21" spans="1:7" s="13" customFormat="1" ht="18.75" x14ac:dyDescent="0.25">
      <c r="A21" s="56"/>
      <c r="B21" s="10" t="s">
        <v>118</v>
      </c>
      <c r="C21" s="49" t="s">
        <v>132</v>
      </c>
      <c r="D21" s="1">
        <v>120000</v>
      </c>
    </row>
    <row r="22" spans="1:7" s="13" customFormat="1" ht="18.75" x14ac:dyDescent="0.25">
      <c r="A22" s="56"/>
      <c r="B22" s="10" t="s">
        <v>93</v>
      </c>
      <c r="C22" s="50"/>
      <c r="D22" s="1">
        <v>100000</v>
      </c>
    </row>
    <row r="23" spans="1:7" s="13" customFormat="1" ht="37.5" x14ac:dyDescent="0.25">
      <c r="A23" s="56"/>
      <c r="B23" s="11" t="s">
        <v>94</v>
      </c>
      <c r="C23" s="12" t="s">
        <v>132</v>
      </c>
      <c r="D23" s="1">
        <v>26000</v>
      </c>
    </row>
    <row r="24" spans="1:7" s="13" customFormat="1" ht="18.75" x14ac:dyDescent="0.25">
      <c r="A24" s="56"/>
      <c r="B24" s="34" t="s">
        <v>84</v>
      </c>
      <c r="C24" s="8"/>
      <c r="D24" s="8"/>
    </row>
    <row r="25" spans="1:7" s="13" customFormat="1" ht="18.75" x14ac:dyDescent="0.25">
      <c r="A25" s="56"/>
      <c r="B25" s="10" t="s">
        <v>119</v>
      </c>
      <c r="C25" s="8"/>
      <c r="D25" s="8"/>
    </row>
    <row r="26" spans="1:7" s="13" customFormat="1" ht="18.75" x14ac:dyDescent="0.25">
      <c r="A26" s="56"/>
      <c r="B26" s="10" t="s">
        <v>47</v>
      </c>
      <c r="C26" s="11"/>
      <c r="D26" s="2"/>
    </row>
    <row r="27" spans="1:7" s="13" customFormat="1" ht="18.75" x14ac:dyDescent="0.25">
      <c r="A27" s="56"/>
      <c r="B27" s="18" t="s">
        <v>49</v>
      </c>
      <c r="C27" s="49" t="s">
        <v>132</v>
      </c>
      <c r="D27" s="2">
        <v>406000</v>
      </c>
    </row>
    <row r="28" spans="1:7" s="13" customFormat="1" ht="18.75" x14ac:dyDescent="0.25">
      <c r="A28" s="56"/>
      <c r="B28" s="10" t="s">
        <v>50</v>
      </c>
      <c r="C28" s="56"/>
      <c r="D28" s="2">
        <v>409000</v>
      </c>
    </row>
    <row r="29" spans="1:7" s="13" customFormat="1" ht="18.75" x14ac:dyDescent="0.25">
      <c r="A29" s="56"/>
      <c r="B29" s="10" t="s">
        <v>51</v>
      </c>
      <c r="C29" s="50"/>
      <c r="D29" s="2">
        <v>414000</v>
      </c>
    </row>
    <row r="30" spans="1:7" s="13" customFormat="1" ht="18.75" x14ac:dyDescent="0.25">
      <c r="A30" s="56"/>
      <c r="B30" s="10" t="s">
        <v>48</v>
      </c>
      <c r="C30" s="11"/>
      <c r="D30" s="2"/>
    </row>
    <row r="31" spans="1:7" s="13" customFormat="1" ht="18.75" x14ac:dyDescent="0.25">
      <c r="A31" s="56"/>
      <c r="B31" s="18" t="s">
        <v>49</v>
      </c>
      <c r="C31" s="49" t="s">
        <v>132</v>
      </c>
      <c r="D31" s="2">
        <v>386000</v>
      </c>
    </row>
    <row r="32" spans="1:7" s="13" customFormat="1" ht="18.75" x14ac:dyDescent="0.25">
      <c r="A32" s="56"/>
      <c r="B32" s="10" t="s">
        <v>50</v>
      </c>
      <c r="C32" s="56"/>
      <c r="D32" s="2">
        <v>389000</v>
      </c>
    </row>
    <row r="33" spans="1:4" s="13" customFormat="1" ht="18.75" x14ac:dyDescent="0.25">
      <c r="A33" s="56"/>
      <c r="B33" s="10" t="s">
        <v>51</v>
      </c>
      <c r="C33" s="50"/>
      <c r="D33" s="2">
        <v>394000</v>
      </c>
    </row>
    <row r="34" spans="1:4" s="13" customFormat="1" ht="18.75" x14ac:dyDescent="0.25">
      <c r="A34" s="56"/>
      <c r="B34" s="10" t="s">
        <v>46</v>
      </c>
      <c r="C34" s="8"/>
      <c r="D34" s="8"/>
    </row>
    <row r="35" spans="1:4" s="13" customFormat="1" ht="18.75" x14ac:dyDescent="0.25">
      <c r="A35" s="56"/>
      <c r="B35" s="10" t="s">
        <v>47</v>
      </c>
      <c r="C35" s="11"/>
      <c r="D35" s="2"/>
    </row>
    <row r="36" spans="1:4" s="13" customFormat="1" ht="18.75" x14ac:dyDescent="0.25">
      <c r="A36" s="56"/>
      <c r="B36" s="18" t="s">
        <v>49</v>
      </c>
      <c r="C36" s="49" t="s">
        <v>132</v>
      </c>
      <c r="D36" s="2">
        <v>386000</v>
      </c>
    </row>
    <row r="37" spans="1:4" s="13" customFormat="1" ht="18.75" x14ac:dyDescent="0.25">
      <c r="A37" s="56"/>
      <c r="B37" s="10" t="s">
        <v>50</v>
      </c>
      <c r="C37" s="56"/>
      <c r="D37" s="2">
        <v>389000</v>
      </c>
    </row>
    <row r="38" spans="1:4" s="13" customFormat="1" ht="18.75" x14ac:dyDescent="0.25">
      <c r="A38" s="56"/>
      <c r="B38" s="10" t="s">
        <v>51</v>
      </c>
      <c r="C38" s="50"/>
      <c r="D38" s="2">
        <v>394000</v>
      </c>
    </row>
    <row r="39" spans="1:4" s="13" customFormat="1" ht="18.75" x14ac:dyDescent="0.25">
      <c r="A39" s="56"/>
      <c r="B39" s="10" t="s">
        <v>48</v>
      </c>
      <c r="C39" s="11"/>
      <c r="D39" s="2"/>
    </row>
    <row r="40" spans="1:4" s="13" customFormat="1" ht="18.75" x14ac:dyDescent="0.25">
      <c r="A40" s="56"/>
      <c r="B40" s="18" t="s">
        <v>49</v>
      </c>
      <c r="C40" s="49" t="s">
        <v>132</v>
      </c>
      <c r="D40" s="2">
        <v>366000</v>
      </c>
    </row>
    <row r="41" spans="1:4" s="13" customFormat="1" ht="18.75" x14ac:dyDescent="0.25">
      <c r="A41" s="56"/>
      <c r="B41" s="10" t="s">
        <v>50</v>
      </c>
      <c r="C41" s="56"/>
      <c r="D41" s="2">
        <v>369000</v>
      </c>
    </row>
    <row r="42" spans="1:4" s="13" customFormat="1" ht="18.75" x14ac:dyDescent="0.25">
      <c r="A42" s="56"/>
      <c r="B42" s="10" t="s">
        <v>51</v>
      </c>
      <c r="C42" s="50"/>
      <c r="D42" s="2">
        <v>374000</v>
      </c>
    </row>
    <row r="43" spans="1:4" s="13" customFormat="1" ht="18.75" x14ac:dyDescent="0.25">
      <c r="A43" s="56"/>
      <c r="B43" s="10" t="s">
        <v>52</v>
      </c>
      <c r="C43" s="11"/>
      <c r="D43" s="2"/>
    </row>
    <row r="44" spans="1:4" s="13" customFormat="1" ht="18.75" customHeight="1" x14ac:dyDescent="0.25">
      <c r="A44" s="56"/>
      <c r="B44" s="18" t="s">
        <v>49</v>
      </c>
      <c r="C44" s="49" t="s">
        <v>132</v>
      </c>
      <c r="D44" s="2">
        <v>351000</v>
      </c>
    </row>
    <row r="45" spans="1:4" s="13" customFormat="1" ht="18.75" x14ac:dyDescent="0.25">
      <c r="A45" s="56"/>
      <c r="B45" s="10" t="s">
        <v>50</v>
      </c>
      <c r="C45" s="56"/>
      <c r="D45" s="2">
        <v>354000</v>
      </c>
    </row>
    <row r="46" spans="1:4" s="13" customFormat="1" ht="18.75" x14ac:dyDescent="0.25">
      <c r="A46" s="56"/>
      <c r="B46" s="10" t="s">
        <v>51</v>
      </c>
      <c r="C46" s="50"/>
      <c r="D46" s="2">
        <v>359000</v>
      </c>
    </row>
    <row r="47" spans="1:4" s="13" customFormat="1" ht="54" customHeight="1" x14ac:dyDescent="0.25">
      <c r="A47" s="56"/>
      <c r="B47" s="53" t="s">
        <v>45</v>
      </c>
      <c r="C47" s="54"/>
      <c r="D47" s="55"/>
    </row>
    <row r="48" spans="1:4" s="13" customFormat="1" ht="37.5" x14ac:dyDescent="0.25">
      <c r="A48" s="56"/>
      <c r="B48" s="11" t="s">
        <v>112</v>
      </c>
      <c r="C48" s="12" t="s">
        <v>132</v>
      </c>
      <c r="D48" s="1">
        <v>88000</v>
      </c>
    </row>
    <row r="49" spans="1:7" s="13" customFormat="1" ht="37.5" x14ac:dyDescent="0.25">
      <c r="A49" s="56"/>
      <c r="B49" s="11" t="s">
        <v>108</v>
      </c>
      <c r="C49" s="11"/>
      <c r="D49" s="44"/>
    </row>
    <row r="50" spans="1:7" s="13" customFormat="1" ht="18.75" x14ac:dyDescent="0.25">
      <c r="A50" s="56"/>
      <c r="B50" s="18" t="s">
        <v>89</v>
      </c>
      <c r="C50" s="56" t="s">
        <v>132</v>
      </c>
      <c r="D50" s="19">
        <v>13000</v>
      </c>
    </row>
    <row r="51" spans="1:7" s="13" customFormat="1" ht="18.75" x14ac:dyDescent="0.25">
      <c r="A51" s="56"/>
      <c r="B51" s="10" t="s">
        <v>90</v>
      </c>
      <c r="C51" s="56"/>
      <c r="D51" s="19">
        <v>15000</v>
      </c>
      <c r="E51" s="17"/>
      <c r="F51" s="17"/>
    </row>
    <row r="52" spans="1:7" s="13" customFormat="1" ht="18.75" x14ac:dyDescent="0.25">
      <c r="A52" s="56"/>
      <c r="B52" s="10" t="s">
        <v>91</v>
      </c>
      <c r="C52" s="50"/>
      <c r="D52" s="19">
        <f>D19*80%</f>
        <v>20000</v>
      </c>
      <c r="E52" s="17"/>
      <c r="F52" s="17"/>
      <c r="G52" s="17"/>
    </row>
    <row r="53" spans="1:7" s="13" customFormat="1" ht="37.5" x14ac:dyDescent="0.25">
      <c r="A53" s="56"/>
      <c r="B53" s="11" t="s">
        <v>133</v>
      </c>
      <c r="C53" s="11"/>
      <c r="D53" s="9"/>
    </row>
    <row r="54" spans="1:7" s="13" customFormat="1" ht="18.75" x14ac:dyDescent="0.25">
      <c r="A54" s="56"/>
      <c r="B54" s="10" t="s">
        <v>118</v>
      </c>
      <c r="C54" s="49" t="s">
        <v>132</v>
      </c>
      <c r="D54" s="1">
        <f>'Thuyết minh'!D28</f>
        <v>70000</v>
      </c>
    </row>
    <row r="55" spans="1:7" s="13" customFormat="1" ht="18.75" x14ac:dyDescent="0.25">
      <c r="A55" s="56"/>
      <c r="B55" s="10" t="s">
        <v>93</v>
      </c>
      <c r="C55" s="50"/>
      <c r="D55" s="1">
        <f>'Thuyết minh'!D29</f>
        <v>50000</v>
      </c>
    </row>
    <row r="56" spans="1:7" s="13" customFormat="1" ht="42.75" customHeight="1" x14ac:dyDescent="0.25">
      <c r="A56" s="56"/>
      <c r="B56" s="11" t="s">
        <v>94</v>
      </c>
      <c r="C56" s="12" t="s">
        <v>132</v>
      </c>
      <c r="D56" s="1">
        <v>10000</v>
      </c>
    </row>
    <row r="57" spans="1:7" s="13" customFormat="1" ht="18.75" x14ac:dyDescent="0.25">
      <c r="A57" s="56"/>
      <c r="B57" s="34" t="s">
        <v>84</v>
      </c>
      <c r="C57" s="11"/>
      <c r="D57" s="8"/>
    </row>
    <row r="58" spans="1:7" s="13" customFormat="1" ht="18.75" x14ac:dyDescent="0.25">
      <c r="A58" s="56"/>
      <c r="B58" s="10" t="s">
        <v>119</v>
      </c>
      <c r="C58" s="8"/>
      <c r="D58" s="8"/>
    </row>
    <row r="59" spans="1:7" s="13" customFormat="1" ht="18.75" x14ac:dyDescent="0.25">
      <c r="A59" s="56"/>
      <c r="B59" s="18" t="s">
        <v>49</v>
      </c>
      <c r="C59" s="49" t="s">
        <v>132</v>
      </c>
      <c r="D59" s="1">
        <f>$D$48+D50+$D$54+$D$56</f>
        <v>181000</v>
      </c>
    </row>
    <row r="60" spans="1:7" s="13" customFormat="1" ht="18.75" x14ac:dyDescent="0.25">
      <c r="A60" s="56"/>
      <c r="B60" s="10" t="s">
        <v>50</v>
      </c>
      <c r="C60" s="56"/>
      <c r="D60" s="1">
        <f t="shared" ref="D60:D61" si="0">$D$48+D51+$D$54+$D$56</f>
        <v>183000</v>
      </c>
    </row>
    <row r="61" spans="1:7" s="13" customFormat="1" ht="18.75" x14ac:dyDescent="0.25">
      <c r="A61" s="56"/>
      <c r="B61" s="10" t="s">
        <v>51</v>
      </c>
      <c r="C61" s="50"/>
      <c r="D61" s="1">
        <f t="shared" si="0"/>
        <v>188000</v>
      </c>
    </row>
    <row r="62" spans="1:7" s="13" customFormat="1" ht="18.75" x14ac:dyDescent="0.25">
      <c r="A62" s="56"/>
      <c r="B62" s="10" t="s">
        <v>46</v>
      </c>
      <c r="C62" s="8"/>
      <c r="D62" s="8"/>
    </row>
    <row r="63" spans="1:7" s="13" customFormat="1" ht="18.75" x14ac:dyDescent="0.25">
      <c r="A63" s="56"/>
      <c r="B63" s="18" t="s">
        <v>49</v>
      </c>
      <c r="C63" s="49" t="s">
        <v>132</v>
      </c>
      <c r="D63" s="1">
        <f>$D$48+D50+$D$55+$D$56</f>
        <v>161000</v>
      </c>
    </row>
    <row r="64" spans="1:7" s="13" customFormat="1" ht="18.75" x14ac:dyDescent="0.25">
      <c r="A64" s="56"/>
      <c r="B64" s="10" t="s">
        <v>50</v>
      </c>
      <c r="C64" s="56"/>
      <c r="D64" s="1">
        <f t="shared" ref="D64:D65" si="1">$D$48+D51+$D$55+$D$56</f>
        <v>163000</v>
      </c>
    </row>
    <row r="65" spans="1:4" s="13" customFormat="1" ht="18.75" x14ac:dyDescent="0.25">
      <c r="A65" s="50"/>
      <c r="B65" s="10" t="s">
        <v>51</v>
      </c>
      <c r="C65" s="50"/>
      <c r="D65" s="1">
        <f t="shared" si="1"/>
        <v>168000</v>
      </c>
    </row>
    <row r="66" spans="1:4" s="13" customFormat="1" ht="37.5" x14ac:dyDescent="0.25">
      <c r="A66" s="12" t="s">
        <v>12</v>
      </c>
      <c r="B66" s="11" t="s">
        <v>16</v>
      </c>
      <c r="C66" s="12" t="s">
        <v>3</v>
      </c>
      <c r="D66" s="1">
        <v>5500</v>
      </c>
    </row>
    <row r="67" spans="1:4" s="13" customFormat="1" ht="18.75" x14ac:dyDescent="0.25">
      <c r="A67" s="6">
        <v>2</v>
      </c>
      <c r="B67" s="48" t="s">
        <v>29</v>
      </c>
      <c r="C67" s="48"/>
      <c r="D67" s="48"/>
    </row>
    <row r="68" spans="1:4" s="13" customFormat="1" ht="46.5" customHeight="1" x14ac:dyDescent="0.25">
      <c r="A68" s="29" t="s">
        <v>11</v>
      </c>
      <c r="B68" s="11" t="s">
        <v>137</v>
      </c>
      <c r="C68" s="49" t="s">
        <v>135</v>
      </c>
      <c r="D68" s="1">
        <v>61000</v>
      </c>
    </row>
    <row r="69" spans="1:4" s="13" customFormat="1" ht="55.5" customHeight="1" x14ac:dyDescent="0.25">
      <c r="A69" s="29" t="s">
        <v>12</v>
      </c>
      <c r="B69" s="11" t="s">
        <v>30</v>
      </c>
      <c r="C69" s="50"/>
      <c r="D69" s="1">
        <v>47000</v>
      </c>
    </row>
    <row r="70" spans="1:4" s="13" customFormat="1" ht="18.75" x14ac:dyDescent="0.25">
      <c r="A70" s="59">
        <v>3</v>
      </c>
      <c r="B70" s="57" t="s">
        <v>138</v>
      </c>
      <c r="C70" s="58"/>
      <c r="D70" s="1"/>
    </row>
    <row r="71" spans="1:4" s="13" customFormat="1" ht="29.25" customHeight="1" x14ac:dyDescent="0.25">
      <c r="A71" s="60"/>
      <c r="B71" s="8" t="s">
        <v>19</v>
      </c>
      <c r="C71" s="49" t="s">
        <v>132</v>
      </c>
      <c r="D71" s="1">
        <v>20000</v>
      </c>
    </row>
    <row r="72" spans="1:4" s="13" customFormat="1" ht="18.75" x14ac:dyDescent="0.25">
      <c r="A72" s="60"/>
      <c r="B72" s="8" t="s">
        <v>20</v>
      </c>
      <c r="C72" s="56"/>
      <c r="D72" s="1">
        <v>17000</v>
      </c>
    </row>
    <row r="73" spans="1:4" s="13" customFormat="1" ht="25.5" customHeight="1" x14ac:dyDescent="0.25">
      <c r="A73" s="61"/>
      <c r="B73" s="8" t="s">
        <v>21</v>
      </c>
      <c r="C73" s="50"/>
      <c r="D73" s="1">
        <v>15000</v>
      </c>
    </row>
    <row r="74" spans="1:4" s="13" customFormat="1" ht="18.75" x14ac:dyDescent="0.25">
      <c r="A74" s="6" t="s">
        <v>7</v>
      </c>
      <c r="B74" s="57" t="s">
        <v>15</v>
      </c>
      <c r="C74" s="58"/>
      <c r="D74" s="1"/>
    </row>
    <row r="75" spans="1:4" s="13" customFormat="1" ht="18.75" x14ac:dyDescent="0.25">
      <c r="A75" s="6">
        <v>1</v>
      </c>
      <c r="B75" s="57" t="s">
        <v>6</v>
      </c>
      <c r="C75" s="58"/>
      <c r="D75" s="1"/>
    </row>
    <row r="76" spans="1:4" s="13" customFormat="1" ht="87" customHeight="1" x14ac:dyDescent="0.25">
      <c r="A76" s="49" t="s">
        <v>11</v>
      </c>
      <c r="B76" s="78" t="s">
        <v>113</v>
      </c>
      <c r="C76" s="79"/>
      <c r="D76" s="80"/>
    </row>
    <row r="77" spans="1:4" s="13" customFormat="1" ht="18.75" x14ac:dyDescent="0.25">
      <c r="A77" s="56"/>
      <c r="B77" s="39" t="s">
        <v>41</v>
      </c>
      <c r="C77" s="31"/>
      <c r="D77" s="32"/>
    </row>
    <row r="78" spans="1:4" s="13" customFormat="1" ht="18.75" x14ac:dyDescent="0.25">
      <c r="A78" s="56"/>
      <c r="B78" s="53" t="s">
        <v>85</v>
      </c>
      <c r="C78" s="54"/>
      <c r="D78" s="55"/>
    </row>
    <row r="79" spans="1:4" s="13" customFormat="1" ht="18.75" x14ac:dyDescent="0.25">
      <c r="A79" s="56"/>
      <c r="B79" s="10" t="s">
        <v>88</v>
      </c>
      <c r="C79" s="49" t="s">
        <v>132</v>
      </c>
      <c r="D79" s="4">
        <v>155000</v>
      </c>
    </row>
    <row r="80" spans="1:4" s="13" customFormat="1" ht="18.75" x14ac:dyDescent="0.25">
      <c r="A80" s="56"/>
      <c r="B80" s="10" t="s">
        <v>86</v>
      </c>
      <c r="C80" s="56"/>
      <c r="D80" s="4">
        <v>135000</v>
      </c>
    </row>
    <row r="81" spans="1:4" s="13" customFormat="1" ht="18.75" x14ac:dyDescent="0.25">
      <c r="A81" s="56"/>
      <c r="B81" s="10" t="s">
        <v>87</v>
      </c>
      <c r="C81" s="50"/>
      <c r="D81" s="4">
        <v>120000</v>
      </c>
    </row>
    <row r="82" spans="1:4" s="13" customFormat="1" ht="18.75" x14ac:dyDescent="0.25">
      <c r="A82" s="56"/>
      <c r="B82" s="11" t="s">
        <v>114</v>
      </c>
      <c r="C82" s="44"/>
      <c r="D82" s="44"/>
    </row>
    <row r="83" spans="1:4" s="13" customFormat="1" ht="18.75" x14ac:dyDescent="0.25">
      <c r="A83" s="56"/>
      <c r="B83" s="10" t="s">
        <v>88</v>
      </c>
      <c r="C83" s="49" t="s">
        <v>132</v>
      </c>
      <c r="D83" s="14">
        <v>195000</v>
      </c>
    </row>
    <row r="84" spans="1:4" s="13" customFormat="1" ht="18.75" x14ac:dyDescent="0.25">
      <c r="A84" s="56"/>
      <c r="B84" s="10" t="s">
        <v>86</v>
      </c>
      <c r="C84" s="56"/>
      <c r="D84" s="14">
        <v>175000</v>
      </c>
    </row>
    <row r="85" spans="1:4" s="13" customFormat="1" ht="18.75" x14ac:dyDescent="0.25">
      <c r="A85" s="56"/>
      <c r="B85" s="10" t="s">
        <v>87</v>
      </c>
      <c r="C85" s="50"/>
      <c r="D85" s="14">
        <v>155000</v>
      </c>
    </row>
    <row r="86" spans="1:4" s="13" customFormat="1" ht="37.5" x14ac:dyDescent="0.25">
      <c r="A86" s="56"/>
      <c r="B86" s="11" t="s">
        <v>108</v>
      </c>
      <c r="D86" s="1"/>
    </row>
    <row r="87" spans="1:4" s="13" customFormat="1" ht="18.75" x14ac:dyDescent="0.25">
      <c r="A87" s="56"/>
      <c r="B87" s="18" t="s">
        <v>95</v>
      </c>
      <c r="C87" s="49" t="s">
        <v>132</v>
      </c>
      <c r="D87" s="1">
        <v>11000</v>
      </c>
    </row>
    <row r="88" spans="1:4" s="13" customFormat="1" ht="18.75" x14ac:dyDescent="0.25">
      <c r="A88" s="56"/>
      <c r="B88" s="10" t="s">
        <v>96</v>
      </c>
      <c r="C88" s="56"/>
      <c r="D88" s="1">
        <v>17000</v>
      </c>
    </row>
    <row r="89" spans="1:4" s="13" customFormat="1" ht="18.75" x14ac:dyDescent="0.25">
      <c r="A89" s="56"/>
      <c r="B89" s="10" t="s">
        <v>97</v>
      </c>
      <c r="C89" s="50"/>
      <c r="D89" s="1">
        <v>23000</v>
      </c>
    </row>
    <row r="90" spans="1:4" s="13" customFormat="1" ht="37.5" x14ac:dyDescent="0.25">
      <c r="A90" s="56"/>
      <c r="B90" s="11" t="s">
        <v>92</v>
      </c>
      <c r="D90" s="1"/>
    </row>
    <row r="91" spans="1:4" s="13" customFormat="1" ht="18.75" customHeight="1" x14ac:dyDescent="0.25">
      <c r="A91" s="56"/>
      <c r="B91" s="10" t="s">
        <v>118</v>
      </c>
      <c r="C91" s="49" t="s">
        <v>132</v>
      </c>
      <c r="D91" s="1">
        <v>30000</v>
      </c>
    </row>
    <row r="92" spans="1:4" s="13" customFormat="1" ht="18.75" x14ac:dyDescent="0.25">
      <c r="A92" s="56"/>
      <c r="B92" s="10" t="s">
        <v>93</v>
      </c>
      <c r="C92" s="50"/>
      <c r="D92" s="1">
        <v>25000</v>
      </c>
    </row>
    <row r="93" spans="1:4" s="13" customFormat="1" ht="38.25" customHeight="1" x14ac:dyDescent="0.25">
      <c r="A93" s="56"/>
      <c r="B93" s="11" t="s">
        <v>94</v>
      </c>
      <c r="C93" s="12" t="s">
        <v>132</v>
      </c>
      <c r="D93" s="1">
        <v>10000</v>
      </c>
    </row>
    <row r="94" spans="1:4" s="13" customFormat="1" ht="18.75" x14ac:dyDescent="0.25">
      <c r="A94" s="56"/>
      <c r="B94" s="40" t="s">
        <v>84</v>
      </c>
      <c r="C94" s="11"/>
      <c r="D94" s="32"/>
    </row>
    <row r="95" spans="1:4" s="13" customFormat="1" ht="18.75" x14ac:dyDescent="0.25">
      <c r="A95" s="56"/>
      <c r="B95" s="10" t="s">
        <v>119</v>
      </c>
      <c r="C95" s="8"/>
      <c r="D95" s="8"/>
    </row>
    <row r="96" spans="1:4" s="13" customFormat="1" ht="18.75" x14ac:dyDescent="0.25">
      <c r="A96" s="56"/>
      <c r="B96" s="10" t="s">
        <v>47</v>
      </c>
      <c r="C96" s="11"/>
      <c r="D96" s="2"/>
    </row>
    <row r="97" spans="1:4" s="13" customFormat="1" ht="18.75" x14ac:dyDescent="0.25">
      <c r="A97" s="56"/>
      <c r="B97" s="18" t="s">
        <v>53</v>
      </c>
      <c r="C97" s="49" t="s">
        <v>132</v>
      </c>
      <c r="D97" s="1">
        <v>401000</v>
      </c>
    </row>
    <row r="98" spans="1:4" s="13" customFormat="1" ht="18.75" x14ac:dyDescent="0.25">
      <c r="A98" s="56"/>
      <c r="B98" s="10" t="s">
        <v>54</v>
      </c>
      <c r="C98" s="56"/>
      <c r="D98" s="1">
        <v>407000</v>
      </c>
    </row>
    <row r="99" spans="1:4" s="13" customFormat="1" ht="18.75" x14ac:dyDescent="0.25">
      <c r="A99" s="56"/>
      <c r="B99" s="10" t="s">
        <v>55</v>
      </c>
      <c r="C99" s="50"/>
      <c r="D99" s="1">
        <v>413000</v>
      </c>
    </row>
    <row r="100" spans="1:4" s="13" customFormat="1" ht="18.75" x14ac:dyDescent="0.25">
      <c r="A100" s="56"/>
      <c r="B100" s="10" t="s">
        <v>48</v>
      </c>
      <c r="C100" s="11"/>
      <c r="D100" s="1"/>
    </row>
    <row r="101" spans="1:4" s="13" customFormat="1" ht="18.75" x14ac:dyDescent="0.25">
      <c r="A101" s="56"/>
      <c r="B101" s="18" t="s">
        <v>53</v>
      </c>
      <c r="C101" s="49" t="s">
        <v>132</v>
      </c>
      <c r="D101" s="1">
        <v>361000</v>
      </c>
    </row>
    <row r="102" spans="1:4" s="13" customFormat="1" ht="18.75" x14ac:dyDescent="0.25">
      <c r="A102" s="56"/>
      <c r="B102" s="10" t="s">
        <v>54</v>
      </c>
      <c r="C102" s="56"/>
      <c r="D102" s="1">
        <v>367000</v>
      </c>
    </row>
    <row r="103" spans="1:4" s="13" customFormat="1" ht="18.75" x14ac:dyDescent="0.25">
      <c r="A103" s="56"/>
      <c r="B103" s="10" t="s">
        <v>55</v>
      </c>
      <c r="C103" s="50"/>
      <c r="D103" s="1">
        <v>373000</v>
      </c>
    </row>
    <row r="104" spans="1:4" s="13" customFormat="1" ht="18.75" x14ac:dyDescent="0.25">
      <c r="A104" s="56"/>
      <c r="B104" s="10" t="s">
        <v>46</v>
      </c>
      <c r="C104" s="8"/>
      <c r="D104" s="8"/>
    </row>
    <row r="105" spans="1:4" s="13" customFormat="1" ht="21.75" customHeight="1" x14ac:dyDescent="0.25">
      <c r="A105" s="56"/>
      <c r="B105" s="10" t="s">
        <v>47</v>
      </c>
      <c r="C105" s="11"/>
      <c r="D105" s="1"/>
    </row>
    <row r="106" spans="1:4" s="13" customFormat="1" ht="23.25" customHeight="1" x14ac:dyDescent="0.25">
      <c r="A106" s="56"/>
      <c r="B106" s="18" t="s">
        <v>53</v>
      </c>
      <c r="C106" s="49" t="s">
        <v>132</v>
      </c>
      <c r="D106" s="1">
        <v>396000</v>
      </c>
    </row>
    <row r="107" spans="1:4" s="13" customFormat="1" ht="18.75" x14ac:dyDescent="0.25">
      <c r="A107" s="56"/>
      <c r="B107" s="10" t="s">
        <v>54</v>
      </c>
      <c r="C107" s="56"/>
      <c r="D107" s="1">
        <v>402000</v>
      </c>
    </row>
    <row r="108" spans="1:4" s="13" customFormat="1" ht="18.75" x14ac:dyDescent="0.25">
      <c r="A108" s="56"/>
      <c r="B108" s="10" t="s">
        <v>55</v>
      </c>
      <c r="C108" s="50"/>
      <c r="D108" s="1">
        <v>408000</v>
      </c>
    </row>
    <row r="109" spans="1:4" s="13" customFormat="1" ht="18.75" x14ac:dyDescent="0.25">
      <c r="A109" s="56"/>
      <c r="B109" s="10" t="s">
        <v>48</v>
      </c>
      <c r="C109" s="11"/>
      <c r="D109" s="1"/>
    </row>
    <row r="110" spans="1:4" s="13" customFormat="1" ht="18.75" x14ac:dyDescent="0.25">
      <c r="A110" s="56"/>
      <c r="B110" s="18" t="s">
        <v>53</v>
      </c>
      <c r="C110" s="49" t="s">
        <v>132</v>
      </c>
      <c r="D110" s="1">
        <v>356000</v>
      </c>
    </row>
    <row r="111" spans="1:4" s="13" customFormat="1" ht="18.75" x14ac:dyDescent="0.25">
      <c r="A111" s="56"/>
      <c r="B111" s="10" t="s">
        <v>54</v>
      </c>
      <c r="C111" s="56"/>
      <c r="D111" s="1">
        <v>362000</v>
      </c>
    </row>
    <row r="112" spans="1:4" s="13" customFormat="1" ht="18.75" x14ac:dyDescent="0.25">
      <c r="A112" s="56"/>
      <c r="B112" s="10" t="s">
        <v>55</v>
      </c>
      <c r="C112" s="50"/>
      <c r="D112" s="1">
        <v>368000</v>
      </c>
    </row>
    <row r="113" spans="1:4" s="13" customFormat="1" ht="18.75" x14ac:dyDescent="0.25">
      <c r="A113" s="56"/>
      <c r="B113" s="10" t="s">
        <v>52</v>
      </c>
      <c r="C113" s="11"/>
      <c r="D113" s="1"/>
    </row>
    <row r="114" spans="1:4" s="13" customFormat="1" ht="18.75" x14ac:dyDescent="0.25">
      <c r="A114" s="56"/>
      <c r="B114" s="18" t="s">
        <v>53</v>
      </c>
      <c r="C114" s="49" t="s">
        <v>132</v>
      </c>
      <c r="D114" s="1">
        <v>321000</v>
      </c>
    </row>
    <row r="115" spans="1:4" s="13" customFormat="1" ht="18.75" x14ac:dyDescent="0.25">
      <c r="A115" s="56"/>
      <c r="B115" s="10" t="s">
        <v>54</v>
      </c>
      <c r="C115" s="56"/>
      <c r="D115" s="1">
        <v>327000</v>
      </c>
    </row>
    <row r="116" spans="1:4" s="13" customFormat="1" ht="18.75" x14ac:dyDescent="0.25">
      <c r="A116" s="56"/>
      <c r="B116" s="10" t="s">
        <v>55</v>
      </c>
      <c r="C116" s="50"/>
      <c r="D116" s="1">
        <v>333000</v>
      </c>
    </row>
    <row r="117" spans="1:4" s="13" customFormat="1" ht="53.25" customHeight="1" x14ac:dyDescent="0.25">
      <c r="A117" s="56"/>
      <c r="B117" s="53" t="s">
        <v>45</v>
      </c>
      <c r="C117" s="54"/>
      <c r="D117" s="55"/>
    </row>
    <row r="118" spans="1:4" s="13" customFormat="1" ht="18.75" x14ac:dyDescent="0.25">
      <c r="A118" s="56"/>
      <c r="B118" s="11" t="s">
        <v>114</v>
      </c>
      <c r="C118" s="30"/>
      <c r="D118" s="2"/>
    </row>
    <row r="119" spans="1:4" s="13" customFormat="1" ht="18.75" x14ac:dyDescent="0.25">
      <c r="A119" s="56"/>
      <c r="B119" s="10" t="s">
        <v>88</v>
      </c>
      <c r="C119" s="49" t="s">
        <v>132</v>
      </c>
      <c r="D119" s="14">
        <v>195000</v>
      </c>
    </row>
    <row r="120" spans="1:4" s="13" customFormat="1" ht="18.75" x14ac:dyDescent="0.25">
      <c r="A120" s="56"/>
      <c r="B120" s="10" t="s">
        <v>86</v>
      </c>
      <c r="C120" s="56"/>
      <c r="D120" s="14">
        <v>175000</v>
      </c>
    </row>
    <row r="121" spans="1:4" s="13" customFormat="1" ht="18.75" x14ac:dyDescent="0.25">
      <c r="A121" s="56"/>
      <c r="B121" s="10" t="s">
        <v>87</v>
      </c>
      <c r="C121" s="50"/>
      <c r="D121" s="14">
        <v>155000</v>
      </c>
    </row>
    <row r="122" spans="1:4" s="13" customFormat="1" ht="37.5" x14ac:dyDescent="0.25">
      <c r="A122" s="56"/>
      <c r="B122" s="11" t="s">
        <v>108</v>
      </c>
      <c r="D122" s="1"/>
    </row>
    <row r="123" spans="1:4" s="13" customFormat="1" ht="18.75" x14ac:dyDescent="0.25">
      <c r="A123" s="56"/>
      <c r="B123" s="18" t="s">
        <v>95</v>
      </c>
      <c r="C123" s="49" t="s">
        <v>132</v>
      </c>
      <c r="D123" s="1">
        <v>8000</v>
      </c>
    </row>
    <row r="124" spans="1:4" s="13" customFormat="1" ht="18.75" x14ac:dyDescent="0.25">
      <c r="A124" s="56"/>
      <c r="B124" s="10" t="s">
        <v>96</v>
      </c>
      <c r="C124" s="56"/>
      <c r="D124" s="1">
        <v>13000</v>
      </c>
    </row>
    <row r="125" spans="1:4" s="13" customFormat="1" ht="18.75" x14ac:dyDescent="0.25">
      <c r="A125" s="56"/>
      <c r="B125" s="10" t="s">
        <v>97</v>
      </c>
      <c r="C125" s="50"/>
      <c r="D125" s="1">
        <v>18000</v>
      </c>
    </row>
    <row r="126" spans="1:4" s="13" customFormat="1" ht="37.5" x14ac:dyDescent="0.25">
      <c r="A126" s="56"/>
      <c r="B126" s="11" t="s">
        <v>133</v>
      </c>
      <c r="D126" s="1"/>
    </row>
    <row r="127" spans="1:4" s="13" customFormat="1" ht="18.75" customHeight="1" x14ac:dyDescent="0.25">
      <c r="A127" s="56"/>
      <c r="B127" s="10" t="s">
        <v>118</v>
      </c>
      <c r="C127" s="49" t="s">
        <v>132</v>
      </c>
      <c r="D127" s="1">
        <f>'Thuyết minh'!D66</f>
        <v>12000</v>
      </c>
    </row>
    <row r="128" spans="1:4" s="13" customFormat="1" ht="18.75" x14ac:dyDescent="0.25">
      <c r="A128" s="56"/>
      <c r="B128" s="10" t="s">
        <v>120</v>
      </c>
      <c r="C128" s="50"/>
      <c r="D128" s="1">
        <f>'Thuyết minh'!D67</f>
        <v>10000</v>
      </c>
    </row>
    <row r="129" spans="1:4" s="13" customFormat="1" ht="39.75" customHeight="1" x14ac:dyDescent="0.25">
      <c r="A129" s="56"/>
      <c r="B129" s="11" t="s">
        <v>94</v>
      </c>
      <c r="C129" s="12" t="s">
        <v>132</v>
      </c>
      <c r="D129" s="1">
        <v>4000</v>
      </c>
    </row>
    <row r="130" spans="1:4" s="13" customFormat="1" ht="18.75" x14ac:dyDescent="0.25">
      <c r="A130" s="56"/>
      <c r="B130" s="40" t="s">
        <v>84</v>
      </c>
      <c r="C130" s="11"/>
      <c r="D130" s="32"/>
    </row>
    <row r="131" spans="1:4" s="13" customFormat="1" ht="18.75" x14ac:dyDescent="0.25">
      <c r="A131" s="56"/>
      <c r="B131" s="10" t="s">
        <v>119</v>
      </c>
      <c r="C131" s="8"/>
      <c r="D131" s="8"/>
    </row>
    <row r="132" spans="1:4" s="13" customFormat="1" ht="18.75" x14ac:dyDescent="0.25">
      <c r="A132" s="56"/>
      <c r="B132" s="10" t="s">
        <v>47</v>
      </c>
      <c r="C132" s="11"/>
      <c r="D132" s="2"/>
    </row>
    <row r="133" spans="1:4" s="13" customFormat="1" ht="18.75" x14ac:dyDescent="0.25">
      <c r="A133" s="56"/>
      <c r="B133" s="18" t="s">
        <v>53</v>
      </c>
      <c r="C133" s="49" t="s">
        <v>132</v>
      </c>
      <c r="D133" s="1">
        <f>$D$119+D123+$D$127+$D$129</f>
        <v>219000</v>
      </c>
    </row>
    <row r="134" spans="1:4" s="13" customFormat="1" ht="18.75" x14ac:dyDescent="0.25">
      <c r="A134" s="56"/>
      <c r="B134" s="10" t="s">
        <v>54</v>
      </c>
      <c r="C134" s="56"/>
      <c r="D134" s="1">
        <f t="shared" ref="D134:D135" si="2">$D$119+D124+$D$127+$D$129</f>
        <v>224000</v>
      </c>
    </row>
    <row r="135" spans="1:4" s="13" customFormat="1" ht="18.75" x14ac:dyDescent="0.25">
      <c r="A135" s="56"/>
      <c r="B135" s="10" t="s">
        <v>55</v>
      </c>
      <c r="C135" s="50"/>
      <c r="D135" s="1">
        <f t="shared" si="2"/>
        <v>229000</v>
      </c>
    </row>
    <row r="136" spans="1:4" s="13" customFormat="1" ht="27.75" customHeight="1" x14ac:dyDescent="0.25">
      <c r="A136" s="56"/>
      <c r="B136" s="10" t="s">
        <v>48</v>
      </c>
      <c r="C136" s="11"/>
      <c r="D136" s="1"/>
    </row>
    <row r="137" spans="1:4" s="13" customFormat="1" ht="27" customHeight="1" x14ac:dyDescent="0.25">
      <c r="A137" s="56"/>
      <c r="B137" s="18" t="s">
        <v>53</v>
      </c>
      <c r="C137" s="49" t="s">
        <v>132</v>
      </c>
      <c r="D137" s="1">
        <f>$D$120+D123+$D$127+$D$129</f>
        <v>199000</v>
      </c>
    </row>
    <row r="138" spans="1:4" s="13" customFormat="1" ht="27" customHeight="1" x14ac:dyDescent="0.25">
      <c r="A138" s="56"/>
      <c r="B138" s="10" t="s">
        <v>54</v>
      </c>
      <c r="C138" s="56"/>
      <c r="D138" s="1">
        <f t="shared" ref="D138:D139" si="3">$D$120+D124+$D$127+$D$129</f>
        <v>204000</v>
      </c>
    </row>
    <row r="139" spans="1:4" s="13" customFormat="1" ht="27.75" customHeight="1" x14ac:dyDescent="0.25">
      <c r="A139" s="56"/>
      <c r="B139" s="10" t="s">
        <v>55</v>
      </c>
      <c r="C139" s="50"/>
      <c r="D139" s="1">
        <f t="shared" si="3"/>
        <v>209000</v>
      </c>
    </row>
    <row r="140" spans="1:4" s="13" customFormat="1" ht="24.75" customHeight="1" x14ac:dyDescent="0.25">
      <c r="A140" s="56"/>
      <c r="B140" s="10" t="s">
        <v>46</v>
      </c>
      <c r="C140" s="8"/>
      <c r="D140" s="8"/>
    </row>
    <row r="141" spans="1:4" s="13" customFormat="1" ht="25.5" customHeight="1" x14ac:dyDescent="0.25">
      <c r="A141" s="56"/>
      <c r="B141" s="10" t="s">
        <v>47</v>
      </c>
      <c r="C141" s="11"/>
      <c r="D141" s="1"/>
    </row>
    <row r="142" spans="1:4" s="13" customFormat="1" ht="18.75" x14ac:dyDescent="0.25">
      <c r="A142" s="56"/>
      <c r="B142" s="18" t="s">
        <v>53</v>
      </c>
      <c r="C142" s="49" t="s">
        <v>132</v>
      </c>
      <c r="D142" s="1">
        <f>$D$119+D123+$D$128+$D$129</f>
        <v>217000</v>
      </c>
    </row>
    <row r="143" spans="1:4" s="13" customFormat="1" ht="24.75" customHeight="1" x14ac:dyDescent="0.25">
      <c r="A143" s="56"/>
      <c r="B143" s="10" t="s">
        <v>54</v>
      </c>
      <c r="C143" s="56"/>
      <c r="D143" s="1">
        <f t="shared" ref="D143:D144" si="4">$D$119+D124+$D$128+$D$129</f>
        <v>222000</v>
      </c>
    </row>
    <row r="144" spans="1:4" s="13" customFormat="1" ht="33" customHeight="1" x14ac:dyDescent="0.25">
      <c r="A144" s="56"/>
      <c r="B144" s="10" t="s">
        <v>55</v>
      </c>
      <c r="C144" s="50"/>
      <c r="D144" s="1">
        <f t="shared" si="4"/>
        <v>227000</v>
      </c>
    </row>
    <row r="145" spans="1:4" s="13" customFormat="1" ht="18.75" x14ac:dyDescent="0.25">
      <c r="A145" s="56"/>
      <c r="B145" s="10" t="s">
        <v>48</v>
      </c>
      <c r="C145" s="11"/>
      <c r="D145" s="1"/>
    </row>
    <row r="146" spans="1:4" s="13" customFormat="1" ht="18.75" x14ac:dyDescent="0.25">
      <c r="A146" s="56"/>
      <c r="B146" s="18" t="s">
        <v>53</v>
      </c>
      <c r="C146" s="49" t="s">
        <v>132</v>
      </c>
      <c r="D146" s="1">
        <f>$D$120+D123+$D$128+$D$129</f>
        <v>197000</v>
      </c>
    </row>
    <row r="147" spans="1:4" s="13" customFormat="1" ht="18.75" x14ac:dyDescent="0.25">
      <c r="A147" s="56"/>
      <c r="B147" s="10" t="s">
        <v>54</v>
      </c>
      <c r="C147" s="56"/>
      <c r="D147" s="1">
        <f t="shared" ref="D147:D148" si="5">$D$120+D124+$D$128+$D$129</f>
        <v>202000</v>
      </c>
    </row>
    <row r="148" spans="1:4" s="13" customFormat="1" ht="18.75" x14ac:dyDescent="0.25">
      <c r="A148" s="56"/>
      <c r="B148" s="10" t="s">
        <v>55</v>
      </c>
      <c r="C148" s="50"/>
      <c r="D148" s="1">
        <f t="shared" si="5"/>
        <v>207000</v>
      </c>
    </row>
    <row r="149" spans="1:4" s="13" customFormat="1" ht="18.75" x14ac:dyDescent="0.25">
      <c r="A149" s="56"/>
      <c r="B149" s="10" t="s">
        <v>52</v>
      </c>
      <c r="C149" s="11"/>
      <c r="D149" s="2"/>
    </row>
    <row r="150" spans="1:4" s="13" customFormat="1" ht="18.75" x14ac:dyDescent="0.25">
      <c r="A150" s="56"/>
      <c r="B150" s="18" t="s">
        <v>53</v>
      </c>
      <c r="C150" s="49" t="s">
        <v>132</v>
      </c>
      <c r="D150" s="1">
        <f>$D$121+D123+$D$128+$D$129</f>
        <v>177000</v>
      </c>
    </row>
    <row r="151" spans="1:4" s="13" customFormat="1" ht="18.75" x14ac:dyDescent="0.25">
      <c r="A151" s="56"/>
      <c r="B151" s="10" t="s">
        <v>54</v>
      </c>
      <c r="C151" s="56"/>
      <c r="D151" s="1">
        <f t="shared" ref="D151:D152" si="6">$D$121+D124+$D$128+$D$129</f>
        <v>182000</v>
      </c>
    </row>
    <row r="152" spans="1:4" s="13" customFormat="1" ht="18.75" x14ac:dyDescent="0.25">
      <c r="A152" s="50"/>
      <c r="B152" s="10" t="s">
        <v>55</v>
      </c>
      <c r="C152" s="50"/>
      <c r="D152" s="1">
        <f t="shared" si="6"/>
        <v>187000</v>
      </c>
    </row>
    <row r="153" spans="1:4" s="13" customFormat="1" ht="37.5" x14ac:dyDescent="0.25">
      <c r="A153" s="12" t="s">
        <v>12</v>
      </c>
      <c r="B153" s="11" t="s">
        <v>17</v>
      </c>
      <c r="C153" s="12" t="s">
        <v>3</v>
      </c>
      <c r="D153" s="14">
        <v>4000</v>
      </c>
    </row>
    <row r="154" spans="1:4" s="13" customFormat="1" ht="18.75" x14ac:dyDescent="0.25">
      <c r="A154" s="59">
        <v>2</v>
      </c>
      <c r="B154" s="57" t="s">
        <v>138</v>
      </c>
      <c r="C154" s="58"/>
      <c r="D154" s="1"/>
    </row>
    <row r="155" spans="1:4" s="13" customFormat="1" ht="18.75" x14ac:dyDescent="0.25">
      <c r="A155" s="60"/>
      <c r="B155" s="8" t="s">
        <v>19</v>
      </c>
      <c r="C155" s="49" t="s">
        <v>132</v>
      </c>
      <c r="D155" s="15">
        <v>17000</v>
      </c>
    </row>
    <row r="156" spans="1:4" s="13" customFormat="1" ht="18.75" x14ac:dyDescent="0.25">
      <c r="A156" s="60"/>
      <c r="B156" s="8" t="s">
        <v>20</v>
      </c>
      <c r="C156" s="56"/>
      <c r="D156" s="15">
        <v>15000</v>
      </c>
    </row>
    <row r="157" spans="1:4" s="13" customFormat="1" ht="18.75" x14ac:dyDescent="0.25">
      <c r="A157" s="61"/>
      <c r="B157" s="8" t="s">
        <v>21</v>
      </c>
      <c r="C157" s="50"/>
      <c r="D157" s="15">
        <v>13000</v>
      </c>
    </row>
    <row r="158" spans="1:4" s="13" customFormat="1" ht="18.75" x14ac:dyDescent="0.25">
      <c r="A158" s="6" t="s">
        <v>8</v>
      </c>
      <c r="B158" s="57" t="s">
        <v>9</v>
      </c>
      <c r="C158" s="58"/>
      <c r="D158" s="69"/>
    </row>
    <row r="159" spans="1:4" s="13" customFormat="1" ht="18.75" x14ac:dyDescent="0.25">
      <c r="A159" s="6">
        <v>1</v>
      </c>
      <c r="B159" s="57" t="s">
        <v>6</v>
      </c>
      <c r="C159" s="58"/>
      <c r="D159" s="69"/>
    </row>
    <row r="160" spans="1:4" s="13" customFormat="1" ht="93.75" customHeight="1" x14ac:dyDescent="0.25">
      <c r="A160" s="29"/>
      <c r="B160" s="78" t="s">
        <v>109</v>
      </c>
      <c r="C160" s="79"/>
      <c r="D160" s="80"/>
    </row>
    <row r="161" spans="1:4" s="13" customFormat="1" ht="18.75" x14ac:dyDescent="0.25">
      <c r="A161" s="41"/>
      <c r="B161" s="39" t="s">
        <v>41</v>
      </c>
      <c r="C161" s="31"/>
      <c r="D161" s="32"/>
    </row>
    <row r="162" spans="1:4" s="13" customFormat="1" ht="18.75" x14ac:dyDescent="0.25">
      <c r="A162" s="41"/>
      <c r="B162" s="53" t="s">
        <v>85</v>
      </c>
      <c r="C162" s="54"/>
      <c r="D162" s="55"/>
    </row>
    <row r="163" spans="1:4" s="13" customFormat="1" ht="18.75" x14ac:dyDescent="0.25">
      <c r="A163" s="41"/>
      <c r="B163" s="10" t="s">
        <v>88</v>
      </c>
      <c r="C163" s="49" t="s">
        <v>132</v>
      </c>
      <c r="D163" s="4">
        <v>155000</v>
      </c>
    </row>
    <row r="164" spans="1:4" s="13" customFormat="1" ht="18.75" x14ac:dyDescent="0.25">
      <c r="A164" s="41"/>
      <c r="B164" s="10" t="s">
        <v>86</v>
      </c>
      <c r="C164" s="56"/>
      <c r="D164" s="4">
        <v>135000</v>
      </c>
    </row>
    <row r="165" spans="1:4" s="13" customFormat="1" ht="18.75" x14ac:dyDescent="0.25">
      <c r="A165" s="41"/>
      <c r="B165" s="10" t="s">
        <v>87</v>
      </c>
      <c r="C165" s="50"/>
      <c r="D165" s="4">
        <v>120000</v>
      </c>
    </row>
    <row r="166" spans="1:4" s="13" customFormat="1" ht="37.5" x14ac:dyDescent="0.25">
      <c r="A166" s="41"/>
      <c r="B166" s="11" t="s">
        <v>115</v>
      </c>
      <c r="C166" s="81" t="s">
        <v>132</v>
      </c>
      <c r="D166" s="14"/>
    </row>
    <row r="167" spans="1:4" s="13" customFormat="1" ht="18.75" x14ac:dyDescent="0.25">
      <c r="A167" s="41"/>
      <c r="B167" s="10" t="s">
        <v>88</v>
      </c>
      <c r="C167" s="49" t="s">
        <v>132</v>
      </c>
      <c r="D167" s="14">
        <v>120000</v>
      </c>
    </row>
    <row r="168" spans="1:4" s="13" customFormat="1" ht="18.75" x14ac:dyDescent="0.25">
      <c r="A168" s="41"/>
      <c r="B168" s="10" t="s">
        <v>86</v>
      </c>
      <c r="C168" s="56"/>
      <c r="D168" s="14">
        <v>110000</v>
      </c>
    </row>
    <row r="169" spans="1:4" s="13" customFormat="1" ht="18.75" x14ac:dyDescent="0.25">
      <c r="A169" s="41"/>
      <c r="B169" s="10" t="s">
        <v>98</v>
      </c>
      <c r="C169" s="50"/>
      <c r="D169" s="14">
        <v>105000</v>
      </c>
    </row>
    <row r="170" spans="1:4" s="13" customFormat="1" ht="44.25" customHeight="1" x14ac:dyDescent="0.25">
      <c r="A170" s="41"/>
      <c r="B170" s="11" t="s">
        <v>108</v>
      </c>
      <c r="C170" s="12" t="s">
        <v>132</v>
      </c>
      <c r="D170" s="14">
        <v>20000</v>
      </c>
    </row>
    <row r="171" spans="1:4" s="13" customFormat="1" ht="47.25" customHeight="1" x14ac:dyDescent="0.25">
      <c r="A171" s="41"/>
      <c r="B171" s="11" t="s">
        <v>92</v>
      </c>
      <c r="D171" s="1"/>
    </row>
    <row r="172" spans="1:4" s="13" customFormat="1" ht="23.25" customHeight="1" x14ac:dyDescent="0.25">
      <c r="A172" s="41"/>
      <c r="B172" s="10" t="s">
        <v>118</v>
      </c>
      <c r="C172" s="49" t="s">
        <v>132</v>
      </c>
      <c r="D172" s="1">
        <v>30000</v>
      </c>
    </row>
    <row r="173" spans="1:4" s="13" customFormat="1" ht="24.75" customHeight="1" x14ac:dyDescent="0.25">
      <c r="A173" s="41"/>
      <c r="B173" s="10" t="s">
        <v>93</v>
      </c>
      <c r="C173" s="50"/>
      <c r="D173" s="1">
        <v>25000</v>
      </c>
    </row>
    <row r="174" spans="1:4" s="13" customFormat="1" ht="37.5" x14ac:dyDescent="0.25">
      <c r="A174" s="41"/>
      <c r="B174" s="11" t="s">
        <v>94</v>
      </c>
      <c r="C174" s="12" t="s">
        <v>132</v>
      </c>
      <c r="D174" s="1">
        <v>10000</v>
      </c>
    </row>
    <row r="175" spans="1:4" s="13" customFormat="1" ht="22.5" customHeight="1" x14ac:dyDescent="0.25">
      <c r="A175" s="41"/>
      <c r="B175" s="40" t="s">
        <v>84</v>
      </c>
      <c r="C175" s="31"/>
      <c r="D175" s="32"/>
    </row>
    <row r="176" spans="1:4" s="13" customFormat="1" ht="29.25" customHeight="1" x14ac:dyDescent="0.25">
      <c r="A176" s="41"/>
      <c r="B176" s="10" t="s">
        <v>119</v>
      </c>
      <c r="C176" s="8"/>
      <c r="D176" s="8"/>
    </row>
    <row r="177" spans="1:4" s="13" customFormat="1" ht="21.75" customHeight="1" x14ac:dyDescent="0.25">
      <c r="A177" s="41"/>
      <c r="B177" s="10" t="s">
        <v>47</v>
      </c>
      <c r="C177" s="49" t="s">
        <v>132</v>
      </c>
      <c r="D177" s="4">
        <v>335000</v>
      </c>
    </row>
    <row r="178" spans="1:4" s="13" customFormat="1" ht="22.5" customHeight="1" x14ac:dyDescent="0.25">
      <c r="A178" s="41"/>
      <c r="B178" s="10" t="s">
        <v>48</v>
      </c>
      <c r="C178" s="56"/>
      <c r="D178" s="4">
        <v>305000</v>
      </c>
    </row>
    <row r="179" spans="1:4" s="13" customFormat="1" ht="21" customHeight="1" x14ac:dyDescent="0.25">
      <c r="A179" s="41"/>
      <c r="B179" s="10" t="s">
        <v>46</v>
      </c>
      <c r="C179" s="8"/>
      <c r="D179" s="8"/>
    </row>
    <row r="180" spans="1:4" s="13" customFormat="1" ht="18.75" x14ac:dyDescent="0.25">
      <c r="A180" s="41"/>
      <c r="B180" s="10" t="s">
        <v>47</v>
      </c>
      <c r="C180" s="49" t="s">
        <v>132</v>
      </c>
      <c r="D180" s="4">
        <v>330000</v>
      </c>
    </row>
    <row r="181" spans="1:4" s="13" customFormat="1" ht="18.75" x14ac:dyDescent="0.25">
      <c r="A181" s="41"/>
      <c r="B181" s="10" t="s">
        <v>48</v>
      </c>
      <c r="C181" s="56"/>
      <c r="D181" s="4">
        <v>300000</v>
      </c>
    </row>
    <row r="182" spans="1:4" s="13" customFormat="1" ht="18.75" x14ac:dyDescent="0.25">
      <c r="A182" s="41"/>
      <c r="B182" s="10" t="s">
        <v>52</v>
      </c>
      <c r="C182" s="50"/>
      <c r="D182" s="4">
        <v>280000</v>
      </c>
    </row>
    <row r="183" spans="1:4" s="13" customFormat="1" ht="51" customHeight="1" x14ac:dyDescent="0.25">
      <c r="A183" s="6"/>
      <c r="B183" s="53" t="s">
        <v>45</v>
      </c>
      <c r="C183" s="54"/>
      <c r="D183" s="55"/>
    </row>
    <row r="184" spans="1:4" s="13" customFormat="1" ht="37.5" x14ac:dyDescent="0.25">
      <c r="A184" s="6"/>
      <c r="B184" s="11" t="s">
        <v>115</v>
      </c>
      <c r="C184" s="47" t="s">
        <v>132</v>
      </c>
      <c r="D184" s="14"/>
    </row>
    <row r="185" spans="1:4" s="13" customFormat="1" ht="18.75" x14ac:dyDescent="0.25">
      <c r="A185" s="6"/>
      <c r="B185" s="10" t="s">
        <v>23</v>
      </c>
      <c r="C185" s="49" t="s">
        <v>132</v>
      </c>
      <c r="D185" s="14">
        <v>120000</v>
      </c>
    </row>
    <row r="186" spans="1:4" s="13" customFormat="1" ht="18.75" x14ac:dyDescent="0.25">
      <c r="A186" s="6"/>
      <c r="B186" s="10" t="s">
        <v>24</v>
      </c>
      <c r="C186" s="56"/>
      <c r="D186" s="14">
        <v>110000</v>
      </c>
    </row>
    <row r="187" spans="1:4" s="13" customFormat="1" ht="18.75" x14ac:dyDescent="0.25">
      <c r="A187" s="6"/>
      <c r="B187" s="10" t="s">
        <v>25</v>
      </c>
      <c r="C187" s="50"/>
      <c r="D187" s="14">
        <v>105000</v>
      </c>
    </row>
    <row r="188" spans="1:4" s="13" customFormat="1" ht="37.5" x14ac:dyDescent="0.25">
      <c r="A188" s="41"/>
      <c r="B188" s="11" t="s">
        <v>116</v>
      </c>
      <c r="C188" s="12" t="s">
        <v>132</v>
      </c>
      <c r="D188" s="14">
        <f>D170*80%</f>
        <v>16000</v>
      </c>
    </row>
    <row r="189" spans="1:4" s="13" customFormat="1" ht="37.5" x14ac:dyDescent="0.25">
      <c r="A189" s="41"/>
      <c r="B189" s="11" t="s">
        <v>136</v>
      </c>
      <c r="D189" s="1"/>
    </row>
    <row r="190" spans="1:4" s="13" customFormat="1" ht="18.75" x14ac:dyDescent="0.25">
      <c r="A190" s="41"/>
      <c r="B190" s="10" t="s">
        <v>118</v>
      </c>
      <c r="C190" s="49" t="s">
        <v>132</v>
      </c>
      <c r="D190" s="1">
        <f>'Thuyết minh'!D99</f>
        <v>12000</v>
      </c>
    </row>
    <row r="191" spans="1:4" s="13" customFormat="1" ht="18.75" x14ac:dyDescent="0.25">
      <c r="A191" s="41"/>
      <c r="B191" s="10" t="s">
        <v>93</v>
      </c>
      <c r="C191" s="50"/>
      <c r="D191" s="1">
        <f>'Thuyết minh'!D100</f>
        <v>10000</v>
      </c>
    </row>
    <row r="192" spans="1:4" s="13" customFormat="1" ht="37.5" x14ac:dyDescent="0.25">
      <c r="A192" s="41"/>
      <c r="B192" s="11" t="s">
        <v>94</v>
      </c>
      <c r="C192" s="12" t="s">
        <v>132</v>
      </c>
      <c r="D192" s="1">
        <v>10000</v>
      </c>
    </row>
    <row r="193" spans="1:4" s="13" customFormat="1" ht="18.75" x14ac:dyDescent="0.25">
      <c r="A193" s="41"/>
      <c r="B193" s="40" t="s">
        <v>84</v>
      </c>
      <c r="C193" s="31"/>
      <c r="D193" s="32"/>
    </row>
    <row r="194" spans="1:4" s="13" customFormat="1" ht="18.75" x14ac:dyDescent="0.25">
      <c r="A194" s="41"/>
      <c r="B194" s="10" t="s">
        <v>119</v>
      </c>
      <c r="C194" s="8"/>
      <c r="D194" s="8"/>
    </row>
    <row r="195" spans="1:4" s="13" customFormat="1" ht="18.75" x14ac:dyDescent="0.25">
      <c r="A195" s="41"/>
      <c r="B195" s="10" t="s">
        <v>47</v>
      </c>
      <c r="C195" s="49" t="s">
        <v>132</v>
      </c>
      <c r="D195" s="4">
        <f>D185+$D$188+$D$190+$D$192</f>
        <v>158000</v>
      </c>
    </row>
    <row r="196" spans="1:4" s="13" customFormat="1" ht="18.75" x14ac:dyDescent="0.25">
      <c r="A196" s="41"/>
      <c r="B196" s="10" t="s">
        <v>48</v>
      </c>
      <c r="C196" s="56"/>
      <c r="D196" s="4">
        <f>D186+$D$188+$D$190+$D$192</f>
        <v>148000</v>
      </c>
    </row>
    <row r="197" spans="1:4" s="13" customFormat="1" ht="18.75" x14ac:dyDescent="0.25">
      <c r="A197" s="41"/>
      <c r="B197" s="10" t="s">
        <v>46</v>
      </c>
      <c r="C197" s="8"/>
      <c r="D197" s="8"/>
    </row>
    <row r="198" spans="1:4" s="13" customFormat="1" ht="18.75" x14ac:dyDescent="0.25">
      <c r="A198" s="41"/>
      <c r="B198" s="10" t="s">
        <v>47</v>
      </c>
      <c r="C198" s="49" t="s">
        <v>132</v>
      </c>
      <c r="D198" s="4">
        <f>D185+$D$188+$D$191+$D$192</f>
        <v>156000</v>
      </c>
    </row>
    <row r="199" spans="1:4" s="13" customFormat="1" ht="18.75" x14ac:dyDescent="0.25">
      <c r="A199" s="41"/>
      <c r="B199" s="10" t="s">
        <v>48</v>
      </c>
      <c r="C199" s="56"/>
      <c r="D199" s="4">
        <f t="shared" ref="D199:D200" si="7">D186+$D$188+$D$191+$D$192</f>
        <v>146000</v>
      </c>
    </row>
    <row r="200" spans="1:4" s="13" customFormat="1" ht="18.75" x14ac:dyDescent="0.25">
      <c r="A200" s="41"/>
      <c r="B200" s="10" t="s">
        <v>52</v>
      </c>
      <c r="C200" s="50"/>
      <c r="D200" s="4">
        <f t="shared" si="7"/>
        <v>141000</v>
      </c>
    </row>
    <row r="201" spans="1:4" s="13" customFormat="1" x14ac:dyDescent="0.25"/>
    <row r="202" spans="1:4" ht="18.75" x14ac:dyDescent="0.25">
      <c r="A202" s="68"/>
      <c r="B202" s="68"/>
      <c r="C202" s="68"/>
    </row>
    <row r="203" spans="1:4" ht="18.75" x14ac:dyDescent="0.3">
      <c r="A203" s="45"/>
    </row>
    <row r="204" spans="1:4" ht="18.75" x14ac:dyDescent="0.3">
      <c r="A204" s="45"/>
    </row>
  </sheetData>
  <mergeCells count="68">
    <mergeCell ref="C198:C200"/>
    <mergeCell ref="C63:C65"/>
    <mergeCell ref="C123:C125"/>
    <mergeCell ref="C127:C128"/>
    <mergeCell ref="C133:C135"/>
    <mergeCell ref="C137:C139"/>
    <mergeCell ref="C142:C144"/>
    <mergeCell ref="C146:C148"/>
    <mergeCell ref="C150:C152"/>
    <mergeCell ref="B162:D162"/>
    <mergeCell ref="C163:C165"/>
    <mergeCell ref="C167:C169"/>
    <mergeCell ref="C172:C173"/>
    <mergeCell ref="C114:C116"/>
    <mergeCell ref="C185:C187"/>
    <mergeCell ref="C97:C99"/>
    <mergeCell ref="A202:C202"/>
    <mergeCell ref="B47:D47"/>
    <mergeCell ref="B117:D117"/>
    <mergeCell ref="C177:C178"/>
    <mergeCell ref="C180:C182"/>
    <mergeCell ref="B183:D183"/>
    <mergeCell ref="B159:D159"/>
    <mergeCell ref="B160:D160"/>
    <mergeCell ref="C119:C121"/>
    <mergeCell ref="A154:A157"/>
    <mergeCell ref="B154:C154"/>
    <mergeCell ref="C155:C157"/>
    <mergeCell ref="B158:D158"/>
    <mergeCell ref="B74:C74"/>
    <mergeCell ref="C190:C191"/>
    <mergeCell ref="C195:C196"/>
    <mergeCell ref="C101:C103"/>
    <mergeCell ref="C106:C108"/>
    <mergeCell ref="C110:C112"/>
    <mergeCell ref="B75:C75"/>
    <mergeCell ref="C50:C52"/>
    <mergeCell ref="C54:C55"/>
    <mergeCell ref="C59:C61"/>
    <mergeCell ref="B76:D76"/>
    <mergeCell ref="B67:D67"/>
    <mergeCell ref="C68:C69"/>
    <mergeCell ref="B78:D78"/>
    <mergeCell ref="C79:C81"/>
    <mergeCell ref="C83:C85"/>
    <mergeCell ref="C87:C89"/>
    <mergeCell ref="C91:C92"/>
    <mergeCell ref="C12:C14"/>
    <mergeCell ref="C17:C19"/>
    <mergeCell ref="C21:C22"/>
    <mergeCell ref="C27:C29"/>
    <mergeCell ref="C31:C33"/>
    <mergeCell ref="A9:A65"/>
    <mergeCell ref="A76:A152"/>
    <mergeCell ref="B8:D8"/>
    <mergeCell ref="A1:D1"/>
    <mergeCell ref="A2:D2"/>
    <mergeCell ref="A4:D4"/>
    <mergeCell ref="B7:C7"/>
    <mergeCell ref="A3:E3"/>
    <mergeCell ref="A70:A73"/>
    <mergeCell ref="B70:C70"/>
    <mergeCell ref="C71:C73"/>
    <mergeCell ref="B9:D9"/>
    <mergeCell ref="C36:C38"/>
    <mergeCell ref="C40:C42"/>
    <mergeCell ref="C44:C46"/>
    <mergeCell ref="B11:C11"/>
  </mergeCells>
  <printOptions horizontalCentered="1"/>
  <pageMargins left="0.37" right="0.23622047244094491" top="0.55118110236220474" bottom="0.59055118110236227" header="0.31496062992125984" footer="0.31496062992125984"/>
  <pageSetup paperSize="9" scale="90" orientation="portrait" r:id="rId1"/>
  <headerFooter differentFirst="1">
    <oddHeader>&amp;C&amp;P</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6CF5BA-2991-40DB-8AF5-8AD44DCC2331}"/>
</file>

<file path=customXml/itemProps2.xml><?xml version="1.0" encoding="utf-8"?>
<ds:datastoreItem xmlns:ds="http://schemas.openxmlformats.org/officeDocument/2006/customXml" ds:itemID="{AD11DAB6-C38C-4B74-8D6D-7B15702DD6CE}"/>
</file>

<file path=customXml/itemProps3.xml><?xml version="1.0" encoding="utf-8"?>
<ds:datastoreItem xmlns:ds="http://schemas.openxmlformats.org/officeDocument/2006/customXml" ds:itemID="{DEC56744-2CE8-4DA6-ACD9-5493DF6DB4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Thuyết minh</vt:lpstr>
      <vt:lpstr>PhulucII</vt:lpstr>
      <vt:lpstr>PhulucII!Print_Titles</vt:lpstr>
      <vt:lpstr>'Thuyết minh'!Print_Titles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Bảo Anh Nguyễn</dc:creator>
  <cp:lastModifiedBy>Admin</cp:lastModifiedBy>
  <cp:lastPrinted>2025-04-28T02:20:04Z</cp:lastPrinted>
  <dcterms:created xsi:type="dcterms:W3CDTF">2022-04-19T13:31:05Z</dcterms:created>
  <dcterms:modified xsi:type="dcterms:W3CDTF">2025-05-08T08:15:29Z</dcterms:modified>
</cp:coreProperties>
</file>