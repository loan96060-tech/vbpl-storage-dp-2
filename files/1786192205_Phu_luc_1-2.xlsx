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ADMIN\Desktop\Danh mục văn bản quy phạm\85.. danh mục nghề đào tạo, mức hỗ trợ chi phí đào tạo nghề trình độ sơ cấp, đào tạo dưới 03 tháng trong lĩnh vực giáo dục nghề nghiệp\"/>
    </mc:Choice>
  </mc:AlternateContent>
  <xr:revisionPtr revIDLastSave="0" documentId="8_{41959303-195C-403B-AE5A-5FFE0E93655C}" xr6:coauthVersionLast="47" xr6:coauthVersionMax="47" xr10:uidLastSave="{00000000-0000-0000-0000-000000000000}"/>
  <bookViews>
    <workbookView xWindow="-108" yWindow="-108" windowWidth="23256" windowHeight="12456" firstSheet="1" activeTab="2" xr2:uid="{00000000-000D-0000-FFFF-FFFF00000000}"/>
  </bookViews>
  <sheets>
    <sheet name="foxz" sheetId="4" state="veryHidden" r:id="rId1"/>
    <sheet name="Phụ lục 01" sheetId="5" r:id="rId2"/>
    <sheet name="Phụ lục 2" sheetId="3" r:id="rId3"/>
  </sheets>
  <definedNames>
    <definedName name="bookmark50" localSheetId="1">'Phụ lục 01'!#REF!</definedName>
    <definedName name="bookmark64" localSheetId="1">'Phụ lục 01'!#REF!</definedName>
    <definedName name="_xlnm.Print_Area" localSheetId="1">'Phụ lục 01'!$A$1:$E$96</definedName>
    <definedName name="_xlnm.Print_Area" localSheetId="2">'Phụ lục 2'!$A$1:$I$80</definedName>
    <definedName name="_xlnm.Print_Titles" localSheetId="1">'Phụ lục 01'!$5:$6</definedName>
    <definedName name="_xlnm.Print_Titles" localSheetId="2">'Phụ lục 2'!$5:$6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3" l="1"/>
  <c r="D14" i="3"/>
  <c r="D16" i="3"/>
  <c r="D17" i="3"/>
  <c r="D18" i="3"/>
  <c r="D20" i="3"/>
  <c r="D21" i="3"/>
  <c r="D22" i="3"/>
  <c r="D23" i="3"/>
  <c r="D24" i="3"/>
  <c r="D25" i="3"/>
  <c r="D26" i="3"/>
  <c r="D27" i="3"/>
  <c r="D28" i="3"/>
  <c r="D29" i="3"/>
  <c r="D30" i="3"/>
  <c r="D31" i="3"/>
  <c r="D34" i="3"/>
  <c r="D35" i="3"/>
  <c r="D37" i="3"/>
  <c r="D39" i="3"/>
  <c r="D41" i="3"/>
  <c r="D42" i="3"/>
  <c r="D43" i="3"/>
  <c r="D44" i="3"/>
  <c r="D45" i="3"/>
  <c r="D46" i="3"/>
  <c r="D47" i="3"/>
  <c r="D49" i="3"/>
  <c r="D50" i="3"/>
  <c r="D51" i="3"/>
  <c r="D52" i="3"/>
  <c r="D54" i="3"/>
  <c r="D55" i="3"/>
  <c r="D56" i="3"/>
  <c r="D58" i="3"/>
  <c r="D59" i="3"/>
  <c r="D60" i="3"/>
  <c r="D61" i="3"/>
  <c r="D62" i="3"/>
  <c r="D63" i="3"/>
  <c r="D64" i="3"/>
  <c r="D65" i="3"/>
  <c r="D66" i="3"/>
  <c r="D67" i="3"/>
  <c r="D68" i="3"/>
  <c r="D69" i="3"/>
  <c r="D11" i="3"/>
  <c r="D9" i="3"/>
  <c r="D10" i="3"/>
  <c r="D8" i="3"/>
  <c r="C10" i="3"/>
  <c r="C11" i="3"/>
  <c r="C13" i="3"/>
  <c r="C14" i="3"/>
  <c r="C16" i="3"/>
  <c r="C17" i="3"/>
  <c r="C18" i="3"/>
  <c r="C20" i="3"/>
  <c r="C21" i="3"/>
  <c r="C22" i="3"/>
  <c r="C23" i="3"/>
  <c r="C24" i="3"/>
  <c r="C25" i="3"/>
  <c r="C26" i="3"/>
  <c r="C27" i="3"/>
  <c r="C28" i="3"/>
  <c r="C29" i="3"/>
  <c r="C30" i="3"/>
  <c r="C31" i="3"/>
  <c r="C34" i="3"/>
  <c r="C35" i="3"/>
  <c r="C37" i="3"/>
  <c r="C39" i="3"/>
  <c r="C41" i="3"/>
  <c r="C42" i="3"/>
  <c r="C43" i="3"/>
  <c r="C44" i="3"/>
  <c r="C45" i="3"/>
  <c r="C46" i="3"/>
  <c r="C47" i="3"/>
  <c r="C49" i="3"/>
  <c r="C50" i="3"/>
  <c r="C51" i="3"/>
  <c r="C52" i="3"/>
  <c r="C54" i="3"/>
  <c r="C55" i="3"/>
  <c r="C56" i="3"/>
  <c r="C58" i="3"/>
  <c r="C59" i="3"/>
  <c r="C60" i="3"/>
  <c r="C61" i="3"/>
  <c r="C62" i="3"/>
  <c r="C63" i="3"/>
  <c r="C64" i="3"/>
  <c r="C65" i="3"/>
  <c r="C66" i="3"/>
  <c r="C67" i="3"/>
  <c r="C68" i="3"/>
  <c r="C69" i="3"/>
  <c r="C9" i="3"/>
  <c r="C8" i="3"/>
</calcChain>
</file>

<file path=xl/sharedStrings.xml><?xml version="1.0" encoding="utf-8"?>
<sst xmlns="http://schemas.openxmlformats.org/spreadsheetml/2006/main" count="267" uniqueCount="124">
  <si>
    <t>STT</t>
  </si>
  <si>
    <t>Tên ngành nghề</t>
  </si>
  <si>
    <t>Mức đào tạo đồng/người/khóa</t>
  </si>
  <si>
    <t>Kỹ thuật trồng hoa kiểng</t>
  </si>
  <si>
    <t>I</t>
  </si>
  <si>
    <t>Điện tử dân dụng</t>
  </si>
  <si>
    <t>Kỹ thuật trồng chuối xuất khẩu</t>
  </si>
  <si>
    <t>II</t>
  </si>
  <si>
    <t>Lĩnh vực bảo vệ thực vật</t>
  </si>
  <si>
    <t>Kỹ thuật viên bảo vệ thực vật</t>
  </si>
  <si>
    <t>Quản lý dịch hại tổng hợp</t>
  </si>
  <si>
    <t>III</t>
  </si>
  <si>
    <t>Kỹ thuật viên lâm nghiệp</t>
  </si>
  <si>
    <t>Kỹ thuật trồng, khai thác rừng</t>
  </si>
  <si>
    <t>IV</t>
  </si>
  <si>
    <t>Lĩnh vực nuôi trồng thủy hải sản</t>
  </si>
  <si>
    <t>Kỹ thuật nuôi trồng thủy sản nước ngọt</t>
  </si>
  <si>
    <t>Kỹ thuật nuôi trồng thủy sản nước lợ, mặn</t>
  </si>
  <si>
    <t>Lĩnh vực nông nghiệp, chăn nuôi</t>
  </si>
  <si>
    <t>Kỹ thuật trồng trọt (trồng cây ăn trái, trồng lúa, trồng rau màu, trồng nấm, sản xuất giống cây trồng, làm vườn,...)</t>
  </si>
  <si>
    <t>Kỹ thuật nuôi động vật hoang dã</t>
  </si>
  <si>
    <t>Kỹ thuật nuôi tôm sú, kỹ thuật nuôi tôm thẻ (nuôi thâm canh, bán thâm canh, quảng canh nhiều giai đoạn, nuôi kết hợp, nuôi theo hướng hữu cơ,....)</t>
  </si>
  <si>
    <t>Kỹ thuật nuôi cua (nuôi cua nhiều giai đoạn, nuôi cua quảng canh cải tiến, nuôi cua bán thâm canh, thâm canh, nuôi cua kết hợp, nuôi cua hai da, nuôi cua lột, nuôi cua theo hướng an toàn thực phẩm,...)</t>
  </si>
  <si>
    <t>Kỹ thuật nuôi động vật thân mềm, hai mảnh vỏ (nuôi sò huyết, nuôi nghêu, hàu, ốc,...)</t>
  </si>
  <si>
    <t>Kỹ thuật nuôi cá (cá chình, cá bống tượng, cá chạch, cá mú, cá chim,...)</t>
  </si>
  <si>
    <t>Kỹ thuật nuôi hải sản (nuôi trong ao, lồng, bè,...)</t>
  </si>
  <si>
    <t>Nuôi tôm, cua, cá kết hợp - lúa luân canh</t>
  </si>
  <si>
    <t>V</t>
  </si>
  <si>
    <t>Lĩnh vực khai thác thủy sản</t>
  </si>
  <si>
    <t>Thuyền trưởng tàu cá hạng I</t>
  </si>
  <si>
    <t>Máy trưởng tàu cá hạng I</t>
  </si>
  <si>
    <t>Lĩnh vực thủy lợi</t>
  </si>
  <si>
    <t>VI</t>
  </si>
  <si>
    <t>VII</t>
  </si>
  <si>
    <t>Lĩnh vực hợp tác xã</t>
  </si>
  <si>
    <t>VIII</t>
  </si>
  <si>
    <t>Lĩnh vực kinh doanh, thương mại, dịch vụ</t>
  </si>
  <si>
    <t>Tồ chức du lịch (du lịch cộng đồng, du lịch sinh thái, du lịch tham quan, du lịch xanh, Teambuilding, du lịch khám phá, du lịch rừng, du lịch thôn quê...)</t>
  </si>
  <si>
    <t>Kỹ thuật làm đẹp (thiết kế tạo mẫu tóc, chăm sóc da, kỹ thuật làm móng, trang điểm, nối mi,...)</t>
  </si>
  <si>
    <t>Kỹ thuật pha chế, nấu ăn</t>
  </si>
  <si>
    <t>Kỹ năng bán hàng</t>
  </si>
  <si>
    <t>IX</t>
  </si>
  <si>
    <t>Lĩnh vực chế biến, chế biến món ăn</t>
  </si>
  <si>
    <t>Chế biến thủy sản</t>
  </si>
  <si>
    <t>Nữ công gia chánh</t>
  </si>
  <si>
    <t>Kỹ thuật chế biến mắm, khô thủy sản</t>
  </si>
  <si>
    <t>Kỹ thuật chế biến và bảo quản nông sản</t>
  </si>
  <si>
    <t>X</t>
  </si>
  <si>
    <t>Lĩnh vực thủ công mỹ nghệ</t>
  </si>
  <si>
    <t>Thêu máy - Thêu tay</t>
  </si>
  <si>
    <t>Đan đát (đan sợi len, đan giỏ quà, đan dây nhựa, đan dây chuối, đan dây lục bình, đan thảm, đan tre, lưới, lú, rập cua, đan và vá lưới,...)</t>
  </si>
  <si>
    <t>XI</t>
  </si>
  <si>
    <t>Công nghiệp xây dựng</t>
  </si>
  <si>
    <t>Sửa chữa xe gắn máy</t>
  </si>
  <si>
    <t>May dân dụng</t>
  </si>
  <si>
    <t>May công nghiệp</t>
  </si>
  <si>
    <t>Điện dân dụng</t>
  </si>
  <si>
    <t>Điện công nghiệp</t>
  </si>
  <si>
    <t>Điện lạnh</t>
  </si>
  <si>
    <t>Sửa chữa diện ô tô</t>
  </si>
  <si>
    <t>Cài đặt và sửa chữa máy tính</t>
  </si>
  <si>
    <t>Kỹ thuật sửa chữa, lắp đặt hệ thống nước dân dụng</t>
  </si>
  <si>
    <t>Tin học văn phòng</t>
  </si>
  <si>
    <t>XII</t>
  </si>
  <si>
    <t>Lĩnh vực sức khỏe</t>
  </si>
  <si>
    <t>Sơ cấp</t>
  </si>
  <si>
    <t>Dưới 03 tháng</t>
  </si>
  <si>
    <t>Kỹ thuật sản xuất giống thủy sản</t>
  </si>
  <si>
    <t>Kỹ thuật nuôi tôm ứng dụng công nghệ cao</t>
  </si>
  <si>
    <t>Kỹ thuật nuôi tôm càng xanh (nuôi thâm canh, bán thâm canh, quảng canh nhiều giai đoạn, nuôi kết hợp, nuôi trong ruộng lúa, nuôi theo hướng hữu cơ …)</t>
  </si>
  <si>
    <t>Công nhân quản lý và khai thác công trình thủy lợi</t>
  </si>
  <si>
    <t>Giám đốc hợp tác xã nông nghiệp</t>
  </si>
  <si>
    <t>Hướng dẫn viên du lịch</t>
  </si>
  <si>
    <t>Nghiệp vụ nhà hàng (lễ tân), khách sạn</t>
  </si>
  <si>
    <t>Kỹ thuật xây dựng dân dụng</t>
  </si>
  <si>
    <t>Nghề đào tạo</t>
  </si>
  <si>
    <t>Thời gian</t>
  </si>
  <si>
    <t>Trình độ</t>
  </si>
  <si>
    <t>DANH MỤC NGHỀ ĐÀO TẠO TRÌNH ĐỘ SƠ CẤP, ĐÀO TẠO DƯỚI 3 THÁNG 
ÁP DỤNG TRONG LĨNH VỰC GIÁO DỤC NGHỀ NGHIỆP TRÊN ĐỊA BÀN TỈNH CÀ MAU</t>
  </si>
  <si>
    <t>MỨC HỖ TRỢ CHI PHÍ ĐÀO TẠO NGHỀ TRÌNH ĐỘ SƠ CẤP, ĐÀO TẠO DƯỚI 03 THÁNG 
ÁP DỤNG TRONG LĨNH VỰC GIÁO DỤC NGHỀ NGHIỆP TRÊN ĐỊA BÀN TỈNH CÀ MAU</t>
  </si>
  <si>
    <t>Nhạc cụ</t>
  </si>
  <si>
    <t>Tổng số giờ dạy</t>
  </si>
  <si>
    <t>Sửa chữa điện ô tô</t>
  </si>
  <si>
    <t>Kỹ thuật điều dưỡng cộng đồng</t>
  </si>
  <si>
    <t>XIII</t>
  </si>
  <si>
    <t>Lĩnh vực diêm nghiệp</t>
  </si>
  <si>
    <t>Kỹ thuật sản suất muối</t>
  </si>
  <si>
    <t>Kỹ thuật nuôi lươn, nuôi ếch</t>
  </si>
  <si>
    <t>Kỹ thuật chăn nuôi (chăn nuôi thú y, chăn nuôi gia súc an toàn sinh học, chăn nuôi gia cầm an toàn sinh học, chăn nuôi động vật hoang dã, chăn nuôi chồn, chăn nuôi heo, heo rừng….)</t>
  </si>
  <si>
    <t>Kỹ thuật chăn nuôi (chăn nuôi thú y, chăn nuôi gia súc an toàn sinh học, chăn nuôi gia cầm an toàn sinh học, chăn nuôi động vật hoang dã, chăn nuôi chồn, chăn nuôi heo, heo rừng....)</t>
  </si>
  <si>
    <t>2. Lĩnh vực bảo vệ thực vật: 02 nghề</t>
  </si>
  <si>
    <t>4. Lĩnh vực nuôi trồng thủy hải sản: 13 nghề</t>
  </si>
  <si>
    <t>5. Lĩnh vực khai thác thủy sản: 02 nghề</t>
  </si>
  <si>
    <t>6. Lĩnh vực thủy lợi: 01 nghề</t>
  </si>
  <si>
    <t>7. Lĩnh vực hợp tác xã: 01 nghề</t>
  </si>
  <si>
    <t>8. Lĩnh vực kinh doanh, thương mại, dịch vụ: 07 nghề</t>
  </si>
  <si>
    <t>9. Lĩnh vực chế biến, chế biến món ăn: 04 nghề</t>
  </si>
  <si>
    <t>10. Lĩnh vực thủ công mỹ nghệ: 03 nghề</t>
  </si>
  <si>
    <t>13. Lĩnh vực diêm nghiệp: 01 nghề</t>
  </si>
  <si>
    <t>Kỹ thuật bào chế mỹ phẫm, sản phẩm handmade (Kỹ thuật làm son, nước lau sàn, làm nến thơm, kem đuổi muổi, dầu gội thảo mộc, nước rửa chén ….)</t>
  </si>
  <si>
    <t>Kỹ thuật gội đầu dưỡng sinh - trị liệu tóc</t>
  </si>
  <si>
    <t>Kỹ thuật  massage mẹ bầu và chăm sóc phục hồi mẹ sau sinh</t>
  </si>
  <si>
    <t>Kỹ thuật tắm và massage bé sơ sinh theo tiêu chẩn y khoa</t>
  </si>
  <si>
    <t>12. Lĩnh vực sức khỏe: 06 nghề</t>
  </si>
  <si>
    <t>11. Công nghiệp xây dựng: 12 nghề</t>
  </si>
  <si>
    <t>Kỹ thuật viên quản lý môi trường nuôi trồng thủy sản</t>
  </si>
  <si>
    <t>Kỹ thuật bào chế mỹ phẫm và sản phẩm handmade (Kỹ thuật làm son, nước lau sàn, làm nến thơm, kem đuổi muổi, dầu gội thảo mộc, nước rửa chén ….)</t>
  </si>
  <si>
    <t>Y học cổ truyền</t>
  </si>
  <si>
    <t>Trong đó:</t>
  </si>
  <si>
    <t>Phụ lục I</t>
  </si>
  <si>
    <t>(Ban hành kèm theo Quyết định số 85/2026/QĐ-UBND ngày 15 tháng 5 năm 2026 của Ủy ban nhân dân tỉnh Cà Mau)</t>
  </si>
  <si>
    <t>Tổng số
giờ dạy</t>
  </si>
  <si>
    <t>Thời gian tối thiểu hoàn thành khóa học (tháng/khóa)</t>
  </si>
  <si>
    <t>Tổng danh mục có 59 nghề</t>
  </si>
  <si>
    <t>1. Lĩnh vực nông nghiệp, chăn nuôi: 04 nghề</t>
  </si>
  <si>
    <t>3. Lĩnh vực lâm nghiệp: 03 nghề</t>
  </si>
  <si>
    <t>Lĩnh vực lâm nghiệp</t>
  </si>
  <si>
    <t>Thủ công mỹ nghệ (kết cườm, kết hoa, làm hoa, cắm hoa, khắc, chạm, trổ,...)</t>
  </si>
  <si>
    <t>Phụ lục II</t>
  </si>
  <si>
    <t>Đối tượng 1</t>
  </si>
  <si>
    <t>Đối tượng 2</t>
  </si>
  <si>
    <t>Đối tượng 3</t>
  </si>
  <si>
    <t>Đối tượng 4</t>
  </si>
  <si>
    <t>Đối tượng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</si>
</sst>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0" x14ac:knownFonts="1">
    <font>
      <sz val="11"/>
      <color theme="1"/>
      <name val="Aptos Narrow"/>
      <family val="2"/>
      <charset val="163"/>
      <scheme val="minor"/>
    </font>
    <font>
      <b/>
      <sz val="11"/>
      <color theme="1"/>
      <name val="Aptos Display"/>
      <family val="1"/>
      <charset val="163"/>
      <scheme val="major"/>
    </font>
    <font>
      <sz val="11"/>
      <color theme="1"/>
      <name val="Aptos Narrow"/>
      <family val="2"/>
      <charset val="163"/>
      <scheme val="minor"/>
    </font>
    <font>
      <sz val="14"/>
      <color theme="1"/>
      <name val="Times New Roman"/>
      <family val="1"/>
    </font>
    <font>
      <b/>
      <sz val="14"/>
      <color theme="1"/>
      <name val="Times New Roman"/>
      <family val="1"/>
    </font>
    <font>
      <sz val="11"/>
      <color theme="1"/>
      <name val="Times New Roman"/>
      <family val="1"/>
    </font>
    <font>
      <i/>
      <sz val="14"/>
      <color theme="1"/>
      <name val="Times New Roman"/>
      <family val="1"/>
    </font>
    <font>
      <b/>
      <sz val="11"/>
      <color theme="1"/>
      <name val="Aptos Narrow"/>
      <family val="2"/>
      <charset val="163"/>
      <scheme val="minor"/>
    </font>
    <font>
      <b/>
      <sz val="14"/>
      <color theme="1"/>
      <name val="Times New Roman"/>
      <family val="1"/>
      <charset val="163"/>
    </font>
    <font>
      <sz val="13"/>
      <color theme="1"/>
      <name val="Times New Roman"/>
      <family val="1"/>
    </font>
    <font>
      <b/>
      <sz val="13"/>
      <color theme="1"/>
      <name val="Times New Roman"/>
      <family val="1"/>
    </font>
    <font>
      <i/>
      <sz val="13"/>
      <color theme="1"/>
      <name val="Times New Roman"/>
      <family val="1"/>
    </font>
    <font>
      <sz val="14"/>
      <color rgb="FFFF0000"/>
      <name val="Times New Roman"/>
      <family val="1"/>
    </font>
    <font>
      <sz val="11"/>
      <color rgb="FFFF0000"/>
      <name val="Aptos Narrow"/>
      <family val="2"/>
      <charset val="163"/>
      <scheme val="minor"/>
    </font>
    <font>
      <sz val="14"/>
      <name val="Times New Roman"/>
      <family val="1"/>
    </font>
    <font>
      <b/>
      <sz val="14"/>
      <name val="Times New Roman"/>
      <family val="1"/>
    </font>
    <font>
      <b/>
      <sz val="13"/>
      <name val="Times New Roman"/>
      <family val="1"/>
    </font>
    <font>
      <b/>
      <sz val="12"/>
      <name val="Times New Roman"/>
      <family val="1"/>
    </font>
    <font>
      <sz val="11"/>
      <name val="Aptos Narrow"/>
      <family val="2"/>
      <charset val="163"/>
      <scheme val="minor"/>
    </font>
    <font>
      <sz val="13"/>
      <name val="Times New Roman"/>
      <family val="1"/>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s>
  <cellStyleXfs count="2">
    <xf numFmtId="0" fontId="0" fillId="0" borderId="0"/>
    <xf numFmtId="43" fontId="2" fillId="0" borderId="0" applyFont="0" applyFill="0" applyBorder="0" applyAlignment="0" applyProtection="0"/>
  </cellStyleXfs>
  <cellXfs count="103">
    <xf numFmtId="0" fontId="0" fillId="0" borderId="0" xfId="0"/>
    <xf numFmtId="0" fontId="1" fillId="0" borderId="0" xfId="0" applyFont="1"/>
    <xf numFmtId="0" fontId="1" fillId="0" borderId="0" xfId="0" applyFont="1" applyAlignment="1">
      <alignment horizontal="center"/>
    </xf>
    <xf numFmtId="0" fontId="3" fillId="0" borderId="0" xfId="0" applyFont="1"/>
    <xf numFmtId="0" fontId="3" fillId="0" borderId="0" xfId="0" applyFont="1" applyAlignment="1">
      <alignment horizontal="center"/>
    </xf>
    <xf numFmtId="0" fontId="3" fillId="0" borderId="1" xfId="0" applyFont="1" applyBorder="1" applyAlignment="1">
      <alignment horizontal="center"/>
    </xf>
    <xf numFmtId="0" fontId="3" fillId="0" borderId="1" xfId="0" applyFont="1" applyBorder="1" applyAlignment="1">
      <alignment horizontal="center" vertical="center"/>
    </xf>
    <xf numFmtId="0" fontId="3" fillId="0" borderId="1" xfId="0" applyFont="1" applyBorder="1"/>
    <xf numFmtId="0" fontId="4" fillId="0" borderId="1" xfId="0" applyFont="1" applyBorder="1" applyAlignment="1">
      <alignment horizontal="center"/>
    </xf>
    <xf numFmtId="0" fontId="4" fillId="0" borderId="1" xfId="0" applyFont="1" applyBorder="1" applyAlignment="1">
      <alignment horizontal="center" vertical="center"/>
    </xf>
    <xf numFmtId="0" fontId="4" fillId="0" borderId="1" xfId="0" applyFont="1" applyBorder="1"/>
    <xf numFmtId="0" fontId="4" fillId="0" borderId="0" xfId="0" applyFont="1"/>
    <xf numFmtId="0" fontId="3" fillId="0" borderId="0" xfId="0" applyFont="1" applyAlignment="1">
      <alignment horizontal="center" vertical="center"/>
    </xf>
    <xf numFmtId="0" fontId="3" fillId="0" borderId="6" xfId="0" applyFont="1" applyBorder="1" applyAlignment="1">
      <alignment vertical="center" wrapText="1"/>
    </xf>
    <xf numFmtId="0" fontId="3" fillId="0" borderId="6" xfId="0" applyFont="1" applyBorder="1" applyAlignment="1">
      <alignment horizontal="center" vertical="center" wrapText="1"/>
    </xf>
    <xf numFmtId="0" fontId="5" fillId="0" borderId="0" xfId="0" applyFont="1" applyAlignment="1">
      <alignment horizontal="center" vertical="center" wrapText="1"/>
    </xf>
    <xf numFmtId="0" fontId="3" fillId="0" borderId="1" xfId="0" applyFont="1" applyBorder="1" applyAlignment="1">
      <alignment horizontal="center" vertical="center" wrapText="1"/>
    </xf>
    <xf numFmtId="0" fontId="7" fillId="0" borderId="0" xfId="0" applyFont="1"/>
    <xf numFmtId="165" fontId="3" fillId="0" borderId="0" xfId="0" applyNumberFormat="1" applyFont="1" applyAlignment="1">
      <alignment horizontal="center"/>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165" fontId="3" fillId="0" borderId="1" xfId="0" applyNumberFormat="1" applyFont="1" applyBorder="1" applyAlignment="1">
      <alignment horizontal="center"/>
    </xf>
    <xf numFmtId="165" fontId="4" fillId="0" borderId="1" xfId="0" applyNumberFormat="1" applyFont="1" applyBorder="1" applyAlignment="1">
      <alignment horizontal="center"/>
    </xf>
    <xf numFmtId="165" fontId="4" fillId="0" borderId="1" xfId="0" applyNumberFormat="1" applyFont="1" applyBorder="1" applyAlignment="1">
      <alignment horizontal="center" vertical="center" wrapText="1"/>
    </xf>
    <xf numFmtId="0" fontId="4" fillId="2" borderId="1" xfId="0" applyFont="1" applyFill="1" applyBorder="1" applyAlignment="1">
      <alignment horizontal="justify"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justify" vertical="center" wrapText="1"/>
    </xf>
    <xf numFmtId="0" fontId="3" fillId="2" borderId="1" xfId="0" applyFont="1" applyFill="1" applyBorder="1" applyAlignment="1">
      <alignment vertical="center" wrapText="1"/>
    </xf>
    <xf numFmtId="0" fontId="4" fillId="2" borderId="1" xfId="0" applyFont="1" applyFill="1" applyBorder="1" applyAlignment="1">
      <alignment vertical="center" wrapText="1"/>
    </xf>
    <xf numFmtId="0" fontId="3" fillId="2" borderId="1" xfId="0" applyFont="1" applyFill="1" applyBorder="1" applyAlignment="1">
      <alignment horizontal="left" vertical="center" wrapText="1"/>
    </xf>
    <xf numFmtId="165" fontId="4" fillId="0" borderId="0" xfId="0" applyNumberFormat="1" applyFont="1" applyAlignment="1">
      <alignment horizontal="center" vertical="center" wrapText="1"/>
    </xf>
    <xf numFmtId="0" fontId="4" fillId="2" borderId="1" xfId="0" applyFont="1" applyFill="1" applyBorder="1" applyAlignment="1">
      <alignment horizontal="center" vertical="center" wrapText="1"/>
    </xf>
    <xf numFmtId="165" fontId="3" fillId="2" borderId="1" xfId="0" applyNumberFormat="1" applyFont="1" applyFill="1" applyBorder="1" applyAlignment="1">
      <alignment horizontal="center" vertical="center" wrapText="1"/>
    </xf>
    <xf numFmtId="0" fontId="0" fillId="0" borderId="1" xfId="0" applyBorder="1" applyAlignment="1">
      <alignment horizontal="center"/>
    </xf>
    <xf numFmtId="0" fontId="4" fillId="2" borderId="0" xfId="0" applyFont="1" applyFill="1" applyAlignment="1">
      <alignment horizontal="center" vertical="center" wrapText="1"/>
    </xf>
    <xf numFmtId="0" fontId="3" fillId="2" borderId="0" xfId="0" applyFont="1" applyFill="1" applyAlignment="1">
      <alignment horizontal="justify" vertical="center" wrapText="1"/>
    </xf>
    <xf numFmtId="0" fontId="3" fillId="2" borderId="0" xfId="0" applyFont="1" applyFill="1" applyAlignment="1">
      <alignment vertical="center" wrapText="1"/>
    </xf>
    <xf numFmtId="0" fontId="4" fillId="0" borderId="0" xfId="0" applyFont="1" applyAlignment="1">
      <alignment horizontal="left"/>
    </xf>
    <xf numFmtId="0" fontId="6" fillId="0" borderId="0" xfId="0" applyFont="1" applyAlignment="1">
      <alignment horizontal="left"/>
    </xf>
    <xf numFmtId="0" fontId="10" fillId="0" borderId="0" xfId="0" applyFont="1"/>
    <xf numFmtId="0" fontId="10" fillId="0" borderId="0" xfId="0" applyFont="1" applyAlignment="1">
      <alignment vertical="center" wrapText="1"/>
    </xf>
    <xf numFmtId="0" fontId="11" fillId="0" borderId="0" xfId="0" applyFont="1" applyAlignment="1">
      <alignment vertical="center" wrapText="1"/>
    </xf>
    <xf numFmtId="0" fontId="3" fillId="2" borderId="8" xfId="0" applyFont="1" applyFill="1" applyBorder="1" applyAlignment="1">
      <alignment vertical="center" wrapText="1"/>
    </xf>
    <xf numFmtId="3" fontId="3" fillId="2" borderId="8" xfId="0" applyNumberFormat="1" applyFont="1" applyFill="1" applyBorder="1" applyAlignment="1">
      <alignment vertical="center" wrapText="1"/>
    </xf>
    <xf numFmtId="0" fontId="3" fillId="0" borderId="8" xfId="0" applyFont="1" applyBorder="1"/>
    <xf numFmtId="0" fontId="4" fillId="0" borderId="8" xfId="0" applyFont="1" applyBorder="1"/>
    <xf numFmtId="0" fontId="8" fillId="0" borderId="0" xfId="0" applyFont="1" applyAlignment="1">
      <alignment vertical="center" wrapText="1"/>
    </xf>
    <xf numFmtId="0" fontId="4" fillId="0" borderId="0" xfId="0" applyFont="1" applyAlignment="1">
      <alignment vertical="center" wrapText="1"/>
    </xf>
    <xf numFmtId="0" fontId="6" fillId="0" borderId="0" xfId="0" applyFont="1" applyAlignment="1">
      <alignment vertical="center" wrapText="1"/>
    </xf>
    <xf numFmtId="3" fontId="3" fillId="2" borderId="0" xfId="0" applyNumberFormat="1" applyFont="1" applyFill="1" applyAlignment="1">
      <alignment horizontal="right" vertical="center" wrapText="1"/>
    </xf>
    <xf numFmtId="3" fontId="9" fillId="2" borderId="0" xfId="0" applyNumberFormat="1" applyFont="1" applyFill="1" applyAlignment="1">
      <alignment horizontal="right" vertical="center" wrapText="1"/>
    </xf>
    <xf numFmtId="0" fontId="3" fillId="0" borderId="0" xfId="0" applyFont="1" applyAlignment="1">
      <alignment vertical="center" wrapText="1"/>
    </xf>
    <xf numFmtId="0" fontId="0" fillId="0" borderId="8" xfId="0" applyBorder="1"/>
    <xf numFmtId="0" fontId="12" fillId="0" borderId="8" xfId="0" applyFont="1" applyBorder="1"/>
    <xf numFmtId="0" fontId="13" fillId="0" borderId="0" xfId="0" applyFont="1"/>
    <xf numFmtId="3" fontId="14" fillId="2" borderId="1" xfId="0" applyNumberFormat="1" applyFont="1" applyFill="1" applyBorder="1" applyAlignment="1">
      <alignment horizontal="right" vertical="center" wrapText="1"/>
    </xf>
    <xf numFmtId="0" fontId="16" fillId="0" borderId="1" xfId="0" applyFont="1" applyBorder="1" applyAlignment="1">
      <alignment horizontal="center" vertical="center" wrapText="1"/>
    </xf>
    <xf numFmtId="165" fontId="16" fillId="0" borderId="1" xfId="0" applyNumberFormat="1" applyFont="1" applyBorder="1" applyAlignment="1">
      <alignment horizontal="center" vertical="center" wrapText="1"/>
    </xf>
    <xf numFmtId="0" fontId="17"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5" fillId="2" borderId="1" xfId="0" applyFont="1" applyFill="1" applyBorder="1" applyAlignment="1">
      <alignment horizontal="justify" vertical="center" wrapText="1"/>
    </xf>
    <xf numFmtId="0" fontId="14" fillId="2" borderId="1" xfId="0" applyFont="1" applyFill="1" applyBorder="1" applyAlignment="1">
      <alignment horizontal="center" vertical="center" wrapText="1"/>
    </xf>
    <xf numFmtId="0" fontId="14" fillId="0" borderId="1" xfId="0" applyFont="1" applyBorder="1"/>
    <xf numFmtId="0" fontId="14" fillId="0" borderId="1" xfId="0" applyFont="1" applyBorder="1" applyAlignment="1">
      <alignment horizontal="center" vertical="center" wrapText="1"/>
    </xf>
    <xf numFmtId="0" fontId="14" fillId="2" borderId="1" xfId="0" applyFont="1" applyFill="1" applyBorder="1" applyAlignment="1">
      <alignment horizontal="justify" vertical="center" wrapText="1"/>
    </xf>
    <xf numFmtId="165" fontId="14" fillId="2" borderId="1" xfId="0" applyNumberFormat="1" applyFont="1" applyFill="1" applyBorder="1" applyAlignment="1">
      <alignment horizontal="center" vertical="center" wrapText="1"/>
    </xf>
    <xf numFmtId="164" fontId="14" fillId="0" borderId="1" xfId="1" applyNumberFormat="1" applyFont="1" applyBorder="1" applyAlignment="1">
      <alignment horizontal="right" vertical="center" wrapText="1"/>
    </xf>
    <xf numFmtId="0" fontId="14" fillId="2" borderId="1" xfId="0" applyFont="1" applyFill="1" applyBorder="1" applyAlignment="1">
      <alignment horizontal="right" vertical="center" wrapText="1"/>
    </xf>
    <xf numFmtId="0" fontId="14" fillId="2" borderId="1" xfId="0" applyFont="1" applyFill="1" applyBorder="1" applyAlignment="1">
      <alignment vertical="center" wrapText="1"/>
    </xf>
    <xf numFmtId="0" fontId="15" fillId="2" borderId="1" xfId="0" applyFont="1" applyFill="1" applyBorder="1" applyAlignment="1">
      <alignment vertical="center" wrapText="1"/>
    </xf>
    <xf numFmtId="164" fontId="14" fillId="4" borderId="1" xfId="1" applyNumberFormat="1" applyFont="1" applyFill="1" applyBorder="1" applyAlignment="1">
      <alignment horizontal="right" vertical="center" wrapText="1"/>
    </xf>
    <xf numFmtId="0" fontId="15" fillId="2" borderId="1" xfId="0" applyFont="1" applyFill="1" applyBorder="1" applyAlignment="1">
      <alignment horizontal="left" vertical="center" wrapText="1"/>
    </xf>
    <xf numFmtId="0" fontId="14" fillId="2" borderId="1" xfId="0" applyFont="1" applyFill="1" applyBorder="1" applyAlignment="1">
      <alignment horizontal="left" vertical="center" wrapText="1"/>
    </xf>
    <xf numFmtId="3" fontId="14" fillId="2" borderId="2" xfId="0" applyNumberFormat="1" applyFont="1" applyFill="1" applyBorder="1" applyAlignment="1">
      <alignment horizontal="right" vertical="center" wrapText="1"/>
    </xf>
    <xf numFmtId="3" fontId="14" fillId="2" borderId="4" xfId="0" applyNumberFormat="1" applyFont="1" applyFill="1" applyBorder="1" applyAlignment="1">
      <alignment horizontal="right" vertical="center" wrapText="1"/>
    </xf>
    <xf numFmtId="0" fontId="14" fillId="2" borderId="4" xfId="0" applyFont="1" applyFill="1" applyBorder="1" applyAlignment="1">
      <alignment horizontal="right" vertical="center" wrapText="1"/>
    </xf>
    <xf numFmtId="164" fontId="14" fillId="2" borderId="1" xfId="1" applyNumberFormat="1" applyFont="1" applyFill="1" applyBorder="1" applyAlignment="1">
      <alignment horizontal="right" vertical="center" wrapText="1"/>
    </xf>
    <xf numFmtId="164" fontId="14" fillId="2" borderId="4" xfId="1" applyNumberFormat="1" applyFont="1" applyFill="1" applyBorder="1" applyAlignment="1">
      <alignment horizontal="right" vertical="center" wrapText="1"/>
    </xf>
    <xf numFmtId="0" fontId="14" fillId="0" borderId="1" xfId="0" applyFont="1" applyBorder="1" applyAlignment="1">
      <alignment horizontal="center" vertical="center"/>
    </xf>
    <xf numFmtId="0" fontId="14" fillId="0" borderId="1" xfId="0" applyFont="1" applyBorder="1" applyAlignment="1">
      <alignment horizontal="center"/>
    </xf>
    <xf numFmtId="0" fontId="15" fillId="0" borderId="1" xfId="0" applyFont="1" applyBorder="1" applyAlignment="1">
      <alignment horizontal="center" vertical="center"/>
    </xf>
    <xf numFmtId="0" fontId="15" fillId="0" borderId="1" xfId="0" applyFont="1" applyBorder="1"/>
    <xf numFmtId="165" fontId="14" fillId="0" borderId="1" xfId="0" applyNumberFormat="1" applyFont="1" applyBorder="1" applyAlignment="1">
      <alignment horizontal="center"/>
    </xf>
    <xf numFmtId="164" fontId="18" fillId="0" borderId="1" xfId="1" applyNumberFormat="1" applyFont="1" applyBorder="1"/>
    <xf numFmtId="164" fontId="19" fillId="0" borderId="1" xfId="1" applyNumberFormat="1" applyFont="1" applyBorder="1" applyAlignment="1">
      <alignment horizontal="right" vertical="center" wrapText="1"/>
    </xf>
    <xf numFmtId="164" fontId="19" fillId="2" borderId="1" xfId="1" applyNumberFormat="1" applyFont="1" applyFill="1" applyBorder="1" applyAlignment="1">
      <alignment horizontal="right" vertical="center" wrapText="1"/>
    </xf>
    <xf numFmtId="164" fontId="19" fillId="3" borderId="1" xfId="1" applyNumberFormat="1" applyFont="1" applyFill="1" applyBorder="1" applyAlignment="1">
      <alignment horizontal="right" vertical="center" wrapText="1"/>
    </xf>
    <xf numFmtId="164" fontId="14" fillId="3" borderId="4" xfId="1" applyNumberFormat="1" applyFont="1" applyFill="1" applyBorder="1" applyAlignment="1">
      <alignment horizontal="right" vertical="center" wrapText="1"/>
    </xf>
    <xf numFmtId="0" fontId="10" fillId="0" borderId="0" xfId="0" applyFont="1" applyAlignment="1">
      <alignment horizontal="center"/>
    </xf>
    <xf numFmtId="0" fontId="10" fillId="0" borderId="0" xfId="0" applyFont="1" applyAlignment="1">
      <alignment horizontal="center" vertical="center" wrapText="1"/>
    </xf>
    <xf numFmtId="0" fontId="11" fillId="0" borderId="0" xfId="0" applyFont="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8" xfId="0" applyFont="1" applyBorder="1" applyAlignment="1">
      <alignment horizontal="center" vertical="center" wrapText="1"/>
    </xf>
    <xf numFmtId="0" fontId="8" fillId="0" borderId="0" xfId="0" applyFont="1" applyAlignment="1">
      <alignment horizontal="center" vertical="center" wrapText="1"/>
    </xf>
    <xf numFmtId="0" fontId="4" fillId="0" borderId="0" xfId="0" applyFont="1" applyAlignment="1">
      <alignment horizontal="center" vertical="center" wrapText="1"/>
    </xf>
    <xf numFmtId="0" fontId="6"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5" xfId="0" applyFon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2952750</xdr:colOff>
      <xdr:row>3</xdr:row>
      <xdr:rowOff>19050</xdr:rowOff>
    </xdr:from>
    <xdr:to>
      <xdr:col>2</xdr:col>
      <xdr:colOff>495300</xdr:colOff>
      <xdr:row>3</xdr:row>
      <xdr:rowOff>19050</xdr:rowOff>
    </xdr:to>
    <xdr:cxnSp macro="">
      <xdr:nvCxnSpPr>
        <xdr:cNvPr id="3" name="Straight Connector 2">
          <a:extLst>
            <a:ext uri="{FF2B5EF4-FFF2-40B4-BE49-F238E27FC236}">
              <a16:creationId xmlns:a16="http://schemas.microsoft.com/office/drawing/2014/main" id="{00000000-0008-0000-0100-000003000000}"/>
            </a:ext>
          </a:extLst>
        </xdr:cNvPr>
        <xdr:cNvCxnSpPr/>
      </xdr:nvCxnSpPr>
      <xdr:spPr>
        <a:xfrm>
          <a:off x="3371850" y="1076325"/>
          <a:ext cx="29337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4140200</xdr:colOff>
      <xdr:row>3</xdr:row>
      <xdr:rowOff>12700</xdr:rowOff>
    </xdr:from>
    <xdr:to>
      <xdr:col>4</xdr:col>
      <xdr:colOff>463550</xdr:colOff>
      <xdr:row>3</xdr:row>
      <xdr:rowOff>12700</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4635500" y="1041400"/>
          <a:ext cx="35623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4"/>
  <sheetViews>
    <sheetView workbookViewId="0">
      <selection activeCell="A3" sqref="A3:E3"/>
    </sheetView>
  </sheetViews>
  <sheetFormatPr defaultColWidth="9" defaultRowHeight="18" x14ac:dyDescent="0.35"/>
  <cols>
    <col min="1" max="1" width="5.44140625" style="4" customWidth="1"/>
    <col min="2" max="2" width="70.77734375" style="3" customWidth="1"/>
    <col min="3" max="3" width="10.44140625" style="4" customWidth="1"/>
    <col min="4" max="4" width="24.6640625" style="18" customWidth="1"/>
    <col min="5" max="5" width="15" style="12" customWidth="1"/>
    <col min="6" max="6" width="11" style="3" customWidth="1"/>
    <col min="7" max="16384" width="9" style="3"/>
  </cols>
  <sheetData>
    <row r="1" spans="1:6" x14ac:dyDescent="0.35">
      <c r="A1" s="88" t="s">
        <v>109</v>
      </c>
      <c r="B1" s="88"/>
      <c r="C1" s="88"/>
      <c r="D1" s="88"/>
      <c r="E1" s="88"/>
      <c r="F1" s="39"/>
    </row>
    <row r="2" spans="1:6" ht="45.75" customHeight="1" x14ac:dyDescent="0.35">
      <c r="A2" s="89" t="s">
        <v>78</v>
      </c>
      <c r="B2" s="89"/>
      <c r="C2" s="89"/>
      <c r="D2" s="89"/>
      <c r="E2" s="89"/>
      <c r="F2" s="40"/>
    </row>
    <row r="3" spans="1:6" ht="18.75" customHeight="1" x14ac:dyDescent="0.35">
      <c r="A3" s="90" t="s">
        <v>110</v>
      </c>
      <c r="B3" s="90"/>
      <c r="C3" s="90"/>
      <c r="D3" s="90"/>
      <c r="E3" s="90"/>
      <c r="F3" s="41"/>
    </row>
    <row r="4" spans="1:6" ht="26.25" customHeight="1" x14ac:dyDescent="0.35">
      <c r="A4" s="20"/>
      <c r="B4" s="20"/>
      <c r="C4" s="20"/>
      <c r="D4" s="30"/>
      <c r="E4" s="20"/>
      <c r="F4" s="20"/>
    </row>
    <row r="5" spans="1:6" ht="21.75" customHeight="1" x14ac:dyDescent="0.35">
      <c r="A5" s="93" t="s">
        <v>0</v>
      </c>
      <c r="B5" s="93" t="s">
        <v>75</v>
      </c>
      <c r="C5" s="91" t="s">
        <v>76</v>
      </c>
      <c r="D5" s="92"/>
      <c r="E5" s="93" t="s">
        <v>77</v>
      </c>
      <c r="F5" s="95"/>
    </row>
    <row r="6" spans="1:6" ht="58.5" customHeight="1" x14ac:dyDescent="0.35">
      <c r="A6" s="94"/>
      <c r="B6" s="94"/>
      <c r="C6" s="19" t="s">
        <v>111</v>
      </c>
      <c r="D6" s="23" t="s">
        <v>112</v>
      </c>
      <c r="E6" s="94"/>
      <c r="F6" s="95"/>
    </row>
    <row r="7" spans="1:6" ht="22.5" customHeight="1" x14ac:dyDescent="0.35">
      <c r="A7" s="31" t="s">
        <v>4</v>
      </c>
      <c r="B7" s="24" t="s">
        <v>18</v>
      </c>
      <c r="C7" s="25"/>
      <c r="D7" s="32"/>
      <c r="E7" s="25"/>
      <c r="F7" s="42"/>
    </row>
    <row r="8" spans="1:6" ht="22.5" customHeight="1" x14ac:dyDescent="0.35">
      <c r="A8" s="25">
        <v>1</v>
      </c>
      <c r="B8" s="26" t="s">
        <v>6</v>
      </c>
      <c r="C8" s="25">
        <v>480</v>
      </c>
      <c r="D8" s="32">
        <v>4</v>
      </c>
      <c r="E8" s="25" t="s">
        <v>65</v>
      </c>
      <c r="F8" s="42"/>
    </row>
    <row r="9" spans="1:6" ht="36" x14ac:dyDescent="0.35">
      <c r="A9" s="25">
        <v>2</v>
      </c>
      <c r="B9" s="26" t="s">
        <v>3</v>
      </c>
      <c r="C9" s="25">
        <v>120</v>
      </c>
      <c r="D9" s="32">
        <v>1.5</v>
      </c>
      <c r="E9" s="25" t="s">
        <v>66</v>
      </c>
      <c r="F9" s="42"/>
    </row>
    <row r="10" spans="1:6" ht="36" x14ac:dyDescent="0.35">
      <c r="A10" s="25">
        <v>3</v>
      </c>
      <c r="B10" s="26" t="s">
        <v>19</v>
      </c>
      <c r="C10" s="25">
        <v>160</v>
      </c>
      <c r="D10" s="32">
        <v>2</v>
      </c>
      <c r="E10" s="25" t="s">
        <v>66</v>
      </c>
      <c r="F10" s="42"/>
    </row>
    <row r="11" spans="1:6" ht="54" x14ac:dyDescent="0.35">
      <c r="A11" s="25">
        <v>4</v>
      </c>
      <c r="B11" s="26" t="s">
        <v>88</v>
      </c>
      <c r="C11" s="25">
        <v>160</v>
      </c>
      <c r="D11" s="32">
        <v>2</v>
      </c>
      <c r="E11" s="25" t="s">
        <v>66</v>
      </c>
      <c r="F11" s="42"/>
    </row>
    <row r="12" spans="1:6" ht="24.75" customHeight="1" x14ac:dyDescent="0.35">
      <c r="A12" s="31" t="s">
        <v>7</v>
      </c>
      <c r="B12" s="24" t="s">
        <v>8</v>
      </c>
      <c r="C12" s="25"/>
      <c r="D12" s="32"/>
      <c r="E12" s="25"/>
      <c r="F12" s="42"/>
    </row>
    <row r="13" spans="1:6" ht="24.75" customHeight="1" x14ac:dyDescent="0.35">
      <c r="A13" s="25">
        <v>1</v>
      </c>
      <c r="B13" s="27" t="s">
        <v>9</v>
      </c>
      <c r="C13" s="25">
        <v>360</v>
      </c>
      <c r="D13" s="32">
        <v>4</v>
      </c>
      <c r="E13" s="25" t="s">
        <v>65</v>
      </c>
      <c r="F13" s="42"/>
    </row>
    <row r="14" spans="1:6" ht="24.75" customHeight="1" x14ac:dyDescent="0.35">
      <c r="A14" s="25">
        <v>2</v>
      </c>
      <c r="B14" s="27" t="s">
        <v>10</v>
      </c>
      <c r="C14" s="25">
        <v>440</v>
      </c>
      <c r="D14" s="32">
        <v>4.5</v>
      </c>
      <c r="E14" s="25" t="s">
        <v>65</v>
      </c>
      <c r="F14" s="42"/>
    </row>
    <row r="15" spans="1:6" ht="24.75" customHeight="1" x14ac:dyDescent="0.35">
      <c r="A15" s="31" t="s">
        <v>11</v>
      </c>
      <c r="B15" s="28" t="s">
        <v>116</v>
      </c>
      <c r="C15" s="25"/>
      <c r="D15" s="32"/>
      <c r="E15" s="25"/>
      <c r="F15" s="42"/>
    </row>
    <row r="16" spans="1:6" ht="24.75" customHeight="1" x14ac:dyDescent="0.35">
      <c r="A16" s="25">
        <v>1</v>
      </c>
      <c r="B16" s="27" t="s">
        <v>20</v>
      </c>
      <c r="C16" s="25">
        <v>300</v>
      </c>
      <c r="D16" s="32">
        <v>3</v>
      </c>
      <c r="E16" s="25" t="s">
        <v>65</v>
      </c>
      <c r="F16" s="42"/>
    </row>
    <row r="17" spans="1:6" ht="24.75" customHeight="1" x14ac:dyDescent="0.35">
      <c r="A17" s="25">
        <v>2</v>
      </c>
      <c r="B17" s="27" t="s">
        <v>12</v>
      </c>
      <c r="C17" s="25">
        <v>120</v>
      </c>
      <c r="D17" s="32">
        <v>1.5</v>
      </c>
      <c r="E17" s="25" t="s">
        <v>66</v>
      </c>
      <c r="F17" s="42"/>
    </row>
    <row r="18" spans="1:6" ht="24.75" customHeight="1" x14ac:dyDescent="0.35">
      <c r="A18" s="25">
        <v>3</v>
      </c>
      <c r="B18" s="27" t="s">
        <v>13</v>
      </c>
      <c r="C18" s="25">
        <v>120</v>
      </c>
      <c r="D18" s="32">
        <v>1.5</v>
      </c>
      <c r="E18" s="25" t="s">
        <v>66</v>
      </c>
      <c r="F18" s="42"/>
    </row>
    <row r="19" spans="1:6" ht="24.75" customHeight="1" x14ac:dyDescent="0.35">
      <c r="A19" s="31" t="s">
        <v>14</v>
      </c>
      <c r="B19" s="28" t="s">
        <v>15</v>
      </c>
      <c r="C19" s="25"/>
      <c r="D19" s="32"/>
      <c r="E19" s="25"/>
      <c r="F19" s="42"/>
    </row>
    <row r="20" spans="1:6" x14ac:dyDescent="0.35">
      <c r="A20" s="25">
        <v>1</v>
      </c>
      <c r="B20" s="27" t="s">
        <v>16</v>
      </c>
      <c r="C20" s="25">
        <v>360</v>
      </c>
      <c r="D20" s="32">
        <v>4</v>
      </c>
      <c r="E20" s="25" t="s">
        <v>65</v>
      </c>
      <c r="F20" s="42"/>
    </row>
    <row r="21" spans="1:6" x14ac:dyDescent="0.35">
      <c r="A21" s="25">
        <v>2</v>
      </c>
      <c r="B21" s="27" t="s">
        <v>17</v>
      </c>
      <c r="C21" s="25">
        <v>360</v>
      </c>
      <c r="D21" s="32">
        <v>4</v>
      </c>
      <c r="E21" s="25" t="s">
        <v>65</v>
      </c>
      <c r="F21" s="42"/>
    </row>
    <row r="22" spans="1:6" x14ac:dyDescent="0.35">
      <c r="A22" s="25">
        <v>3</v>
      </c>
      <c r="B22" s="26" t="s">
        <v>67</v>
      </c>
      <c r="C22" s="25">
        <v>300</v>
      </c>
      <c r="D22" s="32">
        <v>3</v>
      </c>
      <c r="E22" s="25" t="s">
        <v>65</v>
      </c>
      <c r="F22" s="42"/>
    </row>
    <row r="23" spans="1:6" ht="39" customHeight="1" x14ac:dyDescent="0.35">
      <c r="A23" s="25">
        <v>4</v>
      </c>
      <c r="B23" s="27" t="s">
        <v>68</v>
      </c>
      <c r="C23" s="25">
        <v>304</v>
      </c>
      <c r="D23" s="32">
        <v>3</v>
      </c>
      <c r="E23" s="25" t="s">
        <v>65</v>
      </c>
      <c r="F23" s="42"/>
    </row>
    <row r="24" spans="1:6" ht="40.5" customHeight="1" x14ac:dyDescent="0.35">
      <c r="A24" s="25">
        <v>5</v>
      </c>
      <c r="B24" s="27" t="s">
        <v>105</v>
      </c>
      <c r="C24" s="25">
        <v>304</v>
      </c>
      <c r="D24" s="32">
        <v>3</v>
      </c>
      <c r="E24" s="25" t="s">
        <v>65</v>
      </c>
      <c r="F24" s="42"/>
    </row>
    <row r="25" spans="1:6" ht="78" customHeight="1" x14ac:dyDescent="0.35">
      <c r="A25" s="25">
        <v>6</v>
      </c>
      <c r="B25" s="27" t="s">
        <v>69</v>
      </c>
      <c r="C25" s="25">
        <v>160</v>
      </c>
      <c r="D25" s="32">
        <v>2</v>
      </c>
      <c r="E25" s="25" t="s">
        <v>66</v>
      </c>
      <c r="F25" s="42"/>
    </row>
    <row r="26" spans="1:6" ht="54" x14ac:dyDescent="0.35">
      <c r="A26" s="25">
        <v>7</v>
      </c>
      <c r="B26" s="27" t="s">
        <v>21</v>
      </c>
      <c r="C26" s="25">
        <v>160</v>
      </c>
      <c r="D26" s="32">
        <v>2</v>
      </c>
      <c r="E26" s="25" t="s">
        <v>66</v>
      </c>
      <c r="F26" s="42"/>
    </row>
    <row r="27" spans="1:6" ht="72" x14ac:dyDescent="0.35">
      <c r="A27" s="25">
        <v>8</v>
      </c>
      <c r="B27" s="27" t="s">
        <v>22</v>
      </c>
      <c r="C27" s="25">
        <v>160</v>
      </c>
      <c r="D27" s="32">
        <v>2</v>
      </c>
      <c r="E27" s="25" t="s">
        <v>66</v>
      </c>
      <c r="F27" s="42"/>
    </row>
    <row r="28" spans="1:6" ht="36" x14ac:dyDescent="0.35">
      <c r="A28" s="25">
        <v>9</v>
      </c>
      <c r="B28" s="27" t="s">
        <v>23</v>
      </c>
      <c r="C28" s="25">
        <v>160</v>
      </c>
      <c r="D28" s="32">
        <v>2</v>
      </c>
      <c r="E28" s="25" t="s">
        <v>66</v>
      </c>
      <c r="F28" s="42"/>
    </row>
    <row r="29" spans="1:6" ht="36" customHeight="1" x14ac:dyDescent="0.35">
      <c r="A29" s="25">
        <v>10</v>
      </c>
      <c r="B29" s="27" t="s">
        <v>24</v>
      </c>
      <c r="C29" s="25">
        <v>120</v>
      </c>
      <c r="D29" s="32">
        <v>1.5</v>
      </c>
      <c r="E29" s="25" t="s">
        <v>66</v>
      </c>
      <c r="F29" s="42"/>
    </row>
    <row r="30" spans="1:6" ht="50.25" customHeight="1" x14ac:dyDescent="0.35">
      <c r="A30" s="25">
        <v>11</v>
      </c>
      <c r="B30" s="27" t="s">
        <v>25</v>
      </c>
      <c r="C30" s="25">
        <v>120</v>
      </c>
      <c r="D30" s="32">
        <v>1.5</v>
      </c>
      <c r="E30" s="25" t="s">
        <v>66</v>
      </c>
      <c r="F30" s="42"/>
    </row>
    <row r="31" spans="1:6" ht="30.75" customHeight="1" x14ac:dyDescent="0.35">
      <c r="A31" s="25">
        <v>12</v>
      </c>
      <c r="B31" s="27" t="s">
        <v>26</v>
      </c>
      <c r="C31" s="25">
        <v>240</v>
      </c>
      <c r="D31" s="32">
        <v>2</v>
      </c>
      <c r="E31" s="25" t="s">
        <v>66</v>
      </c>
      <c r="F31" s="42"/>
    </row>
    <row r="32" spans="1:6" ht="30.75" customHeight="1" x14ac:dyDescent="0.35">
      <c r="A32" s="16">
        <v>13</v>
      </c>
      <c r="B32" s="27" t="s">
        <v>87</v>
      </c>
      <c r="C32" s="25">
        <v>120</v>
      </c>
      <c r="D32" s="32">
        <v>2</v>
      </c>
      <c r="E32" s="25" t="s">
        <v>66</v>
      </c>
      <c r="F32" s="42"/>
    </row>
    <row r="33" spans="1:6" ht="34.5" customHeight="1" x14ac:dyDescent="0.35">
      <c r="A33" s="31" t="s">
        <v>27</v>
      </c>
      <c r="B33" s="28" t="s">
        <v>28</v>
      </c>
      <c r="C33" s="25"/>
      <c r="D33" s="32"/>
      <c r="E33" s="25"/>
      <c r="F33" s="42"/>
    </row>
    <row r="34" spans="1:6" ht="36.75" customHeight="1" x14ac:dyDescent="0.35">
      <c r="A34" s="25">
        <v>1</v>
      </c>
      <c r="B34" s="27" t="s">
        <v>29</v>
      </c>
      <c r="C34" s="25">
        <v>150</v>
      </c>
      <c r="D34" s="32">
        <v>1.5</v>
      </c>
      <c r="E34" s="25" t="s">
        <v>66</v>
      </c>
      <c r="F34" s="42"/>
    </row>
    <row r="35" spans="1:6" ht="30.75" customHeight="1" x14ac:dyDescent="0.35">
      <c r="A35" s="25">
        <v>2</v>
      </c>
      <c r="B35" s="27" t="s">
        <v>30</v>
      </c>
      <c r="C35" s="25">
        <v>150</v>
      </c>
      <c r="D35" s="32">
        <v>1.5</v>
      </c>
      <c r="E35" s="25" t="s">
        <v>66</v>
      </c>
      <c r="F35" s="42"/>
    </row>
    <row r="36" spans="1:6" x14ac:dyDescent="0.35">
      <c r="A36" s="31" t="s">
        <v>32</v>
      </c>
      <c r="B36" s="28" t="s">
        <v>31</v>
      </c>
      <c r="C36" s="25"/>
      <c r="D36" s="32"/>
      <c r="E36" s="25"/>
      <c r="F36" s="42"/>
    </row>
    <row r="37" spans="1:6" x14ac:dyDescent="0.35">
      <c r="A37" s="25">
        <v>1</v>
      </c>
      <c r="B37" s="29" t="s">
        <v>70</v>
      </c>
      <c r="C37" s="16">
        <v>352</v>
      </c>
      <c r="D37" s="32">
        <v>4</v>
      </c>
      <c r="E37" s="25" t="s">
        <v>65</v>
      </c>
      <c r="F37" s="42"/>
    </row>
    <row r="38" spans="1:6" x14ac:dyDescent="0.35">
      <c r="A38" s="31" t="s">
        <v>33</v>
      </c>
      <c r="B38" s="28" t="s">
        <v>34</v>
      </c>
      <c r="C38" s="25"/>
      <c r="D38" s="32"/>
      <c r="E38" s="25"/>
      <c r="F38" s="42"/>
    </row>
    <row r="39" spans="1:6" x14ac:dyDescent="0.35">
      <c r="A39" s="25">
        <v>1</v>
      </c>
      <c r="B39" s="27" t="s">
        <v>71</v>
      </c>
      <c r="C39" s="25">
        <v>311</v>
      </c>
      <c r="D39" s="32">
        <v>3</v>
      </c>
      <c r="E39" s="25" t="s">
        <v>65</v>
      </c>
      <c r="F39" s="42"/>
    </row>
    <row r="40" spans="1:6" ht="29.25" customHeight="1" x14ac:dyDescent="0.35">
      <c r="A40" s="31" t="s">
        <v>35</v>
      </c>
      <c r="B40" s="28" t="s">
        <v>36</v>
      </c>
      <c r="C40" s="25"/>
      <c r="D40" s="32"/>
      <c r="E40" s="25"/>
      <c r="F40" s="42"/>
    </row>
    <row r="41" spans="1:6" ht="39" customHeight="1" x14ac:dyDescent="0.35">
      <c r="A41" s="25">
        <v>1</v>
      </c>
      <c r="B41" s="27" t="s">
        <v>72</v>
      </c>
      <c r="C41" s="25">
        <v>320</v>
      </c>
      <c r="D41" s="32">
        <v>3</v>
      </c>
      <c r="E41" s="25" t="s">
        <v>65</v>
      </c>
      <c r="F41" s="42"/>
    </row>
    <row r="42" spans="1:6" ht="54" x14ac:dyDescent="0.35">
      <c r="A42" s="25">
        <v>2</v>
      </c>
      <c r="B42" s="26" t="s">
        <v>37</v>
      </c>
      <c r="C42" s="25">
        <v>120</v>
      </c>
      <c r="D42" s="32">
        <v>1.5</v>
      </c>
      <c r="E42" s="25" t="s">
        <v>66</v>
      </c>
      <c r="F42" s="42"/>
    </row>
    <row r="43" spans="1:6" ht="63" customHeight="1" x14ac:dyDescent="0.35">
      <c r="A43" s="25">
        <v>3</v>
      </c>
      <c r="B43" s="26" t="s">
        <v>38</v>
      </c>
      <c r="C43" s="25">
        <v>180</v>
      </c>
      <c r="D43" s="32">
        <v>2</v>
      </c>
      <c r="E43" s="25" t="s">
        <v>66</v>
      </c>
      <c r="F43" s="42"/>
    </row>
    <row r="44" spans="1:6" ht="43.5" customHeight="1" x14ac:dyDescent="0.35">
      <c r="A44" s="25">
        <v>4</v>
      </c>
      <c r="B44" s="27" t="s">
        <v>73</v>
      </c>
      <c r="C44" s="25">
        <v>180</v>
      </c>
      <c r="D44" s="32">
        <v>2</v>
      </c>
      <c r="E44" s="25" t="s">
        <v>66</v>
      </c>
      <c r="F44" s="42"/>
    </row>
    <row r="45" spans="1:6" ht="35.25" customHeight="1" x14ac:dyDescent="0.35">
      <c r="A45" s="25">
        <v>5</v>
      </c>
      <c r="B45" s="27" t="s">
        <v>39</v>
      </c>
      <c r="C45" s="25">
        <v>180</v>
      </c>
      <c r="D45" s="32">
        <v>2</v>
      </c>
      <c r="E45" s="25" t="s">
        <v>66</v>
      </c>
      <c r="F45" s="42"/>
    </row>
    <row r="46" spans="1:6" ht="36" x14ac:dyDescent="0.35">
      <c r="A46" s="25">
        <v>6</v>
      </c>
      <c r="B46" s="27" t="s">
        <v>40</v>
      </c>
      <c r="C46" s="25">
        <v>120</v>
      </c>
      <c r="D46" s="32">
        <v>1.5</v>
      </c>
      <c r="E46" s="25" t="s">
        <v>66</v>
      </c>
      <c r="F46" s="42"/>
    </row>
    <row r="47" spans="1:6" customFormat="1" x14ac:dyDescent="0.3">
      <c r="A47" s="33">
        <v>7</v>
      </c>
      <c r="B47" s="27" t="s">
        <v>80</v>
      </c>
      <c r="C47" s="25">
        <v>300</v>
      </c>
      <c r="D47" s="32">
        <v>3</v>
      </c>
      <c r="E47" s="25" t="s">
        <v>65</v>
      </c>
      <c r="F47" s="43"/>
    </row>
    <row r="48" spans="1:6" ht="33.75" customHeight="1" x14ac:dyDescent="0.35">
      <c r="A48" s="31" t="s">
        <v>41</v>
      </c>
      <c r="B48" s="28" t="s">
        <v>42</v>
      </c>
      <c r="C48" s="25"/>
      <c r="D48" s="32"/>
      <c r="E48" s="25"/>
      <c r="F48" s="42"/>
    </row>
    <row r="49" spans="1:6" x14ac:dyDescent="0.35">
      <c r="A49" s="25">
        <v>1</v>
      </c>
      <c r="B49" s="27" t="s">
        <v>43</v>
      </c>
      <c r="C49" s="25">
        <v>300</v>
      </c>
      <c r="D49" s="32">
        <v>3</v>
      </c>
      <c r="E49" s="25" t="s">
        <v>65</v>
      </c>
      <c r="F49" s="42"/>
    </row>
    <row r="50" spans="1:6" x14ac:dyDescent="0.35">
      <c r="A50" s="25">
        <v>2</v>
      </c>
      <c r="B50" s="27" t="s">
        <v>44</v>
      </c>
      <c r="C50" s="25">
        <v>300</v>
      </c>
      <c r="D50" s="32">
        <v>3</v>
      </c>
      <c r="E50" s="25" t="s">
        <v>65</v>
      </c>
      <c r="F50" s="42"/>
    </row>
    <row r="51" spans="1:6" ht="36" x14ac:dyDescent="0.35">
      <c r="A51" s="25">
        <v>3</v>
      </c>
      <c r="B51" s="27" t="s">
        <v>45</v>
      </c>
      <c r="C51" s="25">
        <v>180</v>
      </c>
      <c r="D51" s="32">
        <v>2</v>
      </c>
      <c r="E51" s="25" t="s">
        <v>66</v>
      </c>
      <c r="F51" s="42"/>
    </row>
    <row r="52" spans="1:6" ht="31.5" customHeight="1" x14ac:dyDescent="0.35">
      <c r="A52" s="25">
        <v>4</v>
      </c>
      <c r="B52" s="27" t="s">
        <v>46</v>
      </c>
      <c r="C52" s="25">
        <v>160</v>
      </c>
      <c r="D52" s="32">
        <v>1.5</v>
      </c>
      <c r="E52" s="25" t="s">
        <v>66</v>
      </c>
      <c r="F52" s="42"/>
    </row>
    <row r="53" spans="1:6" ht="25.5" customHeight="1" x14ac:dyDescent="0.35">
      <c r="A53" s="31" t="s">
        <v>47</v>
      </c>
      <c r="B53" s="28" t="s">
        <v>48</v>
      </c>
      <c r="C53" s="25"/>
      <c r="D53" s="32"/>
      <c r="E53" s="25"/>
      <c r="F53" s="42"/>
    </row>
    <row r="54" spans="1:6" x14ac:dyDescent="0.35">
      <c r="A54" s="25">
        <v>1</v>
      </c>
      <c r="B54" s="27" t="s">
        <v>49</v>
      </c>
      <c r="C54" s="25">
        <v>360</v>
      </c>
      <c r="D54" s="32">
        <v>3.5</v>
      </c>
      <c r="E54" s="25" t="s">
        <v>65</v>
      </c>
      <c r="F54" s="42"/>
    </row>
    <row r="55" spans="1:6" ht="45" customHeight="1" x14ac:dyDescent="0.35">
      <c r="A55" s="25">
        <v>2</v>
      </c>
      <c r="B55" s="27" t="s">
        <v>50</v>
      </c>
      <c r="C55" s="25">
        <v>160</v>
      </c>
      <c r="D55" s="32">
        <v>1.5</v>
      </c>
      <c r="E55" s="25" t="s">
        <v>66</v>
      </c>
      <c r="F55" s="42"/>
    </row>
    <row r="56" spans="1:6" ht="41.25" customHeight="1" x14ac:dyDescent="0.35">
      <c r="A56" s="25">
        <v>3</v>
      </c>
      <c r="B56" s="27" t="s">
        <v>117</v>
      </c>
      <c r="C56" s="25">
        <v>160</v>
      </c>
      <c r="D56" s="32">
        <v>1.5</v>
      </c>
      <c r="E56" s="25" t="s">
        <v>66</v>
      </c>
      <c r="F56" s="42"/>
    </row>
    <row r="57" spans="1:6" ht="25.5" customHeight="1" x14ac:dyDescent="0.35">
      <c r="A57" s="31" t="s">
        <v>51</v>
      </c>
      <c r="B57" s="28" t="s">
        <v>52</v>
      </c>
      <c r="C57" s="25"/>
      <c r="D57" s="32"/>
      <c r="E57" s="25"/>
      <c r="F57" s="42"/>
    </row>
    <row r="58" spans="1:6" ht="25.5" customHeight="1" x14ac:dyDescent="0.35">
      <c r="A58" s="25">
        <v>1</v>
      </c>
      <c r="B58" s="27" t="s">
        <v>53</v>
      </c>
      <c r="C58" s="25">
        <v>360</v>
      </c>
      <c r="D58" s="32">
        <v>3.5</v>
      </c>
      <c r="E58" s="25" t="s">
        <v>65</v>
      </c>
      <c r="F58" s="42"/>
    </row>
    <row r="59" spans="1:6" ht="25.5" customHeight="1" x14ac:dyDescent="0.35">
      <c r="A59" s="5">
        <v>2</v>
      </c>
      <c r="B59" s="27" t="s">
        <v>54</v>
      </c>
      <c r="C59" s="25">
        <v>360</v>
      </c>
      <c r="D59" s="32">
        <v>3.5</v>
      </c>
      <c r="E59" s="25" t="s">
        <v>65</v>
      </c>
      <c r="F59" s="42"/>
    </row>
    <row r="60" spans="1:6" ht="25.5" customHeight="1" x14ac:dyDescent="0.35">
      <c r="A60" s="25">
        <v>3</v>
      </c>
      <c r="B60" s="27" t="s">
        <v>55</v>
      </c>
      <c r="C60" s="25">
        <v>160</v>
      </c>
      <c r="D60" s="32">
        <v>1.5</v>
      </c>
      <c r="E60" s="25" t="s">
        <v>66</v>
      </c>
      <c r="F60" s="42"/>
    </row>
    <row r="61" spans="1:6" ht="25.5" customHeight="1" x14ac:dyDescent="0.35">
      <c r="A61" s="5">
        <v>4</v>
      </c>
      <c r="B61" s="27" t="s">
        <v>56</v>
      </c>
      <c r="C61" s="25">
        <v>300</v>
      </c>
      <c r="D61" s="32">
        <v>3</v>
      </c>
      <c r="E61" s="25" t="s">
        <v>65</v>
      </c>
      <c r="F61" s="42"/>
    </row>
    <row r="62" spans="1:6" ht="25.5" customHeight="1" x14ac:dyDescent="0.35">
      <c r="A62" s="25">
        <v>5</v>
      </c>
      <c r="B62" s="27" t="s">
        <v>57</v>
      </c>
      <c r="C62" s="25">
        <v>300</v>
      </c>
      <c r="D62" s="32">
        <v>3</v>
      </c>
      <c r="E62" s="25" t="s">
        <v>65</v>
      </c>
      <c r="F62" s="42"/>
    </row>
    <row r="63" spans="1:6" ht="25.5" customHeight="1" x14ac:dyDescent="0.35">
      <c r="A63" s="5">
        <v>6</v>
      </c>
      <c r="B63" s="27" t="s">
        <v>58</v>
      </c>
      <c r="C63" s="25">
        <v>300</v>
      </c>
      <c r="D63" s="32">
        <v>3</v>
      </c>
      <c r="E63" s="25" t="s">
        <v>65</v>
      </c>
      <c r="F63" s="42"/>
    </row>
    <row r="64" spans="1:6" ht="25.5" customHeight="1" x14ac:dyDescent="0.35">
      <c r="A64" s="25">
        <v>7</v>
      </c>
      <c r="B64" s="27" t="s">
        <v>82</v>
      </c>
      <c r="C64" s="25">
        <v>300</v>
      </c>
      <c r="D64" s="32">
        <v>3</v>
      </c>
      <c r="E64" s="25" t="s">
        <v>65</v>
      </c>
      <c r="F64" s="42"/>
    </row>
    <row r="65" spans="1:6" ht="25.5" customHeight="1" x14ac:dyDescent="0.35">
      <c r="A65" s="5">
        <v>8</v>
      </c>
      <c r="B65" s="27" t="s">
        <v>5</v>
      </c>
      <c r="C65" s="5">
        <v>300</v>
      </c>
      <c r="D65" s="32">
        <v>3</v>
      </c>
      <c r="E65" s="25" t="s">
        <v>65</v>
      </c>
      <c r="F65" s="44"/>
    </row>
    <row r="66" spans="1:6" ht="25.5" customHeight="1" x14ac:dyDescent="0.35">
      <c r="A66" s="25">
        <v>9</v>
      </c>
      <c r="B66" s="27" t="s">
        <v>60</v>
      </c>
      <c r="C66" s="5">
        <v>280</v>
      </c>
      <c r="D66" s="32">
        <v>2.5</v>
      </c>
      <c r="E66" s="6" t="s">
        <v>66</v>
      </c>
      <c r="F66" s="44"/>
    </row>
    <row r="67" spans="1:6" ht="25.5" customHeight="1" x14ac:dyDescent="0.35">
      <c r="A67" s="5">
        <v>10</v>
      </c>
      <c r="B67" s="27" t="s">
        <v>74</v>
      </c>
      <c r="C67" s="5">
        <v>160</v>
      </c>
      <c r="D67" s="32">
        <v>1.5</v>
      </c>
      <c r="E67" s="6" t="s">
        <v>66</v>
      </c>
      <c r="F67" s="44"/>
    </row>
    <row r="68" spans="1:6" ht="25.5" customHeight="1" x14ac:dyDescent="0.35">
      <c r="A68" s="25">
        <v>11</v>
      </c>
      <c r="B68" s="27" t="s">
        <v>61</v>
      </c>
      <c r="C68" s="5">
        <v>160</v>
      </c>
      <c r="D68" s="32">
        <v>1.5</v>
      </c>
      <c r="E68" s="6" t="s">
        <v>66</v>
      </c>
      <c r="F68" s="44"/>
    </row>
    <row r="69" spans="1:6" ht="24" customHeight="1" x14ac:dyDescent="0.35">
      <c r="A69" s="5">
        <v>12</v>
      </c>
      <c r="B69" s="27" t="s">
        <v>62</v>
      </c>
      <c r="C69" s="5">
        <v>300</v>
      </c>
      <c r="D69" s="32">
        <v>3</v>
      </c>
      <c r="E69" s="6" t="s">
        <v>65</v>
      </c>
      <c r="F69" s="44"/>
    </row>
    <row r="70" spans="1:6" s="11" customFormat="1" ht="24" customHeight="1" x14ac:dyDescent="0.3">
      <c r="A70" s="8" t="s">
        <v>63</v>
      </c>
      <c r="B70" s="28" t="s">
        <v>64</v>
      </c>
      <c r="C70" s="8"/>
      <c r="D70" s="32"/>
      <c r="E70" s="9"/>
      <c r="F70" s="45"/>
    </row>
    <row r="71" spans="1:6" ht="54" x14ac:dyDescent="0.35">
      <c r="A71" s="6">
        <v>1</v>
      </c>
      <c r="B71" s="27" t="s">
        <v>106</v>
      </c>
      <c r="C71" s="6">
        <v>120</v>
      </c>
      <c r="D71" s="32">
        <v>1.5</v>
      </c>
      <c r="E71" s="6" t="s">
        <v>66</v>
      </c>
      <c r="F71" s="44"/>
    </row>
    <row r="72" spans="1:6" ht="24.75" customHeight="1" x14ac:dyDescent="0.35">
      <c r="A72" s="5">
        <v>2</v>
      </c>
      <c r="B72" s="27" t="s">
        <v>100</v>
      </c>
      <c r="C72" s="5">
        <v>120</v>
      </c>
      <c r="D72" s="32">
        <v>1.5</v>
      </c>
      <c r="E72" s="6" t="s">
        <v>66</v>
      </c>
      <c r="F72" s="44"/>
    </row>
    <row r="73" spans="1:6" ht="26.25" customHeight="1" x14ac:dyDescent="0.35">
      <c r="A73" s="5">
        <v>3</v>
      </c>
      <c r="B73" s="27" t="s">
        <v>107</v>
      </c>
      <c r="C73" s="5">
        <v>120</v>
      </c>
      <c r="D73" s="32">
        <v>1.5</v>
      </c>
      <c r="E73" s="6" t="s">
        <v>66</v>
      </c>
      <c r="F73" s="44"/>
    </row>
    <row r="74" spans="1:6" x14ac:dyDescent="0.35">
      <c r="A74" s="5">
        <v>4</v>
      </c>
      <c r="B74" s="29" t="s">
        <v>83</v>
      </c>
      <c r="C74" s="5">
        <v>120</v>
      </c>
      <c r="D74" s="32">
        <v>1.5</v>
      </c>
      <c r="E74" s="6" t="s">
        <v>66</v>
      </c>
      <c r="F74" s="44"/>
    </row>
    <row r="75" spans="1:6" x14ac:dyDescent="0.35">
      <c r="A75" s="5">
        <v>5</v>
      </c>
      <c r="B75" s="29" t="s">
        <v>101</v>
      </c>
      <c r="C75" s="5">
        <v>120</v>
      </c>
      <c r="D75" s="32">
        <v>1.5</v>
      </c>
      <c r="E75" s="6" t="s">
        <v>66</v>
      </c>
      <c r="F75" s="44"/>
    </row>
    <row r="76" spans="1:6" x14ac:dyDescent="0.35">
      <c r="A76" s="5">
        <v>6</v>
      </c>
      <c r="B76" s="29" t="s">
        <v>102</v>
      </c>
      <c r="C76" s="5">
        <v>120</v>
      </c>
      <c r="D76" s="32">
        <v>1.5</v>
      </c>
      <c r="E76" s="6" t="s">
        <v>66</v>
      </c>
      <c r="F76" s="44"/>
    </row>
    <row r="77" spans="1:6" s="11" customFormat="1" ht="27" customHeight="1" x14ac:dyDescent="0.3">
      <c r="A77" s="8" t="s">
        <v>84</v>
      </c>
      <c r="B77" s="10" t="s">
        <v>85</v>
      </c>
      <c r="C77" s="8"/>
      <c r="D77" s="22"/>
      <c r="E77" s="9"/>
      <c r="F77" s="45"/>
    </row>
    <row r="78" spans="1:6" ht="27" customHeight="1" x14ac:dyDescent="0.35">
      <c r="A78" s="5">
        <v>1</v>
      </c>
      <c r="B78" s="7" t="s">
        <v>86</v>
      </c>
      <c r="C78" s="5">
        <v>315</v>
      </c>
      <c r="D78" s="21">
        <v>3</v>
      </c>
      <c r="E78" s="6" t="s">
        <v>65</v>
      </c>
      <c r="F78" s="44"/>
    </row>
    <row r="79" spans="1:6" x14ac:dyDescent="0.35">
      <c r="F79" s="44"/>
    </row>
    <row r="80" spans="1:6" x14ac:dyDescent="0.35">
      <c r="A80" s="3"/>
      <c r="B80" s="11" t="s">
        <v>113</v>
      </c>
      <c r="C80" s="11"/>
    </row>
    <row r="81" spans="1:4" x14ac:dyDescent="0.35">
      <c r="A81" s="38"/>
      <c r="B81" s="38" t="s">
        <v>108</v>
      </c>
      <c r="C81" s="37"/>
    </row>
    <row r="82" spans="1:4" x14ac:dyDescent="0.35">
      <c r="A82" s="34"/>
      <c r="B82" s="35" t="s">
        <v>114</v>
      </c>
      <c r="C82" s="3"/>
    </row>
    <row r="83" spans="1:4" x14ac:dyDescent="0.35">
      <c r="B83" s="35" t="s">
        <v>90</v>
      </c>
      <c r="C83" s="3"/>
    </row>
    <row r="84" spans="1:4" x14ac:dyDescent="0.35">
      <c r="B84" s="36" t="s">
        <v>115</v>
      </c>
      <c r="C84" s="3"/>
    </row>
    <row r="85" spans="1:4" x14ac:dyDescent="0.35">
      <c r="B85" s="36" t="s">
        <v>91</v>
      </c>
      <c r="C85" s="3"/>
    </row>
    <row r="86" spans="1:4" x14ac:dyDescent="0.35">
      <c r="B86" s="3" t="s">
        <v>92</v>
      </c>
      <c r="C86" s="3"/>
    </row>
    <row r="87" spans="1:4" x14ac:dyDescent="0.35">
      <c r="B87" s="3" t="s">
        <v>93</v>
      </c>
      <c r="C87" s="3"/>
      <c r="D87" s="3"/>
    </row>
    <row r="88" spans="1:4" x14ac:dyDescent="0.35">
      <c r="B88" s="3" t="s">
        <v>94</v>
      </c>
      <c r="C88" s="3"/>
    </row>
    <row r="89" spans="1:4" x14ac:dyDescent="0.35">
      <c r="B89" s="3" t="s">
        <v>95</v>
      </c>
    </row>
    <row r="90" spans="1:4" x14ac:dyDescent="0.35">
      <c r="B90" s="3" t="s">
        <v>96</v>
      </c>
    </row>
    <row r="91" spans="1:4" x14ac:dyDescent="0.35">
      <c r="B91" s="3" t="s">
        <v>97</v>
      </c>
    </row>
    <row r="92" spans="1:4" x14ac:dyDescent="0.35">
      <c r="B92" s="3" t="s">
        <v>104</v>
      </c>
    </row>
    <row r="93" spans="1:4" x14ac:dyDescent="0.35">
      <c r="B93" s="3" t="s">
        <v>103</v>
      </c>
    </row>
    <row r="94" spans="1:4" x14ac:dyDescent="0.35">
      <c r="B94" s="3" t="s">
        <v>98</v>
      </c>
    </row>
  </sheetData>
  <mergeCells count="8">
    <mergeCell ref="F5:F6"/>
    <mergeCell ref="A1:E1"/>
    <mergeCell ref="A2:E2"/>
    <mergeCell ref="A3:E3"/>
    <mergeCell ref="C5:D5"/>
    <mergeCell ref="A5:A6"/>
    <mergeCell ref="B5:B6"/>
    <mergeCell ref="E5:E6"/>
  </mergeCells>
  <printOptions horizontalCentered="1"/>
  <pageMargins left="0.1" right="0.1" top="0.5" bottom="0.5" header="0.3" footer="0.3"/>
  <pageSetup paperSize="9" scale="70" fitToHeight="0" orientation="portrait" r:id="rId1"/>
  <headerFooter differentFirst="1">
    <oddHeader>&amp;C&amp;P</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84"/>
  <sheetViews>
    <sheetView tabSelected="1" zoomScale="75" zoomScaleNormal="75" workbookViewId="0">
      <selection activeCell="H72" sqref="H72"/>
    </sheetView>
  </sheetViews>
  <sheetFormatPr defaultColWidth="9" defaultRowHeight="14.4" x14ac:dyDescent="0.3"/>
  <cols>
    <col min="1" max="1" width="6.44140625" style="15" customWidth="1"/>
    <col min="2" max="2" width="65.6640625" customWidth="1"/>
    <col min="3" max="3" width="11.109375" customWidth="1"/>
    <col min="4" max="4" width="18.109375" customWidth="1"/>
    <col min="5" max="5" width="12" customWidth="1"/>
    <col min="6" max="6" width="12.77734375" customWidth="1"/>
    <col min="7" max="7" width="12.6640625" customWidth="1"/>
    <col min="8" max="8" width="14" customWidth="1"/>
    <col min="9" max="9" width="12.77734375" customWidth="1"/>
  </cols>
  <sheetData>
    <row r="1" spans="1:11" ht="21.75" customHeight="1" x14ac:dyDescent="0.3">
      <c r="A1" s="96" t="s">
        <v>118</v>
      </c>
      <c r="B1" s="96"/>
      <c r="C1" s="96"/>
      <c r="D1" s="96"/>
      <c r="E1" s="96"/>
      <c r="F1" s="96"/>
      <c r="G1" s="96"/>
      <c r="H1" s="96"/>
      <c r="I1" s="96"/>
      <c r="J1" s="46"/>
    </row>
    <row r="2" spans="1:11" s="17" customFormat="1" ht="37.5" customHeight="1" x14ac:dyDescent="0.3">
      <c r="A2" s="97" t="s">
        <v>79</v>
      </c>
      <c r="B2" s="97"/>
      <c r="C2" s="97"/>
      <c r="D2" s="97"/>
      <c r="E2" s="97"/>
      <c r="F2" s="97"/>
      <c r="G2" s="97"/>
      <c r="H2" s="97"/>
      <c r="I2" s="97"/>
      <c r="J2" s="47"/>
    </row>
    <row r="3" spans="1:11" ht="21" customHeight="1" x14ac:dyDescent="0.3">
      <c r="A3" s="98" t="s">
        <v>110</v>
      </c>
      <c r="B3" s="98"/>
      <c r="C3" s="98"/>
      <c r="D3" s="98"/>
      <c r="E3" s="98"/>
      <c r="F3" s="98"/>
      <c r="G3" s="98"/>
      <c r="H3" s="98"/>
      <c r="I3" s="98"/>
      <c r="J3" s="48"/>
    </row>
    <row r="4" spans="1:11" ht="14.25" customHeight="1" x14ac:dyDescent="0.3">
      <c r="A4" s="14"/>
      <c r="B4" s="13"/>
      <c r="C4" s="13"/>
      <c r="D4" s="13"/>
      <c r="E4" s="13"/>
      <c r="F4" s="13"/>
      <c r="G4" s="13"/>
      <c r="H4" s="13"/>
      <c r="I4" s="13"/>
      <c r="J4" s="51"/>
    </row>
    <row r="5" spans="1:11" s="1" customFormat="1" ht="30.75" customHeight="1" x14ac:dyDescent="0.3">
      <c r="A5" s="99" t="s">
        <v>0</v>
      </c>
      <c r="B5" s="99" t="s">
        <v>1</v>
      </c>
      <c r="C5" s="99" t="s">
        <v>76</v>
      </c>
      <c r="D5" s="99"/>
      <c r="E5" s="100" t="s">
        <v>2</v>
      </c>
      <c r="F5" s="101"/>
      <c r="G5" s="101"/>
      <c r="H5" s="101"/>
      <c r="I5" s="102"/>
      <c r="J5" s="95"/>
    </row>
    <row r="6" spans="1:11" s="2" customFormat="1" ht="54.75" customHeight="1" x14ac:dyDescent="0.3">
      <c r="A6" s="99"/>
      <c r="B6" s="99"/>
      <c r="C6" s="56" t="s">
        <v>81</v>
      </c>
      <c r="D6" s="57" t="s">
        <v>112</v>
      </c>
      <c r="E6" s="58" t="s">
        <v>119</v>
      </c>
      <c r="F6" s="58" t="s">
        <v>120</v>
      </c>
      <c r="G6" s="58" t="s">
        <v>121</v>
      </c>
      <c r="H6" s="58" t="s">
        <v>122</v>
      </c>
      <c r="I6" s="58" t="s">
        <v>123</v>
      </c>
      <c r="J6" s="95"/>
    </row>
    <row r="7" spans="1:11" ht="27.75" customHeight="1" x14ac:dyDescent="0.35">
      <c r="A7" s="59" t="s">
        <v>4</v>
      </c>
      <c r="B7" s="60" t="s">
        <v>18</v>
      </c>
      <c r="C7" s="61"/>
      <c r="D7" s="61"/>
      <c r="E7" s="62"/>
      <c r="F7" s="62"/>
      <c r="G7" s="62"/>
      <c r="H7" s="62"/>
      <c r="I7" s="62"/>
      <c r="J7" s="44"/>
    </row>
    <row r="8" spans="1:11" ht="18" x14ac:dyDescent="0.35">
      <c r="A8" s="63">
        <v>1</v>
      </c>
      <c r="B8" s="64" t="s">
        <v>6</v>
      </c>
      <c r="C8" s="61">
        <f>'Phụ lục 01'!C8</f>
        <v>480</v>
      </c>
      <c r="D8" s="65">
        <f>'Phụ lục 01'!D8</f>
        <v>4</v>
      </c>
      <c r="E8" s="66">
        <v>4800000</v>
      </c>
      <c r="F8" s="55">
        <v>3380000</v>
      </c>
      <c r="G8" s="55">
        <v>2535000</v>
      </c>
      <c r="H8" s="55">
        <v>2112500</v>
      </c>
      <c r="I8" s="55">
        <v>1690000</v>
      </c>
      <c r="J8" s="44"/>
    </row>
    <row r="9" spans="1:11" ht="25.5" customHeight="1" x14ac:dyDescent="0.35">
      <c r="A9" s="63">
        <v>2</v>
      </c>
      <c r="B9" s="64" t="s">
        <v>3</v>
      </c>
      <c r="C9" s="61">
        <f>'Phụ lục 01'!C9</f>
        <v>120</v>
      </c>
      <c r="D9" s="65">
        <f>'Phụ lục 01'!D9</f>
        <v>1.5</v>
      </c>
      <c r="E9" s="66">
        <v>4800000</v>
      </c>
      <c r="F9" s="55">
        <v>2514000</v>
      </c>
      <c r="G9" s="55">
        <v>1885500</v>
      </c>
      <c r="H9" s="55">
        <v>1571250</v>
      </c>
      <c r="I9" s="55">
        <v>1257000</v>
      </c>
      <c r="J9" s="44"/>
    </row>
    <row r="10" spans="1:11" ht="45" customHeight="1" x14ac:dyDescent="0.35">
      <c r="A10" s="63">
        <v>3</v>
      </c>
      <c r="B10" s="64" t="s">
        <v>19</v>
      </c>
      <c r="C10" s="61">
        <f>'Phụ lục 01'!C10</f>
        <v>160</v>
      </c>
      <c r="D10" s="65">
        <f>'Phụ lục 01'!D10</f>
        <v>2</v>
      </c>
      <c r="E10" s="66">
        <v>4800000</v>
      </c>
      <c r="F10" s="55">
        <v>2760000</v>
      </c>
      <c r="G10" s="55">
        <v>2070000</v>
      </c>
      <c r="H10" s="55">
        <v>1725000</v>
      </c>
      <c r="I10" s="55">
        <v>1380000</v>
      </c>
      <c r="J10" s="44"/>
    </row>
    <row r="11" spans="1:11" ht="69" customHeight="1" x14ac:dyDescent="0.35">
      <c r="A11" s="63">
        <v>4</v>
      </c>
      <c r="B11" s="64" t="s">
        <v>89</v>
      </c>
      <c r="C11" s="61">
        <f>'Phụ lục 01'!C11</f>
        <v>160</v>
      </c>
      <c r="D11" s="65">
        <f>'Phụ lục 01'!D11</f>
        <v>2</v>
      </c>
      <c r="E11" s="66">
        <v>4800000</v>
      </c>
      <c r="F11" s="55">
        <v>3338000</v>
      </c>
      <c r="G11" s="55">
        <v>2503500</v>
      </c>
      <c r="H11" s="55">
        <v>2086250</v>
      </c>
      <c r="I11" s="55">
        <v>1669000</v>
      </c>
      <c r="J11" s="44"/>
      <c r="K11" s="49"/>
    </row>
    <row r="12" spans="1:11" ht="18" x14ac:dyDescent="0.35">
      <c r="A12" s="59" t="s">
        <v>7</v>
      </c>
      <c r="B12" s="60" t="s">
        <v>8</v>
      </c>
      <c r="C12" s="61"/>
      <c r="D12" s="65"/>
      <c r="E12" s="66"/>
      <c r="F12" s="67"/>
      <c r="G12" s="67"/>
      <c r="H12" s="67"/>
      <c r="I12" s="67"/>
      <c r="J12" s="44"/>
    </row>
    <row r="13" spans="1:11" ht="18" x14ac:dyDescent="0.35">
      <c r="A13" s="63">
        <v>1</v>
      </c>
      <c r="B13" s="68" t="s">
        <v>9</v>
      </c>
      <c r="C13" s="61">
        <f>'Phụ lục 01'!C13</f>
        <v>360</v>
      </c>
      <c r="D13" s="65">
        <f>'Phụ lục 01'!D13</f>
        <v>4</v>
      </c>
      <c r="E13" s="66">
        <v>4800000</v>
      </c>
      <c r="F13" s="55">
        <v>3380000</v>
      </c>
      <c r="G13" s="55">
        <v>2535000</v>
      </c>
      <c r="H13" s="55">
        <v>2112500</v>
      </c>
      <c r="I13" s="55">
        <v>1690000</v>
      </c>
      <c r="J13" s="44"/>
    </row>
    <row r="14" spans="1:11" ht="18" x14ac:dyDescent="0.35">
      <c r="A14" s="63">
        <v>2</v>
      </c>
      <c r="B14" s="68" t="s">
        <v>10</v>
      </c>
      <c r="C14" s="61">
        <f>'Phụ lục 01'!C14</f>
        <v>440</v>
      </c>
      <c r="D14" s="65">
        <f>'Phụ lục 01'!D14</f>
        <v>4.5</v>
      </c>
      <c r="E14" s="66">
        <v>4800000</v>
      </c>
      <c r="F14" s="55">
        <v>3380000</v>
      </c>
      <c r="G14" s="55">
        <v>2535000</v>
      </c>
      <c r="H14" s="55">
        <v>2112500</v>
      </c>
      <c r="I14" s="55">
        <v>1690000</v>
      </c>
      <c r="J14" s="44"/>
      <c r="K14" s="49"/>
    </row>
    <row r="15" spans="1:11" ht="18" x14ac:dyDescent="0.35">
      <c r="A15" s="59" t="s">
        <v>11</v>
      </c>
      <c r="B15" s="69" t="s">
        <v>116</v>
      </c>
      <c r="C15" s="61"/>
      <c r="D15" s="65"/>
      <c r="E15" s="66"/>
      <c r="F15" s="67"/>
      <c r="G15" s="67"/>
      <c r="H15" s="67"/>
      <c r="I15" s="67"/>
      <c r="J15" s="44"/>
    </row>
    <row r="16" spans="1:11" ht="18" x14ac:dyDescent="0.35">
      <c r="A16" s="63">
        <v>1</v>
      </c>
      <c r="B16" s="68" t="s">
        <v>20</v>
      </c>
      <c r="C16" s="61">
        <f>'Phụ lục 01'!C16</f>
        <v>300</v>
      </c>
      <c r="D16" s="65">
        <f>'Phụ lục 01'!D16</f>
        <v>3</v>
      </c>
      <c r="E16" s="66">
        <v>4800000</v>
      </c>
      <c r="F16" s="55">
        <v>3160000</v>
      </c>
      <c r="G16" s="55">
        <v>2370000</v>
      </c>
      <c r="H16" s="55">
        <v>1975000</v>
      </c>
      <c r="I16" s="55">
        <v>1580000</v>
      </c>
      <c r="J16" s="44"/>
    </row>
    <row r="17" spans="1:11" ht="18" x14ac:dyDescent="0.35">
      <c r="A17" s="63">
        <v>2</v>
      </c>
      <c r="B17" s="68" t="s">
        <v>12</v>
      </c>
      <c r="C17" s="61">
        <f>'Phụ lục 01'!C17</f>
        <v>120</v>
      </c>
      <c r="D17" s="65">
        <f>'Phụ lục 01'!D17</f>
        <v>1.5</v>
      </c>
      <c r="E17" s="66">
        <v>4800000</v>
      </c>
      <c r="F17" s="55">
        <v>2818000</v>
      </c>
      <c r="G17" s="55">
        <v>2113500</v>
      </c>
      <c r="H17" s="55">
        <v>1761250</v>
      </c>
      <c r="I17" s="55">
        <v>1409000</v>
      </c>
      <c r="J17" s="44"/>
    </row>
    <row r="18" spans="1:11" ht="18" x14ac:dyDescent="0.35">
      <c r="A18" s="63">
        <v>3</v>
      </c>
      <c r="B18" s="68" t="s">
        <v>13</v>
      </c>
      <c r="C18" s="61">
        <f>'Phụ lục 01'!C18</f>
        <v>120</v>
      </c>
      <c r="D18" s="65">
        <f>'Phụ lục 01'!D18</f>
        <v>1.5</v>
      </c>
      <c r="E18" s="66">
        <v>4800000</v>
      </c>
      <c r="F18" s="55">
        <v>1620000</v>
      </c>
      <c r="G18" s="55">
        <v>1215000</v>
      </c>
      <c r="H18" s="55">
        <v>1012500</v>
      </c>
      <c r="I18" s="55">
        <v>810000</v>
      </c>
      <c r="J18" s="44"/>
      <c r="K18" s="49"/>
    </row>
    <row r="19" spans="1:11" ht="27" customHeight="1" x14ac:dyDescent="0.35">
      <c r="A19" s="59" t="s">
        <v>14</v>
      </c>
      <c r="B19" s="69" t="s">
        <v>15</v>
      </c>
      <c r="C19" s="61"/>
      <c r="D19" s="65"/>
      <c r="E19" s="66"/>
      <c r="F19" s="67"/>
      <c r="G19" s="67"/>
      <c r="H19" s="67"/>
      <c r="I19" s="67"/>
      <c r="J19" s="44"/>
    </row>
    <row r="20" spans="1:11" ht="18" x14ac:dyDescent="0.35">
      <c r="A20" s="63">
        <v>1</v>
      </c>
      <c r="B20" s="68" t="s">
        <v>16</v>
      </c>
      <c r="C20" s="61">
        <f>'Phụ lục 01'!C20</f>
        <v>360</v>
      </c>
      <c r="D20" s="65">
        <f>'Phụ lục 01'!D20</f>
        <v>4</v>
      </c>
      <c r="E20" s="66">
        <v>4800000</v>
      </c>
      <c r="F20" s="55">
        <v>3990000</v>
      </c>
      <c r="G20" s="55">
        <v>2992500</v>
      </c>
      <c r="H20" s="55">
        <v>2493750</v>
      </c>
      <c r="I20" s="55">
        <v>1995000</v>
      </c>
      <c r="J20" s="44"/>
    </row>
    <row r="21" spans="1:11" ht="18" x14ac:dyDescent="0.35">
      <c r="A21" s="63">
        <v>2</v>
      </c>
      <c r="B21" s="68" t="s">
        <v>17</v>
      </c>
      <c r="C21" s="61">
        <f>'Phụ lục 01'!C21</f>
        <v>360</v>
      </c>
      <c r="D21" s="65">
        <f>'Phụ lục 01'!D21</f>
        <v>4</v>
      </c>
      <c r="E21" s="66">
        <v>4800000</v>
      </c>
      <c r="F21" s="55">
        <v>3990000</v>
      </c>
      <c r="G21" s="55">
        <v>2992500</v>
      </c>
      <c r="H21" s="55">
        <v>2493750</v>
      </c>
      <c r="I21" s="55">
        <v>1995000</v>
      </c>
      <c r="J21" s="44"/>
    </row>
    <row r="22" spans="1:11" ht="18" x14ac:dyDescent="0.35">
      <c r="A22" s="63">
        <v>3</v>
      </c>
      <c r="B22" s="64" t="s">
        <v>67</v>
      </c>
      <c r="C22" s="61">
        <f>'Phụ lục 01'!C22</f>
        <v>300</v>
      </c>
      <c r="D22" s="65">
        <f>'Phụ lục 01'!D22</f>
        <v>3</v>
      </c>
      <c r="E22" s="66">
        <v>4800000</v>
      </c>
      <c r="F22" s="55">
        <v>3990000</v>
      </c>
      <c r="G22" s="55">
        <v>2992500</v>
      </c>
      <c r="H22" s="55">
        <v>2493750</v>
      </c>
      <c r="I22" s="55">
        <v>1995000</v>
      </c>
      <c r="J22" s="44"/>
    </row>
    <row r="23" spans="1:11" ht="18" x14ac:dyDescent="0.35">
      <c r="A23" s="63">
        <v>4</v>
      </c>
      <c r="B23" s="68" t="s">
        <v>68</v>
      </c>
      <c r="C23" s="61">
        <f>'Phụ lục 01'!C23</f>
        <v>304</v>
      </c>
      <c r="D23" s="65">
        <f>'Phụ lục 01'!D23</f>
        <v>3</v>
      </c>
      <c r="E23" s="66">
        <v>4800000</v>
      </c>
      <c r="F23" s="55">
        <v>4000000</v>
      </c>
      <c r="G23" s="55">
        <v>3000000</v>
      </c>
      <c r="H23" s="55">
        <v>2500000</v>
      </c>
      <c r="I23" s="55">
        <v>2000000</v>
      </c>
      <c r="J23" s="44"/>
    </row>
    <row r="24" spans="1:11" ht="18" x14ac:dyDescent="0.35">
      <c r="A24" s="63">
        <v>5</v>
      </c>
      <c r="B24" s="68" t="s">
        <v>105</v>
      </c>
      <c r="C24" s="61">
        <f>'Phụ lục 01'!C24</f>
        <v>304</v>
      </c>
      <c r="D24" s="65">
        <f>'Phụ lục 01'!D24</f>
        <v>3</v>
      </c>
      <c r="E24" s="66">
        <v>4800000</v>
      </c>
      <c r="F24" s="55">
        <v>4000000</v>
      </c>
      <c r="G24" s="55">
        <v>3000000</v>
      </c>
      <c r="H24" s="55">
        <v>2500000</v>
      </c>
      <c r="I24" s="55">
        <v>2000000</v>
      </c>
      <c r="J24" s="44"/>
    </row>
    <row r="25" spans="1:11" ht="69.75" customHeight="1" x14ac:dyDescent="0.35">
      <c r="A25" s="63">
        <v>6</v>
      </c>
      <c r="B25" s="68" t="s">
        <v>69</v>
      </c>
      <c r="C25" s="61">
        <f>'Phụ lục 01'!C25</f>
        <v>160</v>
      </c>
      <c r="D25" s="65">
        <f>'Phụ lục 01'!D25</f>
        <v>2</v>
      </c>
      <c r="E25" s="66">
        <v>4800000</v>
      </c>
      <c r="F25" s="55">
        <v>3744000</v>
      </c>
      <c r="G25" s="55">
        <v>2808000</v>
      </c>
      <c r="H25" s="55">
        <v>2340000</v>
      </c>
      <c r="I25" s="55">
        <v>1872000</v>
      </c>
      <c r="J25" s="44"/>
    </row>
    <row r="26" spans="1:11" ht="60.75" customHeight="1" x14ac:dyDescent="0.35">
      <c r="A26" s="63">
        <v>7</v>
      </c>
      <c r="B26" s="68" t="s">
        <v>21</v>
      </c>
      <c r="C26" s="61">
        <f>'Phụ lục 01'!C26</f>
        <v>160</v>
      </c>
      <c r="D26" s="65">
        <f>'Phụ lục 01'!D26</f>
        <v>2</v>
      </c>
      <c r="E26" s="66">
        <v>4800000</v>
      </c>
      <c r="F26" s="55">
        <v>3938000</v>
      </c>
      <c r="G26" s="55">
        <v>2953500</v>
      </c>
      <c r="H26" s="55">
        <v>2461250</v>
      </c>
      <c r="I26" s="55">
        <v>1969000</v>
      </c>
      <c r="J26" s="44"/>
    </row>
    <row r="27" spans="1:11" ht="74.25" customHeight="1" x14ac:dyDescent="0.35">
      <c r="A27" s="63">
        <v>8</v>
      </c>
      <c r="B27" s="68" t="s">
        <v>22</v>
      </c>
      <c r="C27" s="61">
        <f>'Phụ lục 01'!C27</f>
        <v>160</v>
      </c>
      <c r="D27" s="65">
        <f>'Phụ lục 01'!D27</f>
        <v>2</v>
      </c>
      <c r="E27" s="66">
        <v>4800000</v>
      </c>
      <c r="F27" s="55">
        <v>3938000</v>
      </c>
      <c r="G27" s="55">
        <v>2953500</v>
      </c>
      <c r="H27" s="55">
        <v>2461250</v>
      </c>
      <c r="I27" s="55">
        <v>1969000</v>
      </c>
      <c r="J27" s="44"/>
    </row>
    <row r="28" spans="1:11" ht="36" x14ac:dyDescent="0.35">
      <c r="A28" s="63">
        <v>9</v>
      </c>
      <c r="B28" s="68" t="s">
        <v>23</v>
      </c>
      <c r="C28" s="61">
        <f>'Phụ lục 01'!C28</f>
        <v>160</v>
      </c>
      <c r="D28" s="65">
        <f>'Phụ lục 01'!D28</f>
        <v>2</v>
      </c>
      <c r="E28" s="66">
        <v>4800000</v>
      </c>
      <c r="F28" s="55">
        <v>4000000</v>
      </c>
      <c r="G28" s="55">
        <v>3000000</v>
      </c>
      <c r="H28" s="55">
        <v>2500000</v>
      </c>
      <c r="I28" s="55">
        <v>2000000</v>
      </c>
      <c r="J28" s="44"/>
    </row>
    <row r="29" spans="1:11" ht="36" x14ac:dyDescent="0.35">
      <c r="A29" s="63">
        <v>10</v>
      </c>
      <c r="B29" s="68" t="s">
        <v>24</v>
      </c>
      <c r="C29" s="61">
        <f>'Phụ lục 01'!C29</f>
        <v>120</v>
      </c>
      <c r="D29" s="65">
        <f>'Phụ lục 01'!D29</f>
        <v>1.5</v>
      </c>
      <c r="E29" s="66">
        <v>4800000</v>
      </c>
      <c r="F29" s="55">
        <v>3902000</v>
      </c>
      <c r="G29" s="55">
        <v>2926500</v>
      </c>
      <c r="H29" s="55">
        <v>2438750</v>
      </c>
      <c r="I29" s="55">
        <v>1951000</v>
      </c>
      <c r="J29" s="44"/>
    </row>
    <row r="30" spans="1:11" ht="18" x14ac:dyDescent="0.35">
      <c r="A30" s="63">
        <v>11</v>
      </c>
      <c r="B30" s="68" t="s">
        <v>25</v>
      </c>
      <c r="C30" s="61">
        <f>'Phụ lục 01'!C30</f>
        <v>120</v>
      </c>
      <c r="D30" s="65">
        <f>'Phụ lục 01'!D30</f>
        <v>1.5</v>
      </c>
      <c r="E30" s="66">
        <v>4800000</v>
      </c>
      <c r="F30" s="55">
        <v>3922000</v>
      </c>
      <c r="G30" s="55">
        <v>2941500</v>
      </c>
      <c r="H30" s="55">
        <v>2451250</v>
      </c>
      <c r="I30" s="55">
        <v>1961000</v>
      </c>
      <c r="J30" s="44"/>
    </row>
    <row r="31" spans="1:11" ht="18" x14ac:dyDescent="0.35">
      <c r="A31" s="63">
        <v>12</v>
      </c>
      <c r="B31" s="68" t="s">
        <v>26</v>
      </c>
      <c r="C31" s="61">
        <f>'Phụ lục 01'!C31</f>
        <v>240</v>
      </c>
      <c r="D31" s="65">
        <f>'Phụ lục 01'!D31</f>
        <v>2</v>
      </c>
      <c r="E31" s="66">
        <v>4800000</v>
      </c>
      <c r="F31" s="55">
        <v>4000000</v>
      </c>
      <c r="G31" s="55">
        <v>3000000</v>
      </c>
      <c r="H31" s="55">
        <v>2500000</v>
      </c>
      <c r="I31" s="55">
        <v>2000000</v>
      </c>
      <c r="J31" s="44"/>
    </row>
    <row r="32" spans="1:11" ht="31.5" customHeight="1" x14ac:dyDescent="0.35">
      <c r="A32" s="63">
        <v>13</v>
      </c>
      <c r="B32" s="68" t="s">
        <v>87</v>
      </c>
      <c r="C32" s="61">
        <v>120</v>
      </c>
      <c r="D32" s="65">
        <v>2</v>
      </c>
      <c r="E32" s="66">
        <v>4800000</v>
      </c>
      <c r="F32" s="55">
        <v>3338000</v>
      </c>
      <c r="G32" s="55">
        <v>2503500</v>
      </c>
      <c r="H32" s="55">
        <v>2086250</v>
      </c>
      <c r="I32" s="55">
        <v>1869000</v>
      </c>
      <c r="J32" s="44"/>
      <c r="K32" s="49"/>
    </row>
    <row r="33" spans="1:11" s="54" customFormat="1" ht="27.75" customHeight="1" x14ac:dyDescent="0.35">
      <c r="A33" s="59" t="s">
        <v>27</v>
      </c>
      <c r="B33" s="69" t="s">
        <v>28</v>
      </c>
      <c r="C33" s="61"/>
      <c r="D33" s="65"/>
      <c r="E33" s="66"/>
      <c r="F33" s="67"/>
      <c r="G33" s="67"/>
      <c r="H33" s="67"/>
      <c r="I33" s="67"/>
      <c r="J33" s="53"/>
    </row>
    <row r="34" spans="1:11" s="54" customFormat="1" ht="27.75" customHeight="1" x14ac:dyDescent="0.35">
      <c r="A34" s="63">
        <v>1</v>
      </c>
      <c r="B34" s="68" t="s">
        <v>29</v>
      </c>
      <c r="C34" s="61">
        <f>'Phụ lục 01'!C34</f>
        <v>150</v>
      </c>
      <c r="D34" s="65">
        <f>'Phụ lục 01'!D34</f>
        <v>1.5</v>
      </c>
      <c r="E34" s="70"/>
      <c r="F34" s="55">
        <v>4500000</v>
      </c>
      <c r="G34" s="55">
        <v>3000000</v>
      </c>
      <c r="H34" s="55">
        <v>2500000</v>
      </c>
      <c r="I34" s="55">
        <v>2000000</v>
      </c>
      <c r="J34" s="53"/>
    </row>
    <row r="35" spans="1:11" s="54" customFormat="1" ht="27.75" customHeight="1" x14ac:dyDescent="0.35">
      <c r="A35" s="63">
        <v>2</v>
      </c>
      <c r="B35" s="68" t="s">
        <v>30</v>
      </c>
      <c r="C35" s="61">
        <f>'Phụ lục 01'!C35</f>
        <v>150</v>
      </c>
      <c r="D35" s="65">
        <f>'Phụ lục 01'!D35</f>
        <v>1.5</v>
      </c>
      <c r="E35" s="70"/>
      <c r="F35" s="55">
        <v>4500000</v>
      </c>
      <c r="G35" s="55">
        <v>3000000</v>
      </c>
      <c r="H35" s="55">
        <v>2500000</v>
      </c>
      <c r="I35" s="55">
        <v>2000000</v>
      </c>
      <c r="J35" s="53"/>
    </row>
    <row r="36" spans="1:11" ht="21.75" customHeight="1" x14ac:dyDescent="0.35">
      <c r="A36" s="59" t="s">
        <v>32</v>
      </c>
      <c r="B36" s="71" t="s">
        <v>31</v>
      </c>
      <c r="C36" s="61"/>
      <c r="D36" s="65"/>
      <c r="E36" s="66"/>
      <c r="F36" s="67"/>
      <c r="G36" s="67"/>
      <c r="H36" s="67"/>
      <c r="I36" s="67"/>
      <c r="J36" s="44"/>
    </row>
    <row r="37" spans="1:11" ht="33" customHeight="1" x14ac:dyDescent="0.35">
      <c r="A37" s="63">
        <v>1</v>
      </c>
      <c r="B37" s="72" t="s">
        <v>70</v>
      </c>
      <c r="C37" s="61">
        <f>'Phụ lục 01'!C37</f>
        <v>352</v>
      </c>
      <c r="D37" s="65">
        <f>'Phụ lục 01'!D37</f>
        <v>4</v>
      </c>
      <c r="E37" s="66">
        <v>4800000</v>
      </c>
      <c r="F37" s="55">
        <v>4000000</v>
      </c>
      <c r="G37" s="55">
        <v>3000000</v>
      </c>
      <c r="H37" s="55">
        <v>2500000</v>
      </c>
      <c r="I37" s="55">
        <v>2000000</v>
      </c>
      <c r="J37" s="44"/>
      <c r="K37" s="49"/>
    </row>
    <row r="38" spans="1:11" ht="24.75" customHeight="1" x14ac:dyDescent="0.35">
      <c r="A38" s="59" t="s">
        <v>33</v>
      </c>
      <c r="B38" s="71" t="s">
        <v>34</v>
      </c>
      <c r="C38" s="61"/>
      <c r="D38" s="65"/>
      <c r="E38" s="66"/>
      <c r="F38" s="67"/>
      <c r="G38" s="67"/>
      <c r="H38" s="67"/>
      <c r="I38" s="67"/>
      <c r="J38" s="44"/>
    </row>
    <row r="39" spans="1:11" ht="29.25" customHeight="1" x14ac:dyDescent="0.35">
      <c r="A39" s="63">
        <v>1</v>
      </c>
      <c r="B39" s="72" t="s">
        <v>71</v>
      </c>
      <c r="C39" s="61">
        <f>'Phụ lục 01'!C39</f>
        <v>311</v>
      </c>
      <c r="D39" s="65">
        <f>'Phụ lục 01'!D39</f>
        <v>3</v>
      </c>
      <c r="E39" s="66">
        <v>4800000</v>
      </c>
      <c r="F39" s="55">
        <v>4000000</v>
      </c>
      <c r="G39" s="55">
        <v>3000000</v>
      </c>
      <c r="H39" s="55">
        <v>2500000</v>
      </c>
      <c r="I39" s="55">
        <v>2000000</v>
      </c>
      <c r="J39" s="44"/>
      <c r="K39" s="49"/>
    </row>
    <row r="40" spans="1:11" ht="18" x14ac:dyDescent="0.35">
      <c r="A40" s="59" t="s">
        <v>35</v>
      </c>
      <c r="B40" s="71" t="s">
        <v>36</v>
      </c>
      <c r="C40" s="61"/>
      <c r="D40" s="65"/>
      <c r="E40" s="66"/>
      <c r="F40" s="67"/>
      <c r="G40" s="67"/>
      <c r="H40" s="67"/>
      <c r="I40" s="67"/>
      <c r="J40" s="44"/>
    </row>
    <row r="41" spans="1:11" ht="25.5" customHeight="1" x14ac:dyDescent="0.35">
      <c r="A41" s="63">
        <v>1</v>
      </c>
      <c r="B41" s="68" t="s">
        <v>72</v>
      </c>
      <c r="C41" s="61">
        <f>'Phụ lục 01'!C41</f>
        <v>320</v>
      </c>
      <c r="D41" s="65">
        <f>'Phụ lục 01'!D41</f>
        <v>3</v>
      </c>
      <c r="E41" s="66">
        <v>4800000</v>
      </c>
      <c r="F41" s="55">
        <v>3930000</v>
      </c>
      <c r="G41" s="55">
        <v>2947500</v>
      </c>
      <c r="H41" s="55">
        <v>2456250</v>
      </c>
      <c r="I41" s="55">
        <v>1965000</v>
      </c>
      <c r="J41" s="44"/>
    </row>
    <row r="42" spans="1:11" ht="69" customHeight="1" x14ac:dyDescent="0.35">
      <c r="A42" s="63">
        <v>2</v>
      </c>
      <c r="B42" s="64" t="s">
        <v>37</v>
      </c>
      <c r="C42" s="61">
        <f>'Phụ lục 01'!C42</f>
        <v>120</v>
      </c>
      <c r="D42" s="65">
        <f>'Phụ lục 01'!D42</f>
        <v>1.5</v>
      </c>
      <c r="E42" s="66">
        <v>4800000</v>
      </c>
      <c r="F42" s="55">
        <v>2400000</v>
      </c>
      <c r="G42" s="55">
        <v>1800000</v>
      </c>
      <c r="H42" s="55">
        <v>1500000</v>
      </c>
      <c r="I42" s="55">
        <v>1200000</v>
      </c>
      <c r="J42" s="44"/>
    </row>
    <row r="43" spans="1:11" ht="44.25" customHeight="1" x14ac:dyDescent="0.35">
      <c r="A43" s="63">
        <v>3</v>
      </c>
      <c r="B43" s="64" t="s">
        <v>38</v>
      </c>
      <c r="C43" s="61">
        <f>'Phụ lục 01'!C43</f>
        <v>180</v>
      </c>
      <c r="D43" s="65">
        <f>'Phụ lục 01'!D43</f>
        <v>2</v>
      </c>
      <c r="E43" s="66">
        <v>4800000</v>
      </c>
      <c r="F43" s="55">
        <v>3618000</v>
      </c>
      <c r="G43" s="55">
        <v>2713500</v>
      </c>
      <c r="H43" s="55">
        <v>2261250</v>
      </c>
      <c r="I43" s="55">
        <v>1809000</v>
      </c>
      <c r="J43" s="44"/>
    </row>
    <row r="44" spans="1:11" ht="18" x14ac:dyDescent="0.35">
      <c r="A44" s="63">
        <v>4</v>
      </c>
      <c r="B44" s="68" t="s">
        <v>73</v>
      </c>
      <c r="C44" s="61">
        <f>'Phụ lục 01'!C44</f>
        <v>180</v>
      </c>
      <c r="D44" s="65">
        <f>'Phụ lục 01'!D44</f>
        <v>2</v>
      </c>
      <c r="E44" s="66">
        <v>4800000</v>
      </c>
      <c r="F44" s="55">
        <v>3434000</v>
      </c>
      <c r="G44" s="55">
        <v>2575500</v>
      </c>
      <c r="H44" s="55">
        <v>2146250</v>
      </c>
      <c r="I44" s="55">
        <v>1717000</v>
      </c>
      <c r="J44" s="44"/>
    </row>
    <row r="45" spans="1:11" ht="22.5" customHeight="1" x14ac:dyDescent="0.35">
      <c r="A45" s="63">
        <v>5</v>
      </c>
      <c r="B45" s="68" t="s">
        <v>39</v>
      </c>
      <c r="C45" s="61">
        <f>'Phụ lục 01'!C45</f>
        <v>180</v>
      </c>
      <c r="D45" s="65">
        <f>'Phụ lục 01'!D45</f>
        <v>2</v>
      </c>
      <c r="E45" s="66">
        <v>4800000</v>
      </c>
      <c r="F45" s="55">
        <v>3520000</v>
      </c>
      <c r="G45" s="55">
        <v>2640000</v>
      </c>
      <c r="H45" s="55">
        <v>2200000</v>
      </c>
      <c r="I45" s="55">
        <v>1760000</v>
      </c>
      <c r="J45" s="44"/>
    </row>
    <row r="46" spans="1:11" ht="21.75" customHeight="1" x14ac:dyDescent="0.35">
      <c r="A46" s="63">
        <v>6</v>
      </c>
      <c r="B46" s="68" t="s">
        <v>40</v>
      </c>
      <c r="C46" s="61">
        <f>'Phụ lục 01'!C46</f>
        <v>120</v>
      </c>
      <c r="D46" s="65">
        <f>'Phụ lục 01'!D46</f>
        <v>1.5</v>
      </c>
      <c r="E46" s="66">
        <v>4800000</v>
      </c>
      <c r="F46" s="55">
        <v>2818000</v>
      </c>
      <c r="G46" s="55">
        <v>2113500</v>
      </c>
      <c r="H46" s="55">
        <v>1761250</v>
      </c>
      <c r="I46" s="55">
        <v>1409000</v>
      </c>
      <c r="J46" s="44"/>
    </row>
    <row r="47" spans="1:11" ht="18" x14ac:dyDescent="0.35">
      <c r="A47" s="63">
        <v>7</v>
      </c>
      <c r="B47" s="68" t="s">
        <v>80</v>
      </c>
      <c r="C47" s="61">
        <f>'Phụ lục 01'!C47</f>
        <v>300</v>
      </c>
      <c r="D47" s="65">
        <f>'Phụ lục 01'!D47</f>
        <v>3</v>
      </c>
      <c r="E47" s="66">
        <v>4800000</v>
      </c>
      <c r="F47" s="55">
        <v>3990000</v>
      </c>
      <c r="G47" s="55">
        <v>2992500</v>
      </c>
      <c r="H47" s="55">
        <v>2493750</v>
      </c>
      <c r="I47" s="55">
        <v>1995000</v>
      </c>
      <c r="J47" s="44"/>
    </row>
    <row r="48" spans="1:11" ht="18" x14ac:dyDescent="0.35">
      <c r="A48" s="59" t="s">
        <v>41</v>
      </c>
      <c r="B48" s="69" t="s">
        <v>42</v>
      </c>
      <c r="C48" s="61"/>
      <c r="D48" s="65"/>
      <c r="E48" s="66"/>
      <c r="F48" s="67"/>
      <c r="G48" s="67"/>
      <c r="H48" s="67"/>
      <c r="I48" s="67"/>
      <c r="J48" s="44"/>
    </row>
    <row r="49" spans="1:11" ht="18" x14ac:dyDescent="0.35">
      <c r="A49" s="63">
        <v>1</v>
      </c>
      <c r="B49" s="68" t="s">
        <v>43</v>
      </c>
      <c r="C49" s="61">
        <f>'Phụ lục 01'!C49</f>
        <v>300</v>
      </c>
      <c r="D49" s="65">
        <f>'Phụ lục 01'!D49</f>
        <v>3</v>
      </c>
      <c r="E49" s="66">
        <v>4800000</v>
      </c>
      <c r="F49" s="55">
        <v>3600000</v>
      </c>
      <c r="G49" s="55">
        <v>2700000</v>
      </c>
      <c r="H49" s="55">
        <v>2250000</v>
      </c>
      <c r="I49" s="55">
        <v>1800000</v>
      </c>
      <c r="J49" s="44"/>
    </row>
    <row r="50" spans="1:11" ht="18" x14ac:dyDescent="0.35">
      <c r="A50" s="63">
        <v>2</v>
      </c>
      <c r="B50" s="68" t="s">
        <v>44</v>
      </c>
      <c r="C50" s="61">
        <f>'Phụ lục 01'!C50</f>
        <v>300</v>
      </c>
      <c r="D50" s="65">
        <f>'Phụ lục 01'!D50</f>
        <v>3</v>
      </c>
      <c r="E50" s="66">
        <v>4800000</v>
      </c>
      <c r="F50" s="55">
        <v>3600000</v>
      </c>
      <c r="G50" s="55">
        <v>2700000</v>
      </c>
      <c r="H50" s="55">
        <v>2250000</v>
      </c>
      <c r="I50" s="73">
        <v>1800000</v>
      </c>
      <c r="J50" s="44"/>
    </row>
    <row r="51" spans="1:11" ht="18" x14ac:dyDescent="0.35">
      <c r="A51" s="63">
        <v>3</v>
      </c>
      <c r="B51" s="68" t="s">
        <v>45</v>
      </c>
      <c r="C51" s="61">
        <f>'Phụ lục 01'!C51</f>
        <v>180</v>
      </c>
      <c r="D51" s="65">
        <f>'Phụ lục 01'!D51</f>
        <v>2</v>
      </c>
      <c r="E51" s="66">
        <v>4800000</v>
      </c>
      <c r="F51" s="55">
        <v>3018000</v>
      </c>
      <c r="G51" s="55">
        <v>2263500</v>
      </c>
      <c r="H51" s="74">
        <v>1886250</v>
      </c>
      <c r="I51" s="55">
        <v>1509000</v>
      </c>
      <c r="J51" s="44"/>
    </row>
    <row r="52" spans="1:11" ht="18" x14ac:dyDescent="0.35">
      <c r="A52" s="63">
        <v>4</v>
      </c>
      <c r="B52" s="68" t="s">
        <v>46</v>
      </c>
      <c r="C52" s="61">
        <f>'Phụ lục 01'!C52</f>
        <v>160</v>
      </c>
      <c r="D52" s="65">
        <f>'Phụ lục 01'!D52</f>
        <v>1.5</v>
      </c>
      <c r="E52" s="66">
        <v>4800000</v>
      </c>
      <c r="F52" s="55">
        <v>2628000</v>
      </c>
      <c r="G52" s="55">
        <v>1971000</v>
      </c>
      <c r="H52" s="74">
        <v>1642500</v>
      </c>
      <c r="I52" s="55">
        <v>1314000</v>
      </c>
      <c r="J52" s="44"/>
      <c r="K52" s="49"/>
    </row>
    <row r="53" spans="1:11" ht="25.5" customHeight="1" x14ac:dyDescent="0.35">
      <c r="A53" s="59" t="s">
        <v>47</v>
      </c>
      <c r="B53" s="69" t="s">
        <v>48</v>
      </c>
      <c r="C53" s="61"/>
      <c r="D53" s="65"/>
      <c r="E53" s="66"/>
      <c r="F53" s="67"/>
      <c r="G53" s="67"/>
      <c r="H53" s="75"/>
      <c r="I53" s="67"/>
      <c r="J53" s="44"/>
    </row>
    <row r="54" spans="1:11" ht="21" customHeight="1" x14ac:dyDescent="0.35">
      <c r="A54" s="63">
        <v>1</v>
      </c>
      <c r="B54" s="68" t="s">
        <v>49</v>
      </c>
      <c r="C54" s="61">
        <f>'Phụ lục 01'!C54</f>
        <v>360</v>
      </c>
      <c r="D54" s="65">
        <f>'Phụ lục 01'!D54</f>
        <v>3.5</v>
      </c>
      <c r="E54" s="66">
        <v>4800000</v>
      </c>
      <c r="F54" s="55">
        <v>4000000</v>
      </c>
      <c r="G54" s="55">
        <v>3000000</v>
      </c>
      <c r="H54" s="74">
        <v>2500000</v>
      </c>
      <c r="I54" s="55">
        <v>2000000</v>
      </c>
      <c r="J54" s="44"/>
    </row>
    <row r="55" spans="1:11" ht="38.25" customHeight="1" x14ac:dyDescent="0.35">
      <c r="A55" s="63">
        <v>2</v>
      </c>
      <c r="B55" s="68" t="s">
        <v>50</v>
      </c>
      <c r="C55" s="61">
        <f>'Phụ lục 01'!C55</f>
        <v>160</v>
      </c>
      <c r="D55" s="65">
        <f>'Phụ lục 01'!D55</f>
        <v>1.5</v>
      </c>
      <c r="E55" s="66">
        <v>3600000</v>
      </c>
      <c r="F55" s="76">
        <v>2724000</v>
      </c>
      <c r="G55" s="76">
        <v>2043000</v>
      </c>
      <c r="H55" s="77">
        <v>1702500</v>
      </c>
      <c r="I55" s="76">
        <v>1362000</v>
      </c>
      <c r="J55" s="44"/>
    </row>
    <row r="56" spans="1:11" ht="36" x14ac:dyDescent="0.35">
      <c r="A56" s="63">
        <v>3</v>
      </c>
      <c r="B56" s="68" t="s">
        <v>117</v>
      </c>
      <c r="C56" s="61">
        <f>'Phụ lục 01'!C56</f>
        <v>160</v>
      </c>
      <c r="D56" s="65">
        <f>'Phụ lục 01'!D56</f>
        <v>1.5</v>
      </c>
      <c r="E56" s="66">
        <v>4800000</v>
      </c>
      <c r="F56" s="76">
        <v>2726000</v>
      </c>
      <c r="G56" s="76">
        <v>2044500</v>
      </c>
      <c r="H56" s="77">
        <v>1703750</v>
      </c>
      <c r="I56" s="76">
        <v>1363000</v>
      </c>
      <c r="J56" s="44"/>
      <c r="K56" s="49"/>
    </row>
    <row r="57" spans="1:11" ht="24" customHeight="1" x14ac:dyDescent="0.35">
      <c r="A57" s="59" t="s">
        <v>51</v>
      </c>
      <c r="B57" s="69" t="s">
        <v>52</v>
      </c>
      <c r="C57" s="61"/>
      <c r="D57" s="65"/>
      <c r="E57" s="66"/>
      <c r="F57" s="76"/>
      <c r="G57" s="76"/>
      <c r="H57" s="77"/>
      <c r="I57" s="76"/>
      <c r="J57" s="44"/>
    </row>
    <row r="58" spans="1:11" ht="30.75" customHeight="1" x14ac:dyDescent="0.35">
      <c r="A58" s="63">
        <v>1</v>
      </c>
      <c r="B58" s="68" t="s">
        <v>53</v>
      </c>
      <c r="C58" s="61">
        <f>'Phụ lục 01'!C58</f>
        <v>360</v>
      </c>
      <c r="D58" s="65">
        <f>'Phụ lục 01'!D58</f>
        <v>3.5</v>
      </c>
      <c r="E58" s="66">
        <v>4800000</v>
      </c>
      <c r="F58" s="76">
        <v>4000000</v>
      </c>
      <c r="G58" s="76">
        <v>3000000</v>
      </c>
      <c r="H58" s="77">
        <v>2500000</v>
      </c>
      <c r="I58" s="76">
        <v>2000000</v>
      </c>
      <c r="J58" s="44"/>
    </row>
    <row r="59" spans="1:11" ht="30.75" customHeight="1" x14ac:dyDescent="0.35">
      <c r="A59" s="63">
        <v>2</v>
      </c>
      <c r="B59" s="68" t="s">
        <v>54</v>
      </c>
      <c r="C59" s="61">
        <f>'Phụ lục 01'!C59</f>
        <v>360</v>
      </c>
      <c r="D59" s="65">
        <f>'Phụ lục 01'!D59</f>
        <v>3.5</v>
      </c>
      <c r="E59" s="66">
        <v>5640000</v>
      </c>
      <c r="F59" s="76">
        <v>4000000</v>
      </c>
      <c r="G59" s="76">
        <v>3000000</v>
      </c>
      <c r="H59" s="77">
        <v>2500000</v>
      </c>
      <c r="I59" s="76">
        <v>2000000</v>
      </c>
      <c r="J59" s="44"/>
    </row>
    <row r="60" spans="1:11" ht="30.75" customHeight="1" x14ac:dyDescent="0.35">
      <c r="A60" s="63">
        <v>3</v>
      </c>
      <c r="B60" s="68" t="s">
        <v>55</v>
      </c>
      <c r="C60" s="61">
        <f>'Phụ lục 01'!C60</f>
        <v>160</v>
      </c>
      <c r="D60" s="65">
        <f>'Phụ lục 01'!D60</f>
        <v>1.5</v>
      </c>
      <c r="E60" s="66">
        <v>5640000</v>
      </c>
      <c r="F60" s="76">
        <v>4000000</v>
      </c>
      <c r="G60" s="76">
        <v>3000000</v>
      </c>
      <c r="H60" s="77">
        <v>2500000</v>
      </c>
      <c r="I60" s="76">
        <v>2000000</v>
      </c>
      <c r="J60" s="44"/>
    </row>
    <row r="61" spans="1:11" ht="30.75" customHeight="1" x14ac:dyDescent="0.35">
      <c r="A61" s="63">
        <v>4</v>
      </c>
      <c r="B61" s="68" t="s">
        <v>56</v>
      </c>
      <c r="C61" s="61">
        <f>'Phụ lục 01'!C61</f>
        <v>300</v>
      </c>
      <c r="D61" s="65">
        <f>'Phụ lục 01'!D61</f>
        <v>3</v>
      </c>
      <c r="E61" s="66">
        <v>5640000</v>
      </c>
      <c r="F61" s="76">
        <v>3772000</v>
      </c>
      <c r="G61" s="76">
        <v>2829000</v>
      </c>
      <c r="H61" s="77">
        <v>2357500</v>
      </c>
      <c r="I61" s="76">
        <v>1886000</v>
      </c>
      <c r="J61" s="44"/>
    </row>
    <row r="62" spans="1:11" ht="30.75" customHeight="1" x14ac:dyDescent="0.35">
      <c r="A62" s="63">
        <v>5</v>
      </c>
      <c r="B62" s="68" t="s">
        <v>57</v>
      </c>
      <c r="C62" s="61">
        <f>'Phụ lục 01'!C62</f>
        <v>300</v>
      </c>
      <c r="D62" s="65">
        <f>'Phụ lục 01'!D62</f>
        <v>3</v>
      </c>
      <c r="E62" s="66">
        <v>5640000</v>
      </c>
      <c r="F62" s="76">
        <v>3772000</v>
      </c>
      <c r="G62" s="76">
        <v>2829000</v>
      </c>
      <c r="H62" s="77">
        <v>2357500</v>
      </c>
      <c r="I62" s="76">
        <v>1886000</v>
      </c>
      <c r="J62" s="44"/>
    </row>
    <row r="63" spans="1:11" ht="30.75" customHeight="1" x14ac:dyDescent="0.35">
      <c r="A63" s="63">
        <v>6</v>
      </c>
      <c r="B63" s="68" t="s">
        <v>58</v>
      </c>
      <c r="C63" s="61">
        <f>'Phụ lục 01'!C63</f>
        <v>300</v>
      </c>
      <c r="D63" s="65">
        <f>'Phụ lục 01'!D63</f>
        <v>3</v>
      </c>
      <c r="E63" s="66">
        <v>5640000</v>
      </c>
      <c r="F63" s="76">
        <v>3772000</v>
      </c>
      <c r="G63" s="76">
        <v>2829000</v>
      </c>
      <c r="H63" s="77">
        <v>2357500</v>
      </c>
      <c r="I63" s="76">
        <v>1886000</v>
      </c>
      <c r="J63" s="44"/>
    </row>
    <row r="64" spans="1:11" ht="30.75" customHeight="1" x14ac:dyDescent="0.35">
      <c r="A64" s="63">
        <v>7</v>
      </c>
      <c r="B64" s="68" t="s">
        <v>59</v>
      </c>
      <c r="C64" s="61">
        <f>'Phụ lục 01'!C64</f>
        <v>300</v>
      </c>
      <c r="D64" s="65">
        <f>'Phụ lục 01'!D64</f>
        <v>3</v>
      </c>
      <c r="E64" s="66">
        <v>5640000</v>
      </c>
      <c r="F64" s="76">
        <v>3772000</v>
      </c>
      <c r="G64" s="76">
        <v>2829000</v>
      </c>
      <c r="H64" s="77">
        <v>2357500</v>
      </c>
      <c r="I64" s="76">
        <v>1886000</v>
      </c>
      <c r="J64" s="44"/>
    </row>
    <row r="65" spans="1:11" ht="30.75" customHeight="1" x14ac:dyDescent="0.35">
      <c r="A65" s="63">
        <v>8</v>
      </c>
      <c r="B65" s="68" t="s">
        <v>5</v>
      </c>
      <c r="C65" s="61">
        <f>'Phụ lục 01'!C65</f>
        <v>300</v>
      </c>
      <c r="D65" s="65">
        <f>'Phụ lục 01'!D65</f>
        <v>3</v>
      </c>
      <c r="E65" s="66">
        <v>5640000</v>
      </c>
      <c r="F65" s="76">
        <v>3772000</v>
      </c>
      <c r="G65" s="76">
        <v>2829000</v>
      </c>
      <c r="H65" s="77">
        <v>2357500</v>
      </c>
      <c r="I65" s="76">
        <v>1886000</v>
      </c>
      <c r="J65" s="44"/>
    </row>
    <row r="66" spans="1:11" ht="30.75" customHeight="1" x14ac:dyDescent="0.35">
      <c r="A66" s="63">
        <v>9</v>
      </c>
      <c r="B66" s="68" t="s">
        <v>60</v>
      </c>
      <c r="C66" s="61">
        <f>'Phụ lục 01'!C66</f>
        <v>280</v>
      </c>
      <c r="D66" s="65">
        <f>'Phụ lục 01'!D66</f>
        <v>2.5</v>
      </c>
      <c r="E66" s="66">
        <v>5640000</v>
      </c>
      <c r="F66" s="76">
        <v>3772000</v>
      </c>
      <c r="G66" s="76">
        <v>2829000</v>
      </c>
      <c r="H66" s="77">
        <v>2357500</v>
      </c>
      <c r="I66" s="76">
        <v>1886000</v>
      </c>
      <c r="J66" s="44"/>
    </row>
    <row r="67" spans="1:11" ht="30.75" customHeight="1" x14ac:dyDescent="0.35">
      <c r="A67" s="63">
        <v>10</v>
      </c>
      <c r="B67" s="68" t="s">
        <v>74</v>
      </c>
      <c r="C67" s="61">
        <f>'Phụ lục 01'!C67</f>
        <v>160</v>
      </c>
      <c r="D67" s="65">
        <f>'Phụ lục 01'!D67</f>
        <v>1.5</v>
      </c>
      <c r="E67" s="66">
        <v>4800000</v>
      </c>
      <c r="F67" s="76">
        <v>2726000</v>
      </c>
      <c r="G67" s="76">
        <v>2044500</v>
      </c>
      <c r="H67" s="77">
        <v>1703750</v>
      </c>
      <c r="I67" s="76">
        <v>1363000</v>
      </c>
      <c r="J67" s="44"/>
    </row>
    <row r="68" spans="1:11" ht="18" x14ac:dyDescent="0.35">
      <c r="A68" s="63">
        <v>11</v>
      </c>
      <c r="B68" s="68" t="s">
        <v>61</v>
      </c>
      <c r="C68" s="61">
        <f>'Phụ lục 01'!C68</f>
        <v>160</v>
      </c>
      <c r="D68" s="65">
        <f>'Phụ lục 01'!D68</f>
        <v>1.5</v>
      </c>
      <c r="E68" s="66">
        <v>4800000</v>
      </c>
      <c r="F68" s="76">
        <v>3520000</v>
      </c>
      <c r="G68" s="76">
        <v>2640000</v>
      </c>
      <c r="H68" s="77">
        <v>2200000</v>
      </c>
      <c r="I68" s="76">
        <v>1760000</v>
      </c>
      <c r="J68" s="44"/>
    </row>
    <row r="69" spans="1:11" ht="27" customHeight="1" x14ac:dyDescent="0.35">
      <c r="A69" s="63">
        <v>12</v>
      </c>
      <c r="B69" s="68" t="s">
        <v>62</v>
      </c>
      <c r="C69" s="61">
        <f>'Phụ lục 01'!C69</f>
        <v>300</v>
      </c>
      <c r="D69" s="65">
        <f>'Phụ lục 01'!D69</f>
        <v>3</v>
      </c>
      <c r="E69" s="66">
        <v>4800000</v>
      </c>
      <c r="F69" s="76">
        <v>3772000</v>
      </c>
      <c r="G69" s="76">
        <v>2829000</v>
      </c>
      <c r="H69" s="77">
        <v>2357500</v>
      </c>
      <c r="I69" s="76">
        <v>1886000</v>
      </c>
      <c r="J69" s="44"/>
    </row>
    <row r="70" spans="1:11" ht="27" customHeight="1" x14ac:dyDescent="0.35">
      <c r="A70" s="59" t="s">
        <v>63</v>
      </c>
      <c r="B70" s="69" t="s">
        <v>64</v>
      </c>
      <c r="C70" s="61"/>
      <c r="D70" s="65"/>
      <c r="E70" s="66"/>
      <c r="F70" s="76"/>
      <c r="G70" s="76"/>
      <c r="H70" s="77"/>
      <c r="I70" s="76"/>
      <c r="J70" s="44"/>
    </row>
    <row r="71" spans="1:11" ht="60" customHeight="1" x14ac:dyDescent="0.35">
      <c r="A71" s="78">
        <v>1</v>
      </c>
      <c r="B71" s="68" t="s">
        <v>99</v>
      </c>
      <c r="C71" s="78">
        <v>120</v>
      </c>
      <c r="D71" s="65">
        <v>1.5</v>
      </c>
      <c r="E71" s="66">
        <v>4800000</v>
      </c>
      <c r="F71" s="76">
        <v>4000000</v>
      </c>
      <c r="G71" s="76">
        <v>3000000</v>
      </c>
      <c r="H71" s="87">
        <v>2500000</v>
      </c>
      <c r="I71" s="76">
        <v>2000000</v>
      </c>
      <c r="J71" s="44"/>
    </row>
    <row r="72" spans="1:11" ht="28.5" customHeight="1" x14ac:dyDescent="0.35">
      <c r="A72" s="78">
        <v>2</v>
      </c>
      <c r="B72" s="68" t="s">
        <v>100</v>
      </c>
      <c r="C72" s="79">
        <v>120</v>
      </c>
      <c r="D72" s="65">
        <v>1.5</v>
      </c>
      <c r="E72" s="66">
        <v>4800000</v>
      </c>
      <c r="F72" s="76">
        <v>4000000</v>
      </c>
      <c r="G72" s="76">
        <v>3000000</v>
      </c>
      <c r="H72" s="87">
        <v>2500000</v>
      </c>
      <c r="I72" s="76">
        <v>2000000</v>
      </c>
      <c r="J72" s="44"/>
    </row>
    <row r="73" spans="1:11" ht="27.75" customHeight="1" x14ac:dyDescent="0.35">
      <c r="A73" s="78">
        <v>3</v>
      </c>
      <c r="B73" s="68" t="s">
        <v>107</v>
      </c>
      <c r="C73" s="79">
        <v>120</v>
      </c>
      <c r="D73" s="65">
        <v>1.5</v>
      </c>
      <c r="E73" s="66">
        <v>4800000</v>
      </c>
      <c r="F73" s="76">
        <v>4000000</v>
      </c>
      <c r="G73" s="76">
        <v>3000000</v>
      </c>
      <c r="H73" s="87">
        <v>2500000</v>
      </c>
      <c r="I73" s="76">
        <v>2000000</v>
      </c>
      <c r="J73" s="44"/>
    </row>
    <row r="74" spans="1:11" ht="29.25" customHeight="1" x14ac:dyDescent="0.35">
      <c r="A74" s="78">
        <v>4</v>
      </c>
      <c r="B74" s="72" t="s">
        <v>83</v>
      </c>
      <c r="C74" s="79">
        <v>120</v>
      </c>
      <c r="D74" s="65">
        <v>1.5</v>
      </c>
      <c r="E74" s="66">
        <v>4800000</v>
      </c>
      <c r="F74" s="76">
        <v>4000000</v>
      </c>
      <c r="G74" s="76">
        <v>3000000</v>
      </c>
      <c r="H74" s="87">
        <v>2500000</v>
      </c>
      <c r="I74" s="76">
        <v>2000000</v>
      </c>
      <c r="J74" s="44"/>
    </row>
    <row r="75" spans="1:11" ht="29.25" customHeight="1" x14ac:dyDescent="0.35">
      <c r="A75" s="78">
        <v>5</v>
      </c>
      <c r="B75" s="72" t="s">
        <v>101</v>
      </c>
      <c r="C75" s="79">
        <v>120</v>
      </c>
      <c r="D75" s="65">
        <v>1.5</v>
      </c>
      <c r="E75" s="66">
        <v>4800000</v>
      </c>
      <c r="F75" s="76">
        <v>4000000</v>
      </c>
      <c r="G75" s="76">
        <v>3000000</v>
      </c>
      <c r="H75" s="87">
        <v>2500000</v>
      </c>
      <c r="I75" s="76">
        <v>2000000</v>
      </c>
      <c r="J75" s="44"/>
    </row>
    <row r="76" spans="1:11" ht="37.5" customHeight="1" x14ac:dyDescent="0.35">
      <c r="A76" s="78">
        <v>6</v>
      </c>
      <c r="B76" s="72" t="s">
        <v>102</v>
      </c>
      <c r="C76" s="79">
        <v>120</v>
      </c>
      <c r="D76" s="65">
        <v>1.5</v>
      </c>
      <c r="E76" s="66">
        <v>4800000</v>
      </c>
      <c r="F76" s="76">
        <v>4000000</v>
      </c>
      <c r="G76" s="76">
        <v>3000000</v>
      </c>
      <c r="H76" s="87">
        <v>2500000</v>
      </c>
      <c r="I76" s="76">
        <v>2000000</v>
      </c>
      <c r="J76" s="44"/>
    </row>
    <row r="77" spans="1:11" ht="26.25" customHeight="1" x14ac:dyDescent="0.35">
      <c r="A77" s="80" t="s">
        <v>84</v>
      </c>
      <c r="B77" s="81" t="s">
        <v>85</v>
      </c>
      <c r="C77" s="79"/>
      <c r="D77" s="82"/>
      <c r="E77" s="83"/>
      <c r="F77" s="83"/>
      <c r="G77" s="83"/>
      <c r="H77" s="83"/>
      <c r="I77" s="83"/>
      <c r="J77" s="52"/>
    </row>
    <row r="78" spans="1:11" ht="25.5" customHeight="1" x14ac:dyDescent="0.35">
      <c r="A78" s="78">
        <v>1</v>
      </c>
      <c r="B78" s="62" t="s">
        <v>86</v>
      </c>
      <c r="C78" s="79">
        <v>315</v>
      </c>
      <c r="D78" s="82">
        <v>3</v>
      </c>
      <c r="E78" s="84">
        <v>4800000</v>
      </c>
      <c r="F78" s="85">
        <v>4000000</v>
      </c>
      <c r="G78" s="85">
        <v>3000000</v>
      </c>
      <c r="H78" s="85">
        <v>2500000</v>
      </c>
      <c r="I78" s="86">
        <v>2000000</v>
      </c>
      <c r="J78" s="52"/>
      <c r="K78" s="50"/>
    </row>
    <row r="79" spans="1:11" ht="18" x14ac:dyDescent="0.35">
      <c r="B79" s="3"/>
      <c r="C79" s="4"/>
      <c r="D79" s="4"/>
    </row>
    <row r="80" spans="1:11" ht="18" x14ac:dyDescent="0.35">
      <c r="B80" s="3"/>
      <c r="C80" s="4"/>
      <c r="D80" s="4"/>
    </row>
    <row r="81" spans="2:4" ht="18" x14ac:dyDescent="0.35">
      <c r="B81" s="3"/>
      <c r="C81" s="4"/>
      <c r="D81" s="4"/>
    </row>
    <row r="82" spans="2:4" ht="18" x14ac:dyDescent="0.35">
      <c r="B82" s="3"/>
      <c r="C82" s="4"/>
      <c r="D82" s="4"/>
    </row>
    <row r="83" spans="2:4" ht="18" x14ac:dyDescent="0.35">
      <c r="B83" s="3"/>
      <c r="C83" s="4"/>
      <c r="D83" s="4"/>
    </row>
    <row r="84" spans="2:4" ht="18" x14ac:dyDescent="0.35">
      <c r="B84" s="3"/>
      <c r="C84" s="4"/>
      <c r="D84" s="4"/>
    </row>
  </sheetData>
  <mergeCells count="8">
    <mergeCell ref="J5:J6"/>
    <mergeCell ref="C5:D5"/>
    <mergeCell ref="E5:I5"/>
    <mergeCell ref="A1:I1"/>
    <mergeCell ref="A2:I2"/>
    <mergeCell ref="A3:I3"/>
    <mergeCell ref="A5:A6"/>
    <mergeCell ref="B5:B6"/>
  </mergeCells>
  <printOptions horizontalCentered="1"/>
  <pageMargins left="0.1" right="0.1" top="0.5" bottom="0.5" header="0.3" footer="0.3"/>
  <pageSetup paperSize="9" scale="80" fitToHeight="0" orientation="landscape" r:id="rId1"/>
  <headerFooter differentFirst="1">
    <oddHeader>&amp;C&amp;P</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Phụ lục 01</vt:lpstr>
      <vt:lpstr>Phụ lục 2</vt:lpstr>
      <vt:lpstr>'Phụ lục 01'!Print_Area</vt:lpstr>
      <vt:lpstr>'Phụ lục 2'!Print_Area</vt:lpstr>
      <vt:lpstr>'Phụ lục 01'!Print_Titles</vt:lpstr>
      <vt:lpstr>'Phụ lục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Phuong</dc:creator>
  <cp:lastModifiedBy>Administrator</cp:lastModifiedBy>
  <cp:lastPrinted>2026-05-18T06:42:01Z</cp:lastPrinted>
  <dcterms:created xsi:type="dcterms:W3CDTF">2025-10-31T15:39:00Z</dcterms:created>
  <dcterms:modified xsi:type="dcterms:W3CDTF">2026-05-31T09:14:52Z</dcterms:modified>
</cp:coreProperties>
</file>