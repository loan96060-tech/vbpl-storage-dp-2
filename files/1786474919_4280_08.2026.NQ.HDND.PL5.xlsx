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00" tabRatio="852"/>
  </bookViews>
  <sheets>
    <sheet name="1. PHƯỜNG AN CỰU" sheetId="84" r:id="rId1"/>
    <sheet name="2. PHƯỜNG DƯƠNG NỖ" sheetId="156" r:id="rId2"/>
    <sheet name="3. PHƯỜNG HÓA CHÂU" sheetId="93" r:id="rId3"/>
    <sheet name="4. PHƯỜNG HƯƠNG AN" sheetId="153" r:id="rId4"/>
    <sheet name="5. PHƯỜNG HƯƠNG THỦY" sheetId="94" r:id="rId5"/>
    <sheet name="6. PHƯỜNG HƯƠNG TRÀ" sheetId="86" r:id="rId6"/>
    <sheet name="7. PHƯỜNG KIM LONG" sheetId="158" r:id="rId7"/>
    <sheet name="8. PHƯỜNG KIM TRÀ" sheetId="155" r:id="rId8"/>
    <sheet name="9. PHƯỜNG MỸ THƯỢNG" sheetId="96" r:id="rId9"/>
    <sheet name="10. PHƯỜNG PHONG DINH" sheetId="97" r:id="rId10"/>
    <sheet name="11. PHƯỜNG PHONG ĐIỀN" sheetId="98" r:id="rId11"/>
    <sheet name="12. PHƯỜNG PHONG PHÚ" sheetId="99" r:id="rId12"/>
    <sheet name="13. PHƯỜNG PHONG QUẢNG" sheetId="100" r:id="rId13"/>
    <sheet name="14. PHƯỜNG PHONG THÁI" sheetId="154" r:id="rId14"/>
    <sheet name="15. PHƯỜNG PHÚ BÀI" sheetId="102" r:id="rId15"/>
    <sheet name="16. PHƯỜNG PHÚ XUÂN" sheetId="88" r:id="rId16"/>
    <sheet name="17. PHƯỜNG THANH THỦY" sheetId="159" r:id="rId17"/>
    <sheet name="18. PHƯỜNG THUẬN AN" sheetId="160" r:id="rId18"/>
    <sheet name="19. PHƯỜNG THUẬN HÓA" sheetId="161" r:id="rId19"/>
    <sheet name="20. PHƯỜNG THỦY XUÂN" sheetId="162" r:id="rId20"/>
    <sheet name="21. PHƯỜNG VỸ DẠ" sheetId="152" r:id="rId21"/>
    <sheet name="22. XÃ A LƯỚI 1" sheetId="112" r:id="rId22"/>
    <sheet name="23. XÃ A LƯỚI 2" sheetId="163" r:id="rId23"/>
    <sheet name="24. XÃ A LƯỚI 3" sheetId="167" r:id="rId24"/>
    <sheet name="25. XÃ A LƯỚI 4" sheetId="114" r:id="rId25"/>
    <sheet name="26. XÃ A LƯỚI 5" sheetId="115" r:id="rId26"/>
    <sheet name="27. XÃ BÌNH ĐIỀN" sheetId="116" r:id="rId27"/>
    <sheet name="28. XÃ CHÂN MÂY - LĂNG CÔ" sheetId="164" r:id="rId28"/>
    <sheet name="29. XÃ ĐAN ĐIỀN" sheetId="118" r:id="rId29"/>
    <sheet name="30. XÃ HƯNG LỘC" sheetId="151" r:id="rId30"/>
    <sheet name="31. XÃ KHE TRE" sheetId="168" r:id="rId31"/>
    <sheet name="32. XÃ LONG QUẢNG" sheetId="165" r:id="rId32"/>
    <sheet name="33. XÃ LỘC AN" sheetId="119" r:id="rId33"/>
    <sheet name="34. XÃ NAM ĐÔNG" sheetId="121" r:id="rId34"/>
    <sheet name="35. XÃ PHÚ HỒ" sheetId="122" r:id="rId35"/>
    <sheet name="36. XÃ PHÚ LỘC" sheetId="166" r:id="rId36"/>
    <sheet name="37. XÃ PHÚ VANG" sheetId="110" r:id="rId37"/>
    <sheet name="38. XÃ PHÚ VINH" sheetId="123" r:id="rId38"/>
    <sheet name="39. XÃ QUẢNG ĐIỀN" sheetId="111" r:id="rId39"/>
    <sheet name="40. XÃ VINH LỘC" sheetId="124" r:id="rId40"/>
  </sheets>
  <definedNames>
    <definedName name="_xlnm._FilterDatabase" localSheetId="0" hidden="1">'1. PHƯỜNG AN CỰU'!$A$8:$H$93</definedName>
    <definedName name="_xlnm._FilterDatabase" localSheetId="1" hidden="1">'2. PHƯỜNG DƯƠNG NỖ'!$A$4:$H$160</definedName>
    <definedName name="_xlnm._FilterDatabase" localSheetId="2" hidden="1">'3. PHƯỜNG HÓA CHÂU'!$A$4:$H$202</definedName>
    <definedName name="_xlnm._FilterDatabase" localSheetId="3" hidden="1">'4. PHƯỜNG HƯƠNG AN'!$A$4:$H$208</definedName>
    <definedName name="_xlnm._FilterDatabase" localSheetId="4" hidden="1">'5. PHƯỜNG HƯƠNG THỦY'!$A$4:$H$202</definedName>
    <definedName name="_xlnm._FilterDatabase" localSheetId="5" hidden="1">'6. PHƯỜNG HƯƠNG TRÀ'!$A$5:$H$200</definedName>
    <definedName name="_xlnm._FilterDatabase" localSheetId="6" hidden="1">'7. PHƯỜNG KIM LONG'!$A$5:$L$178</definedName>
    <definedName name="_xlnm._FilterDatabase" localSheetId="7" hidden="1">'8. PHƯỜNG KIM TRÀ'!$A$4:$H$201</definedName>
    <definedName name="_xlnm._FilterDatabase" localSheetId="8" hidden="1">'9. PHƯỜNG MỸ THƯỢNG'!$A$4:$H$202</definedName>
    <definedName name="_xlnm._FilterDatabase" localSheetId="9" hidden="1">'10. PHƯỜNG PHONG DINH'!$A$3:$H$200</definedName>
    <definedName name="_xlnm._FilterDatabase" localSheetId="10" hidden="1">'11. PHƯỜNG PHONG ĐIỀN'!$A$4:$I$202</definedName>
    <definedName name="_xlnm._FilterDatabase" localSheetId="12" hidden="1">'13. PHƯỜNG PHONG QUẢNG'!$A$4:$H$202</definedName>
    <definedName name="_xlnm._FilterDatabase" localSheetId="13" hidden="1">'14. PHƯỜNG PHONG THÁI'!$A$4:$H$205</definedName>
    <definedName name="_xlnm._FilterDatabase" localSheetId="14" hidden="1">'15. PHƯỜNG PHÚ BÀI'!$A$4:$K$200</definedName>
    <definedName name="_xlnm._FilterDatabase" localSheetId="15" hidden="1">'16. PHƯỜNG PHÚ XUÂN'!$A$5:$I$220</definedName>
    <definedName name="_xlnm._FilterDatabase" localSheetId="17" hidden="1">'18. PHƯỜNG THUẬN AN'!$A$4:$H$182</definedName>
    <definedName name="_xlnm._FilterDatabase" localSheetId="18" hidden="1">'19. PHƯỜNG THUẬN HÓA'!$A$5:$H$203</definedName>
    <definedName name="_xlnm._FilterDatabase" localSheetId="19" hidden="1">'20. PHƯỜNG THỦY XUÂN'!$A$4:$H$206</definedName>
    <definedName name="_xlnm._FilterDatabase" localSheetId="20" hidden="1">'21. PHƯỜNG VỸ DẠ'!$A$5:$I$204</definedName>
    <definedName name="_xlnm._FilterDatabase" localSheetId="22" hidden="1">'23. XÃ A LƯỚI 2'!$A$5:$H$203</definedName>
    <definedName name="_xlnm._FilterDatabase" localSheetId="27" hidden="1">'28. XÃ CHÂN MÂY - LĂNG CÔ'!$A$4:$H$158</definedName>
    <definedName name="_xlnm._FilterDatabase" localSheetId="28" hidden="1">'29. XÃ ĐAN ĐIỀN'!$A$4:$H$200</definedName>
    <definedName name="_xlnm._FilterDatabase" localSheetId="30" hidden="1">'31. XÃ KHE TRE'!$A$5:$H$190</definedName>
    <definedName name="_xlnm._FilterDatabase" localSheetId="32" hidden="1">'33. XÃ LỘC AN'!$A$3:$H$200</definedName>
    <definedName name="_xlnm._FilterDatabase" localSheetId="34" hidden="1">'35. XÃ PHÚ HỒ'!$A$4:$H$200</definedName>
    <definedName name="_xlnm._FilterDatabase" localSheetId="36" hidden="1">'37. XÃ PHÚ VANG'!$A$4:$H$202</definedName>
    <definedName name="_xlnm._FilterDatabase" localSheetId="37" hidden="1">'38. XÃ PHÚ VINH'!$A$4:$H$200</definedName>
    <definedName name="_xlnm._FilterDatabase" localSheetId="38" hidden="1">'39. XÃ QUẢNG ĐIỀN'!$A$4:$I$202</definedName>
    <definedName name="_xlnm._FilterDatabase" localSheetId="11" hidden="1">'12. PHƯỜNG PHONG PHÚ'!$A$4:$H$43</definedName>
    <definedName name="_xlnm._FilterDatabase" localSheetId="16" hidden="1">'17. PHƯỜNG THANH THỦY'!$A$5:$H$128</definedName>
    <definedName name="_xlnm._FilterDatabase" localSheetId="29" hidden="1">'30. XÃ HƯNG LỘC'!$A$3:$H$4</definedName>
    <definedName name="_xlnm._FilterDatabase" localSheetId="35" hidden="1">'36. XÃ PHÚ LỘC'!$A$4:$H$52</definedName>
    <definedName name="Google_Sheet_Link_1380880706_1166315412" localSheetId="13" hidden="1">dieu_3_5</definedName>
    <definedName name="Google_Sheet_Link_1380880706_1166315412" localSheetId="16" hidden="1">dieu_3_5</definedName>
    <definedName name="Google_Sheet_Link_1380880706_1166315412" localSheetId="17" hidden="1">dieu_3_5</definedName>
    <definedName name="Google_Sheet_Link_1380880706_1166315412" localSheetId="18" hidden="1">dieu_3_5</definedName>
    <definedName name="Google_Sheet_Link_1380880706_1166315412" localSheetId="1" hidden="1">dieu_3_5</definedName>
    <definedName name="Google_Sheet_Link_1380880706_1166315412" localSheetId="19" hidden="1">dieu_3_5</definedName>
    <definedName name="Google_Sheet_Link_1380880706_1166315412" localSheetId="20" hidden="1">dieu_3_5</definedName>
    <definedName name="Google_Sheet_Link_1380880706_1166315412" localSheetId="22" hidden="1">dieu_3_5</definedName>
    <definedName name="Google_Sheet_Link_1380880706_1166315412" localSheetId="23" hidden="1">dieu_3_5</definedName>
    <definedName name="Google_Sheet_Link_1380880706_1166315412" localSheetId="27" hidden="1">dieu_3_5</definedName>
    <definedName name="Google_Sheet_Link_1380880706_1166315412" localSheetId="28" hidden="1">dieu_3_5</definedName>
    <definedName name="Google_Sheet_Link_1380880706_1166315412" localSheetId="29" hidden="1">dieu_3_5</definedName>
    <definedName name="Google_Sheet_Link_1380880706_1166315412" localSheetId="30" hidden="1">dieu_3_5</definedName>
    <definedName name="Google_Sheet_Link_1380880706_1166315412" localSheetId="31" hidden="1">dieu_3_5</definedName>
    <definedName name="Google_Sheet_Link_1380880706_1166315412" localSheetId="35" hidden="1">dieu_3_5</definedName>
    <definedName name="Google_Sheet_Link_1380880706_1166315412" localSheetId="3" hidden="1">dieu_3_5</definedName>
    <definedName name="Google_Sheet_Link_1380880706_1166315412" localSheetId="5" hidden="1">dieu_3_5</definedName>
    <definedName name="Google_Sheet_Link_1380880706_1166315412" localSheetId="6" hidden="1">dieu_3_5</definedName>
    <definedName name="Google_Sheet_Link_1380880706_1166315412" localSheetId="7" hidden="1">dieu_3_5</definedName>
    <definedName name="Google_Sheet_Link_1380880706_1166315412" hidden="1">dieu_3_5</definedName>
    <definedName name="Google_Sheet_Link_1447755151_1166315412" localSheetId="13" hidden="1">dieu_7_2</definedName>
    <definedName name="Google_Sheet_Link_1447755151_1166315412" localSheetId="16" hidden="1">dieu_7_2</definedName>
    <definedName name="Google_Sheet_Link_1447755151_1166315412" localSheetId="17" hidden="1">dieu_7_2</definedName>
    <definedName name="Google_Sheet_Link_1447755151_1166315412" localSheetId="18" hidden="1">dieu_7_2</definedName>
    <definedName name="Google_Sheet_Link_1447755151_1166315412" localSheetId="1" hidden="1">dieu_7_2</definedName>
    <definedName name="Google_Sheet_Link_1447755151_1166315412" localSheetId="19" hidden="1">dieu_7_2</definedName>
    <definedName name="Google_Sheet_Link_1447755151_1166315412" localSheetId="20" hidden="1">dieu_7_2</definedName>
    <definedName name="Google_Sheet_Link_1447755151_1166315412" localSheetId="22" hidden="1">dieu_7_2</definedName>
    <definedName name="Google_Sheet_Link_1447755151_1166315412" localSheetId="23" hidden="1">dieu_7_2</definedName>
    <definedName name="Google_Sheet_Link_1447755151_1166315412" localSheetId="27" hidden="1">dieu_7_2</definedName>
    <definedName name="Google_Sheet_Link_1447755151_1166315412" localSheetId="28" hidden="1">dieu_7_2</definedName>
    <definedName name="Google_Sheet_Link_1447755151_1166315412" localSheetId="29" hidden="1">dieu_7_2</definedName>
    <definedName name="Google_Sheet_Link_1447755151_1166315412" localSheetId="30" hidden="1">dieu_7_2</definedName>
    <definedName name="Google_Sheet_Link_1447755151_1166315412" localSheetId="31" hidden="1">dieu_7_2</definedName>
    <definedName name="Google_Sheet_Link_1447755151_1166315412" localSheetId="35" hidden="1">dieu_7_2</definedName>
    <definedName name="Google_Sheet_Link_1447755151_1166315412" localSheetId="3" hidden="1">dieu_7_2</definedName>
    <definedName name="Google_Sheet_Link_1447755151_1166315412" localSheetId="5" hidden="1">dieu_7_2</definedName>
    <definedName name="Google_Sheet_Link_1447755151_1166315412" localSheetId="6" hidden="1">dieu_7_2</definedName>
    <definedName name="Google_Sheet_Link_1447755151_1166315412" localSheetId="7" hidden="1">dieu_7_2</definedName>
    <definedName name="Google_Sheet_Link_1447755151_1166315412" hidden="1">dieu_7_2</definedName>
    <definedName name="Google_Sheet_Link_1490428230_1166315412" localSheetId="13" hidden="1">dieu_4_4</definedName>
    <definedName name="Google_Sheet_Link_1490428230_1166315412" localSheetId="16" hidden="1">dieu_4_4</definedName>
    <definedName name="Google_Sheet_Link_1490428230_1166315412" localSheetId="17" hidden="1">dieu_4_4</definedName>
    <definedName name="Google_Sheet_Link_1490428230_1166315412" localSheetId="18" hidden="1">dieu_4_4</definedName>
    <definedName name="Google_Sheet_Link_1490428230_1166315412" localSheetId="1" hidden="1">dieu_4_4</definedName>
    <definedName name="Google_Sheet_Link_1490428230_1166315412" localSheetId="19" hidden="1">dieu_4_4</definedName>
    <definedName name="Google_Sheet_Link_1490428230_1166315412" localSheetId="20" hidden="1">dieu_4_4</definedName>
    <definedName name="Google_Sheet_Link_1490428230_1166315412" localSheetId="22" hidden="1">dieu_4_4</definedName>
    <definedName name="Google_Sheet_Link_1490428230_1166315412" localSheetId="23" hidden="1">dieu_4_4</definedName>
    <definedName name="Google_Sheet_Link_1490428230_1166315412" localSheetId="27" hidden="1">dieu_4_4</definedName>
    <definedName name="Google_Sheet_Link_1490428230_1166315412" localSheetId="28" hidden="1">dieu_4_4</definedName>
    <definedName name="Google_Sheet_Link_1490428230_1166315412" localSheetId="29" hidden="1">dieu_4_4</definedName>
    <definedName name="Google_Sheet_Link_1490428230_1166315412" localSheetId="30" hidden="1">dieu_4_4</definedName>
    <definedName name="Google_Sheet_Link_1490428230_1166315412" localSheetId="31" hidden="1">dieu_4_4</definedName>
    <definedName name="Google_Sheet_Link_1490428230_1166315412" localSheetId="35" hidden="1">dieu_4_4</definedName>
    <definedName name="Google_Sheet_Link_1490428230_1166315412" localSheetId="3" hidden="1">dieu_4_4</definedName>
    <definedName name="Google_Sheet_Link_1490428230_1166315412" localSheetId="5" hidden="1">dieu_4_4</definedName>
    <definedName name="Google_Sheet_Link_1490428230_1166315412" localSheetId="6" hidden="1">dieu_4_4</definedName>
    <definedName name="Google_Sheet_Link_1490428230_1166315412" localSheetId="7" hidden="1">dieu_4_4</definedName>
    <definedName name="Google_Sheet_Link_1490428230_1166315412" hidden="1">dieu_4_4</definedName>
    <definedName name="Google_Sheet_Link_1524020262_1166315412" localSheetId="13" hidden="1">dieu_1_5</definedName>
    <definedName name="Google_Sheet_Link_1524020262_1166315412" localSheetId="16" hidden="1">dieu_1_5</definedName>
    <definedName name="Google_Sheet_Link_1524020262_1166315412" localSheetId="17" hidden="1">dieu_1_5</definedName>
    <definedName name="Google_Sheet_Link_1524020262_1166315412" localSheetId="18" hidden="1">dieu_1_5</definedName>
    <definedName name="Google_Sheet_Link_1524020262_1166315412" localSheetId="1" hidden="1">dieu_1_5</definedName>
    <definedName name="Google_Sheet_Link_1524020262_1166315412" localSheetId="19" hidden="1">dieu_1_5</definedName>
    <definedName name="Google_Sheet_Link_1524020262_1166315412" localSheetId="20" hidden="1">dieu_1_5</definedName>
    <definedName name="Google_Sheet_Link_1524020262_1166315412" localSheetId="22" hidden="1">dieu_1_5</definedName>
    <definedName name="Google_Sheet_Link_1524020262_1166315412" localSheetId="23" hidden="1">dieu_1_5</definedName>
    <definedName name="Google_Sheet_Link_1524020262_1166315412" localSheetId="27" hidden="1">dieu_1_5</definedName>
    <definedName name="Google_Sheet_Link_1524020262_1166315412" localSheetId="28" hidden="1">dieu_1_5</definedName>
    <definedName name="Google_Sheet_Link_1524020262_1166315412" localSheetId="29" hidden="1">dieu_1_5</definedName>
    <definedName name="Google_Sheet_Link_1524020262_1166315412" localSheetId="30" hidden="1">dieu_1_5</definedName>
    <definedName name="Google_Sheet_Link_1524020262_1166315412" localSheetId="31" hidden="1">dieu_1_5</definedName>
    <definedName name="Google_Sheet_Link_1524020262_1166315412" localSheetId="35" hidden="1">dieu_1_5</definedName>
    <definedName name="Google_Sheet_Link_1524020262_1166315412" localSheetId="3" hidden="1">dieu_1_5</definedName>
    <definedName name="Google_Sheet_Link_1524020262_1166315412" localSheetId="5" hidden="1">dieu_1_5</definedName>
    <definedName name="Google_Sheet_Link_1524020262_1166315412" localSheetId="6" hidden="1">dieu_1_5</definedName>
    <definedName name="Google_Sheet_Link_1524020262_1166315412" localSheetId="7" hidden="1">dieu_1_5</definedName>
    <definedName name="Google_Sheet_Link_1524020262_1166315412" hidden="1">dieu_1_5</definedName>
    <definedName name="Google_Sheet_Link_1698846686_1166315412" localSheetId="13" hidden="1">dieu_5_2</definedName>
    <definedName name="Google_Sheet_Link_1698846686_1166315412" localSheetId="16" hidden="1">dieu_5_2</definedName>
    <definedName name="Google_Sheet_Link_1698846686_1166315412" localSheetId="17" hidden="1">dieu_5_2</definedName>
    <definedName name="Google_Sheet_Link_1698846686_1166315412" localSheetId="18" hidden="1">dieu_5_2</definedName>
    <definedName name="Google_Sheet_Link_1698846686_1166315412" localSheetId="1" hidden="1">dieu_5_2</definedName>
    <definedName name="Google_Sheet_Link_1698846686_1166315412" localSheetId="19" hidden="1">dieu_5_2</definedName>
    <definedName name="Google_Sheet_Link_1698846686_1166315412" localSheetId="20" hidden="1">dieu_5_2</definedName>
    <definedName name="Google_Sheet_Link_1698846686_1166315412" localSheetId="22" hidden="1">dieu_5_2</definedName>
    <definedName name="Google_Sheet_Link_1698846686_1166315412" localSheetId="23" hidden="1">dieu_5_2</definedName>
    <definedName name="Google_Sheet_Link_1698846686_1166315412" localSheetId="27" hidden="1">dieu_5_2</definedName>
    <definedName name="Google_Sheet_Link_1698846686_1166315412" localSheetId="28" hidden="1">dieu_5_2</definedName>
    <definedName name="Google_Sheet_Link_1698846686_1166315412" localSheetId="29" hidden="1">dieu_5_2</definedName>
    <definedName name="Google_Sheet_Link_1698846686_1166315412" localSheetId="30" hidden="1">dieu_5_2</definedName>
    <definedName name="Google_Sheet_Link_1698846686_1166315412" localSheetId="31" hidden="1">dieu_5_2</definedName>
    <definedName name="Google_Sheet_Link_1698846686_1166315412" localSheetId="35" hidden="1">dieu_5_2</definedName>
    <definedName name="Google_Sheet_Link_1698846686_1166315412" localSheetId="3" hidden="1">dieu_5_2</definedName>
    <definedName name="Google_Sheet_Link_1698846686_1166315412" localSheetId="5" hidden="1">dieu_5_2</definedName>
    <definedName name="Google_Sheet_Link_1698846686_1166315412" localSheetId="6" hidden="1">dieu_5_2</definedName>
    <definedName name="Google_Sheet_Link_1698846686_1166315412" localSheetId="7" hidden="1">dieu_5_2</definedName>
    <definedName name="Google_Sheet_Link_1698846686_1166315412" hidden="1">dieu_5_2</definedName>
    <definedName name="Google_Sheet_Link_173569116_1227128071" localSheetId="13" hidden="1">chuong_pl_6_name</definedName>
    <definedName name="Google_Sheet_Link_173569116_1227128071" localSheetId="16" hidden="1">chuong_pl_6_name</definedName>
    <definedName name="Google_Sheet_Link_173569116_1227128071" localSheetId="17" hidden="1">chuong_pl_6_name</definedName>
    <definedName name="Google_Sheet_Link_173569116_1227128071" localSheetId="18" hidden="1">chuong_pl_6_name</definedName>
    <definedName name="Google_Sheet_Link_173569116_1227128071" localSheetId="1" hidden="1">chuong_pl_6_name</definedName>
    <definedName name="Google_Sheet_Link_173569116_1227128071" localSheetId="19" hidden="1">chuong_pl_6_name</definedName>
    <definedName name="Google_Sheet_Link_173569116_1227128071" localSheetId="20" hidden="1">chuong_pl_6_name</definedName>
    <definedName name="Google_Sheet_Link_173569116_1227128071" localSheetId="22" hidden="1">chuong_pl_6_name</definedName>
    <definedName name="Google_Sheet_Link_173569116_1227128071" localSheetId="23" hidden="1">chuong_pl_6_name</definedName>
    <definedName name="Google_Sheet_Link_173569116_1227128071" localSheetId="27" hidden="1">chuong_pl_6_name</definedName>
    <definedName name="Google_Sheet_Link_173569116_1227128071" localSheetId="28" hidden="1">chuong_pl_6_name</definedName>
    <definedName name="Google_Sheet_Link_173569116_1227128071" localSheetId="29" hidden="1">chuong_pl_6_name</definedName>
    <definedName name="Google_Sheet_Link_173569116_1227128071" localSheetId="30" hidden="1">chuong_pl_6_name</definedName>
    <definedName name="Google_Sheet_Link_173569116_1227128071" localSheetId="31" hidden="1">chuong_pl_6_name</definedName>
    <definedName name="Google_Sheet_Link_173569116_1227128071" localSheetId="35" hidden="1">chuong_pl_6_name</definedName>
    <definedName name="Google_Sheet_Link_173569116_1227128071" localSheetId="3" hidden="1">chuong_pl_6_name</definedName>
    <definedName name="Google_Sheet_Link_173569116_1227128071" localSheetId="5" hidden="1">chuong_pl_6_name</definedName>
    <definedName name="Google_Sheet_Link_173569116_1227128071" localSheetId="6" hidden="1">chuong_pl_6_name</definedName>
    <definedName name="Google_Sheet_Link_173569116_1227128071" localSheetId="7" hidden="1">chuong_pl_6_name</definedName>
    <definedName name="Google_Sheet_Link_173569116_1227128071" hidden="1">chuong_pl_6_name</definedName>
    <definedName name="Google_Sheet_Link_2064888972_1166315412" localSheetId="13" hidden="1">dieu_6_2</definedName>
    <definedName name="Google_Sheet_Link_2064888972_1166315412" localSheetId="16" hidden="1">dieu_6_2</definedName>
    <definedName name="Google_Sheet_Link_2064888972_1166315412" localSheetId="17" hidden="1">dieu_6_2</definedName>
    <definedName name="Google_Sheet_Link_2064888972_1166315412" localSheetId="18" hidden="1">dieu_6_2</definedName>
    <definedName name="Google_Sheet_Link_2064888972_1166315412" localSheetId="1" hidden="1">dieu_6_2</definedName>
    <definedName name="Google_Sheet_Link_2064888972_1166315412" localSheetId="19" hidden="1">dieu_6_2</definedName>
    <definedName name="Google_Sheet_Link_2064888972_1166315412" localSheetId="20" hidden="1">dieu_6_2</definedName>
    <definedName name="Google_Sheet_Link_2064888972_1166315412" localSheetId="22" hidden="1">dieu_6_2</definedName>
    <definedName name="Google_Sheet_Link_2064888972_1166315412" localSheetId="23" hidden="1">dieu_6_2</definedName>
    <definedName name="Google_Sheet_Link_2064888972_1166315412" localSheetId="27" hidden="1">dieu_6_2</definedName>
    <definedName name="Google_Sheet_Link_2064888972_1166315412" localSheetId="28" hidden="1">dieu_6_2</definedName>
    <definedName name="Google_Sheet_Link_2064888972_1166315412" localSheetId="29" hidden="1">dieu_6_2</definedName>
    <definedName name="Google_Sheet_Link_2064888972_1166315412" localSheetId="30" hidden="1">dieu_6_2</definedName>
    <definedName name="Google_Sheet_Link_2064888972_1166315412" localSheetId="31" hidden="1">dieu_6_2</definedName>
    <definedName name="Google_Sheet_Link_2064888972_1166315412" localSheetId="35" hidden="1">dieu_6_2</definedName>
    <definedName name="Google_Sheet_Link_2064888972_1166315412" localSheetId="3" hidden="1">dieu_6_2</definedName>
    <definedName name="Google_Sheet_Link_2064888972_1166315412" localSheetId="5" hidden="1">dieu_6_2</definedName>
    <definedName name="Google_Sheet_Link_2064888972_1166315412" localSheetId="6" hidden="1">dieu_6_2</definedName>
    <definedName name="Google_Sheet_Link_2064888972_1166315412" localSheetId="7" hidden="1">dieu_6_2</definedName>
    <definedName name="Google_Sheet_Link_2064888972_1166315412" hidden="1">dieu_6_2</definedName>
    <definedName name="Google_Sheet_Link_687983602_1166315412" localSheetId="13" hidden="1">dieu_2_5</definedName>
    <definedName name="Google_Sheet_Link_687983602_1166315412" localSheetId="16" hidden="1">dieu_2_5</definedName>
    <definedName name="Google_Sheet_Link_687983602_1166315412" localSheetId="17" hidden="1">dieu_2_5</definedName>
    <definedName name="Google_Sheet_Link_687983602_1166315412" localSheetId="18" hidden="1">dieu_2_5</definedName>
    <definedName name="Google_Sheet_Link_687983602_1166315412" localSheetId="1" hidden="1">dieu_2_5</definedName>
    <definedName name="Google_Sheet_Link_687983602_1166315412" localSheetId="19" hidden="1">dieu_2_5</definedName>
    <definedName name="Google_Sheet_Link_687983602_1166315412" localSheetId="20" hidden="1">dieu_2_5</definedName>
    <definedName name="Google_Sheet_Link_687983602_1166315412" localSheetId="22" hidden="1">dieu_2_5</definedName>
    <definedName name="Google_Sheet_Link_687983602_1166315412" localSheetId="23" hidden="1">dieu_2_5</definedName>
    <definedName name="Google_Sheet_Link_687983602_1166315412" localSheetId="27" hidden="1">dieu_2_5</definedName>
    <definedName name="Google_Sheet_Link_687983602_1166315412" localSheetId="28" hidden="1">dieu_2_5</definedName>
    <definedName name="Google_Sheet_Link_687983602_1166315412" localSheetId="29" hidden="1">dieu_2_5</definedName>
    <definedName name="Google_Sheet_Link_687983602_1166315412" localSheetId="30" hidden="1">dieu_2_5</definedName>
    <definedName name="Google_Sheet_Link_687983602_1166315412" localSheetId="31" hidden="1">dieu_2_5</definedName>
    <definedName name="Google_Sheet_Link_687983602_1166315412" localSheetId="35" hidden="1">dieu_2_5</definedName>
    <definedName name="Google_Sheet_Link_687983602_1166315412" localSheetId="3" hidden="1">dieu_2_5</definedName>
    <definedName name="Google_Sheet_Link_687983602_1166315412" localSheetId="5" hidden="1">dieu_2_5</definedName>
    <definedName name="Google_Sheet_Link_687983602_1166315412" localSheetId="6" hidden="1">dieu_2_5</definedName>
    <definedName name="Google_Sheet_Link_687983602_1166315412" localSheetId="7" hidden="1">dieu_2_5</definedName>
    <definedName name="Google_Sheet_Link_687983602_1166315412" hidden="1">dieu_2_5</definedName>
    <definedName name="_xlnm.Print_Area" localSheetId="0">'1. PHƯỜNG AN CỰU'!$A$1:$H$93</definedName>
    <definedName name="_xlnm.Print_Area" localSheetId="9">'10. PHƯỜNG PHONG DINH'!$A$1:$H$35</definedName>
    <definedName name="_xlnm.Print_Area" localSheetId="10">'11. PHƯỜNG PHONG ĐIỀN'!$A$1:$H$107</definedName>
    <definedName name="_xlnm.Print_Area" localSheetId="11">'12. PHƯỜNG PHONG PHÚ'!$A$1:$H$43</definedName>
    <definedName name="_xlnm.Print_Area" localSheetId="12">'13. PHƯỜNG PHONG QUẢNG'!$A$1:$H$45</definedName>
    <definedName name="_xlnm.Print_Area" localSheetId="13">'14. PHƯỜNG PHONG THÁI'!$A$1:$H$76</definedName>
    <definedName name="_xlnm.Print_Area" localSheetId="14">'15. PHƯỜNG PHÚ BÀI'!$A$1:$H$106</definedName>
    <definedName name="_xlnm.Print_Area" localSheetId="15">'16. PHƯỜNG PHÚ XUÂN'!$A$1:$H$204</definedName>
    <definedName name="_xlnm.Print_Area" localSheetId="16">'17. PHƯỜNG THANH THỦY'!$A$1:$H$128</definedName>
    <definedName name="_xlnm.Print_Area" localSheetId="17">'18. PHƯỜNG THUẬN AN'!$A$1:$H$81</definedName>
    <definedName name="_xlnm.Print_Area" localSheetId="18">'19. PHƯỜNG THUẬN HÓA'!$A$1:$H$117</definedName>
    <definedName name="_xlnm.Print_Area" localSheetId="1">'2. PHƯỜNG DƯƠNG NỖ'!$A$1:$H$38</definedName>
    <definedName name="_xlnm.Print_Area" localSheetId="19">'20. PHƯỜNG THỦY XUÂN'!$A$1:$H$103</definedName>
    <definedName name="_xlnm.Print_Area" localSheetId="20">'21. PHƯỜNG VỸ DẠ'!$A$1:$H$100</definedName>
    <definedName name="_xlnm.Print_Area" localSheetId="21">'22. XÃ A LƯỚI 1'!$A$1:$H$14</definedName>
    <definedName name="_xlnm.Print_Area" localSheetId="22">'23. XÃ A LƯỚI 2'!$A$1:$H$87</definedName>
    <definedName name="_xlnm.Print_Area" localSheetId="23">'24. XÃ A LƯỚI 3'!$A$1:$H$22</definedName>
    <definedName name="_xlnm.Print_Area" localSheetId="24">'25. XÃ A LƯỚI 4'!$A$1:$H$22</definedName>
    <definedName name="_xlnm.Print_Area" localSheetId="25">'26. XÃ A LƯỚI 5'!$A$1:$H$11</definedName>
    <definedName name="_xlnm.Print_Area" localSheetId="26">'27. XÃ BÌNH ĐIỀN'!$A$1:$H$29</definedName>
    <definedName name="_xlnm.Print_Area" localSheetId="27">'28. XÃ CHÂN MÂY - LĂNG CÔ'!$A$1:$H$40</definedName>
    <definedName name="_xlnm.Print_Area" localSheetId="28">'29. XÃ ĐAN ĐIỀN'!$A$1:$H$74</definedName>
    <definedName name="_xlnm.Print_Area" localSheetId="2">'3. PHƯỜNG HÓA CHÂU'!$A$1:$H$43</definedName>
    <definedName name="_xlnm.Print_Area" localSheetId="29">'30. XÃ HƯNG LỘC'!$A$1:$H$20</definedName>
    <definedName name="_xlnm.Print_Area" localSheetId="30">'31. XÃ KHE TRE'!$A$1:$H$69</definedName>
    <definedName name="_xlnm.Print_Area" localSheetId="31">'32. XÃ LONG QUẢNG'!$A$1:$H$8</definedName>
    <definedName name="_xlnm.Print_Area" localSheetId="32">'33. XÃ LỘC AN'!$A$1:$H$17</definedName>
    <definedName name="_xlnm.Print_Area" localSheetId="33">'34. XÃ NAM ĐÔNG'!$A$1:$H$22</definedName>
    <definedName name="_xlnm.Print_Area" localSheetId="34">'35. XÃ PHÚ HỒ'!$A$1:$H$15</definedName>
    <definedName name="_xlnm.Print_Area" localSheetId="35">'36. XÃ PHÚ LỘC'!$A$1:$H$52</definedName>
    <definedName name="_xlnm.Print_Area" localSheetId="36">'37. XÃ PHÚ VANG'!$A$1:$H$69</definedName>
    <definedName name="_xlnm.Print_Area" localSheetId="37">'38. XÃ PHÚ VINH'!$A$1:$H$21</definedName>
    <definedName name="_xlnm.Print_Area" localSheetId="38">'39. XÃ QUẢNG ĐIỀN'!$A$1:$H$67</definedName>
    <definedName name="_xlnm.Print_Area" localSheetId="3">'4. PHƯỜNG HƯƠNG AN'!$A$1:$H$77</definedName>
    <definedName name="_xlnm.Print_Area" localSheetId="39">'40. XÃ VINH LỘC'!$A$1:$H$30</definedName>
    <definedName name="_xlnm.Print_Area" localSheetId="4">'5. PHƯỜNG HƯƠNG THỦY'!$A$1:$H$98</definedName>
    <definedName name="_xlnm.Print_Area" localSheetId="5">'6. PHƯỜNG HƯƠNG TRÀ'!$A$1:$H$120</definedName>
    <definedName name="_xlnm.Print_Area" localSheetId="6">'7. PHƯỜNG KIM LONG'!$A$1:$H$60</definedName>
    <definedName name="_xlnm.Print_Area" localSheetId="7">'8. PHƯỜNG KIM TRÀ'!$A$1:$H$49</definedName>
    <definedName name="_xlnm.Print_Area" localSheetId="8">'9. PHƯỜNG MỸ THƯỢNG'!$A$1:$H$66</definedName>
    <definedName name="_xlnm.Print_Titles" localSheetId="0">'1. PHƯỜNG AN CỰU'!$6:$7</definedName>
    <definedName name="_xlnm.Print_Titles" localSheetId="9">'10. PHƯỜNG PHONG DINH'!$3:$4</definedName>
    <definedName name="_xlnm.Print_Titles" localSheetId="10">'11. PHƯỜNG PHONG ĐIỀN'!$3:$4</definedName>
    <definedName name="_xlnm.Print_Titles" localSheetId="11">'12. PHƯỜNG PHONG PHÚ'!$3:$4</definedName>
    <definedName name="_xlnm.Print_Titles" localSheetId="12">'13. PHƯỜNG PHONG QUẢNG'!$3:$4</definedName>
    <definedName name="_xlnm.Print_Titles" localSheetId="13">'14. PHƯỜNG PHONG THÁI'!$3:$4</definedName>
    <definedName name="_xlnm.Print_Titles" localSheetId="14">'15. PHƯỜNG PHÚ BÀI'!$3:$4</definedName>
    <definedName name="_xlnm.Print_Titles" localSheetId="15">'16. PHƯỜNG PHÚ XUÂN'!$3:$4</definedName>
    <definedName name="_xlnm.Print_Titles" localSheetId="16">'17. PHƯỜNG THANH THỦY'!$3:$4</definedName>
    <definedName name="_xlnm.Print_Titles" localSheetId="17">'18. PHƯỜNG THUẬN AN'!$3:$4</definedName>
    <definedName name="_xlnm.Print_Titles" localSheetId="18">'19. PHƯỜNG THUẬN HÓA'!$3:$4</definedName>
    <definedName name="_xlnm.Print_Titles" localSheetId="1">'2. PHƯỜNG DƯƠNG NỖ'!$3:$4</definedName>
    <definedName name="_xlnm.Print_Titles" localSheetId="19">'20. PHƯỜNG THỦY XUÂN'!$3:$4</definedName>
    <definedName name="_xlnm.Print_Titles" localSheetId="20">'21. PHƯỜNG VỸ DẠ'!$3:$4</definedName>
    <definedName name="_xlnm.Print_Titles" localSheetId="21">'22. XÃ A LƯỚI 1'!$3:$4</definedName>
    <definedName name="_xlnm.Print_Titles" localSheetId="22">'23. XÃ A LƯỚI 2'!$3:$4</definedName>
    <definedName name="_xlnm.Print_Titles" localSheetId="23">'24. XÃ A LƯỚI 3'!$3:$4</definedName>
    <definedName name="_xlnm.Print_Titles" localSheetId="24">'25. XÃ A LƯỚI 4'!$3:$4</definedName>
    <definedName name="_xlnm.Print_Titles" localSheetId="25">'26. XÃ A LƯỚI 5'!$3:$4</definedName>
    <definedName name="_xlnm.Print_Titles" localSheetId="26">'27. XÃ BÌNH ĐIỀN'!$3:$4</definedName>
    <definedName name="_xlnm.Print_Titles" localSheetId="27">'28. XÃ CHÂN MÂY - LĂNG CÔ'!$3:$4</definedName>
    <definedName name="_xlnm.Print_Titles" localSheetId="28">'29. XÃ ĐAN ĐIỀN'!$3:$4</definedName>
    <definedName name="_xlnm.Print_Titles" localSheetId="2">'3. PHƯỜNG HÓA CHÂU'!$3:$4</definedName>
    <definedName name="_xlnm.Print_Titles" localSheetId="29">'30. XÃ HƯNG LỘC'!$3:$4</definedName>
    <definedName name="_xlnm.Print_Titles" localSheetId="30">'31. XÃ KHE TRE'!$3:$4</definedName>
    <definedName name="_xlnm.Print_Titles" localSheetId="31">'32. XÃ LONG QUẢNG'!$3:$4</definedName>
    <definedName name="_xlnm.Print_Titles" localSheetId="32">'33. XÃ LỘC AN'!$3:$4</definedName>
    <definedName name="_xlnm.Print_Titles" localSheetId="33">'34. XÃ NAM ĐÔNG'!$3:$4</definedName>
    <definedName name="_xlnm.Print_Titles" localSheetId="34">'35. XÃ PHÚ HỒ'!$3:$4</definedName>
    <definedName name="_xlnm.Print_Titles" localSheetId="35">'36. XÃ PHÚ LỘC'!$3:$4</definedName>
    <definedName name="_xlnm.Print_Titles" localSheetId="36">'37. XÃ PHÚ VANG'!$3:$4</definedName>
    <definedName name="_xlnm.Print_Titles" localSheetId="37">'38. XÃ PHÚ VINH'!$3:$4</definedName>
    <definedName name="_xlnm.Print_Titles" localSheetId="38">'39. XÃ QUẢNG ĐIỀN'!$3:$4</definedName>
    <definedName name="_xlnm.Print_Titles" localSheetId="3">'4. PHƯỜNG HƯƠNG AN'!$3:$4</definedName>
    <definedName name="_xlnm.Print_Titles" localSheetId="39">'40. XÃ VINH LỘC'!$3:$4</definedName>
    <definedName name="_xlnm.Print_Titles" localSheetId="4">'5. PHƯỜNG HƯƠNG THỦY'!$3:$4</definedName>
    <definedName name="_xlnm.Print_Titles" localSheetId="5">'6. PHƯỜNG HƯƠNG TRÀ'!$3:$4</definedName>
    <definedName name="_xlnm.Print_Titles" localSheetId="6">'7. PHƯỜNG KIM LONG'!$3:$4</definedName>
    <definedName name="_xlnm.Print_Titles" localSheetId="7">'8. PHƯỜNG KIM TRÀ'!$3:$4</definedName>
    <definedName name="_xlnm.Print_Titles" localSheetId="8">'9. PHƯỜNG MỸ THƯỢNG'!$3:$4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<sst xmlns="http://schemas.openxmlformats.org/spreadsheetml/2006/main" count="27987" uniqueCount="3009">
  <si>
    <t>Phụ lục V</t>
  </si>
  <si>
    <t>BẢNG GIÁ ĐẤT XÂY DỰNG CÔNG TRÌNH SỰ NGHIỆP</t>
  </si>
  <si>
    <t>(Ban hành kèm theo Nghị quyết số 08/2026/NQ-HĐND ngày 22 tháng 5 năm 2026 của Hội đồng nhân dân thành phố Huế)</t>
  </si>
  <si>
    <t>1. PHƯỜNG AN CỰU</t>
  </si>
  <si>
    <t>ĐVT: Đồng/m²</t>
  </si>
  <si>
    <t>STT</t>
  </si>
  <si>
    <t>Tên đường</t>
  </si>
  <si>
    <t>Đoạn đường</t>
  </si>
  <si>
    <t>Giá đất</t>
  </si>
  <si>
    <t>Từ</t>
  </si>
  <si>
    <t>Đến</t>
  </si>
  <si>
    <t>Vị trí 1</t>
  </si>
  <si>
    <t>Vị trí 2</t>
  </si>
  <si>
    <t>Vị trí 3</t>
  </si>
  <si>
    <t>Vị trí 4</t>
  </si>
  <si>
    <t>I. Các tuyến đường đã được đặt tên</t>
  </si>
  <si>
    <t/>
  </si>
  <si>
    <t>An Dương Vương</t>
  </si>
  <si>
    <t>Hùng Vương - Ngự Bình</t>
  </si>
  <si>
    <t>Hồ Đắc Di</t>
  </si>
  <si>
    <t>Cống Bạc I</t>
  </si>
  <si>
    <t>Giáp phường Thanh Thủy</t>
  </si>
  <si>
    <t>An Dương Vương (phía bên kia đường sắt)</t>
  </si>
  <si>
    <t>An Thủy</t>
  </si>
  <si>
    <t>Phan Anh</t>
  </si>
  <si>
    <t>Nguyễn Duy Trinh</t>
  </si>
  <si>
    <t>Âu Lạc</t>
  </si>
  <si>
    <t>Hải Triều</t>
  </si>
  <si>
    <t>Châu Chữ</t>
  </si>
  <si>
    <t>Thiên Thai</t>
  </si>
  <si>
    <t>Giáp phường Thủy Xuân</t>
  </si>
  <si>
    <t>Duy Tân</t>
  </si>
  <si>
    <t>Trần Phú</t>
  </si>
  <si>
    <t>Ngự Bình</t>
  </si>
  <si>
    <t>Đại Cồ Việt</t>
  </si>
  <si>
    <t>Nguyễn Khoa Điệu Hồng</t>
  </si>
  <si>
    <t>Lê Trung Tông</t>
  </si>
  <si>
    <t>Đại Cồ Việt 1</t>
  </si>
  <si>
    <t>Nguyễn Khoa Diệu Hồng</t>
  </si>
  <si>
    <t>Đại Cồ Việt 3</t>
  </si>
  <si>
    <t>Đại Nam</t>
  </si>
  <si>
    <t>Minh Mạng</t>
  </si>
  <si>
    <t>Đặng Văn Ngữ</t>
  </si>
  <si>
    <t>Đầu cầu An Cựu</t>
  </si>
  <si>
    <t>Cầu đường Tôn Quang Phiệt</t>
  </si>
  <si>
    <t>Trường Chinh (Cầu Kiểm Huệ)</t>
  </si>
  <si>
    <t>Đặng Huy Trứ</t>
  </si>
  <si>
    <t>Hoàng Thị Loan (từ phường Thuận Hóa sang phường An Cựu)</t>
  </si>
  <si>
    <t>Đưa từ Phường Thuận Hóa sang</t>
  </si>
  <si>
    <t>Đường dạo quanh hồ Kiểm Huệ</t>
  </si>
  <si>
    <t>Bổ sung đường</t>
  </si>
  <si>
    <t>Cầu An Cựu</t>
  </si>
  <si>
    <t>Cầu Tam Tây</t>
  </si>
  <si>
    <t>Nguyễn Khánh Toàn</t>
  </si>
  <si>
    <t>Võ Văn Kiệt</t>
  </si>
  <si>
    <t>Hoàng Lanh</t>
  </si>
  <si>
    <t>Võ Nguyên Giáp</t>
  </si>
  <si>
    <t>Giáp phường Vỹ Dạ</t>
  </si>
  <si>
    <t>Hoàng Quốc Việt</t>
  </si>
  <si>
    <t>Trường Chinh</t>
  </si>
  <si>
    <t>Hoàng Quốc Việt (cũ)</t>
  </si>
  <si>
    <t>Hoàng Quốc Việt (mới)</t>
  </si>
  <si>
    <t>Hoàng Quốc Việt (đoạn Lang Xá Cồn)</t>
  </si>
  <si>
    <t>Khu Đô thị Phú Mỹ An</t>
  </si>
  <si>
    <t>Khu tái định cư</t>
  </si>
  <si>
    <t>Hoàng Thị Loan</t>
  </si>
  <si>
    <t>Tam Thai</t>
  </si>
  <si>
    <t>Hoàng Văn Thụ</t>
  </si>
  <si>
    <t>Trần Hữu Dực</t>
  </si>
  <si>
    <t>Hồng Chương</t>
  </si>
  <si>
    <t>Hùng Vương</t>
  </si>
  <si>
    <t>An Dương Vương - Ngự Bình</t>
  </si>
  <si>
    <t>Huỳnh Tấn Phát</t>
  </si>
  <si>
    <t>Nguyễn Hữu Thọ</t>
  </si>
  <si>
    <t>Lê Minh</t>
  </si>
  <si>
    <t>Lê Công Hành</t>
  </si>
  <si>
    <t>Trần Đại Nghĩa</t>
  </si>
  <si>
    <t>Lê Khắc Quyến</t>
  </si>
  <si>
    <t>Tôn Thất Dương Kỵ</t>
  </si>
  <si>
    <t>Đường quy hoạch Đại học Huế</t>
  </si>
  <si>
    <t>Lê Quang Đạo</t>
  </si>
  <si>
    <t>Thửa 44 tờ bản đồ 14 (phường An Đông cũ)</t>
  </si>
  <si>
    <t>Bổ sung đoạn</t>
  </si>
  <si>
    <t>Tố Hữu</t>
  </si>
  <si>
    <t>Lê Viết Lượng</t>
  </si>
  <si>
    <t>Hà Huy Tập</t>
  </si>
  <si>
    <t>Lương Nhữ Hộc</t>
  </si>
  <si>
    <t>Nguyễn Hữu Thận</t>
  </si>
  <si>
    <t>Lương Văn Can</t>
  </si>
  <si>
    <t>Phan Chu Trinh</t>
  </si>
  <si>
    <t>Đường sắt</t>
  </si>
  <si>
    <t>Nguyễn Khoa Chiêm</t>
  </si>
  <si>
    <t>Điện Biên Phủ</t>
  </si>
  <si>
    <t>Ngũ Đông</t>
  </si>
  <si>
    <t>Nguyễn Đức Cảnh</t>
  </si>
  <si>
    <t>Hồ Tùng Mậu</t>
  </si>
  <si>
    <t>Nguyễn Đức Tịnh</t>
  </si>
  <si>
    <t>Cuối đường</t>
  </si>
  <si>
    <t>Nguyễn Hữu Ba</t>
  </si>
  <si>
    <t>Đường quy hoạch Đai học Huế</t>
  </si>
  <si>
    <t>Nguyễn Hữu Cảnh</t>
  </si>
  <si>
    <t>Nguyễn Hữu Đính</t>
  </si>
  <si>
    <t>Đường Quy hoạch 24m</t>
  </si>
  <si>
    <t>Đường Quy hoạch</t>
  </si>
  <si>
    <t>Nguyễn Văn Khả</t>
  </si>
  <si>
    <t>Phạm Ngọc Thạch</t>
  </si>
  <si>
    <t>Cầu Thầy Niệm</t>
  </si>
  <si>
    <t>Phùng Chí Kiên</t>
  </si>
  <si>
    <t>Khu dân cư Tổ 6</t>
  </si>
  <si>
    <t>Sông Như Ý</t>
  </si>
  <si>
    <t>Cầu Vân Dương</t>
  </si>
  <si>
    <t>Phan Bội Châu</t>
  </si>
  <si>
    <t>Trung tâm Văn hóa Huyền Trân</t>
  </si>
  <si>
    <t>Võ Chí Công</t>
  </si>
  <si>
    <t>Tôn Quang Phiệt</t>
  </si>
  <si>
    <t>Tôn Thất Bật</t>
  </si>
  <si>
    <t>Tôn Thất Cảnh</t>
  </si>
  <si>
    <t>Cầu Nhất Đông</t>
  </si>
  <si>
    <t>Hết đường (cả 02 nhánh)</t>
  </si>
  <si>
    <t>Điểm xanh Khu quy hoạch</t>
  </si>
  <si>
    <t>Trần Anh Liên</t>
  </si>
  <si>
    <t>Trường Tiểu học Huyền Trân</t>
  </si>
  <si>
    <t>Giáp ranh phường Vỹ Dạ</t>
  </si>
  <si>
    <t>24/5/2026</t>
  </si>
  <si>
    <t>Trần Lư</t>
  </si>
  <si>
    <t>Trần Lư (ngã ba)</t>
  </si>
  <si>
    <t>Trần Thanh Mại</t>
  </si>
  <si>
    <t>Khu đất HTXNN (Thửa đất số 650, tờ bản đồ số 247)</t>
  </si>
  <si>
    <t>Bà Triệu</t>
  </si>
  <si>
    <t>Văn Tiến Dũng</t>
  </si>
  <si>
    <t>Hoàng Quốc Việt (đi cầu Ngói Thanh Toàn)</t>
  </si>
  <si>
    <t>Võ Văn Kiệt thuộc phường An Đông (cũ) đoạn từ giáp ranh phường Thủy Vân (cũ)</t>
  </si>
  <si>
    <t>giáp xã Thủy Thanh</t>
  </si>
  <si>
    <t>Võ Quý Huân</t>
  </si>
  <si>
    <t>Cầu vượt Thủy Dương (Võ Chí Công)</t>
  </si>
  <si>
    <t>Cầu Lim 2</t>
  </si>
  <si>
    <t>II. Các tuyến đường chưa được đặt tên</t>
  </si>
  <si>
    <t>Các tuyến đường còn lại</t>
  </si>
  <si>
    <t>Bổ sung mới</t>
  </si>
  <si>
    <t>2. PHƯỜNG DƯƠNG NỖ</t>
  </si>
  <si>
    <t>I. Các tuyến ven đường giao thông chính</t>
  </si>
  <si>
    <t>Quốc lộ 49A</t>
  </si>
  <si>
    <t>Đoạn từ giáp phường Mỹ Thượng đến Trường Trung học phổ thông Phan Đăng Lưu</t>
  </si>
  <si>
    <t>Đoạn từ Trường Trung học phổ thông Phan Đăng Lưu đến cầu Lưu Khánh</t>
  </si>
  <si>
    <t>Đoạn từ cầu Lưu Khánh đến giáp phường Thuận An</t>
  </si>
  <si>
    <t>Quốc lộ 49B</t>
  </si>
  <si>
    <t>Đoạn từ vòng xuyến cầu Diên Trường 2 (tiếp giáp với phường Thuân An và Tỉnh lộ 2) đến cầu Thảo Long</t>
  </si>
  <si>
    <t>Mới</t>
  </si>
  <si>
    <t>Tỉnh lộ 2</t>
  </si>
  <si>
    <t>Đoạn từ cầu chợ Nọ đến cầu Mậu Tài</t>
  </si>
  <si>
    <t>Đoạn từ cầu Mậu Tài đến thửa đất số 28, tờ bản đồ số 01</t>
  </si>
  <si>
    <t>Đoạn từ thửa đất số 28, tờ bản đồ số 01 đến Vòng xuyến cầu Diên Trường 2</t>
  </si>
  <si>
    <t>Đường WB2 -Từ cầu La Ỷ đến Tỉnh lộ 2 (nhà bia Phú Mậu)</t>
  </si>
  <si>
    <t>Tuyến vào Nhà Lưu niệm Bác Hồ (dọc sông Lợi Nông) - Từ cầu chợ Nọ - Đình làng Dương Nỗ đến cầu Phò An</t>
  </si>
  <si>
    <t>Tuyến chính rẽ nhánh Tỉnh lộ 2 -Tổ dân phố Dương Nỗ Cồn - Từ Tỉnh lộ 2 đến Thửa đất số 115, tờ bản đồ số 6</t>
  </si>
  <si>
    <t>Tuyến chính rẽ nhánh Tỉnh lộ 2 - Từ Tỉnh lộ 2 đến Tuyến
chính vào Tổ dân phố Thạch Căn</t>
  </si>
  <si>
    <t>Thay đổi đoạn</t>
  </si>
  <si>
    <t>Tuyến chính Tổ Dân phố Tiên Nộn - Từ Đường WB2 (Thửa đất số 39, tờ bản đồ số 34) đến hết đường (Thửa đất số 83, tờ bản đồ số 38)</t>
  </si>
  <si>
    <t xml:space="preserve">Tuyến rẽ nhánh WB2 </t>
  </si>
  <si>
    <t>Đoạn từ Đường WB2 (Thửa đất số 109, tờ bản đồ số 35) đến Thửa đất số 175, tờ bản đồ số 38</t>
  </si>
  <si>
    <t>Đoạn từ Đường WB2 (Thửa đất số 37, tờ bản đồ số 34) đến Đập Lài</t>
  </si>
  <si>
    <t>Đoạn từ Đường WB2 (cầu La Ỷ) đến cầu Lợi Nông</t>
  </si>
  <si>
    <t>Tuyến chính vào Tổ dân phố Phò An (2 nhánh)</t>
  </si>
  <si>
    <t>Đoạn từ cầu Phò An đến Vòng xuyến cầu Diên Trường 2</t>
  </si>
  <si>
    <t>Đoạn từ cầu Phò An đến tuyến dường đập hậu</t>
  </si>
  <si>
    <t>Tuyến chính vào Tổ dân phố Thạch Căn - Từ cổng chào Tổ dân phố Thạch Căn – cầu Mậu Tài đến chợ Nọ</t>
  </si>
  <si>
    <t>Tuyến chính vào Tổ dân phố Phú Khê (nhánh hói Phú Khê) -Từ Cổng chào Tổ dân phố Phú Khê đến Giáp ranh giới phường Mỹ Thượng</t>
  </si>
  <si>
    <t>II. Các vùng còn lại</t>
  </si>
  <si>
    <t>Xã Phú Dương (cũ)</t>
  </si>
  <si>
    <t>Vùng 1: Các tuyến đường chính các Tổ dân phố</t>
  </si>
  <si>
    <t>Vùng 2: Ngoài các vị trí 1, 2, các tuyến đường chính</t>
  </si>
  <si>
    <t xml:space="preserve">Vùng 3: Các vị trí còn lại </t>
  </si>
  <si>
    <t>Xã Phú Mậu (cũ) và xã Phú Thanh (cũ)</t>
  </si>
  <si>
    <t>Vùng 1:
- Các tuyến đường rẽ nhánh nối Tỉnh lộ 2 đến các Tổ dân phố thuộc xã Phú Mậu (cũ) 
- Tuyến chính Tổ dân phố Mậu Tài (Ven hói) 
- Các tuyến đường chính tại Khu Tái định cư Lại Tân
- Tuyến đường rẽ nhánh đi cầu Thảo Long 
- Tuyến rẽ nhánh Tỉnh lộ 2 (cạnh Trụ sở Ủy ban nhân dân xã Phú Thanh (cũ))</t>
  </si>
  <si>
    <t>Vùng 2:
- Các tuyến chính của các Tổ dân phố còn lại của xã Phú Mậu (cũ)
- Các tuyến rẽ nhánh từ Tỉnh lộ 2 đến các Tổ dân phố của xã Phú Thanh (cũ)
- Ngoài các vị trí 1, 2, 3 của Tỉnh lộ 2</t>
  </si>
  <si>
    <t>3. PHƯỜNG HÓA CHÂU</t>
  </si>
  <si>
    <t>Chênh lệch</t>
  </si>
  <si>
    <t>Bao Vinh</t>
  </si>
  <si>
    <t>Cầu Bao Vinh</t>
  </si>
  <si>
    <t>Cống Địa Linh</t>
  </si>
  <si>
    <t>Đăng Chiêm</t>
  </si>
  <si>
    <t>Đặng Tất</t>
  </si>
  <si>
    <t>Giáp phường Hương An</t>
  </si>
  <si>
    <t>Hết ranh giới phường Hoá Châu</t>
  </si>
  <si>
    <t>Hoa Lư 3</t>
  </si>
  <si>
    <t>Hoa Lư</t>
  </si>
  <si>
    <t>Mương Thuỷ lợi</t>
  </si>
  <si>
    <t>La Khê</t>
  </si>
  <si>
    <t>Nguyễn Văn Linh</t>
  </si>
  <si>
    <t>Trần Quý Khoáng</t>
  </si>
  <si>
    <t>Nguyễn Thị Vy</t>
  </si>
  <si>
    <t>Cồn Nhỏ Tổ dân phố Minh Thanh (bờ sông Hương)</t>
  </si>
  <si>
    <t>Trần Tiễn Thành</t>
  </si>
  <si>
    <t>Nê Ngõa</t>
  </si>
  <si>
    <t>Thanh Hà</t>
  </si>
  <si>
    <t>Tản Đà</t>
  </si>
  <si>
    <t>Đăng Tất</t>
  </si>
  <si>
    <t>Từ đường họ Trần Quang - xóm Rào Tổ dân phố Minh Thanh</t>
  </si>
  <si>
    <t>Tràng An</t>
  </si>
  <si>
    <t>Mê Linh</t>
  </si>
  <si>
    <t>Trang An 1</t>
  </si>
  <si>
    <t>Lê Minh Trường</t>
  </si>
  <si>
    <t>Tràng An 3</t>
  </si>
  <si>
    <t>Tràng An 5</t>
  </si>
  <si>
    <t>Cầu Thanh Hà</t>
  </si>
  <si>
    <t>III. Các tuyến ven đường giao thông chính</t>
  </si>
  <si>
    <t>Đường Tỉnh lộ 8B: Từ cầu Thanh Phước - Cầu Thảo Long</t>
  </si>
  <si>
    <t>Đường Quốc lộ 49B: Từ cầu Thảo Long đến cầu Tam Giang</t>
  </si>
  <si>
    <t>Đường giao thông liên phường Hương Phong (cũ): Từ Cầu Thanh Phước đến Quốc lộ 49B</t>
  </si>
  <si>
    <t>Tỉnh lộ 4: Đoạn từ cầu ông Dụ đến cầu Thanh Hà (bắt đầu từ thửa đất số 791, tờ 15 kết thúc ở thửa đất số 939, tờ bản đồ số 21)</t>
  </si>
  <si>
    <t>Tuyến từ cầu Tây Thành 2 đến cống Bản (nhà ông Chua km 8 + 500) (từ thửa đất số 846, tờ bản đồ số 16 đến thửa đất số 672, tờ bản đồ số 21); tuyến từ cổng An Thành đến chợ Tây Ba</t>
  </si>
  <si>
    <t>Tuyến từ cầu Tây Thành 1 đến cầu Kim Đôi (từ thửa đất số 102, tờ bản đồ số 16 đến thửa đất số 532, tờ bản đồ số 03)</t>
  </si>
  <si>
    <t>Tuyến đường phía Tây: Từ Tỉnh lộ 4 (nhà bà Phan Thị Hoa) đến Tỉnh lộ 4 (cống Thâm Điền) (từ thửa đất số 891, tờ bản đồ số 21 đến thửa đất số 188, tờ bản đồ số 16)</t>
  </si>
  <si>
    <t>Tuyến từ cầu chợ Tây Ba đến nhà ông Đô (từ thửa đất số 1142, tờ bản đồ số 16 đến thửa đất số 803, tờ bản đồ số 17); tuyến từ cống An Thành đi Thành Phước (điểm đầu nối với đường An Thành đến chợ Tây Ba) (từ thửa đất số 881, tờ bản đồ số 21 đến thửa đất số 562, tờ bản đồ số 22); tuyến từ cầu Tây Thành 2 đến cầu Ruộng Cung (từ thửa đất số 820, tờ bản đồ số 16 đến thửa đất số 650, tờ bản đồ số 16)</t>
  </si>
  <si>
    <t>Tuyến đường nhà Ông Đô đến cầu Thủy Điền (từ thửa đất số 803, tờ bản đồ số 17 đến thửa đất số 33, tờ bản đồ số 18); tuyến đường đầu Kim Đôi đến cuối xóm Ba Gò (từ thửa đất số 222, tờ bản đồ số 13 đến thửa đất số 246, tờ bản đồ số 9).</t>
  </si>
  <si>
    <t>Tuyến đường đập Mưng: Từ Tỉnh lộ 4 đến hói Ngang (từ thửa đất số 1257, tờ bản đồ số 16 đến thửa đất số 609, tờ bản đồ số 16)</t>
  </si>
  <si>
    <t>Tuyến từ cổng làng Phú Lương A đến cống Đông Xuyên (từ thửa đất số 406, tờ bản đồ số 20 đến thửa đất số 05, tờ bản đồ số 14)</t>
  </si>
  <si>
    <t>IV. Các vùng còn lại</t>
  </si>
  <si>
    <t>Phường Hương Phong (cũ)</t>
  </si>
  <si>
    <t>Vùng 1: Các vị trí còn lại của các Tổ dân phố Thanh Phước, Tiền Thành, Vân Quật Thượng, An Lai</t>
  </si>
  <si>
    <t>Vùng 2: Các vị trí còn lại các Tổ dân phố: Vân Quật Đông, Thuận Hoà</t>
  </si>
  <si>
    <t>Vùng 3: Xóm dân cư Cồn Đình, Tổ dân phố Vân Quật Đông</t>
  </si>
  <si>
    <t>Xã Quảng Thành (cũ)</t>
  </si>
  <si>
    <t>Vùng 1: Các Tổ dân phố: Tây Thành, Thanh Hà, An Thành Trên, Thành Trung, Phú Ngạn</t>
  </si>
  <si>
    <t>Vùng 2: Các Tổ dân phố: An Thành Dưới, Phú Lương A, Kim Đôi, Thủy Điền</t>
  </si>
  <si>
    <t>Vùng 3: Tổ dân phố Quán Hòa</t>
  </si>
  <si>
    <t>4. PHƯỜNG HƯƠNG AN</t>
  </si>
  <si>
    <t>Bồn Trì</t>
  </si>
  <si>
    <t>Đình làng Bồn Trì</t>
  </si>
  <si>
    <t>Kim Phụng</t>
  </si>
  <si>
    <t>Cao Thắng</t>
  </si>
  <si>
    <t>Nguyễn Lâm</t>
  </si>
  <si>
    <t>Cao Văn Khánh</t>
  </si>
  <si>
    <t>Nguyễn Đăng Đệ</t>
  </si>
  <si>
    <t>Cầu Cổ Bưu</t>
  </si>
  <si>
    <t>Lý Thần Tông</t>
  </si>
  <si>
    <t>Cầm Bá Thước</t>
  </si>
  <si>
    <t>Nguyễn Duy Hiệu</t>
  </si>
  <si>
    <t>Khu xen ghép Tổ 4 Hương Sơ</t>
  </si>
  <si>
    <t>Cần Vương</t>
  </si>
  <si>
    <t>Dạ Trạch</t>
  </si>
  <si>
    <t>Phạm Thận Duật</t>
  </si>
  <si>
    <t>Đào Doãn Địch</t>
  </si>
  <si>
    <t>Khu dân cư</t>
  </si>
  <si>
    <t>Đặng Chiêm</t>
  </si>
  <si>
    <t>Lý Thái Tổ</t>
  </si>
  <si>
    <t>Cầu Tránh An Hòa</t>
  </si>
  <si>
    <t>Ranh giới phường Hóa Châu</t>
  </si>
  <si>
    <t>Cầu Bạch Yến</t>
  </si>
  <si>
    <t>Đốc Sơ</t>
  </si>
  <si>
    <t>Đường liên phường Hương An - Hương Chữ (cũ)</t>
  </si>
  <si>
    <t>Hết khu dân cư tổ dân phố Thanh Chữ (đường vào nhà ông Hà Văn Lai xóm trên Thanh Chữ)</t>
  </si>
  <si>
    <t>Đường nội thị tổ dân phố Bồn Trì</t>
  </si>
  <si>
    <t xml:space="preserve">Thửa đất số 37, tờ bản đồ số 88 (đất 64 của hộ ông Nguyễn Bân) </t>
  </si>
  <si>
    <t>Hết khu dân cư Cồn Đậu</t>
  </si>
  <si>
    <t>Hùng Lĩnh</t>
  </si>
  <si>
    <t>Đường Quy hoạch 11,5m</t>
  </si>
  <si>
    <t>Hoa Lư 1</t>
  </si>
  <si>
    <t xml:space="preserve">Hoa Lư </t>
  </si>
  <si>
    <t xml:space="preserve">Hoa Lư 2 </t>
  </si>
  <si>
    <t>Hoa Lư 2</t>
  </si>
  <si>
    <t xml:space="preserve">Nguyễn Văn Linh </t>
  </si>
  <si>
    <t xml:space="preserve">Lê Minh Trường </t>
  </si>
  <si>
    <t>Tiếp giáp phường Kim Trà</t>
  </si>
  <si>
    <t>Cầu Tu Ca</t>
  </si>
  <si>
    <t>Lễ Khê</t>
  </si>
  <si>
    <t>Khu quy hoạch (Nhà G2 Chung cư Hương Sơ)</t>
  </si>
  <si>
    <t>Lễ Khê 1</t>
  </si>
  <si>
    <t xml:space="preserve">Chung cư Vạn đò </t>
  </si>
  <si>
    <t xml:space="preserve">Nguyễn Bá Học </t>
  </si>
  <si>
    <t>Lễ Khê 10</t>
  </si>
  <si>
    <t xml:space="preserve">Kiệt 67 đường
Nguyễn Bá Học </t>
  </si>
  <si>
    <t xml:space="preserve">Lễ Khê 7 </t>
  </si>
  <si>
    <t>Lễ Khê 2</t>
  </si>
  <si>
    <t xml:space="preserve">Lễ Khê 1 </t>
  </si>
  <si>
    <t>Lễ Khê 3</t>
  </si>
  <si>
    <t xml:space="preserve">Lễ Khê 8 </t>
  </si>
  <si>
    <t>Lễ Khê 4</t>
  </si>
  <si>
    <t xml:space="preserve">Lễ Khê 3 </t>
  </si>
  <si>
    <t>Lễ Khê 5</t>
  </si>
  <si>
    <t xml:space="preserve">Lễ Khê 2 </t>
  </si>
  <si>
    <t xml:space="preserve">Lễ Khê 10 </t>
  </si>
  <si>
    <t>Lễ Khê 6</t>
  </si>
  <si>
    <t xml:space="preserve">Lễ Khê 5 </t>
  </si>
  <si>
    <t>Lễ Khê 7</t>
  </si>
  <si>
    <t>Lễ Khê 8</t>
  </si>
  <si>
    <t>Lý Nam Đế</t>
  </si>
  <si>
    <t>Bắc cầu An Hoà</t>
  </si>
  <si>
    <t>Ranh giới phường Kim Long</t>
  </si>
  <si>
    <t>Đầu cầu Nguyễn Hoàng</t>
  </si>
  <si>
    <t>Giáp làng Lựu Bảo</t>
  </si>
  <si>
    <t>Cầu An Hòa</t>
  </si>
  <si>
    <t>Giáp ranh phường Kim Trà</t>
  </si>
  <si>
    <t>Phía bên kia đường sắt</t>
  </si>
  <si>
    <t>Cầu An Vân</t>
  </si>
  <si>
    <t>Mai Lão Bạng</t>
  </si>
  <si>
    <t>Đặng Tất (ngã ba An Hòa)</t>
  </si>
  <si>
    <t>Đường thôn Đốc Sơ (cũ)</t>
  </si>
  <si>
    <t>Nguyễn Bá Học</t>
  </si>
  <si>
    <t>Niệm Phật đường Lễ Khê</t>
  </si>
  <si>
    <t>Giáp ranh phường Hóa Châu</t>
  </si>
  <si>
    <t>Nguyễn Duy</t>
  </si>
  <si>
    <t>Đường quy hoạch cuối Khu quy hoạch Bắc Hương Sơ</t>
  </si>
  <si>
    <t>Phạm Bành</t>
  </si>
  <si>
    <t>Tạ Hiền</t>
  </si>
  <si>
    <t>Nguyễn Đăng Thịnh</t>
  </si>
  <si>
    <t>Nguyễn Đoá</t>
  </si>
  <si>
    <t>Đường quy hoạch giáp Chung cư Hương Sơ</t>
  </si>
  <si>
    <t>Thân Trọng Di</t>
  </si>
  <si>
    <t>Nguyễn Ngọc Thăng</t>
  </si>
  <si>
    <t>Mai Lượng</t>
  </si>
  <si>
    <t>Nguyễn Phạm Tuân</t>
  </si>
  <si>
    <t>Tân Sở</t>
  </si>
  <si>
    <t>Nguyễn Thị Hựu</t>
  </si>
  <si>
    <t>Niệm phật đường Đức Bưu</t>
  </si>
  <si>
    <t>Nguyễn Thông</t>
  </si>
  <si>
    <t>Cần vương</t>
  </si>
  <si>
    <t>Đường Quy hoạch 13,5m</t>
  </si>
  <si>
    <t>Điểm đầu Khu hạ tầng kỹ thuật khu dân cư phía Bắc Hương Sơ (khu vực 1, 2, 3, 4, 5, 6, 7, 8, 9, 10)</t>
  </si>
  <si>
    <t>Điểm cuối Khu hạ tầng kỹ thuật khu dân cư phía Bắc Hương Sơ (khu vực 1, 2, 3, 4, 5, 6, 7, 8, 9, 10)</t>
  </si>
  <si>
    <t>Phan Bá Phiến</t>
  </si>
  <si>
    <t>Phan Cảnh Kế</t>
  </si>
  <si>
    <t>Tăng Bạt Hổ (cửa Hậu)</t>
  </si>
  <si>
    <t>Đến ranh giới phường Kim Trà</t>
  </si>
  <si>
    <t>Khu quy hoạch</t>
  </si>
  <si>
    <t>Tôn Thất Đàm</t>
  </si>
  <si>
    <t>Đến hết cuối đường</t>
  </si>
  <si>
    <t>Thanh Chữ</t>
  </si>
  <si>
    <t>Đường sắt Bắc Nam</t>
  </si>
  <si>
    <t>Đường trục chính (khu quy hoạch dân cư Hương An cũ)</t>
  </si>
  <si>
    <t>Trần Trọng Cung</t>
  </si>
  <si>
    <t>Triều Sơn Tây</t>
  </si>
  <si>
    <t>Ranh giới phường Kim Trà</t>
  </si>
  <si>
    <t>,</t>
  </si>
  <si>
    <t>5. PHƯỜNG HƯƠNG THỦY</t>
  </si>
  <si>
    <t>Bùi Chí Nhuận</t>
  </si>
  <si>
    <t>Võ Liêm</t>
  </si>
  <si>
    <t>Võ Trác</t>
  </si>
  <si>
    <t>Bùi Huy Bích</t>
  </si>
  <si>
    <t>Thân Nhân Trung</t>
  </si>
  <si>
    <t>Bùi Thiện Ngộ</t>
  </si>
  <si>
    <t>Thuận Hóa</t>
  </si>
  <si>
    <t>Hết thửa đất số 1139 và 1155, tờ bản đồ số 10 (đường Quy hoạch 19,5m Khu quy hoạch Sợi Phú Bài)</t>
  </si>
  <si>
    <t>Từ thửa đất số 1136, tờ bản đồ số 10 (đường Quy hoạch 19.5m Khu quy hoạch Sợi)</t>
  </si>
  <si>
    <t>Vân Dương</t>
  </si>
  <si>
    <t>Các đường kiệt còn lại của đường Nguyễn Tất Thành</t>
  </si>
  <si>
    <t>Nguyễn Tất Thành (Nhà ông Huỳnh Thế Hằng)</t>
  </si>
  <si>
    <t>Đến hết đường (Nhà ông Võ Xuân Bình)</t>
  </si>
  <si>
    <t>Nguyễn Tất Thành (Nhà ông Đinh Quang Thanh)</t>
  </si>
  <si>
    <t>Đến hết đường (Nhà ông Phan Ngọc Linh)</t>
  </si>
  <si>
    <t>Nguyễn Tất Thành (Nhà bà Đặng Thị Bảy)</t>
  </si>
  <si>
    <t>Đến hết đường (Nhà ông Trương Văn Sơn)</t>
  </si>
  <si>
    <t>Nguyễn Tất Thành (Nhà bà Lê Thị Xoa)</t>
  </si>
  <si>
    <t>Đến hết đường (Nhà ông Dương Đức Hoằng)</t>
  </si>
  <si>
    <t>Chánh Đông</t>
  </si>
  <si>
    <t>Tỉnh lộ 3</t>
  </si>
  <si>
    <t>Đường Thủy Lợi (Cuối thôn Chánh Đông)</t>
  </si>
  <si>
    <t>Châu Sơn</t>
  </si>
  <si>
    <t>Nguyễn Tất Thành</t>
  </si>
  <si>
    <t>Nhà ông Duyên</t>
  </si>
  <si>
    <t>Nhà ông Quân</t>
  </si>
  <si>
    <t>Đại Giang</t>
  </si>
  <si>
    <t>Đuồi Thủy Châu</t>
  </si>
  <si>
    <t>Đỗ Nam</t>
  </si>
  <si>
    <t>Ranh giới phường Phú Bài</t>
  </si>
  <si>
    <t>Hết thửa đất số 71, tờ bản đồ số 20 và Nhà ông Ngô Thạnh (39 Đỗ Nam)</t>
  </si>
  <si>
    <t>Đoạn nối dài đường Quang Trung</t>
  </si>
  <si>
    <t>Dương Thanh Bình</t>
  </si>
  <si>
    <t>Hẻm 1 Kiệt 32 đường Vân Dương</t>
  </si>
  <si>
    <t>Dương Khuê</t>
  </si>
  <si>
    <t>Tân Trào</t>
  </si>
  <si>
    <t>Lê Trọng Bật</t>
  </si>
  <si>
    <t>Đường nối đường Trần Hoàn đến đường Nguyễn Thái Bình</t>
  </si>
  <si>
    <t>Trần Hoàn</t>
  </si>
  <si>
    <t>Kiệt 27 Nguyễn Thái Bình</t>
  </si>
  <si>
    <t>Đường nối đường Võ Xuân Lâm đến đường Nguyễn Trọng Thuật</t>
  </si>
  <si>
    <t>Võ Xuân Lâm</t>
  </si>
  <si>
    <t>Nguyễn Trọng Thuật (nhà ông Nguyễn Ánh)</t>
  </si>
  <si>
    <t>Hoàng Phan Thái</t>
  </si>
  <si>
    <t>Dương Thưởng</t>
  </si>
  <si>
    <t>Đến hết thửa đất số 109, tờ bản đồ số 26, phường Hương Thủy</t>
  </si>
  <si>
    <t>Hoàng Hữu Thường</t>
  </si>
  <si>
    <t>Đường tránh phía Tây Huế (Quốc lộ 1A phía Tây Huế)</t>
  </si>
  <si>
    <t>Ranh giới phường Thanh Thủy</t>
  </si>
  <si>
    <t>Vân Dương (nhà ông Sơn)</t>
  </si>
  <si>
    <t>Hoàng Minh Đạo</t>
  </si>
  <si>
    <t>Kiệt 536 Nguyễn Tất Thành</t>
  </si>
  <si>
    <t>Kiệt 8 Châu Sơn</t>
  </si>
  <si>
    <t>Kiệt 550 Nguyễn Tất Thành</t>
  </si>
  <si>
    <t>Kiệt 560 Nguyễn Tất Thành</t>
  </si>
  <si>
    <t>Đến hết đường (Nhà ông Hồ Chiến)</t>
  </si>
  <si>
    <t>Kiệt 604 Nguyễn Tất Thành</t>
  </si>
  <si>
    <t>Đến hết đường (Nhà ông Dương Khứ)</t>
  </si>
  <si>
    <t>Kiệt 641 Nguyễn Tất Thành</t>
  </si>
  <si>
    <t>Đến hết đường (Nhà ông Huỳnh Cần)</t>
  </si>
  <si>
    <t>Kiệt 643 Nguyễn Tất Thành</t>
  </si>
  <si>
    <t>Đến hết đường (Nhà ông Nguyễn Văn Viên)</t>
  </si>
  <si>
    <t>Kiệt 709 Nguyễn Tất Thành</t>
  </si>
  <si>
    <t>Đến hết đường (Nhà ông Phan Ngọc Chớ)</t>
  </si>
  <si>
    <t>Kiệt 747 Nguyễn Tất Thành</t>
  </si>
  <si>
    <t>Kiệt 34 Võ Liêm</t>
  </si>
  <si>
    <t>Kiệt 807 Nguyễn Tất Thành</t>
  </si>
  <si>
    <t>Đến hết đường (Nhà ông Võ Huê)</t>
  </si>
  <si>
    <t>Kiệt 809 Nguyễn Tất Thành</t>
  </si>
  <si>
    <t>Đến hết đường (Nhà ông Phan Ngọc Đài)</t>
  </si>
  <si>
    <t>Kiệt 825 Nguyễn Tất Thành</t>
  </si>
  <si>
    <t>Đến hết đường (Nhà ông Võ Văn Tuấn)</t>
  </si>
  <si>
    <t>Kiệt 839 Nguyễn Tất Thành</t>
  </si>
  <si>
    <t>Đến hết đường (Tỉnh lộ 10A)</t>
  </si>
  <si>
    <t>Lê Mai</t>
  </si>
  <si>
    <t>Lê Thanh Nghị</t>
  </si>
  <si>
    <t>Mai Xuân Thưởng</t>
  </si>
  <si>
    <t>Trưng Nữ Vương</t>
  </si>
  <si>
    <t>Đến hết Nhà ông Hanh (84 Lê Thanh Nghị) - Trái: Am xóm (Thửa số 383, tờ số 24)</t>
  </si>
  <si>
    <t>Hồ Châu Sơn</t>
  </si>
  <si>
    <t>Sóng Hồng</t>
  </si>
  <si>
    <t>Lê Văn Một</t>
  </si>
  <si>
    <t>Nguyễn Thái Bình</t>
  </si>
  <si>
    <t>Lợi Nông</t>
  </si>
  <si>
    <t>Nguyễn Bá Tuyển</t>
  </si>
  <si>
    <t>Châu Sơn (nhà ông Trần Chớ)</t>
  </si>
  <si>
    <t>Trưng Nữ Vương (Nhà ông Trần Nhật Trường)</t>
  </si>
  <si>
    <t>Nguyễn Phan Vinh</t>
  </si>
  <si>
    <t>Nguyễn Thái Bình (Trừ đoạn đi qua Hạ tầng kỹ thuật khu dân cư Thủy Lương)</t>
  </si>
  <si>
    <t>Cầu Miễu Xóm</t>
  </si>
  <si>
    <t>Nguyễn Thượng Phương</t>
  </si>
  <si>
    <t>Nguyễn Trọng Hợp</t>
  </si>
  <si>
    <t>Nguyễn Trọng Thuật</t>
  </si>
  <si>
    <t>Võ Xuân Lâm nối dài</t>
  </si>
  <si>
    <t>Nguyễn Xuân Ngà</t>
  </si>
  <si>
    <t>Phan Trần Chúc</t>
  </si>
  <si>
    <t>Bổ sung 1/6/2026</t>
  </si>
  <si>
    <t>Phạm Huy Thông</t>
  </si>
  <si>
    <t>Quang Trung</t>
  </si>
  <si>
    <t>Thái Thuận</t>
  </si>
  <si>
    <t>Thái Vĩnh Chinh</t>
  </si>
  <si>
    <t>Thích Thiện Siêu</t>
  </si>
  <si>
    <t>Châu Sơn (nhà bà Bùi Thị Sáo)</t>
  </si>
  <si>
    <t>Châu Sơn (Nhà ông Lê Viết Hiền)</t>
  </si>
  <si>
    <t>Ranh giới xã Phú Vang (cầu Phú Thứ)</t>
  </si>
  <si>
    <t>Ngã ba nhà ông Hồ Vưu (đến hết thửa đất số 599, tờ bàn đồ số 07)</t>
  </si>
  <si>
    <t>Ranh giới xã Thủy Tân</t>
  </si>
  <si>
    <t>Trần Hữu Tước</t>
  </si>
  <si>
    <t>Trần Thanh Từ</t>
  </si>
  <si>
    <t>Trịnh Cương</t>
  </si>
  <si>
    <t>Võ Khoa</t>
  </si>
  <si>
    <t>Võ Liêm (cầu Kênh)</t>
  </si>
  <si>
    <t>Cầu kênh</t>
  </si>
  <si>
    <t>Trạm Bơm (nhà ông Nguyễn Thái)</t>
  </si>
  <si>
    <t>Thuận Hoá (nhà ông Cư)</t>
  </si>
  <si>
    <t>Hết Khu quy hoạch (thửa đất sổ 246, tờ bản đồ số 13)</t>
  </si>
  <si>
    <t>Hết Khu quy hoạch (thửa đất số 246, tờ bản đồ số 13)</t>
  </si>
  <si>
    <t>Đoạn tiếp nối đường Võ Xuân Lâm (Đoạn từ ranh giới phường Phú Bài đến đường Lương Tân Phù)</t>
  </si>
  <si>
    <t>Tỉnh lộ 18 (Đoạn từ ranh giới phường Phú Bài đến hết ranh giới thửa đất số 460 (Phạm Văn Sính), tờ bản đồ số 11 (Theo bản đồ địa chính năm 2005)</t>
  </si>
  <si>
    <t>Đường Lương Tân Phù</t>
  </si>
  <si>
    <t>Đoạn từ ranh giới phường Hương Thủy đến Cổng chào thôn Tân Tô</t>
  </si>
  <si>
    <t>Đoạn từ Cổng chào thôn Tân Tô đến Tỉnh lộ 18</t>
  </si>
  <si>
    <t>Vùng 1:  Các Tổ dân phố: Chiết Bi, Tân Tô, Tô Đà 1, Tô Đà 2 (ngoài các vị trí 1, 2 và 3 của các đường giao thông chính)</t>
  </si>
  <si>
    <t>Vùng 3: Tổ dân phố Hòa Phong (ngoài các vị trí 1, 2 và 3 của các đường giao thông chính)</t>
  </si>
  <si>
    <t>6. PHƯỜNG HƯƠNG TRÀ</t>
  </si>
  <si>
    <r>
      <rPr>
        <i/>
        <sz val="11"/>
        <rFont val="Times New Roman"/>
        <charset val="134"/>
      </rPr>
      <t xml:space="preserve"> ĐVT: Đồng/m</t>
    </r>
    <r>
      <rPr>
        <i/>
        <vertAlign val="superscript"/>
        <sz val="11"/>
        <rFont val="Times New Roman"/>
        <charset val="134"/>
      </rPr>
      <t>2</t>
    </r>
  </si>
  <si>
    <t xml:space="preserve">Bình Sơn </t>
  </si>
  <si>
    <t xml:space="preserve">Cách mạng tháng Tám </t>
  </si>
  <si>
    <t>Sông Bồ</t>
  </si>
  <si>
    <t xml:space="preserve">Bình Sơn 1 </t>
  </si>
  <si>
    <t xml:space="preserve"> Bình Sơn </t>
  </si>
  <si>
    <t xml:space="preserve">Bình Sơn 3 </t>
  </si>
  <si>
    <t xml:space="preserve">Bình Sơn 5 </t>
  </si>
  <si>
    <t>Bùi Công Trừng</t>
  </si>
  <si>
    <t>Cách mạng tháng 8</t>
  </si>
  <si>
    <t>Bửu Kế</t>
  </si>
  <si>
    <t>Cầu Tứ Phú</t>
  </si>
  <si>
    <t>Hói giáp chùa làng Văn Xá</t>
  </si>
  <si>
    <t>Hói cửa khâu</t>
  </si>
  <si>
    <t>Ranh giới phường Hương Văn - phường Tứ Hạ</t>
  </si>
  <si>
    <t>Cống Miếu Đôi (hói Kim Trà)</t>
  </si>
  <si>
    <t>Cầu An Lỗ</t>
  </si>
  <si>
    <t>Đặng Vinh</t>
  </si>
  <si>
    <t xml:space="preserve">Cách mạng tháng 8 </t>
  </si>
  <si>
    <t>Kim Trà</t>
  </si>
  <si>
    <t>Đinh Bộ Lĩnh</t>
  </si>
  <si>
    <t>Đinh Nhật Dân</t>
  </si>
  <si>
    <t>Ngã ba Tỉnh lộ 16</t>
  </si>
  <si>
    <t>Khe Trái (đoạn 2)</t>
  </si>
  <si>
    <t>Độc Lập</t>
  </si>
  <si>
    <t>Lê Thái Tổ</t>
  </si>
  <si>
    <t>Thống Nhất</t>
  </si>
  <si>
    <t>Đường Dinh</t>
  </si>
  <si>
    <t>Tôn Thất Bách</t>
  </si>
  <si>
    <t>Đường bê tông hiện trạng xóm Cồn Lai Thành</t>
  </si>
  <si>
    <t>Đường liên Tổ dân phố Giáp Ba và Tổ dân phố Bàu Đưng</t>
  </si>
  <si>
    <t>Lý Nhân Tông</t>
  </si>
  <si>
    <t>Đường sắt (đường Văn Xá)</t>
  </si>
  <si>
    <t>Đường liên Tổ dân phố Giáp Nhì - Giáp Trung</t>
  </si>
  <si>
    <t>Hết khu dân cư Tổ dân phố Giáp Nhì (miếu ông Cọp)</t>
  </si>
  <si>
    <t xml:space="preserve">Đường liên Tổ dân phố Giáp Nhì - Giáp Trung </t>
  </si>
  <si>
    <t>Hết khu dân cư Tổ dân phố 1 (miếu ông Cọp)</t>
  </si>
  <si>
    <t>Đường liên Tổ dân phố Long Khê</t>
  </si>
  <si>
    <t>Đường sắt Bắc Nam (ranh giới Tứ Hạ - Hương Vân)</t>
  </si>
  <si>
    <t>Trần Trung Lập</t>
  </si>
  <si>
    <t>Đường nội thị tổ dân phố Giáp Ba</t>
  </si>
  <si>
    <t>Trương Xà</t>
  </si>
  <si>
    <t>Đường Tổ dân phố 1</t>
  </si>
  <si>
    <t>Cách mạng tháng 8 (cây xăng)</t>
  </si>
  <si>
    <t>Vòng qua sân bóng đá đi thằng đến hết khu dân cư</t>
  </si>
  <si>
    <t>Đường ven sông Bồ</t>
  </si>
  <si>
    <t>Giáp phường Kim Trà</t>
  </si>
  <si>
    <t>Hà Thế Hạnh</t>
  </si>
  <si>
    <t>Nguyễn Hiền</t>
  </si>
  <si>
    <t>Hồ Văn Tứ</t>
  </si>
  <si>
    <t>Hết đường (kho C393)</t>
  </si>
  <si>
    <t>Hoàng Kim Hoán</t>
  </si>
  <si>
    <t>Trần Văn Trà</t>
  </si>
  <si>
    <t>Đường  Ngự (Tên gọi địa phương)</t>
  </si>
  <si>
    <t>Hoàng Trung</t>
  </si>
  <si>
    <t>Hồng Lĩnh</t>
  </si>
  <si>
    <t>Thống Nhất (đoạn 3)</t>
  </si>
  <si>
    <t xml:space="preserve">Hương Điền </t>
  </si>
  <si>
    <t>Cách mạng tháng Tám</t>
  </si>
  <si>
    <t>Khe Trái</t>
  </si>
  <si>
    <t>Trần Trung Lập (nhà bia tưởng niệm)</t>
  </si>
  <si>
    <t>Đinh Nhật Dân (ngã ba đường liên thôn)</t>
  </si>
  <si>
    <t>Cây Mao</t>
  </si>
  <si>
    <t>Võng xuyến (đường Tô Hiệu)</t>
  </si>
  <si>
    <t>Vòng xuyến (đường Tô Hiệu)</t>
  </si>
  <si>
    <t>Lâm Hồng Phấn</t>
  </si>
  <si>
    <t>Lâm Mậu</t>
  </si>
  <si>
    <t>Lê Đình Dương</t>
  </si>
  <si>
    <t>Lý Thái Tông</t>
  </si>
  <si>
    <t>Lê Hoàn</t>
  </si>
  <si>
    <t>Trần Thánh Tông</t>
  </si>
  <si>
    <t>Lê Mậu Lệ</t>
  </si>
  <si>
    <t>Lê Quang Bính</t>
  </si>
  <si>
    <t>Trần Văn Giàu</t>
  </si>
  <si>
    <t>Hết đường</t>
  </si>
  <si>
    <t>Lê Quang Hoài</t>
  </si>
  <si>
    <t>Phan Sào Nam</t>
  </si>
  <si>
    <t>Lê Sỹ Thận</t>
  </si>
  <si>
    <t>Đường phía Tây Huế</t>
  </si>
  <si>
    <t>Lê Thái Tông</t>
  </si>
  <si>
    <t xml:space="preserve">Lê Trường Danh </t>
  </si>
  <si>
    <t>Đường Quy hoạch Tổ dân phố 4</t>
  </si>
  <si>
    <t>Đường Quy hoạch  24m</t>
  </si>
  <si>
    <t xml:space="preserve"> Phú Ốc</t>
  </si>
  <si>
    <t>Lê Văn An</t>
  </si>
  <si>
    <t>Lý Bôn</t>
  </si>
  <si>
    <t>Ranh giới phường Tứ Hạ (cũ) và phường Hương Văn (cũ)</t>
  </si>
  <si>
    <t>Ngô Kim Lân</t>
  </si>
  <si>
    <t>Ngô Tất Tố</t>
  </si>
  <si>
    <t>Cống Phe Ba</t>
  </si>
  <si>
    <t>Ngọc Hân Công Chúa</t>
  </si>
  <si>
    <t>Nguỵ Như Kom Tum</t>
  </si>
  <si>
    <t>Trần Quốc Tuấn</t>
  </si>
  <si>
    <t>Nguyễn Bá Loan</t>
  </si>
  <si>
    <t>Nguyên Hồng</t>
  </si>
  <si>
    <t>Nguyễn Khoa Đăng</t>
  </si>
  <si>
    <t>Nguyễn Khoa Minh</t>
  </si>
  <si>
    <t>Nguyễn Khoa Thuyên</t>
  </si>
  <si>
    <t xml:space="preserve">Nguyễn Thị Thích </t>
  </si>
  <si>
    <t>Nguyễn Xuân Thưởng</t>
  </si>
  <si>
    <t>Phạm Hữu Tâm</t>
  </si>
  <si>
    <t>Nguỵ Như Kon Tum</t>
  </si>
  <si>
    <t>Phan Đình Tuyển</t>
  </si>
  <si>
    <t>Văn Xá</t>
  </si>
  <si>
    <t>Phú Ốc</t>
  </si>
  <si>
    <t xml:space="preserve">Ruộng Cà </t>
  </si>
  <si>
    <t xml:space="preserve">Trần Văn Giàu </t>
  </si>
  <si>
    <t>Tuyến 5 Quy hoạch Ruộng Cà</t>
  </si>
  <si>
    <t xml:space="preserve">Ruộng Cà 2 </t>
  </si>
  <si>
    <t xml:space="preserve">Ngô Kim Lân </t>
  </si>
  <si>
    <t>Tuyến 8 Quy hoạch Ruộng Cà</t>
  </si>
  <si>
    <t xml:space="preserve">Ruộng Cà 4 </t>
  </si>
  <si>
    <t xml:space="preserve">Ruộng Cà 6 </t>
  </si>
  <si>
    <t xml:space="preserve">Ruộng Cà 8 </t>
  </si>
  <si>
    <t>Ranh giới tổ dân phố 5, 7)</t>
  </si>
  <si>
    <t>Đình làng Phú Ốc</t>
  </si>
  <si>
    <t>Thuận Thiên</t>
  </si>
  <si>
    <t>Niệm phật đường Văn Xá</t>
  </si>
  <si>
    <t>Nhà Cộng đồng Tổ Dân Phố Giáp Tư</t>
  </si>
  <si>
    <t>Tỉnh lộ 16</t>
  </si>
  <si>
    <t>Ranh giới phường Tứ Hạ phường Hương Văn</t>
  </si>
  <si>
    <t>Cống Bàu Cừa</t>
  </si>
  <si>
    <t>Ranh giới phường Hương Văn - Hương Xuân</t>
  </si>
  <si>
    <t>Tô Hiệu</t>
  </si>
  <si>
    <t>Vòng xuyến (Đường Kim Phụng và Lý Nhân Tông)</t>
  </si>
  <si>
    <t>Cách mạng tháng 8 đoạn 3</t>
  </si>
  <si>
    <t>Ranh giới Tứ Hạ - Hương Vân</t>
  </si>
  <si>
    <t>Ranh giới phường Tứ Hạ - Hương Vân</t>
  </si>
  <si>
    <t>Trần Trung Lập (cầu Hiền Sỹ)</t>
  </si>
  <si>
    <t>Tống Phước Trị</t>
  </si>
  <si>
    <t>Trần Bạch Đằng</t>
  </si>
  <si>
    <t xml:space="preserve"> Nhà Thờ Họ Phạm</t>
  </si>
  <si>
    <t xml:space="preserve">Đường tỉnh lộ 16 </t>
  </si>
  <si>
    <t>Trần Đăng Khoa</t>
  </si>
  <si>
    <t>Bệnh viện Hương Trà</t>
  </si>
  <si>
    <t>Trần Hưng Đạt</t>
  </si>
  <si>
    <t>Ngã ba đường về Đình làng Văn Xá</t>
  </si>
  <si>
    <t>Trần Hữu Độ</t>
  </si>
  <si>
    <t>Trần Văn Trà (ngã ba đường WB)</t>
  </si>
  <si>
    <t xml:space="preserve">Trần Thị Soạn </t>
  </si>
  <si>
    <t xml:space="preserve">Lý Nhân Tông (Quốc lộ 1A) </t>
  </si>
  <si>
    <t>Chợ Văn Xá</t>
  </si>
  <si>
    <t>Đường Tôn Thất Bách (Cầu Hiền Sỹ)</t>
  </si>
  <si>
    <t>Khe Trái (nhà bia tưởng niệm)</t>
  </si>
  <si>
    <t xml:space="preserve"> Đường Kim Phụng</t>
  </si>
  <si>
    <t>Hết Khu tái định cư Ruộng Cà</t>
  </si>
  <si>
    <t>Văn Xá (ngã tư Tỉnh lộ 16)</t>
  </si>
  <si>
    <t>Hoàng Kim Hoán (cầu sắt Sơn Công)</t>
  </si>
  <si>
    <t>Đinh Nhật Dân (Nhà thờ Họ Châu)</t>
  </si>
  <si>
    <t>Đường Văn Xá</t>
  </si>
  <si>
    <t>Lý Nhân Tông (Quốc lộ 1A)</t>
  </si>
  <si>
    <t>Khu công nghiệp Tứ Hạ</t>
  </si>
  <si>
    <t>Ngã tư Tỉnh lộ 16 và đường Trần Văn Trà</t>
  </si>
  <si>
    <t>Võ Bá Hạp</t>
  </si>
  <si>
    <t>Võ Hoành</t>
  </si>
  <si>
    <t>Võ Văn Dũng</t>
  </si>
  <si>
    <t>Đường 13,5m</t>
  </si>
  <si>
    <t>Trần Hưng Đạt (đoạn 1)</t>
  </si>
  <si>
    <t>Đường D5</t>
  </si>
  <si>
    <t>7. PHƯỜNG KIM LONG</t>
  </si>
  <si>
    <t>An Ninh</t>
  </si>
  <si>
    <t>Nguyễn Hoàng</t>
  </si>
  <si>
    <t>Kiệt 32 đường Nguyễn Phúc Chu</t>
  </si>
  <si>
    <t>Bà Phan (Nguyễn) Đình Chi</t>
  </si>
  <si>
    <t>Nguyễn Phúc Nguyên</t>
  </si>
  <si>
    <t>Nguyễn Phúc Chu</t>
  </si>
  <si>
    <t>Bửu Đình</t>
  </si>
  <si>
    <t>Lê Tự Nhiên</t>
  </si>
  <si>
    <t>Đường quy hoạch trước mặt chợ Kim Long</t>
  </si>
  <si>
    <t>Chầm</t>
  </si>
  <si>
    <t>Bảo trợ xã hội thành phố</t>
  </si>
  <si>
    <t>Đoàn Văn Sách</t>
  </si>
  <si>
    <t>Văn Thánh</t>
  </si>
  <si>
    <t>Nhà thờ Họ Mai</t>
  </si>
  <si>
    <t>Hà Khê</t>
  </si>
  <si>
    <t>Nguyễn Phúc Lan</t>
  </si>
  <si>
    <t>Đường số 3 Khu quy hoạch</t>
  </si>
  <si>
    <t>Hồ Thị Lữ</t>
  </si>
  <si>
    <t>Nguyễn Hữu Dật</t>
  </si>
  <si>
    <t>Hồ Thừa</t>
  </si>
  <si>
    <t>Khu tái định cư Quai Chèo</t>
  </si>
  <si>
    <t>Hồ Văn Hiển</t>
  </si>
  <si>
    <t>Nguyễn Phúc Thái</t>
  </si>
  <si>
    <t>Hương Bình</t>
  </si>
  <si>
    <t>Kiệt 34 Lê Quang Quyền</t>
  </si>
  <si>
    <t>Huỳnh Đình Túc</t>
  </si>
  <si>
    <t>Văn Thánh (nhà bà Nhàn)</t>
  </si>
  <si>
    <t>Ngã ba xóm Hàn Cơ</t>
  </si>
  <si>
    <t>Kim Long</t>
  </si>
  <si>
    <t>Cầu Bạch Hổ</t>
  </si>
  <si>
    <t>Đường lên nghĩa trang phía Bắc</t>
  </si>
  <si>
    <t>Cầu Tuần</t>
  </si>
  <si>
    <t>Lê Đức Toàn</t>
  </si>
  <si>
    <t>Ngã ba Trường Tiểu học số 1 Hương Hồ</t>
  </si>
  <si>
    <t>Lê Quang Quận</t>
  </si>
  <si>
    <t>Sư Vạn Hạnh</t>
  </si>
  <si>
    <t>Lê Quang Quyền</t>
  </si>
  <si>
    <t>Lê Quang Việp</t>
  </si>
  <si>
    <t>Long Hồ</t>
  </si>
  <si>
    <t>Miếu Xóm</t>
  </si>
  <si>
    <t>Vạn Xuân</t>
  </si>
  <si>
    <t>Ngã ba đường Văn Thánh và đường Long Hồ</t>
  </si>
  <si>
    <t>Kim Phụng (khu du lịch Về nguồn)</t>
  </si>
  <si>
    <t>Lựu Bảo</t>
  </si>
  <si>
    <t>Ngã ba (Lựu Bảo đi Hương An)</t>
  </si>
  <si>
    <t>Ranh giới phường Hương Long (cũ)</t>
  </si>
  <si>
    <t>Đường từ ranh giới phường Hương An</t>
  </si>
  <si>
    <t>Cầu An Ninh</t>
  </si>
  <si>
    <t>Mai Khắc Đôn</t>
  </si>
  <si>
    <t>Ngọc Hồ</t>
  </si>
  <si>
    <t>Giáp xã Hương Thọ (cũ) (Điện Hòn chén)</t>
  </si>
  <si>
    <t>Phạm Thị Liên</t>
  </si>
  <si>
    <t>Nguyễn Hữu Dật (thôn Trúc Lâm)</t>
  </si>
  <si>
    <t>Kiệt xóm Nam Bình</t>
  </si>
  <si>
    <t>Nguyễn Phúc Tần</t>
  </si>
  <si>
    <t>Giáp địa giới phường Hương Hồ (cũ)</t>
  </si>
  <si>
    <t>Khu định cư giáp nghĩa địa</t>
  </si>
  <si>
    <t>Khu định cư mới Kim Long</t>
  </si>
  <si>
    <t>Nguyễn Phúc Thụ</t>
  </si>
  <si>
    <t>Nghĩa trang liệt sĩ phường Hương Long (cũ) và đường Lý Nam Đế</t>
  </si>
  <si>
    <t>Nguyễn Trọng Nhân</t>
  </si>
  <si>
    <t>Ngã ba Lựu Bảo</t>
  </si>
  <si>
    <t>Văn Thánh (cầu Xước Dũ)</t>
  </si>
  <si>
    <t>Phạm Triệt</t>
  </si>
  <si>
    <t>Sông Hương</t>
  </si>
  <si>
    <t>Phạm Tu</t>
  </si>
  <si>
    <t>Phan Trọng Tịnh</t>
  </si>
  <si>
    <t>Kiệt 24 Nguyễn Phúc Chu</t>
  </si>
  <si>
    <t>Phú Mộng</t>
  </si>
  <si>
    <t>Triệu Túc</t>
  </si>
  <si>
    <t>Ranh giới phường Hương Hồ (cũ) - phường Kim Long (cũ)</t>
  </si>
  <si>
    <t>Hết ranh giới khu di tích Võ Thánh</t>
  </si>
  <si>
    <t>Khu di tích Võ Thánh</t>
  </si>
  <si>
    <t>Ngã ba đường Long Hồ đi Công ty Về nguồn</t>
  </si>
  <si>
    <t>Đầu cầu Kim Long</t>
  </si>
  <si>
    <t>Xuân Hòa</t>
  </si>
  <si>
    <t>Đường Quốc lộ 49A: Xã Hương Thọ (cũ) và Ranh giới xã Bình Điền</t>
  </si>
  <si>
    <t>Vùng 1: Các Tổ Dân phố: Liên Bằng, La Khê Bải, Hải Cát 1, Hải Cát 2 (sau vị trí 3 đường giao thông chính)</t>
  </si>
  <si>
    <t>Vùng 2: Các vị trí còn lại của các Tổ dân phố: Đình Môn, Kim Ngọc, La Khê Trẹm, Thạch Hàn, Hòa An.</t>
  </si>
  <si>
    <t>8. PHƯỜNG KIM TRÀ</t>
  </si>
  <si>
    <t>An Đô</t>
  </si>
  <si>
    <t>Đình làng An Đô</t>
  </si>
  <si>
    <t>Bùi Điền</t>
  </si>
  <si>
    <t>Cô Đàn Thanh Lương đường Đặng Huy Tá</t>
  </si>
  <si>
    <t>Nhà ông Diêu</t>
  </si>
  <si>
    <t>Ranh giới tổ dân phố Xuân Tháp - Dương Sơn</t>
  </si>
  <si>
    <t>Đặng Huy Tá</t>
  </si>
  <si>
    <t>Dương Bá Nuôi</t>
  </si>
  <si>
    <t>Cô Đàn Thanh Lương</t>
  </si>
  <si>
    <t>Cầu ông Ân đường Trà Kệ</t>
  </si>
  <si>
    <t>Đặng Huy Tá (đê bao Sông Bồ)</t>
  </si>
  <si>
    <t xml:space="preserve">Đường giao thông liên phường </t>
  </si>
  <si>
    <t xml:space="preserve">Cầu Giáp Tây (sau vị trí 2 Tỉnh lộ 8B đoạn 1) </t>
  </si>
  <si>
    <t>Đến cổng Thôn Cổ Lão</t>
  </si>
  <si>
    <t xml:space="preserve">Từ cổng thôn Cổ Lão </t>
  </si>
  <si>
    <t>Đến cổng thôn Dương Sơn</t>
  </si>
  <si>
    <t>Đường liên tổ dân phố Quê Chữ - La Chữ Trung</t>
  </si>
  <si>
    <t>Nga Sơn</t>
  </si>
  <si>
    <t>Hà Công</t>
  </si>
  <si>
    <t>Đường Quê Chữ - Giáp Thượng</t>
  </si>
  <si>
    <t>Cổng làng Giáp Thượng</t>
  </si>
  <si>
    <t>Đường vào khu dân cư Tổ dân phố Thượng Khê</t>
  </si>
  <si>
    <t>Trần Quang Diệm</t>
  </si>
  <si>
    <t>Khu dân cư Tổ dân phố Thượng Khê</t>
  </si>
  <si>
    <t>Đường vào xưởng Đúc Văn Thăng</t>
  </si>
  <si>
    <t>Đường về An Đô hạ</t>
  </si>
  <si>
    <t>Phan Kế Toại</t>
  </si>
  <si>
    <t>Lý Thần Tông (cầu Phường Trung)</t>
  </si>
  <si>
    <t>Kha Vạng Cân</t>
  </si>
  <si>
    <t>Hà Công (nhà ông Phạm Sơn)</t>
  </si>
  <si>
    <t>Trạm bơm Quê Chữ</t>
  </si>
  <si>
    <t>Từ ranh giới phường Kim Trà  - phường Hương Trà</t>
  </si>
  <si>
    <t>Đến Ranh giới phường Hương An - phường Kim Trà</t>
  </si>
  <si>
    <t>Lê Đức Thọ</t>
  </si>
  <si>
    <t>Cầu Thanh Lương</t>
  </si>
  <si>
    <t>Lê Quang Tiến</t>
  </si>
  <si>
    <t>Cầu Hữu Nghị</t>
  </si>
  <si>
    <t>Phan Kế Toại (Trạm bơm xóm cụt)</t>
  </si>
  <si>
    <t>Lê Thuyết (đường Tây Xuân)</t>
  </si>
  <si>
    <t>Liễu Nam</t>
  </si>
  <si>
    <t>Hết khu dân cư hiện có, xứ đồng Vụng Trạng</t>
  </si>
  <si>
    <t>Từ Ranh giới phường Hương An - phường Kim Trà</t>
  </si>
  <si>
    <t>Đến ngã ba tỉnh lộ 8B</t>
  </si>
  <si>
    <t>Từ ngã ba tỉnh lộ 8B</t>
  </si>
  <si>
    <t>Đến ranh giới phường Kim Trà  - phường Hương Trà</t>
  </si>
  <si>
    <t>Đến ranh giới phường Kim Trà  - phường Hương An</t>
  </si>
  <si>
    <t>có chỉnh sửa phường Hương trà thành phường Hương An theo phòng KTHT</t>
  </si>
  <si>
    <t xml:space="preserve">Lý Nhân Tông </t>
  </si>
  <si>
    <t>Họ Hoàng Văn</t>
  </si>
  <si>
    <t>Nguyễn Chí Thanh</t>
  </si>
  <si>
    <t>Ranh giới xã Quảng Điền - Phường Kim Trà</t>
  </si>
  <si>
    <t>Cầu Hương Cần</t>
  </si>
  <si>
    <t>Ranh giới Phường Kim Trà - Phường Hương An</t>
  </si>
  <si>
    <t>Phan Hữu Dật</t>
  </si>
  <si>
    <t>Trà Kệ</t>
  </si>
  <si>
    <t>Cầu Phường Nam</t>
  </si>
  <si>
    <t xml:space="preserve">Làng Phú Ổ (Nhà ông Hà Văn Đề) </t>
  </si>
  <si>
    <t>Phú Lâm</t>
  </si>
  <si>
    <t>Kim Phụng (cống xóm rẫy)</t>
  </si>
  <si>
    <t>Trạm Biến thế (Bàu ruồng)</t>
  </si>
  <si>
    <t>Thanh Lương</t>
  </si>
  <si>
    <t>Ngã ba Hợp tác xã nông nghiệp Đông Xuân</t>
  </si>
  <si>
    <t>Ranh giới phường Kim Trà - Phường Hương Trà</t>
  </si>
  <si>
    <t>Ranh giới phường Kim Trà - Xã Bình Điền</t>
  </si>
  <si>
    <t>Tỉnh lộ 8B</t>
  </si>
  <si>
    <t>Ranh giới phường Hương Chữ - Hương Toàn</t>
  </si>
  <si>
    <t>Cổng làng Hương Cần</t>
  </si>
  <si>
    <t xml:space="preserve"> Ngã ba đường vào thôn An Thuận</t>
  </si>
  <si>
    <t>Đoạn còn lại của Tỉnh lộ 8B</t>
  </si>
  <si>
    <t>Cầu ông Ân</t>
  </si>
  <si>
    <t>Thôn Thanh Khê</t>
  </si>
  <si>
    <t>Trần Văn Trung</t>
  </si>
  <si>
    <t>Bùi Điền (chợ Kệ cũ)</t>
  </si>
  <si>
    <t>Trường Thi</t>
  </si>
  <si>
    <t>Hà Công (Trường trung học cơ sở)</t>
  </si>
  <si>
    <t>Nhà sinh hoạt cộng đồng Tổ dân phố La Chữ Đông</t>
  </si>
  <si>
    <t>Tuyến đường WB</t>
  </si>
  <si>
    <t xml:space="preserve">Từ Tổ dân phố Giáp Tây (đoạn từ sau vị trí 2 của Tỉnh lộ 8B đoạn 1) </t>
  </si>
  <si>
    <t>Đình làng Giáp Tây</t>
  </si>
  <si>
    <t>Ngã tư tỉnh lộ 8B và đường WB (đoạn từ sau vị trí 2 của đường tỉnh lộ 8B đoạn 1)</t>
  </si>
  <si>
    <t>Đường tỉnh 19</t>
  </si>
  <si>
    <t>Các đường còn lại</t>
  </si>
  <si>
    <t>9. PHƯỜNG MỸ THƯỢNG</t>
  </si>
  <si>
    <t>Châu Văn Hùng</t>
  </si>
  <si>
    <t>Lại Thế</t>
  </si>
  <si>
    <t>Nguyễn Đình Tứ</t>
  </si>
  <si>
    <t>Diệu Quang</t>
  </si>
  <si>
    <t>Đường xóm 10 Tổ Dân phố Ngọc Anh</t>
  </si>
  <si>
    <t>Đào Duy Tùng</t>
  </si>
  <si>
    <t>Nguyễn Đình Bảy</t>
  </si>
  <si>
    <t>Đường Diệu Quang</t>
  </si>
  <si>
    <t>Trường Trung học cơ sở Phú Thượng</t>
  </si>
  <si>
    <t>Đường Pha</t>
  </si>
  <si>
    <t>Đường Pha 1</t>
  </si>
  <si>
    <t>Hoàng Trọng Mậu</t>
  </si>
  <si>
    <t>Đường Pha 2</t>
  </si>
  <si>
    <t>Đường Pha 3</t>
  </si>
  <si>
    <t>Đường Pha 4</t>
  </si>
  <si>
    <t>Đường Pha 5</t>
  </si>
  <si>
    <t>Đinh Thị Con</t>
  </si>
  <si>
    <t>Nguyễn Như Chương</t>
  </si>
  <si>
    <t>Kiệt 10 Ngọc Anh</t>
  </si>
  <si>
    <t>Gia Lạc</t>
  </si>
  <si>
    <t>Chân cầu chợ Dinh (đường Nguyễn Sinh Cung; đường Nguyễn Thị Thanh)</t>
  </si>
  <si>
    <t>Quốc lộ 49A (đường Thuận An)</t>
  </si>
  <si>
    <t>Phạm Văn Đồng</t>
  </si>
  <si>
    <t>Đình làng Lại Thế</t>
  </si>
  <si>
    <t>Cầu Ngọc Anh</t>
  </si>
  <si>
    <t>Giáp xã Phú Mỹ (cũ)</t>
  </si>
  <si>
    <t>Nguyễn Sinh Cung nối dài</t>
  </si>
  <si>
    <t>Cầu Chợ Dinh</t>
  </si>
  <si>
    <t>Nguyễn Thị Thanh</t>
  </si>
  <si>
    <t>Công ty Cổ phần Nuôi trồng thủy sản Thừa Thiên Huế</t>
  </si>
  <si>
    <t>Đập La Ỷ</t>
  </si>
  <si>
    <t>Phạm Bá Nguyên</t>
  </si>
  <si>
    <t>Thuận An (cầu Cảm Thông)</t>
  </si>
  <si>
    <t>Thuận An</t>
  </si>
  <si>
    <t>Thủy Dương - Thuận An (đường Võ Chí Công nối dài)</t>
  </si>
  <si>
    <t>Phổ Nam</t>
  </si>
  <si>
    <t>Giáp ranh phường Dương Nỗ</t>
  </si>
  <si>
    <t>Võ Tử Thành</t>
  </si>
  <si>
    <t>Cầu Ông Cửu</t>
  </si>
  <si>
    <t>III.Các tuyến đường ven đường giao thông chính</t>
  </si>
  <si>
    <t>Xã Phú Mỹ (cũ)</t>
  </si>
  <si>
    <t>Đường Thuỷ Dương - Thuận An</t>
  </si>
  <si>
    <t>Đoạn từ cầu Công Lương đến ngã tư Thủy Dương - Thuận An và Tỉnh lộ 10A</t>
  </si>
  <si>
    <t>Đoạn từ giáp ngã tư Thủy Dương - Thuận An và Tỉnh lộ 10A đến hết xã Phú Mỹ (cũ)</t>
  </si>
  <si>
    <t>Tỉnh lộ 10A</t>
  </si>
  <si>
    <t>Đoạn từ ngã tư Thủy Dương - Thuận An đến cầu Phước Linh (vùng quy hoạch Khu E - Đô thị An Vân Dương)</t>
  </si>
  <si>
    <t>Đoạn từ cầu Phước Linh đến cầu Long</t>
  </si>
  <si>
    <t>Đoạn từ cầu Long đến giáp xã Phú Hồ</t>
  </si>
  <si>
    <t>Tuyến đường Liên xã Phú Mỹ - Phú An (cũ)</t>
  </si>
  <si>
    <t>Tuyến đường Liên phường Phú Thượng - Phú Mỹ - Phú Hồ</t>
  </si>
  <si>
    <t>Đoạn từ Giáp phường Nguyễn Đình Bảy đến đường Võ Chí Công</t>
  </si>
  <si>
    <t>Đoạn từ Đường Võ Chí Công đến cầu An Lưu</t>
  </si>
  <si>
    <t>Đoạn từ cầu An Lưu đến giáp xã Phú Hồ</t>
  </si>
  <si>
    <t>Các đường xóm chính Tổ Dân phố Dưỡng Mong (Khu C - Đô thị An Vân Dương)</t>
  </si>
  <si>
    <t>Xã Phú An (cũ)</t>
  </si>
  <si>
    <t>Tuyến đường Liên xã Phú Mỹ - Phú An (cũ): Đoạn từ cổng làng Mong An đến Cầu Đồng Miệu (Tổ Dân phố An Truyền)</t>
  </si>
  <si>
    <t>Tuyến trục chính Tổ Dân phố Triều Thuỷ đi phường Thuận An: Đoạn từ Cầu Lưu Bụ đến Chợ Triều Thuỷ</t>
  </si>
  <si>
    <t>Tuyến trục chính Tổ Dân phố Triều Thuỷ mới (Đi qua sân vận động xã Phú An)</t>
  </si>
  <si>
    <t>Vùng 1: 
- Các tuyến ngang nối Tỉnh lộ 10A đến tuyến liên xã Thượng - Mỹ - Hồ đoạn từ giáp đường Thủy Dương - Thuận An đến Miếu Phước Linh
- Tuyến chính Tổ dân phố Mong An</t>
  </si>
  <si>
    <t>Vùng 2: 
- Các tuyến ngang nối Tỉnh lộ 10A đến tuyến liên xã Thượng - Mỹ - Hồ đoạn từ Miếu Phước Linh đến giáp xã Phú Hồ
- Ngoài các vị trí 1, 2, 3 các tuyến đường chính các thôn
- Tuyến đường chính Tổ dân phố An Hạ</t>
  </si>
  <si>
    <t>Vùng 3: Các vị trí còn lại</t>
  </si>
  <si>
    <t>Vùng 1: 
- Tuyến đường Liên xã Phú Mỹ - Phú An (cũ) đoạn từ Cầu Đồng Miệu (An Truyền) đến Tổ Dân phố Định Cư
- Các tuyến đường rẽ nhánh của tuyến chính Tổ Dân phố Triều Thuỷ
- Tuyến chính Tổ dân phố Truyền Nam
- Các tuyến rẽ nhánh của tuyến Liên xã Phú Mỹ - Phú An (cũ) từ giáp xã Phú Mỹ (cũ) đến Cầu Đồng Miệu</t>
  </si>
  <si>
    <t>Vùng 2: 
- Các tuyến chính của các Tổ Dân phố còn lại
- Ngoài các vị trí 1, 2, 3 của các tuyến đường giao thông chính</t>
  </si>
  <si>
    <t>10. PHƯỜNG PHONG DINH</t>
  </si>
  <si>
    <t>Quốc lộ 49B đoạn qua xã Phong Hòa (cũ)</t>
  </si>
  <si>
    <t>Đoạn từ phía Bắc cầu Phước Tích đến phía Nam cầu Trạch Phổ</t>
  </si>
  <si>
    <t>Đoạn từ phía Nam cầu Trạch Phổ đến hết ranh giới xã Phong Hòa (cũ)</t>
  </si>
  <si>
    <t>Quốc lộ 49B đoạn qua xã Phong Bình (cũ)</t>
  </si>
  <si>
    <t>Đọan từ Chợ Ưu Điềm về đến cầu Vĩnh An 1</t>
  </si>
  <si>
    <t>Đoạn từ cầu Vĩnh An 1 đến cầu Vân Trình</t>
  </si>
  <si>
    <t>Tỉnh lộ 6 đoạn qua xã Phong Hòa (cũ)</t>
  </si>
  <si>
    <t>Tỉnh lộ 6 đoạn qua xã Phong Chương (cũ)</t>
  </si>
  <si>
    <t>Đoạn từ vị trí giao Tỉnh lộ 4 (ngã ba xã) đến cống Am Bàu</t>
  </si>
  <si>
    <t>Đoạn từ cống Am Bàu đến giáp địa giới hành chính xã Phong Hòa (cũ)</t>
  </si>
  <si>
    <t>Tỉnh lộ 9: Từ Tỉnh lộ 6 (Tổ Dân phố Đức Phú) đến ranh giới thị trấn Phong Điền (cũ) và xã Phong Hiền (cũ)</t>
  </si>
  <si>
    <t>Tỉnh lộ 6B: Từ ranh giới xã Phong Thu (cũ) đến Quốc lộ 49B</t>
  </si>
  <si>
    <t>Tỉnh lộ 4 đoạn qua xã Phong Chương (cũ)</t>
  </si>
  <si>
    <t xml:space="preserve">Đoạn từ giáp xã Phong Bình (cũ) đến đường bê tông vào chùa Chí Long </t>
  </si>
  <si>
    <t>Đoạn từ đường bê tông vào chùa Chí Long đến Hợp tác xã Nhất Phong</t>
  </si>
  <si>
    <t>Đoạn từ Hợp tác xã Nhất Phong đến hết giáp ranh giới xã Quảng Thái (cũ)</t>
  </si>
  <si>
    <t>Tỉnh lộ 4 đoạn qua xã Phong Bình (cũ)</t>
  </si>
  <si>
    <t xml:space="preserve">Đoạn từ cầu Mụ Tú (nhà ông Phan Công Ninh) Tổ Dân phố Vĩnh An về đến Nhà văn hóa Tổ Dân phố Triều Quý </t>
  </si>
  <si>
    <t>Đoạn từ nhà văn hóa Tổ dân phố Triều Quý về đến trạm bơm Bình Chương</t>
  </si>
  <si>
    <t>Tỉnh lộ 8C</t>
  </si>
  <si>
    <t>Đường Cứu hộ - Cứu nạn nối dài: Từ giáp ranh giới xã Phong Hiền (cũ) đến giáp ranh giới xã Điền Lộc (cũ)</t>
  </si>
  <si>
    <t>Xã Phong Hòa (cũ)</t>
  </si>
  <si>
    <t>Vùng 1: Các Tổ Dân phố: Phước Phú, Hoà Đức, Đông Thượng, Tư, Ba Bàu Chợ</t>
  </si>
  <si>
    <t>Vùng 2: 
- Các Tổ Dân phố: Cang Cư Nam, Thuận Hoà, Khu vực Chùa thuộc Tổ Dân phố Chùa Thiềm Thượng, Xóm Đình Rộc, Xóm Tây Thuận thuộc Tổ Dân phố Trạch Phổ</t>
  </si>
  <si>
    <t xml:space="preserve">Vùng 3: 
- Các Tổ Dân phố: Niêm, khu vực Thiềm Thượng thuộc Tổ dân phố Chùa Thiềm Thượng, Trung Cọ-Mè, xóm Đông An thuộc Tổ Dân phố Trạch Phổ
- Các vị trí còn lại </t>
  </si>
  <si>
    <t>Xã Phong Bình (cũ) và xã Phong Chương (cũ)</t>
  </si>
  <si>
    <t>Vùng 1:
- Xã Phong Bình (cũ): Các Tổ Dân phố:  Vĩnh An, Xóm Quán Tổ Dân phố Hoà Viện
- Xã Phong Chương (cũ): Dọc Tỉnh lộ 4 và Tỉnh lộ 6 (thuộc các Tổ Dân phố Lương Mai, Đại Phú, Trung Thạnh, Chính An, Mỹ Phú, Nhất Phong): từ hết vị trí 3 của đường giao thông chính kéo dài thêm 50m</t>
  </si>
  <si>
    <t>Vùng 2:
- Xã Phong Bình (cũ): Các Tổ Dân phố: Tả Hữu Tự, Tây Phú (Vân Trình), Trung Thạnh, Đông Phú
- Xã Phong Chương (cũ): Các Tổ Dân phố: Lương Mai, Đại Phú, Trung Thạnh, Chính An, Mỹ Phú, Nhất Phong, Bàu</t>
  </si>
  <si>
    <t>Vùng 3:
- Xã Phong Bình (cũ): Các Tổ Dân phố: Đông Mỹ, Triều Quý, Rú Hóp, Đông Trung Tây Hồ, Tây Phú (Phò Trạch), Siêu Quần; xóm Đình Tổ Dân phố Hoà Viện, xóm Tân Bình 
- Xã Phong Chương (cũ): Các Tổ Dân phố: Phú Lộc, Ma Nê, Xóm Đồng thuộc Tổ dân phố Nhất Phong
- Các vị trí còn lại</t>
  </si>
  <si>
    <t>11. PHƯỜNG PHONG ĐIỀN</t>
  </si>
  <si>
    <t>A Đon</t>
  </si>
  <si>
    <t>Cách tỉnh lộ 9 100m</t>
  </si>
  <si>
    <t>Nhà văn hoá cộng đồng bản Hạ Long</t>
  </si>
  <si>
    <t>Bến Củi</t>
  </si>
  <si>
    <t>Cầu Bến Củi</t>
  </si>
  <si>
    <t>Cầu Bến Củi qua Cổ Xuân</t>
  </si>
  <si>
    <t xml:space="preserve">Bình An </t>
  </si>
  <si>
    <t>Ngã 3 vào đường 71</t>
  </si>
  <si>
    <t>Cầu Khe Đá</t>
  </si>
  <si>
    <t>Bùi Dục Tài</t>
  </si>
  <si>
    <t>Phò Trạch</t>
  </si>
  <si>
    <t>Đặng Văn Hòa</t>
  </si>
  <si>
    <t>Các trục đường còn lại thuộc thị trấn Phong Điền (cũ)</t>
  </si>
  <si>
    <t>Đổi tên gọi</t>
  </si>
  <si>
    <t>Các trục đường trong khu nội thị phía Đông đường sắt</t>
  </si>
  <si>
    <t>Cao Hữu Dực</t>
  </si>
  <si>
    <t>Nguyễn Thị Huyên</t>
  </si>
  <si>
    <t>Cao Hữu Duyệt</t>
  </si>
  <si>
    <t>Đến hết thửa đất số 61, tờ bản đồ số 8 (nhà ông Nguyễn Hữu Thành)</t>
  </si>
  <si>
    <t>Chu Cẩm Phong</t>
  </si>
  <si>
    <t>Văn Lang</t>
  </si>
  <si>
    <t xml:space="preserve">Cổ Xuân </t>
  </si>
  <si>
    <t>Nhà ông Uẩn</t>
  </si>
  <si>
    <t>Nhà ông Hữu</t>
  </si>
  <si>
    <t>Các tuyến đường trong Tổ dân phố Đông Lái-Trạch Hữu</t>
  </si>
  <si>
    <t xml:space="preserve">Đường số 1 </t>
  </si>
  <si>
    <t>Đường Phong Thu</t>
  </si>
  <si>
    <t>Đình làng Đông Lái</t>
  </si>
  <si>
    <t>Đường số 2</t>
  </si>
  <si>
    <t>Nhà máy gạch Phong Thu</t>
  </si>
  <si>
    <t xml:space="preserve">Đường số 3 </t>
  </si>
  <si>
    <t>Nhà ông Nguyễn Đình Sinh</t>
  </si>
  <si>
    <t>Dốc Ba Trục</t>
  </si>
  <si>
    <t>Dốc bà trục</t>
  </si>
  <si>
    <t>Dương Phước Vịnh</t>
  </si>
  <si>
    <t xml:space="preserve">Nguyễn Thị Huyên </t>
  </si>
  <si>
    <t>Chùa Trạch Thượng 2 (Thửa 388 tờ 9)</t>
  </si>
  <si>
    <t>Đến vị trí giao với Tỉnh lộ 6</t>
  </si>
  <si>
    <t>Đất Đỏ</t>
  </si>
  <si>
    <t>Ô Lâu</t>
  </si>
  <si>
    <t>Đông Du</t>
  </si>
  <si>
    <t>Hiền Lương</t>
  </si>
  <si>
    <t xml:space="preserve">Đông Thái </t>
  </si>
  <si>
    <t>Từ ngã tư đường lên Cao tốc Cam Lộ - La Sơn</t>
  </si>
  <si>
    <t>Cổng làng Lưu Hiền Hoà</t>
  </si>
  <si>
    <t>Đường nội thị phía Tây</t>
  </si>
  <si>
    <t>Cách điểm giao với đường Hiền Lương 1500m (Km01+500)</t>
  </si>
  <si>
    <t>Km01+500 (nhà ông Tuấn)</t>
  </si>
  <si>
    <t>Đến hết ranh giới giáp đường vào mỏ Trường Thịnh</t>
  </si>
  <si>
    <t>Đường vào Đền Liệt sĩ</t>
  </si>
  <si>
    <t>Phò Trạch (Quốc lộ 1A)</t>
  </si>
  <si>
    <t>Đền Liệt sĩ</t>
  </si>
  <si>
    <t>Hạ Long</t>
  </si>
  <si>
    <t>Khu du lịch A Đon</t>
  </si>
  <si>
    <t>Đường lên dốc Làng</t>
  </si>
  <si>
    <t>Hải Thanh</t>
  </si>
  <si>
    <t>Đất đỏ</t>
  </si>
  <si>
    <t>Đến hết thửa đất số 177, tờ bản đồ số 21 (nhà bà Hoàng Thị Gái)</t>
  </si>
  <si>
    <t>Từ hết thửa đất số 177, tờ bản đồ số 21 (nhà bà Hoàng Thị Gái)</t>
  </si>
  <si>
    <t>Đường Ô Lâu</t>
  </si>
  <si>
    <t xml:space="preserve">Hiền An 1 </t>
  </si>
  <si>
    <t>Ngã 3 Bến Củi</t>
  </si>
  <si>
    <t>Ngã 3 nối Tỉnh lộ 11B</t>
  </si>
  <si>
    <t>Hiền An 2</t>
  </si>
  <si>
    <t>Cổng chào</t>
  </si>
  <si>
    <t>Nhà ông Cử</t>
  </si>
  <si>
    <t xml:space="preserve">Hiền An 2 </t>
  </si>
  <si>
    <t>Ngã 3 nối Tỉnh lộ 17B</t>
  </si>
  <si>
    <t>Nhà ông Nguyễn Phúc</t>
  </si>
  <si>
    <t xml:space="preserve">Hiền Lương </t>
  </si>
  <si>
    <t>Vị trí 500 mét hướng đi Hoà Mỹ</t>
  </si>
  <si>
    <t>Địa giới hành chính xã Phong Hoà (cũ)</t>
  </si>
  <si>
    <t>Địa giới hành chính xã Phong Mỹ (cũ)</t>
  </si>
  <si>
    <t>Giáp địa giới hành chính thị trấn Phong Điền (nay là phường Phong Điền)</t>
  </si>
  <si>
    <t>Giáp địa giới hành chính xã Phong Xuân (nay là phường Phong Điền)</t>
  </si>
  <si>
    <t>Hiền Sỹ</t>
  </si>
  <si>
    <t>Hồ Quao</t>
  </si>
  <si>
    <t>Bia chiến thắng</t>
  </si>
  <si>
    <t>Cổng Hồ Quao</t>
  </si>
  <si>
    <t>Hồ Tá Bang</t>
  </si>
  <si>
    <t>Vân Trạch Hòa</t>
  </si>
  <si>
    <t>Hòa Xuân</t>
  </si>
  <si>
    <t>Giáp xã Phong Sơn</t>
  </si>
  <si>
    <t>Cầu Hiền An 2</t>
  </si>
  <si>
    <t>Hoàng Đình Nho</t>
  </si>
  <si>
    <t>Giáp ranh phường Phong Dinh</t>
  </si>
  <si>
    <t>Hoàng Minh Hùng</t>
  </si>
  <si>
    <t>Hết ranh giới thửa đất số 21, tờ bản đồ số 43 (Thửa đất có nhà ở của ông Hoàng Như Đạo)</t>
  </si>
  <si>
    <t>Hoàng Ngọc Chung</t>
  </si>
  <si>
    <t>Vị trí giao với Tỉnh lộ 6</t>
  </si>
  <si>
    <t>Đến vị trí giao với trục đường khu quy hoạch dân cư phía Đông đường sắt</t>
  </si>
  <si>
    <t>Hoàng Thị Thí</t>
  </si>
  <si>
    <t>Đường Phò Trạch (Cổng làng Khánh Mỹ)</t>
  </si>
  <si>
    <t>Đường Kim Ngọc</t>
  </si>
  <si>
    <t xml:space="preserve">Hưng Thái </t>
  </si>
  <si>
    <t>Tỉnh lộ 17</t>
  </si>
  <si>
    <t>Nhà văn hoá Tổ dân phố Hưng Thái</t>
  </si>
  <si>
    <t>Huỳnh Trúc</t>
  </si>
  <si>
    <t>Từ cầu Huỳnh Lồ</t>
  </si>
  <si>
    <t>Cầu Ông Mai</t>
  </si>
  <si>
    <t>Kim Ngọc</t>
  </si>
  <si>
    <t xml:space="preserve">Lá Ngạnh </t>
  </si>
  <si>
    <t>Dốc Lá ngạnh Quảng Lợi</t>
  </si>
  <si>
    <t>Ngã tư đường lên Cao tốc Cam Lộ - La Sơn</t>
  </si>
  <si>
    <t>Lê Nhữ Lâm</t>
  </si>
  <si>
    <t xml:space="preserve">Lưu Phước </t>
  </si>
  <si>
    <t>Cơ sở sản xuất nấm người khuyết tật</t>
  </si>
  <si>
    <t>Nà Mây</t>
  </si>
  <si>
    <t>Hoà Bắc</t>
  </si>
  <si>
    <t>Điểm du lịch Hầm Heo</t>
  </si>
  <si>
    <t>Nguyễn Bá Lai</t>
  </si>
  <si>
    <t>Nguyễn Đăng Đàn</t>
  </si>
  <si>
    <t>Đến hết thửa đất số 356, tờ bản đồ số 9 (nhà ông Nguyễn Hữu Thái)</t>
  </si>
  <si>
    <t>Nguyễn Duy Năng</t>
  </si>
  <si>
    <t>Nguyễn Duy Năng nối dài đường Phò Trạch</t>
  </si>
  <si>
    <t>Đến hết thửa 70 tờ bản đồ số 10 (nhà ông Bốn)</t>
  </si>
  <si>
    <t>Thửa 70 tờ bản đồ số 10 (nhà ông Bốn)</t>
  </si>
  <si>
    <t>Đến địa giới hành chính xã Phong Thu (cũ) (nay là phường Phong Điền)</t>
  </si>
  <si>
    <t>Ranh giới thị trấn phường Phong Điền</t>
  </si>
  <si>
    <t xml:space="preserve">Nhà ông Nguyễn Sỹ </t>
  </si>
  <si>
    <t>Hết địa giới hành chính phường Phong Điền</t>
  </si>
  <si>
    <t>Nguyễn Văn Chương</t>
  </si>
  <si>
    <t xml:space="preserve">Hết địa giới hành chính phường Phong Thái </t>
  </si>
  <si>
    <t xml:space="preserve">Ô Lâu </t>
  </si>
  <si>
    <t>Từ hết thửa đất số 96, tờ bản đồ số 25 (nhà ông Đồng Hữu Năm, đội 3 - tổ dân phố Vĩnh Nguyên)</t>
  </si>
  <si>
    <t>Đến hết địa giới hành thị trấn Phong Điền (cũ)</t>
  </si>
  <si>
    <t>Đến hết thửa đất số 96, tờ bản đồ số 25 (nhà ông Đồng Hữu Năm, đội 3 - tổ dân phố Vĩnh Nguyên)</t>
  </si>
  <si>
    <t xml:space="preserve">Giáp Địa giới hành chính thị trấn Phong Điền (cũ) </t>
  </si>
  <si>
    <t>Giáp địa giới hành chính xã Phong Mỹ (cũ)</t>
  </si>
  <si>
    <t>Phan Thị Con</t>
  </si>
  <si>
    <t>Hết ranh giới Tổ Dân phố Trạch Hữu</t>
  </si>
  <si>
    <t xml:space="preserve">Phan Thị Con </t>
  </si>
  <si>
    <t xml:space="preserve">Phong Thu </t>
  </si>
  <si>
    <t>Nam Cầu Phò Trạch</t>
  </si>
  <si>
    <t>Hết địa giới hành chính Nam thị trấn Phong Điền (cũ) ( nay là phường Phong Điền)</t>
  </si>
  <si>
    <t>Phòng Nội vụ nối dài đường Phò Trạch</t>
  </si>
  <si>
    <t>Bắc Cầu Phò Trạch</t>
  </si>
  <si>
    <t>Giáp ranh xã Hải Chánh, huyện Hải Lăng tỉnh Quảng Trị (cũ) (Sát ranh giới nhà ông Trần Viết Ái)</t>
  </si>
  <si>
    <t>Phước Tích</t>
  </si>
  <si>
    <t>Phước Tích nối dài</t>
  </si>
  <si>
    <t>Đến hết thửa đất số 227, tờ bản đồ số 20 (nhà ông Ngô Hóa)</t>
  </si>
  <si>
    <t>Quảng Lộc</t>
  </si>
  <si>
    <t>Cống hộp nhà Tẻo</t>
  </si>
  <si>
    <t>Quảng Lợi</t>
  </si>
  <si>
    <t>Cổng chào Quảng Lợi</t>
  </si>
  <si>
    <t>Sơn An Nguyên</t>
  </si>
  <si>
    <t>Tân Lập</t>
  </si>
  <si>
    <t>Tân Mỹ</t>
  </si>
  <si>
    <t>Cầu Nà Mây</t>
  </si>
  <si>
    <t xml:space="preserve">Thái Mỹ </t>
  </si>
  <si>
    <t>Ngã ba chợ Phong Mỹ</t>
  </si>
  <si>
    <t>Trần Văn Uy</t>
  </si>
  <si>
    <t>Đến hết địa giới hành chính thị trấn (giáp xã Phong An)</t>
  </si>
  <si>
    <t>Trần Vực</t>
  </si>
  <si>
    <t>Hiền Sỹ (giáp thửa đất của ông Đỗ Văn Minh)</t>
  </si>
  <si>
    <t>Hiền Sỹ (giáp thửa đất của ông Phan Quốc Hùng)</t>
  </si>
  <si>
    <t>Trục đường B6 - B5</t>
  </si>
  <si>
    <t>Trục đường vào trụ sở Phòng Tư Pháp, Văn hóa-Thông tin</t>
  </si>
  <si>
    <t xml:space="preserve">Phò Trạch </t>
  </si>
  <si>
    <t>Tuyến nội thị dọc đường sắt Bắc Nam</t>
  </si>
  <si>
    <t>Văn Lang (Đài phát thanh huyện)</t>
  </si>
  <si>
    <t>Tuyến nội thị số 1</t>
  </si>
  <si>
    <t>Văn Lang (Điểm cạnh Chi cục thuế (cũ))</t>
  </si>
  <si>
    <t xml:space="preserve"> Nguyễn Văn Chương</t>
  </si>
  <si>
    <t>Tuyến nội thị số 2</t>
  </si>
  <si>
    <t>Văn Lang (Điểm cạnh Scavi cũ)</t>
  </si>
  <si>
    <t>Tuyến nội thị số 3</t>
  </si>
  <si>
    <t>Văn Lang (Trạm Viễn thông Phong Điền)</t>
  </si>
  <si>
    <t xml:space="preserve"> Nguyễn Văn Chương (Đường DD6)</t>
  </si>
  <si>
    <t>Phòng nội vụ nối dài</t>
  </si>
  <si>
    <t>Vinh Ngạn</t>
  </si>
  <si>
    <t>Ngã 3 cầu lòn đường vào Vinh Ngạn</t>
  </si>
  <si>
    <t>Cầu qua kênh thủy lợi</t>
  </si>
  <si>
    <t>Vĩnh Nguyên</t>
  </si>
  <si>
    <t>Đến giáp đường vào mỏ Trường Thịnh</t>
  </si>
  <si>
    <t>Vinh Phú</t>
  </si>
  <si>
    <t>Nhà ông Phong</t>
  </si>
  <si>
    <t>Nhà ông Lộc</t>
  </si>
  <si>
    <t>Xuân Điền</t>
  </si>
  <si>
    <t>Tỉnh lộ 9</t>
  </si>
  <si>
    <t>Tỉnh lộ11B Cổng chào Xuân Điền Lộc</t>
  </si>
  <si>
    <t xml:space="preserve">Xuân Điền Lộc </t>
  </si>
  <si>
    <t>Ngã 3 Xuân Điền Lộc</t>
  </si>
  <si>
    <t>Xuân Lập</t>
  </si>
  <si>
    <t>Cách cổng chào Xuân Lập 100m</t>
  </si>
  <si>
    <t>Nhà ông Hiền</t>
  </si>
  <si>
    <t>Xuân Lộc</t>
  </si>
  <si>
    <t>Tỉnh lộ 11B</t>
  </si>
  <si>
    <t>Ngã 3 nhà ông Tỵ</t>
  </si>
  <si>
    <t xml:space="preserve">Xuân Mỹ </t>
  </si>
  <si>
    <t>Giáp ranh xã Phong Xuân (cũ)</t>
  </si>
  <si>
    <t>bổ sung mới</t>
  </si>
  <si>
    <t>III. Các vùng còn lại</t>
  </si>
  <si>
    <t>Vùng 1: Các tổ dân phố: Hòa Xuân (khu vực Phong Hòa cũ thuộc Tổ dân phố Hòa Xuân), Tân Lập 2, Bình An, Trạch Hữu, Đông Lái, Tây Lái, Đông Thái, Lưu Hiền Hoà, Tân Mỹ</t>
  </si>
  <si>
    <t>Vùng 2: Các tổ dân phố: Hiền An-Bến Củi, Cổ Xuân - Quảng Lộc, Xuân Lộc, Vinh Ngạn, Hòa Xuân, Quảng Lợi, Hiền An 2, Vân Trạch Hoà, Huỳnh Liên, An tổ dân phố</t>
  </si>
  <si>
    <t>Vùng 3: 
- Các tổ dân phố: Vinh Ngạn 2, Vinh Phú, Hòa Bắc, Tân Mỹ
- Các vị trí còn lại</t>
  </si>
  <si>
    <t>12. PHƯỜNG PHONG PHÚ</t>
  </si>
  <si>
    <t>Đại Lộc</t>
  </si>
  <si>
    <t>Cầu Điền Lộc 2</t>
  </si>
  <si>
    <t>Đường cứu hộ, cứu nạn Phong Điền - Điền Lộc</t>
  </si>
  <si>
    <t>Đến hết ranh giới khu vực Điền Lộc cũ</t>
  </si>
  <si>
    <t>Điền Hòa</t>
  </si>
  <si>
    <t>Quốc lộ 49B (tổ dân phố 4)</t>
  </si>
  <si>
    <t>Thế Chí Tây</t>
  </si>
  <si>
    <t>Thế Mỹ</t>
  </si>
  <si>
    <t>Điền Hương</t>
  </si>
  <si>
    <t>Km 13+150 Quốc lộ 49B (Ranh giới giáp khu vực Điền Môn cũ)</t>
  </si>
  <si>
    <t>Km10+500 Quốc lộ 49B (Từ cầu Vân trình)</t>
  </si>
  <si>
    <t>Điền Lộc</t>
  </si>
  <si>
    <t>Đoạn từ Tỉnh lộ 22 (đường Hoàng Xuân)</t>
  </si>
  <si>
    <t>Đến hết ranh giới thửa đất số 22, tờ bản đồ số 9</t>
  </si>
  <si>
    <t>Ranh giới thửa đất số 22, tờ bản đồ số 9</t>
  </si>
  <si>
    <t>Quốc lộ 49B (đường Nguyễn Phi Khanh)</t>
  </si>
  <si>
    <t>Phía Tây cầu Hòa Xuân</t>
  </si>
  <si>
    <t>Giáp địa giới hành chính phường Phong Dinh</t>
  </si>
  <si>
    <t xml:space="preserve">Điền Lộc </t>
  </si>
  <si>
    <t xml:space="preserve">Quốc lộ 49B </t>
  </si>
  <si>
    <t>Giáp cầu Hòa Xuân</t>
  </si>
  <si>
    <t>Điền Môn</t>
  </si>
  <si>
    <t>Km 17+376- Quốc lộ 49B Giáp cầu Điền Lộc</t>
  </si>
  <si>
    <t>Km 13 +150 Quốc lộ 49B (Hết khu vực Điền Môn cũ)</t>
  </si>
  <si>
    <t>Giáp phường Phong Dinh</t>
  </si>
  <si>
    <t>Tỉnh lộ 22 (đường Hoàng Xuân)</t>
  </si>
  <si>
    <t>Hoàng Xuân</t>
  </si>
  <si>
    <t>Tỉnh lộ 22 (đầu địa giới khu vực Điền Lộc cũ)</t>
  </si>
  <si>
    <t>Tỉnh lộ 22 (Hết địa giới hành chính tổ dân phố Mỹ Hòa)</t>
  </si>
  <si>
    <t>Kế Môn</t>
  </si>
  <si>
    <t>Đường vào xóm 25, tổ dân phố 2 Kế Môn</t>
  </si>
  <si>
    <t>Giáp đường biển Trung Hải</t>
  </si>
  <si>
    <t>Cầu Khe Làng</t>
  </si>
  <si>
    <t>Nguyễn Phi Khanh</t>
  </si>
  <si>
    <t>Cầu Điền Lộc</t>
  </si>
  <si>
    <t xml:space="preserve">Nguyễn Phi Khanh </t>
  </si>
  <si>
    <t>Giáp phường Phong Quảng</t>
  </si>
  <si>
    <t>Nguyễn Thị Cầu</t>
  </si>
  <si>
    <t>Quốc lộ 49B (tổ dân phố 8)</t>
  </si>
  <si>
    <t>Thanh Hương Đông</t>
  </si>
  <si>
    <t>Km40+250 Quốc lộ 49C (Giáp xã Mỹ Thủy, tỉnh Quảng Trị)</t>
  </si>
  <si>
    <t>Giáp khu vực Điền Môn cũ</t>
  </si>
  <si>
    <t>Thanh Hương Lâm</t>
  </si>
  <si>
    <t>Km12+900 Quốc lộ 49B</t>
  </si>
  <si>
    <t>Tổ dân phố Thanh Hương Lâm</t>
  </si>
  <si>
    <t>Thanh Hương Tây</t>
  </si>
  <si>
    <t>Km 40+950 Quốc lộ 49C (Từ cầu ngã tư chợ Điền Hương)</t>
  </si>
  <si>
    <t>Đường Hương Thôn (từ đầu tổ dân phố 1)</t>
  </si>
  <si>
    <t>Đường Hương Thôn (Tổ Dân phố 8, giáp Quốc lộ 49B)</t>
  </si>
  <si>
    <t>Tỉnh lộ 22 (giáp ranh phường Phong Quảng</t>
  </si>
  <si>
    <t>Trung Đồng</t>
  </si>
  <si>
    <t xml:space="preserve">Tỉnh lộ 22 (giao với đường Trung Đồng Đông và Trung Đồng Tây) </t>
  </si>
  <si>
    <t>Km11+452 Quốc lộ 49B (Từ Ngã tư chợ Điền Hương)</t>
  </si>
  <si>
    <t>Trung Đồng Đông</t>
  </si>
  <si>
    <t>Tỉnh lộ 22 (Giáp Ngã ba đường Điền Hương ra biển)</t>
  </si>
  <si>
    <t>Giáp khu vực Điền Lộc (cũ)</t>
  </si>
  <si>
    <t>Trung Đồng Tây</t>
  </si>
  <si>
    <t>Giáp xã Mỹ Thủy, tỉnh Quảng Trị</t>
  </si>
  <si>
    <t>Trung Hải</t>
  </si>
  <si>
    <t>Km Quốc lộ 49B
Từ Ngã ba trụ sở Đảng ủy phường</t>
  </si>
  <si>
    <t>Vĩnh Xương</t>
  </si>
  <si>
    <t>Tỉnh lộ 22</t>
  </si>
  <si>
    <t>Đường biển Trung Hải</t>
  </si>
  <si>
    <t>Kênh phân lũ Hương Môn</t>
  </si>
  <si>
    <t>Vùng 1: Các tổ dân phố: Giáp Nam, Nhất Tây, Nhì Tây, Mỹ Hòa, Tân Hội, Thế Mỹ A, Thế Mỹ B, Trung Đồng</t>
  </si>
  <si>
    <t>Vùng 2: Các tổ dân phố: Nhì Đông, Nhất Đông, 1, 2, 3, 4, 5, 6, 7, 8, Thanh Hương Tây, Thanh Hương Đông, 1 Kế Môn, 2 Kế Môn và Vĩnh Xương</t>
  </si>
  <si>
    <t>Vùng 3: Các tổ dân phố: 9,  Thanh Hương Lâm</t>
  </si>
  <si>
    <t>13. PHƯỜNG PHONG QUẢNG</t>
  </si>
  <si>
    <t>Cao Hữu Đính</t>
  </si>
  <si>
    <t>Thửa đất số 70 tờ bản đồ số 80 (17 cũ)</t>
  </si>
  <si>
    <t>Thửa đất số 236, tờ bản đồ số 80 (17 cũ)</t>
  </si>
  <si>
    <t>Điền Hải</t>
  </si>
  <si>
    <t>Từ thửa số 29 tờ bản đồ số 61</t>
  </si>
  <si>
    <t>Thửa số 39 tờ bản đồ số 97</t>
  </si>
  <si>
    <t>Thửa số 27 tờ bản đồ số 97</t>
  </si>
  <si>
    <t>Giáp địa phận xã Quảng Ngạn (cũ)</t>
  </si>
  <si>
    <t>Hải Đông</t>
  </si>
  <si>
    <t>Thửa đất số 69 tờ bản đồ số 73 (56 cũ)</t>
  </si>
  <si>
    <t>Thửa đất số 21 tờ bản đồ số 74 (57 cũ)</t>
  </si>
  <si>
    <t>Hải Nhuận</t>
  </si>
  <si>
    <t>Thửa đất số 402 tờ bản đồ số 53 (49 cũ)</t>
  </si>
  <si>
    <t>Thửa đất số 03 tờ bản đồ số 50 (46 cũ)</t>
  </si>
  <si>
    <t>Hải Phú</t>
  </si>
  <si>
    <t>Thửa đất số 430 tờ bản đồ số 53 (49 cũ)</t>
  </si>
  <si>
    <t>Tuyến đường Hải Đông ( Thửa 56 tờ bản đồ số 73 (56 cũ))</t>
  </si>
  <si>
    <t>Hải Thành</t>
  </si>
  <si>
    <t>Thửa đất số 123 tờ bản đồ số 49 (45 cũ)</t>
  </si>
  <si>
    <t>Thửa đất số 173 tờ bản đồ số 45 (41 cũ)</t>
  </si>
  <si>
    <t>Hải Thế</t>
  </si>
  <si>
    <t>Thừa đất số 176 tờ bản đồ số 45 (41 cũ)</t>
  </si>
  <si>
    <t>Thửa đất số 49 tờ bản đồ số 45 (41 cũ)</t>
  </si>
  <si>
    <t>Minh Hương</t>
  </si>
  <si>
    <t>Giáp Quốc lộ 49B (Thửa đất số 749 tờ bản đồ số 99 (34 cũ))</t>
  </si>
  <si>
    <t>Thửa đất số 99 tờ bản đồ số 98 (33 cũ)</t>
  </si>
  <si>
    <t>Phong Hải</t>
  </si>
  <si>
    <t>Thửa đất số 23 tờ bản đồ số 80 (17 cũ)</t>
  </si>
  <si>
    <t>Giáp biển Phong Hải cũ</t>
  </si>
  <si>
    <t>Thế Chí Đông</t>
  </si>
  <si>
    <t>Thửa số 414 tờ bản đồ số 60 (03 cũ)</t>
  </si>
  <si>
    <t>Thửa đât số 207 tờ bản đồ số 98 (33 cũ)</t>
  </si>
  <si>
    <t>Xã Điền Hải (cũ)</t>
  </si>
  <si>
    <t>Tỉnh lộ 22: Từ giáp đường Phong Phú đến giáp Tổ dân phố Đông Hải, phường Phong Quảng</t>
  </si>
  <si>
    <t>Tuyến đường trục Phường: Từ Quốc lộ 49B đến Tỉnh lộ 22 xã Phong Hải (cũ)
Từ thửa đất số 154 tờ bản đồ số 65 (8 cũ) đến thửa đất số 1 tờ bản đồ số 54 (50 cũ)</t>
  </si>
  <si>
    <t>Tuyến đường: Từ thửa đất số 40, tờ bản đồ số 61 (4 cũ) (nhà ông Trương Như Mức) đến thửa đất số 31, tờ bản đồ số 69 (12 cũ) (nhà ông Nguyễn Xuân Chớ)</t>
  </si>
  <si>
    <t>Xã Quảng Ngạn (cũ)</t>
  </si>
  <si>
    <t>Đoạn từ giáp ranh xã Điền Hải (cũ) đến điểm đầu nhà thờ họ Trần Văn (Lãnh Thuỷ) (từ thửa đất số 04, tờ bản đồ 03 đến thửa đất số 245, tờ bản đồ 09); từ điểm cuối trường Tiểu học số 1 Quảng Ngạn đến điểm cuối giáo xứ Linh Thuỷ (từ thửa đất số 538, tờ bản đồ 10 đến thửa đất số 05, tờ bản đồ 17)</t>
  </si>
  <si>
    <t>Đoạn từ điểm đầu nhà thờ họ Trần Văn (Lãnh Thuỷ) đến điểm cuối trường Tiểu học số 1 Quảng Ngạn (từ thửa đất số 245, tờ bản đồ số 09 đến thửa đất số 538, tờ bản đồ số 10); từ điểm cuối giáo xứ Linh Thuỷ đến giáp ranh xã Quảng Công (cũ) (từ thửa đất số 05, tờ bản đồ số 17 đến thửa đất số 278, tờ bản đồ số 17)</t>
  </si>
  <si>
    <t>Tuyến nối từ Quốc lộ 49B đến Tỉnh lộ 22 (thôn Tây Hải)</t>
  </si>
  <si>
    <t>Xã Quảng Công (cũ)</t>
  </si>
  <si>
    <t>Tuyến nối từ Quốc lộ 49B đến cuối Tổ Dân phố Cương Giáng</t>
  </si>
  <si>
    <t>Tuyến nối từ Quốc lộ 49B đến cuối xóm Thiền; tuyến nối từ Quốc lộ 49B đến cuối xóm Am</t>
  </si>
  <si>
    <t>Tuyến nối từ Quốc lộ 49B đến cuối xóm Mới</t>
  </si>
  <si>
    <t>Tuyến nối từ Quốc lộ 49B đến cuối xóm Cũ</t>
  </si>
  <si>
    <t>Tuyến nối từ Quốc lộ 49B đến cuối xóm Tân Lộc</t>
  </si>
  <si>
    <t>Tuyến nối từ Quốc lộ 49B đến cuối xóm Tân An</t>
  </si>
  <si>
    <t>Tuyến nối từ Quốc lộ 49B đến chợ Cồn Gai cũ</t>
  </si>
  <si>
    <t>Tuyến đường từ khu Tái định cư Cương Giáng đến cuối đường giáp biển (thửa đất số 02 tbđ 23)</t>
  </si>
  <si>
    <t>Quốc lộ 49B đoạn từ giáp ranh xã Quảng Ngạn (cũ) đến ngã ba đường nối từ Quốc lộ 49B ra xóm Am (từ thửa đất số 202, tờ bản đồ số 03 đến thửa đất số 72, tờ bản đồ 09)</t>
  </si>
  <si>
    <t>Tuyến từ ngã ba đường nối từ Quốc lộ 49B ra xóm Am đến điểm cuối nhà ông Nguyễn Cường (thôn 14) (từ thửa đất số 72, tờ bản đồ 09 đến thửa đất số 215, tờ bản đồ số 14)</t>
  </si>
  <si>
    <t>Tuyến từ điểm cuối nhà ông Nguyễn Cường (thôn 14) đến giáp ranh xã Hải Dương (cũ) (từ thửa đất số 215, tờ bản đồ 14 đến thửa đất số 164, tờ bản đồ 16)</t>
  </si>
  <si>
    <t>Vùng 1: 
- Tuyến nối từ Quốc lộ 49B đến thôn 13 (Thuỷ An)
- Tuyến nối từ Quốc lộ 49B đến Tỉnh lộ 22 (thôn Tân Mỹ A)
- Tuyến Tỉnh lộ 22 nối từ giáp ranh xã Phong Hải (cũ) đến Quốc lộ 49B và đoạn đường nối dài từ Tỉnh lộ 22 đến bến đò Vĩnh Tu
- Tuyến nối từ Tỉnh lộ 22 (Tân Mỹ BC) đến thôn Đông Hải
- Tuyến nối từ Tỉnh lộ 22 đến bãi tắm thôn Tân Mỹ A
- Tuyến nối từ Tỉnh lộ 22 đến cổng chào thôn Tân Mỹ BC
- Tuyến nối từ Tỉnh lộ 22 đến cổng chào thôn Đông Hải
- Tuyến đường khu định canh định cư Tân Mỹ A (bắt đầu từ Tỉnh lộ 22 đến ngã ba đường nối từ Quốc lộ 49B đến Tỉnh lộ 22)
- Tuyến nối từ Quốc lộ 49B (Trường Trung học cơ sở Phạm Quang Ái) đến thôn 13</t>
  </si>
  <si>
    <t>Vùng 1: 
- Tuyến đường nối từ Tổ Dân phố Thành Công 1 đến cuối Tổ dân phố 4.
- Tuyến đường khu định tái cư nối từ xóm Thiền đến xóm Am.
- Tuyến đường khu tái định cư nối từ xóm Cũ đến xóm Tân Lộc.
- Tuyến nối từ chợ Cồn Gai (mới) đến Họ Lê Nguyễn.</t>
  </si>
  <si>
    <t>14. PHƯỜNG PHONG THÁI</t>
  </si>
  <si>
    <t>An Lỗ</t>
  </si>
  <si>
    <t>Phong An</t>
  </si>
  <si>
    <t>Giáp địa giới hành chính xã Đan Điền</t>
  </si>
  <si>
    <t>Ấn Loát</t>
  </si>
  <si>
    <t>Hoàng Anh</t>
  </si>
  <si>
    <t>Cầu Cháy</t>
  </si>
  <si>
    <t>Bồ Điền</t>
  </si>
  <si>
    <t>Đình làng Bồ Điền (Tỉnh lộ 11B)</t>
  </si>
  <si>
    <t>Hoàng Tam Hùng</t>
  </si>
  <si>
    <t>Chọ Tạng</t>
  </si>
  <si>
    <t>Sơn Quả</t>
  </si>
  <si>
    <t>Khe Thai</t>
  </si>
  <si>
    <t>Cổ By</t>
  </si>
  <si>
    <t>Cầu Ông Vàng</t>
  </si>
  <si>
    <t>Cổ Sơn</t>
  </si>
  <si>
    <t>Cổ By (Quán ông Nguyễn Xuân, Tổ Dân phố Cổ By 3)</t>
  </si>
  <si>
    <t>Cầu Phe Tư</t>
  </si>
  <si>
    <t>Công Thành</t>
  </si>
  <si>
    <t>Cầu Công Thành</t>
  </si>
  <si>
    <t>Hiền An (Cổng chào Phong Hòa)</t>
  </si>
  <si>
    <t>Đông Dạ</t>
  </si>
  <si>
    <t>Đông Lâm</t>
  </si>
  <si>
    <t>Nhà ông Trần Văn Uy (giáp địa giới phường Phong Điền)</t>
  </si>
  <si>
    <t>Nhà bà Hảo (Đội 1, Đông Lâm, đi qua trường Tiểu học Hương Lâm)</t>
  </si>
  <si>
    <t>Hiền An</t>
  </si>
  <si>
    <t>Công Thành (Cổng chào Phong Hòa)</t>
  </si>
  <si>
    <t>Giáp địa giới hành chính phường Phong Điền</t>
  </si>
  <si>
    <t>Hiền An 1</t>
  </si>
  <si>
    <t>Hiền An (Tỉnh lộ 11B)</t>
  </si>
  <si>
    <t>Địa giới hành chính phường Phong Điền</t>
  </si>
  <si>
    <t>Hoa Lang</t>
  </si>
  <si>
    <t>Cống tràn Kim Cang</t>
  </si>
  <si>
    <t>Ngã ba họ Võ Tổ dân phố Phò Ninh</t>
  </si>
  <si>
    <t xml:space="preserve">Ranh giới nhà thờ Công giáo Bồ Điền </t>
  </si>
  <si>
    <t>Ranh giới nhà thờ Công giáo Bồ Điền</t>
  </si>
  <si>
    <t>Hoàng Đại Canh</t>
  </si>
  <si>
    <t>Phong Nhiêu</t>
  </si>
  <si>
    <t>Hết ranh giới thửa đất ở bà Nguyễn Thị Hoa (thửa 397, tờ 121)</t>
  </si>
  <si>
    <t>Giáp đường ra Bệnh viện Trung ương Huế 2 (Tổ dân phố Phò Ninh)</t>
  </si>
  <si>
    <t>Hoàng Thái</t>
  </si>
  <si>
    <t>Nhà bà: Hoàng Thị Mới (đường Hoàng Anh)</t>
  </si>
  <si>
    <t>Nhà ông Hoàng Sơn (đội 2 Tổ dân phố Phò Ninh)</t>
  </si>
  <si>
    <t>Hoàng Thị Thiu</t>
  </si>
  <si>
    <t>Đường từ nhà ông Bình (Cao Ban)</t>
  </si>
  <si>
    <t>Đến nhà Ông Vượng Truông Cầu)</t>
  </si>
  <si>
    <t>Hoàng Tiến</t>
  </si>
  <si>
    <t>Phò Ninh</t>
  </si>
  <si>
    <t>Nhà ông Hồ Đình Sự (đội 1)</t>
  </si>
  <si>
    <t>Hoàng Trình</t>
  </si>
  <si>
    <t>Nhà văn hóa Truông Cầu</t>
  </si>
  <si>
    <t>Tổ 1 Tổ dân phố Sơn Tùng</t>
  </si>
  <si>
    <t>Hoàng Văn Gia</t>
  </si>
  <si>
    <t>Cầu Kiệt giữa Tổ dân phố Hiền Lương</t>
  </si>
  <si>
    <t>Hói Lươn</t>
  </si>
  <si>
    <t>Cầu Hói Lươn</t>
  </si>
  <si>
    <t>Khánh Mỹ</t>
  </si>
  <si>
    <t>Cầu Đồng Hội</t>
  </si>
  <si>
    <t>Hết ranh giới thửa đất ở của ông Nguyễn Chiến (thửa số 106, Tờ bản đồ số 235 (tờ 74 cũ))</t>
  </si>
  <si>
    <t>Chân dốc Hố Rựa</t>
  </si>
  <si>
    <t>Nguyễn Đình Thọ</t>
  </si>
  <si>
    <t>Trần Đình Bá (Cổng làng Sơn Tùng)</t>
  </si>
  <si>
    <t>Nguyễn Lương Nhàn</t>
  </si>
  <si>
    <t>Nguyễn Văn Thắng</t>
  </si>
  <si>
    <t>Hết ranh giới thửa đất nhà ông Nguyễn Khoái (Tổ dân phố Đông Lâm)</t>
  </si>
  <si>
    <t>Giáp Tổ dân phố Vĩnh Hương</t>
  </si>
  <si>
    <t>Đến nhà ông Nguyễn Khoái (Tổ dân phố Đông Lâm)</t>
  </si>
  <si>
    <t>Phạm Tế</t>
  </si>
  <si>
    <t>Phan Văn Truyền</t>
  </si>
  <si>
    <t>Xóm Bồ (hết địa giới phường Phong An cũ)</t>
  </si>
  <si>
    <t>Phe Tư</t>
  </si>
  <si>
    <t>Cầu Phe Tư, Tổ Dân phố Cổ By 3</t>
  </si>
  <si>
    <t>Miếu Cây Bàng, Tổ Dân phố Phe Tư</t>
  </si>
  <si>
    <t>Phổ Lại</t>
  </si>
  <si>
    <t>Nhà ông Trần Đình Tín, Tổ Dân phố Phổ Lại</t>
  </si>
  <si>
    <t>Cầu Phổ Lại</t>
  </si>
  <si>
    <t>Trường Tiểu học Phò Ninh</t>
  </si>
  <si>
    <t xml:space="preserve">Bắc cầu Thượng An ngoài </t>
  </si>
  <si>
    <t>Nhà máy tinh bột sắn</t>
  </si>
  <si>
    <t>Bắc cầu vượt đường sắt</t>
  </si>
  <si>
    <t>Ranh giới phường Phong Điền</t>
  </si>
  <si>
    <t xml:space="preserve">Ranh giới phía Nam Trường Trung học phổ thông Nguyễn Đình Chiểu </t>
  </si>
  <si>
    <t>Nam cầu Thượng An Trong</t>
  </si>
  <si>
    <t>Bắc cầu Thượng An trong</t>
  </si>
  <si>
    <t xml:space="preserve"> Nam cầu Thượng An ngoài</t>
  </si>
  <si>
    <t>Bắc cầu An Lỗ</t>
  </si>
  <si>
    <t>Ranh giới phía Nam Trường Trung học phổ thông Nguyễn Đình Chiểu</t>
  </si>
  <si>
    <t>Sơn Bồ</t>
  </si>
  <si>
    <t>Tỉnh lộ 11B (nhà chị Bé Ninh /Ngã 3 lên Chùa Cổ By)</t>
  </si>
  <si>
    <t>Trạm bơm Sơn Bồ</t>
  </si>
  <si>
    <t>Nhà bà Bùi Tổ Dân phố Thanh Tân</t>
  </si>
  <si>
    <t>Sơn Tùng</t>
  </si>
  <si>
    <t>Ngã Ba Vịnh</t>
  </si>
  <si>
    <t>Tổ 1 (nhà ông Trần Phong)</t>
  </si>
  <si>
    <t>Hết ranh giới thửa đất ông Trần Nam (thửa 17, tờ số 163)</t>
  </si>
  <si>
    <t>Hết ranh giới thửa đất ở bà Hoàng Thị Máng (thửa 48, tờ 123)</t>
  </si>
  <si>
    <t>Thân Trọng Huề</t>
  </si>
  <si>
    <t>Hoàng Đại Canh (Truông Cầu)</t>
  </si>
  <si>
    <t>Nguyễn Đình Thọ (Bến đón Cao Ban)</t>
  </si>
  <si>
    <t>Thanh Tân</t>
  </si>
  <si>
    <t>Trần Công Lãnh</t>
  </si>
  <si>
    <t>Nhà văn hóa Triều Dương</t>
  </si>
  <si>
    <t>Nhà Bà Liên (Bắc Thạnh)</t>
  </si>
  <si>
    <t>Trần Đình Bá</t>
  </si>
  <si>
    <t>Cổng làng Hiền Lương</t>
  </si>
  <si>
    <t>Cổng làng Sơn Tùng</t>
  </si>
  <si>
    <t>Trần Thị Chẻo</t>
  </si>
  <si>
    <t>Trần Văn Đắc</t>
  </si>
  <si>
    <t>Cống Gạch Thượng Hòa</t>
  </si>
  <si>
    <t>Triều Dương</t>
  </si>
  <si>
    <t>Hoàng Đại Canh (Cổng làng Triều Dương)</t>
  </si>
  <si>
    <t>Nhà ông Văn Gặp</t>
  </si>
  <si>
    <t>Trương Công Cẩn</t>
  </si>
  <si>
    <t>Cổng làng Tổ dân phố Gia Viên</t>
  </si>
  <si>
    <t>Trương Thế Ai</t>
  </si>
  <si>
    <t>Trương Công Cẩn (Cổng làng Tổ dân phố Gia Viên)</t>
  </si>
  <si>
    <t>Cổng làng Tổ dân phố Sơn Tùng</t>
  </si>
  <si>
    <t>Tứ Chánh</t>
  </si>
  <si>
    <t>Tứ Chánh - Phổ Lại</t>
  </si>
  <si>
    <t xml:space="preserve"> Phổ Lại</t>
  </si>
  <si>
    <t>Tuyến Quốc lộ 1A (cũ)</t>
  </si>
  <si>
    <t>Điểm đầu giao với Quốc lộ 1A</t>
  </si>
  <si>
    <t>Vĩnh Hương</t>
  </si>
  <si>
    <t>Giáp ranh phường Phong Điền</t>
  </si>
  <si>
    <t>Phường Phong Hiền (cũ) và Phường Phong An (cũ)</t>
  </si>
  <si>
    <t>Vùng 1: Các Tổ Dân phố: An Lỗ, Bồ Điền, Thượng An 1, Thượng An 2 và Phò Ninh</t>
  </si>
  <si>
    <t>Vùng 2: Các Tổ Dân phố: Vùng Cao Ban cũ thuộc tổ dân phố Cao Ban -Truông Cầu - La Vần, Hiền Lương, Gia Viên, Vùng Thượng Hòa thuộc tổ dân phố Hưng Long - Thượng Hòa,  Đông Lâm và Đông An</t>
  </si>
  <si>
    <t>Vùng 3: 
- Các Tổ Dân phố: Cao Xá, Cao Ban - Truông Cầu - La Vần, Sơn Tùng, Bắc Triều Vịnh, Hưng Long - Thượng Hoà, Xóm Hói và Xóm Cồn thuộc Tổ Dân phố Hiền Lương, Vĩnh Hương, Phường Hóp, khu tái định cư Độn Hóc, xóm Ga 
- Các vị trí còn lại</t>
  </si>
  <si>
    <t>Xã Phong Sơn (cũ)</t>
  </si>
  <si>
    <t>Vùng 1: Các tổ dân phố: Đông Dạ, Hiền An</t>
  </si>
  <si>
    <t>Vùng 2: Dọc Tỉnh lộ 11B (tổ dân phố Hiền Sĩ đến Tổ dân phố Công Thành): từ hết vị trí 4 của đường giao thông chính kéo dài thêm 50m</t>
  </si>
  <si>
    <t>Vùng 3: 
- Các tổ dân phố: Tứ Chánh, Phổ Lại, Phe Tư, Sơn Bồ 
- Các vị trí còn lại</t>
  </si>
  <si>
    <t>15. PHƯỜNG PHÚ BÀI</t>
  </si>
  <si>
    <t xml:space="preserve"> ĐVT: Đồng/m²</t>
  </si>
  <si>
    <t>Bùi Thức Kiên</t>
  </si>
  <si>
    <t>Nguyễn Khoa Văn</t>
  </si>
  <si>
    <t>Phan Tấn Huỳnh</t>
  </si>
  <si>
    <t>Hết thửa đất số 118 và 569, tờ bản đồ số 16</t>
  </si>
  <si>
    <t>Các đường nối Nguyễn Tất Thành có điểm đầu đường Nguyễn Tất Thành - điểm cuối đến hết đường (Các đường Kiệt của đường Nguyễn Tất Thành)</t>
  </si>
  <si>
    <t>Châu Thị Vĩnh Tế</t>
  </si>
  <si>
    <t>Nguyễn Văn Trung (Nhà hàng Nam Phương)</t>
  </si>
  <si>
    <t>Châu Văn Liêm</t>
  </si>
  <si>
    <t>Đỗ Xuân Hợp</t>
  </si>
  <si>
    <t>Nguyễn Huy Tưởng</t>
  </si>
  <si>
    <t>Ranh giới phường Hương Thủy</t>
  </si>
  <si>
    <t>Đặng Thanh</t>
  </si>
  <si>
    <t>Đặng Tràm</t>
  </si>
  <si>
    <t>Đinh Lễ</t>
  </si>
  <si>
    <t>Đầu đường 2-9</t>
  </si>
  <si>
    <t>Đường 2-9 (phía Đông)</t>
  </si>
  <si>
    <t>Nguyễn Đình Xướng - Mỹ Thủy</t>
  </si>
  <si>
    <t>Đường 2-9 (phía Tây)</t>
  </si>
  <si>
    <t>Đường nối từ đường Đỗ Xuân Hợp đến đường Quang Trung</t>
  </si>
  <si>
    <t>Đường nối từ đường Võ Xuân Lâm đến đường Ranh giới sân bay</t>
  </si>
  <si>
    <t>Ranh giới sân bay</t>
  </si>
  <si>
    <t>Tổ dân phố 1B Thủy Phù</t>
  </si>
  <si>
    <t>Hà Duy Phiên</t>
  </si>
  <si>
    <t>Kiệt 60 Sóng Hồng</t>
  </si>
  <si>
    <t>Hồ Trung Lượng</t>
  </si>
  <si>
    <t>Kiệt 85, Trưng Nữ Vương</t>
  </si>
  <si>
    <t>Hoàng Kim Xán</t>
  </si>
  <si>
    <t>Nguyễn Viết Phong</t>
  </si>
  <si>
    <t>Lê Chân</t>
  </si>
  <si>
    <t>Lý Đạo Thành</t>
  </si>
  <si>
    <t>Lê Đình Mộng</t>
  </si>
  <si>
    <t>Lê Trọng Tấn</t>
  </si>
  <si>
    <t>Cảng Hàng không quốc tế Phú Bài</t>
  </si>
  <si>
    <t>Trần Quang Diệu</t>
  </si>
  <si>
    <t>Mỹ Thủy</t>
  </si>
  <si>
    <t>Ngã ba đường 2-9 và Nguyễn Đình Xướng</t>
  </si>
  <si>
    <t>Cuối đường Mỹ Thủy</t>
  </si>
  <si>
    <t>Nam Cao</t>
  </si>
  <si>
    <t>Ngô Đức Tu</t>
  </si>
  <si>
    <t>Ngô Thì Sĩ</t>
  </si>
  <si>
    <t>Đường Sắt</t>
  </si>
  <si>
    <t>Nguyễn Công Hoan</t>
  </si>
  <si>
    <t>Điểm đầu Tổ dân phố 2 Phú Sơn</t>
  </si>
  <si>
    <t>Nguyễn Đăng Sở</t>
  </si>
  <si>
    <t>Hết thửa đất số 377 và 330, tờ bản đồ số 16</t>
  </si>
  <si>
    <t>Nguyễn Đình Xướng</t>
  </si>
  <si>
    <t>Đường 2-9 và Mỹ Thủy</t>
  </si>
  <si>
    <t>Giáp Hương Thủy</t>
  </si>
  <si>
    <t>Nguyễn Duy Luật</t>
  </si>
  <si>
    <t>Nguyễn Khoa Văn (phía Đông)</t>
  </si>
  <si>
    <t>Nhà bà Hoa (Trung tâm Giáo dục Quốc phòng)</t>
  </si>
  <si>
    <t>Nguyễn Khoa Văn (phía Tây)</t>
  </si>
  <si>
    <t>Cổng Trung đoàn 176</t>
  </si>
  <si>
    <t>Nguyễn Quang Yên</t>
  </si>
  <si>
    <t>Đường ranh giới Sân bay</t>
  </si>
  <si>
    <t>Cầu vượt Thủy Phù (Tỉnh lộ 18)</t>
  </si>
  <si>
    <t>Nguyễn Thanh Ái</t>
  </si>
  <si>
    <t>Nguyễn Văn Thương</t>
  </si>
  <si>
    <t>Nguyễn Văn Trung</t>
  </si>
  <si>
    <t>Phan Huy Vịnh</t>
  </si>
  <si>
    <t>Giáp Quân đội 176</t>
  </si>
  <si>
    <t>Tháp nước</t>
  </si>
  <si>
    <t>Tỉnh lộ 15</t>
  </si>
  <si>
    <t>Ranh giới xã Phú Sơn</t>
  </si>
  <si>
    <t>Trần Huy Tích</t>
  </si>
  <si>
    <t>Đường 2-9</t>
  </si>
  <si>
    <t>Võ Tảo</t>
  </si>
  <si>
    <t>Khu Công nghiệp Phú Bài</t>
  </si>
  <si>
    <t>Hết khu quy hoạch 8.D</t>
  </si>
  <si>
    <t>Đoạn nối dài đường Lê Chân</t>
  </si>
  <si>
    <t>Quốc lộ 1A</t>
  </si>
  <si>
    <t>Đoạn 1: Từ đường kiệt đi vào thửa đất số 342 (Ngô Thị Hường), theo Tờ bản đồ số 9 (139), bản đồ địa chính năm 2004) đến cầu Phù Bài</t>
  </si>
  <si>
    <t>Đoạn 2: Từ cầu Phù Bài đến ranh giới xã Hưng Lộc</t>
  </si>
  <si>
    <t>Quốc lộ 1A phía Tây Huế</t>
  </si>
  <si>
    <t>Tỉnh lộ 18 (từ Quốc lộ 1A đến đường Lương Tân Phù)</t>
  </si>
  <si>
    <t>Đường Lương Tân Phù (Từ Quốc lộ 1A đến Tỉnh lộ 18)</t>
  </si>
  <si>
    <t>Đường Trung tâm xã (Từ Tỉnh lộ 18 đến đường Lương Tân Phù)</t>
  </si>
  <si>
    <t xml:space="preserve">Đường Thủy Phù đi Phú Sơn </t>
  </si>
  <si>
    <t>Từ Quốc lộ 1A đến ngã ba Cồn Tổ Dân phố 8A Thủy Phù</t>
  </si>
  <si>
    <t>Từ ngã ba Cồn Tổ dân phố 8A Thủy Phù đến điểm đầu Tổ dân phố 1 Phú Sơn</t>
  </si>
  <si>
    <t>Tỉnh lộ 15 đi Hai Nhánh: Từ điểm đầu Tổ dân phố 2 Phú Sơn đến ranh giới xã Hưng Lộc</t>
  </si>
  <si>
    <t>Tuyến nối từ Tỉnh lộ 7 đến ranh giới phường Thủy Xuân (Lụ - Tân Ba)</t>
  </si>
  <si>
    <t>Tỉnh lộ 7: Từ ranh giới phường Thanh Thủy đến điểm đầu Tổ dân phố Khe Sòng Dương Hòa</t>
  </si>
  <si>
    <t>Đường Lụ - Tre Giáo đi Thủy Phù</t>
  </si>
  <si>
    <t>Tuyến nối từ đường Lụ - Tre Giáo đến hết thửa đất số 85 (Nguyễn Quang Giỏi), tờ bản đồ số 47 (126)</t>
  </si>
  <si>
    <t>Đoạn từ thửa 115 tờ bản đồ số 28 (93) đến thửa 96 tờ bản đồ số 39 (112)</t>
  </si>
  <si>
    <t>Đoạn từ thửa 113 tờ bản đồ số 39 (112) đến thửa số 85 tờ bản đồ số 47 (126)</t>
  </si>
  <si>
    <t>Tuyến Phú Sơn - Thủy Phù: Từ Tỉnh lộ 15 đến điểm đầu Tổ dân phố 8A Thủy Phù</t>
  </si>
  <si>
    <t>Tỉnh lộ 7: Đoạn từ ngã tư đi xã Phú Sơn đến ngã ba trụ sở Ủy ban nhân dân xã Dương Hòa (cũ)</t>
  </si>
  <si>
    <t>Tuyến đường từ ngã ba trụ sở Ủy ban nhân dân xã Dương Hòa (cũ) đến chợ Dương Hòa</t>
  </si>
  <si>
    <t>Tuyến đường liên thôn từ Cầu 1 Thăng Long đến Bến đò Thôn Hộ</t>
  </si>
  <si>
    <t>Vùng 1: Các Tổ dân phố: 1A Thủy Phù, 1B Thủy Phù, 3 Thủy Phù, T5 Thủy Phù, 8B Thủy Phù, 9 Thủy Phù (ngoài các vị trí 1, 2 và 3 của các đường giao thông chính)</t>
  </si>
  <si>
    <t>Vùng 2: Các Tổ dân phố: 2 Thủy Phù, 4 Thủy Phù, 6 Thủy Phù, 7 Thủy Phù, 8A Thủy Phù (ngoài các vị trí 1, 2 và 3 của các đường giao thông chính)</t>
  </si>
  <si>
    <t>Vùng 3: Các Tổ dân phố: 10 Thủy Phù,  1 Phú Sơn, 2 Phú Sơn, 3 Phú Sơn, 4 Phú Sơn, Hộ, Thanh Vân, Buồng Tằm, Hạ, Khe Sòng (ngoài các vị trí 1, 2 và 3 của các đường giao thông chính)</t>
  </si>
  <si>
    <t>16. PHƯỜNG PHÚ XUÂN</t>
  </si>
  <si>
    <t>23 tháng 8</t>
  </si>
  <si>
    <t>Lê Huân</t>
  </si>
  <si>
    <t>Đinh Tiên Hoàng</t>
  </si>
  <si>
    <t>Bạch Đằng</t>
  </si>
  <si>
    <t>Chi Lăng (cầu Gia Hội)</t>
  </si>
  <si>
    <t>Cầu Đông Ba (cầu Đen)</t>
  </si>
  <si>
    <t>Lê Đình Chinh</t>
  </si>
  <si>
    <t>Xuống bến đò Thế Lại</t>
  </si>
  <si>
    <t>Bùi Dương Lịch</t>
  </si>
  <si>
    <t xml:space="preserve"> Ngô Kha</t>
  </si>
  <si>
    <t>Nguyễn Huy Lượng</t>
  </si>
  <si>
    <t>Bùi Hữu Nghĩa</t>
  </si>
  <si>
    <t>Phùng Khắc Khoan</t>
  </si>
  <si>
    <t>Lô D4 - Khu Tái định cư Phú Hiệp</t>
  </si>
  <si>
    <t>Cao Bá Quát</t>
  </si>
  <si>
    <t>Chi Lăng</t>
  </si>
  <si>
    <t>Cầu Gia Hội</t>
  </si>
  <si>
    <t>Nguyễn Bỉnh Khiêm</t>
  </si>
  <si>
    <t>Hồ Xuân Hương</t>
  </si>
  <si>
    <t>Kéo dài đến Nhà thờ Bãi Dâu</t>
  </si>
  <si>
    <t>Ngô Nhân Tịnh</t>
  </si>
  <si>
    <t>Chu Mạnh Trinh</t>
  </si>
  <si>
    <t>Trần Khánh Dư</t>
  </si>
  <si>
    <t>Trần Quốc Toản</t>
  </si>
  <si>
    <t>Chùa Ông</t>
  </si>
  <si>
    <t>Ngự Viên</t>
  </si>
  <si>
    <t>Nguyễn Du</t>
  </si>
  <si>
    <t>Chương Dương</t>
  </si>
  <si>
    <t xml:space="preserve"> Trần Hưng Đạo</t>
  </si>
  <si>
    <t>Cửa Ngăn</t>
  </si>
  <si>
    <t>Lê Duẩn</t>
  </si>
  <si>
    <t>Cửa Quảng Đức</t>
  </si>
  <si>
    <t>Dã Tượng</t>
  </si>
  <si>
    <t>Lê Đại Hành</t>
  </si>
  <si>
    <t>Lê Ngọc Hân</t>
  </si>
  <si>
    <t>Diệu Đế</t>
  </si>
  <si>
    <t xml:space="preserve"> Bạch Đằng</t>
  </si>
  <si>
    <t xml:space="preserve"> Tô Hiến Thành</t>
  </si>
  <si>
    <t>Dương Hoà</t>
  </si>
  <si>
    <t>Thái Phiên</t>
  </si>
  <si>
    <t>Đạm Phương</t>
  </si>
  <si>
    <t>Hoàng Diệu</t>
  </si>
  <si>
    <t>Đặng Dung</t>
  </si>
  <si>
    <t>Đoàn Thị Điểm</t>
  </si>
  <si>
    <t>Lê Thánh Tôn</t>
  </si>
  <si>
    <t>Ngô Đức Kế</t>
  </si>
  <si>
    <t>Đặng Nguyên Cẩn</t>
  </si>
  <si>
    <t>Mai An Tiêm</t>
  </si>
  <si>
    <t>Đặng Thai Mai</t>
  </si>
  <si>
    <t>Đặng Thái Thân</t>
  </si>
  <si>
    <t>Nhật Lệ</t>
  </si>
  <si>
    <t>Đặng Trần Côn</t>
  </si>
  <si>
    <t>Trần Nguyên Đán</t>
  </si>
  <si>
    <t>Đào Duy Anh</t>
  </si>
  <si>
    <t>Cầu Thanh Long</t>
  </si>
  <si>
    <t>Kẻ Trài</t>
  </si>
  <si>
    <t>Tăng Bạt Hổ</t>
  </si>
  <si>
    <t>Đào Duy Từ</t>
  </si>
  <si>
    <t>Mai Thúc Loan</t>
  </si>
  <si>
    <t>Cầu Đông Ba (Cầu đen)</t>
  </si>
  <si>
    <t>Cầu Đông Ba (cầu đen)</t>
  </si>
  <si>
    <t>Huỳnh Thúc Kháng</t>
  </si>
  <si>
    <t>Đinh Công Tráng</t>
  </si>
  <si>
    <t>Xuân 68</t>
  </si>
  <si>
    <t>Trần Hưng Đạo</t>
  </si>
  <si>
    <t>Cửa Thượng Tứ</t>
  </si>
  <si>
    <t>Tĩnh Tâm</t>
  </si>
  <si>
    <t>Cửa Hậu</t>
  </si>
  <si>
    <t>Đoàn Nguyễn Tuấn</t>
  </si>
  <si>
    <t>Cuối Phòng khám Đa khoa khu vực 2, phường Phú Hậu (cũ)</t>
  </si>
  <si>
    <t>Ông Ích Khiêm</t>
  </si>
  <si>
    <t>Đoạn trong bến xe du lịch Nguyễn Hoàng</t>
  </si>
  <si>
    <t xml:space="preserve"> Lê Duẩn + 
Trần Hưng Đạo</t>
  </si>
  <si>
    <t>Đoạn tiếp nối đường Tịnh Tâm: Từ kiệt 71 Nhật Lệ đến đường Đoàn Thị Điểm</t>
  </si>
  <si>
    <t>Kiệt 71 Nhật Lệ</t>
  </si>
  <si>
    <t>Hàn Thuyên</t>
  </si>
  <si>
    <t>Hồ Quý Ly</t>
  </si>
  <si>
    <t>Nguyễn Gia Thiều</t>
  </si>
  <si>
    <t>Kiệt 485 Chi Lăng</t>
  </si>
  <si>
    <t xml:space="preserve"> Chi Lăng</t>
  </si>
  <si>
    <t xml:space="preserve"> Nguyễn Chí Thanh</t>
  </si>
  <si>
    <t>Hòa Bình</t>
  </si>
  <si>
    <t>Kiệt Tuệ Tĩnh</t>
  </si>
  <si>
    <t>Hoà Mỹ</t>
  </si>
  <si>
    <t>Hoàng Châu Ký</t>
  </si>
  <si>
    <t>Tôn Thất Đào</t>
  </si>
  <si>
    <t>Thế Lại 1</t>
  </si>
  <si>
    <t>Nguyễn Trãi</t>
  </si>
  <si>
    <t>Tôn Thất Thiệp</t>
  </si>
  <si>
    <t>Hoàng Văn Lịch</t>
  </si>
  <si>
    <t>Nguyễn Hàm Ninh</t>
  </si>
  <si>
    <t>Hoàng Xuân Hãn</t>
  </si>
  <si>
    <t>Kẽ Trài</t>
  </si>
  <si>
    <t>Cửa Đông Bắc Kinh thành</t>
  </si>
  <si>
    <t>La Sơn Phu Tử</t>
  </si>
  <si>
    <t>Ngô Thế Lân</t>
  </si>
  <si>
    <t>Lâm Mộng Quang</t>
  </si>
  <si>
    <t>Tống Duy Tân</t>
  </si>
  <si>
    <t>Trần Văn Kỷ</t>
  </si>
  <si>
    <t>Phùng Khắc Hoan</t>
  </si>
  <si>
    <t>Cầu Phú Xuân</t>
  </si>
  <si>
    <t>Lê Duẩn (Phía bên kia đường sắt)</t>
  </si>
  <si>
    <t>Triệu Quang Phục</t>
  </si>
  <si>
    <t>Lê Hữu Trác</t>
  </si>
  <si>
    <t>Mương nước ruộng Tịch Điền</t>
  </si>
  <si>
    <t>Lê Văn Hưu</t>
  </si>
  <si>
    <t>Lê Trực</t>
  </si>
  <si>
    <t>Lê Trung Đình</t>
  </si>
  <si>
    <t>Lương Y</t>
  </si>
  <si>
    <t>Tạ Quang Bửu</t>
  </si>
  <si>
    <t>Lê Văn Miến</t>
  </si>
  <si>
    <t>Thánh Gióng</t>
  </si>
  <si>
    <t>Lý Văn Phức</t>
  </si>
  <si>
    <t>Lương Ngọc Quyến</t>
  </si>
  <si>
    <t>Lưu Trọng Lư</t>
  </si>
  <si>
    <t>Trần Nhân Tông</t>
  </si>
  <si>
    <t>Nguyễn Quang Bích</t>
  </si>
  <si>
    <t>Mang Cá</t>
  </si>
  <si>
    <t>Mang Cá Nhỏ</t>
  </si>
  <si>
    <t xml:space="preserve"> Tiếp giáp khu tập thể quân đội</t>
  </si>
  <si>
    <t>Bổ sung đường mới</t>
  </si>
  <si>
    <t>Mạc Đĩnh Chi</t>
  </si>
  <si>
    <t xml:space="preserve"> Nguyễn Bỉnh Khiêm</t>
  </si>
  <si>
    <t>Ngô Kha</t>
  </si>
  <si>
    <t>Trần Quang Long - Phùng Khắc Khoan</t>
  </si>
  <si>
    <t>Ngô Sĩ Liên</t>
  </si>
  <si>
    <t>Ngô Thời Nhậm</t>
  </si>
  <si>
    <t>Ngự Hà</t>
  </si>
  <si>
    <t>Tô Hiến Thành</t>
  </si>
  <si>
    <t>Nguyễn Biểu</t>
  </si>
  <si>
    <t>Nguyễn Chí Diễu</t>
  </si>
  <si>
    <t>Nguyễn Cư Trinh</t>
  </si>
  <si>
    <t>Nguyễn Đình Tân</t>
  </si>
  <si>
    <t xml:space="preserve"> Nguyễn Hàm Ninh</t>
  </si>
  <si>
    <t>Cầu Bãi Dâu</t>
  </si>
  <si>
    <t>Kiệt 23 Nguyễn Văn Siêu (giáp nhà số 9 Nguyễn Gia Thiều)</t>
  </si>
  <si>
    <t>Tiếp giáp đường Chi Lăng</t>
  </si>
  <si>
    <t>Kiệt 4 Nguyễn Gia Thiều</t>
  </si>
  <si>
    <t>Nguyễn Hữu Huân</t>
  </si>
  <si>
    <t>Mương thoát nước</t>
  </si>
  <si>
    <t>Nguyễn Quyền</t>
  </si>
  <si>
    <t>Phan Huy Chú</t>
  </si>
  <si>
    <t>Nguyễn Thiện Thuật</t>
  </si>
  <si>
    <t>Nguyễn Thượng Hiền</t>
  </si>
  <si>
    <t>Thạch Hãn</t>
  </si>
  <si>
    <t>Cầu tránh An Hòa</t>
  </si>
  <si>
    <t>Nguyễn Trực</t>
  </si>
  <si>
    <t>Trần Xuân Soạn</t>
  </si>
  <si>
    <t>Nguyễn Tư Giản</t>
  </si>
  <si>
    <t>Khu quy hoạch Bãi Dâu</t>
  </si>
  <si>
    <t>Nguyễn Văn Siêu</t>
  </si>
  <si>
    <t>Nguyễn Văn Thoại</t>
  </si>
  <si>
    <t>Nguyễn Văn Trỗi</t>
  </si>
  <si>
    <t>Nguyễn Xuân Ôn</t>
  </si>
  <si>
    <t>Tôn Thất Thuyết</t>
  </si>
  <si>
    <t>Phùng Hưng</t>
  </si>
  <si>
    <t>Phạm Đình Hổ</t>
  </si>
  <si>
    <t>Tôn Thất Thuyết kéo dài</t>
  </si>
  <si>
    <t>Hết đường (thửa đất số 97, tờ bản đồ số 10)</t>
  </si>
  <si>
    <t>Phạm Ngọc Thảo</t>
  </si>
  <si>
    <t xml:space="preserve">Hồ Quý Ly </t>
  </si>
  <si>
    <t>Phan Đăng Lưu</t>
  </si>
  <si>
    <t>Phan Huy Ích</t>
  </si>
  <si>
    <t>Phan Văn Trị</t>
  </si>
  <si>
    <t>Đại học Nông Lâm</t>
  </si>
  <si>
    <t>Trần Quang Long - Ngô Kha</t>
  </si>
  <si>
    <t>Quốc Sử Quán</t>
  </si>
  <si>
    <t>Trần Quý Cáp</t>
  </si>
  <si>
    <t>Trần Nhật Duật</t>
  </si>
  <si>
    <t>Thân Trọng Một</t>
  </si>
  <si>
    <t>Trương Hán Siêu</t>
  </si>
  <si>
    <t>Thanh Hương</t>
  </si>
  <si>
    <t>Kiệt 1 Đặng Thái Thân</t>
  </si>
  <si>
    <t>Kiệt 1 Tuệ Tĩnh</t>
  </si>
  <si>
    <t>Thanh Lam Bồ</t>
  </si>
  <si>
    <t>Thế Lại</t>
  </si>
  <si>
    <t>Cao Bá Quát nối dài</t>
  </si>
  <si>
    <t>Lô D10 - Khu tái định cư Phú Hiệp</t>
  </si>
  <si>
    <t>Thế Lữ</t>
  </si>
  <si>
    <t>Tân Thiết</t>
  </si>
  <si>
    <t>Tịnh Tâm</t>
  </si>
  <si>
    <t>Tô Ngọc Vân</t>
  </si>
  <si>
    <t>Phạm Đình Hồ</t>
  </si>
  <si>
    <t>Kiệt Mang Cá</t>
  </si>
  <si>
    <t>Ngô Đức Kế - Ông Ích Khiêm</t>
  </si>
  <si>
    <t>Trần Bình Trọng</t>
  </si>
  <si>
    <t>Trần Huy Liệu</t>
  </si>
  <si>
    <t>Trần Nguyên Hãn</t>
  </si>
  <si>
    <t>Trần Quang Long</t>
  </si>
  <si>
    <t>Khu tái định cư Phú Hiệp</t>
  </si>
  <si>
    <t>Hồ cá đường Tú Xương</t>
  </si>
  <si>
    <t>Kiệt 3 Tạ Quang Bửu</t>
  </si>
  <si>
    <t>Cầu Khánh Ninh</t>
  </si>
  <si>
    <t>Trịnh Công Sơn</t>
  </si>
  <si>
    <t>Trịnh Hoài Đức</t>
  </si>
  <si>
    <t>Tú Xương</t>
  </si>
  <si>
    <t>Tuệ Tĩnh</t>
  </si>
  <si>
    <t>Kiệt Đặng Thái Thân</t>
  </si>
  <si>
    <t>Xã Tắc</t>
  </si>
  <si>
    <t>Yết Kiêu</t>
  </si>
  <si>
    <t>Đường quy hoạch đoạn từ đường Phùng Hưng đến kiệt 3 đường Tạ Quang Bửu (đường 6,0m)</t>
  </si>
  <si>
    <t>Bổ sung mới, chưa đặt tên</t>
  </si>
  <si>
    <t>17. PHƯỜNG THANH THỦY</t>
  </si>
  <si>
    <t xml:space="preserve">Giá đất </t>
  </si>
  <si>
    <t>An Thường Công Chúa</t>
  </si>
  <si>
    <t>Khúc Thừa Dụ</t>
  </si>
  <si>
    <t>Bùi Xuân Phái</t>
  </si>
  <si>
    <t>Võ Duy Ninh</t>
  </si>
  <si>
    <t>Các đường nối từ đường Nguyễn Tất Thành đến Đường sắt</t>
  </si>
  <si>
    <t>Các tuyến đường có điểm đầu là đường Nguyễn Tất Thành đến điểm cuối là đường Khúc Thừa Dụ (Các đường Kiệt của đường Nguyễn Tất Thành</t>
  </si>
  <si>
    <t>Các tuyến đường còn lại thuộc Tổ 1 đến Tổ 11</t>
  </si>
  <si>
    <t>Các tuyến đường còn lại Tổ 12</t>
  </si>
  <si>
    <t>Các tuyến đường nối Nguyễn Tất Thành có điểm đầu Nguyễn Tất Thành - điểm cuối đến hết đường (Các đường Kiệt của đường Nguyễn Tất Thành)</t>
  </si>
  <si>
    <t>Cao Bá Đạt</t>
  </si>
  <si>
    <t>Tôn Thất Sơn</t>
  </si>
  <si>
    <t>Nguyễn Viết Xuân</t>
  </si>
  <si>
    <t>Châu Thượng Văn</t>
  </si>
  <si>
    <t>Dạ Lê</t>
  </si>
  <si>
    <t>Cầu ông Bang</t>
  </si>
  <si>
    <t>Ngã ba đường vào nhà máy Vi Sinh</t>
  </si>
  <si>
    <t>Dốc Sốt rét (giáp Phú Sơn)</t>
  </si>
  <si>
    <t>Dương Nguyên Trực</t>
  </si>
  <si>
    <t>Ngô Thế Vinh</t>
  </si>
  <si>
    <t>Dương Thiệu Tước</t>
  </si>
  <si>
    <t>Giáp thành phố Huế</t>
  </si>
  <si>
    <t>Chân Cầu Vượt</t>
  </si>
  <si>
    <t>Cổng nhà máy Dệt May</t>
  </si>
  <si>
    <t>Cổng Nhà máy Dệt may</t>
  </si>
  <si>
    <t>Hói cây Sen</t>
  </si>
  <si>
    <t>Ranh giới phường Thủy Dương (cũ)</t>
  </si>
  <si>
    <t>Đỗ Nhuận</t>
  </si>
  <si>
    <t>Nguyễn Như Đỗ</t>
  </si>
  <si>
    <t>Nguyễn Đức Tâm</t>
  </si>
  <si>
    <t>Đường nối Dương Thiệu Tước từ điểm đầu Kiệt 50 Dương Thiệu Tước</t>
  </si>
  <si>
    <t>Dương Thiệu Tước (Hồ cá ông Sang)</t>
  </si>
  <si>
    <t>Đường nối Dương Thiệu Tước từ số nhà 2/50 Dương Thiệu Tước</t>
  </si>
  <si>
    <t>Số nhà 2/50 Dương Thiệu Tước</t>
  </si>
  <si>
    <t>Giáp ranh giới phường An Cựu</t>
  </si>
  <si>
    <t>Đường nối Khúc Thừa Dụ từ số nhà 72 Khúc Thừa Dụ</t>
  </si>
  <si>
    <t>Nhà văn hóa tổ 6A</t>
  </si>
  <si>
    <t>Đường nối Khúc Thừa Dụ từ số nhà 78 Khúc Thừa Dụ</t>
  </si>
  <si>
    <t>Miếu</t>
  </si>
  <si>
    <t>Đường nối Nguyễn Hữu Cảnh</t>
  </si>
  <si>
    <t>Đường nối Nguyễn Tất Thành đến Khúc Thừa Dụ (Đối diện đường Dạ Lê)</t>
  </si>
  <si>
    <t>Đường nối Nguyễn Tất Thành từ số nhà 13 Nguyễn Tất Thành</t>
  </si>
  <si>
    <t>Nhà ông Phước (cuối đường)</t>
  </si>
  <si>
    <t>Đường nối Nguyễn Tất Thành từ số nhà 203 Nguyễn Tất Thành</t>
  </si>
  <si>
    <t>Đường nối Nguyễn Tất Thành từ số nhà 237 Nguyễn Tất Thành</t>
  </si>
  <si>
    <t>Đường nối Nguyễn Tất Thành từ số nhà 269 Nguyễn Tất Thành</t>
  </si>
  <si>
    <t>Triệu Thái</t>
  </si>
  <si>
    <t>Đường nối Nguyễn Tất Thành từ số nhà 272 Nguyễn Tất Thành</t>
  </si>
  <si>
    <t>Nguyễn Tất Thành (nhà ông Tá)</t>
  </si>
  <si>
    <t>Đường nối Nguyễn Tất Thành từ số nhà 35 Nguyễn Tất Thành</t>
  </si>
  <si>
    <t>Đài Phát sóng</t>
  </si>
  <si>
    <t>Đường nối Nguyễn Tất Thành từ số nhà 5 Nguyễn Tất Thành</t>
  </si>
  <si>
    <t>Nhà ông Hồ Xuân Cường (cuối đường)</t>
  </si>
  <si>
    <t xml:space="preserve">Ranh giới Khu vực Hương Thủy </t>
  </si>
  <si>
    <t>Ranh giới phường Thủy Xuân</t>
  </si>
  <si>
    <t>Đường vào khu tái định cư Thủy Dương - Tự Đức</t>
  </si>
  <si>
    <t>Nhà bà Ngâu (Tái định cư)</t>
  </si>
  <si>
    <t>Giáp Hải</t>
  </si>
  <si>
    <t>Hà Thọ Lộc</t>
  </si>
  <si>
    <t>Hồ Biểu Chánh</t>
  </si>
  <si>
    <t>Hoàng Minh Giám</t>
  </si>
  <si>
    <t>Giáp ranh phường An cựu</t>
  </si>
  <si>
    <t>Phạm Văn Thanh</t>
  </si>
  <si>
    <t>Võ Trọng Bình</t>
  </si>
  <si>
    <t>Lê Chí</t>
  </si>
  <si>
    <t>Trạm Phát sóng</t>
  </si>
  <si>
    <t>Sông Lợi Nông</t>
  </si>
  <si>
    <t>Ranh giới phường An Cựu</t>
  </si>
  <si>
    <t>Triệu Thị Trinh</t>
  </si>
  <si>
    <t>Lưu Nhân Chú</t>
  </si>
  <si>
    <t>Khu Quy hoạch Thủy Thanh giai đoạn 2</t>
  </si>
  <si>
    <t>Mạc Ninh Bang</t>
  </si>
  <si>
    <t>Ngô Nhân Tuấn</t>
  </si>
  <si>
    <t>Nguyễn Văn Chính</t>
  </si>
  <si>
    <t>Nguyễn Công Duẫn</t>
  </si>
  <si>
    <t>Nguyễn Giản Thanh</t>
  </si>
  <si>
    <t>Thửa đất số 207, tờ bản đồ số 06 (Hạ tầng kỹ thuật Khu dân cư và tái định cư Hói Cây Sen giai đoạn 3)</t>
  </si>
  <si>
    <t>Nguyễn Danh Thực</t>
  </si>
  <si>
    <t>Trần Minh Tông</t>
  </si>
  <si>
    <t>Nguyễn Duy Cung</t>
  </si>
  <si>
    <t>Giáp Cống ông Chức</t>
  </si>
  <si>
    <t>Nguyễn Huân</t>
  </si>
  <si>
    <t>Thửa đất số 357 và 388, tờ bản đồ số 13 (Hạ tầng kỹ thuật Khu dân cư Hói Cây Sen)</t>
  </si>
  <si>
    <t>Nguyễn Mậu Tài</t>
  </si>
  <si>
    <t>Kiệt 156 Dạ Lê</t>
  </si>
  <si>
    <t>Kiệt 198 Dạ Lê</t>
  </si>
  <si>
    <t>Nguyễn Nhân Bỉ</t>
  </si>
  <si>
    <t>Thửa đất số 9, tờ bản đồ số 19 (Showroom Mitsubishi Huế)</t>
  </si>
  <si>
    <t>Cầu Vượt Thủy Dương</t>
  </si>
  <si>
    <t>Cầu Vuợt Thủy Dương</t>
  </si>
  <si>
    <t>Cầu bản (Họ Lê Bá)</t>
  </si>
  <si>
    <t xml:space="preserve">Giáp ranh giới phường Hương Thủy </t>
  </si>
  <si>
    <t>Nguyễn Văn Chư</t>
  </si>
  <si>
    <t>Nguyễn Văn Tố</t>
  </si>
  <si>
    <t>Phạm Công Trứ</t>
  </si>
  <si>
    <t>Kiệt 66 Nguyễn Duy Cung</t>
  </si>
  <si>
    <t>Phạm Thế Hiển</t>
  </si>
  <si>
    <t>Phùng Lưu</t>
  </si>
  <si>
    <t>Cầu Thanh Dạ</t>
  </si>
  <si>
    <t>Sân Golf</t>
  </si>
  <si>
    <t>Phùng Quán</t>
  </si>
  <si>
    <t>Kiệt 60 Phùng Quán</t>
  </si>
  <si>
    <t>Thích Mật Hiển</t>
  </si>
  <si>
    <t>Nguyễn Văn Chính
 (Khu vui chơi Thanh Lam)</t>
  </si>
  <si>
    <t xml:space="preserve">Am Cây Dành Tỉnh lộ 3 </t>
  </si>
  <si>
    <t>Am Cây Dành Tỉnh lộ 3</t>
  </si>
  <si>
    <t>Cầu Phương Nam xã Phú Hồ</t>
  </si>
  <si>
    <t>Trần Đình Thám</t>
  </si>
  <si>
    <t>Thửa đất số 100, tờ bản đồ số 42</t>
  </si>
  <si>
    <t>Đường tránh phía Tây Thành phố Huế</t>
  </si>
  <si>
    <t>Trần Duy Hưng</t>
  </si>
  <si>
    <t>Khu Quy hoạch Thủy Thanh Giai đoạn 2</t>
  </si>
  <si>
    <t>Trần Lãm</t>
  </si>
  <si>
    <t>Thửa đất số 243, tờ bản đồ số 11 (Thiên Ân Palace)</t>
  </si>
  <si>
    <t>Kiệt 203 Nguyễn Tất Thành</t>
  </si>
  <si>
    <t xml:space="preserve"> Hoàn Minh Giám</t>
  </si>
  <si>
    <t>Trưng Nữ Vương nối Phùng Quán</t>
  </si>
  <si>
    <t>Kiệt 301 Trưng nữ Vương</t>
  </si>
  <si>
    <t xml:space="preserve">Cầu vượt Thủy Dương  </t>
  </si>
  <si>
    <t>Giáp ranh giới Thủy Thanh cũ</t>
  </si>
  <si>
    <t xml:space="preserve">Giáp ranh giới Thủy Thanh cũ </t>
  </si>
  <si>
    <t>Trường Tiểu học Thủy Dương</t>
  </si>
  <si>
    <t>Giáp phường An Cựu</t>
  </si>
  <si>
    <t>Cầu Vượt</t>
  </si>
  <si>
    <t>Vương Thừa Vũ</t>
  </si>
  <si>
    <t>Tỉnh lộ 1</t>
  </si>
  <si>
    <t>Từ cầu Lang Xá Cồn đến cầu Giữa</t>
  </si>
  <si>
    <t>Từ cầu Giữa (đi qua Bưu điện xã) đến cầu Phường Nam</t>
  </si>
  <si>
    <t>Từ Cầu Phường Nam đến ngã ba Tỉnh lộ 3 (trừ đoạn qua Khu quy hoạch Trạm Bơm)</t>
  </si>
  <si>
    <t>Đường Thuỷ Dương -Thuận An</t>
  </si>
  <si>
    <t>Đường liên xã</t>
  </si>
  <si>
    <t>Từ ranh giới xã Thuỷ Vân (cũ) đến Cầu Sam</t>
  </si>
  <si>
    <t>Từ Cầu Sam đến Nghĩa trang Liệt sỹ</t>
  </si>
  <si>
    <t>Từ Nghĩa trang Liệt sỹ đến cầu tránh cầu Ngói Thanh Toàn</t>
  </si>
  <si>
    <t>Đường liên Tổ Dân phố</t>
  </si>
  <si>
    <t>Tuyến đường từ thửa đất số 342 (Văn Đình Tuấn) đến thửa đất số 29 (Nguyễn Quang Xứ), tờ bản đồ số 7 (Theo Bản đồ địa chính năm 2006), qua cầu Vân Thê Đập đến giáp Trạm bơm đạt 9</t>
  </si>
  <si>
    <t>Tuyến đường từ thửa đất số 246 (Trần Duy Chiến), tờ bản đồ số 09 (Theo bản đồ địa chính năm 2006) đến Cầu Văn Thánh</t>
  </si>
  <si>
    <t>Tuyến đường từ thửa đất số 260 (Đặng Văn Súng), tờ bản đồ số 09 (Theo Bản đồ địa chính năm 2006), đi qua Đình làng Thanh Thuỷ Chánh đến Tỉnh lộ 1</t>
  </si>
  <si>
    <t>Đường Hoàng Quốc Việt nối dài: Từ đường Kiệt nhà ông Ngô Viết Xuân đến đường Thủy Dương - Thuận An</t>
  </si>
  <si>
    <t>Đường Trung tâm xã: Từ Tỉnh lộ 1 đến hết Trường Mầm non Thủy Thanh 2</t>
  </si>
  <si>
    <t>Vùng 1: Tổ dân phố Lang Xá Cồn (ngoài các vị trí 1, 2, 3 của các đường giao thông chính)</t>
  </si>
  <si>
    <t>Vùng 2: Các Tổ dân phố:  Thanh Thủy Chánh, Thanh Toàn, Thanh Tuyền, Vân Thê Thượng, Vân Thê Trung (ngoài các vị trí 1, 2, 3 của các đường giao thông chính)</t>
  </si>
  <si>
    <t>Vùng 3: Các Tổ dân phố: Vân Thê Nam, Lang Xá Bàu (ngoài các vị trí 1, 2, 3 của các đường giao thông chính)</t>
  </si>
  <si>
    <t>18. PHƯỜNG THUẬN AN</t>
  </si>
  <si>
    <t>Đặng Do</t>
  </si>
  <si>
    <t>Giáp đường Kinh Dương Vương</t>
  </si>
  <si>
    <t>Cống Lạch Chéo</t>
  </si>
  <si>
    <t>Giáp phường Dương Nỗ</t>
  </si>
  <si>
    <t>Đặng Trần Siêu</t>
  </si>
  <si>
    <t>Giáp đường Đoàn Trực</t>
  </si>
  <si>
    <t>Giáp đường Bê tông ra Cồn Hợp Châu</t>
  </si>
  <si>
    <t>Đoàn Trực</t>
  </si>
  <si>
    <t>Giáp đường Hồng Bàng</t>
  </si>
  <si>
    <t>Đông Sơn</t>
  </si>
  <si>
    <t>Hồng Bàng</t>
  </si>
  <si>
    <t>Luy Lâu</t>
  </si>
  <si>
    <t>Đồng Sỹ Bình</t>
  </si>
  <si>
    <t>Nguyễn Cầu</t>
  </si>
  <si>
    <t>Tuyến vào Trạm Y tế Tân An</t>
  </si>
  <si>
    <t>Hồ Văn Đỗ</t>
  </si>
  <si>
    <t>Tuyến Tỉnh lộ 68 cũ ( giáp đường Trấn Hải Thành)</t>
  </si>
  <si>
    <t>Giáp Đường Thai Dương</t>
  </si>
  <si>
    <t>Hoàng Quang</t>
  </si>
  <si>
    <t>Ngã tư Cầu Thuận An mới</t>
  </si>
  <si>
    <t>Cổng chào Tổ dân phố Hải Thành</t>
  </si>
  <si>
    <t>Ngã ba Nhà ông Phạm Văn Thuận</t>
  </si>
  <si>
    <t>Hoàng Sa</t>
  </si>
  <si>
    <t>Giáp đường Nguyễn Văn Tuyết</t>
  </si>
  <si>
    <t>Chợ Hải Tiến</t>
  </si>
  <si>
    <t>Hoàng Sa (Phần kéo dài)</t>
  </si>
  <si>
    <t>Dốc Đá (Hải Tiến)</t>
  </si>
  <si>
    <t>Thửa số 5, tờ bản đồ số 5</t>
  </si>
  <si>
    <t>Giáp đường Kinh Dương Vương (sát trường Tiểu Học Phú Tân)</t>
  </si>
  <si>
    <t>Giáp đường Kinh Dương Vương (đối diện cây xăng 18)</t>
  </si>
  <si>
    <t>Huyện Thoại</t>
  </si>
  <si>
    <t>Thai Dương</t>
  </si>
  <si>
    <t>Tư Vinh</t>
  </si>
  <si>
    <t>Kinh Dương Vương (Quốc lộ 49A)</t>
  </si>
  <si>
    <t>Giáp Phường Dương Nỗ</t>
  </si>
  <si>
    <t>Cầu Diên Trường</t>
  </si>
  <si>
    <t>Khu Resort Tam Giang</t>
  </si>
  <si>
    <t>Lê Quang Định</t>
  </si>
  <si>
    <t>Nhà ông Nguyễn Viện</t>
  </si>
  <si>
    <t>Miếu Ngài Khai khẩn Tân An</t>
  </si>
  <si>
    <t>Lê Sĩ</t>
  </si>
  <si>
    <t>Giáp đường Hoàng Quang</t>
  </si>
  <si>
    <t>Giáp Bãi Biển</t>
  </si>
  <si>
    <t>Phòng khám Đa khoa</t>
  </si>
  <si>
    <t>Lý Văn Bưu</t>
  </si>
  <si>
    <t>Nguyễn Lữ</t>
  </si>
  <si>
    <t>Nguyễn Văn Tuyết</t>
  </si>
  <si>
    <t>Cống Tân Mỹ</t>
  </si>
  <si>
    <t>Nhà ông Trần Văn Khấn</t>
  </si>
  <si>
    <t>Giáp đường Trấn Hải Thành (Quốc lộ 49B)</t>
  </si>
  <si>
    <t>Nguyễn Thị Lợi</t>
  </si>
  <si>
    <t>Kinh Dương Vương</t>
  </si>
  <si>
    <t>Hồ nuôi trồng thủy sản</t>
  </si>
  <si>
    <t>Ngã ba Cụm Cảng Thuận An</t>
  </si>
  <si>
    <t>Khu Du lịch sinh thái Thuận An (Qua Cầu Thuận An cũ)</t>
  </si>
  <si>
    <t>Đình Làng Thai Dương</t>
  </si>
  <si>
    <t>Dốc Đá Hải Tiến</t>
  </si>
  <si>
    <t>Thủy Tú</t>
  </si>
  <si>
    <t>Nhà ông La Văn Mong</t>
  </si>
  <si>
    <t>Cầu Khe Tân Mỹ</t>
  </si>
  <si>
    <t>Thủy Tú (Phần kéo dài: Tuyến vào Tổ Dân phố Tân Lập)</t>
  </si>
  <si>
    <t>Nhà thờ Tân Mỹ</t>
  </si>
  <si>
    <t>Trấn Hải Thành</t>
  </si>
  <si>
    <t>Giáp đường Nguyễn Văn Tuyết (Đài Liệt sỹ Thuận An cũ)</t>
  </si>
  <si>
    <t>Giáp Tổ dân phố Hòa Duân</t>
  </si>
  <si>
    <t>Triệu Việt Vương</t>
  </si>
  <si>
    <t>Nhà ông La Lợi</t>
  </si>
  <si>
    <t>Nhà ông Nguyễn Tập</t>
  </si>
  <si>
    <t>Trương Thiều</t>
  </si>
  <si>
    <t>Miếu Thành Hoàng</t>
  </si>
  <si>
    <t>Cống Bàu Sen</t>
  </si>
  <si>
    <t>Nhà ông Lê Văn Mão</t>
  </si>
  <si>
    <t>Nhà ông Phạm Hối</t>
  </si>
  <si>
    <t>Cống Hải Tiến</t>
  </si>
  <si>
    <t>Thửa 164, tờ bản đồ số 10</t>
  </si>
  <si>
    <t>Tuyến đường ra Trung tâm Văn hóa Thể thao</t>
  </si>
  <si>
    <t>Trung tâm Văn hóa Thể thao</t>
  </si>
  <si>
    <t>Tuyến ngã ba Chợ Tân Mỹ</t>
  </si>
  <si>
    <t>Giáp đường Thủy Tú</t>
  </si>
  <si>
    <t>Tuyến vào làng Diên Trường</t>
  </si>
  <si>
    <t>Đường Đặng Do</t>
  </si>
  <si>
    <t>Ngã ba Nhà ông Trương Ốm</t>
  </si>
  <si>
    <t>Thay đổi tên</t>
  </si>
  <si>
    <t>Tuyến Tỉnh lộ 68 cũ</t>
  </si>
  <si>
    <t>Ngã ba nhà ông Nguyễn Nam</t>
  </si>
  <si>
    <t>Nhà ông Nguyễn Ái</t>
  </si>
  <si>
    <t>Tuyến vào Tổ dân phố Tân Lập</t>
  </si>
  <si>
    <t>Đình Làng Tân Lập</t>
  </si>
  <si>
    <t>Tuyến vào Trạm Y tế</t>
  </si>
  <si>
    <t>Cầu Khe</t>
  </si>
  <si>
    <t>Nhà ông Nguyễn Thức</t>
  </si>
  <si>
    <t>Võ Trường Toản</t>
  </si>
  <si>
    <t>Phá Tam Giang</t>
  </si>
  <si>
    <t>Tuyến đường ven biển 26m</t>
  </si>
  <si>
    <t>Giáp đường Hồ Văn Đỗ, đường Nguyễn Văn Tuyết</t>
  </si>
  <si>
    <t>Cầu vượt biển Thuận An</t>
  </si>
  <si>
    <t>Cầu Tam Giang</t>
  </si>
  <si>
    <t>Quốc lộ 49B (đoạn qua xã Phú Hải (cũ))</t>
  </si>
  <si>
    <t>Quốc lộ 49B (đoạn qua xã Phú Thuận (cũ))</t>
  </si>
  <si>
    <t>Đoạn từ đường Trấn Hải Thành đến Nhà văn hóa Tổ dân phố Hòa Duân (Tân An)</t>
  </si>
  <si>
    <t>Đoạn từ Nhà văn hóa Tổ dân phố Hòa Duân (Tân An) đến giáp xã Phú Vinh</t>
  </si>
  <si>
    <t>Gộp đoạn</t>
  </si>
  <si>
    <t>CV-220</t>
  </si>
  <si>
    <t>Quốc lộ 49B (đoạn qua xã Hải Dương (cũ))</t>
  </si>
  <si>
    <t>Đoạn từ cầu Tam Giang (Ca Cút) đến Hết ranh giới khu dân cư Tổ dân phố Vĩnh Trị</t>
  </si>
  <si>
    <t>Đoạn còn lại qua xã Hải Dương (cũ)</t>
  </si>
  <si>
    <t>Tuyến bê tông Liên xã Phú Thuận - Phú Hải (cũ)</t>
  </si>
  <si>
    <t>Đoạn từ Giáp đường ra Bãi tắm Phú Thuận đến Ngã tư nhà ông Nguyễn Hoàng</t>
  </si>
  <si>
    <t>Đoạn từ Ngã tư nhà ông Nguyễn Hoàng đến Trại tôm giống Hải Tiến</t>
  </si>
  <si>
    <t>Đoạn từ Trại tôm giống Hải Tiến đến giáp xã Phú Hải (cũ)</t>
  </si>
  <si>
    <t>Các tuyến rẽ nhánh từ Quốc lộ 49B đến Đường bê tông liên thôn: Đoạn từ giáp đường Trấn Hải Thành đến Nhà văn hóa Tổ dân phố Hòa Duân (Tân An)</t>
  </si>
  <si>
    <t>Xã Phú Hải (cũ)</t>
  </si>
  <si>
    <t>Vùng 1: 
- Tuyến rẽ nhánh Quốc lộ 49B từ nhà ông Nguyễn Ngọ (Cự Lại Bắc) đến giáp biển Đông.
- Tuyến rẽ nhánh Quốc lộ 49B từ Nhà ông Trần Hy (Cự Lại Trung) đến giáp biển Đông.
- Tuyến rẽ nhánh Quốc lộ 49B từ Nhà ông Lê Đắc(Cự Lại Trung) đến giáp biển Đông.
- Tuyến rẽ nhánh Quốc lộ 49B từ Nhà ông Lê Văn Ngân (Cự Lại Trung) đến giáp biển Đông.
- Tuyến rẽ nhánh Quốc lộ 49B từ Bưu điện (Cự Lại Đông) đến giáp biển Đông.
- Tuyến rẽ nhánh Quốc lộ 49B từ nhà ông Hoàng Ngọc Phê (Cự Lại Đông) đến giáp biển Đông.
- Tuyến rẽ nhánh Quốc lộ 49B từ nhà ông Nguyễn Đại Dưỡng đến giáp biển Đông.</t>
  </si>
  <si>
    <t>Vùng 2: 
- Các tuyến rẽ nhánh Quốc lộ 49B còn lại
- Ngoài các vị trí 1, 2, 3 của Quốc lộ 49B</t>
  </si>
  <si>
    <t>Xã Phú Thuận (cũ)</t>
  </si>
  <si>
    <t>Vùng 1: Các tuyến rẽ nhánh từ Quốc lộ 49B đến Đường Bê tông Liên thôn đoạn từ Nhà văn hóa Tổ dân phố Hòa Duân (Tân An) đến Chợ Hòa Duân (mới)</t>
  </si>
  <si>
    <t>Vùng 2: 
- Các tuyến rẽ nhánh từ Quốc lộ 49B đến Đường Bê tông Liên thôn đoạn từ Chợ Hòa Duân (mới) đến giáp xã Phú Hải (cũ)
- Ngoài các vị trí 1, 2, 3 các tuyến đường chính</t>
  </si>
  <si>
    <t>Xã Hải Dương (cũ)</t>
  </si>
  <si>
    <t>Vùng 1: Trục đường chính đường liên tổ dân phố: Thai Dương Thượng Đông, Thai Dương Hạ Bắc,Thai Dương Hạ Trung, Thai Dương Hạ Nam</t>
  </si>
  <si>
    <t>Vùng 2: Các tổ dân phố:
- Thai Dương Thượng Tây: Từ nhà thờ giáo xứ Thai Dương đến nhà ông Hà Toàn.
- Các vị trí còn lại của các tổ dân phố: Vĩnh Trị  ,Thai Dương Thượng Đông, Thai Dương Hạ Bắc,Thai Dương Hạ Trung, Thai Dương Hạ Nam (sau các vị trí của đường giao thông chính)</t>
  </si>
  <si>
    <t>Vùng 3: 
- Xóm biển tổ dân phố Vĩnh Trị
- Xóm biển tổ dân phố Thai Dương Hạ Bắc
- Xóm Cồn Dài tổ dân phố Thai Dương Thượng Tây từ cống Ván đến hết ranh giới khu dân cư.
- Xóm Cồn Đâu tổ dân phố Thai Dương Hạ Nam.</t>
  </si>
  <si>
    <t>19. PHƯỜNG THUẬN HÓA</t>
  </si>
  <si>
    <t>Ấu Triệu</t>
  </si>
  <si>
    <t>Bà huyện Thanh Quan</t>
  </si>
  <si>
    <t>Lê Lợi</t>
  </si>
  <si>
    <t>Trương Định</t>
  </si>
  <si>
    <t>Ngã tư Hùng Vương</t>
  </si>
  <si>
    <t>Dương Văn An</t>
  </si>
  <si>
    <t>Nguyễn Công Trứ</t>
  </si>
  <si>
    <t>Bảo Quốc</t>
  </si>
  <si>
    <t>Lịch Đợi</t>
  </si>
  <si>
    <t>Bến Nghé</t>
  </si>
  <si>
    <t>Đội Cung</t>
  </si>
  <si>
    <t>Hùng Vương tại ngã sáu</t>
  </si>
  <si>
    <t>Bùi Huy Tín</t>
  </si>
  <si>
    <t>Đồng Khởi</t>
  </si>
  <si>
    <t>Bùi Thị Cúc</t>
  </si>
  <si>
    <t>Nguyễn Thị Định</t>
  </si>
  <si>
    <t>Bùi Thị Xuân</t>
  </si>
  <si>
    <t>Cầu Ga (Lê Lợi)</t>
  </si>
  <si>
    <t>Cầu Lòn đường sắt</t>
  </si>
  <si>
    <t>Huyền Trân Công Chúa</t>
  </si>
  <si>
    <t>Cầu Long Thọ</t>
  </si>
  <si>
    <t>Cao Đình Độ</t>
  </si>
  <si>
    <t>Trần Hoành</t>
  </si>
  <si>
    <t>Chế Lan Viên</t>
  </si>
  <si>
    <t>Xuân Diệu</t>
  </si>
  <si>
    <t>Chu Văn An</t>
  </si>
  <si>
    <t>Nguyễn Thái Học</t>
  </si>
  <si>
    <t>Dương Xuân</t>
  </si>
  <si>
    <t>Tôn Nữ Diệu Không</t>
  </si>
  <si>
    <t>Lê Đình Thám</t>
  </si>
  <si>
    <t>Trần Phú (ngã ba Thánh giá)</t>
  </si>
  <si>
    <t>Đào Tấn</t>
  </si>
  <si>
    <t>Trần Thái Tông</t>
  </si>
  <si>
    <t>Kiệt 131 Trần Phú</t>
  </si>
  <si>
    <t>Giáp bờ sông Hương</t>
  </si>
  <si>
    <t>Phan Đình Phùng</t>
  </si>
  <si>
    <t>Sư Liễu Quán</t>
  </si>
  <si>
    <t>Ngự Bình - Đàn Nam Giao</t>
  </si>
  <si>
    <t>Đinh Liệt</t>
  </si>
  <si>
    <t>Trường Đúc</t>
  </si>
  <si>
    <t>Đoàn Hữu Trưng</t>
  </si>
  <si>
    <t>Nguyễn Trường Tộ</t>
  </si>
  <si>
    <t>Trần Cao Vân</t>
  </si>
  <si>
    <t>Đống Đa</t>
  </si>
  <si>
    <t>Ngã năm Nguyễn Huệ</t>
  </si>
  <si>
    <t>Ngã sáu Hùng Vương</t>
  </si>
  <si>
    <t>Hà Nội</t>
  </si>
  <si>
    <t>Hai Bà Trưng</t>
  </si>
  <si>
    <t>Hàm Nghi</t>
  </si>
  <si>
    <t>Hoàng Đình Ái</t>
  </si>
  <si>
    <t>Lê Phụng Hiểu</t>
  </si>
  <si>
    <t>Hoàng Hoa Thám</t>
  </si>
  <si>
    <t>Cầu Trường Tiền</t>
  </si>
  <si>
    <t>Đến hết địa bàn phường</t>
  </si>
  <si>
    <t>Thích Tịnh Khiết</t>
  </si>
  <si>
    <t>Lê Hồng Phong</t>
  </si>
  <si>
    <t>Nguyễn Huệ</t>
  </si>
  <si>
    <t>Lê Lai</t>
  </si>
  <si>
    <t>Ngô Quyền</t>
  </si>
  <si>
    <t>Bùi Thị Xuân (cầu Ga)</t>
  </si>
  <si>
    <t>Đập Đá - Nguyễn Công Trứ</t>
  </si>
  <si>
    <t>Lê Ngô Cát</t>
  </si>
  <si>
    <t>mới</t>
  </si>
  <si>
    <t>Lê Quý Đôn</t>
  </si>
  <si>
    <t>Tôn Thất Tùng</t>
  </si>
  <si>
    <t>Lương Thế Vinh</t>
  </si>
  <si>
    <t>Lý Thường Kiệt</t>
  </si>
  <si>
    <t>Mạc Thị Bưởi</t>
  </si>
  <si>
    <t>Út Tịch</t>
  </si>
  <si>
    <t>Nam Giao</t>
  </si>
  <si>
    <t>Ngô Gia Tự</t>
  </si>
  <si>
    <t>Nguyễn Văn Cừ</t>
  </si>
  <si>
    <t>Hà Nội - Lý Thường Kiệt</t>
  </si>
  <si>
    <t>Bà Triệu (cầu Vỹ Dạ)</t>
  </si>
  <si>
    <t>Nguyễn Đình Chiểu</t>
  </si>
  <si>
    <t>Nam đầu cầu Tràng Tiền</t>
  </si>
  <si>
    <t>Nguyễn Huy Tự</t>
  </si>
  <si>
    <t>Nguyễn Khuyến</t>
  </si>
  <si>
    <t>Nguyễn Lương Bằng</t>
  </si>
  <si>
    <t>Tôn Đức Thắng</t>
  </si>
  <si>
    <t>Kéo dài đến cuối đường</t>
  </si>
  <si>
    <t>Bến Nghé - Trần Cao Vân</t>
  </si>
  <si>
    <t>Nguyễn Thị Minh Khai</t>
  </si>
  <si>
    <t>Nguyễn Thiện Kế</t>
  </si>
  <si>
    <t>Phan Bội Châu (chợ Bến Ngự)</t>
  </si>
  <si>
    <t>Nguyễn Tri Phương</t>
  </si>
  <si>
    <t>Nguyễn Văn Đào</t>
  </si>
  <si>
    <t>Nguyễn Văn Huyên</t>
  </si>
  <si>
    <t>Nguyễn Xí</t>
  </si>
  <si>
    <t>Phạm Hồng Thái</t>
  </si>
  <si>
    <t>Phạm Ngũ Lão</t>
  </si>
  <si>
    <t>Võ Thị Sáu</t>
  </si>
  <si>
    <t>Cầu Ga Huế</t>
  </si>
  <si>
    <t>Hùng Vương (cầu An Cựu)</t>
  </si>
  <si>
    <t>Phó Đức Chính</t>
  </si>
  <si>
    <t>Trần Quang Khải</t>
  </si>
  <si>
    <t>Phong Châu</t>
  </si>
  <si>
    <t>Quảng Tế</t>
  </si>
  <si>
    <t>Thanh Hải</t>
  </si>
  <si>
    <t>Sơn Xuyên</t>
  </si>
  <si>
    <t>Đường Quy hoạch 2</t>
  </si>
  <si>
    <t>Điên Biên Phủ</t>
  </si>
  <si>
    <t>Tây Sơn</t>
  </si>
  <si>
    <t>Thích Nữ Diệu Không</t>
  </si>
  <si>
    <t>Ngã tư Tôn Đức Thắng</t>
  </si>
  <si>
    <t>Bùi Thị Xuân (bùng binh cầu Dã Viên)</t>
  </si>
  <si>
    <t xml:space="preserve">Đổi tên </t>
  </si>
  <si>
    <t>Bùi Thị Xuân (cầu Lòn đường sắt)</t>
  </si>
  <si>
    <t>Trần Anh Tông</t>
  </si>
  <si>
    <t>Võ Liêm Sơn</t>
  </si>
  <si>
    <t>Trần Thúc Nhẫn</t>
  </si>
  <si>
    <t>Trường Đồng</t>
  </si>
  <si>
    <t>Đội Cung - Bến Nghé</t>
  </si>
  <si>
    <t>Võ Văn Tần</t>
  </si>
  <si>
    <t>Các đường thuộc sân ga Huế</t>
  </si>
  <si>
    <t>Đoạn từ đường Ấu Triệu (thửa đất số 14 tờ bản đồ số 10) đến kiệt 143 Phan Bội Châu</t>
  </si>
  <si>
    <t>20. PHƯỜNG THỦY XUÂN</t>
  </si>
  <si>
    <r>
      <rPr>
        <i/>
        <sz val="11"/>
        <rFont val="Times New Roman"/>
        <charset val="134"/>
      </rPr>
      <t>ĐVT: Đồng/m</t>
    </r>
    <r>
      <rPr>
        <sz val="11"/>
        <rFont val="Times New Roman"/>
        <charset val="134"/>
      </rPr>
      <t>²</t>
    </r>
  </si>
  <si>
    <t>Bản Bộ</t>
  </si>
  <si>
    <t>Bản Bộ 1</t>
  </si>
  <si>
    <t>Lê Bá Thận</t>
  </si>
  <si>
    <t>Bông Văn Dĩa</t>
  </si>
  <si>
    <t>Đắc Lập</t>
  </si>
  <si>
    <t>Hết địa giới hành chính phường Thuỷ Xuân</t>
  </si>
  <si>
    <t>Út tịch</t>
  </si>
  <si>
    <t>Đầu làng Lương Quán Thủy Biều, nay là Đầu làng Lương Quán Thủy Xuân</t>
  </si>
  <si>
    <t>Bùi Viện</t>
  </si>
  <si>
    <t>Khu dân cư tổ 9, khu vực II</t>
  </si>
  <si>
    <t>Bửu Đóa</t>
  </si>
  <si>
    <t>Dương Quảng Hàm</t>
  </si>
  <si>
    <t>Phan Kế Bính</t>
  </si>
  <si>
    <t>Cống thoát nước</t>
  </si>
  <si>
    <t>Dương Xuân Hạ</t>
  </si>
  <si>
    <t>Tỉnh Lộ 25 (giáp sông Hương)</t>
  </si>
  <si>
    <t>Hà Văn Chúc</t>
  </si>
  <si>
    <t>Đắc Lập 1</t>
  </si>
  <si>
    <t>Đắc Lập 3</t>
  </si>
  <si>
    <t>Đặng Đức Tuấn</t>
  </si>
  <si>
    <t>Ngô Hà</t>
  </si>
  <si>
    <t>Ngã ba đập Trung Thượng</t>
  </si>
  <si>
    <t>Đoàn Nhữ Hài</t>
  </si>
  <si>
    <t>Lăng Đồng Khánh</t>
  </si>
  <si>
    <t>Hoài Thanh</t>
  </si>
  <si>
    <t>Nhà văn hóa Khu vực 4</t>
  </si>
  <si>
    <t>Hết ranh giới Thủy Xuân</t>
  </si>
  <si>
    <t>Hoàng Tăng Bí</t>
  </si>
  <si>
    <t xml:space="preserve">Bùi Viện	</t>
  </si>
  <si>
    <t>Kiệt 11 Huyền Trân Công Chúa</t>
  </si>
  <si>
    <t>Thửa đất số 496 (ngã ba vào Điện Huệ Nam)</t>
  </si>
  <si>
    <t>Kinh Nhơn</t>
  </si>
  <si>
    <t>Khúc Hạo</t>
  </si>
  <si>
    <t>Nguyễn Thành Ý</t>
  </si>
  <si>
    <t>Thu Bồn</t>
  </si>
  <si>
    <t>Lê Gia Đỉnh</t>
  </si>
  <si>
    <t>Địa giới hành chính phường Thuỷ Xuân</t>
  </si>
  <si>
    <t>Long Thọ</t>
  </si>
  <si>
    <t>Bùi Thị Xuân (đầu cầu Long Thọ)</t>
  </si>
  <si>
    <t>Mỏ đá Long Thọ</t>
  </si>
  <si>
    <t>Lương Quán</t>
  </si>
  <si>
    <t>Thân Văn Nhiếp</t>
  </si>
  <si>
    <t>Ngã ba Lương Quán - Trung Thượng</t>
  </si>
  <si>
    <t>Hết cầu Lim 1</t>
  </si>
  <si>
    <t>Giáp ranh giới xã Thủy Bằng (cũ), nay là thửa đất số 150 tờ bản đồ số 38 (Thủy Xuân cũ).</t>
  </si>
  <si>
    <t>Làng Nguyệt Biều</t>
  </si>
  <si>
    <t>Nguyễn Trung Ngạn</t>
  </si>
  <si>
    <t>Võ Quang Hải</t>
  </si>
  <si>
    <t>Nguyệt Biều</t>
  </si>
  <si>
    <t>Đập Trung Thượng</t>
  </si>
  <si>
    <t>Nhánh Thanh Hải</t>
  </si>
  <si>
    <t>Hết ranh giới Nhà máy sản xuất nước Bạch Mã</t>
  </si>
  <si>
    <t>Phạm Đình Toái</t>
  </si>
  <si>
    <t>Phạm Phú Thứ</t>
  </si>
  <si>
    <t>Phan Đình Giót</t>
  </si>
  <si>
    <t>Sử Hy Nhan</t>
  </si>
  <si>
    <t>Thửa đất số 10, tờ bản đồ số 21</t>
  </si>
  <si>
    <t>Đường Thu Bồn</t>
  </si>
  <si>
    <t>Thanh Nghị</t>
  </si>
  <si>
    <t>Ngã ba thôn Trung Thượng</t>
  </si>
  <si>
    <t>Thân Trọng Phước</t>
  </si>
  <si>
    <t>Ngã ba cuối đường Thanh Nghị</t>
  </si>
  <si>
    <t>Trường Lương Quán</t>
  </si>
  <si>
    <t>Chín Hầm</t>
  </si>
  <si>
    <t>Ngã 3 chùa Bảo Lâm</t>
  </si>
  <si>
    <t>Trần Thị Tâm</t>
  </si>
  <si>
    <t>Nguyễn Văn Đào (hạ tầng chưa đồng bộ)</t>
  </si>
  <si>
    <t>CV959</t>
  </si>
  <si>
    <t>Vũ Ngọc Phan</t>
  </si>
  <si>
    <t>Vũ Phạm Khải</t>
  </si>
  <si>
    <t>Kiệt 106 Minh Mạng</t>
  </si>
  <si>
    <t>moi</t>
  </si>
  <si>
    <t>Tỉnh lộ 25</t>
  </si>
  <si>
    <t>Đoạn từ đường Đại Nam đến hết ranh giới Công ty Cổ phần chế biến lâm sản Hương Giang</t>
  </si>
  <si>
    <t>Đoạn từ hết ranh giới Công ty cổ phần chế biến lâm sản Hương Giang đến hết thửa đất số 329, tờ bản đồ số 116 (23 cũ)</t>
  </si>
  <si>
    <t>Đoạn từ thửa đất số 329, tờ bản đồ số 23 (cũ) đến hết địa giới hành chính phường Thuỷ Xuân (Tổ dân phố Nguyệt Biều, Vỹ Xá, Tân Ba)</t>
  </si>
  <si>
    <t>Quốc lộ 49</t>
  </si>
  <si>
    <t>Đoạn từ đường Minh Mạng (thửa 32 tờ bản đồ 94 (02 cũ) đến hết thửa đất số 301, tờ bản đồ số 94 (02 cũ) (đường vào chùa Đức Sơn)</t>
  </si>
  <si>
    <t>Đoạn từ thửa đất số 301, tờ bản đồ số 01 (đường vào Chùa Đức Sơn) đến hết thửa đất số 175, tờ bản đồ số 4 (Khu tập thể Mỏ Đá)</t>
  </si>
  <si>
    <t>Đoạn từ từ thửa đất số 175, tờ bản đồ số 96 (04 cũ) (khu tập thể Mỏ Đá) đến Đường Quốc lộ 1A</t>
  </si>
  <si>
    <t>Đường trung tâm xã Thủy Bằng (cũ)</t>
  </si>
  <si>
    <t>Đoạn từ đường Đại Nam đến hết các thửa đất số 323, tờ bản đồ số 18</t>
  </si>
  <si>
    <t>Đoạn từ tỉnh lộ 25 đến hết các thửa đất số 323, tờ bản đồ số 18 đến đường Quốc lộ 1A phía Tây Huế</t>
  </si>
  <si>
    <t>Đoạn từ thửa đất số 323, tờ bản đồ số 18 đến đường Quốc lộ 1A phía Tây Huế</t>
  </si>
  <si>
    <t>Đường Liên tổ</t>
  </si>
  <si>
    <t>Đoạn từ đường Quốc lộ 49 đến Ngã ba Đại Nam - Tỉnh lộ 25</t>
  </si>
  <si>
    <t>Đoạn từ Quốc lộ 1A phía Tây Huế đến hết thửa đất số 53, tờ bản đồ số 24 (đập tràn)</t>
  </si>
  <si>
    <t>Đoạn từ thửa đất số 53, tờ bản đồ số 117 (24 cũ) (đập tràn) đến nhà văn hóa thôn Dạ Khê, thửa đất số 204 tờ bản đồ số 117 (24 cũ)</t>
  </si>
  <si>
    <t>II</t>
  </si>
  <si>
    <t>21. PHƯỜNG VỸ DẠ</t>
  </si>
  <si>
    <t>Bùi San</t>
  </si>
  <si>
    <t>Trần Văn Ơn</t>
  </si>
  <si>
    <t>Cao Xuân Dục</t>
  </si>
  <si>
    <t>Nguyễn An Ninh</t>
  </si>
  <si>
    <t>Cao Xuân Huy</t>
  </si>
  <si>
    <t>Tùng Thiện Vương</t>
  </si>
  <si>
    <t>Nguyễn Minh Vỹ</t>
  </si>
  <si>
    <t>Dạ Lê Chánh</t>
  </si>
  <si>
    <t>Cầu Uẩn (đường Nguyễn Thị Diệm)</t>
  </si>
  <si>
    <t>Diễn Phái</t>
  </si>
  <si>
    <t>Nguyễn Sinh Sắc</t>
  </si>
  <si>
    <t>Xuân Thủy</t>
  </si>
  <si>
    <t>Dục Thanh</t>
  </si>
  <si>
    <t>Hoàng Thông</t>
  </si>
  <si>
    <t>Giao nhau từ đường Dục Thanh với đường Nguyễn An Ninh</t>
  </si>
  <si>
    <t>Thửa 56 tờ bản đồ 29 (Vỹ Dạ cũ)</t>
  </si>
  <si>
    <t>bổ sung 26/5/2026</t>
  </si>
  <si>
    <t xml:space="preserve"> Hoàng Lanh</t>
  </si>
  <si>
    <t>Dương Thị Côi</t>
  </si>
  <si>
    <t>Giáp ranh giới phường Thanh Thuỷ</t>
  </si>
  <si>
    <t>Nguyễn Bính</t>
  </si>
  <si>
    <t>Nguyễn Lô Trạch</t>
  </si>
  <si>
    <t>Đặng Thùy Trâm</t>
  </si>
  <si>
    <t>Tổ Hữu</t>
  </si>
  <si>
    <t>Lý Tự Trọng</t>
  </si>
  <si>
    <t>Đào Trinh Nhất</t>
  </si>
  <si>
    <t>Lưu Hữu Phước</t>
  </si>
  <si>
    <t>Điềm Phùng Thị</t>
  </si>
  <si>
    <t>Kim Liên</t>
  </si>
  <si>
    <t>Hà Huy Giáp</t>
  </si>
  <si>
    <t>Lâm Hoằng</t>
  </si>
  <si>
    <t>Hàn Mặc Tử</t>
  </si>
  <si>
    <t>Nguyễn Sinh Cung</t>
  </si>
  <si>
    <t>Cầu Vỹ Dạ</t>
  </si>
  <si>
    <t>Hoàng Thế Thiện</t>
  </si>
  <si>
    <t>Vũ Xuân Chiêm</t>
  </si>
  <si>
    <t>Cuối kiệt 118 Nguyễn Lộ Trạch</t>
  </si>
  <si>
    <t>Cao Xuân Dục - Nguyễn Sinh Sắc</t>
  </si>
  <si>
    <t>Hoàng Văn Thụ (địa phận phường Vỹ Dạ)</t>
  </si>
  <si>
    <t>Hồng Khẳng</t>
  </si>
  <si>
    <t>Hồng Thiết</t>
  </si>
  <si>
    <t>Hết địa bàn phường Vỹ Dạ</t>
  </si>
  <si>
    <t>Lê Đức Anh</t>
  </si>
  <si>
    <t>Chi Cục thuế thành phố Huế</t>
  </si>
  <si>
    <t>Lê Hồng Sơn</t>
  </si>
  <si>
    <t>Lê Tự Đồng</t>
  </si>
  <si>
    <t>Phía sau lưng công ty xổ số cũ</t>
  </si>
  <si>
    <t>Ngô Thúc Khuê</t>
  </si>
  <si>
    <t>Nguyễn Lộ Trạch</t>
  </si>
  <si>
    <t>Cầu Vân Dương 2</t>
  </si>
  <si>
    <t>Nguyễn Cửu Vân</t>
  </si>
  <si>
    <t>Võ Chí Công (cầu Như Ý 2)</t>
  </si>
  <si>
    <t>Lê Đức Anh (cầu vượt sông Như Ý)</t>
  </si>
  <si>
    <t>Nguyễn Đỗ Cung</t>
  </si>
  <si>
    <t>Nguyễn Hạnh</t>
  </si>
  <si>
    <t>Nguyễn Phong Sắc</t>
  </si>
  <si>
    <t>Nguyễn Khoa Vy</t>
  </si>
  <si>
    <t>Nguyễn Lân</t>
  </si>
  <si>
    <t>Đường quy hoạch 36m</t>
  </si>
  <si>
    <t>Kiệt 185 Nguyễn Lộ Trạch</t>
  </si>
  <si>
    <t>Nguyễn Phan Chánh</t>
  </si>
  <si>
    <t>Nguyễn Quý Anh</t>
  </si>
  <si>
    <t>Cầu Đập Đá</t>
  </si>
  <si>
    <t>Nguyễn Sinh Khiêm</t>
  </si>
  <si>
    <t>Kiệt 6 Nguyễn Khoa Vy</t>
  </si>
  <si>
    <t>Nguyễn Thị Diệm</t>
  </si>
  <si>
    <t>Trương Hữu Hoàn</t>
  </si>
  <si>
    <t>Miếu đôi</t>
  </si>
  <si>
    <t>Nguyễn Thị Lài</t>
  </si>
  <si>
    <t>Vũ Thắng</t>
  </si>
  <si>
    <t>Nguyễn Tuân</t>
  </si>
  <si>
    <t>Nguyễn Viết Song</t>
  </si>
  <si>
    <t>Kiệt 15 Xuân Hòa</t>
  </si>
  <si>
    <t>Nguyễn Xuân Lâm</t>
  </si>
  <si>
    <t>Pác Bó</t>
  </si>
  <si>
    <t>Trương Gia Mô</t>
  </si>
  <si>
    <t>Phan Văn Trường</t>
  </si>
  <si>
    <t>Thửa  đất số 250, 251, 264, tờ bản đồ 44</t>
  </si>
  <si>
    <t>Kiệt 163 Nguyễn Lộ Trạch</t>
  </si>
  <si>
    <t>Thanh Tịnh</t>
  </si>
  <si>
    <t>Tuy Lý Vương</t>
  </si>
  <si>
    <t>Cầu Ông Thượng</t>
  </si>
  <si>
    <t>Vòng xuyến đường Võ Nguyên Giáp</t>
  </si>
  <si>
    <t>Trần Quý Kiên</t>
  </si>
  <si>
    <t>Trần Thị Nuôi</t>
  </si>
  <si>
    <t>Thửa đất số 143, tờ bản đồ số 44</t>
  </si>
  <si>
    <t>Giáp xã Thủy Thanh (cũ)</t>
  </si>
  <si>
    <t>Cắt Quốc lộ 49, giáp cầu Thủy Vân</t>
  </si>
  <si>
    <t>Ưng Bình</t>
  </si>
  <si>
    <t>Cồn Hến (bến đò Cồn)</t>
  </si>
  <si>
    <t>Ưng Trí</t>
  </si>
  <si>
    <t>Văn Cao</t>
  </si>
  <si>
    <t>Việt Bắc</t>
  </si>
  <si>
    <t>Cầu Vượt Thủy Dương (đường Võ Văn Kiệt)</t>
  </si>
  <si>
    <t>Cầu Công Lương</t>
  </si>
  <si>
    <t>Khu An Cựu City</t>
  </si>
  <si>
    <t>22. XÃ A LƯỚI 1</t>
  </si>
  <si>
    <t>Hồ Chí Minh</t>
  </si>
  <si>
    <t>Đoạn từ Giáp xã A Lưới 2 đến thôn Đút 1, Làng Việt Tiến</t>
  </si>
  <si>
    <t>Đoạn từ Thôn Đút 2 tới Ủy ban nhân dân xã A Lưới 1</t>
  </si>
  <si>
    <t>Đoạn đường từ thôn Đút 2 tới Uỷ ban nhân dân A Lưới 1 về đến hết thôn A Niêng Lê Triêng 1</t>
  </si>
  <si>
    <t>Đoạn từ thôn Ta Ay Ta đến Đèo Pê Ke thôn Kê</t>
  </si>
  <si>
    <t>Đoạn từ Đèo Pê Kê thôn Tru Pỉ đến Nghĩa địa thôn Kê 1 giáp xã La Lay, tỉnh Quảng Trị</t>
  </si>
  <si>
    <t>Vùng 1: Các thôn: A Tia 2, Đút 1, Thôn A Đeeng Par Lieng 1, Thôn A Năm, Thôn Ta Ay Ta</t>
  </si>
  <si>
    <t>Vùng 2: Các thôn: A Tia 1, Đút 2, Thôn A Đeeng Par Lieng 2, A Niêng Lê Triêng 1, Đụt Lê Triêng 2, Kê, Ca Cú 1, Ca Cú 2, Ta Lo A Hố, Kê 1, Kê 2, La Ngà, Pâr Ay, Tru Pỉ</t>
  </si>
  <si>
    <t>23. XÃ A LƯỚI 2</t>
  </si>
  <si>
    <t>Đoạn</t>
  </si>
  <si>
    <t xml:space="preserve"> </t>
  </si>
  <si>
    <t>A Biah</t>
  </si>
  <si>
    <t>Ngã ba đường Hồ Chí Minh tại mốc định vị H7 cạnh trường Trung học cơ sở - Dân tộc nội trú</t>
  </si>
  <si>
    <t>Tại mốc định vị S4 cạnh nhà ông Tiếp gặp đường từ Sơn Phước tới</t>
  </si>
  <si>
    <t>max</t>
  </si>
  <si>
    <t>Ngã ba cạnh nhà ông Tiếp tại mốc định vị S4</t>
  </si>
  <si>
    <t>Đến sông Tà Rình</t>
  </si>
  <si>
    <t>min</t>
  </si>
  <si>
    <t>Ngã tư đường 6 (cạnh nhà ông Nhơn)</t>
  </si>
  <si>
    <t>Ngã ba đường Hồ Chí Minh (cạnh nhà ông Quân)</t>
  </si>
  <si>
    <t>Cầu Hồng Quảng</t>
  </si>
  <si>
    <t>A Ko</t>
  </si>
  <si>
    <t>Ngã ba đường Hồ Chí Minh cạnh ông Vo tại mốc định vị H6</t>
  </si>
  <si>
    <t>Trường tiểu học thị trấn số 2 kéo dài đến đường quy hoạch</t>
  </si>
  <si>
    <t>A Nôr</t>
  </si>
  <si>
    <t>Ngã ba đường Hồ Chí Minh cạnh nhà ông Hà Phước tại mốc định vị H5</t>
  </si>
  <si>
    <t>Cạnh nhà ông On gặp đường sau trường Dân tộc nội trú</t>
  </si>
  <si>
    <t>A Sáp</t>
  </si>
  <si>
    <t>Ngã ba đường Hồ Chí Minh (cạnh trụ sở Công an tại mốc định vị H12)</t>
  </si>
  <si>
    <t>Ngã tư đường Quỳnh Trên (cạnh Ủy ban nhân dân thị trấn A Lưới (cũ))</t>
  </si>
  <si>
    <t>Ngã ba đường Hồ Văn Hảo (cạnh nhà ông Hồ Anh Miêng)</t>
  </si>
  <si>
    <t>Đấu nối đường Hồ, cạnh nhà ông Nguyễn Mạnh Đan</t>
  </si>
  <si>
    <t>A Vầu</t>
  </si>
  <si>
    <t>Ngã ba đường Hồ Chí Minh cạnh Chi cục Thuế tại mốc định vị H20</t>
  </si>
  <si>
    <t>Tại mốc định vị E4 lên trụ sở Đài Truyền thanh truyền hình (cũ)</t>
  </si>
  <si>
    <t>Ăm Mật</t>
  </si>
  <si>
    <t>Ngã ba đường Hồ Chí Minh cạnh phòng Nội vụ, Lao động thương binh và xã hội mốc định vị H24</t>
  </si>
  <si>
    <t>Tại mốc định vị D7 cạnh nhà ông Văn Trương gặp trục đường bao phía tây đường Hồ Chí Minh</t>
  </si>
  <si>
    <t>Ngã ba đường Hồ Chí Minh cạnh Tòa án huyện tại mốc định vị H24</t>
  </si>
  <si>
    <t>Tại mốc định vị E6 cạnh nhà ông Hạnh gặp đường bao từ trụ sở Công an đi Công ty Cổ phần Thương mại và xây dựng A Lưới</t>
  </si>
  <si>
    <t>Bắc Sơn</t>
  </si>
  <si>
    <t>Ngã ba đường Hồ Chí Minh cạnh nhà ông Thục tại mốc định vị H8</t>
  </si>
  <si>
    <t>Vòng đến trụ sở Đài Truyền thanh truyền hình A Lưới (cũ) tại mốc định vị E3 gặp đường bao</t>
  </si>
  <si>
    <t>Các đoạn đường nội bộ thuộc Vườn tràm</t>
  </si>
  <si>
    <t>Các trục đường nội bộ chợ tạm cũ</t>
  </si>
  <si>
    <t>Các trục đường nội bộ Hợp tác xã Sơn Phước</t>
  </si>
  <si>
    <t>Các trục đường nội bộ, còn lại ven chân đồi, ven đường 14B (cũ), tại các cụm I, II, III, IV, V, VI</t>
  </si>
  <si>
    <t>Đinh Núp</t>
  </si>
  <si>
    <t>Ngã ba đường Hồ Chí Minh và đường 5 tại mốc định vị H26</t>
  </si>
  <si>
    <t>Ngã ba đường (cạnh nhà ông Vũ)</t>
  </si>
  <si>
    <t>Ngã ba đường Hồ Chí Minh cạnh nhà ông Vũ tại mốc định vị K1</t>
  </si>
  <si>
    <t>Tại mốc định vị chợ tạm N1 ngã ba đường công vụ Hồng Kim - A Ngo (cũ) cạnh cơ quan Thi hành án huyện (cũ)</t>
  </si>
  <si>
    <t>Đội Cấn</t>
  </si>
  <si>
    <t>Ngã ba đường Hồ Chí Minh cạnh nhà ông Hưng tại mốc định vị H25</t>
  </si>
  <si>
    <t>Nhà ông Hoàng kéo dài đến đường quy hoạch</t>
  </si>
  <si>
    <t>Động So</t>
  </si>
  <si>
    <t>Ngã ba đường Hồ Chí Minh cạnh nhà ông Toán tại mốc định vị Ha</t>
  </si>
  <si>
    <t>Cầu Hồng Bắc</t>
  </si>
  <si>
    <t>Động Tiên Công</t>
  </si>
  <si>
    <t>Tại mốc định vị K1 (nhà ông Vũ)</t>
  </si>
  <si>
    <t>Tại mốc định vị K2 (nhà ông Bửu)</t>
  </si>
  <si>
    <t>Đường Giải phóng A So</t>
  </si>
  <si>
    <t>Địa giới thị trấn A Lưới - xã Hồng Kim (cũ)</t>
  </si>
  <si>
    <t>Ngã tư đường đi xã Hồng Bắc (cũ) cạnh nhà Sinh hoạt cộng đồng cụm I (cũ)</t>
  </si>
  <si>
    <t>Ngã tư đường đi Hồng Bắc (cũ) cạnh nhà ông Tiếp cụm I</t>
  </si>
  <si>
    <t>Đấu nối với đường đi Hồng Quảng (cũ) (cạnh nhà bà Sen, ông Hùng)</t>
  </si>
  <si>
    <t>Đấu nối với đường đi xã Hồng Quảng (cũ) (cạnh nhà ông Sưa - bà Lan)</t>
  </si>
  <si>
    <t>Đến suối (cạnh nhà ông Nhật)</t>
  </si>
  <si>
    <t>Suối (cạnh nhà ông Nhật)</t>
  </si>
  <si>
    <t>Địa giới thị trấn A Lưới - xã A Ngo (cũ)</t>
  </si>
  <si>
    <t>Địa giới hành chính xã A Ngo/Thị trấn A Lưới (cũ)</t>
  </si>
  <si>
    <t>Nam cầu Ra Ho</t>
  </si>
  <si>
    <t>Bắc cầu Ra Ho</t>
  </si>
  <si>
    <t>Nam cầu Tà Rê</t>
  </si>
  <si>
    <t>Bắc cầu Tà Rê</t>
  </si>
  <si>
    <t>Địa giới hành chính xã Hồng Kim/Thị trấn A Lưới (cũ)</t>
  </si>
  <si>
    <t>Hồ Huấn Nghiệp</t>
  </si>
  <si>
    <t>Ngã ba đường Hồ Chí Minh cạnh Phòng Tài nguyên và Môi trường</t>
  </si>
  <si>
    <t>Điểm đấu nối tại ngã ba đường đi Trường Tiểu học Kim Đồng</t>
  </si>
  <si>
    <t>Đấu nối đường Giải Phóng A So (cạnh nhà ông Phan Tý)</t>
  </si>
  <si>
    <t>Hồ Văn Hảo</t>
  </si>
  <si>
    <t>Ngã ba đường Hồ Chí Minh (đường giữa Ủy ban nhân dân và Huyện ủy) (cũ) tại mốc định vị H22</t>
  </si>
  <si>
    <t>Tại mốc định vị E5 cạnh nhà ông Miêng gặp đường bao Kiểm lâm đi Cổ phần Thương mại và xây dựng A Lưới</t>
  </si>
  <si>
    <t>Kăn Treec</t>
  </si>
  <si>
    <t>Ngã tư quán ông Lợi mốc D3</t>
  </si>
  <si>
    <t>Ranh giới xã Hồng Quảng (cũ)</t>
  </si>
  <si>
    <t>Kim Đồng</t>
  </si>
  <si>
    <t>Cống Sơn Phước (Cạnh nhà ông Mười)</t>
  </si>
  <si>
    <t>Ngã tư (cạnh nhà ông Châu) mốc D6</t>
  </si>
  <si>
    <t xml:space="preserve">Ngã tư đường 6 (cạnh nhà ông Nhơn) đường Kim Đồng </t>
  </si>
  <si>
    <t>Đấu nối với đường A Đon cạnh nhà sinh hoạt cộng đồng thôn 6, xã A Lưới 2</t>
  </si>
  <si>
    <t>Konh Hư</t>
  </si>
  <si>
    <t>Ngã ba đường Hồ Chí Minh và đường 6 tại mốc định vị H27</t>
  </si>
  <si>
    <t>Tại mốc định vị M3 đường đi Hồng Quảng (cũ)</t>
  </si>
  <si>
    <t>Konh Khoai</t>
  </si>
  <si>
    <t>Ngã ba đường Hồ Chí Minh cạnh nhà Mai Tý</t>
  </si>
  <si>
    <t>Trục đường bao phía tây cạnh nhà ông Mão</t>
  </si>
  <si>
    <t>Lê Khôi</t>
  </si>
  <si>
    <t>Ngã ba đường Hồ Chí Minh cạnh ông Hoàng tại mốc định vị H3</t>
  </si>
  <si>
    <t>Đến hết Văn phòng làm việc Trạm cấp thoát nước và Công trình đô thị cũ</t>
  </si>
  <si>
    <t>Ngã ba giao với đường Hồ Chí Minh, cạnh nhà ông - bà Khanh - Mỹ (cũ) đến nhà ông Hà</t>
  </si>
  <si>
    <t>Ngã ba giao với đường Hồ Chí Minh, cạnh nhà ông - bà Khanh - Mỹ (cũ)</t>
  </si>
  <si>
    <t>Nhà ông Hà</t>
  </si>
  <si>
    <t>Ngã ba Trường tiểu học thị trấn số 1 đến ngã ba đường tránh đường Hồ Chí Minh cạnh nhà ông Phan Tý, cụm 3</t>
  </si>
  <si>
    <t>Ngã ba Trường tiểu học thị trấn số 1 (cũ)</t>
  </si>
  <si>
    <t>Ngã ba đường tránh đường Hồ Chí Minh cạnh nhà ông Phan Tý, cụm 3 (cũ)</t>
  </si>
  <si>
    <t>Nguyễn Thức Tự</t>
  </si>
  <si>
    <t>Ngã ba đường Hồ Chí Minh tại mốc định vị H13 (cạnh nhà chị Hường)</t>
  </si>
  <si>
    <t>Cổng Trường Trung học phổ thông A Lưới</t>
  </si>
  <si>
    <t>Nguyễn Văn Hoạch</t>
  </si>
  <si>
    <t>Ngã ba giao với đường Hồ Chí Minh, cạnh nhà ông Dừa</t>
  </si>
  <si>
    <t>Nhà bà Kăn Lịch</t>
  </si>
  <si>
    <t>Đường A Sáp</t>
  </si>
  <si>
    <t>Nguyễn Văn Quãng</t>
  </si>
  <si>
    <t>Ngã ba đường Hồ Chí Minh cạnh quán bà Thiệt tại mốc định vị H16</t>
  </si>
  <si>
    <t>Cống nước Sơn Phước tại mốc định vị D4</t>
  </si>
  <si>
    <t>Cống Sơn Phước mốc D4</t>
  </si>
  <si>
    <t>Ranh giới xã Hồng Quảng (cũ) mốc X5</t>
  </si>
  <si>
    <t>Nơ Trang Lơng</t>
  </si>
  <si>
    <t>Ngã ba đường Hồ Chí Minh cạnh nhà ông Lai tại mốc định vị H9</t>
  </si>
  <si>
    <t>Tại mốc định vị F3 cạnh nhà ông Phiên</t>
  </si>
  <si>
    <t>Quỳnh Trên</t>
  </si>
  <si>
    <t>Ngã ba đường Hồ Chí Minh cạnh nhà khách A Lưới tại mốc định vị H17</t>
  </si>
  <si>
    <t>Tại mốc định vị E3 cạnh trụ sở Liên đoàn Lao động huyện (cũ) gặp đường bao từ Kiểm lâm đi Công ty Cổ phần Thương mại và xây dựng A Lưới</t>
  </si>
  <si>
    <t>Trụ sở Uỷ ban nhân dân Huyện (cũ) (Cạnh nhà ông Thái)</t>
  </si>
  <si>
    <t>Đến hết nhà bà Phương</t>
  </si>
  <si>
    <t>Trục đường giáp ranh xã Hồng Kim (cũ)</t>
  </si>
  <si>
    <t>Ngã ba đường Hồ Chí Minh cạnh nhà ông Lem tại mốc định vị H1</t>
  </si>
  <si>
    <t>Điểm đấu nối đường công vụ Hồng Kim - A Ngo(cũ)</t>
  </si>
  <si>
    <t>Trục đường nội thị</t>
  </si>
  <si>
    <t>Ngã ba đường đi trường Trung học phổ thông số 1 tại mốc định vị D1 cạnh nhà ông Hiếu</t>
  </si>
  <si>
    <t>Tại mốc định vị M1 cạnh nhà ông Tâm</t>
  </si>
  <si>
    <t>Cạnh nhà thầy Trữ mốc S2</t>
  </si>
  <si>
    <t>Nhà ông Diện tổ 1 cụm 3 (cũ)</t>
  </si>
  <si>
    <t>Trục đường nội thị cạnh hàng rào trường Trung học phổ thông A Lưới</t>
  </si>
  <si>
    <t>Đấu nối với đường Kim Đồng, cạnh hàng rào trường Trung học phổ thông A Lưới</t>
  </si>
  <si>
    <t>Đấu nối với trục đường nội thị từ nhà ông Hiếu đến nhà ông Tâm điện lực</t>
  </si>
  <si>
    <t>Trục đường nội thị sau trường Trung học cơ sở - dân tộc nội trú</t>
  </si>
  <si>
    <t>Ngã ba đường vào cầu Hồng Bắc</t>
  </si>
  <si>
    <t>Tại mốc định vị S1 cạnh nhà ông Sinh</t>
  </si>
  <si>
    <t>Trục đường nội thị vòng quanh phía sau trung tâm y tế Huyện (cũ)</t>
  </si>
  <si>
    <t>Đấu nối với đường A Đon, cạnh nhà ông Phong</t>
  </si>
  <si>
    <t>Đấu nối với đường A Đon cạnh hàng rào nhà xe trung tâm y tế Huyện (cũ)</t>
  </si>
  <si>
    <t>Trục đường nối với đường Hồ Chí Minh</t>
  </si>
  <si>
    <t>Ngã ba đường Hồ Chí Minh cạnh cầu Ra Ho tại mốc định vị H11</t>
  </si>
  <si>
    <t>Tại mốc định vị F5 cạnh nhà ông In</t>
  </si>
  <si>
    <t>Ngã ba đường Hồ Chí Minh cạnh nhà ông Giang tại mốc định vị H23</t>
  </si>
  <si>
    <t>Nhà ông Bình đến cuối đường</t>
  </si>
  <si>
    <t>Ngã ba đường Hồ Chí Minh tại mốc định vị H29</t>
  </si>
  <si>
    <t>Tại mốc định vị D11 cổng Trung tâm y tế</t>
  </si>
  <si>
    <t>Trường Sơn</t>
  </si>
  <si>
    <t>Ngã ba đường Hồ Chí Minh cạnh khu tập thể Bưu điện tại mốc định vị H21</t>
  </si>
  <si>
    <t>Tại mốc định vị D6 cạnh nhà ông Hợi gặp trục đường bao phía tây đường Hồ Chí Minh</t>
  </si>
  <si>
    <t>Ngã ba đường Hồ Chí Minh</t>
  </si>
  <si>
    <t>Ngã ba đường công vụ Hồng Kim - A Ngo (cũ), (cạnh nhà bà Nuôi)</t>
  </si>
  <si>
    <t>Vỗ Át</t>
  </si>
  <si>
    <t>Ngã ba đường Hồ Chí Minh cạnh nhà ông - bà Hoàng Bạch</t>
  </si>
  <si>
    <t>Đến cuối đường cạnh nhà ông Rô</t>
  </si>
  <si>
    <t>Vỗ Bẩm</t>
  </si>
  <si>
    <t>Ngã ba đường Hồ Chí Minh cạnh nhà ông A Rất Văng tại mốc định vị H10</t>
  </si>
  <si>
    <t>Tại mốc định vị F4 cạnh nhà ông Pìn</t>
  </si>
  <si>
    <t>Đường Hồ Chí Minh</t>
  </si>
  <si>
    <t>Trong phạm vi 500m từ giáp thị trấn A Lưới (cũ) theo hướng đi Ủy ban nhân dân xã A Ngo (cũ)</t>
  </si>
  <si>
    <t>Trong phạm vi từ trên 500m đến 1000m từ giáp thị trấn A Lưới (cũ) theo hướng đi Ủy ban nhân dân xã A Ngo (cũ)</t>
  </si>
  <si>
    <t>Trên 1000m từ giáp thị trấn A Lưới (cũ) đến giáp xã Sơn Thủy (cũ)</t>
  </si>
  <si>
    <t>Tuyến đường từ đường Hồ Chí Minh đi đến lò mổ tập trung của xã</t>
  </si>
  <si>
    <t xml:space="preserve">Tỉnh lộ 20 </t>
  </si>
  <si>
    <t>Đoạn qua xã Hồng Bắc (cũ)</t>
  </si>
  <si>
    <t>Đoạn qua xã Quảng Nhâm (cũ)</t>
  </si>
  <si>
    <t>Điểm đấu nối với đường Nguyễn Văn Quảng tại địa giới xã Quảng Nhâm/Thị trấn A Lưới (cũ) theo hướng đi Ủy ban nhân dân xã Quảng Nhâm (cũ) đến cầu Hồng Quảng (cũ)</t>
  </si>
  <si>
    <t>Đường bê tông đấu nối với đường Kăn Tréc đến gặp đường Nguyễn Văn Quảng</t>
  </si>
  <si>
    <t>Đường bê tông đấu nối đường Nguyễn Văn Quảng (cạnh nhà ông Mặc) đến trường Tiểu học Hồng Quảng</t>
  </si>
  <si>
    <t>Vùng 1: Các Thôn: Thôn 1, thôn 2, Pơ Nghi 1, A Ngo, Vân Trình, Ta Roi, Hợp Thành, A Diên, Quảng Mai, ê Lộc 2, Lê Ninh, Ra Lóoc - A Sốc, Tân Hối, A Lưới, Pi Ây 1</t>
  </si>
  <si>
    <t>Vùng 2: Các thôn: Pất Đuh, Kleng A Bung, Âr Kêu-Nhâm, A Hươr - Pa E, Thôn Pi Ây 2</t>
  </si>
  <si>
    <t>Vùng 3: Thôn Âr Bả Nhâm</t>
  </si>
  <si>
    <t>24. XÃ A LƯỚI 3</t>
  </si>
  <si>
    <t>Đoạn từ giáp xã A Lưới 2 đến ngã tư Bốt Đỏ</t>
  </si>
  <si>
    <t xml:space="preserve">giáp xã A Lưới 2 </t>
  </si>
  <si>
    <t>Niệm Phật Đường Sơn Thủy (hết giải phân cách)</t>
  </si>
  <si>
    <t xml:space="preserve">giáp xã Sơn Thủy (cũ) </t>
  </si>
  <si>
    <t>đường vào trạm Khí tượng (xã Hồng Thượng cũ)</t>
  </si>
  <si>
    <t xml:space="preserve">giáp xã Hồng Thượng cũ </t>
  </si>
  <si>
    <t>cống gần trạm Y tế cũ</t>
  </si>
  <si>
    <t>Đoạn từ ngã tư Bốt Đỏ đến trụ sở UBMTTQVN xã A Lưới 3 (Trụ sở UBND xã Phú Vinh (cũ).</t>
  </si>
  <si>
    <t xml:space="preserve">Niệm Phật Đường Sơn Thủy (hết giải phân cách) </t>
  </si>
  <si>
    <t>giáp xã Hồng Thượng (cũ)</t>
  </si>
  <si>
    <t xml:space="preserve">đường vào trạm Khí tượng </t>
  </si>
  <si>
    <t>đến giáp xã Phú Vinh (cũ)</t>
  </si>
  <si>
    <t xml:space="preserve">cống gần trạm Y tế cũ </t>
  </si>
  <si>
    <t>giáp xã A Lưới 4</t>
  </si>
  <si>
    <t>đổi tên</t>
  </si>
  <si>
    <t>Đoạn từ trụ sở UBMTTQVN xã A Lưới 3 (Trụ sở UBND xã Phú Vinh (cũ) đến hết địa giới xã A Lưới.</t>
  </si>
  <si>
    <t xml:space="preserve">giáp xã Hồng Thượng (cũ) </t>
  </si>
  <si>
    <t>ngã tư Bốt Đỏ</t>
  </si>
  <si>
    <t>Đường nhánh đường Hồ Chí Minh</t>
  </si>
  <si>
    <t>Đoạn từ Đường trung tâm cụm xã A Lưới 3 từ ngã tư Bốt Đỏ theo hướng đi trường Trung học cơ sở Trần Hưng Đạo đến giáp đường bê tông đi Ủy ban nhân dân xã Hồng Thượng (cũ)</t>
  </si>
  <si>
    <t>Đoạn từ Tuyến đường vào Đồn 629 từ đường Hồ Chí Minh đến giáp đường bê tông đi Ủy ban nhân dân xã Hồng Thượng (cũ)</t>
  </si>
  <si>
    <t>Đoạn từ điểm đấu nối với đường Hồ Chí Minh đi thôn Quảng Lợi (cũ) đến hết địa giới xã A Lưới 3.</t>
  </si>
  <si>
    <t>bs mới</t>
  </si>
  <si>
    <t xml:space="preserve">Đoạn từ giáp ngã tư Bốt Đỏ đến đường vào mỏ đá A Râng </t>
  </si>
  <si>
    <t>Đoạn từ giáp đường vào mỏ đá A Râng đến hết địa giới xã A Lưới 3</t>
  </si>
  <si>
    <t>Tỉnh lộ 20 - Đoạn giáp đường Hồ Chí Minh đi cầu Hồng Thái đến địa điểm đầu cầu Hồng Thái (thôn Tu Vay)</t>
  </si>
  <si>
    <t xml:space="preserve">Đường chính - Đoạn giáp đường Hồ Chí Minh (đối diện mỏ đá Thanh Bình An) đi thôn Quảng Ngạn đến hết địa giới xã A Lưới 3 </t>
  </si>
  <si>
    <t>Vùng 1: Các thôn: Quảng Phú, Quảng Hợp, Quảng Lộc, Quảng Thọ; Căn Sâm, Căn Tôm, Hợp Thượng, Ky Ré, Phú Thành, Phú Xuân, Tu Vay, Vinh Lợi</t>
  </si>
  <si>
    <t>Vùng 2: Các thôn: A Đên, A Xáp, Phú Thượng, Y Reo, Quảng Ngạn</t>
  </si>
  <si>
    <t>đổi quảng ngạn vùng 3 lên 2</t>
  </si>
  <si>
    <t>Vùng 3: Các thôn: Căn Te, A Đâng, A La</t>
  </si>
  <si>
    <t>25. XÃ A LƯỚI 4</t>
  </si>
  <si>
    <t>Đoạn đường từ thửa đất số 7, tờ bản đồ số 95 của ông Nguyễn Chế (giáp xã A Lưới 3) đến thửa đất số 2, tờ bản đồ số 9 (ủy ban nhân dân xã quản lý giáp xã Lâm Đớt (Hương Lâm cũ)</t>
  </si>
  <si>
    <t>Từ Giáp xã Hương Phong (cũ) đến trường Mầm non xã Lâm Đớt (Hương Lâm cũ)</t>
  </si>
  <si>
    <t>Đoạn đường từ trường Mầm non xã Lâm Đớt (Hương Lâm cũ) đến đoạn đường ngã ba Lâm Đớt (Hương Lâm cũ) - Đông Sơn</t>
  </si>
  <si>
    <t>Đoạn đường từ ngã ba Lâm Đớt (Hương Lâm cũ) - Đông Sơn đến đoạn đường tại thửa đất số 294, tờ bản đồ số 41 của ông Ra Pát Hùng (ngã ba Lâm Đớt – A Roàng cũ)</t>
  </si>
  <si>
    <t xml:space="preserve">Đoạn đường từ thửa đất số 294, tờ bản đồ số 41 của ông Ra Pát Hùng (ngã ba Lâm Đớt – A Roàng cũ)  đến đoạn đường tại thửa đất số 41, tờ bản đồ số 42 của bà Hồ Thị Phúc </t>
  </si>
  <si>
    <t xml:space="preserve"> Đoạn đường từ thửa đất số 41, tờ bản đồ số 42 của bà Hồ Thị Phúc đến giáp xã A Roàng (cũ)</t>
  </si>
  <si>
    <t xml:space="preserve"> Đoạn đường từ Lâm Đớt cũ đến hết đoạn đường xã A Roàng (cũ)</t>
  </si>
  <si>
    <t xml:space="preserve">Đoạn đường từ ngã ba Lâm Đớt (Hương Lâm cũ) - Đông Sơn đến đoạn đường cầu A Sáp </t>
  </si>
  <si>
    <t>Đoạn đường tỉnh lộ 20 từ Hương Phong (cũ) từ thửa đất số 131, tờ bản đồ số 90 của bà Nguyễn Thị Ngọc Phú đến hết xã Đông Sơn (cũ)</t>
  </si>
  <si>
    <t xml:space="preserve">Đoạn đường từ ngã ba đường Hồ Chí Minh nhà ông Nguyễn Văn Trung đến đoạn đường cầu A Sáp </t>
  </si>
  <si>
    <t>Đoạn đường từ thửa đất số 294, tờ bản đồ số 41 của ông Ra Pát Hùng (ngã ba Lâm Đớt – A Roàng cũ) đến ngã ba đường bê tông (thửa đất số 134, tờ bản đồ 61) nhà ông Nguyễn Đình Dũng</t>
  </si>
  <si>
    <t>Đoạn đường từ ngã ba đường bê tông (thửa đất số 134, tờ bản đồ 61) nhà ông Nguyễn Đình Dũng đến đoạn đường trường tiểu học A Đớt cũ</t>
  </si>
  <si>
    <t>Đoạn đường từ ngã ba đường bê tông (thửa đất số 134, tờ bản đồ 61) nhà ông Nguyễn Đình Dũng theo hướng cửa khẩu A Đớt - Tà Vàng đến hết địa giới hành xã Lâm Đớt (cũ)</t>
  </si>
  <si>
    <t>Vùng 1: Các thôn: A Ka, Ka Lô, A Roàng 1, A Roàng 2, Ka Rôông - A Ho, A Chi - Hương Sơn, Ka Nôn 1, Cưr Xo, Ba Lạch, Liên Hiệp, A Đớt, Chi Lanh - A Roh, Pa Ris - Ka Vin, La Tưng, A Tin, Ka Vá, Tru - Chaih, Hương Thịnh, Hương Phú</t>
  </si>
  <si>
    <t>Vùng 2: 
- Các thôn: A Min - C9, Ka Nôn 2, Chi Hòa, Loah - Tavai.
- Khu quy hoạch Làng Thanh niên lập nghiệp biên giới</t>
  </si>
  <si>
    <t>26. XÃ A LƯỚI 5</t>
  </si>
  <si>
    <t>MIN</t>
  </si>
  <si>
    <t>MAX</t>
  </si>
  <si>
    <t>Đường 74: Từ xã A Lưới 4 đến xã Nam Đông</t>
  </si>
  <si>
    <t>Vùng 1: Thôn Pa Hy</t>
  </si>
  <si>
    <t>Vùng 2: Các thôn: A Rom, Pa Ring - Cân Sâm, Cân Tôm, A Rí, Chi Đu Nghĩa, Giồng</t>
  </si>
  <si>
    <t>Vùng 3: Thôn Mu Nú Ta Rá</t>
  </si>
  <si>
    <t>27. XÃ BÌNH ĐIỀN</t>
  </si>
  <si>
    <t>Đường Địa đạo khu Uỷ Trị Thiên</t>
  </si>
  <si>
    <t>Đường Tỉnh 16</t>
  </si>
  <si>
    <t>Bến đò Ba Trại</t>
  </si>
  <si>
    <t>Phú Lợi</t>
  </si>
  <si>
    <t>Đường Quốc lộ 49A</t>
  </si>
  <si>
    <t>Hết ranh giới Ngã 5 của thửa đất bà Đặng Thị Loan, ông Hoàng Ân và bà Lê Thị Hồng Vân.</t>
  </si>
  <si>
    <t xml:space="preserve">Thửa đất ông Lê Quang Hoàng  </t>
  </si>
  <si>
    <t xml:space="preserve">Cầu Mỏ Cáo </t>
  </si>
  <si>
    <t>Bình Lợi</t>
  </si>
  <si>
    <t>Đường Quốc lộ 49A - Sau vị trí 3</t>
  </si>
  <si>
    <t>Nghĩa trang Liệt sĩ Bình Điền</t>
  </si>
  <si>
    <t xml:space="preserve">Tam Hiệp </t>
  </si>
  <si>
    <t>Cổng thôn Tam Hiệp</t>
  </si>
  <si>
    <t>Cầu Chùa</t>
  </si>
  <si>
    <t>Bình Dương</t>
  </si>
  <si>
    <t>Ngã 3 cuối thôn Bình Dương</t>
  </si>
  <si>
    <t>Đoạn từ ranh giới Phường Kim Long đến Ranh giới Km34</t>
  </si>
  <si>
    <t>Đoạn trung tâm xã Bình Điền (Km34 đến Km36)</t>
  </si>
  <si>
    <t>Đoạn từ Km36 đến Ngã ba đường vào Trại giam Bình Điền</t>
  </si>
  <si>
    <t>Đoạn từ Ngã ba đường vào Trại giam Bình Điền đến Bia Tưởng niệm Baston</t>
  </si>
  <si>
    <t>Đoạn từ Bia Tưởng niệm Baston đến hết ranh giới xã Hồng Tiến cũ</t>
  </si>
  <si>
    <t>Đoạn từ sau vị trí 3 đến Ngã ba thôn Bình Lộc cũ</t>
  </si>
  <si>
    <t>Đoạn từ ranh giới phường Kim Trà - xã Bình Điền  đến Cống trại giam Thừa Phủ</t>
  </si>
  <si>
    <t xml:space="preserve">Đoạn từ Cống trại giam Thừa Phủ đến Quốc lộ 49A </t>
  </si>
  <si>
    <t>Tuyến đường xóm 5, thôn Đông Hoà, từ Quốc lộ 49A đến tỉnh lộ 16</t>
  </si>
  <si>
    <t>Vùng 1: 
- Các thôn: Phú Tuyên, Tam Hiệp và sau vị trí 3 đường Quốc lộ 49A qua thôn Tân Thọ
- Các vị trí còn lại của các thôn: thôn Đông Hòa, Thuận Lợi, Phú Lợi, An Vinh, Thuận Lộc.</t>
  </si>
  <si>
    <t>Vùng 2: 
- Các thôn: Hiệp Hòa, Hòa Hợp, Hòa Dương
- Các vị trí còn lại của các thôn: Quang Lộc, Hải Tân, Tân Phong và Bình Sơn, Bình Dương.</t>
  </si>
  <si>
    <t>Vùng 3: 
- Thôn Bồ Hòn
- Các vị trí còn lại của các thôn: thôn 1 thôn 2, thôn 3, thôn 4, thôn 5.</t>
  </si>
  <si>
    <t>28. XÃ CHÂN MÂY - LĂNG CÔ</t>
  </si>
  <si>
    <t>An Cư Đông</t>
  </si>
  <si>
    <t>Lạc Long Quân</t>
  </si>
  <si>
    <t>Chợ Lăng Cô</t>
  </si>
  <si>
    <t>Các tuyến đường còn lại (Hói Dừa, An Cư Tây)</t>
  </si>
  <si>
    <t>Chân Mây</t>
  </si>
  <si>
    <t>Đường ven biển Cảnh Dương</t>
  </si>
  <si>
    <t>Đường ven biển thuộc thôn Đồng Dương</t>
  </si>
  <si>
    <t>Nhà ông Nguyễn Trần</t>
  </si>
  <si>
    <t>Hết đường (nhà ông Nguyễn Hùng)</t>
  </si>
  <si>
    <t>Hải Vân</t>
  </si>
  <si>
    <t>Nam cầu Lăng Cô</t>
  </si>
  <si>
    <t>Đỉnh đèo Hải Vân</t>
  </si>
  <si>
    <t>Từ hầm Phú Gia</t>
  </si>
  <si>
    <t>Bắc cầu Lăng Cô</t>
  </si>
  <si>
    <t>Nguyễn Chi</t>
  </si>
  <si>
    <t>Vi Thủ An</t>
  </si>
  <si>
    <t>Nguyễn Hữu An</t>
  </si>
  <si>
    <t>Nguyễn Phục</t>
  </si>
  <si>
    <t>Nguyễn Văn</t>
  </si>
  <si>
    <t>Lạc Long Quân km (890 +100)</t>
  </si>
  <si>
    <t>Lạc Long Quân km (893 +100)</t>
  </si>
  <si>
    <t>Nguyễn Văn Đạt</t>
  </si>
  <si>
    <t>Kéo dài ra biển</t>
  </si>
  <si>
    <t>Phú Gia</t>
  </si>
  <si>
    <t>Giáp xã Lộc Vĩnh  (cũ)</t>
  </si>
  <si>
    <t>Trịnh Tố Tâm</t>
  </si>
  <si>
    <t>Giáp khu du lịch Đảo Ngọc</t>
  </si>
  <si>
    <t>Khu du lịch Đảo Ngọc</t>
  </si>
  <si>
    <t>Mũi doi (Loan Lý)</t>
  </si>
  <si>
    <t>Đoạn từ điểm giáp ranh xã Phú Lộc đến điểm đấu nối đường dẫn vào hầm Phú Gia</t>
  </si>
  <si>
    <t>Đoạn từ Điểm đấu nối đường dẫn vào hầm Phú Gia đến đỉnh đèo Phú Gia</t>
  </si>
  <si>
    <t>Các tuyến đường đấu nối Quốc lộ 1A</t>
  </si>
  <si>
    <t>Đường trục trung tâm đô thị Chân Mây từ quốc lộ 1A đến ngã tư Khu tái định cư Cảnh Dương</t>
  </si>
  <si>
    <t>Đường ven sông Bù Lu từ quốc lộ 1A đến cầu Bù Lu</t>
  </si>
  <si>
    <t>Đường ven sông Thừa Lưu từ quốc lộ 1A đến ngã tư Khu tái định cư Cảnh Dương</t>
  </si>
  <si>
    <t>Đường Tây Cảng Chân Mây từ quốc lộ 1A đến đường ven biển Cảnh Dương</t>
  </si>
  <si>
    <t>Đường ra cảng Chân Mây từ quốc lộ 1A đến cảng Chân Mây</t>
  </si>
  <si>
    <t>Đường ra biển Bình An từ Nhà ông Kỳ đến hết đường ra biển</t>
  </si>
  <si>
    <t>Đường ven biển Cảnh Dương từ cầu Bù Lu đến đường Chân Mây</t>
  </si>
  <si>
    <t>Đường nối khu phi thuế quan ra cảng Chân Mây từ đường ven biển Cảnh Dương đến nhà nghỉ Sunhouse</t>
  </si>
  <si>
    <t>Vùng 1:
- Bao gồm các thôn: Thôn Phú Cường Xuyên, thôn Phước Hưng (từ hết vị trí 3 Quốc lộ 1A, kéo ra song song 300m về phía Chợ Lộc Thủy), thôn An Bàng (đường liên thôn từ đường sắt đến Nhà thờ Nước Ngọt, giới hạn mỗi bên 300m tính từ mép ngoài của lề đường hiện trạng.
- Đường liên thôn từ đường sắt đến ngã ba đường vào khu xử lý chất thải rắn, giới hạn mỗi bên 200m tính từ mép ngoài của lề đường hiện trạng).
- Các thôn: Trung Kiền, Phước An, Phước Lộc (từ hết vị trí 3 Quốc lộ 1A, kéo ra song song 300m về phía biển)
- Tuyến đường N5 từ quán Ri Ca đến đường Đông Tây và kéo dài đến giáp đường Tây Cảng Chân Mây, giới hạn mỗi bên 200m tính từ mép ngoài của lề đường hiện trạng)
- Thôn Thủy Tụ (dọc theo đường vào suối Voi từ đường sắt vào cầu Sen, giới hạn mỗi bên 300m tính từ mép ngoài của lề đường hiện trạng)
- Đường vào Khu tái định cư Lộc Tiến, thôn Phước Lộc, giới hạn mỗi bên 200m tính từ mép ngoài của lề đường hiện trạng)
- Từ trụ sở Ủy ban nhân dân xã Lộc Vĩnh (cũ) mở rộng bán kính 500m.
- Đường từ cổng chào thôn Cảnh Dương đến đường ra biển Bình An, giới hạn mỗi bên 200m tính từ mép ngoài của lề đường hiện trạng).</t>
  </si>
  <si>
    <t>Vùng 2: Các thôn và vị trí còn lại của các thôn có các tuyến đường thôn, liên thôn có mặt cắt đường ≥ 2,5m</t>
  </si>
  <si>
    <t>Vùng 3:
- Xóm Khe (thôn Thủy Dương)
 - Các vị trí còn lại</t>
  </si>
  <si>
    <t>29. XÃ ĐAN ĐIỀN</t>
  </si>
  <si>
    <t>Xã Quảng Vinh (cũ)</t>
  </si>
  <si>
    <t>Tỉnh lộ 11A</t>
  </si>
  <si>
    <t>Đoạn từ đường tránh lũ xã Quảng Phú (cũ) đến cổng chào thôn Đức Trọng (từ thửa đất số 29, tờ bản đồ số 26 đến thửa đất số 226 tờ bản đồ số 20)</t>
  </si>
  <si>
    <t>Đoạn từ cổng chào thôn Đức Trọng đến giáp ranh thị trấn Sịa (cũ) (từ thửa đất số 759 tờ bản đồ số 21 đến giáp ranh thị trấn Sịa)</t>
  </si>
  <si>
    <t>Tuyến đường Tứ Phú - Bao La - Quảng Vinh</t>
  </si>
  <si>
    <t>Đoạn từ giáp ranh xã Quảng Phú (cũ) đến ranh giới quy hoạch khu trung tâm thương mại xã (từ thửa đất số 462 tờ 29 đến thửa đất số 118 tờ bản đồ số 29)</t>
  </si>
  <si>
    <t>Đoạn từ ranh giới quy hoạch khu Trung tâm thương mại xã đến giáp Tỉnh lộ 11A (từ thửa đất số 118, tờ bản đồ số 29 đến thửa đất số 119, tờ bản đồ số 21)</t>
  </si>
  <si>
    <t>Tuyến đường Vinh - Lợi</t>
  </si>
  <si>
    <t>Đoạn từ tỉnh lộ 11A đến cống Truông (Phổ Lại) (từ thửa đất số 28, tờ bản đồ số 17 đến thửa đất số 272, tờ bản đồ số 16)</t>
  </si>
  <si>
    <t>Đoạn từ cống Truông đến giáp xã Quảng Lợi (cũ) (Bao gồm cả tuyến rẽ nhánh khu công nghiệp) (từ thửa đất số 272, tờ bản đồ số 16 đến thửa đất số 10, tờ bản đồ số 7)</t>
  </si>
  <si>
    <t>Tuyến đường từ Tỉnh lộ 11A đến trường mẫu giáo đội 1 thôn Thanh Cần</t>
  </si>
  <si>
    <t>Đoạn từ Tỉnh lộ 11A đến cầu Bắc Vinh (từ thửa đất số 599, tờ bản đồ số 28 đến thửa đất số 721, tờ bản đồ số 15)</t>
  </si>
  <si>
    <t>Đoạn từ cầu Bắc Vinh đến trường mẫu giáo đội 1 thôn Thanh Cần (từ thửa đất số 670, tờ bản đồ số 15 đến thửa 604, tờ bản đồ số 15)</t>
  </si>
  <si>
    <t>Tuyến đường Vinh - Phú</t>
  </si>
  <si>
    <t>Đoạn từ Tỉnh lộ 11A đến nhà ông Hồ Nam (từ thửa đất số 797, tờ bản đồ số 21 đến thửa đất số 890, tờ bản đồ số 21)</t>
  </si>
  <si>
    <t>Đoạn từ nhà ông Hồ Nam đến giáp ranh xã Quảng Phú (cũ) (từ thửa đất số 890, tờ bản đồ số 21 đến thửa đất số 479, tờ bản đồ số 29)</t>
  </si>
  <si>
    <t>Tuyến đường Uất Mậu - Bao La (từ thửa đất số 143, tờ bản đồ số 18 đến thửa đất số 288, tờ bản đồ số 30)</t>
  </si>
  <si>
    <t>Tuyến giao Tỉnh lộ 11A đi Sơn Tùng đoạn từ Tỉnh lộ 11A đến giáp đường Uất Mậu - Bao La (từ thửa đất số 631, tờ bản đồ số 21 đến thửa đất số 589, tờ bản đồ số 22)</t>
  </si>
  <si>
    <t>Tuyến giáp Tỉnh lộ 11A (Đội 4 Phổ Lại) đến chùa thôn Phổ Lại (từ thửa đất số 886, tờ bản đồ số 16 đến thửa đất số 342, tờ bản đồ số 21)</t>
  </si>
  <si>
    <t>Tuyến đường liên thôn Lai Trung - Cao Xá (từ thửa đất số 233, tờ bản đồ số 30 đến thửa đất số 859, tờ bản đồ số 21): Đoạn giáp ranh đường Uất Mậu - Bao La đi qua đình Lai Trung đến đường Vinh - Phú; đoạn từ nhà ông Văn Ngôn đến đường Vinh Phú</t>
  </si>
  <si>
    <t>Tuyến đường từ nhà Hồ Mãi (đội 10, Sơn Tùng) đến miếu Ngũ hành thôn Phe Ba; tuyến đường Uất Mậu Bao La - cống đường Quan - đường Uất Mậu - Bao La, thôn Đông Lâm; tuyến từ nhà ông Lê Minh đến giáp xóm 2 thôn Đức Trọng; tuyến từ đường tránh lũ đến cổng chào thôn Cổ Tháp; tuyến đường Cổ Tháp - Lai lâm (từ tỉnh lộ 11A đến nhà ông Nguyễn Tuấn), tuyến đường từ cống Lai Lâm đến nhà ông Trương Trọng Huynh; tuyến đường Lương Cổ - Phổ Lại (từ thửa đất số 465, tờ bản đồ số 23 đến thửa đất số 649, tờ bản đồ số 23)</t>
  </si>
  <si>
    <t>Tuyến đường liên thôn Phổ Lại - Nam Dương đoạn từ cổng chào thôn Phổ Lại đến chùa Nam Dương (từ thửa đất số 478, tờ bản đồ số 21 đến thửa đất số 101, tờ bản đồ số 13)</t>
  </si>
  <si>
    <t>Tuyến đường liên thôn Đức Trọng - Ô Sa đoạn từ Tỉnh lộ 11 A đến giáp ranh xã Phong Hiền (cũ) (từ thửa đất số 233, tờ bản đồ số 20 đến thửa đất số 45, tờ bản đồ số 19)</t>
  </si>
  <si>
    <t>Xã Quảng Phú (cũ)</t>
  </si>
  <si>
    <t>Từ giáp ranh xã Phong Hiền (cũ) đến đường tránh lũ xã Quảng Phú (cũ) (từ thửa đất số 226, tờ bản đồ số 4 đến thửa đất số 629, tờ bản đồ số 5)</t>
  </si>
  <si>
    <t>Từ đường tránh lũ xã Quảng Phú (cũ) đến cổng chào Đức Trọng, xã Quảng Vinh (cũ) (từ thửa đất số 149, tờ bản đồ số 6 đến thửa đất số 1, tờ bản đồ số 6)</t>
  </si>
  <si>
    <t>Đoạn từ cầu Tứ Phú đến đình làng Bao La (từ thửa đất số 232, tờ bản đồ số 25 đến thửa đất số 142, tờ bản đồ số 20)</t>
  </si>
  <si>
    <t>Đoạn từ đình làng Bao La đến giáp ranh xã Quảng Vinh (từ thửa đất số 745, tờ bản đồ số 20 đến thửa đất số 323, tờ bản đồ số 8)</t>
  </si>
  <si>
    <t>Tuyến đường liên xã Quảng Vinh - Quảng Phú (cũ)</t>
  </si>
  <si>
    <t>Từ Lai Lâm (nhà ông Trần Cuộc) đến giáp ranh chợ Quảng Phú (từ thửa đất số 149, tờ bản đồ số 6 đến thửa đất số 966, tờ bản đồ số 20)</t>
  </si>
  <si>
    <t>Từ chợ Quảng Phú đến cổng trường Sao Mai 1 (từ thửa đất số 967, 668, 969, tờ bản đồ số 20 đến thửa đất số 519, tờ bản đồ số 20)</t>
  </si>
  <si>
    <t>Từ trường mầm non Sao Mai 1 đến giáp đường liên xã Vinh – Phú (từ thửa đất số 519, tờ bản đồ số 20 đến thửa đất số 169, tờ bản đồ số 21)</t>
  </si>
  <si>
    <t>Từ đường Vinh - Phú đến cầu Xuân Tuỳ - Nghĩa Lộ (từ thửa đất số 593, tờ 21 đến thửa đất số 465, tờ bản đồ số 9); tuyến từ ngã ba (nhà bia liệt sĩ xã) đến cầu Đốc Trướng (từ thửa đất số 965, tờ bản đồ số 21 đến thửa đất số 27, tờ bản đồ số 8); tuyến từ nhà ông Phạm Tín đến giáp đường liên xã Vinh - Phú (ruộng họ) (từ thửa đất số 39, tờ bản đồ số 15 đến thửa đất số 688, tờ bản đồ số 9); tuyến từ Hợp tác xã mây tre Bao La đến hồ xóm chợ (từ thửa đất số 115, tờ bản đồ số 20 đến thửa đất số 771, tờ bản đồ số 16).</t>
  </si>
  <si>
    <t>Tuyến đường ven sông Bồ từ Tỉnh lộ 11A đến nhà bia ghi danh liệt sĩ xã (từ thửa đất số 234, tờ bản đồ số 4 đến thửa đất số 965, tờ bản đồ số 21); từ trường mầm non Sao Mai 1 đến trạm bơm Vông đồng (từ thửa đất số 188, tờ bản đồ số 5 đến thửa đất số 272, tờ bản đồ số 13); từ ngã ba nhà ông Thạnh đến nhà bia liệt sĩ xã (từ thửa đất số 123, tờ bản đồ số 26 đến thửa đất số 990, tờ bản đồ số 26)</t>
  </si>
  <si>
    <t>Từ cầu Kẽm đến cầu Hiền Lương (từ thửa đất số 203, tờ bản đồ số 4 đến thửa đất số 359, tờ bản đồ số 5)</t>
  </si>
  <si>
    <t>Tuyến từ cổng chào Bác Vọng Tây đến cổng chào Bác Vọng Đông (từ thửa đất số 851, tờ bản đồ số 21 đến thửa đất số 127, tờ bản đồ số 22); tuyến từ cổng chào Bác Vọng Đông đến xóm ông Nghệ (giáp Nam Phù) (từ thửa đất số 72, tờ bản đồ số 22 đến thửa đất số 103, tờ bản đồ số 18); tuyến từ hợp tác xã Phú Hoà đến cầu Tăng (từ thửa đất số 788, tờ bản đồ số 17 đến thửa đất số 222, tờ bản đồ số 17)</t>
  </si>
  <si>
    <t>Xã Quảng Lợi (cũ)</t>
  </si>
  <si>
    <t>Tỉnh lộ 4</t>
  </si>
  <si>
    <t>Đoạn 1 từ thị trấn Sịa (cũ) đến hết khu Quy hoạch Đông Quảng Lợi</t>
  </si>
  <si>
    <t>Đoạn 2 từ khu Quy hoạch Đông Quảng Lợi đến trạm y tế</t>
  </si>
  <si>
    <t>Đoạn Trạm Y tế xã đến nghĩa trang Liệt sĩ xã Quảng Thái (cũ) (từ thửa đất số 181, tờ bản đồ số 33 đến thửa đất số 12, tờ bản đồ số 13)</t>
  </si>
  <si>
    <t>Tuyến đường Thọ - Lợi: từ Bưu điện xã Quảng Lợi đến hết nhà ông Văn Hữu Đính (thôn Mỹ Thạnh) (từ thửa đất số 757, tờ bản đồ số 43 đến thửa đất số 14, tờ bản đồ số 47)</t>
  </si>
  <si>
    <t>Tuyến đường Vinh - Lợi: từ Tỉnh lộ 4 (chợ Thuỷ Lập) đến giáp ranh trang trại ông Trần Lợi (từ thửa đất số 551, tờ bản đồ số 34 đến thửa đất số 329, tờ bản đồ số 42)</t>
  </si>
  <si>
    <t>Tuyến đường nối dài Nguyễn Vịnh đoạn đi qua xã Quảng Lợi (cũ) (điểm đầu: từ thửa đất số 85, tờ bản đồ số 45, điểm cuối: Giáp mương nước nội đồng)</t>
  </si>
  <si>
    <t>Tuyến đường nối dài Phạm Quang Ái đoạn đi qua xã Quảng Lợi (cũ) (điểm đầu: Từ mương nước nội đồng, Điểm cuối: Giáp với Tỉnh lộ 4)</t>
  </si>
  <si>
    <t>Xã Quảng Thái (cũ)</t>
  </si>
  <si>
    <t>Từ giáp ranh xã Quảng Lợi (cũ) đến nghĩa trang Liệt sĩ xã (từ thửa đất số 77, tờ bản đồ số 21 đến thửa đất số 369, tờ bản đồ số 17)</t>
  </si>
  <si>
    <t>Từ Cầu Cao đến giáp ranh xã Phong Chương (cũ) (từ thửa đất số 35, tờ bản đồ số 16 đến thửa đất số 02, tờ bản đồ số 10)</t>
  </si>
  <si>
    <t>Từ nghĩa trang Liệt sĩ xã đến Cầu Cao (từ thửa đất số 366, tờ bản đồ số 17 đến thửa đất số 68, tờ bản đồ số 16)</t>
  </si>
  <si>
    <t>Tỉnh lộ 11C: đoạn từ Tỉnh lộ 4 đến giáp ranh xã Phong Hiền (cũ) (từ thửa đất số 553, tờ bản đồ số 16 đến thửa đất số 06, tờ bản đồ số 28)</t>
  </si>
  <si>
    <t>Đoạn giáp Tỉnh lộ 4 đến mương nước trạm bơm Tây Hưng 2 (đường kênh Vịnh) (từ thửa đất số 527, tờ bản đồ số 16 đến thửa đất số 311, tờ bản đồ số 16)</t>
  </si>
  <si>
    <t>Vùng 1: 
- Các đội: 1, 4 thôn Phổ Lại
- Đội 8, thôn Sơn Tùng
- Đội 1, thôn Đức Trọng
- Đội 6, thôn Lai Trung</t>
  </si>
  <si>
    <t>Vùng 2: 
- Các thôn: Lai Lâm, Cổ Tháp, Đồng Bào, Ô Sa, Đông Lâm, Cao Xá
- Đội 2, thôn Đức Trọng 
- Đội 2, đội 3, đội 5, thôn Phổ Lại
- Đội 9, đội 10, thôn Sơn Tùng 
- Đội 7, thôn Lai Trung</t>
  </si>
  <si>
    <t>Vùng 3: Các thôn: Nam Dương phe, Thanh Cần phe, Phe Ba</t>
  </si>
  <si>
    <t>Vùng 1: 
- Tuyến từ cầu Nghĩa Lộ đến giáp Tỉnh lộ 19 (thửa 218, tờ 9 - thửa 199, tờ 11)
- Tuyến đường liên xã Vinh Phú đến cống Chừng Nam Phù (thửa đất số 383, tờ bản đồ số 17 – thửa đất số 162, tờ bản đồ số 18)
- Tuyến từ nhà ông Nghệ đến cửa khâu (thửa đất số 296, tờ bản đồ số 18 - thửa đất số 200, tờ bản đồ số 18).
- Các thôn: Phú Lễ, Hạ Lang, Hà Cảng, Vạn Hạ Lang</t>
  </si>
  <si>
    <t>Vùng 2: Các thôn: Bao La, Bác Vọng Tây, Bác Vọng Đông, Đức Nhuận</t>
  </si>
  <si>
    <t>Vùng 3: Các thôn: Xuân Tuỳ, Nghĩa Lộ, Nam Phù, Nho Lâm</t>
  </si>
  <si>
    <t>Vùng 2: Các thôn: Mỹ Thạnh, Thuỷ Lập, Cổ Tháp, Đức Nhuận, Cư Lạc, Hà Lạc (từ các vị trí dọc theo 06 tuyến đường Titan từ Tỉnh lộ 4 đến đường tránh lũ)</t>
  </si>
  <si>
    <t>Vùng 3: 
- Các thôn: Sơn Công, Hà Công, Ngư Mỹ Thạnh
- Các vị trí riêng lẻ sau cồn cát của các thôn: Mỹ Thạnh, Thuỷ Lập, Cổ Tháp, Đức Nhuận, Hà Lạc</t>
  </si>
  <si>
    <t>Vùng 2: Các tuyến đường giao thông liên thôn trên địa bàn xã Quảng Thái (cũ)</t>
  </si>
  <si>
    <t>Vùng 3: Các thôn trên địa bàn xã Quảng Thái (cũ) (trừ vị trí các tuyến đường đã nêu)</t>
  </si>
  <si>
    <t>30. XÃ HƯNG LỘC</t>
  </si>
  <si>
    <t>Tỉnh lộ 14B qua Thị trấn Lộc Sơn (cũ)</t>
  </si>
  <si>
    <t>Đoạn từ ngã ba La Sơn đến Hết ranh giới trường Thế Hệ Mới</t>
  </si>
  <si>
    <t>Đoạn từ trường Thế Hệ Mới đến giáp ranh giới xã Lộc Bổn (cũ) (cầu Khe Mồng)</t>
  </si>
  <si>
    <t>Đoạn từ hết ranh giới xã Lộc Sơn (cũ) (cầu Khe Mồng) đến giáp ranh giới xã Xuân Lộc (cũ)</t>
  </si>
  <si>
    <t>Tỉnh lộ 14B qua xã Lộc Bổn (cũ)</t>
  </si>
  <si>
    <t>Tỉnh lộ 14B qua xã Xuân Lộc (cũ)</t>
  </si>
  <si>
    <t>Đoạn từ hết ranh giới xã Lộc Bổn (cũ) (cầu Khe Mồng) đến ranh giới xã Hương Phú</t>
  </si>
  <si>
    <t>Đoạn từ Km - 9 + 421m đến Km-10 + 652m (đường cong, cũ)</t>
  </si>
  <si>
    <t>Đoạn từ Km 12 + 900m đến Km 14 + 200 (đường cũ, từ ngã ba phía bắc chân đèo La Hy đến ngã ba đèo La Hy)</t>
  </si>
  <si>
    <t xml:space="preserve">Vùng 1:
- Thôn Thuận Hóa (tính từ đường sắt trở về phía Quốc lộ 1A 500m), 
- Đường liên thôn Thuận Hóa (đoạn từ Quốc lộ 1A đến 3 điểm đấu nối đường ra cầu Mệ Trưởng Bác từ bờ sông Nong vào 300,0m; đoạn từ Quốc lộ 1A đến nhà ông Lê Văn Đối ngầm tràn giới hạn mỗi bên 200,0m)
- Thôn Hòa Vang (tính từ Quốc lộ 1A về phía đường sắt 400m).
- Đường liên thôn Hòa Vang - Bên Ván (đoạn từ đường sắt đến hết nhà ông Nhã) giới hạn mỗi bên 200m
- Thôn Bình An (tính từ đường sắt kéo về phía Quốc lộ 1A 300m)
- Đường liên thôn Bình An - thôn 10 (đoạn từ Quốc lộ 1A - hết nhà ông Võ Đại Nhượng) giới hạn mỗi bên 200m
- Thôn Hòa Mỹ (trục đường liên thôn tính từ đường sắt vào ngã ba Bạch Bông giới hạn mỗi bên 200m)
- Các thôn: Xuân Sơn, La Sơn, Vinh Sơn (Trung tâm ngã ba La Sơn mở rộng với bán kính 500m)
- Các thôn: An Sơn, Xuân Sơn, Vinh Sơn (dọc Quốc lộ 1A giới hạn mỗi bên 500m)
- Dọc theo tuyến tuyến đường liên xã Lộc Hòa - Xuân Lộc nằm trong địa giới hành chính xã Xuân Lộc (cũ) giới hạn mỗi bên 200m, Trung tâm trụ sở Ủy ban nhân dân xã và chợ bán kính 300m
</t>
  </si>
  <si>
    <t>Vùng 2: Các thôn và vị trí còn lại của các thôn có các tuyến đường thôn, liên thôn có mặt cắt đường ≥ 2,5m 
- Các thôn: Dương Lộc, Hòa Lộc.</t>
  </si>
  <si>
    <t>31. XÃ KHE TRE</t>
  </si>
  <si>
    <t>A Lơn</t>
  </si>
  <si>
    <t>Khe Tre</t>
  </si>
  <si>
    <t>Ngã tư đường vào K4 (nhà ông Thọ)</t>
  </si>
  <si>
    <t>Bế Văn Đàn</t>
  </si>
  <si>
    <t>Đường Khe Tre</t>
  </si>
  <si>
    <t>Võ Hạp</t>
  </si>
  <si>
    <t>Bùi Quốc Hưng</t>
  </si>
  <si>
    <t>Giáp ranh thôn Phú Hòa, xã Hương Phú (cũ)</t>
  </si>
  <si>
    <t>Giáp ranh thôn Ka Tư, xã Hương Phú (cũ)</t>
  </si>
  <si>
    <t>Căn Bòi</t>
  </si>
  <si>
    <t>Đặng Hữu Khuê (Nhà ông Sinh)</t>
  </si>
  <si>
    <t>Đại Hóa</t>
  </si>
  <si>
    <t>Hết đất ông Sính</t>
  </si>
  <si>
    <t>Ranh giới đất ông Sính</t>
  </si>
  <si>
    <t>Phùng Đông</t>
  </si>
  <si>
    <t>Đặng Hữu Khuê</t>
  </si>
  <si>
    <t>Tả Trạch</t>
  </si>
  <si>
    <t>Trần Hữu Trung</t>
  </si>
  <si>
    <t>Giáp Hương Lộc</t>
  </si>
  <si>
    <t>Đường Khu tái định cư Tổ dân phố 1</t>
  </si>
  <si>
    <t>Trường Sơn Đông</t>
  </si>
  <si>
    <t xml:space="preserve">Địa giới hành chính xã Hương Phú (cũ) </t>
  </si>
  <si>
    <t>Bắc cầu Khe Tre</t>
  </si>
  <si>
    <t>Nam cầu Khe Tre Km</t>
  </si>
  <si>
    <t>Ngã ba Thượng Lộ</t>
  </si>
  <si>
    <t xml:space="preserve">Ngã 3 xã Thượng Lộ (cũ) </t>
  </si>
  <si>
    <t>Giáp ranh xã Nam Đông</t>
  </si>
  <si>
    <t>Nguyễn Thế Lịch</t>
  </si>
  <si>
    <t>Ngã tư Ban quản lý rừng phòng hộ</t>
  </si>
  <si>
    <t>Ngã 3 nhà ông Hán</t>
  </si>
  <si>
    <t>Nguyễn Thị Đức</t>
  </si>
  <si>
    <t>Trục đường số 2 (nhà ông Trương Quang Minh)</t>
  </si>
  <si>
    <t>Quỳnh Meo</t>
  </si>
  <si>
    <t>Hết đường (nhà ông Nguyễn Huyên)</t>
  </si>
  <si>
    <t>Ra Đàng</t>
  </si>
  <si>
    <t>Giáp Bến xe</t>
  </si>
  <si>
    <t>Từ Bến xe</t>
  </si>
  <si>
    <t>Giáp ranh xã Khe Tre</t>
  </si>
  <si>
    <t>Tô Vĩnh Diện</t>
  </si>
  <si>
    <t>Trần Văn Quang</t>
  </si>
  <si>
    <t>Trương Trọng Trân</t>
  </si>
  <si>
    <t>Xã Rai</t>
  </si>
  <si>
    <t>Trục đường số 1</t>
  </si>
  <si>
    <t xml:space="preserve">Trung tâm bồi dưỡng chính trị </t>
  </si>
  <si>
    <t>Trục đường số 3</t>
  </si>
  <si>
    <t>Phòng Tài chính</t>
  </si>
  <si>
    <t xml:space="preserve">Đội Thi hành án </t>
  </si>
  <si>
    <t>Trục đường số 4</t>
  </si>
  <si>
    <t>Đường Khe Tre (Hạt quản lý đường bộ)</t>
  </si>
  <si>
    <t>Trục đường số 2</t>
  </si>
  <si>
    <t>Trục đường số 5</t>
  </si>
  <si>
    <t>Trục đường số 7 (Tổ dân phố 1)</t>
  </si>
  <si>
    <t>Nhà ông Lê Văn Thảo</t>
  </si>
  <si>
    <t>Nhà ông Huỳnh Em</t>
  </si>
  <si>
    <t>Trục đường số 8 (Tổ dân phố 3)</t>
  </si>
  <si>
    <t>Bùi Quốc Hưng (nhà ông Phạm Sơn)</t>
  </si>
  <si>
    <t>Bùi Quốc Hưng (nhà ông Phan Thanh Quang)</t>
  </si>
  <si>
    <t>Địa giới hành chính xã Hương Phú (cũ)</t>
  </si>
  <si>
    <t>Cầu Leno</t>
  </si>
  <si>
    <t>Ỷ Lan</t>
  </si>
  <si>
    <t>Tỉnh lộ 14B</t>
  </si>
  <si>
    <t>Đoạn giáp ranh thị trấn Khe Tre  - xã Hương Phú (cũ) (đường Khe Tre) đến ngã ba nhà ông Hiếu</t>
  </si>
  <si>
    <t>Đoạn ngã ba nhà ông Hiếu đến hết trạm y tế</t>
  </si>
  <si>
    <t>Đoạn cuối trạm Y tế đến ngã 3 vào Thác Mơ</t>
  </si>
  <si>
    <t>Đoạn giáp ranh thị trấn Khe Tre  - xã Hương Phú (cũ) (đường Trường Sơn Đông) đến tỉnh lộ 14B</t>
  </si>
  <si>
    <t xml:space="preserve">Đoạn tuyến tránh Tỉnh lộ 14B giáp ranh thị trấn Khe Tre (cũ) đến cầu Đa Phú - Phú Hòa </t>
  </si>
  <si>
    <t xml:space="preserve">Đoạn tuyến tránh Tỉnh lộ 14B cầu Đa Phú- Phú Hòa đến trục chính Tỉnh lộ 14B (Cầu Phú Mậu) </t>
  </si>
  <si>
    <t>Đoạn giáp ranh thị trấn Khe Tre – xã Hương Lộc (cũ) (đường Tả Trạch) đến ngã ba nhà ông Thịnh</t>
  </si>
  <si>
    <t>Đoạn từ ngã ba nhà ông Thịnh đến cầu Bản (nhà ông Sơn)</t>
  </si>
  <si>
    <t>Đoạn từ giáp ranh thị trấn Khe Tre – xã Hương Lộc (cũ) (đường Đặng Hữu Khuê) đến tỉnh lộ 14C cạnh nhà ông Đức</t>
  </si>
  <si>
    <t>Đoạn từ Tỉnh lộ 14B đến đường Trần Văn Quang (thuộc đường Xã Rai);
Đoạn từ ngã ba Thượng Lộ đến ranh giới hành chính Hương Hòa (cũ) nay là xã Nam Đông - Thượng Lộ (cũ)</t>
  </si>
  <si>
    <t>Đọan từ ranh giới  xã Nam Đông -  xã Thượng Lộ (cũ) đến nhà văn hóa thôn Mụ Nằm.</t>
  </si>
  <si>
    <t>Trục đường chính thôn Hà An (xã Hương Phú cũ) đoạn từ cầu Hà An (Nhà ông Nguyễn Mạnh Hùng) đến hết trường mầm Non thôn Hà An)</t>
  </si>
  <si>
    <t>Vùng 1:
  - Trục đường chính khu quy hoạch thôn Hà An và thôn Đa Phú
  - Trục đường chính từ ngã ba (đối diện nhà họp thôn Hà An) đến cầu (giáp nhà ông Phúc)
  - Tỉnh lộ 14B từ cầu Bản (nhà ông Sơn) đến chân đèo số 5
  - Trục đường chính từ nhà văn hóa thôn Mụ Nằm đến hết trạm Y tế</t>
  </si>
  <si>
    <t>Vùng 2:
  - Đường liên thôn K4 - Phú Mậu, Phú Nam - Xuân Phú - Phú Mậu 1
  - Đường liên thôn từ ngã tư cạnh trường Mầm non thôn Hà An đến ngã ba Tỉnh lộ 14B (cạnh nhà ông Trần Đáo)
  - Trục đường chính các đường thôn (xã Hương Lộc cũ) nay là xã Khe Tre
  - Trục đường chính từ trạm Y tế đến hết đường nhựa (hết đất ông Túy)
  - Trục đường chính thôn Cha Măng xã Khe Tre
  - Trục đường chính thôn Đa Phú - Hương Phú (cũ) đoạn từ cầu ông Phúc (Ông Trương Công Hoa) đến ngã 3 nhà ông Trần Văn Nhạc</t>
  </si>
  <si>
    <t>Vùng 3: Các vị trí còn lại.</t>
  </si>
  <si>
    <t>32. XÃ LONG QUẢNG</t>
  </si>
  <si>
    <t>I. Các vùng còn lại</t>
  </si>
  <si>
    <t>Vùng 1:
 - Tỉnh lộ 14B từ giáp ranh xã Hương Hữu - Hương Giang (cũ) đến giáp ranh xã  Hương Hữu - Thượng Long (cũ)
- Tỉnh lộ 14B từ giáp ranh xã Thượng Long - Hương Hữu (cũ) đến giáp ranh xã Thượng Long - Thượng Quảng (cũ)
- Tỉnh lộ 14B từ giáp ranh xã Thượng Quảng - Thượng Long (cũ) đến cầu khe Bó</t>
  </si>
  <si>
    <t>Vùng 2:
- Đoạn từ ngã tư xã Hương Hữu (cũ) đến trường mầm non xã Hương Hữu (cũ)
- Ngã tư xã Hương Hữu cũ  đến Ngã ba (nhà văn hóa thôn Bá Tang-thôn 4)
- Cầu Thượng Long đến cầu A Kà và cầu Thượng Long đến trường mầm non xã Thượng Long (cũ)
- Đoạn từ cầu khe Bó đến nhà máy xi măng. Từ đường vào nhà máy xi măng đến ngã tư (nhà ông Hồ Văn Nhà)
- Đoạn từ cầu khe Bó đến hết thôn 7
- Điểm Quy hoạch, sắp xếp, bố trí ổn định dân cư xã Hương Hữu (cũ) tại thôn Ư Rang
- Điểm Quy hoạch, sắp xếp, bố trí ổn định dân cư xã Thượng Long (cũ) tại thôn A Chiếu</t>
  </si>
  <si>
    <t>33. XÃ LỘC AN</t>
  </si>
  <si>
    <t>Đoạn từ giáp ranh từ xã Hưng Lộc đến Bắc cầu Lương Điền</t>
  </si>
  <si>
    <t xml:space="preserve">Đoạn từ Nam cầu Lương Điền đến ranh giới xã Phú Lộc </t>
  </si>
  <si>
    <t>Xã Lộc An (cũ) và xã Lộc Điền (cũ)</t>
  </si>
  <si>
    <t>Vùng 1: Các thôn: Xuân Lai, Nam Phổ Hạ, An Lại, Nam Trạch, Sư Lỗ, Lương Quý Phú, Trung Chánh (tính từ Quốc lộ 1A kéo về 500m, thôn Nam đường về thư viện Đại tướng Lê Đức Anh (giới hạn mỗi bên 300m), thôn Đồng Xuân từ Cầu Truồi lên trạm nước sạch (tính từ bờ sông Truồi vào 200m), thôn Đông An từ Quốc lộ 1A đến trạm bơm Đông Hưng (tính từ bờ sông Truồi vào 400m)</t>
  </si>
  <si>
    <t>Vùng 2: 
- Các thôn, vị trí còn lại của các thôn có các tuyến đường thôn, liên thôn có mặt cắt đường ≥ 2,5m và thôn Hai Hà
- Các thôn và vị trí của các thôn còn lại có các tuyến đường thôn, liên thôn có mặt cắt đường ≥ 2,5m và Thôn Trung Chánh (khu tái định cư)</t>
  </si>
  <si>
    <t>Vùng 3: 
- Các thôn: Châu Thành,  Miêu Nha (xóm Lầm và xóm Trung Miêu 
- Các vị trí còn lại</t>
  </si>
  <si>
    <t>Xã Lộc Hòa (cũ)</t>
  </si>
  <si>
    <t>Vùng 1: Đoạn đường từ ranh giới xã Lộc Điền (cũ) đến Ban Quản lý hồ Truồi giới hạn mỗi bên 200m</t>
  </si>
  <si>
    <t>Vùng 3: Bao gồm: 
- Thôn 4 (cũ) 
- Các vị trí còn lại</t>
  </si>
  <si>
    <t>34. XÃ NAM ĐÔNG</t>
  </si>
  <si>
    <t>Đoạn từ ngã ba Khe tre đến cầu Nông trường</t>
  </si>
  <si>
    <t>Đoạn từ cầu Nông trường đến sân bóng Nam Đông</t>
  </si>
  <si>
    <t>Đoạn từ sân bóng Nam Đông đến ngã ba cây số 0</t>
  </si>
  <si>
    <t>Đoạn từ ngã ba cây số 0 đến nhà ông Hồ Văn Chin</t>
  </si>
  <si>
    <t>Đoạn từ Ban chỉ huy quân sự huyện đến ngầm tràn công ty cao su 
Đoạn từ ngä ba (nhà ông Hạ) đến ngã ba (nhà ông Quảng xã Nam Đông)</t>
  </si>
  <si>
    <t>Trục đường chính đoạn từ ngã ba tiếp giáp Tỉnh lộ 14B (cạnh nhà ông Phước) đến ngã ba (nhà ông Hồ sỹ Minh)
Đoạn tuyến đường mới từ ngã tư (nhà ông Hải) đến cầu Hương Hòa (mới)</t>
  </si>
  <si>
    <t>Đoạn từ ngã 3 xã Khe Tre đến ranh giới hành chính xã Nam Đông - Khe Tre (đến nhà ông Nguyễn Văn Ổi)</t>
  </si>
  <si>
    <t>Đoạn tuyến đường mới từ ngã tư (nhà ông Hải) đến Tỉnh lộ 14B cạnh sân bóng Nam Đông</t>
  </si>
  <si>
    <t>Đường chính thôn 8 (Đoạn từ ngã ba xã Khe Tre từ nhà ông Nhâm đến Tỉnh lộ 14B cạnh nhà ông Hồng) 
Đường từ nhà ông Chuyên đến Nhà văn hóa thôn 9</t>
  </si>
  <si>
    <t>Khu vực trung tâm xã Nam Đông đoạn từ cầu Nam Đông đến giáp ranh địa giới hành chính xã Nam Đông – xã Long Quảng và đoạn từ cầu Nam Đông đến cầu C9</t>
  </si>
  <si>
    <t>Đường chính thôn 8 - Đoạn từ nhà ông Tỏa đến Nghĩa trang thôn 8</t>
  </si>
  <si>
    <t>Đoạn từ nhà ông Hồ Văn Chin đến Cầu Nam Đông (cũ)</t>
  </si>
  <si>
    <t>Đoạn từ Cầu Nam Đông (cũ) đến cầu Trần Đức Lương</t>
  </si>
  <si>
    <t>Vùng 1:
- Các Trục đường khu tái định cư Hồ Tả Trạch thôn 9, thôn 10
- Đoạn từ ngã ba (nhà ông Quảng) đến ngầm tràn Công ty Cao su
- Trục đường chính khu quy hoạch cụm Công nghiệp - Tiểu thủ Công nghiệp (phía sau trụ sở Trung tâm giáo dục thường xuyên và hướng nghiệp Nam Đông)
- Đoạn từ ngầm tràn Công ty Cao su đến đối diện nhà bà Thu thôn 10
- Trục đường chính từ ngã ba cây số 0 đến ngã ba đối diện nhà ông Trần Ngần thôn 11
- Trục đường chính từ ngã ba (nhà ông Hồ Sỹ Minh thôn 9) đến ngã ba đối diện nhà ông Trần Ngần thôn 11
- Trục đường chính từ ngã ba (cửa hàng Thương mại) đến thôn Tây Linh giáp ranh thôn Tà Rí xã Long Quảng
- Đoạn từ trường Tiểu học Kim Đồng đến hết trạm Y tế thôn A Tin
- Đoạn từ trường Trung học cơ sở Kim Đồng đến trạm Y tế thôn A Tin
- Đường từ cầu Hương Sơn thôn Ta Rung đến cầu A2 thôn A2</t>
  </si>
  <si>
    <t>Vùng 2:
- Trục đường chính từ ngã ba đối diện nhà ông Trần Ngần đến cầu Hương Sơn thôn Ta Rung
- Trục đường chính thôn 8, thôn 9, thôn 10 và thôn 11
- Trục đường chính từ cầu C9 thôn Phú Nhuận đến ngầm tràn mỏ đá
- Trục đường chính các đường liên thôn trong xã
- Đường 74 từ ngã ba giáp trục đường cầu Hương Sơn - cầu A2 đến hết khu quy hoạch dân cư Tả Trạch thôn A2</t>
  </si>
  <si>
    <t>35. XÃ PHÚ HỒ</t>
  </si>
  <si>
    <t xml:space="preserve">Tỉnh lộ 10A </t>
  </si>
  <si>
    <t>Đoạn tiếp giáp phường Mỹ Thượng đến ngã ba đường Tây phá Tam Giang</t>
  </si>
  <si>
    <t>Đoạn ngã ba đường Tây phá Tam Giang đến giáp xã Phú Vang</t>
  </si>
  <si>
    <t>Tỉnh lộ 10AC</t>
  </si>
  <si>
    <t>Tỉnh lộ 3 (Từ Ủy ban nhân dân xã Phú Hồ đến giáp phường Thanh Thủy)</t>
  </si>
  <si>
    <t>Đường Tây phá Tam Giang (Từ ngã ba tỉnh lộ 10A đến giáp xã Phú Vang)</t>
  </si>
  <si>
    <t xml:space="preserve"> Vùng 1:
 - Tuyến rẽ nhánh Tỉnh lộ 3 sát Trụ sở Đảng Ủy xã Phú Hồ
  - Tuyến đường Liên xã Mỹ Thượng - Phú Hồ (Tuyến dọc sông Như Ý)
  - Tuyến bê tông liên xã Phú Xuân - Phú Đa
  - Tuyến bê tông liên xã Phú Xuân - Phú Hồ
  - Tuyến bê tông từ ngã 3 đường liên xã Phú Hồ - Phú Vang đến ngã 3 đường liên xã Phú Lương - Phú Hồ</t>
  </si>
  <si>
    <t>Vùng 2
- Các tuyến chính của các thôn còn lại
- Ngoài các vị trí 1, 2, 3 của các tuyến đường giao thông chính</t>
  </si>
  <si>
    <t>36. XÃ PHÚ LỘC</t>
  </si>
  <si>
    <t xml:space="preserve">I. Các tuyến đường đã được đặt tên </t>
  </si>
  <si>
    <t>19 tháng 5</t>
  </si>
  <si>
    <t>Lý Thánh Tông</t>
  </si>
  <si>
    <t>Lê Thúc Khánh</t>
  </si>
  <si>
    <t>Đổi đoạn</t>
  </si>
  <si>
    <t>24 tháng 3</t>
  </si>
  <si>
    <t>Đoàn Trọng Truyến</t>
  </si>
  <si>
    <t>Bạch Mã</t>
  </si>
  <si>
    <t>Trụ sở vườn Quốc gia Bạch Mã</t>
  </si>
  <si>
    <t>Bãi Quả</t>
  </si>
  <si>
    <t>Đoàn Trọng Tuyến</t>
  </si>
  <si>
    <t>Đường Sắt (nhà ông Ngâu)</t>
  </si>
  <si>
    <t>Cổ Loa</t>
  </si>
  <si>
    <t>Trần Đình Trúc (Bạch Mã mới)</t>
  </si>
  <si>
    <t>Đặng Minh Hường</t>
  </si>
  <si>
    <t>Hoàng Đức Trạch</t>
  </si>
  <si>
    <t>Lý Thánh Tông (Đèo Mũi Né)</t>
  </si>
  <si>
    <t>Sông Cầu Hai</t>
  </si>
  <si>
    <t>Đồng Đưng</t>
  </si>
  <si>
    <t>Lê Dõng</t>
  </si>
  <si>
    <t>Đường gom Đường Sắt dốc Mũi Né</t>
  </si>
  <si>
    <t>Lý Thánh Tông (đỉnh đèo Mũi Né)</t>
  </si>
  <si>
    <t>Nhà ông Nguyễn Sấn</t>
  </si>
  <si>
    <t>Đường lên đỉnh Bạch Mã</t>
  </si>
  <si>
    <t>Trụ sở vườn Quốc gia</t>
  </si>
  <si>
    <t>Đỉnh Bạch Mã</t>
  </si>
  <si>
    <t>Đường nối từ Quốc lộ 1A vào Vườn Quốc gia Bạch Mã</t>
  </si>
  <si>
    <t>Trần Đình Túc (Cầu Biền Đá Chạc)</t>
  </si>
  <si>
    <t>Đường vào Khu du lịch Mũi Né</t>
  </si>
  <si>
    <t>Trần Đình Túc (Bạch Mã Mới)</t>
  </si>
  <si>
    <t>Lê Bá Dỵ</t>
  </si>
  <si>
    <t>Nguyễn Cảnh Chân</t>
  </si>
  <si>
    <t>Lê Chưởng</t>
  </si>
  <si>
    <t>Trần Đình Túc</t>
  </si>
  <si>
    <t>Lê Cương</t>
  </si>
  <si>
    <t>Lương Định Của</t>
  </si>
  <si>
    <t>Cầu Đá Bạc</t>
  </si>
  <si>
    <t>Cầu Cầu Hai</t>
  </si>
  <si>
    <t>Mũi Né</t>
  </si>
  <si>
    <t>Nhà ông Phạm Quốc Trai</t>
  </si>
  <si>
    <t>Nguyễn Đình Sản</t>
  </si>
  <si>
    <t>Nguyễn Sơn</t>
  </si>
  <si>
    <t>Nguyễn Thúc Nhuận</t>
  </si>
  <si>
    <t>Phan Sung</t>
  </si>
  <si>
    <t>Kéo dài hết đường</t>
  </si>
  <si>
    <t>Thánh Duyên</t>
  </si>
  <si>
    <t>Trần Ấm</t>
  </si>
  <si>
    <t>Trần Đình Túc (Bạch Mã mới)</t>
  </si>
  <si>
    <t>Trần Tiến Lực</t>
  </si>
  <si>
    <t>Từ Dũ</t>
  </si>
  <si>
    <t>Võ Lạng</t>
  </si>
  <si>
    <t>Lê Dõng (nhà bà Hoa)</t>
  </si>
  <si>
    <t>Đoạn từ Nam cầu Cầu Hai đến điểm đấu nối đường vào thác Nhị Hồ</t>
  </si>
  <si>
    <t>Đoạn từ điểm đấu nối đường vào thác Nhị Hồ đến phía Bắc hầm Phước Tượng (đường không đèo)</t>
  </si>
  <si>
    <t>Đoạn từ chân cầu vượt đường sắt đến đỉnh Đèo Phước Tượng (tuyến đường đèo)</t>
  </si>
  <si>
    <t>Đoạn từ hết ranh giới xã Lộc Bình (cũ) đến Quốc lộ 1A (tuyến đường đèo)</t>
  </si>
  <si>
    <t>Đoạn cầu Tư Hiền đến hết ranh giới xã Lộc Bình (cũ)</t>
  </si>
  <si>
    <t>Vùng 1:
- Thôn Hòa Mậu (tuyến đường từ Quốc lộ 1A – điểm đấu nối đường vào Khe Thị, giới hạn mỗi bên 300m)
- Đoạn đường từ ranh giới xã Lộc Trì (cũ) đến Bến đò cũ giới hạn mỗi bên 200m
- Thôn Tân Hải (Từ cầu Vinh Hiền về cuối thôn Tân An Hải)</t>
  </si>
  <si>
    <t>Vùng 2: Các thôn và vị trí của các thôn còn lại có các tuyến đường thôn, liên thôn có mặt cắt đường ≥ 2,5m</t>
  </si>
  <si>
    <t>Vùng 3:
- Thôn Khe Su
- Các vị trí còn lại không có mặt cắt đường ≥ 2,5m của thôn Trung Phước</t>
  </si>
  <si>
    <t>37. XÃ PHÚ VANG</t>
  </si>
  <si>
    <t>Bùi Xuân Trưởng</t>
  </si>
  <si>
    <t>Đường Cồn Rang (Đường Tỉnh lộ 10C)</t>
  </si>
  <si>
    <t>Đường Phú Vinh (Đường Tỉnh lộ 10D)</t>
  </si>
  <si>
    <t>Các tuyến đường trục chính các Tổ dân phố</t>
  </si>
  <si>
    <t>Cồn Rang (Phần còn lại của Tỉnh lộ 10C)</t>
  </si>
  <si>
    <t>Đường Lê Văn Trĩ (cầu Thanh Lam)</t>
  </si>
  <si>
    <t>Giáp xã Phú Gia (cũ)</t>
  </si>
  <si>
    <t>Dương Quang Đấu (Nội thị 12)</t>
  </si>
  <si>
    <t>Giáp đường Thúc Tề</t>
  </si>
  <si>
    <t>Giáp đường Hồ Đắc Trung</t>
  </si>
  <si>
    <t>Đặng Lế</t>
  </si>
  <si>
    <t>Đỗ Đăng Tuyển</t>
  </si>
  <si>
    <t>Đường Trường Sa</t>
  </si>
  <si>
    <t>Phá (Âu thuyền Lương Viện)</t>
  </si>
  <si>
    <t>Đỗ Quỳnh (Tuyến Nội thị 5)</t>
  </si>
  <si>
    <t>Giáp đường Nguyễn Đức Xuyên</t>
  </si>
  <si>
    <t>Giáp đường Phú Thạnh</t>
  </si>
  <si>
    <t>Đỗ Tram (Tuyến Nội thị 4)</t>
  </si>
  <si>
    <t>Giáp đường Huỳnh Khái</t>
  </si>
  <si>
    <t>Giáp đường Hồ Ngọc Ba</t>
  </si>
  <si>
    <t>Đường liên xã Phú Hồ - Phú Vang (cũ)</t>
  </si>
  <si>
    <t>Giáp xã Phú Xuân (cũ)</t>
  </si>
  <si>
    <t>Đường Trường Sa – Tây Hồ</t>
  </si>
  <si>
    <t>Hồ Đắc Đệ</t>
  </si>
  <si>
    <t>Nguyễn Đức Xuyên (Hợp tác xã Phú Đa 1)</t>
  </si>
  <si>
    <t>Đường Tạ Quang Cự</t>
  </si>
  <si>
    <t>Hồ Đắc Hàm (Tuyến Nội thị 6)</t>
  </si>
  <si>
    <t>Hồ Đắc Trung (Tuyến Nội thị 2)</t>
  </si>
  <si>
    <t>Ngã ba đường Phú Thạnh và Huỳnh Khái</t>
  </si>
  <si>
    <t>Hồ Đông (Tuyến Nội thị 9)</t>
  </si>
  <si>
    <t>Giáp đường Đỗ Quỳnh</t>
  </si>
  <si>
    <t>Hồ Ngọc Ba (Tỉnh lộ 10C)</t>
  </si>
  <si>
    <t>Ngã ba đường Hồ Ngọc Ba và đường Nguyễn Đức Xuyên (Cây xăng Nam Châu)</t>
  </si>
  <si>
    <t>Ngã ba đường Hồ Ngọc Ba và đường Đỗ Tram</t>
  </si>
  <si>
    <t>Cầu Phú Thứ</t>
  </si>
  <si>
    <t>Hồ Vinh (Tuyến Nội thị 7)</t>
  </si>
  <si>
    <t>Huỳnh Khái (Tỉnh lộ 10B)</t>
  </si>
  <si>
    <t>Ngã tư đường Nguyễn Đức Xuyên và đường Tây Hồ</t>
  </si>
  <si>
    <t>Giáp đường Hồ Đức Trung</t>
  </si>
  <si>
    <t>Lê Văn Trĩ (Tỉnh lộ 10C)</t>
  </si>
  <si>
    <t>Ngã ba đường Hồ Ngọc Ba và đường Nguyễn Đức Xuyên</t>
  </si>
  <si>
    <t>Cầu ông Thích (Thanh Lam)</t>
  </si>
  <si>
    <t>Mai Bá Trai</t>
  </si>
  <si>
    <t>Đường Lê Văn Trĩ (Tỉnh lộ 10C - Đài tưởng niệm)</t>
  </si>
  <si>
    <t>Đường Trường Sa (Tỉnh lộ 10B - Nhà ông Việt)</t>
  </si>
  <si>
    <t>Đường Phạm Văn Điền</t>
  </si>
  <si>
    <t>Nguyễn Đạc</t>
  </si>
  <si>
    <t>Đường Đỗ Quỳnh</t>
  </si>
  <si>
    <t>Đường Phan Địch</t>
  </si>
  <si>
    <t>Nguyễn Đức Xuyên (Tỉnh lộ 10AC)</t>
  </si>
  <si>
    <t>Ranh giới xã Phú Lương (cũ)</t>
  </si>
  <si>
    <t>Ngã tư đường Nguyễn Đức Xuyên và đường Huỳnh Khái</t>
  </si>
  <si>
    <t>Ngã ba đường Nguyễn Đức Xuyên và đường Võ Phi Trắng</t>
  </si>
  <si>
    <t>Ngã ba đường Hồ Ngọc Ba và đường Lê Văn Trĩ</t>
  </si>
  <si>
    <t>Nguyễn Duy Tâm</t>
  </si>
  <si>
    <t>Đường Cồn Rang (Đường Phú Vinh Tỉnh lộ 10C)</t>
  </si>
  <si>
    <t>Nguyễn Thanh</t>
  </si>
  <si>
    <t>Đường Tây Hồ</t>
  </si>
  <si>
    <t>Đường Mai Bá Trai (nhà ông Vỹ)</t>
  </si>
  <si>
    <t>Phạm Văn Điển</t>
  </si>
  <si>
    <t>Phan Địch (Tuyến Nội thị 11)</t>
  </si>
  <si>
    <t>Đường Trần Đình Ân</t>
  </si>
  <si>
    <t>Nhà bà Xuân</t>
  </si>
  <si>
    <t>Phan Văn Tuyên</t>
  </si>
  <si>
    <t>Đường Phú Thứ (Tổ dân phố Hòa Đông)</t>
  </si>
  <si>
    <t>Đường khu dân cư</t>
  </si>
  <si>
    <t>Phú Thạnh (Tỉnh lộ 10A)</t>
  </si>
  <si>
    <t xml:space="preserve">Giáp xã Phú Hồ </t>
  </si>
  <si>
    <t>Huỳnh Khái – Hồ Đắc Trung</t>
  </si>
  <si>
    <t>Giáp đường Viễn Trình</t>
  </si>
  <si>
    <t>Phú Thứ (Đường trục chính Tổ dân phố Hoà Đa Đông)</t>
  </si>
  <si>
    <t>Đường Hồ Ngọc Ba</t>
  </si>
  <si>
    <t>Ngã tư nhà ông Ma Thương</t>
  </si>
  <si>
    <t>Phú Vinh (Tuyến Tỉnh lộ 10D)</t>
  </si>
  <si>
    <t>Tỉnh lộ 10D (ngã ba chữ Y)</t>
  </si>
  <si>
    <t>Tạ Quang Cự</t>
  </si>
  <si>
    <t>Đường Võ Phi Trắng</t>
  </si>
  <si>
    <t>Giáp xã Phú Gia (cũ) (Gần giáp đường tỉnh lộ 18)</t>
  </si>
  <si>
    <t>Tây Hồ (Tỉnh lộ 10B)</t>
  </si>
  <si>
    <t>Điểm cuối khu công nghiệp</t>
  </si>
  <si>
    <t>Thúc Tề (Tuyến Nội thị 8)</t>
  </si>
  <si>
    <t>Giáp đường Hồ Vinh</t>
  </si>
  <si>
    <t>Trần Đình Ân</t>
  </si>
  <si>
    <t>Đường Huỳnh Khái</t>
  </si>
  <si>
    <t>Trần Thị Đỉnh</t>
  </si>
  <si>
    <t>Thôn Viễn Trình (nhà ông Trần Cho)</t>
  </si>
  <si>
    <t>Trần Xuân Miễn</t>
  </si>
  <si>
    <t>Đường Lê Văn Trĩ (Đường Tỉnh lộ 10C )</t>
  </si>
  <si>
    <t>Đường Trường Sa (Đường Tỉnh lộ 10B)</t>
  </si>
  <si>
    <t>Trần Xuân Ngạn</t>
  </si>
  <si>
    <t>Trường Sa (Tỉnh lộ 10B)</t>
  </si>
  <si>
    <t>Ngã tư đường Mai Bá Trai</t>
  </si>
  <si>
    <t>Trường Sa,(Tuyến Tỉnh lộ 10B phần còn lại)</t>
  </si>
  <si>
    <t>Bến đò Viễn Trình</t>
  </si>
  <si>
    <t>Viễn Trình (Tuyến Nội thị 1)</t>
  </si>
  <si>
    <t>Võ Phi Trắng (Tỉnh lộ 10G)</t>
  </si>
  <si>
    <t>Ngã tư Đường Nguyễn Đức Xuyên - Võ Phi Trắng</t>
  </si>
  <si>
    <t>Ngã tư Đường Trường Sa - Võ Phi Trắng</t>
  </si>
  <si>
    <t>Đường Phạm Văn Điển</t>
  </si>
  <si>
    <t>Tỉnh lộ 18</t>
  </si>
  <si>
    <t>Tỉnh lộ 10C</t>
  </si>
  <si>
    <t>Đoạn từ giáp thị trấn Phú Đa (cũ) đến Cổng chào thôn Hà Trữ A</t>
  </si>
  <si>
    <t>Đoạn từ Cổng chào thôn Hà Trữ A đến Giáp xã Vinh Hà (cũ)</t>
  </si>
  <si>
    <t>Đoạn từ giáp xã Vinh Thái đến Niệm Phật đường Hà Trung</t>
  </si>
  <si>
    <t>Đoạn từ Niệm Phật đường Hà Trung đến Thôn Định cư Hà Giang</t>
  </si>
  <si>
    <t>Tỉnh lộ 10D</t>
  </si>
  <si>
    <t>Đoạn từ giáp Phú Đa đến Trường Trung học cơ sở Vinh Phú</t>
  </si>
  <si>
    <t>Đoạn từ Trường Trung học cơ sở Vinh Phú đến giáp xã Vinh Hà (cũ)</t>
  </si>
  <si>
    <t>Vùng 1:
-  Tuyến đường Liên xã Hà - Thái - Đa
- Tuyến đường Bêtông thôn Diêm Tụ
- Tuyến đường nhựa kết nối Tỉnh lộ 10C- tỉnh lộ 10D (Tuyến đường liên xã Vinh Phú - Vinh Thái cũ)
- Tuyến đường Bêtông thôn Mong A
- Tuyến đường Bêtông thôn Thanh Lam Bồ
- Tuyến đường Bêtông thôn Hà Trữ A
- Các tuyến rẽ nhánh Tỉnh lộ 10D đoạn từ giáp thị trấn Phú Đa (cũ) đến Trường Trung học cơ sở Vinh Phú
- Đường Bêtông liên xã Phú Đa - Phú Gia đoạn từ giáp thị trấn Phú Đa đến hết thôn Trường Hà
- Tuyến đường Liên xã Hà - Thái - Đa
- Tuyến đường giao thông dự án HCR</t>
  </si>
  <si>
    <t>Vùng  2:
-  Các tuyến rẽ nhánh Tỉnh lộ 10D đoạn từ Trường Trung học cơ sở Vinh Phú đến giáp xã Vinh Hà (cũ)
- Đường Bêtông liên xã Phú Đa - Phú Gia đoạn từ thôn Triêm Ân đến giáp xã Vinh Hà
- Các tuyến chính của các thôn còn lại.
- Ngoài các vị trí 1, 2, 3 của các tuyến đường giao thông chính
-  Các tuyến rẽ nhánh nối Tỉnh lộ 10C và Tỉnh lộ 10D
- Ngoài các vị trí 1, 2, 3 của Tỉnh lộ 10C đoạn từ Trạm Y tế xã đến Niệm Phật đường Hà Trung</t>
  </si>
  <si>
    <t>38. XÃ PHÚ VINH</t>
  </si>
  <si>
    <t>Đoạn qua Xã Vinh Thanh (cũ)</t>
  </si>
  <si>
    <t>Đoạn qua Xã Vinh An (cũ)</t>
  </si>
  <si>
    <t>Đoạn qua Xã Vinh Xuân (cũ)</t>
  </si>
  <si>
    <t>Đoạn qua Xã Phú Diên (cũ)</t>
  </si>
  <si>
    <t>Tuyến đường ra Khu du lịch sinh thái (Tỉnh lộ 18 kéo dài)</t>
  </si>
  <si>
    <t>Xã Vinh An (cũ), xã Vinh Xuân (cũ) và xã Phú Diên (cũ)</t>
  </si>
  <si>
    <t>Vùng 1: 
 - Tuyến đường bê tông trước Trụ sở Ủy ban nhân dân xã Vinh An (cũ)
-  Tuyến đường chính thôn An Bằng đoạn từ Ngã ba nhà ông Lê Thế đến Cổng chào Định Hải
- Các tuyến đường bao quanh Chợ An Bằng
- Tuyến đường rẽ nhánh Quốc lộ 49B đến Chợ Cột Dừa thuộc xã Vinh Xuân (cũ)
- Tuyến rẽ nhánh Quốc lộ 49B đến hết đường vào Chợ Cầu thuộc xã Phú Diên (cũ)</t>
  </si>
  <si>
    <t>Vùng 2: 
- Tuyến đường chính thôn An Bằng đoạn từ giáp xã Vinh Thanh (cũ) đến Ngã ba nhà ông Lê Thế xã Vinh An (cũ) và đoạn từ Cổng chào Định Hải đến giáp xã Vinh Hưng (cũ)
- Tuyến đường xuống Bến đò xã Vinh An (cũ)
- Tuyến đường bê tông Khu quy hoạch dân cư Cụm 1 - Hà Úc
- Tuyến đường bê tông ra Khu nuôi tôm công nghiệp xã Vinh An (cũ)
- Tuyến đường bê tông liên thôn thuộc xã Vinh Xuân (cũ)
- Tuyến bê tông chính thôn Kế Sung 
- Tuyến rẽ nhánh Quốc lộ 49B xã Vinh Xuân (cũ)
- Tuyến bê tông Liên thôn Khánh Mỹ - Phương Diên - Diên Lộc
- Ngoài các vị trí 1, 2, 3 của Quốc lộ 49B</t>
  </si>
  <si>
    <t>Xã Vinh Thanh (cũ)</t>
  </si>
  <si>
    <t>Vùng 1: 
- Tuyến đường ra biển cạnh Ủy ban nhân dân xã Vinh Thanh (cũ) đoạn từ Quốc lộ 49B đến nhà ông Nguyễn Màn
- Tuyến đường chính xuống Chợ Vinh Thanh
- Tuyến quy hoạch số 1 (Điểm đầu: Quốc lộ 49B Điểm cuối: Đường bê tông dự án Bãi ngang)
- Tuyến quy hoạch số 2 (Điểm đầu: Quốc lộ 49B Điểm cuối: Đường bê tông dự án Bãi ngang)</t>
  </si>
  <si>
    <t>Vùng 2: 
- Tuyến đường ra biển cạnh Ủy ban nhân dân xã Vinh Thanh (cũ) đoạn từ nhà ông Nguyễn Màn đến Đường bê tông Bãi ngang
- Tuyến đường bê tông Liên thôn (Dự án Bãi ngang).
- Các Tuyến đường rẽ nhánh từ Quốc lộ 49B đến Đường bê tông Bãi ngang
- Các Tuyến đường rẽ nhánh từ Quốc lộ 49B đến Phá Tam Giang
- Ngoài các vị trí 1, 2, 3 của Quốc lộ 49B
- Tuyến quy hoạch số 3
- Tuyến quy hoạch số 5</t>
  </si>
  <si>
    <t>39. XÃ QUẢNG ĐIỀN</t>
  </si>
  <si>
    <t>Đan Điền</t>
  </si>
  <si>
    <t>Giáp ranh xã Đan Điền (thửa đất số 24, tờ bản đồ số 7)</t>
  </si>
  <si>
    <t>Giáp sông Diên Hồng</t>
  </si>
  <si>
    <t xml:space="preserve">Đặng Huy Cát </t>
  </si>
  <si>
    <t>Đình làng thôn Lương Cổ (thửa đất số 155, tờ bản đồ số 16)</t>
  </si>
  <si>
    <t>Đến cuối thôn Vân Căn (giáp sông Nan) (thửa đất số 422, tờ bản đồ số 27)</t>
  </si>
  <si>
    <t xml:space="preserve">Đặng Hữu Phổ </t>
  </si>
  <si>
    <t>Giao đường tránh lũ</t>
  </si>
  <si>
    <t>Trụ sở Đội quản lý Điện Quảng Điền (thửa đất số 360, tờ bản đồ số 20)</t>
  </si>
  <si>
    <t>Đặng Hữu Phổ</t>
  </si>
  <si>
    <t>Trụ sở Kho bạc nhà nước (thửa đất số 282, tờ bản đồ số 20)</t>
  </si>
  <si>
    <t>Trường Mầm non Bình Minh (thửa đất số 289, tờ bản đồ số 23)</t>
  </si>
  <si>
    <t>Hóa Châu</t>
  </si>
  <si>
    <t>Giao đường Tam Giang (Hạt Kiểm lâm) (thửa đất số 85, tờ bản đồ số 14)</t>
  </si>
  <si>
    <t>Giáp ranh xã Đan Điền</t>
  </si>
  <si>
    <t xml:space="preserve">Lê Thành Hinh </t>
  </si>
  <si>
    <t>Giao đường Nguyễn Vịnh</t>
  </si>
  <si>
    <t>Xóm cụt thôn Thạch Bình (thửa đất số 55, tờ bản đồ số 22)</t>
  </si>
  <si>
    <t xml:space="preserve">Lê Tư Thành </t>
  </si>
  <si>
    <t>Giao đường Đan Điền</t>
  </si>
  <si>
    <t>Giáp ranh xã Quảng Điền (thửa đất số 366, tờ bản đồ số 22)</t>
  </si>
  <si>
    <t xml:space="preserve">Lê Xuân </t>
  </si>
  <si>
    <t>Giao đường Nguyễn Vịnh (Tỉnh lộ 19) (thửa đất số 25, tờ bản đồ số 13)</t>
  </si>
  <si>
    <t>Đến cuối trung tâm thương mại xã (thửa đất số 44, tờ bản đồ số 13)</t>
  </si>
  <si>
    <t>Nam Dương</t>
  </si>
  <si>
    <t>Nam cầu Vĩnh Hoà (qua Đền tưởng niệm) (thửa đất số 78, tờ bản đồ số 21)</t>
  </si>
  <si>
    <t>Cầu Đan Điền (thửa đất số 433, tờ bản đồ số 22)</t>
  </si>
  <si>
    <t xml:space="preserve">Nguyễn Cảnh Dị </t>
  </si>
  <si>
    <t>Tỉnh lộ 11A (thửa đất số 3, tờ bản đồ số 24)</t>
  </si>
  <si>
    <t>Giao đường Trần Trùng Quang (thửa đất số 188, tờ bản đồ số 24)</t>
  </si>
  <si>
    <t xml:space="preserve">Nguyễn Dĩnh </t>
  </si>
  <si>
    <t>Giao đường Nguyễn Vịnh (thửa đất số 187, tờ bản đồ số 21)</t>
  </si>
  <si>
    <t>Mương thuỷ lợi (thửa đất số 321 tờ bản đồ số 21)</t>
  </si>
  <si>
    <t>Giao đường Đặng Hữu Phổ</t>
  </si>
  <si>
    <t xml:space="preserve">Nguyễn Đình Anh </t>
  </si>
  <si>
    <t>Giao đường Nguyễn Vịnh (Xã  đội) (thửa đất số 46, tờ bản đồ số 23)</t>
  </si>
  <si>
    <t>Giao đường Nam Dương (đền tưởng niệm) (thửa đất số 449, tờ bản đồ số 22)</t>
  </si>
  <si>
    <t>Nguyễn Hữu Đà</t>
  </si>
  <si>
    <t>Cổng chào thôn Uất Mậu (thửa đất số 100, tờ bản đồ số 20)</t>
  </si>
  <si>
    <t>Giao đường Uất Mậu - Khuôn Phò (thửa đất số 164, tờ bản đồ số 18)</t>
  </si>
  <si>
    <t>Nguyễn Kim Thành</t>
  </si>
  <si>
    <t>Giáp xã Đan Điền (thửa đất số 74, tờ bản đồ số 26)</t>
  </si>
  <si>
    <t>Trường Trung học phổ thông Nguyễn Chí Thanh</t>
  </si>
  <si>
    <t>Đường nội thị (thửa đất số 233, tờ bản đồ 51)</t>
  </si>
  <si>
    <t>Nguyễn Minh Đạt (nối dài)</t>
  </si>
  <si>
    <t>Từ cửa hàng xăng dầu Hợp tác xã Đông Phước (thửa đất số 400, tờ bản đồ số 22)</t>
  </si>
  <si>
    <t>Giao đường Trần Hữu Khác (thửa đất số 295, tờ bản đồ số 14)</t>
  </si>
  <si>
    <t xml:space="preserve">Nguyễn Súy </t>
  </si>
  <si>
    <t>Giao Tỉnh lộ 4 (thửa đất số 270, tờ bản đồ số 22)</t>
  </si>
  <si>
    <t>Hội Quán thôn Tráng Lực (thửa đất số 238, tờ bản đồ số 22)</t>
  </si>
  <si>
    <t xml:space="preserve">Nguyễn Suý </t>
  </si>
  <si>
    <t>Giáp xã Tâm Lý (thửa đất số 2L 365, tờ bản đồ số 25)</t>
  </si>
  <si>
    <t>Nguyễn Vịnh</t>
  </si>
  <si>
    <t>Giáp Tỉnh lộ 4</t>
  </si>
  <si>
    <t>Ngã tư đường Trần Bá Song (Nguyễn Vịnh) (thửa đất số 224, tờ bản đồ số 7)</t>
  </si>
  <si>
    <t>Ngã tư đường Trần Bá Song (Nguyễn Vịnh) (thửa đất số 224, tờ bản đồ số: 7)</t>
  </si>
  <si>
    <t>Ngã tư đường Hóa Châu (đường tránh lũ) (thửa đất số 132, tờ bản đồ số 13)</t>
  </si>
  <si>
    <t>Ngã tư đường Hóa Châu (đường tránh lũ) (thửa đất số 132, tờ bản đồ số: 13)</t>
  </si>
  <si>
    <t>Bắc cầu Vĩnh Hòa</t>
  </si>
  <si>
    <t>Nam Cầu Vĩnh Hòa</t>
  </si>
  <si>
    <t>Trụ sở Công an xã</t>
  </si>
  <si>
    <t>Giáp ranh giới xã Đan Điền</t>
  </si>
  <si>
    <t xml:space="preserve">Phạm Quang Ái </t>
  </si>
  <si>
    <t>Giao Tỉnh lộ 4 (đi Đan Điền)</t>
  </si>
  <si>
    <t>Giáp đường Trần Bá Song (thửa đất số 113, tờ bản đồ số 6)</t>
  </si>
  <si>
    <t>Tam Giang</t>
  </si>
  <si>
    <t>Giao đường Đan Điền (thửa đất số 2L 25, tờ bản đồ số 7)</t>
  </si>
  <si>
    <t>Đình làng Tráng Lực (thửa đất số 106, tờ bản đồ số 22)</t>
  </si>
  <si>
    <t>Cầu Đan Điền</t>
  </si>
  <si>
    <t>Trần Đạo Tiềm</t>
  </si>
  <si>
    <t>Ngân hàng Nông nghiệp và Phát triển nông thôn (thửa đất số 25, tờ bản đồ số 20)</t>
  </si>
  <si>
    <t>Hồ cá (thửa đất số 211, tờ bản đồ số 20)</t>
  </si>
  <si>
    <t>Trường cấp 2-3 Quảng Điền cũ (giáp ranh xã Quảng Vinh) (thửa đất số 253, tờ bản đồ số 27)</t>
  </si>
  <si>
    <t xml:space="preserve">Trần Bá Song </t>
  </si>
  <si>
    <t>Giao đường Phạm Quang Ái (thửa đất số 196, tờ bản đồ số 6)</t>
  </si>
  <si>
    <t>Giao đường Tam Giang (thửa đất số 229, tờ bản đồ số 7)</t>
  </si>
  <si>
    <t>Trần Bá Song</t>
  </si>
  <si>
    <t>Giao đường Phạm Quang Ái (thửa đất số 219, tờ bản đồ số 6)</t>
  </si>
  <si>
    <t>Đến thửa đất số 319, tờ bản đồ số 6</t>
  </si>
  <si>
    <t>Trần Hữu Khác (nối dài)</t>
  </si>
  <si>
    <t>Cuối trung tâm thương mại xã (thửa đất số 88, tờ bản đồ số 13)</t>
  </si>
  <si>
    <t>Giao đường Lê Tư Thành (thửa đất số 300, tờ bản đồ số 20)</t>
  </si>
  <si>
    <t xml:space="preserve">Trần Trùng Quang </t>
  </si>
  <si>
    <t>Giao Tỉnh lộ 11A (đình Vân Căn) (thửa đất số 74, tờ bản đồ số 26)</t>
  </si>
  <si>
    <t>Giao đường Nguyễn Vịnh (Tỉnh lộ 19) (thửa đất số 529, tờ bản đồ số 28)</t>
  </si>
  <si>
    <t>Giao đường Nguyễn Vịnh (thửa đất số 529, tờ bản đồ số 28)</t>
  </si>
  <si>
    <t>Cầu Bộ Phi (thửa đất số 165, tờ bản đồ số 24)</t>
  </si>
  <si>
    <t xml:space="preserve">Trần Quang Nợ </t>
  </si>
  <si>
    <t>Giao đường Nguyễn Kim Thành (thửa đất số 305, tờ bản đồ số 20)</t>
  </si>
  <si>
    <t>Giao đường Trần Trùng Quang (thửa đất số 139, tờ bản đồ số 27) Chùa Thủ Lễ</t>
  </si>
  <si>
    <t>Trương Bá Kìm</t>
  </si>
  <si>
    <t>Trục đường quy hoạch 11,5m trong khu quy hoạch dân cư Khuông Phò</t>
  </si>
  <si>
    <t>Trương Thị Dương</t>
  </si>
  <si>
    <t>Giao đường Tam Giang</t>
  </si>
  <si>
    <t>Giáp thôn Hà Đồ - Phước Lập</t>
  </si>
  <si>
    <t>Tỉnh lộ 19 từ giáp ranh xã Đan Điền đến giáp ranh phường Kim Trà (từ thửa đất số 82, tờ bản đồ số 79 đến thửa đất số 167, tờ bản đồ 98)</t>
  </si>
  <si>
    <t>Đoạn từ giáp ranh đường Nguyễn Kim Thành đền cầu Thủ Lễ (từ thửa đất số 286, tờ bản đồ số 51 đến thửa đất số 73, tờ bản đồ 59)</t>
  </si>
  <si>
    <t>Đoạn từ cầu Thủ Lễ đến trường Trung học cơ sở Đặng Tất phường Hóa Châu (từ thửa đất số 622, tờ bản đồ số 59 đến thửa đất số 1185, tờ bản đồ số 83)</t>
  </si>
  <si>
    <t>Tỉnh lộ 8A Đoạn từ cầu Thanh Lương (từ thửa đất số 31, tờ bản đồ số 100 đến thửa 595, tờ 92) và Đoạn từ cầu Nguyễn Chí Thanh đến cầu Phò Nam B (từ thửa đất số 710, tờ bản đồ số 86 đến thửa đất số 574, tờ bản đồ 71)</t>
  </si>
  <si>
    <t>Tuyến đường Đập Mít - La Vân Hạ (từ thửa đất số 22, tờ bản đồ số 100 đến thửa đất số 336, tờ bản đồ số 94)</t>
  </si>
  <si>
    <t>Tuyến đường WB2 (từ Tỉnh lộ 19 đến cống Phú Lương A) (từ thửa đất số 42, tờ bản đồ số 98 đến thửa đất số 06, tờ bản đồ số 95)</t>
  </si>
  <si>
    <t>Tuyến đường WB3 (từ Tỉnh lộ 19 đến cầu Ngã Tư) (từ thửa đất số 221, tờ bản đồ số 86 đến thửa đất số 77, tờ bản đồ số 80)</t>
  </si>
  <si>
    <t>Tuyến đường từ đình làng Niêm Phò đến cầu Niêm Phò, xã Quảng Điền (từ thửa đất số 109, tờ bản đồ số 86 đến thửa đất số 661, tờ bản đồ số 86)</t>
  </si>
  <si>
    <t>Đoạn giáp ranh từ cầu Đan Điền đến giáp Tỉnh lộ 4 (cầu Bộ Phi) (từ thửa đất số 250, tờ bản đồ số 51 đến giáp thửa đất số 80, tờ bản đồ số 59)</t>
  </si>
  <si>
    <t>Đoạn từ nhà ông Ngô Nhân đến nhà thờ Phe Hữu (từ thửa đất số 780, tờ bản đồ số 51 đến thửa đất số 752, tờ bản đồ 59)</t>
  </si>
  <si>
    <t>Tuyến đường Mỹ Xá - Phú Lương B đoạn từ Tỉnh lộ 4 đến giáp đường WB3 (Nhà ông Ngãi) (từ thửa đất số 691, tờ bản đồ số 82 đến thửa đất số 579, tờ bản đồ số 63)</t>
  </si>
  <si>
    <t>Tuyến đường Đông Xuyên - Mỹ Ốn</t>
  </si>
  <si>
    <t>Đoạn từ cống Ba khẩu đến cống Rột Ngoài (từ thửa đất số 152, tờ bản đồ số 67 đến thửa đất số 525, tờ bản đồ số 67)</t>
  </si>
  <si>
    <t>Đoạn từ nhà Ông Đụng đến cống ông Ché (từ thửa đất số 525, tờ bản đồ số 65 đến thửa đất số 759, tờ bản đồ số 75)</t>
  </si>
  <si>
    <t>Đoạn từ cống Ông Ché đến cổng làng An Xuân - đường vào Hợp tác xã An Xuân (từ thửa đất số 793, tờ bản đồ số 75 đến thửa đất số 835, tờ bản đồ số 75 đến thửa đất số 529, tờ bản đồ số 76)</t>
  </si>
  <si>
    <t>Từ cổng làng An Xuân đến tỉnh lộ 4 (tính từ vị trí 3) (từ thửa đất số 836, tờ bản đồ số 75 đến thửa đất số 754, tờ bản đồ số 83)</t>
  </si>
  <si>
    <t>Tuyến đường WB3 đoạn từ giáp xã Quảng Điền đến đường Đông Xuyên - Mỹ Ốn (từ thửa đất số 100, tờ bản đồ số 61 đến thửa đất số 753,tờ bản đồ số 65)</t>
  </si>
  <si>
    <t>Tuyến đường từ cống Phú Lương A đến cầu Hợp tác xã Nông nghiệp Đông Phú (từ thửa đất số 527, tờ bản đồ số 82 đến thửa đất số 401, tờ bản đồ số 89)</t>
  </si>
  <si>
    <t>Vùng1: 
- Tuyến Đông Xuyên 1: từ cầu Mỹ Xá (tính từ vị trí 3, Tỉnh lộ 4) đến cống Phú Lương A
- Tuyến Đông Xuyên 2: từ cây Xăng (tính từ vị trí 3, Tỉnh lộ 4) đến giáp tuyến Đông Xuyên 1
- Tuyến từ cầu Mỹ Xá (tính từ vị trí 3, Tỉnh lộ 4) đến hết tổ 9
- Tuyến từ cầu Mỹ Xá (tính từ vị trí 3, Tỉnh lộ 4) đến giáp đường Mỹ Xá - Phú Lương B
- Thôn Mỹ Xá
- Tuyến Phước Thanh: từ cầu ông Lời đến giáp ranh thôn Phú Lương
- Tuyến Phú Lương B1: từ giáp ranh thôn Phước Thanh đến nhà bà Tuần
- Thôn Khuông Phò (xóm 1 đến xóm 7, xóm lăng)
- Thôn Thủ Lễ (xóm 1 đến xóm 15)
- Thôn Khuông Phò (xóm Ruộng Kiện, cửa Rào Bắc, xóm Chứa)
- Thôn Thủ Lễ (xóm Bàu, xóm Đảo, cửa Rào Nam)
- Thôn Phước Yên
- Thôn Tân Xuân Lai
- Thôn Lương Cổ Nam
- Thôn La Vân Thượng
- Thôn Niêm Phò
- Thôn Phò Nam B
- Thôn La Vân Hạ
- Tuyến đường chính thôn Phò Nam</t>
  </si>
  <si>
    <t>Vùng 2: 
- Tổ 10, 11 thôn Đông Xuyên
- Tuyến Đông Xuyên 3: từ cống Phú Lương A đến hết đội 12
- Tuyến Phú Lương B2: từ cầu đội 3 đến nhà ông Đúng
- Tuyến Phú Lương B3: từ nhà ông An đến miếu Âm hồn
- Tuyến An Xuân 1: từ sân đội 1 đến cầu bà Thúy
- Tuyến An Xuân 2: từ nhà ông Lĩnh đến nhà ông Tuấn
- Tuyến An Xuân 3: từ nhà bà Lùn đến đường Đông Xuyên - Mỹ Ổn (tính từ vị trí 3)
- Tuyến An Xuân 4: từ nhà ông Chục đến cầu Cồn Bài
- Thôn Hà Đồ - Phước Lập; Thôn Lâm - Lý
- Thôn Mai Dương
- Thôn Phò Nam
- Tổ 12, thôn Đông Xuyên
- Thôn Phước Thanh.
- Thôn An Xuân Bắc, thôn An Xuân Đông, thôn An Xuân Tây
- Thôn Phú Lương B</t>
  </si>
  <si>
    <t>40. XÃ VINH LỘC</t>
  </si>
  <si>
    <t>I.  Các tuyến ven đường giao thông chính</t>
  </si>
  <si>
    <t>Đoạn qua xã Vinh Hưng (cũ)</t>
  </si>
  <si>
    <t>Đoạn qua xã Vinh Hiền (cũ)</t>
  </si>
  <si>
    <t>Đoạn qua xã Vinh Mỹ (cũ)</t>
  </si>
  <si>
    <t>Đoạn qua xã Giang Hải (cũ)</t>
  </si>
  <si>
    <t>Tỉnh lộ 21</t>
  </si>
  <si>
    <t>Xã Vinh Hưng (cũ)</t>
  </si>
  <si>
    <t>Vùng 1: Từ trung tâm là Ủy ban nhân dân xã mở rộng bán kính 500m</t>
  </si>
  <si>
    <t>Vùng 2: Các thôn và vị trí còn lại của các thôn có các tuyến đường thôn, liên thôn có mặt cắt đường ≥ 2,5m và thôn Trung Hưng</t>
  </si>
  <si>
    <t>Xã Vinh Hiền (cũ)</t>
  </si>
  <si>
    <t>Vùng 1: Dọc theo Quốc lộ 49B mở rộng về biển 500m, về phía đầm Cầu Hai 750m</t>
  </si>
  <si>
    <t>Vùng 3: Thôn Đông Dương và các vị trí còn lại</t>
  </si>
  <si>
    <t>Xã Vinh Mỹ (cũ) và Xã Giang Hải (cũ)</t>
  </si>
  <si>
    <t>Vùng 1:
- Quốc lộ 49 đoạn từ ranh giới xã Vinh Hưng (cũ) đến giáp xã Vinh Giang (cũ) giới hạn mỗi bên 300m, Trung tâm chợ mở rộng bán kính 500m
- Quốc lộ 49 đoạn từ ranh giới xã Vinh Mỹ (cũ) đến giáp xã Vinh Hiền (cũ) giới hạn mỗi bên 200m</t>
  </si>
  <si>
    <t>Vùng 2:  Các thôn và vị trí còn lại của các thôn có các tuyến đường thôn, liên thôn có mặt cắt đường ≥ 2,5m</t>
  </si>
  <si>
    <t>(Tên đơn vị hành chính của các xã, phường, thị trấn (cũ) tại Phụ lục là tên đơn vị hành chính xã, phường, thị trấn theo quy định tại Nghị quyết 1314/NQ-UBTVQH15 ngày 30/11/2024 của Ủy ban Thường vụ Quốc hội về việc sắp xếp đơn vị hành chính cấp huyện, cấp xã của thành phố Huế giai đoạn 2023 – 2025)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</si>
</sst>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_);_(* \(#,##0\);_(* &quot;-&quot;??_);_(@_)"/>
    <numFmt numFmtId="178" formatCode="_-* #,##0_-;\-* #,##0_-;_-* &quot;-&quot;??_-;_-@_-"/>
    <numFmt numFmtId="179" formatCode="_(* #.##0_);_(* \(#.##0\);_(* &quot;-&quot;??_);_(@_)"/>
    <numFmt numFmtId="180" formatCode="#,##0.0"/>
  </numFmts>
  <fonts count="28">
    <font>
      <sz val="11"/>
      <color theme="1"/>
      <name val="Calibri"/>
      <charset val="134"/>
      <scheme val="minor"/>
    </font>
    <font>
      <sz val="11"/>
      <name val="Times New Roman"/>
      <charset val="134"/>
    </font>
    <font>
      <b/>
      <sz val="11"/>
      <name val="Times New Roman"/>
      <charset val="134"/>
    </font>
    <font>
      <i/>
      <sz val="11"/>
      <name val="Times New Roman"/>
      <charset val="134"/>
    </font>
    <font>
      <sz val="11"/>
      <name val="Times New Roman"/>
      <charset val="134"/>
    </font>
    <font>
      <sz val="11"/>
      <name val="Calibri"/>
      <charset val="134"/>
      <scheme val="minor"/>
    </font>
    <font>
      <i/>
      <sz val="1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font>
    <font>
      <i/>
      <vertAlign val="superscript"/>
      <sz val="1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3" applyNumberFormat="0" applyFill="0" applyAlignment="0" applyProtection="0">
      <alignment vertical="center"/>
    </xf>
    <xf numFmtId="0" fontId="13" fillId="0" borderId="13" applyNumberFormat="0" applyFill="0" applyAlignment="0" applyProtection="0">
      <alignment vertical="center"/>
    </xf>
    <xf numFmtId="0" fontId="14" fillId="0" borderId="14" applyNumberFormat="0" applyFill="0" applyAlignment="0" applyProtection="0">
      <alignment vertical="center"/>
    </xf>
    <xf numFmtId="0" fontId="14" fillId="0" borderId="0" applyNumberFormat="0" applyFill="0" applyBorder="0" applyAlignment="0" applyProtection="0">
      <alignment vertical="center"/>
    </xf>
    <xf numFmtId="0" fontId="15" fillId="3" borderId="15" applyNumberFormat="0" applyAlignment="0" applyProtection="0">
      <alignment vertical="center"/>
    </xf>
    <xf numFmtId="0" fontId="16" fillId="4" borderId="16" applyNumberFormat="0" applyAlignment="0" applyProtection="0">
      <alignment vertical="center"/>
    </xf>
    <xf numFmtId="0" fontId="17" fillId="4" borderId="15" applyNumberFormat="0" applyAlignment="0" applyProtection="0">
      <alignment vertical="center"/>
    </xf>
    <xf numFmtId="0" fontId="18" fillId="5" borderId="17" applyNumberFormat="0" applyAlignment="0" applyProtection="0">
      <alignment vertical="center"/>
    </xf>
    <xf numFmtId="0" fontId="19" fillId="0" borderId="18" applyNumberFormat="0" applyFill="0" applyAlignment="0" applyProtection="0">
      <alignment vertical="center"/>
    </xf>
    <xf numFmtId="0" fontId="20" fillId="0" borderId="1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177" fontId="4" fillId="0" borderId="1">
      <alignment horizontal="right" vertical="center" wrapText="1"/>
    </xf>
    <xf numFmtId="43" fontId="26"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cellStyleXfs>
  <cellXfs count="220">
    <xf numFmtId="0" fontId="0" fillId="0" borderId="0" xfId="0"/>
    <xf numFmtId="0" fontId="1" fillId="0" borderId="0" xfId="0" applyFont="1" applyAlignment="1">
      <alignment horizontal="center" vertical="center"/>
    </xf>
    <xf numFmtId="0" fontId="1" fillId="0" borderId="0" xfId="0" applyFont="1" applyAlignment="1">
      <alignment wrapText="1"/>
    </xf>
    <xf numFmtId="0" fontId="1" fillId="0" borderId="0" xfId="0" applyFont="1"/>
    <xf numFmtId="0" fontId="1" fillId="0" borderId="0" xfId="0" applyFont="1" applyAlignment="1">
      <alignment horizontal="left"/>
    </xf>
    <xf numFmtId="3" fontId="1" fillId="0" borderId="0" xfId="0" applyNumberFormat="1" applyFont="1" applyAlignment="1">
      <alignment horizontal="center" vertical="center"/>
    </xf>
    <xf numFmtId="0" fontId="2" fillId="0" borderId="0" xfId="0" applyFont="1" applyAlignment="1">
      <alignment vertical="center"/>
    </xf>
    <xf numFmtId="0" fontId="2" fillId="0" borderId="0" xfId="0" applyFont="1" applyAlignment="1">
      <alignment horizontal="left" vertical="center"/>
    </xf>
    <xf numFmtId="0" fontId="3" fillId="0" borderId="0" xfId="0" applyFont="1" applyAlignment="1">
      <alignment horizontal="right"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horizontal="left" vertical="center" wrapText="1"/>
    </xf>
    <xf numFmtId="3" fontId="1" fillId="0" borderId="1" xfId="0" applyNumberFormat="1" applyFont="1" applyBorder="1" applyAlignment="1">
      <alignment horizontal="center" vertical="center" wrapText="1"/>
    </xf>
    <xf numFmtId="0" fontId="1" fillId="0" borderId="1" xfId="0" applyFont="1" applyBorder="1" applyAlignment="1">
      <alignment vertical="center" wrapText="1"/>
    </xf>
    <xf numFmtId="3" fontId="1" fillId="0" borderId="1" xfId="0" applyNumberFormat="1" applyFont="1" applyBorder="1" applyAlignment="1">
      <alignment horizontal="right" vertical="center" wrapText="1"/>
    </xf>
    <xf numFmtId="177" fontId="1" fillId="0" borderId="1" xfId="0" applyNumberFormat="1" applyFont="1" applyBorder="1" applyAlignment="1">
      <alignment vertical="center"/>
    </xf>
    <xf numFmtId="177" fontId="4" fillId="0" borderId="1" xfId="49">
      <alignment horizontal="right" vertical="center" wrapText="1"/>
    </xf>
    <xf numFmtId="177" fontId="4" fillId="0" borderId="0" xfId="49" applyBorder="1">
      <alignment horizontal="right" vertical="center" wrapText="1"/>
    </xf>
    <xf numFmtId="0" fontId="3" fillId="0" borderId="0" xfId="0" applyFont="1" applyAlignment="1">
      <alignment horizontal="center" vertical="center" wrapText="1"/>
    </xf>
    <xf numFmtId="177" fontId="4" fillId="0" borderId="2" xfId="49" applyBorder="1">
      <alignment horizontal="right" vertical="center" wrapText="1"/>
    </xf>
    <xf numFmtId="0" fontId="1" fillId="0" borderId="0" xfId="0" applyFont="1" applyAlignment="1">
      <alignment vertical="center" wrapText="1"/>
    </xf>
    <xf numFmtId="0" fontId="1" fillId="0" borderId="0" xfId="0" applyFont="1" applyAlignment="1">
      <alignment horizontal="left" vertical="center" wrapText="1"/>
    </xf>
    <xf numFmtId="3" fontId="1" fillId="0" borderId="0" xfId="0" applyNumberFormat="1" applyFont="1" applyAlignment="1">
      <alignment horizontal="center" vertical="center" wrapText="1"/>
    </xf>
    <xf numFmtId="0" fontId="5" fillId="0" borderId="0" xfId="0" applyFont="1"/>
    <xf numFmtId="0" fontId="1" fillId="0" borderId="0" xfId="0" applyFont="1" applyAlignment="1">
      <alignment vertical="center"/>
    </xf>
    <xf numFmtId="0" fontId="1" fillId="0" borderId="0" xfId="0" applyFont="1" applyAlignment="1">
      <alignment horizontal="left" vertical="center"/>
    </xf>
    <xf numFmtId="177" fontId="1" fillId="0" borderId="0" xfId="1" applyNumberFormat="1" applyFont="1" applyFill="1" applyAlignment="1">
      <alignment horizontal="right" vertical="center"/>
    </xf>
    <xf numFmtId="3" fontId="3" fillId="0" borderId="0" xfId="0" applyNumberFormat="1" applyFont="1" applyAlignment="1">
      <alignment horizontal="right" vertical="center" wrapText="1"/>
    </xf>
    <xf numFmtId="177" fontId="2" fillId="0" borderId="1" xfId="1" applyNumberFormat="1" applyFont="1" applyFill="1" applyBorder="1" applyAlignment="1">
      <alignment horizontal="center" vertical="center" wrapText="1"/>
    </xf>
    <xf numFmtId="0" fontId="1" fillId="0" borderId="1" xfId="53" applyFont="1" applyBorder="1" applyAlignment="1">
      <alignment horizontal="center" vertical="center" wrapText="1"/>
    </xf>
    <xf numFmtId="177" fontId="1" fillId="0" borderId="1" xfId="1" applyNumberFormat="1" applyFont="1" applyFill="1" applyBorder="1" applyAlignment="1">
      <alignment horizontal="right" vertical="center"/>
    </xf>
    <xf numFmtId="177" fontId="1" fillId="0" borderId="1" xfId="1" applyNumberFormat="1" applyFont="1" applyFill="1" applyBorder="1" applyAlignment="1">
      <alignment horizontal="right" vertical="center" wrapText="1"/>
    </xf>
    <xf numFmtId="0" fontId="2" fillId="0" borderId="1" xfId="0" applyFont="1" applyBorder="1" applyAlignment="1">
      <alignment horizontal="left" vertical="center"/>
    </xf>
    <xf numFmtId="0" fontId="2" fillId="0" borderId="1" xfId="53" applyFont="1" applyBorder="1" applyAlignment="1">
      <alignment horizontal="left" vertical="center"/>
    </xf>
    <xf numFmtId="0" fontId="1" fillId="0" borderId="3" xfId="0" applyFont="1" applyBorder="1" applyAlignment="1">
      <alignment horizontal="left" vertical="center" wrapText="1"/>
    </xf>
    <xf numFmtId="0" fontId="1" fillId="0" borderId="2" xfId="0" applyFont="1" applyBorder="1" applyAlignment="1">
      <alignment vertical="center" wrapText="1"/>
    </xf>
    <xf numFmtId="0" fontId="1" fillId="0" borderId="2" xfId="0" applyFont="1" applyBorder="1" applyAlignment="1">
      <alignment horizontal="left" vertical="center" wrapText="1"/>
    </xf>
    <xf numFmtId="177" fontId="1" fillId="0" borderId="0" xfId="1" applyNumberFormat="1" applyFont="1" applyFill="1" applyAlignment="1">
      <alignment horizontal="right" vertical="center" wrapText="1"/>
    </xf>
    <xf numFmtId="3" fontId="1" fillId="0" borderId="0" xfId="0" applyNumberFormat="1" applyFont="1" applyAlignment="1">
      <alignment horizontal="right" vertical="center"/>
    </xf>
    <xf numFmtId="0" fontId="1" fillId="0" borderId="1" xfId="0" applyFont="1" applyBorder="1" applyAlignment="1">
      <alignment horizontal="center" vertical="center"/>
    </xf>
    <xf numFmtId="0" fontId="2" fillId="0" borderId="1" xfId="53" applyFont="1" applyBorder="1" applyAlignment="1">
      <alignment vertical="center"/>
    </xf>
    <xf numFmtId="0" fontId="1" fillId="0" borderId="1" xfId="53" applyFont="1" applyBorder="1" applyAlignment="1">
      <alignment horizontal="left" vertical="center" wrapText="1"/>
    </xf>
    <xf numFmtId="0" fontId="1" fillId="0" borderId="3" xfId="0" applyFont="1" applyBorder="1" applyAlignment="1">
      <alignment vertical="center" wrapText="1"/>
    </xf>
    <xf numFmtId="3" fontId="1" fillId="0" borderId="0" xfId="0" applyNumberFormat="1" applyFont="1" applyAlignment="1">
      <alignment horizontal="right" vertical="center" wrapText="1"/>
    </xf>
    <xf numFmtId="177" fontId="1" fillId="0" borderId="1" xfId="1" applyNumberFormat="1" applyFont="1" applyFill="1" applyBorder="1" applyAlignment="1">
      <alignment horizontal="center" vertical="center" wrapText="1"/>
    </xf>
    <xf numFmtId="177" fontId="1" fillId="0" borderId="1" xfId="1" applyNumberFormat="1" applyFont="1" applyFill="1" applyBorder="1" applyAlignment="1">
      <alignment horizontal="center" vertical="center"/>
    </xf>
    <xf numFmtId="0" fontId="1" fillId="0" borderId="0" xfId="0" applyFont="1" applyAlignment="1">
      <alignment horizontal="center" vertical="center" wrapText="1"/>
    </xf>
    <xf numFmtId="0" fontId="1" fillId="0" borderId="1" xfId="53" applyFont="1" applyBorder="1" applyAlignment="1">
      <alignment horizontal="center" vertical="center"/>
    </xf>
    <xf numFmtId="3" fontId="1" fillId="0" borderId="1" xfId="1" applyNumberFormat="1" applyFont="1" applyFill="1" applyBorder="1" applyAlignment="1">
      <alignment horizontal="right" vertical="center"/>
    </xf>
    <xf numFmtId="3" fontId="1" fillId="0" borderId="1" xfId="0" applyNumberFormat="1" applyFont="1" applyBorder="1" applyAlignment="1">
      <alignment horizontal="right" vertical="center"/>
    </xf>
    <xf numFmtId="0" fontId="1" fillId="0" borderId="1" xfId="0" applyFont="1" applyBorder="1" applyAlignment="1">
      <alignment horizontal="left" vertical="center"/>
    </xf>
    <xf numFmtId="0" fontId="2" fillId="0" borderId="1" xfId="53" applyFont="1" applyBorder="1" applyAlignment="1">
      <alignment vertical="center" wrapText="1"/>
    </xf>
    <xf numFmtId="0" fontId="2" fillId="0" borderId="1" xfId="53" applyFont="1" applyBorder="1" applyAlignment="1">
      <alignment horizontal="left" vertical="center" wrapText="1"/>
    </xf>
    <xf numFmtId="178" fontId="1" fillId="0" borderId="1" xfId="1" applyNumberFormat="1" applyFont="1" applyFill="1" applyBorder="1" applyAlignment="1">
      <alignment vertical="center"/>
    </xf>
    <xf numFmtId="3" fontId="1" fillId="0" borderId="1" xfId="0" applyNumberFormat="1" applyFont="1" applyBorder="1" applyAlignment="1">
      <alignment vertical="center" wrapText="1"/>
    </xf>
    <xf numFmtId="177" fontId="1" fillId="0" borderId="0" xfId="1" applyNumberFormat="1" applyFont="1" applyFill="1" applyAlignment="1">
      <alignment horizontal="center" vertical="center"/>
    </xf>
    <xf numFmtId="9" fontId="1" fillId="0" borderId="0" xfId="3" applyFont="1" applyFill="1" applyAlignment="1">
      <alignment horizontal="center" vertical="center"/>
    </xf>
    <xf numFmtId="49" fontId="1" fillId="0" borderId="1" xfId="50" applyNumberFormat="1" applyFont="1" applyFill="1" applyBorder="1" applyAlignment="1">
      <alignment horizontal="left" vertical="center" wrapText="1"/>
    </xf>
    <xf numFmtId="9" fontId="1" fillId="0" borderId="0" xfId="0" applyNumberFormat="1" applyFont="1" applyAlignment="1">
      <alignment vertical="center"/>
    </xf>
    <xf numFmtId="177" fontId="1" fillId="0" borderId="0" xfId="1" applyNumberFormat="1" applyFont="1" applyFill="1" applyAlignment="1">
      <alignment horizontal="center" vertical="center" wrapText="1"/>
    </xf>
    <xf numFmtId="177" fontId="1" fillId="0" borderId="0" xfId="1" applyNumberFormat="1" applyFont="1" applyFill="1" applyAlignment="1">
      <alignment horizontal="right"/>
    </xf>
    <xf numFmtId="3" fontId="1" fillId="0" borderId="0" xfId="3" applyNumberFormat="1" applyFont="1" applyFill="1" applyAlignment="1">
      <alignment horizontal="center" vertical="center"/>
    </xf>
    <xf numFmtId="177" fontId="3" fillId="0" borderId="0" xfId="1" applyNumberFormat="1" applyFont="1" applyFill="1" applyBorder="1" applyAlignment="1">
      <alignment horizontal="right" vertical="center"/>
    </xf>
    <xf numFmtId="3" fontId="1" fillId="0" borderId="0" xfId="3" applyNumberFormat="1" applyFont="1" applyFill="1" applyBorder="1" applyAlignment="1">
      <alignment horizontal="center" vertical="center"/>
    </xf>
    <xf numFmtId="177" fontId="2" fillId="0" borderId="1" xfId="1" applyNumberFormat="1" applyFont="1" applyFill="1" applyBorder="1" applyAlignment="1">
      <alignment horizontal="center" vertical="center"/>
    </xf>
    <xf numFmtId="0" fontId="1" fillId="0" borderId="1" xfId="53" applyFont="1" applyBorder="1" applyAlignment="1">
      <alignment vertical="center" wrapText="1"/>
    </xf>
    <xf numFmtId="9" fontId="1" fillId="0" borderId="0" xfId="0" applyNumberFormat="1" applyFont="1"/>
    <xf numFmtId="177" fontId="1" fillId="0" borderId="1" xfId="0" applyNumberFormat="1" applyFont="1" applyBorder="1" applyAlignment="1">
      <alignment horizontal="right" vertical="center" wrapText="1"/>
    </xf>
    <xf numFmtId="0" fontId="1" fillId="0" borderId="0" xfId="0" applyFont="1" applyAlignment="1">
      <alignment horizontal="left" wrapText="1"/>
    </xf>
    <xf numFmtId="0" fontId="1" fillId="0" borderId="0" xfId="0" applyFont="1" applyAlignment="1">
      <alignment horizontal="right"/>
    </xf>
    <xf numFmtId="0" fontId="2" fillId="0" borderId="4" xfId="0" applyFont="1" applyBorder="1" applyAlignment="1">
      <alignment vertical="center" wrapText="1"/>
    </xf>
    <xf numFmtId="9" fontId="1" fillId="0" borderId="0" xfId="0" applyNumberFormat="1" applyFont="1" applyAlignment="1">
      <alignment horizontal="center" vertical="center"/>
    </xf>
    <xf numFmtId="4" fontId="1" fillId="0" borderId="0" xfId="0" applyNumberFormat="1" applyFont="1"/>
    <xf numFmtId="0" fontId="1" fillId="0" borderId="0" xfId="0" applyFont="1" applyAlignment="1">
      <alignment horizontal="left" vertical="top"/>
    </xf>
    <xf numFmtId="0" fontId="2" fillId="0" borderId="3" xfId="53" applyFont="1" applyBorder="1" applyAlignment="1">
      <alignment horizontal="left" vertical="center" wrapText="1"/>
    </xf>
    <xf numFmtId="0" fontId="1" fillId="0" borderId="1" xfId="0" applyFont="1" applyBorder="1" applyAlignment="1">
      <alignment horizontal="left"/>
    </xf>
    <xf numFmtId="3" fontId="1" fillId="0" borderId="1" xfId="51" applyNumberFormat="1" applyFont="1" applyBorder="1" applyAlignment="1">
      <alignment horizontal="left" vertical="center" wrapText="1"/>
    </xf>
    <xf numFmtId="0" fontId="1" fillId="0" borderId="1" xfId="51" applyFont="1" applyBorder="1" applyAlignment="1">
      <alignment horizontal="left" vertical="center" wrapText="1"/>
    </xf>
    <xf numFmtId="0" fontId="2" fillId="0" borderId="4" xfId="53" applyFont="1" applyBorder="1" applyAlignment="1">
      <alignment vertical="center"/>
    </xf>
    <xf numFmtId="0" fontId="1" fillId="0" borderId="0" xfId="0" applyFont="1" applyAlignment="1">
      <alignment horizontal="right" vertical="center" wrapText="1"/>
    </xf>
    <xf numFmtId="0" fontId="3" fillId="0" borderId="0" xfId="0" applyFont="1"/>
    <xf numFmtId="0" fontId="2" fillId="0" borderId="0" xfId="0" applyFont="1"/>
    <xf numFmtId="179" fontId="1" fillId="0" borderId="1" xfId="0" applyNumberFormat="1" applyFont="1" applyBorder="1" applyAlignment="1">
      <alignment horizontal="right" vertical="center" wrapText="1"/>
    </xf>
    <xf numFmtId="0" fontId="1" fillId="0" borderId="1" xfId="0" applyFont="1" applyBorder="1" applyAlignment="1">
      <alignment horizontal="center"/>
    </xf>
    <xf numFmtId="178" fontId="1" fillId="0" borderId="1" xfId="1" applyNumberFormat="1" applyFont="1" applyFill="1" applyBorder="1" applyAlignment="1">
      <alignment horizontal="right" vertical="center"/>
    </xf>
    <xf numFmtId="9" fontId="1" fillId="0" borderId="0" xfId="3" applyFont="1" applyFill="1" applyAlignment="1">
      <alignment horizontal="left" vertical="center"/>
    </xf>
    <xf numFmtId="0" fontId="3" fillId="0" borderId="1" xfId="0" applyFont="1" applyBorder="1" applyAlignment="1">
      <alignment horizontal="left" vertical="center" wrapText="1"/>
    </xf>
    <xf numFmtId="9" fontId="3" fillId="0" borderId="0" xfId="3" applyFont="1" applyFill="1" applyAlignment="1">
      <alignment horizontal="left" vertical="center"/>
    </xf>
    <xf numFmtId="0" fontId="3" fillId="0" borderId="1" xfId="0" applyFont="1" applyBorder="1" applyAlignment="1">
      <alignment horizontal="left" vertical="center"/>
    </xf>
    <xf numFmtId="0" fontId="1" fillId="0" borderId="1" xfId="0" applyFont="1" applyBorder="1" applyAlignment="1">
      <alignment wrapText="1"/>
    </xf>
    <xf numFmtId="0" fontId="1" fillId="0" borderId="3" xfId="0" applyFont="1" applyBorder="1" applyAlignment="1">
      <alignment wrapText="1"/>
    </xf>
    <xf numFmtId="0" fontId="1" fillId="0" borderId="3" xfId="0" applyFont="1" applyBorder="1" applyAlignment="1">
      <alignment horizontal="left"/>
    </xf>
    <xf numFmtId="0" fontId="1" fillId="0" borderId="2" xfId="0" applyFont="1" applyBorder="1" applyAlignment="1">
      <alignment wrapText="1"/>
    </xf>
    <xf numFmtId="0" fontId="1" fillId="0" borderId="2" xfId="0" applyFont="1" applyBorder="1" applyAlignment="1">
      <alignment horizontal="left"/>
    </xf>
    <xf numFmtId="0" fontId="1" fillId="0" borderId="0" xfId="0" applyFont="1" applyAlignment="1">
      <alignment horizontal="center"/>
    </xf>
    <xf numFmtId="9" fontId="1" fillId="0" borderId="0" xfId="0" applyNumberFormat="1" applyFont="1" applyAlignment="1">
      <alignment horizontal="center"/>
    </xf>
    <xf numFmtId="0" fontId="2" fillId="0" borderId="0" xfId="0" applyFont="1" applyAlignment="1">
      <alignment horizontal="center" vertical="center"/>
    </xf>
    <xf numFmtId="9" fontId="2" fillId="0" borderId="0" xfId="3" applyFont="1" applyFill="1" applyAlignment="1">
      <alignment horizontal="center" vertical="center"/>
    </xf>
    <xf numFmtId="0" fontId="1" fillId="0" borderId="1" xfId="0" applyFont="1" applyBorder="1" applyAlignment="1">
      <alignment horizontal="right" vertical="center" wrapText="1"/>
    </xf>
    <xf numFmtId="177" fontId="2" fillId="0" borderId="1" xfId="1" applyNumberFormat="1" applyFont="1" applyFill="1" applyBorder="1" applyAlignment="1">
      <alignment vertical="center"/>
    </xf>
    <xf numFmtId="0" fontId="2" fillId="0" borderId="1" xfId="0" applyFont="1" applyBorder="1" applyAlignment="1">
      <alignment horizontal="left"/>
    </xf>
    <xf numFmtId="0" fontId="1" fillId="0" borderId="3" xfId="0" applyFont="1" applyBorder="1"/>
    <xf numFmtId="0" fontId="1" fillId="0" borderId="2" xfId="0" applyFont="1" applyBorder="1"/>
    <xf numFmtId="3" fontId="1" fillId="0" borderId="1" xfId="1" applyNumberFormat="1" applyFont="1" applyFill="1" applyBorder="1" applyAlignment="1">
      <alignment horizontal="center" vertical="center" wrapText="1"/>
    </xf>
    <xf numFmtId="3" fontId="1" fillId="0" borderId="0" xfId="1" applyNumberFormat="1" applyFont="1" applyFill="1" applyBorder="1" applyAlignment="1">
      <alignment horizontal="center" vertical="center" wrapText="1"/>
    </xf>
    <xf numFmtId="3" fontId="1" fillId="0" borderId="0" xfId="0" applyNumberFormat="1" applyFont="1" applyAlignment="1">
      <alignment vertical="center"/>
    </xf>
    <xf numFmtId="3" fontId="2" fillId="0" borderId="1" xfId="51" applyNumberFormat="1" applyFont="1" applyBorder="1" applyAlignment="1">
      <alignment horizontal="center" vertical="center" wrapText="1"/>
    </xf>
    <xf numFmtId="3" fontId="1" fillId="0" borderId="1" xfId="1" applyNumberFormat="1" applyFont="1" applyFill="1" applyBorder="1" applyAlignment="1">
      <alignment vertical="center"/>
    </xf>
    <xf numFmtId="178" fontId="1" fillId="0" borderId="0" xfId="0" applyNumberFormat="1" applyFont="1" applyAlignment="1">
      <alignment vertical="center"/>
    </xf>
    <xf numFmtId="0" fontId="2" fillId="0" borderId="1" xfId="51" applyFont="1" applyBorder="1" applyAlignment="1">
      <alignment horizontal="left" vertical="center"/>
    </xf>
    <xf numFmtId="9" fontId="2" fillId="0" borderId="0" xfId="0" applyNumberFormat="1" applyFont="1" applyAlignment="1">
      <alignment vertical="center"/>
    </xf>
    <xf numFmtId="3" fontId="1" fillId="0" borderId="1" xfId="0" applyNumberFormat="1" applyFont="1" applyBorder="1" applyAlignment="1">
      <alignment vertical="center"/>
    </xf>
    <xf numFmtId="177" fontId="1" fillId="0" borderId="1" xfId="1" applyNumberFormat="1" applyFont="1" applyFill="1" applyBorder="1" applyAlignment="1">
      <alignment vertical="center"/>
    </xf>
    <xf numFmtId="0" fontId="1" fillId="0" borderId="0" xfId="58" applyFont="1" applyAlignment="1">
      <alignment horizontal="center" vertical="center"/>
    </xf>
    <xf numFmtId="0" fontId="1" fillId="0" borderId="0" xfId="58" applyFont="1"/>
    <xf numFmtId="0" fontId="1" fillId="0" borderId="0" xfId="58" applyFont="1" applyAlignment="1">
      <alignment horizontal="left"/>
    </xf>
    <xf numFmtId="0" fontId="2" fillId="0" borderId="0" xfId="59" applyFont="1" applyAlignment="1">
      <alignment vertical="center"/>
    </xf>
    <xf numFmtId="0" fontId="2" fillId="0" borderId="0" xfId="59" applyFont="1" applyAlignment="1">
      <alignment horizontal="left" vertical="center"/>
    </xf>
    <xf numFmtId="0" fontId="3" fillId="0" borderId="0" xfId="58" applyFont="1" applyAlignment="1">
      <alignment horizontal="right" vertical="center" wrapText="1"/>
    </xf>
    <xf numFmtId="0" fontId="2" fillId="0" borderId="1" xfId="58" applyFont="1" applyBorder="1" applyAlignment="1">
      <alignment horizontal="center" vertical="center" wrapText="1"/>
    </xf>
    <xf numFmtId="0" fontId="2" fillId="0" borderId="1" xfId="58" applyFont="1" applyBorder="1" applyAlignment="1">
      <alignment vertical="center" wrapText="1"/>
    </xf>
    <xf numFmtId="3" fontId="2" fillId="0" borderId="1" xfId="58" applyNumberFormat="1" applyFont="1" applyBorder="1" applyAlignment="1">
      <alignment horizontal="center" vertical="center" wrapText="1"/>
    </xf>
    <xf numFmtId="0" fontId="1" fillId="0" borderId="1" xfId="58" applyFont="1" applyBorder="1" applyAlignment="1">
      <alignment horizontal="left" vertical="center" wrapText="1"/>
    </xf>
    <xf numFmtId="0" fontId="2" fillId="0" borderId="0" xfId="53" applyFont="1" applyAlignment="1">
      <alignment vertical="center"/>
    </xf>
    <xf numFmtId="0" fontId="1" fillId="0" borderId="1" xfId="58" applyFont="1" applyBorder="1" applyAlignment="1">
      <alignment horizontal="center" vertical="center" wrapText="1"/>
    </xf>
    <xf numFmtId="0" fontId="1" fillId="0" borderId="1" xfId="58" applyFont="1" applyBorder="1" applyAlignment="1">
      <alignment vertical="center" wrapText="1"/>
    </xf>
    <xf numFmtId="3" fontId="1" fillId="0" borderId="1" xfId="58" applyNumberFormat="1" applyFont="1" applyBorder="1" applyAlignment="1">
      <alignment horizontal="right" vertical="center" wrapText="1"/>
    </xf>
    <xf numFmtId="9" fontId="1" fillId="0" borderId="0" xfId="58" applyNumberFormat="1" applyFont="1"/>
    <xf numFmtId="0" fontId="1" fillId="0" borderId="3" xfId="58" applyFont="1" applyBorder="1" applyAlignment="1">
      <alignment vertical="center" wrapText="1"/>
    </xf>
    <xf numFmtId="0" fontId="1" fillId="0" borderId="3" xfId="58" applyFont="1" applyBorder="1" applyAlignment="1">
      <alignment horizontal="left" vertical="center" wrapText="1"/>
    </xf>
    <xf numFmtId="0" fontId="1" fillId="0" borderId="2" xfId="58" applyFont="1" applyBorder="1" applyAlignment="1">
      <alignment vertical="center" wrapText="1"/>
    </xf>
    <xf numFmtId="0" fontId="1" fillId="0" borderId="2" xfId="58" applyFont="1" applyBorder="1" applyAlignment="1">
      <alignment horizontal="left" vertical="center" wrapText="1"/>
    </xf>
    <xf numFmtId="0" fontId="1" fillId="0" borderId="0" xfId="58" applyFont="1" applyAlignment="1">
      <alignment vertical="center" wrapText="1"/>
    </xf>
    <xf numFmtId="0" fontId="1" fillId="0" borderId="0" xfId="58" applyFont="1" applyAlignment="1">
      <alignment horizontal="left" vertical="center" wrapText="1"/>
    </xf>
    <xf numFmtId="0" fontId="1" fillId="0" borderId="0" xfId="58" applyFont="1" applyAlignment="1">
      <alignment horizontal="center" vertical="center" wrapText="1"/>
    </xf>
    <xf numFmtId="4" fontId="1" fillId="0" borderId="0" xfId="0" applyNumberFormat="1" applyFont="1" applyAlignment="1">
      <alignment horizontal="center" vertical="center"/>
    </xf>
    <xf numFmtId="0" fontId="1" fillId="0" borderId="1" xfId="0" applyFont="1" applyBorder="1" applyAlignment="1">
      <alignment horizontal="left" wrapText="1"/>
    </xf>
    <xf numFmtId="3" fontId="1" fillId="0" borderId="1" xfId="0" applyNumberFormat="1" applyFont="1" applyBorder="1" applyAlignment="1">
      <alignment horizontal="left" vertical="center" wrapText="1"/>
    </xf>
    <xf numFmtId="0" fontId="1" fillId="0" borderId="0" xfId="57" applyFont="1" applyAlignment="1">
      <alignment vertical="center"/>
    </xf>
    <xf numFmtId="0" fontId="2" fillId="0" borderId="1" xfId="56" applyFont="1" applyBorder="1" applyAlignment="1">
      <alignment horizontal="left" vertical="center"/>
    </xf>
    <xf numFmtId="0" fontId="1" fillId="0" borderId="0" xfId="56" applyFont="1" applyAlignment="1">
      <alignment vertical="center"/>
    </xf>
    <xf numFmtId="0" fontId="1" fillId="0" borderId="0" xfId="56" applyFont="1" applyAlignment="1">
      <alignment horizontal="left" vertical="center"/>
    </xf>
    <xf numFmtId="0" fontId="2" fillId="0" borderId="0" xfId="51" applyFont="1" applyAlignment="1">
      <alignment vertical="center"/>
    </xf>
    <xf numFmtId="0" fontId="2" fillId="0" borderId="0" xfId="51" applyFont="1" applyAlignment="1">
      <alignment horizontal="left" vertical="center"/>
    </xf>
    <xf numFmtId="0" fontId="3" fillId="0" borderId="0" xfId="56" applyFont="1" applyAlignment="1">
      <alignment horizontal="right" vertical="center"/>
    </xf>
    <xf numFmtId="0" fontId="2" fillId="0" borderId="1" xfId="56" applyFont="1" applyBorder="1" applyAlignment="1">
      <alignment horizontal="center" vertical="center" wrapText="1"/>
    </xf>
    <xf numFmtId="0" fontId="2" fillId="0" borderId="1" xfId="56" applyFont="1" applyBorder="1" applyAlignment="1">
      <alignment horizontal="center" vertical="center"/>
    </xf>
    <xf numFmtId="0" fontId="2" fillId="0" borderId="1" xfId="56" applyFont="1" applyBorder="1" applyAlignment="1">
      <alignment vertical="center" wrapText="1"/>
    </xf>
    <xf numFmtId="0" fontId="2" fillId="0" borderId="1" xfId="56" applyFont="1" applyBorder="1" applyAlignment="1">
      <alignment vertical="center"/>
    </xf>
    <xf numFmtId="0" fontId="2" fillId="0" borderId="1" xfId="56" applyFont="1" applyBorder="1" applyAlignment="1">
      <alignment horizontal="left" vertical="center" wrapText="1"/>
    </xf>
    <xf numFmtId="0" fontId="1" fillId="0" borderId="1" xfId="56" applyFont="1" applyBorder="1" applyAlignment="1">
      <alignment horizontal="center" vertical="center" wrapText="1"/>
    </xf>
    <xf numFmtId="0" fontId="1" fillId="0" borderId="1" xfId="56" applyFont="1" applyBorder="1" applyAlignment="1">
      <alignment horizontal="left" vertical="center" wrapText="1"/>
    </xf>
    <xf numFmtId="0" fontId="1" fillId="0" borderId="1" xfId="56" applyFont="1" applyBorder="1" applyAlignment="1">
      <alignment vertical="center" wrapText="1"/>
    </xf>
    <xf numFmtId="0" fontId="1" fillId="0" borderId="3" xfId="56" applyFont="1" applyBorder="1" applyAlignment="1">
      <alignment horizontal="left" vertical="center" wrapText="1"/>
    </xf>
    <xf numFmtId="0" fontId="1" fillId="0" borderId="2" xfId="56" applyFont="1" applyBorder="1" applyAlignment="1">
      <alignment horizontal="left" vertical="center" wrapText="1"/>
    </xf>
    <xf numFmtId="177" fontId="1" fillId="0" borderId="0" xfId="1" applyNumberFormat="1" applyFont="1" applyFill="1" applyBorder="1" applyAlignment="1">
      <alignment horizontal="right" vertical="center"/>
    </xf>
    <xf numFmtId="9" fontId="1" fillId="0" borderId="1" xfId="3" applyFont="1" applyFill="1" applyBorder="1" applyAlignment="1">
      <alignment horizontal="center" vertical="center" wrapText="1"/>
    </xf>
    <xf numFmtId="177" fontId="1" fillId="0" borderId="0" xfId="1" applyNumberFormat="1" applyFont="1" applyFill="1"/>
    <xf numFmtId="0" fontId="2" fillId="0" borderId="0" xfId="0" applyFont="1" applyAlignment="1">
      <alignment horizontal="center" vertical="center" wrapText="1"/>
    </xf>
    <xf numFmtId="9" fontId="2" fillId="0" borderId="0" xfId="0" applyNumberFormat="1" applyFont="1" applyAlignment="1">
      <alignment horizontal="center" vertical="center"/>
    </xf>
    <xf numFmtId="9" fontId="2" fillId="0" borderId="0" xfId="0" applyNumberFormat="1" applyFont="1" applyAlignment="1">
      <alignment horizontal="center" vertical="center" wrapText="1"/>
    </xf>
    <xf numFmtId="0" fontId="2" fillId="0" borderId="0" xfId="0" applyFont="1" applyAlignment="1">
      <alignment horizontal="center"/>
    </xf>
    <xf numFmtId="9" fontId="2" fillId="0" borderId="0" xfId="0" applyNumberFormat="1" applyFont="1" applyAlignment="1">
      <alignment horizontal="center"/>
    </xf>
    <xf numFmtId="9" fontId="2" fillId="0" borderId="0" xfId="3" applyFont="1" applyFill="1" applyBorder="1" applyAlignment="1">
      <alignment horizontal="center" vertical="center"/>
    </xf>
    <xf numFmtId="0" fontId="2" fillId="0" borderId="5" xfId="0" applyFont="1" applyBorder="1" applyAlignment="1">
      <alignment vertical="center"/>
    </xf>
    <xf numFmtId="0" fontId="2" fillId="0" borderId="6" xfId="0" applyFont="1" applyBorder="1" applyAlignment="1">
      <alignment vertical="center" wrapText="1"/>
    </xf>
    <xf numFmtId="0" fontId="2" fillId="0" borderId="4" xfId="0" applyFont="1" applyBorder="1" applyAlignment="1">
      <alignment horizontal="left" vertical="center" wrapText="1"/>
    </xf>
    <xf numFmtId="177" fontId="1" fillId="0" borderId="0" xfId="1" applyNumberFormat="1" applyFont="1" applyFill="1" applyAlignment="1">
      <alignment vertical="center" wrapText="1"/>
    </xf>
    <xf numFmtId="177" fontId="1" fillId="0" borderId="0" xfId="1" applyNumberFormat="1" applyFont="1" applyFill="1" applyAlignment="1">
      <alignment vertical="center"/>
    </xf>
    <xf numFmtId="177" fontId="1" fillId="0" borderId="0" xfId="1" applyNumberFormat="1" applyFont="1" applyFill="1" applyBorder="1" applyAlignment="1">
      <alignment vertical="center"/>
    </xf>
    <xf numFmtId="0" fontId="1" fillId="0" borderId="3" xfId="0" applyFont="1" applyBorder="1" applyAlignment="1">
      <alignment horizontal="left" vertical="center"/>
    </xf>
    <xf numFmtId="0" fontId="1" fillId="0" borderId="2" xfId="0" applyFont="1" applyBorder="1" applyAlignment="1">
      <alignment horizontal="left" vertical="center"/>
    </xf>
    <xf numFmtId="43" fontId="2" fillId="0" borderId="1" xfId="1" applyFont="1" applyFill="1" applyBorder="1" applyAlignment="1">
      <alignment horizontal="left" vertical="center"/>
    </xf>
    <xf numFmtId="3" fontId="1" fillId="0" borderId="1" xfId="51" applyNumberFormat="1" applyFont="1" applyBorder="1" applyAlignment="1">
      <alignment horizontal="left" vertical="center"/>
    </xf>
    <xf numFmtId="180" fontId="1" fillId="0" borderId="0" xfId="0" applyNumberFormat="1" applyFont="1" applyAlignment="1">
      <alignment horizontal="right" vertical="center" wrapText="1"/>
    </xf>
    <xf numFmtId="0" fontId="1" fillId="0" borderId="7" xfId="55" applyFont="1" applyBorder="1" applyAlignment="1">
      <alignment vertical="center"/>
    </xf>
    <xf numFmtId="0" fontId="1" fillId="0" borderId="0" xfId="55" applyFont="1" applyAlignment="1">
      <alignment vertical="center"/>
    </xf>
    <xf numFmtId="0" fontId="1" fillId="0" borderId="0" xfId="55" applyFont="1" applyAlignment="1">
      <alignment horizontal="left" vertical="center"/>
    </xf>
    <xf numFmtId="0" fontId="1" fillId="0" borderId="0" xfId="55" applyFont="1" applyAlignment="1">
      <alignment horizontal="right" vertical="center"/>
    </xf>
    <xf numFmtId="0" fontId="1" fillId="0" borderId="0" xfId="55" applyFont="1"/>
    <xf numFmtId="0" fontId="3" fillId="0" borderId="0" xfId="55" applyFont="1" applyAlignment="1">
      <alignment horizontal="right" vertical="center" wrapText="1"/>
    </xf>
    <xf numFmtId="0" fontId="2" fillId="0" borderId="1" xfId="55" applyFont="1" applyBorder="1" applyAlignment="1">
      <alignment horizontal="center" vertical="center" wrapText="1"/>
    </xf>
    <xf numFmtId="0" fontId="2" fillId="0" borderId="1" xfId="55" applyFont="1" applyBorder="1" applyAlignment="1">
      <alignment horizontal="center" vertical="center"/>
    </xf>
    <xf numFmtId="0" fontId="2" fillId="0" borderId="1" xfId="55" applyFont="1" applyBorder="1" applyAlignment="1">
      <alignment vertical="center" wrapText="1"/>
    </xf>
    <xf numFmtId="0" fontId="2" fillId="0" borderId="1" xfId="55" applyFont="1" applyBorder="1" applyAlignment="1">
      <alignment vertical="center"/>
    </xf>
    <xf numFmtId="3" fontId="2" fillId="0" borderId="1" xfId="55" applyNumberFormat="1" applyFont="1" applyBorder="1" applyAlignment="1">
      <alignment horizontal="center" vertical="center"/>
    </xf>
    <xf numFmtId="0" fontId="2" fillId="0" borderId="1" xfId="55" applyFont="1" applyBorder="1" applyAlignment="1">
      <alignment horizontal="left" vertical="center"/>
    </xf>
    <xf numFmtId="3" fontId="2" fillId="0" borderId="1" xfId="55" applyNumberFormat="1" applyFont="1" applyBorder="1" applyAlignment="1">
      <alignment horizontal="right" vertical="center" wrapText="1"/>
    </xf>
    <xf numFmtId="3" fontId="2" fillId="0" borderId="1" xfId="55" applyNumberFormat="1" applyFont="1" applyBorder="1" applyAlignment="1">
      <alignment horizontal="center" vertical="center" wrapText="1"/>
    </xf>
    <xf numFmtId="0" fontId="1" fillId="0" borderId="1" xfId="55" applyFont="1" applyBorder="1" applyAlignment="1">
      <alignment horizontal="center" vertical="center" wrapText="1"/>
    </xf>
    <xf numFmtId="0" fontId="1" fillId="0" borderId="1" xfId="55" applyFont="1" applyBorder="1" applyAlignment="1">
      <alignment vertical="center" wrapText="1"/>
    </xf>
    <xf numFmtId="0" fontId="1" fillId="0" borderId="1" xfId="55" applyFont="1" applyBorder="1" applyAlignment="1">
      <alignment horizontal="left" vertical="center" wrapText="1"/>
    </xf>
    <xf numFmtId="3" fontId="1" fillId="0" borderId="1" xfId="55" applyNumberFormat="1" applyFont="1" applyBorder="1" applyAlignment="1">
      <alignment horizontal="right" vertical="center"/>
    </xf>
    <xf numFmtId="3" fontId="1" fillId="0" borderId="1" xfId="55" applyNumberFormat="1" applyFont="1" applyBorder="1" applyAlignment="1">
      <alignment horizontal="right" vertical="center" wrapText="1"/>
    </xf>
    <xf numFmtId="0" fontId="1" fillId="0" borderId="1" xfId="55" applyFont="1" applyBorder="1" applyAlignment="1">
      <alignment vertical="center"/>
    </xf>
    <xf numFmtId="0" fontId="1" fillId="0" borderId="1" xfId="55" applyFont="1" applyBorder="1" applyAlignment="1">
      <alignment horizontal="left" vertical="center"/>
    </xf>
    <xf numFmtId="0" fontId="1" fillId="0" borderId="3" xfId="55" applyFont="1" applyBorder="1" applyAlignment="1">
      <alignment vertical="center" wrapText="1"/>
    </xf>
    <xf numFmtId="0" fontId="1" fillId="0" borderId="3" xfId="55" applyFont="1" applyBorder="1" applyAlignment="1">
      <alignment horizontal="left" vertical="center" wrapText="1"/>
    </xf>
    <xf numFmtId="0" fontId="1" fillId="0" borderId="2" xfId="55" applyFont="1" applyBorder="1" applyAlignment="1">
      <alignment vertical="center" wrapText="1"/>
    </xf>
    <xf numFmtId="0" fontId="1" fillId="0" borderId="2" xfId="55" applyFont="1" applyBorder="1" applyAlignment="1">
      <alignment horizontal="left" vertical="center" wrapText="1"/>
    </xf>
    <xf numFmtId="0" fontId="1" fillId="0" borderId="8" xfId="55" applyFont="1" applyBorder="1" applyAlignment="1">
      <alignment horizontal="center" vertical="center" wrapText="1"/>
    </xf>
    <xf numFmtId="0" fontId="1" fillId="0" borderId="9" xfId="55" applyFont="1" applyBorder="1" applyAlignment="1">
      <alignment vertical="center" wrapText="1"/>
    </xf>
    <xf numFmtId="0" fontId="1" fillId="0" borderId="9" xfId="55" applyFont="1" applyBorder="1" applyAlignment="1">
      <alignment horizontal="left" vertical="center" wrapText="1"/>
    </xf>
    <xf numFmtId="0" fontId="1" fillId="0" borderId="10" xfId="55" applyFont="1" applyBorder="1" applyAlignment="1">
      <alignment horizontal="left" vertical="center" wrapText="1"/>
    </xf>
    <xf numFmtId="0" fontId="1" fillId="0" borderId="11" xfId="55" applyFont="1" applyBorder="1" applyAlignment="1">
      <alignment horizontal="center" vertical="center" wrapText="1"/>
    </xf>
    <xf numFmtId="0" fontId="1" fillId="0" borderId="4" xfId="55" applyFont="1" applyBorder="1" applyAlignment="1">
      <alignment vertical="center" wrapText="1"/>
    </xf>
    <xf numFmtId="0" fontId="1" fillId="0" borderId="5" xfId="55" applyFont="1" applyBorder="1" applyAlignment="1">
      <alignment horizontal="left" vertical="center" wrapText="1"/>
    </xf>
    <xf numFmtId="0" fontId="1" fillId="0" borderId="10" xfId="55" applyFont="1" applyBorder="1" applyAlignment="1">
      <alignment horizontal="left" vertical="center"/>
    </xf>
    <xf numFmtId="3" fontId="2" fillId="0" borderId="1" xfId="0" applyNumberFormat="1" applyFont="1" applyBorder="1" applyAlignment="1">
      <alignment vertical="center" wrapText="1"/>
    </xf>
    <xf numFmtId="3" fontId="1" fillId="0" borderId="0" xfId="0" applyNumberFormat="1" applyFont="1" applyAlignment="1">
      <alignment vertical="center" wrapText="1"/>
    </xf>
    <xf numFmtId="0" fontId="1" fillId="0" borderId="1" xfId="0" applyFont="1" applyBorder="1" applyAlignment="1">
      <alignment horizontal="justify" vertical="center" wrapText="1"/>
    </xf>
    <xf numFmtId="0" fontId="2" fillId="0" borderId="2" xfId="0" applyFont="1" applyBorder="1" applyAlignment="1">
      <alignment vertical="center"/>
    </xf>
    <xf numFmtId="0" fontId="6" fillId="0" borderId="0" xfId="0" applyFont="1" applyAlignment="1">
      <alignment horizontal="center" vertical="center" wrapText="1"/>
    </xf>
    <xf numFmtId="0" fontId="1" fillId="0" borderId="1" xfId="0" applyFont="1" applyBorder="1" applyAlignment="1" quotePrefix="1">
      <alignment vertical="center" wrapText="1"/>
    </xf>
    <xf numFmtId="0" fontId="1" fillId="0" borderId="1" xfId="0" applyFont="1" applyBorder="1" applyAlignment="1" quotePrefix="1">
      <alignment horizontal="left" vertical="center" wrapText="1"/>
    </xf>
    <xf numFmtId="0" fontId="2" fillId="0" borderId="0" xfId="51" applyFont="1" applyAlignment="1" quotePrefix="1">
      <alignment vertical="center"/>
    </xf>
    <xf numFmtId="0" fontId="2" fillId="0" borderId="1" xfId="0" applyFont="1" applyBorder="1" applyAlignment="1" quotePrefix="1">
      <alignment vertical="center"/>
    </xf>
  </cellXfs>
  <cellStyles count="6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1" xfId="49"/>
    <cellStyle name="Comma 2" xfId="50"/>
    <cellStyle name="Normal 2" xfId="51"/>
    <cellStyle name="Normal 3" xfId="52"/>
    <cellStyle name="Normal 4" xfId="53"/>
    <cellStyle name="Normal 5" xfId="54"/>
    <cellStyle name="Normal 6" xfId="55"/>
    <cellStyle name="Normal 6 2" xfId="56"/>
    <cellStyle name="Normal 6 2 2" xfId="57"/>
    <cellStyle name="Normal 7" xfId="58"/>
    <cellStyle name="Normal 8" xfId="5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3" Type="http://schemas.openxmlformats.org/officeDocument/2006/relationships/styles" Target="styles.xml"/><Relationship Id="rId42" Type="http://schemas.openxmlformats.org/officeDocument/2006/relationships/sharedStrings" Target="sharedStrings.xml"/><Relationship Id="rId41" Type="http://schemas.openxmlformats.org/officeDocument/2006/relationships/theme" Target="theme/theme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C00000"/>
  </sheetPr>
  <dimension ref="A1:J859"/>
  <sheetViews>
    <sheetView showGridLines="0" tabSelected="1" view="pageBreakPreview" zoomScale="90" zoomScaleNormal="90" workbookViewId="0">
      <selection activeCell="A3" sqref="A3:H3"/>
    </sheetView>
  </sheetViews>
  <sheetFormatPr defaultColWidth="9.12962962962963" defaultRowHeight="13.8"/>
  <cols>
    <col min="1" max="1" width="7.62962962962963" style="31" customWidth="1"/>
    <col min="2" max="2" width="39.5" style="27" customWidth="1"/>
    <col min="3" max="4" width="30.75" style="32" customWidth="1"/>
    <col min="5" max="8" width="13.8796296296296" style="45" customWidth="1"/>
    <col min="9" max="9" width="18.5" style="31" customWidth="1"/>
    <col min="10" max="16384" width="9.12962962962963" style="31"/>
  </cols>
  <sheetData>
    <row r="1" spans="1:8">
      <c r="A1" s="103" t="s">
        <v>0</v>
      </c>
      <c r="B1" s="103"/>
      <c r="C1" s="103"/>
      <c r="D1" s="103"/>
      <c r="E1" s="103"/>
      <c r="F1" s="103"/>
      <c r="G1" s="103"/>
      <c r="H1" s="103"/>
    </row>
    <row r="2" spans="1:8">
      <c r="A2" s="103" t="s">
        <v>1</v>
      </c>
      <c r="B2" s="103"/>
      <c r="C2" s="103"/>
      <c r="D2" s="103"/>
      <c r="E2" s="103"/>
      <c r="F2" s="103"/>
      <c r="G2" s="103"/>
      <c r="H2" s="103"/>
    </row>
    <row r="3" spans="1:8">
      <c r="A3" s="219" t="s">
        <v>2</v>
      </c>
      <c r="B3" s="219"/>
      <c r="C3" s="219"/>
      <c r="D3" s="219"/>
      <c r="E3" s="219"/>
      <c r="F3" s="219"/>
      <c r="G3" s="219"/>
      <c r="H3" s="219"/>
    </row>
    <row r="4" spans="1:8">
      <c r="A4" s="6" t="s">
        <v>3</v>
      </c>
      <c r="B4" s="6"/>
      <c r="C4" s="103"/>
      <c r="D4" s="103"/>
      <c r="E4" s="6"/>
      <c r="F4" s="6"/>
      <c r="G4" s="6"/>
      <c r="H4" s="6"/>
    </row>
    <row r="5" spans="1:8">
      <c r="A5" s="8" t="s">
        <v>4</v>
      </c>
      <c r="B5" s="8"/>
      <c r="C5" s="8"/>
      <c r="D5" s="8"/>
      <c r="E5" s="34"/>
      <c r="F5" s="34"/>
      <c r="G5" s="34"/>
      <c r="H5" s="34"/>
    </row>
    <row r="6" spans="1:8">
      <c r="A6" s="9" t="s">
        <v>5</v>
      </c>
      <c r="B6" s="9" t="s">
        <v>6</v>
      </c>
      <c r="C6" s="9" t="s">
        <v>7</v>
      </c>
      <c r="D6" s="9"/>
      <c r="E6" s="10" t="s">
        <v>8</v>
      </c>
      <c r="F6" s="10"/>
      <c r="G6" s="10"/>
      <c r="H6" s="10"/>
    </row>
    <row r="7" spans="1:8">
      <c r="A7" s="9"/>
      <c r="B7" s="9"/>
      <c r="C7" s="9" t="s">
        <v>9</v>
      </c>
      <c r="D7" s="9" t="s">
        <v>10</v>
      </c>
      <c r="E7" s="10" t="s">
        <v>11</v>
      </c>
      <c r="F7" s="10" t="s">
        <v>12</v>
      </c>
      <c r="G7" s="10" t="s">
        <v>13</v>
      </c>
      <c r="H7" s="10" t="s">
        <v>14</v>
      </c>
    </row>
    <row r="8" spans="1:8">
      <c r="A8" s="39" t="s">
        <v>15</v>
      </c>
      <c r="B8" s="39"/>
      <c r="C8" s="15"/>
      <c r="D8" s="15"/>
      <c r="E8" s="11" t="s">
        <v>16</v>
      </c>
      <c r="F8" s="11" t="s">
        <v>16</v>
      </c>
      <c r="G8" s="11" t="s">
        <v>16</v>
      </c>
      <c r="H8" s="11" t="s">
        <v>16</v>
      </c>
    </row>
    <row r="9" spans="1:8">
      <c r="A9" s="36">
        <v>1</v>
      </c>
      <c r="B9" s="20" t="s">
        <v>17</v>
      </c>
      <c r="C9" s="18" t="s">
        <v>18</v>
      </c>
      <c r="D9" s="18" t="s">
        <v>19</v>
      </c>
      <c r="E9" s="23">
        <v>19450000</v>
      </c>
      <c r="F9" s="23">
        <v>10900000</v>
      </c>
      <c r="G9" s="23">
        <v>7200000</v>
      </c>
      <c r="H9" s="23">
        <v>4650000</v>
      </c>
    </row>
    <row r="10" spans="1:8">
      <c r="A10" s="36"/>
      <c r="B10" s="20" t="s">
        <v>17</v>
      </c>
      <c r="C10" s="18" t="s">
        <v>19</v>
      </c>
      <c r="D10" s="18" t="s">
        <v>20</v>
      </c>
      <c r="E10" s="23">
        <v>12850000</v>
      </c>
      <c r="F10" s="23">
        <v>7200000</v>
      </c>
      <c r="G10" s="23">
        <v>4750000</v>
      </c>
      <c r="H10" s="23">
        <v>3100000</v>
      </c>
    </row>
    <row r="11" spans="1:8">
      <c r="A11" s="36"/>
      <c r="B11" s="20" t="s">
        <v>17</v>
      </c>
      <c r="C11" s="18" t="s">
        <v>20</v>
      </c>
      <c r="D11" s="18" t="s">
        <v>21</v>
      </c>
      <c r="E11" s="23">
        <v>10250000</v>
      </c>
      <c r="F11" s="23">
        <v>5750000</v>
      </c>
      <c r="G11" s="23">
        <v>3800000</v>
      </c>
      <c r="H11" s="23">
        <v>2450000</v>
      </c>
    </row>
    <row r="12" spans="1:8">
      <c r="A12" s="36"/>
      <c r="B12" s="20" t="s">
        <v>22</v>
      </c>
      <c r="C12" s="18" t="s">
        <v>20</v>
      </c>
      <c r="D12" s="18" t="s">
        <v>21</v>
      </c>
      <c r="E12" s="23">
        <v>3800000</v>
      </c>
      <c r="F12" s="23">
        <v>2150000</v>
      </c>
      <c r="G12" s="23">
        <v>1400000</v>
      </c>
      <c r="H12" s="23">
        <v>900000</v>
      </c>
    </row>
    <row r="13" spans="1:8">
      <c r="A13" s="36">
        <v>2</v>
      </c>
      <c r="B13" s="18" t="s">
        <v>23</v>
      </c>
      <c r="C13" s="18" t="s">
        <v>24</v>
      </c>
      <c r="D13" s="83" t="s">
        <v>25</v>
      </c>
      <c r="E13" s="23">
        <v>4200000</v>
      </c>
      <c r="F13" s="23">
        <v>2350000</v>
      </c>
      <c r="G13" s="23">
        <v>1550000</v>
      </c>
      <c r="H13" s="23">
        <v>1000000</v>
      </c>
    </row>
    <row r="14" spans="1:8">
      <c r="A14" s="36">
        <v>3</v>
      </c>
      <c r="B14" s="18" t="s">
        <v>26</v>
      </c>
      <c r="C14" s="18" t="s">
        <v>27</v>
      </c>
      <c r="D14" s="18" t="s">
        <v>17</v>
      </c>
      <c r="E14" s="23">
        <v>9650000</v>
      </c>
      <c r="F14" s="23">
        <v>5400000</v>
      </c>
      <c r="G14" s="23">
        <v>3550000</v>
      </c>
      <c r="H14" s="23">
        <v>2300000</v>
      </c>
    </row>
    <row r="15" spans="1:8">
      <c r="A15" s="36">
        <v>4</v>
      </c>
      <c r="B15" s="18" t="s">
        <v>28</v>
      </c>
      <c r="C15" s="18" t="s">
        <v>29</v>
      </c>
      <c r="D15" s="18" t="s">
        <v>30</v>
      </c>
      <c r="E15" s="23">
        <v>2150000</v>
      </c>
      <c r="F15" s="23">
        <v>1200000</v>
      </c>
      <c r="G15" s="23">
        <v>800000</v>
      </c>
      <c r="H15" s="23">
        <v>500000</v>
      </c>
    </row>
    <row r="16" spans="1:8">
      <c r="A16" s="36">
        <v>5</v>
      </c>
      <c r="B16" s="18" t="s">
        <v>31</v>
      </c>
      <c r="C16" s="18" t="s">
        <v>32</v>
      </c>
      <c r="D16" s="83" t="s">
        <v>33</v>
      </c>
      <c r="E16" s="23">
        <v>5200000</v>
      </c>
      <c r="F16" s="23">
        <v>2900000</v>
      </c>
      <c r="G16" s="23">
        <v>1900000</v>
      </c>
      <c r="H16" s="23">
        <v>1250000</v>
      </c>
    </row>
    <row r="17" spans="1:9">
      <c r="A17" s="36">
        <v>6</v>
      </c>
      <c r="B17" s="18" t="s">
        <v>34</v>
      </c>
      <c r="C17" s="18" t="s">
        <v>35</v>
      </c>
      <c r="D17" s="83" t="s">
        <v>36</v>
      </c>
      <c r="E17" s="23">
        <v>6900000</v>
      </c>
      <c r="F17" s="23">
        <v>3850000</v>
      </c>
      <c r="G17" s="23">
        <v>2550000</v>
      </c>
      <c r="H17" s="23">
        <v>1650000</v>
      </c>
    </row>
    <row r="18" spans="1:9">
      <c r="A18" s="36">
        <v>7</v>
      </c>
      <c r="B18" s="18" t="s">
        <v>37</v>
      </c>
      <c r="C18" s="18" t="s">
        <v>34</v>
      </c>
      <c r="D18" s="83" t="s">
        <v>38</v>
      </c>
      <c r="E18" s="23">
        <v>4200000</v>
      </c>
      <c r="F18" s="23">
        <v>2350000</v>
      </c>
      <c r="G18" s="23">
        <v>1550000</v>
      </c>
      <c r="H18" s="23">
        <v>1000000</v>
      </c>
    </row>
    <row r="19" spans="1:9">
      <c r="A19" s="36">
        <v>8</v>
      </c>
      <c r="B19" s="18" t="s">
        <v>39</v>
      </c>
      <c r="C19" s="18" t="s">
        <v>34</v>
      </c>
      <c r="D19" s="83" t="s">
        <v>38</v>
      </c>
      <c r="E19" s="23">
        <v>4200000</v>
      </c>
      <c r="F19" s="23">
        <v>2350000</v>
      </c>
      <c r="G19" s="23">
        <v>1550000</v>
      </c>
      <c r="H19" s="23">
        <v>1000000</v>
      </c>
    </row>
    <row r="20" spans="1:9">
      <c r="A20" s="36">
        <v>9</v>
      </c>
      <c r="B20" s="18" t="s">
        <v>40</v>
      </c>
      <c r="C20" s="18" t="s">
        <v>41</v>
      </c>
      <c r="D20" s="18" t="s">
        <v>28</v>
      </c>
      <c r="E20" s="23">
        <v>5200000</v>
      </c>
      <c r="F20" s="23">
        <v>2900000</v>
      </c>
      <c r="G20" s="23">
        <v>1900000</v>
      </c>
      <c r="H20" s="23">
        <v>1250000</v>
      </c>
    </row>
    <row r="21" spans="1:9">
      <c r="A21" s="36">
        <v>10</v>
      </c>
      <c r="B21" s="20" t="s">
        <v>42</v>
      </c>
      <c r="C21" s="18" t="s">
        <v>43</v>
      </c>
      <c r="D21" s="18" t="s">
        <v>44</v>
      </c>
      <c r="E21" s="23">
        <v>6900000</v>
      </c>
      <c r="F21" s="23">
        <v>3850000</v>
      </c>
      <c r="G21" s="23">
        <v>2550000</v>
      </c>
      <c r="H21" s="23">
        <v>1650000</v>
      </c>
    </row>
    <row r="22" spans="1:9">
      <c r="A22" s="36"/>
      <c r="B22" s="20" t="s">
        <v>42</v>
      </c>
      <c r="C22" s="18" t="s">
        <v>44</v>
      </c>
      <c r="D22" s="18" t="s">
        <v>45</v>
      </c>
      <c r="E22" s="23">
        <v>5200000</v>
      </c>
      <c r="F22" s="23">
        <v>2900000</v>
      </c>
      <c r="G22" s="23">
        <v>1900000</v>
      </c>
      <c r="H22" s="23">
        <v>1250000</v>
      </c>
    </row>
    <row r="23" ht="27.6" spans="1:9">
      <c r="A23" s="36">
        <v>11</v>
      </c>
      <c r="B23" s="144" t="s">
        <v>46</v>
      </c>
      <c r="C23" s="144" t="s">
        <v>33</v>
      </c>
      <c r="D23" s="144" t="s">
        <v>47</v>
      </c>
      <c r="E23" s="23">
        <v>2150000</v>
      </c>
      <c r="F23" s="23">
        <v>1200000</v>
      </c>
      <c r="G23" s="23">
        <v>800000</v>
      </c>
      <c r="H23" s="23">
        <v>500000</v>
      </c>
      <c r="I23" s="16" t="s">
        <v>48</v>
      </c>
    </row>
    <row r="24" spans="1:9">
      <c r="A24" s="36">
        <v>12</v>
      </c>
      <c r="B24" s="144" t="s">
        <v>49</v>
      </c>
      <c r="C24" s="18"/>
      <c r="D24" s="18"/>
      <c r="E24" s="23">
        <v>6900000</v>
      </c>
      <c r="F24" s="23">
        <v>3850000</v>
      </c>
      <c r="G24" s="23">
        <v>2550000</v>
      </c>
      <c r="H24" s="23">
        <v>1650000</v>
      </c>
      <c r="I24" s="16" t="s">
        <v>50</v>
      </c>
    </row>
    <row r="25" spans="1:9">
      <c r="A25" s="36">
        <v>13</v>
      </c>
      <c r="B25" s="20" t="s">
        <v>27</v>
      </c>
      <c r="C25" s="18" t="s">
        <v>51</v>
      </c>
      <c r="D25" s="18" t="s">
        <v>52</v>
      </c>
      <c r="E25" s="23">
        <v>6900000</v>
      </c>
      <c r="F25" s="23">
        <v>3850000</v>
      </c>
      <c r="G25" s="23">
        <v>2550000</v>
      </c>
      <c r="H25" s="23">
        <v>1650000</v>
      </c>
    </row>
    <row r="26" spans="1:9">
      <c r="A26" s="36"/>
      <c r="B26" s="20" t="s">
        <v>27</v>
      </c>
      <c r="C26" s="18" t="s">
        <v>52</v>
      </c>
      <c r="D26" s="18" t="s">
        <v>21</v>
      </c>
      <c r="E26" s="23">
        <v>3300000</v>
      </c>
      <c r="F26" s="23">
        <v>1850000</v>
      </c>
      <c r="G26" s="23">
        <v>1200000</v>
      </c>
      <c r="H26" s="23">
        <v>800000</v>
      </c>
    </row>
    <row r="27" spans="1:9">
      <c r="A27" s="36">
        <v>14</v>
      </c>
      <c r="B27" s="20" t="s">
        <v>19</v>
      </c>
      <c r="C27" s="18" t="s">
        <v>17</v>
      </c>
      <c r="D27" s="18" t="s">
        <v>53</v>
      </c>
      <c r="E27" s="23">
        <v>12850000</v>
      </c>
      <c r="F27" s="23">
        <v>7200000</v>
      </c>
      <c r="G27" s="23">
        <v>4750000</v>
      </c>
      <c r="H27" s="23">
        <v>3100000</v>
      </c>
    </row>
    <row r="28" spans="1:9">
      <c r="A28" s="36"/>
      <c r="B28" s="20" t="s">
        <v>19</v>
      </c>
      <c r="C28" s="18" t="s">
        <v>53</v>
      </c>
      <c r="D28" s="18" t="s">
        <v>54</v>
      </c>
      <c r="E28" s="23">
        <v>6900000</v>
      </c>
      <c r="F28" s="23">
        <v>3850000</v>
      </c>
      <c r="G28" s="23">
        <v>2550000</v>
      </c>
      <c r="H28" s="23">
        <v>1650000</v>
      </c>
    </row>
    <row r="29" spans="1:9">
      <c r="A29" s="36">
        <v>15</v>
      </c>
      <c r="B29" s="18" t="s">
        <v>55</v>
      </c>
      <c r="C29" s="18" t="s">
        <v>56</v>
      </c>
      <c r="D29" s="83" t="s">
        <v>57</v>
      </c>
      <c r="E29" s="23">
        <v>9650000</v>
      </c>
      <c r="F29" s="23">
        <v>5400000</v>
      </c>
      <c r="G29" s="23">
        <v>3550000</v>
      </c>
      <c r="H29" s="23">
        <v>2300000</v>
      </c>
    </row>
    <row r="30" spans="1:9">
      <c r="A30" s="36">
        <v>16</v>
      </c>
      <c r="B30" s="20" t="s">
        <v>58</v>
      </c>
      <c r="C30" s="18" t="s">
        <v>59</v>
      </c>
      <c r="D30" s="18" t="s">
        <v>25</v>
      </c>
      <c r="E30" s="23">
        <v>12850000</v>
      </c>
      <c r="F30" s="23">
        <v>7200000</v>
      </c>
      <c r="G30" s="23">
        <v>4750000</v>
      </c>
      <c r="H30" s="23">
        <v>3100000</v>
      </c>
    </row>
    <row r="31" spans="1:9">
      <c r="A31" s="36"/>
      <c r="B31" s="20" t="s">
        <v>60</v>
      </c>
      <c r="C31" s="18" t="s">
        <v>25</v>
      </c>
      <c r="D31" s="18" t="s">
        <v>56</v>
      </c>
      <c r="E31" s="23">
        <v>6900000</v>
      </c>
      <c r="F31" s="23">
        <v>3850000</v>
      </c>
      <c r="G31" s="23">
        <v>2550000</v>
      </c>
      <c r="H31" s="23">
        <v>1650000</v>
      </c>
    </row>
    <row r="32" spans="1:9">
      <c r="A32" s="36"/>
      <c r="B32" s="20" t="s">
        <v>61</v>
      </c>
      <c r="C32" s="18" t="s">
        <v>25</v>
      </c>
      <c r="D32" s="18" t="s">
        <v>21</v>
      </c>
      <c r="E32" s="23">
        <v>10250000</v>
      </c>
      <c r="F32" s="23">
        <v>5750000</v>
      </c>
      <c r="G32" s="23">
        <v>3800000</v>
      </c>
      <c r="H32" s="23">
        <v>2450000</v>
      </c>
    </row>
    <row r="33" spans="1:9">
      <c r="A33" s="36"/>
      <c r="B33" s="20" t="s">
        <v>62</v>
      </c>
      <c r="C33" s="18" t="s">
        <v>63</v>
      </c>
      <c r="D33" s="18" t="s">
        <v>64</v>
      </c>
      <c r="E33" s="23">
        <v>6900000</v>
      </c>
      <c r="F33" s="23">
        <v>3850000</v>
      </c>
      <c r="G33" s="23">
        <v>2550000</v>
      </c>
      <c r="H33" s="23">
        <v>1650000</v>
      </c>
    </row>
    <row r="34" spans="1:9">
      <c r="A34" s="36">
        <v>17</v>
      </c>
      <c r="B34" s="18" t="s">
        <v>65</v>
      </c>
      <c r="C34" s="18" t="s">
        <v>33</v>
      </c>
      <c r="D34" s="18" t="s">
        <v>66</v>
      </c>
      <c r="E34" s="23">
        <v>3300000</v>
      </c>
      <c r="F34" s="23">
        <v>1850000</v>
      </c>
      <c r="G34" s="23">
        <v>1200000</v>
      </c>
      <c r="H34" s="23">
        <v>800000</v>
      </c>
    </row>
    <row r="35" spans="1:9">
      <c r="A35" s="36">
        <v>18</v>
      </c>
      <c r="B35" s="18" t="s">
        <v>67</v>
      </c>
      <c r="C35" s="18" t="s">
        <v>49</v>
      </c>
      <c r="D35" s="18" t="s">
        <v>68</v>
      </c>
      <c r="E35" s="23">
        <v>9650000</v>
      </c>
      <c r="F35" s="23">
        <v>5400000</v>
      </c>
      <c r="G35" s="23">
        <v>3550000</v>
      </c>
      <c r="H35" s="23">
        <v>2300000</v>
      </c>
    </row>
    <row r="36" spans="1:9">
      <c r="A36" s="36">
        <v>19</v>
      </c>
      <c r="B36" s="18" t="s">
        <v>69</v>
      </c>
      <c r="C36" s="18" t="s">
        <v>58</v>
      </c>
      <c r="D36" s="18" t="s">
        <v>23</v>
      </c>
      <c r="E36" s="23">
        <v>7800000</v>
      </c>
      <c r="F36" s="23">
        <v>4400000</v>
      </c>
      <c r="G36" s="23">
        <v>2900000</v>
      </c>
      <c r="H36" s="23">
        <v>1850000</v>
      </c>
    </row>
    <row r="37" spans="1:9">
      <c r="A37" s="36">
        <v>20</v>
      </c>
      <c r="B37" s="18" t="s">
        <v>70</v>
      </c>
      <c r="C37" s="18" t="s">
        <v>51</v>
      </c>
      <c r="D37" s="18" t="s">
        <v>71</v>
      </c>
      <c r="E37" s="23">
        <v>25900000</v>
      </c>
      <c r="F37" s="23">
        <v>14500000</v>
      </c>
      <c r="G37" s="23">
        <v>9600000</v>
      </c>
      <c r="H37" s="23">
        <v>6200000</v>
      </c>
    </row>
    <row r="38" spans="1:9">
      <c r="A38" s="36">
        <v>21</v>
      </c>
      <c r="B38" s="18" t="s">
        <v>72</v>
      </c>
      <c r="C38" s="18" t="s">
        <v>73</v>
      </c>
      <c r="D38" s="18" t="s">
        <v>74</v>
      </c>
      <c r="E38" s="23">
        <v>7800000</v>
      </c>
      <c r="F38" s="23">
        <v>4400000</v>
      </c>
      <c r="G38" s="23">
        <v>2900000</v>
      </c>
      <c r="H38" s="23">
        <v>1850000</v>
      </c>
    </row>
    <row r="39" spans="1:9">
      <c r="A39" s="36">
        <v>22</v>
      </c>
      <c r="B39" s="18" t="s">
        <v>75</v>
      </c>
      <c r="C39" s="18" t="s">
        <v>66</v>
      </c>
      <c r="D39" s="18" t="s">
        <v>76</v>
      </c>
      <c r="E39" s="23">
        <v>5200000</v>
      </c>
      <c r="F39" s="23">
        <v>2900000</v>
      </c>
      <c r="G39" s="23">
        <v>1900000</v>
      </c>
      <c r="H39" s="23">
        <v>1250000</v>
      </c>
    </row>
    <row r="40" spans="1:9">
      <c r="A40" s="36">
        <v>23</v>
      </c>
      <c r="B40" s="18" t="s">
        <v>77</v>
      </c>
      <c r="C40" s="18" t="s">
        <v>78</v>
      </c>
      <c r="D40" s="18" t="s">
        <v>79</v>
      </c>
      <c r="E40" s="23">
        <v>5200000</v>
      </c>
      <c r="F40" s="23">
        <v>2900000</v>
      </c>
      <c r="G40" s="23">
        <v>1900000</v>
      </c>
      <c r="H40" s="23">
        <v>1250000</v>
      </c>
    </row>
    <row r="41" spans="1:9">
      <c r="A41" s="36">
        <v>24</v>
      </c>
      <c r="B41" s="18" t="s">
        <v>74</v>
      </c>
      <c r="C41" s="18" t="s">
        <v>72</v>
      </c>
      <c r="D41" s="18" t="s">
        <v>80</v>
      </c>
      <c r="E41" s="23">
        <v>6900000</v>
      </c>
      <c r="F41" s="23">
        <v>3850000</v>
      </c>
      <c r="G41" s="23">
        <v>2550000</v>
      </c>
      <c r="H41" s="23">
        <v>1650000</v>
      </c>
    </row>
    <row r="42" ht="27.6" spans="1:9">
      <c r="A42" s="36"/>
      <c r="B42" s="144" t="s">
        <v>74</v>
      </c>
      <c r="C42" s="144" t="s">
        <v>80</v>
      </c>
      <c r="D42" s="144" t="s">
        <v>81</v>
      </c>
      <c r="E42" s="23">
        <v>6900000</v>
      </c>
      <c r="F42" s="23">
        <v>3850000</v>
      </c>
      <c r="G42" s="23">
        <v>2550000</v>
      </c>
      <c r="H42" s="23">
        <v>1650000</v>
      </c>
      <c r="I42" s="16" t="s">
        <v>82</v>
      </c>
    </row>
    <row r="43" spans="1:9">
      <c r="A43" s="36">
        <v>25</v>
      </c>
      <c r="B43" s="18" t="s">
        <v>80</v>
      </c>
      <c r="C43" s="18" t="s">
        <v>83</v>
      </c>
      <c r="D43" s="18" t="s">
        <v>74</v>
      </c>
      <c r="E43" s="23">
        <v>12850000</v>
      </c>
      <c r="F43" s="23">
        <v>7200000</v>
      </c>
      <c r="G43" s="23">
        <v>4750000</v>
      </c>
      <c r="H43" s="23">
        <v>3100000</v>
      </c>
    </row>
    <row r="44" spans="1:9">
      <c r="A44" s="36">
        <v>26</v>
      </c>
      <c r="B44" s="18" t="s">
        <v>84</v>
      </c>
      <c r="C44" s="18" t="s">
        <v>85</v>
      </c>
      <c r="D44" s="18" t="s">
        <v>74</v>
      </c>
      <c r="E44" s="23">
        <v>9650000</v>
      </c>
      <c r="F44" s="23">
        <v>5400000</v>
      </c>
      <c r="G44" s="23">
        <v>3550000</v>
      </c>
      <c r="H44" s="23">
        <v>2300000</v>
      </c>
    </row>
    <row r="45" spans="1:9">
      <c r="A45" s="36">
        <v>27</v>
      </c>
      <c r="B45" s="18" t="s">
        <v>86</v>
      </c>
      <c r="C45" s="18" t="s">
        <v>87</v>
      </c>
      <c r="D45" s="18" t="s">
        <v>76</v>
      </c>
      <c r="E45" s="23">
        <v>5200000</v>
      </c>
      <c r="F45" s="23">
        <v>2900000</v>
      </c>
      <c r="G45" s="23">
        <v>1900000</v>
      </c>
      <c r="H45" s="23">
        <v>1250000</v>
      </c>
    </row>
    <row r="46" spans="1:9">
      <c r="A46" s="36">
        <v>28</v>
      </c>
      <c r="B46" s="20" t="s">
        <v>88</v>
      </c>
      <c r="C46" s="18" t="s">
        <v>89</v>
      </c>
      <c r="D46" s="18" t="s">
        <v>90</v>
      </c>
      <c r="E46" s="23">
        <v>6900000</v>
      </c>
      <c r="F46" s="23">
        <v>3850000</v>
      </c>
      <c r="G46" s="23">
        <v>2550000</v>
      </c>
      <c r="H46" s="23">
        <v>1650000</v>
      </c>
    </row>
    <row r="47" spans="1:9">
      <c r="A47" s="36"/>
      <c r="B47" s="20" t="s">
        <v>88</v>
      </c>
      <c r="C47" s="18" t="s">
        <v>90</v>
      </c>
      <c r="D47" s="18" t="s">
        <v>31</v>
      </c>
      <c r="E47" s="23">
        <v>5200000</v>
      </c>
      <c r="F47" s="23">
        <v>2900000</v>
      </c>
      <c r="G47" s="23">
        <v>1900000</v>
      </c>
      <c r="H47" s="23">
        <v>1250000</v>
      </c>
    </row>
    <row r="48" spans="1:9">
      <c r="A48" s="36">
        <v>29</v>
      </c>
      <c r="B48" s="20" t="s">
        <v>33</v>
      </c>
      <c r="C48" s="18" t="s">
        <v>17</v>
      </c>
      <c r="D48" s="18" t="s">
        <v>91</v>
      </c>
      <c r="E48" s="23">
        <v>6900000</v>
      </c>
      <c r="F48" s="23">
        <v>3850000</v>
      </c>
      <c r="G48" s="23">
        <v>2550000</v>
      </c>
      <c r="H48" s="23">
        <v>1650000</v>
      </c>
    </row>
    <row r="49" spans="1:8">
      <c r="A49" s="36"/>
      <c r="B49" s="20" t="s">
        <v>33</v>
      </c>
      <c r="C49" s="18" t="s">
        <v>91</v>
      </c>
      <c r="D49" s="18" t="s">
        <v>92</v>
      </c>
      <c r="E49" s="23">
        <v>5200000</v>
      </c>
      <c r="F49" s="23">
        <v>2900000</v>
      </c>
      <c r="G49" s="23">
        <v>1900000</v>
      </c>
      <c r="H49" s="23">
        <v>1250000</v>
      </c>
    </row>
    <row r="50" spans="1:8">
      <c r="A50" s="36">
        <v>30</v>
      </c>
      <c r="B50" s="18" t="s">
        <v>93</v>
      </c>
      <c r="C50" s="18" t="s">
        <v>24</v>
      </c>
      <c r="D50" s="83" t="s">
        <v>25</v>
      </c>
      <c r="E50" s="23">
        <v>4200000</v>
      </c>
      <c r="F50" s="23">
        <v>2350000</v>
      </c>
      <c r="G50" s="23">
        <v>1550000</v>
      </c>
      <c r="H50" s="23">
        <v>1000000</v>
      </c>
    </row>
    <row r="51" spans="1:8">
      <c r="A51" s="36">
        <v>31</v>
      </c>
      <c r="B51" s="18" t="s">
        <v>94</v>
      </c>
      <c r="C51" s="18" t="s">
        <v>95</v>
      </c>
      <c r="D51" s="18" t="s">
        <v>74</v>
      </c>
      <c r="E51" s="23">
        <v>7800000</v>
      </c>
      <c r="F51" s="23">
        <v>4400000</v>
      </c>
      <c r="G51" s="23">
        <v>2900000</v>
      </c>
      <c r="H51" s="23">
        <v>1850000</v>
      </c>
    </row>
    <row r="52" spans="1:8">
      <c r="A52" s="36">
        <v>32</v>
      </c>
      <c r="B52" s="18" t="s">
        <v>96</v>
      </c>
      <c r="C52" s="18" t="s">
        <v>73</v>
      </c>
      <c r="D52" s="18" t="s">
        <v>74</v>
      </c>
      <c r="E52" s="23">
        <v>7800000</v>
      </c>
      <c r="F52" s="23">
        <v>4400000</v>
      </c>
      <c r="G52" s="23">
        <v>2900000</v>
      </c>
      <c r="H52" s="23">
        <v>1850000</v>
      </c>
    </row>
    <row r="53" spans="1:8">
      <c r="A53" s="36">
        <v>33</v>
      </c>
      <c r="B53" s="18" t="s">
        <v>25</v>
      </c>
      <c r="C53" s="18" t="s">
        <v>58</v>
      </c>
      <c r="D53" s="18" t="s">
        <v>97</v>
      </c>
      <c r="E53" s="23">
        <v>10250000</v>
      </c>
      <c r="F53" s="23">
        <v>5750000</v>
      </c>
      <c r="G53" s="23">
        <v>3800000</v>
      </c>
      <c r="H53" s="23">
        <v>2450000</v>
      </c>
    </row>
    <row r="54" spans="1:8">
      <c r="A54" s="36">
        <v>34</v>
      </c>
      <c r="B54" s="18" t="s">
        <v>98</v>
      </c>
      <c r="C54" s="18" t="s">
        <v>78</v>
      </c>
      <c r="D54" s="18" t="s">
        <v>99</v>
      </c>
      <c r="E54" s="23">
        <v>6900000</v>
      </c>
      <c r="F54" s="23">
        <v>3850000</v>
      </c>
      <c r="G54" s="23">
        <v>2550000</v>
      </c>
      <c r="H54" s="23">
        <v>1650000</v>
      </c>
    </row>
    <row r="55" spans="1:8">
      <c r="A55" s="36">
        <v>35</v>
      </c>
      <c r="B55" s="18" t="s">
        <v>100</v>
      </c>
      <c r="C55" s="18" t="s">
        <v>17</v>
      </c>
      <c r="D55" s="18" t="s">
        <v>54</v>
      </c>
      <c r="E55" s="23">
        <v>3300000</v>
      </c>
      <c r="F55" s="23">
        <v>1850000</v>
      </c>
      <c r="G55" s="23">
        <v>1200000</v>
      </c>
      <c r="H55" s="23">
        <v>800000</v>
      </c>
    </row>
    <row r="56" spans="1:8">
      <c r="A56" s="36">
        <v>36</v>
      </c>
      <c r="B56" s="18" t="s">
        <v>101</v>
      </c>
      <c r="C56" s="18" t="s">
        <v>19</v>
      </c>
      <c r="D56" s="18" t="s">
        <v>77</v>
      </c>
      <c r="E56" s="23">
        <v>6900000</v>
      </c>
      <c r="F56" s="23">
        <v>3850000</v>
      </c>
      <c r="G56" s="23">
        <v>2550000</v>
      </c>
      <c r="H56" s="23">
        <v>1650000</v>
      </c>
    </row>
    <row r="57" spans="1:8">
      <c r="A57" s="36">
        <v>37</v>
      </c>
      <c r="B57" s="18" t="s">
        <v>87</v>
      </c>
      <c r="C57" s="18" t="s">
        <v>54</v>
      </c>
      <c r="D57" s="18" t="s">
        <v>76</v>
      </c>
      <c r="E57" s="23">
        <v>5200000</v>
      </c>
      <c r="F57" s="23">
        <v>2900000</v>
      </c>
      <c r="G57" s="23">
        <v>1900000</v>
      </c>
      <c r="H57" s="23">
        <v>1250000</v>
      </c>
    </row>
    <row r="58" spans="1:8">
      <c r="A58" s="36">
        <v>38</v>
      </c>
      <c r="B58" s="18" t="s">
        <v>53</v>
      </c>
      <c r="C58" s="18" t="s">
        <v>19</v>
      </c>
      <c r="D58" s="18" t="s">
        <v>91</v>
      </c>
      <c r="E58" s="23">
        <v>5200000</v>
      </c>
      <c r="F58" s="23">
        <v>2900000</v>
      </c>
      <c r="G58" s="23">
        <v>1900000</v>
      </c>
      <c r="H58" s="23">
        <v>1250000</v>
      </c>
    </row>
    <row r="59" spans="1:8">
      <c r="A59" s="36">
        <v>39</v>
      </c>
      <c r="B59" s="18" t="s">
        <v>91</v>
      </c>
      <c r="C59" s="18" t="s">
        <v>33</v>
      </c>
      <c r="D59" s="18" t="s">
        <v>54</v>
      </c>
      <c r="E59" s="23">
        <v>5200000</v>
      </c>
      <c r="F59" s="23">
        <v>2900000</v>
      </c>
      <c r="G59" s="23">
        <v>1900000</v>
      </c>
      <c r="H59" s="23">
        <v>1250000</v>
      </c>
    </row>
    <row r="60" spans="1:8">
      <c r="A60" s="36">
        <v>40</v>
      </c>
      <c r="B60" s="18" t="s">
        <v>38</v>
      </c>
      <c r="C60" s="18" t="s">
        <v>102</v>
      </c>
      <c r="D60" s="18" t="s">
        <v>103</v>
      </c>
      <c r="E60" s="23">
        <v>6900000</v>
      </c>
      <c r="F60" s="23">
        <v>3850000</v>
      </c>
      <c r="G60" s="23">
        <v>2550000</v>
      </c>
      <c r="H60" s="23">
        <v>1650000</v>
      </c>
    </row>
    <row r="61" spans="1:8">
      <c r="A61" s="36">
        <v>41</v>
      </c>
      <c r="B61" s="18" t="s">
        <v>104</v>
      </c>
      <c r="C61" s="18" t="s">
        <v>100</v>
      </c>
      <c r="D61" s="18" t="s">
        <v>79</v>
      </c>
      <c r="E61" s="23">
        <v>3300000</v>
      </c>
      <c r="F61" s="23">
        <v>1850000</v>
      </c>
      <c r="G61" s="23">
        <v>1200000</v>
      </c>
      <c r="H61" s="23">
        <v>800000</v>
      </c>
    </row>
    <row r="62" spans="1:8">
      <c r="A62" s="36">
        <v>42</v>
      </c>
      <c r="B62" s="18" t="s">
        <v>105</v>
      </c>
      <c r="C62" s="18" t="s">
        <v>52</v>
      </c>
      <c r="D62" s="18" t="s">
        <v>97</v>
      </c>
      <c r="E62" s="23">
        <v>3300000</v>
      </c>
      <c r="F62" s="23">
        <v>1850000</v>
      </c>
      <c r="G62" s="23">
        <v>1200000</v>
      </c>
      <c r="H62" s="23">
        <v>800000</v>
      </c>
    </row>
    <row r="63" spans="1:8">
      <c r="A63" s="36">
        <v>43</v>
      </c>
      <c r="B63" s="18" t="s">
        <v>24</v>
      </c>
      <c r="C63" s="18" t="s">
        <v>58</v>
      </c>
      <c r="D63" s="18" t="s">
        <v>25</v>
      </c>
      <c r="E63" s="23">
        <v>7800000</v>
      </c>
      <c r="F63" s="23">
        <v>4400000</v>
      </c>
      <c r="G63" s="23">
        <v>2900000</v>
      </c>
      <c r="H63" s="23">
        <v>1850000</v>
      </c>
    </row>
    <row r="64" spans="1:8">
      <c r="A64" s="36">
        <v>44</v>
      </c>
      <c r="B64" s="18" t="s">
        <v>89</v>
      </c>
      <c r="C64" s="18" t="s">
        <v>106</v>
      </c>
      <c r="D64" s="18" t="s">
        <v>51</v>
      </c>
      <c r="E64" s="23">
        <v>10250000</v>
      </c>
      <c r="F64" s="23">
        <v>5750000</v>
      </c>
      <c r="G64" s="23">
        <v>3800000</v>
      </c>
      <c r="H64" s="23">
        <v>2450000</v>
      </c>
    </row>
    <row r="65" spans="1:10">
      <c r="A65" s="36">
        <v>45</v>
      </c>
      <c r="B65" s="18" t="s">
        <v>107</v>
      </c>
      <c r="C65" s="18" t="s">
        <v>73</v>
      </c>
      <c r="D65" s="83" t="s">
        <v>108</v>
      </c>
      <c r="E65" s="23">
        <v>6900000</v>
      </c>
      <c r="F65" s="23">
        <v>3850000</v>
      </c>
      <c r="G65" s="23">
        <v>2550000</v>
      </c>
      <c r="H65" s="23">
        <v>1650000</v>
      </c>
    </row>
    <row r="66" spans="1:10">
      <c r="A66" s="36">
        <v>46</v>
      </c>
      <c r="B66" s="18" t="s">
        <v>109</v>
      </c>
      <c r="C66" s="18" t="s">
        <v>56</v>
      </c>
      <c r="D66" s="18" t="s">
        <v>110</v>
      </c>
      <c r="E66" s="23">
        <v>4200000</v>
      </c>
      <c r="F66" s="23">
        <v>2350000</v>
      </c>
      <c r="G66" s="23">
        <v>1550000</v>
      </c>
      <c r="H66" s="23">
        <v>1000000</v>
      </c>
    </row>
    <row r="67" spans="1:10">
      <c r="A67" s="36">
        <v>47</v>
      </c>
      <c r="B67" s="20" t="s">
        <v>66</v>
      </c>
      <c r="C67" s="18" t="s">
        <v>111</v>
      </c>
      <c r="D67" s="18" t="s">
        <v>65</v>
      </c>
      <c r="E67" s="23">
        <v>4200000</v>
      </c>
      <c r="F67" s="23">
        <v>2350000</v>
      </c>
      <c r="G67" s="23">
        <v>1550000</v>
      </c>
      <c r="H67" s="23">
        <v>1000000</v>
      </c>
    </row>
    <row r="68" spans="1:10">
      <c r="A68" s="36"/>
      <c r="B68" s="20" t="s">
        <v>66</v>
      </c>
      <c r="C68" s="18" t="s">
        <v>65</v>
      </c>
      <c r="D68" s="18" t="s">
        <v>29</v>
      </c>
      <c r="E68" s="23">
        <v>3300000</v>
      </c>
      <c r="F68" s="23">
        <v>1850000</v>
      </c>
      <c r="G68" s="23">
        <v>1200000</v>
      </c>
      <c r="H68" s="23">
        <v>800000</v>
      </c>
    </row>
    <row r="69" spans="1:10">
      <c r="A69" s="36">
        <v>48</v>
      </c>
      <c r="B69" s="18" t="s">
        <v>29</v>
      </c>
      <c r="C69" s="18" t="s">
        <v>54</v>
      </c>
      <c r="D69" s="18" t="s">
        <v>112</v>
      </c>
      <c r="E69" s="23">
        <v>3300000</v>
      </c>
      <c r="F69" s="23">
        <v>1850000</v>
      </c>
      <c r="G69" s="23">
        <v>1200000</v>
      </c>
      <c r="H69" s="23">
        <v>800000</v>
      </c>
    </row>
    <row r="70" spans="1:10">
      <c r="A70" s="16">
        <v>49</v>
      </c>
      <c r="B70" s="18" t="s">
        <v>83</v>
      </c>
      <c r="C70" s="18" t="s">
        <v>63</v>
      </c>
      <c r="D70" s="18" t="s">
        <v>113</v>
      </c>
      <c r="E70" s="23">
        <v>19450000</v>
      </c>
      <c r="F70" s="23">
        <v>10900000</v>
      </c>
      <c r="G70" s="23">
        <v>7200000</v>
      </c>
      <c r="H70" s="23">
        <v>4650000</v>
      </c>
    </row>
    <row r="71" spans="1:10">
      <c r="A71" s="36">
        <v>50</v>
      </c>
      <c r="B71" s="18" t="s">
        <v>114</v>
      </c>
      <c r="C71" s="18" t="s">
        <v>42</v>
      </c>
      <c r="D71" s="18" t="s">
        <v>52</v>
      </c>
      <c r="E71" s="23">
        <v>4200000</v>
      </c>
      <c r="F71" s="23">
        <v>2350000</v>
      </c>
      <c r="G71" s="23">
        <v>1550000</v>
      </c>
      <c r="H71" s="23">
        <v>1000000</v>
      </c>
    </row>
    <row r="72" spans="1:10">
      <c r="A72" s="36"/>
      <c r="B72" s="18" t="s">
        <v>114</v>
      </c>
      <c r="C72" s="18" t="s">
        <v>52</v>
      </c>
      <c r="D72" s="18" t="s">
        <v>21</v>
      </c>
      <c r="E72" s="23">
        <v>3300000</v>
      </c>
      <c r="F72" s="23">
        <v>1850000</v>
      </c>
      <c r="G72" s="23">
        <v>1200000</v>
      </c>
      <c r="H72" s="23">
        <v>800000</v>
      </c>
    </row>
    <row r="73" spans="1:10">
      <c r="A73" s="36">
        <v>51</v>
      </c>
      <c r="B73" s="18" t="s">
        <v>115</v>
      </c>
      <c r="C73" s="18" t="s">
        <v>100</v>
      </c>
      <c r="D73" s="18" t="s">
        <v>79</v>
      </c>
      <c r="E73" s="23">
        <v>3300000</v>
      </c>
      <c r="F73" s="23">
        <v>1850000</v>
      </c>
      <c r="G73" s="23">
        <v>1200000</v>
      </c>
      <c r="H73" s="23">
        <v>800000</v>
      </c>
    </row>
    <row r="74" spans="1:10">
      <c r="A74" s="36">
        <v>52</v>
      </c>
      <c r="B74" s="20" t="s">
        <v>116</v>
      </c>
      <c r="C74" s="18" t="s">
        <v>58</v>
      </c>
      <c r="D74" s="18" t="s">
        <v>117</v>
      </c>
      <c r="E74" s="23">
        <v>3300000</v>
      </c>
      <c r="F74" s="23">
        <v>1850000</v>
      </c>
      <c r="G74" s="23">
        <v>1200000</v>
      </c>
      <c r="H74" s="23">
        <v>800000</v>
      </c>
    </row>
    <row r="75" spans="1:10">
      <c r="A75" s="36"/>
      <c r="B75" s="20" t="s">
        <v>116</v>
      </c>
      <c r="C75" s="18" t="s">
        <v>117</v>
      </c>
      <c r="D75" s="18" t="s">
        <v>118</v>
      </c>
      <c r="E75" s="23">
        <v>2150000</v>
      </c>
      <c r="F75" s="23">
        <v>1200000</v>
      </c>
      <c r="G75" s="23">
        <v>800000</v>
      </c>
      <c r="H75" s="23">
        <v>500000</v>
      </c>
    </row>
    <row r="76" spans="1:10">
      <c r="A76" s="36">
        <v>53</v>
      </c>
      <c r="B76" s="18" t="s">
        <v>78</v>
      </c>
      <c r="C76" s="18" t="s">
        <v>19</v>
      </c>
      <c r="D76" s="18" t="s">
        <v>119</v>
      </c>
      <c r="E76" s="23">
        <v>6900000</v>
      </c>
      <c r="F76" s="23">
        <v>3850000</v>
      </c>
      <c r="G76" s="23">
        <v>2550000</v>
      </c>
      <c r="H76" s="23">
        <v>1650000</v>
      </c>
    </row>
    <row r="77" spans="1:10">
      <c r="A77" s="36">
        <v>54</v>
      </c>
      <c r="B77" s="18" t="s">
        <v>120</v>
      </c>
      <c r="C77" s="18" t="s">
        <v>73</v>
      </c>
      <c r="D77" s="18" t="s">
        <v>107</v>
      </c>
      <c r="E77" s="23">
        <v>6900000</v>
      </c>
      <c r="F77" s="23">
        <v>3850000</v>
      </c>
      <c r="G77" s="23">
        <v>2550000</v>
      </c>
      <c r="H77" s="23">
        <v>1650000</v>
      </c>
    </row>
    <row r="78" spans="1:10">
      <c r="A78" s="36">
        <v>55</v>
      </c>
      <c r="B78" s="18" t="s">
        <v>76</v>
      </c>
      <c r="C78" s="18" t="s">
        <v>54</v>
      </c>
      <c r="D78" s="18" t="s">
        <v>121</v>
      </c>
      <c r="E78" s="23">
        <v>6900000</v>
      </c>
      <c r="F78" s="23">
        <v>3850000</v>
      </c>
      <c r="G78" s="23">
        <v>2550000</v>
      </c>
      <c r="H78" s="23">
        <v>1650000</v>
      </c>
    </row>
    <row r="79" spans="1:10">
      <c r="A79" s="36">
        <v>56</v>
      </c>
      <c r="B79" s="144" t="s">
        <v>68</v>
      </c>
      <c r="C79" s="144" t="s">
        <v>122</v>
      </c>
      <c r="D79" s="144" t="s">
        <v>97</v>
      </c>
      <c r="E79" s="23">
        <v>7800000</v>
      </c>
      <c r="F79" s="23">
        <v>4400000</v>
      </c>
      <c r="G79" s="23">
        <v>2900000</v>
      </c>
      <c r="H79" s="23">
        <v>1850000</v>
      </c>
      <c r="I79" s="16" t="s">
        <v>50</v>
      </c>
      <c r="J79" s="1" t="s">
        <v>123</v>
      </c>
    </row>
    <row r="80" spans="1:10">
      <c r="A80" s="36">
        <v>57</v>
      </c>
      <c r="B80" s="18" t="s">
        <v>124</v>
      </c>
      <c r="C80" s="18" t="s">
        <v>75</v>
      </c>
      <c r="D80" s="18" t="s">
        <v>76</v>
      </c>
      <c r="E80" s="23">
        <v>6900000</v>
      </c>
      <c r="F80" s="23">
        <v>3850000</v>
      </c>
      <c r="G80" s="23">
        <v>2550000</v>
      </c>
      <c r="H80" s="23">
        <v>1650000</v>
      </c>
    </row>
    <row r="81" spans="1:9">
      <c r="A81" s="36"/>
      <c r="B81" s="144" t="s">
        <v>124</v>
      </c>
      <c r="C81" s="144" t="s">
        <v>54</v>
      </c>
      <c r="D81" s="144" t="s">
        <v>125</v>
      </c>
      <c r="E81" s="23">
        <v>6900000</v>
      </c>
      <c r="F81" s="23">
        <v>3850000</v>
      </c>
      <c r="G81" s="23">
        <v>2550000</v>
      </c>
      <c r="H81" s="23">
        <v>1650000</v>
      </c>
      <c r="I81" s="16" t="s">
        <v>82</v>
      </c>
    </row>
    <row r="82" ht="27.6" spans="1:9">
      <c r="A82" s="36">
        <v>58</v>
      </c>
      <c r="B82" s="18" t="s">
        <v>126</v>
      </c>
      <c r="C82" s="18" t="s">
        <v>17</v>
      </c>
      <c r="D82" s="83" t="s">
        <v>127</v>
      </c>
      <c r="E82" s="23">
        <v>5200000</v>
      </c>
      <c r="F82" s="23">
        <v>2900000</v>
      </c>
      <c r="G82" s="23">
        <v>1900000</v>
      </c>
      <c r="H82" s="23">
        <v>1250000</v>
      </c>
    </row>
    <row r="83" spans="1:9">
      <c r="A83" s="36">
        <v>59</v>
      </c>
      <c r="B83" s="20" t="s">
        <v>59</v>
      </c>
      <c r="C83" s="18" t="s">
        <v>128</v>
      </c>
      <c r="D83" s="18" t="s">
        <v>74</v>
      </c>
      <c r="E83" s="23">
        <v>23150000</v>
      </c>
      <c r="F83" s="23">
        <v>12950000</v>
      </c>
      <c r="G83" s="23">
        <v>8550000</v>
      </c>
      <c r="H83" s="23">
        <v>5550000</v>
      </c>
    </row>
    <row r="84" spans="1:9">
      <c r="A84" s="36"/>
      <c r="B84" s="20" t="s">
        <v>59</v>
      </c>
      <c r="C84" s="18" t="s">
        <v>74</v>
      </c>
      <c r="D84" s="18" t="s">
        <v>58</v>
      </c>
      <c r="E84" s="23">
        <v>19450000</v>
      </c>
      <c r="F84" s="23">
        <v>10900000</v>
      </c>
      <c r="G84" s="23">
        <v>7200000</v>
      </c>
      <c r="H84" s="23">
        <v>4650000</v>
      </c>
    </row>
    <row r="85" spans="1:9">
      <c r="A85" s="36">
        <v>60</v>
      </c>
      <c r="B85" s="18" t="s">
        <v>129</v>
      </c>
      <c r="C85" s="18" t="s">
        <v>56</v>
      </c>
      <c r="D85" s="83" t="s">
        <v>113</v>
      </c>
      <c r="E85" s="23">
        <v>19450000</v>
      </c>
      <c r="F85" s="23">
        <v>10900000</v>
      </c>
      <c r="G85" s="23">
        <v>7200000</v>
      </c>
      <c r="H85" s="23">
        <v>4650000</v>
      </c>
    </row>
    <row r="86" ht="27.6" spans="1:9">
      <c r="A86" s="36">
        <v>61</v>
      </c>
      <c r="B86" s="18" t="s">
        <v>113</v>
      </c>
      <c r="C86" s="18" t="s">
        <v>130</v>
      </c>
      <c r="D86" s="83" t="s">
        <v>57</v>
      </c>
      <c r="E86" s="23">
        <v>7800000</v>
      </c>
      <c r="F86" s="23">
        <v>4400000</v>
      </c>
      <c r="G86" s="23">
        <v>2900000</v>
      </c>
      <c r="H86" s="23">
        <v>1850000</v>
      </c>
    </row>
    <row r="87" ht="41.4" spans="1:9">
      <c r="A87" s="16"/>
      <c r="B87" s="144" t="s">
        <v>113</v>
      </c>
      <c r="C87" s="144" t="s">
        <v>131</v>
      </c>
      <c r="D87" s="144" t="s">
        <v>132</v>
      </c>
      <c r="E87" s="23">
        <v>7800000</v>
      </c>
      <c r="F87" s="23">
        <v>4400000</v>
      </c>
      <c r="G87" s="23">
        <v>2900000</v>
      </c>
      <c r="H87" s="23">
        <v>1850000</v>
      </c>
      <c r="I87" s="16" t="s">
        <v>82</v>
      </c>
    </row>
    <row r="88" spans="1:9">
      <c r="A88" s="36">
        <v>62</v>
      </c>
      <c r="B88" s="18" t="s">
        <v>56</v>
      </c>
      <c r="C88" s="18" t="s">
        <v>114</v>
      </c>
      <c r="D88" s="18" t="s">
        <v>110</v>
      </c>
      <c r="E88" s="23">
        <v>12850000</v>
      </c>
      <c r="F88" s="23">
        <v>7200000</v>
      </c>
      <c r="G88" s="23">
        <v>4750000</v>
      </c>
      <c r="H88" s="23">
        <v>3100000</v>
      </c>
    </row>
    <row r="89" spans="1:9">
      <c r="A89" s="36">
        <v>63</v>
      </c>
      <c r="B89" s="18" t="s">
        <v>133</v>
      </c>
      <c r="C89" s="18" t="s">
        <v>75</v>
      </c>
      <c r="D89" s="83" t="s">
        <v>76</v>
      </c>
      <c r="E89" s="23">
        <v>5200000</v>
      </c>
      <c r="F89" s="23">
        <v>2900000</v>
      </c>
      <c r="G89" s="23">
        <v>1900000</v>
      </c>
      <c r="H89" s="23">
        <v>1250000</v>
      </c>
    </row>
    <row r="90" ht="27.6" spans="1:9">
      <c r="A90" s="36">
        <v>64</v>
      </c>
      <c r="B90" s="20" t="s">
        <v>54</v>
      </c>
      <c r="C90" s="18" t="s">
        <v>134</v>
      </c>
      <c r="D90" s="83" t="s">
        <v>29</v>
      </c>
      <c r="E90" s="23">
        <v>7800000</v>
      </c>
      <c r="F90" s="23">
        <v>4400000</v>
      </c>
      <c r="G90" s="23">
        <v>2900000</v>
      </c>
      <c r="H90" s="23">
        <v>1850000</v>
      </c>
    </row>
    <row r="91" spans="1:9">
      <c r="A91" s="36"/>
      <c r="B91" s="20" t="s">
        <v>54</v>
      </c>
      <c r="C91" s="18" t="s">
        <v>29</v>
      </c>
      <c r="D91" s="83" t="s">
        <v>135</v>
      </c>
      <c r="E91" s="23">
        <v>6900000</v>
      </c>
      <c r="F91" s="23">
        <v>3850000</v>
      </c>
      <c r="G91" s="23">
        <v>2550000</v>
      </c>
      <c r="H91" s="23">
        <v>1650000</v>
      </c>
    </row>
    <row r="92" s="30" customFormat="1" ht="14.4" spans="1:9">
      <c r="A92" s="39" t="s">
        <v>136</v>
      </c>
      <c r="B92" s="20"/>
      <c r="C92" s="18"/>
      <c r="D92" s="83"/>
      <c r="E92" s="23"/>
      <c r="F92" s="23"/>
      <c r="G92" s="23"/>
      <c r="H92" s="23"/>
      <c r="I92" s="31"/>
    </row>
    <row r="93" spans="1:9">
      <c r="A93" s="16">
        <v>65</v>
      </c>
      <c r="B93" s="17" t="s">
        <v>137</v>
      </c>
      <c r="C93" s="20"/>
      <c r="D93" s="20"/>
      <c r="E93" s="23">
        <v>2150000</v>
      </c>
      <c r="F93" s="23">
        <v>1200000</v>
      </c>
      <c r="G93" s="23">
        <v>800000</v>
      </c>
      <c r="H93" s="23">
        <v>500000</v>
      </c>
      <c r="I93" s="31" t="s">
        <v>138</v>
      </c>
    </row>
    <row r="94" spans="1:9">
      <c r="A94" s="27"/>
      <c r="C94" s="28"/>
      <c r="D94" s="28"/>
      <c r="E94" s="23"/>
      <c r="F94" s="23"/>
      <c r="G94" s="23"/>
      <c r="H94" s="23"/>
    </row>
    <row r="95" spans="1:9">
      <c r="A95" s="27"/>
      <c r="C95" s="28"/>
      <c r="D95" s="28"/>
      <c r="E95" s="23"/>
      <c r="F95" s="23"/>
      <c r="G95" s="23"/>
      <c r="H95" s="23"/>
    </row>
    <row r="96" spans="1:9">
      <c r="A96" s="27"/>
      <c r="C96" s="28"/>
      <c r="D96" s="28"/>
      <c r="E96" s="23"/>
      <c r="F96" s="23"/>
      <c r="G96" s="23"/>
      <c r="H96" s="23"/>
    </row>
    <row r="97" spans="1:8">
      <c r="A97" s="27"/>
      <c r="C97" s="28"/>
      <c r="D97" s="28"/>
      <c r="E97" s="23"/>
      <c r="F97" s="23"/>
      <c r="G97" s="23"/>
      <c r="H97" s="23"/>
    </row>
    <row r="98" spans="1:8">
      <c r="A98" s="27"/>
      <c r="C98" s="28"/>
      <c r="D98" s="28"/>
      <c r="E98" s="23"/>
      <c r="F98" s="23"/>
      <c r="G98" s="23"/>
      <c r="H98" s="23"/>
    </row>
    <row r="99" spans="1:8">
      <c r="A99" s="27"/>
      <c r="C99" s="28"/>
      <c r="D99" s="28"/>
      <c r="E99" s="23"/>
      <c r="F99" s="23"/>
      <c r="G99" s="23"/>
      <c r="H99" s="23"/>
    </row>
    <row r="100" spans="1:8">
      <c r="A100" s="27"/>
      <c r="C100" s="28"/>
      <c r="D100" s="28"/>
      <c r="E100" s="23"/>
      <c r="F100" s="23"/>
      <c r="G100" s="23"/>
      <c r="H100" s="23"/>
    </row>
    <row r="101" spans="1:8">
      <c r="A101" s="27"/>
      <c r="C101" s="28"/>
      <c r="D101" s="28"/>
      <c r="E101" s="23"/>
      <c r="F101" s="23"/>
      <c r="G101" s="23"/>
      <c r="H101" s="23"/>
    </row>
    <row r="102" spans="1:8">
      <c r="A102" s="27"/>
      <c r="C102" s="28"/>
      <c r="D102" s="28"/>
      <c r="E102" s="23"/>
      <c r="F102" s="23"/>
      <c r="G102" s="23"/>
      <c r="H102" s="23"/>
    </row>
    <row r="103" spans="1:8">
      <c r="A103" s="27"/>
      <c r="C103" s="28"/>
      <c r="D103" s="28"/>
      <c r="E103" s="23"/>
      <c r="F103" s="23"/>
      <c r="G103" s="23"/>
      <c r="H103" s="23"/>
    </row>
    <row r="104" spans="1:8">
      <c r="A104" s="27"/>
      <c r="C104" s="28"/>
      <c r="D104" s="28"/>
      <c r="E104" s="23"/>
      <c r="F104" s="23"/>
      <c r="G104" s="23"/>
      <c r="H104" s="23"/>
    </row>
    <row r="105" spans="1:8">
      <c r="A105" s="27"/>
      <c r="C105" s="28"/>
      <c r="D105" s="28"/>
      <c r="E105" s="23"/>
      <c r="F105" s="23"/>
      <c r="G105" s="23"/>
      <c r="H105" s="23"/>
    </row>
    <row r="106" spans="1:8">
      <c r="A106" s="27"/>
      <c r="C106" s="28"/>
      <c r="D106" s="28"/>
      <c r="E106" s="23"/>
      <c r="F106" s="23"/>
      <c r="G106" s="23"/>
      <c r="H106" s="23"/>
    </row>
    <row r="107" spans="1:8">
      <c r="A107" s="27"/>
      <c r="C107" s="28"/>
      <c r="D107" s="28"/>
      <c r="E107" s="23"/>
      <c r="F107" s="23"/>
      <c r="G107" s="23"/>
      <c r="H107" s="23"/>
    </row>
    <row r="108" spans="1:8">
      <c r="A108" s="27"/>
      <c r="C108" s="28"/>
      <c r="D108" s="28"/>
      <c r="E108" s="23"/>
      <c r="F108" s="23"/>
      <c r="G108" s="23"/>
      <c r="H108" s="23"/>
    </row>
    <row r="109" spans="1:8">
      <c r="A109" s="27"/>
      <c r="C109" s="28"/>
      <c r="D109" s="28"/>
      <c r="E109" s="23"/>
      <c r="F109" s="23"/>
      <c r="G109" s="23"/>
      <c r="H109" s="23"/>
    </row>
    <row r="110" spans="1:8">
      <c r="A110" s="27"/>
      <c r="C110" s="28"/>
      <c r="D110" s="28"/>
      <c r="E110" s="23"/>
      <c r="F110" s="23"/>
      <c r="G110" s="23"/>
      <c r="H110" s="23"/>
    </row>
    <row r="111" spans="1:8">
      <c r="A111" s="27"/>
      <c r="C111" s="28"/>
      <c r="D111" s="28"/>
      <c r="E111" s="23"/>
      <c r="F111" s="23"/>
      <c r="G111" s="23"/>
      <c r="H111" s="23"/>
    </row>
    <row r="112" spans="1:8">
      <c r="A112" s="27"/>
      <c r="C112" s="28"/>
      <c r="D112" s="28"/>
      <c r="E112" s="23"/>
      <c r="F112" s="23"/>
      <c r="G112" s="23"/>
      <c r="H112" s="23"/>
    </row>
    <row r="113" spans="1:8">
      <c r="A113" s="27"/>
      <c r="C113" s="28"/>
      <c r="D113" s="28"/>
      <c r="E113" s="23"/>
      <c r="F113" s="23"/>
      <c r="G113" s="23"/>
      <c r="H113" s="23"/>
    </row>
    <row r="114" spans="1:8">
      <c r="A114" s="27"/>
      <c r="C114" s="28"/>
      <c r="D114" s="28"/>
      <c r="E114" s="23"/>
      <c r="F114" s="23"/>
      <c r="G114" s="23"/>
      <c r="H114" s="23"/>
    </row>
    <row r="115" spans="1:8">
      <c r="A115" s="27"/>
      <c r="C115" s="28"/>
      <c r="D115" s="28"/>
      <c r="E115" s="23"/>
      <c r="F115" s="23"/>
      <c r="G115" s="23"/>
      <c r="H115" s="23"/>
    </row>
    <row r="116" spans="1:8">
      <c r="A116" s="27"/>
      <c r="C116" s="28"/>
      <c r="D116" s="28"/>
      <c r="E116" s="23"/>
      <c r="F116" s="23"/>
      <c r="G116" s="23"/>
      <c r="H116" s="23"/>
    </row>
    <row r="117" spans="1:8">
      <c r="A117" s="27"/>
      <c r="C117" s="28"/>
      <c r="D117" s="28"/>
      <c r="E117" s="23"/>
      <c r="F117" s="23"/>
      <c r="G117" s="23"/>
      <c r="H117" s="23"/>
    </row>
    <row r="118" spans="1:8">
      <c r="A118" s="27"/>
      <c r="C118" s="28"/>
      <c r="D118" s="28"/>
      <c r="E118" s="23"/>
      <c r="F118" s="23"/>
      <c r="G118" s="23"/>
      <c r="H118" s="23"/>
    </row>
    <row r="119" spans="1:8">
      <c r="A119" s="27"/>
      <c r="C119" s="28"/>
      <c r="D119" s="28"/>
      <c r="E119" s="23"/>
      <c r="F119" s="23"/>
      <c r="G119" s="23"/>
      <c r="H119" s="23"/>
    </row>
    <row r="120" spans="1:8">
      <c r="A120" s="27"/>
      <c r="C120" s="28"/>
      <c r="D120" s="28"/>
      <c r="E120" s="23"/>
      <c r="F120" s="23"/>
      <c r="G120" s="23"/>
      <c r="H120" s="23"/>
    </row>
    <row r="121" spans="1:8">
      <c r="A121" s="27"/>
      <c r="C121" s="28"/>
      <c r="D121" s="28"/>
      <c r="E121" s="23"/>
      <c r="F121" s="23"/>
      <c r="G121" s="23"/>
      <c r="H121" s="23"/>
    </row>
    <row r="122" spans="1:8">
      <c r="A122" s="27"/>
      <c r="C122" s="28"/>
      <c r="D122" s="28"/>
      <c r="E122" s="23"/>
      <c r="F122" s="23"/>
      <c r="G122" s="23"/>
      <c r="H122" s="23"/>
    </row>
    <row r="123" spans="1:8">
      <c r="A123" s="27"/>
      <c r="C123" s="28"/>
      <c r="D123" s="28"/>
      <c r="E123" s="23"/>
      <c r="F123" s="23"/>
      <c r="G123" s="23"/>
      <c r="H123" s="23"/>
    </row>
    <row r="124" spans="1:8">
      <c r="A124" s="27"/>
      <c r="C124" s="28"/>
      <c r="D124" s="28"/>
      <c r="E124" s="23"/>
      <c r="F124" s="23"/>
      <c r="G124" s="23"/>
      <c r="H124" s="23"/>
    </row>
    <row r="125" spans="1:8">
      <c r="A125" s="27"/>
      <c r="C125" s="28"/>
      <c r="D125" s="28"/>
      <c r="E125" s="23"/>
      <c r="F125" s="23"/>
      <c r="G125" s="23"/>
      <c r="H125" s="23"/>
    </row>
    <row r="126" spans="1:8">
      <c r="A126" s="27"/>
      <c r="C126" s="28"/>
      <c r="D126" s="28"/>
      <c r="E126" s="23"/>
      <c r="F126" s="23"/>
      <c r="G126" s="23"/>
      <c r="H126" s="23"/>
    </row>
    <row r="127" spans="1:8">
      <c r="A127" s="27"/>
      <c r="C127" s="28"/>
      <c r="D127" s="28"/>
      <c r="E127" s="23"/>
      <c r="F127" s="23"/>
      <c r="G127" s="23"/>
      <c r="H127" s="23"/>
    </row>
    <row r="128" spans="1:8">
      <c r="A128" s="27"/>
      <c r="C128" s="28"/>
      <c r="D128" s="28"/>
      <c r="E128" s="23"/>
      <c r="F128" s="23"/>
      <c r="G128" s="23"/>
      <c r="H128" s="23"/>
    </row>
    <row r="129" spans="1:8">
      <c r="A129" s="27"/>
      <c r="C129" s="28"/>
      <c r="D129" s="28"/>
      <c r="E129" s="23"/>
      <c r="F129" s="23"/>
      <c r="G129" s="23"/>
      <c r="H129" s="23"/>
    </row>
    <row r="130" spans="1:8">
      <c r="A130" s="27"/>
      <c r="C130" s="28"/>
      <c r="D130" s="28"/>
      <c r="E130" s="23"/>
      <c r="F130" s="23"/>
      <c r="G130" s="23"/>
      <c r="H130" s="23"/>
    </row>
    <row r="131" spans="1:8">
      <c r="A131" s="27"/>
      <c r="C131" s="28"/>
      <c r="D131" s="28"/>
      <c r="E131" s="23"/>
      <c r="F131" s="23"/>
      <c r="G131" s="23"/>
      <c r="H131" s="23"/>
    </row>
    <row r="132" spans="1:8">
      <c r="A132" s="27"/>
      <c r="C132" s="28"/>
      <c r="D132" s="28"/>
      <c r="E132" s="23"/>
      <c r="F132" s="23"/>
      <c r="G132" s="23"/>
      <c r="H132" s="23"/>
    </row>
    <row r="133" spans="1:8">
      <c r="A133" s="27"/>
      <c r="C133" s="28"/>
      <c r="D133" s="28"/>
      <c r="E133" s="23"/>
      <c r="F133" s="23"/>
      <c r="G133" s="23"/>
      <c r="H133" s="23"/>
    </row>
    <row r="134" spans="1:8">
      <c r="A134" s="27"/>
      <c r="C134" s="28"/>
      <c r="D134" s="28"/>
      <c r="E134" s="23"/>
      <c r="F134" s="23"/>
      <c r="G134" s="23"/>
      <c r="H134" s="23"/>
    </row>
    <row r="135" spans="1:8">
      <c r="A135" s="27"/>
      <c r="C135" s="28"/>
      <c r="D135" s="28"/>
      <c r="E135" s="23"/>
      <c r="F135" s="23"/>
      <c r="G135" s="23"/>
      <c r="H135" s="23"/>
    </row>
    <row r="136" spans="1:8">
      <c r="A136" s="27"/>
      <c r="C136" s="28"/>
      <c r="D136" s="28"/>
      <c r="E136" s="23"/>
      <c r="F136" s="23"/>
      <c r="G136" s="23"/>
      <c r="H136" s="23"/>
    </row>
    <row r="137" spans="1:8">
      <c r="A137" s="27"/>
      <c r="C137" s="28"/>
      <c r="D137" s="28"/>
      <c r="E137" s="23"/>
      <c r="F137" s="23"/>
      <c r="G137" s="23"/>
      <c r="H137" s="23"/>
    </row>
    <row r="138" spans="1:8">
      <c r="A138" s="27"/>
      <c r="C138" s="28"/>
      <c r="D138" s="28"/>
      <c r="E138" s="23"/>
      <c r="F138" s="23"/>
      <c r="G138" s="23"/>
      <c r="H138" s="23"/>
    </row>
    <row r="139" spans="1:8">
      <c r="A139" s="27"/>
      <c r="C139" s="28"/>
      <c r="D139" s="28"/>
      <c r="E139" s="23"/>
      <c r="F139" s="23"/>
      <c r="G139" s="23"/>
      <c r="H139" s="23"/>
    </row>
    <row r="140" spans="1:8">
      <c r="A140" s="27"/>
      <c r="C140" s="28"/>
      <c r="D140" s="28"/>
      <c r="E140" s="23"/>
      <c r="F140" s="23"/>
      <c r="G140" s="23"/>
      <c r="H140" s="23"/>
    </row>
    <row r="141" spans="1:8">
      <c r="A141" s="27"/>
      <c r="C141" s="28"/>
      <c r="D141" s="28"/>
      <c r="E141" s="23"/>
      <c r="F141" s="23"/>
      <c r="G141" s="23"/>
      <c r="H141" s="23"/>
    </row>
    <row r="142" spans="1:8">
      <c r="A142" s="27"/>
      <c r="C142" s="28"/>
      <c r="D142" s="28"/>
      <c r="E142" s="23"/>
      <c r="F142" s="23"/>
      <c r="G142" s="23"/>
      <c r="H142" s="23"/>
    </row>
    <row r="143" spans="1:8">
      <c r="A143" s="27"/>
      <c r="C143" s="28"/>
      <c r="D143" s="28"/>
      <c r="E143" s="23"/>
      <c r="F143" s="23"/>
      <c r="G143" s="23"/>
      <c r="H143" s="23"/>
    </row>
    <row r="144" spans="1:8">
      <c r="A144" s="27"/>
      <c r="C144" s="28"/>
      <c r="D144" s="28"/>
      <c r="E144" s="23"/>
      <c r="F144" s="23"/>
      <c r="G144" s="23"/>
      <c r="H144" s="23"/>
    </row>
    <row r="145" spans="1:8">
      <c r="A145" s="27"/>
      <c r="C145" s="28"/>
      <c r="D145" s="28"/>
      <c r="E145" s="23"/>
      <c r="F145" s="23"/>
      <c r="G145" s="23"/>
      <c r="H145" s="23"/>
    </row>
    <row r="146" spans="1:8">
      <c r="A146" s="27"/>
      <c r="C146" s="28"/>
      <c r="D146" s="28"/>
      <c r="E146" s="23"/>
      <c r="F146" s="23"/>
      <c r="G146" s="23"/>
      <c r="H146" s="23"/>
    </row>
    <row r="147" spans="1:8">
      <c r="A147" s="27"/>
      <c r="C147" s="28"/>
      <c r="D147" s="28"/>
      <c r="E147" s="23"/>
      <c r="F147" s="23"/>
      <c r="G147" s="23"/>
      <c r="H147" s="23"/>
    </row>
    <row r="148" spans="1:8">
      <c r="A148" s="27"/>
      <c r="C148" s="28"/>
      <c r="D148" s="28"/>
      <c r="E148" s="23"/>
      <c r="F148" s="23"/>
      <c r="G148" s="23"/>
      <c r="H148" s="23"/>
    </row>
    <row r="149" spans="1:8">
      <c r="A149" s="27"/>
      <c r="C149" s="28"/>
      <c r="D149" s="28"/>
      <c r="E149" s="23"/>
      <c r="F149" s="23"/>
      <c r="G149" s="23"/>
      <c r="H149" s="23"/>
    </row>
    <row r="150" spans="1:8">
      <c r="A150" s="27"/>
      <c r="C150" s="28"/>
      <c r="D150" s="28"/>
      <c r="E150" s="23"/>
      <c r="F150" s="23"/>
      <c r="G150" s="23"/>
      <c r="H150" s="23"/>
    </row>
    <row r="151" spans="1:8">
      <c r="A151" s="27"/>
      <c r="C151" s="28"/>
      <c r="D151" s="28"/>
      <c r="E151" s="23"/>
      <c r="F151" s="23"/>
      <c r="G151" s="23"/>
      <c r="H151" s="23"/>
    </row>
    <row r="152" spans="1:8">
      <c r="A152" s="27"/>
      <c r="C152" s="28"/>
      <c r="D152" s="28"/>
      <c r="E152" s="23"/>
      <c r="F152" s="23"/>
      <c r="G152" s="23"/>
      <c r="H152" s="23"/>
    </row>
    <row r="153" spans="1:8">
      <c r="A153" s="27"/>
      <c r="C153" s="28"/>
      <c r="D153" s="28"/>
      <c r="E153" s="23"/>
      <c r="F153" s="23"/>
      <c r="G153" s="23"/>
      <c r="H153" s="23"/>
    </row>
    <row r="154" spans="1:8">
      <c r="A154" s="27"/>
      <c r="C154" s="28"/>
      <c r="D154" s="28"/>
      <c r="E154" s="23"/>
      <c r="F154" s="23"/>
      <c r="G154" s="23"/>
      <c r="H154" s="23"/>
    </row>
    <row r="155" spans="1:8">
      <c r="A155" s="27"/>
      <c r="C155" s="28"/>
      <c r="D155" s="28"/>
      <c r="E155" s="23"/>
      <c r="F155" s="23"/>
      <c r="G155" s="23"/>
      <c r="H155" s="23"/>
    </row>
    <row r="156" spans="1:8">
      <c r="A156" s="27"/>
      <c r="C156" s="28"/>
      <c r="D156" s="28"/>
      <c r="E156" s="23"/>
      <c r="F156" s="23"/>
      <c r="G156" s="23"/>
      <c r="H156" s="23"/>
    </row>
    <row r="157" spans="1:8">
      <c r="A157" s="27"/>
      <c r="C157" s="28"/>
      <c r="D157" s="28"/>
      <c r="E157" s="23"/>
      <c r="F157" s="23"/>
      <c r="G157" s="23"/>
      <c r="H157" s="23"/>
    </row>
    <row r="158" spans="1:8">
      <c r="A158" s="27"/>
      <c r="C158" s="28"/>
      <c r="D158" s="28"/>
      <c r="E158" s="23"/>
      <c r="F158" s="23"/>
      <c r="G158" s="23"/>
      <c r="H158" s="23"/>
    </row>
    <row r="159" spans="1:8">
      <c r="A159" s="27"/>
      <c r="C159" s="28"/>
      <c r="D159" s="28"/>
      <c r="E159" s="23"/>
      <c r="F159" s="23"/>
      <c r="G159" s="23"/>
      <c r="H159" s="23"/>
    </row>
    <row r="160" spans="1:8">
      <c r="A160" s="27"/>
      <c r="C160" s="28"/>
      <c r="D160" s="28"/>
      <c r="E160" s="23"/>
      <c r="F160" s="23"/>
      <c r="G160" s="23"/>
      <c r="H160" s="23"/>
    </row>
    <row r="161" spans="1:8">
      <c r="A161" s="27"/>
      <c r="C161" s="28"/>
      <c r="D161" s="28"/>
      <c r="E161" s="23"/>
      <c r="F161" s="23"/>
      <c r="G161" s="23"/>
      <c r="H161" s="23"/>
    </row>
    <row r="162" spans="1:8">
      <c r="A162" s="27"/>
      <c r="C162" s="28"/>
      <c r="D162" s="28"/>
      <c r="E162" s="23"/>
      <c r="F162" s="23"/>
      <c r="G162" s="23"/>
      <c r="H162" s="23"/>
    </row>
    <row r="163" spans="1:8">
      <c r="A163" s="27"/>
      <c r="C163" s="28"/>
      <c r="D163" s="28"/>
      <c r="E163" s="23"/>
      <c r="F163" s="23"/>
      <c r="G163" s="23"/>
      <c r="H163" s="23"/>
    </row>
    <row r="164" spans="1:8">
      <c r="A164" s="27"/>
      <c r="C164" s="28"/>
      <c r="D164" s="28"/>
      <c r="E164" s="23"/>
      <c r="F164" s="23"/>
      <c r="G164" s="23"/>
      <c r="H164" s="23"/>
    </row>
    <row r="165" spans="1:8">
      <c r="A165" s="27"/>
      <c r="C165" s="28"/>
      <c r="D165" s="28"/>
      <c r="E165" s="23"/>
      <c r="F165" s="23"/>
      <c r="G165" s="23"/>
      <c r="H165" s="23"/>
    </row>
    <row r="166" spans="1:8">
      <c r="A166" s="27"/>
      <c r="C166" s="28"/>
      <c r="D166" s="28"/>
      <c r="E166" s="23"/>
      <c r="F166" s="23"/>
      <c r="G166" s="23"/>
      <c r="H166" s="23"/>
    </row>
    <row r="167" spans="1:8">
      <c r="A167" s="27"/>
      <c r="C167" s="28"/>
      <c r="D167" s="28"/>
      <c r="E167" s="23"/>
      <c r="F167" s="23"/>
      <c r="G167" s="23"/>
      <c r="H167" s="23"/>
    </row>
    <row r="168" spans="1:8">
      <c r="A168" s="27"/>
      <c r="C168" s="28"/>
      <c r="D168" s="28"/>
      <c r="E168" s="23"/>
      <c r="F168" s="23"/>
      <c r="G168" s="23"/>
      <c r="H168" s="23"/>
    </row>
    <row r="169" spans="1:8">
      <c r="A169" s="27"/>
      <c r="C169" s="28"/>
      <c r="D169" s="28"/>
      <c r="E169" s="23"/>
      <c r="F169" s="23"/>
      <c r="G169" s="23"/>
      <c r="H169" s="23"/>
    </row>
    <row r="170" spans="1:8">
      <c r="A170" s="27"/>
      <c r="C170" s="28"/>
      <c r="D170" s="28"/>
      <c r="E170" s="23"/>
      <c r="F170" s="23"/>
      <c r="G170" s="23"/>
      <c r="H170" s="23"/>
    </row>
    <row r="171" spans="1:8">
      <c r="A171" s="27"/>
      <c r="C171" s="28"/>
      <c r="D171" s="28"/>
      <c r="E171" s="23"/>
      <c r="F171" s="23"/>
      <c r="G171" s="23"/>
      <c r="H171" s="23"/>
    </row>
    <row r="172" spans="1:8">
      <c r="A172" s="27"/>
      <c r="C172" s="28"/>
      <c r="D172" s="28"/>
      <c r="E172" s="23"/>
      <c r="F172" s="23"/>
      <c r="G172" s="23"/>
      <c r="H172" s="23"/>
    </row>
    <row r="173" spans="1:8">
      <c r="A173" s="27"/>
      <c r="C173" s="28"/>
      <c r="D173" s="28"/>
      <c r="E173" s="23"/>
      <c r="F173" s="23"/>
      <c r="G173" s="23"/>
      <c r="H173" s="23"/>
    </row>
    <row r="174" spans="1:8">
      <c r="A174" s="27"/>
      <c r="C174" s="28"/>
      <c r="D174" s="28"/>
      <c r="E174" s="23"/>
      <c r="F174" s="23"/>
      <c r="G174" s="23"/>
      <c r="H174" s="23"/>
    </row>
    <row r="175" spans="1:8">
      <c r="A175" s="27"/>
      <c r="C175" s="28"/>
      <c r="D175" s="28"/>
      <c r="E175" s="23"/>
      <c r="F175" s="23"/>
      <c r="G175" s="23"/>
      <c r="H175" s="23"/>
    </row>
    <row r="176" spans="1:8">
      <c r="A176" s="27"/>
      <c r="C176" s="28"/>
      <c r="D176" s="28"/>
      <c r="E176" s="23"/>
      <c r="F176" s="23"/>
      <c r="G176" s="23"/>
      <c r="H176" s="23"/>
    </row>
    <row r="177" spans="1:8">
      <c r="A177" s="27"/>
      <c r="C177" s="28"/>
      <c r="D177" s="28"/>
      <c r="E177" s="23"/>
      <c r="F177" s="23"/>
      <c r="G177" s="23"/>
      <c r="H177" s="23"/>
    </row>
    <row r="178" spans="1:8">
      <c r="A178" s="27"/>
      <c r="C178" s="28"/>
      <c r="D178" s="28"/>
      <c r="E178" s="23"/>
      <c r="F178" s="23"/>
      <c r="G178" s="23"/>
      <c r="H178" s="23"/>
    </row>
    <row r="179" spans="1:8">
      <c r="A179" s="27"/>
      <c r="C179" s="28"/>
      <c r="D179" s="28"/>
      <c r="E179" s="23"/>
      <c r="F179" s="23"/>
      <c r="G179" s="23"/>
      <c r="H179" s="23"/>
    </row>
    <row r="180" spans="1:8">
      <c r="A180" s="27"/>
      <c r="C180" s="28"/>
      <c r="D180" s="28"/>
      <c r="E180" s="23"/>
      <c r="F180" s="23"/>
      <c r="G180" s="23"/>
      <c r="H180" s="23"/>
    </row>
    <row r="181" spans="1:8">
      <c r="A181" s="27"/>
      <c r="C181" s="28"/>
      <c r="D181" s="28"/>
      <c r="E181" s="23"/>
      <c r="F181" s="23"/>
      <c r="G181" s="23"/>
      <c r="H181" s="23"/>
    </row>
    <row r="182" spans="1:8">
      <c r="A182" s="27"/>
      <c r="C182" s="28"/>
      <c r="D182" s="28"/>
      <c r="E182" s="23"/>
      <c r="F182" s="23"/>
      <c r="G182" s="23"/>
      <c r="H182" s="23"/>
    </row>
    <row r="183" spans="1:8">
      <c r="A183" s="27"/>
      <c r="C183" s="28"/>
      <c r="D183" s="28"/>
      <c r="E183" s="23"/>
      <c r="F183" s="23"/>
      <c r="G183" s="23"/>
      <c r="H183" s="23"/>
    </row>
    <row r="184" spans="1:8">
      <c r="A184" s="27"/>
      <c r="C184" s="28"/>
      <c r="D184" s="28"/>
      <c r="E184" s="23"/>
      <c r="F184" s="23"/>
      <c r="G184" s="23"/>
      <c r="H184" s="23"/>
    </row>
    <row r="185" spans="1:8">
      <c r="A185" s="27"/>
      <c r="C185" s="28"/>
      <c r="D185" s="28"/>
      <c r="E185" s="23"/>
      <c r="F185" s="23"/>
      <c r="G185" s="23"/>
      <c r="H185" s="23"/>
    </row>
    <row r="186" spans="1:8">
      <c r="A186" s="27"/>
      <c r="C186" s="28"/>
      <c r="D186" s="28"/>
      <c r="E186" s="23"/>
      <c r="F186" s="23"/>
      <c r="G186" s="23"/>
      <c r="H186" s="23"/>
    </row>
    <row r="187" spans="1:8">
      <c r="A187" s="27"/>
      <c r="C187" s="28"/>
      <c r="D187" s="28"/>
      <c r="E187" s="23"/>
      <c r="F187" s="23"/>
      <c r="G187" s="23"/>
      <c r="H187" s="23"/>
    </row>
    <row r="188" spans="1:8">
      <c r="A188" s="27"/>
      <c r="C188" s="28"/>
      <c r="D188" s="28"/>
      <c r="E188" s="23"/>
      <c r="F188" s="23"/>
      <c r="G188" s="23"/>
      <c r="H188" s="23"/>
    </row>
    <row r="189" spans="1:8">
      <c r="A189" s="27"/>
      <c r="C189" s="28"/>
      <c r="D189" s="28"/>
      <c r="E189" s="23"/>
      <c r="F189" s="23"/>
      <c r="G189" s="23"/>
      <c r="H189" s="23"/>
    </row>
    <row r="190" spans="1:8">
      <c r="A190" s="27"/>
      <c r="C190" s="28"/>
      <c r="D190" s="28"/>
      <c r="E190" s="23"/>
      <c r="F190" s="23"/>
      <c r="G190" s="23"/>
      <c r="H190" s="23"/>
    </row>
    <row r="191" spans="1:8">
      <c r="A191" s="27"/>
      <c r="C191" s="28"/>
      <c r="D191" s="28"/>
      <c r="E191" s="23"/>
      <c r="F191" s="23"/>
      <c r="G191" s="23"/>
      <c r="H191" s="23"/>
    </row>
    <row r="192" spans="1:8">
      <c r="A192" s="27"/>
      <c r="C192" s="28"/>
      <c r="D192" s="28"/>
      <c r="E192" s="23"/>
      <c r="F192" s="23"/>
      <c r="G192" s="23"/>
      <c r="H192" s="23"/>
    </row>
    <row r="193" spans="1:8">
      <c r="A193" s="27"/>
      <c r="C193" s="28"/>
      <c r="D193" s="28"/>
      <c r="E193" s="23"/>
      <c r="F193" s="23"/>
      <c r="G193" s="23"/>
      <c r="H193" s="23"/>
    </row>
    <row r="194" spans="1:8">
      <c r="A194" s="27"/>
      <c r="C194" s="28"/>
      <c r="D194" s="28"/>
      <c r="E194" s="23"/>
      <c r="F194" s="23"/>
      <c r="G194" s="23"/>
      <c r="H194" s="23"/>
    </row>
    <row r="195" spans="1:8">
      <c r="A195" s="27"/>
      <c r="C195" s="28"/>
      <c r="D195" s="28"/>
      <c r="E195" s="23"/>
      <c r="F195" s="23"/>
      <c r="G195" s="23"/>
      <c r="H195" s="23"/>
    </row>
    <row r="196" spans="1:8">
      <c r="A196" s="27"/>
      <c r="C196" s="28"/>
      <c r="D196" s="28"/>
      <c r="E196" s="23"/>
      <c r="F196" s="23"/>
      <c r="G196" s="23"/>
      <c r="H196" s="23"/>
    </row>
    <row r="197" spans="1:8">
      <c r="A197" s="27"/>
      <c r="C197" s="28"/>
      <c r="D197" s="28"/>
      <c r="E197" s="23"/>
      <c r="F197" s="23"/>
      <c r="G197" s="23"/>
      <c r="H197" s="23"/>
    </row>
    <row r="198" spans="1:8">
      <c r="A198" s="27"/>
      <c r="C198" s="28"/>
      <c r="D198" s="28"/>
      <c r="E198" s="23"/>
      <c r="F198" s="23"/>
      <c r="G198" s="23"/>
      <c r="H198" s="23"/>
    </row>
    <row r="199" spans="1:8">
      <c r="A199" s="27"/>
      <c r="C199" s="28"/>
      <c r="D199" s="28"/>
      <c r="E199" s="23"/>
      <c r="F199" s="23"/>
      <c r="G199" s="23"/>
      <c r="H199" s="23"/>
    </row>
    <row r="200" spans="1:8">
      <c r="A200" s="27"/>
      <c r="C200" s="28"/>
      <c r="D200" s="28"/>
      <c r="E200" s="23"/>
      <c r="F200" s="23"/>
      <c r="G200" s="23"/>
      <c r="H200" s="23"/>
    </row>
    <row r="201" spans="1:8">
      <c r="A201" s="27"/>
      <c r="C201" s="28"/>
      <c r="D201" s="28"/>
      <c r="E201" s="23"/>
      <c r="F201" s="23"/>
      <c r="G201" s="23"/>
      <c r="H201" s="23"/>
    </row>
    <row r="202" spans="1:8">
      <c r="A202" s="27"/>
      <c r="C202" s="28"/>
      <c r="D202" s="28"/>
      <c r="E202" s="23"/>
      <c r="F202" s="23"/>
      <c r="G202" s="23"/>
      <c r="H202" s="23"/>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sheetData>
  <autoFilter xmlns:etc="http://www.wps.cn/officeDocument/2017/etCustomData" ref="A8:H93" etc:filterBottomFollowUsedRange="0">
    <sortState ref="A8:H93">
      <sortCondition ref="B8"/>
    </sortState>
    <extLst/>
  </autoFilter>
  <mergeCells count="8">
    <mergeCell ref="A1:H1"/>
    <mergeCell ref="A2:H2"/>
    <mergeCell ref="A3:H3"/>
    <mergeCell ref="A5:H5"/>
    <mergeCell ref="C6:D6"/>
    <mergeCell ref="E6:H6"/>
    <mergeCell ref="A6:A7"/>
    <mergeCell ref="B6:B7"/>
  </mergeCells>
  <printOptions horizontalCentered="1"/>
  <pageMargins left="0.393700787401575" right="0.393700787401575" top="0.590551181102362" bottom="0.393700787401575" header="0.393700787401575" footer="0.196850393700787"/>
  <pageSetup paperSize="9" scale="82" fitToHeight="0" orientation="landscape"/>
  <headerFooter differentFirst="1">
    <oddHeader>&amp;C&amp;"Times New Roman,Regular"&amp;P</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FF00"/>
    <pageSetUpPr fitToPage="1"/>
  </sheetPr>
  <dimension ref="A1:I586"/>
  <sheetViews>
    <sheetView showGridLines="0" view="pageBreakPreview" zoomScale="85" zoomScaleNormal="100" topLeftCell="A24" workbookViewId="0">
      <selection activeCell="E27" sqref="E27"/>
    </sheetView>
  </sheetViews>
  <sheetFormatPr defaultColWidth="9.12962962962963" defaultRowHeight="13.8"/>
  <cols>
    <col min="1" max="1" width="7.62962962962963" style="1" customWidth="1"/>
    <col min="2" max="2" width="39.5" style="27" customWidth="1"/>
    <col min="3" max="4" width="30.75" style="32" customWidth="1"/>
    <col min="5" max="8" width="13.8796296296296" style="45" customWidth="1"/>
    <col min="9" max="16384" width="9.12962962962963" style="31"/>
  </cols>
  <sheetData>
    <row r="1" spans="1:9">
      <c r="A1" s="6" t="s">
        <v>139</v>
      </c>
      <c r="B1" s="6"/>
      <c r="C1" s="7"/>
      <c r="D1" s="7"/>
      <c r="E1" s="6"/>
      <c r="F1" s="6"/>
      <c r="G1" s="6"/>
      <c r="H1" s="6"/>
    </row>
    <row r="2" spans="1:9">
      <c r="A2" s="8" t="s">
        <v>4</v>
      </c>
      <c r="B2" s="8"/>
      <c r="C2" s="8"/>
      <c r="D2" s="8"/>
      <c r="E2" s="34"/>
      <c r="F2" s="34"/>
      <c r="G2" s="34"/>
      <c r="H2" s="34"/>
    </row>
    <row r="3" spans="1:9">
      <c r="A3" s="9" t="s">
        <v>5</v>
      </c>
      <c r="B3" s="9" t="s">
        <v>6</v>
      </c>
      <c r="C3" s="9" t="s">
        <v>7</v>
      </c>
      <c r="D3" s="9"/>
      <c r="E3" s="10" t="s">
        <v>8</v>
      </c>
      <c r="F3" s="10"/>
      <c r="G3" s="10"/>
      <c r="H3" s="10"/>
    </row>
    <row r="4" spans="1:9">
      <c r="A4" s="11"/>
      <c r="B4" s="11"/>
      <c r="C4" s="9" t="s">
        <v>9</v>
      </c>
      <c r="D4" s="9" t="s">
        <v>10</v>
      </c>
      <c r="E4" s="10" t="s">
        <v>11</v>
      </c>
      <c r="F4" s="10" t="s">
        <v>12</v>
      </c>
      <c r="G4" s="10" t="s">
        <v>13</v>
      </c>
      <c r="H4" s="10" t="s">
        <v>14</v>
      </c>
      <c r="I4" s="31">
        <f>COUNT(E7:E38)</f>
        <v>25</v>
      </c>
    </row>
    <row r="5" spans="1:9">
      <c r="A5" s="218" t="s">
        <v>140</v>
      </c>
      <c r="B5" s="13"/>
      <c r="C5" s="15"/>
      <c r="D5" s="15"/>
      <c r="E5" s="10" t="s">
        <v>16</v>
      </c>
      <c r="F5" s="10" t="s">
        <v>16</v>
      </c>
      <c r="G5" s="10" t="s">
        <v>16</v>
      </c>
      <c r="H5" s="10" t="s">
        <v>16</v>
      </c>
    </row>
    <row r="6" spans="1:9">
      <c r="A6" s="54">
        <v>1</v>
      </c>
      <c r="B6" s="18" t="s">
        <v>141</v>
      </c>
      <c r="C6" s="18"/>
      <c r="D6" s="18"/>
      <c r="E6" s="51" t="s">
        <v>16</v>
      </c>
      <c r="F6" s="52" t="s">
        <v>16</v>
      </c>
      <c r="G6" s="52" t="s">
        <v>16</v>
      </c>
      <c r="H6" s="52" t="s">
        <v>16</v>
      </c>
    </row>
    <row r="7" ht="27.6" spans="1:9">
      <c r="A7" s="36"/>
      <c r="B7" s="18" t="s">
        <v>142</v>
      </c>
      <c r="C7" s="18"/>
      <c r="D7" s="18"/>
      <c r="E7" s="55">
        <v>2650000</v>
      </c>
      <c r="F7" s="55">
        <v>1850000</v>
      </c>
      <c r="G7" s="55">
        <v>1300000</v>
      </c>
      <c r="H7" s="23">
        <v>0</v>
      </c>
    </row>
    <row r="8" ht="27.6" spans="1:9">
      <c r="A8" s="36"/>
      <c r="B8" s="18" t="s">
        <v>143</v>
      </c>
      <c r="C8" s="18"/>
      <c r="D8" s="18"/>
      <c r="E8" s="55">
        <v>1900000</v>
      </c>
      <c r="F8" s="55">
        <v>1350000</v>
      </c>
      <c r="G8" s="55">
        <v>950000</v>
      </c>
      <c r="H8" s="23">
        <v>0</v>
      </c>
    </row>
    <row r="9" ht="27.6" spans="1:9">
      <c r="A9" s="36"/>
      <c r="B9" s="18" t="s">
        <v>144</v>
      </c>
      <c r="C9" s="18"/>
      <c r="D9" s="18"/>
      <c r="E9" s="23">
        <v>1350000</v>
      </c>
      <c r="F9" s="23">
        <v>750000</v>
      </c>
      <c r="G9" s="23">
        <v>500000</v>
      </c>
      <c r="H9" s="23">
        <v>0</v>
      </c>
    </row>
    <row r="10" spans="1:9">
      <c r="A10" s="36">
        <v>2</v>
      </c>
      <c r="B10" s="18" t="s">
        <v>145</v>
      </c>
      <c r="C10" s="18"/>
      <c r="D10" s="18"/>
      <c r="E10" s="23"/>
      <c r="F10" s="23"/>
      <c r="G10" s="23"/>
      <c r="H10" s="23"/>
    </row>
    <row r="11" ht="41.4" spans="1:9">
      <c r="A11" s="36"/>
      <c r="B11" s="18" t="s">
        <v>146</v>
      </c>
      <c r="C11" s="18"/>
      <c r="D11" s="18"/>
      <c r="E11" s="23">
        <v>375000</v>
      </c>
      <c r="F11" s="23">
        <v>260000</v>
      </c>
      <c r="G11" s="23">
        <v>185000</v>
      </c>
      <c r="H11" s="23">
        <v>0</v>
      </c>
      <c r="I11" s="31" t="s">
        <v>147</v>
      </c>
    </row>
    <row r="12" spans="1:9">
      <c r="A12" s="36">
        <v>3</v>
      </c>
      <c r="B12" s="18" t="s">
        <v>148</v>
      </c>
      <c r="C12" s="18"/>
      <c r="D12" s="18"/>
      <c r="E12" s="23" t="s">
        <v>16</v>
      </c>
      <c r="F12" s="23" t="s">
        <v>16</v>
      </c>
      <c r="G12" s="23" t="s">
        <v>16</v>
      </c>
      <c r="H12" s="23" t="s">
        <v>16</v>
      </c>
    </row>
    <row r="13" spans="1:9">
      <c r="A13" s="36"/>
      <c r="B13" s="18" t="s">
        <v>149</v>
      </c>
      <c r="C13" s="18"/>
      <c r="D13" s="18"/>
      <c r="E13" s="23">
        <v>600000</v>
      </c>
      <c r="F13" s="23">
        <v>415000</v>
      </c>
      <c r="G13" s="23">
        <v>295000</v>
      </c>
      <c r="H13" s="23">
        <v>0</v>
      </c>
    </row>
    <row r="14" ht="27.6" spans="1:9">
      <c r="A14" s="36"/>
      <c r="B14" s="18" t="s">
        <v>150</v>
      </c>
      <c r="C14" s="18"/>
      <c r="D14" s="18"/>
      <c r="E14" s="23">
        <v>375000</v>
      </c>
      <c r="F14" s="23">
        <v>260000</v>
      </c>
      <c r="G14" s="23">
        <v>185000</v>
      </c>
      <c r="H14" s="23">
        <v>0</v>
      </c>
    </row>
    <row r="15" ht="27.6" spans="1:9">
      <c r="A15" s="36"/>
      <c r="B15" s="18" t="s">
        <v>151</v>
      </c>
      <c r="C15" s="18"/>
      <c r="D15" s="18"/>
      <c r="E15" s="23">
        <v>375000</v>
      </c>
      <c r="F15" s="23">
        <v>260000</v>
      </c>
      <c r="G15" s="23">
        <v>185000</v>
      </c>
      <c r="H15" s="23">
        <v>0</v>
      </c>
    </row>
    <row r="16" ht="27.6" spans="1:9">
      <c r="A16" s="36">
        <v>4</v>
      </c>
      <c r="B16" s="18" t="s">
        <v>152</v>
      </c>
      <c r="C16" s="18"/>
      <c r="D16" s="18"/>
      <c r="E16" s="23">
        <v>345000</v>
      </c>
      <c r="F16" s="23">
        <v>240000</v>
      </c>
      <c r="G16" s="23">
        <v>165000</v>
      </c>
      <c r="H16" s="23">
        <v>0</v>
      </c>
    </row>
    <row r="17" ht="41.4" spans="1:9">
      <c r="A17" s="36">
        <v>5</v>
      </c>
      <c r="B17" s="18" t="s">
        <v>153</v>
      </c>
      <c r="C17" s="18"/>
      <c r="D17" s="18"/>
      <c r="E17" s="23">
        <v>500000</v>
      </c>
      <c r="F17" s="23">
        <v>345000</v>
      </c>
      <c r="G17" s="23">
        <v>240000</v>
      </c>
      <c r="H17" s="23">
        <v>0</v>
      </c>
    </row>
    <row r="18" ht="41.4" spans="1:9">
      <c r="A18" s="36">
        <v>6</v>
      </c>
      <c r="B18" s="18" t="s">
        <v>154</v>
      </c>
      <c r="C18" s="18"/>
      <c r="D18" s="18"/>
      <c r="E18" s="23">
        <v>415000</v>
      </c>
      <c r="F18" s="23">
        <v>290000</v>
      </c>
      <c r="G18" s="23">
        <v>205000</v>
      </c>
      <c r="H18" s="23">
        <v>0</v>
      </c>
    </row>
    <row r="19" ht="41.4" spans="1:9">
      <c r="A19" s="36">
        <v>7</v>
      </c>
      <c r="B19" s="18" t="s">
        <v>155</v>
      </c>
      <c r="C19" s="18"/>
      <c r="D19" s="18"/>
      <c r="E19" s="23">
        <v>415000</v>
      </c>
      <c r="F19" s="23">
        <v>290000</v>
      </c>
      <c r="G19" s="23">
        <v>205000</v>
      </c>
      <c r="H19" s="23">
        <v>0</v>
      </c>
      <c r="I19" s="31" t="s">
        <v>156</v>
      </c>
    </row>
    <row r="20" ht="55.2" spans="1:9">
      <c r="A20" s="36">
        <v>8</v>
      </c>
      <c r="B20" s="18" t="s">
        <v>157</v>
      </c>
      <c r="C20" s="18"/>
      <c r="D20" s="18"/>
      <c r="E20" s="23">
        <v>210000</v>
      </c>
      <c r="F20" s="23">
        <v>145000</v>
      </c>
      <c r="G20" s="23">
        <v>100000</v>
      </c>
      <c r="H20" s="23">
        <v>0</v>
      </c>
    </row>
    <row r="21" spans="1:9">
      <c r="A21" s="36">
        <v>9</v>
      </c>
      <c r="B21" s="18" t="s">
        <v>158</v>
      </c>
      <c r="C21" s="18"/>
      <c r="D21" s="18"/>
      <c r="E21" s="23" t="s">
        <v>16</v>
      </c>
      <c r="F21" s="23" t="s">
        <v>16</v>
      </c>
      <c r="G21" s="23" t="s">
        <v>16</v>
      </c>
      <c r="H21" s="23"/>
    </row>
    <row r="22" ht="27.6" spans="1:9">
      <c r="A22" s="36"/>
      <c r="B22" s="18" t="s">
        <v>159</v>
      </c>
      <c r="C22" s="18"/>
      <c r="D22" s="18"/>
      <c r="E22" s="23">
        <v>210000</v>
      </c>
      <c r="F22" s="23">
        <v>145000</v>
      </c>
      <c r="G22" s="23">
        <v>100000</v>
      </c>
      <c r="H22" s="23">
        <v>0</v>
      </c>
    </row>
    <row r="23" ht="27.6" spans="1:9">
      <c r="A23" s="36"/>
      <c r="B23" s="18" t="s">
        <v>160</v>
      </c>
      <c r="C23" s="18"/>
      <c r="D23" s="18"/>
      <c r="E23" s="23">
        <v>210000</v>
      </c>
      <c r="F23" s="23">
        <v>145000</v>
      </c>
      <c r="G23" s="23">
        <v>100000</v>
      </c>
      <c r="H23" s="23">
        <v>0</v>
      </c>
    </row>
    <row r="24" ht="27.6" spans="1:9">
      <c r="A24" s="36"/>
      <c r="B24" s="18" t="s">
        <v>161</v>
      </c>
      <c r="C24" s="18"/>
      <c r="D24" s="18"/>
      <c r="E24" s="23">
        <v>210000</v>
      </c>
      <c r="F24" s="23">
        <v>145000</v>
      </c>
      <c r="G24" s="23">
        <v>100000</v>
      </c>
      <c r="H24" s="23">
        <v>0</v>
      </c>
    </row>
    <row r="25" spans="1:9">
      <c r="A25" s="36">
        <v>10</v>
      </c>
      <c r="B25" s="18" t="s">
        <v>162</v>
      </c>
      <c r="C25" s="18"/>
      <c r="D25" s="18"/>
      <c r="E25" s="23" t="s">
        <v>16</v>
      </c>
      <c r="F25" s="23" t="s">
        <v>16</v>
      </c>
      <c r="G25" s="23" t="s">
        <v>16</v>
      </c>
      <c r="H25" s="23" t="s">
        <v>16</v>
      </c>
    </row>
    <row r="26" ht="27.6" spans="1:9">
      <c r="A26" s="36"/>
      <c r="B26" s="18" t="s">
        <v>163</v>
      </c>
      <c r="C26" s="18"/>
      <c r="D26" s="18"/>
      <c r="E26" s="23">
        <v>345000</v>
      </c>
      <c r="F26" s="23">
        <v>240000</v>
      </c>
      <c r="G26" s="23">
        <v>165000</v>
      </c>
      <c r="H26" s="23">
        <v>0</v>
      </c>
    </row>
    <row r="27" spans="1:9">
      <c r="A27" s="36"/>
      <c r="B27" s="18" t="s">
        <v>164</v>
      </c>
      <c r="C27" s="18"/>
      <c r="D27" s="18"/>
      <c r="E27" s="23">
        <v>345000</v>
      </c>
      <c r="F27" s="23">
        <v>240000</v>
      </c>
      <c r="G27" s="23">
        <v>165000</v>
      </c>
      <c r="H27" s="23">
        <v>0</v>
      </c>
    </row>
    <row r="28" ht="41.4" spans="1:9">
      <c r="A28" s="36">
        <v>11</v>
      </c>
      <c r="B28" s="18" t="s">
        <v>165</v>
      </c>
      <c r="C28" s="18"/>
      <c r="D28" s="18"/>
      <c r="E28" s="23">
        <v>300000</v>
      </c>
      <c r="F28" s="23">
        <v>210000</v>
      </c>
      <c r="G28" s="23">
        <v>145000</v>
      </c>
      <c r="H28" s="23">
        <v>0</v>
      </c>
    </row>
    <row r="29" ht="41.4" spans="1:9">
      <c r="A29" s="36">
        <v>12</v>
      </c>
      <c r="B29" s="18" t="s">
        <v>166</v>
      </c>
      <c r="C29" s="18"/>
      <c r="D29" s="18"/>
      <c r="E29" s="23">
        <v>210000</v>
      </c>
      <c r="F29" s="23">
        <v>145000</v>
      </c>
      <c r="G29" s="23">
        <v>100000</v>
      </c>
      <c r="H29" s="23">
        <v>0</v>
      </c>
    </row>
    <row r="30" spans="1:9">
      <c r="A30" s="47" t="s">
        <v>167</v>
      </c>
      <c r="B30" s="40"/>
      <c r="C30" s="18"/>
      <c r="D30" s="18"/>
      <c r="E30" s="23" t="s">
        <v>16</v>
      </c>
      <c r="F30" s="23" t="s">
        <v>16</v>
      </c>
      <c r="G30" s="23" t="s">
        <v>16</v>
      </c>
      <c r="H30" s="23" t="s">
        <v>16</v>
      </c>
    </row>
    <row r="31" spans="1:9">
      <c r="A31" s="46"/>
      <c r="B31" s="47" t="s">
        <v>168</v>
      </c>
      <c r="C31" s="18"/>
      <c r="D31" s="18"/>
      <c r="E31" s="23" t="s">
        <v>16</v>
      </c>
      <c r="F31" s="23" t="s">
        <v>16</v>
      </c>
      <c r="G31" s="23" t="s">
        <v>16</v>
      </c>
      <c r="H31" s="23" t="s">
        <v>16</v>
      </c>
    </row>
    <row r="32" spans="1:9">
      <c r="A32" s="36">
        <v>13</v>
      </c>
      <c r="B32" s="18" t="s">
        <v>169</v>
      </c>
      <c r="C32" s="18"/>
      <c r="D32" s="18"/>
      <c r="E32" s="23">
        <v>260000</v>
      </c>
      <c r="F32" s="23">
        <v>180000</v>
      </c>
      <c r="G32" s="23">
        <v>0</v>
      </c>
      <c r="H32" s="23">
        <v>0</v>
      </c>
    </row>
    <row r="33" ht="27.6" spans="1:8">
      <c r="A33" s="36">
        <v>14</v>
      </c>
      <c r="B33" s="18" t="s">
        <v>170</v>
      </c>
      <c r="C33" s="18"/>
      <c r="D33" s="18"/>
      <c r="E33" s="23">
        <v>210000</v>
      </c>
      <c r="F33" s="23">
        <v>150000</v>
      </c>
      <c r="G33" s="23">
        <v>0</v>
      </c>
      <c r="H33" s="23">
        <v>0</v>
      </c>
    </row>
    <row r="34" spans="1:8">
      <c r="A34" s="36">
        <v>15</v>
      </c>
      <c r="B34" s="18" t="s">
        <v>171</v>
      </c>
      <c r="C34" s="18"/>
      <c r="D34" s="18"/>
      <c r="E34" s="23">
        <v>125000</v>
      </c>
      <c r="F34" s="23">
        <v>0</v>
      </c>
      <c r="G34" s="23">
        <v>0</v>
      </c>
      <c r="H34" s="23">
        <v>0</v>
      </c>
    </row>
    <row r="35" spans="1:8">
      <c r="A35" s="46"/>
      <c r="B35" s="40" t="s">
        <v>172</v>
      </c>
      <c r="C35" s="18"/>
      <c r="D35" s="18"/>
      <c r="E35" s="23" t="s">
        <v>16</v>
      </c>
      <c r="F35" s="23">
        <v>0</v>
      </c>
      <c r="G35" s="23">
        <v>0</v>
      </c>
      <c r="H35" s="23">
        <v>0</v>
      </c>
    </row>
    <row r="36" ht="124.2" spans="1:8">
      <c r="A36" s="36">
        <v>16</v>
      </c>
      <c r="B36" s="18" t="s">
        <v>173</v>
      </c>
      <c r="C36" s="18"/>
      <c r="D36" s="18"/>
      <c r="E36" s="23">
        <v>210000</v>
      </c>
      <c r="F36" s="23">
        <v>150000</v>
      </c>
      <c r="G36" s="23">
        <v>0</v>
      </c>
      <c r="H36" s="23">
        <v>0</v>
      </c>
    </row>
    <row r="37" ht="82.8" spans="1:8">
      <c r="A37" s="36">
        <v>17</v>
      </c>
      <c r="B37" s="18" t="s">
        <v>174</v>
      </c>
      <c r="C37" s="18"/>
      <c r="D37" s="18"/>
      <c r="E37" s="23">
        <v>160000</v>
      </c>
      <c r="F37" s="23">
        <v>110000</v>
      </c>
      <c r="G37" s="23">
        <v>0</v>
      </c>
      <c r="H37" s="23">
        <v>0</v>
      </c>
    </row>
    <row r="38" spans="1:8">
      <c r="A38" s="36">
        <v>18</v>
      </c>
      <c r="B38" s="18" t="s">
        <v>171</v>
      </c>
      <c r="C38" s="18"/>
      <c r="D38" s="18"/>
      <c r="E38" s="23">
        <v>100000</v>
      </c>
      <c r="F38" s="23">
        <v>0</v>
      </c>
      <c r="G38" s="23">
        <v>0</v>
      </c>
      <c r="H38" s="23">
        <v>0</v>
      </c>
    </row>
    <row r="39" spans="1:8">
      <c r="A39" s="53"/>
      <c r="C39" s="28"/>
      <c r="D39" s="28"/>
      <c r="E39" s="23" t="s">
        <v>16</v>
      </c>
      <c r="F39" s="23" t="s">
        <v>16</v>
      </c>
      <c r="G39" s="23" t="s">
        <v>16</v>
      </c>
      <c r="H39" s="23" t="s">
        <v>16</v>
      </c>
    </row>
    <row r="40" spans="1:8">
      <c r="A40" s="53"/>
      <c r="C40" s="28"/>
      <c r="D40" s="28"/>
      <c r="E40" s="23" t="s">
        <v>16</v>
      </c>
      <c r="F40" s="23" t="s">
        <v>16</v>
      </c>
      <c r="G40" s="23" t="s">
        <v>16</v>
      </c>
      <c r="H40" s="23" t="s">
        <v>16</v>
      </c>
    </row>
    <row r="41" spans="1:8">
      <c r="A41" s="53"/>
      <c r="C41" s="28"/>
      <c r="D41" s="28"/>
      <c r="E41" s="23" t="s">
        <v>16</v>
      </c>
      <c r="F41" s="23" t="s">
        <v>16</v>
      </c>
      <c r="G41" s="23" t="s">
        <v>16</v>
      </c>
      <c r="H41" s="23" t="s">
        <v>16</v>
      </c>
    </row>
    <row r="42" spans="1:8">
      <c r="A42" s="53"/>
      <c r="C42" s="28"/>
      <c r="D42" s="28"/>
      <c r="E42" s="23" t="s">
        <v>16</v>
      </c>
      <c r="F42" s="23" t="s">
        <v>16</v>
      </c>
      <c r="G42" s="23" t="s">
        <v>16</v>
      </c>
      <c r="H42" s="23" t="s">
        <v>16</v>
      </c>
    </row>
    <row r="43" spans="1:8">
      <c r="A43" s="53"/>
      <c r="C43" s="28"/>
      <c r="D43" s="28"/>
      <c r="E43" s="23" t="s">
        <v>16</v>
      </c>
      <c r="F43" s="23" t="s">
        <v>16</v>
      </c>
      <c r="G43" s="23" t="s">
        <v>16</v>
      </c>
      <c r="H43" s="23" t="s">
        <v>16</v>
      </c>
    </row>
    <row r="44" spans="1:8">
      <c r="A44" s="53"/>
      <c r="C44" s="28"/>
      <c r="D44" s="28"/>
      <c r="E44" s="23" t="s">
        <v>16</v>
      </c>
      <c r="F44" s="23" t="s">
        <v>16</v>
      </c>
      <c r="G44" s="23" t="s">
        <v>16</v>
      </c>
      <c r="H44" s="23" t="s">
        <v>16</v>
      </c>
    </row>
    <row r="45" spans="1:8">
      <c r="A45" s="53"/>
      <c r="C45" s="28"/>
      <c r="D45" s="28"/>
      <c r="E45" s="23" t="s">
        <v>16</v>
      </c>
      <c r="F45" s="23" t="s">
        <v>16</v>
      </c>
      <c r="G45" s="23" t="s">
        <v>16</v>
      </c>
      <c r="H45" s="23" t="s">
        <v>16</v>
      </c>
    </row>
    <row r="46" spans="1:8">
      <c r="A46" s="53"/>
      <c r="C46" s="28"/>
      <c r="D46" s="28"/>
      <c r="E46" s="23" t="s">
        <v>16</v>
      </c>
      <c r="F46" s="23" t="s">
        <v>16</v>
      </c>
      <c r="G46" s="23" t="s">
        <v>16</v>
      </c>
      <c r="H46" s="23" t="s">
        <v>16</v>
      </c>
    </row>
    <row r="47" spans="1:8">
      <c r="A47" s="53"/>
      <c r="C47" s="28"/>
      <c r="D47" s="28"/>
      <c r="E47" s="23" t="s">
        <v>16</v>
      </c>
      <c r="F47" s="23" t="s">
        <v>16</v>
      </c>
      <c r="G47" s="23" t="s">
        <v>16</v>
      </c>
      <c r="H47" s="23" t="s">
        <v>16</v>
      </c>
    </row>
    <row r="48" spans="1:8">
      <c r="A48" s="53"/>
      <c r="C48" s="28"/>
      <c r="D48" s="28"/>
      <c r="E48" s="23" t="s">
        <v>16</v>
      </c>
      <c r="F48" s="23" t="s">
        <v>16</v>
      </c>
      <c r="G48" s="23" t="s">
        <v>16</v>
      </c>
      <c r="H48" s="23" t="s">
        <v>16</v>
      </c>
    </row>
    <row r="49" spans="1:8">
      <c r="A49" s="53"/>
      <c r="C49" s="28"/>
      <c r="D49" s="28"/>
      <c r="E49" s="23" t="s">
        <v>16</v>
      </c>
      <c r="F49" s="23" t="s">
        <v>16</v>
      </c>
      <c r="G49" s="23" t="s">
        <v>16</v>
      </c>
      <c r="H49" s="23" t="s">
        <v>16</v>
      </c>
    </row>
    <row r="50" spans="1:8">
      <c r="A50" s="53"/>
      <c r="C50" s="28"/>
      <c r="D50" s="28"/>
      <c r="E50" s="23" t="s">
        <v>16</v>
      </c>
      <c r="F50" s="23" t="s">
        <v>16</v>
      </c>
      <c r="G50" s="23" t="s">
        <v>16</v>
      </c>
      <c r="H50" s="23" t="s">
        <v>16</v>
      </c>
    </row>
    <row r="51" spans="1:8">
      <c r="A51" s="53"/>
      <c r="C51" s="28"/>
      <c r="D51" s="28"/>
      <c r="E51" s="23" t="s">
        <v>16</v>
      </c>
      <c r="F51" s="23" t="s">
        <v>16</v>
      </c>
      <c r="G51" s="23" t="s">
        <v>16</v>
      </c>
      <c r="H51" s="23" t="s">
        <v>16</v>
      </c>
    </row>
    <row r="52" spans="1:8">
      <c r="A52" s="53"/>
      <c r="C52" s="28"/>
      <c r="D52" s="28"/>
      <c r="E52" s="23" t="s">
        <v>16</v>
      </c>
      <c r="F52" s="23" t="s">
        <v>16</v>
      </c>
      <c r="G52" s="23" t="s">
        <v>16</v>
      </c>
      <c r="H52" s="23" t="s">
        <v>16</v>
      </c>
    </row>
    <row r="53" spans="1:8">
      <c r="A53" s="53"/>
      <c r="C53" s="28"/>
      <c r="D53" s="28"/>
      <c r="E53" s="23" t="s">
        <v>16</v>
      </c>
      <c r="F53" s="23" t="s">
        <v>16</v>
      </c>
      <c r="G53" s="23" t="s">
        <v>16</v>
      </c>
      <c r="H53" s="23" t="s">
        <v>16</v>
      </c>
    </row>
    <row r="54" spans="1:8">
      <c r="A54" s="53"/>
      <c r="C54" s="28"/>
      <c r="D54" s="28"/>
      <c r="E54" s="23" t="s">
        <v>16</v>
      </c>
      <c r="F54" s="23" t="s">
        <v>16</v>
      </c>
      <c r="G54" s="23" t="s">
        <v>16</v>
      </c>
      <c r="H54" s="23" t="s">
        <v>16</v>
      </c>
    </row>
    <row r="55" spans="1:8">
      <c r="A55" s="53"/>
      <c r="C55" s="28"/>
      <c r="D55" s="28"/>
      <c r="E55" s="23" t="s">
        <v>16</v>
      </c>
      <c r="F55" s="23" t="s">
        <v>16</v>
      </c>
      <c r="G55" s="23" t="s">
        <v>16</v>
      </c>
      <c r="H55" s="23" t="s">
        <v>16</v>
      </c>
    </row>
    <row r="56" spans="1:8">
      <c r="A56" s="53"/>
      <c r="C56" s="28"/>
      <c r="D56" s="28"/>
      <c r="E56" s="23" t="s">
        <v>16</v>
      </c>
      <c r="F56" s="23" t="s">
        <v>16</v>
      </c>
      <c r="G56" s="23" t="s">
        <v>16</v>
      </c>
      <c r="H56" s="23" t="s">
        <v>16</v>
      </c>
    </row>
    <row r="57" spans="1:8">
      <c r="A57" s="53"/>
      <c r="C57" s="28"/>
      <c r="D57" s="28"/>
      <c r="E57" s="23" t="s">
        <v>16</v>
      </c>
      <c r="F57" s="23" t="s">
        <v>16</v>
      </c>
      <c r="G57" s="23" t="s">
        <v>16</v>
      </c>
      <c r="H57" s="23" t="s">
        <v>16</v>
      </c>
    </row>
    <row r="58" spans="1:8">
      <c r="A58" s="53"/>
      <c r="C58" s="28"/>
      <c r="D58" s="28"/>
      <c r="E58" s="23" t="s">
        <v>16</v>
      </c>
      <c r="F58" s="23" t="s">
        <v>16</v>
      </c>
      <c r="G58" s="23" t="s">
        <v>16</v>
      </c>
      <c r="H58" s="23" t="s">
        <v>16</v>
      </c>
    </row>
    <row r="59" spans="1:8">
      <c r="A59" s="53"/>
      <c r="C59" s="28"/>
      <c r="D59" s="28"/>
      <c r="E59" s="23" t="s">
        <v>16</v>
      </c>
      <c r="F59" s="23" t="s">
        <v>16</v>
      </c>
      <c r="G59" s="23" t="s">
        <v>16</v>
      </c>
      <c r="H59" s="23" t="s">
        <v>16</v>
      </c>
    </row>
    <row r="60" spans="1:8">
      <c r="A60" s="53"/>
      <c r="C60" s="28"/>
      <c r="D60" s="28"/>
      <c r="E60" s="23" t="s">
        <v>16</v>
      </c>
      <c r="F60" s="23" t="s">
        <v>16</v>
      </c>
      <c r="G60" s="23" t="s">
        <v>16</v>
      </c>
      <c r="H60" s="23" t="s">
        <v>16</v>
      </c>
    </row>
    <row r="61" spans="1:8">
      <c r="A61" s="53"/>
      <c r="C61" s="28"/>
      <c r="D61" s="28"/>
      <c r="E61" s="23" t="s">
        <v>16</v>
      </c>
      <c r="F61" s="23" t="s">
        <v>16</v>
      </c>
      <c r="G61" s="23" t="s">
        <v>16</v>
      </c>
      <c r="H61" s="23" t="s">
        <v>16</v>
      </c>
    </row>
    <row r="62" spans="1:8">
      <c r="A62" s="53"/>
      <c r="C62" s="28"/>
      <c r="D62" s="28"/>
      <c r="E62" s="23" t="s">
        <v>16</v>
      </c>
      <c r="F62" s="23" t="s">
        <v>16</v>
      </c>
      <c r="G62" s="23" t="s">
        <v>16</v>
      </c>
      <c r="H62" s="23" t="s">
        <v>16</v>
      </c>
    </row>
    <row r="63" spans="1:8">
      <c r="A63" s="53"/>
      <c r="C63" s="28"/>
      <c r="D63" s="28"/>
      <c r="E63" s="23" t="s">
        <v>16</v>
      </c>
      <c r="F63" s="23" t="s">
        <v>16</v>
      </c>
      <c r="G63" s="23" t="s">
        <v>16</v>
      </c>
      <c r="H63" s="23" t="s">
        <v>16</v>
      </c>
    </row>
    <row r="64" spans="1:8">
      <c r="A64" s="53"/>
      <c r="C64" s="28"/>
      <c r="D64" s="28"/>
      <c r="E64" s="23" t="s">
        <v>16</v>
      </c>
      <c r="F64" s="23" t="s">
        <v>16</v>
      </c>
      <c r="G64" s="23" t="s">
        <v>16</v>
      </c>
      <c r="H64" s="23" t="s">
        <v>16</v>
      </c>
    </row>
    <row r="65" spans="1:8">
      <c r="A65" s="53"/>
      <c r="C65" s="28"/>
      <c r="D65" s="28"/>
      <c r="E65" s="23" t="s">
        <v>16</v>
      </c>
      <c r="F65" s="23" t="s">
        <v>16</v>
      </c>
      <c r="G65" s="23" t="s">
        <v>16</v>
      </c>
      <c r="H65" s="23" t="s">
        <v>16</v>
      </c>
    </row>
    <row r="66" spans="1:8">
      <c r="A66" s="53"/>
      <c r="C66" s="28"/>
      <c r="D66" s="28"/>
      <c r="E66" s="23" t="s">
        <v>16</v>
      </c>
      <c r="F66" s="23" t="s">
        <v>16</v>
      </c>
      <c r="G66" s="23" t="s">
        <v>16</v>
      </c>
      <c r="H66" s="23" t="s">
        <v>16</v>
      </c>
    </row>
    <row r="67" spans="1:8">
      <c r="A67" s="53"/>
      <c r="C67" s="28"/>
      <c r="D67" s="28"/>
      <c r="E67" s="23" t="s">
        <v>16</v>
      </c>
      <c r="F67" s="23" t="s">
        <v>16</v>
      </c>
      <c r="G67" s="23" t="s">
        <v>16</v>
      </c>
      <c r="H67" s="23" t="s">
        <v>16</v>
      </c>
    </row>
    <row r="68" spans="1:8">
      <c r="A68" s="53"/>
      <c r="C68" s="28"/>
      <c r="D68" s="28"/>
      <c r="E68" s="23" t="s">
        <v>16</v>
      </c>
      <c r="F68" s="23" t="s">
        <v>16</v>
      </c>
      <c r="G68" s="23" t="s">
        <v>16</v>
      </c>
      <c r="H68" s="23" t="s">
        <v>16</v>
      </c>
    </row>
    <row r="69" spans="1:8">
      <c r="A69" s="53"/>
      <c r="C69" s="28"/>
      <c r="D69" s="28"/>
      <c r="E69" s="23" t="s">
        <v>16</v>
      </c>
      <c r="F69" s="23" t="s">
        <v>16</v>
      </c>
      <c r="G69" s="23" t="s">
        <v>16</v>
      </c>
      <c r="H69" s="23" t="s">
        <v>16</v>
      </c>
    </row>
    <row r="70" spans="1:8">
      <c r="A70" s="53"/>
      <c r="C70" s="28"/>
      <c r="D70" s="28"/>
      <c r="E70" s="23" t="s">
        <v>16</v>
      </c>
      <c r="F70" s="23" t="s">
        <v>16</v>
      </c>
      <c r="G70" s="23" t="s">
        <v>16</v>
      </c>
      <c r="H70" s="23" t="s">
        <v>16</v>
      </c>
    </row>
    <row r="71" spans="1:8">
      <c r="A71" s="53"/>
      <c r="C71" s="28"/>
      <c r="D71" s="28"/>
      <c r="E71" s="23" t="s">
        <v>16</v>
      </c>
      <c r="F71" s="23" t="s">
        <v>16</v>
      </c>
      <c r="G71" s="23" t="s">
        <v>16</v>
      </c>
      <c r="H71" s="23" t="s">
        <v>16</v>
      </c>
    </row>
    <row r="72" spans="1:8">
      <c r="A72" s="53"/>
      <c r="C72" s="28"/>
      <c r="D72" s="28"/>
      <c r="E72" s="23" t="s">
        <v>16</v>
      </c>
      <c r="F72" s="23" t="s">
        <v>16</v>
      </c>
      <c r="G72" s="23" t="s">
        <v>16</v>
      </c>
      <c r="H72" s="23" t="s">
        <v>16</v>
      </c>
    </row>
    <row r="73" spans="1:8">
      <c r="A73" s="53"/>
      <c r="C73" s="28"/>
      <c r="D73" s="28"/>
      <c r="E73" s="23" t="s">
        <v>16</v>
      </c>
      <c r="F73" s="23" t="s">
        <v>16</v>
      </c>
      <c r="G73" s="23" t="s">
        <v>16</v>
      </c>
      <c r="H73" s="23" t="s">
        <v>16</v>
      </c>
    </row>
    <row r="74" spans="1:8">
      <c r="A74" s="53"/>
      <c r="C74" s="28"/>
      <c r="D74" s="28"/>
      <c r="E74" s="23" t="s">
        <v>16</v>
      </c>
      <c r="F74" s="23" t="s">
        <v>16</v>
      </c>
      <c r="G74" s="23" t="s">
        <v>16</v>
      </c>
      <c r="H74" s="23" t="s">
        <v>16</v>
      </c>
    </row>
    <row r="75" spans="1:8">
      <c r="A75" s="53"/>
      <c r="C75" s="28"/>
      <c r="D75" s="28"/>
      <c r="E75" s="23" t="s">
        <v>16</v>
      </c>
      <c r="F75" s="23" t="s">
        <v>16</v>
      </c>
      <c r="G75" s="23" t="s">
        <v>16</v>
      </c>
      <c r="H75" s="23" t="s">
        <v>16</v>
      </c>
    </row>
    <row r="76" spans="1:8">
      <c r="A76" s="53"/>
      <c r="C76" s="28"/>
      <c r="D76" s="28"/>
      <c r="E76" s="23" t="s">
        <v>16</v>
      </c>
      <c r="F76" s="23" t="s">
        <v>16</v>
      </c>
      <c r="G76" s="23" t="s">
        <v>16</v>
      </c>
      <c r="H76" s="23" t="s">
        <v>16</v>
      </c>
    </row>
    <row r="77" spans="1:8">
      <c r="A77" s="53"/>
      <c r="C77" s="28"/>
      <c r="D77" s="28"/>
      <c r="E77" s="23" t="s">
        <v>16</v>
      </c>
      <c r="F77" s="23" t="s">
        <v>16</v>
      </c>
      <c r="G77" s="23" t="s">
        <v>16</v>
      </c>
      <c r="H77" s="23" t="s">
        <v>16</v>
      </c>
    </row>
    <row r="78" spans="1:8">
      <c r="A78" s="53"/>
      <c r="C78" s="28"/>
      <c r="D78" s="28"/>
      <c r="E78" s="23" t="s">
        <v>16</v>
      </c>
      <c r="F78" s="23" t="s">
        <v>16</v>
      </c>
      <c r="G78" s="23" t="s">
        <v>16</v>
      </c>
      <c r="H78" s="23" t="s">
        <v>16</v>
      </c>
    </row>
    <row r="79" spans="1:8">
      <c r="A79" s="53"/>
      <c r="C79" s="28"/>
      <c r="D79" s="28"/>
      <c r="E79" s="23" t="s">
        <v>16</v>
      </c>
      <c r="F79" s="23" t="s">
        <v>16</v>
      </c>
      <c r="G79" s="23" t="s">
        <v>16</v>
      </c>
      <c r="H79" s="23" t="s">
        <v>16</v>
      </c>
    </row>
    <row r="80" spans="1:8">
      <c r="A80" s="53"/>
      <c r="C80" s="28"/>
      <c r="D80" s="28"/>
      <c r="E80" s="23" t="s">
        <v>16</v>
      </c>
      <c r="F80" s="23" t="s">
        <v>16</v>
      </c>
      <c r="G80" s="23" t="s">
        <v>16</v>
      </c>
      <c r="H80" s="23" t="s">
        <v>16</v>
      </c>
    </row>
    <row r="81" spans="1:8">
      <c r="A81" s="53"/>
      <c r="C81" s="28"/>
      <c r="D81" s="28"/>
      <c r="E81" s="23" t="s">
        <v>16</v>
      </c>
      <c r="F81" s="23" t="s">
        <v>16</v>
      </c>
      <c r="G81" s="23" t="s">
        <v>16</v>
      </c>
      <c r="H81" s="23" t="s">
        <v>16</v>
      </c>
    </row>
    <row r="82" spans="1:8">
      <c r="A82" s="53"/>
      <c r="C82" s="28"/>
      <c r="D82" s="28"/>
      <c r="E82" s="23" t="s">
        <v>16</v>
      </c>
      <c r="F82" s="23" t="s">
        <v>16</v>
      </c>
      <c r="G82" s="23" t="s">
        <v>16</v>
      </c>
      <c r="H82" s="23" t="s">
        <v>16</v>
      </c>
    </row>
    <row r="83" spans="1:8">
      <c r="A83" s="53"/>
      <c r="C83" s="28"/>
      <c r="D83" s="28"/>
      <c r="E83" s="23" t="s">
        <v>16</v>
      </c>
      <c r="F83" s="23" t="s">
        <v>16</v>
      </c>
      <c r="G83" s="23" t="s">
        <v>16</v>
      </c>
      <c r="H83" s="23" t="s">
        <v>16</v>
      </c>
    </row>
    <row r="84" spans="1:8">
      <c r="A84" s="53"/>
      <c r="C84" s="28"/>
      <c r="D84" s="28"/>
      <c r="E84" s="23" t="s">
        <v>16</v>
      </c>
      <c r="F84" s="23" t="s">
        <v>16</v>
      </c>
      <c r="G84" s="23" t="s">
        <v>16</v>
      </c>
      <c r="H84" s="23" t="s">
        <v>16</v>
      </c>
    </row>
    <row r="85" spans="1:8">
      <c r="A85" s="53"/>
      <c r="C85" s="28"/>
      <c r="D85" s="28"/>
      <c r="E85" s="23" t="s">
        <v>16</v>
      </c>
      <c r="F85" s="23" t="s">
        <v>16</v>
      </c>
      <c r="G85" s="23" t="s">
        <v>16</v>
      </c>
      <c r="H85" s="23" t="s">
        <v>16</v>
      </c>
    </row>
    <row r="86" spans="1:8">
      <c r="A86" s="53"/>
      <c r="C86" s="28"/>
      <c r="D86" s="28"/>
      <c r="E86" s="23" t="s">
        <v>16</v>
      </c>
      <c r="F86" s="23" t="s">
        <v>16</v>
      </c>
      <c r="G86" s="23" t="s">
        <v>16</v>
      </c>
      <c r="H86" s="23" t="s">
        <v>16</v>
      </c>
    </row>
    <row r="87" spans="1:8">
      <c r="A87" s="53"/>
      <c r="C87" s="28"/>
      <c r="D87" s="28"/>
      <c r="E87" s="23" t="s">
        <v>16</v>
      </c>
      <c r="F87" s="23" t="s">
        <v>16</v>
      </c>
      <c r="G87" s="23" t="s">
        <v>16</v>
      </c>
      <c r="H87" s="23" t="s">
        <v>16</v>
      </c>
    </row>
    <row r="88" spans="1:8">
      <c r="A88" s="53"/>
      <c r="C88" s="28"/>
      <c r="D88" s="28"/>
      <c r="E88" s="23" t="s">
        <v>16</v>
      </c>
      <c r="F88" s="23" t="s">
        <v>16</v>
      </c>
      <c r="G88" s="23" t="s">
        <v>16</v>
      </c>
      <c r="H88" s="23" t="s">
        <v>16</v>
      </c>
    </row>
    <row r="89" spans="1:8">
      <c r="A89" s="53"/>
      <c r="C89" s="28"/>
      <c r="D89" s="28"/>
      <c r="E89" s="23" t="s">
        <v>16</v>
      </c>
      <c r="F89" s="23" t="s">
        <v>16</v>
      </c>
      <c r="G89" s="23" t="s">
        <v>16</v>
      </c>
      <c r="H89" s="23" t="s">
        <v>16</v>
      </c>
    </row>
    <row r="90" spans="1:8">
      <c r="A90" s="53"/>
      <c r="C90" s="28"/>
      <c r="D90" s="28"/>
      <c r="E90" s="23" t="s">
        <v>16</v>
      </c>
      <c r="F90" s="23" t="s">
        <v>16</v>
      </c>
      <c r="G90" s="23" t="s">
        <v>16</v>
      </c>
      <c r="H90" s="23" t="s">
        <v>16</v>
      </c>
    </row>
    <row r="91" spans="1:8">
      <c r="A91" s="53"/>
      <c r="C91" s="28"/>
      <c r="D91" s="28"/>
      <c r="E91" s="23" t="s">
        <v>16</v>
      </c>
      <c r="F91" s="23" t="s">
        <v>16</v>
      </c>
      <c r="G91" s="23" t="s">
        <v>16</v>
      </c>
      <c r="H91" s="23" t="s">
        <v>16</v>
      </c>
    </row>
    <row r="92" spans="1:8">
      <c r="A92" s="53"/>
      <c r="C92" s="28"/>
      <c r="D92" s="28"/>
      <c r="E92" s="23" t="s">
        <v>16</v>
      </c>
      <c r="F92" s="23" t="s">
        <v>16</v>
      </c>
      <c r="G92" s="23" t="s">
        <v>16</v>
      </c>
      <c r="H92" s="23" t="s">
        <v>16</v>
      </c>
    </row>
    <row r="93" spans="1:8">
      <c r="A93" s="53"/>
      <c r="C93" s="28"/>
      <c r="D93" s="28"/>
      <c r="E93" s="23" t="s">
        <v>16</v>
      </c>
      <c r="F93" s="23" t="s">
        <v>16</v>
      </c>
      <c r="G93" s="23" t="s">
        <v>16</v>
      </c>
      <c r="H93" s="23" t="s">
        <v>16</v>
      </c>
    </row>
    <row r="94" spans="1:8">
      <c r="A94" s="53"/>
      <c r="C94" s="28"/>
      <c r="D94" s="28"/>
      <c r="E94" s="23" t="s">
        <v>16</v>
      </c>
      <c r="F94" s="23" t="s">
        <v>16</v>
      </c>
      <c r="G94" s="23" t="s">
        <v>16</v>
      </c>
      <c r="H94" s="23" t="s">
        <v>16</v>
      </c>
    </row>
    <row r="95" spans="1:8">
      <c r="A95" s="53"/>
      <c r="C95" s="28"/>
      <c r="D95" s="28"/>
      <c r="E95" s="23" t="s">
        <v>16</v>
      </c>
      <c r="F95" s="23" t="s">
        <v>16</v>
      </c>
      <c r="G95" s="23" t="s">
        <v>16</v>
      </c>
      <c r="H95" s="23" t="s">
        <v>16</v>
      </c>
    </row>
    <row r="96" spans="1:8">
      <c r="A96" s="53"/>
      <c r="C96" s="28"/>
      <c r="D96" s="28"/>
      <c r="E96" s="23" t="s">
        <v>16</v>
      </c>
      <c r="F96" s="23" t="s">
        <v>16</v>
      </c>
      <c r="G96" s="23" t="s">
        <v>16</v>
      </c>
      <c r="H96" s="23" t="s">
        <v>16</v>
      </c>
    </row>
    <row r="97" spans="1:8">
      <c r="A97" s="53"/>
      <c r="C97" s="28"/>
      <c r="D97" s="28"/>
      <c r="E97" s="23" t="s">
        <v>16</v>
      </c>
      <c r="F97" s="23" t="s">
        <v>16</v>
      </c>
      <c r="G97" s="23" t="s">
        <v>16</v>
      </c>
      <c r="H97" s="23" t="s">
        <v>16</v>
      </c>
    </row>
    <row r="98" spans="1:8">
      <c r="A98" s="53"/>
      <c r="C98" s="28"/>
      <c r="D98" s="28"/>
      <c r="E98" s="23" t="s">
        <v>16</v>
      </c>
      <c r="F98" s="23" t="s">
        <v>16</v>
      </c>
      <c r="G98" s="23" t="s">
        <v>16</v>
      </c>
      <c r="H98" s="23" t="s">
        <v>16</v>
      </c>
    </row>
    <row r="99" spans="1:8">
      <c r="A99" s="53"/>
      <c r="C99" s="28"/>
      <c r="D99" s="28"/>
      <c r="E99" s="23" t="s">
        <v>16</v>
      </c>
      <c r="F99" s="23" t="s">
        <v>16</v>
      </c>
      <c r="G99" s="23" t="s">
        <v>16</v>
      </c>
      <c r="H99" s="23" t="s">
        <v>16</v>
      </c>
    </row>
    <row r="100" spans="1:8">
      <c r="A100" s="53"/>
      <c r="C100" s="28"/>
      <c r="D100" s="28"/>
      <c r="E100" s="23" t="s">
        <v>16</v>
      </c>
      <c r="F100" s="23" t="s">
        <v>16</v>
      </c>
      <c r="G100" s="23" t="s">
        <v>16</v>
      </c>
      <c r="H100" s="23" t="s">
        <v>16</v>
      </c>
    </row>
    <row r="101" spans="1:8">
      <c r="A101" s="53"/>
      <c r="C101" s="28"/>
      <c r="D101" s="28"/>
      <c r="E101" s="23" t="s">
        <v>16</v>
      </c>
      <c r="F101" s="23" t="s">
        <v>16</v>
      </c>
      <c r="G101" s="23" t="s">
        <v>16</v>
      </c>
      <c r="H101" s="23" t="s">
        <v>16</v>
      </c>
    </row>
    <row r="102" spans="1:8">
      <c r="A102" s="53"/>
      <c r="C102" s="28"/>
      <c r="D102" s="28"/>
      <c r="E102" s="23" t="s">
        <v>16</v>
      </c>
      <c r="F102" s="23" t="s">
        <v>16</v>
      </c>
      <c r="G102" s="23" t="s">
        <v>16</v>
      </c>
      <c r="H102" s="23" t="s">
        <v>16</v>
      </c>
    </row>
    <row r="103" spans="1:8">
      <c r="A103" s="53"/>
      <c r="C103" s="28"/>
      <c r="D103" s="28"/>
      <c r="E103" s="23" t="s">
        <v>16</v>
      </c>
      <c r="F103" s="23" t="s">
        <v>16</v>
      </c>
      <c r="G103" s="23" t="s">
        <v>16</v>
      </c>
      <c r="H103" s="23" t="s">
        <v>16</v>
      </c>
    </row>
    <row r="104" spans="1:8">
      <c r="A104" s="53"/>
      <c r="C104" s="28"/>
      <c r="D104" s="28"/>
      <c r="E104" s="23" t="s">
        <v>16</v>
      </c>
      <c r="F104" s="23" t="s">
        <v>16</v>
      </c>
      <c r="G104" s="23" t="s">
        <v>16</v>
      </c>
      <c r="H104" s="23" t="s">
        <v>16</v>
      </c>
    </row>
    <row r="105" spans="1:8">
      <c r="A105" s="53"/>
      <c r="C105" s="28"/>
      <c r="D105" s="28"/>
      <c r="E105" s="23" t="s">
        <v>16</v>
      </c>
      <c r="F105" s="23" t="s">
        <v>16</v>
      </c>
      <c r="G105" s="23" t="s">
        <v>16</v>
      </c>
      <c r="H105" s="23" t="s">
        <v>16</v>
      </c>
    </row>
    <row r="106" spans="1:8">
      <c r="A106" s="53"/>
      <c r="C106" s="28"/>
      <c r="D106" s="28"/>
      <c r="E106" s="23" t="s">
        <v>16</v>
      </c>
      <c r="F106" s="23" t="s">
        <v>16</v>
      </c>
      <c r="G106" s="23" t="s">
        <v>16</v>
      </c>
      <c r="H106" s="23" t="s">
        <v>16</v>
      </c>
    </row>
    <row r="107" spans="1:8">
      <c r="A107" s="53"/>
      <c r="C107" s="28"/>
      <c r="D107" s="28"/>
      <c r="E107" s="23" t="s">
        <v>16</v>
      </c>
      <c r="F107" s="23" t="s">
        <v>16</v>
      </c>
      <c r="G107" s="23" t="s">
        <v>16</v>
      </c>
      <c r="H107" s="23" t="s">
        <v>16</v>
      </c>
    </row>
    <row r="108" spans="1:8">
      <c r="A108" s="53"/>
      <c r="C108" s="28"/>
      <c r="D108" s="28"/>
      <c r="E108" s="23" t="s">
        <v>16</v>
      </c>
      <c r="F108" s="23" t="s">
        <v>16</v>
      </c>
      <c r="G108" s="23" t="s">
        <v>16</v>
      </c>
      <c r="H108" s="23" t="s">
        <v>16</v>
      </c>
    </row>
    <row r="109" spans="1:8">
      <c r="A109" s="53"/>
      <c r="C109" s="28"/>
      <c r="D109" s="28"/>
      <c r="E109" s="23" t="s">
        <v>16</v>
      </c>
      <c r="F109" s="23" t="s">
        <v>16</v>
      </c>
      <c r="G109" s="23" t="s">
        <v>16</v>
      </c>
      <c r="H109" s="23" t="s">
        <v>16</v>
      </c>
    </row>
    <row r="110" spans="1:8">
      <c r="A110" s="53"/>
      <c r="C110" s="28"/>
      <c r="D110" s="28"/>
      <c r="E110" s="23" t="s">
        <v>16</v>
      </c>
      <c r="F110" s="23" t="s">
        <v>16</v>
      </c>
      <c r="G110" s="23" t="s">
        <v>16</v>
      </c>
      <c r="H110" s="23" t="s">
        <v>16</v>
      </c>
    </row>
    <row r="111" spans="1:8">
      <c r="A111" s="53"/>
      <c r="C111" s="28"/>
      <c r="D111" s="28"/>
      <c r="E111" s="23" t="s">
        <v>16</v>
      </c>
      <c r="F111" s="23" t="s">
        <v>16</v>
      </c>
      <c r="G111" s="23" t="s">
        <v>16</v>
      </c>
      <c r="H111" s="23" t="s">
        <v>16</v>
      </c>
    </row>
    <row r="112" spans="1:8">
      <c r="A112" s="53"/>
      <c r="C112" s="28"/>
      <c r="D112" s="28"/>
      <c r="E112" s="23" t="s">
        <v>16</v>
      </c>
      <c r="F112" s="23" t="s">
        <v>16</v>
      </c>
      <c r="G112" s="23" t="s">
        <v>16</v>
      </c>
      <c r="H112" s="23" t="s">
        <v>16</v>
      </c>
    </row>
    <row r="113" spans="1:8">
      <c r="A113" s="53"/>
      <c r="C113" s="28"/>
      <c r="D113" s="28"/>
      <c r="E113" s="23" t="s">
        <v>16</v>
      </c>
      <c r="F113" s="23" t="s">
        <v>16</v>
      </c>
      <c r="G113" s="23" t="s">
        <v>16</v>
      </c>
      <c r="H113" s="23" t="s">
        <v>16</v>
      </c>
    </row>
    <row r="114" spans="1:8">
      <c r="A114" s="53"/>
      <c r="C114" s="28"/>
      <c r="D114" s="28"/>
      <c r="E114" s="23" t="s">
        <v>16</v>
      </c>
      <c r="F114" s="23" t="s">
        <v>16</v>
      </c>
      <c r="G114" s="23" t="s">
        <v>16</v>
      </c>
      <c r="H114" s="23" t="s">
        <v>16</v>
      </c>
    </row>
    <row r="115" spans="1:8">
      <c r="A115" s="53"/>
      <c r="C115" s="28"/>
      <c r="D115" s="28"/>
      <c r="E115" s="23" t="s">
        <v>16</v>
      </c>
      <c r="F115" s="23" t="s">
        <v>16</v>
      </c>
      <c r="G115" s="23" t="s">
        <v>16</v>
      </c>
      <c r="H115" s="23" t="s">
        <v>16</v>
      </c>
    </row>
    <row r="116" spans="1:8">
      <c r="A116" s="53"/>
      <c r="C116" s="28"/>
      <c r="D116" s="28"/>
      <c r="E116" s="23" t="s">
        <v>16</v>
      </c>
      <c r="F116" s="23" t="s">
        <v>16</v>
      </c>
      <c r="G116" s="23" t="s">
        <v>16</v>
      </c>
      <c r="H116" s="23" t="s">
        <v>16</v>
      </c>
    </row>
    <row r="117" spans="1:8">
      <c r="A117" s="53"/>
      <c r="C117" s="28"/>
      <c r="D117" s="28"/>
      <c r="E117" s="23" t="s">
        <v>16</v>
      </c>
      <c r="F117" s="23" t="s">
        <v>16</v>
      </c>
      <c r="G117" s="23" t="s">
        <v>16</v>
      </c>
      <c r="H117" s="23" t="s">
        <v>16</v>
      </c>
    </row>
    <row r="118" spans="1:8">
      <c r="A118" s="53"/>
      <c r="C118" s="28"/>
      <c r="D118" s="28"/>
      <c r="E118" s="23" t="s">
        <v>16</v>
      </c>
      <c r="F118" s="23" t="s">
        <v>16</v>
      </c>
      <c r="G118" s="23" t="s">
        <v>16</v>
      </c>
      <c r="H118" s="23" t="s">
        <v>16</v>
      </c>
    </row>
    <row r="119" spans="1:8">
      <c r="A119" s="53"/>
      <c r="C119" s="28"/>
      <c r="D119" s="28"/>
      <c r="E119" s="23" t="s">
        <v>16</v>
      </c>
      <c r="F119" s="23" t="s">
        <v>16</v>
      </c>
      <c r="G119" s="23" t="s">
        <v>16</v>
      </c>
      <c r="H119" s="23" t="s">
        <v>16</v>
      </c>
    </row>
    <row r="120" spans="1:8">
      <c r="A120" s="53"/>
      <c r="C120" s="28"/>
      <c r="D120" s="28"/>
      <c r="E120" s="23" t="s">
        <v>16</v>
      </c>
      <c r="F120" s="23" t="s">
        <v>16</v>
      </c>
      <c r="G120" s="23" t="s">
        <v>16</v>
      </c>
      <c r="H120" s="23" t="s">
        <v>16</v>
      </c>
    </row>
    <row r="121" spans="1:8">
      <c r="A121" s="53"/>
      <c r="C121" s="28"/>
      <c r="D121" s="28"/>
      <c r="E121" s="23" t="s">
        <v>16</v>
      </c>
      <c r="F121" s="23" t="s">
        <v>16</v>
      </c>
      <c r="G121" s="23" t="s">
        <v>16</v>
      </c>
      <c r="H121" s="23" t="s">
        <v>16</v>
      </c>
    </row>
    <row r="122" spans="1:8">
      <c r="A122" s="53"/>
      <c r="C122" s="28"/>
      <c r="D122" s="28"/>
      <c r="E122" s="23" t="s">
        <v>16</v>
      </c>
      <c r="F122" s="23" t="s">
        <v>16</v>
      </c>
      <c r="G122" s="23" t="s">
        <v>16</v>
      </c>
      <c r="H122" s="23" t="s">
        <v>16</v>
      </c>
    </row>
    <row r="123" spans="1:8">
      <c r="A123" s="53"/>
      <c r="C123" s="28"/>
      <c r="D123" s="28"/>
      <c r="E123" s="23" t="s">
        <v>16</v>
      </c>
      <c r="F123" s="23" t="s">
        <v>16</v>
      </c>
      <c r="G123" s="23" t="s">
        <v>16</v>
      </c>
      <c r="H123" s="23" t="s">
        <v>16</v>
      </c>
    </row>
    <row r="124" spans="1:8">
      <c r="A124" s="53"/>
      <c r="C124" s="28"/>
      <c r="D124" s="28"/>
      <c r="E124" s="23" t="s">
        <v>16</v>
      </c>
      <c r="F124" s="23" t="s">
        <v>16</v>
      </c>
      <c r="G124" s="23" t="s">
        <v>16</v>
      </c>
      <c r="H124" s="23" t="s">
        <v>16</v>
      </c>
    </row>
    <row r="125" spans="1:8">
      <c r="A125" s="53"/>
      <c r="C125" s="28"/>
      <c r="D125" s="28"/>
      <c r="E125" s="23" t="s">
        <v>16</v>
      </c>
      <c r="F125" s="23" t="s">
        <v>16</v>
      </c>
      <c r="G125" s="23" t="s">
        <v>16</v>
      </c>
      <c r="H125" s="23" t="s">
        <v>16</v>
      </c>
    </row>
    <row r="126" spans="1:8">
      <c r="A126" s="53"/>
      <c r="C126" s="28"/>
      <c r="D126" s="28"/>
      <c r="E126" s="23" t="s">
        <v>16</v>
      </c>
      <c r="F126" s="23" t="s">
        <v>16</v>
      </c>
      <c r="G126" s="23" t="s">
        <v>16</v>
      </c>
      <c r="H126" s="23" t="s">
        <v>16</v>
      </c>
    </row>
    <row r="127" spans="1:8">
      <c r="A127" s="53"/>
      <c r="C127" s="28"/>
      <c r="D127" s="28"/>
      <c r="E127" s="23" t="s">
        <v>16</v>
      </c>
      <c r="F127" s="23" t="s">
        <v>16</v>
      </c>
      <c r="G127" s="23" t="s">
        <v>16</v>
      </c>
      <c r="H127" s="23" t="s">
        <v>16</v>
      </c>
    </row>
    <row r="128" spans="1:8">
      <c r="A128" s="53"/>
      <c r="C128" s="28"/>
      <c r="D128" s="28"/>
      <c r="E128" s="23" t="s">
        <v>16</v>
      </c>
      <c r="F128" s="23" t="s">
        <v>16</v>
      </c>
      <c r="G128" s="23" t="s">
        <v>16</v>
      </c>
      <c r="H128" s="23" t="s">
        <v>16</v>
      </c>
    </row>
    <row r="129" spans="1:8">
      <c r="A129" s="53"/>
      <c r="C129" s="28"/>
      <c r="D129" s="28"/>
      <c r="E129" s="23" t="s">
        <v>16</v>
      </c>
      <c r="F129" s="23" t="s">
        <v>16</v>
      </c>
      <c r="G129" s="23" t="s">
        <v>16</v>
      </c>
      <c r="H129" s="23" t="s">
        <v>16</v>
      </c>
    </row>
    <row r="130" spans="1:8">
      <c r="A130" s="53"/>
      <c r="C130" s="28"/>
      <c r="D130" s="28"/>
      <c r="E130" s="23" t="s">
        <v>16</v>
      </c>
      <c r="F130" s="23" t="s">
        <v>16</v>
      </c>
      <c r="G130" s="23" t="s">
        <v>16</v>
      </c>
      <c r="H130" s="23" t="s">
        <v>16</v>
      </c>
    </row>
    <row r="131" spans="1:8">
      <c r="A131" s="53"/>
      <c r="C131" s="28"/>
      <c r="D131" s="28"/>
      <c r="E131" s="23" t="s">
        <v>16</v>
      </c>
      <c r="F131" s="23" t="s">
        <v>16</v>
      </c>
      <c r="G131" s="23" t="s">
        <v>16</v>
      </c>
      <c r="H131" s="23" t="s">
        <v>16</v>
      </c>
    </row>
    <row r="132" spans="1:8">
      <c r="A132" s="53"/>
      <c r="C132" s="28"/>
      <c r="D132" s="28"/>
      <c r="E132" s="23" t="s">
        <v>16</v>
      </c>
      <c r="F132" s="23" t="s">
        <v>16</v>
      </c>
      <c r="G132" s="23" t="s">
        <v>16</v>
      </c>
      <c r="H132" s="23" t="s">
        <v>16</v>
      </c>
    </row>
    <row r="133" spans="1:8">
      <c r="A133" s="53"/>
      <c r="C133" s="28"/>
      <c r="D133" s="28"/>
      <c r="E133" s="23" t="s">
        <v>16</v>
      </c>
      <c r="F133" s="23" t="s">
        <v>16</v>
      </c>
      <c r="G133" s="23" t="s">
        <v>16</v>
      </c>
      <c r="H133" s="23" t="s">
        <v>16</v>
      </c>
    </row>
    <row r="134" spans="1:8">
      <c r="A134" s="53"/>
      <c r="C134" s="28"/>
      <c r="D134" s="28"/>
      <c r="E134" s="23" t="s">
        <v>16</v>
      </c>
      <c r="F134" s="23" t="s">
        <v>16</v>
      </c>
      <c r="G134" s="23" t="s">
        <v>16</v>
      </c>
      <c r="H134" s="23" t="s">
        <v>16</v>
      </c>
    </row>
    <row r="135" spans="1:8">
      <c r="A135" s="53"/>
      <c r="C135" s="28"/>
      <c r="D135" s="28"/>
      <c r="E135" s="23" t="s">
        <v>16</v>
      </c>
      <c r="F135" s="23" t="s">
        <v>16</v>
      </c>
      <c r="G135" s="23" t="s">
        <v>16</v>
      </c>
      <c r="H135" s="23" t="s">
        <v>16</v>
      </c>
    </row>
    <row r="136" spans="1:8">
      <c r="A136" s="53"/>
      <c r="C136" s="28"/>
      <c r="D136" s="28"/>
      <c r="E136" s="23" t="s">
        <v>16</v>
      </c>
      <c r="F136" s="23" t="s">
        <v>16</v>
      </c>
      <c r="G136" s="23" t="s">
        <v>16</v>
      </c>
      <c r="H136" s="23" t="s">
        <v>16</v>
      </c>
    </row>
    <row r="137" spans="1:8">
      <c r="A137" s="53"/>
      <c r="C137" s="28"/>
      <c r="D137" s="28"/>
      <c r="E137" s="23" t="s">
        <v>16</v>
      </c>
      <c r="F137" s="23" t="s">
        <v>16</v>
      </c>
      <c r="G137" s="23" t="s">
        <v>16</v>
      </c>
      <c r="H137" s="23" t="s">
        <v>16</v>
      </c>
    </row>
    <row r="138" spans="1:8">
      <c r="A138" s="53"/>
      <c r="C138" s="28"/>
      <c r="D138" s="28"/>
      <c r="E138" s="23" t="s">
        <v>16</v>
      </c>
      <c r="F138" s="23" t="s">
        <v>16</v>
      </c>
      <c r="G138" s="23" t="s">
        <v>16</v>
      </c>
      <c r="H138" s="23" t="s">
        <v>16</v>
      </c>
    </row>
    <row r="139" spans="1:8">
      <c r="A139" s="53"/>
      <c r="C139" s="28"/>
      <c r="D139" s="28"/>
      <c r="E139" s="23" t="s">
        <v>16</v>
      </c>
      <c r="F139" s="23" t="s">
        <v>16</v>
      </c>
      <c r="G139" s="23" t="s">
        <v>16</v>
      </c>
      <c r="H139" s="23" t="s">
        <v>16</v>
      </c>
    </row>
    <row r="140" spans="1:8">
      <c r="A140" s="53"/>
      <c r="C140" s="28"/>
      <c r="D140" s="28"/>
      <c r="E140" s="23" t="s">
        <v>16</v>
      </c>
      <c r="F140" s="23" t="s">
        <v>16</v>
      </c>
      <c r="G140" s="23" t="s">
        <v>16</v>
      </c>
      <c r="H140" s="23" t="s">
        <v>16</v>
      </c>
    </row>
    <row r="141" spans="1:8">
      <c r="A141" s="53"/>
      <c r="C141" s="28"/>
      <c r="D141" s="28"/>
      <c r="E141" s="23" t="s">
        <v>16</v>
      </c>
      <c r="F141" s="23" t="s">
        <v>16</v>
      </c>
      <c r="G141" s="23" t="s">
        <v>16</v>
      </c>
      <c r="H141" s="23" t="s">
        <v>16</v>
      </c>
    </row>
    <row r="142" spans="1:8">
      <c r="A142" s="53"/>
      <c r="C142" s="28"/>
      <c r="D142" s="28"/>
      <c r="E142" s="23" t="s">
        <v>16</v>
      </c>
      <c r="F142" s="23" t="s">
        <v>16</v>
      </c>
      <c r="G142" s="23" t="s">
        <v>16</v>
      </c>
      <c r="H142" s="23" t="s">
        <v>16</v>
      </c>
    </row>
    <row r="143" spans="1:8">
      <c r="A143" s="53"/>
      <c r="C143" s="28"/>
      <c r="D143" s="28"/>
      <c r="E143" s="23" t="s">
        <v>16</v>
      </c>
      <c r="F143" s="23" t="s">
        <v>16</v>
      </c>
      <c r="G143" s="23" t="s">
        <v>16</v>
      </c>
      <c r="H143" s="23" t="s">
        <v>16</v>
      </c>
    </row>
    <row r="144" spans="1:8">
      <c r="A144" s="53"/>
      <c r="C144" s="28"/>
      <c r="D144" s="28"/>
      <c r="E144" s="23" t="s">
        <v>16</v>
      </c>
      <c r="F144" s="23" t="s">
        <v>16</v>
      </c>
      <c r="G144" s="23" t="s">
        <v>16</v>
      </c>
      <c r="H144" s="23" t="s">
        <v>16</v>
      </c>
    </row>
    <row r="145" spans="1:8">
      <c r="A145" s="53"/>
      <c r="C145" s="28"/>
      <c r="D145" s="28"/>
      <c r="E145" s="23" t="s">
        <v>16</v>
      </c>
      <c r="F145" s="23" t="s">
        <v>16</v>
      </c>
      <c r="G145" s="23" t="s">
        <v>16</v>
      </c>
      <c r="H145" s="23" t="s">
        <v>16</v>
      </c>
    </row>
    <row r="146" spans="1:8">
      <c r="A146" s="53"/>
      <c r="C146" s="28"/>
      <c r="D146" s="28"/>
      <c r="E146" s="23" t="s">
        <v>16</v>
      </c>
      <c r="F146" s="23" t="s">
        <v>16</v>
      </c>
      <c r="G146" s="23" t="s">
        <v>16</v>
      </c>
      <c r="H146" s="23" t="s">
        <v>16</v>
      </c>
    </row>
    <row r="147" spans="1:8">
      <c r="A147" s="53"/>
      <c r="C147" s="28"/>
      <c r="D147" s="28"/>
      <c r="E147" s="23" t="s">
        <v>16</v>
      </c>
      <c r="F147" s="23" t="s">
        <v>16</v>
      </c>
      <c r="G147" s="23" t="s">
        <v>16</v>
      </c>
      <c r="H147" s="23" t="s">
        <v>16</v>
      </c>
    </row>
    <row r="148" spans="1:8">
      <c r="A148" s="53"/>
      <c r="C148" s="28"/>
      <c r="D148" s="28"/>
      <c r="E148" s="23" t="s">
        <v>16</v>
      </c>
      <c r="F148" s="23" t="s">
        <v>16</v>
      </c>
      <c r="G148" s="23" t="s">
        <v>16</v>
      </c>
      <c r="H148" s="23" t="s">
        <v>16</v>
      </c>
    </row>
    <row r="149" spans="1:8">
      <c r="A149" s="53"/>
      <c r="C149" s="28"/>
      <c r="D149" s="28"/>
      <c r="E149" s="23" t="s">
        <v>16</v>
      </c>
      <c r="F149" s="23" t="s">
        <v>16</v>
      </c>
      <c r="G149" s="23" t="s">
        <v>16</v>
      </c>
      <c r="H149" s="23" t="s">
        <v>16</v>
      </c>
    </row>
    <row r="150" spans="1:8">
      <c r="A150" s="53"/>
      <c r="C150" s="28"/>
      <c r="D150" s="28"/>
      <c r="E150" s="23" t="s">
        <v>16</v>
      </c>
      <c r="F150" s="23" t="s">
        <v>16</v>
      </c>
      <c r="G150" s="23" t="s">
        <v>16</v>
      </c>
      <c r="H150" s="23" t="s">
        <v>16</v>
      </c>
    </row>
    <row r="151" spans="1:8">
      <c r="A151" s="53"/>
      <c r="C151" s="28"/>
      <c r="D151" s="28"/>
      <c r="E151" s="23" t="s">
        <v>16</v>
      </c>
      <c r="F151" s="23" t="s">
        <v>16</v>
      </c>
      <c r="G151" s="23" t="s">
        <v>16</v>
      </c>
      <c r="H151" s="23" t="s">
        <v>16</v>
      </c>
    </row>
    <row r="152" spans="1:8">
      <c r="A152" s="53"/>
      <c r="C152" s="28"/>
      <c r="D152" s="28"/>
      <c r="E152" s="23" t="s">
        <v>16</v>
      </c>
      <c r="F152" s="23" t="s">
        <v>16</v>
      </c>
      <c r="G152" s="23" t="s">
        <v>16</v>
      </c>
      <c r="H152" s="23" t="s">
        <v>16</v>
      </c>
    </row>
    <row r="153" spans="1:8">
      <c r="A153" s="53"/>
      <c r="C153" s="28"/>
      <c r="D153" s="28"/>
      <c r="E153" s="23" t="s">
        <v>16</v>
      </c>
      <c r="F153" s="23" t="s">
        <v>16</v>
      </c>
      <c r="G153" s="23" t="s">
        <v>16</v>
      </c>
      <c r="H153" s="23" t="s">
        <v>16</v>
      </c>
    </row>
    <row r="154" spans="1:8">
      <c r="A154" s="53"/>
      <c r="C154" s="28"/>
      <c r="D154" s="28"/>
      <c r="E154" s="23" t="s">
        <v>16</v>
      </c>
      <c r="F154" s="23" t="s">
        <v>16</v>
      </c>
      <c r="G154" s="23" t="s">
        <v>16</v>
      </c>
      <c r="H154" s="23" t="s">
        <v>16</v>
      </c>
    </row>
    <row r="155" spans="1:8">
      <c r="A155" s="53"/>
      <c r="C155" s="28"/>
      <c r="D155" s="28"/>
      <c r="E155" s="23" t="s">
        <v>16</v>
      </c>
      <c r="F155" s="23" t="s">
        <v>16</v>
      </c>
      <c r="G155" s="23" t="s">
        <v>16</v>
      </c>
      <c r="H155" s="23" t="s">
        <v>16</v>
      </c>
    </row>
    <row r="156" spans="1:8">
      <c r="A156" s="53"/>
      <c r="C156" s="28"/>
      <c r="D156" s="28"/>
      <c r="E156" s="23" t="s">
        <v>16</v>
      </c>
      <c r="F156" s="23" t="s">
        <v>16</v>
      </c>
      <c r="G156" s="23" t="s">
        <v>16</v>
      </c>
      <c r="H156" s="23" t="s">
        <v>16</v>
      </c>
    </row>
    <row r="157" spans="1:8">
      <c r="A157" s="53"/>
      <c r="C157" s="28"/>
      <c r="D157" s="28"/>
      <c r="E157" s="23" t="s">
        <v>16</v>
      </c>
      <c r="F157" s="23" t="s">
        <v>16</v>
      </c>
      <c r="G157" s="23" t="s">
        <v>16</v>
      </c>
      <c r="H157" s="23" t="s">
        <v>16</v>
      </c>
    </row>
    <row r="158" spans="1:8">
      <c r="A158" s="53"/>
      <c r="C158" s="28"/>
      <c r="D158" s="28"/>
      <c r="E158" s="23" t="s">
        <v>16</v>
      </c>
      <c r="F158" s="23" t="s">
        <v>16</v>
      </c>
      <c r="G158" s="23" t="s">
        <v>16</v>
      </c>
      <c r="H158" s="23" t="s">
        <v>16</v>
      </c>
    </row>
    <row r="159" spans="1:8">
      <c r="A159" s="53"/>
      <c r="C159" s="28"/>
      <c r="D159" s="28"/>
      <c r="E159" s="23" t="s">
        <v>16</v>
      </c>
      <c r="F159" s="23" t="s">
        <v>16</v>
      </c>
      <c r="G159" s="23" t="s">
        <v>16</v>
      </c>
      <c r="H159" s="23" t="s">
        <v>16</v>
      </c>
    </row>
    <row r="160" spans="1:8">
      <c r="A160" s="53"/>
      <c r="C160" s="28"/>
      <c r="D160" s="28"/>
      <c r="E160" s="23" t="s">
        <v>16</v>
      </c>
      <c r="F160" s="23" t="s">
        <v>16</v>
      </c>
      <c r="G160" s="23" t="s">
        <v>16</v>
      </c>
      <c r="H160" s="23" t="s">
        <v>16</v>
      </c>
    </row>
    <row r="161" spans="1:8">
      <c r="A161" s="53"/>
      <c r="C161" s="28"/>
      <c r="D161" s="28"/>
      <c r="E161" s="23"/>
      <c r="F161" s="23"/>
      <c r="G161" s="23"/>
      <c r="H161" s="23"/>
    </row>
    <row r="162" spans="1:8">
      <c r="A162" s="53"/>
      <c r="C162" s="28"/>
      <c r="D162" s="28"/>
      <c r="E162" s="23"/>
      <c r="F162" s="23"/>
      <c r="G162" s="23"/>
      <c r="H162" s="23"/>
    </row>
    <row r="163" spans="1:8">
      <c r="A163" s="53"/>
      <c r="C163" s="28"/>
      <c r="D163" s="28"/>
      <c r="E163" s="23"/>
      <c r="F163" s="23"/>
      <c r="G163" s="23"/>
      <c r="H163" s="23"/>
    </row>
    <row r="164" spans="1:8">
      <c r="A164" s="53"/>
      <c r="C164" s="28"/>
      <c r="D164" s="28"/>
      <c r="E164" s="23"/>
      <c r="F164" s="23"/>
      <c r="G164" s="23"/>
      <c r="H164" s="23"/>
    </row>
    <row r="165" spans="1:8">
      <c r="A165" s="53"/>
      <c r="C165" s="28"/>
      <c r="D165" s="28"/>
      <c r="E165" s="23"/>
      <c r="F165" s="23"/>
      <c r="G165" s="23"/>
      <c r="H165" s="23"/>
    </row>
    <row r="166" spans="1:8">
      <c r="A166" s="53"/>
      <c r="C166" s="28"/>
      <c r="D166" s="28"/>
      <c r="E166" s="23"/>
      <c r="F166" s="23"/>
      <c r="G166" s="23"/>
      <c r="H166" s="23"/>
    </row>
    <row r="167" spans="1:8">
      <c r="A167" s="53"/>
      <c r="C167" s="28"/>
      <c r="D167" s="28"/>
      <c r="E167" s="23"/>
      <c r="F167" s="23"/>
      <c r="G167" s="23"/>
      <c r="H167" s="23"/>
    </row>
    <row r="168" spans="1:8">
      <c r="A168" s="53"/>
      <c r="C168" s="28"/>
      <c r="D168" s="28"/>
      <c r="E168" s="23"/>
      <c r="F168" s="23"/>
      <c r="G168" s="23"/>
      <c r="H168" s="23"/>
    </row>
    <row r="169" spans="1:8">
      <c r="A169" s="53"/>
      <c r="C169" s="28"/>
      <c r="D169" s="28"/>
      <c r="E169" s="23"/>
      <c r="F169" s="23"/>
      <c r="G169" s="23"/>
      <c r="H169" s="23"/>
    </row>
    <row r="170" spans="1:8">
      <c r="A170" s="53"/>
      <c r="C170" s="28"/>
      <c r="D170" s="28"/>
      <c r="E170" s="23"/>
      <c r="F170" s="23"/>
      <c r="G170" s="23"/>
      <c r="H170" s="23"/>
    </row>
    <row r="171" spans="1:8">
      <c r="A171" s="53"/>
      <c r="C171" s="28"/>
      <c r="D171" s="28"/>
      <c r="E171" s="23"/>
      <c r="F171" s="23"/>
      <c r="G171" s="23"/>
      <c r="H171" s="23"/>
    </row>
    <row r="172" spans="1:8">
      <c r="A172" s="53"/>
      <c r="C172" s="28"/>
      <c r="D172" s="28"/>
      <c r="E172" s="23"/>
      <c r="F172" s="23"/>
      <c r="G172" s="23"/>
      <c r="H172" s="23"/>
    </row>
    <row r="173" spans="1:8">
      <c r="A173" s="53"/>
      <c r="C173" s="28"/>
      <c r="D173" s="28"/>
      <c r="E173" s="23"/>
      <c r="F173" s="23"/>
      <c r="G173" s="23"/>
      <c r="H173" s="23"/>
    </row>
    <row r="174" spans="1:8">
      <c r="A174" s="53"/>
      <c r="C174" s="28"/>
      <c r="D174" s="28"/>
      <c r="E174" s="23"/>
      <c r="F174" s="23"/>
      <c r="G174" s="23"/>
      <c r="H174" s="23"/>
    </row>
    <row r="175" spans="1:8">
      <c r="A175" s="53"/>
      <c r="C175" s="28"/>
      <c r="D175" s="28"/>
      <c r="E175" s="23"/>
      <c r="F175" s="23"/>
      <c r="G175" s="23"/>
      <c r="H175" s="23"/>
    </row>
    <row r="176" spans="1:8">
      <c r="A176" s="53"/>
      <c r="C176" s="28"/>
      <c r="D176" s="28"/>
      <c r="E176" s="23"/>
      <c r="F176" s="23"/>
      <c r="G176" s="23"/>
      <c r="H176" s="23"/>
    </row>
    <row r="177" spans="1:8">
      <c r="A177" s="53"/>
      <c r="C177" s="28"/>
      <c r="D177" s="28"/>
      <c r="E177" s="23"/>
      <c r="F177" s="23"/>
      <c r="G177" s="23"/>
      <c r="H177" s="23"/>
    </row>
    <row r="178" spans="1:8">
      <c r="A178" s="53"/>
      <c r="C178" s="28"/>
      <c r="D178" s="28"/>
      <c r="E178" s="23"/>
      <c r="F178" s="23"/>
      <c r="G178" s="23"/>
      <c r="H178" s="23"/>
    </row>
    <row r="179" spans="1:8">
      <c r="A179" s="53"/>
      <c r="C179" s="28"/>
      <c r="D179" s="28"/>
      <c r="E179" s="23"/>
      <c r="F179" s="23"/>
      <c r="G179" s="23"/>
      <c r="H179" s="23"/>
    </row>
    <row r="180" spans="1:8">
      <c r="A180" s="53"/>
      <c r="C180" s="28"/>
      <c r="D180" s="28"/>
      <c r="E180" s="23"/>
      <c r="F180" s="23"/>
      <c r="G180" s="23"/>
      <c r="H180" s="23"/>
    </row>
    <row r="181" spans="1:8">
      <c r="A181" s="53"/>
      <c r="C181" s="28"/>
      <c r="D181" s="28"/>
      <c r="E181" s="23"/>
      <c r="F181" s="23"/>
      <c r="G181" s="23"/>
      <c r="H181" s="23"/>
    </row>
    <row r="182" spans="1:8">
      <c r="A182" s="53"/>
      <c r="C182" s="28"/>
      <c r="D182" s="28"/>
      <c r="E182" s="23"/>
      <c r="F182" s="23"/>
      <c r="G182" s="23"/>
      <c r="H182" s="23"/>
    </row>
    <row r="183" spans="1:8">
      <c r="A183" s="53"/>
      <c r="C183" s="28"/>
      <c r="D183" s="28"/>
      <c r="E183" s="23"/>
      <c r="F183" s="23"/>
      <c r="G183" s="23"/>
      <c r="H183" s="23"/>
    </row>
    <row r="184" spans="1:8">
      <c r="A184" s="53"/>
      <c r="C184" s="28"/>
      <c r="D184" s="28"/>
      <c r="E184" s="23"/>
      <c r="F184" s="23"/>
      <c r="G184" s="23"/>
      <c r="H184" s="23"/>
    </row>
    <row r="185" spans="1:8">
      <c r="A185" s="53"/>
      <c r="C185" s="28"/>
      <c r="D185" s="28"/>
      <c r="E185" s="23"/>
      <c r="F185" s="23"/>
      <c r="G185" s="23"/>
      <c r="H185" s="23"/>
    </row>
    <row r="186" spans="1:8">
      <c r="A186" s="53"/>
      <c r="C186" s="28"/>
      <c r="D186" s="28"/>
      <c r="E186" s="23"/>
      <c r="F186" s="23"/>
      <c r="G186" s="23"/>
      <c r="H186" s="23"/>
    </row>
    <row r="187" spans="1:8">
      <c r="A187" s="53"/>
      <c r="C187" s="28"/>
      <c r="D187" s="28"/>
      <c r="E187" s="23"/>
      <c r="F187" s="23"/>
      <c r="G187" s="23"/>
      <c r="H187" s="23"/>
    </row>
    <row r="188" spans="1:8">
      <c r="A188" s="53"/>
      <c r="C188" s="28"/>
      <c r="D188" s="28"/>
      <c r="E188" s="23"/>
      <c r="F188" s="23"/>
      <c r="G188" s="23"/>
      <c r="H188" s="23"/>
    </row>
    <row r="189" spans="1:8">
      <c r="A189" s="53"/>
      <c r="C189" s="28"/>
      <c r="D189" s="28"/>
      <c r="E189" s="23"/>
      <c r="F189" s="23"/>
      <c r="G189" s="23"/>
      <c r="H189" s="23"/>
    </row>
    <row r="190" spans="1:8">
      <c r="A190" s="53"/>
      <c r="C190" s="28"/>
      <c r="D190" s="28"/>
      <c r="E190" s="23"/>
      <c r="F190" s="23"/>
      <c r="G190" s="23"/>
      <c r="H190" s="23"/>
    </row>
    <row r="191" spans="1:8">
      <c r="A191" s="53"/>
      <c r="C191" s="28"/>
      <c r="D191" s="28"/>
      <c r="E191" s="23"/>
      <c r="F191" s="23"/>
      <c r="G191" s="23"/>
      <c r="H191" s="23"/>
    </row>
    <row r="192" spans="1:8">
      <c r="A192" s="53"/>
      <c r="C192" s="28"/>
      <c r="D192" s="28"/>
      <c r="E192" s="23"/>
      <c r="F192" s="23"/>
      <c r="G192" s="23"/>
      <c r="H192" s="23"/>
    </row>
    <row r="193" spans="1:8">
      <c r="A193" s="53"/>
      <c r="C193" s="28"/>
      <c r="D193" s="28"/>
      <c r="E193" s="23"/>
      <c r="F193" s="23"/>
      <c r="G193" s="23"/>
      <c r="H193" s="23"/>
    </row>
    <row r="194" spans="1:8">
      <c r="A194" s="53"/>
      <c r="C194" s="28"/>
      <c r="D194" s="28"/>
      <c r="E194" s="23"/>
      <c r="F194" s="23"/>
      <c r="G194" s="23"/>
      <c r="H194" s="23"/>
    </row>
    <row r="195" spans="1:8">
      <c r="A195" s="53"/>
      <c r="C195" s="28"/>
      <c r="D195" s="28"/>
      <c r="E195" s="23"/>
      <c r="F195" s="23"/>
      <c r="G195" s="23"/>
      <c r="H195" s="23"/>
    </row>
    <row r="196" spans="1:8">
      <c r="A196" s="53"/>
      <c r="C196" s="28"/>
      <c r="D196" s="28"/>
      <c r="E196" s="23"/>
      <c r="F196" s="23"/>
      <c r="G196" s="23"/>
      <c r="H196" s="23"/>
    </row>
    <row r="197" spans="1:8">
      <c r="A197" s="53"/>
      <c r="C197" s="28"/>
      <c r="D197" s="28"/>
      <c r="E197" s="23"/>
      <c r="F197" s="23"/>
      <c r="G197" s="23"/>
      <c r="H197" s="23"/>
    </row>
    <row r="198" spans="1:8">
      <c r="A198" s="53"/>
      <c r="C198" s="28"/>
      <c r="D198" s="28"/>
      <c r="E198" s="23"/>
      <c r="F198" s="23"/>
      <c r="G198" s="23"/>
      <c r="H198" s="23"/>
    </row>
    <row r="199" spans="1:8">
      <c r="A199" s="53"/>
      <c r="C199" s="28"/>
      <c r="D199" s="28"/>
      <c r="E199" s="23"/>
      <c r="F199" s="23"/>
      <c r="G199" s="23"/>
      <c r="H199" s="23"/>
    </row>
    <row r="200" spans="1:8">
      <c r="A200" s="53"/>
      <c r="C200" s="28"/>
      <c r="D200" s="28"/>
      <c r="E200" s="23"/>
      <c r="F200" s="23"/>
      <c r="G200" s="23"/>
      <c r="H200" s="23"/>
    </row>
    <row r="201" spans="1:8">
      <c r="A201" s="53"/>
      <c r="C201" s="28"/>
      <c r="D201" s="28"/>
      <c r="E201" s="23"/>
      <c r="F201" s="23"/>
      <c r="G201" s="23"/>
      <c r="H201" s="23"/>
    </row>
    <row r="202" spans="1:8">
      <c r="A202" s="53"/>
      <c r="C202" s="28"/>
      <c r="D202" s="28"/>
      <c r="E202" s="23"/>
      <c r="F202" s="23"/>
      <c r="G202" s="23"/>
      <c r="H202" s="23"/>
    </row>
    <row r="203" spans="1:8">
      <c r="A203" s="53"/>
      <c r="C203" s="28"/>
      <c r="D203" s="28"/>
      <c r="E203" s="23"/>
      <c r="F203" s="23"/>
      <c r="G203" s="23"/>
      <c r="H203" s="23"/>
    </row>
    <row r="204" spans="1:8">
      <c r="A204" s="53"/>
      <c r="C204" s="28"/>
      <c r="D204" s="28"/>
      <c r="E204" s="23"/>
      <c r="F204" s="23"/>
      <c r="G204" s="23"/>
      <c r="H204" s="23"/>
    </row>
    <row r="205" spans="1:8">
      <c r="A205" s="53"/>
      <c r="C205" s="28"/>
      <c r="D205" s="28"/>
      <c r="E205" s="23"/>
      <c r="F205" s="23"/>
      <c r="G205" s="23"/>
      <c r="H205" s="23"/>
    </row>
    <row r="206" spans="1:8">
      <c r="A206" s="53"/>
      <c r="C206" s="28"/>
      <c r="D206" s="28"/>
      <c r="E206" s="23"/>
      <c r="F206" s="23"/>
      <c r="G206" s="23"/>
      <c r="H206" s="23"/>
    </row>
    <row r="207" spans="1:8">
      <c r="A207" s="53"/>
      <c r="C207" s="28"/>
      <c r="D207" s="28"/>
      <c r="E207" s="23"/>
      <c r="F207" s="23"/>
      <c r="G207" s="23"/>
      <c r="H207" s="23"/>
    </row>
    <row r="208" spans="1:8">
      <c r="A208" s="53"/>
      <c r="C208" s="28"/>
      <c r="D208" s="28"/>
      <c r="E208" s="23"/>
      <c r="F208" s="23"/>
      <c r="G208" s="23"/>
      <c r="H208" s="23"/>
    </row>
    <row r="209" spans="1:8">
      <c r="A209" s="53"/>
      <c r="C209" s="28"/>
      <c r="D209" s="28"/>
      <c r="E209" s="23"/>
      <c r="F209" s="23"/>
      <c r="G209" s="23"/>
      <c r="H209" s="23"/>
    </row>
    <row r="210" spans="1:8">
      <c r="A210" s="53"/>
      <c r="C210" s="28"/>
      <c r="D210" s="28"/>
      <c r="E210" s="23"/>
      <c r="F210" s="23"/>
      <c r="G210" s="23"/>
      <c r="H210" s="23"/>
    </row>
    <row r="211" spans="1:8">
      <c r="A211" s="53"/>
      <c r="C211" s="28"/>
      <c r="D211" s="28"/>
      <c r="E211" s="23"/>
      <c r="F211" s="23"/>
      <c r="G211" s="23"/>
      <c r="H211" s="23"/>
    </row>
    <row r="212" spans="1:8">
      <c r="A212" s="53"/>
      <c r="C212" s="28"/>
      <c r="D212" s="28"/>
      <c r="E212" s="23"/>
      <c r="F212" s="23"/>
      <c r="G212" s="23"/>
      <c r="H212" s="23"/>
    </row>
    <row r="213" spans="1:8">
      <c r="A213" s="53"/>
      <c r="C213" s="28"/>
      <c r="D213" s="28"/>
      <c r="E213" s="23"/>
      <c r="F213" s="23"/>
      <c r="G213" s="23"/>
      <c r="H213" s="23"/>
    </row>
    <row r="214" spans="1:8">
      <c r="A214" s="53"/>
      <c r="C214" s="28"/>
      <c r="D214" s="28"/>
      <c r="E214" s="23"/>
      <c r="F214" s="23"/>
      <c r="G214" s="23"/>
      <c r="H214" s="23"/>
    </row>
    <row r="215" spans="1:8">
      <c r="A215" s="53"/>
      <c r="C215" s="28"/>
      <c r="D215" s="28"/>
      <c r="E215" s="23"/>
      <c r="F215" s="23"/>
      <c r="G215" s="23"/>
      <c r="H215" s="23"/>
    </row>
    <row r="216" spans="1:8">
      <c r="A216" s="53"/>
      <c r="C216" s="28"/>
      <c r="D216" s="28"/>
      <c r="E216" s="23"/>
      <c r="F216" s="23"/>
      <c r="G216" s="23"/>
      <c r="H216" s="23"/>
    </row>
    <row r="217" spans="1:8">
      <c r="A217" s="53"/>
      <c r="C217" s="28"/>
      <c r="D217" s="28"/>
      <c r="E217" s="23"/>
      <c r="F217" s="23"/>
      <c r="G217" s="23"/>
      <c r="H217" s="23"/>
    </row>
    <row r="218" spans="1:8">
      <c r="A218" s="53"/>
      <c r="C218" s="28"/>
      <c r="D218" s="28"/>
      <c r="E218" s="23"/>
      <c r="F218" s="23"/>
      <c r="G218" s="23"/>
      <c r="H218" s="23"/>
    </row>
    <row r="219" spans="1:8">
      <c r="A219" s="53"/>
      <c r="C219" s="28"/>
      <c r="D219" s="28"/>
      <c r="E219" s="23"/>
      <c r="F219" s="23"/>
      <c r="G219" s="23"/>
      <c r="H219" s="23"/>
    </row>
    <row r="220" spans="1:8">
      <c r="A220" s="53"/>
      <c r="C220" s="28"/>
      <c r="D220" s="28"/>
      <c r="E220" s="23"/>
      <c r="F220" s="23"/>
      <c r="G220" s="23"/>
      <c r="H220" s="23"/>
    </row>
    <row r="221" spans="1:8">
      <c r="A221" s="53"/>
      <c r="C221" s="28"/>
      <c r="D221" s="28"/>
      <c r="E221" s="23"/>
      <c r="F221" s="23"/>
      <c r="G221" s="23"/>
      <c r="H221" s="23"/>
    </row>
    <row r="222" spans="1:8">
      <c r="A222" s="53"/>
      <c r="C222" s="28"/>
      <c r="D222" s="28"/>
      <c r="E222" s="50"/>
      <c r="F222" s="50"/>
      <c r="G222" s="50"/>
      <c r="H222" s="50"/>
    </row>
    <row r="223" spans="1:8">
      <c r="A223" s="53"/>
      <c r="C223" s="28"/>
      <c r="D223" s="28"/>
      <c r="E223" s="50"/>
      <c r="F223" s="50"/>
      <c r="G223" s="50"/>
      <c r="H223" s="50"/>
    </row>
    <row r="224" spans="1:8">
      <c r="A224" s="53"/>
      <c r="C224" s="28"/>
      <c r="D224" s="28"/>
      <c r="E224" s="50"/>
      <c r="F224" s="50"/>
      <c r="G224" s="50"/>
      <c r="H224" s="50"/>
    </row>
    <row r="225" spans="1:8">
      <c r="A225" s="53"/>
      <c r="C225" s="28"/>
      <c r="D225" s="28"/>
      <c r="E225" s="50"/>
      <c r="F225" s="50"/>
      <c r="G225" s="50"/>
      <c r="H225" s="50"/>
    </row>
    <row r="226" spans="1:8">
      <c r="A226" s="53"/>
      <c r="C226" s="28"/>
      <c r="D226" s="28"/>
      <c r="E226" s="50"/>
      <c r="F226" s="50"/>
      <c r="G226" s="50"/>
      <c r="H226" s="50"/>
    </row>
    <row r="227" spans="1:8">
      <c r="A227" s="53"/>
      <c r="C227" s="28"/>
      <c r="D227" s="28"/>
      <c r="E227" s="50"/>
      <c r="F227" s="50"/>
      <c r="G227" s="50"/>
      <c r="H227" s="50"/>
    </row>
    <row r="228" spans="1:8">
      <c r="A228" s="53"/>
      <c r="C228" s="28"/>
      <c r="D228" s="28"/>
      <c r="E228" s="50"/>
      <c r="F228" s="50"/>
      <c r="G228" s="50"/>
      <c r="H228" s="50"/>
    </row>
    <row r="229" spans="1:8">
      <c r="A229" s="53"/>
      <c r="C229" s="28"/>
      <c r="D229" s="28"/>
      <c r="E229" s="50"/>
      <c r="F229" s="50"/>
      <c r="G229" s="50"/>
      <c r="H229" s="50"/>
    </row>
    <row r="230" spans="1:8">
      <c r="A230" s="53"/>
      <c r="C230" s="28"/>
      <c r="D230" s="28"/>
      <c r="E230" s="50"/>
      <c r="F230" s="50"/>
      <c r="G230" s="50"/>
      <c r="H230" s="50"/>
    </row>
    <row r="231" spans="1:8">
      <c r="A231" s="53"/>
      <c r="C231" s="28"/>
      <c r="D231" s="28"/>
      <c r="E231" s="50"/>
      <c r="F231" s="50"/>
      <c r="G231" s="50"/>
      <c r="H231" s="50"/>
    </row>
    <row r="232" spans="1:8">
      <c r="A232" s="53"/>
      <c r="C232" s="28"/>
      <c r="D232" s="28"/>
      <c r="E232" s="50"/>
      <c r="F232" s="50"/>
      <c r="G232" s="50"/>
      <c r="H232" s="50"/>
    </row>
    <row r="233" spans="1:8">
      <c r="A233" s="53"/>
      <c r="C233" s="28"/>
      <c r="D233" s="28"/>
      <c r="E233" s="50"/>
      <c r="F233" s="50"/>
      <c r="G233" s="50"/>
      <c r="H233" s="50"/>
    </row>
    <row r="234" spans="1:8">
      <c r="A234" s="53"/>
      <c r="C234" s="28"/>
      <c r="D234" s="28"/>
      <c r="E234" s="50"/>
      <c r="F234" s="50"/>
      <c r="G234" s="50"/>
      <c r="H234" s="50"/>
    </row>
    <row r="235" spans="1:8">
      <c r="A235" s="53"/>
      <c r="C235" s="28"/>
      <c r="D235" s="28"/>
      <c r="E235" s="50"/>
      <c r="F235" s="50"/>
      <c r="G235" s="50"/>
      <c r="H235" s="50"/>
    </row>
    <row r="236" spans="1:8">
      <c r="A236" s="53"/>
      <c r="C236" s="28"/>
      <c r="D236" s="28"/>
      <c r="E236" s="50"/>
      <c r="F236" s="50"/>
      <c r="G236" s="50"/>
      <c r="H236" s="50"/>
    </row>
    <row r="237" spans="1:8">
      <c r="A237" s="53"/>
      <c r="C237" s="28"/>
      <c r="D237" s="28"/>
      <c r="E237" s="50"/>
      <c r="F237" s="50"/>
      <c r="G237" s="50"/>
      <c r="H237" s="50"/>
    </row>
    <row r="238" spans="1:8">
      <c r="A238" s="53"/>
      <c r="C238" s="28"/>
      <c r="D238" s="28"/>
      <c r="E238" s="50"/>
      <c r="F238" s="50"/>
      <c r="G238" s="50"/>
      <c r="H238" s="50"/>
    </row>
    <row r="239" spans="1:8">
      <c r="A239" s="53"/>
      <c r="C239" s="28"/>
      <c r="D239" s="28"/>
      <c r="E239" s="50"/>
      <c r="F239" s="50"/>
      <c r="G239" s="50"/>
      <c r="H239" s="50"/>
    </row>
    <row r="240" spans="1:8">
      <c r="A240" s="53"/>
      <c r="C240" s="28"/>
      <c r="D240" s="28"/>
      <c r="E240" s="50"/>
      <c r="F240" s="50"/>
      <c r="G240" s="50"/>
      <c r="H240" s="50"/>
    </row>
    <row r="241" spans="1:8">
      <c r="A241" s="53"/>
      <c r="C241" s="28"/>
      <c r="D241" s="28"/>
      <c r="E241" s="50"/>
      <c r="F241" s="50"/>
      <c r="G241" s="50"/>
      <c r="H241" s="50"/>
    </row>
    <row r="242" spans="1:8">
      <c r="A242" s="53"/>
      <c r="C242" s="28"/>
      <c r="D242" s="28"/>
      <c r="E242" s="50"/>
      <c r="F242" s="50"/>
      <c r="G242" s="50"/>
      <c r="H242" s="50"/>
    </row>
    <row r="243" spans="1:8">
      <c r="A243" s="53"/>
      <c r="C243" s="28"/>
      <c r="D243" s="28"/>
      <c r="E243" s="50"/>
      <c r="F243" s="50"/>
      <c r="G243" s="50"/>
      <c r="H243" s="50"/>
    </row>
    <row r="244" spans="1:8">
      <c r="A244" s="53"/>
      <c r="C244" s="28"/>
      <c r="D244" s="28"/>
      <c r="E244" s="50"/>
      <c r="F244" s="50"/>
      <c r="G244" s="50"/>
      <c r="H244" s="50"/>
    </row>
    <row r="245" spans="1:8">
      <c r="A245" s="53"/>
      <c r="C245" s="28"/>
      <c r="D245" s="28"/>
      <c r="E245" s="50"/>
      <c r="F245" s="50"/>
      <c r="G245" s="50"/>
      <c r="H245" s="50"/>
    </row>
    <row r="246" spans="1:8">
      <c r="A246" s="53"/>
      <c r="C246" s="28"/>
      <c r="D246" s="28"/>
      <c r="E246" s="50"/>
      <c r="F246" s="50"/>
      <c r="G246" s="50"/>
      <c r="H246" s="50"/>
    </row>
    <row r="247" spans="1:8">
      <c r="A247" s="53"/>
      <c r="C247" s="28"/>
      <c r="D247" s="28"/>
      <c r="E247" s="50"/>
      <c r="F247" s="50"/>
      <c r="G247" s="50"/>
      <c r="H247" s="50"/>
    </row>
    <row r="248" spans="1:8">
      <c r="A248" s="53"/>
      <c r="C248" s="28"/>
      <c r="D248" s="28"/>
      <c r="E248" s="50"/>
      <c r="F248" s="50"/>
      <c r="G248" s="50"/>
      <c r="H248" s="50"/>
    </row>
    <row r="249" spans="1:8">
      <c r="A249" s="53"/>
      <c r="C249" s="28"/>
      <c r="D249" s="28"/>
      <c r="E249" s="50"/>
      <c r="F249" s="50"/>
      <c r="G249" s="50"/>
      <c r="H249" s="50"/>
    </row>
    <row r="250" spans="1:8">
      <c r="A250" s="53"/>
      <c r="C250" s="28"/>
      <c r="D250" s="28"/>
      <c r="E250" s="50"/>
      <c r="F250" s="50"/>
      <c r="G250" s="50"/>
      <c r="H250" s="50"/>
    </row>
    <row r="251" spans="1:8">
      <c r="A251" s="53"/>
      <c r="C251" s="28"/>
      <c r="D251" s="28"/>
      <c r="E251" s="50"/>
      <c r="F251" s="50"/>
      <c r="G251" s="50"/>
      <c r="H251" s="50"/>
    </row>
    <row r="252" spans="1:8">
      <c r="A252" s="53"/>
      <c r="C252" s="28"/>
      <c r="D252" s="28"/>
      <c r="E252" s="50"/>
      <c r="F252" s="50"/>
      <c r="G252" s="50"/>
      <c r="H252" s="50"/>
    </row>
    <row r="253" spans="1:8">
      <c r="A253" s="53"/>
      <c r="C253" s="28"/>
      <c r="D253" s="28"/>
      <c r="E253" s="50"/>
      <c r="F253" s="50"/>
      <c r="G253" s="50"/>
      <c r="H253" s="50"/>
    </row>
    <row r="254" spans="1:8">
      <c r="A254" s="53"/>
      <c r="C254" s="28"/>
      <c r="D254" s="28"/>
      <c r="E254" s="50"/>
      <c r="F254" s="50"/>
      <c r="G254" s="50"/>
      <c r="H254" s="50"/>
    </row>
    <row r="255" spans="1:8">
      <c r="A255" s="53"/>
      <c r="C255" s="28"/>
      <c r="D255" s="28"/>
      <c r="E255" s="50"/>
      <c r="F255" s="50"/>
      <c r="G255" s="50"/>
      <c r="H255" s="50"/>
    </row>
    <row r="256" spans="1:8">
      <c r="A256" s="53"/>
      <c r="C256" s="28"/>
      <c r="D256" s="28"/>
      <c r="E256" s="50"/>
      <c r="F256" s="50"/>
      <c r="G256" s="50"/>
      <c r="H256" s="50"/>
    </row>
    <row r="257" spans="1:8">
      <c r="A257" s="53"/>
      <c r="C257" s="28"/>
      <c r="D257" s="28"/>
      <c r="E257" s="50"/>
      <c r="F257" s="50"/>
      <c r="G257" s="50"/>
      <c r="H257" s="50"/>
    </row>
    <row r="258" spans="1:8">
      <c r="A258" s="53"/>
      <c r="C258" s="28"/>
      <c r="D258" s="28"/>
      <c r="E258" s="50"/>
      <c r="F258" s="50"/>
      <c r="G258" s="50"/>
      <c r="H258" s="50"/>
    </row>
    <row r="259" spans="1:8">
      <c r="A259" s="53"/>
      <c r="C259" s="28"/>
      <c r="D259" s="28"/>
      <c r="E259" s="50"/>
      <c r="F259" s="50"/>
      <c r="G259" s="50"/>
      <c r="H259" s="50"/>
    </row>
    <row r="260" spans="1:8">
      <c r="A260" s="53"/>
      <c r="C260" s="28"/>
      <c r="D260" s="28"/>
      <c r="E260" s="50"/>
      <c r="F260" s="50"/>
      <c r="G260" s="50"/>
      <c r="H260" s="50"/>
    </row>
    <row r="261" spans="1:8">
      <c r="A261" s="53"/>
      <c r="C261" s="28"/>
      <c r="D261" s="28"/>
      <c r="E261" s="50"/>
      <c r="F261" s="50"/>
      <c r="G261" s="50"/>
      <c r="H261" s="50"/>
    </row>
    <row r="262" spans="1:8">
      <c r="A262" s="53"/>
      <c r="C262" s="28"/>
      <c r="D262" s="28"/>
      <c r="E262" s="50"/>
      <c r="F262" s="50"/>
      <c r="G262" s="50"/>
      <c r="H262" s="50"/>
    </row>
    <row r="263" spans="1:8">
      <c r="A263" s="53"/>
      <c r="C263" s="28"/>
      <c r="D263" s="28"/>
      <c r="E263" s="50"/>
      <c r="F263" s="50"/>
      <c r="G263" s="50"/>
      <c r="H263" s="50"/>
    </row>
    <row r="264" spans="1:8">
      <c r="A264" s="53"/>
      <c r="C264" s="28"/>
      <c r="D264" s="28"/>
      <c r="E264" s="50"/>
      <c r="F264" s="50"/>
      <c r="G264" s="50"/>
      <c r="H264" s="50"/>
    </row>
    <row r="265" spans="1:8">
      <c r="A265" s="53"/>
      <c r="C265" s="28"/>
      <c r="D265" s="28"/>
      <c r="E265" s="50"/>
      <c r="F265" s="50"/>
      <c r="G265" s="50"/>
      <c r="H265" s="50"/>
    </row>
    <row r="266" spans="1:8">
      <c r="A266" s="53"/>
      <c r="C266" s="28"/>
      <c r="D266" s="28"/>
      <c r="E266" s="50"/>
      <c r="F266" s="50"/>
      <c r="G266" s="50"/>
      <c r="H266" s="50"/>
    </row>
    <row r="267" spans="1:8">
      <c r="A267" s="53"/>
      <c r="C267" s="28"/>
      <c r="D267" s="28"/>
      <c r="E267" s="50"/>
      <c r="F267" s="50"/>
      <c r="G267" s="50"/>
      <c r="H267" s="50"/>
    </row>
    <row r="268" spans="1:8">
      <c r="A268" s="53"/>
      <c r="C268" s="28"/>
      <c r="D268" s="28"/>
      <c r="E268" s="50"/>
      <c r="F268" s="50"/>
      <c r="G268" s="50"/>
      <c r="H268" s="50"/>
    </row>
    <row r="269" spans="1:8">
      <c r="A269" s="53"/>
      <c r="C269" s="28"/>
      <c r="D269" s="28"/>
      <c r="E269" s="50"/>
      <c r="F269" s="50"/>
      <c r="G269" s="50"/>
      <c r="H269" s="50"/>
    </row>
    <row r="270" spans="1:8">
      <c r="A270" s="53"/>
      <c r="C270" s="28"/>
      <c r="D270" s="28"/>
      <c r="E270" s="50"/>
      <c r="F270" s="50"/>
      <c r="G270" s="50"/>
      <c r="H270" s="50"/>
    </row>
    <row r="271" spans="1:8">
      <c r="A271" s="53"/>
      <c r="C271" s="28"/>
      <c r="D271" s="28"/>
      <c r="E271" s="50"/>
      <c r="F271" s="50"/>
      <c r="G271" s="50"/>
      <c r="H271" s="50"/>
    </row>
    <row r="272" spans="1:8">
      <c r="A272" s="53"/>
      <c r="C272" s="28"/>
      <c r="D272" s="28"/>
      <c r="E272" s="50"/>
      <c r="F272" s="50"/>
      <c r="G272" s="50"/>
      <c r="H272" s="50"/>
    </row>
    <row r="273" spans="1:8">
      <c r="A273" s="53"/>
      <c r="C273" s="28"/>
      <c r="D273" s="28"/>
      <c r="E273" s="50"/>
      <c r="F273" s="50"/>
      <c r="G273" s="50"/>
      <c r="H273" s="50"/>
    </row>
    <row r="274" spans="1:8">
      <c r="A274" s="53"/>
      <c r="C274" s="28"/>
      <c r="D274" s="28"/>
      <c r="E274" s="50"/>
      <c r="F274" s="50"/>
      <c r="G274" s="50"/>
      <c r="H274" s="50"/>
    </row>
    <row r="275" spans="1:8">
      <c r="A275" s="53"/>
      <c r="C275" s="28"/>
      <c r="D275" s="28"/>
      <c r="E275" s="50"/>
      <c r="F275" s="50"/>
      <c r="G275" s="50"/>
      <c r="H275" s="50"/>
    </row>
    <row r="276" spans="1:8">
      <c r="A276" s="53"/>
      <c r="C276" s="28"/>
      <c r="D276" s="28"/>
      <c r="E276" s="50"/>
      <c r="F276" s="50"/>
      <c r="G276" s="50"/>
      <c r="H276" s="50"/>
    </row>
    <row r="277" spans="1:8">
      <c r="A277" s="53"/>
      <c r="C277" s="28"/>
      <c r="D277" s="28"/>
      <c r="E277" s="50"/>
      <c r="F277" s="50"/>
      <c r="G277" s="50"/>
      <c r="H277" s="50"/>
    </row>
    <row r="278" spans="1:8">
      <c r="A278" s="53"/>
      <c r="C278" s="28"/>
      <c r="D278" s="28"/>
      <c r="E278" s="50"/>
      <c r="F278" s="50"/>
      <c r="G278" s="50"/>
      <c r="H278" s="50"/>
    </row>
    <row r="279" spans="1:8">
      <c r="A279" s="53"/>
      <c r="C279" s="28"/>
      <c r="D279" s="28"/>
      <c r="E279" s="50"/>
      <c r="F279" s="50"/>
      <c r="G279" s="50"/>
      <c r="H279" s="50"/>
    </row>
    <row r="280" spans="1:8">
      <c r="A280" s="53"/>
      <c r="C280" s="28"/>
      <c r="D280" s="28"/>
      <c r="E280" s="50"/>
      <c r="F280" s="50"/>
      <c r="G280" s="50"/>
      <c r="H280" s="50"/>
    </row>
    <row r="281" spans="1:8">
      <c r="A281" s="53"/>
      <c r="C281" s="28"/>
      <c r="D281" s="28"/>
      <c r="E281" s="50"/>
      <c r="F281" s="50"/>
      <c r="G281" s="50"/>
      <c r="H281" s="50"/>
    </row>
    <row r="282" spans="1:8">
      <c r="A282" s="53"/>
      <c r="C282" s="28"/>
      <c r="D282" s="28"/>
      <c r="E282" s="50"/>
      <c r="F282" s="50"/>
      <c r="G282" s="50"/>
      <c r="H282" s="50"/>
    </row>
    <row r="283" spans="1:8">
      <c r="A283" s="53"/>
      <c r="C283" s="28"/>
      <c r="D283" s="28"/>
      <c r="E283" s="50"/>
      <c r="F283" s="50"/>
      <c r="G283" s="50"/>
      <c r="H283" s="50"/>
    </row>
    <row r="284" spans="1:8">
      <c r="A284" s="53"/>
      <c r="C284" s="28"/>
      <c r="D284" s="28"/>
      <c r="E284" s="50"/>
      <c r="F284" s="50"/>
      <c r="G284" s="50"/>
      <c r="H284" s="50"/>
    </row>
    <row r="285" spans="1:8">
      <c r="A285" s="53"/>
      <c r="C285" s="28"/>
      <c r="D285" s="28"/>
      <c r="E285" s="50"/>
      <c r="F285" s="50"/>
      <c r="G285" s="50"/>
      <c r="H285" s="50"/>
    </row>
    <row r="286" spans="1:8">
      <c r="A286" s="53"/>
      <c r="C286" s="28"/>
      <c r="D286" s="28"/>
      <c r="E286" s="50"/>
      <c r="F286" s="50"/>
      <c r="G286" s="50"/>
      <c r="H286" s="50"/>
    </row>
    <row r="287" spans="1:8">
      <c r="A287" s="53"/>
      <c r="C287" s="28"/>
      <c r="D287" s="28"/>
      <c r="E287" s="50"/>
      <c r="F287" s="50"/>
      <c r="G287" s="50"/>
      <c r="H287" s="50"/>
    </row>
    <row r="288" spans="1:8">
      <c r="A288" s="53"/>
      <c r="C288" s="28"/>
      <c r="D288" s="28"/>
      <c r="E288" s="50"/>
      <c r="F288" s="50"/>
      <c r="G288" s="50"/>
      <c r="H288" s="50"/>
    </row>
    <row r="289" spans="1:8">
      <c r="A289" s="53"/>
      <c r="C289" s="28"/>
      <c r="D289" s="28"/>
      <c r="E289" s="50"/>
      <c r="F289" s="50"/>
      <c r="G289" s="50"/>
      <c r="H289" s="50"/>
    </row>
    <row r="290" spans="1:8">
      <c r="A290" s="53"/>
      <c r="C290" s="28"/>
      <c r="D290" s="28"/>
      <c r="E290" s="50"/>
      <c r="F290" s="50"/>
      <c r="G290" s="50"/>
      <c r="H290" s="50"/>
    </row>
    <row r="291" spans="1:8">
      <c r="A291" s="53"/>
      <c r="C291" s="28"/>
      <c r="D291" s="28"/>
      <c r="E291" s="50"/>
      <c r="F291" s="50"/>
      <c r="G291" s="50"/>
      <c r="H291" s="50"/>
    </row>
    <row r="292" spans="1:8">
      <c r="A292" s="53"/>
      <c r="C292" s="28"/>
      <c r="D292" s="28"/>
      <c r="E292" s="50"/>
      <c r="F292" s="50"/>
      <c r="G292" s="50"/>
      <c r="H292" s="50"/>
    </row>
    <row r="293" spans="1:8">
      <c r="A293" s="53"/>
      <c r="C293" s="28"/>
      <c r="D293" s="28"/>
      <c r="E293" s="50"/>
      <c r="F293" s="50"/>
      <c r="G293" s="50"/>
      <c r="H293" s="50"/>
    </row>
    <row r="294" spans="1:8">
      <c r="A294" s="53"/>
      <c r="C294" s="28"/>
      <c r="D294" s="28"/>
      <c r="E294" s="50"/>
      <c r="F294" s="50"/>
      <c r="G294" s="50"/>
      <c r="H294" s="50"/>
    </row>
    <row r="295" spans="1:8">
      <c r="A295" s="53"/>
      <c r="C295" s="28"/>
      <c r="D295" s="28"/>
      <c r="E295" s="50"/>
      <c r="F295" s="50"/>
      <c r="G295" s="50"/>
      <c r="H295" s="50"/>
    </row>
    <row r="296" spans="1:8">
      <c r="A296" s="53"/>
      <c r="C296" s="28"/>
      <c r="D296" s="28"/>
      <c r="E296" s="50"/>
      <c r="F296" s="50"/>
      <c r="G296" s="50"/>
      <c r="H296" s="50"/>
    </row>
    <row r="297" spans="1:8">
      <c r="A297" s="53"/>
      <c r="C297" s="28"/>
      <c r="D297" s="28"/>
      <c r="E297" s="50"/>
      <c r="F297" s="50"/>
      <c r="G297" s="50"/>
      <c r="H297" s="50"/>
    </row>
    <row r="298" spans="1:8">
      <c r="A298" s="53"/>
      <c r="C298" s="28"/>
      <c r="D298" s="28"/>
      <c r="E298" s="50"/>
      <c r="F298" s="50"/>
      <c r="G298" s="50"/>
      <c r="H298" s="50"/>
    </row>
    <row r="299" spans="1:8">
      <c r="A299" s="53"/>
      <c r="C299" s="28"/>
      <c r="D299" s="28"/>
      <c r="E299" s="50"/>
      <c r="F299" s="50"/>
      <c r="G299" s="50"/>
      <c r="H299" s="50"/>
    </row>
    <row r="300" spans="1:8">
      <c r="A300" s="53"/>
      <c r="C300" s="28"/>
      <c r="D300" s="28"/>
      <c r="E300" s="50"/>
      <c r="F300" s="50"/>
      <c r="G300" s="50"/>
      <c r="H300" s="50"/>
    </row>
    <row r="301" spans="1:8">
      <c r="A301" s="53"/>
      <c r="C301" s="28"/>
      <c r="D301" s="28"/>
      <c r="E301" s="50"/>
      <c r="F301" s="50"/>
      <c r="G301" s="50"/>
      <c r="H301" s="50"/>
    </row>
    <row r="302" spans="1:8">
      <c r="A302" s="53"/>
      <c r="C302" s="28"/>
      <c r="D302" s="28"/>
      <c r="E302" s="50"/>
      <c r="F302" s="50"/>
      <c r="G302" s="50"/>
      <c r="H302" s="50"/>
    </row>
    <row r="303" spans="1:8">
      <c r="A303" s="53"/>
      <c r="C303" s="28"/>
      <c r="D303" s="28"/>
      <c r="E303" s="50"/>
      <c r="F303" s="50"/>
      <c r="G303" s="50"/>
      <c r="H303" s="50"/>
    </row>
    <row r="304" spans="1:8">
      <c r="A304" s="53"/>
      <c r="C304" s="28"/>
      <c r="D304" s="28"/>
      <c r="E304" s="50"/>
      <c r="F304" s="50"/>
      <c r="G304" s="50"/>
      <c r="H304" s="50"/>
    </row>
    <row r="305" spans="1:8">
      <c r="A305" s="53"/>
      <c r="C305" s="28"/>
      <c r="D305" s="28"/>
      <c r="E305" s="50"/>
      <c r="F305" s="50"/>
      <c r="G305" s="50"/>
      <c r="H305" s="50"/>
    </row>
    <row r="306" spans="1:8">
      <c r="A306" s="53"/>
      <c r="C306" s="28"/>
      <c r="D306" s="28"/>
      <c r="E306" s="50"/>
      <c r="F306" s="50"/>
      <c r="G306" s="50"/>
      <c r="H306" s="50"/>
    </row>
    <row r="307" spans="1:8">
      <c r="A307" s="53"/>
      <c r="C307" s="28"/>
      <c r="D307" s="28"/>
      <c r="E307" s="50"/>
      <c r="F307" s="50"/>
      <c r="G307" s="50"/>
      <c r="H307" s="50"/>
    </row>
    <row r="308" spans="1:8">
      <c r="A308" s="53"/>
      <c r="C308" s="28"/>
      <c r="D308" s="28"/>
      <c r="E308" s="50"/>
      <c r="F308" s="50"/>
      <c r="G308" s="50"/>
      <c r="H308" s="50"/>
    </row>
    <row r="309" spans="1:8">
      <c r="A309" s="53"/>
      <c r="C309" s="28"/>
      <c r="D309" s="28"/>
      <c r="E309" s="50"/>
      <c r="F309" s="50"/>
      <c r="G309" s="50"/>
      <c r="H309" s="50"/>
    </row>
    <row r="310" spans="1:8">
      <c r="A310" s="53"/>
      <c r="C310" s="28"/>
      <c r="D310" s="28"/>
      <c r="E310" s="50"/>
      <c r="F310" s="50"/>
      <c r="G310" s="50"/>
      <c r="H310" s="50"/>
    </row>
    <row r="311" spans="1:8">
      <c r="A311" s="53"/>
      <c r="C311" s="28"/>
      <c r="D311" s="28"/>
      <c r="E311" s="50"/>
      <c r="F311" s="50"/>
      <c r="G311" s="50"/>
      <c r="H311" s="50"/>
    </row>
    <row r="312" spans="1:8">
      <c r="A312" s="53"/>
      <c r="C312" s="28"/>
      <c r="D312" s="28"/>
      <c r="E312" s="50"/>
      <c r="F312" s="50"/>
      <c r="G312" s="50"/>
      <c r="H312" s="50"/>
    </row>
    <row r="313" spans="1:8">
      <c r="A313" s="53"/>
      <c r="C313" s="28"/>
      <c r="D313" s="28"/>
      <c r="E313" s="50"/>
      <c r="F313" s="50"/>
      <c r="G313" s="50"/>
      <c r="H313" s="50"/>
    </row>
    <row r="314" spans="1:8">
      <c r="A314" s="53"/>
      <c r="C314" s="28"/>
      <c r="D314" s="28"/>
      <c r="E314" s="50"/>
      <c r="F314" s="50"/>
      <c r="G314" s="50"/>
      <c r="H314" s="50"/>
    </row>
    <row r="315" spans="1:8">
      <c r="A315" s="53"/>
      <c r="C315" s="28"/>
      <c r="D315" s="28"/>
      <c r="E315" s="50"/>
      <c r="F315" s="50"/>
      <c r="G315" s="50"/>
      <c r="H315" s="50"/>
    </row>
    <row r="316" spans="1:8">
      <c r="A316" s="53"/>
      <c r="C316" s="28"/>
      <c r="D316" s="28"/>
      <c r="E316" s="50"/>
      <c r="F316" s="50"/>
      <c r="G316" s="50"/>
      <c r="H316" s="50"/>
    </row>
    <row r="317" spans="1:8">
      <c r="A317" s="53"/>
      <c r="C317" s="28"/>
      <c r="D317" s="28"/>
      <c r="E317" s="50"/>
      <c r="F317" s="50"/>
      <c r="G317" s="50"/>
      <c r="H317" s="50"/>
    </row>
    <row r="318" spans="1:8">
      <c r="A318" s="53"/>
      <c r="C318" s="28"/>
      <c r="D318" s="28"/>
      <c r="E318" s="50"/>
      <c r="F318" s="50"/>
      <c r="G318" s="50"/>
      <c r="H318" s="50"/>
    </row>
    <row r="319" spans="1:8">
      <c r="A319" s="53"/>
      <c r="C319" s="28"/>
      <c r="D319" s="28"/>
      <c r="E319" s="50"/>
      <c r="F319" s="50"/>
      <c r="G319" s="50"/>
      <c r="H319" s="50"/>
    </row>
    <row r="320" spans="1:8">
      <c r="A320" s="53"/>
      <c r="C320" s="28"/>
      <c r="D320" s="28"/>
      <c r="E320" s="50"/>
      <c r="F320" s="50"/>
      <c r="G320" s="50"/>
      <c r="H320" s="50"/>
    </row>
    <row r="321" spans="1:8">
      <c r="A321" s="53"/>
      <c r="C321" s="28"/>
      <c r="D321" s="28"/>
      <c r="E321" s="50"/>
      <c r="F321" s="50"/>
      <c r="G321" s="50"/>
      <c r="H321" s="50"/>
    </row>
    <row r="322" spans="1:8">
      <c r="A322" s="53"/>
      <c r="C322" s="28"/>
      <c r="D322" s="28"/>
      <c r="E322" s="50"/>
      <c r="F322" s="50"/>
      <c r="G322" s="50"/>
      <c r="H322" s="50"/>
    </row>
    <row r="323" spans="1:8">
      <c r="A323" s="53"/>
      <c r="C323" s="28"/>
      <c r="D323" s="28"/>
      <c r="E323" s="50"/>
      <c r="F323" s="50"/>
      <c r="G323" s="50"/>
      <c r="H323" s="50"/>
    </row>
    <row r="324" spans="1:8">
      <c r="A324" s="53"/>
      <c r="C324" s="28"/>
      <c r="D324" s="28"/>
      <c r="E324" s="50"/>
      <c r="F324" s="50"/>
      <c r="G324" s="50"/>
      <c r="H324" s="50"/>
    </row>
    <row r="325" spans="1:8">
      <c r="A325" s="53"/>
      <c r="C325" s="28"/>
      <c r="D325" s="28"/>
      <c r="E325" s="50"/>
      <c r="F325" s="50"/>
      <c r="G325" s="50"/>
      <c r="H325" s="50"/>
    </row>
    <row r="326" spans="1:8">
      <c r="A326" s="53"/>
      <c r="C326" s="28"/>
      <c r="D326" s="28"/>
      <c r="E326" s="50"/>
      <c r="F326" s="50"/>
      <c r="G326" s="50"/>
      <c r="H326" s="50"/>
    </row>
    <row r="327" spans="1:8">
      <c r="A327" s="53"/>
      <c r="C327" s="28"/>
      <c r="D327" s="28"/>
      <c r="E327" s="50"/>
      <c r="F327" s="50"/>
      <c r="G327" s="50"/>
      <c r="H327" s="50"/>
    </row>
    <row r="328" spans="1:8">
      <c r="A328" s="53"/>
      <c r="C328" s="28"/>
      <c r="D328" s="28"/>
      <c r="E328" s="50"/>
      <c r="F328" s="50"/>
      <c r="G328" s="50"/>
      <c r="H328" s="50"/>
    </row>
    <row r="329" spans="1:8">
      <c r="A329" s="53"/>
      <c r="C329" s="28"/>
      <c r="D329" s="28"/>
      <c r="E329" s="50"/>
      <c r="F329" s="50"/>
      <c r="G329" s="50"/>
      <c r="H329" s="50"/>
    </row>
    <row r="330" spans="1:8">
      <c r="A330" s="53"/>
      <c r="C330" s="28"/>
      <c r="D330" s="28"/>
      <c r="E330" s="50"/>
      <c r="F330" s="50"/>
      <c r="G330" s="50"/>
      <c r="H330" s="50"/>
    </row>
    <row r="331" spans="1:8">
      <c r="A331" s="53"/>
      <c r="C331" s="28"/>
      <c r="D331" s="28"/>
      <c r="E331" s="50"/>
      <c r="F331" s="50"/>
      <c r="G331" s="50"/>
      <c r="H331" s="50"/>
    </row>
    <row r="332" spans="1:8">
      <c r="A332" s="53"/>
      <c r="C332" s="28"/>
      <c r="D332" s="28"/>
      <c r="E332" s="50"/>
      <c r="F332" s="50"/>
      <c r="G332" s="50"/>
      <c r="H332" s="50"/>
    </row>
    <row r="333" spans="1:8">
      <c r="A333" s="53"/>
      <c r="C333" s="28"/>
      <c r="D333" s="28"/>
      <c r="E333" s="50"/>
      <c r="F333" s="50"/>
      <c r="G333" s="50"/>
      <c r="H333" s="50"/>
    </row>
    <row r="334" spans="1:8">
      <c r="A334" s="53"/>
      <c r="C334" s="28"/>
      <c r="D334" s="28"/>
      <c r="E334" s="50"/>
      <c r="F334" s="50"/>
      <c r="G334" s="50"/>
      <c r="H334" s="50"/>
    </row>
    <row r="335" spans="1:8">
      <c r="A335" s="53"/>
      <c r="C335" s="28"/>
      <c r="D335" s="28"/>
      <c r="E335" s="50"/>
      <c r="F335" s="50"/>
      <c r="G335" s="50"/>
      <c r="H335" s="50"/>
    </row>
    <row r="336" spans="1:8">
      <c r="A336" s="53"/>
      <c r="C336" s="28"/>
      <c r="D336" s="28"/>
      <c r="E336" s="50"/>
      <c r="F336" s="50"/>
      <c r="G336" s="50"/>
      <c r="H336" s="50"/>
    </row>
    <row r="337" spans="1:8">
      <c r="A337" s="53"/>
      <c r="C337" s="28"/>
      <c r="D337" s="28"/>
      <c r="E337" s="50"/>
      <c r="F337" s="50"/>
      <c r="G337" s="50"/>
      <c r="H337" s="50"/>
    </row>
    <row r="338" spans="1:8">
      <c r="A338" s="53"/>
      <c r="C338" s="28"/>
      <c r="D338" s="28"/>
      <c r="E338" s="50"/>
      <c r="F338" s="50"/>
      <c r="G338" s="50"/>
      <c r="H338" s="50"/>
    </row>
    <row r="339" spans="1:8">
      <c r="A339" s="53"/>
      <c r="C339" s="28"/>
      <c r="D339" s="28"/>
      <c r="E339" s="50"/>
      <c r="F339" s="50"/>
      <c r="G339" s="50"/>
      <c r="H339" s="50"/>
    </row>
    <row r="340" spans="1:8">
      <c r="A340" s="53"/>
      <c r="C340" s="28"/>
      <c r="D340" s="28"/>
      <c r="E340" s="50"/>
      <c r="F340" s="50"/>
      <c r="G340" s="50"/>
      <c r="H340" s="50"/>
    </row>
    <row r="341" spans="1:8">
      <c r="A341" s="53"/>
      <c r="C341" s="28"/>
      <c r="D341" s="28"/>
      <c r="E341" s="50"/>
      <c r="F341" s="50"/>
      <c r="G341" s="50"/>
      <c r="H341" s="50"/>
    </row>
    <row r="342" spans="1:8">
      <c r="A342" s="53"/>
      <c r="C342" s="28"/>
      <c r="D342" s="28"/>
      <c r="E342" s="50"/>
      <c r="F342" s="50"/>
      <c r="G342" s="50"/>
      <c r="H342" s="50"/>
    </row>
    <row r="343" spans="1:8">
      <c r="A343" s="53"/>
      <c r="C343" s="28"/>
      <c r="D343" s="28"/>
      <c r="E343" s="50"/>
      <c r="F343" s="50"/>
      <c r="G343" s="50"/>
      <c r="H343" s="50"/>
    </row>
    <row r="344" spans="1:8">
      <c r="A344" s="53"/>
      <c r="C344" s="28"/>
      <c r="D344" s="28"/>
      <c r="E344" s="50"/>
      <c r="F344" s="50"/>
      <c r="G344" s="50"/>
      <c r="H344" s="50"/>
    </row>
    <row r="345" spans="1:8">
      <c r="A345" s="53"/>
      <c r="C345" s="28"/>
      <c r="D345" s="28"/>
      <c r="E345" s="50"/>
      <c r="F345" s="50"/>
      <c r="G345" s="50"/>
      <c r="H345" s="50"/>
    </row>
    <row r="346" spans="1:8">
      <c r="A346" s="53"/>
      <c r="C346" s="28"/>
      <c r="D346" s="28"/>
      <c r="E346" s="50"/>
      <c r="F346" s="50"/>
      <c r="G346" s="50"/>
      <c r="H346" s="50"/>
    </row>
    <row r="347" spans="1:8">
      <c r="A347" s="53"/>
      <c r="C347" s="28"/>
      <c r="D347" s="28"/>
      <c r="E347" s="50"/>
      <c r="F347" s="50"/>
      <c r="G347" s="50"/>
      <c r="H347" s="50"/>
    </row>
    <row r="348" spans="1:8">
      <c r="A348" s="53"/>
      <c r="C348" s="28"/>
      <c r="D348" s="28"/>
      <c r="E348" s="50"/>
      <c r="F348" s="50"/>
      <c r="G348" s="50"/>
      <c r="H348" s="50"/>
    </row>
    <row r="349" spans="1:8">
      <c r="A349" s="53"/>
      <c r="C349" s="28"/>
      <c r="D349" s="28"/>
      <c r="E349" s="50"/>
      <c r="F349" s="50"/>
      <c r="G349" s="50"/>
      <c r="H349" s="50"/>
    </row>
    <row r="350" spans="1:8">
      <c r="A350" s="53"/>
      <c r="C350" s="28"/>
      <c r="D350" s="28"/>
      <c r="E350" s="50"/>
      <c r="F350" s="50"/>
      <c r="G350" s="50"/>
      <c r="H350" s="50"/>
    </row>
    <row r="351" spans="1:8">
      <c r="A351" s="53"/>
      <c r="C351" s="28"/>
      <c r="D351" s="28"/>
      <c r="E351" s="50"/>
      <c r="F351" s="50"/>
      <c r="G351" s="50"/>
      <c r="H351" s="50"/>
    </row>
    <row r="352" spans="1:8">
      <c r="A352" s="53"/>
      <c r="C352" s="28"/>
      <c r="D352" s="28"/>
      <c r="E352" s="50"/>
      <c r="F352" s="50"/>
      <c r="G352" s="50"/>
      <c r="H352" s="50"/>
    </row>
    <row r="353" spans="1:8">
      <c r="A353" s="53"/>
      <c r="C353" s="28"/>
      <c r="D353" s="28"/>
      <c r="E353" s="50"/>
      <c r="F353" s="50"/>
      <c r="G353" s="50"/>
      <c r="H353" s="50"/>
    </row>
    <row r="354" spans="1:8">
      <c r="A354" s="53"/>
      <c r="C354" s="28"/>
      <c r="D354" s="28"/>
      <c r="E354" s="50"/>
      <c r="F354" s="50"/>
      <c r="G354" s="50"/>
      <c r="H354" s="50"/>
    </row>
    <row r="355" spans="1:8">
      <c r="A355" s="53"/>
      <c r="C355" s="28"/>
      <c r="D355" s="28"/>
      <c r="E355" s="50"/>
      <c r="F355" s="50"/>
      <c r="G355" s="50"/>
      <c r="H355" s="50"/>
    </row>
    <row r="356" spans="1:8">
      <c r="A356" s="53"/>
      <c r="C356" s="28"/>
      <c r="D356" s="28"/>
      <c r="E356" s="50"/>
      <c r="F356" s="50"/>
      <c r="G356" s="50"/>
      <c r="H356" s="50"/>
    </row>
    <row r="357" spans="1:8">
      <c r="A357" s="53"/>
      <c r="C357" s="28"/>
      <c r="D357" s="28"/>
      <c r="E357" s="50"/>
      <c r="F357" s="50"/>
      <c r="G357" s="50"/>
      <c r="H357" s="50"/>
    </row>
    <row r="358" spans="1:8">
      <c r="A358" s="53"/>
      <c r="C358" s="28"/>
      <c r="D358" s="28"/>
      <c r="E358" s="50"/>
      <c r="F358" s="50"/>
      <c r="G358" s="50"/>
      <c r="H358" s="50"/>
    </row>
    <row r="359" spans="1:8">
      <c r="A359" s="53"/>
      <c r="C359" s="28"/>
      <c r="D359" s="28"/>
      <c r="E359" s="50"/>
      <c r="F359" s="50"/>
      <c r="G359" s="50"/>
      <c r="H359" s="50"/>
    </row>
    <row r="360" spans="1:8">
      <c r="A360" s="53"/>
      <c r="C360" s="28"/>
      <c r="D360" s="28"/>
      <c r="E360" s="50"/>
      <c r="F360" s="50"/>
      <c r="G360" s="50"/>
      <c r="H360" s="50"/>
    </row>
    <row r="361" spans="1:8">
      <c r="A361" s="53"/>
      <c r="C361" s="28"/>
      <c r="D361" s="28"/>
      <c r="E361" s="50"/>
      <c r="F361" s="50"/>
      <c r="G361" s="50"/>
      <c r="H361" s="50"/>
    </row>
    <row r="362" spans="1:8">
      <c r="A362" s="53"/>
      <c r="C362" s="28"/>
      <c r="D362" s="28"/>
      <c r="E362" s="50"/>
      <c r="F362" s="50"/>
      <c r="G362" s="50"/>
      <c r="H362" s="50"/>
    </row>
    <row r="363" spans="1:8">
      <c r="A363" s="53"/>
      <c r="C363" s="28"/>
      <c r="D363" s="28"/>
      <c r="E363" s="50"/>
      <c r="F363" s="50"/>
      <c r="G363" s="50"/>
      <c r="H363" s="50"/>
    </row>
    <row r="364" spans="1:8">
      <c r="A364" s="53"/>
      <c r="C364" s="28"/>
      <c r="D364" s="28"/>
      <c r="E364" s="50"/>
      <c r="F364" s="50"/>
      <c r="G364" s="50"/>
      <c r="H364" s="50"/>
    </row>
    <row r="365" spans="1:8">
      <c r="A365" s="53"/>
      <c r="C365" s="28"/>
      <c r="D365" s="28"/>
      <c r="E365" s="50"/>
      <c r="F365" s="50"/>
      <c r="G365" s="50"/>
      <c r="H365" s="50"/>
    </row>
    <row r="366" spans="1:8">
      <c r="A366" s="53"/>
      <c r="C366" s="28"/>
      <c r="D366" s="28"/>
      <c r="E366" s="50"/>
      <c r="F366" s="50"/>
      <c r="G366" s="50"/>
      <c r="H366" s="50"/>
    </row>
    <row r="367" spans="1:8">
      <c r="A367" s="53"/>
      <c r="C367" s="28"/>
      <c r="D367" s="28"/>
      <c r="E367" s="50"/>
      <c r="F367" s="50"/>
      <c r="G367" s="50"/>
      <c r="H367" s="50"/>
    </row>
    <row r="368" spans="1:8">
      <c r="A368" s="53"/>
      <c r="C368" s="28"/>
      <c r="D368" s="28"/>
      <c r="E368" s="50"/>
      <c r="F368" s="50"/>
      <c r="G368" s="50"/>
      <c r="H368" s="50"/>
    </row>
    <row r="369" spans="1:8">
      <c r="A369" s="53"/>
      <c r="C369" s="28"/>
      <c r="D369" s="28"/>
      <c r="E369" s="50"/>
      <c r="F369" s="50"/>
      <c r="G369" s="50"/>
      <c r="H369" s="50"/>
    </row>
    <row r="370" spans="1:8">
      <c r="A370" s="53"/>
      <c r="C370" s="28"/>
      <c r="D370" s="28"/>
      <c r="E370" s="50"/>
      <c r="F370" s="50"/>
      <c r="G370" s="50"/>
      <c r="H370" s="50"/>
    </row>
    <row r="371" spans="1:8">
      <c r="A371" s="53"/>
      <c r="C371" s="28"/>
      <c r="D371" s="28"/>
      <c r="E371" s="50"/>
      <c r="F371" s="50"/>
      <c r="G371" s="50"/>
      <c r="H371" s="50"/>
    </row>
    <row r="372" spans="1:8">
      <c r="A372" s="53"/>
      <c r="C372" s="28"/>
      <c r="D372" s="28"/>
      <c r="E372" s="50"/>
      <c r="F372" s="50"/>
      <c r="G372" s="50"/>
      <c r="H372" s="50"/>
    </row>
    <row r="373" spans="1:8">
      <c r="A373" s="53"/>
      <c r="C373" s="28"/>
      <c r="D373" s="28"/>
      <c r="E373" s="50"/>
      <c r="F373" s="50"/>
      <c r="G373" s="50"/>
      <c r="H373" s="50"/>
    </row>
    <row r="374" spans="1:8">
      <c r="A374" s="53"/>
      <c r="C374" s="28"/>
      <c r="D374" s="28"/>
      <c r="E374" s="50"/>
      <c r="F374" s="50"/>
      <c r="G374" s="50"/>
      <c r="H374" s="50"/>
    </row>
    <row r="375" spans="1:8">
      <c r="A375" s="53"/>
      <c r="C375" s="28"/>
      <c r="D375" s="28"/>
      <c r="E375" s="50"/>
      <c r="F375" s="50"/>
      <c r="G375" s="50"/>
      <c r="H375" s="50"/>
    </row>
    <row r="376" spans="1:8">
      <c r="A376" s="53"/>
      <c r="C376" s="28"/>
      <c r="D376" s="28"/>
      <c r="E376" s="50"/>
      <c r="F376" s="50"/>
      <c r="G376" s="50"/>
      <c r="H376" s="50"/>
    </row>
    <row r="377" spans="1:8">
      <c r="A377" s="53"/>
      <c r="C377" s="28"/>
      <c r="D377" s="28"/>
      <c r="E377" s="50"/>
      <c r="F377" s="50"/>
      <c r="G377" s="50"/>
      <c r="H377" s="50"/>
    </row>
    <row r="378" spans="1:8">
      <c r="A378" s="53"/>
      <c r="C378" s="28"/>
      <c r="D378" s="28"/>
      <c r="E378" s="50"/>
      <c r="F378" s="50"/>
      <c r="G378" s="50"/>
      <c r="H378" s="50"/>
    </row>
    <row r="379" spans="1:8">
      <c r="A379" s="53"/>
      <c r="C379" s="28"/>
      <c r="D379" s="28"/>
      <c r="E379" s="50"/>
      <c r="F379" s="50"/>
      <c r="G379" s="50"/>
      <c r="H379" s="50"/>
    </row>
    <row r="380" spans="1:8">
      <c r="A380" s="53"/>
      <c r="C380" s="28"/>
      <c r="D380" s="28"/>
      <c r="E380" s="50"/>
      <c r="F380" s="50"/>
      <c r="G380" s="50"/>
      <c r="H380" s="50"/>
    </row>
    <row r="381" spans="1:8">
      <c r="A381" s="53"/>
      <c r="C381" s="28"/>
      <c r="D381" s="28"/>
      <c r="E381" s="50"/>
      <c r="F381" s="50"/>
      <c r="G381" s="50"/>
      <c r="H381" s="50"/>
    </row>
    <row r="382" spans="1:8">
      <c r="A382" s="53"/>
      <c r="C382" s="28"/>
      <c r="D382" s="28"/>
      <c r="E382" s="50"/>
      <c r="F382" s="50"/>
      <c r="G382" s="50"/>
      <c r="H382" s="50"/>
    </row>
    <row r="383" spans="1:8">
      <c r="A383" s="53"/>
      <c r="C383" s="28"/>
      <c r="D383" s="28"/>
      <c r="E383" s="50"/>
      <c r="F383" s="50"/>
      <c r="G383" s="50"/>
      <c r="H383" s="50"/>
    </row>
    <row r="384" spans="1:8">
      <c r="A384" s="53"/>
      <c r="C384" s="28"/>
      <c r="D384" s="28"/>
      <c r="E384" s="50"/>
      <c r="F384" s="50"/>
      <c r="G384" s="50"/>
      <c r="H384" s="50"/>
    </row>
    <row r="385" spans="1:8">
      <c r="A385" s="53"/>
      <c r="C385" s="28"/>
      <c r="D385" s="28"/>
      <c r="E385" s="50"/>
      <c r="F385" s="50"/>
      <c r="G385" s="50"/>
      <c r="H385" s="50"/>
    </row>
    <row r="386" spans="1:8">
      <c r="A386" s="53"/>
      <c r="C386" s="28"/>
      <c r="D386" s="28"/>
      <c r="E386" s="50"/>
      <c r="F386" s="50"/>
      <c r="G386" s="50"/>
      <c r="H386" s="50"/>
    </row>
    <row r="387" spans="1:8">
      <c r="A387" s="53"/>
      <c r="C387" s="28"/>
      <c r="D387" s="28"/>
      <c r="E387" s="50"/>
      <c r="F387" s="50"/>
      <c r="G387" s="50"/>
      <c r="H387" s="50"/>
    </row>
    <row r="388" spans="1:8">
      <c r="A388" s="53"/>
      <c r="C388" s="28"/>
      <c r="D388" s="28"/>
      <c r="E388" s="50"/>
      <c r="F388" s="50"/>
      <c r="G388" s="50"/>
      <c r="H388" s="50"/>
    </row>
    <row r="389" spans="1:8">
      <c r="A389" s="53"/>
      <c r="C389" s="28"/>
      <c r="D389" s="28"/>
      <c r="E389" s="50"/>
      <c r="F389" s="50"/>
      <c r="G389" s="50"/>
      <c r="H389" s="50"/>
    </row>
    <row r="390" spans="1:8">
      <c r="A390" s="53"/>
      <c r="C390" s="28"/>
      <c r="D390" s="28"/>
      <c r="E390" s="50"/>
      <c r="F390" s="50"/>
      <c r="G390" s="50"/>
      <c r="H390" s="50"/>
    </row>
    <row r="391" spans="1:8">
      <c r="A391" s="53"/>
      <c r="C391" s="28"/>
      <c r="D391" s="28"/>
      <c r="E391" s="50"/>
      <c r="F391" s="50"/>
      <c r="G391" s="50"/>
      <c r="H391" s="50"/>
    </row>
    <row r="392" spans="1:8">
      <c r="A392" s="53"/>
      <c r="C392" s="28"/>
      <c r="D392" s="28"/>
      <c r="E392" s="50"/>
      <c r="F392" s="50"/>
      <c r="G392" s="50"/>
      <c r="H392" s="50"/>
    </row>
    <row r="393" spans="1:8">
      <c r="A393" s="53"/>
      <c r="C393" s="28"/>
      <c r="D393" s="28"/>
      <c r="E393" s="50"/>
      <c r="F393" s="50"/>
      <c r="G393" s="50"/>
      <c r="H393" s="50"/>
    </row>
    <row r="394" spans="1:8">
      <c r="A394" s="53"/>
      <c r="C394" s="28"/>
      <c r="D394" s="28"/>
      <c r="E394" s="50"/>
      <c r="F394" s="50"/>
      <c r="G394" s="50"/>
      <c r="H394" s="50"/>
    </row>
    <row r="395" spans="1:8">
      <c r="A395" s="53"/>
      <c r="C395" s="28"/>
      <c r="D395" s="28"/>
      <c r="E395" s="50"/>
      <c r="F395" s="50"/>
      <c r="G395" s="50"/>
      <c r="H395" s="50"/>
    </row>
    <row r="396" spans="1:8">
      <c r="A396" s="53"/>
      <c r="C396" s="28"/>
      <c r="D396" s="28"/>
      <c r="E396" s="50"/>
      <c r="F396" s="50"/>
      <c r="G396" s="50"/>
      <c r="H396" s="50"/>
    </row>
    <row r="397" spans="1:8">
      <c r="A397" s="53"/>
      <c r="C397" s="28"/>
      <c r="D397" s="28"/>
      <c r="E397" s="50"/>
      <c r="F397" s="50"/>
      <c r="G397" s="50"/>
      <c r="H397" s="50"/>
    </row>
    <row r="398" spans="1:8">
      <c r="A398" s="53"/>
      <c r="C398" s="28"/>
      <c r="D398" s="28"/>
      <c r="E398" s="50"/>
      <c r="F398" s="50"/>
      <c r="G398" s="50"/>
      <c r="H398" s="50"/>
    </row>
    <row r="399" spans="1:8">
      <c r="A399" s="53"/>
      <c r="C399" s="28"/>
      <c r="D399" s="28"/>
      <c r="E399" s="50"/>
      <c r="F399" s="50"/>
      <c r="G399" s="50"/>
      <c r="H399" s="50"/>
    </row>
    <row r="400" spans="1:8">
      <c r="A400" s="53"/>
      <c r="C400" s="28"/>
      <c r="D400" s="28"/>
      <c r="E400" s="50"/>
      <c r="F400" s="50"/>
      <c r="G400" s="50"/>
      <c r="H400" s="50"/>
    </row>
    <row r="401" spans="1:8">
      <c r="A401" s="53"/>
      <c r="C401" s="28"/>
      <c r="D401" s="28"/>
      <c r="E401" s="50"/>
      <c r="F401" s="50"/>
      <c r="G401" s="50"/>
      <c r="H401" s="50"/>
    </row>
    <row r="402" spans="1:8">
      <c r="A402" s="53"/>
      <c r="C402" s="28"/>
      <c r="D402" s="28"/>
      <c r="E402" s="50"/>
      <c r="F402" s="50"/>
      <c r="G402" s="50"/>
      <c r="H402" s="50"/>
    </row>
    <row r="403" spans="1:8">
      <c r="A403" s="53"/>
      <c r="C403" s="28"/>
      <c r="D403" s="28"/>
      <c r="E403" s="50"/>
      <c r="F403" s="50"/>
      <c r="G403" s="50"/>
      <c r="H403" s="50"/>
    </row>
    <row r="404" spans="1:8">
      <c r="A404" s="53"/>
      <c r="C404" s="28"/>
      <c r="D404" s="28"/>
      <c r="E404" s="50"/>
      <c r="F404" s="50"/>
      <c r="G404" s="50"/>
      <c r="H404" s="50"/>
    </row>
    <row r="405" spans="1:8">
      <c r="A405" s="53"/>
      <c r="C405" s="28"/>
      <c r="D405" s="28"/>
      <c r="E405" s="50"/>
      <c r="F405" s="50"/>
      <c r="G405" s="50"/>
      <c r="H405" s="50"/>
    </row>
    <row r="406" spans="1:8">
      <c r="A406" s="53"/>
      <c r="C406" s="28"/>
      <c r="D406" s="28"/>
      <c r="E406" s="50"/>
      <c r="F406" s="50"/>
      <c r="G406" s="50"/>
      <c r="H406" s="50"/>
    </row>
    <row r="407" spans="1:8">
      <c r="A407" s="53"/>
      <c r="C407" s="28"/>
      <c r="D407" s="28"/>
      <c r="E407" s="50"/>
      <c r="F407" s="50"/>
      <c r="G407" s="50"/>
      <c r="H407" s="50"/>
    </row>
    <row r="408" spans="1:8">
      <c r="A408" s="53"/>
      <c r="C408" s="28"/>
      <c r="D408" s="28"/>
      <c r="E408" s="50"/>
      <c r="F408" s="50"/>
      <c r="G408" s="50"/>
      <c r="H408" s="50"/>
    </row>
    <row r="409" spans="1:8">
      <c r="A409" s="53"/>
      <c r="C409" s="28"/>
      <c r="D409" s="28"/>
      <c r="E409" s="50"/>
      <c r="F409" s="50"/>
      <c r="G409" s="50"/>
      <c r="H409" s="50"/>
    </row>
    <row r="410" spans="1:8">
      <c r="A410" s="53"/>
      <c r="C410" s="28"/>
      <c r="D410" s="28"/>
      <c r="E410" s="50"/>
      <c r="F410" s="50"/>
      <c r="G410" s="50"/>
      <c r="H410" s="50"/>
    </row>
    <row r="411" spans="1:8">
      <c r="A411" s="53"/>
      <c r="C411" s="28"/>
      <c r="D411" s="28"/>
      <c r="E411" s="50"/>
      <c r="F411" s="50"/>
      <c r="G411" s="50"/>
      <c r="H411" s="50"/>
    </row>
    <row r="412" spans="1:8">
      <c r="A412" s="53"/>
      <c r="C412" s="28"/>
      <c r="D412" s="28"/>
      <c r="E412" s="50"/>
      <c r="F412" s="50"/>
      <c r="G412" s="50"/>
      <c r="H412" s="50"/>
    </row>
    <row r="413" spans="1:8">
      <c r="A413" s="53"/>
      <c r="C413" s="28"/>
      <c r="D413" s="28"/>
      <c r="E413" s="50"/>
      <c r="F413" s="50"/>
      <c r="G413" s="50"/>
      <c r="H413" s="50"/>
    </row>
    <row r="414" spans="1:8">
      <c r="A414" s="53"/>
      <c r="C414" s="28"/>
      <c r="D414" s="28"/>
      <c r="E414" s="50"/>
      <c r="F414" s="50"/>
      <c r="G414" s="50"/>
      <c r="H414" s="50"/>
    </row>
    <row r="415" spans="1:8">
      <c r="A415" s="53"/>
      <c r="C415" s="28"/>
      <c r="D415" s="28"/>
      <c r="E415" s="50"/>
      <c r="F415" s="50"/>
      <c r="G415" s="50"/>
      <c r="H415" s="50"/>
    </row>
    <row r="416" spans="1:8">
      <c r="A416" s="53"/>
      <c r="C416" s="28"/>
      <c r="D416" s="28"/>
      <c r="E416" s="50"/>
      <c r="F416" s="50"/>
      <c r="G416" s="50"/>
      <c r="H416" s="50"/>
    </row>
    <row r="417" spans="1:8">
      <c r="A417" s="53"/>
      <c r="C417" s="28"/>
      <c r="D417" s="28"/>
      <c r="E417" s="50"/>
      <c r="F417" s="50"/>
      <c r="G417" s="50"/>
      <c r="H417" s="50"/>
    </row>
    <row r="418" spans="1:8">
      <c r="A418" s="53"/>
      <c r="C418" s="28"/>
      <c r="D418" s="28"/>
      <c r="E418" s="50"/>
      <c r="F418" s="50"/>
      <c r="G418" s="50"/>
      <c r="H418" s="50"/>
    </row>
    <row r="419" spans="1:8">
      <c r="A419" s="53"/>
      <c r="C419" s="28"/>
      <c r="D419" s="28"/>
      <c r="E419" s="50"/>
      <c r="F419" s="50"/>
      <c r="G419" s="50"/>
      <c r="H419" s="50"/>
    </row>
    <row r="420" spans="1:8">
      <c r="A420" s="53"/>
      <c r="C420" s="28"/>
      <c r="D420" s="28"/>
      <c r="E420" s="50"/>
      <c r="F420" s="50"/>
      <c r="G420" s="50"/>
      <c r="H420" s="50"/>
    </row>
    <row r="421" spans="1:8">
      <c r="A421" s="53"/>
      <c r="C421" s="28"/>
      <c r="D421" s="28"/>
      <c r="E421" s="50"/>
      <c r="F421" s="50"/>
      <c r="G421" s="50"/>
      <c r="H421" s="50"/>
    </row>
    <row r="422" spans="1:8">
      <c r="A422" s="53"/>
      <c r="C422" s="28"/>
      <c r="D422" s="28"/>
      <c r="E422" s="50"/>
      <c r="F422" s="50"/>
      <c r="G422" s="50"/>
      <c r="H422" s="50"/>
    </row>
    <row r="423" spans="1:8">
      <c r="A423" s="53"/>
      <c r="C423" s="28"/>
      <c r="D423" s="28"/>
      <c r="E423" s="50"/>
      <c r="F423" s="50"/>
      <c r="G423" s="50"/>
      <c r="H423" s="50"/>
    </row>
    <row r="424" spans="1:8">
      <c r="A424" s="53"/>
      <c r="C424" s="28"/>
      <c r="D424" s="28"/>
      <c r="E424" s="50"/>
      <c r="F424" s="50"/>
      <c r="G424" s="50"/>
      <c r="H424" s="50"/>
    </row>
    <row r="425" spans="1:8">
      <c r="A425" s="53"/>
      <c r="C425" s="28"/>
      <c r="D425" s="28"/>
      <c r="E425" s="50"/>
      <c r="F425" s="50"/>
      <c r="G425" s="50"/>
      <c r="H425" s="50"/>
    </row>
    <row r="426" spans="1:8">
      <c r="A426" s="53"/>
      <c r="C426" s="28"/>
      <c r="D426" s="28"/>
      <c r="E426" s="50"/>
      <c r="F426" s="50"/>
      <c r="G426" s="50"/>
      <c r="H426" s="50"/>
    </row>
    <row r="427" spans="1:8">
      <c r="A427" s="53"/>
      <c r="C427" s="28"/>
      <c r="D427" s="28"/>
      <c r="E427" s="50"/>
      <c r="F427" s="50"/>
      <c r="G427" s="50"/>
      <c r="H427" s="50"/>
    </row>
    <row r="428" spans="1:8">
      <c r="A428" s="53"/>
      <c r="C428" s="28"/>
      <c r="D428" s="28"/>
      <c r="E428" s="50"/>
      <c r="F428" s="50"/>
      <c r="G428" s="50"/>
      <c r="H428" s="50"/>
    </row>
    <row r="429" spans="1:8">
      <c r="A429" s="53"/>
      <c r="C429" s="28"/>
      <c r="D429" s="28"/>
      <c r="E429" s="50"/>
      <c r="F429" s="50"/>
      <c r="G429" s="50"/>
      <c r="H429" s="50"/>
    </row>
    <row r="430" spans="1:8">
      <c r="A430" s="53"/>
      <c r="C430" s="28"/>
      <c r="D430" s="28"/>
      <c r="E430" s="50"/>
      <c r="F430" s="50"/>
      <c r="G430" s="50"/>
      <c r="H430" s="50"/>
    </row>
    <row r="431" spans="1:8">
      <c r="A431" s="53"/>
      <c r="C431" s="28"/>
      <c r="D431" s="28"/>
      <c r="E431" s="50"/>
      <c r="F431" s="50"/>
      <c r="G431" s="50"/>
      <c r="H431" s="50"/>
    </row>
    <row r="432" spans="1:8">
      <c r="A432" s="53"/>
      <c r="C432" s="28"/>
      <c r="D432" s="28"/>
      <c r="E432" s="50"/>
      <c r="F432" s="50"/>
      <c r="G432" s="50"/>
      <c r="H432" s="50"/>
    </row>
    <row r="433" spans="1:8">
      <c r="A433" s="53"/>
      <c r="C433" s="28"/>
      <c r="D433" s="28"/>
      <c r="E433" s="50"/>
      <c r="F433" s="50"/>
      <c r="G433" s="50"/>
      <c r="H433" s="50"/>
    </row>
    <row r="434" spans="1:8">
      <c r="A434" s="53"/>
      <c r="C434" s="28"/>
      <c r="D434" s="28"/>
      <c r="E434" s="50"/>
      <c r="F434" s="50"/>
      <c r="G434" s="50"/>
      <c r="H434" s="50"/>
    </row>
    <row r="435" spans="1:8">
      <c r="A435" s="53"/>
      <c r="C435" s="28"/>
      <c r="D435" s="28"/>
      <c r="E435" s="50"/>
      <c r="F435" s="50"/>
      <c r="G435" s="50"/>
      <c r="H435" s="50"/>
    </row>
    <row r="436" spans="1:8">
      <c r="A436" s="53"/>
      <c r="C436" s="28"/>
      <c r="D436" s="28"/>
      <c r="E436" s="50"/>
      <c r="F436" s="50"/>
      <c r="G436" s="50"/>
      <c r="H436" s="50"/>
    </row>
    <row r="437" spans="1:8">
      <c r="A437" s="53"/>
      <c r="C437" s="28"/>
      <c r="D437" s="28"/>
      <c r="E437" s="50"/>
      <c r="F437" s="50"/>
      <c r="G437" s="50"/>
      <c r="H437" s="50"/>
    </row>
    <row r="438" spans="1:8">
      <c r="A438" s="53"/>
      <c r="C438" s="28"/>
      <c r="D438" s="28"/>
      <c r="E438" s="50"/>
      <c r="F438" s="50"/>
      <c r="G438" s="50"/>
      <c r="H438" s="50"/>
    </row>
    <row r="439" spans="1:8">
      <c r="A439" s="53"/>
      <c r="C439" s="28"/>
      <c r="D439" s="28"/>
      <c r="E439" s="50"/>
      <c r="F439" s="50"/>
      <c r="G439" s="50"/>
      <c r="H439" s="50"/>
    </row>
    <row r="440" spans="1:8">
      <c r="A440" s="53"/>
      <c r="C440" s="28"/>
      <c r="D440" s="28"/>
      <c r="E440" s="50"/>
      <c r="F440" s="50"/>
      <c r="G440" s="50"/>
      <c r="H440" s="50"/>
    </row>
    <row r="441" spans="1:8">
      <c r="A441" s="53"/>
      <c r="C441" s="28"/>
      <c r="D441" s="28"/>
      <c r="E441" s="50"/>
      <c r="F441" s="50"/>
      <c r="G441" s="50"/>
      <c r="H441" s="50"/>
    </row>
    <row r="442" spans="1:8">
      <c r="A442" s="53"/>
      <c r="C442" s="28"/>
      <c r="D442" s="28"/>
      <c r="E442" s="50"/>
      <c r="F442" s="50"/>
      <c r="G442" s="50"/>
      <c r="H442" s="50"/>
    </row>
    <row r="443" spans="1:8">
      <c r="A443" s="53"/>
      <c r="C443" s="28"/>
      <c r="D443" s="28"/>
      <c r="E443" s="50"/>
      <c r="F443" s="50"/>
      <c r="G443" s="50"/>
      <c r="H443" s="50"/>
    </row>
    <row r="444" spans="1:8">
      <c r="A444" s="53"/>
      <c r="C444" s="28"/>
      <c r="D444" s="28"/>
      <c r="E444" s="50"/>
      <c r="F444" s="50"/>
      <c r="G444" s="50"/>
      <c r="H444" s="50"/>
    </row>
    <row r="445" spans="1:8">
      <c r="A445" s="53"/>
      <c r="C445" s="28"/>
      <c r="D445" s="28"/>
      <c r="E445" s="50"/>
      <c r="F445" s="50"/>
      <c r="G445" s="50"/>
      <c r="H445" s="50"/>
    </row>
    <row r="446" spans="1:8">
      <c r="A446" s="53"/>
      <c r="C446" s="28"/>
      <c r="D446" s="28"/>
      <c r="E446" s="50"/>
      <c r="F446" s="50"/>
      <c r="G446" s="50"/>
      <c r="H446" s="50"/>
    </row>
    <row r="447" spans="1:8">
      <c r="A447" s="53"/>
      <c r="C447" s="28"/>
      <c r="D447" s="28"/>
      <c r="E447" s="50"/>
      <c r="F447" s="50"/>
      <c r="G447" s="50"/>
      <c r="H447" s="50"/>
    </row>
    <row r="448" spans="1:8">
      <c r="A448" s="53"/>
      <c r="C448" s="28"/>
      <c r="D448" s="28"/>
      <c r="E448" s="50"/>
      <c r="F448" s="50"/>
      <c r="G448" s="50"/>
      <c r="H448" s="50"/>
    </row>
    <row r="449" spans="1:8">
      <c r="A449" s="53"/>
      <c r="C449" s="28"/>
      <c r="D449" s="28"/>
      <c r="E449" s="50"/>
      <c r="F449" s="50"/>
      <c r="G449" s="50"/>
      <c r="H449" s="50"/>
    </row>
    <row r="450" spans="1:8">
      <c r="A450" s="53"/>
      <c r="C450" s="28"/>
      <c r="D450" s="28"/>
      <c r="E450" s="50"/>
      <c r="F450" s="50"/>
      <c r="G450" s="50"/>
      <c r="H450" s="50"/>
    </row>
    <row r="451" spans="1:8">
      <c r="A451" s="53"/>
      <c r="C451" s="28"/>
      <c r="D451" s="28"/>
      <c r="E451" s="50"/>
      <c r="F451" s="50"/>
      <c r="G451" s="50"/>
      <c r="H451" s="50"/>
    </row>
    <row r="452" spans="1:8">
      <c r="A452" s="53"/>
      <c r="C452" s="28"/>
      <c r="D452" s="28"/>
      <c r="E452" s="50"/>
      <c r="F452" s="50"/>
      <c r="G452" s="50"/>
      <c r="H452" s="50"/>
    </row>
    <row r="453" spans="1:8">
      <c r="A453" s="53"/>
      <c r="C453" s="28"/>
      <c r="D453" s="28"/>
      <c r="E453" s="50"/>
      <c r="F453" s="50"/>
      <c r="G453" s="50"/>
      <c r="H453" s="50"/>
    </row>
    <row r="454" spans="1:8">
      <c r="A454" s="53"/>
      <c r="C454" s="28"/>
      <c r="D454" s="28"/>
      <c r="E454" s="50"/>
      <c r="F454" s="50"/>
      <c r="G454" s="50"/>
      <c r="H454" s="50"/>
    </row>
    <row r="455" spans="1:8">
      <c r="A455" s="53"/>
      <c r="C455" s="28"/>
      <c r="D455" s="28"/>
      <c r="E455" s="50"/>
      <c r="F455" s="50"/>
      <c r="G455" s="50"/>
      <c r="H455" s="50"/>
    </row>
    <row r="456" spans="1:8">
      <c r="A456" s="53"/>
      <c r="C456" s="28"/>
      <c r="D456" s="28"/>
      <c r="E456" s="50"/>
      <c r="F456" s="50"/>
      <c r="G456" s="50"/>
      <c r="H456" s="50"/>
    </row>
    <row r="457" spans="1:8">
      <c r="A457" s="53"/>
      <c r="C457" s="28"/>
      <c r="D457" s="28"/>
      <c r="E457" s="50"/>
      <c r="F457" s="50"/>
      <c r="G457" s="50"/>
      <c r="H457" s="50"/>
    </row>
    <row r="458" spans="1:8">
      <c r="A458" s="53"/>
      <c r="C458" s="28"/>
      <c r="D458" s="28"/>
      <c r="E458" s="50"/>
      <c r="F458" s="50"/>
      <c r="G458" s="50"/>
      <c r="H458" s="50"/>
    </row>
    <row r="459" spans="1:8">
      <c r="A459" s="53"/>
      <c r="C459" s="28"/>
      <c r="D459" s="28"/>
      <c r="E459" s="50"/>
      <c r="F459" s="50"/>
      <c r="G459" s="50"/>
      <c r="H459" s="50"/>
    </row>
    <row r="460" spans="1:8">
      <c r="A460" s="53"/>
      <c r="C460" s="28"/>
      <c r="D460" s="28"/>
      <c r="E460" s="50"/>
      <c r="F460" s="50"/>
      <c r="G460" s="50"/>
      <c r="H460" s="50"/>
    </row>
    <row r="461" spans="1:8">
      <c r="A461" s="53"/>
      <c r="C461" s="28"/>
      <c r="D461" s="28"/>
      <c r="E461" s="50"/>
      <c r="F461" s="50"/>
      <c r="G461" s="50"/>
      <c r="H461" s="50"/>
    </row>
    <row r="462" spans="1:8">
      <c r="A462" s="53"/>
      <c r="C462" s="28"/>
      <c r="D462" s="28"/>
      <c r="E462" s="50"/>
      <c r="F462" s="50"/>
      <c r="G462" s="50"/>
      <c r="H462" s="50"/>
    </row>
    <row r="463" spans="1:8">
      <c r="A463" s="53"/>
      <c r="C463" s="28"/>
      <c r="D463" s="28"/>
      <c r="E463" s="50"/>
      <c r="F463" s="50"/>
      <c r="G463" s="50"/>
      <c r="H463" s="50"/>
    </row>
    <row r="464" spans="1:8">
      <c r="A464" s="53"/>
      <c r="C464" s="28"/>
      <c r="D464" s="28"/>
      <c r="E464" s="50"/>
      <c r="F464" s="50"/>
      <c r="G464" s="50"/>
      <c r="H464" s="50"/>
    </row>
    <row r="465" spans="1:8">
      <c r="A465" s="53"/>
      <c r="C465" s="28"/>
      <c r="D465" s="28"/>
      <c r="E465" s="50"/>
      <c r="F465" s="50"/>
      <c r="G465" s="50"/>
      <c r="H465" s="50"/>
    </row>
    <row r="466" spans="1:8">
      <c r="A466" s="53"/>
      <c r="C466" s="28"/>
      <c r="D466" s="28"/>
      <c r="E466" s="50"/>
      <c r="F466" s="50"/>
      <c r="G466" s="50"/>
      <c r="H466" s="50"/>
    </row>
    <row r="467" spans="1:8">
      <c r="A467" s="53"/>
      <c r="C467" s="28"/>
      <c r="D467" s="28"/>
      <c r="E467" s="50"/>
      <c r="F467" s="50"/>
      <c r="G467" s="50"/>
      <c r="H467" s="50"/>
    </row>
    <row r="468" spans="1:8">
      <c r="A468" s="53"/>
      <c r="C468" s="28"/>
      <c r="D468" s="28"/>
      <c r="E468" s="50"/>
      <c r="F468" s="50"/>
      <c r="G468" s="50"/>
      <c r="H468" s="50"/>
    </row>
    <row r="469" spans="1:8">
      <c r="A469" s="53"/>
      <c r="C469" s="28"/>
      <c r="D469" s="28"/>
      <c r="E469" s="50"/>
      <c r="F469" s="50"/>
      <c r="G469" s="50"/>
      <c r="H469" s="50"/>
    </row>
    <row r="470" spans="1:8">
      <c r="A470" s="53"/>
      <c r="C470" s="28"/>
      <c r="D470" s="28"/>
      <c r="E470" s="50"/>
      <c r="F470" s="50"/>
      <c r="G470" s="50"/>
      <c r="H470" s="50"/>
    </row>
    <row r="471" spans="1:8">
      <c r="A471" s="53"/>
      <c r="C471" s="28"/>
      <c r="D471" s="28"/>
      <c r="E471" s="50"/>
      <c r="F471" s="50"/>
      <c r="G471" s="50"/>
      <c r="H471" s="50"/>
    </row>
    <row r="472" spans="1:8">
      <c r="A472" s="53"/>
      <c r="C472" s="28"/>
      <c r="D472" s="28"/>
      <c r="E472" s="50"/>
      <c r="F472" s="50"/>
      <c r="G472" s="50"/>
      <c r="H472" s="50"/>
    </row>
    <row r="473" spans="1:8">
      <c r="A473" s="53"/>
      <c r="C473" s="28"/>
      <c r="D473" s="28"/>
      <c r="E473" s="50"/>
      <c r="F473" s="50"/>
      <c r="G473" s="50"/>
      <c r="H473" s="50"/>
    </row>
    <row r="474" spans="1:8">
      <c r="A474" s="53"/>
      <c r="C474" s="28"/>
      <c r="D474" s="28"/>
      <c r="E474" s="50"/>
      <c r="F474" s="50"/>
      <c r="G474" s="50"/>
      <c r="H474" s="50"/>
    </row>
    <row r="475" spans="1:8">
      <c r="A475" s="53"/>
      <c r="C475" s="28"/>
      <c r="D475" s="28"/>
      <c r="E475" s="50"/>
      <c r="F475" s="50"/>
      <c r="G475" s="50"/>
      <c r="H475" s="50"/>
    </row>
    <row r="476" spans="1:8">
      <c r="A476" s="53"/>
      <c r="C476" s="28"/>
      <c r="D476" s="28"/>
      <c r="E476" s="50"/>
      <c r="F476" s="50"/>
      <c r="G476" s="50"/>
      <c r="H476" s="50"/>
    </row>
    <row r="477" spans="1:8">
      <c r="A477" s="53"/>
      <c r="C477" s="28"/>
      <c r="D477" s="28"/>
      <c r="E477" s="50"/>
      <c r="F477" s="50"/>
      <c r="G477" s="50"/>
      <c r="H477" s="50"/>
    </row>
    <row r="478" spans="1:8">
      <c r="A478" s="53"/>
      <c r="C478" s="28"/>
      <c r="D478" s="28"/>
      <c r="E478" s="50"/>
      <c r="F478" s="50"/>
      <c r="G478" s="50"/>
      <c r="H478" s="50"/>
    </row>
    <row r="479" spans="1:8">
      <c r="A479" s="53"/>
      <c r="C479" s="28"/>
      <c r="D479" s="28"/>
      <c r="E479" s="50"/>
      <c r="F479" s="50"/>
      <c r="G479" s="50"/>
      <c r="H479" s="50"/>
    </row>
    <row r="480" spans="1:8">
      <c r="A480" s="53"/>
      <c r="C480" s="28"/>
      <c r="D480" s="28"/>
      <c r="E480" s="50"/>
      <c r="F480" s="50"/>
      <c r="G480" s="50"/>
      <c r="H480" s="50"/>
    </row>
    <row r="481" spans="1:8">
      <c r="A481" s="53"/>
      <c r="C481" s="28"/>
      <c r="D481" s="28"/>
      <c r="E481" s="50"/>
      <c r="F481" s="50"/>
      <c r="G481" s="50"/>
      <c r="H481" s="50"/>
    </row>
    <row r="482" spans="1:8">
      <c r="A482" s="53"/>
      <c r="C482" s="28"/>
      <c r="D482" s="28"/>
      <c r="E482" s="50"/>
      <c r="F482" s="50"/>
      <c r="G482" s="50"/>
      <c r="H482" s="50"/>
    </row>
    <row r="483" spans="1:8">
      <c r="A483" s="53"/>
      <c r="C483" s="28"/>
      <c r="D483" s="28"/>
      <c r="E483" s="50"/>
      <c r="F483" s="50"/>
      <c r="G483" s="50"/>
      <c r="H483" s="50"/>
    </row>
    <row r="484" spans="1:8">
      <c r="A484" s="53"/>
      <c r="C484" s="28"/>
      <c r="D484" s="28"/>
      <c r="E484" s="50"/>
      <c r="F484" s="50"/>
      <c r="G484" s="50"/>
      <c r="H484" s="50"/>
    </row>
    <row r="485" spans="1:8">
      <c r="A485" s="53"/>
      <c r="C485" s="28"/>
      <c r="D485" s="28"/>
      <c r="E485" s="50"/>
      <c r="F485" s="50"/>
      <c r="G485" s="50"/>
      <c r="H485" s="50"/>
    </row>
    <row r="486" spans="1:8">
      <c r="A486" s="53"/>
      <c r="C486" s="28"/>
      <c r="D486" s="28"/>
      <c r="E486" s="50"/>
      <c r="F486" s="50"/>
      <c r="G486" s="50"/>
      <c r="H486" s="50"/>
    </row>
    <row r="487" spans="1:8">
      <c r="A487" s="53"/>
      <c r="C487" s="28"/>
      <c r="D487" s="28"/>
      <c r="E487" s="50"/>
      <c r="F487" s="50"/>
      <c r="G487" s="50"/>
      <c r="H487" s="50"/>
    </row>
    <row r="488" spans="1:8">
      <c r="A488" s="53"/>
      <c r="C488" s="28"/>
      <c r="D488" s="28"/>
      <c r="E488" s="50"/>
      <c r="F488" s="50"/>
      <c r="G488" s="50"/>
      <c r="H488" s="50"/>
    </row>
    <row r="489" spans="1:8">
      <c r="A489" s="53"/>
      <c r="C489" s="28"/>
      <c r="D489" s="28"/>
      <c r="E489" s="50"/>
      <c r="F489" s="50"/>
      <c r="G489" s="50"/>
      <c r="H489" s="50"/>
    </row>
    <row r="490" spans="1:8">
      <c r="A490" s="53"/>
      <c r="C490" s="28"/>
      <c r="D490" s="28"/>
      <c r="E490" s="50"/>
      <c r="F490" s="50"/>
      <c r="G490" s="50"/>
      <c r="H490" s="50"/>
    </row>
    <row r="491" spans="1:8">
      <c r="A491" s="53"/>
      <c r="C491" s="28"/>
      <c r="D491" s="28"/>
      <c r="E491" s="50"/>
      <c r="F491" s="50"/>
      <c r="G491" s="50"/>
      <c r="H491" s="50"/>
    </row>
    <row r="492" spans="1:8">
      <c r="A492" s="53"/>
      <c r="C492" s="28"/>
      <c r="D492" s="28"/>
      <c r="E492" s="50"/>
      <c r="F492" s="50"/>
      <c r="G492" s="50"/>
      <c r="H492" s="50"/>
    </row>
    <row r="493" spans="1:8">
      <c r="A493" s="53"/>
      <c r="C493" s="28"/>
      <c r="D493" s="28"/>
      <c r="E493" s="50"/>
      <c r="F493" s="50"/>
      <c r="G493" s="50"/>
      <c r="H493" s="50"/>
    </row>
    <row r="494" spans="1:8">
      <c r="A494" s="53"/>
      <c r="C494" s="28"/>
      <c r="D494" s="28"/>
      <c r="E494" s="50"/>
      <c r="F494" s="50"/>
      <c r="G494" s="50"/>
      <c r="H494" s="50"/>
    </row>
    <row r="495" spans="1:8">
      <c r="A495" s="53"/>
      <c r="C495" s="28"/>
      <c r="D495" s="28"/>
      <c r="E495" s="50"/>
      <c r="F495" s="50"/>
      <c r="G495" s="50"/>
      <c r="H495" s="50"/>
    </row>
    <row r="496" spans="1:8">
      <c r="A496" s="53"/>
      <c r="C496" s="28"/>
      <c r="D496" s="28"/>
      <c r="E496" s="50"/>
      <c r="F496" s="50"/>
      <c r="G496" s="50"/>
      <c r="H496" s="50"/>
    </row>
    <row r="497" spans="1:8">
      <c r="A497" s="53"/>
      <c r="C497" s="28"/>
      <c r="D497" s="28"/>
      <c r="E497" s="50"/>
      <c r="F497" s="50"/>
      <c r="G497" s="50"/>
      <c r="H497" s="50"/>
    </row>
    <row r="498" spans="1:8">
      <c r="A498" s="53"/>
      <c r="C498" s="28"/>
      <c r="D498" s="28"/>
      <c r="E498" s="50"/>
      <c r="F498" s="50"/>
      <c r="G498" s="50"/>
      <c r="H498" s="50"/>
    </row>
    <row r="499" spans="1:8">
      <c r="A499" s="53"/>
      <c r="C499" s="28"/>
      <c r="D499" s="28"/>
      <c r="E499" s="50"/>
      <c r="F499" s="50"/>
      <c r="G499" s="50"/>
      <c r="H499" s="50"/>
    </row>
    <row r="500" spans="1:8">
      <c r="A500" s="53"/>
      <c r="C500" s="28"/>
      <c r="D500" s="28"/>
      <c r="E500" s="50"/>
      <c r="F500" s="50"/>
      <c r="G500" s="50"/>
      <c r="H500" s="50"/>
    </row>
    <row r="501" spans="1:8">
      <c r="A501" s="53"/>
      <c r="C501" s="28"/>
      <c r="D501" s="28"/>
      <c r="E501" s="50"/>
      <c r="F501" s="50"/>
      <c r="G501" s="50"/>
      <c r="H501" s="50"/>
    </row>
    <row r="502" spans="1:8">
      <c r="A502" s="53"/>
      <c r="C502" s="28"/>
      <c r="D502" s="28"/>
      <c r="E502" s="50"/>
      <c r="F502" s="50"/>
      <c r="G502" s="50"/>
      <c r="H502" s="50"/>
    </row>
    <row r="503" spans="1:8">
      <c r="A503" s="53"/>
      <c r="C503" s="28"/>
      <c r="D503" s="28"/>
      <c r="E503" s="50"/>
      <c r="F503" s="50"/>
      <c r="G503" s="50"/>
      <c r="H503" s="50"/>
    </row>
    <row r="504" spans="1:8">
      <c r="A504" s="53"/>
      <c r="C504" s="28"/>
      <c r="D504" s="28"/>
      <c r="E504" s="50"/>
      <c r="F504" s="50"/>
      <c r="G504" s="50"/>
      <c r="H504" s="50"/>
    </row>
    <row r="505" spans="1:8">
      <c r="A505" s="53"/>
      <c r="C505" s="28"/>
      <c r="D505" s="28"/>
      <c r="E505" s="50"/>
      <c r="F505" s="50"/>
      <c r="G505" s="50"/>
      <c r="H505" s="50"/>
    </row>
    <row r="506" spans="1:8">
      <c r="A506" s="53"/>
      <c r="C506" s="28"/>
      <c r="D506" s="28"/>
      <c r="E506" s="50"/>
      <c r="F506" s="50"/>
      <c r="G506" s="50"/>
      <c r="H506" s="50"/>
    </row>
    <row r="507" spans="1:8">
      <c r="A507" s="53"/>
      <c r="C507" s="28"/>
      <c r="D507" s="28"/>
      <c r="E507" s="50"/>
      <c r="F507" s="50"/>
      <c r="G507" s="50"/>
      <c r="H507" s="50"/>
    </row>
    <row r="508" spans="1:8">
      <c r="A508" s="53"/>
      <c r="C508" s="28"/>
      <c r="D508" s="28"/>
      <c r="E508" s="50"/>
      <c r="F508" s="50"/>
      <c r="G508" s="50"/>
      <c r="H508" s="50"/>
    </row>
    <row r="509" spans="1:8">
      <c r="A509" s="53"/>
      <c r="C509" s="28"/>
      <c r="D509" s="28"/>
      <c r="E509" s="50"/>
      <c r="F509" s="50"/>
      <c r="G509" s="50"/>
      <c r="H509" s="50"/>
    </row>
    <row r="510" spans="1:8">
      <c r="A510" s="53"/>
      <c r="C510" s="28"/>
      <c r="D510" s="28"/>
      <c r="E510" s="50"/>
      <c r="F510" s="50"/>
      <c r="G510" s="50"/>
      <c r="H510" s="50"/>
    </row>
    <row r="511" spans="1:8">
      <c r="A511" s="53"/>
      <c r="C511" s="28"/>
      <c r="D511" s="28"/>
      <c r="E511" s="50"/>
      <c r="F511" s="50"/>
      <c r="G511" s="50"/>
      <c r="H511" s="50"/>
    </row>
    <row r="512" spans="1:8">
      <c r="A512" s="53"/>
      <c r="C512" s="28"/>
      <c r="D512" s="28"/>
      <c r="E512" s="50"/>
      <c r="F512" s="50"/>
      <c r="G512" s="50"/>
      <c r="H512" s="50"/>
    </row>
    <row r="513" spans="1:8">
      <c r="A513" s="53"/>
      <c r="C513" s="28"/>
      <c r="D513" s="28"/>
      <c r="E513" s="50"/>
      <c r="F513" s="50"/>
      <c r="G513" s="50"/>
      <c r="H513" s="50"/>
    </row>
    <row r="514" spans="1:8">
      <c r="A514" s="53"/>
      <c r="C514" s="28"/>
      <c r="D514" s="28"/>
      <c r="E514" s="50"/>
      <c r="F514" s="50"/>
      <c r="G514" s="50"/>
      <c r="H514" s="50"/>
    </row>
    <row r="515" spans="1:8">
      <c r="A515" s="53"/>
      <c r="C515" s="28"/>
      <c r="D515" s="28"/>
      <c r="E515" s="50"/>
      <c r="F515" s="50"/>
      <c r="G515" s="50"/>
      <c r="H515" s="50"/>
    </row>
    <row r="516" spans="1:8">
      <c r="A516" s="53"/>
      <c r="C516" s="28"/>
      <c r="D516" s="28"/>
      <c r="E516" s="50"/>
      <c r="F516" s="50"/>
      <c r="G516" s="50"/>
      <c r="H516" s="50"/>
    </row>
    <row r="517" spans="1:8">
      <c r="A517" s="53"/>
      <c r="C517" s="28"/>
      <c r="D517" s="28"/>
      <c r="E517" s="50"/>
      <c r="F517" s="50"/>
      <c r="G517" s="50"/>
      <c r="H517" s="50"/>
    </row>
    <row r="518" spans="1:8">
      <c r="A518" s="53"/>
      <c r="C518" s="28"/>
      <c r="D518" s="28"/>
      <c r="E518" s="50"/>
      <c r="F518" s="50"/>
      <c r="G518" s="50"/>
      <c r="H518" s="50"/>
    </row>
    <row r="519" spans="1:8">
      <c r="A519" s="53"/>
      <c r="C519" s="28"/>
      <c r="D519" s="28"/>
      <c r="E519" s="50"/>
      <c r="F519" s="50"/>
      <c r="G519" s="50"/>
      <c r="H519" s="50"/>
    </row>
    <row r="520" spans="1:8">
      <c r="A520" s="53"/>
      <c r="C520" s="28"/>
      <c r="D520" s="28"/>
      <c r="E520" s="50"/>
      <c r="F520" s="50"/>
      <c r="G520" s="50"/>
      <c r="H520" s="50"/>
    </row>
    <row r="521" spans="1:8">
      <c r="A521" s="53"/>
      <c r="C521" s="28"/>
      <c r="D521" s="28"/>
      <c r="E521" s="50"/>
      <c r="F521" s="50"/>
      <c r="G521" s="50"/>
      <c r="H521" s="50"/>
    </row>
    <row r="522" spans="1:8">
      <c r="A522" s="53"/>
      <c r="C522" s="28"/>
      <c r="D522" s="28"/>
      <c r="E522" s="50"/>
      <c r="F522" s="50"/>
      <c r="G522" s="50"/>
      <c r="H522" s="50"/>
    </row>
    <row r="523" spans="1:8">
      <c r="A523" s="53"/>
      <c r="C523" s="28"/>
      <c r="D523" s="28"/>
      <c r="E523" s="50"/>
      <c r="F523" s="50"/>
      <c r="G523" s="50"/>
      <c r="H523" s="50"/>
    </row>
    <row r="524" spans="1:8">
      <c r="A524" s="53"/>
      <c r="C524" s="28"/>
      <c r="D524" s="28"/>
      <c r="E524" s="50"/>
      <c r="F524" s="50"/>
      <c r="G524" s="50"/>
      <c r="H524" s="50"/>
    </row>
    <row r="525" spans="1:8">
      <c r="A525" s="53"/>
      <c r="C525" s="28"/>
      <c r="D525" s="28"/>
      <c r="E525" s="50"/>
      <c r="F525" s="50"/>
      <c r="G525" s="50"/>
      <c r="H525" s="50"/>
    </row>
    <row r="526" spans="1:8">
      <c r="A526" s="53"/>
      <c r="C526" s="28"/>
      <c r="D526" s="28"/>
      <c r="E526" s="50"/>
      <c r="F526" s="50"/>
      <c r="G526" s="50"/>
      <c r="H526" s="50"/>
    </row>
    <row r="527" spans="1:8">
      <c r="A527" s="53"/>
      <c r="C527" s="28"/>
      <c r="D527" s="28"/>
      <c r="E527" s="50"/>
      <c r="F527" s="50"/>
      <c r="G527" s="50"/>
      <c r="H527" s="50"/>
    </row>
    <row r="528" spans="1:8">
      <c r="A528" s="53"/>
      <c r="C528" s="28"/>
      <c r="D528" s="28"/>
      <c r="E528" s="50"/>
      <c r="F528" s="50"/>
      <c r="G528" s="50"/>
      <c r="H528" s="50"/>
    </row>
    <row r="529" spans="1:8">
      <c r="A529" s="53"/>
      <c r="C529" s="28"/>
      <c r="D529" s="28"/>
      <c r="E529" s="50"/>
      <c r="F529" s="50"/>
      <c r="G529" s="50"/>
      <c r="H529" s="50"/>
    </row>
    <row r="530" spans="1:8">
      <c r="A530" s="53"/>
      <c r="C530" s="28"/>
      <c r="D530" s="28"/>
      <c r="E530" s="50"/>
      <c r="F530" s="50"/>
      <c r="G530" s="50"/>
      <c r="H530" s="50"/>
    </row>
    <row r="531" spans="1:8">
      <c r="A531" s="53"/>
      <c r="C531" s="28"/>
      <c r="D531" s="28"/>
      <c r="E531" s="50"/>
      <c r="F531" s="50"/>
      <c r="G531" s="50"/>
      <c r="H531" s="50"/>
    </row>
    <row r="532" spans="1:8">
      <c r="A532" s="53"/>
      <c r="C532" s="28"/>
      <c r="D532" s="28"/>
      <c r="E532" s="50"/>
      <c r="F532" s="50"/>
      <c r="G532" s="50"/>
      <c r="H532" s="50"/>
    </row>
    <row r="533" spans="1:8">
      <c r="A533" s="53"/>
      <c r="C533" s="28"/>
      <c r="D533" s="28"/>
      <c r="E533" s="50"/>
      <c r="F533" s="50"/>
      <c r="G533" s="50"/>
      <c r="H533" s="50"/>
    </row>
    <row r="534" spans="1:8">
      <c r="A534" s="53"/>
      <c r="C534" s="28"/>
      <c r="D534" s="28"/>
      <c r="E534" s="50"/>
      <c r="F534" s="50"/>
      <c r="G534" s="50"/>
      <c r="H534" s="50"/>
    </row>
    <row r="535" spans="1:8">
      <c r="A535" s="53"/>
      <c r="C535" s="28"/>
      <c r="D535" s="28"/>
      <c r="E535" s="50"/>
      <c r="F535" s="50"/>
      <c r="G535" s="50"/>
      <c r="H535" s="50"/>
    </row>
    <row r="536" spans="1:8">
      <c r="A536" s="53"/>
      <c r="C536" s="28"/>
      <c r="D536" s="28"/>
      <c r="E536" s="50"/>
      <c r="F536" s="50"/>
      <c r="G536" s="50"/>
      <c r="H536" s="50"/>
    </row>
    <row r="537" spans="1:8">
      <c r="A537" s="53"/>
      <c r="C537" s="28"/>
      <c r="D537" s="28"/>
      <c r="E537" s="50"/>
      <c r="F537" s="50"/>
      <c r="G537" s="50"/>
      <c r="H537" s="50"/>
    </row>
    <row r="538" spans="1:8">
      <c r="A538" s="53"/>
      <c r="C538" s="28"/>
      <c r="D538" s="28"/>
      <c r="E538" s="50"/>
      <c r="F538" s="50"/>
      <c r="G538" s="50"/>
      <c r="H538" s="50"/>
    </row>
    <row r="539" spans="1:8">
      <c r="A539" s="53"/>
      <c r="C539" s="28"/>
      <c r="D539" s="28"/>
      <c r="E539" s="50"/>
      <c r="F539" s="50"/>
      <c r="G539" s="50"/>
      <c r="H539" s="50"/>
    </row>
    <row r="540" spans="1:8">
      <c r="A540" s="53"/>
      <c r="C540" s="28"/>
      <c r="D540" s="28"/>
      <c r="E540" s="50"/>
      <c r="F540" s="50"/>
      <c r="G540" s="50"/>
      <c r="H540" s="50"/>
    </row>
    <row r="541" spans="1:8">
      <c r="A541" s="53"/>
      <c r="C541" s="28"/>
      <c r="D541" s="28"/>
      <c r="E541" s="50"/>
      <c r="F541" s="50"/>
      <c r="G541" s="50"/>
      <c r="H541" s="50"/>
    </row>
    <row r="542" spans="1:8">
      <c r="A542" s="53"/>
      <c r="C542" s="28"/>
      <c r="D542" s="28"/>
      <c r="E542" s="50"/>
      <c r="F542" s="50"/>
      <c r="G542" s="50"/>
      <c r="H542" s="50"/>
    </row>
    <row r="543" spans="1:8">
      <c r="A543" s="53"/>
      <c r="C543" s="28"/>
      <c r="D543" s="28"/>
      <c r="E543" s="50"/>
      <c r="F543" s="50"/>
      <c r="G543" s="50"/>
      <c r="H543" s="50"/>
    </row>
    <row r="544" spans="1:8">
      <c r="A544" s="53"/>
      <c r="C544" s="28"/>
      <c r="D544" s="28"/>
      <c r="E544" s="50"/>
      <c r="F544" s="50"/>
      <c r="G544" s="50"/>
      <c r="H544" s="50"/>
    </row>
    <row r="545" spans="1:8">
      <c r="A545" s="53"/>
      <c r="C545" s="28"/>
      <c r="D545" s="28"/>
      <c r="E545" s="50"/>
      <c r="F545" s="50"/>
      <c r="G545" s="50"/>
      <c r="H545" s="50"/>
    </row>
    <row r="546" spans="1:8">
      <c r="A546" s="53"/>
      <c r="C546" s="28"/>
      <c r="D546" s="28"/>
      <c r="E546" s="50"/>
      <c r="F546" s="50"/>
      <c r="G546" s="50"/>
      <c r="H546" s="50"/>
    </row>
    <row r="547" spans="1:8">
      <c r="A547" s="53"/>
      <c r="C547" s="28"/>
      <c r="D547" s="28"/>
      <c r="E547" s="50"/>
      <c r="F547" s="50"/>
      <c r="G547" s="50"/>
      <c r="H547" s="50"/>
    </row>
    <row r="548" spans="1:8">
      <c r="A548" s="53"/>
      <c r="C548" s="28"/>
      <c r="D548" s="28"/>
      <c r="E548" s="50"/>
      <c r="F548" s="50"/>
      <c r="G548" s="50"/>
      <c r="H548" s="50"/>
    </row>
    <row r="549" spans="1:8">
      <c r="A549" s="53"/>
      <c r="C549" s="28"/>
      <c r="D549" s="28"/>
      <c r="E549" s="50"/>
      <c r="F549" s="50"/>
      <c r="G549" s="50"/>
      <c r="H549" s="50"/>
    </row>
    <row r="550" spans="1:8">
      <c r="A550" s="53"/>
      <c r="C550" s="28"/>
      <c r="D550" s="28"/>
      <c r="E550" s="50"/>
      <c r="F550" s="50"/>
      <c r="G550" s="50"/>
      <c r="H550" s="50"/>
    </row>
    <row r="551" spans="1:8">
      <c r="A551" s="53"/>
      <c r="C551" s="28"/>
      <c r="D551" s="28"/>
      <c r="E551" s="50"/>
      <c r="F551" s="50"/>
      <c r="G551" s="50"/>
      <c r="H551" s="50"/>
    </row>
    <row r="552" spans="1:8">
      <c r="A552" s="53"/>
      <c r="C552" s="28"/>
      <c r="D552" s="28"/>
      <c r="E552" s="50"/>
      <c r="F552" s="50"/>
      <c r="G552" s="50"/>
      <c r="H552" s="50"/>
    </row>
    <row r="553" spans="1:8">
      <c r="A553" s="53"/>
      <c r="C553" s="28"/>
      <c r="D553" s="28"/>
      <c r="E553" s="50"/>
      <c r="F553" s="50"/>
      <c r="G553" s="50"/>
      <c r="H553" s="50"/>
    </row>
    <row r="554" spans="1:8">
      <c r="A554" s="53"/>
      <c r="C554" s="28"/>
      <c r="D554" s="28"/>
      <c r="E554" s="50"/>
      <c r="F554" s="50"/>
      <c r="G554" s="50"/>
      <c r="H554" s="50"/>
    </row>
    <row r="555" spans="1:8">
      <c r="A555" s="53"/>
      <c r="C555" s="28"/>
      <c r="D555" s="28"/>
      <c r="E555" s="50"/>
      <c r="F555" s="50"/>
      <c r="G555" s="50"/>
      <c r="H555" s="50"/>
    </row>
    <row r="556" spans="1:8">
      <c r="A556" s="53"/>
      <c r="C556" s="28"/>
      <c r="D556" s="28"/>
      <c r="E556" s="50"/>
      <c r="F556" s="50"/>
      <c r="G556" s="50"/>
      <c r="H556" s="50"/>
    </row>
    <row r="557" spans="1:8">
      <c r="A557" s="53"/>
      <c r="C557" s="28"/>
      <c r="D557" s="28"/>
      <c r="E557" s="50"/>
      <c r="F557" s="50"/>
      <c r="G557" s="50"/>
      <c r="H557" s="50"/>
    </row>
    <row r="558" spans="1:8">
      <c r="A558" s="53"/>
      <c r="C558" s="28"/>
      <c r="D558" s="28"/>
      <c r="E558" s="50"/>
      <c r="F558" s="50"/>
      <c r="G558" s="50"/>
      <c r="H558" s="50"/>
    </row>
    <row r="559" spans="1:8">
      <c r="A559" s="53"/>
      <c r="C559" s="28"/>
      <c r="D559" s="28"/>
      <c r="E559" s="50"/>
      <c r="F559" s="50"/>
      <c r="G559" s="50"/>
      <c r="H559" s="50"/>
    </row>
    <row r="560" spans="1:8">
      <c r="A560" s="53"/>
      <c r="C560" s="28"/>
      <c r="D560" s="28"/>
      <c r="E560" s="50"/>
      <c r="F560" s="50"/>
      <c r="G560" s="50"/>
      <c r="H560" s="50"/>
    </row>
    <row r="561" spans="1:8">
      <c r="A561" s="53"/>
      <c r="C561" s="28"/>
      <c r="D561" s="28"/>
      <c r="E561" s="50"/>
      <c r="F561" s="50"/>
      <c r="G561" s="50"/>
      <c r="H561" s="50"/>
    </row>
    <row r="562" spans="1:8">
      <c r="A562" s="53"/>
      <c r="C562" s="28"/>
      <c r="D562" s="28"/>
      <c r="E562" s="50"/>
      <c r="F562" s="50"/>
      <c r="G562" s="50"/>
      <c r="H562" s="50"/>
    </row>
    <row r="563" spans="1:8">
      <c r="A563" s="53"/>
      <c r="C563" s="28"/>
      <c r="D563" s="28"/>
      <c r="E563" s="50"/>
      <c r="F563" s="50"/>
      <c r="G563" s="50"/>
      <c r="H563" s="50"/>
    </row>
    <row r="564" spans="1:8">
      <c r="A564" s="53"/>
      <c r="C564" s="28"/>
      <c r="D564" s="28"/>
      <c r="E564" s="50"/>
      <c r="F564" s="50"/>
      <c r="G564" s="50"/>
      <c r="H564" s="50"/>
    </row>
    <row r="565" spans="1:8">
      <c r="A565" s="53"/>
      <c r="C565" s="28"/>
      <c r="D565" s="28"/>
      <c r="E565" s="50"/>
      <c r="F565" s="50"/>
      <c r="G565" s="50"/>
      <c r="H565" s="50"/>
    </row>
    <row r="566" spans="1:8">
      <c r="A566" s="53"/>
      <c r="C566" s="28"/>
      <c r="D566" s="28"/>
      <c r="E566" s="50"/>
      <c r="F566" s="50"/>
      <c r="G566" s="50"/>
      <c r="H566" s="50"/>
    </row>
    <row r="567" spans="1:8">
      <c r="A567" s="53"/>
      <c r="C567" s="28"/>
      <c r="D567" s="28"/>
      <c r="E567" s="50"/>
      <c r="F567" s="50"/>
      <c r="G567" s="50"/>
      <c r="H567" s="50"/>
    </row>
    <row r="568" spans="1:8">
      <c r="A568" s="53"/>
      <c r="C568" s="28"/>
      <c r="D568" s="28"/>
      <c r="E568" s="50"/>
      <c r="F568" s="50"/>
      <c r="G568" s="50"/>
      <c r="H568" s="50"/>
    </row>
    <row r="569" spans="1:8">
      <c r="A569" s="53"/>
      <c r="C569" s="28"/>
      <c r="D569" s="28"/>
      <c r="E569" s="50"/>
      <c r="F569" s="50"/>
      <c r="G569" s="50"/>
      <c r="H569" s="50"/>
    </row>
    <row r="570" spans="1:8">
      <c r="A570" s="53"/>
      <c r="C570" s="28"/>
      <c r="D570" s="28"/>
      <c r="E570" s="50"/>
      <c r="F570" s="50"/>
      <c r="G570" s="50"/>
      <c r="H570" s="50"/>
    </row>
    <row r="571" spans="1:8">
      <c r="A571" s="53"/>
      <c r="C571" s="28"/>
      <c r="D571" s="28"/>
      <c r="E571" s="50"/>
      <c r="F571" s="50"/>
      <c r="G571" s="50"/>
      <c r="H571" s="50"/>
    </row>
    <row r="572" spans="1:8">
      <c r="A572" s="53"/>
      <c r="C572" s="28"/>
      <c r="D572" s="28"/>
      <c r="E572" s="50"/>
      <c r="F572" s="50"/>
      <c r="G572" s="50"/>
      <c r="H572" s="50"/>
    </row>
    <row r="573" spans="1:8">
      <c r="A573" s="53"/>
      <c r="C573" s="28"/>
      <c r="D573" s="28"/>
      <c r="E573" s="50"/>
      <c r="F573" s="50"/>
      <c r="G573" s="50"/>
      <c r="H573" s="50"/>
    </row>
    <row r="574" spans="1:8">
      <c r="A574" s="53"/>
      <c r="C574" s="28"/>
      <c r="D574" s="28"/>
      <c r="E574" s="50"/>
      <c r="F574" s="50"/>
      <c r="G574" s="50"/>
      <c r="H574" s="50"/>
    </row>
    <row r="575" spans="1:8">
      <c r="A575" s="53"/>
      <c r="C575" s="28"/>
      <c r="D575" s="28"/>
      <c r="E575" s="50"/>
      <c r="F575" s="50"/>
      <c r="G575" s="50"/>
      <c r="H575" s="50"/>
    </row>
    <row r="576" spans="1:8">
      <c r="A576" s="53"/>
      <c r="C576" s="28"/>
      <c r="D576" s="28"/>
      <c r="E576" s="50"/>
      <c r="F576" s="50"/>
      <c r="G576" s="50"/>
      <c r="H576" s="50"/>
    </row>
    <row r="577" spans="1:8">
      <c r="A577" s="53"/>
      <c r="C577" s="28"/>
      <c r="D577" s="28"/>
      <c r="E577" s="50"/>
      <c r="F577" s="50"/>
      <c r="G577" s="50"/>
      <c r="H577" s="50"/>
    </row>
    <row r="578" spans="1:8">
      <c r="A578" s="53"/>
      <c r="C578" s="28"/>
      <c r="D578" s="28"/>
      <c r="E578" s="50"/>
      <c r="F578" s="50"/>
      <c r="G578" s="50"/>
      <c r="H578" s="50"/>
    </row>
    <row r="579" spans="1:8">
      <c r="A579" s="53"/>
      <c r="C579" s="28"/>
      <c r="D579" s="28"/>
      <c r="E579" s="50"/>
      <c r="F579" s="50"/>
      <c r="G579" s="50"/>
      <c r="H579" s="50"/>
    </row>
    <row r="580" spans="1:8">
      <c r="A580" s="53"/>
      <c r="C580" s="28"/>
      <c r="D580" s="28"/>
      <c r="E580" s="50"/>
      <c r="F580" s="50"/>
      <c r="G580" s="50"/>
      <c r="H580" s="50"/>
    </row>
    <row r="581" spans="1:8">
      <c r="A581" s="53"/>
      <c r="C581" s="28"/>
      <c r="D581" s="28"/>
      <c r="E581" s="50"/>
      <c r="F581" s="50"/>
      <c r="G581" s="50"/>
      <c r="H581" s="50"/>
    </row>
    <row r="582" spans="1:8">
      <c r="A582" s="53"/>
      <c r="C582" s="28"/>
      <c r="D582" s="28"/>
      <c r="E582" s="50"/>
      <c r="F582" s="50"/>
      <c r="G582" s="50"/>
      <c r="H582" s="50"/>
    </row>
    <row r="583" spans="1:8">
      <c r="A583" s="53"/>
      <c r="C583" s="28"/>
      <c r="D583" s="28"/>
      <c r="E583" s="50"/>
      <c r="F583" s="50"/>
      <c r="G583" s="50"/>
      <c r="H583" s="50"/>
    </row>
    <row r="584" spans="1:8">
      <c r="A584" s="53"/>
      <c r="C584" s="28"/>
      <c r="D584" s="28"/>
      <c r="E584" s="50"/>
      <c r="F584" s="50"/>
      <c r="G584" s="50"/>
      <c r="H584" s="50"/>
    </row>
    <row r="585" spans="1:8">
      <c r="A585" s="53"/>
      <c r="C585" s="28"/>
      <c r="D585" s="28"/>
      <c r="E585" s="50"/>
      <c r="F585" s="50"/>
      <c r="G585" s="50"/>
      <c r="H585" s="50"/>
    </row>
    <row r="586" spans="1:8">
      <c r="A586" s="53"/>
      <c r="C586" s="28"/>
      <c r="D586" s="28"/>
      <c r="E586" s="50"/>
      <c r="F586" s="50"/>
      <c r="G586" s="50"/>
      <c r="H586" s="50"/>
    </row>
  </sheetData>
  <autoFilter xmlns:etc="http://www.wps.cn/officeDocument/2017/etCustomData" ref="A4:H160"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F0"/>
    <pageSetUpPr fitToPage="1"/>
  </sheetPr>
  <dimension ref="A1:J950"/>
  <sheetViews>
    <sheetView showGridLines="0" view="pageBreakPreview" zoomScale="90" zoomScaleNormal="100" topLeftCell="A15" workbookViewId="0">
      <selection activeCell="E27" sqref="E27"/>
    </sheetView>
  </sheetViews>
  <sheetFormatPr defaultColWidth="9.12962962962963" defaultRowHeight="13.8"/>
  <cols>
    <col min="1" max="1" width="7.62962962962963" style="31" customWidth="1"/>
    <col min="2" max="2" width="39.5" style="27" customWidth="1"/>
    <col min="3" max="4" width="30.75" style="32" customWidth="1"/>
    <col min="5" max="8" width="13.8796296296296" style="45" customWidth="1"/>
    <col min="9" max="9" width="17.3796296296296" style="31" customWidth="1"/>
    <col min="10" max="10" width="14.3796296296296" style="31" customWidth="1"/>
    <col min="11" max="16384" width="9.12962962962963" style="31"/>
  </cols>
  <sheetData>
    <row r="1" spans="1:10">
      <c r="A1" s="6" t="s">
        <v>175</v>
      </c>
      <c r="B1" s="6"/>
      <c r="C1" s="7"/>
      <c r="D1" s="7"/>
      <c r="E1" s="6"/>
      <c r="F1" s="6"/>
      <c r="G1" s="6"/>
      <c r="H1" s="6"/>
    </row>
    <row r="2" spans="1:10">
      <c r="A2" s="8" t="s">
        <v>4</v>
      </c>
      <c r="B2" s="8"/>
      <c r="C2" s="8"/>
      <c r="D2" s="8"/>
      <c r="E2" s="34"/>
      <c r="F2" s="34"/>
      <c r="G2" s="34"/>
      <c r="H2" s="34"/>
    </row>
    <row r="3" spans="1:10">
      <c r="A3" s="9" t="s">
        <v>5</v>
      </c>
      <c r="B3" s="9" t="s">
        <v>6</v>
      </c>
      <c r="C3" s="9" t="s">
        <v>7</v>
      </c>
      <c r="D3" s="9"/>
      <c r="E3" s="10" t="s">
        <v>8</v>
      </c>
      <c r="F3" s="10"/>
      <c r="G3" s="10"/>
      <c r="H3" s="10"/>
    </row>
    <row r="4" spans="1:10">
      <c r="A4" s="11"/>
      <c r="B4" s="11"/>
      <c r="C4" s="9" t="s">
        <v>9</v>
      </c>
      <c r="D4" s="9" t="s">
        <v>10</v>
      </c>
      <c r="E4" s="10" t="s">
        <v>11</v>
      </c>
      <c r="F4" s="10" t="s">
        <v>12</v>
      </c>
      <c r="G4" s="10" t="s">
        <v>13</v>
      </c>
      <c r="H4" s="10" t="s">
        <v>14</v>
      </c>
      <c r="J4" s="31" t="s">
        <v>176</v>
      </c>
    </row>
    <row r="5" spans="1:10">
      <c r="A5" s="39" t="s">
        <v>15</v>
      </c>
      <c r="B5" s="13"/>
      <c r="C5" s="15"/>
      <c r="D5" s="15"/>
      <c r="E5" s="10" t="s">
        <v>16</v>
      </c>
      <c r="F5" s="10" t="s">
        <v>16</v>
      </c>
      <c r="G5" s="10" t="s">
        <v>16</v>
      </c>
      <c r="H5" s="10" t="s">
        <v>16</v>
      </c>
    </row>
    <row r="6" spans="1:10">
      <c r="A6" s="16">
        <v>1</v>
      </c>
      <c r="B6" s="217" t="s">
        <v>177</v>
      </c>
      <c r="C6" s="18" t="s">
        <v>178</v>
      </c>
      <c r="D6" s="18" t="s">
        <v>179</v>
      </c>
      <c r="E6" s="55">
        <v>4000000</v>
      </c>
      <c r="F6" s="21">
        <v>2000000</v>
      </c>
      <c r="G6" s="21">
        <v>1200000</v>
      </c>
      <c r="H6" s="21">
        <v>650000</v>
      </c>
    </row>
    <row r="7" spans="1:10">
      <c r="A7" s="16">
        <v>2</v>
      </c>
      <c r="B7" s="217" t="s">
        <v>180</v>
      </c>
      <c r="C7" s="18" t="s">
        <v>181</v>
      </c>
      <c r="D7" s="18" t="s">
        <v>182</v>
      </c>
      <c r="E7" s="55">
        <v>4100000</v>
      </c>
      <c r="F7" s="21">
        <v>2300000</v>
      </c>
      <c r="G7" s="21">
        <v>1500000</v>
      </c>
      <c r="H7" s="21">
        <v>1000000</v>
      </c>
    </row>
    <row r="8" spans="1:10">
      <c r="A8" s="16">
        <v>3</v>
      </c>
      <c r="B8" s="217" t="s">
        <v>181</v>
      </c>
      <c r="C8" s="18" t="s">
        <v>178</v>
      </c>
      <c r="D8" s="18" t="s">
        <v>183</v>
      </c>
      <c r="E8" s="55">
        <v>4000000</v>
      </c>
      <c r="F8" s="21">
        <v>2250000</v>
      </c>
      <c r="G8" s="21">
        <v>1500000</v>
      </c>
      <c r="H8" s="21">
        <v>950000</v>
      </c>
    </row>
    <row r="9" spans="1:10">
      <c r="A9" s="36">
        <v>4</v>
      </c>
      <c r="B9" s="18" t="s">
        <v>184</v>
      </c>
      <c r="C9" s="18" t="s">
        <v>185</v>
      </c>
      <c r="D9" s="18" t="s">
        <v>186</v>
      </c>
      <c r="E9" s="23">
        <v>3300000</v>
      </c>
      <c r="F9" s="23">
        <v>1850000</v>
      </c>
      <c r="G9" s="23">
        <v>1200000</v>
      </c>
      <c r="H9" s="23">
        <v>800000</v>
      </c>
    </row>
    <row r="10" spans="1:10">
      <c r="A10" s="36">
        <v>5</v>
      </c>
      <c r="B10" s="18" t="s">
        <v>187</v>
      </c>
      <c r="C10" s="18" t="s">
        <v>188</v>
      </c>
      <c r="D10" s="18" t="s">
        <v>189</v>
      </c>
      <c r="E10" s="23">
        <v>3450000</v>
      </c>
      <c r="F10" s="23">
        <v>1750000</v>
      </c>
      <c r="G10" s="23">
        <v>1100000</v>
      </c>
      <c r="H10" s="23">
        <v>550000</v>
      </c>
    </row>
    <row r="11" ht="27.6" spans="1:10">
      <c r="A11" s="36">
        <v>6</v>
      </c>
      <c r="B11" s="18" t="s">
        <v>190</v>
      </c>
      <c r="C11" s="18" t="s">
        <v>191</v>
      </c>
      <c r="D11" s="18" t="s">
        <v>188</v>
      </c>
      <c r="E11" s="23">
        <v>2750000</v>
      </c>
      <c r="F11" s="23">
        <v>1400000</v>
      </c>
      <c r="G11" s="23">
        <v>850000</v>
      </c>
      <c r="H11" s="23">
        <v>440000</v>
      </c>
    </row>
    <row r="12" spans="1:10">
      <c r="A12" s="36">
        <v>7</v>
      </c>
      <c r="B12" s="18" t="s">
        <v>188</v>
      </c>
      <c r="C12" s="18" t="s">
        <v>182</v>
      </c>
      <c r="D12" s="18" t="s">
        <v>192</v>
      </c>
      <c r="E12" s="23">
        <v>4500000</v>
      </c>
      <c r="F12" s="23">
        <v>2500000</v>
      </c>
      <c r="G12" s="23">
        <v>1650000</v>
      </c>
      <c r="H12" s="23">
        <v>1100000</v>
      </c>
    </row>
    <row r="13" spans="1:10">
      <c r="A13" s="36">
        <v>8</v>
      </c>
      <c r="B13" s="18" t="s">
        <v>193</v>
      </c>
      <c r="C13" s="18" t="s">
        <v>194</v>
      </c>
      <c r="D13" s="18" t="s">
        <v>188</v>
      </c>
      <c r="E13" s="23">
        <v>3000000</v>
      </c>
      <c r="F13" s="23">
        <v>1500000</v>
      </c>
      <c r="G13" s="23">
        <v>950000</v>
      </c>
      <c r="H13" s="23">
        <v>480000</v>
      </c>
    </row>
    <row r="14" spans="1:10">
      <c r="A14" s="36">
        <v>9</v>
      </c>
      <c r="B14" s="18" t="s">
        <v>195</v>
      </c>
      <c r="C14" s="18" t="s">
        <v>196</v>
      </c>
      <c r="D14" s="18" t="s">
        <v>182</v>
      </c>
      <c r="E14" s="23">
        <v>5050000</v>
      </c>
      <c r="F14" s="23">
        <v>2850000</v>
      </c>
      <c r="G14" s="23">
        <v>1850000</v>
      </c>
      <c r="H14" s="23">
        <v>1200000</v>
      </c>
    </row>
    <row r="15" ht="27.6" spans="1:10">
      <c r="A15" s="36">
        <v>10</v>
      </c>
      <c r="B15" s="18" t="s">
        <v>194</v>
      </c>
      <c r="C15" s="18" t="s">
        <v>177</v>
      </c>
      <c r="D15" s="18" t="s">
        <v>197</v>
      </c>
      <c r="E15" s="23">
        <v>3450000</v>
      </c>
      <c r="F15" s="23">
        <v>1750000</v>
      </c>
      <c r="G15" s="23">
        <v>1100000</v>
      </c>
      <c r="H15" s="23">
        <v>550000</v>
      </c>
    </row>
    <row r="16" spans="1:10">
      <c r="A16" s="36">
        <v>11</v>
      </c>
      <c r="B16" s="18" t="s">
        <v>198</v>
      </c>
      <c r="C16" s="18" t="s">
        <v>199</v>
      </c>
      <c r="D16" s="18" t="s">
        <v>186</v>
      </c>
      <c r="E16" s="23">
        <v>3300000</v>
      </c>
      <c r="F16" s="23">
        <v>1850000</v>
      </c>
      <c r="G16" s="23">
        <v>1200000</v>
      </c>
      <c r="H16" s="23">
        <v>800000</v>
      </c>
    </row>
    <row r="17" spans="1:8">
      <c r="A17" s="36">
        <v>12</v>
      </c>
      <c r="B17" s="18" t="s">
        <v>200</v>
      </c>
      <c r="C17" s="18" t="s">
        <v>198</v>
      </c>
      <c r="D17" s="18" t="s">
        <v>201</v>
      </c>
      <c r="E17" s="23">
        <v>3300000</v>
      </c>
      <c r="F17" s="23">
        <v>1850000</v>
      </c>
      <c r="G17" s="23">
        <v>1200000</v>
      </c>
      <c r="H17" s="23">
        <v>800000</v>
      </c>
    </row>
    <row r="18" spans="1:8">
      <c r="A18" s="36">
        <v>13</v>
      </c>
      <c r="B18" s="18" t="s">
        <v>202</v>
      </c>
      <c r="C18" s="18" t="s">
        <v>198</v>
      </c>
      <c r="D18" s="18" t="s">
        <v>201</v>
      </c>
      <c r="E18" s="23">
        <v>3300000</v>
      </c>
      <c r="F18" s="23">
        <v>1850000</v>
      </c>
      <c r="G18" s="23">
        <v>1200000</v>
      </c>
      <c r="H18" s="23">
        <v>800000</v>
      </c>
    </row>
    <row r="19" spans="1:8">
      <c r="A19" s="36">
        <v>14</v>
      </c>
      <c r="B19" s="18" t="s">
        <v>203</v>
      </c>
      <c r="C19" s="18" t="s">
        <v>198</v>
      </c>
      <c r="D19" s="18" t="s">
        <v>201</v>
      </c>
      <c r="E19" s="23">
        <v>3300000</v>
      </c>
      <c r="F19" s="23">
        <v>1850000</v>
      </c>
      <c r="G19" s="23">
        <v>1200000</v>
      </c>
      <c r="H19" s="23">
        <v>800000</v>
      </c>
    </row>
    <row r="20" spans="1:8">
      <c r="A20" s="36">
        <v>15</v>
      </c>
      <c r="B20" s="18" t="s">
        <v>192</v>
      </c>
      <c r="C20" s="18" t="s">
        <v>194</v>
      </c>
      <c r="D20" s="18" t="s">
        <v>204</v>
      </c>
      <c r="E20" s="23">
        <v>2750000</v>
      </c>
      <c r="F20" s="23">
        <v>1400000</v>
      </c>
      <c r="G20" s="23">
        <v>850000</v>
      </c>
      <c r="H20" s="23">
        <v>440000</v>
      </c>
    </row>
    <row r="21" s="30" customFormat="1" ht="14.4" spans="1:8">
      <c r="A21" s="39" t="s">
        <v>136</v>
      </c>
      <c r="B21" s="18"/>
      <c r="C21" s="18"/>
      <c r="D21" s="18"/>
      <c r="E21" s="23"/>
      <c r="F21" s="23"/>
      <c r="G21" s="23"/>
      <c r="H21" s="23"/>
    </row>
    <row r="22" spans="1:8">
      <c r="A22" s="36">
        <v>16</v>
      </c>
      <c r="B22" s="17" t="s">
        <v>137</v>
      </c>
      <c r="C22" s="18"/>
      <c r="D22" s="18"/>
      <c r="E22" s="23">
        <v>2750000</v>
      </c>
      <c r="F22" s="23">
        <v>1400000</v>
      </c>
      <c r="G22" s="23">
        <v>850000</v>
      </c>
      <c r="H22" s="23">
        <v>440000</v>
      </c>
    </row>
    <row r="23" spans="1:8">
      <c r="A23" s="40" t="s">
        <v>205</v>
      </c>
      <c r="B23" s="18"/>
      <c r="C23" s="18"/>
      <c r="D23" s="18"/>
      <c r="E23" s="23" t="s">
        <v>16</v>
      </c>
      <c r="F23" s="23" t="s">
        <v>16</v>
      </c>
      <c r="G23" s="23" t="s">
        <v>16</v>
      </c>
      <c r="H23" s="23" t="s">
        <v>16</v>
      </c>
    </row>
    <row r="24" ht="27.6" spans="1:8">
      <c r="A24" s="36">
        <v>17</v>
      </c>
      <c r="B24" s="18" t="s">
        <v>206</v>
      </c>
      <c r="C24" s="18"/>
      <c r="D24" s="18"/>
      <c r="E24" s="23">
        <v>495000</v>
      </c>
      <c r="F24" s="23">
        <v>395000</v>
      </c>
      <c r="G24" s="23">
        <v>295000</v>
      </c>
      <c r="H24" s="23">
        <v>0</v>
      </c>
    </row>
    <row r="25" ht="27.6" spans="1:8">
      <c r="A25" s="36">
        <v>18</v>
      </c>
      <c r="B25" s="18" t="s">
        <v>207</v>
      </c>
      <c r="C25" s="18"/>
      <c r="D25" s="18"/>
      <c r="E25" s="23">
        <v>495000</v>
      </c>
      <c r="F25" s="23">
        <v>395000</v>
      </c>
      <c r="G25" s="23">
        <v>295000</v>
      </c>
      <c r="H25" s="23">
        <v>0</v>
      </c>
    </row>
    <row r="26" ht="27.6" spans="1:8">
      <c r="A26" s="36">
        <v>19</v>
      </c>
      <c r="B26" s="18" t="s">
        <v>208</v>
      </c>
      <c r="C26" s="18"/>
      <c r="D26" s="18"/>
      <c r="E26" s="23">
        <v>495000</v>
      </c>
      <c r="F26" s="23">
        <v>395000</v>
      </c>
      <c r="G26" s="23">
        <v>295000</v>
      </c>
      <c r="H26" s="23">
        <v>0</v>
      </c>
    </row>
    <row r="27" ht="41.4" spans="1:8">
      <c r="A27" s="36">
        <v>20</v>
      </c>
      <c r="B27" s="18" t="s">
        <v>209</v>
      </c>
      <c r="C27" s="18"/>
      <c r="D27" s="18"/>
      <c r="E27" s="23">
        <v>1300000</v>
      </c>
      <c r="F27" s="23">
        <v>700000</v>
      </c>
      <c r="G27" s="23">
        <v>435000</v>
      </c>
      <c r="H27" s="23">
        <v>0</v>
      </c>
    </row>
    <row r="28" ht="55.2" spans="1:8">
      <c r="A28" s="36">
        <v>21</v>
      </c>
      <c r="B28" s="18" t="s">
        <v>210</v>
      </c>
      <c r="C28" s="18"/>
      <c r="D28" s="18"/>
      <c r="E28" s="23">
        <v>650000</v>
      </c>
      <c r="F28" s="23">
        <v>400000</v>
      </c>
      <c r="G28" s="23">
        <v>320000</v>
      </c>
      <c r="H28" s="23">
        <v>0</v>
      </c>
    </row>
    <row r="29" ht="41.4" spans="1:8">
      <c r="A29" s="36">
        <v>22</v>
      </c>
      <c r="B29" s="18" t="s">
        <v>211</v>
      </c>
      <c r="C29" s="18"/>
      <c r="D29" s="18"/>
      <c r="E29" s="23">
        <v>600000</v>
      </c>
      <c r="F29" s="23">
        <v>380000</v>
      </c>
      <c r="G29" s="23">
        <v>300000</v>
      </c>
      <c r="H29" s="23">
        <v>0</v>
      </c>
    </row>
    <row r="30" ht="55.2" spans="1:8">
      <c r="A30" s="36">
        <v>23</v>
      </c>
      <c r="B30" s="18" t="s">
        <v>212</v>
      </c>
      <c r="C30" s="18"/>
      <c r="D30" s="18"/>
      <c r="E30" s="23">
        <v>500000</v>
      </c>
      <c r="F30" s="23">
        <v>310000</v>
      </c>
      <c r="G30" s="23">
        <v>255000</v>
      </c>
      <c r="H30" s="23">
        <v>0</v>
      </c>
    </row>
    <row r="31" ht="124.2" spans="1:8">
      <c r="A31" s="36">
        <v>24</v>
      </c>
      <c r="B31" s="18" t="s">
        <v>213</v>
      </c>
      <c r="C31" s="18"/>
      <c r="D31" s="18"/>
      <c r="E31" s="23">
        <v>480000</v>
      </c>
      <c r="F31" s="23">
        <v>300000</v>
      </c>
      <c r="G31" s="23">
        <v>240000</v>
      </c>
      <c r="H31" s="23">
        <v>0</v>
      </c>
    </row>
    <row r="32" ht="82.8" spans="1:8">
      <c r="A32" s="36">
        <v>25</v>
      </c>
      <c r="B32" s="18" t="s">
        <v>214</v>
      </c>
      <c r="C32" s="18"/>
      <c r="D32" s="18"/>
      <c r="E32" s="23">
        <v>600000</v>
      </c>
      <c r="F32" s="23">
        <v>380000</v>
      </c>
      <c r="G32" s="23">
        <v>300000</v>
      </c>
      <c r="H32" s="23">
        <v>0</v>
      </c>
    </row>
    <row r="33" ht="41.4" spans="1:8">
      <c r="A33" s="36">
        <v>26</v>
      </c>
      <c r="B33" s="18" t="s">
        <v>215</v>
      </c>
      <c r="C33" s="18"/>
      <c r="D33" s="18"/>
      <c r="E33" s="23">
        <v>500000</v>
      </c>
      <c r="F33" s="23">
        <v>310000</v>
      </c>
      <c r="G33" s="23">
        <v>255000</v>
      </c>
      <c r="H33" s="23">
        <v>0</v>
      </c>
    </row>
    <row r="34" ht="41.4" spans="1:8">
      <c r="A34" s="36">
        <v>27</v>
      </c>
      <c r="B34" s="18" t="s">
        <v>216</v>
      </c>
      <c r="C34" s="18"/>
      <c r="D34" s="18"/>
      <c r="E34" s="23">
        <v>473500</v>
      </c>
      <c r="F34" s="23">
        <v>290000</v>
      </c>
      <c r="G34" s="23">
        <v>235000</v>
      </c>
      <c r="H34" s="23">
        <v>0</v>
      </c>
    </row>
    <row r="35" spans="1:8">
      <c r="A35" s="40" t="s">
        <v>217</v>
      </c>
      <c r="B35" s="18"/>
      <c r="C35" s="18"/>
      <c r="D35" s="18"/>
      <c r="E35" s="23" t="s">
        <v>16</v>
      </c>
      <c r="F35" s="23" t="s">
        <v>16</v>
      </c>
      <c r="G35" s="23" t="s">
        <v>16</v>
      </c>
      <c r="H35" s="23" t="s">
        <v>16</v>
      </c>
    </row>
    <row r="36" spans="1:8">
      <c r="A36" s="40"/>
      <c r="B36" s="39" t="s">
        <v>218</v>
      </c>
      <c r="C36" s="18"/>
      <c r="D36" s="18"/>
      <c r="E36" s="23" t="s">
        <v>16</v>
      </c>
      <c r="F36" s="23" t="s">
        <v>16</v>
      </c>
      <c r="G36" s="23" t="s">
        <v>16</v>
      </c>
      <c r="H36" s="23" t="s">
        <v>16</v>
      </c>
    </row>
    <row r="37" ht="41.4" spans="1:8">
      <c r="A37" s="36">
        <v>28</v>
      </c>
      <c r="B37" s="18" t="s">
        <v>219</v>
      </c>
      <c r="C37" s="18"/>
      <c r="D37" s="18"/>
      <c r="E37" s="23">
        <v>130000</v>
      </c>
      <c r="F37" s="23">
        <v>120000</v>
      </c>
      <c r="G37" s="23">
        <v>0</v>
      </c>
      <c r="H37" s="23">
        <v>0</v>
      </c>
    </row>
    <row r="38" ht="27.6" spans="1:8">
      <c r="A38" s="36">
        <v>29</v>
      </c>
      <c r="B38" s="18" t="s">
        <v>220</v>
      </c>
      <c r="C38" s="18"/>
      <c r="D38" s="18"/>
      <c r="E38" s="23">
        <v>115000</v>
      </c>
      <c r="F38" s="23">
        <v>105000</v>
      </c>
      <c r="G38" s="23">
        <v>0</v>
      </c>
      <c r="H38" s="23">
        <v>0</v>
      </c>
    </row>
    <row r="39" ht="27.6" spans="1:8">
      <c r="A39" s="36">
        <v>30</v>
      </c>
      <c r="B39" s="18" t="s">
        <v>221</v>
      </c>
      <c r="C39" s="18"/>
      <c r="D39" s="18"/>
      <c r="E39" s="23">
        <v>95000</v>
      </c>
      <c r="F39" s="23">
        <v>0</v>
      </c>
      <c r="G39" s="23">
        <v>0</v>
      </c>
      <c r="H39" s="23">
        <v>0</v>
      </c>
    </row>
    <row r="40" spans="1:8">
      <c r="A40" s="36"/>
      <c r="B40" s="39" t="s">
        <v>222</v>
      </c>
      <c r="C40" s="18"/>
      <c r="D40" s="18"/>
      <c r="E40" s="23" t="s">
        <v>16</v>
      </c>
      <c r="F40" s="23" t="s">
        <v>16</v>
      </c>
      <c r="G40" s="23" t="s">
        <v>16</v>
      </c>
      <c r="H40" s="23" t="s">
        <v>16</v>
      </c>
    </row>
    <row r="41" ht="27.6" spans="1:8">
      <c r="A41" s="36">
        <v>31</v>
      </c>
      <c r="B41" s="18" t="s">
        <v>223</v>
      </c>
      <c r="C41" s="18"/>
      <c r="D41" s="18"/>
      <c r="E41" s="23">
        <v>240000</v>
      </c>
      <c r="F41" s="23">
        <v>185000</v>
      </c>
      <c r="G41" s="23">
        <v>0</v>
      </c>
      <c r="H41" s="23">
        <v>0</v>
      </c>
    </row>
    <row r="42" ht="27.6" spans="1:8">
      <c r="A42" s="36">
        <v>32</v>
      </c>
      <c r="B42" s="18" t="s">
        <v>224</v>
      </c>
      <c r="C42" s="18"/>
      <c r="D42" s="18"/>
      <c r="E42" s="23">
        <v>185000</v>
      </c>
      <c r="F42" s="23">
        <v>140000</v>
      </c>
      <c r="G42" s="23">
        <v>0</v>
      </c>
      <c r="H42" s="23">
        <v>0</v>
      </c>
    </row>
    <row r="43" spans="1:8">
      <c r="A43" s="36">
        <v>33</v>
      </c>
      <c r="B43" s="18" t="s">
        <v>225</v>
      </c>
      <c r="C43" s="18"/>
      <c r="D43" s="18"/>
      <c r="E43" s="23">
        <v>140000</v>
      </c>
      <c r="F43" s="23">
        <v>0</v>
      </c>
      <c r="G43" s="23">
        <v>0</v>
      </c>
      <c r="H43" s="23">
        <v>0</v>
      </c>
    </row>
    <row r="44" spans="1:8">
      <c r="A44" s="36"/>
      <c r="B44" s="18"/>
      <c r="C44" s="18"/>
      <c r="D44" s="18"/>
      <c r="E44" s="23" t="s">
        <v>16</v>
      </c>
      <c r="F44" s="23" t="s">
        <v>16</v>
      </c>
      <c r="G44" s="23" t="s">
        <v>16</v>
      </c>
      <c r="H44" s="23" t="s">
        <v>16</v>
      </c>
    </row>
    <row r="45" spans="1:8">
      <c r="A45" s="36"/>
      <c r="B45" s="18"/>
      <c r="C45" s="18"/>
      <c r="D45" s="18"/>
      <c r="E45" s="23" t="s">
        <v>16</v>
      </c>
      <c r="F45" s="23" t="s">
        <v>16</v>
      </c>
      <c r="G45" s="23" t="s">
        <v>16</v>
      </c>
      <c r="H45" s="23" t="s">
        <v>16</v>
      </c>
    </row>
    <row r="46" spans="1:8">
      <c r="A46" s="36"/>
      <c r="B46" s="18"/>
      <c r="C46" s="18"/>
      <c r="D46" s="18"/>
      <c r="E46" s="23" t="s">
        <v>16</v>
      </c>
      <c r="F46" s="23" t="s">
        <v>16</v>
      </c>
      <c r="G46" s="23" t="s">
        <v>16</v>
      </c>
      <c r="H46" s="23" t="s">
        <v>16</v>
      </c>
    </row>
    <row r="47" spans="1:8">
      <c r="A47" s="36"/>
      <c r="B47" s="18"/>
      <c r="C47" s="18"/>
      <c r="D47" s="18"/>
      <c r="E47" s="23" t="s">
        <v>16</v>
      </c>
      <c r="F47" s="23" t="s">
        <v>16</v>
      </c>
      <c r="G47" s="23" t="s">
        <v>16</v>
      </c>
      <c r="H47" s="23" t="s">
        <v>16</v>
      </c>
    </row>
    <row r="48" spans="1:8">
      <c r="A48" s="36"/>
      <c r="B48" s="18"/>
      <c r="C48" s="18"/>
      <c r="D48" s="18"/>
      <c r="E48" s="23" t="s">
        <v>16</v>
      </c>
      <c r="F48" s="23" t="s">
        <v>16</v>
      </c>
      <c r="G48" s="23" t="s">
        <v>16</v>
      </c>
      <c r="H48" s="23" t="s">
        <v>16</v>
      </c>
    </row>
    <row r="49" spans="1:8">
      <c r="A49" s="36"/>
      <c r="B49" s="18"/>
      <c r="C49" s="18"/>
      <c r="D49" s="18"/>
      <c r="E49" s="23" t="s">
        <v>16</v>
      </c>
      <c r="F49" s="23" t="s">
        <v>16</v>
      </c>
      <c r="G49" s="23" t="s">
        <v>16</v>
      </c>
      <c r="H49" s="23" t="s">
        <v>16</v>
      </c>
    </row>
    <row r="50" spans="1:8">
      <c r="A50" s="36"/>
      <c r="B50" s="18"/>
      <c r="C50" s="18"/>
      <c r="D50" s="18"/>
      <c r="E50" s="23" t="s">
        <v>16</v>
      </c>
      <c r="F50" s="23" t="s">
        <v>16</v>
      </c>
      <c r="G50" s="23" t="s">
        <v>16</v>
      </c>
      <c r="H50" s="23" t="s">
        <v>16</v>
      </c>
    </row>
    <row r="51" spans="1:8">
      <c r="A51" s="36"/>
      <c r="B51" s="18"/>
      <c r="C51" s="18"/>
      <c r="D51" s="18"/>
      <c r="E51" s="23" t="s">
        <v>16</v>
      </c>
      <c r="F51" s="23" t="s">
        <v>16</v>
      </c>
      <c r="G51" s="23" t="s">
        <v>16</v>
      </c>
      <c r="H51" s="23" t="s">
        <v>16</v>
      </c>
    </row>
    <row r="52" spans="1:8">
      <c r="A52" s="36"/>
      <c r="B52" s="18"/>
      <c r="C52" s="18"/>
      <c r="D52" s="18"/>
      <c r="E52" s="23" t="s">
        <v>16</v>
      </c>
      <c r="F52" s="23" t="s">
        <v>16</v>
      </c>
      <c r="G52" s="23" t="s">
        <v>16</v>
      </c>
      <c r="H52" s="23" t="s">
        <v>16</v>
      </c>
    </row>
    <row r="53" spans="1:8">
      <c r="A53" s="36"/>
      <c r="B53" s="41"/>
      <c r="C53" s="41"/>
      <c r="D53" s="41"/>
      <c r="E53" s="23" t="s">
        <v>16</v>
      </c>
      <c r="F53" s="23" t="s">
        <v>16</v>
      </c>
      <c r="G53" s="23" t="s">
        <v>16</v>
      </c>
      <c r="H53" s="23" t="s">
        <v>16</v>
      </c>
    </row>
    <row r="54" spans="1:8">
      <c r="A54" s="36"/>
      <c r="B54" s="18"/>
      <c r="C54" s="18"/>
      <c r="D54" s="18"/>
      <c r="E54" s="23" t="s">
        <v>16</v>
      </c>
      <c r="F54" s="23" t="s">
        <v>16</v>
      </c>
      <c r="G54" s="23" t="s">
        <v>16</v>
      </c>
      <c r="H54" s="23" t="s">
        <v>16</v>
      </c>
    </row>
    <row r="55" spans="1:8">
      <c r="A55" s="36"/>
      <c r="B55" s="18"/>
      <c r="C55" s="18"/>
      <c r="D55" s="18"/>
      <c r="E55" s="23" t="s">
        <v>16</v>
      </c>
      <c r="F55" s="23" t="s">
        <v>16</v>
      </c>
      <c r="G55" s="23" t="s">
        <v>16</v>
      </c>
      <c r="H55" s="23" t="s">
        <v>16</v>
      </c>
    </row>
    <row r="56" spans="1:8">
      <c r="A56" s="36"/>
      <c r="B56" s="18"/>
      <c r="C56" s="18"/>
      <c r="D56" s="18"/>
      <c r="E56" s="23" t="s">
        <v>16</v>
      </c>
      <c r="F56" s="23" t="s">
        <v>16</v>
      </c>
      <c r="G56" s="23" t="s">
        <v>16</v>
      </c>
      <c r="H56" s="23" t="s">
        <v>16</v>
      </c>
    </row>
    <row r="57" spans="1:8">
      <c r="A57" s="36"/>
      <c r="B57" s="18"/>
      <c r="C57" s="18"/>
      <c r="D57" s="18"/>
      <c r="E57" s="23" t="s">
        <v>16</v>
      </c>
      <c r="F57" s="23" t="s">
        <v>16</v>
      </c>
      <c r="G57" s="23" t="s">
        <v>16</v>
      </c>
      <c r="H57" s="23" t="s">
        <v>16</v>
      </c>
    </row>
    <row r="58" spans="1:8">
      <c r="A58" s="36"/>
      <c r="B58" s="18"/>
      <c r="C58" s="18"/>
      <c r="D58" s="18"/>
      <c r="E58" s="23" t="s">
        <v>16</v>
      </c>
      <c r="F58" s="23" t="s">
        <v>16</v>
      </c>
      <c r="G58" s="23" t="s">
        <v>16</v>
      </c>
      <c r="H58" s="23" t="s">
        <v>16</v>
      </c>
    </row>
    <row r="59" spans="1:8">
      <c r="A59" s="36"/>
      <c r="B59" s="18"/>
      <c r="C59" s="18"/>
      <c r="D59" s="18"/>
      <c r="E59" s="23" t="s">
        <v>16</v>
      </c>
      <c r="F59" s="23" t="s">
        <v>16</v>
      </c>
      <c r="G59" s="23" t="s">
        <v>16</v>
      </c>
      <c r="H59" s="23" t="s">
        <v>16</v>
      </c>
    </row>
    <row r="60" spans="1:8">
      <c r="A60" s="36"/>
      <c r="B60" s="18"/>
      <c r="C60" s="18"/>
      <c r="D60" s="18"/>
      <c r="E60" s="23" t="s">
        <v>16</v>
      </c>
      <c r="F60" s="23" t="s">
        <v>16</v>
      </c>
      <c r="G60" s="23" t="s">
        <v>16</v>
      </c>
      <c r="H60" s="23" t="s">
        <v>16</v>
      </c>
    </row>
    <row r="61" spans="1:8">
      <c r="A61" s="36"/>
      <c r="B61" s="18"/>
      <c r="C61" s="18"/>
      <c r="D61" s="18"/>
      <c r="E61" s="23" t="s">
        <v>16</v>
      </c>
      <c r="F61" s="23" t="s">
        <v>16</v>
      </c>
      <c r="G61" s="23" t="s">
        <v>16</v>
      </c>
      <c r="H61" s="23" t="s">
        <v>16</v>
      </c>
    </row>
    <row r="62" spans="1:8">
      <c r="A62" s="36"/>
      <c r="B62" s="20"/>
      <c r="C62" s="18"/>
      <c r="D62" s="18"/>
      <c r="E62" s="23" t="s">
        <v>16</v>
      </c>
      <c r="F62" s="23" t="s">
        <v>16</v>
      </c>
      <c r="G62" s="23" t="s">
        <v>16</v>
      </c>
      <c r="H62" s="23" t="s">
        <v>16</v>
      </c>
    </row>
    <row r="63" spans="1:8">
      <c r="A63" s="36"/>
      <c r="B63" s="20"/>
      <c r="C63" s="18"/>
      <c r="D63" s="18"/>
      <c r="E63" s="23" t="s">
        <v>16</v>
      </c>
      <c r="F63" s="23" t="s">
        <v>16</v>
      </c>
      <c r="G63" s="23" t="s">
        <v>16</v>
      </c>
      <c r="H63" s="23" t="s">
        <v>16</v>
      </c>
    </row>
    <row r="64" spans="1:8">
      <c r="A64" s="36"/>
      <c r="B64" s="20"/>
      <c r="C64" s="18"/>
      <c r="D64" s="18"/>
      <c r="E64" s="23" t="s">
        <v>16</v>
      </c>
      <c r="F64" s="23" t="s">
        <v>16</v>
      </c>
      <c r="G64" s="23" t="s">
        <v>16</v>
      </c>
      <c r="H64" s="23" t="s">
        <v>16</v>
      </c>
    </row>
    <row r="65" spans="1:8">
      <c r="A65" s="36"/>
      <c r="B65" s="20"/>
      <c r="C65" s="18"/>
      <c r="D65" s="18"/>
      <c r="E65" s="23" t="s">
        <v>16</v>
      </c>
      <c r="F65" s="23" t="s">
        <v>16</v>
      </c>
      <c r="G65" s="23" t="s">
        <v>16</v>
      </c>
      <c r="H65" s="23" t="s">
        <v>16</v>
      </c>
    </row>
    <row r="66" spans="1:8">
      <c r="A66" s="36"/>
      <c r="B66" s="20"/>
      <c r="C66" s="18"/>
      <c r="D66" s="18"/>
      <c r="E66" s="23" t="s">
        <v>16</v>
      </c>
      <c r="F66" s="23" t="s">
        <v>16</v>
      </c>
      <c r="G66" s="23" t="s">
        <v>16</v>
      </c>
      <c r="H66" s="23" t="s">
        <v>16</v>
      </c>
    </row>
    <row r="67" spans="1:8">
      <c r="A67" s="36"/>
      <c r="B67" s="20"/>
      <c r="C67" s="18"/>
      <c r="D67" s="18"/>
      <c r="E67" s="23" t="s">
        <v>16</v>
      </c>
      <c r="F67" s="23" t="s">
        <v>16</v>
      </c>
      <c r="G67" s="23" t="s">
        <v>16</v>
      </c>
      <c r="H67" s="23" t="s">
        <v>16</v>
      </c>
    </row>
    <row r="68" spans="1:8">
      <c r="A68" s="36"/>
      <c r="B68" s="20"/>
      <c r="C68" s="18"/>
      <c r="D68" s="18"/>
      <c r="E68" s="23" t="s">
        <v>16</v>
      </c>
      <c r="F68" s="23" t="s">
        <v>16</v>
      </c>
      <c r="G68" s="23" t="s">
        <v>16</v>
      </c>
      <c r="H68" s="23" t="s">
        <v>16</v>
      </c>
    </row>
    <row r="69" spans="1:8">
      <c r="A69" s="36"/>
      <c r="B69" s="20"/>
      <c r="C69" s="18"/>
      <c r="D69" s="18"/>
      <c r="E69" s="23" t="s">
        <v>16</v>
      </c>
      <c r="F69" s="23" t="s">
        <v>16</v>
      </c>
      <c r="G69" s="23" t="s">
        <v>16</v>
      </c>
      <c r="H69" s="23" t="s">
        <v>16</v>
      </c>
    </row>
    <row r="70" spans="1:8">
      <c r="A70" s="36"/>
      <c r="B70" s="20"/>
      <c r="C70" s="18"/>
      <c r="D70" s="18"/>
      <c r="E70" s="23" t="s">
        <v>16</v>
      </c>
      <c r="F70" s="23" t="s">
        <v>16</v>
      </c>
      <c r="G70" s="23" t="s">
        <v>16</v>
      </c>
      <c r="H70" s="23" t="s">
        <v>16</v>
      </c>
    </row>
    <row r="71" spans="1:8">
      <c r="A71" s="36"/>
      <c r="B71" s="20"/>
      <c r="C71" s="18"/>
      <c r="D71" s="18"/>
      <c r="E71" s="23" t="s">
        <v>16</v>
      </c>
      <c r="F71" s="23" t="s">
        <v>16</v>
      </c>
      <c r="G71" s="23" t="s">
        <v>16</v>
      </c>
      <c r="H71" s="23" t="s">
        <v>16</v>
      </c>
    </row>
    <row r="72" spans="1:8">
      <c r="A72" s="36"/>
      <c r="B72" s="20"/>
      <c r="C72" s="18"/>
      <c r="D72" s="18"/>
      <c r="E72" s="23" t="s">
        <v>16</v>
      </c>
      <c r="F72" s="23" t="s">
        <v>16</v>
      </c>
      <c r="G72" s="23" t="s">
        <v>16</v>
      </c>
      <c r="H72" s="23" t="s">
        <v>16</v>
      </c>
    </row>
    <row r="73" spans="1:8">
      <c r="A73" s="20"/>
      <c r="B73" s="20"/>
      <c r="C73" s="18"/>
      <c r="D73" s="18"/>
      <c r="E73" s="23" t="s">
        <v>16</v>
      </c>
      <c r="F73" s="23" t="s">
        <v>16</v>
      </c>
      <c r="G73" s="23" t="s">
        <v>16</v>
      </c>
      <c r="H73" s="23" t="s">
        <v>16</v>
      </c>
    </row>
    <row r="74" spans="1:8">
      <c r="A74" s="20"/>
      <c r="B74" s="20"/>
      <c r="C74" s="18"/>
      <c r="D74" s="18"/>
      <c r="E74" s="23" t="s">
        <v>16</v>
      </c>
      <c r="F74" s="23" t="s">
        <v>16</v>
      </c>
      <c r="G74" s="23" t="s">
        <v>16</v>
      </c>
      <c r="H74" s="23" t="s">
        <v>16</v>
      </c>
    </row>
    <row r="75" spans="1:8">
      <c r="A75" s="20"/>
      <c r="B75" s="20"/>
      <c r="C75" s="18"/>
      <c r="D75" s="18"/>
      <c r="E75" s="23" t="s">
        <v>16</v>
      </c>
      <c r="F75" s="23" t="s">
        <v>16</v>
      </c>
      <c r="G75" s="23" t="s">
        <v>16</v>
      </c>
      <c r="H75" s="23" t="s">
        <v>16</v>
      </c>
    </row>
    <row r="76" spans="1:8">
      <c r="A76" s="20"/>
      <c r="B76" s="20"/>
      <c r="C76" s="18"/>
      <c r="D76" s="18"/>
      <c r="E76" s="23" t="s">
        <v>16</v>
      </c>
      <c r="F76" s="23" t="s">
        <v>16</v>
      </c>
      <c r="G76" s="23" t="s">
        <v>16</v>
      </c>
      <c r="H76" s="23" t="s">
        <v>16</v>
      </c>
    </row>
    <row r="77" spans="1:8">
      <c r="A77" s="20"/>
      <c r="B77" s="20"/>
      <c r="C77" s="18"/>
      <c r="D77" s="18"/>
      <c r="E77" s="23" t="s">
        <v>16</v>
      </c>
      <c r="F77" s="23" t="s">
        <v>16</v>
      </c>
      <c r="G77" s="23" t="s">
        <v>16</v>
      </c>
      <c r="H77" s="23" t="s">
        <v>16</v>
      </c>
    </row>
    <row r="78" spans="1:8">
      <c r="A78" s="20"/>
      <c r="B78" s="20"/>
      <c r="C78" s="18"/>
      <c r="D78" s="18"/>
      <c r="E78" s="23" t="s">
        <v>16</v>
      </c>
      <c r="F78" s="23" t="s">
        <v>16</v>
      </c>
      <c r="G78" s="23" t="s">
        <v>16</v>
      </c>
      <c r="H78" s="23" t="s">
        <v>16</v>
      </c>
    </row>
    <row r="79" spans="1:8">
      <c r="A79" s="20"/>
      <c r="B79" s="20"/>
      <c r="C79" s="18"/>
      <c r="D79" s="18"/>
      <c r="E79" s="23" t="s">
        <v>16</v>
      </c>
      <c r="F79" s="23" t="s">
        <v>16</v>
      </c>
      <c r="G79" s="23" t="s">
        <v>16</v>
      </c>
      <c r="H79" s="23" t="s">
        <v>16</v>
      </c>
    </row>
    <row r="80" spans="1:8">
      <c r="A80" s="20"/>
      <c r="B80" s="20"/>
      <c r="C80" s="18"/>
      <c r="D80" s="18"/>
      <c r="E80" s="23" t="s">
        <v>16</v>
      </c>
      <c r="F80" s="23" t="s">
        <v>16</v>
      </c>
      <c r="G80" s="23" t="s">
        <v>16</v>
      </c>
      <c r="H80" s="23" t="s">
        <v>16</v>
      </c>
    </row>
    <row r="81" spans="1:8">
      <c r="A81" s="20"/>
      <c r="B81" s="42"/>
      <c r="C81" s="43"/>
      <c r="D81" s="43"/>
      <c r="E81" s="23" t="s">
        <v>16</v>
      </c>
      <c r="F81" s="23" t="s">
        <v>16</v>
      </c>
      <c r="G81" s="23" t="s">
        <v>16</v>
      </c>
      <c r="H81" s="23" t="s">
        <v>16</v>
      </c>
    </row>
    <row r="82" spans="1:8">
      <c r="A82" s="20"/>
      <c r="B82" s="20"/>
      <c r="C82" s="18"/>
      <c r="D82" s="18"/>
      <c r="E82" s="23" t="s">
        <v>16</v>
      </c>
      <c r="F82" s="23" t="s">
        <v>16</v>
      </c>
      <c r="G82" s="23" t="s">
        <v>16</v>
      </c>
      <c r="H82" s="23" t="s">
        <v>16</v>
      </c>
    </row>
    <row r="83" spans="1:8">
      <c r="A83" s="20"/>
      <c r="B83" s="20"/>
      <c r="C83" s="18"/>
      <c r="D83" s="18"/>
      <c r="E83" s="23" t="s">
        <v>16</v>
      </c>
      <c r="F83" s="23" t="s">
        <v>16</v>
      </c>
      <c r="G83" s="23" t="s">
        <v>16</v>
      </c>
      <c r="H83" s="23" t="s">
        <v>16</v>
      </c>
    </row>
    <row r="84" spans="1:8">
      <c r="A84" s="20"/>
      <c r="B84" s="20"/>
      <c r="C84" s="18"/>
      <c r="D84" s="18"/>
      <c r="E84" s="23" t="s">
        <v>16</v>
      </c>
      <c r="F84" s="23" t="s">
        <v>16</v>
      </c>
      <c r="G84" s="23" t="s">
        <v>16</v>
      </c>
      <c r="H84" s="23" t="s">
        <v>16</v>
      </c>
    </row>
    <row r="85" spans="1:8">
      <c r="A85" s="27"/>
      <c r="C85" s="28"/>
      <c r="D85" s="28"/>
      <c r="E85" s="23" t="s">
        <v>16</v>
      </c>
      <c r="F85" s="23" t="s">
        <v>16</v>
      </c>
      <c r="G85" s="23" t="s">
        <v>16</v>
      </c>
      <c r="H85" s="23" t="s">
        <v>16</v>
      </c>
    </row>
    <row r="86" spans="1:8">
      <c r="A86" s="27"/>
      <c r="C86" s="28"/>
      <c r="D86" s="28"/>
      <c r="E86" s="23" t="s">
        <v>16</v>
      </c>
      <c r="F86" s="23" t="s">
        <v>16</v>
      </c>
      <c r="G86" s="23" t="s">
        <v>16</v>
      </c>
      <c r="H86" s="23" t="s">
        <v>16</v>
      </c>
    </row>
    <row r="87" spans="1:8">
      <c r="A87" s="27"/>
      <c r="C87" s="28"/>
      <c r="D87" s="28"/>
      <c r="E87" s="23" t="s">
        <v>16</v>
      </c>
      <c r="F87" s="23" t="s">
        <v>16</v>
      </c>
      <c r="G87" s="23" t="s">
        <v>16</v>
      </c>
      <c r="H87" s="23" t="s">
        <v>16</v>
      </c>
    </row>
    <row r="88" spans="1:8">
      <c r="A88" s="27"/>
      <c r="C88" s="28"/>
      <c r="D88" s="28"/>
      <c r="E88" s="23" t="s">
        <v>16</v>
      </c>
      <c r="F88" s="23" t="s">
        <v>16</v>
      </c>
      <c r="G88" s="23" t="s">
        <v>16</v>
      </c>
      <c r="H88" s="23" t="s">
        <v>16</v>
      </c>
    </row>
    <row r="89" spans="1:8">
      <c r="A89" s="27"/>
      <c r="C89" s="28"/>
      <c r="D89" s="28"/>
      <c r="E89" s="23" t="s">
        <v>16</v>
      </c>
      <c r="F89" s="23" t="s">
        <v>16</v>
      </c>
      <c r="G89" s="23" t="s">
        <v>16</v>
      </c>
      <c r="H89" s="23" t="s">
        <v>16</v>
      </c>
    </row>
    <row r="90" spans="1:8">
      <c r="A90" s="27"/>
      <c r="C90" s="28"/>
      <c r="D90" s="2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t="s">
        <v>16</v>
      </c>
      <c r="F201" s="23" t="s">
        <v>16</v>
      </c>
      <c r="G201" s="23" t="s">
        <v>16</v>
      </c>
      <c r="H201" s="23" t="s">
        <v>16</v>
      </c>
    </row>
    <row r="202" spans="1:8">
      <c r="A202" s="27"/>
      <c r="C202" s="28"/>
      <c r="D202" s="28"/>
      <c r="E202" s="23" t="s">
        <v>16</v>
      </c>
      <c r="F202" s="23" t="s">
        <v>16</v>
      </c>
      <c r="G202" s="23" t="s">
        <v>16</v>
      </c>
      <c r="H202" s="23" t="s">
        <v>16</v>
      </c>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row r="860" spans="1:8">
      <c r="A860" s="27"/>
      <c r="C860" s="28"/>
      <c r="D860" s="28"/>
      <c r="E860" s="50"/>
      <c r="F860" s="50"/>
      <c r="G860" s="50"/>
      <c r="H860" s="50"/>
    </row>
    <row r="861" spans="1:8">
      <c r="A861" s="27"/>
      <c r="C861" s="28"/>
      <c r="D861" s="28"/>
      <c r="E861" s="50"/>
      <c r="F861" s="50"/>
      <c r="G861" s="50"/>
      <c r="H861" s="50"/>
    </row>
    <row r="862" spans="1:8">
      <c r="A862" s="27"/>
      <c r="C862" s="28"/>
      <c r="D862" s="28"/>
      <c r="E862" s="50"/>
      <c r="F862" s="50"/>
      <c r="G862" s="50"/>
      <c r="H862" s="50"/>
    </row>
    <row r="863" spans="1:8">
      <c r="A863" s="27"/>
      <c r="C863" s="28"/>
      <c r="D863" s="28"/>
      <c r="E863" s="50"/>
      <c r="F863" s="50"/>
      <c r="G863" s="50"/>
      <c r="H863" s="50"/>
    </row>
    <row r="864" spans="1:8">
      <c r="A864" s="27"/>
      <c r="C864" s="28"/>
      <c r="D864" s="28"/>
      <c r="E864" s="50"/>
      <c r="F864" s="50"/>
      <c r="G864" s="50"/>
      <c r="H864" s="50"/>
    </row>
    <row r="865" spans="1:8">
      <c r="A865" s="27"/>
      <c r="C865" s="28"/>
      <c r="D865" s="28"/>
      <c r="E865" s="50"/>
      <c r="F865" s="50"/>
      <c r="G865" s="50"/>
      <c r="H865" s="50"/>
    </row>
    <row r="866" spans="1:8">
      <c r="A866" s="27"/>
      <c r="C866" s="28"/>
      <c r="D866" s="28"/>
      <c r="E866" s="50"/>
      <c r="F866" s="50"/>
      <c r="G866" s="50"/>
      <c r="H866" s="50"/>
    </row>
    <row r="867" spans="1:8">
      <c r="A867" s="27"/>
      <c r="C867" s="28"/>
      <c r="D867" s="28"/>
      <c r="E867" s="50"/>
      <c r="F867" s="50"/>
      <c r="G867" s="50"/>
      <c r="H867" s="50"/>
    </row>
    <row r="868" spans="1:8">
      <c r="A868" s="27"/>
      <c r="C868" s="28"/>
      <c r="D868" s="28"/>
      <c r="E868" s="50"/>
      <c r="F868" s="50"/>
      <c r="G868" s="50"/>
      <c r="H868" s="50"/>
    </row>
    <row r="869" spans="1:8">
      <c r="A869" s="27"/>
      <c r="C869" s="28"/>
      <c r="D869" s="28"/>
      <c r="E869" s="50"/>
      <c r="F869" s="50"/>
      <c r="G869" s="50"/>
      <c r="H869" s="50"/>
    </row>
    <row r="870" spans="1:8">
      <c r="A870" s="27"/>
      <c r="C870" s="28"/>
      <c r="D870" s="28"/>
      <c r="E870" s="50"/>
      <c r="F870" s="50"/>
      <c r="G870" s="50"/>
      <c r="H870" s="50"/>
    </row>
    <row r="871" spans="1:8">
      <c r="A871" s="27"/>
      <c r="C871" s="28"/>
      <c r="D871" s="28"/>
      <c r="E871" s="50"/>
      <c r="F871" s="50"/>
      <c r="G871" s="50"/>
      <c r="H871" s="50"/>
    </row>
    <row r="872" spans="1:8">
      <c r="A872" s="27"/>
      <c r="C872" s="28"/>
      <c r="D872" s="28"/>
      <c r="E872" s="50"/>
      <c r="F872" s="50"/>
      <c r="G872" s="50"/>
      <c r="H872" s="50"/>
    </row>
    <row r="873" spans="1:8">
      <c r="A873" s="27"/>
      <c r="C873" s="28"/>
      <c r="D873" s="28"/>
      <c r="E873" s="50"/>
      <c r="F873" s="50"/>
      <c r="G873" s="50"/>
      <c r="H873" s="50"/>
    </row>
    <row r="874" spans="1:8">
      <c r="A874" s="27"/>
      <c r="C874" s="28"/>
      <c r="D874" s="28"/>
      <c r="E874" s="50"/>
      <c r="F874" s="50"/>
      <c r="G874" s="50"/>
      <c r="H874" s="50"/>
    </row>
    <row r="875" spans="1:8">
      <c r="A875" s="27"/>
      <c r="C875" s="28"/>
      <c r="D875" s="28"/>
      <c r="E875" s="50"/>
      <c r="F875" s="50"/>
      <c r="G875" s="50"/>
      <c r="H875" s="50"/>
    </row>
    <row r="876" spans="1:8">
      <c r="A876" s="27"/>
      <c r="C876" s="28"/>
      <c r="D876" s="28"/>
      <c r="E876" s="50"/>
      <c r="F876" s="50"/>
      <c r="G876" s="50"/>
      <c r="H876" s="50"/>
    </row>
    <row r="877" spans="1:8">
      <c r="A877" s="27"/>
      <c r="C877" s="28"/>
      <c r="D877" s="28"/>
      <c r="E877" s="50"/>
      <c r="F877" s="50"/>
      <c r="G877" s="50"/>
      <c r="H877" s="50"/>
    </row>
    <row r="878" spans="1:8">
      <c r="A878" s="27"/>
      <c r="C878" s="28"/>
      <c r="D878" s="28"/>
      <c r="E878" s="50"/>
      <c r="F878" s="50"/>
      <c r="G878" s="50"/>
      <c r="H878" s="50"/>
    </row>
    <row r="879" spans="1:8">
      <c r="A879" s="27"/>
      <c r="C879" s="28"/>
      <c r="D879" s="28"/>
      <c r="E879" s="50"/>
      <c r="F879" s="50"/>
      <c r="G879" s="50"/>
      <c r="H879" s="50"/>
    </row>
    <row r="880" spans="1:8">
      <c r="A880" s="27"/>
      <c r="C880" s="28"/>
      <c r="D880" s="28"/>
      <c r="E880" s="50"/>
      <c r="F880" s="50"/>
      <c r="G880" s="50"/>
      <c r="H880" s="50"/>
    </row>
    <row r="881" spans="1:8">
      <c r="A881" s="27"/>
      <c r="C881" s="28"/>
      <c r="D881" s="28"/>
      <c r="E881" s="50"/>
      <c r="F881" s="50"/>
      <c r="G881" s="50"/>
      <c r="H881" s="50"/>
    </row>
    <row r="882" spans="1:8">
      <c r="A882" s="27"/>
      <c r="C882" s="28"/>
      <c r="D882" s="28"/>
      <c r="E882" s="50"/>
      <c r="F882" s="50"/>
      <c r="G882" s="50"/>
      <c r="H882" s="50"/>
    </row>
    <row r="883" spans="1:8">
      <c r="A883" s="27"/>
      <c r="C883" s="28"/>
      <c r="D883" s="28"/>
      <c r="E883" s="50"/>
      <c r="F883" s="50"/>
      <c r="G883" s="50"/>
      <c r="H883" s="50"/>
    </row>
    <row r="884" spans="1:8">
      <c r="A884" s="27"/>
      <c r="C884" s="28"/>
      <c r="D884" s="28"/>
      <c r="E884" s="50"/>
      <c r="F884" s="50"/>
      <c r="G884" s="50"/>
      <c r="H884" s="50"/>
    </row>
    <row r="885" spans="1:8">
      <c r="A885" s="27"/>
      <c r="C885" s="28"/>
      <c r="D885" s="28"/>
      <c r="E885" s="50"/>
      <c r="F885" s="50"/>
      <c r="G885" s="50"/>
      <c r="H885" s="50"/>
    </row>
    <row r="886" spans="1:8">
      <c r="A886" s="27"/>
      <c r="C886" s="28"/>
      <c r="D886" s="28"/>
      <c r="E886" s="50"/>
      <c r="F886" s="50"/>
      <c r="G886" s="50"/>
      <c r="H886" s="50"/>
    </row>
    <row r="887" spans="1:8">
      <c r="A887" s="27"/>
      <c r="C887" s="28"/>
      <c r="D887" s="28"/>
      <c r="E887" s="50"/>
      <c r="F887" s="50"/>
      <c r="G887" s="50"/>
      <c r="H887" s="50"/>
    </row>
    <row r="888" spans="1:8">
      <c r="A888" s="27"/>
      <c r="C888" s="28"/>
      <c r="D888" s="28"/>
      <c r="E888" s="50"/>
      <c r="F888" s="50"/>
      <c r="G888" s="50"/>
      <c r="H888" s="50"/>
    </row>
    <row r="889" spans="1:8">
      <c r="A889" s="27"/>
      <c r="C889" s="28"/>
      <c r="D889" s="28"/>
      <c r="E889" s="50"/>
      <c r="F889" s="50"/>
      <c r="G889" s="50"/>
      <c r="H889" s="50"/>
    </row>
    <row r="890" spans="1:8">
      <c r="A890" s="27"/>
      <c r="C890" s="28"/>
      <c r="D890" s="28"/>
      <c r="E890" s="50"/>
      <c r="F890" s="50"/>
      <c r="G890" s="50"/>
      <c r="H890" s="50"/>
    </row>
    <row r="891" spans="1:8">
      <c r="A891" s="27"/>
      <c r="C891" s="28"/>
      <c r="D891" s="28"/>
      <c r="E891" s="50"/>
      <c r="F891" s="50"/>
      <c r="G891" s="50"/>
      <c r="H891" s="50"/>
    </row>
    <row r="892" spans="1:8">
      <c r="A892" s="27"/>
      <c r="C892" s="28"/>
      <c r="D892" s="28"/>
      <c r="E892" s="50"/>
      <c r="F892" s="50"/>
      <c r="G892" s="50"/>
      <c r="H892" s="50"/>
    </row>
    <row r="893" spans="1:8">
      <c r="A893" s="27"/>
      <c r="C893" s="28"/>
      <c r="D893" s="28"/>
      <c r="E893" s="50"/>
      <c r="F893" s="50"/>
      <c r="G893" s="50"/>
      <c r="H893" s="50"/>
    </row>
    <row r="894" spans="1:8">
      <c r="A894" s="27"/>
      <c r="C894" s="28"/>
      <c r="D894" s="28"/>
      <c r="E894" s="50"/>
      <c r="F894" s="50"/>
      <c r="G894" s="50"/>
      <c r="H894" s="50"/>
    </row>
    <row r="895" spans="1:8">
      <c r="A895" s="27"/>
      <c r="C895" s="28"/>
      <c r="D895" s="28"/>
      <c r="E895" s="50"/>
      <c r="F895" s="50"/>
      <c r="G895" s="50"/>
      <c r="H895" s="50"/>
    </row>
    <row r="896" spans="1:8">
      <c r="A896" s="27"/>
      <c r="C896" s="28"/>
      <c r="D896" s="28"/>
      <c r="E896" s="50"/>
      <c r="F896" s="50"/>
      <c r="G896" s="50"/>
      <c r="H896" s="50"/>
    </row>
    <row r="897" spans="1:8">
      <c r="A897" s="27"/>
      <c r="C897" s="28"/>
      <c r="D897" s="28"/>
      <c r="E897" s="50"/>
      <c r="F897" s="50"/>
      <c r="G897" s="50"/>
      <c r="H897" s="50"/>
    </row>
    <row r="898" spans="1:8">
      <c r="A898" s="27"/>
      <c r="C898" s="28"/>
      <c r="D898" s="28"/>
      <c r="E898" s="50"/>
      <c r="F898" s="50"/>
      <c r="G898" s="50"/>
      <c r="H898" s="50"/>
    </row>
    <row r="899" spans="1:8">
      <c r="A899" s="27"/>
      <c r="C899" s="28"/>
      <c r="D899" s="28"/>
      <c r="E899" s="50"/>
      <c r="F899" s="50"/>
      <c r="G899" s="50"/>
      <c r="H899" s="50"/>
    </row>
    <row r="900" spans="1:8">
      <c r="A900" s="27"/>
      <c r="C900" s="28"/>
      <c r="D900" s="28"/>
      <c r="E900" s="50"/>
      <c r="F900" s="50"/>
      <c r="G900" s="50"/>
      <c r="H900" s="50"/>
    </row>
    <row r="901" spans="1:8">
      <c r="A901" s="27"/>
      <c r="C901" s="28"/>
      <c r="D901" s="28"/>
      <c r="E901" s="50"/>
      <c r="F901" s="50"/>
      <c r="G901" s="50"/>
      <c r="H901" s="50"/>
    </row>
    <row r="902" spans="1:8">
      <c r="A902" s="27"/>
      <c r="C902" s="28"/>
      <c r="D902" s="28"/>
      <c r="E902" s="50"/>
      <c r="F902" s="50"/>
      <c r="G902" s="50"/>
      <c r="H902" s="50"/>
    </row>
    <row r="903" spans="1:8">
      <c r="A903" s="27"/>
      <c r="C903" s="28"/>
      <c r="D903" s="28"/>
      <c r="E903" s="50"/>
      <c r="F903" s="50"/>
      <c r="G903" s="50"/>
      <c r="H903" s="50"/>
    </row>
    <row r="904" spans="1:8">
      <c r="A904" s="27"/>
      <c r="C904" s="28"/>
      <c r="D904" s="28"/>
      <c r="E904" s="50"/>
      <c r="F904" s="50"/>
      <c r="G904" s="50"/>
      <c r="H904" s="50"/>
    </row>
    <row r="905" spans="1:8">
      <c r="A905" s="27"/>
      <c r="C905" s="28"/>
      <c r="D905" s="28"/>
      <c r="E905" s="50"/>
      <c r="F905" s="50"/>
      <c r="G905" s="50"/>
      <c r="H905" s="50"/>
    </row>
    <row r="906" spans="1:8">
      <c r="A906" s="27"/>
      <c r="C906" s="28"/>
      <c r="D906" s="28"/>
      <c r="E906" s="50"/>
      <c r="F906" s="50"/>
      <c r="G906" s="50"/>
      <c r="H906" s="50"/>
    </row>
    <row r="907" spans="1:8">
      <c r="A907" s="27"/>
      <c r="C907" s="28"/>
      <c r="D907" s="28"/>
      <c r="E907" s="50"/>
      <c r="F907" s="50"/>
      <c r="G907" s="50"/>
      <c r="H907" s="50"/>
    </row>
    <row r="908" spans="1:8">
      <c r="A908" s="27"/>
      <c r="C908" s="28"/>
      <c r="D908" s="28"/>
      <c r="E908" s="50"/>
      <c r="F908" s="50"/>
      <c r="G908" s="50"/>
      <c r="H908" s="50"/>
    </row>
    <row r="909" spans="1:8">
      <c r="A909" s="27"/>
      <c r="C909" s="28"/>
      <c r="D909" s="28"/>
      <c r="E909" s="50"/>
      <c r="F909" s="50"/>
      <c r="G909" s="50"/>
      <c r="H909" s="50"/>
    </row>
    <row r="910" spans="1:8">
      <c r="A910" s="27"/>
      <c r="C910" s="28"/>
      <c r="D910" s="28"/>
      <c r="E910" s="50"/>
      <c r="F910" s="50"/>
      <c r="G910" s="50"/>
      <c r="H910" s="50"/>
    </row>
    <row r="911" spans="1:8">
      <c r="A911" s="27"/>
      <c r="C911" s="28"/>
      <c r="D911" s="28"/>
      <c r="E911" s="50"/>
      <c r="F911" s="50"/>
      <c r="G911" s="50"/>
      <c r="H911" s="50"/>
    </row>
    <row r="912" spans="1:8">
      <c r="A912" s="27"/>
      <c r="C912" s="28"/>
      <c r="D912" s="28"/>
      <c r="E912" s="50"/>
      <c r="F912" s="50"/>
      <c r="G912" s="50"/>
      <c r="H912" s="50"/>
    </row>
    <row r="913" spans="1:8">
      <c r="A913" s="27"/>
      <c r="C913" s="28"/>
      <c r="D913" s="28"/>
      <c r="E913" s="50"/>
      <c r="F913" s="50"/>
      <c r="G913" s="50"/>
      <c r="H913" s="50"/>
    </row>
    <row r="914" spans="1:8">
      <c r="A914" s="27"/>
      <c r="C914" s="28"/>
      <c r="D914" s="28"/>
      <c r="E914" s="50"/>
      <c r="F914" s="50"/>
      <c r="G914" s="50"/>
      <c r="H914" s="50"/>
    </row>
    <row r="915" spans="1:8">
      <c r="A915" s="27"/>
      <c r="C915" s="28"/>
      <c r="D915" s="28"/>
      <c r="E915" s="50"/>
      <c r="F915" s="50"/>
      <c r="G915" s="50"/>
      <c r="H915" s="50"/>
    </row>
    <row r="916" spans="1:8">
      <c r="A916" s="27"/>
      <c r="C916" s="28"/>
      <c r="D916" s="28"/>
      <c r="E916" s="50"/>
      <c r="F916" s="50"/>
      <c r="G916" s="50"/>
      <c r="H916" s="50"/>
    </row>
    <row r="917" spans="1:8">
      <c r="A917" s="27"/>
      <c r="C917" s="28"/>
      <c r="D917" s="28"/>
      <c r="E917" s="50"/>
      <c r="F917" s="50"/>
      <c r="G917" s="50"/>
      <c r="H917" s="50"/>
    </row>
    <row r="918" spans="1:8">
      <c r="A918" s="27"/>
      <c r="C918" s="28"/>
      <c r="D918" s="28"/>
      <c r="E918" s="50"/>
      <c r="F918" s="50"/>
      <c r="G918" s="50"/>
      <c r="H918" s="50"/>
    </row>
    <row r="919" spans="1:8">
      <c r="A919" s="27"/>
      <c r="C919" s="28"/>
      <c r="D919" s="28"/>
      <c r="E919" s="50"/>
      <c r="F919" s="50"/>
      <c r="G919" s="50"/>
      <c r="H919" s="50"/>
    </row>
    <row r="920" spans="1:8">
      <c r="A920" s="27"/>
      <c r="C920" s="28"/>
      <c r="D920" s="28"/>
      <c r="E920" s="50"/>
      <c r="F920" s="50"/>
      <c r="G920" s="50"/>
      <c r="H920" s="50"/>
    </row>
    <row r="921" spans="1:8">
      <c r="A921" s="27"/>
      <c r="C921" s="28"/>
      <c r="D921" s="28"/>
      <c r="E921" s="50"/>
      <c r="F921" s="50"/>
      <c r="G921" s="50"/>
      <c r="H921" s="50"/>
    </row>
    <row r="922" spans="1:8">
      <c r="A922" s="27"/>
      <c r="C922" s="28"/>
      <c r="D922" s="28"/>
      <c r="E922" s="50"/>
      <c r="F922" s="50"/>
      <c r="G922" s="50"/>
      <c r="H922" s="50"/>
    </row>
    <row r="923" spans="1:8">
      <c r="A923" s="27"/>
      <c r="C923" s="28"/>
      <c r="D923" s="28"/>
      <c r="E923" s="50"/>
      <c r="F923" s="50"/>
      <c r="G923" s="50"/>
      <c r="H923" s="50"/>
    </row>
    <row r="924" spans="1:8">
      <c r="A924" s="27"/>
      <c r="C924" s="28"/>
      <c r="D924" s="28"/>
      <c r="E924" s="50"/>
      <c r="F924" s="50"/>
      <c r="G924" s="50"/>
      <c r="H924" s="50"/>
    </row>
    <row r="925" spans="1:8">
      <c r="A925" s="27"/>
      <c r="C925" s="28"/>
      <c r="D925" s="28"/>
      <c r="E925" s="50"/>
      <c r="F925" s="50"/>
      <c r="G925" s="50"/>
      <c r="H925" s="50"/>
    </row>
    <row r="926" spans="1:8">
      <c r="A926" s="27"/>
      <c r="C926" s="28"/>
      <c r="D926" s="28"/>
      <c r="E926" s="50"/>
      <c r="F926" s="50"/>
      <c r="G926" s="50"/>
      <c r="H926" s="50"/>
    </row>
    <row r="927" spans="1:8">
      <c r="A927" s="27"/>
      <c r="C927" s="28"/>
      <c r="D927" s="28"/>
      <c r="E927" s="50"/>
      <c r="F927" s="50"/>
      <c r="G927" s="50"/>
      <c r="H927" s="50"/>
    </row>
    <row r="928" spans="1:8">
      <c r="A928" s="27"/>
      <c r="C928" s="28"/>
      <c r="D928" s="28"/>
      <c r="E928" s="50"/>
      <c r="F928" s="50"/>
      <c r="G928" s="50"/>
      <c r="H928" s="50"/>
    </row>
    <row r="929" spans="1:8">
      <c r="A929" s="27"/>
      <c r="C929" s="28"/>
      <c r="D929" s="28"/>
      <c r="E929" s="50"/>
      <c r="F929" s="50"/>
      <c r="G929" s="50"/>
      <c r="H929" s="50"/>
    </row>
    <row r="930" spans="1:8">
      <c r="A930" s="27"/>
      <c r="C930" s="28"/>
      <c r="D930" s="28"/>
      <c r="E930" s="50"/>
      <c r="F930" s="50"/>
      <c r="G930" s="50"/>
      <c r="H930" s="50"/>
    </row>
    <row r="931" spans="1:8">
      <c r="A931" s="27"/>
      <c r="C931" s="28"/>
      <c r="D931" s="28"/>
      <c r="E931" s="50"/>
      <c r="F931" s="50"/>
      <c r="G931" s="50"/>
      <c r="H931" s="50"/>
    </row>
    <row r="932" spans="1:8">
      <c r="A932" s="27"/>
      <c r="C932" s="28"/>
      <c r="D932" s="28"/>
      <c r="E932" s="50"/>
      <c r="F932" s="50"/>
      <c r="G932" s="50"/>
      <c r="H932" s="50"/>
    </row>
    <row r="933" spans="1:8">
      <c r="A933" s="27"/>
      <c r="C933" s="28"/>
      <c r="D933" s="28"/>
      <c r="E933" s="50"/>
      <c r="F933" s="50"/>
      <c r="G933" s="50"/>
      <c r="H933" s="50"/>
    </row>
    <row r="934" spans="1:8">
      <c r="A934" s="27"/>
      <c r="C934" s="28"/>
      <c r="D934" s="28"/>
      <c r="E934" s="50"/>
      <c r="F934" s="50"/>
      <c r="G934" s="50"/>
      <c r="H934" s="50"/>
    </row>
    <row r="935" spans="1:8">
      <c r="A935" s="27"/>
      <c r="C935" s="28"/>
      <c r="D935" s="28"/>
      <c r="E935" s="50"/>
      <c r="F935" s="50"/>
      <c r="G935" s="50"/>
      <c r="H935" s="50"/>
    </row>
    <row r="936" spans="1:8">
      <c r="A936" s="27"/>
      <c r="C936" s="28"/>
      <c r="D936" s="28"/>
      <c r="E936" s="50"/>
      <c r="F936" s="50"/>
      <c r="G936" s="50"/>
      <c r="H936" s="50"/>
    </row>
    <row r="937" spans="1:8">
      <c r="A937" s="27"/>
      <c r="C937" s="28"/>
      <c r="D937" s="28"/>
      <c r="E937" s="50"/>
      <c r="F937" s="50"/>
      <c r="G937" s="50"/>
      <c r="H937" s="50"/>
    </row>
    <row r="938" spans="1:8">
      <c r="A938" s="27"/>
      <c r="C938" s="28"/>
      <c r="D938" s="28"/>
      <c r="E938" s="50"/>
      <c r="F938" s="50"/>
      <c r="G938" s="50"/>
      <c r="H938" s="50"/>
    </row>
    <row r="939" spans="1:8">
      <c r="A939" s="27"/>
      <c r="C939" s="28"/>
      <c r="D939" s="28"/>
      <c r="E939" s="50"/>
      <c r="F939" s="50"/>
      <c r="G939" s="50"/>
      <c r="H939" s="50"/>
    </row>
    <row r="940" spans="1:8">
      <c r="A940" s="27"/>
      <c r="C940" s="28"/>
      <c r="D940" s="28"/>
      <c r="E940" s="50"/>
      <c r="F940" s="50"/>
      <c r="G940" s="50"/>
      <c r="H940" s="50"/>
    </row>
    <row r="941" spans="1:8">
      <c r="A941" s="27"/>
      <c r="C941" s="28"/>
      <c r="D941" s="28"/>
      <c r="E941" s="50"/>
      <c r="F941" s="50"/>
      <c r="G941" s="50"/>
      <c r="H941" s="50"/>
    </row>
    <row r="942" spans="1:8">
      <c r="A942" s="27"/>
      <c r="C942" s="28"/>
      <c r="D942" s="28"/>
      <c r="E942" s="50"/>
      <c r="F942" s="50"/>
      <c r="G942" s="50"/>
      <c r="H942" s="50"/>
    </row>
    <row r="943" spans="1:8">
      <c r="A943" s="27"/>
      <c r="C943" s="28"/>
      <c r="D943" s="28"/>
      <c r="E943" s="50"/>
      <c r="F943" s="50"/>
      <c r="G943" s="50"/>
      <c r="H943" s="50"/>
    </row>
    <row r="944" spans="1:8">
      <c r="A944" s="27"/>
      <c r="C944" s="28"/>
      <c r="D944" s="28"/>
      <c r="E944" s="50"/>
      <c r="F944" s="50"/>
      <c r="G944" s="50"/>
      <c r="H944" s="50"/>
    </row>
    <row r="945" spans="1:8">
      <c r="A945" s="27"/>
      <c r="C945" s="28"/>
      <c r="D945" s="28"/>
      <c r="E945" s="50"/>
      <c r="F945" s="50"/>
      <c r="G945" s="50"/>
      <c r="H945" s="50"/>
    </row>
    <row r="946" spans="1:8">
      <c r="A946" s="27"/>
      <c r="C946" s="28"/>
      <c r="D946" s="28"/>
      <c r="E946" s="50"/>
      <c r="F946" s="50"/>
      <c r="G946" s="50"/>
      <c r="H946" s="50"/>
    </row>
    <row r="947" spans="1:8">
      <c r="A947" s="27"/>
      <c r="C947" s="28"/>
      <c r="D947" s="28"/>
      <c r="E947" s="50"/>
      <c r="F947" s="50"/>
      <c r="G947" s="50"/>
      <c r="H947" s="50"/>
    </row>
    <row r="948" spans="1:8">
      <c r="A948" s="27"/>
      <c r="C948" s="28"/>
      <c r="D948" s="28"/>
      <c r="E948" s="50"/>
      <c r="F948" s="50"/>
      <c r="G948" s="50"/>
      <c r="H948" s="50"/>
    </row>
    <row r="949" spans="1:8">
      <c r="A949" s="27"/>
      <c r="C949" s="28"/>
      <c r="D949" s="28"/>
      <c r="E949" s="50"/>
      <c r="F949" s="50"/>
      <c r="G949" s="50"/>
      <c r="H949" s="50"/>
    </row>
    <row r="950" spans="1:8">
      <c r="A950" s="27"/>
      <c r="C950" s="28"/>
      <c r="D950" s="28"/>
      <c r="E950" s="50"/>
      <c r="F950" s="50"/>
      <c r="G950" s="50"/>
      <c r="H950" s="50"/>
    </row>
  </sheetData>
  <autoFilter xmlns:etc="http://www.wps.cn/officeDocument/2017/etCustomData" ref="A4:H202"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H957"/>
  <sheetViews>
    <sheetView showGridLines="0" view="pageBreakPreview" zoomScaleNormal="100" topLeftCell="A65" workbookViewId="0">
      <selection activeCell="E85" sqref="E85"/>
    </sheetView>
  </sheetViews>
  <sheetFormatPr defaultColWidth="9.12962962962963" defaultRowHeight="13.8" outlineLevelCol="7"/>
  <cols>
    <col min="1" max="1" width="7.62962962962963" style="31" customWidth="1"/>
    <col min="2" max="2" width="39.5" style="27" customWidth="1"/>
    <col min="3" max="4" width="30.75" style="32" customWidth="1"/>
    <col min="5" max="5" width="13.8796296296296" style="112" customWidth="1"/>
    <col min="6" max="8" width="13.8796296296296" style="45" customWidth="1"/>
    <col min="9" max="16384" width="9.12962962962963" style="31"/>
  </cols>
  <sheetData>
    <row r="1" spans="1:8">
      <c r="A1" s="6" t="s">
        <v>226</v>
      </c>
      <c r="B1" s="6"/>
      <c r="C1" s="7"/>
      <c r="D1" s="7"/>
      <c r="E1" s="6"/>
      <c r="F1" s="6"/>
      <c r="G1" s="6"/>
      <c r="H1" s="6"/>
    </row>
    <row r="2" spans="1:8">
      <c r="A2" s="8" t="s">
        <v>4</v>
      </c>
      <c r="B2" s="8"/>
      <c r="C2" s="8"/>
      <c r="D2" s="8"/>
      <c r="E2" s="34"/>
      <c r="F2" s="34"/>
      <c r="G2" s="34"/>
      <c r="H2" s="34"/>
    </row>
    <row r="3" spans="1:8">
      <c r="A3" s="9" t="s">
        <v>5</v>
      </c>
      <c r="B3" s="9" t="s">
        <v>6</v>
      </c>
      <c r="C3" s="9" t="s">
        <v>7</v>
      </c>
      <c r="D3" s="9"/>
      <c r="E3" s="10" t="s">
        <v>8</v>
      </c>
      <c r="F3" s="10"/>
      <c r="G3" s="10"/>
      <c r="H3" s="10"/>
    </row>
    <row r="4" spans="1:8">
      <c r="A4" s="11"/>
      <c r="B4" s="11"/>
      <c r="C4" s="9" t="s">
        <v>9</v>
      </c>
      <c r="D4" s="9" t="s">
        <v>10</v>
      </c>
      <c r="E4" s="10" t="s">
        <v>11</v>
      </c>
      <c r="F4" s="10" t="s">
        <v>12</v>
      </c>
      <c r="G4" s="10" t="s">
        <v>13</v>
      </c>
      <c r="H4" s="10" t="s">
        <v>14</v>
      </c>
    </row>
    <row r="5" spans="1:8">
      <c r="A5" s="39" t="s">
        <v>15</v>
      </c>
      <c r="B5" s="15"/>
      <c r="C5" s="15"/>
      <c r="D5" s="15"/>
      <c r="E5" s="215" t="s">
        <v>16</v>
      </c>
      <c r="F5" s="10" t="s">
        <v>16</v>
      </c>
      <c r="G5" s="10" t="s">
        <v>16</v>
      </c>
      <c r="H5" s="10" t="s">
        <v>16</v>
      </c>
    </row>
    <row r="6" spans="1:8">
      <c r="A6" s="36">
        <v>1</v>
      </c>
      <c r="B6" s="18" t="s">
        <v>227</v>
      </c>
      <c r="C6" s="18" t="s">
        <v>228</v>
      </c>
      <c r="D6" s="18" t="s">
        <v>229</v>
      </c>
      <c r="E6" s="114">
        <v>600000</v>
      </c>
      <c r="F6" s="21">
        <v>375000</v>
      </c>
      <c r="G6" s="21">
        <v>270000</v>
      </c>
      <c r="H6" s="21">
        <v>175000</v>
      </c>
    </row>
    <row r="7" spans="1:8">
      <c r="A7" s="36">
        <v>2</v>
      </c>
      <c r="B7" s="18" t="s">
        <v>230</v>
      </c>
      <c r="C7" s="18" t="s">
        <v>188</v>
      </c>
      <c r="D7" s="18" t="s">
        <v>231</v>
      </c>
      <c r="E7" s="114">
        <v>3200000</v>
      </c>
      <c r="F7" s="21">
        <v>1800000</v>
      </c>
      <c r="G7" s="21">
        <v>1200000</v>
      </c>
      <c r="H7" s="21">
        <v>750000</v>
      </c>
    </row>
    <row r="8" spans="1:8">
      <c r="A8" s="36">
        <v>3</v>
      </c>
      <c r="B8" s="18" t="s">
        <v>232</v>
      </c>
      <c r="C8" s="18" t="s">
        <v>233</v>
      </c>
      <c r="D8" s="18" t="s">
        <v>234</v>
      </c>
      <c r="E8" s="114">
        <v>1200000</v>
      </c>
      <c r="F8" s="21">
        <v>600000</v>
      </c>
      <c r="G8" s="21">
        <v>450000</v>
      </c>
      <c r="H8" s="21">
        <v>265000</v>
      </c>
    </row>
    <row r="9" spans="1:8">
      <c r="A9" s="36"/>
      <c r="B9" s="18" t="s">
        <v>232</v>
      </c>
      <c r="C9" s="18" t="s">
        <v>234</v>
      </c>
      <c r="D9" s="18" t="s">
        <v>235</v>
      </c>
      <c r="E9" s="23">
        <v>1000000</v>
      </c>
      <c r="F9" s="23">
        <v>550000</v>
      </c>
      <c r="G9" s="23">
        <v>375000</v>
      </c>
      <c r="H9" s="23">
        <v>230000</v>
      </c>
    </row>
    <row r="10" spans="1:8">
      <c r="A10" s="36">
        <v>4</v>
      </c>
      <c r="B10" s="18" t="s">
        <v>236</v>
      </c>
      <c r="C10" s="18" t="s">
        <v>237</v>
      </c>
      <c r="D10" s="18" t="s">
        <v>238</v>
      </c>
      <c r="E10" s="23">
        <v>2200000</v>
      </c>
      <c r="F10" s="23">
        <v>1250000</v>
      </c>
      <c r="G10" s="23">
        <v>800000</v>
      </c>
      <c r="H10" s="23">
        <v>550000</v>
      </c>
    </row>
    <row r="11" spans="1:8">
      <c r="A11" s="36">
        <v>5</v>
      </c>
      <c r="B11" s="18" t="s">
        <v>239</v>
      </c>
      <c r="C11" s="18" t="s">
        <v>188</v>
      </c>
      <c r="D11" s="18" t="s">
        <v>103</v>
      </c>
      <c r="E11" s="23">
        <v>4150000</v>
      </c>
      <c r="F11" s="23">
        <v>2300000</v>
      </c>
      <c r="G11" s="23">
        <v>1550000</v>
      </c>
      <c r="H11" s="23">
        <v>1000000</v>
      </c>
    </row>
    <row r="12" spans="1:8">
      <c r="A12" s="36">
        <v>6</v>
      </c>
      <c r="B12" s="18" t="s">
        <v>240</v>
      </c>
      <c r="C12" s="18" t="s">
        <v>237</v>
      </c>
      <c r="D12" s="18" t="s">
        <v>241</v>
      </c>
      <c r="E12" s="23">
        <v>3200000</v>
      </c>
      <c r="F12" s="23">
        <v>1800000</v>
      </c>
      <c r="G12" s="23">
        <v>1200000</v>
      </c>
      <c r="H12" s="23">
        <v>750000</v>
      </c>
    </row>
    <row r="13" spans="1:8">
      <c r="A13" s="36">
        <v>7</v>
      </c>
      <c r="B13" s="18" t="s">
        <v>242</v>
      </c>
      <c r="C13" s="18" t="s">
        <v>188</v>
      </c>
      <c r="D13" s="18" t="s">
        <v>243</v>
      </c>
      <c r="E13" s="23">
        <v>4150000</v>
      </c>
      <c r="F13" s="23">
        <v>2300000</v>
      </c>
      <c r="G13" s="23">
        <v>1550000</v>
      </c>
      <c r="H13" s="23">
        <v>1000000</v>
      </c>
    </row>
    <row r="14" spans="1:8">
      <c r="A14" s="36">
        <v>8</v>
      </c>
      <c r="B14" s="18" t="s">
        <v>244</v>
      </c>
      <c r="C14" s="18" t="s">
        <v>181</v>
      </c>
      <c r="D14" s="18" t="s">
        <v>188</v>
      </c>
      <c r="E14" s="23">
        <v>4150000</v>
      </c>
      <c r="F14" s="23">
        <v>2300000</v>
      </c>
      <c r="G14" s="23">
        <v>1550000</v>
      </c>
      <c r="H14" s="23">
        <v>1000000</v>
      </c>
    </row>
    <row r="15" spans="1:8">
      <c r="A15" s="36">
        <v>9</v>
      </c>
      <c r="B15" s="18" t="s">
        <v>181</v>
      </c>
      <c r="C15" s="18" t="s">
        <v>245</v>
      </c>
      <c r="D15" s="18" t="s">
        <v>246</v>
      </c>
      <c r="E15" s="23">
        <v>5300000</v>
      </c>
      <c r="F15" s="23">
        <v>2950000</v>
      </c>
      <c r="G15" s="23">
        <v>1950000</v>
      </c>
      <c r="H15" s="23">
        <v>1250000</v>
      </c>
    </row>
    <row r="16" spans="1:8">
      <c r="A16" s="36"/>
      <c r="B16" s="18" t="s">
        <v>181</v>
      </c>
      <c r="C16" s="18" t="s">
        <v>246</v>
      </c>
      <c r="D16" s="18" t="s">
        <v>247</v>
      </c>
      <c r="E16" s="23">
        <v>4150000</v>
      </c>
      <c r="F16" s="23">
        <v>2300000</v>
      </c>
      <c r="G16" s="23">
        <v>1550000</v>
      </c>
      <c r="H16" s="23">
        <v>1000000</v>
      </c>
    </row>
    <row r="17" spans="1:8">
      <c r="A17" s="36"/>
      <c r="B17" s="18" t="s">
        <v>181</v>
      </c>
      <c r="C17" s="18" t="s">
        <v>248</v>
      </c>
      <c r="D17" s="18" t="s">
        <v>178</v>
      </c>
      <c r="E17" s="23">
        <v>3200000</v>
      </c>
      <c r="F17" s="23">
        <v>1800000</v>
      </c>
      <c r="G17" s="23">
        <v>1200000</v>
      </c>
      <c r="H17" s="23">
        <v>750000</v>
      </c>
    </row>
    <row r="18" spans="1:8">
      <c r="A18" s="36">
        <v>10</v>
      </c>
      <c r="B18" s="18" t="s">
        <v>249</v>
      </c>
      <c r="C18" s="18" t="s">
        <v>245</v>
      </c>
      <c r="D18" s="18" t="s">
        <v>189</v>
      </c>
      <c r="E18" s="23">
        <v>4150000</v>
      </c>
      <c r="F18" s="23">
        <v>2300000</v>
      </c>
      <c r="G18" s="23">
        <v>1550000</v>
      </c>
      <c r="H18" s="23">
        <v>1000000</v>
      </c>
    </row>
    <row r="19" ht="41.4" spans="1:8">
      <c r="A19" s="36">
        <v>11</v>
      </c>
      <c r="B19" s="18" t="s">
        <v>250</v>
      </c>
      <c r="C19" s="18" t="s">
        <v>232</v>
      </c>
      <c r="D19" s="18" t="s">
        <v>251</v>
      </c>
      <c r="E19" s="23">
        <v>600000</v>
      </c>
      <c r="F19" s="23">
        <v>375000</v>
      </c>
      <c r="G19" s="23">
        <v>270000</v>
      </c>
      <c r="H19" s="23">
        <v>175000</v>
      </c>
    </row>
    <row r="20" ht="27.6" spans="1:8">
      <c r="A20" s="36">
        <v>12</v>
      </c>
      <c r="B20" s="18" t="s">
        <v>252</v>
      </c>
      <c r="C20" s="18" t="s">
        <v>253</v>
      </c>
      <c r="D20" s="18" t="s">
        <v>254</v>
      </c>
      <c r="E20" s="23">
        <v>325000</v>
      </c>
      <c r="F20" s="23">
        <v>250000</v>
      </c>
      <c r="G20" s="23">
        <v>205000</v>
      </c>
      <c r="H20" s="23">
        <v>145000</v>
      </c>
    </row>
    <row r="21" spans="1:8">
      <c r="A21" s="36">
        <v>13</v>
      </c>
      <c r="B21" s="18" t="s">
        <v>255</v>
      </c>
      <c r="C21" s="18" t="s">
        <v>237</v>
      </c>
      <c r="D21" s="18" t="s">
        <v>241</v>
      </c>
      <c r="E21" s="23">
        <v>3200000</v>
      </c>
      <c r="F21" s="23">
        <v>1800000</v>
      </c>
      <c r="G21" s="23">
        <v>1200000</v>
      </c>
      <c r="H21" s="23">
        <v>750000</v>
      </c>
    </row>
    <row r="22" spans="1:8">
      <c r="A22" s="36">
        <v>14</v>
      </c>
      <c r="B22" s="18" t="s">
        <v>185</v>
      </c>
      <c r="C22" s="18" t="s">
        <v>188</v>
      </c>
      <c r="D22" s="18" t="s">
        <v>256</v>
      </c>
      <c r="E22" s="23">
        <v>4150000</v>
      </c>
      <c r="F22" s="23">
        <v>2300000</v>
      </c>
      <c r="G22" s="23">
        <v>1550000</v>
      </c>
      <c r="H22" s="23">
        <v>1000000</v>
      </c>
    </row>
    <row r="23" spans="1:8">
      <c r="A23" s="36">
        <v>15</v>
      </c>
      <c r="B23" s="20" t="s">
        <v>257</v>
      </c>
      <c r="C23" s="18" t="s">
        <v>258</v>
      </c>
      <c r="D23" s="18" t="s">
        <v>259</v>
      </c>
      <c r="E23" s="23">
        <v>3200000</v>
      </c>
      <c r="F23" s="23">
        <v>1800000</v>
      </c>
      <c r="G23" s="23">
        <v>1200000</v>
      </c>
      <c r="H23" s="23">
        <v>750000</v>
      </c>
    </row>
    <row r="24" spans="1:8">
      <c r="A24" s="36">
        <v>16</v>
      </c>
      <c r="B24" s="20" t="s">
        <v>260</v>
      </c>
      <c r="C24" s="18" t="s">
        <v>261</v>
      </c>
      <c r="D24" s="18" t="s">
        <v>262</v>
      </c>
      <c r="E24" s="23">
        <v>3200000</v>
      </c>
      <c r="F24" s="23">
        <v>1800000</v>
      </c>
      <c r="G24" s="23">
        <v>1200000</v>
      </c>
      <c r="H24" s="23">
        <v>750000</v>
      </c>
    </row>
    <row r="25" spans="1:8">
      <c r="A25" s="36">
        <v>17</v>
      </c>
      <c r="B25" s="18" t="s">
        <v>229</v>
      </c>
      <c r="C25" s="18" t="s">
        <v>263</v>
      </c>
      <c r="D25" s="18" t="s">
        <v>264</v>
      </c>
      <c r="E25" s="23">
        <v>1650000</v>
      </c>
      <c r="F25" s="23">
        <v>850000</v>
      </c>
      <c r="G25" s="23">
        <v>600000</v>
      </c>
      <c r="H25" s="23">
        <v>365000</v>
      </c>
    </row>
    <row r="26" ht="27.6" spans="1:8">
      <c r="A26" s="36">
        <v>18</v>
      </c>
      <c r="B26" s="18" t="s">
        <v>265</v>
      </c>
      <c r="C26" s="18" t="s">
        <v>195</v>
      </c>
      <c r="D26" s="18" t="s">
        <v>266</v>
      </c>
      <c r="E26" s="23">
        <v>2900000</v>
      </c>
      <c r="F26" s="23">
        <v>1600000</v>
      </c>
      <c r="G26" s="23">
        <v>1050000</v>
      </c>
      <c r="H26" s="23">
        <v>700000</v>
      </c>
    </row>
    <row r="27" spans="1:8">
      <c r="A27" s="36">
        <v>19</v>
      </c>
      <c r="B27" s="20" t="s">
        <v>267</v>
      </c>
      <c r="C27" s="18" t="s">
        <v>268</v>
      </c>
      <c r="D27" s="18" t="s">
        <v>269</v>
      </c>
      <c r="E27" s="23">
        <v>3200000</v>
      </c>
      <c r="F27" s="23">
        <v>1800000</v>
      </c>
      <c r="G27" s="23">
        <v>1200000</v>
      </c>
      <c r="H27" s="23">
        <v>750000</v>
      </c>
    </row>
    <row r="28" ht="27.6" spans="1:8">
      <c r="A28" s="36">
        <v>20</v>
      </c>
      <c r="B28" s="20" t="s">
        <v>270</v>
      </c>
      <c r="C28" s="18" t="s">
        <v>271</v>
      </c>
      <c r="D28" s="18" t="s">
        <v>272</v>
      </c>
      <c r="E28" s="23">
        <v>3200000</v>
      </c>
      <c r="F28" s="23">
        <v>1800000</v>
      </c>
      <c r="G28" s="23">
        <v>1200000</v>
      </c>
      <c r="H28" s="23">
        <v>750000</v>
      </c>
    </row>
    <row r="29" spans="1:8">
      <c r="A29" s="36">
        <v>21</v>
      </c>
      <c r="B29" s="20" t="s">
        <v>273</v>
      </c>
      <c r="C29" s="18" t="s">
        <v>274</v>
      </c>
      <c r="D29" s="18" t="s">
        <v>272</v>
      </c>
      <c r="E29" s="23">
        <v>3200000</v>
      </c>
      <c r="F29" s="23">
        <v>1800000</v>
      </c>
      <c r="G29" s="23">
        <v>1200000</v>
      </c>
      <c r="H29" s="23">
        <v>750000</v>
      </c>
    </row>
    <row r="30" spans="1:8">
      <c r="A30" s="36">
        <v>22</v>
      </c>
      <c r="B30" s="20" t="s">
        <v>275</v>
      </c>
      <c r="C30" s="18" t="s">
        <v>268</v>
      </c>
      <c r="D30" s="18" t="s">
        <v>276</v>
      </c>
      <c r="E30" s="23">
        <v>3200000</v>
      </c>
      <c r="F30" s="23">
        <v>1800000</v>
      </c>
      <c r="G30" s="23">
        <v>1200000</v>
      </c>
      <c r="H30" s="23">
        <v>750000</v>
      </c>
    </row>
    <row r="31" spans="1:8">
      <c r="A31" s="36">
        <v>23</v>
      </c>
      <c r="B31" s="20" t="s">
        <v>277</v>
      </c>
      <c r="C31" s="18" t="s">
        <v>274</v>
      </c>
      <c r="D31" s="18" t="s">
        <v>278</v>
      </c>
      <c r="E31" s="23">
        <v>3200000</v>
      </c>
      <c r="F31" s="23">
        <v>1800000</v>
      </c>
      <c r="G31" s="23">
        <v>1200000</v>
      </c>
      <c r="H31" s="23">
        <v>750000</v>
      </c>
    </row>
    <row r="32" spans="1:8">
      <c r="A32" s="36">
        <v>24</v>
      </c>
      <c r="B32" s="20" t="s">
        <v>279</v>
      </c>
      <c r="C32" s="18" t="s">
        <v>280</v>
      </c>
      <c r="D32" s="18" t="s">
        <v>281</v>
      </c>
      <c r="E32" s="23">
        <v>3200000</v>
      </c>
      <c r="F32" s="23">
        <v>1800000</v>
      </c>
      <c r="G32" s="23">
        <v>1200000</v>
      </c>
      <c r="H32" s="23">
        <v>750000</v>
      </c>
    </row>
    <row r="33" spans="1:8">
      <c r="A33" s="36">
        <v>25</v>
      </c>
      <c r="B33" s="20" t="s">
        <v>282</v>
      </c>
      <c r="C33" s="18" t="s">
        <v>283</v>
      </c>
      <c r="D33" s="18" t="s">
        <v>272</v>
      </c>
      <c r="E33" s="23">
        <v>3200000</v>
      </c>
      <c r="F33" s="23">
        <v>1800000</v>
      </c>
      <c r="G33" s="23">
        <v>1200000</v>
      </c>
      <c r="H33" s="23">
        <v>750000</v>
      </c>
    </row>
    <row r="34" spans="1:8">
      <c r="A34" s="36">
        <v>26</v>
      </c>
      <c r="B34" s="20" t="s">
        <v>284</v>
      </c>
      <c r="C34" s="18" t="s">
        <v>280</v>
      </c>
      <c r="D34" s="18" t="s">
        <v>281</v>
      </c>
      <c r="E34" s="23">
        <v>3200000</v>
      </c>
      <c r="F34" s="23">
        <v>1800000</v>
      </c>
      <c r="G34" s="23">
        <v>1200000</v>
      </c>
      <c r="H34" s="23">
        <v>750000</v>
      </c>
    </row>
    <row r="35" spans="1:8">
      <c r="A35" s="36">
        <v>27</v>
      </c>
      <c r="B35" s="20" t="s">
        <v>285</v>
      </c>
      <c r="C35" s="18" t="s">
        <v>274</v>
      </c>
      <c r="D35" s="18" t="s">
        <v>272</v>
      </c>
      <c r="E35" s="23">
        <v>3200000</v>
      </c>
      <c r="F35" s="23">
        <v>1800000</v>
      </c>
      <c r="G35" s="23">
        <v>1200000</v>
      </c>
      <c r="H35" s="23">
        <v>750000</v>
      </c>
    </row>
    <row r="36" spans="1:8">
      <c r="A36" s="36">
        <v>28</v>
      </c>
      <c r="B36" s="18" t="s">
        <v>201</v>
      </c>
      <c r="C36" s="18" t="s">
        <v>195</v>
      </c>
      <c r="D36" s="18" t="s">
        <v>199</v>
      </c>
      <c r="E36" s="23">
        <v>4150000</v>
      </c>
      <c r="F36" s="23">
        <v>2300000</v>
      </c>
      <c r="G36" s="23">
        <v>1550000</v>
      </c>
      <c r="H36" s="23">
        <v>1000000</v>
      </c>
    </row>
    <row r="37" spans="1:8">
      <c r="A37" s="36">
        <v>29</v>
      </c>
      <c r="B37" s="18" t="s">
        <v>286</v>
      </c>
      <c r="C37" s="18" t="s">
        <v>287</v>
      </c>
      <c r="D37" s="18" t="s">
        <v>288</v>
      </c>
      <c r="E37" s="23">
        <v>4150000</v>
      </c>
      <c r="F37" s="23">
        <v>2300000</v>
      </c>
      <c r="G37" s="23">
        <v>1550000</v>
      </c>
      <c r="H37" s="23">
        <v>1000000</v>
      </c>
    </row>
    <row r="38" spans="1:8">
      <c r="A38" s="36"/>
      <c r="B38" s="18" t="s">
        <v>286</v>
      </c>
      <c r="C38" s="18" t="s">
        <v>289</v>
      </c>
      <c r="D38" s="18" t="s">
        <v>290</v>
      </c>
      <c r="E38" s="23">
        <v>3200000</v>
      </c>
      <c r="F38" s="23">
        <v>1800000</v>
      </c>
      <c r="G38" s="23">
        <v>1200000</v>
      </c>
      <c r="H38" s="23">
        <v>750000</v>
      </c>
    </row>
    <row r="39" spans="1:8">
      <c r="A39" s="36">
        <v>30</v>
      </c>
      <c r="B39" s="18" t="s">
        <v>245</v>
      </c>
      <c r="C39" s="18" t="s">
        <v>291</v>
      </c>
      <c r="D39" s="18" t="s">
        <v>188</v>
      </c>
      <c r="E39" s="23">
        <v>7700000</v>
      </c>
      <c r="F39" s="23">
        <v>4350000</v>
      </c>
      <c r="G39" s="23">
        <v>2850000</v>
      </c>
      <c r="H39" s="23">
        <v>1850000</v>
      </c>
    </row>
    <row r="40" spans="1:8">
      <c r="A40" s="36"/>
      <c r="B40" s="18" t="s">
        <v>245</v>
      </c>
      <c r="C40" s="18" t="s">
        <v>188</v>
      </c>
      <c r="D40" s="18" t="s">
        <v>292</v>
      </c>
      <c r="E40" s="23">
        <v>7100000</v>
      </c>
      <c r="F40" s="23">
        <v>4000000</v>
      </c>
      <c r="G40" s="23">
        <v>2650000</v>
      </c>
      <c r="H40" s="23">
        <v>1700000</v>
      </c>
    </row>
    <row r="41" spans="1:8">
      <c r="A41" s="36"/>
      <c r="B41" s="18" t="s">
        <v>245</v>
      </c>
      <c r="C41" s="18" t="s">
        <v>293</v>
      </c>
      <c r="D41" s="18"/>
      <c r="E41" s="23">
        <v>2200000</v>
      </c>
      <c r="F41" s="23">
        <v>1250000</v>
      </c>
      <c r="G41" s="23">
        <v>800000</v>
      </c>
      <c r="H41" s="23">
        <v>550000</v>
      </c>
    </row>
    <row r="42" spans="1:8">
      <c r="A42" s="36">
        <v>31</v>
      </c>
      <c r="B42" s="18" t="s">
        <v>235</v>
      </c>
      <c r="C42" s="18" t="s">
        <v>263</v>
      </c>
      <c r="D42" s="18" t="s">
        <v>294</v>
      </c>
      <c r="E42" s="23">
        <v>1250000</v>
      </c>
      <c r="F42" s="23">
        <v>650000</v>
      </c>
      <c r="G42" s="23">
        <v>470000</v>
      </c>
      <c r="H42" s="23">
        <v>290000</v>
      </c>
    </row>
    <row r="43" spans="1:8">
      <c r="A43" s="36">
        <v>32</v>
      </c>
      <c r="B43" s="18" t="s">
        <v>295</v>
      </c>
      <c r="C43" s="18" t="s">
        <v>296</v>
      </c>
      <c r="D43" s="18" t="s">
        <v>297</v>
      </c>
      <c r="E43" s="23">
        <v>3200000</v>
      </c>
      <c r="F43" s="23">
        <v>1800000</v>
      </c>
      <c r="G43" s="23">
        <v>1200000</v>
      </c>
      <c r="H43" s="23">
        <v>750000</v>
      </c>
    </row>
    <row r="44" spans="1:8">
      <c r="A44" s="36">
        <v>33</v>
      </c>
      <c r="B44" s="18" t="s">
        <v>199</v>
      </c>
      <c r="C44" s="18" t="s">
        <v>188</v>
      </c>
      <c r="D44" s="18" t="s">
        <v>247</v>
      </c>
      <c r="E44" s="23">
        <v>3200000</v>
      </c>
      <c r="F44" s="23">
        <v>1800000</v>
      </c>
      <c r="G44" s="23">
        <v>1200000</v>
      </c>
      <c r="H44" s="23">
        <v>750000</v>
      </c>
    </row>
    <row r="45" spans="1:8">
      <c r="A45" s="36">
        <v>34</v>
      </c>
      <c r="B45" s="18" t="s">
        <v>298</v>
      </c>
      <c r="C45" s="18" t="s">
        <v>299</v>
      </c>
      <c r="D45" s="18" t="s">
        <v>300</v>
      </c>
      <c r="E45" s="23">
        <v>3200000</v>
      </c>
      <c r="F45" s="23">
        <v>1800000</v>
      </c>
      <c r="G45" s="23">
        <v>1200000</v>
      </c>
      <c r="H45" s="23">
        <v>750000</v>
      </c>
    </row>
    <row r="46" ht="27.6" spans="1:8">
      <c r="A46" s="36">
        <v>35</v>
      </c>
      <c r="B46" s="18" t="s">
        <v>301</v>
      </c>
      <c r="C46" s="18" t="s">
        <v>230</v>
      </c>
      <c r="D46" s="18" t="s">
        <v>302</v>
      </c>
      <c r="E46" s="23">
        <v>3200000</v>
      </c>
      <c r="F46" s="23">
        <v>1800000</v>
      </c>
      <c r="G46" s="23">
        <v>1200000</v>
      </c>
      <c r="H46" s="23">
        <v>750000</v>
      </c>
    </row>
    <row r="47" spans="1:8">
      <c r="A47" s="36">
        <v>36</v>
      </c>
      <c r="B47" s="18" t="s">
        <v>237</v>
      </c>
      <c r="C47" s="18" t="s">
        <v>303</v>
      </c>
      <c r="D47" s="18" t="s">
        <v>304</v>
      </c>
      <c r="E47" s="23">
        <v>4150000</v>
      </c>
      <c r="F47" s="23">
        <v>2300000</v>
      </c>
      <c r="G47" s="23">
        <v>1550000</v>
      </c>
      <c r="H47" s="23">
        <v>1000000</v>
      </c>
    </row>
    <row r="48" spans="1:8">
      <c r="A48" s="36">
        <v>37</v>
      </c>
      <c r="B48" s="18" t="s">
        <v>233</v>
      </c>
      <c r="C48" s="18" t="s">
        <v>245</v>
      </c>
      <c r="D48" s="18" t="s">
        <v>232</v>
      </c>
      <c r="E48" s="23">
        <v>3200000</v>
      </c>
      <c r="F48" s="23">
        <v>1800000</v>
      </c>
      <c r="G48" s="23">
        <v>1200000</v>
      </c>
      <c r="H48" s="23">
        <v>750000</v>
      </c>
    </row>
    <row r="49" spans="1:8">
      <c r="A49" s="36">
        <v>38</v>
      </c>
      <c r="B49" s="18" t="s">
        <v>305</v>
      </c>
      <c r="C49" s="18" t="s">
        <v>235</v>
      </c>
      <c r="D49" s="18" t="s">
        <v>229</v>
      </c>
      <c r="E49" s="23">
        <v>460000</v>
      </c>
      <c r="F49" s="23">
        <v>285000</v>
      </c>
      <c r="G49" s="23">
        <v>215000</v>
      </c>
      <c r="H49" s="23">
        <v>155000</v>
      </c>
    </row>
    <row r="50" ht="27.6" spans="1:8">
      <c r="A50" s="36">
        <v>39</v>
      </c>
      <c r="B50" s="18" t="s">
        <v>306</v>
      </c>
      <c r="C50" s="18" t="s">
        <v>307</v>
      </c>
      <c r="D50" s="18" t="s">
        <v>199</v>
      </c>
      <c r="E50" s="23">
        <v>3200000</v>
      </c>
      <c r="F50" s="23">
        <v>1800000</v>
      </c>
      <c r="G50" s="23">
        <v>1200000</v>
      </c>
      <c r="H50" s="23">
        <v>750000</v>
      </c>
    </row>
    <row r="51" spans="1:8">
      <c r="A51" s="36">
        <v>40</v>
      </c>
      <c r="B51" s="18" t="s">
        <v>231</v>
      </c>
      <c r="C51" s="18" t="s">
        <v>230</v>
      </c>
      <c r="D51" s="18" t="s">
        <v>308</v>
      </c>
      <c r="E51" s="23">
        <v>3200000</v>
      </c>
      <c r="F51" s="23">
        <v>1800000</v>
      </c>
      <c r="G51" s="23">
        <v>1200000</v>
      </c>
      <c r="H51" s="23">
        <v>750000</v>
      </c>
    </row>
    <row r="52" spans="1:8">
      <c r="A52" s="36">
        <v>41</v>
      </c>
      <c r="B52" s="18" t="s">
        <v>309</v>
      </c>
      <c r="C52" s="18" t="s">
        <v>237</v>
      </c>
      <c r="D52" s="18" t="s">
        <v>310</v>
      </c>
      <c r="E52" s="23">
        <v>2200000</v>
      </c>
      <c r="F52" s="23">
        <v>1250000</v>
      </c>
      <c r="G52" s="23">
        <v>800000</v>
      </c>
      <c r="H52" s="23">
        <v>550000</v>
      </c>
    </row>
    <row r="53" spans="1:8">
      <c r="A53" s="36">
        <v>42</v>
      </c>
      <c r="B53" s="18" t="s">
        <v>311</v>
      </c>
      <c r="C53" s="18" t="s">
        <v>230</v>
      </c>
      <c r="D53" s="18" t="s">
        <v>312</v>
      </c>
      <c r="E53" s="23">
        <v>3200000</v>
      </c>
      <c r="F53" s="23">
        <v>1800000</v>
      </c>
      <c r="G53" s="23">
        <v>1200000</v>
      </c>
      <c r="H53" s="23">
        <v>750000</v>
      </c>
    </row>
    <row r="54" spans="1:8">
      <c r="A54" s="36">
        <v>43</v>
      </c>
      <c r="B54" s="41" t="s">
        <v>313</v>
      </c>
      <c r="C54" s="41" t="s">
        <v>310</v>
      </c>
      <c r="D54" s="41" t="s">
        <v>314</v>
      </c>
      <c r="E54" s="23">
        <v>4150000</v>
      </c>
      <c r="F54" s="23">
        <v>2300000</v>
      </c>
      <c r="G54" s="23">
        <v>1550000</v>
      </c>
      <c r="H54" s="23">
        <v>1000000</v>
      </c>
    </row>
    <row r="55" spans="1:8">
      <c r="A55" s="36">
        <v>44</v>
      </c>
      <c r="B55" s="18" t="s">
        <v>315</v>
      </c>
      <c r="C55" s="18" t="s">
        <v>189</v>
      </c>
      <c r="D55" s="18" t="s">
        <v>312</v>
      </c>
      <c r="E55" s="23">
        <v>3200000</v>
      </c>
      <c r="F55" s="23">
        <v>1800000</v>
      </c>
      <c r="G55" s="23">
        <v>1200000</v>
      </c>
      <c r="H55" s="23">
        <v>750000</v>
      </c>
    </row>
    <row r="56" spans="1:8">
      <c r="A56" s="36">
        <v>45</v>
      </c>
      <c r="B56" s="18" t="s">
        <v>188</v>
      </c>
      <c r="C56" s="18" t="s">
        <v>245</v>
      </c>
      <c r="D56" s="18" t="s">
        <v>195</v>
      </c>
      <c r="E56" s="23">
        <v>7700000</v>
      </c>
      <c r="F56" s="23">
        <v>4350000</v>
      </c>
      <c r="G56" s="23">
        <v>2850000</v>
      </c>
      <c r="H56" s="23">
        <v>1850000</v>
      </c>
    </row>
    <row r="57" spans="1:8">
      <c r="A57" s="36"/>
      <c r="B57" s="18" t="s">
        <v>188</v>
      </c>
      <c r="C57" s="18" t="s">
        <v>195</v>
      </c>
      <c r="D57" s="18" t="s">
        <v>300</v>
      </c>
      <c r="E57" s="23">
        <v>4150000</v>
      </c>
      <c r="F57" s="23">
        <v>2300000</v>
      </c>
      <c r="G57" s="23">
        <v>1550000</v>
      </c>
      <c r="H57" s="23">
        <v>1000000</v>
      </c>
    </row>
    <row r="58" spans="1:8">
      <c r="A58" s="36">
        <v>46</v>
      </c>
      <c r="B58" s="18" t="s">
        <v>303</v>
      </c>
      <c r="C58" s="18" t="s">
        <v>316</v>
      </c>
      <c r="D58" s="18" t="s">
        <v>317</v>
      </c>
      <c r="E58" s="23">
        <v>5300000</v>
      </c>
      <c r="F58" s="23">
        <v>2950000</v>
      </c>
      <c r="G58" s="23">
        <v>1950000</v>
      </c>
      <c r="H58" s="23">
        <v>1250000</v>
      </c>
    </row>
    <row r="59" ht="41.4" spans="1:8">
      <c r="A59" s="36">
        <v>47</v>
      </c>
      <c r="B59" s="18" t="s">
        <v>241</v>
      </c>
      <c r="C59" s="18" t="s">
        <v>188</v>
      </c>
      <c r="D59" s="18" t="s">
        <v>318</v>
      </c>
      <c r="E59" s="23">
        <v>3200000</v>
      </c>
      <c r="F59" s="23">
        <v>1800000</v>
      </c>
      <c r="G59" s="23">
        <v>1200000</v>
      </c>
      <c r="H59" s="23">
        <v>750000</v>
      </c>
    </row>
    <row r="60" ht="41.4" spans="1:8">
      <c r="A60" s="36"/>
      <c r="B60" s="18" t="s">
        <v>241</v>
      </c>
      <c r="C60" s="18" t="s">
        <v>319</v>
      </c>
      <c r="D60" s="18" t="s">
        <v>103</v>
      </c>
      <c r="E60" s="23">
        <v>3200000</v>
      </c>
      <c r="F60" s="23">
        <v>1800000</v>
      </c>
      <c r="G60" s="23">
        <v>1200000</v>
      </c>
      <c r="H60" s="23">
        <v>750000</v>
      </c>
    </row>
    <row r="61" spans="1:8">
      <c r="A61" s="36">
        <v>48</v>
      </c>
      <c r="B61" s="18" t="s">
        <v>320</v>
      </c>
      <c r="C61" s="18" t="s">
        <v>239</v>
      </c>
      <c r="D61" s="18" t="s">
        <v>189</v>
      </c>
      <c r="E61" s="23">
        <v>4150000</v>
      </c>
      <c r="F61" s="23">
        <v>2300000</v>
      </c>
      <c r="G61" s="23">
        <v>1550000</v>
      </c>
      <c r="H61" s="23">
        <v>1000000</v>
      </c>
    </row>
    <row r="62" ht="27.6" spans="1:8">
      <c r="A62" s="36">
        <v>49</v>
      </c>
      <c r="B62" s="18" t="s">
        <v>321</v>
      </c>
      <c r="C62" s="18" t="s">
        <v>307</v>
      </c>
      <c r="D62" s="18" t="s">
        <v>199</v>
      </c>
      <c r="E62" s="23">
        <v>3200000</v>
      </c>
      <c r="F62" s="23">
        <v>1800000</v>
      </c>
      <c r="G62" s="23">
        <v>1200000</v>
      </c>
      <c r="H62" s="23">
        <v>750000</v>
      </c>
    </row>
    <row r="63" spans="1:8">
      <c r="A63" s="36">
        <v>50</v>
      </c>
      <c r="B63" s="18" t="s">
        <v>195</v>
      </c>
      <c r="C63" s="18" t="s">
        <v>322</v>
      </c>
      <c r="D63" s="18" t="s">
        <v>188</v>
      </c>
      <c r="E63" s="23">
        <v>7700000</v>
      </c>
      <c r="F63" s="23">
        <v>4350000</v>
      </c>
      <c r="G63" s="23">
        <v>2850000</v>
      </c>
      <c r="H63" s="23">
        <v>1850000</v>
      </c>
    </row>
    <row r="64" ht="41.4" spans="1:8">
      <c r="A64" s="36"/>
      <c r="B64" s="18" t="s">
        <v>195</v>
      </c>
      <c r="C64" s="18" t="s">
        <v>188</v>
      </c>
      <c r="D64" s="18" t="s">
        <v>318</v>
      </c>
      <c r="E64" s="23">
        <v>5300000</v>
      </c>
      <c r="F64" s="23">
        <v>2950000</v>
      </c>
      <c r="G64" s="23">
        <v>1950000</v>
      </c>
      <c r="H64" s="23">
        <v>1250000</v>
      </c>
    </row>
    <row r="65" ht="41.4" spans="1:8">
      <c r="A65" s="36"/>
      <c r="B65" s="18" t="s">
        <v>195</v>
      </c>
      <c r="C65" s="18" t="s">
        <v>319</v>
      </c>
      <c r="D65" s="18" t="s">
        <v>323</v>
      </c>
      <c r="E65" s="23">
        <v>5300000</v>
      </c>
      <c r="F65" s="23">
        <v>2950000</v>
      </c>
      <c r="G65" s="23">
        <v>1950000</v>
      </c>
      <c r="H65" s="23">
        <v>1250000</v>
      </c>
    </row>
    <row r="66" spans="1:8">
      <c r="A66" s="36">
        <v>51</v>
      </c>
      <c r="B66" s="18" t="s">
        <v>312</v>
      </c>
      <c r="C66" s="18" t="s">
        <v>188</v>
      </c>
      <c r="D66" s="18" t="s">
        <v>324</v>
      </c>
      <c r="E66" s="23">
        <v>4150000</v>
      </c>
      <c r="F66" s="23">
        <v>2300000</v>
      </c>
      <c r="G66" s="23">
        <v>1550000</v>
      </c>
      <c r="H66" s="23">
        <v>1000000</v>
      </c>
    </row>
    <row r="67" spans="1:8">
      <c r="A67" s="36">
        <v>52</v>
      </c>
      <c r="B67" s="18" t="s">
        <v>325</v>
      </c>
      <c r="C67" s="18" t="s">
        <v>188</v>
      </c>
      <c r="D67" s="18" t="s">
        <v>326</v>
      </c>
      <c r="E67" s="23">
        <v>3200000</v>
      </c>
      <c r="F67" s="23">
        <v>1800000</v>
      </c>
      <c r="G67" s="23">
        <v>1200000</v>
      </c>
      <c r="H67" s="23">
        <v>750000</v>
      </c>
    </row>
    <row r="68" ht="27.6" spans="1:8">
      <c r="A68" s="36">
        <v>53</v>
      </c>
      <c r="B68" s="18" t="s">
        <v>327</v>
      </c>
      <c r="C68" s="18" t="s">
        <v>328</v>
      </c>
      <c r="D68" s="18" t="s">
        <v>329</v>
      </c>
      <c r="E68" s="23">
        <v>1000000</v>
      </c>
      <c r="F68" s="23">
        <v>550000</v>
      </c>
      <c r="G68" s="23">
        <v>375000</v>
      </c>
      <c r="H68" s="23">
        <v>230000</v>
      </c>
    </row>
    <row r="69" ht="27.6" spans="1:8">
      <c r="A69" s="36"/>
      <c r="B69" s="18" t="s">
        <v>327</v>
      </c>
      <c r="C69" s="18" t="s">
        <v>329</v>
      </c>
      <c r="D69" s="18" t="s">
        <v>250</v>
      </c>
      <c r="E69" s="23">
        <v>460000</v>
      </c>
      <c r="F69" s="23">
        <v>285000</v>
      </c>
      <c r="G69" s="23">
        <v>215000</v>
      </c>
      <c r="H69" s="23">
        <v>155000</v>
      </c>
    </row>
    <row r="70" spans="1:8">
      <c r="A70" s="36">
        <v>54</v>
      </c>
      <c r="B70" s="18" t="s">
        <v>308</v>
      </c>
      <c r="C70" s="18" t="s">
        <v>188</v>
      </c>
      <c r="D70" s="18" t="s">
        <v>243</v>
      </c>
      <c r="E70" s="23">
        <v>4150000</v>
      </c>
      <c r="F70" s="23">
        <v>2300000</v>
      </c>
      <c r="G70" s="23">
        <v>1550000</v>
      </c>
      <c r="H70" s="23">
        <v>1000000</v>
      </c>
    </row>
    <row r="71" spans="1:8">
      <c r="A71" s="36">
        <v>55</v>
      </c>
      <c r="B71" s="18" t="s">
        <v>330</v>
      </c>
      <c r="C71" s="18" t="s">
        <v>310</v>
      </c>
      <c r="D71" s="18" t="s">
        <v>237</v>
      </c>
      <c r="E71" s="23">
        <v>3200000</v>
      </c>
      <c r="F71" s="23">
        <v>1800000</v>
      </c>
      <c r="G71" s="23">
        <v>1200000</v>
      </c>
      <c r="H71" s="23">
        <v>750000</v>
      </c>
    </row>
    <row r="72" spans="1:8">
      <c r="A72" s="36">
        <v>56</v>
      </c>
      <c r="B72" s="18" t="s">
        <v>189</v>
      </c>
      <c r="C72" s="18" t="s">
        <v>181</v>
      </c>
      <c r="D72" s="18" t="s">
        <v>188</v>
      </c>
      <c r="E72" s="23">
        <v>3200000</v>
      </c>
      <c r="F72" s="23">
        <v>1800000</v>
      </c>
      <c r="G72" s="23">
        <v>1200000</v>
      </c>
      <c r="H72" s="23">
        <v>750000</v>
      </c>
    </row>
    <row r="73" spans="1:8">
      <c r="A73" s="36"/>
      <c r="B73" s="18" t="s">
        <v>189</v>
      </c>
      <c r="C73" s="18" t="s">
        <v>188</v>
      </c>
      <c r="D73" s="18" t="s">
        <v>195</v>
      </c>
      <c r="E73" s="23">
        <v>3200000</v>
      </c>
      <c r="F73" s="23">
        <v>1800000</v>
      </c>
      <c r="G73" s="23">
        <v>1200000</v>
      </c>
      <c r="H73" s="23">
        <v>750000</v>
      </c>
    </row>
    <row r="74" spans="1:8">
      <c r="A74" s="36"/>
      <c r="B74" s="18" t="s">
        <v>189</v>
      </c>
      <c r="C74" s="18" t="s">
        <v>195</v>
      </c>
      <c r="D74" s="18" t="s">
        <v>300</v>
      </c>
      <c r="E74" s="23">
        <v>3200000</v>
      </c>
      <c r="F74" s="23">
        <v>1800000</v>
      </c>
      <c r="G74" s="23">
        <v>1200000</v>
      </c>
      <c r="H74" s="23">
        <v>750000</v>
      </c>
    </row>
    <row r="75" spans="1:8">
      <c r="A75" s="36">
        <v>57</v>
      </c>
      <c r="B75" s="18" t="s">
        <v>331</v>
      </c>
      <c r="C75" s="18" t="s">
        <v>245</v>
      </c>
      <c r="D75" s="18" t="s">
        <v>332</v>
      </c>
      <c r="E75" s="23">
        <v>3200000</v>
      </c>
      <c r="F75" s="23">
        <v>1800000</v>
      </c>
      <c r="G75" s="23">
        <v>1200000</v>
      </c>
      <c r="H75" s="23">
        <v>750000</v>
      </c>
    </row>
    <row r="76" spans="1:8">
      <c r="A76" s="39" t="s">
        <v>136</v>
      </c>
      <c r="B76" s="18"/>
      <c r="C76" s="18"/>
      <c r="D76" s="18"/>
      <c r="E76" s="23"/>
      <c r="F76" s="23"/>
      <c r="G76" s="23"/>
      <c r="H76" s="23"/>
    </row>
    <row r="77" spans="1:8">
      <c r="A77" s="46">
        <v>58</v>
      </c>
      <c r="B77" s="17" t="s">
        <v>137</v>
      </c>
      <c r="C77" s="9"/>
      <c r="D77" s="9"/>
      <c r="E77" s="23">
        <v>325000</v>
      </c>
      <c r="F77" s="23">
        <v>250000</v>
      </c>
      <c r="G77" s="23">
        <v>205000</v>
      </c>
      <c r="H77" s="23">
        <v>145000</v>
      </c>
    </row>
    <row r="78" spans="1:8">
      <c r="A78" s="36"/>
      <c r="B78" s="18"/>
      <c r="C78" s="18"/>
      <c r="D78" s="18"/>
      <c r="E78" s="23"/>
      <c r="F78" s="23"/>
      <c r="G78" s="23"/>
      <c r="H78" s="23"/>
    </row>
    <row r="79" spans="1:8">
      <c r="A79" s="36"/>
      <c r="B79" s="18"/>
      <c r="C79" s="18"/>
      <c r="D79" s="18"/>
      <c r="E79" s="23" t="s">
        <v>333</v>
      </c>
      <c r="F79" s="23"/>
      <c r="G79" s="23"/>
      <c r="H79" s="23"/>
    </row>
    <row r="80" spans="1:8">
      <c r="A80" s="20"/>
      <c r="B80" s="20"/>
      <c r="C80" s="18"/>
      <c r="D80" s="18"/>
      <c r="E80" s="23" t="s">
        <v>16</v>
      </c>
      <c r="F80" s="23" t="s">
        <v>16</v>
      </c>
      <c r="G80" s="23" t="s">
        <v>16</v>
      </c>
      <c r="H80" s="23" t="s">
        <v>16</v>
      </c>
    </row>
    <row r="81" spans="1:8">
      <c r="A81" s="20"/>
      <c r="B81" s="20"/>
      <c r="C81" s="18"/>
      <c r="D81" s="18"/>
      <c r="E81" s="23" t="s">
        <v>16</v>
      </c>
      <c r="F81" s="23" t="s">
        <v>16</v>
      </c>
      <c r="G81" s="23" t="s">
        <v>16</v>
      </c>
      <c r="H81" s="23" t="s">
        <v>16</v>
      </c>
    </row>
    <row r="82" spans="1:8">
      <c r="A82" s="20"/>
      <c r="B82" s="20"/>
      <c r="C82" s="18"/>
      <c r="D82" s="18"/>
      <c r="E82" s="23" t="s">
        <v>16</v>
      </c>
      <c r="F82" s="23" t="s">
        <v>16</v>
      </c>
      <c r="G82" s="23" t="s">
        <v>16</v>
      </c>
      <c r="H82" s="23" t="s">
        <v>16</v>
      </c>
    </row>
    <row r="83" spans="1:8">
      <c r="A83" s="20"/>
      <c r="B83" s="20"/>
      <c r="C83" s="18"/>
      <c r="D83" s="18"/>
      <c r="E83" s="23" t="s">
        <v>16</v>
      </c>
      <c r="F83" s="23" t="s">
        <v>16</v>
      </c>
      <c r="G83" s="23" t="s">
        <v>16</v>
      </c>
      <c r="H83" s="23" t="s">
        <v>16</v>
      </c>
    </row>
    <row r="84" spans="1:8">
      <c r="A84" s="20"/>
      <c r="B84" s="20"/>
      <c r="C84" s="18"/>
      <c r="D84" s="18"/>
      <c r="E84" s="23" t="s">
        <v>16</v>
      </c>
      <c r="F84" s="23" t="s">
        <v>16</v>
      </c>
      <c r="G84" s="23" t="s">
        <v>16</v>
      </c>
      <c r="H84" s="23" t="s">
        <v>16</v>
      </c>
    </row>
    <row r="85" spans="1:8">
      <c r="A85" s="20"/>
      <c r="B85" s="20"/>
      <c r="C85" s="18"/>
      <c r="D85" s="18"/>
      <c r="E85" s="23" t="s">
        <v>16</v>
      </c>
      <c r="F85" s="23" t="s">
        <v>16</v>
      </c>
      <c r="G85" s="23" t="s">
        <v>16</v>
      </c>
      <c r="H85" s="23" t="s">
        <v>16</v>
      </c>
    </row>
    <row r="86" spans="1:8">
      <c r="A86" s="20"/>
      <c r="B86" s="20"/>
      <c r="C86" s="18"/>
      <c r="D86" s="18"/>
      <c r="E86" s="23" t="s">
        <v>16</v>
      </c>
      <c r="F86" s="23" t="s">
        <v>16</v>
      </c>
      <c r="G86" s="23" t="s">
        <v>16</v>
      </c>
      <c r="H86" s="23" t="s">
        <v>16</v>
      </c>
    </row>
    <row r="87" spans="1:8">
      <c r="A87" s="20"/>
      <c r="B87" s="42"/>
      <c r="C87" s="43"/>
      <c r="D87" s="43"/>
      <c r="E87" s="23" t="s">
        <v>16</v>
      </c>
      <c r="F87" s="23" t="s">
        <v>16</v>
      </c>
      <c r="G87" s="23" t="s">
        <v>16</v>
      </c>
      <c r="H87" s="23" t="s">
        <v>16</v>
      </c>
    </row>
    <row r="88" spans="1:8">
      <c r="A88" s="20"/>
      <c r="B88" s="20"/>
      <c r="C88" s="18"/>
      <c r="D88" s="18"/>
      <c r="E88" s="23" t="s">
        <v>16</v>
      </c>
      <c r="F88" s="23" t="s">
        <v>16</v>
      </c>
      <c r="G88" s="23" t="s">
        <v>16</v>
      </c>
      <c r="H88" s="23" t="s">
        <v>16</v>
      </c>
    </row>
    <row r="89" spans="1:8">
      <c r="A89" s="20"/>
      <c r="B89" s="20"/>
      <c r="C89" s="18"/>
      <c r="D89" s="18"/>
      <c r="E89" s="23" t="s">
        <v>16</v>
      </c>
      <c r="F89" s="23" t="s">
        <v>16</v>
      </c>
      <c r="G89" s="23" t="s">
        <v>16</v>
      </c>
      <c r="H89" s="23" t="s">
        <v>16</v>
      </c>
    </row>
    <row r="90" spans="1:8">
      <c r="A90" s="20"/>
      <c r="B90" s="20"/>
      <c r="C90" s="18"/>
      <c r="D90" s="1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t="s">
        <v>16</v>
      </c>
      <c r="F201" s="23" t="s">
        <v>16</v>
      </c>
      <c r="G201" s="23" t="s">
        <v>16</v>
      </c>
      <c r="H201" s="23" t="s">
        <v>16</v>
      </c>
    </row>
    <row r="202" spans="1:8">
      <c r="A202" s="27"/>
      <c r="C202" s="28"/>
      <c r="D202" s="28"/>
      <c r="E202" s="23" t="s">
        <v>16</v>
      </c>
      <c r="F202" s="23" t="s">
        <v>16</v>
      </c>
      <c r="G202" s="23" t="s">
        <v>16</v>
      </c>
      <c r="H202" s="23" t="s">
        <v>16</v>
      </c>
    </row>
    <row r="203" spans="1:8">
      <c r="A203" s="27"/>
      <c r="C203" s="28"/>
      <c r="D203" s="28"/>
      <c r="E203" s="23" t="s">
        <v>16</v>
      </c>
      <c r="F203" s="23" t="s">
        <v>16</v>
      </c>
      <c r="G203" s="23" t="s">
        <v>16</v>
      </c>
      <c r="H203" s="23" t="s">
        <v>16</v>
      </c>
    </row>
    <row r="204" spans="1:8">
      <c r="A204" s="27"/>
      <c r="C204" s="28"/>
      <c r="D204" s="28"/>
      <c r="E204" s="23" t="s">
        <v>16</v>
      </c>
      <c r="F204" s="23" t="s">
        <v>16</v>
      </c>
      <c r="G204" s="23" t="s">
        <v>16</v>
      </c>
      <c r="H204" s="23" t="s">
        <v>16</v>
      </c>
    </row>
    <row r="205" spans="1:8">
      <c r="A205" s="27"/>
      <c r="C205" s="28"/>
      <c r="D205" s="28"/>
      <c r="E205" s="23" t="s">
        <v>16</v>
      </c>
      <c r="F205" s="23" t="s">
        <v>16</v>
      </c>
      <c r="G205" s="23" t="s">
        <v>16</v>
      </c>
      <c r="H205" s="23" t="s">
        <v>16</v>
      </c>
    </row>
    <row r="206" spans="1:8">
      <c r="A206" s="27"/>
      <c r="C206" s="28"/>
      <c r="D206" s="28"/>
      <c r="E206" s="23" t="s">
        <v>16</v>
      </c>
      <c r="F206" s="23" t="s">
        <v>16</v>
      </c>
      <c r="G206" s="23" t="s">
        <v>16</v>
      </c>
      <c r="H206" s="23" t="s">
        <v>16</v>
      </c>
    </row>
    <row r="207" spans="1:8">
      <c r="A207" s="27"/>
      <c r="C207" s="28"/>
      <c r="D207" s="28"/>
      <c r="E207" s="23" t="s">
        <v>16</v>
      </c>
      <c r="F207" s="23" t="s">
        <v>16</v>
      </c>
      <c r="G207" s="23" t="s">
        <v>16</v>
      </c>
      <c r="H207" s="23" t="s">
        <v>16</v>
      </c>
    </row>
    <row r="208" spans="1:8">
      <c r="A208" s="27"/>
      <c r="C208" s="28"/>
      <c r="D208" s="28"/>
      <c r="E208" s="23" t="s">
        <v>16</v>
      </c>
      <c r="F208" s="23" t="s">
        <v>16</v>
      </c>
      <c r="G208" s="23" t="s">
        <v>16</v>
      </c>
      <c r="H208" s="23" t="s">
        <v>16</v>
      </c>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216"/>
      <c r="F222" s="50"/>
      <c r="G222" s="50"/>
      <c r="H222" s="50"/>
    </row>
    <row r="223" spans="1:8">
      <c r="A223" s="27"/>
      <c r="C223" s="28"/>
      <c r="D223" s="28"/>
      <c r="E223" s="216"/>
      <c r="F223" s="50"/>
      <c r="G223" s="50"/>
      <c r="H223" s="50"/>
    </row>
    <row r="224" spans="1:8">
      <c r="A224" s="27"/>
      <c r="C224" s="28"/>
      <c r="D224" s="28"/>
      <c r="E224" s="216"/>
      <c r="F224" s="50"/>
      <c r="G224" s="50"/>
      <c r="H224" s="50"/>
    </row>
    <row r="225" spans="1:8">
      <c r="A225" s="27"/>
      <c r="C225" s="28"/>
      <c r="D225" s="28"/>
      <c r="E225" s="216"/>
      <c r="F225" s="50"/>
      <c r="G225" s="50"/>
      <c r="H225" s="50"/>
    </row>
    <row r="226" spans="1:8">
      <c r="A226" s="27"/>
      <c r="C226" s="28"/>
      <c r="D226" s="28"/>
      <c r="E226" s="216"/>
      <c r="F226" s="50"/>
      <c r="G226" s="50"/>
      <c r="H226" s="50"/>
    </row>
    <row r="227" spans="1:8">
      <c r="A227" s="27"/>
      <c r="C227" s="28"/>
      <c r="D227" s="28"/>
      <c r="E227" s="216"/>
      <c r="F227" s="50"/>
      <c r="G227" s="50"/>
      <c r="H227" s="50"/>
    </row>
    <row r="228" spans="1:8">
      <c r="A228" s="27"/>
      <c r="C228" s="28"/>
      <c r="D228" s="28"/>
      <c r="E228" s="216"/>
      <c r="F228" s="50"/>
      <c r="G228" s="50"/>
      <c r="H228" s="50"/>
    </row>
    <row r="229" spans="1:8">
      <c r="A229" s="27"/>
      <c r="C229" s="28"/>
      <c r="D229" s="28"/>
      <c r="E229" s="216"/>
      <c r="F229" s="50"/>
      <c r="G229" s="50"/>
      <c r="H229" s="50"/>
    </row>
    <row r="230" spans="1:8">
      <c r="A230" s="27"/>
      <c r="C230" s="28"/>
      <c r="D230" s="28"/>
      <c r="E230" s="216"/>
      <c r="F230" s="50"/>
      <c r="G230" s="50"/>
      <c r="H230" s="50"/>
    </row>
    <row r="231" spans="1:8">
      <c r="A231" s="27"/>
      <c r="C231" s="28"/>
      <c r="D231" s="28"/>
      <c r="E231" s="216"/>
      <c r="F231" s="50"/>
      <c r="G231" s="50"/>
      <c r="H231" s="50"/>
    </row>
    <row r="232" spans="1:8">
      <c r="A232" s="27"/>
      <c r="C232" s="28"/>
      <c r="D232" s="28"/>
      <c r="E232" s="216"/>
      <c r="F232" s="50"/>
      <c r="G232" s="50"/>
      <c r="H232" s="50"/>
    </row>
    <row r="233" spans="1:8">
      <c r="A233" s="27"/>
      <c r="C233" s="28"/>
      <c r="D233" s="28"/>
      <c r="E233" s="216"/>
      <c r="F233" s="50"/>
      <c r="G233" s="50"/>
      <c r="H233" s="50"/>
    </row>
    <row r="234" spans="1:8">
      <c r="A234" s="27"/>
      <c r="C234" s="28"/>
      <c r="D234" s="28"/>
      <c r="E234" s="216"/>
      <c r="F234" s="50"/>
      <c r="G234" s="50"/>
      <c r="H234" s="50"/>
    </row>
    <row r="235" spans="1:8">
      <c r="A235" s="27"/>
      <c r="C235" s="28"/>
      <c r="D235" s="28"/>
      <c r="E235" s="216"/>
      <c r="F235" s="50"/>
      <c r="G235" s="50"/>
      <c r="H235" s="50"/>
    </row>
    <row r="236" spans="1:8">
      <c r="A236" s="27"/>
      <c r="C236" s="28"/>
      <c r="D236" s="28"/>
      <c r="E236" s="216"/>
      <c r="F236" s="50"/>
      <c r="G236" s="50"/>
      <c r="H236" s="50"/>
    </row>
    <row r="237" spans="1:8">
      <c r="A237" s="27"/>
      <c r="C237" s="28"/>
      <c r="D237" s="28"/>
      <c r="E237" s="216"/>
      <c r="F237" s="50"/>
      <c r="G237" s="50"/>
      <c r="H237" s="50"/>
    </row>
    <row r="238" spans="1:8">
      <c r="A238" s="27"/>
      <c r="C238" s="28"/>
      <c r="D238" s="28"/>
      <c r="E238" s="216"/>
      <c r="F238" s="50"/>
      <c r="G238" s="50"/>
      <c r="H238" s="50"/>
    </row>
    <row r="239" spans="1:8">
      <c r="A239" s="27"/>
      <c r="C239" s="28"/>
      <c r="D239" s="28"/>
      <c r="E239" s="216"/>
      <c r="F239" s="50"/>
      <c r="G239" s="50"/>
      <c r="H239" s="50"/>
    </row>
    <row r="240" spans="1:8">
      <c r="A240" s="27"/>
      <c r="C240" s="28"/>
      <c r="D240" s="28"/>
      <c r="E240" s="216"/>
      <c r="F240" s="50"/>
      <c r="G240" s="50"/>
      <c r="H240" s="50"/>
    </row>
    <row r="241" spans="1:8">
      <c r="A241" s="27"/>
      <c r="C241" s="28"/>
      <c r="D241" s="28"/>
      <c r="E241" s="216"/>
      <c r="F241" s="50"/>
      <c r="G241" s="50"/>
      <c r="H241" s="50"/>
    </row>
    <row r="242" spans="1:8">
      <c r="A242" s="27"/>
      <c r="C242" s="28"/>
      <c r="D242" s="28"/>
      <c r="E242" s="216"/>
      <c r="F242" s="50"/>
      <c r="G242" s="50"/>
      <c r="H242" s="50"/>
    </row>
    <row r="243" spans="1:8">
      <c r="A243" s="27"/>
      <c r="C243" s="28"/>
      <c r="D243" s="28"/>
      <c r="E243" s="216"/>
      <c r="F243" s="50"/>
      <c r="G243" s="50"/>
      <c r="H243" s="50"/>
    </row>
    <row r="244" spans="1:8">
      <c r="A244" s="27"/>
      <c r="C244" s="28"/>
      <c r="D244" s="28"/>
      <c r="E244" s="216"/>
      <c r="F244" s="50"/>
      <c r="G244" s="50"/>
      <c r="H244" s="50"/>
    </row>
    <row r="245" spans="1:8">
      <c r="A245" s="27"/>
      <c r="C245" s="28"/>
      <c r="D245" s="28"/>
      <c r="E245" s="216"/>
      <c r="F245" s="50"/>
      <c r="G245" s="50"/>
      <c r="H245" s="50"/>
    </row>
    <row r="246" spans="1:8">
      <c r="A246" s="27"/>
      <c r="C246" s="28"/>
      <c r="D246" s="28"/>
      <c r="E246" s="216"/>
      <c r="F246" s="50"/>
      <c r="G246" s="50"/>
      <c r="H246" s="50"/>
    </row>
    <row r="247" spans="1:8">
      <c r="A247" s="27"/>
      <c r="C247" s="28"/>
      <c r="D247" s="28"/>
      <c r="E247" s="216"/>
      <c r="F247" s="50"/>
      <c r="G247" s="50"/>
      <c r="H247" s="50"/>
    </row>
    <row r="248" spans="1:8">
      <c r="A248" s="27"/>
      <c r="C248" s="28"/>
      <c r="D248" s="28"/>
      <c r="E248" s="216"/>
      <c r="F248" s="50"/>
      <c r="G248" s="50"/>
      <c r="H248" s="50"/>
    </row>
    <row r="249" spans="1:8">
      <c r="A249" s="27"/>
      <c r="C249" s="28"/>
      <c r="D249" s="28"/>
      <c r="E249" s="216"/>
      <c r="F249" s="50"/>
      <c r="G249" s="50"/>
      <c r="H249" s="50"/>
    </row>
    <row r="250" spans="1:8">
      <c r="A250" s="27"/>
      <c r="C250" s="28"/>
      <c r="D250" s="28"/>
      <c r="E250" s="216"/>
      <c r="F250" s="50"/>
      <c r="G250" s="50"/>
      <c r="H250" s="50"/>
    </row>
    <row r="251" spans="1:8">
      <c r="A251" s="27"/>
      <c r="C251" s="28"/>
      <c r="D251" s="28"/>
      <c r="E251" s="216"/>
      <c r="F251" s="50"/>
      <c r="G251" s="50"/>
      <c r="H251" s="50"/>
    </row>
    <row r="252" spans="1:8">
      <c r="A252" s="27"/>
      <c r="C252" s="28"/>
      <c r="D252" s="28"/>
      <c r="E252" s="216"/>
      <c r="F252" s="50"/>
      <c r="G252" s="50"/>
      <c r="H252" s="50"/>
    </row>
    <row r="253" spans="1:8">
      <c r="A253" s="27"/>
      <c r="C253" s="28"/>
      <c r="D253" s="28"/>
      <c r="E253" s="216"/>
      <c r="F253" s="50"/>
      <c r="G253" s="50"/>
      <c r="H253" s="50"/>
    </row>
    <row r="254" spans="1:8">
      <c r="A254" s="27"/>
      <c r="C254" s="28"/>
      <c r="D254" s="28"/>
      <c r="E254" s="216"/>
      <c r="F254" s="50"/>
      <c r="G254" s="50"/>
      <c r="H254" s="50"/>
    </row>
    <row r="255" spans="1:8">
      <c r="A255" s="27"/>
      <c r="C255" s="28"/>
      <c r="D255" s="28"/>
      <c r="E255" s="216"/>
      <c r="F255" s="50"/>
      <c r="G255" s="50"/>
      <c r="H255" s="50"/>
    </row>
    <row r="256" spans="1:8">
      <c r="A256" s="27"/>
      <c r="C256" s="28"/>
      <c r="D256" s="28"/>
      <c r="E256" s="216"/>
      <c r="F256" s="50"/>
      <c r="G256" s="50"/>
      <c r="H256" s="50"/>
    </row>
    <row r="257" spans="1:8">
      <c r="A257" s="27"/>
      <c r="C257" s="28"/>
      <c r="D257" s="28"/>
      <c r="E257" s="216"/>
      <c r="F257" s="50"/>
      <c r="G257" s="50"/>
      <c r="H257" s="50"/>
    </row>
    <row r="258" spans="1:8">
      <c r="A258" s="27"/>
      <c r="C258" s="28"/>
      <c r="D258" s="28"/>
      <c r="E258" s="216"/>
      <c r="F258" s="50"/>
      <c r="G258" s="50"/>
      <c r="H258" s="50"/>
    </row>
    <row r="259" spans="1:8">
      <c r="A259" s="27"/>
      <c r="C259" s="28"/>
      <c r="D259" s="28"/>
      <c r="E259" s="216"/>
      <c r="F259" s="50"/>
      <c r="G259" s="50"/>
      <c r="H259" s="50"/>
    </row>
    <row r="260" spans="1:8">
      <c r="A260" s="27"/>
      <c r="C260" s="28"/>
      <c r="D260" s="28"/>
      <c r="E260" s="216"/>
      <c r="F260" s="50"/>
      <c r="G260" s="50"/>
      <c r="H260" s="50"/>
    </row>
    <row r="261" spans="1:8">
      <c r="A261" s="27"/>
      <c r="C261" s="28"/>
      <c r="D261" s="28"/>
      <c r="E261" s="216"/>
      <c r="F261" s="50"/>
      <c r="G261" s="50"/>
      <c r="H261" s="50"/>
    </row>
    <row r="262" spans="1:8">
      <c r="A262" s="27"/>
      <c r="C262" s="28"/>
      <c r="D262" s="28"/>
      <c r="E262" s="216"/>
      <c r="F262" s="50"/>
      <c r="G262" s="50"/>
      <c r="H262" s="50"/>
    </row>
    <row r="263" spans="1:8">
      <c r="A263" s="27"/>
      <c r="C263" s="28"/>
      <c r="D263" s="28"/>
      <c r="E263" s="216"/>
      <c r="F263" s="50"/>
      <c r="G263" s="50"/>
      <c r="H263" s="50"/>
    </row>
    <row r="264" spans="1:8">
      <c r="A264" s="27"/>
      <c r="C264" s="28"/>
      <c r="D264" s="28"/>
      <c r="E264" s="216"/>
      <c r="F264" s="50"/>
      <c r="G264" s="50"/>
      <c r="H264" s="50"/>
    </row>
    <row r="265" spans="1:8">
      <c r="A265" s="27"/>
      <c r="C265" s="28"/>
      <c r="D265" s="28"/>
      <c r="E265" s="216"/>
      <c r="F265" s="50"/>
      <c r="G265" s="50"/>
      <c r="H265" s="50"/>
    </row>
    <row r="266" spans="1:8">
      <c r="A266" s="27"/>
      <c r="C266" s="28"/>
      <c r="D266" s="28"/>
      <c r="E266" s="216"/>
      <c r="F266" s="50"/>
      <c r="G266" s="50"/>
      <c r="H266" s="50"/>
    </row>
    <row r="267" spans="1:8">
      <c r="A267" s="27"/>
      <c r="C267" s="28"/>
      <c r="D267" s="28"/>
      <c r="E267" s="216"/>
      <c r="F267" s="50"/>
      <c r="G267" s="50"/>
      <c r="H267" s="50"/>
    </row>
    <row r="268" spans="1:8">
      <c r="A268" s="27"/>
      <c r="C268" s="28"/>
      <c r="D268" s="28"/>
      <c r="E268" s="216"/>
      <c r="F268" s="50"/>
      <c r="G268" s="50"/>
      <c r="H268" s="50"/>
    </row>
    <row r="269" spans="1:8">
      <c r="A269" s="27"/>
      <c r="C269" s="28"/>
      <c r="D269" s="28"/>
      <c r="E269" s="216"/>
      <c r="F269" s="50"/>
      <c r="G269" s="50"/>
      <c r="H269" s="50"/>
    </row>
    <row r="270" spans="1:8">
      <c r="A270" s="27"/>
      <c r="C270" s="28"/>
      <c r="D270" s="28"/>
      <c r="E270" s="216"/>
      <c r="F270" s="50"/>
      <c r="G270" s="50"/>
      <c r="H270" s="50"/>
    </row>
    <row r="271" spans="1:8">
      <c r="A271" s="27"/>
      <c r="C271" s="28"/>
      <c r="D271" s="28"/>
      <c r="E271" s="216"/>
      <c r="F271" s="50"/>
      <c r="G271" s="50"/>
      <c r="H271" s="50"/>
    </row>
    <row r="272" spans="1:8">
      <c r="A272" s="27"/>
      <c r="C272" s="28"/>
      <c r="D272" s="28"/>
      <c r="E272" s="216"/>
      <c r="F272" s="50"/>
      <c r="G272" s="50"/>
      <c r="H272" s="50"/>
    </row>
    <row r="273" spans="1:8">
      <c r="A273" s="27"/>
      <c r="C273" s="28"/>
      <c r="D273" s="28"/>
      <c r="E273" s="216"/>
      <c r="F273" s="50"/>
      <c r="G273" s="50"/>
      <c r="H273" s="50"/>
    </row>
    <row r="274" spans="1:8">
      <c r="A274" s="27"/>
      <c r="C274" s="28"/>
      <c r="D274" s="28"/>
      <c r="E274" s="216"/>
      <c r="F274" s="50"/>
      <c r="G274" s="50"/>
      <c r="H274" s="50"/>
    </row>
    <row r="275" spans="1:8">
      <c r="A275" s="27"/>
      <c r="C275" s="28"/>
      <c r="D275" s="28"/>
      <c r="E275" s="216"/>
      <c r="F275" s="50"/>
      <c r="G275" s="50"/>
      <c r="H275" s="50"/>
    </row>
    <row r="276" spans="1:8">
      <c r="A276" s="27"/>
      <c r="C276" s="28"/>
      <c r="D276" s="28"/>
      <c r="E276" s="216"/>
      <c r="F276" s="50"/>
      <c r="G276" s="50"/>
      <c r="H276" s="50"/>
    </row>
    <row r="277" spans="1:8">
      <c r="A277" s="27"/>
      <c r="C277" s="28"/>
      <c r="D277" s="28"/>
      <c r="E277" s="216"/>
      <c r="F277" s="50"/>
      <c r="G277" s="50"/>
      <c r="H277" s="50"/>
    </row>
    <row r="278" spans="1:8">
      <c r="A278" s="27"/>
      <c r="C278" s="28"/>
      <c r="D278" s="28"/>
      <c r="E278" s="216"/>
      <c r="F278" s="50"/>
      <c r="G278" s="50"/>
      <c r="H278" s="50"/>
    </row>
    <row r="279" spans="1:8">
      <c r="A279" s="27"/>
      <c r="C279" s="28"/>
      <c r="D279" s="28"/>
      <c r="E279" s="216"/>
      <c r="F279" s="50"/>
      <c r="G279" s="50"/>
      <c r="H279" s="50"/>
    </row>
    <row r="280" spans="1:8">
      <c r="A280" s="27"/>
      <c r="C280" s="28"/>
      <c r="D280" s="28"/>
      <c r="E280" s="216"/>
      <c r="F280" s="50"/>
      <c r="G280" s="50"/>
      <c r="H280" s="50"/>
    </row>
    <row r="281" spans="1:8">
      <c r="A281" s="27"/>
      <c r="C281" s="28"/>
      <c r="D281" s="28"/>
      <c r="E281" s="216"/>
      <c r="F281" s="50"/>
      <c r="G281" s="50"/>
      <c r="H281" s="50"/>
    </row>
    <row r="282" spans="1:8">
      <c r="A282" s="27"/>
      <c r="C282" s="28"/>
      <c r="D282" s="28"/>
      <c r="E282" s="216"/>
      <c r="F282" s="50"/>
      <c r="G282" s="50"/>
      <c r="H282" s="50"/>
    </row>
    <row r="283" spans="1:8">
      <c r="A283" s="27"/>
      <c r="C283" s="28"/>
      <c r="D283" s="28"/>
      <c r="E283" s="216"/>
      <c r="F283" s="50"/>
      <c r="G283" s="50"/>
      <c r="H283" s="50"/>
    </row>
    <row r="284" spans="1:8">
      <c r="A284" s="27"/>
      <c r="C284" s="28"/>
      <c r="D284" s="28"/>
      <c r="E284" s="216"/>
      <c r="F284" s="50"/>
      <c r="G284" s="50"/>
      <c r="H284" s="50"/>
    </row>
    <row r="285" spans="1:8">
      <c r="A285" s="27"/>
      <c r="C285" s="28"/>
      <c r="D285" s="28"/>
      <c r="E285" s="216"/>
      <c r="F285" s="50"/>
      <c r="G285" s="50"/>
      <c r="H285" s="50"/>
    </row>
    <row r="286" spans="1:8">
      <c r="A286" s="27"/>
      <c r="C286" s="28"/>
      <c r="D286" s="28"/>
      <c r="E286" s="216"/>
      <c r="F286" s="50"/>
      <c r="G286" s="50"/>
      <c r="H286" s="50"/>
    </row>
    <row r="287" spans="1:8">
      <c r="A287" s="27"/>
      <c r="C287" s="28"/>
      <c r="D287" s="28"/>
      <c r="E287" s="216"/>
      <c r="F287" s="50"/>
      <c r="G287" s="50"/>
      <c r="H287" s="50"/>
    </row>
    <row r="288" spans="1:8">
      <c r="A288" s="27"/>
      <c r="C288" s="28"/>
      <c r="D288" s="28"/>
      <c r="E288" s="216"/>
      <c r="F288" s="50"/>
      <c r="G288" s="50"/>
      <c r="H288" s="50"/>
    </row>
    <row r="289" spans="1:8">
      <c r="A289" s="27"/>
      <c r="C289" s="28"/>
      <c r="D289" s="28"/>
      <c r="E289" s="216"/>
      <c r="F289" s="50"/>
      <c r="G289" s="50"/>
      <c r="H289" s="50"/>
    </row>
    <row r="290" spans="1:8">
      <c r="A290" s="27"/>
      <c r="C290" s="28"/>
      <c r="D290" s="28"/>
      <c r="E290" s="216"/>
      <c r="F290" s="50"/>
      <c r="G290" s="50"/>
      <c r="H290" s="50"/>
    </row>
    <row r="291" spans="1:8">
      <c r="A291" s="27"/>
      <c r="C291" s="28"/>
      <c r="D291" s="28"/>
      <c r="E291" s="216"/>
      <c r="F291" s="50"/>
      <c r="G291" s="50"/>
      <c r="H291" s="50"/>
    </row>
    <row r="292" spans="1:8">
      <c r="A292" s="27"/>
      <c r="C292" s="28"/>
      <c r="D292" s="28"/>
      <c r="E292" s="216"/>
      <c r="F292" s="50"/>
      <c r="G292" s="50"/>
      <c r="H292" s="50"/>
    </row>
    <row r="293" spans="1:8">
      <c r="A293" s="27"/>
      <c r="C293" s="28"/>
      <c r="D293" s="28"/>
      <c r="E293" s="216"/>
      <c r="F293" s="50"/>
      <c r="G293" s="50"/>
      <c r="H293" s="50"/>
    </row>
    <row r="294" spans="1:8">
      <c r="A294" s="27"/>
      <c r="C294" s="28"/>
      <c r="D294" s="28"/>
      <c r="E294" s="216"/>
      <c r="F294" s="50"/>
      <c r="G294" s="50"/>
      <c r="H294" s="50"/>
    </row>
    <row r="295" spans="1:8">
      <c r="A295" s="27"/>
      <c r="C295" s="28"/>
      <c r="D295" s="28"/>
      <c r="E295" s="216"/>
      <c r="F295" s="50"/>
      <c r="G295" s="50"/>
      <c r="H295" s="50"/>
    </row>
    <row r="296" spans="1:8">
      <c r="A296" s="27"/>
      <c r="C296" s="28"/>
      <c r="D296" s="28"/>
      <c r="E296" s="216"/>
      <c r="F296" s="50"/>
      <c r="G296" s="50"/>
      <c r="H296" s="50"/>
    </row>
    <row r="297" spans="1:8">
      <c r="A297" s="27"/>
      <c r="C297" s="28"/>
      <c r="D297" s="28"/>
      <c r="E297" s="216"/>
      <c r="F297" s="50"/>
      <c r="G297" s="50"/>
      <c r="H297" s="50"/>
    </row>
    <row r="298" spans="1:8">
      <c r="A298" s="27"/>
      <c r="C298" s="28"/>
      <c r="D298" s="28"/>
      <c r="E298" s="216"/>
      <c r="F298" s="50"/>
      <c r="G298" s="50"/>
      <c r="H298" s="50"/>
    </row>
    <row r="299" spans="1:8">
      <c r="A299" s="27"/>
      <c r="C299" s="28"/>
      <c r="D299" s="28"/>
      <c r="E299" s="216"/>
      <c r="F299" s="50"/>
      <c r="G299" s="50"/>
      <c r="H299" s="50"/>
    </row>
    <row r="300" spans="1:8">
      <c r="A300" s="27"/>
      <c r="C300" s="28"/>
      <c r="D300" s="28"/>
      <c r="E300" s="216"/>
      <c r="F300" s="50"/>
      <c r="G300" s="50"/>
      <c r="H300" s="50"/>
    </row>
    <row r="301" spans="1:8">
      <c r="A301" s="27"/>
      <c r="C301" s="28"/>
      <c r="D301" s="28"/>
      <c r="E301" s="216"/>
      <c r="F301" s="50"/>
      <c r="G301" s="50"/>
      <c r="H301" s="50"/>
    </row>
    <row r="302" spans="1:8">
      <c r="A302" s="27"/>
      <c r="C302" s="28"/>
      <c r="D302" s="28"/>
      <c r="E302" s="216"/>
      <c r="F302" s="50"/>
      <c r="G302" s="50"/>
      <c r="H302" s="50"/>
    </row>
    <row r="303" spans="1:8">
      <c r="A303" s="27"/>
      <c r="C303" s="28"/>
      <c r="D303" s="28"/>
      <c r="E303" s="216"/>
      <c r="F303" s="50"/>
      <c r="G303" s="50"/>
      <c r="H303" s="50"/>
    </row>
    <row r="304" spans="1:8">
      <c r="A304" s="27"/>
      <c r="C304" s="28"/>
      <c r="D304" s="28"/>
      <c r="E304" s="216"/>
      <c r="F304" s="50"/>
      <c r="G304" s="50"/>
      <c r="H304" s="50"/>
    </row>
    <row r="305" spans="1:8">
      <c r="A305" s="27"/>
      <c r="C305" s="28"/>
      <c r="D305" s="28"/>
      <c r="E305" s="216"/>
      <c r="F305" s="50"/>
      <c r="G305" s="50"/>
      <c r="H305" s="50"/>
    </row>
    <row r="306" spans="1:8">
      <c r="A306" s="27"/>
      <c r="C306" s="28"/>
      <c r="D306" s="28"/>
      <c r="E306" s="216"/>
      <c r="F306" s="50"/>
      <c r="G306" s="50"/>
      <c r="H306" s="50"/>
    </row>
    <row r="307" spans="1:8">
      <c r="A307" s="27"/>
      <c r="C307" s="28"/>
      <c r="D307" s="28"/>
      <c r="E307" s="216"/>
      <c r="F307" s="50"/>
      <c r="G307" s="50"/>
      <c r="H307" s="50"/>
    </row>
    <row r="308" spans="1:8">
      <c r="A308" s="27"/>
      <c r="C308" s="28"/>
      <c r="D308" s="28"/>
      <c r="E308" s="216"/>
      <c r="F308" s="50"/>
      <c r="G308" s="50"/>
      <c r="H308" s="50"/>
    </row>
    <row r="309" spans="1:8">
      <c r="A309" s="27"/>
      <c r="C309" s="28"/>
      <c r="D309" s="28"/>
      <c r="E309" s="216"/>
      <c r="F309" s="50"/>
      <c r="G309" s="50"/>
      <c r="H309" s="50"/>
    </row>
    <row r="310" spans="1:8">
      <c r="A310" s="27"/>
      <c r="C310" s="28"/>
      <c r="D310" s="28"/>
      <c r="E310" s="216"/>
      <c r="F310" s="50"/>
      <c r="G310" s="50"/>
      <c r="H310" s="50"/>
    </row>
    <row r="311" spans="1:8">
      <c r="A311" s="27"/>
      <c r="C311" s="28"/>
      <c r="D311" s="28"/>
      <c r="E311" s="216"/>
      <c r="F311" s="50"/>
      <c r="G311" s="50"/>
      <c r="H311" s="50"/>
    </row>
    <row r="312" spans="1:8">
      <c r="A312" s="27"/>
      <c r="C312" s="28"/>
      <c r="D312" s="28"/>
      <c r="E312" s="216"/>
      <c r="F312" s="50"/>
      <c r="G312" s="50"/>
      <c r="H312" s="50"/>
    </row>
    <row r="313" spans="1:8">
      <c r="A313" s="27"/>
      <c r="C313" s="28"/>
      <c r="D313" s="28"/>
      <c r="E313" s="216"/>
      <c r="F313" s="50"/>
      <c r="G313" s="50"/>
      <c r="H313" s="50"/>
    </row>
    <row r="314" spans="1:8">
      <c r="A314" s="27"/>
      <c r="C314" s="28"/>
      <c r="D314" s="28"/>
      <c r="E314" s="216"/>
      <c r="F314" s="50"/>
      <c r="G314" s="50"/>
      <c r="H314" s="50"/>
    </row>
    <row r="315" spans="1:8">
      <c r="A315" s="27"/>
      <c r="C315" s="28"/>
      <c r="D315" s="28"/>
      <c r="E315" s="216"/>
      <c r="F315" s="50"/>
      <c r="G315" s="50"/>
      <c r="H315" s="50"/>
    </row>
    <row r="316" spans="1:8">
      <c r="A316" s="27"/>
      <c r="C316" s="28"/>
      <c r="D316" s="28"/>
      <c r="E316" s="216"/>
      <c r="F316" s="50"/>
      <c r="G316" s="50"/>
      <c r="H316" s="50"/>
    </row>
    <row r="317" spans="1:8">
      <c r="A317" s="27"/>
      <c r="C317" s="28"/>
      <c r="D317" s="28"/>
      <c r="E317" s="216"/>
      <c r="F317" s="50"/>
      <c r="G317" s="50"/>
      <c r="H317" s="50"/>
    </row>
    <row r="318" spans="1:8">
      <c r="A318" s="27"/>
      <c r="C318" s="28"/>
      <c r="D318" s="28"/>
      <c r="E318" s="216"/>
      <c r="F318" s="50"/>
      <c r="G318" s="50"/>
      <c r="H318" s="50"/>
    </row>
    <row r="319" spans="1:8">
      <c r="A319" s="27"/>
      <c r="C319" s="28"/>
      <c r="D319" s="28"/>
      <c r="E319" s="216"/>
      <c r="F319" s="50"/>
      <c r="G319" s="50"/>
      <c r="H319" s="50"/>
    </row>
    <row r="320" spans="1:8">
      <c r="A320" s="27"/>
      <c r="C320" s="28"/>
      <c r="D320" s="28"/>
      <c r="E320" s="216"/>
      <c r="F320" s="50"/>
      <c r="G320" s="50"/>
      <c r="H320" s="50"/>
    </row>
    <row r="321" spans="1:8">
      <c r="A321" s="27"/>
      <c r="C321" s="28"/>
      <c r="D321" s="28"/>
      <c r="E321" s="216"/>
      <c r="F321" s="50"/>
      <c r="G321" s="50"/>
      <c r="H321" s="50"/>
    </row>
    <row r="322" spans="1:8">
      <c r="A322" s="27"/>
      <c r="C322" s="28"/>
      <c r="D322" s="28"/>
      <c r="E322" s="216"/>
      <c r="F322" s="50"/>
      <c r="G322" s="50"/>
      <c r="H322" s="50"/>
    </row>
    <row r="323" spans="1:8">
      <c r="A323" s="27"/>
      <c r="C323" s="28"/>
      <c r="D323" s="28"/>
      <c r="E323" s="216"/>
      <c r="F323" s="50"/>
      <c r="G323" s="50"/>
      <c r="H323" s="50"/>
    </row>
    <row r="324" spans="1:8">
      <c r="A324" s="27"/>
      <c r="C324" s="28"/>
      <c r="D324" s="28"/>
      <c r="E324" s="216"/>
      <c r="F324" s="50"/>
      <c r="G324" s="50"/>
      <c r="H324" s="50"/>
    </row>
    <row r="325" spans="1:8">
      <c r="A325" s="27"/>
      <c r="C325" s="28"/>
      <c r="D325" s="28"/>
      <c r="E325" s="216"/>
      <c r="F325" s="50"/>
      <c r="G325" s="50"/>
      <c r="H325" s="50"/>
    </row>
    <row r="326" spans="1:8">
      <c r="A326" s="27"/>
      <c r="C326" s="28"/>
      <c r="D326" s="28"/>
      <c r="E326" s="216"/>
      <c r="F326" s="50"/>
      <c r="G326" s="50"/>
      <c r="H326" s="50"/>
    </row>
    <row r="327" spans="1:8">
      <c r="A327" s="27"/>
      <c r="C327" s="28"/>
      <c r="D327" s="28"/>
      <c r="E327" s="216"/>
      <c r="F327" s="50"/>
      <c r="G327" s="50"/>
      <c r="H327" s="50"/>
    </row>
    <row r="328" spans="1:8">
      <c r="A328" s="27"/>
      <c r="C328" s="28"/>
      <c r="D328" s="28"/>
      <c r="E328" s="216"/>
      <c r="F328" s="50"/>
      <c r="G328" s="50"/>
      <c r="H328" s="50"/>
    </row>
    <row r="329" spans="1:8">
      <c r="A329" s="27"/>
      <c r="C329" s="28"/>
      <c r="D329" s="28"/>
      <c r="E329" s="216"/>
      <c r="F329" s="50"/>
      <c r="G329" s="50"/>
      <c r="H329" s="50"/>
    </row>
    <row r="330" spans="1:8">
      <c r="A330" s="27"/>
      <c r="C330" s="28"/>
      <c r="D330" s="28"/>
      <c r="E330" s="216"/>
      <c r="F330" s="50"/>
      <c r="G330" s="50"/>
      <c r="H330" s="50"/>
    </row>
    <row r="331" spans="1:8">
      <c r="A331" s="27"/>
      <c r="C331" s="28"/>
      <c r="D331" s="28"/>
      <c r="E331" s="216"/>
      <c r="F331" s="50"/>
      <c r="G331" s="50"/>
      <c r="H331" s="50"/>
    </row>
    <row r="332" spans="1:8">
      <c r="A332" s="27"/>
      <c r="C332" s="28"/>
      <c r="D332" s="28"/>
      <c r="E332" s="216"/>
      <c r="F332" s="50"/>
      <c r="G332" s="50"/>
      <c r="H332" s="50"/>
    </row>
    <row r="333" spans="1:8">
      <c r="A333" s="27"/>
      <c r="C333" s="28"/>
      <c r="D333" s="28"/>
      <c r="E333" s="216"/>
      <c r="F333" s="50"/>
      <c r="G333" s="50"/>
      <c r="H333" s="50"/>
    </row>
    <row r="334" spans="1:8">
      <c r="A334" s="27"/>
      <c r="C334" s="28"/>
      <c r="D334" s="28"/>
      <c r="E334" s="216"/>
      <c r="F334" s="50"/>
      <c r="G334" s="50"/>
      <c r="H334" s="50"/>
    </row>
    <row r="335" spans="1:8">
      <c r="A335" s="27"/>
      <c r="C335" s="28"/>
      <c r="D335" s="28"/>
      <c r="E335" s="216"/>
      <c r="F335" s="50"/>
      <c r="G335" s="50"/>
      <c r="H335" s="50"/>
    </row>
    <row r="336" spans="1:8">
      <c r="A336" s="27"/>
      <c r="C336" s="28"/>
      <c r="D336" s="28"/>
      <c r="E336" s="216"/>
      <c r="F336" s="50"/>
      <c r="G336" s="50"/>
      <c r="H336" s="50"/>
    </row>
    <row r="337" spans="1:8">
      <c r="A337" s="27"/>
      <c r="C337" s="28"/>
      <c r="D337" s="28"/>
      <c r="E337" s="216"/>
      <c r="F337" s="50"/>
      <c r="G337" s="50"/>
      <c r="H337" s="50"/>
    </row>
    <row r="338" spans="1:8">
      <c r="A338" s="27"/>
      <c r="C338" s="28"/>
      <c r="D338" s="28"/>
      <c r="E338" s="216"/>
      <c r="F338" s="50"/>
      <c r="G338" s="50"/>
      <c r="H338" s="50"/>
    </row>
    <row r="339" spans="1:8">
      <c r="A339" s="27"/>
      <c r="C339" s="28"/>
      <c r="D339" s="28"/>
      <c r="E339" s="216"/>
      <c r="F339" s="50"/>
      <c r="G339" s="50"/>
      <c r="H339" s="50"/>
    </row>
    <row r="340" spans="1:8">
      <c r="A340" s="27"/>
      <c r="C340" s="28"/>
      <c r="D340" s="28"/>
      <c r="E340" s="216"/>
      <c r="F340" s="50"/>
      <c r="G340" s="50"/>
      <c r="H340" s="50"/>
    </row>
    <row r="341" spans="1:8">
      <c r="A341" s="27"/>
      <c r="C341" s="28"/>
      <c r="D341" s="28"/>
      <c r="E341" s="216"/>
      <c r="F341" s="50"/>
      <c r="G341" s="50"/>
      <c r="H341" s="50"/>
    </row>
    <row r="342" spans="1:8">
      <c r="A342" s="27"/>
      <c r="C342" s="28"/>
      <c r="D342" s="28"/>
      <c r="E342" s="216"/>
      <c r="F342" s="50"/>
      <c r="G342" s="50"/>
      <c r="H342" s="50"/>
    </row>
    <row r="343" spans="1:8">
      <c r="A343" s="27"/>
      <c r="C343" s="28"/>
      <c r="D343" s="28"/>
      <c r="E343" s="216"/>
      <c r="F343" s="50"/>
      <c r="G343" s="50"/>
      <c r="H343" s="50"/>
    </row>
    <row r="344" spans="1:8">
      <c r="A344" s="27"/>
      <c r="C344" s="28"/>
      <c r="D344" s="28"/>
      <c r="E344" s="216"/>
      <c r="F344" s="50"/>
      <c r="G344" s="50"/>
      <c r="H344" s="50"/>
    </row>
    <row r="345" spans="1:8">
      <c r="A345" s="27"/>
      <c r="C345" s="28"/>
      <c r="D345" s="28"/>
      <c r="E345" s="216"/>
      <c r="F345" s="50"/>
      <c r="G345" s="50"/>
      <c r="H345" s="50"/>
    </row>
    <row r="346" spans="1:8">
      <c r="A346" s="27"/>
      <c r="C346" s="28"/>
      <c r="D346" s="28"/>
      <c r="E346" s="216"/>
      <c r="F346" s="50"/>
      <c r="G346" s="50"/>
      <c r="H346" s="50"/>
    </row>
    <row r="347" spans="1:8">
      <c r="A347" s="27"/>
      <c r="C347" s="28"/>
      <c r="D347" s="28"/>
      <c r="E347" s="216"/>
      <c r="F347" s="50"/>
      <c r="G347" s="50"/>
      <c r="H347" s="50"/>
    </row>
    <row r="348" spans="1:8">
      <c r="A348" s="27"/>
      <c r="C348" s="28"/>
      <c r="D348" s="28"/>
      <c r="E348" s="216"/>
      <c r="F348" s="50"/>
      <c r="G348" s="50"/>
      <c r="H348" s="50"/>
    </row>
    <row r="349" spans="1:8">
      <c r="A349" s="27"/>
      <c r="C349" s="28"/>
      <c r="D349" s="28"/>
      <c r="E349" s="216"/>
      <c r="F349" s="50"/>
      <c r="G349" s="50"/>
      <c r="H349" s="50"/>
    </row>
    <row r="350" spans="1:8">
      <c r="A350" s="27"/>
      <c r="C350" s="28"/>
      <c r="D350" s="28"/>
      <c r="E350" s="216"/>
      <c r="F350" s="50"/>
      <c r="G350" s="50"/>
      <c r="H350" s="50"/>
    </row>
    <row r="351" spans="1:8">
      <c r="A351" s="27"/>
      <c r="C351" s="28"/>
      <c r="D351" s="28"/>
      <c r="E351" s="216"/>
      <c r="F351" s="50"/>
      <c r="G351" s="50"/>
      <c r="H351" s="50"/>
    </row>
    <row r="352" spans="1:8">
      <c r="A352" s="27"/>
      <c r="C352" s="28"/>
      <c r="D352" s="28"/>
      <c r="E352" s="216"/>
      <c r="F352" s="50"/>
      <c r="G352" s="50"/>
      <c r="H352" s="50"/>
    </row>
    <row r="353" spans="1:8">
      <c r="A353" s="27"/>
      <c r="C353" s="28"/>
      <c r="D353" s="28"/>
      <c r="E353" s="216"/>
      <c r="F353" s="50"/>
      <c r="G353" s="50"/>
      <c r="H353" s="50"/>
    </row>
    <row r="354" spans="1:8">
      <c r="A354" s="27"/>
      <c r="C354" s="28"/>
      <c r="D354" s="28"/>
      <c r="E354" s="216"/>
      <c r="F354" s="50"/>
      <c r="G354" s="50"/>
      <c r="H354" s="50"/>
    </row>
    <row r="355" spans="1:8">
      <c r="A355" s="27"/>
      <c r="C355" s="28"/>
      <c r="D355" s="28"/>
      <c r="E355" s="216"/>
      <c r="F355" s="50"/>
      <c r="G355" s="50"/>
      <c r="H355" s="50"/>
    </row>
    <row r="356" spans="1:8">
      <c r="A356" s="27"/>
      <c r="C356" s="28"/>
      <c r="D356" s="28"/>
      <c r="E356" s="216"/>
      <c r="F356" s="50"/>
      <c r="G356" s="50"/>
      <c r="H356" s="50"/>
    </row>
    <row r="357" spans="1:8">
      <c r="A357" s="27"/>
      <c r="C357" s="28"/>
      <c r="D357" s="28"/>
      <c r="E357" s="216"/>
      <c r="F357" s="50"/>
      <c r="G357" s="50"/>
      <c r="H357" s="50"/>
    </row>
    <row r="358" spans="1:8">
      <c r="A358" s="27"/>
      <c r="C358" s="28"/>
      <c r="D358" s="28"/>
      <c r="E358" s="216"/>
      <c r="F358" s="50"/>
      <c r="G358" s="50"/>
      <c r="H358" s="50"/>
    </row>
    <row r="359" spans="1:8">
      <c r="A359" s="27"/>
      <c r="C359" s="28"/>
      <c r="D359" s="28"/>
      <c r="E359" s="216"/>
      <c r="F359" s="50"/>
      <c r="G359" s="50"/>
      <c r="H359" s="50"/>
    </row>
    <row r="360" spans="1:8">
      <c r="A360" s="27"/>
      <c r="C360" s="28"/>
      <c r="D360" s="28"/>
      <c r="E360" s="216"/>
      <c r="F360" s="50"/>
      <c r="G360" s="50"/>
      <c r="H360" s="50"/>
    </row>
    <row r="361" spans="1:8">
      <c r="A361" s="27"/>
      <c r="C361" s="28"/>
      <c r="D361" s="28"/>
      <c r="E361" s="216"/>
      <c r="F361" s="50"/>
      <c r="G361" s="50"/>
      <c r="H361" s="50"/>
    </row>
    <row r="362" spans="1:8">
      <c r="A362" s="27"/>
      <c r="C362" s="28"/>
      <c r="D362" s="28"/>
      <c r="E362" s="216"/>
      <c r="F362" s="50"/>
      <c r="G362" s="50"/>
      <c r="H362" s="50"/>
    </row>
    <row r="363" spans="1:8">
      <c r="A363" s="27"/>
      <c r="C363" s="28"/>
      <c r="D363" s="28"/>
      <c r="E363" s="216"/>
      <c r="F363" s="50"/>
      <c r="G363" s="50"/>
      <c r="H363" s="50"/>
    </row>
    <row r="364" spans="1:8">
      <c r="A364" s="27"/>
      <c r="C364" s="28"/>
      <c r="D364" s="28"/>
      <c r="E364" s="216"/>
      <c r="F364" s="50"/>
      <c r="G364" s="50"/>
      <c r="H364" s="50"/>
    </row>
    <row r="365" spans="1:8">
      <c r="A365" s="27"/>
      <c r="C365" s="28"/>
      <c r="D365" s="28"/>
      <c r="E365" s="216"/>
      <c r="F365" s="50"/>
      <c r="G365" s="50"/>
      <c r="H365" s="50"/>
    </row>
    <row r="366" spans="1:8">
      <c r="A366" s="27"/>
      <c r="C366" s="28"/>
      <c r="D366" s="28"/>
      <c r="E366" s="216"/>
      <c r="F366" s="50"/>
      <c r="G366" s="50"/>
      <c r="H366" s="50"/>
    </row>
    <row r="367" spans="1:8">
      <c r="A367" s="27"/>
      <c r="C367" s="28"/>
      <c r="D367" s="28"/>
      <c r="E367" s="216"/>
      <c r="F367" s="50"/>
      <c r="G367" s="50"/>
      <c r="H367" s="50"/>
    </row>
    <row r="368" spans="1:8">
      <c r="A368" s="27"/>
      <c r="C368" s="28"/>
      <c r="D368" s="28"/>
      <c r="E368" s="216"/>
      <c r="F368" s="50"/>
      <c r="G368" s="50"/>
      <c r="H368" s="50"/>
    </row>
    <row r="369" spans="1:8">
      <c r="A369" s="27"/>
      <c r="C369" s="28"/>
      <c r="D369" s="28"/>
      <c r="E369" s="216"/>
      <c r="F369" s="50"/>
      <c r="G369" s="50"/>
      <c r="H369" s="50"/>
    </row>
    <row r="370" spans="1:8">
      <c r="A370" s="27"/>
      <c r="C370" s="28"/>
      <c r="D370" s="28"/>
      <c r="E370" s="216"/>
      <c r="F370" s="50"/>
      <c r="G370" s="50"/>
      <c r="H370" s="50"/>
    </row>
    <row r="371" spans="1:8">
      <c r="A371" s="27"/>
      <c r="C371" s="28"/>
      <c r="D371" s="28"/>
      <c r="E371" s="216"/>
      <c r="F371" s="50"/>
      <c r="G371" s="50"/>
      <c r="H371" s="50"/>
    </row>
    <row r="372" spans="1:8">
      <c r="A372" s="27"/>
      <c r="C372" s="28"/>
      <c r="D372" s="28"/>
      <c r="E372" s="216"/>
      <c r="F372" s="50"/>
      <c r="G372" s="50"/>
      <c r="H372" s="50"/>
    </row>
    <row r="373" spans="1:8">
      <c r="A373" s="27"/>
      <c r="C373" s="28"/>
      <c r="D373" s="28"/>
      <c r="E373" s="216"/>
      <c r="F373" s="50"/>
      <c r="G373" s="50"/>
      <c r="H373" s="50"/>
    </row>
    <row r="374" spans="1:8">
      <c r="A374" s="27"/>
      <c r="C374" s="28"/>
      <c r="D374" s="28"/>
      <c r="E374" s="216"/>
      <c r="F374" s="50"/>
      <c r="G374" s="50"/>
      <c r="H374" s="50"/>
    </row>
    <row r="375" spans="1:8">
      <c r="A375" s="27"/>
      <c r="C375" s="28"/>
      <c r="D375" s="28"/>
      <c r="E375" s="216"/>
      <c r="F375" s="50"/>
      <c r="G375" s="50"/>
      <c r="H375" s="50"/>
    </row>
    <row r="376" spans="1:8">
      <c r="A376" s="27"/>
      <c r="C376" s="28"/>
      <c r="D376" s="28"/>
      <c r="E376" s="216"/>
      <c r="F376" s="50"/>
      <c r="G376" s="50"/>
      <c r="H376" s="50"/>
    </row>
    <row r="377" spans="1:8">
      <c r="A377" s="27"/>
      <c r="C377" s="28"/>
      <c r="D377" s="28"/>
      <c r="E377" s="216"/>
      <c r="F377" s="50"/>
      <c r="G377" s="50"/>
      <c r="H377" s="50"/>
    </row>
    <row r="378" spans="1:8">
      <c r="A378" s="27"/>
      <c r="C378" s="28"/>
      <c r="D378" s="28"/>
      <c r="E378" s="216"/>
      <c r="F378" s="50"/>
      <c r="G378" s="50"/>
      <c r="H378" s="50"/>
    </row>
    <row r="379" spans="1:8">
      <c r="A379" s="27"/>
      <c r="C379" s="28"/>
      <c r="D379" s="28"/>
      <c r="E379" s="216"/>
      <c r="F379" s="50"/>
      <c r="G379" s="50"/>
      <c r="H379" s="50"/>
    </row>
    <row r="380" spans="1:8">
      <c r="A380" s="27"/>
      <c r="C380" s="28"/>
      <c r="D380" s="28"/>
      <c r="E380" s="216"/>
      <c r="F380" s="50"/>
      <c r="G380" s="50"/>
      <c r="H380" s="50"/>
    </row>
    <row r="381" spans="1:8">
      <c r="A381" s="27"/>
      <c r="C381" s="28"/>
      <c r="D381" s="28"/>
      <c r="E381" s="216"/>
      <c r="F381" s="50"/>
      <c r="G381" s="50"/>
      <c r="H381" s="50"/>
    </row>
    <row r="382" spans="1:8">
      <c r="A382" s="27"/>
      <c r="C382" s="28"/>
      <c r="D382" s="28"/>
      <c r="E382" s="216"/>
      <c r="F382" s="50"/>
      <c r="G382" s="50"/>
      <c r="H382" s="50"/>
    </row>
    <row r="383" spans="1:8">
      <c r="A383" s="27"/>
      <c r="C383" s="28"/>
      <c r="D383" s="28"/>
      <c r="E383" s="216"/>
      <c r="F383" s="50"/>
      <c r="G383" s="50"/>
      <c r="H383" s="50"/>
    </row>
    <row r="384" spans="1:8">
      <c r="A384" s="27"/>
      <c r="C384" s="28"/>
      <c r="D384" s="28"/>
      <c r="E384" s="216"/>
      <c r="F384" s="50"/>
      <c r="G384" s="50"/>
      <c r="H384" s="50"/>
    </row>
    <row r="385" spans="1:8">
      <c r="A385" s="27"/>
      <c r="C385" s="28"/>
      <c r="D385" s="28"/>
      <c r="E385" s="216"/>
      <c r="F385" s="50"/>
      <c r="G385" s="50"/>
      <c r="H385" s="50"/>
    </row>
    <row r="386" spans="1:8">
      <c r="A386" s="27"/>
      <c r="C386" s="28"/>
      <c r="D386" s="28"/>
      <c r="E386" s="216"/>
      <c r="F386" s="50"/>
      <c r="G386" s="50"/>
      <c r="H386" s="50"/>
    </row>
    <row r="387" spans="1:8">
      <c r="A387" s="27"/>
      <c r="C387" s="28"/>
      <c r="D387" s="28"/>
      <c r="E387" s="216"/>
      <c r="F387" s="50"/>
      <c r="G387" s="50"/>
      <c r="H387" s="50"/>
    </row>
    <row r="388" spans="1:8">
      <c r="A388" s="27"/>
      <c r="C388" s="28"/>
      <c r="D388" s="28"/>
      <c r="E388" s="216"/>
      <c r="F388" s="50"/>
      <c r="G388" s="50"/>
      <c r="H388" s="50"/>
    </row>
    <row r="389" spans="1:8">
      <c r="A389" s="27"/>
      <c r="C389" s="28"/>
      <c r="D389" s="28"/>
      <c r="E389" s="216"/>
      <c r="F389" s="50"/>
      <c r="G389" s="50"/>
      <c r="H389" s="50"/>
    </row>
    <row r="390" spans="1:8">
      <c r="A390" s="27"/>
      <c r="C390" s="28"/>
      <c r="D390" s="28"/>
      <c r="E390" s="216"/>
      <c r="F390" s="50"/>
      <c r="G390" s="50"/>
      <c r="H390" s="50"/>
    </row>
    <row r="391" spans="1:8">
      <c r="A391" s="27"/>
      <c r="C391" s="28"/>
      <c r="D391" s="28"/>
      <c r="E391" s="216"/>
      <c r="F391" s="50"/>
      <c r="G391" s="50"/>
      <c r="H391" s="50"/>
    </row>
    <row r="392" spans="1:8">
      <c r="A392" s="27"/>
      <c r="C392" s="28"/>
      <c r="D392" s="28"/>
      <c r="E392" s="216"/>
      <c r="F392" s="50"/>
      <c r="G392" s="50"/>
      <c r="H392" s="50"/>
    </row>
    <row r="393" spans="1:8">
      <c r="A393" s="27"/>
      <c r="C393" s="28"/>
      <c r="D393" s="28"/>
      <c r="E393" s="216"/>
      <c r="F393" s="50"/>
      <c r="G393" s="50"/>
      <c r="H393" s="50"/>
    </row>
    <row r="394" spans="1:8">
      <c r="A394" s="27"/>
      <c r="C394" s="28"/>
      <c r="D394" s="28"/>
      <c r="E394" s="216"/>
      <c r="F394" s="50"/>
      <c r="G394" s="50"/>
      <c r="H394" s="50"/>
    </row>
    <row r="395" spans="1:8">
      <c r="A395" s="27"/>
      <c r="C395" s="28"/>
      <c r="D395" s="28"/>
      <c r="E395" s="216"/>
      <c r="F395" s="50"/>
      <c r="G395" s="50"/>
      <c r="H395" s="50"/>
    </row>
    <row r="396" spans="1:8">
      <c r="A396" s="27"/>
      <c r="C396" s="28"/>
      <c r="D396" s="28"/>
      <c r="E396" s="216"/>
      <c r="F396" s="50"/>
      <c r="G396" s="50"/>
      <c r="H396" s="50"/>
    </row>
    <row r="397" spans="1:8">
      <c r="A397" s="27"/>
      <c r="C397" s="28"/>
      <c r="D397" s="28"/>
      <c r="E397" s="216"/>
      <c r="F397" s="50"/>
      <c r="G397" s="50"/>
      <c r="H397" s="50"/>
    </row>
    <row r="398" spans="1:8">
      <c r="A398" s="27"/>
      <c r="C398" s="28"/>
      <c r="D398" s="28"/>
      <c r="E398" s="216"/>
      <c r="F398" s="50"/>
      <c r="G398" s="50"/>
      <c r="H398" s="50"/>
    </row>
    <row r="399" spans="1:8">
      <c r="A399" s="27"/>
      <c r="C399" s="28"/>
      <c r="D399" s="28"/>
      <c r="E399" s="216"/>
      <c r="F399" s="50"/>
      <c r="G399" s="50"/>
      <c r="H399" s="50"/>
    </row>
    <row r="400" spans="1:8">
      <c r="A400" s="27"/>
      <c r="C400" s="28"/>
      <c r="D400" s="28"/>
      <c r="E400" s="216"/>
      <c r="F400" s="50"/>
      <c r="G400" s="50"/>
      <c r="H400" s="50"/>
    </row>
    <row r="401" spans="1:8">
      <c r="A401" s="27"/>
      <c r="C401" s="28"/>
      <c r="D401" s="28"/>
      <c r="E401" s="216"/>
      <c r="F401" s="50"/>
      <c r="G401" s="50"/>
      <c r="H401" s="50"/>
    </row>
    <row r="402" spans="1:8">
      <c r="A402" s="27"/>
      <c r="C402" s="28"/>
      <c r="D402" s="28"/>
      <c r="E402" s="216"/>
      <c r="F402" s="50"/>
      <c r="G402" s="50"/>
      <c r="H402" s="50"/>
    </row>
    <row r="403" spans="1:8">
      <c r="A403" s="27"/>
      <c r="C403" s="28"/>
      <c r="D403" s="28"/>
      <c r="E403" s="216"/>
      <c r="F403" s="50"/>
      <c r="G403" s="50"/>
      <c r="H403" s="50"/>
    </row>
    <row r="404" spans="1:8">
      <c r="A404" s="27"/>
      <c r="C404" s="28"/>
      <c r="D404" s="28"/>
      <c r="E404" s="216"/>
      <c r="F404" s="50"/>
      <c r="G404" s="50"/>
      <c r="H404" s="50"/>
    </row>
    <row r="405" spans="1:8">
      <c r="A405" s="27"/>
      <c r="C405" s="28"/>
      <c r="D405" s="28"/>
      <c r="E405" s="216"/>
      <c r="F405" s="50"/>
      <c r="G405" s="50"/>
      <c r="H405" s="50"/>
    </row>
    <row r="406" spans="1:8">
      <c r="A406" s="27"/>
      <c r="C406" s="28"/>
      <c r="D406" s="28"/>
      <c r="E406" s="216"/>
      <c r="F406" s="50"/>
      <c r="G406" s="50"/>
      <c r="H406" s="50"/>
    </row>
    <row r="407" spans="1:8">
      <c r="A407" s="27"/>
      <c r="C407" s="28"/>
      <c r="D407" s="28"/>
      <c r="E407" s="216"/>
      <c r="F407" s="50"/>
      <c r="G407" s="50"/>
      <c r="H407" s="50"/>
    </row>
    <row r="408" spans="1:8">
      <c r="A408" s="27"/>
      <c r="C408" s="28"/>
      <c r="D408" s="28"/>
      <c r="E408" s="216"/>
      <c r="F408" s="50"/>
      <c r="G408" s="50"/>
      <c r="H408" s="50"/>
    </row>
    <row r="409" spans="1:8">
      <c r="A409" s="27"/>
      <c r="C409" s="28"/>
      <c r="D409" s="28"/>
      <c r="E409" s="216"/>
      <c r="F409" s="50"/>
      <c r="G409" s="50"/>
      <c r="H409" s="50"/>
    </row>
    <row r="410" spans="1:8">
      <c r="A410" s="27"/>
      <c r="C410" s="28"/>
      <c r="D410" s="28"/>
      <c r="E410" s="216"/>
      <c r="F410" s="50"/>
      <c r="G410" s="50"/>
      <c r="H410" s="50"/>
    </row>
    <row r="411" spans="1:8">
      <c r="A411" s="27"/>
      <c r="C411" s="28"/>
      <c r="D411" s="28"/>
      <c r="E411" s="216"/>
      <c r="F411" s="50"/>
      <c r="G411" s="50"/>
      <c r="H411" s="50"/>
    </row>
    <row r="412" spans="1:8">
      <c r="A412" s="27"/>
      <c r="C412" s="28"/>
      <c r="D412" s="28"/>
      <c r="E412" s="216"/>
      <c r="F412" s="50"/>
      <c r="G412" s="50"/>
      <c r="H412" s="50"/>
    </row>
    <row r="413" spans="1:8">
      <c r="A413" s="27"/>
      <c r="C413" s="28"/>
      <c r="D413" s="28"/>
      <c r="E413" s="216"/>
      <c r="F413" s="50"/>
      <c r="G413" s="50"/>
      <c r="H413" s="50"/>
    </row>
    <row r="414" spans="1:8">
      <c r="A414" s="27"/>
      <c r="C414" s="28"/>
      <c r="D414" s="28"/>
      <c r="E414" s="216"/>
      <c r="F414" s="50"/>
      <c r="G414" s="50"/>
      <c r="H414" s="50"/>
    </row>
    <row r="415" spans="1:8">
      <c r="A415" s="27"/>
      <c r="C415" s="28"/>
      <c r="D415" s="28"/>
      <c r="E415" s="216"/>
      <c r="F415" s="50"/>
      <c r="G415" s="50"/>
      <c r="H415" s="50"/>
    </row>
    <row r="416" spans="1:8">
      <c r="A416" s="27"/>
      <c r="C416" s="28"/>
      <c r="D416" s="28"/>
      <c r="E416" s="216"/>
      <c r="F416" s="50"/>
      <c r="G416" s="50"/>
      <c r="H416" s="50"/>
    </row>
    <row r="417" spans="1:8">
      <c r="A417" s="27"/>
      <c r="C417" s="28"/>
      <c r="D417" s="28"/>
      <c r="E417" s="216"/>
      <c r="F417" s="50"/>
      <c r="G417" s="50"/>
      <c r="H417" s="50"/>
    </row>
    <row r="418" spans="1:8">
      <c r="A418" s="27"/>
      <c r="C418" s="28"/>
      <c r="D418" s="28"/>
      <c r="E418" s="216"/>
      <c r="F418" s="50"/>
      <c r="G418" s="50"/>
      <c r="H418" s="50"/>
    </row>
    <row r="419" spans="1:8">
      <c r="A419" s="27"/>
      <c r="C419" s="28"/>
      <c r="D419" s="28"/>
      <c r="E419" s="216"/>
      <c r="F419" s="50"/>
      <c r="G419" s="50"/>
      <c r="H419" s="50"/>
    </row>
    <row r="420" spans="1:8">
      <c r="A420" s="27"/>
      <c r="C420" s="28"/>
      <c r="D420" s="28"/>
      <c r="E420" s="216"/>
      <c r="F420" s="50"/>
      <c r="G420" s="50"/>
      <c r="H420" s="50"/>
    </row>
    <row r="421" spans="1:8">
      <c r="A421" s="27"/>
      <c r="C421" s="28"/>
      <c r="D421" s="28"/>
      <c r="E421" s="216"/>
      <c r="F421" s="50"/>
      <c r="G421" s="50"/>
      <c r="H421" s="50"/>
    </row>
    <row r="422" spans="1:8">
      <c r="A422" s="27"/>
      <c r="C422" s="28"/>
      <c r="D422" s="28"/>
      <c r="E422" s="216"/>
      <c r="F422" s="50"/>
      <c r="G422" s="50"/>
      <c r="H422" s="50"/>
    </row>
    <row r="423" spans="1:8">
      <c r="A423" s="27"/>
      <c r="C423" s="28"/>
      <c r="D423" s="28"/>
      <c r="E423" s="216"/>
      <c r="F423" s="50"/>
      <c r="G423" s="50"/>
      <c r="H423" s="50"/>
    </row>
    <row r="424" spans="1:8">
      <c r="A424" s="27"/>
      <c r="C424" s="28"/>
      <c r="D424" s="28"/>
      <c r="E424" s="216"/>
      <c r="F424" s="50"/>
      <c r="G424" s="50"/>
      <c r="H424" s="50"/>
    </row>
    <row r="425" spans="1:8">
      <c r="A425" s="27"/>
      <c r="C425" s="28"/>
      <c r="D425" s="28"/>
      <c r="E425" s="216"/>
      <c r="F425" s="50"/>
      <c r="G425" s="50"/>
      <c r="H425" s="50"/>
    </row>
    <row r="426" spans="1:8">
      <c r="A426" s="27"/>
      <c r="C426" s="28"/>
      <c r="D426" s="28"/>
      <c r="E426" s="216"/>
      <c r="F426" s="50"/>
      <c r="G426" s="50"/>
      <c r="H426" s="50"/>
    </row>
    <row r="427" spans="1:8">
      <c r="A427" s="27"/>
      <c r="C427" s="28"/>
      <c r="D427" s="28"/>
      <c r="E427" s="216"/>
      <c r="F427" s="50"/>
      <c r="G427" s="50"/>
      <c r="H427" s="50"/>
    </row>
    <row r="428" spans="1:8">
      <c r="A428" s="27"/>
      <c r="C428" s="28"/>
      <c r="D428" s="28"/>
      <c r="E428" s="216"/>
      <c r="F428" s="50"/>
      <c r="G428" s="50"/>
      <c r="H428" s="50"/>
    </row>
    <row r="429" spans="1:8">
      <c r="A429" s="27"/>
      <c r="C429" s="28"/>
      <c r="D429" s="28"/>
      <c r="E429" s="216"/>
      <c r="F429" s="50"/>
      <c r="G429" s="50"/>
      <c r="H429" s="50"/>
    </row>
    <row r="430" spans="1:8">
      <c r="A430" s="27"/>
      <c r="C430" s="28"/>
      <c r="D430" s="28"/>
      <c r="E430" s="216"/>
      <c r="F430" s="50"/>
      <c r="G430" s="50"/>
      <c r="H430" s="50"/>
    </row>
    <row r="431" spans="1:8">
      <c r="A431" s="27"/>
      <c r="C431" s="28"/>
      <c r="D431" s="28"/>
      <c r="E431" s="216"/>
      <c r="F431" s="50"/>
      <c r="G431" s="50"/>
      <c r="H431" s="50"/>
    </row>
    <row r="432" spans="1:8">
      <c r="A432" s="27"/>
      <c r="C432" s="28"/>
      <c r="D432" s="28"/>
      <c r="E432" s="216"/>
      <c r="F432" s="50"/>
      <c r="G432" s="50"/>
      <c r="H432" s="50"/>
    </row>
    <row r="433" spans="1:8">
      <c r="A433" s="27"/>
      <c r="C433" s="28"/>
      <c r="D433" s="28"/>
      <c r="E433" s="216"/>
      <c r="F433" s="50"/>
      <c r="G433" s="50"/>
      <c r="H433" s="50"/>
    </row>
    <row r="434" spans="1:8">
      <c r="A434" s="27"/>
      <c r="C434" s="28"/>
      <c r="D434" s="28"/>
      <c r="E434" s="216"/>
      <c r="F434" s="50"/>
      <c r="G434" s="50"/>
      <c r="H434" s="50"/>
    </row>
    <row r="435" spans="1:8">
      <c r="A435" s="27"/>
      <c r="C435" s="28"/>
      <c r="D435" s="28"/>
      <c r="E435" s="216"/>
      <c r="F435" s="50"/>
      <c r="G435" s="50"/>
      <c r="H435" s="50"/>
    </row>
    <row r="436" spans="1:8">
      <c r="A436" s="27"/>
      <c r="C436" s="28"/>
      <c r="D436" s="28"/>
      <c r="E436" s="216"/>
      <c r="F436" s="50"/>
      <c r="G436" s="50"/>
      <c r="H436" s="50"/>
    </row>
    <row r="437" spans="1:8">
      <c r="A437" s="27"/>
      <c r="C437" s="28"/>
      <c r="D437" s="28"/>
      <c r="E437" s="216"/>
      <c r="F437" s="50"/>
      <c r="G437" s="50"/>
      <c r="H437" s="50"/>
    </row>
    <row r="438" spans="1:8">
      <c r="A438" s="27"/>
      <c r="C438" s="28"/>
      <c r="D438" s="28"/>
      <c r="E438" s="216"/>
      <c r="F438" s="50"/>
      <c r="G438" s="50"/>
      <c r="H438" s="50"/>
    </row>
    <row r="439" spans="1:8">
      <c r="A439" s="27"/>
      <c r="C439" s="28"/>
      <c r="D439" s="28"/>
      <c r="E439" s="216"/>
      <c r="F439" s="50"/>
      <c r="G439" s="50"/>
      <c r="H439" s="50"/>
    </row>
    <row r="440" spans="1:8">
      <c r="A440" s="27"/>
      <c r="C440" s="28"/>
      <c r="D440" s="28"/>
      <c r="E440" s="216"/>
      <c r="F440" s="50"/>
      <c r="G440" s="50"/>
      <c r="H440" s="50"/>
    </row>
    <row r="441" spans="1:8">
      <c r="A441" s="27"/>
      <c r="C441" s="28"/>
      <c r="D441" s="28"/>
      <c r="E441" s="216"/>
      <c r="F441" s="50"/>
      <c r="G441" s="50"/>
      <c r="H441" s="50"/>
    </row>
    <row r="442" spans="1:8">
      <c r="A442" s="27"/>
      <c r="C442" s="28"/>
      <c r="D442" s="28"/>
      <c r="E442" s="216"/>
      <c r="F442" s="50"/>
      <c r="G442" s="50"/>
      <c r="H442" s="50"/>
    </row>
    <row r="443" spans="1:8">
      <c r="A443" s="27"/>
      <c r="C443" s="28"/>
      <c r="D443" s="28"/>
      <c r="E443" s="216"/>
      <c r="F443" s="50"/>
      <c r="G443" s="50"/>
      <c r="H443" s="50"/>
    </row>
    <row r="444" spans="1:8">
      <c r="A444" s="27"/>
      <c r="C444" s="28"/>
      <c r="D444" s="28"/>
      <c r="E444" s="216"/>
      <c r="F444" s="50"/>
      <c r="G444" s="50"/>
      <c r="H444" s="50"/>
    </row>
    <row r="445" spans="1:8">
      <c r="A445" s="27"/>
      <c r="C445" s="28"/>
      <c r="D445" s="28"/>
      <c r="E445" s="216"/>
      <c r="F445" s="50"/>
      <c r="G445" s="50"/>
      <c r="H445" s="50"/>
    </row>
    <row r="446" spans="1:8">
      <c r="A446" s="27"/>
      <c r="C446" s="28"/>
      <c r="D446" s="28"/>
      <c r="E446" s="216"/>
      <c r="F446" s="50"/>
      <c r="G446" s="50"/>
      <c r="H446" s="50"/>
    </row>
    <row r="447" spans="1:8">
      <c r="A447" s="27"/>
      <c r="C447" s="28"/>
      <c r="D447" s="28"/>
      <c r="E447" s="216"/>
      <c r="F447" s="50"/>
      <c r="G447" s="50"/>
      <c r="H447" s="50"/>
    </row>
    <row r="448" spans="1:8">
      <c r="A448" s="27"/>
      <c r="C448" s="28"/>
      <c r="D448" s="28"/>
      <c r="E448" s="216"/>
      <c r="F448" s="50"/>
      <c r="G448" s="50"/>
      <c r="H448" s="50"/>
    </row>
    <row r="449" spans="1:8">
      <c r="A449" s="27"/>
      <c r="C449" s="28"/>
      <c r="D449" s="28"/>
      <c r="E449" s="216"/>
      <c r="F449" s="50"/>
      <c r="G449" s="50"/>
      <c r="H449" s="50"/>
    </row>
    <row r="450" spans="1:8">
      <c r="A450" s="27"/>
      <c r="C450" s="28"/>
      <c r="D450" s="28"/>
      <c r="E450" s="216"/>
      <c r="F450" s="50"/>
      <c r="G450" s="50"/>
      <c r="H450" s="50"/>
    </row>
    <row r="451" spans="1:8">
      <c r="A451" s="27"/>
      <c r="C451" s="28"/>
      <c r="D451" s="28"/>
      <c r="E451" s="216"/>
      <c r="F451" s="50"/>
      <c r="G451" s="50"/>
      <c r="H451" s="50"/>
    </row>
    <row r="452" spans="1:8">
      <c r="A452" s="27"/>
      <c r="C452" s="28"/>
      <c r="D452" s="28"/>
      <c r="E452" s="216"/>
      <c r="F452" s="50"/>
      <c r="G452" s="50"/>
      <c r="H452" s="50"/>
    </row>
    <row r="453" spans="1:8">
      <c r="A453" s="27"/>
      <c r="C453" s="28"/>
      <c r="D453" s="28"/>
      <c r="E453" s="216"/>
      <c r="F453" s="50"/>
      <c r="G453" s="50"/>
      <c r="H453" s="50"/>
    </row>
    <row r="454" spans="1:8">
      <c r="A454" s="27"/>
      <c r="C454" s="28"/>
      <c r="D454" s="28"/>
      <c r="E454" s="216"/>
      <c r="F454" s="50"/>
      <c r="G454" s="50"/>
      <c r="H454" s="50"/>
    </row>
    <row r="455" spans="1:8">
      <c r="A455" s="27"/>
      <c r="C455" s="28"/>
      <c r="D455" s="28"/>
      <c r="E455" s="216"/>
      <c r="F455" s="50"/>
      <c r="G455" s="50"/>
      <c r="H455" s="50"/>
    </row>
    <row r="456" spans="1:8">
      <c r="A456" s="27"/>
      <c r="C456" s="28"/>
      <c r="D456" s="28"/>
      <c r="E456" s="216"/>
      <c r="F456" s="50"/>
      <c r="G456" s="50"/>
      <c r="H456" s="50"/>
    </row>
    <row r="457" spans="1:8">
      <c r="A457" s="27"/>
      <c r="C457" s="28"/>
      <c r="D457" s="28"/>
      <c r="E457" s="216"/>
      <c r="F457" s="50"/>
      <c r="G457" s="50"/>
      <c r="H457" s="50"/>
    </row>
    <row r="458" spans="1:8">
      <c r="A458" s="27"/>
      <c r="C458" s="28"/>
      <c r="D458" s="28"/>
      <c r="E458" s="216"/>
      <c r="F458" s="50"/>
      <c r="G458" s="50"/>
      <c r="H458" s="50"/>
    </row>
    <row r="459" spans="1:8">
      <c r="A459" s="27"/>
      <c r="C459" s="28"/>
      <c r="D459" s="28"/>
      <c r="E459" s="216"/>
      <c r="F459" s="50"/>
      <c r="G459" s="50"/>
      <c r="H459" s="50"/>
    </row>
    <row r="460" spans="1:8">
      <c r="A460" s="27"/>
      <c r="C460" s="28"/>
      <c r="D460" s="28"/>
      <c r="E460" s="216"/>
      <c r="F460" s="50"/>
      <c r="G460" s="50"/>
      <c r="H460" s="50"/>
    </row>
    <row r="461" spans="1:8">
      <c r="A461" s="27"/>
      <c r="C461" s="28"/>
      <c r="D461" s="28"/>
      <c r="E461" s="216"/>
      <c r="F461" s="50"/>
      <c r="G461" s="50"/>
      <c r="H461" s="50"/>
    </row>
    <row r="462" spans="1:8">
      <c r="A462" s="27"/>
      <c r="C462" s="28"/>
      <c r="D462" s="28"/>
      <c r="E462" s="216"/>
      <c r="F462" s="50"/>
      <c r="G462" s="50"/>
      <c r="H462" s="50"/>
    </row>
    <row r="463" spans="1:8">
      <c r="A463" s="27"/>
      <c r="C463" s="28"/>
      <c r="D463" s="28"/>
      <c r="E463" s="216"/>
      <c r="F463" s="50"/>
      <c r="G463" s="50"/>
      <c r="H463" s="50"/>
    </row>
    <row r="464" spans="1:8">
      <c r="A464" s="27"/>
      <c r="C464" s="28"/>
      <c r="D464" s="28"/>
      <c r="E464" s="216"/>
      <c r="F464" s="50"/>
      <c r="G464" s="50"/>
      <c r="H464" s="50"/>
    </row>
    <row r="465" spans="1:8">
      <c r="A465" s="27"/>
      <c r="C465" s="28"/>
      <c r="D465" s="28"/>
      <c r="E465" s="216"/>
      <c r="F465" s="50"/>
      <c r="G465" s="50"/>
      <c r="H465" s="50"/>
    </row>
    <row r="466" spans="1:8">
      <c r="A466" s="27"/>
      <c r="C466" s="28"/>
      <c r="D466" s="28"/>
      <c r="E466" s="216"/>
      <c r="F466" s="50"/>
      <c r="G466" s="50"/>
      <c r="H466" s="50"/>
    </row>
    <row r="467" spans="1:8">
      <c r="A467" s="27"/>
      <c r="C467" s="28"/>
      <c r="D467" s="28"/>
      <c r="E467" s="216"/>
      <c r="F467" s="50"/>
      <c r="G467" s="50"/>
      <c r="H467" s="50"/>
    </row>
    <row r="468" spans="1:8">
      <c r="A468" s="27"/>
      <c r="C468" s="28"/>
      <c r="D468" s="28"/>
      <c r="E468" s="216"/>
      <c r="F468" s="50"/>
      <c r="G468" s="50"/>
      <c r="H468" s="50"/>
    </row>
    <row r="469" spans="1:8">
      <c r="A469" s="27"/>
      <c r="C469" s="28"/>
      <c r="D469" s="28"/>
      <c r="E469" s="216"/>
      <c r="F469" s="50"/>
      <c r="G469" s="50"/>
      <c r="H469" s="50"/>
    </row>
    <row r="470" spans="1:8">
      <c r="A470" s="27"/>
      <c r="C470" s="28"/>
      <c r="D470" s="28"/>
      <c r="E470" s="216"/>
      <c r="F470" s="50"/>
      <c r="G470" s="50"/>
      <c r="H470" s="50"/>
    </row>
    <row r="471" spans="1:8">
      <c r="A471" s="27"/>
      <c r="C471" s="28"/>
      <c r="D471" s="28"/>
      <c r="E471" s="216"/>
      <c r="F471" s="50"/>
      <c r="G471" s="50"/>
      <c r="H471" s="50"/>
    </row>
    <row r="472" spans="1:8">
      <c r="A472" s="27"/>
      <c r="C472" s="28"/>
      <c r="D472" s="28"/>
      <c r="E472" s="216"/>
      <c r="F472" s="50"/>
      <c r="G472" s="50"/>
      <c r="H472" s="50"/>
    </row>
    <row r="473" spans="1:8">
      <c r="A473" s="27"/>
      <c r="C473" s="28"/>
      <c r="D473" s="28"/>
      <c r="E473" s="216"/>
      <c r="F473" s="50"/>
      <c r="G473" s="50"/>
      <c r="H473" s="50"/>
    </row>
    <row r="474" spans="1:8">
      <c r="A474" s="27"/>
      <c r="C474" s="28"/>
      <c r="D474" s="28"/>
      <c r="E474" s="216"/>
      <c r="F474" s="50"/>
      <c r="G474" s="50"/>
      <c r="H474" s="50"/>
    </row>
    <row r="475" spans="1:8">
      <c r="A475" s="27"/>
      <c r="C475" s="28"/>
      <c r="D475" s="28"/>
      <c r="E475" s="216"/>
      <c r="F475" s="50"/>
      <c r="G475" s="50"/>
      <c r="H475" s="50"/>
    </row>
    <row r="476" spans="1:8">
      <c r="A476" s="27"/>
      <c r="C476" s="28"/>
      <c r="D476" s="28"/>
      <c r="E476" s="216"/>
      <c r="F476" s="50"/>
      <c r="G476" s="50"/>
      <c r="H476" s="50"/>
    </row>
    <row r="477" spans="1:8">
      <c r="A477" s="27"/>
      <c r="C477" s="28"/>
      <c r="D477" s="28"/>
      <c r="E477" s="216"/>
      <c r="F477" s="50"/>
      <c r="G477" s="50"/>
      <c r="H477" s="50"/>
    </row>
    <row r="478" spans="1:8">
      <c r="A478" s="27"/>
      <c r="C478" s="28"/>
      <c r="D478" s="28"/>
      <c r="E478" s="216"/>
      <c r="F478" s="50"/>
      <c r="G478" s="50"/>
      <c r="H478" s="50"/>
    </row>
    <row r="479" spans="1:8">
      <c r="A479" s="27"/>
      <c r="C479" s="28"/>
      <c r="D479" s="28"/>
      <c r="E479" s="216"/>
      <c r="F479" s="50"/>
      <c r="G479" s="50"/>
      <c r="H479" s="50"/>
    </row>
    <row r="480" spans="1:8">
      <c r="A480" s="27"/>
      <c r="C480" s="28"/>
      <c r="D480" s="28"/>
      <c r="E480" s="216"/>
      <c r="F480" s="50"/>
      <c r="G480" s="50"/>
      <c r="H480" s="50"/>
    </row>
    <row r="481" spans="1:8">
      <c r="A481" s="27"/>
      <c r="C481" s="28"/>
      <c r="D481" s="28"/>
      <c r="E481" s="216"/>
      <c r="F481" s="50"/>
      <c r="G481" s="50"/>
      <c r="H481" s="50"/>
    </row>
    <row r="482" spans="1:8">
      <c r="A482" s="27"/>
      <c r="C482" s="28"/>
      <c r="D482" s="28"/>
      <c r="E482" s="216"/>
      <c r="F482" s="50"/>
      <c r="G482" s="50"/>
      <c r="H482" s="50"/>
    </row>
    <row r="483" spans="1:8">
      <c r="A483" s="27"/>
      <c r="C483" s="28"/>
      <c r="D483" s="28"/>
      <c r="E483" s="216"/>
      <c r="F483" s="50"/>
      <c r="G483" s="50"/>
      <c r="H483" s="50"/>
    </row>
    <row r="484" spans="1:8">
      <c r="A484" s="27"/>
      <c r="C484" s="28"/>
      <c r="D484" s="28"/>
      <c r="E484" s="216"/>
      <c r="F484" s="50"/>
      <c r="G484" s="50"/>
      <c r="H484" s="50"/>
    </row>
    <row r="485" spans="1:8">
      <c r="A485" s="27"/>
      <c r="C485" s="28"/>
      <c r="D485" s="28"/>
      <c r="E485" s="216"/>
      <c r="F485" s="50"/>
      <c r="G485" s="50"/>
      <c r="H485" s="50"/>
    </row>
    <row r="486" spans="1:8">
      <c r="A486" s="27"/>
      <c r="C486" s="28"/>
      <c r="D486" s="28"/>
      <c r="E486" s="216"/>
      <c r="F486" s="50"/>
      <c r="G486" s="50"/>
      <c r="H486" s="50"/>
    </row>
    <row r="487" spans="1:8">
      <c r="A487" s="27"/>
      <c r="C487" s="28"/>
      <c r="D487" s="28"/>
      <c r="E487" s="216"/>
      <c r="F487" s="50"/>
      <c r="G487" s="50"/>
      <c r="H487" s="50"/>
    </row>
    <row r="488" spans="1:8">
      <c r="A488" s="27"/>
      <c r="C488" s="28"/>
      <c r="D488" s="28"/>
      <c r="E488" s="216"/>
      <c r="F488" s="50"/>
      <c r="G488" s="50"/>
      <c r="H488" s="50"/>
    </row>
    <row r="489" spans="1:8">
      <c r="A489" s="27"/>
      <c r="C489" s="28"/>
      <c r="D489" s="28"/>
      <c r="E489" s="216"/>
      <c r="F489" s="50"/>
      <c r="G489" s="50"/>
      <c r="H489" s="50"/>
    </row>
    <row r="490" spans="1:8">
      <c r="A490" s="27"/>
      <c r="C490" s="28"/>
      <c r="D490" s="28"/>
      <c r="E490" s="216"/>
      <c r="F490" s="50"/>
      <c r="G490" s="50"/>
      <c r="H490" s="50"/>
    </row>
    <row r="491" spans="1:8">
      <c r="A491" s="27"/>
      <c r="C491" s="28"/>
      <c r="D491" s="28"/>
      <c r="E491" s="216"/>
      <c r="F491" s="50"/>
      <c r="G491" s="50"/>
      <c r="H491" s="50"/>
    </row>
    <row r="492" spans="1:8">
      <c r="A492" s="27"/>
      <c r="C492" s="28"/>
      <c r="D492" s="28"/>
      <c r="E492" s="216"/>
      <c r="F492" s="50"/>
      <c r="G492" s="50"/>
      <c r="H492" s="50"/>
    </row>
    <row r="493" spans="1:8">
      <c r="A493" s="27"/>
      <c r="C493" s="28"/>
      <c r="D493" s="28"/>
      <c r="E493" s="216"/>
      <c r="F493" s="50"/>
      <c r="G493" s="50"/>
      <c r="H493" s="50"/>
    </row>
    <row r="494" spans="1:8">
      <c r="A494" s="27"/>
      <c r="C494" s="28"/>
      <c r="D494" s="28"/>
      <c r="E494" s="216"/>
      <c r="F494" s="50"/>
      <c r="G494" s="50"/>
      <c r="H494" s="50"/>
    </row>
    <row r="495" spans="1:8">
      <c r="A495" s="27"/>
      <c r="C495" s="28"/>
      <c r="D495" s="28"/>
      <c r="E495" s="216"/>
      <c r="F495" s="50"/>
      <c r="G495" s="50"/>
      <c r="H495" s="50"/>
    </row>
    <row r="496" spans="1:8">
      <c r="A496" s="27"/>
      <c r="C496" s="28"/>
      <c r="D496" s="28"/>
      <c r="E496" s="216"/>
      <c r="F496" s="50"/>
      <c r="G496" s="50"/>
      <c r="H496" s="50"/>
    </row>
    <row r="497" spans="1:8">
      <c r="A497" s="27"/>
      <c r="C497" s="28"/>
      <c r="D497" s="28"/>
      <c r="E497" s="216"/>
      <c r="F497" s="50"/>
      <c r="G497" s="50"/>
      <c r="H497" s="50"/>
    </row>
    <row r="498" spans="1:8">
      <c r="A498" s="27"/>
      <c r="C498" s="28"/>
      <c r="D498" s="28"/>
      <c r="E498" s="216"/>
      <c r="F498" s="50"/>
      <c r="G498" s="50"/>
      <c r="H498" s="50"/>
    </row>
    <row r="499" spans="1:8">
      <c r="A499" s="27"/>
      <c r="C499" s="28"/>
      <c r="D499" s="28"/>
      <c r="E499" s="216"/>
      <c r="F499" s="50"/>
      <c r="G499" s="50"/>
      <c r="H499" s="50"/>
    </row>
    <row r="500" spans="1:8">
      <c r="A500" s="27"/>
      <c r="C500" s="28"/>
      <c r="D500" s="28"/>
      <c r="E500" s="216"/>
      <c r="F500" s="50"/>
      <c r="G500" s="50"/>
      <c r="H500" s="50"/>
    </row>
    <row r="501" spans="1:8">
      <c r="A501" s="27"/>
      <c r="C501" s="28"/>
      <c r="D501" s="28"/>
      <c r="E501" s="216"/>
      <c r="F501" s="50"/>
      <c r="G501" s="50"/>
      <c r="H501" s="50"/>
    </row>
    <row r="502" spans="1:8">
      <c r="A502" s="27"/>
      <c r="C502" s="28"/>
      <c r="D502" s="28"/>
      <c r="E502" s="216"/>
      <c r="F502" s="50"/>
      <c r="G502" s="50"/>
      <c r="H502" s="50"/>
    </row>
    <row r="503" spans="1:8">
      <c r="A503" s="27"/>
      <c r="C503" s="28"/>
      <c r="D503" s="28"/>
      <c r="E503" s="216"/>
      <c r="F503" s="50"/>
      <c r="G503" s="50"/>
      <c r="H503" s="50"/>
    </row>
    <row r="504" spans="1:8">
      <c r="A504" s="27"/>
      <c r="C504" s="28"/>
      <c r="D504" s="28"/>
      <c r="E504" s="216"/>
      <c r="F504" s="50"/>
      <c r="G504" s="50"/>
      <c r="H504" s="50"/>
    </row>
    <row r="505" spans="1:8">
      <c r="A505" s="27"/>
      <c r="C505" s="28"/>
      <c r="D505" s="28"/>
      <c r="E505" s="216"/>
      <c r="F505" s="50"/>
      <c r="G505" s="50"/>
      <c r="H505" s="50"/>
    </row>
    <row r="506" spans="1:8">
      <c r="A506" s="27"/>
      <c r="C506" s="28"/>
      <c r="D506" s="28"/>
      <c r="E506" s="216"/>
      <c r="F506" s="50"/>
      <c r="G506" s="50"/>
      <c r="H506" s="50"/>
    </row>
    <row r="507" spans="1:8">
      <c r="A507" s="27"/>
      <c r="C507" s="28"/>
      <c r="D507" s="28"/>
      <c r="E507" s="216"/>
      <c r="F507" s="50"/>
      <c r="G507" s="50"/>
      <c r="H507" s="50"/>
    </row>
    <row r="508" spans="1:8">
      <c r="A508" s="27"/>
      <c r="C508" s="28"/>
      <c r="D508" s="28"/>
      <c r="E508" s="216"/>
      <c r="F508" s="50"/>
      <c r="G508" s="50"/>
      <c r="H508" s="50"/>
    </row>
    <row r="509" spans="1:8">
      <c r="A509" s="27"/>
      <c r="C509" s="28"/>
      <c r="D509" s="28"/>
      <c r="E509" s="216"/>
      <c r="F509" s="50"/>
      <c r="G509" s="50"/>
      <c r="H509" s="50"/>
    </row>
    <row r="510" spans="1:8">
      <c r="A510" s="27"/>
      <c r="C510" s="28"/>
      <c r="D510" s="28"/>
      <c r="E510" s="216"/>
      <c r="F510" s="50"/>
      <c r="G510" s="50"/>
      <c r="H510" s="50"/>
    </row>
    <row r="511" spans="1:8">
      <c r="A511" s="27"/>
      <c r="C511" s="28"/>
      <c r="D511" s="28"/>
      <c r="E511" s="216"/>
      <c r="F511" s="50"/>
      <c r="G511" s="50"/>
      <c r="H511" s="50"/>
    </row>
    <row r="512" spans="1:8">
      <c r="A512" s="27"/>
      <c r="C512" s="28"/>
      <c r="D512" s="28"/>
      <c r="E512" s="216"/>
      <c r="F512" s="50"/>
      <c r="G512" s="50"/>
      <c r="H512" s="50"/>
    </row>
    <row r="513" spans="1:8">
      <c r="A513" s="27"/>
      <c r="C513" s="28"/>
      <c r="D513" s="28"/>
      <c r="E513" s="216"/>
      <c r="F513" s="50"/>
      <c r="G513" s="50"/>
      <c r="H513" s="50"/>
    </row>
    <row r="514" spans="1:8">
      <c r="A514" s="27"/>
      <c r="C514" s="28"/>
      <c r="D514" s="28"/>
      <c r="E514" s="216"/>
      <c r="F514" s="50"/>
      <c r="G514" s="50"/>
      <c r="H514" s="50"/>
    </row>
    <row r="515" spans="1:8">
      <c r="A515" s="27"/>
      <c r="C515" s="28"/>
      <c r="D515" s="28"/>
      <c r="E515" s="216"/>
      <c r="F515" s="50"/>
      <c r="G515" s="50"/>
      <c r="H515" s="50"/>
    </row>
    <row r="516" spans="1:8">
      <c r="A516" s="27"/>
      <c r="C516" s="28"/>
      <c r="D516" s="28"/>
      <c r="E516" s="216"/>
      <c r="F516" s="50"/>
      <c r="G516" s="50"/>
      <c r="H516" s="50"/>
    </row>
    <row r="517" spans="1:8">
      <c r="A517" s="27"/>
      <c r="C517" s="28"/>
      <c r="D517" s="28"/>
      <c r="E517" s="216"/>
      <c r="F517" s="50"/>
      <c r="G517" s="50"/>
      <c r="H517" s="50"/>
    </row>
    <row r="518" spans="1:8">
      <c r="A518" s="27"/>
      <c r="C518" s="28"/>
      <c r="D518" s="28"/>
      <c r="E518" s="216"/>
      <c r="F518" s="50"/>
      <c r="G518" s="50"/>
      <c r="H518" s="50"/>
    </row>
    <row r="519" spans="1:8">
      <c r="A519" s="27"/>
      <c r="C519" s="28"/>
      <c r="D519" s="28"/>
      <c r="E519" s="216"/>
      <c r="F519" s="50"/>
      <c r="G519" s="50"/>
      <c r="H519" s="50"/>
    </row>
    <row r="520" spans="1:8">
      <c r="A520" s="27"/>
      <c r="C520" s="28"/>
      <c r="D520" s="28"/>
      <c r="E520" s="216"/>
      <c r="F520" s="50"/>
      <c r="G520" s="50"/>
      <c r="H520" s="50"/>
    </row>
    <row r="521" spans="1:8">
      <c r="A521" s="27"/>
      <c r="C521" s="28"/>
      <c r="D521" s="28"/>
      <c r="E521" s="216"/>
      <c r="F521" s="50"/>
      <c r="G521" s="50"/>
      <c r="H521" s="50"/>
    </row>
    <row r="522" spans="1:8">
      <c r="A522" s="27"/>
      <c r="C522" s="28"/>
      <c r="D522" s="28"/>
      <c r="E522" s="216"/>
      <c r="F522" s="50"/>
      <c r="G522" s="50"/>
      <c r="H522" s="50"/>
    </row>
    <row r="523" spans="1:8">
      <c r="A523" s="27"/>
      <c r="C523" s="28"/>
      <c r="D523" s="28"/>
      <c r="E523" s="216"/>
      <c r="F523" s="50"/>
      <c r="G523" s="50"/>
      <c r="H523" s="50"/>
    </row>
    <row r="524" spans="1:8">
      <c r="A524" s="27"/>
      <c r="C524" s="28"/>
      <c r="D524" s="28"/>
      <c r="E524" s="216"/>
      <c r="F524" s="50"/>
      <c r="G524" s="50"/>
      <c r="H524" s="50"/>
    </row>
    <row r="525" spans="1:8">
      <c r="A525" s="27"/>
      <c r="C525" s="28"/>
      <c r="D525" s="28"/>
      <c r="E525" s="216"/>
      <c r="F525" s="50"/>
      <c r="G525" s="50"/>
      <c r="H525" s="50"/>
    </row>
    <row r="526" spans="1:8">
      <c r="A526" s="27"/>
      <c r="C526" s="28"/>
      <c r="D526" s="28"/>
      <c r="E526" s="216"/>
      <c r="F526" s="50"/>
      <c r="G526" s="50"/>
      <c r="H526" s="50"/>
    </row>
    <row r="527" spans="1:8">
      <c r="A527" s="27"/>
      <c r="C527" s="28"/>
      <c r="D527" s="28"/>
      <c r="E527" s="216"/>
      <c r="F527" s="50"/>
      <c r="G527" s="50"/>
      <c r="H527" s="50"/>
    </row>
    <row r="528" spans="1:8">
      <c r="A528" s="27"/>
      <c r="C528" s="28"/>
      <c r="D528" s="28"/>
      <c r="E528" s="216"/>
      <c r="F528" s="50"/>
      <c r="G528" s="50"/>
      <c r="H528" s="50"/>
    </row>
    <row r="529" spans="1:8">
      <c r="A529" s="27"/>
      <c r="C529" s="28"/>
      <c r="D529" s="28"/>
      <c r="E529" s="216"/>
      <c r="F529" s="50"/>
      <c r="G529" s="50"/>
      <c r="H529" s="50"/>
    </row>
    <row r="530" spans="1:8">
      <c r="A530" s="27"/>
      <c r="C530" s="28"/>
      <c r="D530" s="28"/>
      <c r="E530" s="216"/>
      <c r="F530" s="50"/>
      <c r="G530" s="50"/>
      <c r="H530" s="50"/>
    </row>
    <row r="531" spans="1:8">
      <c r="A531" s="27"/>
      <c r="C531" s="28"/>
      <c r="D531" s="28"/>
      <c r="E531" s="216"/>
      <c r="F531" s="50"/>
      <c r="G531" s="50"/>
      <c r="H531" s="50"/>
    </row>
    <row r="532" spans="1:8">
      <c r="A532" s="27"/>
      <c r="C532" s="28"/>
      <c r="D532" s="28"/>
      <c r="E532" s="216"/>
      <c r="F532" s="50"/>
      <c r="G532" s="50"/>
      <c r="H532" s="50"/>
    </row>
    <row r="533" spans="1:8">
      <c r="A533" s="27"/>
      <c r="C533" s="28"/>
      <c r="D533" s="28"/>
      <c r="E533" s="216"/>
      <c r="F533" s="50"/>
      <c r="G533" s="50"/>
      <c r="H533" s="50"/>
    </row>
    <row r="534" spans="1:8">
      <c r="A534" s="27"/>
      <c r="C534" s="28"/>
      <c r="D534" s="28"/>
      <c r="E534" s="216"/>
      <c r="F534" s="50"/>
      <c r="G534" s="50"/>
      <c r="H534" s="50"/>
    </row>
    <row r="535" spans="1:8">
      <c r="A535" s="27"/>
      <c r="C535" s="28"/>
      <c r="D535" s="28"/>
      <c r="E535" s="216"/>
      <c r="F535" s="50"/>
      <c r="G535" s="50"/>
      <c r="H535" s="50"/>
    </row>
    <row r="536" spans="1:8">
      <c r="A536" s="27"/>
      <c r="C536" s="28"/>
      <c r="D536" s="28"/>
      <c r="E536" s="216"/>
      <c r="F536" s="50"/>
      <c r="G536" s="50"/>
      <c r="H536" s="50"/>
    </row>
    <row r="537" spans="1:8">
      <c r="A537" s="27"/>
      <c r="C537" s="28"/>
      <c r="D537" s="28"/>
      <c r="E537" s="216"/>
      <c r="F537" s="50"/>
      <c r="G537" s="50"/>
      <c r="H537" s="50"/>
    </row>
    <row r="538" spans="1:8">
      <c r="A538" s="27"/>
      <c r="C538" s="28"/>
      <c r="D538" s="28"/>
      <c r="E538" s="216"/>
      <c r="F538" s="50"/>
      <c r="G538" s="50"/>
      <c r="H538" s="50"/>
    </row>
    <row r="539" spans="1:8">
      <c r="A539" s="27"/>
      <c r="C539" s="28"/>
      <c r="D539" s="28"/>
      <c r="E539" s="216"/>
      <c r="F539" s="50"/>
      <c r="G539" s="50"/>
      <c r="H539" s="50"/>
    </row>
    <row r="540" spans="1:8">
      <c r="A540" s="27"/>
      <c r="C540" s="28"/>
      <c r="D540" s="28"/>
      <c r="E540" s="216"/>
      <c r="F540" s="50"/>
      <c r="G540" s="50"/>
      <c r="H540" s="50"/>
    </row>
    <row r="541" spans="1:8">
      <c r="A541" s="27"/>
      <c r="C541" s="28"/>
      <c r="D541" s="28"/>
      <c r="E541" s="216"/>
      <c r="F541" s="50"/>
      <c r="G541" s="50"/>
      <c r="H541" s="50"/>
    </row>
    <row r="542" spans="1:8">
      <c r="A542" s="27"/>
      <c r="C542" s="28"/>
      <c r="D542" s="28"/>
      <c r="E542" s="216"/>
      <c r="F542" s="50"/>
      <c r="G542" s="50"/>
      <c r="H542" s="50"/>
    </row>
    <row r="543" spans="1:8">
      <c r="A543" s="27"/>
      <c r="C543" s="28"/>
      <c r="D543" s="28"/>
      <c r="E543" s="216"/>
      <c r="F543" s="50"/>
      <c r="G543" s="50"/>
      <c r="H543" s="50"/>
    </row>
    <row r="544" spans="1:8">
      <c r="A544" s="27"/>
      <c r="C544" s="28"/>
      <c r="D544" s="28"/>
      <c r="E544" s="216"/>
      <c r="F544" s="50"/>
      <c r="G544" s="50"/>
      <c r="H544" s="50"/>
    </row>
    <row r="545" spans="1:8">
      <c r="A545" s="27"/>
      <c r="C545" s="28"/>
      <c r="D545" s="28"/>
      <c r="E545" s="216"/>
      <c r="F545" s="50"/>
      <c r="G545" s="50"/>
      <c r="H545" s="50"/>
    </row>
    <row r="546" spans="1:8">
      <c r="A546" s="27"/>
      <c r="C546" s="28"/>
      <c r="D546" s="28"/>
      <c r="E546" s="216"/>
      <c r="F546" s="50"/>
      <c r="G546" s="50"/>
      <c r="H546" s="50"/>
    </row>
    <row r="547" spans="1:8">
      <c r="A547" s="27"/>
      <c r="C547" s="28"/>
      <c r="D547" s="28"/>
      <c r="E547" s="216"/>
      <c r="F547" s="50"/>
      <c r="G547" s="50"/>
      <c r="H547" s="50"/>
    </row>
    <row r="548" spans="1:8">
      <c r="A548" s="27"/>
      <c r="C548" s="28"/>
      <c r="D548" s="28"/>
      <c r="E548" s="216"/>
      <c r="F548" s="50"/>
      <c r="G548" s="50"/>
      <c r="H548" s="50"/>
    </row>
    <row r="549" spans="1:8">
      <c r="A549" s="27"/>
      <c r="C549" s="28"/>
      <c r="D549" s="28"/>
      <c r="E549" s="216"/>
      <c r="F549" s="50"/>
      <c r="G549" s="50"/>
      <c r="H549" s="50"/>
    </row>
    <row r="550" spans="1:8">
      <c r="A550" s="27"/>
      <c r="C550" s="28"/>
      <c r="D550" s="28"/>
      <c r="E550" s="216"/>
      <c r="F550" s="50"/>
      <c r="G550" s="50"/>
      <c r="H550" s="50"/>
    </row>
    <row r="551" spans="1:8">
      <c r="A551" s="27"/>
      <c r="C551" s="28"/>
      <c r="D551" s="28"/>
      <c r="E551" s="216"/>
      <c r="F551" s="50"/>
      <c r="G551" s="50"/>
      <c r="H551" s="50"/>
    </row>
    <row r="552" spans="1:8">
      <c r="A552" s="27"/>
      <c r="C552" s="28"/>
      <c r="D552" s="28"/>
      <c r="E552" s="216"/>
      <c r="F552" s="50"/>
      <c r="G552" s="50"/>
      <c r="H552" s="50"/>
    </row>
    <row r="553" spans="1:8">
      <c r="A553" s="27"/>
      <c r="C553" s="28"/>
      <c r="D553" s="28"/>
      <c r="E553" s="216"/>
      <c r="F553" s="50"/>
      <c r="G553" s="50"/>
      <c r="H553" s="50"/>
    </row>
    <row r="554" spans="1:8">
      <c r="A554" s="27"/>
      <c r="C554" s="28"/>
      <c r="D554" s="28"/>
      <c r="E554" s="216"/>
      <c r="F554" s="50"/>
      <c r="G554" s="50"/>
      <c r="H554" s="50"/>
    </row>
    <row r="555" spans="1:8">
      <c r="A555" s="27"/>
      <c r="C555" s="28"/>
      <c r="D555" s="28"/>
      <c r="E555" s="216"/>
      <c r="F555" s="50"/>
      <c r="G555" s="50"/>
      <c r="H555" s="50"/>
    </row>
    <row r="556" spans="1:8">
      <c r="A556" s="27"/>
      <c r="C556" s="28"/>
      <c r="D556" s="28"/>
      <c r="E556" s="216"/>
      <c r="F556" s="50"/>
      <c r="G556" s="50"/>
      <c r="H556" s="50"/>
    </row>
    <row r="557" spans="1:8">
      <c r="A557" s="27"/>
      <c r="C557" s="28"/>
      <c r="D557" s="28"/>
      <c r="E557" s="216"/>
      <c r="F557" s="50"/>
      <c r="G557" s="50"/>
      <c r="H557" s="50"/>
    </row>
    <row r="558" spans="1:8">
      <c r="A558" s="27"/>
      <c r="C558" s="28"/>
      <c r="D558" s="28"/>
      <c r="E558" s="216"/>
      <c r="F558" s="50"/>
      <c r="G558" s="50"/>
      <c r="H558" s="50"/>
    </row>
    <row r="559" spans="1:8">
      <c r="A559" s="27"/>
      <c r="C559" s="28"/>
      <c r="D559" s="28"/>
      <c r="E559" s="216"/>
      <c r="F559" s="50"/>
      <c r="G559" s="50"/>
      <c r="H559" s="50"/>
    </row>
    <row r="560" spans="1:8">
      <c r="A560" s="27"/>
      <c r="C560" s="28"/>
      <c r="D560" s="28"/>
      <c r="E560" s="216"/>
      <c r="F560" s="50"/>
      <c r="G560" s="50"/>
      <c r="H560" s="50"/>
    </row>
    <row r="561" spans="1:8">
      <c r="A561" s="27"/>
      <c r="C561" s="28"/>
      <c r="D561" s="28"/>
      <c r="E561" s="216"/>
      <c r="F561" s="50"/>
      <c r="G561" s="50"/>
      <c r="H561" s="50"/>
    </row>
    <row r="562" spans="1:8">
      <c r="A562" s="27"/>
      <c r="C562" s="28"/>
      <c r="D562" s="28"/>
      <c r="E562" s="216"/>
      <c r="F562" s="50"/>
      <c r="G562" s="50"/>
      <c r="H562" s="50"/>
    </row>
    <row r="563" spans="1:8">
      <c r="A563" s="27"/>
      <c r="C563" s="28"/>
      <c r="D563" s="28"/>
      <c r="E563" s="216"/>
      <c r="F563" s="50"/>
      <c r="G563" s="50"/>
      <c r="H563" s="50"/>
    </row>
    <row r="564" spans="1:8">
      <c r="A564" s="27"/>
      <c r="C564" s="28"/>
      <c r="D564" s="28"/>
      <c r="E564" s="216"/>
      <c r="F564" s="50"/>
      <c r="G564" s="50"/>
      <c r="H564" s="50"/>
    </row>
    <row r="565" spans="1:8">
      <c r="A565" s="27"/>
      <c r="C565" s="28"/>
      <c r="D565" s="28"/>
      <c r="E565" s="216"/>
      <c r="F565" s="50"/>
      <c r="G565" s="50"/>
      <c r="H565" s="50"/>
    </row>
    <row r="566" spans="1:8">
      <c r="A566" s="27"/>
      <c r="C566" s="28"/>
      <c r="D566" s="28"/>
      <c r="E566" s="216"/>
      <c r="F566" s="50"/>
      <c r="G566" s="50"/>
      <c r="H566" s="50"/>
    </row>
    <row r="567" spans="1:8">
      <c r="A567" s="27"/>
      <c r="C567" s="28"/>
      <c r="D567" s="28"/>
      <c r="E567" s="216"/>
      <c r="F567" s="50"/>
      <c r="G567" s="50"/>
      <c r="H567" s="50"/>
    </row>
    <row r="568" spans="1:8">
      <c r="A568" s="27"/>
      <c r="C568" s="28"/>
      <c r="D568" s="28"/>
      <c r="E568" s="216"/>
      <c r="F568" s="50"/>
      <c r="G568" s="50"/>
      <c r="H568" s="50"/>
    </row>
    <row r="569" spans="1:8">
      <c r="A569" s="27"/>
      <c r="C569" s="28"/>
      <c r="D569" s="28"/>
      <c r="E569" s="216"/>
      <c r="F569" s="50"/>
      <c r="G569" s="50"/>
      <c r="H569" s="50"/>
    </row>
    <row r="570" spans="1:8">
      <c r="A570" s="27"/>
      <c r="C570" s="28"/>
      <c r="D570" s="28"/>
      <c r="E570" s="216"/>
      <c r="F570" s="50"/>
      <c r="G570" s="50"/>
      <c r="H570" s="50"/>
    </row>
    <row r="571" spans="1:8">
      <c r="A571" s="27"/>
      <c r="C571" s="28"/>
      <c r="D571" s="28"/>
      <c r="E571" s="216"/>
      <c r="F571" s="50"/>
      <c r="G571" s="50"/>
      <c r="H571" s="50"/>
    </row>
    <row r="572" spans="1:8">
      <c r="A572" s="27"/>
      <c r="C572" s="28"/>
      <c r="D572" s="28"/>
      <c r="E572" s="216"/>
      <c r="F572" s="50"/>
      <c r="G572" s="50"/>
      <c r="H572" s="50"/>
    </row>
    <row r="573" spans="1:8">
      <c r="A573" s="27"/>
      <c r="C573" s="28"/>
      <c r="D573" s="28"/>
      <c r="E573" s="216"/>
      <c r="F573" s="50"/>
      <c r="G573" s="50"/>
      <c r="H573" s="50"/>
    </row>
    <row r="574" spans="1:8">
      <c r="A574" s="27"/>
      <c r="C574" s="28"/>
      <c r="D574" s="28"/>
      <c r="E574" s="216"/>
      <c r="F574" s="50"/>
      <c r="G574" s="50"/>
      <c r="H574" s="50"/>
    </row>
    <row r="575" spans="1:8">
      <c r="A575" s="27"/>
      <c r="C575" s="28"/>
      <c r="D575" s="28"/>
      <c r="E575" s="216"/>
      <c r="F575" s="50"/>
      <c r="G575" s="50"/>
      <c r="H575" s="50"/>
    </row>
    <row r="576" spans="1:8">
      <c r="A576" s="27"/>
      <c r="C576" s="28"/>
      <c r="D576" s="28"/>
      <c r="E576" s="216"/>
      <c r="F576" s="50"/>
      <c r="G576" s="50"/>
      <c r="H576" s="50"/>
    </row>
    <row r="577" spans="1:8">
      <c r="A577" s="27"/>
      <c r="C577" s="28"/>
      <c r="D577" s="28"/>
      <c r="E577" s="216"/>
      <c r="F577" s="50"/>
      <c r="G577" s="50"/>
      <c r="H577" s="50"/>
    </row>
    <row r="578" spans="1:8">
      <c r="A578" s="27"/>
      <c r="C578" s="28"/>
      <c r="D578" s="28"/>
      <c r="E578" s="216"/>
      <c r="F578" s="50"/>
      <c r="G578" s="50"/>
      <c r="H578" s="50"/>
    </row>
    <row r="579" spans="1:8">
      <c r="A579" s="27"/>
      <c r="C579" s="28"/>
      <c r="D579" s="28"/>
      <c r="E579" s="216"/>
      <c r="F579" s="50"/>
      <c r="G579" s="50"/>
      <c r="H579" s="50"/>
    </row>
    <row r="580" spans="1:8">
      <c r="A580" s="27"/>
      <c r="C580" s="28"/>
      <c r="D580" s="28"/>
      <c r="E580" s="216"/>
      <c r="F580" s="50"/>
      <c r="G580" s="50"/>
      <c r="H580" s="50"/>
    </row>
    <row r="581" spans="1:8">
      <c r="A581" s="27"/>
      <c r="C581" s="28"/>
      <c r="D581" s="28"/>
      <c r="E581" s="216"/>
      <c r="F581" s="50"/>
      <c r="G581" s="50"/>
      <c r="H581" s="50"/>
    </row>
    <row r="582" spans="1:8">
      <c r="A582" s="27"/>
      <c r="C582" s="28"/>
      <c r="D582" s="28"/>
      <c r="E582" s="216"/>
      <c r="F582" s="50"/>
      <c r="G582" s="50"/>
      <c r="H582" s="50"/>
    </row>
    <row r="583" spans="1:8">
      <c r="A583" s="27"/>
      <c r="C583" s="28"/>
      <c r="D583" s="28"/>
      <c r="E583" s="216"/>
      <c r="F583" s="50"/>
      <c r="G583" s="50"/>
      <c r="H583" s="50"/>
    </row>
    <row r="584" spans="1:8">
      <c r="A584" s="27"/>
      <c r="C584" s="28"/>
      <c r="D584" s="28"/>
      <c r="E584" s="216"/>
      <c r="F584" s="50"/>
      <c r="G584" s="50"/>
      <c r="H584" s="50"/>
    </row>
    <row r="585" spans="1:8">
      <c r="A585" s="27"/>
      <c r="C585" s="28"/>
      <c r="D585" s="28"/>
      <c r="E585" s="216"/>
      <c r="F585" s="50"/>
      <c r="G585" s="50"/>
      <c r="H585" s="50"/>
    </row>
    <row r="586" spans="1:8">
      <c r="A586" s="27"/>
      <c r="C586" s="28"/>
      <c r="D586" s="28"/>
      <c r="E586" s="216"/>
      <c r="F586" s="50"/>
      <c r="G586" s="50"/>
      <c r="H586" s="50"/>
    </row>
    <row r="587" spans="1:8">
      <c r="A587" s="27"/>
      <c r="C587" s="28"/>
      <c r="D587" s="28"/>
      <c r="E587" s="216"/>
      <c r="F587" s="50"/>
      <c r="G587" s="50"/>
      <c r="H587" s="50"/>
    </row>
    <row r="588" spans="1:8">
      <c r="A588" s="27"/>
      <c r="C588" s="28"/>
      <c r="D588" s="28"/>
      <c r="E588" s="216"/>
      <c r="F588" s="50"/>
      <c r="G588" s="50"/>
      <c r="H588" s="50"/>
    </row>
    <row r="589" spans="1:8">
      <c r="A589" s="27"/>
      <c r="C589" s="28"/>
      <c r="D589" s="28"/>
      <c r="E589" s="216"/>
      <c r="F589" s="50"/>
      <c r="G589" s="50"/>
      <c r="H589" s="50"/>
    </row>
    <row r="590" spans="1:8">
      <c r="A590" s="27"/>
      <c r="C590" s="28"/>
      <c r="D590" s="28"/>
      <c r="E590" s="216"/>
      <c r="F590" s="50"/>
      <c r="G590" s="50"/>
      <c r="H590" s="50"/>
    </row>
    <row r="591" spans="1:8">
      <c r="A591" s="27"/>
      <c r="C591" s="28"/>
      <c r="D591" s="28"/>
      <c r="E591" s="216"/>
      <c r="F591" s="50"/>
      <c r="G591" s="50"/>
      <c r="H591" s="50"/>
    </row>
    <row r="592" spans="1:8">
      <c r="A592" s="27"/>
      <c r="C592" s="28"/>
      <c r="D592" s="28"/>
      <c r="E592" s="216"/>
      <c r="F592" s="50"/>
      <c r="G592" s="50"/>
      <c r="H592" s="50"/>
    </row>
    <row r="593" spans="1:8">
      <c r="A593" s="27"/>
      <c r="C593" s="28"/>
      <c r="D593" s="28"/>
      <c r="E593" s="216"/>
      <c r="F593" s="50"/>
      <c r="G593" s="50"/>
      <c r="H593" s="50"/>
    </row>
    <row r="594" spans="1:8">
      <c r="A594" s="27"/>
      <c r="C594" s="28"/>
      <c r="D594" s="28"/>
      <c r="E594" s="216"/>
      <c r="F594" s="50"/>
      <c r="G594" s="50"/>
      <c r="H594" s="50"/>
    </row>
    <row r="595" spans="1:8">
      <c r="A595" s="27"/>
      <c r="C595" s="28"/>
      <c r="D595" s="28"/>
      <c r="E595" s="216"/>
      <c r="F595" s="50"/>
      <c r="G595" s="50"/>
      <c r="H595" s="50"/>
    </row>
    <row r="596" spans="1:8">
      <c r="A596" s="27"/>
      <c r="C596" s="28"/>
      <c r="D596" s="28"/>
      <c r="E596" s="216"/>
      <c r="F596" s="50"/>
      <c r="G596" s="50"/>
      <c r="H596" s="50"/>
    </row>
    <row r="597" spans="1:8">
      <c r="A597" s="27"/>
      <c r="C597" s="28"/>
      <c r="D597" s="28"/>
      <c r="E597" s="216"/>
      <c r="F597" s="50"/>
      <c r="G597" s="50"/>
      <c r="H597" s="50"/>
    </row>
    <row r="598" spans="1:8">
      <c r="A598" s="27"/>
      <c r="C598" s="28"/>
      <c r="D598" s="28"/>
      <c r="E598" s="216"/>
      <c r="F598" s="50"/>
      <c r="G598" s="50"/>
      <c r="H598" s="50"/>
    </row>
    <row r="599" spans="1:8">
      <c r="A599" s="27"/>
      <c r="C599" s="28"/>
      <c r="D599" s="28"/>
      <c r="E599" s="216"/>
      <c r="F599" s="50"/>
      <c r="G599" s="50"/>
      <c r="H599" s="50"/>
    </row>
    <row r="600" spans="1:8">
      <c r="A600" s="27"/>
      <c r="C600" s="28"/>
      <c r="D600" s="28"/>
      <c r="E600" s="216"/>
      <c r="F600" s="50"/>
      <c r="G600" s="50"/>
      <c r="H600" s="50"/>
    </row>
    <row r="601" spans="1:8">
      <c r="A601" s="27"/>
      <c r="C601" s="28"/>
      <c r="D601" s="28"/>
      <c r="E601" s="216"/>
      <c r="F601" s="50"/>
      <c r="G601" s="50"/>
      <c r="H601" s="50"/>
    </row>
    <row r="602" spans="1:8">
      <c r="A602" s="27"/>
      <c r="C602" s="28"/>
      <c r="D602" s="28"/>
      <c r="E602" s="216"/>
      <c r="F602" s="50"/>
      <c r="G602" s="50"/>
      <c r="H602" s="50"/>
    </row>
    <row r="603" spans="1:8">
      <c r="A603" s="27"/>
      <c r="C603" s="28"/>
      <c r="D603" s="28"/>
      <c r="E603" s="216"/>
      <c r="F603" s="50"/>
      <c r="G603" s="50"/>
      <c r="H603" s="50"/>
    </row>
    <row r="604" spans="1:8">
      <c r="A604" s="27"/>
      <c r="C604" s="28"/>
      <c r="D604" s="28"/>
      <c r="E604" s="216"/>
      <c r="F604" s="50"/>
      <c r="G604" s="50"/>
      <c r="H604" s="50"/>
    </row>
    <row r="605" spans="1:8">
      <c r="A605" s="27"/>
      <c r="C605" s="28"/>
      <c r="D605" s="28"/>
      <c r="E605" s="216"/>
      <c r="F605" s="50"/>
      <c r="G605" s="50"/>
      <c r="H605" s="50"/>
    </row>
    <row r="606" spans="1:8">
      <c r="A606" s="27"/>
      <c r="C606" s="28"/>
      <c r="D606" s="28"/>
      <c r="E606" s="216"/>
      <c r="F606" s="50"/>
      <c r="G606" s="50"/>
      <c r="H606" s="50"/>
    </row>
    <row r="607" spans="1:8">
      <c r="A607" s="27"/>
      <c r="C607" s="28"/>
      <c r="D607" s="28"/>
      <c r="E607" s="216"/>
      <c r="F607" s="50"/>
      <c r="G607" s="50"/>
      <c r="H607" s="50"/>
    </row>
    <row r="608" spans="1:8">
      <c r="A608" s="27"/>
      <c r="C608" s="28"/>
      <c r="D608" s="28"/>
      <c r="E608" s="216"/>
      <c r="F608" s="50"/>
      <c r="G608" s="50"/>
      <c r="H608" s="50"/>
    </row>
    <row r="609" spans="1:8">
      <c r="A609" s="27"/>
      <c r="C609" s="28"/>
      <c r="D609" s="28"/>
      <c r="E609" s="216"/>
      <c r="F609" s="50"/>
      <c r="G609" s="50"/>
      <c r="H609" s="50"/>
    </row>
    <row r="610" spans="1:8">
      <c r="A610" s="27"/>
      <c r="C610" s="28"/>
      <c r="D610" s="28"/>
      <c r="E610" s="216"/>
      <c r="F610" s="50"/>
      <c r="G610" s="50"/>
      <c r="H610" s="50"/>
    </row>
    <row r="611" spans="1:8">
      <c r="A611" s="27"/>
      <c r="C611" s="28"/>
      <c r="D611" s="28"/>
      <c r="E611" s="216"/>
      <c r="F611" s="50"/>
      <c r="G611" s="50"/>
      <c r="H611" s="50"/>
    </row>
    <row r="612" spans="1:8">
      <c r="A612" s="27"/>
      <c r="C612" s="28"/>
      <c r="D612" s="28"/>
      <c r="E612" s="216"/>
      <c r="F612" s="50"/>
      <c r="G612" s="50"/>
      <c r="H612" s="50"/>
    </row>
    <row r="613" spans="1:8">
      <c r="A613" s="27"/>
      <c r="C613" s="28"/>
      <c r="D613" s="28"/>
      <c r="E613" s="216"/>
      <c r="F613" s="50"/>
      <c r="G613" s="50"/>
      <c r="H613" s="50"/>
    </row>
    <row r="614" spans="1:8">
      <c r="A614" s="27"/>
      <c r="C614" s="28"/>
      <c r="D614" s="28"/>
      <c r="E614" s="216"/>
      <c r="F614" s="50"/>
      <c r="G614" s="50"/>
      <c r="H614" s="50"/>
    </row>
    <row r="615" spans="1:8">
      <c r="A615" s="27"/>
      <c r="C615" s="28"/>
      <c r="D615" s="28"/>
      <c r="E615" s="216"/>
      <c r="F615" s="50"/>
      <c r="G615" s="50"/>
      <c r="H615" s="50"/>
    </row>
    <row r="616" spans="1:8">
      <c r="A616" s="27"/>
      <c r="C616" s="28"/>
      <c r="D616" s="28"/>
      <c r="E616" s="216"/>
      <c r="F616" s="50"/>
      <c r="G616" s="50"/>
      <c r="H616" s="50"/>
    </row>
    <row r="617" spans="1:8">
      <c r="A617" s="27"/>
      <c r="C617" s="28"/>
      <c r="D617" s="28"/>
      <c r="E617" s="216"/>
      <c r="F617" s="50"/>
      <c r="G617" s="50"/>
      <c r="H617" s="50"/>
    </row>
    <row r="618" spans="1:8">
      <c r="A618" s="27"/>
      <c r="C618" s="28"/>
      <c r="D618" s="28"/>
      <c r="E618" s="216"/>
      <c r="F618" s="50"/>
      <c r="G618" s="50"/>
      <c r="H618" s="50"/>
    </row>
    <row r="619" spans="1:8">
      <c r="A619" s="27"/>
      <c r="C619" s="28"/>
      <c r="D619" s="28"/>
      <c r="E619" s="216"/>
      <c r="F619" s="50"/>
      <c r="G619" s="50"/>
      <c r="H619" s="50"/>
    </row>
    <row r="620" spans="1:8">
      <c r="A620" s="27"/>
      <c r="C620" s="28"/>
      <c r="D620" s="28"/>
      <c r="E620" s="216"/>
      <c r="F620" s="50"/>
      <c r="G620" s="50"/>
      <c r="H620" s="50"/>
    </row>
    <row r="621" spans="1:8">
      <c r="A621" s="27"/>
      <c r="C621" s="28"/>
      <c r="D621" s="28"/>
      <c r="E621" s="216"/>
      <c r="F621" s="50"/>
      <c r="G621" s="50"/>
      <c r="H621" s="50"/>
    </row>
    <row r="622" spans="1:8">
      <c r="A622" s="27"/>
      <c r="C622" s="28"/>
      <c r="D622" s="28"/>
      <c r="E622" s="216"/>
      <c r="F622" s="50"/>
      <c r="G622" s="50"/>
      <c r="H622" s="50"/>
    </row>
    <row r="623" spans="1:8">
      <c r="A623" s="27"/>
      <c r="C623" s="28"/>
      <c r="D623" s="28"/>
      <c r="E623" s="216"/>
      <c r="F623" s="50"/>
      <c r="G623" s="50"/>
      <c r="H623" s="50"/>
    </row>
    <row r="624" spans="1:8">
      <c r="A624" s="27"/>
      <c r="C624" s="28"/>
      <c r="D624" s="28"/>
      <c r="E624" s="216"/>
      <c r="F624" s="50"/>
      <c r="G624" s="50"/>
      <c r="H624" s="50"/>
    </row>
    <row r="625" spans="1:8">
      <c r="A625" s="27"/>
      <c r="C625" s="28"/>
      <c r="D625" s="28"/>
      <c r="E625" s="216"/>
      <c r="F625" s="50"/>
      <c r="G625" s="50"/>
      <c r="H625" s="50"/>
    </row>
    <row r="626" spans="1:8">
      <c r="A626" s="27"/>
      <c r="C626" s="28"/>
      <c r="D626" s="28"/>
      <c r="E626" s="216"/>
      <c r="F626" s="50"/>
      <c r="G626" s="50"/>
      <c r="H626" s="50"/>
    </row>
    <row r="627" spans="1:8">
      <c r="A627" s="27"/>
      <c r="C627" s="28"/>
      <c r="D627" s="28"/>
      <c r="E627" s="216"/>
      <c r="F627" s="50"/>
      <c r="G627" s="50"/>
      <c r="H627" s="50"/>
    </row>
    <row r="628" spans="1:8">
      <c r="A628" s="27"/>
      <c r="C628" s="28"/>
      <c r="D628" s="28"/>
      <c r="E628" s="216"/>
      <c r="F628" s="50"/>
      <c r="G628" s="50"/>
      <c r="H628" s="50"/>
    </row>
    <row r="629" spans="1:8">
      <c r="A629" s="27"/>
      <c r="C629" s="28"/>
      <c r="D629" s="28"/>
      <c r="E629" s="216"/>
      <c r="F629" s="50"/>
      <c r="G629" s="50"/>
      <c r="H629" s="50"/>
    </row>
    <row r="630" spans="1:8">
      <c r="A630" s="27"/>
      <c r="C630" s="28"/>
      <c r="D630" s="28"/>
      <c r="E630" s="216"/>
      <c r="F630" s="50"/>
      <c r="G630" s="50"/>
      <c r="H630" s="50"/>
    </row>
    <row r="631" spans="1:8">
      <c r="A631" s="27"/>
      <c r="C631" s="28"/>
      <c r="D631" s="28"/>
      <c r="E631" s="216"/>
      <c r="F631" s="50"/>
      <c r="G631" s="50"/>
      <c r="H631" s="50"/>
    </row>
    <row r="632" spans="1:8">
      <c r="A632" s="27"/>
      <c r="C632" s="28"/>
      <c r="D632" s="28"/>
      <c r="E632" s="216"/>
      <c r="F632" s="50"/>
      <c r="G632" s="50"/>
      <c r="H632" s="50"/>
    </row>
    <row r="633" spans="1:8">
      <c r="A633" s="27"/>
      <c r="C633" s="28"/>
      <c r="D633" s="28"/>
      <c r="E633" s="216"/>
      <c r="F633" s="50"/>
      <c r="G633" s="50"/>
      <c r="H633" s="50"/>
    </row>
    <row r="634" spans="1:8">
      <c r="A634" s="27"/>
      <c r="C634" s="28"/>
      <c r="D634" s="28"/>
      <c r="E634" s="216"/>
      <c r="F634" s="50"/>
      <c r="G634" s="50"/>
      <c r="H634" s="50"/>
    </row>
    <row r="635" spans="1:8">
      <c r="A635" s="27"/>
      <c r="C635" s="28"/>
      <c r="D635" s="28"/>
      <c r="E635" s="216"/>
      <c r="F635" s="50"/>
      <c r="G635" s="50"/>
      <c r="H635" s="50"/>
    </row>
    <row r="636" spans="1:8">
      <c r="A636" s="27"/>
      <c r="C636" s="28"/>
      <c r="D636" s="28"/>
      <c r="E636" s="216"/>
      <c r="F636" s="50"/>
      <c r="G636" s="50"/>
      <c r="H636" s="50"/>
    </row>
    <row r="637" spans="1:8">
      <c r="A637" s="27"/>
      <c r="C637" s="28"/>
      <c r="D637" s="28"/>
      <c r="E637" s="216"/>
      <c r="F637" s="50"/>
      <c r="G637" s="50"/>
      <c r="H637" s="50"/>
    </row>
    <row r="638" spans="1:8">
      <c r="A638" s="27"/>
      <c r="C638" s="28"/>
      <c r="D638" s="28"/>
      <c r="E638" s="216"/>
      <c r="F638" s="50"/>
      <c r="G638" s="50"/>
      <c r="H638" s="50"/>
    </row>
    <row r="639" spans="1:8">
      <c r="A639" s="27"/>
      <c r="C639" s="28"/>
      <c r="D639" s="28"/>
      <c r="E639" s="216"/>
      <c r="F639" s="50"/>
      <c r="G639" s="50"/>
      <c r="H639" s="50"/>
    </row>
    <row r="640" spans="1:8">
      <c r="A640" s="27"/>
      <c r="C640" s="28"/>
      <c r="D640" s="28"/>
      <c r="E640" s="216"/>
      <c r="F640" s="50"/>
      <c r="G640" s="50"/>
      <c r="H640" s="50"/>
    </row>
    <row r="641" spans="1:8">
      <c r="A641" s="27"/>
      <c r="C641" s="28"/>
      <c r="D641" s="28"/>
      <c r="E641" s="216"/>
      <c r="F641" s="50"/>
      <c r="G641" s="50"/>
      <c r="H641" s="50"/>
    </row>
    <row r="642" spans="1:8">
      <c r="A642" s="27"/>
      <c r="C642" s="28"/>
      <c r="D642" s="28"/>
      <c r="E642" s="216"/>
      <c r="F642" s="50"/>
      <c r="G642" s="50"/>
      <c r="H642" s="50"/>
    </row>
    <row r="643" spans="1:8">
      <c r="A643" s="27"/>
      <c r="C643" s="28"/>
      <c r="D643" s="28"/>
      <c r="E643" s="216"/>
      <c r="F643" s="50"/>
      <c r="G643" s="50"/>
      <c r="H643" s="50"/>
    </row>
    <row r="644" spans="1:8">
      <c r="A644" s="27"/>
      <c r="C644" s="28"/>
      <c r="D644" s="28"/>
      <c r="E644" s="216"/>
      <c r="F644" s="50"/>
      <c r="G644" s="50"/>
      <c r="H644" s="50"/>
    </row>
    <row r="645" spans="1:8">
      <c r="A645" s="27"/>
      <c r="C645" s="28"/>
      <c r="D645" s="28"/>
      <c r="E645" s="216"/>
      <c r="F645" s="50"/>
      <c r="G645" s="50"/>
      <c r="H645" s="50"/>
    </row>
    <row r="646" spans="1:8">
      <c r="A646" s="27"/>
      <c r="C646" s="28"/>
      <c r="D646" s="28"/>
      <c r="E646" s="216"/>
      <c r="F646" s="50"/>
      <c r="G646" s="50"/>
      <c r="H646" s="50"/>
    </row>
    <row r="647" spans="1:8">
      <c r="A647" s="27"/>
      <c r="C647" s="28"/>
      <c r="D647" s="28"/>
      <c r="E647" s="216"/>
      <c r="F647" s="50"/>
      <c r="G647" s="50"/>
      <c r="H647" s="50"/>
    </row>
    <row r="648" spans="1:8">
      <c r="A648" s="27"/>
      <c r="C648" s="28"/>
      <c r="D648" s="28"/>
      <c r="E648" s="216"/>
      <c r="F648" s="50"/>
      <c r="G648" s="50"/>
      <c r="H648" s="50"/>
    </row>
    <row r="649" spans="1:8">
      <c r="A649" s="27"/>
      <c r="C649" s="28"/>
      <c r="D649" s="28"/>
      <c r="E649" s="216"/>
      <c r="F649" s="50"/>
      <c r="G649" s="50"/>
      <c r="H649" s="50"/>
    </row>
    <row r="650" spans="1:8">
      <c r="A650" s="27"/>
      <c r="C650" s="28"/>
      <c r="D650" s="28"/>
      <c r="E650" s="216"/>
      <c r="F650" s="50"/>
      <c r="G650" s="50"/>
      <c r="H650" s="50"/>
    </row>
    <row r="651" spans="1:8">
      <c r="A651" s="27"/>
      <c r="C651" s="28"/>
      <c r="D651" s="28"/>
      <c r="E651" s="216"/>
      <c r="F651" s="50"/>
      <c r="G651" s="50"/>
      <c r="H651" s="50"/>
    </row>
    <row r="652" spans="1:8">
      <c r="A652" s="27"/>
      <c r="C652" s="28"/>
      <c r="D652" s="28"/>
      <c r="E652" s="216"/>
      <c r="F652" s="50"/>
      <c r="G652" s="50"/>
      <c r="H652" s="50"/>
    </row>
    <row r="653" spans="1:8">
      <c r="A653" s="27"/>
      <c r="C653" s="28"/>
      <c r="D653" s="28"/>
      <c r="E653" s="216"/>
      <c r="F653" s="50"/>
      <c r="G653" s="50"/>
      <c r="H653" s="50"/>
    </row>
    <row r="654" spans="1:8">
      <c r="A654" s="27"/>
      <c r="C654" s="28"/>
      <c r="D654" s="28"/>
      <c r="E654" s="216"/>
      <c r="F654" s="50"/>
      <c r="G654" s="50"/>
      <c r="H654" s="50"/>
    </row>
    <row r="655" spans="1:8">
      <c r="A655" s="27"/>
      <c r="C655" s="28"/>
      <c r="D655" s="28"/>
      <c r="E655" s="216"/>
      <c r="F655" s="50"/>
      <c r="G655" s="50"/>
      <c r="H655" s="50"/>
    </row>
    <row r="656" spans="1:8">
      <c r="A656" s="27"/>
      <c r="C656" s="28"/>
      <c r="D656" s="28"/>
      <c r="E656" s="216"/>
      <c r="F656" s="50"/>
      <c r="G656" s="50"/>
      <c r="H656" s="50"/>
    </row>
    <row r="657" spans="1:8">
      <c r="A657" s="27"/>
      <c r="C657" s="28"/>
      <c r="D657" s="28"/>
      <c r="E657" s="216"/>
      <c r="F657" s="50"/>
      <c r="G657" s="50"/>
      <c r="H657" s="50"/>
    </row>
    <row r="658" spans="1:8">
      <c r="A658" s="27"/>
      <c r="C658" s="28"/>
      <c r="D658" s="28"/>
      <c r="E658" s="216"/>
      <c r="F658" s="50"/>
      <c r="G658" s="50"/>
      <c r="H658" s="50"/>
    </row>
    <row r="659" spans="1:8">
      <c r="A659" s="27"/>
      <c r="C659" s="28"/>
      <c r="D659" s="28"/>
      <c r="E659" s="216"/>
      <c r="F659" s="50"/>
      <c r="G659" s="50"/>
      <c r="H659" s="50"/>
    </row>
    <row r="660" spans="1:8">
      <c r="A660" s="27"/>
      <c r="C660" s="28"/>
      <c r="D660" s="28"/>
      <c r="E660" s="216"/>
      <c r="F660" s="50"/>
      <c r="G660" s="50"/>
      <c r="H660" s="50"/>
    </row>
    <row r="661" spans="1:8">
      <c r="A661" s="27"/>
      <c r="C661" s="28"/>
      <c r="D661" s="28"/>
      <c r="E661" s="216"/>
      <c r="F661" s="50"/>
      <c r="G661" s="50"/>
      <c r="H661" s="50"/>
    </row>
    <row r="662" spans="1:8">
      <c r="A662" s="27"/>
      <c r="C662" s="28"/>
      <c r="D662" s="28"/>
      <c r="E662" s="216"/>
      <c r="F662" s="50"/>
      <c r="G662" s="50"/>
      <c r="H662" s="50"/>
    </row>
    <row r="663" spans="1:8">
      <c r="A663" s="27"/>
      <c r="C663" s="28"/>
      <c r="D663" s="28"/>
      <c r="E663" s="216"/>
      <c r="F663" s="50"/>
      <c r="G663" s="50"/>
      <c r="H663" s="50"/>
    </row>
    <row r="664" spans="1:8">
      <c r="A664" s="27"/>
      <c r="C664" s="28"/>
      <c r="D664" s="28"/>
      <c r="E664" s="216"/>
      <c r="F664" s="50"/>
      <c r="G664" s="50"/>
      <c r="H664" s="50"/>
    </row>
    <row r="665" spans="1:8">
      <c r="A665" s="27"/>
      <c r="C665" s="28"/>
      <c r="D665" s="28"/>
      <c r="E665" s="216"/>
      <c r="F665" s="50"/>
      <c r="G665" s="50"/>
      <c r="H665" s="50"/>
    </row>
    <row r="666" spans="1:8">
      <c r="A666" s="27"/>
      <c r="C666" s="28"/>
      <c r="D666" s="28"/>
      <c r="E666" s="216"/>
      <c r="F666" s="50"/>
      <c r="G666" s="50"/>
      <c r="H666" s="50"/>
    </row>
    <row r="667" spans="1:8">
      <c r="A667" s="27"/>
      <c r="C667" s="28"/>
      <c r="D667" s="28"/>
      <c r="E667" s="216"/>
      <c r="F667" s="50"/>
      <c r="G667" s="50"/>
      <c r="H667" s="50"/>
    </row>
    <row r="668" spans="1:8">
      <c r="A668" s="27"/>
      <c r="C668" s="28"/>
      <c r="D668" s="28"/>
      <c r="E668" s="216"/>
      <c r="F668" s="50"/>
      <c r="G668" s="50"/>
      <c r="H668" s="50"/>
    </row>
    <row r="669" spans="1:8">
      <c r="A669" s="27"/>
      <c r="C669" s="28"/>
      <c r="D669" s="28"/>
      <c r="E669" s="216"/>
      <c r="F669" s="50"/>
      <c r="G669" s="50"/>
      <c r="H669" s="50"/>
    </row>
    <row r="670" spans="1:8">
      <c r="A670" s="27"/>
      <c r="C670" s="28"/>
      <c r="D670" s="28"/>
      <c r="E670" s="216"/>
      <c r="F670" s="50"/>
      <c r="G670" s="50"/>
      <c r="H670" s="50"/>
    </row>
    <row r="671" spans="1:8">
      <c r="A671" s="27"/>
      <c r="C671" s="28"/>
      <c r="D671" s="28"/>
      <c r="E671" s="216"/>
      <c r="F671" s="50"/>
      <c r="G671" s="50"/>
      <c r="H671" s="50"/>
    </row>
    <row r="672" spans="1:8">
      <c r="A672" s="27"/>
      <c r="C672" s="28"/>
      <c r="D672" s="28"/>
      <c r="E672" s="216"/>
      <c r="F672" s="50"/>
      <c r="G672" s="50"/>
      <c r="H672" s="50"/>
    </row>
    <row r="673" spans="1:8">
      <c r="A673" s="27"/>
      <c r="C673" s="28"/>
      <c r="D673" s="28"/>
      <c r="E673" s="216"/>
      <c r="F673" s="50"/>
      <c r="G673" s="50"/>
      <c r="H673" s="50"/>
    </row>
    <row r="674" spans="1:8">
      <c r="A674" s="27"/>
      <c r="C674" s="28"/>
      <c r="D674" s="28"/>
      <c r="E674" s="216"/>
      <c r="F674" s="50"/>
      <c r="G674" s="50"/>
      <c r="H674" s="50"/>
    </row>
    <row r="675" spans="1:8">
      <c r="A675" s="27"/>
      <c r="C675" s="28"/>
      <c r="D675" s="28"/>
      <c r="E675" s="216"/>
      <c r="F675" s="50"/>
      <c r="G675" s="50"/>
      <c r="H675" s="50"/>
    </row>
    <row r="676" spans="1:8">
      <c r="A676" s="27"/>
      <c r="C676" s="28"/>
      <c r="D676" s="28"/>
      <c r="E676" s="216"/>
      <c r="F676" s="50"/>
      <c r="G676" s="50"/>
      <c r="H676" s="50"/>
    </row>
    <row r="677" spans="1:8">
      <c r="A677" s="27"/>
      <c r="C677" s="28"/>
      <c r="D677" s="28"/>
      <c r="E677" s="216"/>
      <c r="F677" s="50"/>
      <c r="G677" s="50"/>
      <c r="H677" s="50"/>
    </row>
    <row r="678" spans="1:8">
      <c r="A678" s="27"/>
      <c r="C678" s="28"/>
      <c r="D678" s="28"/>
      <c r="E678" s="216"/>
      <c r="F678" s="50"/>
      <c r="G678" s="50"/>
      <c r="H678" s="50"/>
    </row>
    <row r="679" spans="1:8">
      <c r="A679" s="27"/>
      <c r="C679" s="28"/>
      <c r="D679" s="28"/>
      <c r="E679" s="216"/>
      <c r="F679" s="50"/>
      <c r="G679" s="50"/>
      <c r="H679" s="50"/>
    </row>
    <row r="680" spans="1:8">
      <c r="A680" s="27"/>
      <c r="C680" s="28"/>
      <c r="D680" s="28"/>
      <c r="E680" s="216"/>
      <c r="F680" s="50"/>
      <c r="G680" s="50"/>
      <c r="H680" s="50"/>
    </row>
    <row r="681" spans="1:8">
      <c r="A681" s="27"/>
      <c r="C681" s="28"/>
      <c r="D681" s="28"/>
      <c r="E681" s="216"/>
      <c r="F681" s="50"/>
      <c r="G681" s="50"/>
      <c r="H681" s="50"/>
    </row>
    <row r="682" spans="1:8">
      <c r="A682" s="27"/>
      <c r="C682" s="28"/>
      <c r="D682" s="28"/>
      <c r="E682" s="216"/>
      <c r="F682" s="50"/>
      <c r="G682" s="50"/>
      <c r="H682" s="50"/>
    </row>
    <row r="683" spans="1:8">
      <c r="A683" s="27"/>
      <c r="C683" s="28"/>
      <c r="D683" s="28"/>
      <c r="E683" s="216"/>
      <c r="F683" s="50"/>
      <c r="G683" s="50"/>
      <c r="H683" s="50"/>
    </row>
    <row r="684" spans="1:8">
      <c r="A684" s="27"/>
      <c r="C684" s="28"/>
      <c r="D684" s="28"/>
      <c r="E684" s="216"/>
      <c r="F684" s="50"/>
      <c r="G684" s="50"/>
      <c r="H684" s="50"/>
    </row>
    <row r="685" spans="1:8">
      <c r="A685" s="27"/>
      <c r="C685" s="28"/>
      <c r="D685" s="28"/>
      <c r="E685" s="216"/>
      <c r="F685" s="50"/>
      <c r="G685" s="50"/>
      <c r="H685" s="50"/>
    </row>
    <row r="686" spans="1:8">
      <c r="A686" s="27"/>
      <c r="C686" s="28"/>
      <c r="D686" s="28"/>
      <c r="E686" s="216"/>
      <c r="F686" s="50"/>
      <c r="G686" s="50"/>
      <c r="H686" s="50"/>
    </row>
    <row r="687" spans="1:8">
      <c r="A687" s="27"/>
      <c r="C687" s="28"/>
      <c r="D687" s="28"/>
      <c r="E687" s="216"/>
      <c r="F687" s="50"/>
      <c r="G687" s="50"/>
      <c r="H687" s="50"/>
    </row>
    <row r="688" spans="1:8">
      <c r="A688" s="27"/>
      <c r="C688" s="28"/>
      <c r="D688" s="28"/>
      <c r="E688" s="216"/>
      <c r="F688" s="50"/>
      <c r="G688" s="50"/>
      <c r="H688" s="50"/>
    </row>
    <row r="689" spans="1:8">
      <c r="A689" s="27"/>
      <c r="C689" s="28"/>
      <c r="D689" s="28"/>
      <c r="E689" s="216"/>
      <c r="F689" s="50"/>
      <c r="G689" s="50"/>
      <c r="H689" s="50"/>
    </row>
    <row r="690" spans="1:8">
      <c r="A690" s="27"/>
      <c r="C690" s="28"/>
      <c r="D690" s="28"/>
      <c r="E690" s="216"/>
      <c r="F690" s="50"/>
      <c r="G690" s="50"/>
      <c r="H690" s="50"/>
    </row>
    <row r="691" spans="1:8">
      <c r="A691" s="27"/>
      <c r="C691" s="28"/>
      <c r="D691" s="28"/>
      <c r="E691" s="216"/>
      <c r="F691" s="50"/>
      <c r="G691" s="50"/>
      <c r="H691" s="50"/>
    </row>
    <row r="692" spans="1:8">
      <c r="A692" s="27"/>
      <c r="C692" s="28"/>
      <c r="D692" s="28"/>
      <c r="E692" s="216"/>
      <c r="F692" s="50"/>
      <c r="G692" s="50"/>
      <c r="H692" s="50"/>
    </row>
    <row r="693" spans="1:8">
      <c r="A693" s="27"/>
      <c r="C693" s="28"/>
      <c r="D693" s="28"/>
      <c r="E693" s="216"/>
      <c r="F693" s="50"/>
      <c r="G693" s="50"/>
      <c r="H693" s="50"/>
    </row>
    <row r="694" spans="1:8">
      <c r="A694" s="27"/>
      <c r="C694" s="28"/>
      <c r="D694" s="28"/>
      <c r="E694" s="216"/>
      <c r="F694" s="50"/>
      <c r="G694" s="50"/>
      <c r="H694" s="50"/>
    </row>
    <row r="695" spans="1:8">
      <c r="A695" s="27"/>
      <c r="C695" s="28"/>
      <c r="D695" s="28"/>
      <c r="E695" s="216"/>
      <c r="F695" s="50"/>
      <c r="G695" s="50"/>
      <c r="H695" s="50"/>
    </row>
    <row r="696" spans="1:8">
      <c r="A696" s="27"/>
      <c r="C696" s="28"/>
      <c r="D696" s="28"/>
      <c r="E696" s="216"/>
      <c r="F696" s="50"/>
      <c r="G696" s="50"/>
      <c r="H696" s="50"/>
    </row>
    <row r="697" spans="1:8">
      <c r="A697" s="27"/>
      <c r="C697" s="28"/>
      <c r="D697" s="28"/>
      <c r="E697" s="216"/>
      <c r="F697" s="50"/>
      <c r="G697" s="50"/>
      <c r="H697" s="50"/>
    </row>
    <row r="698" spans="1:8">
      <c r="A698" s="27"/>
      <c r="C698" s="28"/>
      <c r="D698" s="28"/>
      <c r="E698" s="216"/>
      <c r="F698" s="50"/>
      <c r="G698" s="50"/>
      <c r="H698" s="50"/>
    </row>
    <row r="699" spans="1:8">
      <c r="A699" s="27"/>
      <c r="C699" s="28"/>
      <c r="D699" s="28"/>
      <c r="E699" s="216"/>
      <c r="F699" s="50"/>
      <c r="G699" s="50"/>
      <c r="H699" s="50"/>
    </row>
    <row r="700" spans="1:8">
      <c r="A700" s="27"/>
      <c r="C700" s="28"/>
      <c r="D700" s="28"/>
      <c r="E700" s="216"/>
      <c r="F700" s="50"/>
      <c r="G700" s="50"/>
      <c r="H700" s="50"/>
    </row>
    <row r="701" spans="1:8">
      <c r="A701" s="27"/>
      <c r="C701" s="28"/>
      <c r="D701" s="28"/>
      <c r="E701" s="216"/>
      <c r="F701" s="50"/>
      <c r="G701" s="50"/>
      <c r="H701" s="50"/>
    </row>
    <row r="702" spans="1:8">
      <c r="A702" s="27"/>
      <c r="C702" s="28"/>
      <c r="D702" s="28"/>
      <c r="E702" s="216"/>
      <c r="F702" s="50"/>
      <c r="G702" s="50"/>
      <c r="H702" s="50"/>
    </row>
    <row r="703" spans="1:8">
      <c r="A703" s="27"/>
      <c r="C703" s="28"/>
      <c r="D703" s="28"/>
      <c r="E703" s="216"/>
      <c r="F703" s="50"/>
      <c r="G703" s="50"/>
      <c r="H703" s="50"/>
    </row>
    <row r="704" spans="1:8">
      <c r="A704" s="27"/>
      <c r="C704" s="28"/>
      <c r="D704" s="28"/>
      <c r="E704" s="216"/>
      <c r="F704" s="50"/>
      <c r="G704" s="50"/>
      <c r="H704" s="50"/>
    </row>
    <row r="705" spans="1:8">
      <c r="A705" s="27"/>
      <c r="C705" s="28"/>
      <c r="D705" s="28"/>
      <c r="E705" s="216"/>
      <c r="F705" s="50"/>
      <c r="G705" s="50"/>
      <c r="H705" s="50"/>
    </row>
    <row r="706" spans="1:8">
      <c r="A706" s="27"/>
      <c r="C706" s="28"/>
      <c r="D706" s="28"/>
      <c r="E706" s="216"/>
      <c r="F706" s="50"/>
      <c r="G706" s="50"/>
      <c r="H706" s="50"/>
    </row>
    <row r="707" spans="1:8">
      <c r="A707" s="27"/>
      <c r="C707" s="28"/>
      <c r="D707" s="28"/>
      <c r="E707" s="216"/>
      <c r="F707" s="50"/>
      <c r="G707" s="50"/>
      <c r="H707" s="50"/>
    </row>
    <row r="708" spans="1:8">
      <c r="A708" s="27"/>
      <c r="C708" s="28"/>
      <c r="D708" s="28"/>
      <c r="E708" s="216"/>
      <c r="F708" s="50"/>
      <c r="G708" s="50"/>
      <c r="H708" s="50"/>
    </row>
    <row r="709" spans="1:8">
      <c r="A709" s="27"/>
      <c r="C709" s="28"/>
      <c r="D709" s="28"/>
      <c r="E709" s="216"/>
      <c r="F709" s="50"/>
      <c r="G709" s="50"/>
      <c r="H709" s="50"/>
    </row>
    <row r="710" spans="1:8">
      <c r="A710" s="27"/>
      <c r="C710" s="28"/>
      <c r="D710" s="28"/>
      <c r="E710" s="216"/>
      <c r="F710" s="50"/>
      <c r="G710" s="50"/>
      <c r="H710" s="50"/>
    </row>
    <row r="711" spans="1:8">
      <c r="A711" s="27"/>
      <c r="C711" s="28"/>
      <c r="D711" s="28"/>
      <c r="E711" s="216"/>
      <c r="F711" s="50"/>
      <c r="G711" s="50"/>
      <c r="H711" s="50"/>
    </row>
    <row r="712" spans="1:8">
      <c r="A712" s="27"/>
      <c r="C712" s="28"/>
      <c r="D712" s="28"/>
      <c r="E712" s="216"/>
      <c r="F712" s="50"/>
      <c r="G712" s="50"/>
      <c r="H712" s="50"/>
    </row>
    <row r="713" spans="1:8">
      <c r="A713" s="27"/>
      <c r="C713" s="28"/>
      <c r="D713" s="28"/>
      <c r="E713" s="216"/>
      <c r="F713" s="50"/>
      <c r="G713" s="50"/>
      <c r="H713" s="50"/>
    </row>
    <row r="714" spans="1:8">
      <c r="A714" s="27"/>
      <c r="C714" s="28"/>
      <c r="D714" s="28"/>
      <c r="E714" s="216"/>
      <c r="F714" s="50"/>
      <c r="G714" s="50"/>
      <c r="H714" s="50"/>
    </row>
    <row r="715" spans="1:8">
      <c r="A715" s="27"/>
      <c r="C715" s="28"/>
      <c r="D715" s="28"/>
      <c r="E715" s="216"/>
      <c r="F715" s="50"/>
      <c r="G715" s="50"/>
      <c r="H715" s="50"/>
    </row>
    <row r="716" spans="1:8">
      <c r="A716" s="27"/>
      <c r="C716" s="28"/>
      <c r="D716" s="28"/>
      <c r="E716" s="216"/>
      <c r="F716" s="50"/>
      <c r="G716" s="50"/>
      <c r="H716" s="50"/>
    </row>
    <row r="717" spans="1:8">
      <c r="A717" s="27"/>
      <c r="C717" s="28"/>
      <c r="D717" s="28"/>
      <c r="E717" s="216"/>
      <c r="F717" s="50"/>
      <c r="G717" s="50"/>
      <c r="H717" s="50"/>
    </row>
    <row r="718" spans="1:8">
      <c r="A718" s="27"/>
      <c r="C718" s="28"/>
      <c r="D718" s="28"/>
      <c r="E718" s="216"/>
      <c r="F718" s="50"/>
      <c r="G718" s="50"/>
      <c r="H718" s="50"/>
    </row>
    <row r="719" spans="1:8">
      <c r="A719" s="27"/>
      <c r="C719" s="28"/>
      <c r="D719" s="28"/>
      <c r="E719" s="216"/>
      <c r="F719" s="50"/>
      <c r="G719" s="50"/>
      <c r="H719" s="50"/>
    </row>
    <row r="720" spans="1:8">
      <c r="A720" s="27"/>
      <c r="C720" s="28"/>
      <c r="D720" s="28"/>
      <c r="E720" s="216"/>
      <c r="F720" s="50"/>
      <c r="G720" s="50"/>
      <c r="H720" s="50"/>
    </row>
    <row r="721" spans="1:8">
      <c r="A721" s="27"/>
      <c r="C721" s="28"/>
      <c r="D721" s="28"/>
      <c r="E721" s="216"/>
      <c r="F721" s="50"/>
      <c r="G721" s="50"/>
      <c r="H721" s="50"/>
    </row>
    <row r="722" spans="1:8">
      <c r="A722" s="27"/>
      <c r="C722" s="28"/>
      <c r="D722" s="28"/>
      <c r="E722" s="216"/>
      <c r="F722" s="50"/>
      <c r="G722" s="50"/>
      <c r="H722" s="50"/>
    </row>
    <row r="723" spans="1:8">
      <c r="A723" s="27"/>
      <c r="C723" s="28"/>
      <c r="D723" s="28"/>
      <c r="E723" s="216"/>
      <c r="F723" s="50"/>
      <c r="G723" s="50"/>
      <c r="H723" s="50"/>
    </row>
    <row r="724" spans="1:8">
      <c r="A724" s="27"/>
      <c r="C724" s="28"/>
      <c r="D724" s="28"/>
      <c r="E724" s="216"/>
      <c r="F724" s="50"/>
      <c r="G724" s="50"/>
      <c r="H724" s="50"/>
    </row>
    <row r="725" spans="1:8">
      <c r="A725" s="27"/>
      <c r="C725" s="28"/>
      <c r="D725" s="28"/>
      <c r="E725" s="216"/>
      <c r="F725" s="50"/>
      <c r="G725" s="50"/>
      <c r="H725" s="50"/>
    </row>
    <row r="726" spans="1:8">
      <c r="A726" s="27"/>
      <c r="C726" s="28"/>
      <c r="D726" s="28"/>
      <c r="E726" s="216"/>
      <c r="F726" s="50"/>
      <c r="G726" s="50"/>
      <c r="H726" s="50"/>
    </row>
    <row r="727" spans="1:8">
      <c r="A727" s="27"/>
      <c r="C727" s="28"/>
      <c r="D727" s="28"/>
      <c r="E727" s="216"/>
      <c r="F727" s="50"/>
      <c r="G727" s="50"/>
      <c r="H727" s="50"/>
    </row>
    <row r="728" spans="1:8">
      <c r="A728" s="27"/>
      <c r="C728" s="28"/>
      <c r="D728" s="28"/>
      <c r="E728" s="216"/>
      <c r="F728" s="50"/>
      <c r="G728" s="50"/>
      <c r="H728" s="50"/>
    </row>
    <row r="729" spans="1:8">
      <c r="A729" s="27"/>
      <c r="C729" s="28"/>
      <c r="D729" s="28"/>
      <c r="E729" s="216"/>
      <c r="F729" s="50"/>
      <c r="G729" s="50"/>
      <c r="H729" s="50"/>
    </row>
    <row r="730" spans="1:8">
      <c r="A730" s="27"/>
      <c r="C730" s="28"/>
      <c r="D730" s="28"/>
      <c r="E730" s="216"/>
      <c r="F730" s="50"/>
      <c r="G730" s="50"/>
      <c r="H730" s="50"/>
    </row>
    <row r="731" spans="1:8">
      <c r="A731" s="27"/>
      <c r="C731" s="28"/>
      <c r="D731" s="28"/>
      <c r="E731" s="216"/>
      <c r="F731" s="50"/>
      <c r="G731" s="50"/>
      <c r="H731" s="50"/>
    </row>
    <row r="732" spans="1:8">
      <c r="A732" s="27"/>
      <c r="C732" s="28"/>
      <c r="D732" s="28"/>
      <c r="E732" s="216"/>
      <c r="F732" s="50"/>
      <c r="G732" s="50"/>
      <c r="H732" s="50"/>
    </row>
    <row r="733" spans="1:8">
      <c r="A733" s="27"/>
      <c r="C733" s="28"/>
      <c r="D733" s="28"/>
      <c r="E733" s="216"/>
      <c r="F733" s="50"/>
      <c r="G733" s="50"/>
      <c r="H733" s="50"/>
    </row>
    <row r="734" spans="1:8">
      <c r="A734" s="27"/>
      <c r="C734" s="28"/>
      <c r="D734" s="28"/>
      <c r="E734" s="216"/>
      <c r="F734" s="50"/>
      <c r="G734" s="50"/>
      <c r="H734" s="50"/>
    </row>
    <row r="735" spans="1:8">
      <c r="A735" s="27"/>
      <c r="C735" s="28"/>
      <c r="D735" s="28"/>
      <c r="E735" s="216"/>
      <c r="F735" s="50"/>
      <c r="G735" s="50"/>
      <c r="H735" s="50"/>
    </row>
    <row r="736" spans="1:8">
      <c r="A736" s="27"/>
      <c r="C736" s="28"/>
      <c r="D736" s="28"/>
      <c r="E736" s="216"/>
      <c r="F736" s="50"/>
      <c r="G736" s="50"/>
      <c r="H736" s="50"/>
    </row>
    <row r="737" spans="1:8">
      <c r="A737" s="27"/>
      <c r="C737" s="28"/>
      <c r="D737" s="28"/>
      <c r="E737" s="216"/>
      <c r="F737" s="50"/>
      <c r="G737" s="50"/>
      <c r="H737" s="50"/>
    </row>
    <row r="738" spans="1:8">
      <c r="A738" s="27"/>
      <c r="C738" s="28"/>
      <c r="D738" s="28"/>
      <c r="E738" s="216"/>
      <c r="F738" s="50"/>
      <c r="G738" s="50"/>
      <c r="H738" s="50"/>
    </row>
    <row r="739" spans="1:8">
      <c r="A739" s="27"/>
      <c r="C739" s="28"/>
      <c r="D739" s="28"/>
      <c r="E739" s="216"/>
      <c r="F739" s="50"/>
      <c r="G739" s="50"/>
      <c r="H739" s="50"/>
    </row>
    <row r="740" spans="1:8">
      <c r="A740" s="27"/>
      <c r="C740" s="28"/>
      <c r="D740" s="28"/>
      <c r="E740" s="216"/>
      <c r="F740" s="50"/>
      <c r="G740" s="50"/>
      <c r="H740" s="50"/>
    </row>
    <row r="741" spans="1:8">
      <c r="A741" s="27"/>
      <c r="C741" s="28"/>
      <c r="D741" s="28"/>
      <c r="E741" s="216"/>
      <c r="F741" s="50"/>
      <c r="G741" s="50"/>
      <c r="H741" s="50"/>
    </row>
    <row r="742" spans="1:8">
      <c r="A742" s="27"/>
      <c r="C742" s="28"/>
      <c r="D742" s="28"/>
      <c r="E742" s="216"/>
      <c r="F742" s="50"/>
      <c r="G742" s="50"/>
      <c r="H742" s="50"/>
    </row>
    <row r="743" spans="1:8">
      <c r="A743" s="27"/>
      <c r="C743" s="28"/>
      <c r="D743" s="28"/>
      <c r="E743" s="216"/>
      <c r="F743" s="50"/>
      <c r="G743" s="50"/>
      <c r="H743" s="50"/>
    </row>
    <row r="744" spans="1:8">
      <c r="A744" s="27"/>
      <c r="C744" s="28"/>
      <c r="D744" s="28"/>
      <c r="E744" s="216"/>
      <c r="F744" s="50"/>
      <c r="G744" s="50"/>
      <c r="H744" s="50"/>
    </row>
    <row r="745" spans="1:8">
      <c r="A745" s="27"/>
      <c r="C745" s="28"/>
      <c r="D745" s="28"/>
      <c r="E745" s="216"/>
      <c r="F745" s="50"/>
      <c r="G745" s="50"/>
      <c r="H745" s="50"/>
    </row>
    <row r="746" spans="1:8">
      <c r="A746" s="27"/>
      <c r="C746" s="28"/>
      <c r="D746" s="28"/>
      <c r="E746" s="216"/>
      <c r="F746" s="50"/>
      <c r="G746" s="50"/>
      <c r="H746" s="50"/>
    </row>
    <row r="747" spans="1:8">
      <c r="A747" s="27"/>
      <c r="C747" s="28"/>
      <c r="D747" s="28"/>
      <c r="E747" s="216"/>
      <c r="F747" s="50"/>
      <c r="G747" s="50"/>
      <c r="H747" s="50"/>
    </row>
    <row r="748" spans="1:8">
      <c r="A748" s="27"/>
      <c r="C748" s="28"/>
      <c r="D748" s="28"/>
      <c r="E748" s="216"/>
      <c r="F748" s="50"/>
      <c r="G748" s="50"/>
      <c r="H748" s="50"/>
    </row>
    <row r="749" spans="1:8">
      <c r="A749" s="27"/>
      <c r="C749" s="28"/>
      <c r="D749" s="28"/>
      <c r="E749" s="216"/>
      <c r="F749" s="50"/>
      <c r="G749" s="50"/>
      <c r="H749" s="50"/>
    </row>
    <row r="750" spans="1:8">
      <c r="A750" s="27"/>
      <c r="C750" s="28"/>
      <c r="D750" s="28"/>
      <c r="E750" s="216"/>
      <c r="F750" s="50"/>
      <c r="G750" s="50"/>
      <c r="H750" s="50"/>
    </row>
    <row r="751" spans="1:8">
      <c r="A751" s="27"/>
      <c r="C751" s="28"/>
      <c r="D751" s="28"/>
      <c r="E751" s="216"/>
      <c r="F751" s="50"/>
      <c r="G751" s="50"/>
      <c r="H751" s="50"/>
    </row>
    <row r="752" spans="1:8">
      <c r="A752" s="27"/>
      <c r="C752" s="28"/>
      <c r="D752" s="28"/>
      <c r="E752" s="216"/>
      <c r="F752" s="50"/>
      <c r="G752" s="50"/>
      <c r="H752" s="50"/>
    </row>
    <row r="753" spans="1:8">
      <c r="A753" s="27"/>
      <c r="C753" s="28"/>
      <c r="D753" s="28"/>
      <c r="E753" s="216"/>
      <c r="F753" s="50"/>
      <c r="G753" s="50"/>
      <c r="H753" s="50"/>
    </row>
    <row r="754" spans="1:8">
      <c r="A754" s="27"/>
      <c r="C754" s="28"/>
      <c r="D754" s="28"/>
      <c r="E754" s="216"/>
      <c r="F754" s="50"/>
      <c r="G754" s="50"/>
      <c r="H754" s="50"/>
    </row>
    <row r="755" spans="1:8">
      <c r="A755" s="27"/>
      <c r="C755" s="28"/>
      <c r="D755" s="28"/>
      <c r="E755" s="216"/>
      <c r="F755" s="50"/>
      <c r="G755" s="50"/>
      <c r="H755" s="50"/>
    </row>
    <row r="756" spans="1:8">
      <c r="A756" s="27"/>
      <c r="C756" s="28"/>
      <c r="D756" s="28"/>
      <c r="E756" s="216"/>
      <c r="F756" s="50"/>
      <c r="G756" s="50"/>
      <c r="H756" s="50"/>
    </row>
    <row r="757" spans="1:8">
      <c r="A757" s="27"/>
      <c r="C757" s="28"/>
      <c r="D757" s="28"/>
      <c r="E757" s="216"/>
      <c r="F757" s="50"/>
      <c r="G757" s="50"/>
      <c r="H757" s="50"/>
    </row>
    <row r="758" spans="1:8">
      <c r="A758" s="27"/>
      <c r="C758" s="28"/>
      <c r="D758" s="28"/>
      <c r="E758" s="216"/>
      <c r="F758" s="50"/>
      <c r="G758" s="50"/>
      <c r="H758" s="50"/>
    </row>
    <row r="759" spans="1:8">
      <c r="A759" s="27"/>
      <c r="C759" s="28"/>
      <c r="D759" s="28"/>
      <c r="E759" s="216"/>
      <c r="F759" s="50"/>
      <c r="G759" s="50"/>
      <c r="H759" s="50"/>
    </row>
    <row r="760" spans="1:8">
      <c r="A760" s="27"/>
      <c r="C760" s="28"/>
      <c r="D760" s="28"/>
      <c r="E760" s="216"/>
      <c r="F760" s="50"/>
      <c r="G760" s="50"/>
      <c r="H760" s="50"/>
    </row>
    <row r="761" spans="1:8">
      <c r="A761" s="27"/>
      <c r="C761" s="28"/>
      <c r="D761" s="28"/>
      <c r="E761" s="216"/>
      <c r="F761" s="50"/>
      <c r="G761" s="50"/>
      <c r="H761" s="50"/>
    </row>
    <row r="762" spans="1:8">
      <c r="A762" s="27"/>
      <c r="C762" s="28"/>
      <c r="D762" s="28"/>
      <c r="E762" s="216"/>
      <c r="F762" s="50"/>
      <c r="G762" s="50"/>
      <c r="H762" s="50"/>
    </row>
    <row r="763" spans="1:8">
      <c r="A763" s="27"/>
      <c r="C763" s="28"/>
      <c r="D763" s="28"/>
      <c r="E763" s="216"/>
      <c r="F763" s="50"/>
      <c r="G763" s="50"/>
      <c r="H763" s="50"/>
    </row>
    <row r="764" spans="1:8">
      <c r="A764" s="27"/>
      <c r="C764" s="28"/>
      <c r="D764" s="28"/>
      <c r="E764" s="216"/>
      <c r="F764" s="50"/>
      <c r="G764" s="50"/>
      <c r="H764" s="50"/>
    </row>
    <row r="765" spans="1:8">
      <c r="A765" s="27"/>
      <c r="C765" s="28"/>
      <c r="D765" s="28"/>
      <c r="E765" s="216"/>
      <c r="F765" s="50"/>
      <c r="G765" s="50"/>
      <c r="H765" s="50"/>
    </row>
    <row r="766" spans="1:8">
      <c r="A766" s="27"/>
      <c r="C766" s="28"/>
      <c r="D766" s="28"/>
      <c r="E766" s="216"/>
      <c r="F766" s="50"/>
      <c r="G766" s="50"/>
      <c r="H766" s="50"/>
    </row>
    <row r="767" spans="1:8">
      <c r="A767" s="27"/>
      <c r="C767" s="28"/>
      <c r="D767" s="28"/>
      <c r="E767" s="216"/>
      <c r="F767" s="50"/>
      <c r="G767" s="50"/>
      <c r="H767" s="50"/>
    </row>
    <row r="768" spans="1:8">
      <c r="A768" s="27"/>
      <c r="C768" s="28"/>
      <c r="D768" s="28"/>
      <c r="E768" s="216"/>
      <c r="F768" s="50"/>
      <c r="G768" s="50"/>
      <c r="H768" s="50"/>
    </row>
    <row r="769" spans="1:8">
      <c r="A769" s="27"/>
      <c r="C769" s="28"/>
      <c r="D769" s="28"/>
      <c r="E769" s="216"/>
      <c r="F769" s="50"/>
      <c r="G769" s="50"/>
      <c r="H769" s="50"/>
    </row>
    <row r="770" spans="1:8">
      <c r="A770" s="27"/>
      <c r="C770" s="28"/>
      <c r="D770" s="28"/>
      <c r="E770" s="216"/>
      <c r="F770" s="50"/>
      <c r="G770" s="50"/>
      <c r="H770" s="50"/>
    </row>
    <row r="771" spans="1:8">
      <c r="A771" s="27"/>
      <c r="C771" s="28"/>
      <c r="D771" s="28"/>
      <c r="E771" s="216"/>
      <c r="F771" s="50"/>
      <c r="G771" s="50"/>
      <c r="H771" s="50"/>
    </row>
    <row r="772" spans="1:8">
      <c r="A772" s="27"/>
      <c r="C772" s="28"/>
      <c r="D772" s="28"/>
      <c r="E772" s="216"/>
      <c r="F772" s="50"/>
      <c r="G772" s="50"/>
      <c r="H772" s="50"/>
    </row>
    <row r="773" spans="1:8">
      <c r="A773" s="27"/>
      <c r="C773" s="28"/>
      <c r="D773" s="28"/>
      <c r="E773" s="216"/>
      <c r="F773" s="50"/>
      <c r="G773" s="50"/>
      <c r="H773" s="50"/>
    </row>
    <row r="774" spans="1:8">
      <c r="A774" s="27"/>
      <c r="C774" s="28"/>
      <c r="D774" s="28"/>
      <c r="E774" s="216"/>
      <c r="F774" s="50"/>
      <c r="G774" s="50"/>
      <c r="H774" s="50"/>
    </row>
    <row r="775" spans="1:8">
      <c r="A775" s="27"/>
      <c r="C775" s="28"/>
      <c r="D775" s="28"/>
      <c r="E775" s="216"/>
      <c r="F775" s="50"/>
      <c r="G775" s="50"/>
      <c r="H775" s="50"/>
    </row>
    <row r="776" spans="1:8">
      <c r="A776" s="27"/>
      <c r="C776" s="28"/>
      <c r="D776" s="28"/>
      <c r="E776" s="216"/>
      <c r="F776" s="50"/>
      <c r="G776" s="50"/>
      <c r="H776" s="50"/>
    </row>
    <row r="777" spans="1:8">
      <c r="A777" s="27"/>
      <c r="C777" s="28"/>
      <c r="D777" s="28"/>
      <c r="E777" s="216"/>
      <c r="F777" s="50"/>
      <c r="G777" s="50"/>
      <c r="H777" s="50"/>
    </row>
    <row r="778" spans="1:8">
      <c r="A778" s="27"/>
      <c r="C778" s="28"/>
      <c r="D778" s="28"/>
      <c r="E778" s="216"/>
      <c r="F778" s="50"/>
      <c r="G778" s="50"/>
      <c r="H778" s="50"/>
    </row>
    <row r="779" spans="1:8">
      <c r="A779" s="27"/>
      <c r="C779" s="28"/>
      <c r="D779" s="28"/>
      <c r="E779" s="216"/>
      <c r="F779" s="50"/>
      <c r="G779" s="50"/>
      <c r="H779" s="50"/>
    </row>
    <row r="780" spans="1:8">
      <c r="A780" s="27"/>
      <c r="C780" s="28"/>
      <c r="D780" s="28"/>
      <c r="E780" s="216"/>
      <c r="F780" s="50"/>
      <c r="G780" s="50"/>
      <c r="H780" s="50"/>
    </row>
    <row r="781" spans="1:8">
      <c r="A781" s="27"/>
      <c r="C781" s="28"/>
      <c r="D781" s="28"/>
      <c r="E781" s="216"/>
      <c r="F781" s="50"/>
      <c r="G781" s="50"/>
      <c r="H781" s="50"/>
    </row>
    <row r="782" spans="1:8">
      <c r="A782" s="27"/>
      <c r="C782" s="28"/>
      <c r="D782" s="28"/>
      <c r="E782" s="216"/>
      <c r="F782" s="50"/>
      <c r="G782" s="50"/>
      <c r="H782" s="50"/>
    </row>
    <row r="783" spans="1:8">
      <c r="A783" s="27"/>
      <c r="C783" s="28"/>
      <c r="D783" s="28"/>
      <c r="E783" s="216"/>
      <c r="F783" s="50"/>
      <c r="G783" s="50"/>
      <c r="H783" s="50"/>
    </row>
    <row r="784" spans="1:8">
      <c r="A784" s="27"/>
      <c r="C784" s="28"/>
      <c r="D784" s="28"/>
      <c r="E784" s="216"/>
      <c r="F784" s="50"/>
      <c r="G784" s="50"/>
      <c r="H784" s="50"/>
    </row>
    <row r="785" spans="1:8">
      <c r="A785" s="27"/>
      <c r="C785" s="28"/>
      <c r="D785" s="28"/>
      <c r="E785" s="216"/>
      <c r="F785" s="50"/>
      <c r="G785" s="50"/>
      <c r="H785" s="50"/>
    </row>
    <row r="786" spans="1:8">
      <c r="A786" s="27"/>
      <c r="C786" s="28"/>
      <c r="D786" s="28"/>
      <c r="E786" s="216"/>
      <c r="F786" s="50"/>
      <c r="G786" s="50"/>
      <c r="H786" s="50"/>
    </row>
    <row r="787" spans="1:8">
      <c r="A787" s="27"/>
      <c r="C787" s="28"/>
      <c r="D787" s="28"/>
      <c r="E787" s="216"/>
      <c r="F787" s="50"/>
      <c r="G787" s="50"/>
      <c r="H787" s="50"/>
    </row>
    <row r="788" spans="1:8">
      <c r="A788" s="27"/>
      <c r="C788" s="28"/>
      <c r="D788" s="28"/>
      <c r="E788" s="216"/>
      <c r="F788" s="50"/>
      <c r="G788" s="50"/>
      <c r="H788" s="50"/>
    </row>
    <row r="789" spans="1:8">
      <c r="A789" s="27"/>
      <c r="C789" s="28"/>
      <c r="D789" s="28"/>
      <c r="E789" s="216"/>
      <c r="F789" s="50"/>
      <c r="G789" s="50"/>
      <c r="H789" s="50"/>
    </row>
    <row r="790" spans="1:8">
      <c r="A790" s="27"/>
      <c r="C790" s="28"/>
      <c r="D790" s="28"/>
      <c r="E790" s="216"/>
      <c r="F790" s="50"/>
      <c r="G790" s="50"/>
      <c r="H790" s="50"/>
    </row>
    <row r="791" spans="1:8">
      <c r="A791" s="27"/>
      <c r="C791" s="28"/>
      <c r="D791" s="28"/>
      <c r="E791" s="216"/>
      <c r="F791" s="50"/>
      <c r="G791" s="50"/>
      <c r="H791" s="50"/>
    </row>
    <row r="792" spans="1:8">
      <c r="A792" s="27"/>
      <c r="C792" s="28"/>
      <c r="D792" s="28"/>
      <c r="E792" s="216"/>
      <c r="F792" s="50"/>
      <c r="G792" s="50"/>
      <c r="H792" s="50"/>
    </row>
    <row r="793" spans="1:8">
      <c r="A793" s="27"/>
      <c r="C793" s="28"/>
      <c r="D793" s="28"/>
      <c r="E793" s="216"/>
      <c r="F793" s="50"/>
      <c r="G793" s="50"/>
      <c r="H793" s="50"/>
    </row>
    <row r="794" spans="1:8">
      <c r="A794" s="27"/>
      <c r="C794" s="28"/>
      <c r="D794" s="28"/>
      <c r="E794" s="216"/>
      <c r="F794" s="50"/>
      <c r="G794" s="50"/>
      <c r="H794" s="50"/>
    </row>
    <row r="795" spans="1:8">
      <c r="A795" s="27"/>
      <c r="C795" s="28"/>
      <c r="D795" s="28"/>
      <c r="E795" s="216"/>
      <c r="F795" s="50"/>
      <c r="G795" s="50"/>
      <c r="H795" s="50"/>
    </row>
    <row r="796" spans="1:8">
      <c r="A796" s="27"/>
      <c r="C796" s="28"/>
      <c r="D796" s="28"/>
      <c r="E796" s="216"/>
      <c r="F796" s="50"/>
      <c r="G796" s="50"/>
      <c r="H796" s="50"/>
    </row>
    <row r="797" spans="1:8">
      <c r="A797" s="27"/>
      <c r="C797" s="28"/>
      <c r="D797" s="28"/>
      <c r="E797" s="216"/>
      <c r="F797" s="50"/>
      <c r="G797" s="50"/>
      <c r="H797" s="50"/>
    </row>
    <row r="798" spans="1:8">
      <c r="A798" s="27"/>
      <c r="C798" s="28"/>
      <c r="D798" s="28"/>
      <c r="E798" s="216"/>
      <c r="F798" s="50"/>
      <c r="G798" s="50"/>
      <c r="H798" s="50"/>
    </row>
    <row r="799" spans="1:8">
      <c r="A799" s="27"/>
      <c r="C799" s="28"/>
      <c r="D799" s="28"/>
      <c r="E799" s="216"/>
      <c r="F799" s="50"/>
      <c r="G799" s="50"/>
      <c r="H799" s="50"/>
    </row>
    <row r="800" spans="1:8">
      <c r="A800" s="27"/>
      <c r="C800" s="28"/>
      <c r="D800" s="28"/>
      <c r="E800" s="216"/>
      <c r="F800" s="50"/>
      <c r="G800" s="50"/>
      <c r="H800" s="50"/>
    </row>
    <row r="801" spans="1:8">
      <c r="A801" s="27"/>
      <c r="C801" s="28"/>
      <c r="D801" s="28"/>
      <c r="E801" s="216"/>
      <c r="F801" s="50"/>
      <c r="G801" s="50"/>
      <c r="H801" s="50"/>
    </row>
    <row r="802" spans="1:8">
      <c r="A802" s="27"/>
      <c r="C802" s="28"/>
      <c r="D802" s="28"/>
      <c r="E802" s="216"/>
      <c r="F802" s="50"/>
      <c r="G802" s="50"/>
      <c r="H802" s="50"/>
    </row>
    <row r="803" spans="1:8">
      <c r="A803" s="27"/>
      <c r="C803" s="28"/>
      <c r="D803" s="28"/>
      <c r="E803" s="216"/>
      <c r="F803" s="50"/>
      <c r="G803" s="50"/>
      <c r="H803" s="50"/>
    </row>
    <row r="804" spans="1:8">
      <c r="A804" s="27"/>
      <c r="C804" s="28"/>
      <c r="D804" s="28"/>
      <c r="E804" s="216"/>
      <c r="F804" s="50"/>
      <c r="G804" s="50"/>
      <c r="H804" s="50"/>
    </row>
    <row r="805" spans="1:8">
      <c r="A805" s="27"/>
      <c r="C805" s="28"/>
      <c r="D805" s="28"/>
      <c r="E805" s="216"/>
      <c r="F805" s="50"/>
      <c r="G805" s="50"/>
      <c r="H805" s="50"/>
    </row>
    <row r="806" spans="1:8">
      <c r="A806" s="27"/>
      <c r="C806" s="28"/>
      <c r="D806" s="28"/>
      <c r="E806" s="216"/>
      <c r="F806" s="50"/>
      <c r="G806" s="50"/>
      <c r="H806" s="50"/>
    </row>
    <row r="807" spans="1:8">
      <c r="A807" s="27"/>
      <c r="C807" s="28"/>
      <c r="D807" s="28"/>
      <c r="E807" s="216"/>
      <c r="F807" s="50"/>
      <c r="G807" s="50"/>
      <c r="H807" s="50"/>
    </row>
    <row r="808" spans="1:8">
      <c r="A808" s="27"/>
      <c r="C808" s="28"/>
      <c r="D808" s="28"/>
      <c r="E808" s="216"/>
      <c r="F808" s="50"/>
      <c r="G808" s="50"/>
      <c r="H808" s="50"/>
    </row>
    <row r="809" spans="1:8">
      <c r="A809" s="27"/>
      <c r="C809" s="28"/>
      <c r="D809" s="28"/>
      <c r="E809" s="216"/>
      <c r="F809" s="50"/>
      <c r="G809" s="50"/>
      <c r="H809" s="50"/>
    </row>
    <row r="810" spans="1:8">
      <c r="A810" s="27"/>
      <c r="C810" s="28"/>
      <c r="D810" s="28"/>
      <c r="E810" s="216"/>
      <c r="F810" s="50"/>
      <c r="G810" s="50"/>
      <c r="H810" s="50"/>
    </row>
    <row r="811" spans="1:8">
      <c r="A811" s="27"/>
      <c r="C811" s="28"/>
      <c r="D811" s="28"/>
      <c r="E811" s="216"/>
      <c r="F811" s="50"/>
      <c r="G811" s="50"/>
      <c r="H811" s="50"/>
    </row>
    <row r="812" spans="1:8">
      <c r="A812" s="27"/>
      <c r="C812" s="28"/>
      <c r="D812" s="28"/>
      <c r="E812" s="216"/>
      <c r="F812" s="50"/>
      <c r="G812" s="50"/>
      <c r="H812" s="50"/>
    </row>
    <row r="813" spans="1:8">
      <c r="A813" s="27"/>
      <c r="C813" s="28"/>
      <c r="D813" s="28"/>
      <c r="E813" s="216"/>
      <c r="F813" s="50"/>
      <c r="G813" s="50"/>
      <c r="H813" s="50"/>
    </row>
    <row r="814" spans="1:8">
      <c r="A814" s="27"/>
      <c r="C814" s="28"/>
      <c r="D814" s="28"/>
      <c r="E814" s="216"/>
      <c r="F814" s="50"/>
      <c r="G814" s="50"/>
      <c r="H814" s="50"/>
    </row>
    <row r="815" spans="1:8">
      <c r="A815" s="27"/>
      <c r="C815" s="28"/>
      <c r="D815" s="28"/>
      <c r="E815" s="216"/>
      <c r="F815" s="50"/>
      <c r="G815" s="50"/>
      <c r="H815" s="50"/>
    </row>
    <row r="816" spans="1:8">
      <c r="A816" s="27"/>
      <c r="C816" s="28"/>
      <c r="D816" s="28"/>
      <c r="E816" s="216"/>
      <c r="F816" s="50"/>
      <c r="G816" s="50"/>
      <c r="H816" s="50"/>
    </row>
    <row r="817" spans="1:8">
      <c r="A817" s="27"/>
      <c r="C817" s="28"/>
      <c r="D817" s="28"/>
      <c r="E817" s="216"/>
      <c r="F817" s="50"/>
      <c r="G817" s="50"/>
      <c r="H817" s="50"/>
    </row>
    <row r="818" spans="1:8">
      <c r="A818" s="27"/>
      <c r="C818" s="28"/>
      <c r="D818" s="28"/>
      <c r="E818" s="216"/>
      <c r="F818" s="50"/>
      <c r="G818" s="50"/>
      <c r="H818" s="50"/>
    </row>
    <row r="819" spans="1:8">
      <c r="A819" s="27"/>
      <c r="C819" s="28"/>
      <c r="D819" s="28"/>
      <c r="E819" s="216"/>
      <c r="F819" s="50"/>
      <c r="G819" s="50"/>
      <c r="H819" s="50"/>
    </row>
    <row r="820" spans="1:8">
      <c r="A820" s="27"/>
      <c r="C820" s="28"/>
      <c r="D820" s="28"/>
      <c r="E820" s="216"/>
      <c r="F820" s="50"/>
      <c r="G820" s="50"/>
      <c r="H820" s="50"/>
    </row>
    <row r="821" spans="1:8">
      <c r="A821" s="27"/>
      <c r="C821" s="28"/>
      <c r="D821" s="28"/>
      <c r="E821" s="216"/>
      <c r="F821" s="50"/>
      <c r="G821" s="50"/>
      <c r="H821" s="50"/>
    </row>
    <row r="822" spans="1:8">
      <c r="A822" s="27"/>
      <c r="C822" s="28"/>
      <c r="D822" s="28"/>
      <c r="E822" s="216"/>
      <c r="F822" s="50"/>
      <c r="G822" s="50"/>
      <c r="H822" s="50"/>
    </row>
    <row r="823" spans="1:8">
      <c r="A823" s="27"/>
      <c r="C823" s="28"/>
      <c r="D823" s="28"/>
      <c r="E823" s="216"/>
      <c r="F823" s="50"/>
      <c r="G823" s="50"/>
      <c r="H823" s="50"/>
    </row>
    <row r="824" spans="1:8">
      <c r="A824" s="27"/>
      <c r="C824" s="28"/>
      <c r="D824" s="28"/>
      <c r="E824" s="216"/>
      <c r="F824" s="50"/>
      <c r="G824" s="50"/>
      <c r="H824" s="50"/>
    </row>
    <row r="825" spans="1:8">
      <c r="A825" s="27"/>
      <c r="C825" s="28"/>
      <c r="D825" s="28"/>
      <c r="E825" s="216"/>
      <c r="F825" s="50"/>
      <c r="G825" s="50"/>
      <c r="H825" s="50"/>
    </row>
    <row r="826" spans="1:8">
      <c r="A826" s="27"/>
      <c r="C826" s="28"/>
      <c r="D826" s="28"/>
      <c r="E826" s="216"/>
      <c r="F826" s="50"/>
      <c r="G826" s="50"/>
      <c r="H826" s="50"/>
    </row>
    <row r="827" spans="1:8">
      <c r="A827" s="27"/>
      <c r="C827" s="28"/>
      <c r="D827" s="28"/>
      <c r="E827" s="216"/>
      <c r="F827" s="50"/>
      <c r="G827" s="50"/>
      <c r="H827" s="50"/>
    </row>
    <row r="828" spans="1:8">
      <c r="A828" s="27"/>
      <c r="C828" s="28"/>
      <c r="D828" s="28"/>
      <c r="E828" s="216"/>
      <c r="F828" s="50"/>
      <c r="G828" s="50"/>
      <c r="H828" s="50"/>
    </row>
    <row r="829" spans="1:8">
      <c r="A829" s="27"/>
      <c r="C829" s="28"/>
      <c r="D829" s="28"/>
      <c r="E829" s="216"/>
      <c r="F829" s="50"/>
      <c r="G829" s="50"/>
      <c r="H829" s="50"/>
    </row>
    <row r="830" spans="1:8">
      <c r="A830" s="27"/>
      <c r="C830" s="28"/>
      <c r="D830" s="28"/>
      <c r="E830" s="216"/>
      <c r="F830" s="50"/>
      <c r="G830" s="50"/>
      <c r="H830" s="50"/>
    </row>
    <row r="831" spans="1:8">
      <c r="A831" s="27"/>
      <c r="C831" s="28"/>
      <c r="D831" s="28"/>
      <c r="E831" s="216"/>
      <c r="F831" s="50"/>
      <c r="G831" s="50"/>
      <c r="H831" s="50"/>
    </row>
    <row r="832" spans="1:8">
      <c r="A832" s="27"/>
      <c r="C832" s="28"/>
      <c r="D832" s="28"/>
      <c r="E832" s="216"/>
      <c r="F832" s="50"/>
      <c r="G832" s="50"/>
      <c r="H832" s="50"/>
    </row>
    <row r="833" spans="1:8">
      <c r="A833" s="27"/>
      <c r="C833" s="28"/>
      <c r="D833" s="28"/>
      <c r="E833" s="216"/>
      <c r="F833" s="50"/>
      <c r="G833" s="50"/>
      <c r="H833" s="50"/>
    </row>
    <row r="834" spans="1:8">
      <c r="A834" s="27"/>
      <c r="C834" s="28"/>
      <c r="D834" s="28"/>
      <c r="E834" s="216"/>
      <c r="F834" s="50"/>
      <c r="G834" s="50"/>
      <c r="H834" s="50"/>
    </row>
    <row r="835" spans="1:8">
      <c r="A835" s="27"/>
      <c r="C835" s="28"/>
      <c r="D835" s="28"/>
      <c r="E835" s="216"/>
      <c r="F835" s="50"/>
      <c r="G835" s="50"/>
      <c r="H835" s="50"/>
    </row>
    <row r="836" spans="1:8">
      <c r="A836" s="27"/>
      <c r="C836" s="28"/>
      <c r="D836" s="28"/>
      <c r="E836" s="216"/>
      <c r="F836" s="50"/>
      <c r="G836" s="50"/>
      <c r="H836" s="50"/>
    </row>
    <row r="837" spans="1:8">
      <c r="A837" s="27"/>
      <c r="C837" s="28"/>
      <c r="D837" s="28"/>
      <c r="E837" s="216"/>
      <c r="F837" s="50"/>
      <c r="G837" s="50"/>
      <c r="H837" s="50"/>
    </row>
    <row r="838" spans="1:8">
      <c r="A838" s="27"/>
      <c r="C838" s="28"/>
      <c r="D838" s="28"/>
      <c r="E838" s="216"/>
      <c r="F838" s="50"/>
      <c r="G838" s="50"/>
      <c r="H838" s="50"/>
    </row>
    <row r="839" spans="1:8">
      <c r="A839" s="27"/>
      <c r="C839" s="28"/>
      <c r="D839" s="28"/>
      <c r="E839" s="216"/>
      <c r="F839" s="50"/>
      <c r="G839" s="50"/>
      <c r="H839" s="50"/>
    </row>
    <row r="840" spans="1:8">
      <c r="A840" s="27"/>
      <c r="C840" s="28"/>
      <c r="D840" s="28"/>
      <c r="E840" s="216"/>
      <c r="F840" s="50"/>
      <c r="G840" s="50"/>
      <c r="H840" s="50"/>
    </row>
    <row r="841" spans="1:8">
      <c r="A841" s="27"/>
      <c r="C841" s="28"/>
      <c r="D841" s="28"/>
      <c r="E841" s="216"/>
      <c r="F841" s="50"/>
      <c r="G841" s="50"/>
      <c r="H841" s="50"/>
    </row>
    <row r="842" spans="1:8">
      <c r="A842" s="27"/>
      <c r="C842" s="28"/>
      <c r="D842" s="28"/>
      <c r="E842" s="216"/>
      <c r="F842" s="50"/>
      <c r="G842" s="50"/>
      <c r="H842" s="50"/>
    </row>
    <row r="843" spans="1:8">
      <c r="A843" s="27"/>
      <c r="C843" s="28"/>
      <c r="D843" s="28"/>
      <c r="E843" s="216"/>
      <c r="F843" s="50"/>
      <c r="G843" s="50"/>
      <c r="H843" s="50"/>
    </row>
    <row r="844" spans="1:8">
      <c r="A844" s="27"/>
      <c r="C844" s="28"/>
      <c r="D844" s="28"/>
      <c r="E844" s="216"/>
      <c r="F844" s="50"/>
      <c r="G844" s="50"/>
      <c r="H844" s="50"/>
    </row>
    <row r="845" spans="1:8">
      <c r="A845" s="27"/>
      <c r="C845" s="28"/>
      <c r="D845" s="28"/>
      <c r="E845" s="216"/>
      <c r="F845" s="50"/>
      <c r="G845" s="50"/>
      <c r="H845" s="50"/>
    </row>
    <row r="846" spans="1:8">
      <c r="A846" s="27"/>
      <c r="C846" s="28"/>
      <c r="D846" s="28"/>
      <c r="E846" s="216"/>
      <c r="F846" s="50"/>
      <c r="G846" s="50"/>
      <c r="H846" s="50"/>
    </row>
    <row r="847" spans="1:8">
      <c r="A847" s="27"/>
      <c r="C847" s="28"/>
      <c r="D847" s="28"/>
      <c r="E847" s="216"/>
      <c r="F847" s="50"/>
      <c r="G847" s="50"/>
      <c r="H847" s="50"/>
    </row>
    <row r="848" spans="1:8">
      <c r="A848" s="27"/>
      <c r="C848" s="28"/>
      <c r="D848" s="28"/>
      <c r="E848" s="216"/>
      <c r="F848" s="50"/>
      <c r="G848" s="50"/>
      <c r="H848" s="50"/>
    </row>
    <row r="849" spans="1:8">
      <c r="A849" s="27"/>
      <c r="C849" s="28"/>
      <c r="D849" s="28"/>
      <c r="E849" s="216"/>
      <c r="F849" s="50"/>
      <c r="G849" s="50"/>
      <c r="H849" s="50"/>
    </row>
    <row r="850" spans="1:8">
      <c r="A850" s="27"/>
      <c r="C850" s="28"/>
      <c r="D850" s="28"/>
      <c r="E850" s="216"/>
      <c r="F850" s="50"/>
      <c r="G850" s="50"/>
      <c r="H850" s="50"/>
    </row>
    <row r="851" spans="1:8">
      <c r="A851" s="27"/>
      <c r="C851" s="28"/>
      <c r="D851" s="28"/>
      <c r="E851" s="216"/>
      <c r="F851" s="50"/>
      <c r="G851" s="50"/>
      <c r="H851" s="50"/>
    </row>
    <row r="852" spans="1:8">
      <c r="A852" s="27"/>
      <c r="C852" s="28"/>
      <c r="D852" s="28"/>
      <c r="E852" s="216"/>
      <c r="F852" s="50"/>
      <c r="G852" s="50"/>
      <c r="H852" s="50"/>
    </row>
    <row r="853" spans="1:8">
      <c r="A853" s="27"/>
      <c r="C853" s="28"/>
      <c r="D853" s="28"/>
      <c r="E853" s="216"/>
      <c r="F853" s="50"/>
      <c r="G853" s="50"/>
      <c r="H853" s="50"/>
    </row>
    <row r="854" spans="1:8">
      <c r="A854" s="27"/>
      <c r="C854" s="28"/>
      <c r="D854" s="28"/>
      <c r="E854" s="216"/>
      <c r="F854" s="50"/>
      <c r="G854" s="50"/>
      <c r="H854" s="50"/>
    </row>
    <row r="855" spans="1:8">
      <c r="A855" s="27"/>
      <c r="C855" s="28"/>
      <c r="D855" s="28"/>
      <c r="E855" s="216"/>
      <c r="F855" s="50"/>
      <c r="G855" s="50"/>
      <c r="H855" s="50"/>
    </row>
    <row r="856" spans="1:8">
      <c r="A856" s="27"/>
      <c r="C856" s="28"/>
      <c r="D856" s="28"/>
      <c r="E856" s="216"/>
      <c r="F856" s="50"/>
      <c r="G856" s="50"/>
      <c r="H856" s="50"/>
    </row>
    <row r="857" spans="1:8">
      <c r="A857" s="27"/>
      <c r="C857" s="28"/>
      <c r="D857" s="28"/>
      <c r="E857" s="216"/>
      <c r="F857" s="50"/>
      <c r="G857" s="50"/>
      <c r="H857" s="50"/>
    </row>
    <row r="858" spans="1:8">
      <c r="A858" s="27"/>
      <c r="C858" s="28"/>
      <c r="D858" s="28"/>
      <c r="E858" s="216"/>
      <c r="F858" s="50"/>
      <c r="G858" s="50"/>
      <c r="H858" s="50"/>
    </row>
    <row r="859" spans="1:8">
      <c r="A859" s="27"/>
      <c r="C859" s="28"/>
      <c r="D859" s="28"/>
      <c r="E859" s="216"/>
      <c r="F859" s="50"/>
      <c r="G859" s="50"/>
      <c r="H859" s="50"/>
    </row>
    <row r="860" spans="1:8">
      <c r="A860" s="27"/>
      <c r="C860" s="28"/>
      <c r="D860" s="28"/>
      <c r="E860" s="216"/>
      <c r="F860" s="50"/>
      <c r="G860" s="50"/>
      <c r="H860" s="50"/>
    </row>
    <row r="861" spans="1:8">
      <c r="A861" s="27"/>
      <c r="C861" s="28"/>
      <c r="D861" s="28"/>
      <c r="E861" s="216"/>
      <c r="F861" s="50"/>
      <c r="G861" s="50"/>
      <c r="H861" s="50"/>
    </row>
    <row r="862" spans="1:8">
      <c r="A862" s="27"/>
      <c r="C862" s="28"/>
      <c r="D862" s="28"/>
      <c r="E862" s="216"/>
      <c r="F862" s="50"/>
      <c r="G862" s="50"/>
      <c r="H862" s="50"/>
    </row>
    <row r="863" spans="1:8">
      <c r="A863" s="27"/>
      <c r="C863" s="28"/>
      <c r="D863" s="28"/>
      <c r="E863" s="216"/>
      <c r="F863" s="50"/>
      <c r="G863" s="50"/>
      <c r="H863" s="50"/>
    </row>
    <row r="864" spans="1:8">
      <c r="A864" s="27"/>
      <c r="C864" s="28"/>
      <c r="D864" s="28"/>
      <c r="E864" s="216"/>
      <c r="F864" s="50"/>
      <c r="G864" s="50"/>
      <c r="H864" s="50"/>
    </row>
    <row r="865" spans="1:8">
      <c r="A865" s="27"/>
      <c r="C865" s="28"/>
      <c r="D865" s="28"/>
      <c r="E865" s="216"/>
      <c r="F865" s="50"/>
      <c r="G865" s="50"/>
      <c r="H865" s="50"/>
    </row>
    <row r="866" spans="1:8">
      <c r="A866" s="27"/>
      <c r="C866" s="28"/>
      <c r="D866" s="28"/>
      <c r="E866" s="216"/>
      <c r="F866" s="50"/>
      <c r="G866" s="50"/>
      <c r="H866" s="50"/>
    </row>
    <row r="867" spans="1:8">
      <c r="A867" s="27"/>
      <c r="C867" s="28"/>
      <c r="D867" s="28"/>
      <c r="E867" s="216"/>
      <c r="F867" s="50"/>
      <c r="G867" s="50"/>
      <c r="H867" s="50"/>
    </row>
    <row r="868" spans="1:8">
      <c r="A868" s="27"/>
      <c r="C868" s="28"/>
      <c r="D868" s="28"/>
      <c r="E868" s="216"/>
      <c r="F868" s="50"/>
      <c r="G868" s="50"/>
      <c r="H868" s="50"/>
    </row>
    <row r="869" spans="1:8">
      <c r="A869" s="27"/>
      <c r="C869" s="28"/>
      <c r="D869" s="28"/>
      <c r="E869" s="216"/>
      <c r="F869" s="50"/>
      <c r="G869" s="50"/>
      <c r="H869" s="50"/>
    </row>
    <row r="870" spans="1:8">
      <c r="A870" s="27"/>
      <c r="C870" s="28"/>
      <c r="D870" s="28"/>
      <c r="E870" s="216"/>
      <c r="F870" s="50"/>
      <c r="G870" s="50"/>
      <c r="H870" s="50"/>
    </row>
    <row r="871" spans="1:8">
      <c r="A871" s="27"/>
      <c r="C871" s="28"/>
      <c r="D871" s="28"/>
      <c r="E871" s="216"/>
      <c r="F871" s="50"/>
      <c r="G871" s="50"/>
      <c r="H871" s="50"/>
    </row>
    <row r="872" spans="1:8">
      <c r="A872" s="27"/>
      <c r="C872" s="28"/>
      <c r="D872" s="28"/>
      <c r="E872" s="216"/>
      <c r="F872" s="50"/>
      <c r="G872" s="50"/>
      <c r="H872" s="50"/>
    </row>
    <row r="873" spans="1:8">
      <c r="A873" s="27"/>
      <c r="C873" s="28"/>
      <c r="D873" s="28"/>
      <c r="E873" s="216"/>
      <c r="F873" s="50"/>
      <c r="G873" s="50"/>
      <c r="H873" s="50"/>
    </row>
    <row r="874" spans="1:8">
      <c r="A874" s="27"/>
      <c r="C874" s="28"/>
      <c r="D874" s="28"/>
      <c r="E874" s="216"/>
      <c r="F874" s="50"/>
      <c r="G874" s="50"/>
      <c r="H874" s="50"/>
    </row>
    <row r="875" spans="1:8">
      <c r="A875" s="27"/>
      <c r="C875" s="28"/>
      <c r="D875" s="28"/>
      <c r="E875" s="216"/>
      <c r="F875" s="50"/>
      <c r="G875" s="50"/>
      <c r="H875" s="50"/>
    </row>
    <row r="876" spans="1:8">
      <c r="A876" s="27"/>
      <c r="C876" s="28"/>
      <c r="D876" s="28"/>
      <c r="E876" s="216"/>
      <c r="F876" s="50"/>
      <c r="G876" s="50"/>
      <c r="H876" s="50"/>
    </row>
    <row r="877" spans="1:8">
      <c r="A877" s="27"/>
      <c r="C877" s="28"/>
      <c r="D877" s="28"/>
      <c r="E877" s="216"/>
      <c r="F877" s="50"/>
      <c r="G877" s="50"/>
      <c r="H877" s="50"/>
    </row>
    <row r="878" spans="1:8">
      <c r="A878" s="27"/>
      <c r="C878" s="28"/>
      <c r="D878" s="28"/>
      <c r="E878" s="216"/>
      <c r="F878" s="50"/>
      <c r="G878" s="50"/>
      <c r="H878" s="50"/>
    </row>
    <row r="879" spans="1:8">
      <c r="A879" s="27"/>
      <c r="C879" s="28"/>
      <c r="D879" s="28"/>
      <c r="E879" s="216"/>
      <c r="F879" s="50"/>
      <c r="G879" s="50"/>
      <c r="H879" s="50"/>
    </row>
    <row r="880" spans="1:8">
      <c r="A880" s="27"/>
      <c r="C880" s="28"/>
      <c r="D880" s="28"/>
      <c r="E880" s="216"/>
      <c r="F880" s="50"/>
      <c r="G880" s="50"/>
      <c r="H880" s="50"/>
    </row>
    <row r="881" spans="1:8">
      <c r="A881" s="27"/>
      <c r="C881" s="28"/>
      <c r="D881" s="28"/>
      <c r="E881" s="216"/>
      <c r="F881" s="50"/>
      <c r="G881" s="50"/>
      <c r="H881" s="50"/>
    </row>
    <row r="882" spans="1:8">
      <c r="A882" s="27"/>
      <c r="C882" s="28"/>
      <c r="D882" s="28"/>
      <c r="E882" s="216"/>
      <c r="F882" s="50"/>
      <c r="G882" s="50"/>
      <c r="H882" s="50"/>
    </row>
    <row r="883" spans="1:8">
      <c r="A883" s="27"/>
      <c r="C883" s="28"/>
      <c r="D883" s="28"/>
      <c r="E883" s="216"/>
      <c r="F883" s="50"/>
      <c r="G883" s="50"/>
      <c r="H883" s="50"/>
    </row>
    <row r="884" spans="1:8">
      <c r="A884" s="27"/>
      <c r="C884" s="28"/>
      <c r="D884" s="28"/>
      <c r="E884" s="216"/>
      <c r="F884" s="50"/>
      <c r="G884" s="50"/>
      <c r="H884" s="50"/>
    </row>
    <row r="885" spans="1:8">
      <c r="A885" s="27"/>
      <c r="C885" s="28"/>
      <c r="D885" s="28"/>
      <c r="E885" s="216"/>
      <c r="F885" s="50"/>
      <c r="G885" s="50"/>
      <c r="H885" s="50"/>
    </row>
    <row r="886" spans="1:8">
      <c r="A886" s="27"/>
      <c r="C886" s="28"/>
      <c r="D886" s="28"/>
      <c r="E886" s="216"/>
      <c r="F886" s="50"/>
      <c r="G886" s="50"/>
      <c r="H886" s="50"/>
    </row>
    <row r="887" spans="1:8">
      <c r="A887" s="27"/>
      <c r="C887" s="28"/>
      <c r="D887" s="28"/>
      <c r="E887" s="216"/>
      <c r="F887" s="50"/>
      <c r="G887" s="50"/>
      <c r="H887" s="50"/>
    </row>
    <row r="888" spans="1:8">
      <c r="A888" s="27"/>
      <c r="C888" s="28"/>
      <c r="D888" s="28"/>
      <c r="E888" s="216"/>
      <c r="F888" s="50"/>
      <c r="G888" s="50"/>
      <c r="H888" s="50"/>
    </row>
    <row r="889" spans="1:8">
      <c r="A889" s="27"/>
      <c r="C889" s="28"/>
      <c r="D889" s="28"/>
      <c r="E889" s="216"/>
      <c r="F889" s="50"/>
      <c r="G889" s="50"/>
      <c r="H889" s="50"/>
    </row>
    <row r="890" spans="1:8">
      <c r="A890" s="27"/>
      <c r="C890" s="28"/>
      <c r="D890" s="28"/>
      <c r="E890" s="216"/>
      <c r="F890" s="50"/>
      <c r="G890" s="50"/>
      <c r="H890" s="50"/>
    </row>
    <row r="891" spans="1:8">
      <c r="A891" s="27"/>
      <c r="C891" s="28"/>
      <c r="D891" s="28"/>
      <c r="E891" s="216"/>
      <c r="F891" s="50"/>
      <c r="G891" s="50"/>
      <c r="H891" s="50"/>
    </row>
    <row r="892" spans="1:8">
      <c r="A892" s="27"/>
      <c r="C892" s="28"/>
      <c r="D892" s="28"/>
      <c r="E892" s="216"/>
      <c r="F892" s="50"/>
      <c r="G892" s="50"/>
      <c r="H892" s="50"/>
    </row>
    <row r="893" spans="1:8">
      <c r="A893" s="27"/>
      <c r="C893" s="28"/>
      <c r="D893" s="28"/>
      <c r="E893" s="216"/>
      <c r="F893" s="50"/>
      <c r="G893" s="50"/>
      <c r="H893" s="50"/>
    </row>
    <row r="894" spans="1:8">
      <c r="A894" s="27"/>
      <c r="C894" s="28"/>
      <c r="D894" s="28"/>
      <c r="E894" s="216"/>
      <c r="F894" s="50"/>
      <c r="G894" s="50"/>
      <c r="H894" s="50"/>
    </row>
    <row r="895" spans="1:8">
      <c r="A895" s="27"/>
      <c r="C895" s="28"/>
      <c r="D895" s="28"/>
      <c r="E895" s="216"/>
      <c r="F895" s="50"/>
      <c r="G895" s="50"/>
      <c r="H895" s="50"/>
    </row>
    <row r="896" spans="1:8">
      <c r="A896" s="27"/>
      <c r="C896" s="28"/>
      <c r="D896" s="28"/>
      <c r="E896" s="216"/>
      <c r="F896" s="50"/>
      <c r="G896" s="50"/>
      <c r="H896" s="50"/>
    </row>
    <row r="897" spans="1:8">
      <c r="A897" s="27"/>
      <c r="C897" s="28"/>
      <c r="D897" s="28"/>
      <c r="E897" s="216"/>
      <c r="F897" s="50"/>
      <c r="G897" s="50"/>
      <c r="H897" s="50"/>
    </row>
    <row r="898" spans="1:8">
      <c r="A898" s="27"/>
      <c r="C898" s="28"/>
      <c r="D898" s="28"/>
      <c r="E898" s="216"/>
      <c r="F898" s="50"/>
      <c r="G898" s="50"/>
      <c r="H898" s="50"/>
    </row>
    <row r="899" spans="1:8">
      <c r="A899" s="27"/>
      <c r="C899" s="28"/>
      <c r="D899" s="28"/>
      <c r="E899" s="216"/>
      <c r="F899" s="50"/>
      <c r="G899" s="50"/>
      <c r="H899" s="50"/>
    </row>
    <row r="900" spans="1:8">
      <c r="A900" s="27"/>
      <c r="C900" s="28"/>
      <c r="D900" s="28"/>
      <c r="E900" s="216"/>
      <c r="F900" s="50"/>
      <c r="G900" s="50"/>
      <c r="H900" s="50"/>
    </row>
    <row r="901" spans="1:8">
      <c r="A901" s="27"/>
      <c r="C901" s="28"/>
      <c r="D901" s="28"/>
      <c r="E901" s="216"/>
      <c r="F901" s="50"/>
      <c r="G901" s="50"/>
      <c r="H901" s="50"/>
    </row>
    <row r="902" spans="1:8">
      <c r="A902" s="27"/>
      <c r="C902" s="28"/>
      <c r="D902" s="28"/>
      <c r="E902" s="216"/>
      <c r="F902" s="50"/>
      <c r="G902" s="50"/>
      <c r="H902" s="50"/>
    </row>
    <row r="903" spans="1:8">
      <c r="A903" s="27"/>
      <c r="C903" s="28"/>
      <c r="D903" s="28"/>
      <c r="E903" s="216"/>
      <c r="F903" s="50"/>
      <c r="G903" s="50"/>
      <c r="H903" s="50"/>
    </row>
    <row r="904" spans="1:8">
      <c r="A904" s="27"/>
      <c r="C904" s="28"/>
      <c r="D904" s="28"/>
      <c r="E904" s="216"/>
      <c r="F904" s="50"/>
      <c r="G904" s="50"/>
      <c r="H904" s="50"/>
    </row>
    <row r="905" spans="1:8">
      <c r="A905" s="27"/>
      <c r="C905" s="28"/>
      <c r="D905" s="28"/>
      <c r="E905" s="216"/>
      <c r="F905" s="50"/>
      <c r="G905" s="50"/>
      <c r="H905" s="50"/>
    </row>
    <row r="906" spans="1:8">
      <c r="A906" s="27"/>
      <c r="C906" s="28"/>
      <c r="D906" s="28"/>
      <c r="E906" s="216"/>
      <c r="F906" s="50"/>
      <c r="G906" s="50"/>
      <c r="H906" s="50"/>
    </row>
    <row r="907" spans="1:8">
      <c r="A907" s="27"/>
      <c r="C907" s="28"/>
      <c r="D907" s="28"/>
      <c r="E907" s="216"/>
      <c r="F907" s="50"/>
      <c r="G907" s="50"/>
      <c r="H907" s="50"/>
    </row>
    <row r="908" spans="1:8">
      <c r="A908" s="27"/>
      <c r="C908" s="28"/>
      <c r="D908" s="28"/>
      <c r="E908" s="216"/>
      <c r="F908" s="50"/>
      <c r="G908" s="50"/>
      <c r="H908" s="50"/>
    </row>
    <row r="909" spans="1:8">
      <c r="A909" s="27"/>
      <c r="C909" s="28"/>
      <c r="D909" s="28"/>
      <c r="E909" s="216"/>
      <c r="F909" s="50"/>
      <c r="G909" s="50"/>
      <c r="H909" s="50"/>
    </row>
    <row r="910" spans="1:8">
      <c r="A910" s="27"/>
      <c r="C910" s="28"/>
      <c r="D910" s="28"/>
      <c r="E910" s="216"/>
      <c r="F910" s="50"/>
      <c r="G910" s="50"/>
      <c r="H910" s="50"/>
    </row>
    <row r="911" spans="1:8">
      <c r="A911" s="27"/>
      <c r="C911" s="28"/>
      <c r="D911" s="28"/>
      <c r="E911" s="216"/>
      <c r="F911" s="50"/>
      <c r="G911" s="50"/>
      <c r="H911" s="50"/>
    </row>
    <row r="912" spans="1:8">
      <c r="A912" s="27"/>
      <c r="C912" s="28"/>
      <c r="D912" s="28"/>
      <c r="E912" s="216"/>
      <c r="F912" s="50"/>
      <c r="G912" s="50"/>
      <c r="H912" s="50"/>
    </row>
    <row r="913" spans="1:8">
      <c r="A913" s="27"/>
      <c r="C913" s="28"/>
      <c r="D913" s="28"/>
      <c r="E913" s="216"/>
      <c r="F913" s="50"/>
      <c r="G913" s="50"/>
      <c r="H913" s="50"/>
    </row>
    <row r="914" spans="1:8">
      <c r="A914" s="27"/>
      <c r="C914" s="28"/>
      <c r="D914" s="28"/>
      <c r="E914" s="216"/>
      <c r="F914" s="50"/>
      <c r="G914" s="50"/>
      <c r="H914" s="50"/>
    </row>
    <row r="915" spans="1:8">
      <c r="A915" s="27"/>
      <c r="C915" s="28"/>
      <c r="D915" s="28"/>
      <c r="E915" s="216"/>
      <c r="F915" s="50"/>
      <c r="G915" s="50"/>
      <c r="H915" s="50"/>
    </row>
    <row r="916" spans="1:8">
      <c r="A916" s="27"/>
      <c r="C916" s="28"/>
      <c r="D916" s="28"/>
      <c r="E916" s="216"/>
      <c r="F916" s="50"/>
      <c r="G916" s="50"/>
      <c r="H916" s="50"/>
    </row>
    <row r="917" spans="1:8">
      <c r="A917" s="27"/>
      <c r="C917" s="28"/>
      <c r="D917" s="28"/>
      <c r="E917" s="216"/>
      <c r="F917" s="50"/>
      <c r="G917" s="50"/>
      <c r="H917" s="50"/>
    </row>
    <row r="918" spans="1:8">
      <c r="A918" s="27"/>
      <c r="C918" s="28"/>
      <c r="D918" s="28"/>
      <c r="E918" s="216"/>
      <c r="F918" s="50"/>
      <c r="G918" s="50"/>
      <c r="H918" s="50"/>
    </row>
    <row r="919" spans="1:8">
      <c r="A919" s="27"/>
      <c r="C919" s="28"/>
      <c r="D919" s="28"/>
      <c r="E919" s="216"/>
      <c r="F919" s="50"/>
      <c r="G919" s="50"/>
      <c r="H919" s="50"/>
    </row>
    <row r="920" spans="1:8">
      <c r="A920" s="27"/>
      <c r="C920" s="28"/>
      <c r="D920" s="28"/>
      <c r="E920" s="216"/>
      <c r="F920" s="50"/>
      <c r="G920" s="50"/>
      <c r="H920" s="50"/>
    </row>
    <row r="921" spans="1:8">
      <c r="A921" s="27"/>
      <c r="C921" s="28"/>
      <c r="D921" s="28"/>
      <c r="E921" s="216"/>
      <c r="F921" s="50"/>
      <c r="G921" s="50"/>
      <c r="H921" s="50"/>
    </row>
    <row r="922" spans="1:8">
      <c r="A922" s="27"/>
      <c r="C922" s="28"/>
      <c r="D922" s="28"/>
      <c r="E922" s="216"/>
      <c r="F922" s="50"/>
      <c r="G922" s="50"/>
      <c r="H922" s="50"/>
    </row>
    <row r="923" spans="1:8">
      <c r="A923" s="27"/>
      <c r="C923" s="28"/>
      <c r="D923" s="28"/>
      <c r="E923" s="216"/>
      <c r="F923" s="50"/>
      <c r="G923" s="50"/>
      <c r="H923" s="50"/>
    </row>
    <row r="924" spans="1:8">
      <c r="A924" s="27"/>
      <c r="C924" s="28"/>
      <c r="D924" s="28"/>
      <c r="E924" s="216"/>
      <c r="F924" s="50"/>
      <c r="G924" s="50"/>
      <c r="H924" s="50"/>
    </row>
    <row r="925" spans="1:8">
      <c r="A925" s="27"/>
      <c r="C925" s="28"/>
      <c r="D925" s="28"/>
      <c r="E925" s="216"/>
      <c r="F925" s="50"/>
      <c r="G925" s="50"/>
      <c r="H925" s="50"/>
    </row>
    <row r="926" spans="1:8">
      <c r="A926" s="27"/>
      <c r="C926" s="28"/>
      <c r="D926" s="28"/>
      <c r="E926" s="216"/>
      <c r="F926" s="50"/>
      <c r="G926" s="50"/>
      <c r="H926" s="50"/>
    </row>
    <row r="927" spans="1:8">
      <c r="A927" s="27"/>
      <c r="C927" s="28"/>
      <c r="D927" s="28"/>
      <c r="E927" s="216"/>
      <c r="F927" s="50"/>
      <c r="G927" s="50"/>
      <c r="H927" s="50"/>
    </row>
    <row r="928" spans="1:8">
      <c r="A928" s="27"/>
      <c r="C928" s="28"/>
      <c r="D928" s="28"/>
      <c r="E928" s="216"/>
      <c r="F928" s="50"/>
      <c r="G928" s="50"/>
      <c r="H928" s="50"/>
    </row>
    <row r="929" spans="1:8">
      <c r="A929" s="27"/>
      <c r="C929" s="28"/>
      <c r="D929" s="28"/>
      <c r="E929" s="216"/>
      <c r="F929" s="50"/>
      <c r="G929" s="50"/>
      <c r="H929" s="50"/>
    </row>
    <row r="930" spans="1:8">
      <c r="A930" s="27"/>
      <c r="C930" s="28"/>
      <c r="D930" s="28"/>
      <c r="E930" s="216"/>
      <c r="F930" s="50"/>
      <c r="G930" s="50"/>
      <c r="H930" s="50"/>
    </row>
    <row r="931" spans="1:8">
      <c r="A931" s="27"/>
      <c r="C931" s="28"/>
      <c r="D931" s="28"/>
      <c r="E931" s="216"/>
      <c r="F931" s="50"/>
      <c r="G931" s="50"/>
      <c r="H931" s="50"/>
    </row>
    <row r="932" spans="1:8">
      <c r="A932" s="27"/>
      <c r="C932" s="28"/>
      <c r="D932" s="28"/>
      <c r="E932" s="216"/>
      <c r="F932" s="50"/>
      <c r="G932" s="50"/>
      <c r="H932" s="50"/>
    </row>
    <row r="933" spans="1:8">
      <c r="A933" s="27"/>
      <c r="C933" s="28"/>
      <c r="D933" s="28"/>
      <c r="E933" s="216"/>
      <c r="F933" s="50"/>
      <c r="G933" s="50"/>
      <c r="H933" s="50"/>
    </row>
    <row r="934" spans="1:8">
      <c r="A934" s="27"/>
      <c r="C934" s="28"/>
      <c r="D934" s="28"/>
      <c r="E934" s="216"/>
      <c r="F934" s="50"/>
      <c r="G934" s="50"/>
      <c r="H934" s="50"/>
    </row>
    <row r="935" spans="1:8">
      <c r="A935" s="27"/>
      <c r="C935" s="28"/>
      <c r="D935" s="28"/>
      <c r="E935" s="216"/>
      <c r="F935" s="50"/>
      <c r="G935" s="50"/>
      <c r="H935" s="50"/>
    </row>
    <row r="936" spans="1:8">
      <c r="A936" s="27"/>
      <c r="C936" s="28"/>
      <c r="D936" s="28"/>
      <c r="E936" s="216"/>
      <c r="F936" s="50"/>
      <c r="G936" s="50"/>
      <c r="H936" s="50"/>
    </row>
    <row r="937" spans="1:8">
      <c r="A937" s="27"/>
      <c r="C937" s="28"/>
      <c r="D937" s="28"/>
      <c r="E937" s="216"/>
      <c r="F937" s="50"/>
      <c r="G937" s="50"/>
      <c r="H937" s="50"/>
    </row>
    <row r="938" spans="1:8">
      <c r="A938" s="27"/>
      <c r="C938" s="28"/>
      <c r="D938" s="28"/>
      <c r="E938" s="216"/>
      <c r="F938" s="50"/>
      <c r="G938" s="50"/>
      <c r="H938" s="50"/>
    </row>
    <row r="939" spans="1:8">
      <c r="A939" s="27"/>
      <c r="C939" s="28"/>
      <c r="D939" s="28"/>
      <c r="E939" s="216"/>
      <c r="F939" s="50"/>
      <c r="G939" s="50"/>
      <c r="H939" s="50"/>
    </row>
    <row r="940" spans="1:8">
      <c r="A940" s="27"/>
      <c r="C940" s="28"/>
      <c r="D940" s="28"/>
      <c r="E940" s="216"/>
      <c r="F940" s="50"/>
      <c r="G940" s="50"/>
      <c r="H940" s="50"/>
    </row>
    <row r="941" spans="1:8">
      <c r="A941" s="27"/>
      <c r="C941" s="28"/>
      <c r="D941" s="28"/>
      <c r="E941" s="216"/>
      <c r="F941" s="50"/>
      <c r="G941" s="50"/>
      <c r="H941" s="50"/>
    </row>
    <row r="942" spans="1:8">
      <c r="A942" s="27"/>
      <c r="C942" s="28"/>
      <c r="D942" s="28"/>
      <c r="E942" s="216"/>
      <c r="F942" s="50"/>
      <c r="G942" s="50"/>
      <c r="H942" s="50"/>
    </row>
    <row r="943" spans="1:8">
      <c r="A943" s="27"/>
      <c r="C943" s="28"/>
      <c r="D943" s="28"/>
      <c r="E943" s="216"/>
      <c r="F943" s="50"/>
      <c r="G943" s="50"/>
      <c r="H943" s="50"/>
    </row>
    <row r="944" spans="1:8">
      <c r="A944" s="27"/>
      <c r="C944" s="28"/>
      <c r="D944" s="28"/>
      <c r="E944" s="216"/>
      <c r="F944" s="50"/>
      <c r="G944" s="50"/>
      <c r="H944" s="50"/>
    </row>
    <row r="945" spans="1:8">
      <c r="A945" s="27"/>
      <c r="C945" s="28"/>
      <c r="D945" s="28"/>
      <c r="E945" s="216"/>
      <c r="F945" s="50"/>
      <c r="G945" s="50"/>
      <c r="H945" s="50"/>
    </row>
    <row r="946" spans="1:8">
      <c r="A946" s="27"/>
      <c r="C946" s="28"/>
      <c r="D946" s="28"/>
      <c r="E946" s="216"/>
      <c r="F946" s="50"/>
      <c r="G946" s="50"/>
      <c r="H946" s="50"/>
    </row>
    <row r="947" spans="1:8">
      <c r="A947" s="27"/>
      <c r="C947" s="28"/>
      <c r="D947" s="28"/>
      <c r="E947" s="216"/>
      <c r="F947" s="50"/>
      <c r="G947" s="50"/>
      <c r="H947" s="50"/>
    </row>
    <row r="948" spans="1:8">
      <c r="A948" s="27"/>
      <c r="C948" s="28"/>
      <c r="D948" s="28"/>
      <c r="E948" s="216"/>
      <c r="F948" s="50"/>
      <c r="G948" s="50"/>
      <c r="H948" s="50"/>
    </row>
    <row r="949" spans="1:8">
      <c r="A949" s="27"/>
      <c r="C949" s="28"/>
      <c r="D949" s="28"/>
      <c r="E949" s="216"/>
      <c r="F949" s="50"/>
      <c r="G949" s="50"/>
      <c r="H949" s="50"/>
    </row>
    <row r="950" spans="1:8">
      <c r="A950" s="27"/>
      <c r="C950" s="28"/>
      <c r="D950" s="28"/>
      <c r="E950" s="216"/>
      <c r="F950" s="50"/>
      <c r="G950" s="50"/>
      <c r="H950" s="50"/>
    </row>
    <row r="951" spans="1:8">
      <c r="A951" s="27"/>
      <c r="C951" s="28"/>
      <c r="D951" s="28"/>
      <c r="E951" s="216"/>
      <c r="F951" s="50"/>
      <c r="G951" s="50"/>
      <c r="H951" s="50"/>
    </row>
    <row r="952" spans="1:8">
      <c r="A952" s="27"/>
      <c r="C952" s="28"/>
      <c r="D952" s="28"/>
      <c r="E952" s="216"/>
      <c r="F952" s="50"/>
      <c r="G952" s="50"/>
      <c r="H952" s="50"/>
    </row>
    <row r="953" spans="1:8">
      <c r="A953" s="27"/>
      <c r="C953" s="28"/>
      <c r="D953" s="28"/>
      <c r="E953" s="216"/>
      <c r="F953" s="50"/>
      <c r="G953" s="50"/>
      <c r="H953" s="50"/>
    </row>
    <row r="954" spans="1:8">
      <c r="A954" s="27"/>
      <c r="C954" s="28"/>
      <c r="D954" s="28"/>
      <c r="E954" s="216"/>
      <c r="F954" s="50"/>
      <c r="G954" s="50"/>
      <c r="H954" s="50"/>
    </row>
    <row r="955" spans="1:8">
      <c r="A955" s="27"/>
      <c r="C955" s="28"/>
      <c r="D955" s="28"/>
      <c r="E955" s="216"/>
      <c r="F955" s="50"/>
      <c r="G955" s="50"/>
      <c r="H955" s="50"/>
    </row>
    <row r="956" spans="1:8">
      <c r="A956" s="27"/>
      <c r="C956" s="28"/>
      <c r="D956" s="28"/>
      <c r="E956" s="216"/>
      <c r="F956" s="50"/>
      <c r="G956" s="50"/>
      <c r="H956" s="50"/>
    </row>
    <row r="957" spans="1:8">
      <c r="A957" s="27"/>
      <c r="C957" s="28"/>
      <c r="D957" s="28"/>
      <c r="E957" s="216"/>
      <c r="F957" s="50"/>
      <c r="G957" s="50"/>
      <c r="H957" s="50"/>
    </row>
  </sheetData>
  <autoFilter xmlns:etc="http://www.wps.cn/officeDocument/2017/etCustomData" ref="A4:H208" etc:filterBottomFollowUsedRange="0">
    <sortState ref="A4:H208">
      <sortCondition ref="B4:B207"/>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F0"/>
    <pageSetUpPr fitToPage="1"/>
  </sheetPr>
  <dimension ref="A1:I947"/>
  <sheetViews>
    <sheetView showGridLines="0" view="pageBreakPreview" zoomScale="90" zoomScaleNormal="100" topLeftCell="A75" workbookViewId="0">
      <selection activeCell="E27" sqref="E27"/>
    </sheetView>
  </sheetViews>
  <sheetFormatPr defaultColWidth="9.12962962962963" defaultRowHeight="13.8"/>
  <cols>
    <col min="1" max="1" width="7.62962962962963" style="31" customWidth="1"/>
    <col min="2" max="2" width="39.5" style="27" customWidth="1"/>
    <col min="3" max="4" width="30.75" style="32" customWidth="1"/>
    <col min="5" max="8" width="13.8796296296296" style="45" customWidth="1"/>
    <col min="9" max="16384" width="9.12962962962963" style="31"/>
  </cols>
  <sheetData>
    <row r="1" spans="1:8">
      <c r="A1" s="6" t="s">
        <v>334</v>
      </c>
      <c r="B1" s="6"/>
      <c r="C1" s="7"/>
      <c r="D1" s="7"/>
      <c r="E1" s="6"/>
      <c r="F1" s="6"/>
      <c r="G1" s="6"/>
      <c r="H1" s="6"/>
    </row>
    <row r="2" spans="1:8">
      <c r="A2" s="8" t="s">
        <v>4</v>
      </c>
      <c r="B2" s="8"/>
      <c r="C2" s="8"/>
      <c r="D2" s="8"/>
      <c r="E2" s="34"/>
      <c r="F2" s="34"/>
      <c r="G2" s="34"/>
      <c r="H2" s="34"/>
    </row>
    <row r="3" spans="1:8">
      <c r="A3" s="9" t="s">
        <v>5</v>
      </c>
      <c r="B3" s="9" t="s">
        <v>6</v>
      </c>
      <c r="C3" s="9" t="s">
        <v>7</v>
      </c>
      <c r="D3" s="9"/>
      <c r="E3" s="10" t="s">
        <v>8</v>
      </c>
      <c r="F3" s="10"/>
      <c r="G3" s="10"/>
      <c r="H3" s="10"/>
    </row>
    <row r="4" spans="1:8">
      <c r="A4" s="11"/>
      <c r="B4" s="11"/>
      <c r="C4" s="9" t="s">
        <v>9</v>
      </c>
      <c r="D4" s="9" t="s">
        <v>10</v>
      </c>
      <c r="E4" s="10" t="s">
        <v>11</v>
      </c>
      <c r="F4" s="10" t="s">
        <v>12</v>
      </c>
      <c r="G4" s="10" t="s">
        <v>13</v>
      </c>
      <c r="H4" s="10" t="s">
        <v>14</v>
      </c>
    </row>
    <row r="5" spans="1:8">
      <c r="A5" s="39" t="s">
        <v>15</v>
      </c>
      <c r="B5" s="82"/>
      <c r="C5" s="82"/>
      <c r="D5" s="82"/>
      <c r="E5" s="10" t="s">
        <v>16</v>
      </c>
      <c r="F5" s="10" t="s">
        <v>16</v>
      </c>
      <c r="G5" s="10" t="s">
        <v>16</v>
      </c>
      <c r="H5" s="10" t="s">
        <v>16</v>
      </c>
    </row>
    <row r="6" spans="1:8">
      <c r="A6" s="16">
        <v>1</v>
      </c>
      <c r="B6" s="20" t="s">
        <v>335</v>
      </c>
      <c r="C6" s="18" t="s">
        <v>336</v>
      </c>
      <c r="D6" s="18" t="s">
        <v>337</v>
      </c>
      <c r="E6" s="38">
        <v>750000</v>
      </c>
      <c r="F6" s="38">
        <v>425000</v>
      </c>
      <c r="G6" s="38">
        <v>275000</v>
      </c>
      <c r="H6" s="38">
        <v>160000</v>
      </c>
    </row>
    <row r="7" spans="1:8">
      <c r="A7" s="16">
        <v>2</v>
      </c>
      <c r="B7" s="20" t="s">
        <v>338</v>
      </c>
      <c r="C7" s="18" t="s">
        <v>339</v>
      </c>
      <c r="D7" s="18" t="s">
        <v>337</v>
      </c>
      <c r="E7" s="38">
        <v>600000</v>
      </c>
      <c r="F7" s="38">
        <v>340000</v>
      </c>
      <c r="G7" s="38">
        <v>220000</v>
      </c>
      <c r="H7" s="38">
        <v>125000</v>
      </c>
    </row>
    <row r="8" ht="41.4" spans="1:8">
      <c r="A8" s="16">
        <v>3</v>
      </c>
      <c r="B8" s="20" t="s">
        <v>340</v>
      </c>
      <c r="C8" s="18" t="s">
        <v>341</v>
      </c>
      <c r="D8" s="18" t="s">
        <v>342</v>
      </c>
      <c r="E8" s="38">
        <v>2600000</v>
      </c>
      <c r="F8" s="38">
        <v>1500000</v>
      </c>
      <c r="G8" s="38">
        <v>950000</v>
      </c>
      <c r="H8" s="38">
        <v>550000</v>
      </c>
    </row>
    <row r="9" ht="41.4" spans="1:8">
      <c r="A9" s="16"/>
      <c r="B9" s="20" t="s">
        <v>340</v>
      </c>
      <c r="C9" s="18" t="s">
        <v>343</v>
      </c>
      <c r="D9" s="18" t="s">
        <v>344</v>
      </c>
      <c r="E9" s="23">
        <v>1000000</v>
      </c>
      <c r="F9" s="23">
        <v>550000</v>
      </c>
      <c r="G9" s="23">
        <v>370000</v>
      </c>
      <c r="H9" s="23">
        <v>210000</v>
      </c>
    </row>
    <row r="10" ht="27.6" spans="1:8">
      <c r="A10" s="16">
        <v>4</v>
      </c>
      <c r="B10" s="20" t="s">
        <v>345</v>
      </c>
      <c r="C10" s="18" t="s">
        <v>346</v>
      </c>
      <c r="D10" s="18" t="s">
        <v>347</v>
      </c>
      <c r="E10" s="23">
        <v>750000</v>
      </c>
      <c r="F10" s="23">
        <v>425000</v>
      </c>
      <c r="G10" s="23">
        <v>275000</v>
      </c>
      <c r="H10" s="23">
        <v>160000</v>
      </c>
    </row>
    <row r="11" ht="27.6" spans="1:8">
      <c r="A11" s="16"/>
      <c r="B11" s="20" t="s">
        <v>345</v>
      </c>
      <c r="C11" s="18" t="s">
        <v>348</v>
      </c>
      <c r="D11" s="18" t="s">
        <v>349</v>
      </c>
      <c r="E11" s="23">
        <v>750000</v>
      </c>
      <c r="F11" s="23">
        <v>425000</v>
      </c>
      <c r="G11" s="23">
        <v>275000</v>
      </c>
      <c r="H11" s="23">
        <v>160000</v>
      </c>
    </row>
    <row r="12" ht="27.6" spans="1:8">
      <c r="A12" s="16"/>
      <c r="B12" s="20" t="s">
        <v>345</v>
      </c>
      <c r="C12" s="18" t="s">
        <v>350</v>
      </c>
      <c r="D12" s="18" t="s">
        <v>351</v>
      </c>
      <c r="E12" s="23">
        <v>750000</v>
      </c>
      <c r="F12" s="23">
        <v>425000</v>
      </c>
      <c r="G12" s="23">
        <v>275000</v>
      </c>
      <c r="H12" s="23">
        <v>160000</v>
      </c>
    </row>
    <row r="13" ht="27.6" spans="1:8">
      <c r="A13" s="16"/>
      <c r="B13" s="20" t="s">
        <v>345</v>
      </c>
      <c r="C13" s="18" t="s">
        <v>352</v>
      </c>
      <c r="D13" s="18" t="s">
        <v>353</v>
      </c>
      <c r="E13" s="23">
        <v>750000</v>
      </c>
      <c r="F13" s="23">
        <v>425000</v>
      </c>
      <c r="G13" s="23">
        <v>275000</v>
      </c>
      <c r="H13" s="23">
        <v>160000</v>
      </c>
    </row>
    <row r="14" ht="27.6" spans="1:8">
      <c r="A14" s="16">
        <v>5</v>
      </c>
      <c r="B14" s="20" t="s">
        <v>354</v>
      </c>
      <c r="C14" s="18" t="s">
        <v>355</v>
      </c>
      <c r="D14" s="18" t="s">
        <v>356</v>
      </c>
      <c r="E14" s="23">
        <v>600000</v>
      </c>
      <c r="F14" s="23">
        <v>340000</v>
      </c>
      <c r="G14" s="23">
        <v>220000</v>
      </c>
      <c r="H14" s="23">
        <v>125000</v>
      </c>
    </row>
    <row r="15" spans="1:8">
      <c r="A15" s="16">
        <v>6</v>
      </c>
      <c r="B15" s="20" t="s">
        <v>357</v>
      </c>
      <c r="C15" s="18" t="s">
        <v>358</v>
      </c>
      <c r="D15" s="18" t="s">
        <v>359</v>
      </c>
      <c r="E15" s="23">
        <v>750000</v>
      </c>
      <c r="F15" s="23">
        <v>425000</v>
      </c>
      <c r="G15" s="23">
        <v>275000</v>
      </c>
      <c r="H15" s="23">
        <v>160000</v>
      </c>
    </row>
    <row r="16" spans="1:8">
      <c r="A16" s="16"/>
      <c r="B16" s="20" t="s">
        <v>357</v>
      </c>
      <c r="C16" s="18" t="s">
        <v>359</v>
      </c>
      <c r="D16" s="18" t="s">
        <v>360</v>
      </c>
      <c r="E16" s="23">
        <v>600000</v>
      </c>
      <c r="F16" s="23">
        <v>340000</v>
      </c>
      <c r="G16" s="23">
        <v>220000</v>
      </c>
      <c r="H16" s="23">
        <v>125000</v>
      </c>
    </row>
    <row r="17" spans="1:8">
      <c r="A17" s="16">
        <v>7</v>
      </c>
      <c r="B17" s="20" t="s">
        <v>361</v>
      </c>
      <c r="C17" s="18" t="s">
        <v>362</v>
      </c>
      <c r="D17" s="18" t="s">
        <v>355</v>
      </c>
      <c r="E17" s="23">
        <v>600000</v>
      </c>
      <c r="F17" s="23">
        <v>340000</v>
      </c>
      <c r="G17" s="23">
        <v>220000</v>
      </c>
      <c r="H17" s="23">
        <v>125000</v>
      </c>
    </row>
    <row r="18" ht="41.4" spans="1:8">
      <c r="A18" s="16">
        <v>8</v>
      </c>
      <c r="B18" s="20" t="s">
        <v>363</v>
      </c>
      <c r="C18" s="18" t="s">
        <v>364</v>
      </c>
      <c r="D18" s="18" t="s">
        <v>365</v>
      </c>
      <c r="E18" s="23">
        <v>1000000</v>
      </c>
      <c r="F18" s="23">
        <v>550000</v>
      </c>
      <c r="G18" s="23">
        <v>370000</v>
      </c>
      <c r="H18" s="23">
        <v>210000</v>
      </c>
    </row>
    <row r="19" ht="41.4" spans="1:8">
      <c r="A19" s="16"/>
      <c r="B19" s="20" t="s">
        <v>363</v>
      </c>
      <c r="C19" s="18" t="s">
        <v>365</v>
      </c>
      <c r="D19" s="18" t="s">
        <v>337</v>
      </c>
      <c r="E19" s="23">
        <v>750000</v>
      </c>
      <c r="F19" s="23">
        <v>425000</v>
      </c>
      <c r="G19" s="23">
        <v>275000</v>
      </c>
      <c r="H19" s="23">
        <v>160000</v>
      </c>
    </row>
    <row r="20" spans="1:8">
      <c r="A20" s="16">
        <v>9</v>
      </c>
      <c r="B20" s="20" t="s">
        <v>366</v>
      </c>
      <c r="C20" s="20" t="s">
        <v>367</v>
      </c>
      <c r="D20" s="20" t="s">
        <v>368</v>
      </c>
      <c r="E20" s="23">
        <v>2600000</v>
      </c>
      <c r="F20" s="23">
        <v>1500000</v>
      </c>
      <c r="G20" s="23">
        <v>950000</v>
      </c>
      <c r="H20" s="23">
        <v>550000</v>
      </c>
    </row>
    <row r="21" spans="1:8">
      <c r="A21" s="16">
        <v>10</v>
      </c>
      <c r="B21" s="20" t="s">
        <v>369</v>
      </c>
      <c r="C21" s="18" t="s">
        <v>370</v>
      </c>
      <c r="D21" s="18" t="s">
        <v>371</v>
      </c>
      <c r="E21" s="23">
        <v>1000000</v>
      </c>
      <c r="F21" s="23">
        <v>550000</v>
      </c>
      <c r="G21" s="23">
        <v>370000</v>
      </c>
      <c r="H21" s="23">
        <v>210000</v>
      </c>
    </row>
    <row r="22" ht="27.6" spans="1:8">
      <c r="A22" s="16">
        <v>11</v>
      </c>
      <c r="B22" s="20" t="s">
        <v>372</v>
      </c>
      <c r="C22" s="18" t="s">
        <v>373</v>
      </c>
      <c r="D22" s="18" t="s">
        <v>374</v>
      </c>
      <c r="E22" s="23">
        <v>1000000</v>
      </c>
      <c r="F22" s="23">
        <v>550000</v>
      </c>
      <c r="G22" s="23">
        <v>370000</v>
      </c>
      <c r="H22" s="23">
        <v>210000</v>
      </c>
    </row>
    <row r="23" ht="27.6" spans="1:8">
      <c r="A23" s="16">
        <v>12</v>
      </c>
      <c r="B23" s="20" t="s">
        <v>375</v>
      </c>
      <c r="C23" s="18" t="s">
        <v>376</v>
      </c>
      <c r="D23" s="18" t="s">
        <v>377</v>
      </c>
      <c r="E23" s="23">
        <v>750000</v>
      </c>
      <c r="F23" s="23">
        <v>425000</v>
      </c>
      <c r="G23" s="23">
        <v>275000</v>
      </c>
      <c r="H23" s="23">
        <v>160000</v>
      </c>
    </row>
    <row r="24" spans="1:8">
      <c r="A24" s="16">
        <v>13</v>
      </c>
      <c r="B24" s="20" t="s">
        <v>367</v>
      </c>
      <c r="C24" s="18" t="s">
        <v>364</v>
      </c>
      <c r="D24" s="18" t="s">
        <v>378</v>
      </c>
      <c r="E24" s="23">
        <v>1450000</v>
      </c>
      <c r="F24" s="23">
        <v>850000</v>
      </c>
      <c r="G24" s="23">
        <v>550000</v>
      </c>
      <c r="H24" s="23">
        <v>305000</v>
      </c>
    </row>
    <row r="25" ht="27.6" spans="1:8">
      <c r="A25" s="16">
        <v>14</v>
      </c>
      <c r="B25" s="20" t="s">
        <v>379</v>
      </c>
      <c r="C25" s="18" t="s">
        <v>364</v>
      </c>
      <c r="D25" s="18" t="s">
        <v>380</v>
      </c>
      <c r="E25" s="23">
        <v>1000000</v>
      </c>
      <c r="F25" s="23">
        <v>550000</v>
      </c>
      <c r="G25" s="23">
        <v>370000</v>
      </c>
      <c r="H25" s="23">
        <v>210000</v>
      </c>
    </row>
    <row r="26" ht="27.6" spans="1:8">
      <c r="A26" s="16"/>
      <c r="B26" s="20" t="s">
        <v>379</v>
      </c>
      <c r="C26" s="18" t="s">
        <v>380</v>
      </c>
      <c r="D26" s="18" t="s">
        <v>381</v>
      </c>
      <c r="E26" s="23">
        <v>1800000</v>
      </c>
      <c r="F26" s="23">
        <v>1050000</v>
      </c>
      <c r="G26" s="23">
        <v>650000</v>
      </c>
      <c r="H26" s="23">
        <v>380000</v>
      </c>
    </row>
    <row r="27" ht="27.6" spans="1:8">
      <c r="A27" s="16">
        <v>15</v>
      </c>
      <c r="B27" s="20" t="s">
        <v>382</v>
      </c>
      <c r="C27" s="18" t="s">
        <v>364</v>
      </c>
      <c r="D27" s="18" t="s">
        <v>383</v>
      </c>
      <c r="E27" s="23">
        <v>1350000</v>
      </c>
      <c r="F27" s="23">
        <v>750000</v>
      </c>
      <c r="G27" s="23">
        <v>500000</v>
      </c>
      <c r="H27" s="23">
        <v>285000</v>
      </c>
    </row>
    <row r="28" spans="1:8">
      <c r="A28" s="16">
        <v>16</v>
      </c>
      <c r="B28" s="20" t="s">
        <v>381</v>
      </c>
      <c r="C28" s="18" t="s">
        <v>370</v>
      </c>
      <c r="D28" s="18" t="s">
        <v>384</v>
      </c>
      <c r="E28" s="23">
        <v>1350000</v>
      </c>
      <c r="F28" s="23">
        <v>750000</v>
      </c>
      <c r="G28" s="23">
        <v>500000</v>
      </c>
      <c r="H28" s="23">
        <v>285000</v>
      </c>
    </row>
    <row r="29" spans="1:8">
      <c r="A29" s="16">
        <v>17</v>
      </c>
      <c r="B29" s="20" t="s">
        <v>385</v>
      </c>
      <c r="C29" s="18" t="s">
        <v>373</v>
      </c>
      <c r="D29" s="18" t="s">
        <v>378</v>
      </c>
      <c r="E29" s="23">
        <v>1000000</v>
      </c>
      <c r="F29" s="23">
        <v>550000</v>
      </c>
      <c r="G29" s="23">
        <v>370000</v>
      </c>
      <c r="H29" s="23">
        <v>210000</v>
      </c>
    </row>
    <row r="30" spans="1:8">
      <c r="A30" s="16">
        <v>18</v>
      </c>
      <c r="B30" s="20" t="s">
        <v>378</v>
      </c>
      <c r="C30" s="18" t="s">
        <v>341</v>
      </c>
      <c r="D30" s="18" t="s">
        <v>367</v>
      </c>
      <c r="E30" s="23">
        <v>1000000</v>
      </c>
      <c r="F30" s="23">
        <v>550000</v>
      </c>
      <c r="G30" s="23">
        <v>370000</v>
      </c>
      <c r="H30" s="23">
        <v>210000</v>
      </c>
    </row>
    <row r="31" spans="1:8">
      <c r="A31" s="16"/>
      <c r="B31" s="20" t="s">
        <v>378</v>
      </c>
      <c r="C31" s="18" t="s">
        <v>367</v>
      </c>
      <c r="D31" s="18" t="s">
        <v>376</v>
      </c>
      <c r="E31" s="23">
        <v>750000</v>
      </c>
      <c r="F31" s="23">
        <v>425000</v>
      </c>
      <c r="G31" s="23">
        <v>275000</v>
      </c>
      <c r="H31" s="23">
        <v>160000</v>
      </c>
    </row>
    <row r="32" spans="1:8">
      <c r="A32" s="16">
        <v>19</v>
      </c>
      <c r="B32" s="20" t="s">
        <v>386</v>
      </c>
      <c r="C32" s="18" t="s">
        <v>358</v>
      </c>
      <c r="D32" s="18" t="s">
        <v>387</v>
      </c>
      <c r="E32" s="23">
        <v>750000</v>
      </c>
      <c r="F32" s="23">
        <v>425000</v>
      </c>
      <c r="G32" s="23">
        <v>275000</v>
      </c>
      <c r="H32" s="23">
        <v>160000</v>
      </c>
    </row>
    <row r="33" spans="1:8">
      <c r="A33" s="16">
        <v>20</v>
      </c>
      <c r="B33" s="20" t="s">
        <v>388</v>
      </c>
      <c r="C33" s="18" t="s">
        <v>358</v>
      </c>
      <c r="D33" s="18" t="s">
        <v>387</v>
      </c>
      <c r="E33" s="23">
        <v>750000</v>
      </c>
      <c r="F33" s="23">
        <v>425000</v>
      </c>
      <c r="G33" s="23">
        <v>275000</v>
      </c>
      <c r="H33" s="23">
        <v>160000</v>
      </c>
    </row>
    <row r="34" spans="1:8">
      <c r="A34" s="16">
        <v>21</v>
      </c>
      <c r="B34" s="20" t="s">
        <v>389</v>
      </c>
      <c r="C34" s="18" t="s">
        <v>358</v>
      </c>
      <c r="D34" s="18" t="s">
        <v>390</v>
      </c>
      <c r="E34" s="23">
        <v>750000</v>
      </c>
      <c r="F34" s="23">
        <v>425000</v>
      </c>
      <c r="G34" s="23">
        <v>275000</v>
      </c>
      <c r="H34" s="23">
        <v>160000</v>
      </c>
    </row>
    <row r="35" ht="27.6" spans="1:8">
      <c r="A35" s="16">
        <v>22</v>
      </c>
      <c r="B35" s="20" t="s">
        <v>391</v>
      </c>
      <c r="C35" s="18" t="s">
        <v>358</v>
      </c>
      <c r="D35" s="18" t="s">
        <v>392</v>
      </c>
      <c r="E35" s="23">
        <v>750000</v>
      </c>
      <c r="F35" s="23">
        <v>425000</v>
      </c>
      <c r="G35" s="23">
        <v>275000</v>
      </c>
      <c r="H35" s="23">
        <v>160000</v>
      </c>
    </row>
    <row r="36" ht="27.6" spans="1:8">
      <c r="A36" s="16">
        <v>23</v>
      </c>
      <c r="B36" s="20" t="s">
        <v>393</v>
      </c>
      <c r="C36" s="18" t="s">
        <v>358</v>
      </c>
      <c r="D36" s="18" t="s">
        <v>394</v>
      </c>
      <c r="E36" s="23">
        <v>750000</v>
      </c>
      <c r="F36" s="23">
        <v>425000</v>
      </c>
      <c r="G36" s="23">
        <v>275000</v>
      </c>
      <c r="H36" s="23">
        <v>160000</v>
      </c>
    </row>
    <row r="37" ht="27.6" spans="1:8">
      <c r="A37" s="16">
        <v>24</v>
      </c>
      <c r="B37" s="20" t="s">
        <v>395</v>
      </c>
      <c r="C37" s="18" t="s">
        <v>358</v>
      </c>
      <c r="D37" s="18" t="s">
        <v>396</v>
      </c>
      <c r="E37" s="23">
        <v>750000</v>
      </c>
      <c r="F37" s="23">
        <v>425000</v>
      </c>
      <c r="G37" s="23">
        <v>275000</v>
      </c>
      <c r="H37" s="23">
        <v>160000</v>
      </c>
    </row>
    <row r="38" ht="27.6" spans="1:8">
      <c r="A38" s="16">
        <v>25</v>
      </c>
      <c r="B38" s="20" t="s">
        <v>397</v>
      </c>
      <c r="C38" s="18" t="s">
        <v>358</v>
      </c>
      <c r="D38" s="18" t="s">
        <v>398</v>
      </c>
      <c r="E38" s="23">
        <v>750000</v>
      </c>
      <c r="F38" s="23">
        <v>425000</v>
      </c>
      <c r="G38" s="23">
        <v>275000</v>
      </c>
      <c r="H38" s="23">
        <v>160000</v>
      </c>
    </row>
    <row r="39" spans="1:8">
      <c r="A39" s="16">
        <v>26</v>
      </c>
      <c r="B39" s="20" t="s">
        <v>399</v>
      </c>
      <c r="C39" s="18" t="s">
        <v>358</v>
      </c>
      <c r="D39" s="18" t="s">
        <v>400</v>
      </c>
      <c r="E39" s="23">
        <v>750000</v>
      </c>
      <c r="F39" s="23">
        <v>425000</v>
      </c>
      <c r="G39" s="23">
        <v>275000</v>
      </c>
      <c r="H39" s="23">
        <v>160000</v>
      </c>
    </row>
    <row r="40" spans="1:8">
      <c r="A40" s="16">
        <v>27</v>
      </c>
      <c r="B40" s="20" t="s">
        <v>401</v>
      </c>
      <c r="C40" s="18" t="s">
        <v>358</v>
      </c>
      <c r="D40" s="18" t="s">
        <v>402</v>
      </c>
      <c r="E40" s="23">
        <v>750000</v>
      </c>
      <c r="F40" s="23">
        <v>425000</v>
      </c>
      <c r="G40" s="23">
        <v>275000</v>
      </c>
      <c r="H40" s="23">
        <v>160000</v>
      </c>
    </row>
    <row r="41" ht="27.6" spans="1:8">
      <c r="A41" s="16">
        <v>28</v>
      </c>
      <c r="B41" s="20" t="s">
        <v>403</v>
      </c>
      <c r="C41" s="18" t="s">
        <v>358</v>
      </c>
      <c r="D41" s="18" t="s">
        <v>404</v>
      </c>
      <c r="E41" s="23">
        <v>750000</v>
      </c>
      <c r="F41" s="23">
        <v>425000</v>
      </c>
      <c r="G41" s="23">
        <v>275000</v>
      </c>
      <c r="H41" s="23">
        <v>160000</v>
      </c>
    </row>
    <row r="42" ht="27.6" spans="1:8">
      <c r="A42" s="16">
        <v>29</v>
      </c>
      <c r="B42" s="20" t="s">
        <v>405</v>
      </c>
      <c r="C42" s="18" t="s">
        <v>358</v>
      </c>
      <c r="D42" s="18" t="s">
        <v>406</v>
      </c>
      <c r="E42" s="23">
        <v>750000</v>
      </c>
      <c r="F42" s="23">
        <v>425000</v>
      </c>
      <c r="G42" s="23">
        <v>275000</v>
      </c>
      <c r="H42" s="23">
        <v>160000</v>
      </c>
    </row>
    <row r="43" spans="1:8">
      <c r="A43" s="16">
        <v>30</v>
      </c>
      <c r="B43" s="20" t="s">
        <v>407</v>
      </c>
      <c r="C43" s="18" t="s">
        <v>358</v>
      </c>
      <c r="D43" s="18" t="s">
        <v>408</v>
      </c>
      <c r="E43" s="23">
        <v>750000</v>
      </c>
      <c r="F43" s="23">
        <v>425000</v>
      </c>
      <c r="G43" s="23">
        <v>275000</v>
      </c>
      <c r="H43" s="23">
        <v>160000</v>
      </c>
    </row>
    <row r="44" spans="1:8">
      <c r="A44" s="16">
        <v>31</v>
      </c>
      <c r="B44" s="20" t="s">
        <v>409</v>
      </c>
      <c r="C44" s="18" t="s">
        <v>358</v>
      </c>
      <c r="D44" s="18" t="s">
        <v>337</v>
      </c>
      <c r="E44" s="23">
        <v>1350000</v>
      </c>
      <c r="F44" s="23">
        <v>750000</v>
      </c>
      <c r="G44" s="23">
        <v>500000</v>
      </c>
      <c r="H44" s="23">
        <v>285000</v>
      </c>
    </row>
    <row r="45" spans="1:8">
      <c r="A45" s="16">
        <v>32</v>
      </c>
      <c r="B45" s="20" t="s">
        <v>410</v>
      </c>
      <c r="C45" s="18" t="s">
        <v>411</v>
      </c>
      <c r="D45" s="18" t="s">
        <v>412</v>
      </c>
      <c r="E45" s="23">
        <v>1450000</v>
      </c>
      <c r="F45" s="23">
        <v>850000</v>
      </c>
      <c r="G45" s="23">
        <v>550000</v>
      </c>
      <c r="H45" s="23">
        <v>305000</v>
      </c>
    </row>
    <row r="46" ht="41.4" spans="1:8">
      <c r="A46" s="16"/>
      <c r="B46" s="20" t="s">
        <v>410</v>
      </c>
      <c r="C46" s="18" t="s">
        <v>412</v>
      </c>
      <c r="D46" s="18" t="s">
        <v>413</v>
      </c>
      <c r="E46" s="23">
        <v>750000</v>
      </c>
      <c r="F46" s="23">
        <v>425000</v>
      </c>
      <c r="G46" s="23">
        <v>275000</v>
      </c>
      <c r="H46" s="23">
        <v>160000</v>
      </c>
    </row>
    <row r="47" ht="41.4" spans="1:8">
      <c r="A47" s="16"/>
      <c r="B47" s="20" t="s">
        <v>410</v>
      </c>
      <c r="C47" s="18" t="s">
        <v>413</v>
      </c>
      <c r="D47" s="18" t="s">
        <v>414</v>
      </c>
      <c r="E47" s="23">
        <v>600000</v>
      </c>
      <c r="F47" s="23">
        <v>340000</v>
      </c>
      <c r="G47" s="23">
        <v>220000</v>
      </c>
      <c r="H47" s="23">
        <v>125000</v>
      </c>
    </row>
    <row r="48" spans="1:8">
      <c r="A48" s="16">
        <v>33</v>
      </c>
      <c r="B48" s="20" t="s">
        <v>371</v>
      </c>
      <c r="C48" s="18" t="s">
        <v>415</v>
      </c>
      <c r="D48" s="18" t="s">
        <v>337</v>
      </c>
      <c r="E48" s="23">
        <v>1450000</v>
      </c>
      <c r="F48" s="23">
        <v>850000</v>
      </c>
      <c r="G48" s="23">
        <v>550000</v>
      </c>
      <c r="H48" s="23">
        <v>305000</v>
      </c>
    </row>
    <row r="49" spans="1:9">
      <c r="A49" s="16">
        <v>34</v>
      </c>
      <c r="B49" s="20" t="s">
        <v>416</v>
      </c>
      <c r="C49" s="18" t="s">
        <v>367</v>
      </c>
      <c r="D49" s="18" t="s">
        <v>417</v>
      </c>
      <c r="E49" s="23">
        <v>1800000</v>
      </c>
      <c r="F49" s="23">
        <v>1050000</v>
      </c>
      <c r="G49" s="23">
        <v>650000</v>
      </c>
      <c r="H49" s="23">
        <v>380000</v>
      </c>
    </row>
    <row r="50" spans="1:9">
      <c r="A50" s="16">
        <v>35</v>
      </c>
      <c r="B50" s="20" t="s">
        <v>418</v>
      </c>
      <c r="C50" s="18" t="s">
        <v>362</v>
      </c>
      <c r="D50" s="18" t="s">
        <v>355</v>
      </c>
      <c r="E50" s="23">
        <v>600000</v>
      </c>
      <c r="F50" s="23">
        <v>340000</v>
      </c>
      <c r="G50" s="23">
        <v>220000</v>
      </c>
      <c r="H50" s="23">
        <v>125000</v>
      </c>
    </row>
    <row r="51" spans="1:9">
      <c r="A51" s="16">
        <v>36</v>
      </c>
      <c r="B51" s="49" t="s">
        <v>411</v>
      </c>
      <c r="C51" s="41" t="s">
        <v>357</v>
      </c>
      <c r="D51" s="41" t="s">
        <v>410</v>
      </c>
      <c r="E51" s="23">
        <v>600000</v>
      </c>
      <c r="F51" s="23">
        <v>340000</v>
      </c>
      <c r="G51" s="23">
        <v>220000</v>
      </c>
      <c r="H51" s="23">
        <v>125000</v>
      </c>
    </row>
    <row r="52" ht="27.6" spans="1:9">
      <c r="A52" s="16">
        <v>37</v>
      </c>
      <c r="B52" s="20" t="s">
        <v>419</v>
      </c>
      <c r="C52" s="18" t="s">
        <v>420</v>
      </c>
      <c r="D52" s="18" t="s">
        <v>421</v>
      </c>
      <c r="E52" s="23">
        <v>750000</v>
      </c>
      <c r="F52" s="23">
        <v>425000</v>
      </c>
      <c r="G52" s="23">
        <v>275000</v>
      </c>
      <c r="H52" s="23">
        <v>160000</v>
      </c>
    </row>
    <row r="53" spans="1:9">
      <c r="A53" s="16">
        <v>38</v>
      </c>
      <c r="B53" s="20" t="s">
        <v>422</v>
      </c>
      <c r="C53" s="18" t="s">
        <v>367</v>
      </c>
      <c r="D53" s="18" t="s">
        <v>417</v>
      </c>
      <c r="E53" s="23">
        <v>1800000</v>
      </c>
      <c r="F53" s="23">
        <v>1050000</v>
      </c>
      <c r="G53" s="23">
        <v>650000</v>
      </c>
      <c r="H53" s="23">
        <v>380000</v>
      </c>
    </row>
    <row r="54" spans="1:9">
      <c r="A54" s="16">
        <v>39</v>
      </c>
      <c r="B54" s="20" t="s">
        <v>358</v>
      </c>
      <c r="C54" s="18" t="s">
        <v>364</v>
      </c>
      <c r="D54" s="18" t="s">
        <v>383</v>
      </c>
      <c r="E54" s="23">
        <v>5750000</v>
      </c>
      <c r="F54" s="23">
        <v>3300000</v>
      </c>
      <c r="G54" s="23">
        <v>2150000</v>
      </c>
      <c r="H54" s="23">
        <v>1200000</v>
      </c>
    </row>
    <row r="55" ht="27.6" spans="1:9">
      <c r="A55" s="16">
        <v>40</v>
      </c>
      <c r="B55" s="20" t="s">
        <v>423</v>
      </c>
      <c r="C55" s="18" t="s">
        <v>378</v>
      </c>
      <c r="D55" s="18" t="s">
        <v>424</v>
      </c>
      <c r="E55" s="23">
        <v>1800000</v>
      </c>
      <c r="F55" s="23">
        <v>1050000</v>
      </c>
      <c r="G55" s="23">
        <v>650000</v>
      </c>
      <c r="H55" s="23">
        <v>380000</v>
      </c>
    </row>
    <row r="56" ht="27.6" spans="1:9">
      <c r="A56" s="16"/>
      <c r="B56" s="20" t="s">
        <v>423</v>
      </c>
      <c r="C56" s="18" t="s">
        <v>424</v>
      </c>
      <c r="D56" s="18" t="s">
        <v>373</v>
      </c>
      <c r="E56" s="23">
        <v>1350000</v>
      </c>
      <c r="F56" s="23">
        <v>750000</v>
      </c>
      <c r="G56" s="23">
        <v>500000</v>
      </c>
      <c r="H56" s="23">
        <v>285000</v>
      </c>
    </row>
    <row r="57" spans="1:9">
      <c r="A57" s="16">
        <v>41</v>
      </c>
      <c r="B57" s="20" t="s">
        <v>425</v>
      </c>
      <c r="C57" s="18" t="s">
        <v>358</v>
      </c>
      <c r="D57" s="18" t="s">
        <v>337</v>
      </c>
      <c r="E57" s="23">
        <v>1450000</v>
      </c>
      <c r="F57" s="23">
        <v>850000</v>
      </c>
      <c r="G57" s="23">
        <v>550000</v>
      </c>
      <c r="H57" s="23">
        <v>305000</v>
      </c>
    </row>
    <row r="58" spans="1:9">
      <c r="A58" s="16">
        <v>42</v>
      </c>
      <c r="B58" s="20" t="s">
        <v>426</v>
      </c>
      <c r="C58" s="18" t="s">
        <v>367</v>
      </c>
      <c r="D58" s="18" t="s">
        <v>373</v>
      </c>
      <c r="E58" s="23">
        <v>1800000</v>
      </c>
      <c r="F58" s="23">
        <v>1050000</v>
      </c>
      <c r="G58" s="23">
        <v>650000</v>
      </c>
      <c r="H58" s="23">
        <v>380000</v>
      </c>
    </row>
    <row r="59" spans="1:9">
      <c r="A59" s="16">
        <v>43</v>
      </c>
      <c r="B59" s="20" t="s">
        <v>427</v>
      </c>
      <c r="C59" s="18" t="s">
        <v>378</v>
      </c>
      <c r="D59" s="18" t="s">
        <v>428</v>
      </c>
      <c r="E59" s="23">
        <v>1000000</v>
      </c>
      <c r="F59" s="23">
        <v>550000</v>
      </c>
      <c r="G59" s="23">
        <v>370000</v>
      </c>
      <c r="H59" s="23">
        <v>210000</v>
      </c>
    </row>
    <row r="60" spans="1:9">
      <c r="A60" s="16">
        <v>44</v>
      </c>
      <c r="B60" s="20" t="s">
        <v>429</v>
      </c>
      <c r="C60" s="20" t="s">
        <v>430</v>
      </c>
      <c r="D60" s="20" t="s">
        <v>364</v>
      </c>
      <c r="E60" s="23">
        <v>1800000</v>
      </c>
      <c r="F60" s="23">
        <v>1050000</v>
      </c>
      <c r="G60" s="23">
        <v>650000</v>
      </c>
      <c r="H60" s="23">
        <v>380000</v>
      </c>
      <c r="I60" s="31" t="s">
        <v>431</v>
      </c>
    </row>
    <row r="61" spans="1:9">
      <c r="A61" s="16">
        <v>45</v>
      </c>
      <c r="B61" s="20" t="s">
        <v>432</v>
      </c>
      <c r="C61" s="18" t="s">
        <v>337</v>
      </c>
      <c r="D61" s="18" t="s">
        <v>364</v>
      </c>
      <c r="E61" s="23">
        <v>1000000</v>
      </c>
      <c r="F61" s="23">
        <v>550000</v>
      </c>
      <c r="G61" s="23">
        <v>370000</v>
      </c>
      <c r="H61" s="23">
        <v>210000</v>
      </c>
    </row>
    <row r="62" spans="1:9">
      <c r="A62" s="16">
        <v>46</v>
      </c>
      <c r="B62" s="20" t="s">
        <v>430</v>
      </c>
      <c r="C62" s="18" t="s">
        <v>370</v>
      </c>
      <c r="D62" s="18" t="s">
        <v>429</v>
      </c>
      <c r="E62" s="23">
        <v>1000000</v>
      </c>
      <c r="F62" s="23">
        <v>550000</v>
      </c>
      <c r="G62" s="23">
        <v>370000</v>
      </c>
      <c r="H62" s="23">
        <v>210000</v>
      </c>
    </row>
    <row r="63" spans="1:9">
      <c r="A63" s="16">
        <v>47</v>
      </c>
      <c r="B63" s="20" t="s">
        <v>433</v>
      </c>
      <c r="C63" s="18" t="s">
        <v>341</v>
      </c>
      <c r="D63" s="18" t="s">
        <v>367</v>
      </c>
      <c r="E63" s="23">
        <v>2600000</v>
      </c>
      <c r="F63" s="23">
        <v>1500000</v>
      </c>
      <c r="G63" s="23">
        <v>950000</v>
      </c>
      <c r="H63" s="23">
        <v>550000</v>
      </c>
    </row>
    <row r="64" spans="1:9">
      <c r="A64" s="16">
        <v>48</v>
      </c>
      <c r="B64" s="20" t="s">
        <v>415</v>
      </c>
      <c r="C64" s="18" t="s">
        <v>337</v>
      </c>
      <c r="D64" s="18" t="s">
        <v>364</v>
      </c>
      <c r="E64" s="23">
        <v>2600000</v>
      </c>
      <c r="F64" s="23">
        <v>1500000</v>
      </c>
      <c r="G64" s="23">
        <v>950000</v>
      </c>
      <c r="H64" s="23">
        <v>550000</v>
      </c>
    </row>
    <row r="65" spans="1:8">
      <c r="A65" s="16">
        <v>49</v>
      </c>
      <c r="B65" s="20" t="s">
        <v>370</v>
      </c>
      <c r="C65" s="18" t="s">
        <v>364</v>
      </c>
      <c r="D65" s="18" t="s">
        <v>337</v>
      </c>
      <c r="E65" s="23">
        <v>2600000</v>
      </c>
      <c r="F65" s="23">
        <v>1500000</v>
      </c>
      <c r="G65" s="23">
        <v>950000</v>
      </c>
      <c r="H65" s="23">
        <v>550000</v>
      </c>
    </row>
    <row r="66" spans="1:8">
      <c r="A66" s="16">
        <v>50</v>
      </c>
      <c r="B66" s="20" t="s">
        <v>434</v>
      </c>
      <c r="C66" s="18" t="s">
        <v>373</v>
      </c>
      <c r="D66" s="18" t="s">
        <v>341</v>
      </c>
      <c r="E66" s="23">
        <v>750000</v>
      </c>
      <c r="F66" s="23">
        <v>425000</v>
      </c>
      <c r="G66" s="23">
        <v>275000</v>
      </c>
      <c r="H66" s="23">
        <v>160000</v>
      </c>
    </row>
    <row r="67" spans="1:8">
      <c r="A67" s="16">
        <v>51</v>
      </c>
      <c r="B67" s="20" t="s">
        <v>435</v>
      </c>
      <c r="C67" s="18" t="s">
        <v>341</v>
      </c>
      <c r="D67" s="18" t="s">
        <v>434</v>
      </c>
      <c r="E67" s="23">
        <v>600000</v>
      </c>
      <c r="F67" s="23">
        <v>340000</v>
      </c>
      <c r="G67" s="23">
        <v>220000</v>
      </c>
      <c r="H67" s="23">
        <v>125000</v>
      </c>
    </row>
    <row r="68" spans="1:8">
      <c r="A68" s="16">
        <v>52</v>
      </c>
      <c r="B68" s="20" t="s">
        <v>339</v>
      </c>
      <c r="C68" s="18" t="s">
        <v>367</v>
      </c>
      <c r="D68" s="18" t="s">
        <v>337</v>
      </c>
      <c r="E68" s="23">
        <v>750000</v>
      </c>
      <c r="F68" s="23">
        <v>425000</v>
      </c>
      <c r="G68" s="23">
        <v>275000</v>
      </c>
      <c r="H68" s="23">
        <v>160000</v>
      </c>
    </row>
    <row r="69" spans="1:8">
      <c r="A69" s="16">
        <v>53</v>
      </c>
      <c r="B69" s="20" t="s">
        <v>436</v>
      </c>
      <c r="C69" s="18" t="s">
        <v>437</v>
      </c>
      <c r="D69" s="18" t="s">
        <v>438</v>
      </c>
      <c r="E69" s="23">
        <v>750000</v>
      </c>
      <c r="F69" s="23">
        <v>425000</v>
      </c>
      <c r="G69" s="23">
        <v>275000</v>
      </c>
      <c r="H69" s="23">
        <v>160000</v>
      </c>
    </row>
    <row r="70" spans="1:8">
      <c r="A70" s="16">
        <v>54</v>
      </c>
      <c r="B70" s="20" t="s">
        <v>341</v>
      </c>
      <c r="C70" s="18" t="s">
        <v>364</v>
      </c>
      <c r="D70" s="18" t="s">
        <v>373</v>
      </c>
      <c r="E70" s="23">
        <v>2600000</v>
      </c>
      <c r="F70" s="23">
        <v>1500000</v>
      </c>
      <c r="G70" s="23">
        <v>950000</v>
      </c>
      <c r="H70" s="23">
        <v>550000</v>
      </c>
    </row>
    <row r="71" spans="1:8">
      <c r="A71" s="16"/>
      <c r="B71" s="20" t="s">
        <v>341</v>
      </c>
      <c r="C71" s="18" t="s">
        <v>373</v>
      </c>
      <c r="D71" s="18" t="s">
        <v>435</v>
      </c>
      <c r="E71" s="23">
        <v>1800000</v>
      </c>
      <c r="F71" s="23">
        <v>1050000</v>
      </c>
      <c r="G71" s="23">
        <v>650000</v>
      </c>
      <c r="H71" s="23">
        <v>380000</v>
      </c>
    </row>
    <row r="72" ht="27.6" spans="1:8">
      <c r="A72" s="16"/>
      <c r="B72" s="20" t="s">
        <v>341</v>
      </c>
      <c r="C72" s="18" t="s">
        <v>435</v>
      </c>
      <c r="D72" s="18" t="s">
        <v>439</v>
      </c>
      <c r="E72" s="23">
        <v>1350000</v>
      </c>
      <c r="F72" s="23">
        <v>750000</v>
      </c>
      <c r="G72" s="23">
        <v>500000</v>
      </c>
      <c r="H72" s="23">
        <v>285000</v>
      </c>
    </row>
    <row r="73" spans="1:8">
      <c r="A73" s="16">
        <v>55</v>
      </c>
      <c r="B73" s="20" t="s">
        <v>373</v>
      </c>
      <c r="C73" s="18" t="s">
        <v>337</v>
      </c>
      <c r="D73" s="18" t="s">
        <v>341</v>
      </c>
      <c r="E73" s="23">
        <v>1000000</v>
      </c>
      <c r="F73" s="23">
        <v>550000</v>
      </c>
      <c r="G73" s="23">
        <v>370000</v>
      </c>
      <c r="H73" s="23">
        <v>210000</v>
      </c>
    </row>
    <row r="74" ht="27.6" spans="1:8">
      <c r="A74" s="16"/>
      <c r="B74" s="20" t="s">
        <v>373</v>
      </c>
      <c r="C74" s="18" t="s">
        <v>341</v>
      </c>
      <c r="D74" s="18" t="s">
        <v>440</v>
      </c>
      <c r="E74" s="23">
        <v>1350000</v>
      </c>
      <c r="F74" s="23">
        <v>750000</v>
      </c>
      <c r="G74" s="23">
        <v>500000</v>
      </c>
      <c r="H74" s="23">
        <v>285000</v>
      </c>
    </row>
    <row r="75" ht="27.6" spans="1:8">
      <c r="A75" s="16"/>
      <c r="B75" s="20" t="s">
        <v>373</v>
      </c>
      <c r="C75" s="18" t="s">
        <v>440</v>
      </c>
      <c r="D75" s="18" t="s">
        <v>441</v>
      </c>
      <c r="E75" s="23">
        <v>1000000</v>
      </c>
      <c r="F75" s="23">
        <v>550000</v>
      </c>
      <c r="G75" s="23">
        <v>370000</v>
      </c>
      <c r="H75" s="23">
        <v>210000</v>
      </c>
    </row>
    <row r="76" spans="1:8">
      <c r="A76" s="16">
        <v>56</v>
      </c>
      <c r="B76" s="20" t="s">
        <v>442</v>
      </c>
      <c r="C76" s="18" t="s">
        <v>373</v>
      </c>
      <c r="D76" s="18" t="s">
        <v>378</v>
      </c>
      <c r="E76" s="23">
        <v>1000000</v>
      </c>
      <c r="F76" s="23">
        <v>550000</v>
      </c>
      <c r="G76" s="23">
        <v>370000</v>
      </c>
      <c r="H76" s="23">
        <v>210000</v>
      </c>
    </row>
    <row r="77" spans="1:8">
      <c r="A77" s="16">
        <v>57</v>
      </c>
      <c r="B77" s="20" t="s">
        <v>443</v>
      </c>
      <c r="C77" s="18" t="s">
        <v>369</v>
      </c>
      <c r="D77" s="18" t="s">
        <v>432</v>
      </c>
      <c r="E77" s="23">
        <v>750000</v>
      </c>
      <c r="F77" s="23">
        <v>425000</v>
      </c>
      <c r="G77" s="23">
        <v>275000</v>
      </c>
      <c r="H77" s="23">
        <v>160000</v>
      </c>
    </row>
    <row r="78" spans="1:8">
      <c r="A78" s="16">
        <v>58</v>
      </c>
      <c r="B78" s="20" t="s">
        <v>444</v>
      </c>
      <c r="C78" s="18" t="s">
        <v>337</v>
      </c>
      <c r="D78" s="18" t="s">
        <v>381</v>
      </c>
      <c r="E78" s="23">
        <v>750000</v>
      </c>
      <c r="F78" s="23">
        <v>425000</v>
      </c>
      <c r="G78" s="23">
        <v>275000</v>
      </c>
      <c r="H78" s="23">
        <v>160000</v>
      </c>
    </row>
    <row r="79" spans="1:8">
      <c r="A79" s="16">
        <v>59</v>
      </c>
      <c r="B79" s="20" t="s">
        <v>412</v>
      </c>
      <c r="C79" s="18" t="s">
        <v>364</v>
      </c>
      <c r="D79" s="18" t="s">
        <v>383</v>
      </c>
      <c r="E79" s="23">
        <v>1450000</v>
      </c>
      <c r="F79" s="23">
        <v>850000</v>
      </c>
      <c r="G79" s="23">
        <v>550000</v>
      </c>
      <c r="H79" s="23">
        <v>305000</v>
      </c>
    </row>
    <row r="80" spans="1:8">
      <c r="A80" s="16">
        <v>60</v>
      </c>
      <c r="B80" s="42" t="s">
        <v>344</v>
      </c>
      <c r="C80" s="43" t="s">
        <v>364</v>
      </c>
      <c r="D80" s="43" t="s">
        <v>337</v>
      </c>
      <c r="E80" s="23">
        <v>1350000</v>
      </c>
      <c r="F80" s="23">
        <v>750000</v>
      </c>
      <c r="G80" s="23">
        <v>500000</v>
      </c>
      <c r="H80" s="23">
        <v>285000</v>
      </c>
    </row>
    <row r="81" spans="1:8">
      <c r="A81" s="16">
        <v>61</v>
      </c>
      <c r="B81" s="20" t="s">
        <v>445</v>
      </c>
      <c r="C81" s="18" t="s">
        <v>358</v>
      </c>
      <c r="D81" s="18" t="s">
        <v>446</v>
      </c>
      <c r="E81" s="23">
        <v>750000</v>
      </c>
      <c r="F81" s="23">
        <v>425000</v>
      </c>
      <c r="G81" s="23">
        <v>275000</v>
      </c>
      <c r="H81" s="23">
        <v>160000</v>
      </c>
    </row>
    <row r="82" spans="1:8">
      <c r="A82" s="16">
        <v>62</v>
      </c>
      <c r="B82" s="20" t="s">
        <v>336</v>
      </c>
      <c r="C82" s="18" t="s">
        <v>358</v>
      </c>
      <c r="D82" s="18" t="s">
        <v>447</v>
      </c>
      <c r="E82" s="23">
        <v>1000000</v>
      </c>
      <c r="F82" s="23">
        <v>550000</v>
      </c>
      <c r="G82" s="23">
        <v>370000</v>
      </c>
      <c r="H82" s="23">
        <v>210000</v>
      </c>
    </row>
    <row r="83" spans="1:8">
      <c r="A83" s="16">
        <v>63</v>
      </c>
      <c r="B83" s="20" t="s">
        <v>337</v>
      </c>
      <c r="C83" s="18" t="s">
        <v>358</v>
      </c>
      <c r="D83" s="18" t="s">
        <v>370</v>
      </c>
      <c r="E83" s="23">
        <v>1350000</v>
      </c>
      <c r="F83" s="23">
        <v>750000</v>
      </c>
      <c r="G83" s="23">
        <v>500000</v>
      </c>
      <c r="H83" s="23">
        <v>285000</v>
      </c>
    </row>
    <row r="84" spans="1:8">
      <c r="A84" s="16"/>
      <c r="B84" s="20" t="s">
        <v>337</v>
      </c>
      <c r="C84" s="18" t="s">
        <v>370</v>
      </c>
      <c r="D84" s="18" t="s">
        <v>448</v>
      </c>
      <c r="E84" s="23">
        <v>1000000</v>
      </c>
      <c r="F84" s="23">
        <v>550000</v>
      </c>
      <c r="G84" s="23">
        <v>370000</v>
      </c>
      <c r="H84" s="23">
        <v>210000</v>
      </c>
    </row>
    <row r="85" spans="1:8">
      <c r="A85" s="16"/>
      <c r="B85" s="20" t="s">
        <v>337</v>
      </c>
      <c r="C85" s="18" t="s">
        <v>448</v>
      </c>
      <c r="D85" s="18" t="s">
        <v>341</v>
      </c>
      <c r="E85" s="23">
        <v>750000</v>
      </c>
      <c r="F85" s="23">
        <v>425000</v>
      </c>
      <c r="G85" s="23">
        <v>275000</v>
      </c>
      <c r="H85" s="23">
        <v>160000</v>
      </c>
    </row>
    <row r="86" ht="27.6" spans="1:8">
      <c r="A86" s="16">
        <v>64</v>
      </c>
      <c r="B86" s="20" t="s">
        <v>376</v>
      </c>
      <c r="C86" s="18" t="s">
        <v>449</v>
      </c>
      <c r="D86" s="18" t="s">
        <v>450</v>
      </c>
      <c r="E86" s="23">
        <v>1800000</v>
      </c>
      <c r="F86" s="23">
        <v>1050000</v>
      </c>
      <c r="G86" s="23">
        <v>650000</v>
      </c>
      <c r="H86" s="23">
        <v>380000</v>
      </c>
    </row>
    <row r="87" ht="27.6" spans="1:8">
      <c r="A87" s="16"/>
      <c r="B87" s="20" t="s">
        <v>376</v>
      </c>
      <c r="C87" s="18" t="s">
        <v>451</v>
      </c>
      <c r="D87" s="18" t="s">
        <v>373</v>
      </c>
      <c r="E87" s="23">
        <v>1000000</v>
      </c>
      <c r="F87" s="23">
        <v>550000</v>
      </c>
      <c r="G87" s="23">
        <v>370000</v>
      </c>
      <c r="H87" s="23">
        <v>210000</v>
      </c>
    </row>
    <row r="88" spans="1:8">
      <c r="A88" s="39" t="s">
        <v>136</v>
      </c>
      <c r="B88" s="20"/>
      <c r="C88" s="18"/>
      <c r="D88" s="18"/>
      <c r="E88" s="23"/>
      <c r="F88" s="23"/>
      <c r="G88" s="23"/>
      <c r="H88" s="23"/>
    </row>
    <row r="89" spans="1:8">
      <c r="A89" s="16">
        <v>65</v>
      </c>
      <c r="B89" s="20" t="s">
        <v>137</v>
      </c>
      <c r="C89" s="18"/>
      <c r="D89" s="18"/>
      <c r="E89" s="23">
        <v>600000</v>
      </c>
      <c r="F89" s="23">
        <v>340000</v>
      </c>
      <c r="G89" s="23">
        <v>220000</v>
      </c>
      <c r="H89" s="23">
        <v>125000</v>
      </c>
    </row>
    <row r="90" spans="1:8">
      <c r="A90" s="39" t="s">
        <v>205</v>
      </c>
      <c r="B90" s="143"/>
      <c r="C90" s="143"/>
      <c r="D90" s="143"/>
      <c r="E90" s="23" t="s">
        <v>16</v>
      </c>
      <c r="F90" s="23" t="s">
        <v>16</v>
      </c>
      <c r="G90" s="23" t="s">
        <v>16</v>
      </c>
      <c r="H90" s="23" t="s">
        <v>16</v>
      </c>
    </row>
    <row r="91" ht="41.4" spans="1:8">
      <c r="A91" s="16">
        <v>66</v>
      </c>
      <c r="B91" s="20" t="s">
        <v>452</v>
      </c>
      <c r="C91" s="143"/>
      <c r="D91" s="143"/>
      <c r="E91" s="23">
        <v>850000</v>
      </c>
      <c r="F91" s="23">
        <v>300000</v>
      </c>
      <c r="G91" s="23">
        <v>180000</v>
      </c>
      <c r="H91" s="23">
        <v>0</v>
      </c>
    </row>
    <row r="92" ht="55.2" spans="1:8">
      <c r="A92" s="16">
        <v>67</v>
      </c>
      <c r="B92" s="20" t="s">
        <v>453</v>
      </c>
      <c r="C92" s="18"/>
      <c r="D92" s="18"/>
      <c r="E92" s="23">
        <v>1450000</v>
      </c>
      <c r="F92" s="23">
        <v>500000</v>
      </c>
      <c r="G92" s="23">
        <v>330000</v>
      </c>
      <c r="H92" s="23">
        <v>0</v>
      </c>
    </row>
    <row r="93" spans="1:8">
      <c r="A93" s="16">
        <f t="shared" ref="A93" si="0">A92+1</f>
        <v>68</v>
      </c>
      <c r="B93" s="20" t="s">
        <v>454</v>
      </c>
      <c r="C93" s="18"/>
      <c r="D93" s="18"/>
      <c r="E93" s="23" t="s">
        <v>16</v>
      </c>
      <c r="F93" s="23" t="s">
        <v>16</v>
      </c>
      <c r="G93" s="23" t="s">
        <v>16</v>
      </c>
      <c r="H93" s="23" t="s">
        <v>16</v>
      </c>
    </row>
    <row r="94" ht="27.6" spans="1:8">
      <c r="A94" s="16"/>
      <c r="B94" s="20" t="s">
        <v>455</v>
      </c>
      <c r="C94" s="18"/>
      <c r="D94" s="18"/>
      <c r="E94" s="23">
        <v>1100000</v>
      </c>
      <c r="F94" s="23">
        <v>405000</v>
      </c>
      <c r="G94" s="23">
        <v>260000</v>
      </c>
      <c r="H94" s="23">
        <v>0</v>
      </c>
    </row>
    <row r="95" ht="27.6" spans="1:8">
      <c r="A95" s="16"/>
      <c r="B95" s="20" t="s">
        <v>456</v>
      </c>
      <c r="C95" s="18"/>
      <c r="D95" s="18"/>
      <c r="E95" s="23">
        <v>850000</v>
      </c>
      <c r="F95" s="23">
        <v>315000</v>
      </c>
      <c r="G95" s="23">
        <v>200000</v>
      </c>
      <c r="H95" s="23">
        <v>0</v>
      </c>
    </row>
    <row r="96" spans="1:8">
      <c r="A96" s="39" t="s">
        <v>217</v>
      </c>
      <c r="B96" s="143"/>
      <c r="C96" s="143"/>
      <c r="D96" s="143"/>
      <c r="E96" s="23" t="s">
        <v>16</v>
      </c>
      <c r="F96" s="23" t="s">
        <v>16</v>
      </c>
      <c r="G96" s="23" t="s">
        <v>16</v>
      </c>
      <c r="H96" s="23" t="s">
        <v>16</v>
      </c>
    </row>
    <row r="97" ht="41.4" spans="1:8">
      <c r="A97" s="16">
        <v>69</v>
      </c>
      <c r="B97" s="20" t="s">
        <v>457</v>
      </c>
      <c r="C97" s="143"/>
      <c r="D97" s="143"/>
      <c r="E97" s="23">
        <v>240000</v>
      </c>
      <c r="F97" s="23">
        <v>190000</v>
      </c>
      <c r="G97" s="23">
        <v>0</v>
      </c>
      <c r="H97" s="23">
        <v>0</v>
      </c>
    </row>
    <row r="98" ht="27.6" spans="1:8">
      <c r="A98" s="16">
        <v>70</v>
      </c>
      <c r="B98" s="20" t="s">
        <v>458</v>
      </c>
      <c r="C98" s="143"/>
      <c r="D98" s="143"/>
      <c r="E98" s="23">
        <v>130000</v>
      </c>
      <c r="F98" s="23">
        <v>0</v>
      </c>
      <c r="G98" s="23">
        <v>0</v>
      </c>
      <c r="H98" s="23">
        <v>0</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t="s">
        <v>16</v>
      </c>
      <c r="F201" s="23" t="s">
        <v>16</v>
      </c>
      <c r="G201" s="23" t="s">
        <v>16</v>
      </c>
      <c r="H201" s="23" t="s">
        <v>16</v>
      </c>
    </row>
    <row r="202" spans="1:8">
      <c r="A202" s="27"/>
      <c r="C202" s="28"/>
      <c r="D202" s="28"/>
      <c r="E202" s="23" t="s">
        <v>16</v>
      </c>
      <c r="F202" s="23" t="s">
        <v>16</v>
      </c>
      <c r="G202" s="23" t="s">
        <v>16</v>
      </c>
      <c r="H202" s="23" t="s">
        <v>16</v>
      </c>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row r="860" spans="1:8">
      <c r="A860" s="27"/>
      <c r="C860" s="28"/>
      <c r="D860" s="28"/>
      <c r="E860" s="50"/>
      <c r="F860" s="50"/>
      <c r="G860" s="50"/>
      <c r="H860" s="50"/>
    </row>
    <row r="861" spans="1:8">
      <c r="A861" s="27"/>
      <c r="C861" s="28"/>
      <c r="D861" s="28"/>
      <c r="E861" s="50"/>
      <c r="F861" s="50"/>
      <c r="G861" s="50"/>
      <c r="H861" s="50"/>
    </row>
    <row r="862" spans="1:8">
      <c r="A862" s="27"/>
      <c r="C862" s="28"/>
      <c r="D862" s="28"/>
      <c r="E862" s="50"/>
      <c r="F862" s="50"/>
      <c r="G862" s="50"/>
      <c r="H862" s="50"/>
    </row>
    <row r="863" spans="1:8">
      <c r="A863" s="27"/>
      <c r="C863" s="28"/>
      <c r="D863" s="28"/>
      <c r="E863" s="50"/>
      <c r="F863" s="50"/>
      <c r="G863" s="50"/>
      <c r="H863" s="50"/>
    </row>
    <row r="864" spans="1:8">
      <c r="A864" s="27"/>
      <c r="C864" s="28"/>
      <c r="D864" s="28"/>
      <c r="E864" s="50"/>
      <c r="F864" s="50"/>
      <c r="G864" s="50"/>
      <c r="H864" s="50"/>
    </row>
    <row r="865" spans="1:8">
      <c r="A865" s="27"/>
      <c r="C865" s="28"/>
      <c r="D865" s="28"/>
      <c r="E865" s="50"/>
      <c r="F865" s="50"/>
      <c r="G865" s="50"/>
      <c r="H865" s="50"/>
    </row>
    <row r="866" spans="1:8">
      <c r="A866" s="27"/>
      <c r="C866" s="28"/>
      <c r="D866" s="28"/>
      <c r="E866" s="50"/>
      <c r="F866" s="50"/>
      <c r="G866" s="50"/>
      <c r="H866" s="50"/>
    </row>
    <row r="867" spans="1:8">
      <c r="A867" s="27"/>
      <c r="C867" s="28"/>
      <c r="D867" s="28"/>
      <c r="E867" s="50"/>
      <c r="F867" s="50"/>
      <c r="G867" s="50"/>
      <c r="H867" s="50"/>
    </row>
    <row r="868" spans="1:8">
      <c r="A868" s="27"/>
      <c r="C868" s="28"/>
      <c r="D868" s="28"/>
      <c r="E868" s="50"/>
      <c r="F868" s="50"/>
      <c r="G868" s="50"/>
      <c r="H868" s="50"/>
    </row>
    <row r="869" spans="1:8">
      <c r="A869" s="27"/>
      <c r="C869" s="28"/>
      <c r="D869" s="28"/>
      <c r="E869" s="50"/>
      <c r="F869" s="50"/>
      <c r="G869" s="50"/>
      <c r="H869" s="50"/>
    </row>
    <row r="870" spans="1:8">
      <c r="A870" s="27"/>
      <c r="C870" s="28"/>
      <c r="D870" s="28"/>
      <c r="E870" s="50"/>
      <c r="F870" s="50"/>
      <c r="G870" s="50"/>
      <c r="H870" s="50"/>
    </row>
    <row r="871" spans="1:8">
      <c r="A871" s="27"/>
      <c r="C871" s="28"/>
      <c r="D871" s="28"/>
      <c r="E871" s="50"/>
      <c r="F871" s="50"/>
      <c r="G871" s="50"/>
      <c r="H871" s="50"/>
    </row>
    <row r="872" spans="1:8">
      <c r="A872" s="27"/>
      <c r="C872" s="28"/>
      <c r="D872" s="28"/>
      <c r="E872" s="50"/>
      <c r="F872" s="50"/>
      <c r="G872" s="50"/>
      <c r="H872" s="50"/>
    </row>
    <row r="873" spans="1:8">
      <c r="A873" s="27"/>
      <c r="C873" s="28"/>
      <c r="D873" s="28"/>
      <c r="E873" s="50"/>
      <c r="F873" s="50"/>
      <c r="G873" s="50"/>
      <c r="H873" s="50"/>
    </row>
    <row r="874" spans="1:8">
      <c r="A874" s="27"/>
      <c r="C874" s="28"/>
      <c r="D874" s="28"/>
      <c r="E874" s="50"/>
      <c r="F874" s="50"/>
      <c r="G874" s="50"/>
      <c r="H874" s="50"/>
    </row>
    <row r="875" spans="1:8">
      <c r="A875" s="27"/>
      <c r="C875" s="28"/>
      <c r="D875" s="28"/>
      <c r="E875" s="50"/>
      <c r="F875" s="50"/>
      <c r="G875" s="50"/>
      <c r="H875" s="50"/>
    </row>
    <row r="876" spans="1:8">
      <c r="A876" s="27"/>
      <c r="C876" s="28"/>
      <c r="D876" s="28"/>
      <c r="E876" s="50"/>
      <c r="F876" s="50"/>
      <c r="G876" s="50"/>
      <c r="H876" s="50"/>
    </row>
    <row r="877" spans="1:8">
      <c r="A877" s="27"/>
      <c r="C877" s="28"/>
      <c r="D877" s="28"/>
      <c r="E877" s="50"/>
      <c r="F877" s="50"/>
      <c r="G877" s="50"/>
      <c r="H877" s="50"/>
    </row>
    <row r="878" spans="1:8">
      <c r="A878" s="27"/>
      <c r="C878" s="28"/>
      <c r="D878" s="28"/>
      <c r="E878" s="50"/>
      <c r="F878" s="50"/>
      <c r="G878" s="50"/>
      <c r="H878" s="50"/>
    </row>
    <row r="879" spans="1:8">
      <c r="A879" s="27"/>
      <c r="C879" s="28"/>
      <c r="D879" s="28"/>
      <c r="E879" s="50"/>
      <c r="F879" s="50"/>
      <c r="G879" s="50"/>
      <c r="H879" s="50"/>
    </row>
    <row r="880" spans="1:8">
      <c r="A880" s="27"/>
      <c r="C880" s="28"/>
      <c r="D880" s="28"/>
      <c r="E880" s="50"/>
      <c r="F880" s="50"/>
      <c r="G880" s="50"/>
      <c r="H880" s="50"/>
    </row>
    <row r="881" spans="1:8">
      <c r="A881" s="27"/>
      <c r="C881" s="28"/>
      <c r="D881" s="28"/>
      <c r="E881" s="50"/>
      <c r="F881" s="50"/>
      <c r="G881" s="50"/>
      <c r="H881" s="50"/>
    </row>
    <row r="882" spans="1:8">
      <c r="A882" s="27"/>
      <c r="C882" s="28"/>
      <c r="D882" s="28"/>
      <c r="E882" s="50"/>
      <c r="F882" s="50"/>
      <c r="G882" s="50"/>
      <c r="H882" s="50"/>
    </row>
    <row r="883" spans="1:8">
      <c r="A883" s="27"/>
      <c r="C883" s="28"/>
      <c r="D883" s="28"/>
      <c r="E883" s="50"/>
      <c r="F883" s="50"/>
      <c r="G883" s="50"/>
      <c r="H883" s="50"/>
    </row>
    <row r="884" spans="1:8">
      <c r="A884" s="27"/>
      <c r="C884" s="28"/>
      <c r="D884" s="28"/>
      <c r="E884" s="50"/>
      <c r="F884" s="50"/>
      <c r="G884" s="50"/>
      <c r="H884" s="50"/>
    </row>
    <row r="885" spans="1:8">
      <c r="A885" s="27"/>
      <c r="C885" s="28"/>
      <c r="D885" s="28"/>
      <c r="E885" s="50"/>
      <c r="F885" s="50"/>
      <c r="G885" s="50"/>
      <c r="H885" s="50"/>
    </row>
    <row r="886" spans="1:8">
      <c r="A886" s="27"/>
      <c r="C886" s="28"/>
      <c r="D886" s="28"/>
      <c r="E886" s="50"/>
      <c r="F886" s="50"/>
      <c r="G886" s="50"/>
      <c r="H886" s="50"/>
    </row>
    <row r="887" spans="1:8">
      <c r="A887" s="27"/>
      <c r="C887" s="28"/>
      <c r="D887" s="28"/>
      <c r="E887" s="50"/>
      <c r="F887" s="50"/>
      <c r="G887" s="50"/>
      <c r="H887" s="50"/>
    </row>
    <row r="888" spans="1:8">
      <c r="A888" s="27"/>
      <c r="C888" s="28"/>
      <c r="D888" s="28"/>
      <c r="E888" s="50"/>
      <c r="F888" s="50"/>
      <c r="G888" s="50"/>
      <c r="H888" s="50"/>
    </row>
    <row r="889" spans="1:8">
      <c r="A889" s="27"/>
      <c r="C889" s="28"/>
      <c r="D889" s="28"/>
      <c r="E889" s="50"/>
      <c r="F889" s="50"/>
      <c r="G889" s="50"/>
      <c r="H889" s="50"/>
    </row>
    <row r="890" spans="1:8">
      <c r="A890" s="27"/>
      <c r="C890" s="28"/>
      <c r="D890" s="28"/>
      <c r="E890" s="50"/>
      <c r="F890" s="50"/>
      <c r="G890" s="50"/>
      <c r="H890" s="50"/>
    </row>
    <row r="891" spans="1:8">
      <c r="A891" s="27"/>
      <c r="C891" s="28"/>
      <c r="D891" s="28"/>
      <c r="E891" s="50"/>
      <c r="F891" s="50"/>
      <c r="G891" s="50"/>
      <c r="H891" s="50"/>
    </row>
    <row r="892" spans="1:8">
      <c r="A892" s="27"/>
      <c r="C892" s="28"/>
      <c r="D892" s="28"/>
      <c r="E892" s="50"/>
      <c r="F892" s="50"/>
      <c r="G892" s="50"/>
      <c r="H892" s="50"/>
    </row>
    <row r="893" spans="1:8">
      <c r="A893" s="27"/>
      <c r="C893" s="28"/>
      <c r="D893" s="28"/>
      <c r="E893" s="50"/>
      <c r="F893" s="50"/>
      <c r="G893" s="50"/>
      <c r="H893" s="50"/>
    </row>
    <row r="894" spans="1:8">
      <c r="A894" s="27"/>
      <c r="C894" s="28"/>
      <c r="D894" s="28"/>
      <c r="E894" s="50"/>
      <c r="F894" s="50"/>
      <c r="G894" s="50"/>
      <c r="H894" s="50"/>
    </row>
    <row r="895" spans="1:8">
      <c r="A895" s="27"/>
      <c r="C895" s="28"/>
      <c r="D895" s="28"/>
      <c r="E895" s="50"/>
      <c r="F895" s="50"/>
      <c r="G895" s="50"/>
      <c r="H895" s="50"/>
    </row>
    <row r="896" spans="1:8">
      <c r="A896" s="27"/>
      <c r="C896" s="28"/>
      <c r="D896" s="28"/>
      <c r="E896" s="50"/>
      <c r="F896" s="50"/>
      <c r="G896" s="50"/>
      <c r="H896" s="50"/>
    </row>
    <row r="897" spans="1:8">
      <c r="A897" s="27"/>
      <c r="C897" s="28"/>
      <c r="D897" s="28"/>
      <c r="E897" s="50"/>
      <c r="F897" s="50"/>
      <c r="G897" s="50"/>
      <c r="H897" s="50"/>
    </row>
    <row r="898" spans="1:8">
      <c r="A898" s="27"/>
      <c r="C898" s="28"/>
      <c r="D898" s="28"/>
      <c r="E898" s="50"/>
      <c r="F898" s="50"/>
      <c r="G898" s="50"/>
      <c r="H898" s="50"/>
    </row>
    <row r="899" spans="1:8">
      <c r="A899" s="27"/>
      <c r="C899" s="28"/>
      <c r="D899" s="28"/>
      <c r="E899" s="50"/>
      <c r="F899" s="50"/>
      <c r="G899" s="50"/>
      <c r="H899" s="50"/>
    </row>
    <row r="900" spans="1:8">
      <c r="A900" s="27"/>
      <c r="C900" s="28"/>
      <c r="D900" s="28"/>
      <c r="E900" s="50"/>
      <c r="F900" s="50"/>
      <c r="G900" s="50"/>
      <c r="H900" s="50"/>
    </row>
    <row r="901" spans="1:8">
      <c r="A901" s="27"/>
      <c r="C901" s="28"/>
      <c r="D901" s="28"/>
      <c r="E901" s="50"/>
      <c r="F901" s="50"/>
      <c r="G901" s="50"/>
      <c r="H901" s="50"/>
    </row>
    <row r="902" spans="1:8">
      <c r="A902" s="27"/>
      <c r="C902" s="28"/>
      <c r="D902" s="28"/>
      <c r="E902" s="50"/>
      <c r="F902" s="50"/>
      <c r="G902" s="50"/>
      <c r="H902" s="50"/>
    </row>
    <row r="903" spans="1:8">
      <c r="A903" s="27"/>
      <c r="C903" s="28"/>
      <c r="D903" s="28"/>
      <c r="E903" s="50"/>
      <c r="F903" s="50"/>
      <c r="G903" s="50"/>
      <c r="H903" s="50"/>
    </row>
    <row r="904" spans="1:8">
      <c r="A904" s="27"/>
      <c r="C904" s="28"/>
      <c r="D904" s="28"/>
      <c r="E904" s="50"/>
      <c r="F904" s="50"/>
      <c r="G904" s="50"/>
      <c r="H904" s="50"/>
    </row>
    <row r="905" spans="1:8">
      <c r="A905" s="27"/>
      <c r="C905" s="28"/>
      <c r="D905" s="28"/>
      <c r="E905" s="50"/>
      <c r="F905" s="50"/>
      <c r="G905" s="50"/>
      <c r="H905" s="50"/>
    </row>
    <row r="906" spans="1:8">
      <c r="A906" s="27"/>
      <c r="C906" s="28"/>
      <c r="D906" s="28"/>
      <c r="E906" s="50"/>
      <c r="F906" s="50"/>
      <c r="G906" s="50"/>
      <c r="H906" s="50"/>
    </row>
    <row r="907" spans="1:8">
      <c r="A907" s="27"/>
      <c r="C907" s="28"/>
      <c r="D907" s="28"/>
      <c r="E907" s="50"/>
      <c r="F907" s="50"/>
      <c r="G907" s="50"/>
      <c r="H907" s="50"/>
    </row>
    <row r="908" spans="1:8">
      <c r="A908" s="27"/>
      <c r="C908" s="28"/>
      <c r="D908" s="28"/>
      <c r="E908" s="50"/>
      <c r="F908" s="50"/>
      <c r="G908" s="50"/>
      <c r="H908" s="50"/>
    </row>
    <row r="909" spans="1:8">
      <c r="A909" s="27"/>
      <c r="C909" s="28"/>
      <c r="D909" s="28"/>
      <c r="E909" s="50"/>
      <c r="F909" s="50"/>
      <c r="G909" s="50"/>
      <c r="H909" s="50"/>
    </row>
    <row r="910" spans="1:8">
      <c r="A910" s="27"/>
      <c r="C910" s="28"/>
      <c r="D910" s="28"/>
      <c r="E910" s="50"/>
      <c r="F910" s="50"/>
      <c r="G910" s="50"/>
      <c r="H910" s="50"/>
    </row>
    <row r="911" spans="1:8">
      <c r="A911" s="27"/>
      <c r="C911" s="28"/>
      <c r="D911" s="28"/>
      <c r="E911" s="50"/>
      <c r="F911" s="50"/>
      <c r="G911" s="50"/>
      <c r="H911" s="50"/>
    </row>
    <row r="912" spans="1:8">
      <c r="A912" s="27"/>
      <c r="C912" s="28"/>
      <c r="D912" s="28"/>
      <c r="E912" s="50"/>
      <c r="F912" s="50"/>
      <c r="G912" s="50"/>
      <c r="H912" s="50"/>
    </row>
    <row r="913" spans="1:8">
      <c r="A913" s="27"/>
      <c r="C913" s="28"/>
      <c r="D913" s="28"/>
      <c r="E913" s="50"/>
      <c r="F913" s="50"/>
      <c r="G913" s="50"/>
      <c r="H913" s="50"/>
    </row>
    <row r="914" spans="1:8">
      <c r="A914" s="27"/>
      <c r="C914" s="28"/>
      <c r="D914" s="28"/>
      <c r="E914" s="50"/>
      <c r="F914" s="50"/>
      <c r="G914" s="50"/>
      <c r="H914" s="50"/>
    </row>
    <row r="915" spans="1:8">
      <c r="A915" s="27"/>
      <c r="C915" s="28"/>
      <c r="D915" s="28"/>
      <c r="E915" s="50"/>
      <c r="F915" s="50"/>
      <c r="G915" s="50"/>
      <c r="H915" s="50"/>
    </row>
    <row r="916" spans="1:8">
      <c r="A916" s="27"/>
      <c r="C916" s="28"/>
      <c r="D916" s="28"/>
      <c r="E916" s="50"/>
      <c r="F916" s="50"/>
      <c r="G916" s="50"/>
      <c r="H916" s="50"/>
    </row>
    <row r="917" spans="1:8">
      <c r="A917" s="27"/>
      <c r="C917" s="28"/>
      <c r="D917" s="28"/>
      <c r="E917" s="50"/>
      <c r="F917" s="50"/>
      <c r="G917" s="50"/>
      <c r="H917" s="50"/>
    </row>
    <row r="918" spans="1:8">
      <c r="A918" s="27"/>
      <c r="C918" s="28"/>
      <c r="D918" s="28"/>
      <c r="E918" s="50"/>
      <c r="F918" s="50"/>
      <c r="G918" s="50"/>
      <c r="H918" s="50"/>
    </row>
    <row r="919" spans="1:8">
      <c r="A919" s="27"/>
      <c r="C919" s="28"/>
      <c r="D919" s="28"/>
      <c r="E919" s="50"/>
      <c r="F919" s="50"/>
      <c r="G919" s="50"/>
      <c r="H919" s="50"/>
    </row>
    <row r="920" spans="1:8">
      <c r="A920" s="27"/>
      <c r="C920" s="28"/>
      <c r="D920" s="28"/>
      <c r="E920" s="50"/>
      <c r="F920" s="50"/>
      <c r="G920" s="50"/>
      <c r="H920" s="50"/>
    </row>
    <row r="921" spans="1:8">
      <c r="A921" s="27"/>
      <c r="C921" s="28"/>
      <c r="D921" s="28"/>
      <c r="E921" s="50"/>
      <c r="F921" s="50"/>
      <c r="G921" s="50"/>
      <c r="H921" s="50"/>
    </row>
    <row r="922" spans="1:8">
      <c r="A922" s="27"/>
      <c r="C922" s="28"/>
      <c r="D922" s="28"/>
      <c r="E922" s="50"/>
      <c r="F922" s="50"/>
      <c r="G922" s="50"/>
      <c r="H922" s="50"/>
    </row>
    <row r="923" spans="1:8">
      <c r="A923" s="27"/>
      <c r="C923" s="28"/>
      <c r="D923" s="28"/>
      <c r="E923" s="50"/>
      <c r="F923" s="50"/>
      <c r="G923" s="50"/>
      <c r="H923" s="50"/>
    </row>
    <row r="924" spans="1:8">
      <c r="A924" s="27"/>
      <c r="C924" s="28"/>
      <c r="D924" s="28"/>
      <c r="E924" s="50"/>
      <c r="F924" s="50"/>
      <c r="G924" s="50"/>
      <c r="H924" s="50"/>
    </row>
    <row r="925" spans="1:8">
      <c r="A925" s="27"/>
      <c r="C925" s="28"/>
      <c r="D925" s="28"/>
      <c r="E925" s="50"/>
      <c r="F925" s="50"/>
      <c r="G925" s="50"/>
      <c r="H925" s="50"/>
    </row>
    <row r="926" spans="1:8">
      <c r="A926" s="27"/>
      <c r="C926" s="28"/>
      <c r="D926" s="28"/>
      <c r="E926" s="50"/>
      <c r="F926" s="50"/>
      <c r="G926" s="50"/>
      <c r="H926" s="50"/>
    </row>
    <row r="927" spans="1:8">
      <c r="A927" s="27"/>
      <c r="C927" s="28"/>
      <c r="D927" s="28"/>
      <c r="E927" s="50"/>
      <c r="F927" s="50"/>
      <c r="G927" s="50"/>
      <c r="H927" s="50"/>
    </row>
    <row r="928" spans="1:8">
      <c r="A928" s="27"/>
      <c r="C928" s="28"/>
      <c r="D928" s="28"/>
      <c r="E928" s="50"/>
      <c r="F928" s="50"/>
      <c r="G928" s="50"/>
      <c r="H928" s="50"/>
    </row>
    <row r="929" spans="1:8">
      <c r="A929" s="27"/>
      <c r="C929" s="28"/>
      <c r="D929" s="28"/>
      <c r="E929" s="50"/>
      <c r="F929" s="50"/>
      <c r="G929" s="50"/>
      <c r="H929" s="50"/>
    </row>
    <row r="930" spans="1:8">
      <c r="A930" s="27"/>
      <c r="C930" s="28"/>
      <c r="D930" s="28"/>
      <c r="E930" s="50"/>
      <c r="F930" s="50"/>
      <c r="G930" s="50"/>
      <c r="H930" s="50"/>
    </row>
    <row r="931" spans="1:8">
      <c r="A931" s="27"/>
      <c r="C931" s="28"/>
      <c r="D931" s="28"/>
      <c r="E931" s="50"/>
      <c r="F931" s="50"/>
      <c r="G931" s="50"/>
      <c r="H931" s="50"/>
    </row>
    <row r="932" spans="1:8">
      <c r="A932" s="27"/>
      <c r="C932" s="28"/>
      <c r="D932" s="28"/>
      <c r="E932" s="50"/>
      <c r="F932" s="50"/>
      <c r="G932" s="50"/>
      <c r="H932" s="50"/>
    </row>
    <row r="933" spans="1:8">
      <c r="A933" s="27"/>
      <c r="C933" s="28"/>
      <c r="D933" s="28"/>
      <c r="E933" s="50"/>
      <c r="F933" s="50"/>
      <c r="G933" s="50"/>
      <c r="H933" s="50"/>
    </row>
    <row r="934" spans="1:8">
      <c r="A934" s="27"/>
      <c r="C934" s="28"/>
      <c r="D934" s="28"/>
      <c r="E934" s="50"/>
      <c r="F934" s="50"/>
      <c r="G934" s="50"/>
      <c r="H934" s="50"/>
    </row>
    <row r="935" spans="1:8">
      <c r="A935" s="27"/>
      <c r="C935" s="28"/>
      <c r="D935" s="28"/>
      <c r="E935" s="50"/>
      <c r="F935" s="50"/>
      <c r="G935" s="50"/>
      <c r="H935" s="50"/>
    </row>
    <row r="936" spans="1:8">
      <c r="A936" s="27"/>
      <c r="C936" s="28"/>
      <c r="D936" s="28"/>
      <c r="E936" s="50"/>
      <c r="F936" s="50"/>
      <c r="G936" s="50"/>
      <c r="H936" s="50"/>
    </row>
    <row r="937" spans="1:8">
      <c r="A937" s="27"/>
      <c r="C937" s="28"/>
      <c r="D937" s="28"/>
      <c r="E937" s="50"/>
      <c r="F937" s="50"/>
      <c r="G937" s="50"/>
      <c r="H937" s="50"/>
    </row>
    <row r="938" spans="1:8">
      <c r="A938" s="27"/>
      <c r="C938" s="28"/>
      <c r="D938" s="28"/>
      <c r="E938" s="50"/>
      <c r="F938" s="50"/>
      <c r="G938" s="50"/>
      <c r="H938" s="50"/>
    </row>
    <row r="939" spans="1:8">
      <c r="A939" s="27"/>
      <c r="C939" s="28"/>
      <c r="D939" s="28"/>
      <c r="E939" s="50"/>
      <c r="F939" s="50"/>
      <c r="G939" s="50"/>
      <c r="H939" s="50"/>
    </row>
    <row r="940" spans="1:8">
      <c r="A940" s="27"/>
      <c r="C940" s="28"/>
      <c r="D940" s="28"/>
      <c r="E940" s="50"/>
      <c r="F940" s="50"/>
      <c r="G940" s="50"/>
      <c r="H940" s="50"/>
    </row>
    <row r="941" spans="1:8">
      <c r="A941" s="27"/>
      <c r="C941" s="28"/>
      <c r="D941" s="28"/>
      <c r="E941" s="50"/>
      <c r="F941" s="50"/>
      <c r="G941" s="50"/>
      <c r="H941" s="50"/>
    </row>
    <row r="942" spans="1:8">
      <c r="A942" s="27"/>
      <c r="C942" s="28"/>
      <c r="D942" s="28"/>
      <c r="E942" s="50"/>
      <c r="F942" s="50"/>
      <c r="G942" s="50"/>
      <c r="H942" s="50"/>
    </row>
    <row r="943" spans="1:8">
      <c r="A943" s="27"/>
      <c r="C943" s="28"/>
      <c r="D943" s="28"/>
      <c r="E943" s="50"/>
      <c r="F943" s="50"/>
      <c r="G943" s="50"/>
      <c r="H943" s="50"/>
    </row>
    <row r="944" spans="1:8">
      <c r="A944" s="27"/>
      <c r="C944" s="28"/>
      <c r="D944" s="28"/>
      <c r="E944" s="50"/>
      <c r="F944" s="50"/>
      <c r="G944" s="50"/>
      <c r="H944" s="50"/>
    </row>
    <row r="945" spans="1:8">
      <c r="A945" s="27"/>
      <c r="C945" s="28"/>
      <c r="D945" s="28"/>
      <c r="E945" s="50"/>
      <c r="F945" s="50"/>
      <c r="G945" s="50"/>
      <c r="H945" s="50"/>
    </row>
    <row r="946" spans="1:8">
      <c r="A946" s="27"/>
      <c r="C946" s="28"/>
      <c r="D946" s="28"/>
      <c r="E946" s="50"/>
      <c r="F946" s="50"/>
      <c r="G946" s="50"/>
      <c r="H946" s="50"/>
    </row>
    <row r="947" spans="1:8">
      <c r="A947" s="27"/>
      <c r="C947" s="28"/>
      <c r="D947" s="28"/>
      <c r="E947" s="50"/>
      <c r="F947" s="50"/>
      <c r="G947" s="50"/>
      <c r="H947" s="50"/>
    </row>
  </sheetData>
  <autoFilter xmlns:etc="http://www.wps.cn/officeDocument/2017/etCustomData" ref="A4:H202"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00B0F0"/>
    <outlinePr summaryBelow="0" summaryRight="0"/>
    <pageSetUpPr fitToPage="1"/>
  </sheetPr>
  <dimension ref="A1:H221"/>
  <sheetViews>
    <sheetView view="pageBreakPreview" zoomScale="90" zoomScaleNormal="70" topLeftCell="A26" workbookViewId="0">
      <selection activeCell="E27" sqref="E27"/>
    </sheetView>
  </sheetViews>
  <sheetFormatPr defaultColWidth="12.75" defaultRowHeight="13.8" outlineLevelCol="7"/>
  <cols>
    <col min="1" max="1" width="7.62962962962963" style="182" customWidth="1"/>
    <col min="2" max="2" width="39.5" style="183" customWidth="1"/>
    <col min="3" max="4" width="30.75" style="184" customWidth="1"/>
    <col min="5" max="5" width="13.8796296296296" style="185" customWidth="1"/>
    <col min="6" max="8" width="13.8796296296296" style="183" customWidth="1"/>
    <col min="9" max="16384" width="12.75" style="186"/>
  </cols>
  <sheetData>
    <row r="1" spans="1:8">
      <c r="A1" s="149" t="s">
        <v>459</v>
      </c>
      <c r="B1" s="149"/>
      <c r="C1" s="150"/>
      <c r="D1" s="150"/>
      <c r="E1" s="149"/>
      <c r="F1" s="149"/>
      <c r="G1" s="149"/>
      <c r="H1" s="149"/>
    </row>
    <row r="2" spans="1:8">
      <c r="A2" s="187" t="s">
        <v>460</v>
      </c>
      <c r="B2" s="187"/>
      <c r="C2" s="187"/>
      <c r="D2" s="187"/>
      <c r="E2" s="187"/>
      <c r="F2" s="187"/>
      <c r="G2" s="187"/>
      <c r="H2" s="187"/>
    </row>
    <row r="3" spans="1:8">
      <c r="A3" s="188" t="s">
        <v>5</v>
      </c>
      <c r="B3" s="189" t="s">
        <v>6</v>
      </c>
      <c r="C3" s="189" t="s">
        <v>7</v>
      </c>
      <c r="D3" s="189"/>
      <c r="E3" s="188" t="s">
        <v>8</v>
      </c>
      <c r="F3" s="188"/>
      <c r="G3" s="188"/>
      <c r="H3" s="188"/>
    </row>
    <row r="4" spans="1:8">
      <c r="A4" s="190"/>
      <c r="B4" s="191"/>
      <c r="C4" s="189" t="s">
        <v>9</v>
      </c>
      <c r="D4" s="189" t="s">
        <v>10</v>
      </c>
      <c r="E4" s="192" t="s">
        <v>11</v>
      </c>
      <c r="F4" s="192" t="s">
        <v>12</v>
      </c>
      <c r="G4" s="192" t="s">
        <v>13</v>
      </c>
      <c r="H4" s="192" t="s">
        <v>14</v>
      </c>
    </row>
    <row r="5" spans="1:8">
      <c r="A5" s="193" t="s">
        <v>15</v>
      </c>
      <c r="B5" s="188"/>
      <c r="C5" s="193"/>
      <c r="D5" s="193"/>
      <c r="E5" s="194" t="s">
        <v>16</v>
      </c>
      <c r="F5" s="195" t="s">
        <v>16</v>
      </c>
      <c r="G5" s="195" t="s">
        <v>16</v>
      </c>
      <c r="H5" s="195" t="s">
        <v>16</v>
      </c>
    </row>
    <row r="6" spans="1:8">
      <c r="A6" s="196">
        <v>1</v>
      </c>
      <c r="B6" s="197" t="s">
        <v>461</v>
      </c>
      <c r="C6" s="198" t="s">
        <v>462</v>
      </c>
      <c r="D6" s="198" t="s">
        <v>463</v>
      </c>
      <c r="E6" s="199">
        <v>1850000</v>
      </c>
      <c r="F6" s="200">
        <v>950000</v>
      </c>
      <c r="G6" s="200">
        <v>700000</v>
      </c>
      <c r="H6" s="200">
        <v>395000</v>
      </c>
    </row>
    <row r="7" spans="1:8">
      <c r="A7" s="196">
        <v>2</v>
      </c>
      <c r="B7" s="197" t="s">
        <v>464</v>
      </c>
      <c r="C7" s="198" t="s">
        <v>465</v>
      </c>
      <c r="D7" s="198" t="s">
        <v>463</v>
      </c>
      <c r="E7" s="199">
        <v>1600000</v>
      </c>
      <c r="F7" s="200">
        <v>850000</v>
      </c>
      <c r="G7" s="200">
        <v>600000</v>
      </c>
      <c r="H7" s="200">
        <v>355000</v>
      </c>
    </row>
    <row r="8" spans="1:8">
      <c r="A8" s="196">
        <v>3</v>
      </c>
      <c r="B8" s="197" t="s">
        <v>466</v>
      </c>
      <c r="C8" s="198" t="s">
        <v>465</v>
      </c>
      <c r="D8" s="198" t="s">
        <v>463</v>
      </c>
      <c r="E8" s="199">
        <v>1600000</v>
      </c>
      <c r="F8" s="200">
        <v>850000</v>
      </c>
      <c r="G8" s="200">
        <v>600000</v>
      </c>
      <c r="H8" s="200">
        <v>355000</v>
      </c>
    </row>
    <row r="9" spans="1:8">
      <c r="A9" s="196">
        <v>4</v>
      </c>
      <c r="B9" s="197" t="s">
        <v>467</v>
      </c>
      <c r="C9" s="198" t="s">
        <v>465</v>
      </c>
      <c r="D9" s="198" t="s">
        <v>463</v>
      </c>
      <c r="E9" s="23">
        <v>1600000</v>
      </c>
      <c r="F9" s="23">
        <v>850000</v>
      </c>
      <c r="G9" s="23">
        <v>600000</v>
      </c>
      <c r="H9" s="23">
        <v>355000</v>
      </c>
    </row>
    <row r="10" spans="1:8">
      <c r="A10" s="196">
        <f>A9+1</f>
        <v>5</v>
      </c>
      <c r="B10" s="197" t="s">
        <v>468</v>
      </c>
      <c r="C10" s="198" t="s">
        <v>469</v>
      </c>
      <c r="D10" s="198" t="s">
        <v>463</v>
      </c>
      <c r="E10" s="23">
        <v>3100000</v>
      </c>
      <c r="F10" s="23">
        <v>1550000</v>
      </c>
      <c r="G10" s="23">
        <v>1100000</v>
      </c>
      <c r="H10" s="23">
        <v>600000</v>
      </c>
    </row>
    <row r="11" spans="1:8">
      <c r="A11" s="196">
        <v>6</v>
      </c>
      <c r="B11" s="197" t="s">
        <v>470</v>
      </c>
      <c r="C11" s="198" t="s">
        <v>471</v>
      </c>
      <c r="D11" s="198" t="s">
        <v>472</v>
      </c>
      <c r="E11" s="23">
        <v>1850000</v>
      </c>
      <c r="F11" s="23">
        <v>1000000</v>
      </c>
      <c r="G11" s="23">
        <v>700000</v>
      </c>
      <c r="H11" s="23">
        <v>425000</v>
      </c>
    </row>
    <row r="12" spans="1:8">
      <c r="A12" s="196"/>
      <c r="B12" s="197" t="s">
        <v>470</v>
      </c>
      <c r="C12" s="198" t="s">
        <v>472</v>
      </c>
      <c r="D12" s="198" t="s">
        <v>473</v>
      </c>
      <c r="E12" s="23">
        <v>1500000</v>
      </c>
      <c r="F12" s="23">
        <v>950000</v>
      </c>
      <c r="G12" s="23">
        <v>700000</v>
      </c>
      <c r="H12" s="23">
        <v>440000</v>
      </c>
    </row>
    <row r="13" ht="27.6" spans="1:8">
      <c r="A13" s="196">
        <f>A11+1</f>
        <v>7</v>
      </c>
      <c r="B13" s="197" t="s">
        <v>469</v>
      </c>
      <c r="C13" s="198" t="s">
        <v>474</v>
      </c>
      <c r="D13" s="198" t="s">
        <v>475</v>
      </c>
      <c r="E13" s="23">
        <v>6000000</v>
      </c>
      <c r="F13" s="23">
        <v>3000000</v>
      </c>
      <c r="G13" s="23">
        <v>2100000</v>
      </c>
      <c r="H13" s="23">
        <v>1200000</v>
      </c>
    </row>
    <row r="14" spans="1:8">
      <c r="A14" s="196"/>
      <c r="B14" s="197" t="s">
        <v>469</v>
      </c>
      <c r="C14" s="198" t="s">
        <v>475</v>
      </c>
      <c r="D14" s="198" t="s">
        <v>476</v>
      </c>
      <c r="E14" s="23">
        <v>3650000</v>
      </c>
      <c r="F14" s="23">
        <v>1750000</v>
      </c>
      <c r="G14" s="23">
        <v>1300000</v>
      </c>
      <c r="H14" s="23">
        <v>750000</v>
      </c>
    </row>
    <row r="15" spans="1:8">
      <c r="A15" s="196">
        <f>A13+1</f>
        <v>8</v>
      </c>
      <c r="B15" s="197" t="s">
        <v>477</v>
      </c>
      <c r="C15" s="198" t="s">
        <v>478</v>
      </c>
      <c r="D15" s="198" t="s">
        <v>479</v>
      </c>
      <c r="E15" s="23">
        <v>1500000</v>
      </c>
      <c r="F15" s="23">
        <v>800000</v>
      </c>
      <c r="G15" s="23">
        <v>550000</v>
      </c>
      <c r="H15" s="23">
        <v>330000</v>
      </c>
    </row>
    <row r="16" spans="1:8">
      <c r="A16" s="196">
        <f>A15+1</f>
        <v>9</v>
      </c>
      <c r="B16" s="197" t="s">
        <v>480</v>
      </c>
      <c r="C16" s="198" t="s">
        <v>469</v>
      </c>
      <c r="D16" s="198" t="s">
        <v>463</v>
      </c>
      <c r="E16" s="23">
        <v>3100000</v>
      </c>
      <c r="F16" s="23">
        <v>1550000</v>
      </c>
      <c r="G16" s="23">
        <v>1100000</v>
      </c>
      <c r="H16" s="23">
        <v>600000</v>
      </c>
    </row>
    <row r="17" spans="1:8">
      <c r="A17" s="196">
        <f>A16+1</f>
        <v>10</v>
      </c>
      <c r="B17" s="197" t="s">
        <v>481</v>
      </c>
      <c r="C17" s="198" t="s">
        <v>482</v>
      </c>
      <c r="D17" s="198" t="s">
        <v>483</v>
      </c>
      <c r="E17" s="23">
        <v>550000</v>
      </c>
      <c r="F17" s="23">
        <v>340000</v>
      </c>
      <c r="G17" s="23">
        <v>255000</v>
      </c>
      <c r="H17" s="23">
        <v>185000</v>
      </c>
    </row>
    <row r="18" spans="1:8">
      <c r="A18" s="196">
        <f>A17+1</f>
        <v>11</v>
      </c>
      <c r="B18" s="197" t="s">
        <v>484</v>
      </c>
      <c r="C18" s="198" t="s">
        <v>469</v>
      </c>
      <c r="D18" s="198" t="s">
        <v>485</v>
      </c>
      <c r="E18" s="23">
        <v>4200000</v>
      </c>
      <c r="F18" s="23">
        <v>2100000</v>
      </c>
      <c r="G18" s="23">
        <v>1450000</v>
      </c>
      <c r="H18" s="23">
        <v>850000</v>
      </c>
    </row>
    <row r="19" spans="1:8">
      <c r="A19" s="196"/>
      <c r="B19" s="197" t="s">
        <v>484</v>
      </c>
      <c r="C19" s="198" t="s">
        <v>485</v>
      </c>
      <c r="D19" s="198" t="s">
        <v>486</v>
      </c>
      <c r="E19" s="23">
        <v>3650000</v>
      </c>
      <c r="F19" s="23">
        <v>1750000</v>
      </c>
      <c r="G19" s="23">
        <v>1300000</v>
      </c>
      <c r="H19" s="23">
        <v>750000</v>
      </c>
    </row>
    <row r="20" ht="27.6" spans="1:8">
      <c r="A20" s="196">
        <f>A18+1</f>
        <v>12</v>
      </c>
      <c r="B20" s="197" t="s">
        <v>487</v>
      </c>
      <c r="C20" s="198" t="s">
        <v>488</v>
      </c>
      <c r="D20" s="198" t="s">
        <v>489</v>
      </c>
      <c r="E20" s="23">
        <v>700000</v>
      </c>
      <c r="F20" s="23">
        <v>440000</v>
      </c>
      <c r="G20" s="23">
        <v>315000</v>
      </c>
      <c r="H20" s="23">
        <v>205000</v>
      </c>
    </row>
    <row r="21" ht="27.6" spans="1:8">
      <c r="A21" s="196">
        <f t="shared" ref="A21:A30" si="0">A20+1</f>
        <v>13</v>
      </c>
      <c r="B21" s="197" t="s">
        <v>490</v>
      </c>
      <c r="C21" s="198" t="s">
        <v>491</v>
      </c>
      <c r="D21" s="198" t="s">
        <v>492</v>
      </c>
      <c r="E21" s="23">
        <v>1100000</v>
      </c>
      <c r="F21" s="23">
        <v>600000</v>
      </c>
      <c r="G21" s="23">
        <v>415000</v>
      </c>
      <c r="H21" s="23">
        <v>250000</v>
      </c>
    </row>
    <row r="22" ht="27.6" spans="1:8">
      <c r="A22" s="196">
        <f t="shared" si="0"/>
        <v>14</v>
      </c>
      <c r="B22" s="197" t="s">
        <v>493</v>
      </c>
      <c r="C22" s="198" t="s">
        <v>491</v>
      </c>
      <c r="D22" s="198" t="s">
        <v>494</v>
      </c>
      <c r="E22" s="23">
        <v>700000</v>
      </c>
      <c r="F22" s="23">
        <v>440000</v>
      </c>
      <c r="G22" s="23">
        <v>315000</v>
      </c>
      <c r="H22" s="23">
        <v>205000</v>
      </c>
    </row>
    <row r="23" ht="27.6" spans="1:8">
      <c r="A23" s="196">
        <f t="shared" si="0"/>
        <v>15</v>
      </c>
      <c r="B23" s="197" t="s">
        <v>495</v>
      </c>
      <c r="C23" s="198" t="s">
        <v>496</v>
      </c>
      <c r="D23" s="198" t="s">
        <v>229</v>
      </c>
      <c r="E23" s="23">
        <v>550000</v>
      </c>
      <c r="F23" s="23">
        <v>340000</v>
      </c>
      <c r="G23" s="23">
        <v>255000</v>
      </c>
      <c r="H23" s="23">
        <v>185000</v>
      </c>
    </row>
    <row r="24" ht="27.6" spans="1:8">
      <c r="A24" s="196">
        <f t="shared" si="0"/>
        <v>16</v>
      </c>
      <c r="B24" s="197" t="s">
        <v>497</v>
      </c>
      <c r="C24" s="198" t="s">
        <v>498</v>
      </c>
      <c r="D24" s="198" t="s">
        <v>499</v>
      </c>
      <c r="E24" s="23">
        <v>375000</v>
      </c>
      <c r="F24" s="23">
        <v>290000</v>
      </c>
      <c r="G24" s="23">
        <v>235000</v>
      </c>
      <c r="H24" s="23">
        <v>165000</v>
      </c>
    </row>
    <row r="25" spans="1:8">
      <c r="A25" s="196">
        <f t="shared" si="0"/>
        <v>17</v>
      </c>
      <c r="B25" s="197" t="s">
        <v>500</v>
      </c>
      <c r="C25" s="198" t="s">
        <v>491</v>
      </c>
      <c r="D25" s="198" t="s">
        <v>501</v>
      </c>
      <c r="E25" s="23">
        <v>2700000</v>
      </c>
      <c r="F25" s="23">
        <v>1350000</v>
      </c>
      <c r="G25" s="23">
        <v>950000</v>
      </c>
      <c r="H25" s="23">
        <v>550000</v>
      </c>
    </row>
    <row r="26" ht="27.6" spans="1:8">
      <c r="A26" s="196">
        <f t="shared" si="0"/>
        <v>18</v>
      </c>
      <c r="B26" s="197" t="s">
        <v>502</v>
      </c>
      <c r="C26" s="198" t="s">
        <v>503</v>
      </c>
      <c r="D26" s="198" t="s">
        <v>504</v>
      </c>
      <c r="E26" s="23">
        <v>550000</v>
      </c>
      <c r="F26" s="23">
        <v>340000</v>
      </c>
      <c r="G26" s="23">
        <v>255000</v>
      </c>
      <c r="H26" s="23">
        <v>185000</v>
      </c>
    </row>
    <row r="27" spans="1:8">
      <c r="A27" s="196">
        <f t="shared" si="0"/>
        <v>19</v>
      </c>
      <c r="B27" s="201" t="s">
        <v>505</v>
      </c>
      <c r="C27" s="202" t="s">
        <v>470</v>
      </c>
      <c r="D27" s="202" t="s">
        <v>506</v>
      </c>
      <c r="E27" s="23">
        <v>1500000</v>
      </c>
      <c r="F27" s="23">
        <v>800000</v>
      </c>
      <c r="G27" s="23">
        <v>550000</v>
      </c>
      <c r="H27" s="23">
        <v>330000</v>
      </c>
    </row>
    <row r="28" spans="1:8">
      <c r="A28" s="196">
        <f t="shared" si="0"/>
        <v>20</v>
      </c>
      <c r="B28" s="197" t="s">
        <v>507</v>
      </c>
      <c r="C28" s="198" t="s">
        <v>484</v>
      </c>
      <c r="D28" s="198" t="s">
        <v>508</v>
      </c>
      <c r="E28" s="23">
        <v>3100000</v>
      </c>
      <c r="F28" s="23">
        <v>1550000</v>
      </c>
      <c r="G28" s="23">
        <v>1100000</v>
      </c>
      <c r="H28" s="23">
        <v>600000</v>
      </c>
    </row>
    <row r="29" spans="1:8">
      <c r="A29" s="196">
        <f t="shared" si="0"/>
        <v>21</v>
      </c>
      <c r="B29" s="197" t="s">
        <v>509</v>
      </c>
      <c r="C29" s="198" t="s">
        <v>469</v>
      </c>
      <c r="D29" s="198" t="s">
        <v>510</v>
      </c>
      <c r="E29" s="23">
        <v>2700000</v>
      </c>
      <c r="F29" s="23">
        <v>1350000</v>
      </c>
      <c r="G29" s="23">
        <v>950000</v>
      </c>
      <c r="H29" s="23">
        <v>550000</v>
      </c>
    </row>
    <row r="30" spans="1:8">
      <c r="A30" s="196">
        <f t="shared" si="0"/>
        <v>22</v>
      </c>
      <c r="B30" s="197" t="s">
        <v>511</v>
      </c>
      <c r="C30" s="198" t="s">
        <v>512</v>
      </c>
      <c r="D30" s="198" t="s">
        <v>499</v>
      </c>
      <c r="E30" s="23">
        <v>1000000</v>
      </c>
      <c r="F30" s="23">
        <v>550000</v>
      </c>
      <c r="G30" s="23">
        <v>380000</v>
      </c>
      <c r="H30" s="23">
        <v>245000</v>
      </c>
    </row>
    <row r="31" spans="1:8">
      <c r="A31" s="196"/>
      <c r="B31" s="197" t="s">
        <v>511</v>
      </c>
      <c r="C31" s="198" t="s">
        <v>499</v>
      </c>
      <c r="D31" s="198" t="s">
        <v>513</v>
      </c>
      <c r="E31" s="23">
        <v>1200000</v>
      </c>
      <c r="F31" s="23">
        <v>650000</v>
      </c>
      <c r="G31" s="23">
        <v>455000</v>
      </c>
      <c r="H31" s="23">
        <v>280000</v>
      </c>
    </row>
    <row r="32" spans="1:8">
      <c r="A32" s="196">
        <f>A30+1</f>
        <v>23</v>
      </c>
      <c r="B32" s="197" t="s">
        <v>514</v>
      </c>
      <c r="C32" s="198" t="s">
        <v>469</v>
      </c>
      <c r="D32" s="198" t="s">
        <v>463</v>
      </c>
      <c r="E32" s="23">
        <v>4200000</v>
      </c>
      <c r="F32" s="23">
        <v>2100000</v>
      </c>
      <c r="G32" s="23">
        <v>1450000</v>
      </c>
      <c r="H32" s="23">
        <v>850000</v>
      </c>
    </row>
    <row r="33" spans="1:8">
      <c r="A33" s="196">
        <f>A32+1</f>
        <v>24</v>
      </c>
      <c r="B33" s="197" t="s">
        <v>515</v>
      </c>
      <c r="C33" s="198" t="s">
        <v>484</v>
      </c>
      <c r="D33" s="198" t="s">
        <v>90</v>
      </c>
      <c r="E33" s="23">
        <v>1850000</v>
      </c>
      <c r="F33" s="23">
        <v>950000</v>
      </c>
      <c r="G33" s="23">
        <v>700000</v>
      </c>
      <c r="H33" s="23">
        <v>395000</v>
      </c>
    </row>
    <row r="34" spans="1:8">
      <c r="A34" s="196"/>
      <c r="B34" s="197" t="s">
        <v>515</v>
      </c>
      <c r="C34" s="198" t="s">
        <v>90</v>
      </c>
      <c r="D34" s="198" t="s">
        <v>516</v>
      </c>
      <c r="E34" s="23">
        <v>1500000</v>
      </c>
      <c r="F34" s="23">
        <v>800000</v>
      </c>
      <c r="G34" s="23">
        <v>550000</v>
      </c>
      <c r="H34" s="23">
        <v>330000</v>
      </c>
    </row>
    <row r="35" spans="1:8">
      <c r="A35" s="196">
        <f>A33+1</f>
        <v>25</v>
      </c>
      <c r="B35" s="197" t="s">
        <v>517</v>
      </c>
      <c r="C35" s="198" t="s">
        <v>518</v>
      </c>
      <c r="D35" s="198" t="s">
        <v>477</v>
      </c>
      <c r="E35" s="23">
        <v>3100000</v>
      </c>
      <c r="F35" s="23">
        <v>1550000</v>
      </c>
      <c r="G35" s="23">
        <v>1100000</v>
      </c>
      <c r="H35" s="23">
        <v>600000</v>
      </c>
    </row>
    <row r="36" ht="27.6" spans="1:8">
      <c r="A36" s="196">
        <f>A35+1</f>
        <v>26</v>
      </c>
      <c r="B36" s="197" t="s">
        <v>519</v>
      </c>
      <c r="C36" s="198" t="s">
        <v>513</v>
      </c>
      <c r="D36" s="198" t="s">
        <v>520</v>
      </c>
      <c r="E36" s="23">
        <v>1000000</v>
      </c>
      <c r="F36" s="23">
        <v>550000</v>
      </c>
      <c r="G36" s="23">
        <v>380000</v>
      </c>
      <c r="H36" s="23">
        <v>245000</v>
      </c>
    </row>
    <row r="37" ht="27.6" spans="1:8">
      <c r="A37" s="196"/>
      <c r="B37" s="197" t="s">
        <v>519</v>
      </c>
      <c r="C37" s="198" t="s">
        <v>520</v>
      </c>
      <c r="D37" s="198" t="s">
        <v>521</v>
      </c>
      <c r="E37" s="23">
        <v>550000</v>
      </c>
      <c r="F37" s="23">
        <v>340000</v>
      </c>
      <c r="G37" s="23">
        <v>255000</v>
      </c>
      <c r="H37" s="23">
        <v>185000</v>
      </c>
    </row>
    <row r="38" ht="27.6" spans="1:8">
      <c r="A38" s="196"/>
      <c r="B38" s="197" t="s">
        <v>519</v>
      </c>
      <c r="C38" s="198" t="s">
        <v>521</v>
      </c>
      <c r="D38" s="198" t="s">
        <v>522</v>
      </c>
      <c r="E38" s="23">
        <v>375000</v>
      </c>
      <c r="F38" s="23">
        <v>290000</v>
      </c>
      <c r="G38" s="23">
        <v>235000</v>
      </c>
      <c r="H38" s="23">
        <v>165000</v>
      </c>
    </row>
    <row r="39" spans="1:8">
      <c r="A39" s="196">
        <f>A36+1</f>
        <v>27</v>
      </c>
      <c r="B39" s="197" t="s">
        <v>229</v>
      </c>
      <c r="C39" s="198" t="s">
        <v>523</v>
      </c>
      <c r="D39" s="198" t="s">
        <v>263</v>
      </c>
      <c r="E39" s="23">
        <v>1850000</v>
      </c>
      <c r="F39" s="23">
        <v>950000</v>
      </c>
      <c r="G39" s="23">
        <v>700000</v>
      </c>
      <c r="H39" s="23">
        <v>395000</v>
      </c>
    </row>
    <row r="40" spans="1:8">
      <c r="A40" s="196"/>
      <c r="B40" s="197" t="s">
        <v>229</v>
      </c>
      <c r="C40" s="198" t="s">
        <v>469</v>
      </c>
      <c r="D40" s="198" t="s">
        <v>524</v>
      </c>
      <c r="E40" s="23">
        <v>4200000</v>
      </c>
      <c r="F40" s="23">
        <v>2100000</v>
      </c>
      <c r="G40" s="23">
        <v>1450000</v>
      </c>
      <c r="H40" s="23">
        <v>850000</v>
      </c>
    </row>
    <row r="41" spans="1:8">
      <c r="A41" s="196">
        <f>A39+1</f>
        <v>28</v>
      </c>
      <c r="B41" s="197" t="s">
        <v>479</v>
      </c>
      <c r="C41" s="198" t="s">
        <v>469</v>
      </c>
      <c r="D41" s="198" t="s">
        <v>485</v>
      </c>
      <c r="E41" s="23">
        <v>3650000</v>
      </c>
      <c r="F41" s="23">
        <v>1750000</v>
      </c>
      <c r="G41" s="23">
        <v>1300000</v>
      </c>
      <c r="H41" s="23">
        <v>750000</v>
      </c>
    </row>
    <row r="42" spans="1:8">
      <c r="A42" s="196"/>
      <c r="B42" s="197" t="s">
        <v>479</v>
      </c>
      <c r="C42" s="198" t="s">
        <v>485</v>
      </c>
      <c r="D42" s="198" t="s">
        <v>484</v>
      </c>
      <c r="E42" s="23">
        <v>3100000</v>
      </c>
      <c r="F42" s="23">
        <v>1550000</v>
      </c>
      <c r="G42" s="23">
        <v>1100000</v>
      </c>
      <c r="H42" s="23">
        <v>600000</v>
      </c>
    </row>
    <row r="43" spans="1:8">
      <c r="A43" s="196">
        <f>A41+1</f>
        <v>29</v>
      </c>
      <c r="B43" s="197" t="s">
        <v>525</v>
      </c>
      <c r="C43" s="198" t="s">
        <v>469</v>
      </c>
      <c r="D43" s="198" t="s">
        <v>485</v>
      </c>
      <c r="E43" s="23">
        <v>2700000</v>
      </c>
      <c r="F43" s="23">
        <v>1350000</v>
      </c>
      <c r="G43" s="23">
        <v>950000</v>
      </c>
      <c r="H43" s="23">
        <v>550000</v>
      </c>
    </row>
    <row r="44" spans="1:8">
      <c r="A44" s="196">
        <f>A43+1</f>
        <v>30</v>
      </c>
      <c r="B44" s="197" t="s">
        <v>526</v>
      </c>
      <c r="C44" s="198" t="s">
        <v>469</v>
      </c>
      <c r="D44" s="198" t="s">
        <v>463</v>
      </c>
      <c r="E44" s="23">
        <v>2350000</v>
      </c>
      <c r="F44" s="23">
        <v>1200000</v>
      </c>
      <c r="G44" s="23">
        <v>850000</v>
      </c>
      <c r="H44" s="23">
        <v>475000</v>
      </c>
    </row>
    <row r="45" spans="1:8">
      <c r="A45" s="196">
        <f>A44+1</f>
        <v>31</v>
      </c>
      <c r="B45" s="197" t="s">
        <v>527</v>
      </c>
      <c r="C45" s="198" t="s">
        <v>514</v>
      </c>
      <c r="D45" s="198" t="s">
        <v>528</v>
      </c>
      <c r="E45" s="23">
        <v>3100000</v>
      </c>
      <c r="F45" s="23">
        <v>1550000</v>
      </c>
      <c r="G45" s="23">
        <v>1100000</v>
      </c>
      <c r="H45" s="23">
        <v>600000</v>
      </c>
    </row>
    <row r="46" spans="1:8">
      <c r="A46" s="196"/>
      <c r="B46" s="197" t="s">
        <v>527</v>
      </c>
      <c r="C46" s="198" t="s">
        <v>528</v>
      </c>
      <c r="D46" s="198" t="s">
        <v>480</v>
      </c>
      <c r="E46" s="23">
        <v>2350000</v>
      </c>
      <c r="F46" s="23">
        <v>1200000</v>
      </c>
      <c r="G46" s="23">
        <v>850000</v>
      </c>
      <c r="H46" s="23">
        <v>475000</v>
      </c>
    </row>
    <row r="47" spans="1:8">
      <c r="A47" s="196">
        <f>A45+1</f>
        <v>32</v>
      </c>
      <c r="B47" s="197" t="s">
        <v>529</v>
      </c>
      <c r="C47" s="198" t="s">
        <v>530</v>
      </c>
      <c r="D47" s="198" t="s">
        <v>484</v>
      </c>
      <c r="E47" s="23">
        <v>3100000</v>
      </c>
      <c r="F47" s="23">
        <v>1550000</v>
      </c>
      <c r="G47" s="23">
        <v>1100000</v>
      </c>
      <c r="H47" s="23">
        <v>600000</v>
      </c>
    </row>
    <row r="48" spans="1:8">
      <c r="A48" s="196">
        <f>A47+1</f>
        <v>33</v>
      </c>
      <c r="B48" s="197" t="s">
        <v>531</v>
      </c>
      <c r="C48" s="198" t="s">
        <v>486</v>
      </c>
      <c r="D48" s="198" t="s">
        <v>530</v>
      </c>
      <c r="E48" s="23">
        <v>2350000</v>
      </c>
      <c r="F48" s="23">
        <v>1200000</v>
      </c>
      <c r="G48" s="23">
        <v>850000</v>
      </c>
      <c r="H48" s="23">
        <v>475000</v>
      </c>
    </row>
    <row r="49" spans="1:8">
      <c r="A49" s="196">
        <f>A48+1</f>
        <v>34</v>
      </c>
      <c r="B49" s="197" t="s">
        <v>532</v>
      </c>
      <c r="C49" s="198" t="s">
        <v>533</v>
      </c>
      <c r="D49" s="198" t="s">
        <v>534</v>
      </c>
      <c r="E49" s="23">
        <v>1000000</v>
      </c>
      <c r="F49" s="23">
        <v>600000</v>
      </c>
      <c r="G49" s="23">
        <v>460000</v>
      </c>
      <c r="H49" s="23">
        <v>335000</v>
      </c>
    </row>
    <row r="50" spans="1:8">
      <c r="A50" s="196">
        <f>A49+1</f>
        <v>35</v>
      </c>
      <c r="B50" s="197" t="s">
        <v>535</v>
      </c>
      <c r="C50" s="198" t="s">
        <v>486</v>
      </c>
      <c r="D50" s="198" t="s">
        <v>536</v>
      </c>
      <c r="E50" s="23">
        <v>2350000</v>
      </c>
      <c r="F50" s="23">
        <v>1200000</v>
      </c>
      <c r="G50" s="23">
        <v>850000</v>
      </c>
      <c r="H50" s="23">
        <v>475000</v>
      </c>
    </row>
    <row r="51" spans="1:8">
      <c r="A51" s="196">
        <f>A50+1</f>
        <v>36</v>
      </c>
      <c r="B51" s="203" t="s">
        <v>537</v>
      </c>
      <c r="C51" s="204" t="s">
        <v>469</v>
      </c>
      <c r="D51" s="204" t="s">
        <v>529</v>
      </c>
      <c r="E51" s="23">
        <v>2350000</v>
      </c>
      <c r="F51" s="23">
        <v>1200000</v>
      </c>
      <c r="G51" s="23">
        <v>850000</v>
      </c>
      <c r="H51" s="23">
        <v>475000</v>
      </c>
    </row>
    <row r="52" spans="1:8">
      <c r="A52" s="196">
        <f>A51+1</f>
        <v>37</v>
      </c>
      <c r="B52" s="197" t="s">
        <v>485</v>
      </c>
      <c r="C52" s="198" t="s">
        <v>479</v>
      </c>
      <c r="D52" s="198" t="s">
        <v>508</v>
      </c>
      <c r="E52" s="23">
        <v>2700000</v>
      </c>
      <c r="F52" s="23">
        <v>1350000</v>
      </c>
      <c r="G52" s="23">
        <v>950000</v>
      </c>
      <c r="H52" s="23">
        <v>550000</v>
      </c>
    </row>
    <row r="53" spans="1:8">
      <c r="A53" s="196"/>
      <c r="B53" s="197" t="s">
        <v>485</v>
      </c>
      <c r="C53" s="198" t="s">
        <v>508</v>
      </c>
      <c r="D53" s="198" t="s">
        <v>538</v>
      </c>
      <c r="E53" s="23">
        <v>2350000</v>
      </c>
      <c r="F53" s="23">
        <v>1200000</v>
      </c>
      <c r="G53" s="23">
        <v>850000</v>
      </c>
      <c r="H53" s="23">
        <v>500000</v>
      </c>
    </row>
    <row r="54" spans="1:8">
      <c r="A54" s="196">
        <f>A52+1</f>
        <v>38</v>
      </c>
      <c r="B54" s="197" t="s">
        <v>539</v>
      </c>
      <c r="C54" s="198" t="s">
        <v>529</v>
      </c>
      <c r="D54" s="198" t="s">
        <v>510</v>
      </c>
      <c r="E54" s="23">
        <v>2350000</v>
      </c>
      <c r="F54" s="23">
        <v>1200000</v>
      </c>
      <c r="G54" s="23">
        <v>850000</v>
      </c>
      <c r="H54" s="23">
        <v>475000</v>
      </c>
    </row>
    <row r="55" spans="1:8">
      <c r="A55" s="196">
        <f>A54+1</f>
        <v>39</v>
      </c>
      <c r="B55" s="197" t="s">
        <v>540</v>
      </c>
      <c r="C55" s="198" t="s">
        <v>462</v>
      </c>
      <c r="D55" s="198" t="s">
        <v>541</v>
      </c>
      <c r="E55" s="23">
        <v>2350000</v>
      </c>
      <c r="F55" s="23">
        <v>1200000</v>
      </c>
      <c r="G55" s="23">
        <v>850000</v>
      </c>
      <c r="H55" s="23">
        <v>475000</v>
      </c>
    </row>
    <row r="56" spans="1:8">
      <c r="A56" s="196"/>
      <c r="B56" s="197" t="s">
        <v>540</v>
      </c>
      <c r="C56" s="198" t="s">
        <v>542</v>
      </c>
      <c r="D56" s="198" t="s">
        <v>543</v>
      </c>
      <c r="E56" s="23">
        <v>1850000</v>
      </c>
      <c r="F56" s="23">
        <v>950000</v>
      </c>
      <c r="G56" s="23">
        <v>700000</v>
      </c>
      <c r="H56" s="23">
        <v>395000</v>
      </c>
    </row>
    <row r="57" spans="1:8">
      <c r="A57" s="196">
        <f>A55+1</f>
        <v>40</v>
      </c>
      <c r="B57" s="197" t="s">
        <v>544</v>
      </c>
      <c r="C57" s="198" t="s">
        <v>484</v>
      </c>
      <c r="D57" s="198" t="s">
        <v>545</v>
      </c>
      <c r="E57" s="23">
        <v>2350000</v>
      </c>
      <c r="F57" s="23">
        <v>1200000</v>
      </c>
      <c r="G57" s="23">
        <v>850000</v>
      </c>
      <c r="H57" s="23">
        <v>475000</v>
      </c>
    </row>
    <row r="58" spans="1:8">
      <c r="A58" s="196">
        <f>A57+1</f>
        <v>41</v>
      </c>
      <c r="B58" s="197" t="s">
        <v>545</v>
      </c>
      <c r="C58" s="198" t="s">
        <v>469</v>
      </c>
      <c r="D58" s="198" t="s">
        <v>485</v>
      </c>
      <c r="E58" s="23">
        <v>3100000</v>
      </c>
      <c r="F58" s="23">
        <v>1550000</v>
      </c>
      <c r="G58" s="23">
        <v>1100000</v>
      </c>
      <c r="H58" s="23">
        <v>600000</v>
      </c>
    </row>
    <row r="59" ht="27.6" spans="1:8">
      <c r="A59" s="196">
        <f t="shared" ref="A59:A82" si="1">A58+1</f>
        <v>42</v>
      </c>
      <c r="B59" s="197" t="s">
        <v>491</v>
      </c>
      <c r="C59" s="198" t="s">
        <v>263</v>
      </c>
      <c r="D59" s="198" t="s">
        <v>546</v>
      </c>
      <c r="E59" s="23">
        <v>4200000</v>
      </c>
      <c r="F59" s="23">
        <v>2100000</v>
      </c>
      <c r="G59" s="23">
        <v>1450000</v>
      </c>
      <c r="H59" s="23">
        <v>850000</v>
      </c>
    </row>
    <row r="60" spans="1:8">
      <c r="A60" s="196">
        <f t="shared" si="1"/>
        <v>43</v>
      </c>
      <c r="B60" s="197" t="s">
        <v>528</v>
      </c>
      <c r="C60" s="198" t="s">
        <v>469</v>
      </c>
      <c r="D60" s="198" t="s">
        <v>463</v>
      </c>
      <c r="E60" s="23">
        <v>3100000</v>
      </c>
      <c r="F60" s="23">
        <v>1550000</v>
      </c>
      <c r="G60" s="23">
        <v>1100000</v>
      </c>
      <c r="H60" s="23">
        <v>600000</v>
      </c>
    </row>
    <row r="61" spans="1:8">
      <c r="A61" s="196">
        <f t="shared" si="1"/>
        <v>44</v>
      </c>
      <c r="B61" s="197" t="s">
        <v>547</v>
      </c>
      <c r="C61" s="198" t="s">
        <v>533</v>
      </c>
      <c r="D61" s="198" t="s">
        <v>534</v>
      </c>
      <c r="E61" s="23">
        <v>1000000</v>
      </c>
      <c r="F61" s="23">
        <v>600000</v>
      </c>
      <c r="G61" s="23">
        <v>460000</v>
      </c>
      <c r="H61" s="23">
        <v>335000</v>
      </c>
    </row>
    <row r="62" spans="1:8">
      <c r="A62" s="196">
        <f t="shared" si="1"/>
        <v>45</v>
      </c>
      <c r="B62" s="197" t="s">
        <v>548</v>
      </c>
      <c r="C62" s="198" t="s">
        <v>491</v>
      </c>
      <c r="D62" s="198" t="s">
        <v>549</v>
      </c>
      <c r="E62" s="23">
        <v>2350000</v>
      </c>
      <c r="F62" s="23">
        <v>1200000</v>
      </c>
      <c r="G62" s="23">
        <v>850000</v>
      </c>
      <c r="H62" s="23">
        <v>475000</v>
      </c>
    </row>
    <row r="63" spans="1:8">
      <c r="A63" s="196">
        <f t="shared" si="1"/>
        <v>46</v>
      </c>
      <c r="B63" s="197" t="s">
        <v>550</v>
      </c>
      <c r="C63" s="198" t="s">
        <v>469</v>
      </c>
      <c r="D63" s="198" t="s">
        <v>463</v>
      </c>
      <c r="E63" s="23">
        <v>3100000</v>
      </c>
      <c r="F63" s="23">
        <v>1550000</v>
      </c>
      <c r="G63" s="23">
        <v>1100000</v>
      </c>
      <c r="H63" s="23">
        <v>600000</v>
      </c>
    </row>
    <row r="64" spans="1:8">
      <c r="A64" s="196">
        <f t="shared" si="1"/>
        <v>47</v>
      </c>
      <c r="B64" s="197" t="s">
        <v>551</v>
      </c>
      <c r="C64" s="198" t="s">
        <v>552</v>
      </c>
      <c r="D64" s="198" t="s">
        <v>463</v>
      </c>
      <c r="E64" s="23">
        <v>2350000</v>
      </c>
      <c r="F64" s="23">
        <v>1200000</v>
      </c>
      <c r="G64" s="23">
        <v>850000</v>
      </c>
      <c r="H64" s="23">
        <v>475000</v>
      </c>
    </row>
    <row r="65" spans="1:8">
      <c r="A65" s="196">
        <f t="shared" si="1"/>
        <v>48</v>
      </c>
      <c r="B65" s="197" t="s">
        <v>553</v>
      </c>
      <c r="C65" s="198" t="s">
        <v>479</v>
      </c>
      <c r="D65" s="198" t="s">
        <v>479</v>
      </c>
      <c r="E65" s="23">
        <v>1500000</v>
      </c>
      <c r="F65" s="23">
        <v>800000</v>
      </c>
      <c r="G65" s="23">
        <v>550000</v>
      </c>
      <c r="H65" s="23">
        <v>330000</v>
      </c>
    </row>
    <row r="66" spans="1:8">
      <c r="A66" s="196">
        <f t="shared" si="1"/>
        <v>49</v>
      </c>
      <c r="B66" s="197" t="s">
        <v>508</v>
      </c>
      <c r="C66" s="198" t="s">
        <v>469</v>
      </c>
      <c r="D66" s="198" t="s">
        <v>485</v>
      </c>
      <c r="E66" s="23">
        <v>3100000</v>
      </c>
      <c r="F66" s="23">
        <v>1550000</v>
      </c>
      <c r="G66" s="23">
        <v>1100000</v>
      </c>
      <c r="H66" s="23">
        <v>600000</v>
      </c>
    </row>
    <row r="67" spans="1:8">
      <c r="A67" s="196">
        <f t="shared" si="1"/>
        <v>50</v>
      </c>
      <c r="B67" s="197" t="s">
        <v>554</v>
      </c>
      <c r="C67" s="198" t="s">
        <v>481</v>
      </c>
      <c r="D67" s="198" t="s">
        <v>522</v>
      </c>
      <c r="E67" s="23">
        <v>700000</v>
      </c>
      <c r="F67" s="23">
        <v>440000</v>
      </c>
      <c r="G67" s="23">
        <v>315000</v>
      </c>
      <c r="H67" s="23">
        <v>205000</v>
      </c>
    </row>
    <row r="68" spans="1:8">
      <c r="A68" s="196">
        <f t="shared" si="1"/>
        <v>51</v>
      </c>
      <c r="B68" s="197" t="s">
        <v>555</v>
      </c>
      <c r="C68" s="198" t="s">
        <v>469</v>
      </c>
      <c r="D68" s="198" t="s">
        <v>463</v>
      </c>
      <c r="E68" s="23">
        <v>3100000</v>
      </c>
      <c r="F68" s="23">
        <v>1550000</v>
      </c>
      <c r="G68" s="23">
        <v>1100000</v>
      </c>
      <c r="H68" s="23">
        <v>600000</v>
      </c>
    </row>
    <row r="69" spans="1:8">
      <c r="A69" s="196">
        <f t="shared" si="1"/>
        <v>52</v>
      </c>
      <c r="B69" s="197" t="s">
        <v>556</v>
      </c>
      <c r="C69" s="198" t="s">
        <v>557</v>
      </c>
      <c r="D69" s="198" t="s">
        <v>463</v>
      </c>
      <c r="E69" s="23">
        <v>3100000</v>
      </c>
      <c r="F69" s="23">
        <v>1550000</v>
      </c>
      <c r="G69" s="23">
        <v>1100000</v>
      </c>
      <c r="H69" s="23">
        <v>600000</v>
      </c>
    </row>
    <row r="70" spans="1:8">
      <c r="A70" s="196">
        <f t="shared" si="1"/>
        <v>53</v>
      </c>
      <c r="B70" s="197" t="s">
        <v>557</v>
      </c>
      <c r="C70" s="198" t="s">
        <v>469</v>
      </c>
      <c r="D70" s="198" t="s">
        <v>552</v>
      </c>
      <c r="E70" s="23">
        <v>3100000</v>
      </c>
      <c r="F70" s="23">
        <v>1550000</v>
      </c>
      <c r="G70" s="23">
        <v>1100000</v>
      </c>
      <c r="H70" s="23">
        <v>600000</v>
      </c>
    </row>
    <row r="71" spans="1:8">
      <c r="A71" s="196">
        <f t="shared" si="1"/>
        <v>54</v>
      </c>
      <c r="B71" s="197" t="s">
        <v>558</v>
      </c>
      <c r="C71" s="198" t="s">
        <v>518</v>
      </c>
      <c r="D71" s="198" t="s">
        <v>541</v>
      </c>
      <c r="E71" s="23">
        <v>1500000</v>
      </c>
      <c r="F71" s="23">
        <v>800000</v>
      </c>
      <c r="G71" s="23">
        <v>550000</v>
      </c>
      <c r="H71" s="23">
        <v>330000</v>
      </c>
    </row>
    <row r="72" spans="1:8">
      <c r="A72" s="196">
        <f t="shared" si="1"/>
        <v>55</v>
      </c>
      <c r="B72" s="197" t="s">
        <v>559</v>
      </c>
      <c r="C72" s="198" t="s">
        <v>469</v>
      </c>
      <c r="D72" s="198" t="s">
        <v>529</v>
      </c>
      <c r="E72" s="23">
        <v>2700000</v>
      </c>
      <c r="F72" s="23">
        <v>1350000</v>
      </c>
      <c r="G72" s="23">
        <v>950000</v>
      </c>
      <c r="H72" s="23">
        <v>550000</v>
      </c>
    </row>
    <row r="73" spans="1:8">
      <c r="A73" s="196">
        <f t="shared" si="1"/>
        <v>56</v>
      </c>
      <c r="B73" s="197" t="s">
        <v>560</v>
      </c>
      <c r="C73" s="198" t="s">
        <v>528</v>
      </c>
      <c r="D73" s="198" t="s">
        <v>561</v>
      </c>
      <c r="E73" s="23">
        <v>1500000</v>
      </c>
      <c r="F73" s="23">
        <v>800000</v>
      </c>
      <c r="G73" s="23">
        <v>550000</v>
      </c>
      <c r="H73" s="23">
        <v>330000</v>
      </c>
    </row>
    <row r="74" spans="1:8">
      <c r="A74" s="196">
        <f t="shared" si="1"/>
        <v>57</v>
      </c>
      <c r="B74" s="197" t="s">
        <v>562</v>
      </c>
      <c r="C74" s="198" t="s">
        <v>563</v>
      </c>
      <c r="D74" s="198" t="s">
        <v>229</v>
      </c>
      <c r="E74" s="23">
        <v>700000</v>
      </c>
      <c r="F74" s="23">
        <v>440000</v>
      </c>
      <c r="G74" s="23">
        <v>315000</v>
      </c>
      <c r="H74" s="23">
        <v>205000</v>
      </c>
    </row>
    <row r="75" spans="1:8">
      <c r="A75" s="196">
        <f t="shared" si="1"/>
        <v>58</v>
      </c>
      <c r="B75" s="197" t="s">
        <v>536</v>
      </c>
      <c r="C75" s="198" t="s">
        <v>469</v>
      </c>
      <c r="D75" s="198" t="s">
        <v>485</v>
      </c>
      <c r="E75" s="23">
        <v>3100000</v>
      </c>
      <c r="F75" s="23">
        <v>1550000</v>
      </c>
      <c r="G75" s="23">
        <v>1100000</v>
      </c>
      <c r="H75" s="23">
        <v>600000</v>
      </c>
    </row>
    <row r="76" spans="1:8">
      <c r="A76" s="196">
        <f t="shared" si="1"/>
        <v>59</v>
      </c>
      <c r="B76" s="197" t="s">
        <v>564</v>
      </c>
      <c r="C76" s="198" t="s">
        <v>469</v>
      </c>
      <c r="D76" s="198" t="s">
        <v>463</v>
      </c>
      <c r="E76" s="23">
        <v>1850000</v>
      </c>
      <c r="F76" s="23">
        <v>950000</v>
      </c>
      <c r="G76" s="23">
        <v>700000</v>
      </c>
      <c r="H76" s="23">
        <v>410000</v>
      </c>
    </row>
    <row r="77" spans="1:8">
      <c r="A77" s="196">
        <f t="shared" si="1"/>
        <v>60</v>
      </c>
      <c r="B77" s="197" t="s">
        <v>565</v>
      </c>
      <c r="C77" s="198" t="s">
        <v>566</v>
      </c>
      <c r="D77" s="198" t="s">
        <v>567</v>
      </c>
      <c r="E77" s="23">
        <v>1000000</v>
      </c>
      <c r="F77" s="23">
        <v>600000</v>
      </c>
      <c r="G77" s="23">
        <v>460000</v>
      </c>
      <c r="H77" s="23">
        <v>335000</v>
      </c>
    </row>
    <row r="78" spans="1:8">
      <c r="A78" s="196">
        <f t="shared" si="1"/>
        <v>61</v>
      </c>
      <c r="B78" s="197" t="s">
        <v>568</v>
      </c>
      <c r="C78" s="198" t="s">
        <v>569</v>
      </c>
      <c r="D78" s="198" t="s">
        <v>570</v>
      </c>
      <c r="E78" s="23">
        <v>1000000</v>
      </c>
      <c r="F78" s="23">
        <v>600000</v>
      </c>
      <c r="G78" s="23">
        <v>460000</v>
      </c>
      <c r="H78" s="23">
        <v>335000</v>
      </c>
    </row>
    <row r="79" spans="1:8">
      <c r="A79" s="196">
        <f t="shared" si="1"/>
        <v>62</v>
      </c>
      <c r="B79" s="205" t="s">
        <v>571</v>
      </c>
      <c r="C79" s="206" t="s">
        <v>569</v>
      </c>
      <c r="D79" s="206" t="s">
        <v>570</v>
      </c>
      <c r="E79" s="23">
        <v>1000000</v>
      </c>
      <c r="F79" s="23">
        <v>600000</v>
      </c>
      <c r="G79" s="23">
        <v>460000</v>
      </c>
      <c r="H79" s="23">
        <v>335000</v>
      </c>
    </row>
    <row r="80" spans="1:8">
      <c r="A80" s="196">
        <f t="shared" si="1"/>
        <v>63</v>
      </c>
      <c r="B80" s="197" t="s">
        <v>572</v>
      </c>
      <c r="C80" s="198" t="s">
        <v>569</v>
      </c>
      <c r="D80" s="198" t="s">
        <v>570</v>
      </c>
      <c r="E80" s="23">
        <v>1000000</v>
      </c>
      <c r="F80" s="23">
        <v>600000</v>
      </c>
      <c r="G80" s="23">
        <v>460000</v>
      </c>
      <c r="H80" s="23">
        <v>335000</v>
      </c>
    </row>
    <row r="81" spans="1:8">
      <c r="A81" s="196">
        <f t="shared" si="1"/>
        <v>64</v>
      </c>
      <c r="B81" s="197" t="s">
        <v>573</v>
      </c>
      <c r="C81" s="198" t="s">
        <v>569</v>
      </c>
      <c r="D81" s="198" t="s">
        <v>570</v>
      </c>
      <c r="E81" s="23">
        <v>1000000</v>
      </c>
      <c r="F81" s="23">
        <v>600000</v>
      </c>
      <c r="G81" s="23">
        <v>460000</v>
      </c>
      <c r="H81" s="23">
        <v>335000</v>
      </c>
    </row>
    <row r="82" spans="1:8">
      <c r="A82" s="196">
        <f t="shared" si="1"/>
        <v>65</v>
      </c>
      <c r="B82" s="197" t="s">
        <v>463</v>
      </c>
      <c r="C82" s="198" t="s">
        <v>514</v>
      </c>
      <c r="D82" s="198" t="s">
        <v>574</v>
      </c>
      <c r="E82" s="23">
        <v>3100000</v>
      </c>
      <c r="F82" s="23">
        <v>1550000</v>
      </c>
      <c r="G82" s="23">
        <v>1100000</v>
      </c>
      <c r="H82" s="23">
        <v>600000</v>
      </c>
    </row>
    <row r="83" spans="1:8">
      <c r="A83" s="207"/>
      <c r="B83" s="208" t="s">
        <v>463</v>
      </c>
      <c r="C83" s="209" t="s">
        <v>574</v>
      </c>
      <c r="D83" s="210" t="s">
        <v>575</v>
      </c>
      <c r="E83" s="23">
        <v>1850000</v>
      </c>
      <c r="F83" s="23">
        <v>950000</v>
      </c>
      <c r="G83" s="23">
        <v>700000</v>
      </c>
      <c r="H83" s="23">
        <v>395000</v>
      </c>
    </row>
    <row r="84" spans="1:8">
      <c r="A84" s="207"/>
      <c r="B84" s="208" t="s">
        <v>463</v>
      </c>
      <c r="C84" s="209" t="s">
        <v>575</v>
      </c>
      <c r="D84" s="210" t="s">
        <v>469</v>
      </c>
      <c r="E84" s="23">
        <v>1500000</v>
      </c>
      <c r="F84" s="23">
        <v>800000</v>
      </c>
      <c r="G84" s="23">
        <v>550000</v>
      </c>
      <c r="H84" s="23">
        <v>330000</v>
      </c>
    </row>
    <row r="85" spans="1:8">
      <c r="A85" s="207">
        <f>A82+1</f>
        <v>66</v>
      </c>
      <c r="B85" s="208" t="s">
        <v>486</v>
      </c>
      <c r="C85" s="209" t="s">
        <v>469</v>
      </c>
      <c r="D85" s="210" t="s">
        <v>479</v>
      </c>
      <c r="E85" s="23">
        <v>3650000</v>
      </c>
      <c r="F85" s="23">
        <v>1750000</v>
      </c>
      <c r="G85" s="23">
        <v>1300000</v>
      </c>
      <c r="H85" s="23">
        <v>750000</v>
      </c>
    </row>
    <row r="86" spans="1:8">
      <c r="A86" s="207"/>
      <c r="B86" s="208" t="s">
        <v>486</v>
      </c>
      <c r="C86" s="209" t="s">
        <v>479</v>
      </c>
      <c r="D86" s="210" t="s">
        <v>90</v>
      </c>
      <c r="E86" s="23">
        <v>1850000</v>
      </c>
      <c r="F86" s="23">
        <v>950000</v>
      </c>
      <c r="G86" s="23">
        <v>700000</v>
      </c>
      <c r="H86" s="23">
        <v>395000</v>
      </c>
    </row>
    <row r="87" ht="27.6" spans="1:8">
      <c r="A87" s="207"/>
      <c r="B87" s="208" t="s">
        <v>486</v>
      </c>
      <c r="C87" s="209" t="s">
        <v>90</v>
      </c>
      <c r="D87" s="210" t="s">
        <v>474</v>
      </c>
      <c r="E87" s="23">
        <v>1000000</v>
      </c>
      <c r="F87" s="23">
        <v>550000</v>
      </c>
      <c r="G87" s="23">
        <v>380000</v>
      </c>
      <c r="H87" s="23">
        <v>245000</v>
      </c>
    </row>
    <row r="88" spans="1:8">
      <c r="A88" s="207">
        <f>A85+1</f>
        <v>67</v>
      </c>
      <c r="B88" s="208" t="s">
        <v>576</v>
      </c>
      <c r="C88" s="209" t="s">
        <v>491</v>
      </c>
      <c r="D88" s="210" t="s">
        <v>577</v>
      </c>
      <c r="E88" s="23">
        <v>1000000</v>
      </c>
      <c r="F88" s="23">
        <v>550000</v>
      </c>
      <c r="G88" s="23">
        <v>380000</v>
      </c>
      <c r="H88" s="23">
        <v>245000</v>
      </c>
    </row>
    <row r="89" ht="27.6" spans="1:8">
      <c r="A89" s="207"/>
      <c r="B89" s="208" t="s">
        <v>576</v>
      </c>
      <c r="C89" s="209" t="s">
        <v>577</v>
      </c>
      <c r="D89" s="210" t="s">
        <v>578</v>
      </c>
      <c r="E89" s="23">
        <v>2700000</v>
      </c>
      <c r="F89" s="23">
        <v>1350000</v>
      </c>
      <c r="G89" s="23">
        <v>950000</v>
      </c>
      <c r="H89" s="23">
        <v>550000</v>
      </c>
    </row>
    <row r="90" ht="27.6" spans="1:8">
      <c r="A90" s="207"/>
      <c r="B90" s="208" t="s">
        <v>576</v>
      </c>
      <c r="C90" s="209" t="s">
        <v>578</v>
      </c>
      <c r="D90" s="209" t="s">
        <v>470</v>
      </c>
      <c r="E90" s="23">
        <v>1000000</v>
      </c>
      <c r="F90" s="23">
        <v>550000</v>
      </c>
      <c r="G90" s="23">
        <v>380000</v>
      </c>
      <c r="H90" s="23">
        <v>245000</v>
      </c>
    </row>
    <row r="91" ht="27.6" spans="1:8">
      <c r="A91" s="211">
        <f>A88+1</f>
        <v>68</v>
      </c>
      <c r="B91" s="208" t="s">
        <v>579</v>
      </c>
      <c r="C91" s="209" t="s">
        <v>580</v>
      </c>
      <c r="D91" s="210" t="s">
        <v>563</v>
      </c>
      <c r="E91" s="23">
        <v>1200000</v>
      </c>
      <c r="F91" s="23">
        <v>650000</v>
      </c>
      <c r="G91" s="23">
        <v>455000</v>
      </c>
      <c r="H91" s="23">
        <v>280000</v>
      </c>
    </row>
    <row r="92" spans="1:8">
      <c r="A92" s="196"/>
      <c r="B92" s="212" t="s">
        <v>579</v>
      </c>
      <c r="C92" s="198" t="s">
        <v>563</v>
      </c>
      <c r="D92" s="213" t="s">
        <v>581</v>
      </c>
      <c r="E92" s="23">
        <v>700000</v>
      </c>
      <c r="F92" s="23">
        <v>440000</v>
      </c>
      <c r="G92" s="23">
        <v>315000</v>
      </c>
      <c r="H92" s="23">
        <v>205000</v>
      </c>
    </row>
    <row r="93" ht="27.6" spans="1:8">
      <c r="A93" s="207"/>
      <c r="B93" s="208" t="s">
        <v>579</v>
      </c>
      <c r="C93" s="209" t="s">
        <v>581</v>
      </c>
      <c r="D93" s="210" t="s">
        <v>582</v>
      </c>
      <c r="E93" s="23">
        <v>550000</v>
      </c>
      <c r="F93" s="23">
        <v>340000</v>
      </c>
      <c r="G93" s="23">
        <v>255000</v>
      </c>
      <c r="H93" s="23">
        <v>185000</v>
      </c>
    </row>
    <row r="94" ht="27.6" spans="1:8">
      <c r="A94" s="207">
        <f>A91+1</f>
        <v>69</v>
      </c>
      <c r="B94" s="208" t="s">
        <v>583</v>
      </c>
      <c r="C94" s="209" t="s">
        <v>584</v>
      </c>
      <c r="D94" s="210" t="s">
        <v>485</v>
      </c>
      <c r="E94" s="23">
        <v>2700000</v>
      </c>
      <c r="F94" s="23">
        <v>1350000</v>
      </c>
      <c r="G94" s="23">
        <v>950000</v>
      </c>
      <c r="H94" s="23">
        <v>550000</v>
      </c>
    </row>
    <row r="95" spans="1:8">
      <c r="A95" s="207">
        <f>A94+1</f>
        <v>70</v>
      </c>
      <c r="B95" s="208" t="s">
        <v>488</v>
      </c>
      <c r="C95" s="209" t="s">
        <v>585</v>
      </c>
      <c r="D95" s="210" t="s">
        <v>586</v>
      </c>
      <c r="E95" s="23">
        <v>1500000</v>
      </c>
      <c r="F95" s="23">
        <v>800000</v>
      </c>
      <c r="G95" s="23">
        <v>550000</v>
      </c>
      <c r="H95" s="23">
        <v>330000</v>
      </c>
    </row>
    <row r="96" ht="27.6" spans="1:8">
      <c r="A96" s="207"/>
      <c r="B96" s="208" t="s">
        <v>488</v>
      </c>
      <c r="C96" s="209" t="s">
        <v>587</v>
      </c>
      <c r="D96" s="210" t="s">
        <v>588</v>
      </c>
      <c r="E96" s="23">
        <v>550000</v>
      </c>
      <c r="F96" s="23">
        <v>340000</v>
      </c>
      <c r="G96" s="23">
        <v>255000</v>
      </c>
      <c r="H96" s="23">
        <v>185000</v>
      </c>
    </row>
    <row r="97" spans="1:8">
      <c r="A97" s="207">
        <f>A95+1</f>
        <v>71</v>
      </c>
      <c r="B97" s="208" t="s">
        <v>589</v>
      </c>
      <c r="C97" s="209" t="s">
        <v>469</v>
      </c>
      <c r="D97" s="210" t="s">
        <v>507</v>
      </c>
      <c r="E97" s="23">
        <v>3100000</v>
      </c>
      <c r="F97" s="23">
        <v>1550000</v>
      </c>
      <c r="G97" s="23">
        <v>1100000</v>
      </c>
      <c r="H97" s="23">
        <v>600000</v>
      </c>
    </row>
    <row r="98" spans="1:8">
      <c r="A98" s="207">
        <f>A97+1</f>
        <v>72</v>
      </c>
      <c r="B98" s="208" t="s">
        <v>590</v>
      </c>
      <c r="C98" s="209" t="s">
        <v>591</v>
      </c>
      <c r="D98" s="210" t="s">
        <v>592</v>
      </c>
      <c r="E98" s="23">
        <v>1000000</v>
      </c>
      <c r="F98" s="23">
        <v>550000</v>
      </c>
      <c r="G98" s="23">
        <v>380000</v>
      </c>
      <c r="H98" s="23">
        <v>245000</v>
      </c>
    </row>
    <row r="99" spans="1:8">
      <c r="A99" s="207">
        <f>A98+1</f>
        <v>73</v>
      </c>
      <c r="B99" s="208" t="s">
        <v>593</v>
      </c>
      <c r="C99" s="209" t="s">
        <v>469</v>
      </c>
      <c r="D99" s="210" t="s">
        <v>594</v>
      </c>
      <c r="E99" s="23">
        <v>2700000</v>
      </c>
      <c r="F99" s="23">
        <v>1350000</v>
      </c>
      <c r="G99" s="23">
        <v>950000</v>
      </c>
      <c r="H99" s="23">
        <v>550000</v>
      </c>
    </row>
    <row r="100" spans="1:8">
      <c r="A100" s="207">
        <f>A99+1</f>
        <v>74</v>
      </c>
      <c r="B100" s="208" t="s">
        <v>595</v>
      </c>
      <c r="C100" s="209" t="s">
        <v>491</v>
      </c>
      <c r="D100" s="210" t="s">
        <v>596</v>
      </c>
      <c r="E100" s="23">
        <v>2700000</v>
      </c>
      <c r="F100" s="23">
        <v>1350000</v>
      </c>
      <c r="G100" s="23">
        <v>950000</v>
      </c>
      <c r="H100" s="23">
        <v>550000</v>
      </c>
    </row>
    <row r="101" spans="1:8">
      <c r="A101" s="207"/>
      <c r="B101" s="208" t="s">
        <v>595</v>
      </c>
      <c r="C101" s="209" t="s">
        <v>596</v>
      </c>
      <c r="D101" s="214" t="s">
        <v>470</v>
      </c>
      <c r="E101" s="23">
        <v>1000000</v>
      </c>
      <c r="F101" s="23">
        <v>550000</v>
      </c>
      <c r="G101" s="23">
        <v>380000</v>
      </c>
      <c r="H101" s="23">
        <v>245000</v>
      </c>
    </row>
    <row r="102" spans="1:8">
      <c r="A102" s="196">
        <f>A100+1</f>
        <v>75</v>
      </c>
      <c r="B102" s="197" t="s">
        <v>597</v>
      </c>
      <c r="C102" s="198" t="s">
        <v>486</v>
      </c>
      <c r="D102" s="213" t="s">
        <v>598</v>
      </c>
      <c r="E102" s="23">
        <v>1500000</v>
      </c>
      <c r="F102" s="23">
        <v>800000</v>
      </c>
      <c r="G102" s="23">
        <v>550000</v>
      </c>
      <c r="H102" s="23">
        <v>330000</v>
      </c>
    </row>
    <row r="103" spans="1:8">
      <c r="A103" s="196">
        <f t="shared" ref="A103:A108" si="2">A102+1</f>
        <v>76</v>
      </c>
      <c r="B103" s="197" t="s">
        <v>552</v>
      </c>
      <c r="C103" s="198" t="s">
        <v>550</v>
      </c>
      <c r="D103" s="213" t="s">
        <v>514</v>
      </c>
      <c r="E103" s="23">
        <v>3100000</v>
      </c>
      <c r="F103" s="23">
        <v>1550000</v>
      </c>
      <c r="G103" s="23">
        <v>1100000</v>
      </c>
      <c r="H103" s="23">
        <v>600000</v>
      </c>
    </row>
    <row r="104" spans="1:8">
      <c r="A104" s="196">
        <f t="shared" si="2"/>
        <v>77</v>
      </c>
      <c r="B104" s="197" t="s">
        <v>530</v>
      </c>
      <c r="C104" s="198" t="s">
        <v>469</v>
      </c>
      <c r="D104" s="213" t="s">
        <v>485</v>
      </c>
      <c r="E104" s="23">
        <v>2700000</v>
      </c>
      <c r="F104" s="23">
        <v>1350000</v>
      </c>
      <c r="G104" s="23">
        <v>950000</v>
      </c>
      <c r="H104" s="23">
        <v>550000</v>
      </c>
    </row>
    <row r="105" spans="1:8">
      <c r="A105" s="196">
        <f t="shared" si="2"/>
        <v>78</v>
      </c>
      <c r="B105" s="197" t="s">
        <v>599</v>
      </c>
      <c r="C105" s="198" t="s">
        <v>600</v>
      </c>
      <c r="D105" s="213" t="s">
        <v>601</v>
      </c>
      <c r="E105" s="23">
        <v>2700000</v>
      </c>
      <c r="F105" s="23">
        <v>1350000</v>
      </c>
      <c r="G105" s="23">
        <v>950000</v>
      </c>
      <c r="H105" s="23">
        <v>550000</v>
      </c>
    </row>
    <row r="106" ht="27.6" spans="1:8">
      <c r="A106" s="196">
        <f t="shared" si="2"/>
        <v>79</v>
      </c>
      <c r="B106" s="197" t="s">
        <v>499</v>
      </c>
      <c r="C106" s="198" t="s">
        <v>602</v>
      </c>
      <c r="D106" s="213" t="s">
        <v>603</v>
      </c>
      <c r="E106" s="23">
        <v>375000</v>
      </c>
      <c r="F106" s="23">
        <v>290000</v>
      </c>
      <c r="G106" s="23">
        <v>235000</v>
      </c>
      <c r="H106" s="23">
        <v>165000</v>
      </c>
    </row>
    <row r="107" spans="1:8">
      <c r="A107" s="196">
        <f t="shared" si="2"/>
        <v>80</v>
      </c>
      <c r="B107" s="197" t="s">
        <v>533</v>
      </c>
      <c r="C107" s="198" t="s">
        <v>604</v>
      </c>
      <c r="D107" s="213" t="s">
        <v>605</v>
      </c>
      <c r="E107" s="23">
        <v>1000000</v>
      </c>
      <c r="F107" s="23">
        <v>550000</v>
      </c>
      <c r="G107" s="23">
        <v>380000</v>
      </c>
      <c r="H107" s="23">
        <v>245000</v>
      </c>
    </row>
    <row r="108" ht="27.6" spans="1:8">
      <c r="A108" s="196">
        <f t="shared" si="2"/>
        <v>81</v>
      </c>
      <c r="B108" s="197" t="s">
        <v>512</v>
      </c>
      <c r="C108" s="198" t="s">
        <v>606</v>
      </c>
      <c r="D108" s="213" t="s">
        <v>607</v>
      </c>
      <c r="E108" s="23">
        <v>1500000</v>
      </c>
      <c r="F108" s="23">
        <v>800000</v>
      </c>
      <c r="G108" s="23">
        <v>550000</v>
      </c>
      <c r="H108" s="23">
        <v>365000</v>
      </c>
    </row>
    <row r="109" ht="27.6" spans="1:8">
      <c r="A109" s="196"/>
      <c r="B109" s="197" t="s">
        <v>512</v>
      </c>
      <c r="C109" s="198" t="s">
        <v>607</v>
      </c>
      <c r="D109" s="213" t="s">
        <v>608</v>
      </c>
      <c r="E109" s="23">
        <v>550000</v>
      </c>
      <c r="F109" s="23">
        <v>340000</v>
      </c>
      <c r="G109" s="23">
        <v>255000</v>
      </c>
      <c r="H109" s="23">
        <v>185000</v>
      </c>
    </row>
    <row r="110" spans="1:8">
      <c r="A110" s="196"/>
      <c r="B110" s="197" t="s">
        <v>512</v>
      </c>
      <c r="C110" s="198" t="s">
        <v>608</v>
      </c>
      <c r="D110" s="213" t="s">
        <v>522</v>
      </c>
      <c r="E110" s="23">
        <v>375000</v>
      </c>
      <c r="F110" s="23">
        <v>290000</v>
      </c>
      <c r="G110" s="23">
        <v>235000</v>
      </c>
      <c r="H110" s="23">
        <v>165000</v>
      </c>
    </row>
    <row r="111" spans="1:8">
      <c r="A111" s="196">
        <f>A108+1</f>
        <v>82</v>
      </c>
      <c r="B111" s="197" t="s">
        <v>501</v>
      </c>
      <c r="C111" s="198" t="s">
        <v>600</v>
      </c>
      <c r="D111" s="213" t="s">
        <v>609</v>
      </c>
      <c r="E111" s="23">
        <v>3100000</v>
      </c>
      <c r="F111" s="23">
        <v>1550000</v>
      </c>
      <c r="G111" s="23">
        <v>1100000</v>
      </c>
      <c r="H111" s="23">
        <v>600000</v>
      </c>
    </row>
    <row r="112" spans="1:8">
      <c r="A112" s="196">
        <f>A111+1</f>
        <v>83</v>
      </c>
      <c r="B112" s="197" t="s">
        <v>563</v>
      </c>
      <c r="C112" s="198" t="s">
        <v>610</v>
      </c>
      <c r="D112" s="213" t="s">
        <v>611</v>
      </c>
      <c r="E112" s="23">
        <v>1850000</v>
      </c>
      <c r="F112" s="23">
        <v>950000</v>
      </c>
      <c r="G112" s="23">
        <v>700000</v>
      </c>
      <c r="H112" s="23">
        <v>395000</v>
      </c>
    </row>
    <row r="113" ht="27.6" spans="1:8">
      <c r="A113" s="196"/>
      <c r="B113" s="197" t="s">
        <v>563</v>
      </c>
      <c r="C113" s="198" t="s">
        <v>604</v>
      </c>
      <c r="D113" s="213" t="s">
        <v>612</v>
      </c>
      <c r="E113" s="23">
        <v>1000000</v>
      </c>
      <c r="F113" s="23">
        <v>550000</v>
      </c>
      <c r="G113" s="23">
        <v>380000</v>
      </c>
      <c r="H113" s="23">
        <v>245000</v>
      </c>
    </row>
    <row r="114" spans="1:8">
      <c r="A114" s="196">
        <f>A112+1</f>
        <v>84</v>
      </c>
      <c r="B114" s="197" t="s">
        <v>613</v>
      </c>
      <c r="C114" s="198" t="s">
        <v>469</v>
      </c>
      <c r="D114" s="213" t="s">
        <v>463</v>
      </c>
      <c r="E114" s="23">
        <v>1850000</v>
      </c>
      <c r="F114" s="23">
        <v>950000</v>
      </c>
      <c r="G114" s="23">
        <v>700000</v>
      </c>
      <c r="H114" s="23">
        <v>410000</v>
      </c>
    </row>
    <row r="115" spans="1:8">
      <c r="A115" s="196">
        <f>A114+1</f>
        <v>85</v>
      </c>
      <c r="B115" s="197" t="s">
        <v>614</v>
      </c>
      <c r="C115" s="198" t="s">
        <v>469</v>
      </c>
      <c r="D115" s="213" t="s">
        <v>463</v>
      </c>
      <c r="E115" s="23">
        <v>2700000</v>
      </c>
      <c r="F115" s="23">
        <v>1350000</v>
      </c>
      <c r="G115" s="23">
        <v>950000</v>
      </c>
      <c r="H115" s="23">
        <v>550000</v>
      </c>
    </row>
    <row r="116" spans="1:8">
      <c r="A116" s="196">
        <f>A115+1</f>
        <v>86</v>
      </c>
      <c r="B116" s="197" t="s">
        <v>615</v>
      </c>
      <c r="C116" s="198" t="s">
        <v>469</v>
      </c>
      <c r="D116" s="213" t="s">
        <v>463</v>
      </c>
      <c r="E116" s="23">
        <v>2350000</v>
      </c>
      <c r="F116" s="23">
        <v>1200000</v>
      </c>
      <c r="G116" s="23">
        <v>850000</v>
      </c>
      <c r="H116" s="23">
        <v>475000</v>
      </c>
    </row>
    <row r="117" spans="1:8">
      <c r="A117" s="191" t="s">
        <v>136</v>
      </c>
      <c r="B117" s="190"/>
      <c r="C117" s="202"/>
      <c r="D117" s="202"/>
      <c r="E117" s="23" t="s">
        <v>16</v>
      </c>
      <c r="F117" s="23" t="s">
        <v>16</v>
      </c>
      <c r="G117" s="23" t="s">
        <v>16</v>
      </c>
      <c r="H117" s="23" t="s">
        <v>16</v>
      </c>
    </row>
    <row r="118" spans="1:8">
      <c r="A118" s="196">
        <v>87</v>
      </c>
      <c r="B118" s="197" t="s">
        <v>137</v>
      </c>
      <c r="C118" s="202"/>
      <c r="D118" s="202"/>
      <c r="E118" s="23">
        <v>315000</v>
      </c>
      <c r="F118" s="23">
        <v>235000</v>
      </c>
      <c r="G118" s="23">
        <v>175000</v>
      </c>
      <c r="H118" s="23">
        <v>145000</v>
      </c>
    </row>
    <row r="119" spans="1:8">
      <c r="A119" s="196">
        <v>88</v>
      </c>
      <c r="B119" s="197" t="s">
        <v>616</v>
      </c>
      <c r="C119" s="198" t="s">
        <v>617</v>
      </c>
      <c r="D119" s="198" t="s">
        <v>470</v>
      </c>
      <c r="E119" s="23">
        <v>2700000</v>
      </c>
      <c r="F119" s="23">
        <v>1350000</v>
      </c>
      <c r="G119" s="23">
        <v>950000</v>
      </c>
      <c r="H119" s="23">
        <v>550000</v>
      </c>
    </row>
    <row r="120" spans="1:8">
      <c r="A120" s="196">
        <f>A119+1</f>
        <v>89</v>
      </c>
      <c r="B120" s="197" t="s">
        <v>618</v>
      </c>
      <c r="C120" s="198" t="s">
        <v>469</v>
      </c>
      <c r="D120" s="198" t="s">
        <v>527</v>
      </c>
      <c r="E120" s="23">
        <v>3100000</v>
      </c>
      <c r="F120" s="23">
        <v>1550000</v>
      </c>
      <c r="G120" s="23">
        <v>1100000</v>
      </c>
      <c r="H120" s="23">
        <v>600000</v>
      </c>
    </row>
    <row r="121" spans="1:8">
      <c r="E121" s="23" t="s">
        <v>16</v>
      </c>
      <c r="F121" s="23" t="s">
        <v>16</v>
      </c>
      <c r="G121" s="23" t="s">
        <v>16</v>
      </c>
      <c r="H121" s="23" t="s">
        <v>16</v>
      </c>
    </row>
    <row r="122" spans="1:8">
      <c r="E122" s="23" t="s">
        <v>16</v>
      </c>
      <c r="F122" s="23" t="s">
        <v>16</v>
      </c>
      <c r="G122" s="23" t="s">
        <v>16</v>
      </c>
      <c r="H122" s="23" t="s">
        <v>16</v>
      </c>
    </row>
    <row r="123" spans="1:8">
      <c r="E123" s="23" t="s">
        <v>16</v>
      </c>
      <c r="F123" s="23" t="s">
        <v>16</v>
      </c>
      <c r="G123" s="23" t="s">
        <v>16</v>
      </c>
      <c r="H123" s="23" t="s">
        <v>16</v>
      </c>
    </row>
    <row r="124" spans="1:8">
      <c r="E124" s="23" t="s">
        <v>16</v>
      </c>
      <c r="F124" s="23" t="s">
        <v>16</v>
      </c>
      <c r="G124" s="23" t="s">
        <v>16</v>
      </c>
      <c r="H124" s="23" t="s">
        <v>16</v>
      </c>
    </row>
    <row r="125" spans="1:8">
      <c r="E125" s="23" t="s">
        <v>16</v>
      </c>
      <c r="F125" s="23" t="s">
        <v>16</v>
      </c>
      <c r="G125" s="23" t="s">
        <v>16</v>
      </c>
      <c r="H125" s="23" t="s">
        <v>16</v>
      </c>
    </row>
    <row r="126" spans="1:8">
      <c r="E126" s="23" t="s">
        <v>16</v>
      </c>
      <c r="F126" s="23" t="s">
        <v>16</v>
      </c>
      <c r="G126" s="23" t="s">
        <v>16</v>
      </c>
      <c r="H126" s="23" t="s">
        <v>16</v>
      </c>
    </row>
    <row r="127" spans="1:8">
      <c r="E127" s="23" t="s">
        <v>16</v>
      </c>
      <c r="F127" s="23" t="s">
        <v>16</v>
      </c>
      <c r="G127" s="23" t="s">
        <v>16</v>
      </c>
      <c r="H127" s="23" t="s">
        <v>16</v>
      </c>
    </row>
    <row r="128" spans="1:8">
      <c r="E128" s="23" t="s">
        <v>16</v>
      </c>
      <c r="F128" s="23" t="s">
        <v>16</v>
      </c>
      <c r="G128" s="23" t="s">
        <v>16</v>
      </c>
      <c r="H128" s="23" t="s">
        <v>16</v>
      </c>
    </row>
    <row r="129" spans="5:8">
      <c r="E129" s="23" t="s">
        <v>16</v>
      </c>
      <c r="F129" s="23" t="s">
        <v>16</v>
      </c>
      <c r="G129" s="23" t="s">
        <v>16</v>
      </c>
      <c r="H129" s="23" t="s">
        <v>16</v>
      </c>
    </row>
    <row r="130" spans="5:8">
      <c r="E130" s="23" t="s">
        <v>16</v>
      </c>
      <c r="F130" s="23" t="s">
        <v>16</v>
      </c>
      <c r="G130" s="23" t="s">
        <v>16</v>
      </c>
      <c r="H130" s="23" t="s">
        <v>16</v>
      </c>
    </row>
    <row r="131" spans="5:8">
      <c r="E131" s="23" t="s">
        <v>16</v>
      </c>
      <c r="F131" s="23" t="s">
        <v>16</v>
      </c>
      <c r="G131" s="23" t="s">
        <v>16</v>
      </c>
      <c r="H131" s="23" t="s">
        <v>16</v>
      </c>
    </row>
    <row r="132" spans="5:8">
      <c r="E132" s="23" t="s">
        <v>16</v>
      </c>
      <c r="F132" s="23" t="s">
        <v>16</v>
      </c>
      <c r="G132" s="23" t="s">
        <v>16</v>
      </c>
      <c r="H132" s="23" t="s">
        <v>16</v>
      </c>
    </row>
    <row r="133" spans="5:8">
      <c r="E133" s="23" t="s">
        <v>16</v>
      </c>
      <c r="F133" s="23" t="s">
        <v>16</v>
      </c>
      <c r="G133" s="23" t="s">
        <v>16</v>
      </c>
      <c r="H133" s="23" t="s">
        <v>16</v>
      </c>
    </row>
    <row r="134" spans="5:8">
      <c r="E134" s="23" t="s">
        <v>16</v>
      </c>
      <c r="F134" s="23" t="s">
        <v>16</v>
      </c>
      <c r="G134" s="23" t="s">
        <v>16</v>
      </c>
      <c r="H134" s="23" t="s">
        <v>16</v>
      </c>
    </row>
    <row r="135" spans="5:8">
      <c r="E135" s="23" t="s">
        <v>16</v>
      </c>
      <c r="F135" s="23" t="s">
        <v>16</v>
      </c>
      <c r="G135" s="23" t="s">
        <v>16</v>
      </c>
      <c r="H135" s="23" t="s">
        <v>16</v>
      </c>
    </row>
    <row r="136" spans="5:8">
      <c r="E136" s="23" t="s">
        <v>16</v>
      </c>
      <c r="F136" s="23" t="s">
        <v>16</v>
      </c>
      <c r="G136" s="23" t="s">
        <v>16</v>
      </c>
      <c r="H136" s="23" t="s">
        <v>16</v>
      </c>
    </row>
    <row r="137" spans="5:8">
      <c r="E137" s="23" t="s">
        <v>16</v>
      </c>
      <c r="F137" s="23" t="s">
        <v>16</v>
      </c>
      <c r="G137" s="23" t="s">
        <v>16</v>
      </c>
      <c r="H137" s="23" t="s">
        <v>16</v>
      </c>
    </row>
    <row r="138" spans="5:8">
      <c r="E138" s="23" t="s">
        <v>16</v>
      </c>
      <c r="F138" s="23" t="s">
        <v>16</v>
      </c>
      <c r="G138" s="23" t="s">
        <v>16</v>
      </c>
      <c r="H138" s="23" t="s">
        <v>16</v>
      </c>
    </row>
    <row r="139" spans="5:8">
      <c r="E139" s="23" t="s">
        <v>16</v>
      </c>
      <c r="F139" s="23" t="s">
        <v>16</v>
      </c>
      <c r="G139" s="23" t="s">
        <v>16</v>
      </c>
      <c r="H139" s="23" t="s">
        <v>16</v>
      </c>
    </row>
    <row r="140" spans="5:8">
      <c r="E140" s="23" t="s">
        <v>16</v>
      </c>
      <c r="F140" s="23" t="s">
        <v>16</v>
      </c>
      <c r="G140" s="23" t="s">
        <v>16</v>
      </c>
      <c r="H140" s="23" t="s">
        <v>16</v>
      </c>
    </row>
    <row r="141" spans="5:8">
      <c r="E141" s="23" t="s">
        <v>16</v>
      </c>
      <c r="F141" s="23" t="s">
        <v>16</v>
      </c>
      <c r="G141" s="23" t="s">
        <v>16</v>
      </c>
      <c r="H141" s="23" t="s">
        <v>16</v>
      </c>
    </row>
    <row r="142" spans="5:8">
      <c r="E142" s="23" t="s">
        <v>16</v>
      </c>
      <c r="F142" s="23" t="s">
        <v>16</v>
      </c>
      <c r="G142" s="23" t="s">
        <v>16</v>
      </c>
      <c r="H142" s="23" t="s">
        <v>16</v>
      </c>
    </row>
    <row r="143" spans="5:8">
      <c r="E143" s="23" t="s">
        <v>16</v>
      </c>
      <c r="F143" s="23" t="s">
        <v>16</v>
      </c>
      <c r="G143" s="23" t="s">
        <v>16</v>
      </c>
      <c r="H143" s="23" t="s">
        <v>16</v>
      </c>
    </row>
    <row r="144" spans="5:8">
      <c r="E144" s="23" t="s">
        <v>16</v>
      </c>
      <c r="F144" s="23" t="s">
        <v>16</v>
      </c>
      <c r="G144" s="23" t="s">
        <v>16</v>
      </c>
      <c r="H144" s="23" t="s">
        <v>16</v>
      </c>
    </row>
    <row r="145" spans="5:8">
      <c r="E145" s="23" t="s">
        <v>16</v>
      </c>
      <c r="F145" s="23" t="s">
        <v>16</v>
      </c>
      <c r="G145" s="23" t="s">
        <v>16</v>
      </c>
      <c r="H145" s="23" t="s">
        <v>16</v>
      </c>
    </row>
    <row r="146" spans="5:8">
      <c r="E146" s="23" t="s">
        <v>16</v>
      </c>
      <c r="F146" s="23" t="s">
        <v>16</v>
      </c>
      <c r="G146" s="23" t="s">
        <v>16</v>
      </c>
      <c r="H146" s="23" t="s">
        <v>16</v>
      </c>
    </row>
    <row r="147" spans="5:8">
      <c r="E147" s="23" t="s">
        <v>16</v>
      </c>
      <c r="F147" s="23" t="s">
        <v>16</v>
      </c>
      <c r="G147" s="23" t="s">
        <v>16</v>
      </c>
      <c r="H147" s="23" t="s">
        <v>16</v>
      </c>
    </row>
    <row r="148" spans="5:8">
      <c r="E148" s="23" t="s">
        <v>16</v>
      </c>
      <c r="F148" s="23" t="s">
        <v>16</v>
      </c>
      <c r="G148" s="23" t="s">
        <v>16</v>
      </c>
      <c r="H148" s="23" t="s">
        <v>16</v>
      </c>
    </row>
    <row r="149" spans="5:8">
      <c r="E149" s="23" t="s">
        <v>16</v>
      </c>
      <c r="F149" s="23" t="s">
        <v>16</v>
      </c>
      <c r="G149" s="23" t="s">
        <v>16</v>
      </c>
      <c r="H149" s="23" t="s">
        <v>16</v>
      </c>
    </row>
    <row r="150" spans="5:8">
      <c r="E150" s="23" t="s">
        <v>16</v>
      </c>
      <c r="F150" s="23" t="s">
        <v>16</v>
      </c>
      <c r="G150" s="23" t="s">
        <v>16</v>
      </c>
      <c r="H150" s="23" t="s">
        <v>16</v>
      </c>
    </row>
    <row r="151" spans="5:8">
      <c r="E151" s="23" t="s">
        <v>16</v>
      </c>
      <c r="F151" s="23" t="s">
        <v>16</v>
      </c>
      <c r="G151" s="23" t="s">
        <v>16</v>
      </c>
      <c r="H151" s="23" t="s">
        <v>16</v>
      </c>
    </row>
    <row r="152" spans="5:8">
      <c r="E152" s="23" t="s">
        <v>16</v>
      </c>
      <c r="F152" s="23" t="s">
        <v>16</v>
      </c>
      <c r="G152" s="23" t="s">
        <v>16</v>
      </c>
      <c r="H152" s="23" t="s">
        <v>16</v>
      </c>
    </row>
    <row r="153" spans="5:8">
      <c r="E153" s="23" t="s">
        <v>16</v>
      </c>
      <c r="F153" s="23" t="s">
        <v>16</v>
      </c>
      <c r="G153" s="23" t="s">
        <v>16</v>
      </c>
      <c r="H153" s="23" t="s">
        <v>16</v>
      </c>
    </row>
    <row r="154" spans="5:8">
      <c r="E154" s="23" t="s">
        <v>16</v>
      </c>
      <c r="F154" s="23" t="s">
        <v>16</v>
      </c>
      <c r="G154" s="23" t="s">
        <v>16</v>
      </c>
      <c r="H154" s="23" t="s">
        <v>16</v>
      </c>
    </row>
    <row r="155" spans="5:8">
      <c r="E155" s="23" t="s">
        <v>16</v>
      </c>
      <c r="F155" s="23" t="s">
        <v>16</v>
      </c>
      <c r="G155" s="23" t="s">
        <v>16</v>
      </c>
      <c r="H155" s="23" t="s">
        <v>16</v>
      </c>
    </row>
    <row r="156" spans="5:8">
      <c r="E156" s="23" t="s">
        <v>16</v>
      </c>
      <c r="F156" s="23" t="s">
        <v>16</v>
      </c>
      <c r="G156" s="23" t="s">
        <v>16</v>
      </c>
      <c r="H156" s="23" t="s">
        <v>16</v>
      </c>
    </row>
    <row r="157" spans="5:8">
      <c r="E157" s="23" t="s">
        <v>16</v>
      </c>
      <c r="F157" s="23" t="s">
        <v>16</v>
      </c>
      <c r="G157" s="23" t="s">
        <v>16</v>
      </c>
      <c r="H157" s="23" t="s">
        <v>16</v>
      </c>
    </row>
    <row r="158" spans="5:8">
      <c r="E158" s="23" t="s">
        <v>16</v>
      </c>
      <c r="F158" s="23" t="s">
        <v>16</v>
      </c>
      <c r="G158" s="23" t="s">
        <v>16</v>
      </c>
      <c r="H158" s="23" t="s">
        <v>16</v>
      </c>
    </row>
    <row r="159" spans="5:8">
      <c r="E159" s="23" t="s">
        <v>16</v>
      </c>
      <c r="F159" s="23" t="s">
        <v>16</v>
      </c>
      <c r="G159" s="23" t="s">
        <v>16</v>
      </c>
      <c r="H159" s="23" t="s">
        <v>16</v>
      </c>
    </row>
    <row r="160" spans="5:8">
      <c r="E160" s="23" t="s">
        <v>16</v>
      </c>
      <c r="F160" s="23" t="s">
        <v>16</v>
      </c>
      <c r="G160" s="23" t="s">
        <v>16</v>
      </c>
      <c r="H160" s="23" t="s">
        <v>16</v>
      </c>
    </row>
    <row r="161" spans="5:8">
      <c r="E161" s="23" t="s">
        <v>16</v>
      </c>
      <c r="F161" s="23" t="s">
        <v>16</v>
      </c>
      <c r="G161" s="23" t="s">
        <v>16</v>
      </c>
      <c r="H161" s="23" t="s">
        <v>16</v>
      </c>
    </row>
    <row r="162" spans="5:8">
      <c r="E162" s="23" t="s">
        <v>16</v>
      </c>
      <c r="F162" s="23" t="s">
        <v>16</v>
      </c>
      <c r="G162" s="23" t="s">
        <v>16</v>
      </c>
      <c r="H162" s="23" t="s">
        <v>16</v>
      </c>
    </row>
    <row r="163" spans="5:8">
      <c r="E163" s="23" t="s">
        <v>16</v>
      </c>
      <c r="F163" s="23" t="s">
        <v>16</v>
      </c>
      <c r="G163" s="23" t="s">
        <v>16</v>
      </c>
      <c r="H163" s="23" t="s">
        <v>16</v>
      </c>
    </row>
    <row r="164" spans="5:8">
      <c r="E164" s="23" t="s">
        <v>16</v>
      </c>
      <c r="F164" s="23" t="s">
        <v>16</v>
      </c>
      <c r="G164" s="23" t="s">
        <v>16</v>
      </c>
      <c r="H164" s="23" t="s">
        <v>16</v>
      </c>
    </row>
    <row r="165" spans="5:8">
      <c r="E165" s="23" t="s">
        <v>16</v>
      </c>
      <c r="F165" s="23" t="s">
        <v>16</v>
      </c>
      <c r="G165" s="23" t="s">
        <v>16</v>
      </c>
      <c r="H165" s="23" t="s">
        <v>16</v>
      </c>
    </row>
    <row r="166" spans="5:8">
      <c r="E166" s="23" t="s">
        <v>16</v>
      </c>
      <c r="F166" s="23" t="s">
        <v>16</v>
      </c>
      <c r="G166" s="23" t="s">
        <v>16</v>
      </c>
      <c r="H166" s="23" t="s">
        <v>16</v>
      </c>
    </row>
    <row r="167" spans="5:8">
      <c r="E167" s="23" t="s">
        <v>16</v>
      </c>
      <c r="F167" s="23" t="s">
        <v>16</v>
      </c>
      <c r="G167" s="23" t="s">
        <v>16</v>
      </c>
      <c r="H167" s="23" t="s">
        <v>16</v>
      </c>
    </row>
    <row r="168" spans="5:8">
      <c r="E168" s="23" t="s">
        <v>16</v>
      </c>
      <c r="F168" s="23" t="s">
        <v>16</v>
      </c>
      <c r="G168" s="23" t="s">
        <v>16</v>
      </c>
      <c r="H168" s="23" t="s">
        <v>16</v>
      </c>
    </row>
    <row r="169" spans="5:8">
      <c r="E169" s="23" t="s">
        <v>16</v>
      </c>
      <c r="F169" s="23" t="s">
        <v>16</v>
      </c>
      <c r="G169" s="23" t="s">
        <v>16</v>
      </c>
      <c r="H169" s="23" t="s">
        <v>16</v>
      </c>
    </row>
    <row r="170" spans="5:8">
      <c r="E170" s="23" t="s">
        <v>16</v>
      </c>
      <c r="F170" s="23" t="s">
        <v>16</v>
      </c>
      <c r="G170" s="23" t="s">
        <v>16</v>
      </c>
      <c r="H170" s="23" t="s">
        <v>16</v>
      </c>
    </row>
    <row r="171" spans="5:8">
      <c r="E171" s="23" t="s">
        <v>16</v>
      </c>
      <c r="F171" s="23" t="s">
        <v>16</v>
      </c>
      <c r="G171" s="23" t="s">
        <v>16</v>
      </c>
      <c r="H171" s="23" t="s">
        <v>16</v>
      </c>
    </row>
    <row r="172" spans="5:8">
      <c r="E172" s="23" t="s">
        <v>16</v>
      </c>
      <c r="F172" s="23" t="s">
        <v>16</v>
      </c>
      <c r="G172" s="23" t="s">
        <v>16</v>
      </c>
      <c r="H172" s="23" t="s">
        <v>16</v>
      </c>
    </row>
    <row r="173" spans="5:8">
      <c r="E173" s="23" t="s">
        <v>16</v>
      </c>
      <c r="F173" s="23" t="s">
        <v>16</v>
      </c>
      <c r="G173" s="23" t="s">
        <v>16</v>
      </c>
      <c r="H173" s="23" t="s">
        <v>16</v>
      </c>
    </row>
    <row r="174" spans="5:8">
      <c r="E174" s="23" t="s">
        <v>16</v>
      </c>
      <c r="F174" s="23" t="s">
        <v>16</v>
      </c>
      <c r="G174" s="23" t="s">
        <v>16</v>
      </c>
      <c r="H174" s="23" t="s">
        <v>16</v>
      </c>
    </row>
    <row r="175" spans="5:8">
      <c r="E175" s="23" t="s">
        <v>16</v>
      </c>
      <c r="F175" s="23" t="s">
        <v>16</v>
      </c>
      <c r="G175" s="23" t="s">
        <v>16</v>
      </c>
      <c r="H175" s="23" t="s">
        <v>16</v>
      </c>
    </row>
    <row r="176" spans="5:8">
      <c r="E176" s="23" t="s">
        <v>16</v>
      </c>
      <c r="F176" s="23" t="s">
        <v>16</v>
      </c>
      <c r="G176" s="23" t="s">
        <v>16</v>
      </c>
      <c r="H176" s="23" t="s">
        <v>16</v>
      </c>
    </row>
    <row r="177" spans="5:8">
      <c r="E177" s="23" t="s">
        <v>16</v>
      </c>
      <c r="F177" s="23" t="s">
        <v>16</v>
      </c>
      <c r="G177" s="23" t="s">
        <v>16</v>
      </c>
      <c r="H177" s="23" t="s">
        <v>16</v>
      </c>
    </row>
    <row r="178" spans="5:8">
      <c r="E178" s="23" t="s">
        <v>16</v>
      </c>
      <c r="F178" s="23" t="s">
        <v>16</v>
      </c>
      <c r="G178" s="23" t="s">
        <v>16</v>
      </c>
      <c r="H178" s="23" t="s">
        <v>16</v>
      </c>
    </row>
    <row r="179" spans="5:8">
      <c r="E179" s="23" t="s">
        <v>16</v>
      </c>
      <c r="F179" s="23" t="s">
        <v>16</v>
      </c>
      <c r="G179" s="23" t="s">
        <v>16</v>
      </c>
      <c r="H179" s="23" t="s">
        <v>16</v>
      </c>
    </row>
    <row r="180" spans="5:8">
      <c r="E180" s="23" t="s">
        <v>16</v>
      </c>
      <c r="F180" s="23" t="s">
        <v>16</v>
      </c>
      <c r="G180" s="23" t="s">
        <v>16</v>
      </c>
      <c r="H180" s="23" t="s">
        <v>16</v>
      </c>
    </row>
    <row r="181" spans="5:8">
      <c r="E181" s="23" t="s">
        <v>16</v>
      </c>
      <c r="F181" s="23" t="s">
        <v>16</v>
      </c>
      <c r="G181" s="23" t="s">
        <v>16</v>
      </c>
      <c r="H181" s="23" t="s">
        <v>16</v>
      </c>
    </row>
    <row r="182" spans="5:8">
      <c r="E182" s="23" t="s">
        <v>16</v>
      </c>
      <c r="F182" s="23" t="s">
        <v>16</v>
      </c>
      <c r="G182" s="23" t="s">
        <v>16</v>
      </c>
      <c r="H182" s="23" t="s">
        <v>16</v>
      </c>
    </row>
    <row r="183" spans="5:8">
      <c r="E183" s="23" t="s">
        <v>16</v>
      </c>
      <c r="F183" s="23" t="s">
        <v>16</v>
      </c>
      <c r="G183" s="23" t="s">
        <v>16</v>
      </c>
      <c r="H183" s="23" t="s">
        <v>16</v>
      </c>
    </row>
    <row r="184" spans="5:8">
      <c r="E184" s="23" t="s">
        <v>16</v>
      </c>
      <c r="F184" s="23" t="s">
        <v>16</v>
      </c>
      <c r="G184" s="23" t="s">
        <v>16</v>
      </c>
      <c r="H184" s="23" t="s">
        <v>16</v>
      </c>
    </row>
    <row r="185" spans="5:8">
      <c r="E185" s="23" t="s">
        <v>16</v>
      </c>
      <c r="F185" s="23" t="s">
        <v>16</v>
      </c>
      <c r="G185" s="23" t="s">
        <v>16</v>
      </c>
      <c r="H185" s="23" t="s">
        <v>16</v>
      </c>
    </row>
    <row r="186" spans="5:8">
      <c r="E186" s="23" t="s">
        <v>16</v>
      </c>
      <c r="F186" s="23" t="s">
        <v>16</v>
      </c>
      <c r="G186" s="23" t="s">
        <v>16</v>
      </c>
      <c r="H186" s="23" t="s">
        <v>16</v>
      </c>
    </row>
    <row r="187" spans="5:8">
      <c r="E187" s="23" t="s">
        <v>16</v>
      </c>
      <c r="F187" s="23" t="s">
        <v>16</v>
      </c>
      <c r="G187" s="23" t="s">
        <v>16</v>
      </c>
      <c r="H187" s="23" t="s">
        <v>16</v>
      </c>
    </row>
    <row r="188" spans="5:8">
      <c r="E188" s="23" t="s">
        <v>16</v>
      </c>
      <c r="F188" s="23" t="s">
        <v>16</v>
      </c>
      <c r="G188" s="23" t="s">
        <v>16</v>
      </c>
      <c r="H188" s="23" t="s">
        <v>16</v>
      </c>
    </row>
    <row r="189" spans="5:8">
      <c r="E189" s="23" t="s">
        <v>16</v>
      </c>
      <c r="F189" s="23" t="s">
        <v>16</v>
      </c>
      <c r="G189" s="23" t="s">
        <v>16</v>
      </c>
      <c r="H189" s="23" t="s">
        <v>16</v>
      </c>
    </row>
    <row r="190" spans="5:8">
      <c r="E190" s="23" t="s">
        <v>16</v>
      </c>
      <c r="F190" s="23" t="s">
        <v>16</v>
      </c>
      <c r="G190" s="23" t="s">
        <v>16</v>
      </c>
      <c r="H190" s="23" t="s">
        <v>16</v>
      </c>
    </row>
    <row r="191" spans="5:8">
      <c r="E191" s="23" t="s">
        <v>16</v>
      </c>
      <c r="F191" s="23" t="s">
        <v>16</v>
      </c>
      <c r="G191" s="23" t="s">
        <v>16</v>
      </c>
      <c r="H191" s="23" t="s">
        <v>16</v>
      </c>
    </row>
    <row r="192" spans="5:8">
      <c r="E192" s="23" t="s">
        <v>16</v>
      </c>
      <c r="F192" s="23" t="s">
        <v>16</v>
      </c>
      <c r="G192" s="23" t="s">
        <v>16</v>
      </c>
      <c r="H192" s="23" t="s">
        <v>16</v>
      </c>
    </row>
    <row r="193" spans="5:8">
      <c r="E193" s="23" t="s">
        <v>16</v>
      </c>
      <c r="F193" s="23" t="s">
        <v>16</v>
      </c>
      <c r="G193" s="23" t="s">
        <v>16</v>
      </c>
      <c r="H193" s="23" t="s">
        <v>16</v>
      </c>
    </row>
    <row r="194" spans="5:8">
      <c r="E194" s="23" t="s">
        <v>16</v>
      </c>
      <c r="F194" s="23" t="s">
        <v>16</v>
      </c>
      <c r="G194" s="23" t="s">
        <v>16</v>
      </c>
      <c r="H194" s="23" t="s">
        <v>16</v>
      </c>
    </row>
    <row r="195" spans="5:8">
      <c r="E195" s="23" t="s">
        <v>16</v>
      </c>
      <c r="F195" s="23" t="s">
        <v>16</v>
      </c>
      <c r="G195" s="23" t="s">
        <v>16</v>
      </c>
      <c r="H195" s="23" t="s">
        <v>16</v>
      </c>
    </row>
    <row r="196" spans="5:8">
      <c r="E196" s="23" t="s">
        <v>16</v>
      </c>
      <c r="F196" s="23" t="s">
        <v>16</v>
      </c>
      <c r="G196" s="23" t="s">
        <v>16</v>
      </c>
      <c r="H196" s="23" t="s">
        <v>16</v>
      </c>
    </row>
    <row r="197" spans="5:8">
      <c r="E197" s="23" t="s">
        <v>16</v>
      </c>
      <c r="F197" s="23" t="s">
        <v>16</v>
      </c>
      <c r="G197" s="23" t="s">
        <v>16</v>
      </c>
      <c r="H197" s="23" t="s">
        <v>16</v>
      </c>
    </row>
    <row r="198" spans="5:8">
      <c r="E198" s="23" t="s">
        <v>16</v>
      </c>
      <c r="F198" s="23" t="s">
        <v>16</v>
      </c>
      <c r="G198" s="23" t="s">
        <v>16</v>
      </c>
      <c r="H198" s="23" t="s">
        <v>16</v>
      </c>
    </row>
    <row r="199" spans="5:8">
      <c r="E199" s="23" t="s">
        <v>16</v>
      </c>
      <c r="F199" s="23" t="s">
        <v>16</v>
      </c>
      <c r="G199" s="23" t="s">
        <v>16</v>
      </c>
      <c r="H199" s="23" t="s">
        <v>16</v>
      </c>
    </row>
    <row r="200" spans="5:8">
      <c r="E200" s="23" t="s">
        <v>16</v>
      </c>
      <c r="F200" s="23" t="s">
        <v>16</v>
      </c>
      <c r="G200" s="23" t="s">
        <v>16</v>
      </c>
      <c r="H200" s="23" t="s">
        <v>16</v>
      </c>
    </row>
    <row r="201" spans="5:8">
      <c r="E201" s="23"/>
      <c r="F201" s="23"/>
      <c r="G201" s="23"/>
      <c r="H201" s="23"/>
    </row>
    <row r="202" spans="5:8">
      <c r="E202" s="23"/>
      <c r="F202" s="23"/>
      <c r="G202" s="23"/>
      <c r="H202" s="23"/>
    </row>
    <row r="203" spans="5:8">
      <c r="E203" s="23"/>
      <c r="F203" s="23"/>
      <c r="G203" s="23"/>
      <c r="H203" s="23"/>
    </row>
    <row r="204" spans="5:8">
      <c r="E204" s="23"/>
      <c r="F204" s="23"/>
      <c r="G204" s="23"/>
      <c r="H204" s="23"/>
    </row>
    <row r="205" spans="5:8">
      <c r="E205" s="23"/>
      <c r="F205" s="23"/>
      <c r="G205" s="23"/>
      <c r="H205" s="23"/>
    </row>
    <row r="206" spans="5:8">
      <c r="E206" s="23"/>
      <c r="F206" s="23"/>
      <c r="G206" s="23"/>
      <c r="H206" s="23"/>
    </row>
    <row r="207" spans="5:8">
      <c r="E207" s="23"/>
      <c r="F207" s="23"/>
      <c r="G207" s="23"/>
      <c r="H207" s="23"/>
    </row>
    <row r="208" spans="5:8">
      <c r="E208" s="23"/>
      <c r="F208" s="23"/>
      <c r="G208" s="23"/>
      <c r="H208" s="23"/>
    </row>
    <row r="209" spans="5:8">
      <c r="E209" s="23"/>
      <c r="F209" s="23"/>
      <c r="G209" s="23"/>
      <c r="H209" s="23"/>
    </row>
    <row r="210" spans="5:8">
      <c r="E210" s="23"/>
      <c r="F210" s="23"/>
      <c r="G210" s="23"/>
      <c r="H210" s="23"/>
    </row>
    <row r="211" spans="5:8">
      <c r="E211" s="23"/>
      <c r="F211" s="23"/>
      <c r="G211" s="23"/>
      <c r="H211" s="23"/>
    </row>
    <row r="212" spans="5:8">
      <c r="E212" s="23"/>
      <c r="F212" s="23"/>
      <c r="G212" s="23"/>
      <c r="H212" s="23"/>
    </row>
    <row r="213" spans="5:8">
      <c r="E213" s="23"/>
      <c r="F213" s="23"/>
      <c r="G213" s="23"/>
      <c r="H213" s="23"/>
    </row>
    <row r="214" spans="5:8">
      <c r="E214" s="23"/>
      <c r="F214" s="23"/>
      <c r="G214" s="23"/>
      <c r="H214" s="23"/>
    </row>
    <row r="215" spans="5:8">
      <c r="E215" s="23"/>
      <c r="F215" s="23"/>
      <c r="G215" s="23"/>
      <c r="H215" s="23"/>
    </row>
    <row r="216" spans="5:8">
      <c r="E216" s="23"/>
      <c r="F216" s="23"/>
      <c r="G216" s="23"/>
      <c r="H216" s="23"/>
    </row>
    <row r="217" spans="5:8">
      <c r="E217" s="23"/>
      <c r="F217" s="23"/>
      <c r="G217" s="23"/>
      <c r="H217" s="23"/>
    </row>
    <row r="218" spans="5:8">
      <c r="E218" s="23"/>
      <c r="F218" s="23"/>
      <c r="G218" s="23"/>
      <c r="H218" s="23"/>
    </row>
    <row r="219" spans="5:8">
      <c r="E219" s="23"/>
      <c r="F219" s="23"/>
      <c r="G219" s="23"/>
      <c r="H219" s="23"/>
    </row>
    <row r="220" spans="5:8">
      <c r="E220" s="23"/>
      <c r="F220" s="23"/>
      <c r="G220" s="23"/>
      <c r="H220" s="23"/>
    </row>
    <row r="221" spans="5:8">
      <c r="E221" s="23"/>
      <c r="F221" s="23"/>
      <c r="G221" s="23"/>
      <c r="H221" s="23"/>
    </row>
  </sheetData>
  <autoFilter xmlns:etc="http://www.wps.cn/officeDocument/2017/etCustomData" ref="A5:H200" etc:filterBottomFollowUsedRange="0">
    <sortState ref="A5:H200">
      <sortCondition ref="B5:B116"/>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2" manualBreakCount="2">
    <brk id="37" max="7" man="1"/>
    <brk id="77" max="7"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FF00"/>
    <pageSetUpPr fitToPage="1"/>
  </sheetPr>
  <dimension ref="A1:L915"/>
  <sheetViews>
    <sheetView showGridLines="0" view="pageBreakPreview" zoomScale="90" zoomScaleNormal="100" workbookViewId="0">
      <selection activeCell="E27" sqref="E27"/>
    </sheetView>
  </sheetViews>
  <sheetFormatPr defaultColWidth="9.12962962962963" defaultRowHeight="13.8"/>
  <cols>
    <col min="1" max="1" width="7.62962962962963" style="31" customWidth="1"/>
    <col min="2" max="2" width="39.5" style="27" customWidth="1"/>
    <col min="3" max="4" width="30.75" style="32" customWidth="1"/>
    <col min="5" max="8" width="13.8796296296296" style="45" customWidth="1"/>
    <col min="9" max="16384" width="9.12962962962963" style="31"/>
  </cols>
  <sheetData>
    <row r="1" spans="1:12">
      <c r="A1" s="6" t="s">
        <v>619</v>
      </c>
      <c r="B1" s="6"/>
      <c r="C1" s="7"/>
      <c r="D1" s="7"/>
      <c r="E1" s="6"/>
      <c r="F1" s="6"/>
      <c r="G1" s="6"/>
      <c r="H1" s="6"/>
    </row>
    <row r="2" spans="1:12">
      <c r="A2" s="8" t="s">
        <v>4</v>
      </c>
      <c r="B2" s="8"/>
      <c r="C2" s="8"/>
      <c r="D2" s="8"/>
      <c r="E2" s="34"/>
      <c r="F2" s="34"/>
      <c r="G2" s="34"/>
      <c r="H2" s="34"/>
    </row>
    <row r="3" spans="1:12">
      <c r="A3" s="9" t="s">
        <v>5</v>
      </c>
      <c r="B3" s="9" t="s">
        <v>6</v>
      </c>
      <c r="C3" s="9" t="s">
        <v>7</v>
      </c>
      <c r="D3" s="9"/>
      <c r="E3" s="10" t="s">
        <v>8</v>
      </c>
      <c r="F3" s="10"/>
      <c r="G3" s="10"/>
      <c r="H3" s="10"/>
    </row>
    <row r="4" spans="1:12">
      <c r="A4" s="11"/>
      <c r="B4" s="11"/>
      <c r="C4" s="9" t="s">
        <v>9</v>
      </c>
      <c r="D4" s="9" t="s">
        <v>10</v>
      </c>
      <c r="E4" s="10" t="s">
        <v>11</v>
      </c>
      <c r="F4" s="10" t="s">
        <v>12</v>
      </c>
      <c r="G4" s="10" t="s">
        <v>13</v>
      </c>
      <c r="H4" s="10" t="s">
        <v>14</v>
      </c>
    </row>
    <row r="5" spans="1:12">
      <c r="A5" s="13" t="s">
        <v>15</v>
      </c>
      <c r="B5" s="13"/>
      <c r="C5" s="15"/>
      <c r="D5" s="15"/>
      <c r="E5" s="10" t="s">
        <v>16</v>
      </c>
      <c r="F5" s="10" t="s">
        <v>16</v>
      </c>
      <c r="G5" s="10" t="s">
        <v>16</v>
      </c>
      <c r="H5" s="10" t="s">
        <v>16</v>
      </c>
    </row>
    <row r="6" spans="1:12">
      <c r="A6" s="36">
        <v>1</v>
      </c>
      <c r="B6" s="20" t="s">
        <v>620</v>
      </c>
      <c r="C6" s="18" t="s">
        <v>621</v>
      </c>
      <c r="D6" s="18" t="s">
        <v>622</v>
      </c>
      <c r="E6" s="21">
        <v>2200000</v>
      </c>
      <c r="F6" s="21">
        <v>1250000</v>
      </c>
      <c r="G6" s="21">
        <v>800000</v>
      </c>
      <c r="H6" s="21">
        <v>550000</v>
      </c>
      <c r="I6" s="181"/>
      <c r="J6" s="181"/>
      <c r="K6" s="181"/>
      <c r="L6" s="181"/>
    </row>
    <row r="7" spans="1:12">
      <c r="A7" s="36">
        <v>2</v>
      </c>
      <c r="B7" s="20" t="s">
        <v>623</v>
      </c>
      <c r="C7" s="18" t="s">
        <v>624</v>
      </c>
      <c r="D7" s="18" t="s">
        <v>625</v>
      </c>
      <c r="E7" s="21">
        <v>2200000</v>
      </c>
      <c r="F7" s="21">
        <v>1250000</v>
      </c>
      <c r="G7" s="21">
        <v>800000</v>
      </c>
      <c r="H7" s="21">
        <v>550000</v>
      </c>
      <c r="I7" s="181"/>
      <c r="J7" s="181"/>
      <c r="K7" s="181"/>
      <c r="L7" s="181"/>
    </row>
    <row r="8" ht="27.6" spans="1:12">
      <c r="A8" s="36">
        <v>3</v>
      </c>
      <c r="B8" s="20" t="s">
        <v>626</v>
      </c>
      <c r="C8" s="18" t="s">
        <v>627</v>
      </c>
      <c r="D8" s="18" t="s">
        <v>628</v>
      </c>
      <c r="E8" s="21">
        <v>3300000</v>
      </c>
      <c r="F8" s="21">
        <v>1850000</v>
      </c>
      <c r="G8" s="21">
        <v>1200000</v>
      </c>
      <c r="H8" s="21">
        <v>800000</v>
      </c>
      <c r="I8" s="181"/>
      <c r="J8" s="181"/>
      <c r="K8" s="181"/>
      <c r="L8" s="181"/>
    </row>
    <row r="9" spans="1:12">
      <c r="A9" s="36">
        <v>4</v>
      </c>
      <c r="B9" s="20" t="s">
        <v>629</v>
      </c>
      <c r="C9" s="18" t="s">
        <v>229</v>
      </c>
      <c r="D9" s="18" t="s">
        <v>630</v>
      </c>
      <c r="E9" s="23">
        <v>450000</v>
      </c>
      <c r="F9" s="23">
        <v>275000</v>
      </c>
      <c r="G9" s="23">
        <v>210000</v>
      </c>
      <c r="H9" s="23">
        <v>150000</v>
      </c>
      <c r="I9" s="181"/>
      <c r="J9" s="181"/>
      <c r="K9" s="181"/>
      <c r="L9" s="181"/>
    </row>
    <row r="10" spans="1:12">
      <c r="A10" s="36">
        <v>5</v>
      </c>
      <c r="B10" s="20" t="s">
        <v>631</v>
      </c>
      <c r="C10" s="18" t="s">
        <v>632</v>
      </c>
      <c r="D10" s="18" t="s">
        <v>633</v>
      </c>
      <c r="E10" s="23">
        <v>800000</v>
      </c>
      <c r="F10" s="23">
        <v>425000</v>
      </c>
      <c r="G10" s="23">
        <v>305000</v>
      </c>
      <c r="H10" s="23">
        <v>195000</v>
      </c>
      <c r="I10" s="181"/>
      <c r="J10" s="181"/>
      <c r="K10" s="181"/>
      <c r="L10" s="181"/>
    </row>
    <row r="11" spans="1:12">
      <c r="A11" s="36">
        <v>6</v>
      </c>
      <c r="B11" s="20" t="s">
        <v>634</v>
      </c>
      <c r="C11" s="18" t="s">
        <v>635</v>
      </c>
      <c r="D11" s="18" t="s">
        <v>636</v>
      </c>
      <c r="E11" s="23">
        <v>3300000</v>
      </c>
      <c r="F11" s="23">
        <v>1850000</v>
      </c>
      <c r="G11" s="23">
        <v>1200000</v>
      </c>
      <c r="H11" s="23">
        <v>800000</v>
      </c>
      <c r="I11" s="181"/>
      <c r="J11" s="181"/>
      <c r="K11" s="181"/>
      <c r="L11" s="181"/>
    </row>
    <row r="12" spans="1:12">
      <c r="A12" s="36">
        <v>7</v>
      </c>
      <c r="B12" s="20" t="s">
        <v>637</v>
      </c>
      <c r="C12" s="18" t="s">
        <v>286</v>
      </c>
      <c r="D12" s="18" t="s">
        <v>638</v>
      </c>
      <c r="E12" s="23">
        <v>3300000</v>
      </c>
      <c r="F12" s="23">
        <v>1850000</v>
      </c>
      <c r="G12" s="23">
        <v>1200000</v>
      </c>
      <c r="H12" s="23">
        <v>800000</v>
      </c>
      <c r="I12" s="181"/>
      <c r="J12" s="181"/>
      <c r="K12" s="181"/>
      <c r="L12" s="181"/>
    </row>
    <row r="13" spans="1:12">
      <c r="A13" s="36">
        <v>8</v>
      </c>
      <c r="B13" s="20" t="s">
        <v>639</v>
      </c>
      <c r="C13" s="18" t="s">
        <v>632</v>
      </c>
      <c r="D13" s="18" t="s">
        <v>640</v>
      </c>
      <c r="E13" s="23">
        <v>600000</v>
      </c>
      <c r="F13" s="23">
        <v>375000</v>
      </c>
      <c r="G13" s="23">
        <v>270000</v>
      </c>
      <c r="H13" s="23">
        <v>175000</v>
      </c>
      <c r="I13" s="181"/>
      <c r="J13" s="181"/>
      <c r="K13" s="181"/>
      <c r="L13" s="181"/>
    </row>
    <row r="14" spans="1:12">
      <c r="A14" s="36">
        <v>9</v>
      </c>
      <c r="B14" s="20" t="s">
        <v>641</v>
      </c>
      <c r="C14" s="18" t="s">
        <v>642</v>
      </c>
      <c r="D14" s="18" t="s">
        <v>626</v>
      </c>
      <c r="E14" s="23">
        <v>3300000</v>
      </c>
      <c r="F14" s="23">
        <v>1850000</v>
      </c>
      <c r="G14" s="23">
        <v>1200000</v>
      </c>
      <c r="H14" s="23">
        <v>800000</v>
      </c>
      <c r="I14" s="181"/>
      <c r="J14" s="181"/>
      <c r="K14" s="181"/>
      <c r="L14" s="181"/>
    </row>
    <row r="15" spans="1:12">
      <c r="A15" s="36">
        <v>10</v>
      </c>
      <c r="B15" s="20" t="s">
        <v>643</v>
      </c>
      <c r="C15" s="18" t="s">
        <v>644</v>
      </c>
      <c r="D15" s="18" t="s">
        <v>103</v>
      </c>
      <c r="E15" s="23">
        <v>3300000</v>
      </c>
      <c r="F15" s="23">
        <v>1850000</v>
      </c>
      <c r="G15" s="23">
        <v>1200000</v>
      </c>
      <c r="H15" s="23">
        <v>800000</v>
      </c>
      <c r="I15" s="181"/>
      <c r="J15" s="181"/>
      <c r="K15" s="181"/>
      <c r="L15" s="181"/>
    </row>
    <row r="16" spans="1:12">
      <c r="A16" s="36">
        <v>11</v>
      </c>
      <c r="B16" s="20" t="s">
        <v>645</v>
      </c>
      <c r="C16" s="18" t="s">
        <v>646</v>
      </c>
      <c r="D16" s="18" t="s">
        <v>647</v>
      </c>
      <c r="E16" s="23">
        <v>450000</v>
      </c>
      <c r="F16" s="23">
        <v>275000</v>
      </c>
      <c r="G16" s="23">
        <v>210000</v>
      </c>
      <c r="H16" s="23">
        <v>150000</v>
      </c>
      <c r="I16" s="181"/>
      <c r="J16" s="181"/>
      <c r="K16" s="181"/>
      <c r="L16" s="181"/>
    </row>
    <row r="17" spans="1:12">
      <c r="A17" s="36">
        <v>12</v>
      </c>
      <c r="B17" s="20" t="s">
        <v>648</v>
      </c>
      <c r="C17" s="18" t="s">
        <v>649</v>
      </c>
      <c r="D17" s="18" t="s">
        <v>621</v>
      </c>
      <c r="E17" s="23">
        <v>10250000</v>
      </c>
      <c r="F17" s="23">
        <v>5750000</v>
      </c>
      <c r="G17" s="23">
        <v>3800000</v>
      </c>
      <c r="H17" s="23">
        <v>2450000</v>
      </c>
      <c r="I17" s="181"/>
      <c r="J17" s="181"/>
      <c r="K17" s="181"/>
      <c r="L17" s="181"/>
    </row>
    <row r="18" spans="1:12">
      <c r="A18" s="36">
        <v>13</v>
      </c>
      <c r="B18" s="20" t="s">
        <v>229</v>
      </c>
      <c r="C18" s="18" t="s">
        <v>264</v>
      </c>
      <c r="D18" s="18" t="s">
        <v>650</v>
      </c>
      <c r="E18" s="23">
        <v>1600000</v>
      </c>
      <c r="F18" s="23">
        <v>850000</v>
      </c>
      <c r="G18" s="23">
        <v>600000</v>
      </c>
      <c r="H18" s="23">
        <v>355000</v>
      </c>
      <c r="I18" s="181"/>
      <c r="J18" s="181"/>
      <c r="K18" s="181"/>
      <c r="L18" s="181"/>
    </row>
    <row r="19" spans="1:12">
      <c r="A19" s="36"/>
      <c r="B19" s="20" t="s">
        <v>229</v>
      </c>
      <c r="C19" s="18" t="s">
        <v>650</v>
      </c>
      <c r="D19" s="18" t="s">
        <v>651</v>
      </c>
      <c r="E19" s="23">
        <v>1200000</v>
      </c>
      <c r="F19" s="23">
        <v>650000</v>
      </c>
      <c r="G19" s="23">
        <v>455000</v>
      </c>
      <c r="H19" s="23">
        <v>280000</v>
      </c>
      <c r="I19" s="181"/>
      <c r="J19" s="181"/>
      <c r="K19" s="181"/>
      <c r="L19" s="181"/>
    </row>
    <row r="20" ht="27.6" spans="1:12">
      <c r="A20" s="36">
        <v>14</v>
      </c>
      <c r="B20" s="20" t="s">
        <v>652</v>
      </c>
      <c r="C20" s="18" t="s">
        <v>632</v>
      </c>
      <c r="D20" s="18" t="s">
        <v>653</v>
      </c>
      <c r="E20" s="23">
        <v>800000</v>
      </c>
      <c r="F20" s="23">
        <v>425000</v>
      </c>
      <c r="G20" s="23">
        <v>305000</v>
      </c>
      <c r="H20" s="23">
        <v>195000</v>
      </c>
      <c r="I20" s="181"/>
      <c r="J20" s="181"/>
      <c r="K20" s="181"/>
      <c r="L20" s="181"/>
    </row>
    <row r="21" spans="1:12">
      <c r="A21" s="36">
        <v>15</v>
      </c>
      <c r="B21" s="20" t="s">
        <v>654</v>
      </c>
      <c r="C21" s="18" t="s">
        <v>655</v>
      </c>
      <c r="D21" s="18" t="s">
        <v>625</v>
      </c>
      <c r="E21" s="23">
        <v>3300000</v>
      </c>
      <c r="F21" s="23">
        <v>1850000</v>
      </c>
      <c r="G21" s="23">
        <v>1200000</v>
      </c>
      <c r="H21" s="23">
        <v>800000</v>
      </c>
      <c r="I21" s="181"/>
      <c r="J21" s="181"/>
      <c r="K21" s="181"/>
      <c r="L21" s="181"/>
    </row>
    <row r="22" spans="1:12">
      <c r="A22" s="36">
        <v>16</v>
      </c>
      <c r="B22" s="20" t="s">
        <v>656</v>
      </c>
      <c r="C22" s="18" t="s">
        <v>624</v>
      </c>
      <c r="D22" s="18" t="s">
        <v>655</v>
      </c>
      <c r="E22" s="23">
        <v>2200000</v>
      </c>
      <c r="F22" s="23">
        <v>1250000</v>
      </c>
      <c r="G22" s="23">
        <v>800000</v>
      </c>
      <c r="H22" s="23">
        <v>550000</v>
      </c>
      <c r="I22" s="181"/>
      <c r="J22" s="181"/>
      <c r="K22" s="181"/>
      <c r="L22" s="181"/>
    </row>
    <row r="23" spans="1:12">
      <c r="A23" s="36">
        <v>17</v>
      </c>
      <c r="B23" s="20" t="s">
        <v>657</v>
      </c>
      <c r="C23" s="18" t="s">
        <v>658</v>
      </c>
      <c r="D23" s="18" t="s">
        <v>659</v>
      </c>
      <c r="E23" s="23">
        <v>600000</v>
      </c>
      <c r="F23" s="23">
        <v>375000</v>
      </c>
      <c r="G23" s="23">
        <v>270000</v>
      </c>
      <c r="H23" s="23">
        <v>175000</v>
      </c>
      <c r="I23" s="181"/>
      <c r="J23" s="181"/>
      <c r="K23" s="181"/>
      <c r="L23" s="181"/>
    </row>
    <row r="24" spans="1:12">
      <c r="A24" s="36">
        <v>18</v>
      </c>
      <c r="B24" s="20" t="s">
        <v>627</v>
      </c>
      <c r="C24" s="18" t="s">
        <v>660</v>
      </c>
      <c r="D24" s="18" t="s">
        <v>642</v>
      </c>
      <c r="E24" s="23">
        <v>3300000</v>
      </c>
      <c r="F24" s="23">
        <v>1850000</v>
      </c>
      <c r="G24" s="23">
        <v>1200000</v>
      </c>
      <c r="H24" s="23">
        <v>800000</v>
      </c>
      <c r="I24" s="181"/>
      <c r="J24" s="181"/>
      <c r="K24" s="181"/>
      <c r="L24" s="181"/>
    </row>
    <row r="25" ht="27.6" spans="1:12">
      <c r="A25" s="36">
        <v>19</v>
      </c>
      <c r="B25" s="20" t="s">
        <v>658</v>
      </c>
      <c r="C25" s="18" t="s">
        <v>661</v>
      </c>
      <c r="D25" s="18" t="s">
        <v>662</v>
      </c>
      <c r="E25" s="23">
        <v>950000</v>
      </c>
      <c r="F25" s="23">
        <v>500000</v>
      </c>
      <c r="G25" s="23">
        <v>360000</v>
      </c>
      <c r="H25" s="23">
        <v>220000</v>
      </c>
      <c r="I25" s="181"/>
      <c r="J25" s="181"/>
      <c r="K25" s="181"/>
      <c r="L25" s="181"/>
    </row>
    <row r="26" spans="1:12">
      <c r="A26" s="36">
        <v>20</v>
      </c>
      <c r="B26" s="20" t="s">
        <v>663</v>
      </c>
      <c r="C26" s="18" t="s">
        <v>664</v>
      </c>
      <c r="D26" s="18" t="s">
        <v>665</v>
      </c>
      <c r="E26" s="23">
        <v>600000</v>
      </c>
      <c r="F26" s="23">
        <v>375000</v>
      </c>
      <c r="G26" s="23">
        <v>270000</v>
      </c>
      <c r="H26" s="23">
        <v>175000</v>
      </c>
      <c r="I26" s="181"/>
      <c r="J26" s="181"/>
      <c r="K26" s="181"/>
      <c r="L26" s="181"/>
    </row>
    <row r="27" ht="27.6" spans="1:12">
      <c r="A27" s="36">
        <v>21</v>
      </c>
      <c r="B27" s="20" t="s">
        <v>286</v>
      </c>
      <c r="C27" s="20" t="s">
        <v>666</v>
      </c>
      <c r="D27" s="20" t="s">
        <v>667</v>
      </c>
      <c r="E27" s="23">
        <v>4200000</v>
      </c>
      <c r="F27" s="23">
        <v>2350000</v>
      </c>
      <c r="G27" s="23">
        <v>1550000</v>
      </c>
      <c r="H27" s="23">
        <v>1000000</v>
      </c>
      <c r="I27" s="31" t="s">
        <v>156</v>
      </c>
      <c r="J27" s="181"/>
      <c r="K27" s="181"/>
      <c r="L27" s="181"/>
    </row>
    <row r="28" spans="1:12">
      <c r="A28" s="36"/>
      <c r="B28" s="20" t="s">
        <v>286</v>
      </c>
      <c r="C28" s="18" t="s">
        <v>667</v>
      </c>
      <c r="D28" s="18" t="s">
        <v>663</v>
      </c>
      <c r="E28" s="23">
        <v>3300000</v>
      </c>
      <c r="F28" s="23">
        <v>1850000</v>
      </c>
      <c r="G28" s="23">
        <v>1200000</v>
      </c>
      <c r="H28" s="23">
        <v>800000</v>
      </c>
      <c r="I28" s="181"/>
      <c r="J28" s="181"/>
      <c r="K28" s="181"/>
      <c r="L28" s="181"/>
    </row>
    <row r="29" ht="27.6" spans="1:12">
      <c r="A29" s="36">
        <v>22</v>
      </c>
      <c r="B29" s="20" t="s">
        <v>668</v>
      </c>
      <c r="C29" s="18" t="s">
        <v>635</v>
      </c>
      <c r="D29" s="18" t="s">
        <v>628</v>
      </c>
      <c r="E29" s="23">
        <v>3300000</v>
      </c>
      <c r="F29" s="23">
        <v>1850000</v>
      </c>
      <c r="G29" s="23">
        <v>1200000</v>
      </c>
      <c r="H29" s="23">
        <v>800000</v>
      </c>
      <c r="I29" s="181"/>
      <c r="J29" s="181"/>
      <c r="K29" s="181"/>
      <c r="L29" s="181"/>
    </row>
    <row r="30" ht="27.6" spans="1:12">
      <c r="A30" s="36">
        <v>23</v>
      </c>
      <c r="B30" s="20" t="s">
        <v>669</v>
      </c>
      <c r="C30" s="18" t="s">
        <v>658</v>
      </c>
      <c r="D30" s="18" t="s">
        <v>670</v>
      </c>
      <c r="E30" s="23">
        <v>300000</v>
      </c>
      <c r="F30" s="23">
        <v>235000</v>
      </c>
      <c r="G30" s="23">
        <v>190000</v>
      </c>
      <c r="H30" s="23">
        <v>135000</v>
      </c>
      <c r="I30" s="181"/>
      <c r="J30" s="181"/>
      <c r="K30" s="181"/>
      <c r="L30" s="181"/>
    </row>
    <row r="31" spans="1:12">
      <c r="A31" s="36">
        <v>24</v>
      </c>
      <c r="B31" s="20" t="s">
        <v>621</v>
      </c>
      <c r="C31" s="18" t="s">
        <v>648</v>
      </c>
      <c r="D31" s="18" t="s">
        <v>671</v>
      </c>
      <c r="E31" s="23">
        <v>6900000</v>
      </c>
      <c r="F31" s="23">
        <v>3850000</v>
      </c>
      <c r="G31" s="23">
        <v>2550000</v>
      </c>
      <c r="H31" s="23">
        <v>1650000</v>
      </c>
      <c r="I31" s="181"/>
      <c r="J31" s="181"/>
      <c r="K31" s="181"/>
      <c r="L31" s="181"/>
    </row>
    <row r="32" spans="1:12">
      <c r="A32" s="36"/>
      <c r="B32" s="20" t="s">
        <v>621</v>
      </c>
      <c r="C32" s="18" t="s">
        <v>671</v>
      </c>
      <c r="D32" s="18" t="s">
        <v>286</v>
      </c>
      <c r="E32" s="23">
        <v>5200000</v>
      </c>
      <c r="F32" s="23">
        <v>2900000</v>
      </c>
      <c r="G32" s="23">
        <v>1900000</v>
      </c>
      <c r="H32" s="23">
        <v>1250000</v>
      </c>
      <c r="I32" s="181"/>
      <c r="J32" s="181"/>
      <c r="K32" s="181"/>
      <c r="L32" s="181"/>
    </row>
    <row r="33" spans="1:12">
      <c r="A33" s="36">
        <v>25</v>
      </c>
      <c r="B33" s="20" t="s">
        <v>672</v>
      </c>
      <c r="C33" s="18" t="s">
        <v>286</v>
      </c>
      <c r="D33" s="18" t="s">
        <v>97</v>
      </c>
      <c r="E33" s="23">
        <v>3300000</v>
      </c>
      <c r="F33" s="23">
        <v>1850000</v>
      </c>
      <c r="G33" s="23">
        <v>1200000</v>
      </c>
      <c r="H33" s="23">
        <v>800000</v>
      </c>
      <c r="I33" s="181"/>
      <c r="J33" s="181"/>
      <c r="K33" s="181"/>
      <c r="L33" s="181"/>
    </row>
    <row r="34" spans="1:12">
      <c r="A34" s="36">
        <v>26</v>
      </c>
      <c r="B34" s="20" t="s">
        <v>625</v>
      </c>
      <c r="C34" s="18" t="s">
        <v>624</v>
      </c>
      <c r="D34" s="18" t="s">
        <v>673</v>
      </c>
      <c r="E34" s="23">
        <v>3300000</v>
      </c>
      <c r="F34" s="23">
        <v>1850000</v>
      </c>
      <c r="G34" s="23">
        <v>1200000</v>
      </c>
      <c r="H34" s="23">
        <v>800000</v>
      </c>
      <c r="I34" s="181"/>
      <c r="J34" s="181"/>
      <c r="K34" s="181"/>
      <c r="L34" s="181"/>
    </row>
    <row r="35" spans="1:12">
      <c r="A35" s="36">
        <v>27</v>
      </c>
      <c r="B35" s="20" t="s">
        <v>635</v>
      </c>
      <c r="C35" s="18" t="s">
        <v>674</v>
      </c>
      <c r="D35" s="18" t="s">
        <v>634</v>
      </c>
      <c r="E35" s="23">
        <v>3300000</v>
      </c>
      <c r="F35" s="23">
        <v>1850000</v>
      </c>
      <c r="G35" s="23">
        <v>1200000</v>
      </c>
      <c r="H35" s="23">
        <v>800000</v>
      </c>
      <c r="I35" s="181"/>
      <c r="J35" s="181"/>
      <c r="K35" s="181"/>
      <c r="L35" s="181"/>
    </row>
    <row r="36" spans="1:12">
      <c r="A36" s="36">
        <v>28</v>
      </c>
      <c r="B36" s="20" t="s">
        <v>624</v>
      </c>
      <c r="C36" s="18" t="s">
        <v>621</v>
      </c>
      <c r="D36" s="18" t="s">
        <v>655</v>
      </c>
      <c r="E36" s="23">
        <v>7800000</v>
      </c>
      <c r="F36" s="23">
        <v>4400000</v>
      </c>
      <c r="G36" s="23">
        <v>2900000</v>
      </c>
      <c r="H36" s="23">
        <v>1850000</v>
      </c>
      <c r="I36" s="181"/>
      <c r="J36" s="181"/>
      <c r="K36" s="181"/>
      <c r="L36" s="181"/>
    </row>
    <row r="37" spans="1:12">
      <c r="A37" s="36"/>
      <c r="B37" s="20" t="s">
        <v>624</v>
      </c>
      <c r="C37" s="18" t="s">
        <v>655</v>
      </c>
      <c r="D37" s="18" t="s">
        <v>675</v>
      </c>
      <c r="E37" s="23">
        <v>5200000</v>
      </c>
      <c r="F37" s="23">
        <v>2900000</v>
      </c>
      <c r="G37" s="23">
        <v>1900000</v>
      </c>
      <c r="H37" s="23">
        <v>1250000</v>
      </c>
      <c r="I37" s="181"/>
      <c r="J37" s="181"/>
      <c r="K37" s="181"/>
      <c r="L37" s="181"/>
    </row>
    <row r="38" spans="1:12">
      <c r="A38" s="36">
        <v>29</v>
      </c>
      <c r="B38" s="20" t="s">
        <v>674</v>
      </c>
      <c r="C38" s="18" t="s">
        <v>660</v>
      </c>
      <c r="D38" s="18" t="s">
        <v>641</v>
      </c>
      <c r="E38" s="23">
        <v>3300000</v>
      </c>
      <c r="F38" s="23">
        <v>1850000</v>
      </c>
      <c r="G38" s="23">
        <v>1200000</v>
      </c>
      <c r="H38" s="23">
        <v>800000</v>
      </c>
      <c r="I38" s="181"/>
      <c r="J38" s="181"/>
      <c r="K38" s="181"/>
      <c r="L38" s="181"/>
    </row>
    <row r="39" spans="1:12">
      <c r="A39" s="36">
        <v>30</v>
      </c>
      <c r="B39" s="20" t="s">
        <v>642</v>
      </c>
      <c r="C39" s="18" t="s">
        <v>676</v>
      </c>
      <c r="D39" s="18" t="s">
        <v>677</v>
      </c>
      <c r="E39" s="23">
        <v>3300000</v>
      </c>
      <c r="F39" s="23">
        <v>1850000</v>
      </c>
      <c r="G39" s="23">
        <v>1200000</v>
      </c>
      <c r="H39" s="23">
        <v>800000</v>
      </c>
      <c r="I39" s="181"/>
      <c r="J39" s="181"/>
      <c r="K39" s="181"/>
      <c r="L39" s="181"/>
    </row>
    <row r="40" ht="27.6" spans="1:12">
      <c r="A40" s="36">
        <v>31</v>
      </c>
      <c r="B40" s="20" t="s">
        <v>678</v>
      </c>
      <c r="C40" s="18" t="s">
        <v>679</v>
      </c>
      <c r="D40" s="18" t="s">
        <v>286</v>
      </c>
      <c r="E40" s="23">
        <v>2200000</v>
      </c>
      <c r="F40" s="23">
        <v>1250000</v>
      </c>
      <c r="G40" s="23">
        <v>800000</v>
      </c>
      <c r="H40" s="23">
        <v>550000</v>
      </c>
      <c r="I40" s="181"/>
      <c r="J40" s="181"/>
      <c r="K40" s="181"/>
      <c r="L40" s="181"/>
    </row>
    <row r="41" spans="1:12">
      <c r="A41" s="36">
        <v>32</v>
      </c>
      <c r="B41" s="20" t="s">
        <v>680</v>
      </c>
      <c r="C41" s="18" t="s">
        <v>681</v>
      </c>
      <c r="D41" s="18" t="s">
        <v>682</v>
      </c>
      <c r="E41" s="23">
        <v>800000</v>
      </c>
      <c r="F41" s="23">
        <v>425000</v>
      </c>
      <c r="G41" s="23">
        <v>305000</v>
      </c>
      <c r="H41" s="23">
        <v>195000</v>
      </c>
      <c r="I41" s="181"/>
      <c r="J41" s="181"/>
      <c r="K41" s="181"/>
      <c r="L41" s="181"/>
    </row>
    <row r="42" spans="1:12">
      <c r="A42" s="36">
        <v>33</v>
      </c>
      <c r="B42" s="20" t="s">
        <v>671</v>
      </c>
      <c r="C42" s="18" t="s">
        <v>660</v>
      </c>
      <c r="D42" s="18" t="s">
        <v>621</v>
      </c>
      <c r="E42" s="23">
        <v>4200000</v>
      </c>
      <c r="F42" s="23">
        <v>2350000</v>
      </c>
      <c r="G42" s="23">
        <v>1550000</v>
      </c>
      <c r="H42" s="23">
        <v>1000000</v>
      </c>
      <c r="I42" s="181"/>
      <c r="J42" s="181"/>
      <c r="K42" s="181"/>
      <c r="L42" s="181"/>
    </row>
    <row r="43" spans="1:12">
      <c r="A43" s="36">
        <v>34</v>
      </c>
      <c r="B43" s="20" t="s">
        <v>683</v>
      </c>
      <c r="C43" s="18" t="s">
        <v>658</v>
      </c>
      <c r="D43" s="18" t="s">
        <v>684</v>
      </c>
      <c r="E43" s="23">
        <v>600000</v>
      </c>
      <c r="F43" s="23">
        <v>375000</v>
      </c>
      <c r="G43" s="23">
        <v>270000</v>
      </c>
      <c r="H43" s="23">
        <v>175000</v>
      </c>
      <c r="I43" s="181"/>
      <c r="J43" s="181"/>
      <c r="K43" s="181"/>
      <c r="L43" s="181"/>
    </row>
    <row r="44" spans="1:12">
      <c r="A44" s="36">
        <v>35</v>
      </c>
      <c r="B44" s="20" t="s">
        <v>685</v>
      </c>
      <c r="C44" s="18" t="s">
        <v>286</v>
      </c>
      <c r="D44" s="18" t="s">
        <v>625</v>
      </c>
      <c r="E44" s="23">
        <v>2200000</v>
      </c>
      <c r="F44" s="23">
        <v>1250000</v>
      </c>
      <c r="G44" s="23">
        <v>800000</v>
      </c>
      <c r="H44" s="23">
        <v>550000</v>
      </c>
      <c r="I44" s="181"/>
      <c r="J44" s="181"/>
      <c r="K44" s="181"/>
      <c r="L44" s="181"/>
    </row>
    <row r="45" spans="1:12">
      <c r="A45" s="36">
        <v>36</v>
      </c>
      <c r="B45" s="20" t="s">
        <v>686</v>
      </c>
      <c r="C45" s="18" t="s">
        <v>624</v>
      </c>
      <c r="D45" s="18" t="s">
        <v>687</v>
      </c>
      <c r="E45" s="23">
        <v>2200000</v>
      </c>
      <c r="F45" s="23">
        <v>1250000</v>
      </c>
      <c r="G45" s="23">
        <v>800000</v>
      </c>
      <c r="H45" s="23">
        <v>550000</v>
      </c>
      <c r="I45" s="181"/>
      <c r="J45" s="181"/>
      <c r="K45" s="181"/>
      <c r="L45" s="181"/>
    </row>
    <row r="46" spans="1:12">
      <c r="A46" s="36">
        <v>37</v>
      </c>
      <c r="B46" s="20" t="s">
        <v>688</v>
      </c>
      <c r="C46" s="18" t="s">
        <v>648</v>
      </c>
      <c r="D46" s="18" t="s">
        <v>660</v>
      </c>
      <c r="E46" s="23">
        <v>3300000</v>
      </c>
      <c r="F46" s="23">
        <v>1850000</v>
      </c>
      <c r="G46" s="23">
        <v>1200000</v>
      </c>
      <c r="H46" s="23">
        <v>800000</v>
      </c>
      <c r="I46" s="181"/>
      <c r="J46" s="181"/>
      <c r="K46" s="181"/>
      <c r="L46" s="181"/>
    </row>
    <row r="47" spans="1:12">
      <c r="A47" s="36">
        <v>38</v>
      </c>
      <c r="B47" s="20" t="s">
        <v>655</v>
      </c>
      <c r="C47" s="18" t="s">
        <v>624</v>
      </c>
      <c r="D47" s="18" t="s">
        <v>632</v>
      </c>
      <c r="E47" s="23">
        <v>3300000</v>
      </c>
      <c r="F47" s="23">
        <v>1850000</v>
      </c>
      <c r="G47" s="23">
        <v>1200000</v>
      </c>
      <c r="H47" s="23">
        <v>800000</v>
      </c>
      <c r="I47" s="181"/>
      <c r="J47" s="181"/>
      <c r="K47" s="181"/>
      <c r="L47" s="181"/>
    </row>
    <row r="48" spans="1:12">
      <c r="A48" s="36">
        <v>39</v>
      </c>
      <c r="B48" s="20" t="s">
        <v>689</v>
      </c>
      <c r="C48" s="18" t="s">
        <v>286</v>
      </c>
      <c r="D48" s="18" t="s">
        <v>638</v>
      </c>
      <c r="E48" s="23">
        <v>3300000</v>
      </c>
      <c r="F48" s="23">
        <v>1850000</v>
      </c>
      <c r="G48" s="23">
        <v>1200000</v>
      </c>
      <c r="H48" s="23">
        <v>800000</v>
      </c>
      <c r="I48" s="181"/>
      <c r="J48" s="181"/>
      <c r="K48" s="181"/>
      <c r="L48" s="181"/>
    </row>
    <row r="49" ht="27.6" spans="1:12">
      <c r="A49" s="36">
        <v>40</v>
      </c>
      <c r="B49" s="20" t="s">
        <v>632</v>
      </c>
      <c r="C49" s="18" t="s">
        <v>690</v>
      </c>
      <c r="D49" s="18" t="s">
        <v>691</v>
      </c>
      <c r="E49" s="23">
        <v>2200000</v>
      </c>
      <c r="F49" s="23">
        <v>1100000</v>
      </c>
      <c r="G49" s="23">
        <v>750000</v>
      </c>
      <c r="H49" s="23">
        <v>445000</v>
      </c>
      <c r="I49" s="181"/>
      <c r="J49" s="181"/>
      <c r="K49" s="181"/>
      <c r="L49" s="181"/>
    </row>
    <row r="50" ht="27.6" spans="1:12">
      <c r="A50" s="36"/>
      <c r="B50" s="20" t="s">
        <v>632</v>
      </c>
      <c r="C50" s="18" t="s">
        <v>692</v>
      </c>
      <c r="D50" s="18" t="s">
        <v>693</v>
      </c>
      <c r="E50" s="23">
        <v>1450000</v>
      </c>
      <c r="F50" s="23">
        <v>750000</v>
      </c>
      <c r="G50" s="23">
        <v>550000</v>
      </c>
      <c r="H50" s="23">
        <v>310000</v>
      </c>
      <c r="I50" s="181"/>
      <c r="J50" s="181"/>
      <c r="K50" s="181"/>
      <c r="L50" s="181"/>
    </row>
    <row r="51" ht="27.6" spans="1:12">
      <c r="A51" s="36"/>
      <c r="B51" s="49" t="s">
        <v>632</v>
      </c>
      <c r="C51" s="41" t="s">
        <v>693</v>
      </c>
      <c r="D51" s="41" t="s">
        <v>229</v>
      </c>
      <c r="E51" s="23">
        <v>1300000</v>
      </c>
      <c r="F51" s="23">
        <v>700000</v>
      </c>
      <c r="G51" s="23">
        <v>475000</v>
      </c>
      <c r="H51" s="23">
        <v>290000</v>
      </c>
      <c r="I51" s="181"/>
      <c r="J51" s="181"/>
      <c r="K51" s="181"/>
      <c r="L51" s="181"/>
    </row>
    <row r="52" spans="1:12">
      <c r="A52" s="36">
        <v>41</v>
      </c>
      <c r="B52" s="20" t="s">
        <v>660</v>
      </c>
      <c r="C52" s="18" t="s">
        <v>694</v>
      </c>
      <c r="D52" s="18" t="s">
        <v>286</v>
      </c>
      <c r="E52" s="23">
        <v>4200000</v>
      </c>
      <c r="F52" s="23">
        <v>2350000</v>
      </c>
      <c r="G52" s="23">
        <v>1550000</v>
      </c>
      <c r="H52" s="23">
        <v>1000000</v>
      </c>
      <c r="I52" s="181"/>
      <c r="J52" s="181"/>
      <c r="K52" s="181"/>
      <c r="L52" s="181"/>
    </row>
    <row r="53" spans="1:12">
      <c r="A53" s="36">
        <v>42</v>
      </c>
      <c r="B53" s="20" t="s">
        <v>695</v>
      </c>
      <c r="C53" s="18" t="s">
        <v>625</v>
      </c>
      <c r="D53" s="18" t="s">
        <v>103</v>
      </c>
      <c r="E53" s="23">
        <v>3300000</v>
      </c>
      <c r="F53" s="23">
        <v>1850000</v>
      </c>
      <c r="G53" s="23">
        <v>1200000</v>
      </c>
      <c r="H53" s="23">
        <v>800000</v>
      </c>
      <c r="I53" s="181"/>
      <c r="J53" s="181"/>
      <c r="K53" s="181"/>
      <c r="L53" s="181"/>
    </row>
    <row r="54" s="30" customFormat="1" ht="14.4" spans="1:12">
      <c r="A54" s="39" t="s">
        <v>136</v>
      </c>
      <c r="B54" s="20"/>
      <c r="C54" s="18"/>
      <c r="D54" s="18"/>
      <c r="E54" s="23"/>
      <c r="F54" s="23"/>
      <c r="G54" s="23"/>
      <c r="H54" s="23"/>
      <c r="I54" s="181"/>
      <c r="J54" s="181"/>
      <c r="K54" s="181"/>
      <c r="L54" s="181"/>
    </row>
    <row r="55" spans="1:12">
      <c r="A55" s="36">
        <v>43</v>
      </c>
      <c r="B55" s="20" t="s">
        <v>137</v>
      </c>
      <c r="C55" s="20"/>
      <c r="D55" s="20"/>
      <c r="E55" s="23">
        <v>300000</v>
      </c>
      <c r="F55" s="23">
        <v>235000</v>
      </c>
      <c r="G55" s="23">
        <v>190000</v>
      </c>
      <c r="H55" s="23">
        <v>135000</v>
      </c>
      <c r="I55" s="181" t="s">
        <v>147</v>
      </c>
      <c r="J55" s="181"/>
      <c r="K55" s="181"/>
      <c r="L55" s="181"/>
    </row>
    <row r="56" spans="1:12">
      <c r="A56" s="47" t="s">
        <v>205</v>
      </c>
      <c r="B56" s="47"/>
      <c r="C56" s="40"/>
      <c r="D56" s="40"/>
      <c r="E56" s="23" t="s">
        <v>16</v>
      </c>
      <c r="F56" s="23" t="s">
        <v>16</v>
      </c>
      <c r="G56" s="23" t="s">
        <v>16</v>
      </c>
      <c r="H56" s="23" t="s">
        <v>16</v>
      </c>
      <c r="I56" s="181"/>
      <c r="J56" s="181"/>
      <c r="K56" s="181"/>
      <c r="L56" s="181"/>
    </row>
    <row r="57" ht="27.6" spans="1:12">
      <c r="A57" s="36">
        <v>44</v>
      </c>
      <c r="B57" s="20" t="s">
        <v>696</v>
      </c>
      <c r="C57" s="143"/>
      <c r="D57" s="143"/>
      <c r="E57" s="23">
        <v>650000</v>
      </c>
      <c r="F57" s="23">
        <v>320000</v>
      </c>
      <c r="G57" s="23">
        <v>160000</v>
      </c>
      <c r="H57" s="23">
        <v>0</v>
      </c>
      <c r="I57" s="181"/>
      <c r="J57" s="181"/>
      <c r="K57" s="181"/>
      <c r="L57" s="181"/>
    </row>
    <row r="58" spans="1:12">
      <c r="A58" s="47" t="s">
        <v>217</v>
      </c>
      <c r="B58" s="47"/>
      <c r="C58" s="40"/>
      <c r="D58" s="40"/>
      <c r="E58" s="23" t="s">
        <v>16</v>
      </c>
      <c r="F58" s="23" t="s">
        <v>16</v>
      </c>
      <c r="G58" s="23" t="s">
        <v>16</v>
      </c>
      <c r="H58" s="23" t="s">
        <v>16</v>
      </c>
      <c r="I58" s="181"/>
      <c r="J58" s="181"/>
      <c r="K58" s="181"/>
      <c r="L58" s="181"/>
    </row>
    <row r="59" ht="41.4" spans="1:12">
      <c r="A59" s="36">
        <v>45</v>
      </c>
      <c r="B59" s="20" t="s">
        <v>697</v>
      </c>
      <c r="C59" s="143"/>
      <c r="D59" s="143"/>
      <c r="E59" s="23">
        <v>100000</v>
      </c>
      <c r="F59" s="23">
        <v>70000</v>
      </c>
      <c r="G59" s="23">
        <v>0</v>
      </c>
      <c r="H59" s="23">
        <v>0</v>
      </c>
      <c r="I59" s="181"/>
      <c r="J59" s="181"/>
      <c r="K59" s="181"/>
      <c r="L59" s="181"/>
    </row>
    <row r="60" ht="41.4" spans="1:12">
      <c r="A60" s="36">
        <v>46</v>
      </c>
      <c r="B60" s="20" t="s">
        <v>698</v>
      </c>
      <c r="C60" s="143"/>
      <c r="D60" s="143"/>
      <c r="E60" s="23">
        <v>70000</v>
      </c>
      <c r="F60" s="23">
        <v>60000</v>
      </c>
      <c r="G60" s="23">
        <v>0</v>
      </c>
      <c r="H60" s="23">
        <v>0</v>
      </c>
      <c r="I60" s="181"/>
      <c r="J60" s="181"/>
      <c r="K60" s="181"/>
      <c r="L60" s="181"/>
    </row>
    <row r="61" spans="1:12">
      <c r="A61" s="27"/>
      <c r="C61" s="28"/>
      <c r="D61" s="28"/>
      <c r="E61" s="23" t="s">
        <v>16</v>
      </c>
      <c r="F61" s="23" t="s">
        <v>16</v>
      </c>
      <c r="G61" s="23" t="s">
        <v>16</v>
      </c>
      <c r="H61" s="23" t="s">
        <v>16</v>
      </c>
    </row>
    <row r="62" spans="1:12">
      <c r="A62" s="27"/>
      <c r="C62" s="28"/>
      <c r="D62" s="28"/>
      <c r="E62" s="23" t="s">
        <v>16</v>
      </c>
      <c r="F62" s="23" t="s">
        <v>16</v>
      </c>
      <c r="G62" s="23" t="s">
        <v>16</v>
      </c>
      <c r="H62" s="23" t="s">
        <v>16</v>
      </c>
    </row>
    <row r="63" spans="1:12">
      <c r="A63" s="27"/>
      <c r="C63" s="28"/>
      <c r="D63" s="28"/>
      <c r="E63" s="23" t="s">
        <v>16</v>
      </c>
      <c r="F63" s="23" t="s">
        <v>16</v>
      </c>
      <c r="G63" s="23" t="s">
        <v>16</v>
      </c>
      <c r="H63" s="23" t="s">
        <v>16</v>
      </c>
    </row>
    <row r="64" spans="1:12">
      <c r="A64" s="27"/>
      <c r="C64" s="28"/>
      <c r="D64" s="28"/>
      <c r="E64" s="23" t="s">
        <v>16</v>
      </c>
      <c r="F64" s="23" t="s">
        <v>16</v>
      </c>
      <c r="G64" s="23" t="s">
        <v>16</v>
      </c>
      <c r="H64" s="23" t="s">
        <v>16</v>
      </c>
    </row>
    <row r="65" spans="1:8">
      <c r="A65" s="27"/>
      <c r="C65" s="28"/>
      <c r="D65" s="28"/>
      <c r="E65" s="23" t="s">
        <v>16</v>
      </c>
      <c r="F65" s="23" t="s">
        <v>16</v>
      </c>
      <c r="G65" s="23" t="s">
        <v>16</v>
      </c>
      <c r="H65" s="23" t="s">
        <v>16</v>
      </c>
    </row>
    <row r="66" spans="1:8">
      <c r="A66" s="27"/>
      <c r="C66" s="28"/>
      <c r="D66" s="28"/>
      <c r="E66" s="23" t="s">
        <v>16</v>
      </c>
      <c r="F66" s="23" t="s">
        <v>16</v>
      </c>
      <c r="G66" s="23" t="s">
        <v>16</v>
      </c>
      <c r="H66" s="23" t="s">
        <v>16</v>
      </c>
    </row>
    <row r="67" spans="1:8">
      <c r="A67" s="27"/>
      <c r="C67" s="28"/>
      <c r="D67" s="28"/>
      <c r="E67" s="23" t="s">
        <v>16</v>
      </c>
      <c r="F67" s="23" t="s">
        <v>16</v>
      </c>
      <c r="G67" s="23" t="s">
        <v>16</v>
      </c>
      <c r="H67" s="23" t="s">
        <v>16</v>
      </c>
    </row>
    <row r="68" spans="1:8">
      <c r="A68" s="27"/>
      <c r="C68" s="28"/>
      <c r="D68" s="28"/>
      <c r="E68" s="23" t="s">
        <v>16</v>
      </c>
      <c r="F68" s="23" t="s">
        <v>16</v>
      </c>
      <c r="G68" s="23" t="s">
        <v>16</v>
      </c>
      <c r="H68" s="23" t="s">
        <v>16</v>
      </c>
    </row>
    <row r="69" spans="1:8">
      <c r="A69" s="27"/>
      <c r="C69" s="28"/>
      <c r="D69" s="28"/>
      <c r="E69" s="23" t="s">
        <v>16</v>
      </c>
      <c r="F69" s="23" t="s">
        <v>16</v>
      </c>
      <c r="G69" s="23" t="s">
        <v>16</v>
      </c>
      <c r="H69" s="23" t="s">
        <v>16</v>
      </c>
    </row>
    <row r="70" spans="1:8">
      <c r="A70" s="27"/>
      <c r="C70" s="28"/>
      <c r="D70" s="28"/>
      <c r="E70" s="23" t="s">
        <v>16</v>
      </c>
      <c r="F70" s="23" t="s">
        <v>16</v>
      </c>
      <c r="G70" s="23" t="s">
        <v>16</v>
      </c>
      <c r="H70" s="23" t="s">
        <v>16</v>
      </c>
    </row>
    <row r="71" spans="1:8">
      <c r="A71" s="27"/>
      <c r="C71" s="28"/>
      <c r="D71" s="28"/>
      <c r="E71" s="23" t="s">
        <v>16</v>
      </c>
      <c r="F71" s="23" t="s">
        <v>16</v>
      </c>
      <c r="G71" s="23" t="s">
        <v>16</v>
      </c>
      <c r="H71" s="23" t="s">
        <v>16</v>
      </c>
    </row>
    <row r="72" spans="1:8">
      <c r="A72" s="27"/>
      <c r="C72" s="28"/>
      <c r="D72" s="28"/>
      <c r="E72" s="23" t="s">
        <v>16</v>
      </c>
      <c r="F72" s="23" t="s">
        <v>16</v>
      </c>
      <c r="G72" s="23" t="s">
        <v>16</v>
      </c>
      <c r="H72" s="23" t="s">
        <v>16</v>
      </c>
    </row>
    <row r="73" spans="1:8">
      <c r="A73" s="27"/>
      <c r="C73" s="28"/>
      <c r="D73" s="28"/>
      <c r="E73" s="23" t="s">
        <v>16</v>
      </c>
      <c r="F73" s="23" t="s">
        <v>16</v>
      </c>
      <c r="G73" s="23" t="s">
        <v>16</v>
      </c>
      <c r="H73" s="23" t="s">
        <v>16</v>
      </c>
    </row>
    <row r="74" spans="1:8">
      <c r="A74" s="27"/>
      <c r="C74" s="28"/>
      <c r="D74" s="28"/>
      <c r="E74" s="23" t="s">
        <v>16</v>
      </c>
      <c r="F74" s="23" t="s">
        <v>16</v>
      </c>
      <c r="G74" s="23" t="s">
        <v>16</v>
      </c>
      <c r="H74" s="23" t="s">
        <v>16</v>
      </c>
    </row>
    <row r="75" spans="1:8">
      <c r="A75" s="27"/>
      <c r="C75" s="28"/>
      <c r="D75" s="28"/>
      <c r="E75" s="23" t="s">
        <v>16</v>
      </c>
      <c r="F75" s="23" t="s">
        <v>16</v>
      </c>
      <c r="G75" s="23" t="s">
        <v>16</v>
      </c>
      <c r="H75" s="23" t="s">
        <v>16</v>
      </c>
    </row>
    <row r="76" spans="1:8">
      <c r="A76" s="27"/>
      <c r="C76" s="28"/>
      <c r="D76" s="28"/>
      <c r="E76" s="23" t="s">
        <v>16</v>
      </c>
      <c r="F76" s="23" t="s">
        <v>16</v>
      </c>
      <c r="G76" s="23" t="s">
        <v>16</v>
      </c>
      <c r="H76" s="23" t="s">
        <v>16</v>
      </c>
    </row>
    <row r="77" spans="1:8">
      <c r="A77" s="27"/>
      <c r="C77" s="28"/>
      <c r="D77" s="28"/>
      <c r="E77" s="23" t="s">
        <v>16</v>
      </c>
      <c r="F77" s="23" t="s">
        <v>16</v>
      </c>
      <c r="G77" s="23" t="s">
        <v>16</v>
      </c>
      <c r="H77" s="23" t="s">
        <v>16</v>
      </c>
    </row>
    <row r="78" spans="1:8">
      <c r="A78" s="27"/>
      <c r="C78" s="28"/>
      <c r="D78" s="28"/>
      <c r="E78" s="23" t="s">
        <v>16</v>
      </c>
      <c r="F78" s="23" t="s">
        <v>16</v>
      </c>
      <c r="G78" s="23" t="s">
        <v>16</v>
      </c>
      <c r="H78" s="23" t="s">
        <v>16</v>
      </c>
    </row>
    <row r="79" spans="1:8">
      <c r="A79" s="27"/>
      <c r="C79" s="28"/>
      <c r="D79" s="28"/>
      <c r="E79" s="23" t="s">
        <v>16</v>
      </c>
      <c r="F79" s="23" t="s">
        <v>16</v>
      </c>
      <c r="G79" s="23" t="s">
        <v>16</v>
      </c>
      <c r="H79" s="23" t="s">
        <v>16</v>
      </c>
    </row>
    <row r="80" spans="1:8">
      <c r="A80" s="27"/>
      <c r="C80" s="28"/>
      <c r="D80" s="28"/>
      <c r="E80" s="23" t="s">
        <v>16</v>
      </c>
      <c r="F80" s="23" t="s">
        <v>16</v>
      </c>
      <c r="G80" s="23" t="s">
        <v>16</v>
      </c>
      <c r="H80" s="23" t="s">
        <v>16</v>
      </c>
    </row>
    <row r="81" spans="1:8">
      <c r="A81" s="27"/>
      <c r="C81" s="28"/>
      <c r="D81" s="28"/>
      <c r="E81" s="23" t="s">
        <v>16</v>
      </c>
      <c r="F81" s="23" t="s">
        <v>16</v>
      </c>
      <c r="G81" s="23" t="s">
        <v>16</v>
      </c>
      <c r="H81" s="23" t="s">
        <v>16</v>
      </c>
    </row>
    <row r="82" spans="1:8">
      <c r="A82" s="27"/>
      <c r="C82" s="28"/>
      <c r="D82" s="28"/>
      <c r="E82" s="23" t="s">
        <v>16</v>
      </c>
      <c r="F82" s="23" t="s">
        <v>16</v>
      </c>
      <c r="G82" s="23" t="s">
        <v>16</v>
      </c>
      <c r="H82" s="23" t="s">
        <v>16</v>
      </c>
    </row>
    <row r="83" spans="1:8">
      <c r="A83" s="27"/>
      <c r="C83" s="28"/>
      <c r="D83" s="28"/>
      <c r="E83" s="23" t="s">
        <v>16</v>
      </c>
      <c r="F83" s="23" t="s">
        <v>16</v>
      </c>
      <c r="G83" s="23" t="s">
        <v>16</v>
      </c>
      <c r="H83" s="23" t="s">
        <v>16</v>
      </c>
    </row>
    <row r="84" spans="1:8">
      <c r="A84" s="27"/>
      <c r="C84" s="28"/>
      <c r="D84" s="28"/>
      <c r="E84" s="23" t="s">
        <v>16</v>
      </c>
      <c r="F84" s="23" t="s">
        <v>16</v>
      </c>
      <c r="G84" s="23" t="s">
        <v>16</v>
      </c>
      <c r="H84" s="23" t="s">
        <v>16</v>
      </c>
    </row>
    <row r="85" spans="1:8">
      <c r="A85" s="27"/>
      <c r="C85" s="28"/>
      <c r="D85" s="28"/>
      <c r="E85" s="23" t="s">
        <v>16</v>
      </c>
      <c r="F85" s="23" t="s">
        <v>16</v>
      </c>
      <c r="G85" s="23" t="s">
        <v>16</v>
      </c>
      <c r="H85" s="23" t="s">
        <v>16</v>
      </c>
    </row>
    <row r="86" spans="1:8">
      <c r="A86" s="27"/>
      <c r="C86" s="28"/>
      <c r="D86" s="28"/>
      <c r="E86" s="23" t="s">
        <v>16</v>
      </c>
      <c r="F86" s="23" t="s">
        <v>16</v>
      </c>
      <c r="G86" s="23" t="s">
        <v>16</v>
      </c>
      <c r="H86" s="23" t="s">
        <v>16</v>
      </c>
    </row>
    <row r="87" spans="1:8">
      <c r="A87" s="27"/>
      <c r="C87" s="28"/>
      <c r="D87" s="28"/>
      <c r="E87" s="23" t="s">
        <v>16</v>
      </c>
      <c r="F87" s="23" t="s">
        <v>16</v>
      </c>
      <c r="G87" s="23" t="s">
        <v>16</v>
      </c>
      <c r="H87" s="23" t="s">
        <v>16</v>
      </c>
    </row>
    <row r="88" spans="1:8">
      <c r="A88" s="27"/>
      <c r="C88" s="28"/>
      <c r="D88" s="28"/>
      <c r="E88" s="23" t="s">
        <v>16</v>
      </c>
      <c r="F88" s="23" t="s">
        <v>16</v>
      </c>
      <c r="G88" s="23" t="s">
        <v>16</v>
      </c>
      <c r="H88" s="23" t="s">
        <v>16</v>
      </c>
    </row>
    <row r="89" spans="1:8">
      <c r="A89" s="27"/>
      <c r="C89" s="28"/>
      <c r="D89" s="28"/>
      <c r="E89" s="23" t="s">
        <v>16</v>
      </c>
      <c r="F89" s="23" t="s">
        <v>16</v>
      </c>
      <c r="G89" s="23" t="s">
        <v>16</v>
      </c>
      <c r="H89" s="23" t="s">
        <v>16</v>
      </c>
    </row>
    <row r="90" spans="1:8">
      <c r="A90" s="27"/>
      <c r="C90" s="28"/>
      <c r="D90" s="2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c r="F179" s="23"/>
      <c r="G179" s="23"/>
      <c r="H179" s="23"/>
    </row>
    <row r="180" spans="1:8">
      <c r="A180" s="27"/>
      <c r="C180" s="28"/>
      <c r="D180" s="28"/>
      <c r="E180" s="23"/>
      <c r="F180" s="23"/>
      <c r="G180" s="23"/>
      <c r="H180" s="23"/>
    </row>
    <row r="181" spans="1:8">
      <c r="A181" s="27"/>
      <c r="C181" s="28"/>
      <c r="D181" s="28"/>
      <c r="E181" s="23"/>
      <c r="F181" s="23"/>
      <c r="G181" s="23"/>
      <c r="H181" s="23"/>
    </row>
    <row r="182" spans="1:8">
      <c r="A182" s="27"/>
      <c r="C182" s="28"/>
      <c r="D182" s="28"/>
      <c r="E182" s="23"/>
      <c r="F182" s="23"/>
      <c r="G182" s="23"/>
      <c r="H182" s="23"/>
    </row>
    <row r="183" spans="1:8">
      <c r="A183" s="27"/>
      <c r="C183" s="28"/>
      <c r="D183" s="28"/>
      <c r="E183" s="23"/>
      <c r="F183" s="23"/>
      <c r="G183" s="23"/>
      <c r="H183" s="23"/>
    </row>
    <row r="184" spans="1:8">
      <c r="A184" s="27"/>
      <c r="C184" s="28"/>
      <c r="D184" s="28"/>
      <c r="E184" s="23"/>
      <c r="F184" s="23"/>
      <c r="G184" s="23"/>
      <c r="H184" s="23"/>
    </row>
    <row r="185" spans="1:8">
      <c r="A185" s="27"/>
      <c r="C185" s="28"/>
      <c r="D185" s="28"/>
      <c r="E185" s="23"/>
      <c r="F185" s="23"/>
      <c r="G185" s="23"/>
      <c r="H185" s="23"/>
    </row>
    <row r="186" spans="1:8">
      <c r="A186" s="27"/>
      <c r="C186" s="28"/>
      <c r="D186" s="28"/>
      <c r="E186" s="23"/>
      <c r="F186" s="23"/>
      <c r="G186" s="23"/>
      <c r="H186" s="23"/>
    </row>
    <row r="187" spans="1:8">
      <c r="A187" s="27"/>
      <c r="C187" s="28"/>
      <c r="D187" s="28"/>
      <c r="E187" s="23"/>
      <c r="F187" s="23"/>
      <c r="G187" s="23"/>
      <c r="H187" s="23"/>
    </row>
    <row r="188" spans="1:8">
      <c r="A188" s="27"/>
      <c r="C188" s="28"/>
      <c r="D188" s="28"/>
      <c r="E188" s="23"/>
      <c r="F188" s="23"/>
      <c r="G188" s="23"/>
      <c r="H188" s="23"/>
    </row>
    <row r="189" spans="1:8">
      <c r="A189" s="27"/>
      <c r="C189" s="28"/>
      <c r="D189" s="28"/>
      <c r="E189" s="23"/>
      <c r="F189" s="23"/>
      <c r="G189" s="23"/>
      <c r="H189" s="23"/>
    </row>
    <row r="190" spans="1:8">
      <c r="A190" s="27"/>
      <c r="C190" s="28"/>
      <c r="D190" s="28"/>
      <c r="E190" s="23"/>
      <c r="F190" s="23"/>
      <c r="G190" s="23"/>
      <c r="H190" s="23"/>
    </row>
    <row r="191" spans="1:8">
      <c r="A191" s="27"/>
      <c r="C191" s="28"/>
      <c r="D191" s="28"/>
      <c r="E191" s="23"/>
      <c r="F191" s="23"/>
      <c r="G191" s="23"/>
      <c r="H191" s="23"/>
    </row>
    <row r="192" spans="1:8">
      <c r="A192" s="27"/>
      <c r="C192" s="28"/>
      <c r="D192" s="28"/>
      <c r="E192" s="23"/>
      <c r="F192" s="23"/>
      <c r="G192" s="23"/>
      <c r="H192" s="23"/>
    </row>
    <row r="193" spans="1:8">
      <c r="A193" s="27"/>
      <c r="C193" s="28"/>
      <c r="D193" s="28"/>
      <c r="E193" s="23"/>
      <c r="F193" s="23"/>
      <c r="G193" s="23"/>
      <c r="H193" s="23"/>
    </row>
    <row r="194" spans="1:8">
      <c r="A194" s="27"/>
      <c r="C194" s="28"/>
      <c r="D194" s="28"/>
      <c r="E194" s="23"/>
      <c r="F194" s="23"/>
      <c r="G194" s="23"/>
      <c r="H194" s="23"/>
    </row>
    <row r="195" spans="1:8">
      <c r="A195" s="27"/>
      <c r="C195" s="28"/>
      <c r="D195" s="28"/>
      <c r="E195" s="23"/>
      <c r="F195" s="23"/>
      <c r="G195" s="23"/>
      <c r="H195" s="23"/>
    </row>
    <row r="196" spans="1:8">
      <c r="A196" s="27"/>
      <c r="C196" s="28"/>
      <c r="D196" s="28"/>
      <c r="E196" s="23"/>
      <c r="F196" s="23"/>
      <c r="G196" s="23"/>
      <c r="H196" s="23"/>
    </row>
    <row r="197" spans="1:8">
      <c r="A197" s="27"/>
      <c r="C197" s="28"/>
      <c r="D197" s="28"/>
      <c r="E197" s="23"/>
      <c r="F197" s="23"/>
      <c r="G197" s="23"/>
      <c r="H197" s="23"/>
    </row>
    <row r="198" spans="1:8">
      <c r="A198" s="27"/>
      <c r="C198" s="28"/>
      <c r="D198" s="28"/>
      <c r="E198" s="23"/>
      <c r="F198" s="23"/>
      <c r="G198" s="23"/>
      <c r="H198" s="23"/>
    </row>
    <row r="199" spans="1:8">
      <c r="A199" s="27"/>
      <c r="C199" s="28"/>
      <c r="D199" s="28"/>
      <c r="E199" s="23"/>
      <c r="F199" s="23"/>
      <c r="G199" s="23"/>
      <c r="H199" s="23"/>
    </row>
    <row r="200" spans="1:8">
      <c r="A200" s="27"/>
      <c r="C200" s="28"/>
      <c r="D200" s="28"/>
      <c r="E200" s="23"/>
      <c r="F200" s="23"/>
      <c r="G200" s="23"/>
      <c r="H200" s="23"/>
    </row>
    <row r="201" spans="1:8">
      <c r="A201" s="27"/>
      <c r="C201" s="28"/>
      <c r="D201" s="28"/>
      <c r="E201" s="23"/>
      <c r="F201" s="23"/>
      <c r="G201" s="23"/>
      <c r="H201" s="23"/>
    </row>
    <row r="202" spans="1:8">
      <c r="A202" s="27"/>
      <c r="C202" s="28"/>
      <c r="D202" s="28"/>
      <c r="E202" s="23"/>
      <c r="F202" s="23"/>
      <c r="G202" s="23"/>
      <c r="H202" s="23"/>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row r="860" spans="1:8">
      <c r="A860" s="27"/>
      <c r="C860" s="28"/>
      <c r="D860" s="28"/>
      <c r="E860" s="50"/>
      <c r="F860" s="50"/>
      <c r="G860" s="50"/>
      <c r="H860" s="50"/>
    </row>
    <row r="861" spans="1:8">
      <c r="A861" s="27"/>
      <c r="C861" s="28"/>
      <c r="D861" s="28"/>
      <c r="E861" s="50"/>
      <c r="F861" s="50"/>
      <c r="G861" s="50"/>
      <c r="H861" s="50"/>
    </row>
    <row r="862" spans="1:8">
      <c r="A862" s="27"/>
      <c r="C862" s="28"/>
      <c r="D862" s="28"/>
      <c r="E862" s="50"/>
      <c r="F862" s="50"/>
      <c r="G862" s="50"/>
      <c r="H862" s="50"/>
    </row>
    <row r="863" spans="1:8">
      <c r="A863" s="27"/>
      <c r="C863" s="28"/>
      <c r="D863" s="28"/>
      <c r="E863" s="50"/>
      <c r="F863" s="50"/>
      <c r="G863" s="50"/>
      <c r="H863" s="50"/>
    </row>
    <row r="864" spans="1:8">
      <c r="A864" s="27"/>
      <c r="C864" s="28"/>
      <c r="D864" s="28"/>
      <c r="E864" s="50"/>
      <c r="F864" s="50"/>
      <c r="G864" s="50"/>
      <c r="H864" s="50"/>
    </row>
    <row r="865" spans="1:8">
      <c r="A865" s="27"/>
      <c r="C865" s="28"/>
      <c r="D865" s="28"/>
      <c r="E865" s="50"/>
      <c r="F865" s="50"/>
      <c r="G865" s="50"/>
      <c r="H865" s="50"/>
    </row>
    <row r="866" spans="1:8">
      <c r="A866" s="27"/>
      <c r="C866" s="28"/>
      <c r="D866" s="28"/>
      <c r="E866" s="50"/>
      <c r="F866" s="50"/>
      <c r="G866" s="50"/>
      <c r="H866" s="50"/>
    </row>
    <row r="867" spans="1:8">
      <c r="A867" s="27"/>
      <c r="C867" s="28"/>
      <c r="D867" s="28"/>
      <c r="E867" s="50"/>
      <c r="F867" s="50"/>
      <c r="G867" s="50"/>
      <c r="H867" s="50"/>
    </row>
    <row r="868" spans="1:8">
      <c r="A868" s="27"/>
      <c r="C868" s="28"/>
      <c r="D868" s="28"/>
      <c r="E868" s="50"/>
      <c r="F868" s="50"/>
      <c r="G868" s="50"/>
      <c r="H868" s="50"/>
    </row>
    <row r="869" spans="1:8">
      <c r="A869" s="27"/>
      <c r="C869" s="28"/>
      <c r="D869" s="28"/>
      <c r="E869" s="50"/>
      <c r="F869" s="50"/>
      <c r="G869" s="50"/>
      <c r="H869" s="50"/>
    </row>
    <row r="870" spans="1:8">
      <c r="A870" s="27"/>
      <c r="C870" s="28"/>
      <c r="D870" s="28"/>
      <c r="E870" s="50"/>
      <c r="F870" s="50"/>
      <c r="G870" s="50"/>
      <c r="H870" s="50"/>
    </row>
    <row r="871" spans="1:8">
      <c r="A871" s="27"/>
      <c r="C871" s="28"/>
      <c r="D871" s="28"/>
      <c r="E871" s="50"/>
      <c r="F871" s="50"/>
      <c r="G871" s="50"/>
      <c r="H871" s="50"/>
    </row>
    <row r="872" spans="1:8">
      <c r="A872" s="27"/>
      <c r="C872" s="28"/>
      <c r="D872" s="28"/>
      <c r="E872" s="50"/>
      <c r="F872" s="50"/>
      <c r="G872" s="50"/>
      <c r="H872" s="50"/>
    </row>
    <row r="873" spans="1:8">
      <c r="A873" s="27"/>
      <c r="C873" s="28"/>
      <c r="D873" s="28"/>
      <c r="E873" s="50"/>
      <c r="F873" s="50"/>
      <c r="G873" s="50"/>
      <c r="H873" s="50"/>
    </row>
    <row r="874" spans="1:8">
      <c r="A874" s="27"/>
      <c r="C874" s="28"/>
      <c r="D874" s="28"/>
      <c r="E874" s="50"/>
      <c r="F874" s="50"/>
      <c r="G874" s="50"/>
      <c r="H874" s="50"/>
    </row>
    <row r="875" spans="1:8">
      <c r="A875" s="27"/>
      <c r="C875" s="28"/>
      <c r="D875" s="28"/>
      <c r="E875" s="50"/>
      <c r="F875" s="50"/>
      <c r="G875" s="50"/>
      <c r="H875" s="50"/>
    </row>
    <row r="876" spans="1:8">
      <c r="A876" s="27"/>
      <c r="C876" s="28"/>
      <c r="D876" s="28"/>
      <c r="E876" s="50"/>
      <c r="F876" s="50"/>
      <c r="G876" s="50"/>
      <c r="H876" s="50"/>
    </row>
    <row r="877" spans="1:8">
      <c r="A877" s="27"/>
      <c r="C877" s="28"/>
      <c r="D877" s="28"/>
      <c r="E877" s="50"/>
      <c r="F877" s="50"/>
      <c r="G877" s="50"/>
      <c r="H877" s="50"/>
    </row>
    <row r="878" spans="1:8">
      <c r="A878" s="27"/>
      <c r="C878" s="28"/>
      <c r="D878" s="28"/>
      <c r="E878" s="50"/>
      <c r="F878" s="50"/>
      <c r="G878" s="50"/>
      <c r="H878" s="50"/>
    </row>
    <row r="879" spans="1:8">
      <c r="A879" s="27"/>
      <c r="C879" s="28"/>
      <c r="D879" s="28"/>
      <c r="E879" s="50"/>
      <c r="F879" s="50"/>
      <c r="G879" s="50"/>
      <c r="H879" s="50"/>
    </row>
    <row r="880" spans="1:8">
      <c r="A880" s="27"/>
      <c r="C880" s="28"/>
      <c r="D880" s="28"/>
      <c r="E880" s="50"/>
      <c r="F880" s="50"/>
      <c r="G880" s="50"/>
      <c r="H880" s="50"/>
    </row>
    <row r="881" spans="1:8">
      <c r="A881" s="27"/>
      <c r="C881" s="28"/>
      <c r="D881" s="28"/>
      <c r="E881" s="50"/>
      <c r="F881" s="50"/>
      <c r="G881" s="50"/>
      <c r="H881" s="50"/>
    </row>
    <row r="882" spans="1:8">
      <c r="A882" s="27"/>
      <c r="C882" s="28"/>
      <c r="D882" s="28"/>
      <c r="E882" s="50"/>
      <c r="F882" s="50"/>
      <c r="G882" s="50"/>
      <c r="H882" s="50"/>
    </row>
    <row r="883" spans="1:8">
      <c r="A883" s="27"/>
      <c r="C883" s="28"/>
      <c r="D883" s="28"/>
      <c r="E883" s="50"/>
      <c r="F883" s="50"/>
      <c r="G883" s="50"/>
      <c r="H883" s="50"/>
    </row>
    <row r="884" spans="1:8">
      <c r="A884" s="27"/>
      <c r="C884" s="28"/>
      <c r="D884" s="28"/>
      <c r="E884" s="50"/>
      <c r="F884" s="50"/>
      <c r="G884" s="50"/>
      <c r="H884" s="50"/>
    </row>
    <row r="885" spans="1:8">
      <c r="A885" s="27"/>
      <c r="C885" s="28"/>
      <c r="D885" s="28"/>
      <c r="E885" s="50"/>
      <c r="F885" s="50"/>
      <c r="G885" s="50"/>
      <c r="H885" s="50"/>
    </row>
    <row r="886" spans="1:8">
      <c r="A886" s="27"/>
      <c r="C886" s="28"/>
      <c r="D886" s="28"/>
      <c r="E886" s="50"/>
      <c r="F886" s="50"/>
      <c r="G886" s="50"/>
      <c r="H886" s="50"/>
    </row>
    <row r="887" spans="1:8">
      <c r="A887" s="27"/>
      <c r="C887" s="28"/>
      <c r="D887" s="28"/>
      <c r="E887" s="50"/>
      <c r="F887" s="50"/>
      <c r="G887" s="50"/>
      <c r="H887" s="50"/>
    </row>
    <row r="888" spans="1:8">
      <c r="A888" s="27"/>
      <c r="C888" s="28"/>
      <c r="D888" s="28"/>
      <c r="E888" s="50"/>
      <c r="F888" s="50"/>
      <c r="G888" s="50"/>
      <c r="H888" s="50"/>
    </row>
    <row r="889" spans="1:8">
      <c r="A889" s="27"/>
      <c r="C889" s="28"/>
      <c r="D889" s="28"/>
      <c r="E889" s="50"/>
      <c r="F889" s="50"/>
      <c r="G889" s="50"/>
      <c r="H889" s="50"/>
    </row>
    <row r="890" spans="1:8">
      <c r="A890" s="27"/>
      <c r="C890" s="28"/>
      <c r="D890" s="28"/>
      <c r="E890" s="50"/>
      <c r="F890" s="50"/>
      <c r="G890" s="50"/>
      <c r="H890" s="50"/>
    </row>
    <row r="891" spans="1:8">
      <c r="A891" s="27"/>
      <c r="C891" s="28"/>
      <c r="D891" s="28"/>
      <c r="E891" s="50"/>
      <c r="F891" s="50"/>
      <c r="G891" s="50"/>
      <c r="H891" s="50"/>
    </row>
    <row r="892" spans="1:8">
      <c r="A892" s="27"/>
      <c r="C892" s="28"/>
      <c r="D892" s="28"/>
      <c r="E892" s="50"/>
      <c r="F892" s="50"/>
      <c r="G892" s="50"/>
      <c r="H892" s="50"/>
    </row>
    <row r="893" spans="1:8">
      <c r="A893" s="27"/>
      <c r="C893" s="28"/>
      <c r="D893" s="28"/>
      <c r="E893" s="50"/>
      <c r="F893" s="50"/>
      <c r="G893" s="50"/>
      <c r="H893" s="50"/>
    </row>
    <row r="894" spans="1:8">
      <c r="A894" s="27"/>
      <c r="C894" s="28"/>
      <c r="D894" s="28"/>
      <c r="E894" s="50"/>
      <c r="F894" s="50"/>
      <c r="G894" s="50"/>
      <c r="H894" s="50"/>
    </row>
    <row r="895" spans="1:8">
      <c r="A895" s="27"/>
      <c r="C895" s="28"/>
      <c r="D895" s="28"/>
      <c r="E895" s="50"/>
      <c r="F895" s="50"/>
      <c r="G895" s="50"/>
      <c r="H895" s="50"/>
    </row>
    <row r="896" spans="1:8">
      <c r="A896" s="27"/>
      <c r="C896" s="28"/>
      <c r="D896" s="28"/>
      <c r="E896" s="50"/>
      <c r="F896" s="50"/>
      <c r="G896" s="50"/>
      <c r="H896" s="50"/>
    </row>
    <row r="897" spans="1:8">
      <c r="A897" s="27"/>
      <c r="C897" s="28"/>
      <c r="D897" s="28"/>
      <c r="E897" s="50"/>
      <c r="F897" s="50"/>
      <c r="G897" s="50"/>
      <c r="H897" s="50"/>
    </row>
    <row r="898" spans="1:8">
      <c r="A898" s="27"/>
      <c r="C898" s="28"/>
      <c r="D898" s="28"/>
      <c r="E898" s="50"/>
      <c r="F898" s="50"/>
      <c r="G898" s="50"/>
      <c r="H898" s="50"/>
    </row>
    <row r="899" spans="1:8">
      <c r="A899" s="27"/>
      <c r="C899" s="28"/>
      <c r="D899" s="28"/>
      <c r="E899" s="50"/>
      <c r="F899" s="50"/>
      <c r="G899" s="50"/>
      <c r="H899" s="50"/>
    </row>
    <row r="900" spans="1:8">
      <c r="A900" s="27"/>
      <c r="C900" s="28"/>
      <c r="D900" s="28"/>
      <c r="E900" s="50"/>
      <c r="F900" s="50"/>
      <c r="G900" s="50"/>
      <c r="H900" s="50"/>
    </row>
    <row r="901" spans="1:8">
      <c r="A901" s="27"/>
      <c r="C901" s="28"/>
      <c r="D901" s="28"/>
      <c r="E901" s="50"/>
      <c r="F901" s="50"/>
      <c r="G901" s="50"/>
      <c r="H901" s="50"/>
    </row>
    <row r="902" spans="1:8">
      <c r="A902" s="27"/>
      <c r="C902" s="28"/>
      <c r="D902" s="28"/>
      <c r="E902" s="50"/>
      <c r="F902" s="50"/>
      <c r="G902" s="50"/>
      <c r="H902" s="50"/>
    </row>
    <row r="903" spans="1:8">
      <c r="A903" s="27"/>
      <c r="C903" s="28"/>
      <c r="D903" s="28"/>
      <c r="E903" s="50"/>
      <c r="F903" s="50"/>
      <c r="G903" s="50"/>
      <c r="H903" s="50"/>
    </row>
    <row r="904" spans="1:8">
      <c r="A904" s="27"/>
      <c r="C904" s="28"/>
      <c r="D904" s="28"/>
      <c r="E904" s="50"/>
      <c r="F904" s="50"/>
      <c r="G904" s="50"/>
      <c r="H904" s="50"/>
    </row>
    <row r="905" spans="1:8">
      <c r="A905" s="27"/>
      <c r="C905" s="28"/>
      <c r="D905" s="28"/>
      <c r="E905" s="50"/>
      <c r="F905" s="50"/>
      <c r="G905" s="50"/>
      <c r="H905" s="50"/>
    </row>
    <row r="906" spans="1:8">
      <c r="A906" s="27"/>
      <c r="C906" s="28"/>
      <c r="D906" s="28"/>
      <c r="E906" s="50"/>
      <c r="F906" s="50"/>
      <c r="G906" s="50"/>
      <c r="H906" s="50"/>
    </row>
    <row r="907" spans="1:8">
      <c r="A907" s="27"/>
      <c r="C907" s="28"/>
      <c r="D907" s="28"/>
      <c r="E907" s="50"/>
      <c r="F907" s="50"/>
      <c r="G907" s="50"/>
      <c r="H907" s="50"/>
    </row>
    <row r="908" spans="1:8">
      <c r="A908" s="27"/>
      <c r="C908" s="28"/>
      <c r="D908" s="28"/>
      <c r="E908" s="50"/>
      <c r="F908" s="50"/>
      <c r="G908" s="50"/>
      <c r="H908" s="50"/>
    </row>
    <row r="909" spans="1:8">
      <c r="A909" s="27"/>
      <c r="C909" s="28"/>
      <c r="D909" s="28"/>
      <c r="E909" s="50"/>
      <c r="F909" s="50"/>
      <c r="G909" s="50"/>
      <c r="H909" s="50"/>
    </row>
    <row r="910" spans="1:8">
      <c r="A910" s="27"/>
      <c r="C910" s="28"/>
      <c r="D910" s="28"/>
      <c r="E910" s="50"/>
      <c r="F910" s="50"/>
      <c r="G910" s="50"/>
      <c r="H910" s="50"/>
    </row>
    <row r="911" spans="1:8">
      <c r="A911" s="27"/>
      <c r="C911" s="28"/>
      <c r="D911" s="28"/>
      <c r="E911" s="50"/>
      <c r="F911" s="50"/>
      <c r="G911" s="50"/>
      <c r="H911" s="50"/>
    </row>
    <row r="912" spans="1:8">
      <c r="A912" s="27"/>
      <c r="C912" s="28"/>
      <c r="D912" s="28"/>
      <c r="E912" s="50"/>
      <c r="F912" s="50"/>
      <c r="G912" s="50"/>
      <c r="H912" s="50"/>
    </row>
    <row r="913" spans="1:8">
      <c r="A913" s="27"/>
      <c r="C913" s="28"/>
      <c r="D913" s="28"/>
      <c r="E913" s="50"/>
      <c r="F913" s="50"/>
      <c r="G913" s="50"/>
      <c r="H913" s="50"/>
    </row>
    <row r="914" spans="1:8">
      <c r="A914" s="27"/>
      <c r="C914" s="28"/>
      <c r="D914" s="28"/>
      <c r="E914" s="50"/>
      <c r="F914" s="50"/>
      <c r="G914" s="50"/>
      <c r="H914" s="50"/>
    </row>
    <row r="915" spans="1:8">
      <c r="A915" s="27"/>
      <c r="C915" s="28"/>
      <c r="D915" s="28"/>
      <c r="E915" s="50"/>
      <c r="F915" s="50"/>
      <c r="G915" s="50"/>
      <c r="H915" s="50"/>
    </row>
  </sheetData>
  <autoFilter xmlns:etc="http://www.wps.cn/officeDocument/2017/etCustomData" ref="A5:L178" etc:filterBottomFollowUsedRange="0">
    <sortState ref="A5:L178">
      <sortCondition ref="B5:B177"/>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B0F0"/>
    <pageSetUpPr fitToPage="1"/>
  </sheetPr>
  <dimension ref="A1:I686"/>
  <sheetViews>
    <sheetView showGridLines="0" view="pageBreakPreview" zoomScale="90" zoomScaleNormal="100" workbookViewId="0">
      <selection activeCell="E27" sqref="E27"/>
    </sheetView>
  </sheetViews>
  <sheetFormatPr defaultColWidth="9.12962962962963" defaultRowHeight="13.8"/>
  <cols>
    <col min="1" max="1" width="7.62962962962963" style="1" customWidth="1"/>
    <col min="2" max="2" width="39.5" style="27" customWidth="1"/>
    <col min="3" max="4" width="30.75" style="28" customWidth="1"/>
    <col min="5" max="8" width="13.8796296296296" style="45" customWidth="1"/>
    <col min="9" max="16384" width="9.12962962962963" style="31"/>
  </cols>
  <sheetData>
    <row r="1" spans="1:9">
      <c r="A1" s="6" t="s">
        <v>699</v>
      </c>
      <c r="B1" s="6"/>
      <c r="C1" s="7"/>
      <c r="D1" s="7"/>
      <c r="E1" s="6"/>
      <c r="F1" s="6"/>
      <c r="G1" s="6"/>
      <c r="H1" s="6"/>
    </row>
    <row r="2" spans="1:9">
      <c r="A2" s="8" t="s">
        <v>4</v>
      </c>
      <c r="B2" s="8"/>
      <c r="C2" s="8"/>
      <c r="D2" s="8"/>
      <c r="E2" s="34"/>
      <c r="F2" s="34"/>
      <c r="G2" s="34"/>
      <c r="H2" s="34"/>
    </row>
    <row r="3" spans="1:9">
      <c r="A3" s="9" t="s">
        <v>5</v>
      </c>
      <c r="B3" s="9" t="s">
        <v>6</v>
      </c>
      <c r="C3" s="9" t="s">
        <v>7</v>
      </c>
      <c r="D3" s="9"/>
      <c r="E3" s="10" t="s">
        <v>8</v>
      </c>
      <c r="F3" s="10"/>
      <c r="G3" s="10"/>
      <c r="H3" s="10"/>
    </row>
    <row r="4" spans="1:9">
      <c r="A4" s="11"/>
      <c r="B4" s="11"/>
      <c r="C4" s="9" t="s">
        <v>9</v>
      </c>
      <c r="D4" s="9" t="s">
        <v>10</v>
      </c>
      <c r="E4" s="10" t="s">
        <v>11</v>
      </c>
      <c r="F4" s="10" t="s">
        <v>12</v>
      </c>
      <c r="G4" s="10" t="s">
        <v>13</v>
      </c>
      <c r="H4" s="10" t="s">
        <v>14</v>
      </c>
    </row>
    <row r="5" spans="1:9">
      <c r="A5" s="13" t="s">
        <v>15</v>
      </c>
      <c r="B5" s="13"/>
      <c r="C5" s="15"/>
      <c r="D5" s="15"/>
      <c r="E5" s="10" t="s">
        <v>16</v>
      </c>
      <c r="F5" s="10" t="s">
        <v>16</v>
      </c>
      <c r="G5" s="10" t="s">
        <v>16</v>
      </c>
      <c r="H5" s="10" t="s">
        <v>16</v>
      </c>
      <c r="I5" s="31">
        <f>COUNT(E6:E49)</f>
        <v>43</v>
      </c>
    </row>
    <row r="6" spans="1:9">
      <c r="A6" s="16">
        <v>1</v>
      </c>
      <c r="B6" s="20" t="s">
        <v>700</v>
      </c>
      <c r="C6" s="18" t="s">
        <v>229</v>
      </c>
      <c r="D6" s="18" t="s">
        <v>701</v>
      </c>
      <c r="E6" s="91">
        <v>1000000</v>
      </c>
      <c r="F6" s="21">
        <v>550000</v>
      </c>
      <c r="G6" s="21">
        <v>380000</v>
      </c>
      <c r="H6" s="21">
        <v>245000</v>
      </c>
    </row>
    <row r="7" ht="27.6" spans="1:9">
      <c r="A7" s="16">
        <f t="shared" ref="A7:A11" si="0">A6+1</f>
        <v>2</v>
      </c>
      <c r="B7" s="20" t="s">
        <v>702</v>
      </c>
      <c r="C7" s="18" t="s">
        <v>703</v>
      </c>
      <c r="D7" s="18" t="s">
        <v>704</v>
      </c>
      <c r="E7" s="91">
        <v>1600000</v>
      </c>
      <c r="F7" s="21">
        <v>850000</v>
      </c>
      <c r="G7" s="21">
        <v>600000</v>
      </c>
      <c r="H7" s="21">
        <v>365000</v>
      </c>
    </row>
    <row r="8" ht="27.6" spans="1:9">
      <c r="A8" s="16"/>
      <c r="B8" s="20" t="s">
        <v>702</v>
      </c>
      <c r="C8" s="18" t="s">
        <v>704</v>
      </c>
      <c r="D8" s="18" t="s">
        <v>705</v>
      </c>
      <c r="E8" s="91">
        <v>2300000</v>
      </c>
      <c r="F8" s="21">
        <v>1200000</v>
      </c>
      <c r="G8" s="21">
        <v>850000</v>
      </c>
      <c r="H8" s="21">
        <v>550000</v>
      </c>
    </row>
    <row r="9" spans="1:9">
      <c r="A9" s="16">
        <f>A7+1</f>
        <v>3</v>
      </c>
      <c r="B9" s="20" t="s">
        <v>706</v>
      </c>
      <c r="C9" s="18" t="s">
        <v>707</v>
      </c>
      <c r="D9" s="18" t="s">
        <v>708</v>
      </c>
      <c r="E9" s="23">
        <v>1500000</v>
      </c>
      <c r="F9" s="23">
        <v>800000</v>
      </c>
      <c r="G9" s="23">
        <v>550000</v>
      </c>
      <c r="H9" s="23">
        <v>350000</v>
      </c>
    </row>
    <row r="10" spans="1:9">
      <c r="A10" s="16">
        <f t="shared" si="0"/>
        <v>4</v>
      </c>
      <c r="B10" s="20" t="s">
        <v>707</v>
      </c>
      <c r="C10" s="18" t="s">
        <v>709</v>
      </c>
      <c r="D10" s="18" t="s">
        <v>710</v>
      </c>
      <c r="E10" s="23">
        <v>1600000</v>
      </c>
      <c r="F10" s="23">
        <v>850000</v>
      </c>
      <c r="G10" s="23">
        <v>600000</v>
      </c>
      <c r="H10" s="23">
        <v>355000</v>
      </c>
    </row>
    <row r="11" ht="27.6" spans="1:9">
      <c r="A11" s="16">
        <f t="shared" si="0"/>
        <v>5</v>
      </c>
      <c r="B11" s="20" t="s">
        <v>711</v>
      </c>
      <c r="C11" s="18" t="s">
        <v>712</v>
      </c>
      <c r="D11" s="18" t="s">
        <v>713</v>
      </c>
      <c r="E11" s="23">
        <v>550000</v>
      </c>
      <c r="F11" s="23">
        <v>305000</v>
      </c>
      <c r="G11" s="23">
        <v>220000</v>
      </c>
      <c r="H11" s="23">
        <v>185000</v>
      </c>
    </row>
    <row r="12" spans="1:9">
      <c r="A12" s="16"/>
      <c r="B12" s="20" t="s">
        <v>711</v>
      </c>
      <c r="C12" s="18" t="s">
        <v>714</v>
      </c>
      <c r="D12" s="18" t="s">
        <v>715</v>
      </c>
      <c r="E12" s="23">
        <v>375000</v>
      </c>
      <c r="F12" s="23">
        <v>225000</v>
      </c>
      <c r="G12" s="23">
        <v>195000</v>
      </c>
      <c r="H12" s="23">
        <v>170000</v>
      </c>
    </row>
    <row r="13" ht="27.6" spans="1:9">
      <c r="A13" s="16">
        <f>A11+1</f>
        <v>6</v>
      </c>
      <c r="B13" s="20" t="s">
        <v>716</v>
      </c>
      <c r="C13" s="18" t="s">
        <v>717</v>
      </c>
      <c r="D13" s="18" t="s">
        <v>718</v>
      </c>
      <c r="E13" s="23">
        <v>1450000</v>
      </c>
      <c r="F13" s="23">
        <v>750000</v>
      </c>
      <c r="G13" s="23">
        <v>550000</v>
      </c>
      <c r="H13" s="23">
        <v>320000</v>
      </c>
    </row>
    <row r="14" spans="1:9">
      <c r="A14" s="16">
        <f t="shared" ref="A14:A18" si="1">A13+1</f>
        <v>7</v>
      </c>
      <c r="B14" s="20" t="s">
        <v>719</v>
      </c>
      <c r="C14" s="18" t="s">
        <v>491</v>
      </c>
      <c r="D14" s="18" t="s">
        <v>720</v>
      </c>
      <c r="E14" s="23">
        <v>2300000</v>
      </c>
      <c r="F14" s="23">
        <v>1200000</v>
      </c>
      <c r="G14" s="23">
        <v>850000</v>
      </c>
      <c r="H14" s="23">
        <v>500000</v>
      </c>
    </row>
    <row r="15" ht="27.6" spans="1:9">
      <c r="A15" s="16">
        <f t="shared" si="1"/>
        <v>8</v>
      </c>
      <c r="B15" s="20" t="s">
        <v>721</v>
      </c>
      <c r="C15" s="18" t="s">
        <v>722</v>
      </c>
      <c r="D15" s="18" t="s">
        <v>723</v>
      </c>
      <c r="E15" s="23">
        <v>550000</v>
      </c>
      <c r="F15" s="23">
        <v>340000</v>
      </c>
      <c r="G15" s="23">
        <v>255000</v>
      </c>
      <c r="H15" s="23">
        <v>185000</v>
      </c>
    </row>
    <row r="16" spans="1:9">
      <c r="A16" s="16">
        <f t="shared" si="1"/>
        <v>9</v>
      </c>
      <c r="B16" s="20" t="s">
        <v>724</v>
      </c>
      <c r="C16" s="18" t="s">
        <v>229</v>
      </c>
      <c r="D16" s="18" t="s">
        <v>700</v>
      </c>
      <c r="E16" s="23">
        <v>700000</v>
      </c>
      <c r="F16" s="23">
        <v>440000</v>
      </c>
      <c r="G16" s="23">
        <v>315000</v>
      </c>
      <c r="H16" s="23">
        <v>205000</v>
      </c>
    </row>
    <row r="17" spans="1:9">
      <c r="A17" s="16">
        <f t="shared" si="1"/>
        <v>10</v>
      </c>
      <c r="B17" s="20" t="s">
        <v>725</v>
      </c>
      <c r="C17" s="18" t="s">
        <v>229</v>
      </c>
      <c r="D17" s="18" t="s">
        <v>726</v>
      </c>
      <c r="E17" s="23">
        <v>700000</v>
      </c>
      <c r="F17" s="23">
        <v>440000</v>
      </c>
      <c r="G17" s="23">
        <v>315000</v>
      </c>
      <c r="H17" s="23">
        <v>205000</v>
      </c>
    </row>
    <row r="18" spans="1:9">
      <c r="A18" s="16">
        <f t="shared" si="1"/>
        <v>11</v>
      </c>
      <c r="B18" s="20" t="s">
        <v>718</v>
      </c>
      <c r="C18" s="18" t="s">
        <v>491</v>
      </c>
      <c r="D18" s="18" t="s">
        <v>727</v>
      </c>
      <c r="E18" s="23">
        <v>3550000</v>
      </c>
      <c r="F18" s="23">
        <v>1700000</v>
      </c>
      <c r="G18" s="23">
        <v>1250000</v>
      </c>
      <c r="H18" s="23">
        <v>700000</v>
      </c>
    </row>
    <row r="19" spans="1:9">
      <c r="A19" s="16"/>
      <c r="B19" s="20" t="s">
        <v>718</v>
      </c>
      <c r="C19" s="18" t="s">
        <v>727</v>
      </c>
      <c r="D19" s="18" t="s">
        <v>229</v>
      </c>
      <c r="E19" s="23">
        <v>3000000</v>
      </c>
      <c r="F19" s="23">
        <v>1500000</v>
      </c>
      <c r="G19" s="23">
        <v>1050000</v>
      </c>
      <c r="H19" s="23">
        <v>600000</v>
      </c>
    </row>
    <row r="20" spans="1:9">
      <c r="A20" s="16">
        <f>A18+1</f>
        <v>12</v>
      </c>
      <c r="B20" s="20" t="s">
        <v>728</v>
      </c>
      <c r="C20" s="18" t="s">
        <v>729</v>
      </c>
      <c r="D20" s="18" t="s">
        <v>730</v>
      </c>
      <c r="E20" s="23">
        <v>1200000</v>
      </c>
      <c r="F20" s="23">
        <v>650000</v>
      </c>
      <c r="G20" s="23">
        <v>455000</v>
      </c>
      <c r="H20" s="23">
        <v>280000</v>
      </c>
    </row>
    <row r="21" ht="27.6" spans="1:9">
      <c r="A21" s="16">
        <f t="shared" ref="A21:A26" si="2">A20+1</f>
        <v>13</v>
      </c>
      <c r="B21" s="18" t="s">
        <v>229</v>
      </c>
      <c r="C21" s="18" t="s">
        <v>731</v>
      </c>
      <c r="D21" s="18" t="s">
        <v>732</v>
      </c>
      <c r="E21" s="23">
        <v>1800000</v>
      </c>
      <c r="F21" s="23">
        <v>950000</v>
      </c>
      <c r="G21" s="23">
        <v>650000</v>
      </c>
      <c r="H21" s="23">
        <v>385000</v>
      </c>
    </row>
    <row r="22" spans="1:9">
      <c r="A22" s="16">
        <f t="shared" si="2"/>
        <v>14</v>
      </c>
      <c r="B22" s="20" t="s">
        <v>733</v>
      </c>
      <c r="C22" s="18" t="s">
        <v>610</v>
      </c>
      <c r="D22" s="18" t="s">
        <v>734</v>
      </c>
      <c r="E22" s="23">
        <v>2600000</v>
      </c>
      <c r="F22" s="23">
        <v>1300000</v>
      </c>
      <c r="G22" s="23">
        <v>900000</v>
      </c>
      <c r="H22" s="23">
        <v>500000</v>
      </c>
    </row>
    <row r="23" spans="1:9">
      <c r="A23" s="16">
        <f t="shared" si="2"/>
        <v>15</v>
      </c>
      <c r="B23" s="20" t="s">
        <v>735</v>
      </c>
      <c r="C23" s="18" t="s">
        <v>736</v>
      </c>
      <c r="D23" s="18" t="s">
        <v>737</v>
      </c>
      <c r="E23" s="23">
        <v>1200000</v>
      </c>
      <c r="F23" s="23">
        <v>650000</v>
      </c>
      <c r="G23" s="23">
        <v>455000</v>
      </c>
      <c r="H23" s="23">
        <v>280000</v>
      </c>
    </row>
    <row r="24" spans="1:9">
      <c r="A24" s="16">
        <f t="shared" si="2"/>
        <v>16</v>
      </c>
      <c r="B24" s="20" t="s">
        <v>738</v>
      </c>
      <c r="C24" s="18" t="s">
        <v>491</v>
      </c>
      <c r="D24" s="18" t="s">
        <v>229</v>
      </c>
      <c r="E24" s="23">
        <v>1800000</v>
      </c>
      <c r="F24" s="23">
        <v>950000</v>
      </c>
      <c r="G24" s="23">
        <v>650000</v>
      </c>
      <c r="H24" s="23">
        <v>385000</v>
      </c>
    </row>
    <row r="25" ht="27.6" spans="1:9">
      <c r="A25" s="16">
        <f t="shared" si="2"/>
        <v>17</v>
      </c>
      <c r="B25" s="20" t="s">
        <v>739</v>
      </c>
      <c r="C25" s="18" t="s">
        <v>229</v>
      </c>
      <c r="D25" s="18" t="s">
        <v>740</v>
      </c>
      <c r="E25" s="23">
        <v>700000</v>
      </c>
      <c r="F25" s="23">
        <v>440000</v>
      </c>
      <c r="G25" s="23">
        <v>315000</v>
      </c>
      <c r="H25" s="23">
        <v>205000</v>
      </c>
    </row>
    <row r="26" ht="27.6" spans="1:9">
      <c r="A26" s="16">
        <f t="shared" si="2"/>
        <v>18</v>
      </c>
      <c r="B26" s="18" t="s">
        <v>491</v>
      </c>
      <c r="C26" s="18" t="s">
        <v>741</v>
      </c>
      <c r="D26" s="18" t="s">
        <v>742</v>
      </c>
      <c r="E26" s="23">
        <v>5300000</v>
      </c>
      <c r="F26" s="23">
        <v>2650000</v>
      </c>
      <c r="G26" s="23">
        <v>1850000</v>
      </c>
      <c r="H26" s="23">
        <v>1050000</v>
      </c>
    </row>
    <row r="27" ht="27.6" spans="1:9">
      <c r="A27" s="36"/>
      <c r="B27" s="18" t="s">
        <v>491</v>
      </c>
      <c r="C27" s="18" t="s">
        <v>743</v>
      </c>
      <c r="D27" s="18" t="s">
        <v>744</v>
      </c>
      <c r="E27" s="23">
        <v>4200000</v>
      </c>
      <c r="F27" s="23">
        <v>2100000</v>
      </c>
      <c r="G27" s="23">
        <v>1450000</v>
      </c>
      <c r="H27" s="23">
        <v>850000</v>
      </c>
    </row>
    <row r="28" ht="27.6" spans="1:9">
      <c r="A28" s="16">
        <f>A26+1</f>
        <v>19</v>
      </c>
      <c r="B28" s="18" t="s">
        <v>235</v>
      </c>
      <c r="C28" s="18" t="s">
        <v>718</v>
      </c>
      <c r="D28" s="18" t="s">
        <v>745</v>
      </c>
      <c r="E28" s="23">
        <v>2600000</v>
      </c>
      <c r="F28" s="23">
        <v>1300000</v>
      </c>
      <c r="G28" s="23">
        <v>900000</v>
      </c>
      <c r="H28" s="23">
        <v>500000</v>
      </c>
      <c r="I28" s="17" t="s">
        <v>746</v>
      </c>
    </row>
    <row r="29" spans="1:9">
      <c r="A29" s="16">
        <f t="shared" ref="A29:A37" si="3">A28+1</f>
        <v>20</v>
      </c>
      <c r="B29" s="20" t="s">
        <v>717</v>
      </c>
      <c r="C29" s="18" t="s">
        <v>747</v>
      </c>
      <c r="D29" s="18" t="s">
        <v>748</v>
      </c>
      <c r="E29" s="23">
        <v>2600000</v>
      </c>
      <c r="F29" s="23">
        <v>1300000</v>
      </c>
      <c r="G29" s="23">
        <v>900000</v>
      </c>
      <c r="H29" s="23">
        <v>500000</v>
      </c>
    </row>
    <row r="30" ht="27.6" spans="1:9">
      <c r="A30" s="16">
        <f t="shared" si="3"/>
        <v>21</v>
      </c>
      <c r="B30" s="20" t="s">
        <v>749</v>
      </c>
      <c r="C30" s="18" t="s">
        <v>750</v>
      </c>
      <c r="D30" s="18" t="s">
        <v>751</v>
      </c>
      <c r="E30" s="23">
        <v>2300000</v>
      </c>
      <c r="F30" s="23">
        <v>1200000</v>
      </c>
      <c r="G30" s="23">
        <v>850000</v>
      </c>
      <c r="H30" s="23">
        <v>500000</v>
      </c>
    </row>
    <row r="31" ht="27.6" spans="1:9">
      <c r="A31" s="36"/>
      <c r="B31" s="20" t="s">
        <v>749</v>
      </c>
      <c r="C31" s="18" t="s">
        <v>751</v>
      </c>
      <c r="D31" s="18" t="s">
        <v>752</v>
      </c>
      <c r="E31" s="23">
        <v>2600000</v>
      </c>
      <c r="F31" s="23">
        <v>1300000</v>
      </c>
      <c r="G31" s="23">
        <v>900000</v>
      </c>
      <c r="H31" s="23">
        <v>500000</v>
      </c>
    </row>
    <row r="32" spans="1:9">
      <c r="A32" s="16">
        <f>A30+1</f>
        <v>22</v>
      </c>
      <c r="B32" s="20" t="s">
        <v>753</v>
      </c>
      <c r="C32" s="18" t="s">
        <v>754</v>
      </c>
      <c r="D32" s="18" t="s">
        <v>733</v>
      </c>
      <c r="E32" s="23">
        <v>2300000</v>
      </c>
      <c r="F32" s="23">
        <v>1150000</v>
      </c>
      <c r="G32" s="23">
        <v>800000</v>
      </c>
      <c r="H32" s="23">
        <v>465000</v>
      </c>
    </row>
    <row r="33" spans="1:8">
      <c r="A33" s="16">
        <f t="shared" si="3"/>
        <v>23</v>
      </c>
      <c r="B33" s="20" t="s">
        <v>726</v>
      </c>
      <c r="C33" s="18" t="s">
        <v>755</v>
      </c>
      <c r="D33" s="18" t="s">
        <v>756</v>
      </c>
      <c r="E33" s="23">
        <v>2300000</v>
      </c>
      <c r="F33" s="23">
        <v>1150000</v>
      </c>
      <c r="G33" s="23">
        <v>800000</v>
      </c>
      <c r="H33" s="23">
        <v>465000</v>
      </c>
    </row>
    <row r="34" spans="1:8">
      <c r="A34" s="16">
        <f t="shared" si="3"/>
        <v>24</v>
      </c>
      <c r="B34" s="20" t="s">
        <v>757</v>
      </c>
      <c r="C34" s="18" t="s">
        <v>758</v>
      </c>
      <c r="D34" s="18" t="s">
        <v>759</v>
      </c>
      <c r="E34" s="23">
        <v>700000</v>
      </c>
      <c r="F34" s="23">
        <v>440000</v>
      </c>
      <c r="G34" s="23">
        <v>315000</v>
      </c>
      <c r="H34" s="23">
        <v>205000</v>
      </c>
    </row>
    <row r="35" ht="27.6" spans="1:8">
      <c r="A35" s="16">
        <f t="shared" si="3"/>
        <v>25</v>
      </c>
      <c r="B35" s="20" t="s">
        <v>760</v>
      </c>
      <c r="C35" s="18" t="s">
        <v>761</v>
      </c>
      <c r="D35" s="18" t="s">
        <v>706</v>
      </c>
      <c r="E35" s="23">
        <v>2600000</v>
      </c>
      <c r="F35" s="23">
        <v>1300000</v>
      </c>
      <c r="G35" s="23">
        <v>900000</v>
      </c>
      <c r="H35" s="23">
        <v>500000</v>
      </c>
    </row>
    <row r="36" ht="27.6" spans="1:8">
      <c r="A36" s="16">
        <f t="shared" si="3"/>
        <v>26</v>
      </c>
      <c r="B36" s="20" t="s">
        <v>579</v>
      </c>
      <c r="C36" s="18" t="s">
        <v>762</v>
      </c>
      <c r="D36" s="18" t="s">
        <v>763</v>
      </c>
      <c r="E36" s="23">
        <v>550000</v>
      </c>
      <c r="F36" s="23">
        <v>340000</v>
      </c>
      <c r="G36" s="23">
        <v>255000</v>
      </c>
      <c r="H36" s="23">
        <v>185000</v>
      </c>
    </row>
    <row r="37" ht="27.6" spans="1:8">
      <c r="A37" s="16">
        <f t="shared" si="3"/>
        <v>27</v>
      </c>
      <c r="B37" s="20" t="s">
        <v>764</v>
      </c>
      <c r="C37" s="18" t="s">
        <v>491</v>
      </c>
      <c r="D37" s="18" t="s">
        <v>765</v>
      </c>
      <c r="E37" s="23">
        <v>3000000</v>
      </c>
      <c r="F37" s="23">
        <v>1500000</v>
      </c>
      <c r="G37" s="23">
        <v>1050000</v>
      </c>
      <c r="H37" s="23">
        <v>600000</v>
      </c>
    </row>
    <row r="38" spans="1:8">
      <c r="A38" s="36"/>
      <c r="B38" s="20" t="s">
        <v>764</v>
      </c>
      <c r="C38" s="18" t="s">
        <v>766</v>
      </c>
      <c r="D38" s="18" t="s">
        <v>749</v>
      </c>
      <c r="E38" s="23">
        <v>1450000</v>
      </c>
      <c r="F38" s="23">
        <v>750000</v>
      </c>
      <c r="G38" s="23">
        <v>550000</v>
      </c>
      <c r="H38" s="23">
        <v>320000</v>
      </c>
    </row>
    <row r="39" spans="1:8">
      <c r="A39" s="36"/>
      <c r="B39" s="20" t="s">
        <v>764</v>
      </c>
      <c r="C39" s="18" t="s">
        <v>749</v>
      </c>
      <c r="D39" s="18" t="s">
        <v>767</v>
      </c>
      <c r="E39" s="23">
        <v>1200000</v>
      </c>
      <c r="F39" s="23">
        <v>650000</v>
      </c>
      <c r="G39" s="23">
        <v>455000</v>
      </c>
      <c r="H39" s="23">
        <v>280000</v>
      </c>
    </row>
    <row r="40" spans="1:8">
      <c r="A40" s="36"/>
      <c r="B40" s="20" t="s">
        <v>764</v>
      </c>
      <c r="C40" s="18" t="s">
        <v>768</v>
      </c>
      <c r="D40" s="18"/>
      <c r="E40" s="23">
        <v>700000</v>
      </c>
      <c r="F40" s="23">
        <v>440000</v>
      </c>
      <c r="G40" s="23">
        <v>315000</v>
      </c>
      <c r="H40" s="23">
        <v>205000</v>
      </c>
    </row>
    <row r="41" spans="1:8">
      <c r="A41" s="36">
        <f>A37+1</f>
        <v>28</v>
      </c>
      <c r="B41" s="20" t="s">
        <v>754</v>
      </c>
      <c r="C41" s="18" t="s">
        <v>491</v>
      </c>
      <c r="D41" s="18" t="s">
        <v>769</v>
      </c>
      <c r="E41" s="23">
        <v>3000000</v>
      </c>
      <c r="F41" s="23">
        <v>1500000</v>
      </c>
      <c r="G41" s="23">
        <v>1050000</v>
      </c>
      <c r="H41" s="23">
        <v>600000</v>
      </c>
    </row>
    <row r="42" spans="1:8">
      <c r="A42" s="16">
        <f t="shared" ref="A42:A45" si="4">A41+1</f>
        <v>29</v>
      </c>
      <c r="B42" s="20" t="s">
        <v>722</v>
      </c>
      <c r="C42" s="18" t="s">
        <v>229</v>
      </c>
      <c r="D42" s="18" t="s">
        <v>770</v>
      </c>
      <c r="E42" s="23">
        <v>700000</v>
      </c>
      <c r="F42" s="23">
        <v>440000</v>
      </c>
      <c r="G42" s="23">
        <v>315000</v>
      </c>
      <c r="H42" s="23">
        <v>205000</v>
      </c>
    </row>
    <row r="43" spans="1:8">
      <c r="A43" s="16">
        <f t="shared" si="4"/>
        <v>30</v>
      </c>
      <c r="B43" s="20" t="s">
        <v>771</v>
      </c>
      <c r="C43" s="18" t="s">
        <v>709</v>
      </c>
      <c r="D43" s="18" t="s">
        <v>772</v>
      </c>
      <c r="E43" s="23">
        <v>1100000</v>
      </c>
      <c r="F43" s="23">
        <v>600000</v>
      </c>
      <c r="G43" s="23">
        <v>415000</v>
      </c>
      <c r="H43" s="23">
        <v>265000</v>
      </c>
    </row>
    <row r="44" ht="27.6" spans="1:8">
      <c r="A44" s="16">
        <f t="shared" si="4"/>
        <v>31</v>
      </c>
      <c r="B44" s="20" t="s">
        <v>773</v>
      </c>
      <c r="C44" s="18" t="s">
        <v>774</v>
      </c>
      <c r="D44" s="18" t="s">
        <v>775</v>
      </c>
      <c r="E44" s="23">
        <v>1450000</v>
      </c>
      <c r="F44" s="23">
        <v>750000</v>
      </c>
      <c r="G44" s="23">
        <v>550000</v>
      </c>
      <c r="H44" s="23">
        <v>320000</v>
      </c>
    </row>
    <row r="45" ht="27.6" spans="1:8">
      <c r="A45" s="16">
        <f t="shared" si="4"/>
        <v>32</v>
      </c>
      <c r="B45" s="20" t="s">
        <v>776</v>
      </c>
      <c r="C45" s="18" t="s">
        <v>777</v>
      </c>
      <c r="D45" s="18" t="s">
        <v>778</v>
      </c>
      <c r="E45" s="23">
        <v>375000</v>
      </c>
      <c r="F45" s="23">
        <v>240000</v>
      </c>
      <c r="G45" s="23">
        <v>190000</v>
      </c>
      <c r="H45" s="23">
        <v>150000</v>
      </c>
    </row>
    <row r="46" ht="41.4" spans="1:8">
      <c r="A46" s="36"/>
      <c r="B46" s="20" t="s">
        <v>776</v>
      </c>
      <c r="C46" s="18" t="s">
        <v>778</v>
      </c>
      <c r="D46" s="18" t="s">
        <v>779</v>
      </c>
      <c r="E46" s="23">
        <v>700000</v>
      </c>
      <c r="F46" s="23">
        <v>440000</v>
      </c>
      <c r="G46" s="23">
        <v>315000</v>
      </c>
      <c r="H46" s="23">
        <v>205000</v>
      </c>
    </row>
    <row r="47" ht="41.4" spans="1:8">
      <c r="A47" s="36"/>
      <c r="B47" s="20" t="s">
        <v>776</v>
      </c>
      <c r="C47" s="18" t="s">
        <v>779</v>
      </c>
      <c r="D47" s="18" t="s">
        <v>780</v>
      </c>
      <c r="E47" s="23">
        <v>550000</v>
      </c>
      <c r="F47" s="23">
        <v>325000</v>
      </c>
      <c r="G47" s="23">
        <v>260000</v>
      </c>
      <c r="H47" s="23">
        <v>185000</v>
      </c>
    </row>
    <row r="48" spans="1:8">
      <c r="A48" s="39" t="s">
        <v>136</v>
      </c>
      <c r="B48" s="20"/>
      <c r="C48" s="18"/>
      <c r="D48" s="18"/>
      <c r="E48" s="23"/>
      <c r="F48" s="23"/>
      <c r="G48" s="23"/>
      <c r="H48" s="23"/>
    </row>
    <row r="49" spans="1:8">
      <c r="A49" s="54">
        <v>33</v>
      </c>
      <c r="B49" s="20" t="s">
        <v>781</v>
      </c>
      <c r="C49" s="18"/>
      <c r="D49" s="18"/>
      <c r="E49" s="23">
        <v>310000</v>
      </c>
      <c r="F49" s="23">
        <v>230000</v>
      </c>
      <c r="G49" s="23">
        <v>175000</v>
      </c>
      <c r="H49" s="23">
        <v>145000</v>
      </c>
    </row>
    <row r="50" spans="1:8">
      <c r="A50" s="16"/>
      <c r="B50" s="20"/>
      <c r="C50" s="18"/>
      <c r="D50" s="18"/>
      <c r="E50" s="23" t="s">
        <v>16</v>
      </c>
      <c r="F50" s="23" t="s">
        <v>16</v>
      </c>
      <c r="G50" s="23" t="s">
        <v>16</v>
      </c>
      <c r="H50" s="23" t="s">
        <v>16</v>
      </c>
    </row>
    <row r="51" spans="1:8">
      <c r="A51" s="16"/>
      <c r="B51" s="20"/>
      <c r="C51" s="18"/>
      <c r="D51" s="18"/>
      <c r="E51" s="23" t="s">
        <v>16</v>
      </c>
      <c r="F51" s="23" t="s">
        <v>16</v>
      </c>
      <c r="G51" s="23" t="s">
        <v>16</v>
      </c>
      <c r="H51" s="23" t="s">
        <v>16</v>
      </c>
    </row>
    <row r="52" spans="1:8">
      <c r="A52" s="16"/>
      <c r="B52" s="49"/>
      <c r="C52" s="41"/>
      <c r="D52" s="41"/>
      <c r="E52" s="23" t="s">
        <v>16</v>
      </c>
      <c r="F52" s="23" t="s">
        <v>16</v>
      </c>
      <c r="G52" s="23" t="s">
        <v>16</v>
      </c>
      <c r="H52" s="23" t="s">
        <v>16</v>
      </c>
    </row>
    <row r="53" spans="1:8">
      <c r="A53" s="16"/>
      <c r="B53" s="20"/>
      <c r="C53" s="18"/>
      <c r="D53" s="18"/>
      <c r="E53" s="23" t="s">
        <v>16</v>
      </c>
      <c r="F53" s="23" t="s">
        <v>16</v>
      </c>
      <c r="G53" s="23" t="s">
        <v>16</v>
      </c>
      <c r="H53" s="23" t="s">
        <v>16</v>
      </c>
    </row>
    <row r="54" spans="1:8">
      <c r="A54" s="16"/>
      <c r="B54" s="20"/>
      <c r="C54" s="18"/>
      <c r="D54" s="18"/>
      <c r="E54" s="23" t="s">
        <v>16</v>
      </c>
      <c r="F54" s="23" t="s">
        <v>16</v>
      </c>
      <c r="G54" s="23" t="s">
        <v>16</v>
      </c>
      <c r="H54" s="23" t="s">
        <v>16</v>
      </c>
    </row>
    <row r="55" spans="1:8">
      <c r="A55" s="16"/>
      <c r="B55" s="20"/>
      <c r="C55" s="18"/>
      <c r="D55" s="18"/>
      <c r="E55" s="23" t="s">
        <v>16</v>
      </c>
      <c r="F55" s="23" t="s">
        <v>16</v>
      </c>
      <c r="G55" s="23" t="s">
        <v>16</v>
      </c>
      <c r="H55" s="23" t="s">
        <v>16</v>
      </c>
    </row>
    <row r="56" spans="1:8">
      <c r="A56" s="16"/>
      <c r="B56" s="20"/>
      <c r="C56" s="18"/>
      <c r="D56" s="18"/>
      <c r="E56" s="23" t="s">
        <v>16</v>
      </c>
      <c r="F56" s="23" t="s">
        <v>16</v>
      </c>
      <c r="G56" s="23" t="s">
        <v>16</v>
      </c>
      <c r="H56" s="23" t="s">
        <v>16</v>
      </c>
    </row>
    <row r="57" spans="1:8">
      <c r="A57" s="16"/>
      <c r="B57" s="20"/>
      <c r="C57" s="18"/>
      <c r="D57" s="18"/>
      <c r="E57" s="23" t="s">
        <v>16</v>
      </c>
      <c r="F57" s="23" t="s">
        <v>16</v>
      </c>
      <c r="G57" s="23" t="s">
        <v>16</v>
      </c>
      <c r="H57" s="23" t="s">
        <v>16</v>
      </c>
    </row>
    <row r="58" spans="1:8">
      <c r="A58" s="16"/>
      <c r="B58" s="20"/>
      <c r="C58" s="18"/>
      <c r="D58" s="18"/>
      <c r="E58" s="23" t="s">
        <v>16</v>
      </c>
      <c r="F58" s="23" t="s">
        <v>16</v>
      </c>
      <c r="G58" s="23" t="s">
        <v>16</v>
      </c>
      <c r="H58" s="23" t="s">
        <v>16</v>
      </c>
    </row>
    <row r="59" spans="1:8">
      <c r="A59" s="16"/>
      <c r="B59" s="20"/>
      <c r="C59" s="18"/>
      <c r="D59" s="18"/>
      <c r="E59" s="23" t="s">
        <v>16</v>
      </c>
      <c r="F59" s="23" t="s">
        <v>16</v>
      </c>
      <c r="G59" s="23" t="s">
        <v>16</v>
      </c>
      <c r="H59" s="23" t="s">
        <v>16</v>
      </c>
    </row>
    <row r="60" spans="1:8">
      <c r="A60" s="16"/>
      <c r="B60" s="20"/>
      <c r="C60" s="18"/>
      <c r="D60" s="18"/>
      <c r="E60" s="23" t="s">
        <v>16</v>
      </c>
      <c r="F60" s="23" t="s">
        <v>16</v>
      </c>
      <c r="G60" s="23" t="s">
        <v>16</v>
      </c>
      <c r="H60" s="23" t="s">
        <v>16</v>
      </c>
    </row>
    <row r="61" spans="1:8">
      <c r="A61" s="16"/>
      <c r="B61" s="20"/>
      <c r="C61" s="18"/>
      <c r="D61" s="18"/>
      <c r="E61" s="23" t="s">
        <v>16</v>
      </c>
      <c r="F61" s="23" t="s">
        <v>16</v>
      </c>
      <c r="G61" s="23" t="s">
        <v>16</v>
      </c>
      <c r="H61" s="23" t="s">
        <v>16</v>
      </c>
    </row>
    <row r="62" spans="1:8">
      <c r="A62" s="16"/>
      <c r="B62" s="20"/>
      <c r="C62" s="18"/>
      <c r="D62" s="18"/>
      <c r="E62" s="23" t="s">
        <v>16</v>
      </c>
      <c r="F62" s="23" t="s">
        <v>16</v>
      </c>
      <c r="G62" s="23" t="s">
        <v>16</v>
      </c>
      <c r="H62" s="23" t="s">
        <v>16</v>
      </c>
    </row>
    <row r="63" spans="1:8">
      <c r="A63" s="16"/>
      <c r="B63" s="20"/>
      <c r="C63" s="18"/>
      <c r="D63" s="18"/>
      <c r="E63" s="23" t="s">
        <v>16</v>
      </c>
      <c r="F63" s="23" t="s">
        <v>16</v>
      </c>
      <c r="G63" s="23" t="s">
        <v>16</v>
      </c>
      <c r="H63" s="23" t="s">
        <v>16</v>
      </c>
    </row>
    <row r="64" spans="1:8">
      <c r="A64" s="16"/>
      <c r="B64" s="20"/>
      <c r="C64" s="18"/>
      <c r="D64" s="18"/>
      <c r="E64" s="23" t="s">
        <v>16</v>
      </c>
      <c r="F64" s="23" t="s">
        <v>16</v>
      </c>
      <c r="G64" s="23" t="s">
        <v>16</v>
      </c>
      <c r="H64" s="23" t="s">
        <v>16</v>
      </c>
    </row>
    <row r="65" spans="1:8">
      <c r="A65" s="16"/>
      <c r="B65" s="20"/>
      <c r="C65" s="18"/>
      <c r="D65" s="18"/>
      <c r="E65" s="23" t="s">
        <v>16</v>
      </c>
      <c r="F65" s="23" t="s">
        <v>16</v>
      </c>
      <c r="G65" s="23" t="s">
        <v>16</v>
      </c>
      <c r="H65" s="23" t="s">
        <v>16</v>
      </c>
    </row>
    <row r="66" spans="1:8">
      <c r="A66" s="16"/>
      <c r="B66" s="20"/>
      <c r="C66" s="18"/>
      <c r="D66" s="18"/>
      <c r="E66" s="23" t="s">
        <v>16</v>
      </c>
      <c r="F66" s="23" t="s">
        <v>16</v>
      </c>
      <c r="G66" s="23" t="s">
        <v>16</v>
      </c>
      <c r="H66" s="23" t="s">
        <v>16</v>
      </c>
    </row>
    <row r="67" spans="1:8">
      <c r="A67" s="16"/>
      <c r="B67" s="20"/>
      <c r="C67" s="18"/>
      <c r="D67" s="18"/>
      <c r="E67" s="23" t="s">
        <v>16</v>
      </c>
      <c r="F67" s="23" t="s">
        <v>16</v>
      </c>
      <c r="G67" s="23" t="s">
        <v>16</v>
      </c>
      <c r="H67" s="23" t="s">
        <v>16</v>
      </c>
    </row>
    <row r="68" spans="1:8">
      <c r="A68" s="16"/>
      <c r="B68" s="20"/>
      <c r="C68" s="18"/>
      <c r="D68" s="18"/>
      <c r="E68" s="23" t="s">
        <v>16</v>
      </c>
      <c r="F68" s="23" t="s">
        <v>16</v>
      </c>
      <c r="G68" s="23" t="s">
        <v>16</v>
      </c>
      <c r="H68" s="23" t="s">
        <v>16</v>
      </c>
    </row>
    <row r="69" spans="1:8">
      <c r="A69" s="16"/>
      <c r="B69" s="20"/>
      <c r="C69" s="18"/>
      <c r="D69" s="18"/>
      <c r="E69" s="23" t="s">
        <v>16</v>
      </c>
      <c r="F69" s="23" t="s">
        <v>16</v>
      </c>
      <c r="G69" s="23" t="s">
        <v>16</v>
      </c>
      <c r="H69" s="23" t="s">
        <v>16</v>
      </c>
    </row>
    <row r="70" spans="1:8">
      <c r="A70" s="16"/>
      <c r="B70" s="20"/>
      <c r="C70" s="18"/>
      <c r="D70" s="18"/>
      <c r="E70" s="23" t="s">
        <v>16</v>
      </c>
      <c r="F70" s="23" t="s">
        <v>16</v>
      </c>
      <c r="G70" s="23" t="s">
        <v>16</v>
      </c>
      <c r="H70" s="23" t="s">
        <v>16</v>
      </c>
    </row>
    <row r="71" spans="1:8">
      <c r="A71" s="16"/>
      <c r="B71" s="20"/>
      <c r="C71" s="18"/>
      <c r="D71" s="18"/>
      <c r="E71" s="23" t="s">
        <v>16</v>
      </c>
      <c r="F71" s="23" t="s">
        <v>16</v>
      </c>
      <c r="G71" s="23" t="s">
        <v>16</v>
      </c>
      <c r="H71" s="23" t="s">
        <v>16</v>
      </c>
    </row>
    <row r="72" spans="1:8">
      <c r="A72" s="16"/>
      <c r="B72" s="20"/>
      <c r="C72" s="18"/>
      <c r="D72" s="18"/>
      <c r="E72" s="23" t="s">
        <v>16</v>
      </c>
      <c r="F72" s="23" t="s">
        <v>16</v>
      </c>
      <c r="G72" s="23" t="s">
        <v>16</v>
      </c>
      <c r="H72" s="23" t="s">
        <v>16</v>
      </c>
    </row>
    <row r="73" spans="1:8">
      <c r="A73" s="16"/>
      <c r="B73" s="20"/>
      <c r="C73" s="18"/>
      <c r="D73" s="18"/>
      <c r="E73" s="23" t="s">
        <v>16</v>
      </c>
      <c r="F73" s="23" t="s">
        <v>16</v>
      </c>
      <c r="G73" s="23" t="s">
        <v>16</v>
      </c>
      <c r="H73" s="23" t="s">
        <v>16</v>
      </c>
    </row>
    <row r="74" spans="1:8">
      <c r="A74" s="16"/>
      <c r="B74" s="20"/>
      <c r="C74" s="18"/>
      <c r="D74" s="18"/>
      <c r="E74" s="23" t="s">
        <v>16</v>
      </c>
      <c r="F74" s="23" t="s">
        <v>16</v>
      </c>
      <c r="G74" s="23" t="s">
        <v>16</v>
      </c>
      <c r="H74" s="23" t="s">
        <v>16</v>
      </c>
    </row>
    <row r="75" spans="1:8">
      <c r="A75" s="16"/>
      <c r="B75" s="20"/>
      <c r="C75" s="18"/>
      <c r="D75" s="18"/>
      <c r="E75" s="23" t="s">
        <v>16</v>
      </c>
      <c r="F75" s="23" t="s">
        <v>16</v>
      </c>
      <c r="G75" s="23" t="s">
        <v>16</v>
      </c>
      <c r="H75" s="23" t="s">
        <v>16</v>
      </c>
    </row>
    <row r="76" spans="1:8">
      <c r="A76" s="16"/>
      <c r="B76" s="20"/>
      <c r="C76" s="18"/>
      <c r="D76" s="18"/>
      <c r="E76" s="23" t="s">
        <v>16</v>
      </c>
      <c r="F76" s="23" t="s">
        <v>16</v>
      </c>
      <c r="G76" s="23" t="s">
        <v>16</v>
      </c>
      <c r="H76" s="23" t="s">
        <v>16</v>
      </c>
    </row>
    <row r="77" spans="1:8">
      <c r="A77" s="16"/>
      <c r="B77" s="20"/>
      <c r="C77" s="18"/>
      <c r="D77" s="18"/>
      <c r="E77" s="23" t="s">
        <v>16</v>
      </c>
      <c r="F77" s="23" t="s">
        <v>16</v>
      </c>
      <c r="G77" s="23" t="s">
        <v>16</v>
      </c>
      <c r="H77" s="23" t="s">
        <v>16</v>
      </c>
    </row>
    <row r="78" spans="1:8">
      <c r="A78" s="16"/>
      <c r="B78" s="20"/>
      <c r="C78" s="18"/>
      <c r="D78" s="18"/>
      <c r="E78" s="23" t="s">
        <v>16</v>
      </c>
      <c r="F78" s="23" t="s">
        <v>16</v>
      </c>
      <c r="G78" s="23" t="s">
        <v>16</v>
      </c>
      <c r="H78" s="23" t="s">
        <v>16</v>
      </c>
    </row>
    <row r="79" spans="1:8">
      <c r="A79" s="16"/>
      <c r="B79" s="20"/>
      <c r="C79" s="18"/>
      <c r="D79" s="18"/>
      <c r="E79" s="23" t="s">
        <v>16</v>
      </c>
      <c r="F79" s="23" t="s">
        <v>16</v>
      </c>
      <c r="G79" s="23" t="s">
        <v>16</v>
      </c>
      <c r="H79" s="23" t="s">
        <v>16</v>
      </c>
    </row>
    <row r="80" spans="1:8">
      <c r="A80" s="16"/>
      <c r="B80" s="42"/>
      <c r="C80" s="43"/>
      <c r="D80" s="43"/>
      <c r="E80" s="23" t="s">
        <v>16</v>
      </c>
      <c r="F80" s="23" t="s">
        <v>16</v>
      </c>
      <c r="G80" s="23" t="s">
        <v>16</v>
      </c>
      <c r="H80" s="23" t="s">
        <v>16</v>
      </c>
    </row>
    <row r="81" spans="1:8">
      <c r="A81" s="16"/>
      <c r="B81" s="20"/>
      <c r="C81" s="18"/>
      <c r="D81" s="18"/>
      <c r="E81" s="23" t="s">
        <v>16</v>
      </c>
      <c r="F81" s="23" t="s">
        <v>16</v>
      </c>
      <c r="G81" s="23" t="s">
        <v>16</v>
      </c>
      <c r="H81" s="23" t="s">
        <v>16</v>
      </c>
    </row>
    <row r="82" spans="1:8">
      <c r="A82" s="16"/>
      <c r="B82" s="20"/>
      <c r="C82" s="18"/>
      <c r="D82" s="18"/>
      <c r="E82" s="23" t="s">
        <v>16</v>
      </c>
      <c r="F82" s="23" t="s">
        <v>16</v>
      </c>
      <c r="G82" s="23" t="s">
        <v>16</v>
      </c>
      <c r="H82" s="23" t="s">
        <v>16</v>
      </c>
    </row>
    <row r="83" spans="1:8">
      <c r="A83" s="16"/>
      <c r="B83" s="20"/>
      <c r="C83" s="18"/>
      <c r="D83" s="18"/>
      <c r="E83" s="23" t="s">
        <v>16</v>
      </c>
      <c r="F83" s="23" t="s">
        <v>16</v>
      </c>
      <c r="G83" s="23" t="s">
        <v>16</v>
      </c>
      <c r="H83" s="23" t="s">
        <v>16</v>
      </c>
    </row>
    <row r="84" spans="1:8">
      <c r="A84" s="53"/>
      <c r="E84" s="23" t="s">
        <v>16</v>
      </c>
      <c r="F84" s="23" t="s">
        <v>16</v>
      </c>
      <c r="G84" s="23" t="s">
        <v>16</v>
      </c>
      <c r="H84" s="23" t="s">
        <v>16</v>
      </c>
    </row>
    <row r="85" spans="1:8">
      <c r="A85" s="53"/>
      <c r="E85" s="23" t="s">
        <v>16</v>
      </c>
      <c r="F85" s="23" t="s">
        <v>16</v>
      </c>
      <c r="G85" s="23" t="s">
        <v>16</v>
      </c>
      <c r="H85" s="23" t="s">
        <v>16</v>
      </c>
    </row>
    <row r="86" spans="1:8">
      <c r="A86" s="53"/>
      <c r="E86" s="23" t="s">
        <v>16</v>
      </c>
      <c r="F86" s="23" t="s">
        <v>16</v>
      </c>
      <c r="G86" s="23" t="s">
        <v>16</v>
      </c>
      <c r="H86" s="23" t="s">
        <v>16</v>
      </c>
    </row>
    <row r="87" spans="1:8">
      <c r="A87" s="53"/>
      <c r="E87" s="23" t="s">
        <v>16</v>
      </c>
      <c r="F87" s="23" t="s">
        <v>16</v>
      </c>
      <c r="G87" s="23" t="s">
        <v>16</v>
      </c>
      <c r="H87" s="23" t="s">
        <v>16</v>
      </c>
    </row>
    <row r="88" spans="1:8">
      <c r="A88" s="53"/>
      <c r="E88" s="23" t="s">
        <v>16</v>
      </c>
      <c r="F88" s="23" t="s">
        <v>16</v>
      </c>
      <c r="G88" s="23" t="s">
        <v>16</v>
      </c>
      <c r="H88" s="23" t="s">
        <v>16</v>
      </c>
    </row>
    <row r="89" spans="1:8">
      <c r="A89" s="53"/>
      <c r="E89" s="23" t="s">
        <v>16</v>
      </c>
      <c r="F89" s="23" t="s">
        <v>16</v>
      </c>
      <c r="G89" s="23" t="s">
        <v>16</v>
      </c>
      <c r="H89" s="23" t="s">
        <v>16</v>
      </c>
    </row>
    <row r="90" spans="1:8">
      <c r="A90" s="53"/>
      <c r="E90" s="23" t="s">
        <v>16</v>
      </c>
      <c r="F90" s="23" t="s">
        <v>16</v>
      </c>
      <c r="G90" s="23" t="s">
        <v>16</v>
      </c>
      <c r="H90" s="23" t="s">
        <v>16</v>
      </c>
    </row>
    <row r="91" spans="1:8">
      <c r="A91" s="53"/>
      <c r="E91" s="23" t="s">
        <v>16</v>
      </c>
      <c r="F91" s="23" t="s">
        <v>16</v>
      </c>
      <c r="G91" s="23" t="s">
        <v>16</v>
      </c>
      <c r="H91" s="23" t="s">
        <v>16</v>
      </c>
    </row>
    <row r="92" spans="1:8">
      <c r="A92" s="53"/>
      <c r="E92" s="23" t="s">
        <v>16</v>
      </c>
      <c r="F92" s="23" t="s">
        <v>16</v>
      </c>
      <c r="G92" s="23" t="s">
        <v>16</v>
      </c>
      <c r="H92" s="23" t="s">
        <v>16</v>
      </c>
    </row>
    <row r="93" spans="1:8">
      <c r="A93" s="53"/>
      <c r="E93" s="23" t="s">
        <v>16</v>
      </c>
      <c r="F93" s="23" t="s">
        <v>16</v>
      </c>
      <c r="G93" s="23" t="s">
        <v>16</v>
      </c>
      <c r="H93" s="23" t="s">
        <v>16</v>
      </c>
    </row>
    <row r="94" spans="1:8">
      <c r="A94" s="53"/>
      <c r="E94" s="23" t="s">
        <v>16</v>
      </c>
      <c r="F94" s="23" t="s">
        <v>16</v>
      </c>
      <c r="G94" s="23" t="s">
        <v>16</v>
      </c>
      <c r="H94" s="23" t="s">
        <v>16</v>
      </c>
    </row>
    <row r="95" spans="1:8">
      <c r="A95" s="53"/>
      <c r="E95" s="23" t="s">
        <v>16</v>
      </c>
      <c r="F95" s="23" t="s">
        <v>16</v>
      </c>
      <c r="G95" s="23" t="s">
        <v>16</v>
      </c>
      <c r="H95" s="23" t="s">
        <v>16</v>
      </c>
    </row>
    <row r="96" spans="1:8">
      <c r="A96" s="53"/>
      <c r="E96" s="23" t="s">
        <v>16</v>
      </c>
      <c r="F96" s="23" t="s">
        <v>16</v>
      </c>
      <c r="G96" s="23" t="s">
        <v>16</v>
      </c>
      <c r="H96" s="23" t="s">
        <v>16</v>
      </c>
    </row>
    <row r="97" spans="1:8">
      <c r="A97" s="53"/>
      <c r="E97" s="23" t="s">
        <v>16</v>
      </c>
      <c r="F97" s="23" t="s">
        <v>16</v>
      </c>
      <c r="G97" s="23" t="s">
        <v>16</v>
      </c>
      <c r="H97" s="23" t="s">
        <v>16</v>
      </c>
    </row>
    <row r="98" spans="1:8">
      <c r="A98" s="53"/>
      <c r="E98" s="23" t="s">
        <v>16</v>
      </c>
      <c r="F98" s="23" t="s">
        <v>16</v>
      </c>
      <c r="G98" s="23" t="s">
        <v>16</v>
      </c>
      <c r="H98" s="23" t="s">
        <v>16</v>
      </c>
    </row>
    <row r="99" spans="1:8">
      <c r="A99" s="53"/>
      <c r="E99" s="23" t="s">
        <v>16</v>
      </c>
      <c r="F99" s="23" t="s">
        <v>16</v>
      </c>
      <c r="G99" s="23" t="s">
        <v>16</v>
      </c>
      <c r="H99" s="23" t="s">
        <v>16</v>
      </c>
    </row>
    <row r="100" spans="1:8">
      <c r="A100" s="53"/>
      <c r="E100" s="23" t="s">
        <v>16</v>
      </c>
      <c r="F100" s="23" t="s">
        <v>16</v>
      </c>
      <c r="G100" s="23" t="s">
        <v>16</v>
      </c>
      <c r="H100" s="23" t="s">
        <v>16</v>
      </c>
    </row>
    <row r="101" spans="1:8">
      <c r="A101" s="53"/>
      <c r="E101" s="23" t="s">
        <v>16</v>
      </c>
      <c r="F101" s="23" t="s">
        <v>16</v>
      </c>
      <c r="G101" s="23" t="s">
        <v>16</v>
      </c>
      <c r="H101" s="23" t="s">
        <v>16</v>
      </c>
    </row>
    <row r="102" spans="1:8">
      <c r="A102" s="53"/>
      <c r="E102" s="23" t="s">
        <v>16</v>
      </c>
      <c r="F102" s="23" t="s">
        <v>16</v>
      </c>
      <c r="G102" s="23" t="s">
        <v>16</v>
      </c>
      <c r="H102" s="23" t="s">
        <v>16</v>
      </c>
    </row>
    <row r="103" spans="1:8">
      <c r="A103" s="53"/>
      <c r="E103" s="23" t="s">
        <v>16</v>
      </c>
      <c r="F103" s="23" t="s">
        <v>16</v>
      </c>
      <c r="G103" s="23" t="s">
        <v>16</v>
      </c>
      <c r="H103" s="23" t="s">
        <v>16</v>
      </c>
    </row>
    <row r="104" spans="1:8">
      <c r="A104" s="53"/>
      <c r="E104" s="23" t="s">
        <v>16</v>
      </c>
      <c r="F104" s="23" t="s">
        <v>16</v>
      </c>
      <c r="G104" s="23" t="s">
        <v>16</v>
      </c>
      <c r="H104" s="23" t="s">
        <v>16</v>
      </c>
    </row>
    <row r="105" spans="1:8">
      <c r="A105" s="53"/>
      <c r="E105" s="23" t="s">
        <v>16</v>
      </c>
      <c r="F105" s="23" t="s">
        <v>16</v>
      </c>
      <c r="G105" s="23" t="s">
        <v>16</v>
      </c>
      <c r="H105" s="23" t="s">
        <v>16</v>
      </c>
    </row>
    <row r="106" spans="1:8">
      <c r="A106" s="53"/>
      <c r="E106" s="23" t="s">
        <v>16</v>
      </c>
      <c r="F106" s="23" t="s">
        <v>16</v>
      </c>
      <c r="G106" s="23" t="s">
        <v>16</v>
      </c>
      <c r="H106" s="23" t="s">
        <v>16</v>
      </c>
    </row>
    <row r="107" spans="1:8">
      <c r="A107" s="53"/>
      <c r="E107" s="23" t="s">
        <v>16</v>
      </c>
      <c r="F107" s="23" t="s">
        <v>16</v>
      </c>
      <c r="G107" s="23" t="s">
        <v>16</v>
      </c>
      <c r="H107" s="23" t="s">
        <v>16</v>
      </c>
    </row>
    <row r="108" spans="1:8">
      <c r="A108" s="53"/>
      <c r="E108" s="23" t="s">
        <v>16</v>
      </c>
      <c r="F108" s="23" t="s">
        <v>16</v>
      </c>
      <c r="G108" s="23" t="s">
        <v>16</v>
      </c>
      <c r="H108" s="23" t="s">
        <v>16</v>
      </c>
    </row>
    <row r="109" spans="1:8">
      <c r="A109" s="53"/>
      <c r="E109" s="23" t="s">
        <v>16</v>
      </c>
      <c r="F109" s="23" t="s">
        <v>16</v>
      </c>
      <c r="G109" s="23" t="s">
        <v>16</v>
      </c>
      <c r="H109" s="23" t="s">
        <v>16</v>
      </c>
    </row>
    <row r="110" spans="1:8">
      <c r="A110" s="53"/>
      <c r="E110" s="23" t="s">
        <v>16</v>
      </c>
      <c r="F110" s="23" t="s">
        <v>16</v>
      </c>
      <c r="G110" s="23" t="s">
        <v>16</v>
      </c>
      <c r="H110" s="23" t="s">
        <v>16</v>
      </c>
    </row>
    <row r="111" spans="1:8">
      <c r="A111" s="53"/>
      <c r="E111" s="23" t="s">
        <v>16</v>
      </c>
      <c r="F111" s="23" t="s">
        <v>16</v>
      </c>
      <c r="G111" s="23" t="s">
        <v>16</v>
      </c>
      <c r="H111" s="23" t="s">
        <v>16</v>
      </c>
    </row>
    <row r="112" spans="1:8">
      <c r="A112" s="53"/>
      <c r="E112" s="23" t="s">
        <v>16</v>
      </c>
      <c r="F112" s="23" t="s">
        <v>16</v>
      </c>
      <c r="G112" s="23" t="s">
        <v>16</v>
      </c>
      <c r="H112" s="23" t="s">
        <v>16</v>
      </c>
    </row>
    <row r="113" spans="1:8">
      <c r="A113" s="53"/>
      <c r="E113" s="23" t="s">
        <v>16</v>
      </c>
      <c r="F113" s="23" t="s">
        <v>16</v>
      </c>
      <c r="G113" s="23" t="s">
        <v>16</v>
      </c>
      <c r="H113" s="23" t="s">
        <v>16</v>
      </c>
    </row>
    <row r="114" spans="1:8">
      <c r="A114" s="53"/>
      <c r="E114" s="23" t="s">
        <v>16</v>
      </c>
      <c r="F114" s="23" t="s">
        <v>16</v>
      </c>
      <c r="G114" s="23" t="s">
        <v>16</v>
      </c>
      <c r="H114" s="23" t="s">
        <v>16</v>
      </c>
    </row>
    <row r="115" spans="1:8">
      <c r="A115" s="53"/>
      <c r="E115" s="23" t="s">
        <v>16</v>
      </c>
      <c r="F115" s="23" t="s">
        <v>16</v>
      </c>
      <c r="G115" s="23" t="s">
        <v>16</v>
      </c>
      <c r="H115" s="23" t="s">
        <v>16</v>
      </c>
    </row>
    <row r="116" spans="1:8">
      <c r="A116" s="53"/>
      <c r="E116" s="23" t="s">
        <v>16</v>
      </c>
      <c r="F116" s="23" t="s">
        <v>16</v>
      </c>
      <c r="G116" s="23" t="s">
        <v>16</v>
      </c>
      <c r="H116" s="23" t="s">
        <v>16</v>
      </c>
    </row>
    <row r="117" spans="1:8">
      <c r="A117" s="53"/>
      <c r="E117" s="23" t="s">
        <v>16</v>
      </c>
      <c r="F117" s="23" t="s">
        <v>16</v>
      </c>
      <c r="G117" s="23" t="s">
        <v>16</v>
      </c>
      <c r="H117" s="23" t="s">
        <v>16</v>
      </c>
    </row>
    <row r="118" spans="1:8">
      <c r="A118" s="53"/>
      <c r="E118" s="23" t="s">
        <v>16</v>
      </c>
      <c r="F118" s="23" t="s">
        <v>16</v>
      </c>
      <c r="G118" s="23" t="s">
        <v>16</v>
      </c>
      <c r="H118" s="23" t="s">
        <v>16</v>
      </c>
    </row>
    <row r="119" spans="1:8">
      <c r="A119" s="53"/>
      <c r="E119" s="23" t="s">
        <v>16</v>
      </c>
      <c r="F119" s="23" t="s">
        <v>16</v>
      </c>
      <c r="G119" s="23" t="s">
        <v>16</v>
      </c>
      <c r="H119" s="23" t="s">
        <v>16</v>
      </c>
    </row>
    <row r="120" spans="1:8">
      <c r="A120" s="53"/>
      <c r="E120" s="23" t="s">
        <v>16</v>
      </c>
      <c r="F120" s="23" t="s">
        <v>16</v>
      </c>
      <c r="G120" s="23" t="s">
        <v>16</v>
      </c>
      <c r="H120" s="23" t="s">
        <v>16</v>
      </c>
    </row>
    <row r="121" spans="1:8">
      <c r="A121" s="53"/>
      <c r="E121" s="23" t="s">
        <v>16</v>
      </c>
      <c r="F121" s="23" t="s">
        <v>16</v>
      </c>
      <c r="G121" s="23" t="s">
        <v>16</v>
      </c>
      <c r="H121" s="23" t="s">
        <v>16</v>
      </c>
    </row>
    <row r="122" spans="1:8">
      <c r="A122" s="53"/>
      <c r="E122" s="23" t="s">
        <v>16</v>
      </c>
      <c r="F122" s="23" t="s">
        <v>16</v>
      </c>
      <c r="G122" s="23" t="s">
        <v>16</v>
      </c>
      <c r="H122" s="23" t="s">
        <v>16</v>
      </c>
    </row>
    <row r="123" spans="1:8">
      <c r="A123" s="53"/>
      <c r="E123" s="23" t="s">
        <v>16</v>
      </c>
      <c r="F123" s="23" t="s">
        <v>16</v>
      </c>
      <c r="G123" s="23" t="s">
        <v>16</v>
      </c>
      <c r="H123" s="23" t="s">
        <v>16</v>
      </c>
    </row>
    <row r="124" spans="1:8">
      <c r="A124" s="53"/>
      <c r="E124" s="23" t="s">
        <v>16</v>
      </c>
      <c r="F124" s="23" t="s">
        <v>16</v>
      </c>
      <c r="G124" s="23" t="s">
        <v>16</v>
      </c>
      <c r="H124" s="23" t="s">
        <v>16</v>
      </c>
    </row>
    <row r="125" spans="1:8">
      <c r="A125" s="53"/>
      <c r="E125" s="23" t="s">
        <v>16</v>
      </c>
      <c r="F125" s="23" t="s">
        <v>16</v>
      </c>
      <c r="G125" s="23" t="s">
        <v>16</v>
      </c>
      <c r="H125" s="23" t="s">
        <v>16</v>
      </c>
    </row>
    <row r="126" spans="1:8">
      <c r="A126" s="53"/>
      <c r="E126" s="23" t="s">
        <v>16</v>
      </c>
      <c r="F126" s="23" t="s">
        <v>16</v>
      </c>
      <c r="G126" s="23" t="s">
        <v>16</v>
      </c>
      <c r="H126" s="23" t="s">
        <v>16</v>
      </c>
    </row>
    <row r="127" spans="1:8">
      <c r="A127" s="53"/>
      <c r="E127" s="23" t="s">
        <v>16</v>
      </c>
      <c r="F127" s="23" t="s">
        <v>16</v>
      </c>
      <c r="G127" s="23" t="s">
        <v>16</v>
      </c>
      <c r="H127" s="23" t="s">
        <v>16</v>
      </c>
    </row>
    <row r="128" spans="1:8">
      <c r="A128" s="53"/>
      <c r="E128" s="23" t="s">
        <v>16</v>
      </c>
      <c r="F128" s="23" t="s">
        <v>16</v>
      </c>
      <c r="G128" s="23" t="s">
        <v>16</v>
      </c>
      <c r="H128" s="23" t="s">
        <v>16</v>
      </c>
    </row>
    <row r="129" spans="1:8">
      <c r="A129" s="53"/>
      <c r="E129" s="23" t="s">
        <v>16</v>
      </c>
      <c r="F129" s="23" t="s">
        <v>16</v>
      </c>
      <c r="G129" s="23" t="s">
        <v>16</v>
      </c>
      <c r="H129" s="23" t="s">
        <v>16</v>
      </c>
    </row>
    <row r="130" spans="1:8">
      <c r="A130" s="53"/>
      <c r="E130" s="23" t="s">
        <v>16</v>
      </c>
      <c r="F130" s="23" t="s">
        <v>16</v>
      </c>
      <c r="G130" s="23" t="s">
        <v>16</v>
      </c>
      <c r="H130" s="23" t="s">
        <v>16</v>
      </c>
    </row>
    <row r="131" spans="1:8">
      <c r="A131" s="53"/>
      <c r="E131" s="23" t="s">
        <v>16</v>
      </c>
      <c r="F131" s="23" t="s">
        <v>16</v>
      </c>
      <c r="G131" s="23" t="s">
        <v>16</v>
      </c>
      <c r="H131" s="23" t="s">
        <v>16</v>
      </c>
    </row>
    <row r="132" spans="1:8">
      <c r="A132" s="53"/>
      <c r="E132" s="23" t="s">
        <v>16</v>
      </c>
      <c r="F132" s="23" t="s">
        <v>16</v>
      </c>
      <c r="G132" s="23" t="s">
        <v>16</v>
      </c>
      <c r="H132" s="23" t="s">
        <v>16</v>
      </c>
    </row>
    <row r="133" spans="1:8">
      <c r="A133" s="53"/>
      <c r="E133" s="23" t="s">
        <v>16</v>
      </c>
      <c r="F133" s="23" t="s">
        <v>16</v>
      </c>
      <c r="G133" s="23" t="s">
        <v>16</v>
      </c>
      <c r="H133" s="23" t="s">
        <v>16</v>
      </c>
    </row>
    <row r="134" spans="1:8">
      <c r="A134" s="53"/>
      <c r="E134" s="23" t="s">
        <v>16</v>
      </c>
      <c r="F134" s="23" t="s">
        <v>16</v>
      </c>
      <c r="G134" s="23" t="s">
        <v>16</v>
      </c>
      <c r="H134" s="23" t="s">
        <v>16</v>
      </c>
    </row>
    <row r="135" spans="1:8">
      <c r="A135" s="53"/>
      <c r="E135" s="23" t="s">
        <v>16</v>
      </c>
      <c r="F135" s="23" t="s">
        <v>16</v>
      </c>
      <c r="G135" s="23" t="s">
        <v>16</v>
      </c>
      <c r="H135" s="23" t="s">
        <v>16</v>
      </c>
    </row>
    <row r="136" spans="1:8">
      <c r="A136" s="53"/>
      <c r="E136" s="23" t="s">
        <v>16</v>
      </c>
      <c r="F136" s="23" t="s">
        <v>16</v>
      </c>
      <c r="G136" s="23" t="s">
        <v>16</v>
      </c>
      <c r="H136" s="23" t="s">
        <v>16</v>
      </c>
    </row>
    <row r="137" spans="1:8">
      <c r="A137" s="53"/>
      <c r="E137" s="23" t="s">
        <v>16</v>
      </c>
      <c r="F137" s="23" t="s">
        <v>16</v>
      </c>
      <c r="G137" s="23" t="s">
        <v>16</v>
      </c>
      <c r="H137" s="23" t="s">
        <v>16</v>
      </c>
    </row>
    <row r="138" spans="1:8">
      <c r="A138" s="53"/>
      <c r="E138" s="23" t="s">
        <v>16</v>
      </c>
      <c r="F138" s="23" t="s">
        <v>16</v>
      </c>
      <c r="G138" s="23" t="s">
        <v>16</v>
      </c>
      <c r="H138" s="23" t="s">
        <v>16</v>
      </c>
    </row>
    <row r="139" spans="1:8">
      <c r="A139" s="53"/>
      <c r="E139" s="23" t="s">
        <v>16</v>
      </c>
      <c r="F139" s="23" t="s">
        <v>16</v>
      </c>
      <c r="G139" s="23" t="s">
        <v>16</v>
      </c>
      <c r="H139" s="23" t="s">
        <v>16</v>
      </c>
    </row>
    <row r="140" spans="1:8">
      <c r="A140" s="53"/>
      <c r="E140" s="23" t="s">
        <v>16</v>
      </c>
      <c r="F140" s="23" t="s">
        <v>16</v>
      </c>
      <c r="G140" s="23" t="s">
        <v>16</v>
      </c>
      <c r="H140" s="23" t="s">
        <v>16</v>
      </c>
    </row>
    <row r="141" spans="1:8">
      <c r="A141" s="53"/>
      <c r="E141" s="23" t="s">
        <v>16</v>
      </c>
      <c r="F141" s="23" t="s">
        <v>16</v>
      </c>
      <c r="G141" s="23" t="s">
        <v>16</v>
      </c>
      <c r="H141" s="23" t="s">
        <v>16</v>
      </c>
    </row>
    <row r="142" spans="1:8">
      <c r="A142" s="53"/>
      <c r="E142" s="23" t="s">
        <v>16</v>
      </c>
      <c r="F142" s="23" t="s">
        <v>16</v>
      </c>
      <c r="G142" s="23" t="s">
        <v>16</v>
      </c>
      <c r="H142" s="23" t="s">
        <v>16</v>
      </c>
    </row>
    <row r="143" spans="1:8">
      <c r="A143" s="53"/>
      <c r="E143" s="23" t="s">
        <v>16</v>
      </c>
      <c r="F143" s="23" t="s">
        <v>16</v>
      </c>
      <c r="G143" s="23" t="s">
        <v>16</v>
      </c>
      <c r="H143" s="23" t="s">
        <v>16</v>
      </c>
    </row>
    <row r="144" spans="1:8">
      <c r="A144" s="53"/>
      <c r="E144" s="23" t="s">
        <v>16</v>
      </c>
      <c r="F144" s="23" t="s">
        <v>16</v>
      </c>
      <c r="G144" s="23" t="s">
        <v>16</v>
      </c>
      <c r="H144" s="23" t="s">
        <v>16</v>
      </c>
    </row>
    <row r="145" spans="1:8">
      <c r="A145" s="53"/>
      <c r="E145" s="23" t="s">
        <v>16</v>
      </c>
      <c r="F145" s="23" t="s">
        <v>16</v>
      </c>
      <c r="G145" s="23" t="s">
        <v>16</v>
      </c>
      <c r="H145" s="23" t="s">
        <v>16</v>
      </c>
    </row>
    <row r="146" spans="1:8">
      <c r="A146" s="53"/>
      <c r="E146" s="23" t="s">
        <v>16</v>
      </c>
      <c r="F146" s="23" t="s">
        <v>16</v>
      </c>
      <c r="G146" s="23" t="s">
        <v>16</v>
      </c>
      <c r="H146" s="23" t="s">
        <v>16</v>
      </c>
    </row>
    <row r="147" spans="1:8">
      <c r="A147" s="53"/>
      <c r="E147" s="23" t="s">
        <v>16</v>
      </c>
      <c r="F147" s="23" t="s">
        <v>16</v>
      </c>
      <c r="G147" s="23" t="s">
        <v>16</v>
      </c>
      <c r="H147" s="23" t="s">
        <v>16</v>
      </c>
    </row>
    <row r="148" spans="1:8">
      <c r="A148" s="53"/>
      <c r="E148" s="23" t="s">
        <v>16</v>
      </c>
      <c r="F148" s="23" t="s">
        <v>16</v>
      </c>
      <c r="G148" s="23" t="s">
        <v>16</v>
      </c>
      <c r="H148" s="23" t="s">
        <v>16</v>
      </c>
    </row>
    <row r="149" spans="1:8">
      <c r="A149" s="53"/>
      <c r="E149" s="23" t="s">
        <v>16</v>
      </c>
      <c r="F149" s="23" t="s">
        <v>16</v>
      </c>
      <c r="G149" s="23" t="s">
        <v>16</v>
      </c>
      <c r="H149" s="23" t="s">
        <v>16</v>
      </c>
    </row>
    <row r="150" spans="1:8">
      <c r="A150" s="53"/>
      <c r="E150" s="23" t="s">
        <v>16</v>
      </c>
      <c r="F150" s="23" t="s">
        <v>16</v>
      </c>
      <c r="G150" s="23" t="s">
        <v>16</v>
      </c>
      <c r="H150" s="23" t="s">
        <v>16</v>
      </c>
    </row>
    <row r="151" spans="1:8">
      <c r="A151" s="53"/>
      <c r="E151" s="23" t="s">
        <v>16</v>
      </c>
      <c r="F151" s="23" t="s">
        <v>16</v>
      </c>
      <c r="G151" s="23" t="s">
        <v>16</v>
      </c>
      <c r="H151" s="23" t="s">
        <v>16</v>
      </c>
    </row>
    <row r="152" spans="1:8">
      <c r="A152" s="53"/>
      <c r="E152" s="23" t="s">
        <v>16</v>
      </c>
      <c r="F152" s="23" t="s">
        <v>16</v>
      </c>
      <c r="G152" s="23" t="s">
        <v>16</v>
      </c>
      <c r="H152" s="23" t="s">
        <v>16</v>
      </c>
    </row>
    <row r="153" spans="1:8">
      <c r="A153" s="53"/>
      <c r="E153" s="23" t="s">
        <v>16</v>
      </c>
      <c r="F153" s="23" t="s">
        <v>16</v>
      </c>
      <c r="G153" s="23" t="s">
        <v>16</v>
      </c>
      <c r="H153" s="23" t="s">
        <v>16</v>
      </c>
    </row>
    <row r="154" spans="1:8">
      <c r="A154" s="53"/>
      <c r="E154" s="23" t="s">
        <v>16</v>
      </c>
      <c r="F154" s="23" t="s">
        <v>16</v>
      </c>
      <c r="G154" s="23" t="s">
        <v>16</v>
      </c>
      <c r="H154" s="23" t="s">
        <v>16</v>
      </c>
    </row>
    <row r="155" spans="1:8">
      <c r="A155" s="53"/>
      <c r="E155" s="23" t="s">
        <v>16</v>
      </c>
      <c r="F155" s="23" t="s">
        <v>16</v>
      </c>
      <c r="G155" s="23" t="s">
        <v>16</v>
      </c>
      <c r="H155" s="23" t="s">
        <v>16</v>
      </c>
    </row>
    <row r="156" spans="1:8">
      <c r="A156" s="53"/>
      <c r="E156" s="23" t="s">
        <v>16</v>
      </c>
      <c r="F156" s="23" t="s">
        <v>16</v>
      </c>
      <c r="G156" s="23" t="s">
        <v>16</v>
      </c>
      <c r="H156" s="23" t="s">
        <v>16</v>
      </c>
    </row>
    <row r="157" spans="1:8">
      <c r="A157" s="53"/>
      <c r="E157" s="23" t="s">
        <v>16</v>
      </c>
      <c r="F157" s="23" t="s">
        <v>16</v>
      </c>
      <c r="G157" s="23" t="s">
        <v>16</v>
      </c>
      <c r="H157" s="23" t="s">
        <v>16</v>
      </c>
    </row>
    <row r="158" spans="1:8">
      <c r="A158" s="53"/>
      <c r="E158" s="23" t="s">
        <v>16</v>
      </c>
      <c r="F158" s="23" t="s">
        <v>16</v>
      </c>
      <c r="G158" s="23" t="s">
        <v>16</v>
      </c>
      <c r="H158" s="23" t="s">
        <v>16</v>
      </c>
    </row>
    <row r="159" spans="1:8">
      <c r="A159" s="53"/>
      <c r="E159" s="23" t="s">
        <v>16</v>
      </c>
      <c r="F159" s="23" t="s">
        <v>16</v>
      </c>
      <c r="G159" s="23" t="s">
        <v>16</v>
      </c>
      <c r="H159" s="23" t="s">
        <v>16</v>
      </c>
    </row>
    <row r="160" spans="1:8">
      <c r="A160" s="53"/>
      <c r="E160" s="23" t="s">
        <v>16</v>
      </c>
      <c r="F160" s="23" t="s">
        <v>16</v>
      </c>
      <c r="G160" s="23" t="s">
        <v>16</v>
      </c>
      <c r="H160" s="23" t="s">
        <v>16</v>
      </c>
    </row>
    <row r="161" spans="1:8">
      <c r="A161" s="53"/>
      <c r="E161" s="23" t="s">
        <v>16</v>
      </c>
      <c r="F161" s="23" t="s">
        <v>16</v>
      </c>
      <c r="G161" s="23" t="s">
        <v>16</v>
      </c>
      <c r="H161" s="23" t="s">
        <v>16</v>
      </c>
    </row>
    <row r="162" spans="1:8">
      <c r="A162" s="53"/>
      <c r="E162" s="23" t="s">
        <v>16</v>
      </c>
      <c r="F162" s="23" t="s">
        <v>16</v>
      </c>
      <c r="G162" s="23" t="s">
        <v>16</v>
      </c>
      <c r="H162" s="23" t="s">
        <v>16</v>
      </c>
    </row>
    <row r="163" spans="1:8">
      <c r="A163" s="53"/>
      <c r="E163" s="23" t="s">
        <v>16</v>
      </c>
      <c r="F163" s="23" t="s">
        <v>16</v>
      </c>
      <c r="G163" s="23" t="s">
        <v>16</v>
      </c>
      <c r="H163" s="23" t="s">
        <v>16</v>
      </c>
    </row>
    <row r="164" spans="1:8">
      <c r="A164" s="53"/>
      <c r="E164" s="23" t="s">
        <v>16</v>
      </c>
      <c r="F164" s="23" t="s">
        <v>16</v>
      </c>
      <c r="G164" s="23" t="s">
        <v>16</v>
      </c>
      <c r="H164" s="23" t="s">
        <v>16</v>
      </c>
    </row>
    <row r="165" spans="1:8">
      <c r="A165" s="53"/>
      <c r="E165" s="23" t="s">
        <v>16</v>
      </c>
      <c r="F165" s="23" t="s">
        <v>16</v>
      </c>
      <c r="G165" s="23" t="s">
        <v>16</v>
      </c>
      <c r="H165" s="23" t="s">
        <v>16</v>
      </c>
    </row>
    <row r="166" spans="1:8">
      <c r="A166" s="53"/>
      <c r="E166" s="23" t="s">
        <v>16</v>
      </c>
      <c r="F166" s="23" t="s">
        <v>16</v>
      </c>
      <c r="G166" s="23" t="s">
        <v>16</v>
      </c>
      <c r="H166" s="23" t="s">
        <v>16</v>
      </c>
    </row>
    <row r="167" spans="1:8">
      <c r="A167" s="53"/>
      <c r="E167" s="23" t="s">
        <v>16</v>
      </c>
      <c r="F167" s="23" t="s">
        <v>16</v>
      </c>
      <c r="G167" s="23" t="s">
        <v>16</v>
      </c>
      <c r="H167" s="23" t="s">
        <v>16</v>
      </c>
    </row>
    <row r="168" spans="1:8">
      <c r="A168" s="53"/>
      <c r="E168" s="23" t="s">
        <v>16</v>
      </c>
      <c r="F168" s="23" t="s">
        <v>16</v>
      </c>
      <c r="G168" s="23" t="s">
        <v>16</v>
      </c>
      <c r="H168" s="23" t="s">
        <v>16</v>
      </c>
    </row>
    <row r="169" spans="1:8">
      <c r="A169" s="53"/>
      <c r="E169" s="23" t="s">
        <v>16</v>
      </c>
      <c r="F169" s="23" t="s">
        <v>16</v>
      </c>
      <c r="G169" s="23" t="s">
        <v>16</v>
      </c>
      <c r="H169" s="23" t="s">
        <v>16</v>
      </c>
    </row>
    <row r="170" spans="1:8">
      <c r="A170" s="53"/>
      <c r="E170" s="23" t="s">
        <v>16</v>
      </c>
      <c r="F170" s="23" t="s">
        <v>16</v>
      </c>
      <c r="G170" s="23" t="s">
        <v>16</v>
      </c>
      <c r="H170" s="23" t="s">
        <v>16</v>
      </c>
    </row>
    <row r="171" spans="1:8">
      <c r="A171" s="53"/>
      <c r="E171" s="23" t="s">
        <v>16</v>
      </c>
      <c r="F171" s="23" t="s">
        <v>16</v>
      </c>
      <c r="G171" s="23" t="s">
        <v>16</v>
      </c>
      <c r="H171" s="23" t="s">
        <v>16</v>
      </c>
    </row>
    <row r="172" spans="1:8">
      <c r="A172" s="53"/>
      <c r="E172" s="23" t="s">
        <v>16</v>
      </c>
      <c r="F172" s="23" t="s">
        <v>16</v>
      </c>
      <c r="G172" s="23" t="s">
        <v>16</v>
      </c>
      <c r="H172" s="23" t="s">
        <v>16</v>
      </c>
    </row>
    <row r="173" spans="1:8">
      <c r="A173" s="53"/>
      <c r="E173" s="23" t="s">
        <v>16</v>
      </c>
      <c r="F173" s="23" t="s">
        <v>16</v>
      </c>
      <c r="G173" s="23" t="s">
        <v>16</v>
      </c>
      <c r="H173" s="23" t="s">
        <v>16</v>
      </c>
    </row>
    <row r="174" spans="1:8">
      <c r="A174" s="53"/>
      <c r="E174" s="23" t="s">
        <v>16</v>
      </c>
      <c r="F174" s="23" t="s">
        <v>16</v>
      </c>
      <c r="G174" s="23" t="s">
        <v>16</v>
      </c>
      <c r="H174" s="23" t="s">
        <v>16</v>
      </c>
    </row>
    <row r="175" spans="1:8">
      <c r="A175" s="53"/>
      <c r="E175" s="23" t="s">
        <v>16</v>
      </c>
      <c r="F175" s="23" t="s">
        <v>16</v>
      </c>
      <c r="G175" s="23" t="s">
        <v>16</v>
      </c>
      <c r="H175" s="23" t="s">
        <v>16</v>
      </c>
    </row>
    <row r="176" spans="1:8">
      <c r="A176" s="53"/>
      <c r="E176" s="23" t="s">
        <v>16</v>
      </c>
      <c r="F176" s="23" t="s">
        <v>16</v>
      </c>
      <c r="G176" s="23" t="s">
        <v>16</v>
      </c>
      <c r="H176" s="23" t="s">
        <v>16</v>
      </c>
    </row>
    <row r="177" spans="1:8">
      <c r="A177" s="53"/>
      <c r="E177" s="23" t="s">
        <v>16</v>
      </c>
      <c r="F177" s="23" t="s">
        <v>16</v>
      </c>
      <c r="G177" s="23" t="s">
        <v>16</v>
      </c>
      <c r="H177" s="23" t="s">
        <v>16</v>
      </c>
    </row>
    <row r="178" spans="1:8">
      <c r="A178" s="53"/>
      <c r="E178" s="23" t="s">
        <v>16</v>
      </c>
      <c r="F178" s="23" t="s">
        <v>16</v>
      </c>
      <c r="G178" s="23" t="s">
        <v>16</v>
      </c>
      <c r="H178" s="23" t="s">
        <v>16</v>
      </c>
    </row>
    <row r="179" spans="1:8">
      <c r="A179" s="53"/>
      <c r="E179" s="23" t="s">
        <v>16</v>
      </c>
      <c r="F179" s="23" t="s">
        <v>16</v>
      </c>
      <c r="G179" s="23" t="s">
        <v>16</v>
      </c>
      <c r="H179" s="23" t="s">
        <v>16</v>
      </c>
    </row>
    <row r="180" spans="1:8">
      <c r="A180" s="53"/>
      <c r="E180" s="23" t="s">
        <v>16</v>
      </c>
      <c r="F180" s="23" t="s">
        <v>16</v>
      </c>
      <c r="G180" s="23" t="s">
        <v>16</v>
      </c>
      <c r="H180" s="23" t="s">
        <v>16</v>
      </c>
    </row>
    <row r="181" spans="1:8">
      <c r="A181" s="53"/>
      <c r="E181" s="23" t="s">
        <v>16</v>
      </c>
      <c r="F181" s="23" t="s">
        <v>16</v>
      </c>
      <c r="G181" s="23" t="s">
        <v>16</v>
      </c>
      <c r="H181" s="23" t="s">
        <v>16</v>
      </c>
    </row>
    <row r="182" spans="1:8">
      <c r="A182" s="53"/>
      <c r="E182" s="23" t="s">
        <v>16</v>
      </c>
      <c r="F182" s="23" t="s">
        <v>16</v>
      </c>
      <c r="G182" s="23" t="s">
        <v>16</v>
      </c>
      <c r="H182" s="23" t="s">
        <v>16</v>
      </c>
    </row>
    <row r="183" spans="1:8">
      <c r="A183" s="53"/>
      <c r="E183" s="23" t="s">
        <v>16</v>
      </c>
      <c r="F183" s="23" t="s">
        <v>16</v>
      </c>
      <c r="G183" s="23" t="s">
        <v>16</v>
      </c>
      <c r="H183" s="23" t="s">
        <v>16</v>
      </c>
    </row>
    <row r="184" spans="1:8">
      <c r="A184" s="53"/>
      <c r="E184" s="23" t="s">
        <v>16</v>
      </c>
      <c r="F184" s="23" t="s">
        <v>16</v>
      </c>
      <c r="G184" s="23" t="s">
        <v>16</v>
      </c>
      <c r="H184" s="23" t="s">
        <v>16</v>
      </c>
    </row>
    <row r="185" spans="1:8">
      <c r="A185" s="53"/>
      <c r="E185" s="23" t="s">
        <v>16</v>
      </c>
      <c r="F185" s="23" t="s">
        <v>16</v>
      </c>
      <c r="G185" s="23" t="s">
        <v>16</v>
      </c>
      <c r="H185" s="23" t="s">
        <v>16</v>
      </c>
    </row>
    <row r="186" spans="1:8">
      <c r="A186" s="53"/>
      <c r="E186" s="23" t="s">
        <v>16</v>
      </c>
      <c r="F186" s="23" t="s">
        <v>16</v>
      </c>
      <c r="G186" s="23" t="s">
        <v>16</v>
      </c>
      <c r="H186" s="23" t="s">
        <v>16</v>
      </c>
    </row>
    <row r="187" spans="1:8">
      <c r="A187" s="53"/>
      <c r="E187" s="23" t="s">
        <v>16</v>
      </c>
      <c r="F187" s="23" t="s">
        <v>16</v>
      </c>
      <c r="G187" s="23" t="s">
        <v>16</v>
      </c>
      <c r="H187" s="23" t="s">
        <v>16</v>
      </c>
    </row>
    <row r="188" spans="1:8">
      <c r="A188" s="53"/>
      <c r="E188" s="23" t="s">
        <v>16</v>
      </c>
      <c r="F188" s="23" t="s">
        <v>16</v>
      </c>
      <c r="G188" s="23" t="s">
        <v>16</v>
      </c>
      <c r="H188" s="23" t="s">
        <v>16</v>
      </c>
    </row>
    <row r="189" spans="1:8">
      <c r="A189" s="53"/>
      <c r="E189" s="23" t="s">
        <v>16</v>
      </c>
      <c r="F189" s="23" t="s">
        <v>16</v>
      </c>
      <c r="G189" s="23" t="s">
        <v>16</v>
      </c>
      <c r="H189" s="23" t="s">
        <v>16</v>
      </c>
    </row>
    <row r="190" spans="1:8">
      <c r="A190" s="53"/>
      <c r="E190" s="23" t="s">
        <v>16</v>
      </c>
      <c r="F190" s="23" t="s">
        <v>16</v>
      </c>
      <c r="G190" s="23" t="s">
        <v>16</v>
      </c>
      <c r="H190" s="23" t="s">
        <v>16</v>
      </c>
    </row>
    <row r="191" spans="1:8">
      <c r="A191" s="53"/>
      <c r="E191" s="23" t="s">
        <v>16</v>
      </c>
      <c r="F191" s="23" t="s">
        <v>16</v>
      </c>
      <c r="G191" s="23" t="s">
        <v>16</v>
      </c>
      <c r="H191" s="23" t="s">
        <v>16</v>
      </c>
    </row>
    <row r="192" spans="1:8">
      <c r="A192" s="53"/>
      <c r="E192" s="23" t="s">
        <v>16</v>
      </c>
      <c r="F192" s="23" t="s">
        <v>16</v>
      </c>
      <c r="G192" s="23" t="s">
        <v>16</v>
      </c>
      <c r="H192" s="23" t="s">
        <v>16</v>
      </c>
    </row>
    <row r="193" spans="1:8">
      <c r="A193" s="53"/>
      <c r="E193" s="23" t="s">
        <v>16</v>
      </c>
      <c r="F193" s="23" t="s">
        <v>16</v>
      </c>
      <c r="G193" s="23" t="s">
        <v>16</v>
      </c>
      <c r="H193" s="23" t="s">
        <v>16</v>
      </c>
    </row>
    <row r="194" spans="1:8">
      <c r="A194" s="53"/>
      <c r="E194" s="23" t="s">
        <v>16</v>
      </c>
      <c r="F194" s="23" t="s">
        <v>16</v>
      </c>
      <c r="G194" s="23" t="s">
        <v>16</v>
      </c>
      <c r="H194" s="23" t="s">
        <v>16</v>
      </c>
    </row>
    <row r="195" spans="1:8">
      <c r="A195" s="53"/>
      <c r="E195" s="23" t="s">
        <v>16</v>
      </c>
      <c r="F195" s="23" t="s">
        <v>16</v>
      </c>
      <c r="G195" s="23" t="s">
        <v>16</v>
      </c>
      <c r="H195" s="23" t="s">
        <v>16</v>
      </c>
    </row>
    <row r="196" spans="1:8">
      <c r="A196" s="53"/>
      <c r="E196" s="23" t="s">
        <v>16</v>
      </c>
      <c r="F196" s="23" t="s">
        <v>16</v>
      </c>
      <c r="G196" s="23" t="s">
        <v>16</v>
      </c>
      <c r="H196" s="23" t="s">
        <v>16</v>
      </c>
    </row>
    <row r="197" spans="1:8">
      <c r="A197" s="53"/>
      <c r="E197" s="23" t="s">
        <v>16</v>
      </c>
      <c r="F197" s="23" t="s">
        <v>16</v>
      </c>
      <c r="G197" s="23" t="s">
        <v>16</v>
      </c>
      <c r="H197" s="23" t="s">
        <v>16</v>
      </c>
    </row>
    <row r="198" spans="1:8">
      <c r="A198" s="53"/>
      <c r="E198" s="23" t="s">
        <v>16</v>
      </c>
      <c r="F198" s="23" t="s">
        <v>16</v>
      </c>
      <c r="G198" s="23" t="s">
        <v>16</v>
      </c>
      <c r="H198" s="23" t="s">
        <v>16</v>
      </c>
    </row>
    <row r="199" spans="1:8">
      <c r="A199" s="53"/>
      <c r="E199" s="23" t="s">
        <v>16</v>
      </c>
      <c r="F199" s="23" t="s">
        <v>16</v>
      </c>
      <c r="G199" s="23" t="s">
        <v>16</v>
      </c>
      <c r="H199" s="23" t="s">
        <v>16</v>
      </c>
    </row>
    <row r="200" spans="1:8">
      <c r="A200" s="53"/>
      <c r="E200" s="23" t="s">
        <v>16</v>
      </c>
      <c r="F200" s="23" t="s">
        <v>16</v>
      </c>
      <c r="G200" s="23" t="s">
        <v>16</v>
      </c>
      <c r="H200" s="23" t="s">
        <v>16</v>
      </c>
    </row>
    <row r="201" spans="1:8">
      <c r="A201" s="53"/>
      <c r="E201" s="23" t="s">
        <v>16</v>
      </c>
      <c r="F201" s="23" t="s">
        <v>16</v>
      </c>
      <c r="G201" s="23" t="s">
        <v>16</v>
      </c>
      <c r="H201" s="23" t="s">
        <v>16</v>
      </c>
    </row>
    <row r="202" spans="1:8">
      <c r="A202" s="53"/>
      <c r="E202" s="23"/>
      <c r="F202" s="23"/>
      <c r="G202" s="23"/>
      <c r="H202" s="23"/>
    </row>
    <row r="203" spans="1:8">
      <c r="A203" s="53"/>
      <c r="E203" s="23"/>
      <c r="F203" s="23"/>
      <c r="G203" s="23"/>
      <c r="H203" s="23"/>
    </row>
    <row r="204" spans="1:8">
      <c r="A204" s="53"/>
      <c r="E204" s="23"/>
      <c r="F204" s="23"/>
      <c r="G204" s="23"/>
      <c r="H204" s="23"/>
    </row>
    <row r="205" spans="1:8">
      <c r="A205" s="53"/>
      <c r="E205" s="23"/>
      <c r="F205" s="23"/>
      <c r="G205" s="23"/>
      <c r="H205" s="23"/>
    </row>
    <row r="206" spans="1:8">
      <c r="A206" s="53"/>
      <c r="E206" s="23"/>
      <c r="F206" s="23"/>
      <c r="G206" s="23"/>
      <c r="H206" s="23"/>
    </row>
    <row r="207" spans="1:8">
      <c r="A207" s="53"/>
      <c r="E207" s="23"/>
      <c r="F207" s="23"/>
      <c r="G207" s="23"/>
      <c r="H207" s="23"/>
    </row>
    <row r="208" spans="1:8">
      <c r="A208" s="53"/>
      <c r="E208" s="23"/>
      <c r="F208" s="23"/>
      <c r="G208" s="23"/>
      <c r="H208" s="23"/>
    </row>
    <row r="209" spans="1:8">
      <c r="A209" s="53"/>
      <c r="E209" s="23"/>
      <c r="F209" s="23"/>
      <c r="G209" s="23"/>
      <c r="H209" s="23"/>
    </row>
    <row r="210" spans="1:8">
      <c r="A210" s="53"/>
      <c r="E210" s="23"/>
      <c r="F210" s="23"/>
      <c r="G210" s="23"/>
      <c r="H210" s="23"/>
    </row>
    <row r="211" spans="1:8">
      <c r="A211" s="53"/>
      <c r="E211" s="23"/>
      <c r="F211" s="23"/>
      <c r="G211" s="23"/>
      <c r="H211" s="23"/>
    </row>
    <row r="212" spans="1:8">
      <c r="A212" s="53"/>
      <c r="E212" s="23"/>
      <c r="F212" s="23"/>
      <c r="G212" s="23"/>
      <c r="H212" s="23"/>
    </row>
    <row r="213" spans="1:8">
      <c r="A213" s="53"/>
      <c r="E213" s="23"/>
      <c r="F213" s="23"/>
      <c r="G213" s="23"/>
      <c r="H213" s="23"/>
    </row>
    <row r="214" spans="1:8">
      <c r="A214" s="53"/>
      <c r="E214" s="23"/>
      <c r="F214" s="23"/>
      <c r="G214" s="23"/>
      <c r="H214" s="23"/>
    </row>
    <row r="215" spans="1:8">
      <c r="A215" s="53"/>
      <c r="E215" s="23"/>
      <c r="F215" s="23"/>
      <c r="G215" s="23"/>
      <c r="H215" s="23"/>
    </row>
    <row r="216" spans="1:8">
      <c r="A216" s="53"/>
      <c r="E216" s="23"/>
      <c r="F216" s="23"/>
      <c r="G216" s="23"/>
      <c r="H216" s="23"/>
    </row>
    <row r="217" spans="1:8">
      <c r="A217" s="53"/>
      <c r="E217" s="23"/>
      <c r="F217" s="23"/>
      <c r="G217" s="23"/>
      <c r="H217" s="23"/>
    </row>
    <row r="218" spans="1:8">
      <c r="A218" s="53"/>
      <c r="E218" s="23"/>
      <c r="F218" s="23"/>
      <c r="G218" s="23"/>
      <c r="H218" s="23"/>
    </row>
    <row r="219" spans="1:8">
      <c r="A219" s="53"/>
      <c r="E219" s="23"/>
      <c r="F219" s="23"/>
      <c r="G219" s="23"/>
      <c r="H219" s="23"/>
    </row>
    <row r="220" spans="1:8">
      <c r="A220" s="53"/>
      <c r="E220" s="23"/>
      <c r="F220" s="23"/>
      <c r="G220" s="23"/>
      <c r="H220" s="23"/>
    </row>
    <row r="221" spans="1:8">
      <c r="A221" s="53"/>
      <c r="E221" s="23"/>
      <c r="F221" s="23"/>
      <c r="G221" s="23"/>
      <c r="H221" s="23"/>
    </row>
    <row r="222" spans="1:8">
      <c r="A222" s="53"/>
      <c r="E222" s="50"/>
      <c r="F222" s="50"/>
      <c r="G222" s="50"/>
      <c r="H222" s="50"/>
    </row>
    <row r="223" spans="1:8">
      <c r="A223" s="53"/>
      <c r="E223" s="50"/>
      <c r="F223" s="50"/>
      <c r="G223" s="50"/>
      <c r="H223" s="50"/>
    </row>
    <row r="224" spans="1:8">
      <c r="A224" s="53"/>
      <c r="E224" s="50"/>
      <c r="F224" s="50"/>
      <c r="G224" s="50"/>
      <c r="H224" s="50"/>
    </row>
    <row r="225" spans="1:8">
      <c r="A225" s="53"/>
      <c r="E225" s="50"/>
      <c r="F225" s="50"/>
      <c r="G225" s="50"/>
      <c r="H225" s="50"/>
    </row>
    <row r="226" spans="1:8">
      <c r="A226" s="53"/>
      <c r="E226" s="50"/>
      <c r="F226" s="50"/>
      <c r="G226" s="50"/>
      <c r="H226" s="50"/>
    </row>
    <row r="227" spans="1:8">
      <c r="A227" s="53"/>
      <c r="E227" s="50"/>
      <c r="F227" s="50"/>
      <c r="G227" s="50"/>
      <c r="H227" s="50"/>
    </row>
    <row r="228" spans="1:8">
      <c r="A228" s="53"/>
      <c r="E228" s="50"/>
      <c r="F228" s="50"/>
      <c r="G228" s="50"/>
      <c r="H228" s="50"/>
    </row>
    <row r="229" spans="1:8">
      <c r="A229" s="53"/>
      <c r="E229" s="50"/>
      <c r="F229" s="50"/>
      <c r="G229" s="50"/>
      <c r="H229" s="50"/>
    </row>
    <row r="230" spans="1:8">
      <c r="A230" s="53"/>
      <c r="E230" s="50"/>
      <c r="F230" s="50"/>
      <c r="G230" s="50"/>
      <c r="H230" s="50"/>
    </row>
    <row r="231" spans="1:8">
      <c r="A231" s="53"/>
      <c r="E231" s="50"/>
      <c r="F231" s="50"/>
      <c r="G231" s="50"/>
      <c r="H231" s="50"/>
    </row>
    <row r="232" spans="1:8">
      <c r="A232" s="53"/>
      <c r="E232" s="50"/>
      <c r="F232" s="50"/>
      <c r="G232" s="50"/>
      <c r="H232" s="50"/>
    </row>
    <row r="233" spans="1:8">
      <c r="A233" s="53"/>
      <c r="E233" s="50"/>
      <c r="F233" s="50"/>
      <c r="G233" s="50"/>
      <c r="H233" s="50"/>
    </row>
    <row r="234" spans="1:8">
      <c r="A234" s="53"/>
      <c r="E234" s="50"/>
      <c r="F234" s="50"/>
      <c r="G234" s="50"/>
      <c r="H234" s="50"/>
    </row>
    <row r="235" spans="1:8">
      <c r="A235" s="53"/>
      <c r="E235" s="50"/>
      <c r="F235" s="50"/>
      <c r="G235" s="50"/>
      <c r="H235" s="50"/>
    </row>
    <row r="236" spans="1:8">
      <c r="A236" s="53"/>
      <c r="E236" s="50"/>
      <c r="F236" s="50"/>
      <c r="G236" s="50"/>
      <c r="H236" s="50"/>
    </row>
    <row r="237" spans="1:8">
      <c r="A237" s="53"/>
      <c r="E237" s="50"/>
      <c r="F237" s="50"/>
      <c r="G237" s="50"/>
      <c r="H237" s="50"/>
    </row>
    <row r="238" spans="1:8">
      <c r="A238" s="53"/>
      <c r="E238" s="50"/>
      <c r="F238" s="50"/>
      <c r="G238" s="50"/>
      <c r="H238" s="50"/>
    </row>
    <row r="239" spans="1:8">
      <c r="A239" s="53"/>
      <c r="E239" s="50"/>
      <c r="F239" s="50"/>
      <c r="G239" s="50"/>
      <c r="H239" s="50"/>
    </row>
    <row r="240" spans="1:8">
      <c r="A240" s="53"/>
      <c r="E240" s="50"/>
      <c r="F240" s="50"/>
      <c r="G240" s="50"/>
      <c r="H240" s="50"/>
    </row>
    <row r="241" spans="1:8">
      <c r="A241" s="53"/>
      <c r="E241" s="50"/>
      <c r="F241" s="50"/>
      <c r="G241" s="50"/>
      <c r="H241" s="50"/>
    </row>
    <row r="242" spans="1:8">
      <c r="A242" s="53"/>
      <c r="E242" s="50"/>
      <c r="F242" s="50"/>
      <c r="G242" s="50"/>
      <c r="H242" s="50"/>
    </row>
    <row r="243" spans="1:8">
      <c r="A243" s="53"/>
      <c r="E243" s="50"/>
      <c r="F243" s="50"/>
      <c r="G243" s="50"/>
      <c r="H243" s="50"/>
    </row>
    <row r="244" spans="1:8">
      <c r="A244" s="53"/>
      <c r="E244" s="50"/>
      <c r="F244" s="50"/>
      <c r="G244" s="50"/>
      <c r="H244" s="50"/>
    </row>
    <row r="245" spans="1:8">
      <c r="A245" s="53"/>
      <c r="E245" s="50"/>
      <c r="F245" s="50"/>
      <c r="G245" s="50"/>
      <c r="H245" s="50"/>
    </row>
    <row r="246" spans="1:8">
      <c r="A246" s="53"/>
      <c r="E246" s="50"/>
      <c r="F246" s="50"/>
      <c r="G246" s="50"/>
      <c r="H246" s="50"/>
    </row>
    <row r="247" spans="1:8">
      <c r="A247" s="53"/>
      <c r="E247" s="50"/>
      <c r="F247" s="50"/>
      <c r="G247" s="50"/>
      <c r="H247" s="50"/>
    </row>
    <row r="248" spans="1:8">
      <c r="A248" s="53"/>
      <c r="E248" s="50"/>
      <c r="F248" s="50"/>
      <c r="G248" s="50"/>
      <c r="H248" s="50"/>
    </row>
    <row r="249" spans="1:8">
      <c r="A249" s="53"/>
      <c r="E249" s="50"/>
      <c r="F249" s="50"/>
      <c r="G249" s="50"/>
      <c r="H249" s="50"/>
    </row>
    <row r="250" spans="1:8">
      <c r="A250" s="53"/>
      <c r="E250" s="50"/>
      <c r="F250" s="50"/>
      <c r="G250" s="50"/>
      <c r="H250" s="50"/>
    </row>
    <row r="251" spans="1:8">
      <c r="A251" s="53"/>
      <c r="E251" s="50"/>
      <c r="F251" s="50"/>
      <c r="G251" s="50"/>
      <c r="H251" s="50"/>
    </row>
    <row r="252" spans="1:8">
      <c r="A252" s="53"/>
      <c r="E252" s="50"/>
      <c r="F252" s="50"/>
      <c r="G252" s="50"/>
      <c r="H252" s="50"/>
    </row>
    <row r="253" spans="1:8">
      <c r="A253" s="53"/>
      <c r="E253" s="50"/>
      <c r="F253" s="50"/>
      <c r="G253" s="50"/>
      <c r="H253" s="50"/>
    </row>
    <row r="254" spans="1:8">
      <c r="A254" s="53"/>
      <c r="E254" s="50"/>
      <c r="F254" s="50"/>
      <c r="G254" s="50"/>
      <c r="H254" s="50"/>
    </row>
    <row r="255" spans="1:8">
      <c r="A255" s="53"/>
      <c r="E255" s="50"/>
      <c r="F255" s="50"/>
      <c r="G255" s="50"/>
      <c r="H255" s="50"/>
    </row>
    <row r="256" spans="1:8">
      <c r="A256" s="53"/>
      <c r="E256" s="50"/>
      <c r="F256" s="50"/>
      <c r="G256" s="50"/>
      <c r="H256" s="50"/>
    </row>
    <row r="257" spans="1:8">
      <c r="A257" s="53"/>
      <c r="E257" s="50"/>
      <c r="F257" s="50"/>
      <c r="G257" s="50"/>
      <c r="H257" s="50"/>
    </row>
    <row r="258" spans="1:8">
      <c r="A258" s="53"/>
      <c r="E258" s="50"/>
      <c r="F258" s="50"/>
      <c r="G258" s="50"/>
      <c r="H258" s="50"/>
    </row>
    <row r="259" spans="1:8">
      <c r="A259" s="53"/>
      <c r="E259" s="50"/>
      <c r="F259" s="50"/>
      <c r="G259" s="50"/>
      <c r="H259" s="50"/>
    </row>
    <row r="260" spans="1:8">
      <c r="A260" s="53"/>
      <c r="E260" s="50"/>
      <c r="F260" s="50"/>
      <c r="G260" s="50"/>
      <c r="H260" s="50"/>
    </row>
    <row r="261" spans="1:8">
      <c r="A261" s="53"/>
      <c r="E261" s="50"/>
      <c r="F261" s="50"/>
      <c r="G261" s="50"/>
      <c r="H261" s="50"/>
    </row>
    <row r="262" spans="1:8">
      <c r="A262" s="53"/>
      <c r="E262" s="50"/>
      <c r="F262" s="50"/>
      <c r="G262" s="50"/>
      <c r="H262" s="50"/>
    </row>
    <row r="263" spans="1:8">
      <c r="A263" s="53"/>
      <c r="E263" s="50"/>
      <c r="F263" s="50"/>
      <c r="G263" s="50"/>
      <c r="H263" s="50"/>
    </row>
    <row r="264" spans="1:8">
      <c r="A264" s="53"/>
      <c r="E264" s="50"/>
      <c r="F264" s="50"/>
      <c r="G264" s="50"/>
      <c r="H264" s="50"/>
    </row>
    <row r="265" spans="1:8">
      <c r="A265" s="53"/>
      <c r="E265" s="50"/>
      <c r="F265" s="50"/>
      <c r="G265" s="50"/>
      <c r="H265" s="50"/>
    </row>
    <row r="266" spans="1:8">
      <c r="A266" s="53"/>
      <c r="E266" s="50"/>
      <c r="F266" s="50"/>
      <c r="G266" s="50"/>
      <c r="H266" s="50"/>
    </row>
    <row r="267" spans="1:8">
      <c r="A267" s="53"/>
      <c r="E267" s="50"/>
      <c r="F267" s="50"/>
      <c r="G267" s="50"/>
      <c r="H267" s="50"/>
    </row>
    <row r="268" spans="1:8">
      <c r="A268" s="53"/>
      <c r="E268" s="50"/>
      <c r="F268" s="50"/>
      <c r="G268" s="50"/>
      <c r="H268" s="50"/>
    </row>
    <row r="269" spans="1:8">
      <c r="A269" s="53"/>
      <c r="E269" s="50"/>
      <c r="F269" s="50"/>
      <c r="G269" s="50"/>
      <c r="H269" s="50"/>
    </row>
    <row r="270" spans="1:8">
      <c r="A270" s="53"/>
      <c r="E270" s="50"/>
      <c r="F270" s="50"/>
      <c r="G270" s="50"/>
      <c r="H270" s="50"/>
    </row>
    <row r="271" spans="1:8">
      <c r="A271" s="53"/>
      <c r="E271" s="50"/>
      <c r="F271" s="50"/>
      <c r="G271" s="50"/>
      <c r="H271" s="50"/>
    </row>
    <row r="272" spans="1:8">
      <c r="A272" s="53"/>
      <c r="E272" s="50"/>
      <c r="F272" s="50"/>
      <c r="G272" s="50"/>
      <c r="H272" s="50"/>
    </row>
    <row r="273" spans="1:8">
      <c r="A273" s="53"/>
      <c r="E273" s="50"/>
      <c r="F273" s="50"/>
      <c r="G273" s="50"/>
      <c r="H273" s="50"/>
    </row>
    <row r="274" spans="1:8">
      <c r="A274" s="53"/>
      <c r="E274" s="50"/>
      <c r="F274" s="50"/>
      <c r="G274" s="50"/>
      <c r="H274" s="50"/>
    </row>
    <row r="275" spans="1:8">
      <c r="A275" s="53"/>
      <c r="E275" s="50"/>
      <c r="F275" s="50"/>
      <c r="G275" s="50"/>
      <c r="H275" s="50"/>
    </row>
    <row r="276" spans="1:8">
      <c r="A276" s="53"/>
      <c r="E276" s="50"/>
      <c r="F276" s="50"/>
      <c r="G276" s="50"/>
      <c r="H276" s="50"/>
    </row>
    <row r="277" spans="1:8">
      <c r="A277" s="53"/>
      <c r="E277" s="50"/>
      <c r="F277" s="50"/>
      <c r="G277" s="50"/>
      <c r="H277" s="50"/>
    </row>
    <row r="278" spans="1:8">
      <c r="A278" s="53"/>
      <c r="E278" s="50"/>
      <c r="F278" s="50"/>
      <c r="G278" s="50"/>
      <c r="H278" s="50"/>
    </row>
    <row r="279" spans="1:8">
      <c r="A279" s="53"/>
      <c r="E279" s="50"/>
      <c r="F279" s="50"/>
      <c r="G279" s="50"/>
      <c r="H279" s="50"/>
    </row>
    <row r="280" spans="1:8">
      <c r="A280" s="53"/>
      <c r="E280" s="50"/>
      <c r="F280" s="50"/>
      <c r="G280" s="50"/>
      <c r="H280" s="50"/>
    </row>
    <row r="281" spans="1:8">
      <c r="A281" s="53"/>
      <c r="E281" s="50"/>
      <c r="F281" s="50"/>
      <c r="G281" s="50"/>
      <c r="H281" s="50"/>
    </row>
    <row r="282" spans="1:8">
      <c r="A282" s="53"/>
      <c r="E282" s="50"/>
      <c r="F282" s="50"/>
      <c r="G282" s="50"/>
      <c r="H282" s="50"/>
    </row>
    <row r="283" spans="1:8">
      <c r="A283" s="53"/>
      <c r="E283" s="50"/>
      <c r="F283" s="50"/>
      <c r="G283" s="50"/>
      <c r="H283" s="50"/>
    </row>
    <row r="284" spans="1:8">
      <c r="A284" s="53"/>
      <c r="E284" s="50"/>
      <c r="F284" s="50"/>
      <c r="G284" s="50"/>
      <c r="H284" s="50"/>
    </row>
    <row r="285" spans="1:8">
      <c r="A285" s="53"/>
      <c r="E285" s="50"/>
      <c r="F285" s="50"/>
      <c r="G285" s="50"/>
      <c r="H285" s="50"/>
    </row>
    <row r="286" spans="1:8">
      <c r="A286" s="53"/>
      <c r="E286" s="50"/>
      <c r="F286" s="50"/>
      <c r="G286" s="50"/>
      <c r="H286" s="50"/>
    </row>
    <row r="287" spans="1:8">
      <c r="A287" s="53"/>
      <c r="E287" s="50"/>
      <c r="F287" s="50"/>
      <c r="G287" s="50"/>
      <c r="H287" s="50"/>
    </row>
    <row r="288" spans="1:8">
      <c r="A288" s="53"/>
      <c r="E288" s="50"/>
      <c r="F288" s="50"/>
      <c r="G288" s="50"/>
      <c r="H288" s="50"/>
    </row>
    <row r="289" spans="1:8">
      <c r="A289" s="53"/>
      <c r="E289" s="50"/>
      <c r="F289" s="50"/>
      <c r="G289" s="50"/>
      <c r="H289" s="50"/>
    </row>
    <row r="290" spans="1:8">
      <c r="A290" s="53"/>
      <c r="E290" s="50"/>
      <c r="F290" s="50"/>
      <c r="G290" s="50"/>
      <c r="H290" s="50"/>
    </row>
    <row r="291" spans="1:8">
      <c r="A291" s="53"/>
      <c r="E291" s="50"/>
      <c r="F291" s="50"/>
      <c r="G291" s="50"/>
      <c r="H291" s="50"/>
    </row>
    <row r="292" spans="1:8">
      <c r="A292" s="53"/>
      <c r="E292" s="50"/>
      <c r="F292" s="50"/>
      <c r="G292" s="50"/>
      <c r="H292" s="50"/>
    </row>
    <row r="293" spans="1:8">
      <c r="A293" s="53"/>
      <c r="E293" s="50"/>
      <c r="F293" s="50"/>
      <c r="G293" s="50"/>
      <c r="H293" s="50"/>
    </row>
    <row r="294" spans="1:8">
      <c r="A294" s="53"/>
      <c r="E294" s="50"/>
      <c r="F294" s="50"/>
      <c r="G294" s="50"/>
      <c r="H294" s="50"/>
    </row>
    <row r="295" spans="1:8">
      <c r="A295" s="53"/>
      <c r="E295" s="50"/>
      <c r="F295" s="50"/>
      <c r="G295" s="50"/>
      <c r="H295" s="50"/>
    </row>
    <row r="296" spans="1:8">
      <c r="A296" s="53"/>
      <c r="E296" s="50"/>
      <c r="F296" s="50"/>
      <c r="G296" s="50"/>
      <c r="H296" s="50"/>
    </row>
    <row r="297" spans="1:8">
      <c r="A297" s="53"/>
      <c r="E297" s="50"/>
      <c r="F297" s="50"/>
      <c r="G297" s="50"/>
      <c r="H297" s="50"/>
    </row>
    <row r="298" spans="1:8">
      <c r="A298" s="53"/>
      <c r="E298" s="50"/>
      <c r="F298" s="50"/>
      <c r="G298" s="50"/>
      <c r="H298" s="50"/>
    </row>
    <row r="299" spans="1:8">
      <c r="A299" s="53"/>
      <c r="E299" s="50"/>
      <c r="F299" s="50"/>
      <c r="G299" s="50"/>
      <c r="H299" s="50"/>
    </row>
    <row r="300" spans="1:8">
      <c r="A300" s="53"/>
      <c r="E300" s="50"/>
      <c r="F300" s="50"/>
      <c r="G300" s="50"/>
      <c r="H300" s="50"/>
    </row>
    <row r="301" spans="1:8">
      <c r="A301" s="53"/>
      <c r="E301" s="50"/>
      <c r="F301" s="50"/>
      <c r="G301" s="50"/>
      <c r="H301" s="50"/>
    </row>
    <row r="302" spans="1:8">
      <c r="A302" s="53"/>
      <c r="E302" s="50"/>
      <c r="F302" s="50"/>
      <c r="G302" s="50"/>
      <c r="H302" s="50"/>
    </row>
    <row r="303" spans="1:8">
      <c r="A303" s="53"/>
      <c r="E303" s="50"/>
      <c r="F303" s="50"/>
      <c r="G303" s="50"/>
      <c r="H303" s="50"/>
    </row>
    <row r="304" spans="1:8">
      <c r="A304" s="53"/>
      <c r="E304" s="50"/>
      <c r="F304" s="50"/>
      <c r="G304" s="50"/>
      <c r="H304" s="50"/>
    </row>
    <row r="305" spans="1:8">
      <c r="A305" s="53"/>
      <c r="E305" s="50"/>
      <c r="F305" s="50"/>
      <c r="G305" s="50"/>
      <c r="H305" s="50"/>
    </row>
    <row r="306" spans="1:8">
      <c r="A306" s="53"/>
      <c r="E306" s="50"/>
      <c r="F306" s="50"/>
      <c r="G306" s="50"/>
      <c r="H306" s="50"/>
    </row>
    <row r="307" spans="1:8">
      <c r="A307" s="53"/>
      <c r="E307" s="50"/>
      <c r="F307" s="50"/>
      <c r="G307" s="50"/>
      <c r="H307" s="50"/>
    </row>
    <row r="308" spans="1:8">
      <c r="A308" s="53"/>
      <c r="E308" s="50"/>
      <c r="F308" s="50"/>
      <c r="G308" s="50"/>
      <c r="H308" s="50"/>
    </row>
    <row r="309" spans="1:8">
      <c r="A309" s="53"/>
      <c r="E309" s="50"/>
      <c r="F309" s="50"/>
      <c r="G309" s="50"/>
      <c r="H309" s="50"/>
    </row>
    <row r="310" spans="1:8">
      <c r="A310" s="53"/>
      <c r="E310" s="50"/>
      <c r="F310" s="50"/>
      <c r="G310" s="50"/>
      <c r="H310" s="50"/>
    </row>
    <row r="311" spans="1:8">
      <c r="A311" s="53"/>
      <c r="E311" s="50"/>
      <c r="F311" s="50"/>
      <c r="G311" s="50"/>
      <c r="H311" s="50"/>
    </row>
    <row r="312" spans="1:8">
      <c r="A312" s="53"/>
      <c r="E312" s="50"/>
      <c r="F312" s="50"/>
      <c r="G312" s="50"/>
      <c r="H312" s="50"/>
    </row>
    <row r="313" spans="1:8">
      <c r="A313" s="53"/>
      <c r="E313" s="50"/>
      <c r="F313" s="50"/>
      <c r="G313" s="50"/>
      <c r="H313" s="50"/>
    </row>
    <row r="314" spans="1:8">
      <c r="A314" s="53"/>
      <c r="E314" s="50"/>
      <c r="F314" s="50"/>
      <c r="G314" s="50"/>
      <c r="H314" s="50"/>
    </row>
    <row r="315" spans="1:8">
      <c r="A315" s="53"/>
      <c r="E315" s="50"/>
      <c r="F315" s="50"/>
      <c r="G315" s="50"/>
      <c r="H315" s="50"/>
    </row>
    <row r="316" spans="1:8">
      <c r="A316" s="53"/>
      <c r="E316" s="50"/>
      <c r="F316" s="50"/>
      <c r="G316" s="50"/>
      <c r="H316" s="50"/>
    </row>
    <row r="317" spans="1:8">
      <c r="A317" s="53"/>
      <c r="E317" s="50"/>
      <c r="F317" s="50"/>
      <c r="G317" s="50"/>
      <c r="H317" s="50"/>
    </row>
    <row r="318" spans="1:8">
      <c r="A318" s="53"/>
      <c r="E318" s="50"/>
      <c r="F318" s="50"/>
      <c r="G318" s="50"/>
      <c r="H318" s="50"/>
    </row>
    <row r="319" spans="1:8">
      <c r="A319" s="53"/>
      <c r="E319" s="50"/>
      <c r="F319" s="50"/>
      <c r="G319" s="50"/>
      <c r="H319" s="50"/>
    </row>
    <row r="320" spans="1:8">
      <c r="A320" s="53"/>
      <c r="E320" s="50"/>
      <c r="F320" s="50"/>
      <c r="G320" s="50"/>
      <c r="H320" s="50"/>
    </row>
    <row r="321" spans="1:8">
      <c r="A321" s="53"/>
      <c r="E321" s="50"/>
      <c r="F321" s="50"/>
      <c r="G321" s="50"/>
      <c r="H321" s="50"/>
    </row>
    <row r="322" spans="1:8">
      <c r="A322" s="53"/>
      <c r="E322" s="50"/>
      <c r="F322" s="50"/>
      <c r="G322" s="50"/>
      <c r="H322" s="50"/>
    </row>
    <row r="323" spans="1:8">
      <c r="A323" s="53"/>
      <c r="E323" s="50"/>
      <c r="F323" s="50"/>
      <c r="G323" s="50"/>
      <c r="H323" s="50"/>
    </row>
    <row r="324" spans="1:8">
      <c r="A324" s="53"/>
      <c r="E324" s="50"/>
      <c r="F324" s="50"/>
      <c r="G324" s="50"/>
      <c r="H324" s="50"/>
    </row>
    <row r="325" spans="1:8">
      <c r="A325" s="53"/>
      <c r="E325" s="50"/>
      <c r="F325" s="50"/>
      <c r="G325" s="50"/>
      <c r="H325" s="50"/>
    </row>
    <row r="326" spans="1:8">
      <c r="A326" s="53"/>
      <c r="E326" s="50"/>
      <c r="F326" s="50"/>
      <c r="G326" s="50"/>
      <c r="H326" s="50"/>
    </row>
    <row r="327" spans="1:8">
      <c r="A327" s="53"/>
      <c r="E327" s="50"/>
      <c r="F327" s="50"/>
      <c r="G327" s="50"/>
      <c r="H327" s="50"/>
    </row>
    <row r="328" spans="1:8">
      <c r="A328" s="53"/>
      <c r="E328" s="50"/>
      <c r="F328" s="50"/>
      <c r="G328" s="50"/>
      <c r="H328" s="50"/>
    </row>
    <row r="329" spans="1:8">
      <c r="A329" s="53"/>
      <c r="E329" s="50"/>
      <c r="F329" s="50"/>
      <c r="G329" s="50"/>
      <c r="H329" s="50"/>
    </row>
    <row r="330" spans="1:8">
      <c r="A330" s="53"/>
      <c r="E330" s="50"/>
      <c r="F330" s="50"/>
      <c r="G330" s="50"/>
      <c r="H330" s="50"/>
    </row>
    <row r="331" spans="1:8">
      <c r="A331" s="53"/>
      <c r="E331" s="50"/>
      <c r="F331" s="50"/>
      <c r="G331" s="50"/>
      <c r="H331" s="50"/>
    </row>
    <row r="332" spans="1:8">
      <c r="A332" s="53"/>
      <c r="E332" s="50"/>
      <c r="F332" s="50"/>
      <c r="G332" s="50"/>
      <c r="H332" s="50"/>
    </row>
    <row r="333" spans="1:8">
      <c r="A333" s="53"/>
      <c r="E333" s="50"/>
      <c r="F333" s="50"/>
      <c r="G333" s="50"/>
      <c r="H333" s="50"/>
    </row>
    <row r="334" spans="1:8">
      <c r="A334" s="53"/>
      <c r="E334" s="50"/>
      <c r="F334" s="50"/>
      <c r="G334" s="50"/>
      <c r="H334" s="50"/>
    </row>
    <row r="335" spans="1:8">
      <c r="A335" s="53"/>
      <c r="E335" s="50"/>
      <c r="F335" s="50"/>
      <c r="G335" s="50"/>
      <c r="H335" s="50"/>
    </row>
    <row r="336" spans="1:8">
      <c r="A336" s="53"/>
      <c r="E336" s="50"/>
      <c r="F336" s="50"/>
      <c r="G336" s="50"/>
      <c r="H336" s="50"/>
    </row>
    <row r="337" spans="1:8">
      <c r="A337" s="53"/>
      <c r="E337" s="50"/>
      <c r="F337" s="50"/>
      <c r="G337" s="50"/>
      <c r="H337" s="50"/>
    </row>
    <row r="338" spans="1:8">
      <c r="A338" s="53"/>
      <c r="E338" s="50"/>
      <c r="F338" s="50"/>
      <c r="G338" s="50"/>
      <c r="H338" s="50"/>
    </row>
    <row r="339" spans="1:8">
      <c r="A339" s="53"/>
      <c r="E339" s="50"/>
      <c r="F339" s="50"/>
      <c r="G339" s="50"/>
      <c r="H339" s="50"/>
    </row>
    <row r="340" spans="1:8">
      <c r="A340" s="53"/>
      <c r="E340" s="50"/>
      <c r="F340" s="50"/>
      <c r="G340" s="50"/>
      <c r="H340" s="50"/>
    </row>
    <row r="341" spans="1:8">
      <c r="A341" s="53"/>
      <c r="E341" s="50"/>
      <c r="F341" s="50"/>
      <c r="G341" s="50"/>
      <c r="H341" s="50"/>
    </row>
    <row r="342" spans="1:8">
      <c r="A342" s="53"/>
      <c r="E342" s="50"/>
      <c r="F342" s="50"/>
      <c r="G342" s="50"/>
      <c r="H342" s="50"/>
    </row>
    <row r="343" spans="1:8">
      <c r="A343" s="53"/>
      <c r="E343" s="50"/>
      <c r="F343" s="50"/>
      <c r="G343" s="50"/>
      <c r="H343" s="50"/>
    </row>
    <row r="344" spans="1:8">
      <c r="A344" s="53"/>
      <c r="E344" s="50"/>
      <c r="F344" s="50"/>
      <c r="G344" s="50"/>
      <c r="H344" s="50"/>
    </row>
    <row r="345" spans="1:8">
      <c r="A345" s="53"/>
      <c r="E345" s="50"/>
      <c r="F345" s="50"/>
      <c r="G345" s="50"/>
      <c r="H345" s="50"/>
    </row>
    <row r="346" spans="1:8">
      <c r="A346" s="53"/>
      <c r="E346" s="50"/>
      <c r="F346" s="50"/>
      <c r="G346" s="50"/>
      <c r="H346" s="50"/>
    </row>
    <row r="347" spans="1:8">
      <c r="A347" s="53"/>
      <c r="E347" s="50"/>
      <c r="F347" s="50"/>
      <c r="G347" s="50"/>
      <c r="H347" s="50"/>
    </row>
    <row r="348" spans="1:8">
      <c r="A348" s="53"/>
      <c r="E348" s="50"/>
      <c r="F348" s="50"/>
      <c r="G348" s="50"/>
      <c r="H348" s="50"/>
    </row>
    <row r="349" spans="1:8">
      <c r="A349" s="53"/>
      <c r="E349" s="50"/>
      <c r="F349" s="50"/>
      <c r="G349" s="50"/>
      <c r="H349" s="50"/>
    </row>
    <row r="350" spans="1:8">
      <c r="A350" s="53"/>
      <c r="E350" s="50"/>
      <c r="F350" s="50"/>
      <c r="G350" s="50"/>
      <c r="H350" s="50"/>
    </row>
    <row r="351" spans="1:8">
      <c r="A351" s="53"/>
      <c r="E351" s="50"/>
      <c r="F351" s="50"/>
      <c r="G351" s="50"/>
      <c r="H351" s="50"/>
    </row>
    <row r="352" spans="1:8">
      <c r="A352" s="53"/>
      <c r="E352" s="50"/>
      <c r="F352" s="50"/>
      <c r="G352" s="50"/>
      <c r="H352" s="50"/>
    </row>
    <row r="353" spans="1:8">
      <c r="A353" s="53"/>
      <c r="E353" s="50"/>
      <c r="F353" s="50"/>
      <c r="G353" s="50"/>
      <c r="H353" s="50"/>
    </row>
    <row r="354" spans="1:8">
      <c r="A354" s="53"/>
      <c r="E354" s="50"/>
      <c r="F354" s="50"/>
      <c r="G354" s="50"/>
      <c r="H354" s="50"/>
    </row>
    <row r="355" spans="1:8">
      <c r="A355" s="53"/>
      <c r="E355" s="50"/>
      <c r="F355" s="50"/>
      <c r="G355" s="50"/>
      <c r="H355" s="50"/>
    </row>
    <row r="356" spans="1:8">
      <c r="A356" s="53"/>
      <c r="E356" s="50"/>
      <c r="F356" s="50"/>
      <c r="G356" s="50"/>
      <c r="H356" s="50"/>
    </row>
    <row r="357" spans="1:8">
      <c r="A357" s="53"/>
      <c r="E357" s="50"/>
      <c r="F357" s="50"/>
      <c r="G357" s="50"/>
      <c r="H357" s="50"/>
    </row>
    <row r="358" spans="1:8">
      <c r="A358" s="53"/>
      <c r="E358" s="50"/>
      <c r="F358" s="50"/>
      <c r="G358" s="50"/>
      <c r="H358" s="50"/>
    </row>
    <row r="359" spans="1:8">
      <c r="A359" s="53"/>
      <c r="E359" s="50"/>
      <c r="F359" s="50"/>
      <c r="G359" s="50"/>
      <c r="H359" s="50"/>
    </row>
    <row r="360" spans="1:8">
      <c r="A360" s="53"/>
      <c r="E360" s="50"/>
      <c r="F360" s="50"/>
      <c r="G360" s="50"/>
      <c r="H360" s="50"/>
    </row>
    <row r="361" spans="1:8">
      <c r="A361" s="53"/>
      <c r="E361" s="50"/>
      <c r="F361" s="50"/>
      <c r="G361" s="50"/>
      <c r="H361" s="50"/>
    </row>
    <row r="362" spans="1:8">
      <c r="A362" s="53"/>
      <c r="E362" s="50"/>
      <c r="F362" s="50"/>
      <c r="G362" s="50"/>
      <c r="H362" s="50"/>
    </row>
    <row r="363" spans="1:8">
      <c r="A363" s="53"/>
      <c r="E363" s="50"/>
      <c r="F363" s="50"/>
      <c r="G363" s="50"/>
      <c r="H363" s="50"/>
    </row>
    <row r="364" spans="1:8">
      <c r="A364" s="53"/>
      <c r="E364" s="50"/>
      <c r="F364" s="50"/>
      <c r="G364" s="50"/>
      <c r="H364" s="50"/>
    </row>
    <row r="365" spans="1:8">
      <c r="A365" s="53"/>
      <c r="E365" s="50"/>
      <c r="F365" s="50"/>
      <c r="G365" s="50"/>
      <c r="H365" s="50"/>
    </row>
    <row r="366" spans="1:8">
      <c r="A366" s="53"/>
      <c r="E366" s="50"/>
      <c r="F366" s="50"/>
      <c r="G366" s="50"/>
      <c r="H366" s="50"/>
    </row>
    <row r="367" spans="1:8">
      <c r="A367" s="53"/>
      <c r="E367" s="50"/>
      <c r="F367" s="50"/>
      <c r="G367" s="50"/>
      <c r="H367" s="50"/>
    </row>
    <row r="368" spans="1:8">
      <c r="A368" s="53"/>
      <c r="E368" s="50"/>
      <c r="F368" s="50"/>
      <c r="G368" s="50"/>
      <c r="H368" s="50"/>
    </row>
    <row r="369" spans="1:8">
      <c r="A369" s="53"/>
      <c r="E369" s="50"/>
      <c r="F369" s="50"/>
      <c r="G369" s="50"/>
      <c r="H369" s="50"/>
    </row>
    <row r="370" spans="1:8">
      <c r="A370" s="53"/>
      <c r="E370" s="50"/>
      <c r="F370" s="50"/>
      <c r="G370" s="50"/>
      <c r="H370" s="50"/>
    </row>
    <row r="371" spans="1:8">
      <c r="A371" s="53"/>
      <c r="E371" s="50"/>
      <c r="F371" s="50"/>
      <c r="G371" s="50"/>
      <c r="H371" s="50"/>
    </row>
    <row r="372" spans="1:8">
      <c r="A372" s="53"/>
      <c r="E372" s="50"/>
      <c r="F372" s="50"/>
      <c r="G372" s="50"/>
      <c r="H372" s="50"/>
    </row>
    <row r="373" spans="1:8">
      <c r="A373" s="53"/>
      <c r="E373" s="50"/>
      <c r="F373" s="50"/>
      <c r="G373" s="50"/>
      <c r="H373" s="50"/>
    </row>
    <row r="374" spans="1:8">
      <c r="A374" s="53"/>
      <c r="E374" s="50"/>
      <c r="F374" s="50"/>
      <c r="G374" s="50"/>
      <c r="H374" s="50"/>
    </row>
    <row r="375" spans="1:8">
      <c r="A375" s="53"/>
      <c r="E375" s="50"/>
      <c r="F375" s="50"/>
      <c r="G375" s="50"/>
      <c r="H375" s="50"/>
    </row>
    <row r="376" spans="1:8">
      <c r="A376" s="53"/>
      <c r="E376" s="50"/>
      <c r="F376" s="50"/>
      <c r="G376" s="50"/>
      <c r="H376" s="50"/>
    </row>
    <row r="377" spans="1:8">
      <c r="A377" s="53"/>
      <c r="E377" s="50"/>
      <c r="F377" s="50"/>
      <c r="G377" s="50"/>
      <c r="H377" s="50"/>
    </row>
    <row r="378" spans="1:8">
      <c r="A378" s="53"/>
      <c r="E378" s="50"/>
      <c r="F378" s="50"/>
      <c r="G378" s="50"/>
      <c r="H378" s="50"/>
    </row>
    <row r="379" spans="1:8">
      <c r="A379" s="53"/>
      <c r="E379" s="50"/>
      <c r="F379" s="50"/>
      <c r="G379" s="50"/>
      <c r="H379" s="50"/>
    </row>
    <row r="380" spans="1:8">
      <c r="A380" s="53"/>
      <c r="E380" s="50"/>
      <c r="F380" s="50"/>
      <c r="G380" s="50"/>
      <c r="H380" s="50"/>
    </row>
    <row r="381" spans="1:8">
      <c r="A381" s="53"/>
      <c r="E381" s="50"/>
      <c r="F381" s="50"/>
      <c r="G381" s="50"/>
      <c r="H381" s="50"/>
    </row>
    <row r="382" spans="1:8">
      <c r="A382" s="53"/>
      <c r="E382" s="50"/>
      <c r="F382" s="50"/>
      <c r="G382" s="50"/>
      <c r="H382" s="50"/>
    </row>
    <row r="383" spans="1:8">
      <c r="A383" s="53"/>
      <c r="E383" s="50"/>
      <c r="F383" s="50"/>
      <c r="G383" s="50"/>
      <c r="H383" s="50"/>
    </row>
    <row r="384" spans="1:8">
      <c r="A384" s="53"/>
      <c r="E384" s="50"/>
      <c r="F384" s="50"/>
      <c r="G384" s="50"/>
      <c r="H384" s="50"/>
    </row>
    <row r="385" spans="1:8">
      <c r="A385" s="53"/>
      <c r="E385" s="50"/>
      <c r="F385" s="50"/>
      <c r="G385" s="50"/>
      <c r="H385" s="50"/>
    </row>
    <row r="386" spans="1:8">
      <c r="A386" s="53"/>
      <c r="E386" s="50"/>
      <c r="F386" s="50"/>
      <c r="G386" s="50"/>
      <c r="H386" s="50"/>
    </row>
    <row r="387" spans="1:8">
      <c r="A387" s="53"/>
      <c r="E387" s="50"/>
      <c r="F387" s="50"/>
      <c r="G387" s="50"/>
      <c r="H387" s="50"/>
    </row>
    <row r="388" spans="1:8">
      <c r="A388" s="53"/>
      <c r="E388" s="50"/>
      <c r="F388" s="50"/>
      <c r="G388" s="50"/>
      <c r="H388" s="50"/>
    </row>
    <row r="389" spans="1:8">
      <c r="A389" s="53"/>
      <c r="E389" s="50"/>
      <c r="F389" s="50"/>
      <c r="G389" s="50"/>
      <c r="H389" s="50"/>
    </row>
    <row r="390" spans="1:8">
      <c r="A390" s="53"/>
      <c r="E390" s="50"/>
      <c r="F390" s="50"/>
      <c r="G390" s="50"/>
      <c r="H390" s="50"/>
    </row>
    <row r="391" spans="1:8">
      <c r="A391" s="53"/>
      <c r="E391" s="50"/>
      <c r="F391" s="50"/>
      <c r="G391" s="50"/>
      <c r="H391" s="50"/>
    </row>
    <row r="392" spans="1:8">
      <c r="A392" s="53"/>
      <c r="E392" s="50"/>
      <c r="F392" s="50"/>
      <c r="G392" s="50"/>
      <c r="H392" s="50"/>
    </row>
    <row r="393" spans="1:8">
      <c r="A393" s="53"/>
      <c r="E393" s="50"/>
      <c r="F393" s="50"/>
      <c r="G393" s="50"/>
      <c r="H393" s="50"/>
    </row>
    <row r="394" spans="1:8">
      <c r="A394" s="53"/>
      <c r="E394" s="50"/>
      <c r="F394" s="50"/>
      <c r="G394" s="50"/>
      <c r="H394" s="50"/>
    </row>
    <row r="395" spans="1:8">
      <c r="A395" s="53"/>
      <c r="E395" s="50"/>
      <c r="F395" s="50"/>
      <c r="G395" s="50"/>
      <c r="H395" s="50"/>
    </row>
    <row r="396" spans="1:8">
      <c r="A396" s="53"/>
      <c r="E396" s="50"/>
      <c r="F396" s="50"/>
      <c r="G396" s="50"/>
      <c r="H396" s="50"/>
    </row>
    <row r="397" spans="1:8">
      <c r="A397" s="53"/>
      <c r="E397" s="50"/>
      <c r="F397" s="50"/>
      <c r="G397" s="50"/>
      <c r="H397" s="50"/>
    </row>
    <row r="398" spans="1:8">
      <c r="A398" s="53"/>
      <c r="E398" s="50"/>
      <c r="F398" s="50"/>
      <c r="G398" s="50"/>
      <c r="H398" s="50"/>
    </row>
    <row r="399" spans="1:8">
      <c r="A399" s="53"/>
      <c r="E399" s="50"/>
      <c r="F399" s="50"/>
      <c r="G399" s="50"/>
      <c r="H399" s="50"/>
    </row>
    <row r="400" spans="1:8">
      <c r="A400" s="53"/>
      <c r="E400" s="50"/>
      <c r="F400" s="50"/>
      <c r="G400" s="50"/>
      <c r="H400" s="50"/>
    </row>
    <row r="401" spans="1:8">
      <c r="A401" s="53"/>
      <c r="E401" s="50"/>
      <c r="F401" s="50"/>
      <c r="G401" s="50"/>
      <c r="H401" s="50"/>
    </row>
    <row r="402" spans="1:8">
      <c r="A402" s="53"/>
      <c r="E402" s="50"/>
      <c r="F402" s="50"/>
      <c r="G402" s="50"/>
      <c r="H402" s="50"/>
    </row>
    <row r="403" spans="1:8">
      <c r="A403" s="53"/>
      <c r="E403" s="50"/>
      <c r="F403" s="50"/>
      <c r="G403" s="50"/>
      <c r="H403" s="50"/>
    </row>
    <row r="404" spans="1:8">
      <c r="A404" s="53"/>
      <c r="E404" s="50"/>
      <c r="F404" s="50"/>
      <c r="G404" s="50"/>
      <c r="H404" s="50"/>
    </row>
    <row r="405" spans="1:8">
      <c r="A405" s="53"/>
      <c r="E405" s="50"/>
      <c r="F405" s="50"/>
      <c r="G405" s="50"/>
      <c r="H405" s="50"/>
    </row>
    <row r="406" spans="1:8">
      <c r="A406" s="53"/>
      <c r="E406" s="50"/>
      <c r="F406" s="50"/>
      <c r="G406" s="50"/>
      <c r="H406" s="50"/>
    </row>
    <row r="407" spans="1:8">
      <c r="A407" s="53"/>
      <c r="E407" s="50"/>
      <c r="F407" s="50"/>
      <c r="G407" s="50"/>
      <c r="H407" s="50"/>
    </row>
    <row r="408" spans="1:8">
      <c r="A408" s="53"/>
      <c r="E408" s="50"/>
      <c r="F408" s="50"/>
      <c r="G408" s="50"/>
      <c r="H408" s="50"/>
    </row>
    <row r="409" spans="1:8">
      <c r="A409" s="53"/>
      <c r="E409" s="50"/>
      <c r="F409" s="50"/>
      <c r="G409" s="50"/>
      <c r="H409" s="50"/>
    </row>
    <row r="410" spans="1:8">
      <c r="A410" s="53"/>
      <c r="E410" s="50"/>
      <c r="F410" s="50"/>
      <c r="G410" s="50"/>
      <c r="H410" s="50"/>
    </row>
    <row r="411" spans="1:8">
      <c r="A411" s="53"/>
      <c r="E411" s="50"/>
      <c r="F411" s="50"/>
      <c r="G411" s="50"/>
      <c r="H411" s="50"/>
    </row>
    <row r="412" spans="1:8">
      <c r="A412" s="53"/>
      <c r="E412" s="50"/>
      <c r="F412" s="50"/>
      <c r="G412" s="50"/>
      <c r="H412" s="50"/>
    </row>
    <row r="413" spans="1:8">
      <c r="A413" s="53"/>
      <c r="E413" s="50"/>
      <c r="F413" s="50"/>
      <c r="G413" s="50"/>
      <c r="H413" s="50"/>
    </row>
    <row r="414" spans="1:8">
      <c r="A414" s="53"/>
      <c r="E414" s="50"/>
      <c r="F414" s="50"/>
      <c r="G414" s="50"/>
      <c r="H414" s="50"/>
    </row>
    <row r="415" spans="1:8">
      <c r="A415" s="53"/>
      <c r="E415" s="50"/>
      <c r="F415" s="50"/>
      <c r="G415" s="50"/>
      <c r="H415" s="50"/>
    </row>
    <row r="416" spans="1:8">
      <c r="A416" s="53"/>
      <c r="E416" s="50"/>
      <c r="F416" s="50"/>
      <c r="G416" s="50"/>
      <c r="H416" s="50"/>
    </row>
    <row r="417" spans="1:8">
      <c r="A417" s="53"/>
      <c r="E417" s="50"/>
      <c r="F417" s="50"/>
      <c r="G417" s="50"/>
      <c r="H417" s="50"/>
    </row>
    <row r="418" spans="1:8">
      <c r="A418" s="53"/>
      <c r="E418" s="50"/>
      <c r="F418" s="50"/>
      <c r="G418" s="50"/>
      <c r="H418" s="50"/>
    </row>
    <row r="419" spans="1:8">
      <c r="A419" s="53"/>
      <c r="E419" s="50"/>
      <c r="F419" s="50"/>
      <c r="G419" s="50"/>
      <c r="H419" s="50"/>
    </row>
    <row r="420" spans="1:8">
      <c r="A420" s="53"/>
      <c r="E420" s="50"/>
      <c r="F420" s="50"/>
      <c r="G420" s="50"/>
      <c r="H420" s="50"/>
    </row>
    <row r="421" spans="1:8">
      <c r="A421" s="53"/>
      <c r="E421" s="50"/>
      <c r="F421" s="50"/>
      <c r="G421" s="50"/>
      <c r="H421" s="50"/>
    </row>
    <row r="422" spans="1:8">
      <c r="A422" s="53"/>
      <c r="E422" s="50"/>
      <c r="F422" s="50"/>
      <c r="G422" s="50"/>
      <c r="H422" s="50"/>
    </row>
    <row r="423" spans="1:8">
      <c r="A423" s="53"/>
      <c r="E423" s="50"/>
      <c r="F423" s="50"/>
      <c r="G423" s="50"/>
      <c r="H423" s="50"/>
    </row>
    <row r="424" spans="1:8">
      <c r="A424" s="53"/>
      <c r="E424" s="50"/>
      <c r="F424" s="50"/>
      <c r="G424" s="50"/>
      <c r="H424" s="50"/>
    </row>
    <row r="425" spans="1:8">
      <c r="A425" s="53"/>
      <c r="E425" s="50"/>
      <c r="F425" s="50"/>
      <c r="G425" s="50"/>
      <c r="H425" s="50"/>
    </row>
    <row r="426" spans="1:8">
      <c r="A426" s="53"/>
      <c r="E426" s="50"/>
      <c r="F426" s="50"/>
      <c r="G426" s="50"/>
      <c r="H426" s="50"/>
    </row>
    <row r="427" spans="1:8">
      <c r="A427" s="53"/>
      <c r="E427" s="50"/>
      <c r="F427" s="50"/>
      <c r="G427" s="50"/>
      <c r="H427" s="50"/>
    </row>
    <row r="428" spans="1:8">
      <c r="A428" s="53"/>
      <c r="E428" s="50"/>
      <c r="F428" s="50"/>
      <c r="G428" s="50"/>
      <c r="H428" s="50"/>
    </row>
    <row r="429" spans="1:8">
      <c r="A429" s="53"/>
      <c r="E429" s="50"/>
      <c r="F429" s="50"/>
      <c r="G429" s="50"/>
      <c r="H429" s="50"/>
    </row>
    <row r="430" spans="1:8">
      <c r="A430" s="53"/>
      <c r="E430" s="50"/>
      <c r="F430" s="50"/>
      <c r="G430" s="50"/>
      <c r="H430" s="50"/>
    </row>
    <row r="431" spans="1:8">
      <c r="A431" s="53"/>
      <c r="E431" s="50"/>
      <c r="F431" s="50"/>
      <c r="G431" s="50"/>
      <c r="H431" s="50"/>
    </row>
    <row r="432" spans="1:8">
      <c r="A432" s="53"/>
      <c r="E432" s="50"/>
      <c r="F432" s="50"/>
      <c r="G432" s="50"/>
      <c r="H432" s="50"/>
    </row>
    <row r="433" spans="1:8">
      <c r="A433" s="53"/>
      <c r="E433" s="50"/>
      <c r="F433" s="50"/>
      <c r="G433" s="50"/>
      <c r="H433" s="50"/>
    </row>
    <row r="434" spans="1:8">
      <c r="A434" s="53"/>
      <c r="E434" s="50"/>
      <c r="F434" s="50"/>
      <c r="G434" s="50"/>
      <c r="H434" s="50"/>
    </row>
    <row r="435" spans="1:8">
      <c r="A435" s="53"/>
      <c r="E435" s="50"/>
      <c r="F435" s="50"/>
      <c r="G435" s="50"/>
      <c r="H435" s="50"/>
    </row>
    <row r="436" spans="1:8">
      <c r="A436" s="53"/>
      <c r="E436" s="50"/>
      <c r="F436" s="50"/>
      <c r="G436" s="50"/>
      <c r="H436" s="50"/>
    </row>
    <row r="437" spans="1:8">
      <c r="A437" s="53"/>
      <c r="E437" s="50"/>
      <c r="F437" s="50"/>
      <c r="G437" s="50"/>
      <c r="H437" s="50"/>
    </row>
    <row r="438" spans="1:8">
      <c r="A438" s="53"/>
      <c r="E438" s="50"/>
      <c r="F438" s="50"/>
      <c r="G438" s="50"/>
      <c r="H438" s="50"/>
    </row>
    <row r="439" spans="1:8">
      <c r="A439" s="53"/>
      <c r="E439" s="50"/>
      <c r="F439" s="50"/>
      <c r="G439" s="50"/>
      <c r="H439" s="50"/>
    </row>
    <row r="440" spans="1:8">
      <c r="A440" s="53"/>
      <c r="E440" s="50"/>
      <c r="F440" s="50"/>
      <c r="G440" s="50"/>
      <c r="H440" s="50"/>
    </row>
    <row r="441" spans="1:8">
      <c r="A441" s="53"/>
      <c r="E441" s="50"/>
      <c r="F441" s="50"/>
      <c r="G441" s="50"/>
      <c r="H441" s="50"/>
    </row>
    <row r="442" spans="1:8">
      <c r="A442" s="53"/>
      <c r="E442" s="50"/>
      <c r="F442" s="50"/>
      <c r="G442" s="50"/>
      <c r="H442" s="50"/>
    </row>
    <row r="443" spans="1:8">
      <c r="A443" s="53"/>
      <c r="E443" s="50"/>
      <c r="F443" s="50"/>
      <c r="G443" s="50"/>
      <c r="H443" s="50"/>
    </row>
    <row r="444" spans="1:8">
      <c r="A444" s="53"/>
      <c r="E444" s="50"/>
      <c r="F444" s="50"/>
      <c r="G444" s="50"/>
      <c r="H444" s="50"/>
    </row>
    <row r="445" spans="1:8">
      <c r="A445" s="53"/>
      <c r="E445" s="50"/>
      <c r="F445" s="50"/>
      <c r="G445" s="50"/>
      <c r="H445" s="50"/>
    </row>
    <row r="446" spans="1:8">
      <c r="A446" s="53"/>
      <c r="E446" s="50"/>
      <c r="F446" s="50"/>
      <c r="G446" s="50"/>
      <c r="H446" s="50"/>
    </row>
    <row r="447" spans="1:8">
      <c r="A447" s="53"/>
      <c r="E447" s="50"/>
      <c r="F447" s="50"/>
      <c r="G447" s="50"/>
      <c r="H447" s="50"/>
    </row>
    <row r="448" spans="1:8">
      <c r="A448" s="53"/>
      <c r="E448" s="50"/>
      <c r="F448" s="50"/>
      <c r="G448" s="50"/>
      <c r="H448" s="50"/>
    </row>
    <row r="449" spans="1:8">
      <c r="A449" s="53"/>
      <c r="E449" s="50"/>
      <c r="F449" s="50"/>
      <c r="G449" s="50"/>
      <c r="H449" s="50"/>
    </row>
    <row r="450" spans="1:8">
      <c r="A450" s="53"/>
      <c r="E450" s="50"/>
      <c r="F450" s="50"/>
      <c r="G450" s="50"/>
      <c r="H450" s="50"/>
    </row>
    <row r="451" spans="1:8">
      <c r="A451" s="53"/>
      <c r="E451" s="50"/>
      <c r="F451" s="50"/>
      <c r="G451" s="50"/>
      <c r="H451" s="50"/>
    </row>
    <row r="452" spans="1:8">
      <c r="A452" s="53"/>
      <c r="E452" s="50"/>
      <c r="F452" s="50"/>
      <c r="G452" s="50"/>
      <c r="H452" s="50"/>
    </row>
    <row r="453" spans="1:8">
      <c r="A453" s="53"/>
      <c r="E453" s="50"/>
      <c r="F453" s="50"/>
      <c r="G453" s="50"/>
      <c r="H453" s="50"/>
    </row>
    <row r="454" spans="1:8">
      <c r="A454" s="53"/>
      <c r="E454" s="50"/>
      <c r="F454" s="50"/>
      <c r="G454" s="50"/>
      <c r="H454" s="50"/>
    </row>
    <row r="455" spans="1:8">
      <c r="A455" s="53"/>
      <c r="E455" s="50"/>
      <c r="F455" s="50"/>
      <c r="G455" s="50"/>
      <c r="H455" s="50"/>
    </row>
    <row r="456" spans="1:8">
      <c r="A456" s="53"/>
      <c r="E456" s="50"/>
      <c r="F456" s="50"/>
      <c r="G456" s="50"/>
      <c r="H456" s="50"/>
    </row>
    <row r="457" spans="1:8">
      <c r="A457" s="53"/>
      <c r="E457" s="50"/>
      <c r="F457" s="50"/>
      <c r="G457" s="50"/>
      <c r="H457" s="50"/>
    </row>
    <row r="458" spans="1:8">
      <c r="A458" s="53"/>
      <c r="E458" s="50"/>
      <c r="F458" s="50"/>
      <c r="G458" s="50"/>
      <c r="H458" s="50"/>
    </row>
    <row r="459" spans="1:8">
      <c r="A459" s="53"/>
      <c r="E459" s="50"/>
      <c r="F459" s="50"/>
      <c r="G459" s="50"/>
      <c r="H459" s="50"/>
    </row>
    <row r="460" spans="1:8">
      <c r="A460" s="53"/>
      <c r="E460" s="50"/>
      <c r="F460" s="50"/>
      <c r="G460" s="50"/>
      <c r="H460" s="50"/>
    </row>
    <row r="461" spans="1:8">
      <c r="A461" s="53"/>
      <c r="E461" s="50"/>
      <c r="F461" s="50"/>
      <c r="G461" s="50"/>
      <c r="H461" s="50"/>
    </row>
    <row r="462" spans="1:8">
      <c r="A462" s="53"/>
      <c r="E462" s="50"/>
      <c r="F462" s="50"/>
      <c r="G462" s="50"/>
      <c r="H462" s="50"/>
    </row>
    <row r="463" spans="1:8">
      <c r="A463" s="53"/>
      <c r="E463" s="50"/>
      <c r="F463" s="50"/>
      <c r="G463" s="50"/>
      <c r="H463" s="50"/>
    </row>
    <row r="464" spans="1:8">
      <c r="A464" s="53"/>
      <c r="E464" s="50"/>
      <c r="F464" s="50"/>
      <c r="G464" s="50"/>
      <c r="H464" s="50"/>
    </row>
    <row r="465" spans="1:8">
      <c r="A465" s="53"/>
      <c r="E465" s="50"/>
      <c r="F465" s="50"/>
      <c r="G465" s="50"/>
      <c r="H465" s="50"/>
    </row>
    <row r="466" spans="1:8">
      <c r="A466" s="53"/>
      <c r="E466" s="50"/>
      <c r="F466" s="50"/>
      <c r="G466" s="50"/>
      <c r="H466" s="50"/>
    </row>
    <row r="467" spans="1:8">
      <c r="A467" s="53"/>
      <c r="E467" s="50"/>
      <c r="F467" s="50"/>
      <c r="G467" s="50"/>
      <c r="H467" s="50"/>
    </row>
    <row r="468" spans="1:8">
      <c r="A468" s="53"/>
      <c r="E468" s="50"/>
      <c r="F468" s="50"/>
      <c r="G468" s="50"/>
      <c r="H468" s="50"/>
    </row>
    <row r="469" spans="1:8">
      <c r="A469" s="53"/>
      <c r="E469" s="50"/>
      <c r="F469" s="50"/>
      <c r="G469" s="50"/>
      <c r="H469" s="50"/>
    </row>
    <row r="470" spans="1:8">
      <c r="A470" s="53"/>
      <c r="E470" s="50"/>
      <c r="F470" s="50"/>
      <c r="G470" s="50"/>
      <c r="H470" s="50"/>
    </row>
    <row r="471" spans="1:8">
      <c r="A471" s="53"/>
      <c r="E471" s="50"/>
      <c r="F471" s="50"/>
      <c r="G471" s="50"/>
      <c r="H471" s="50"/>
    </row>
    <row r="472" spans="1:8">
      <c r="A472" s="53"/>
      <c r="E472" s="50"/>
      <c r="F472" s="50"/>
      <c r="G472" s="50"/>
      <c r="H472" s="50"/>
    </row>
    <row r="473" spans="1:8">
      <c r="A473" s="53"/>
      <c r="E473" s="50"/>
      <c r="F473" s="50"/>
      <c r="G473" s="50"/>
      <c r="H473" s="50"/>
    </row>
    <row r="474" spans="1:8">
      <c r="A474" s="53"/>
      <c r="E474" s="50"/>
      <c r="F474" s="50"/>
      <c r="G474" s="50"/>
      <c r="H474" s="50"/>
    </row>
    <row r="475" spans="1:8">
      <c r="A475" s="53"/>
      <c r="E475" s="50"/>
      <c r="F475" s="50"/>
      <c r="G475" s="50"/>
      <c r="H475" s="50"/>
    </row>
    <row r="476" spans="1:8">
      <c r="A476" s="53"/>
      <c r="E476" s="50"/>
      <c r="F476" s="50"/>
      <c r="G476" s="50"/>
      <c r="H476" s="50"/>
    </row>
    <row r="477" spans="1:8">
      <c r="A477" s="53"/>
      <c r="E477" s="50"/>
      <c r="F477" s="50"/>
      <c r="G477" s="50"/>
      <c r="H477" s="50"/>
    </row>
    <row r="478" spans="1:8">
      <c r="A478" s="53"/>
      <c r="E478" s="50"/>
      <c r="F478" s="50"/>
      <c r="G478" s="50"/>
      <c r="H478" s="50"/>
    </row>
    <row r="479" spans="1:8">
      <c r="A479" s="53"/>
      <c r="E479" s="50"/>
      <c r="F479" s="50"/>
      <c r="G479" s="50"/>
      <c r="H479" s="50"/>
    </row>
    <row r="480" spans="1:8">
      <c r="A480" s="53"/>
      <c r="E480" s="50"/>
      <c r="F480" s="50"/>
      <c r="G480" s="50"/>
      <c r="H480" s="50"/>
    </row>
    <row r="481" spans="1:8">
      <c r="A481" s="53"/>
      <c r="E481" s="50"/>
      <c r="F481" s="50"/>
      <c r="G481" s="50"/>
      <c r="H481" s="50"/>
    </row>
    <row r="482" spans="1:8">
      <c r="A482" s="53"/>
      <c r="E482" s="50"/>
      <c r="F482" s="50"/>
      <c r="G482" s="50"/>
      <c r="H482" s="50"/>
    </row>
    <row r="483" spans="1:8">
      <c r="A483" s="53"/>
      <c r="E483" s="50"/>
      <c r="F483" s="50"/>
      <c r="G483" s="50"/>
      <c r="H483" s="50"/>
    </row>
    <row r="484" spans="1:8">
      <c r="A484" s="53"/>
      <c r="E484" s="50"/>
      <c r="F484" s="50"/>
      <c r="G484" s="50"/>
      <c r="H484" s="50"/>
    </row>
    <row r="485" spans="1:8">
      <c r="A485" s="53"/>
      <c r="E485" s="50"/>
      <c r="F485" s="50"/>
      <c r="G485" s="50"/>
      <c r="H485" s="50"/>
    </row>
    <row r="486" spans="1:8">
      <c r="A486" s="53"/>
      <c r="E486" s="50"/>
      <c r="F486" s="50"/>
      <c r="G486" s="50"/>
      <c r="H486" s="50"/>
    </row>
    <row r="487" spans="1:8">
      <c r="A487" s="53"/>
      <c r="E487" s="50"/>
      <c r="F487" s="50"/>
      <c r="G487" s="50"/>
      <c r="H487" s="50"/>
    </row>
    <row r="488" spans="1:8">
      <c r="A488" s="53"/>
      <c r="E488" s="50"/>
      <c r="F488" s="50"/>
      <c r="G488" s="50"/>
      <c r="H488" s="50"/>
    </row>
    <row r="489" spans="1:8">
      <c r="A489" s="53"/>
      <c r="E489" s="50"/>
      <c r="F489" s="50"/>
      <c r="G489" s="50"/>
      <c r="H489" s="50"/>
    </row>
    <row r="490" spans="1:8">
      <c r="A490" s="53"/>
      <c r="E490" s="50"/>
      <c r="F490" s="50"/>
      <c r="G490" s="50"/>
      <c r="H490" s="50"/>
    </row>
    <row r="491" spans="1:8">
      <c r="A491" s="53"/>
      <c r="E491" s="50"/>
      <c r="F491" s="50"/>
      <c r="G491" s="50"/>
      <c r="H491" s="50"/>
    </row>
    <row r="492" spans="1:8">
      <c r="A492" s="53"/>
      <c r="E492" s="50"/>
      <c r="F492" s="50"/>
      <c r="G492" s="50"/>
      <c r="H492" s="50"/>
    </row>
    <row r="493" spans="1:8">
      <c r="A493" s="53"/>
      <c r="E493" s="50"/>
      <c r="F493" s="50"/>
      <c r="G493" s="50"/>
      <c r="H493" s="50"/>
    </row>
    <row r="494" spans="1:8">
      <c r="A494" s="53"/>
      <c r="E494" s="50"/>
      <c r="F494" s="50"/>
      <c r="G494" s="50"/>
      <c r="H494" s="50"/>
    </row>
    <row r="495" spans="1:8">
      <c r="A495" s="53"/>
      <c r="E495" s="50"/>
      <c r="F495" s="50"/>
      <c r="G495" s="50"/>
      <c r="H495" s="50"/>
    </row>
    <row r="496" spans="1:8">
      <c r="A496" s="53"/>
      <c r="E496" s="50"/>
      <c r="F496" s="50"/>
      <c r="G496" s="50"/>
      <c r="H496" s="50"/>
    </row>
    <row r="497" spans="1:8">
      <c r="A497" s="53"/>
      <c r="E497" s="50"/>
      <c r="F497" s="50"/>
      <c r="G497" s="50"/>
      <c r="H497" s="50"/>
    </row>
    <row r="498" spans="1:8">
      <c r="A498" s="53"/>
      <c r="E498" s="50"/>
      <c r="F498" s="50"/>
      <c r="G498" s="50"/>
      <c r="H498" s="50"/>
    </row>
    <row r="499" spans="1:8">
      <c r="A499" s="53"/>
      <c r="E499" s="50"/>
      <c r="F499" s="50"/>
      <c r="G499" s="50"/>
      <c r="H499" s="50"/>
    </row>
    <row r="500" spans="1:8">
      <c r="A500" s="53"/>
      <c r="E500" s="50"/>
      <c r="F500" s="50"/>
      <c r="G500" s="50"/>
      <c r="H500" s="50"/>
    </row>
    <row r="501" spans="1:8">
      <c r="A501" s="53"/>
      <c r="E501" s="50"/>
      <c r="F501" s="50"/>
      <c r="G501" s="50"/>
      <c r="H501" s="50"/>
    </row>
    <row r="502" spans="1:8">
      <c r="A502" s="53"/>
      <c r="E502" s="50"/>
      <c r="F502" s="50"/>
      <c r="G502" s="50"/>
      <c r="H502" s="50"/>
    </row>
    <row r="503" spans="1:8">
      <c r="A503" s="53"/>
      <c r="E503" s="50"/>
      <c r="F503" s="50"/>
      <c r="G503" s="50"/>
      <c r="H503" s="50"/>
    </row>
    <row r="504" spans="1:8">
      <c r="A504" s="53"/>
      <c r="E504" s="50"/>
      <c r="F504" s="50"/>
      <c r="G504" s="50"/>
      <c r="H504" s="50"/>
    </row>
    <row r="505" spans="1:8">
      <c r="A505" s="53"/>
      <c r="E505" s="50"/>
      <c r="F505" s="50"/>
      <c r="G505" s="50"/>
      <c r="H505" s="50"/>
    </row>
    <row r="506" spans="1:8">
      <c r="A506" s="53"/>
      <c r="E506" s="50"/>
      <c r="F506" s="50"/>
      <c r="G506" s="50"/>
      <c r="H506" s="50"/>
    </row>
    <row r="507" spans="1:8">
      <c r="A507" s="53"/>
      <c r="E507" s="50"/>
      <c r="F507" s="50"/>
      <c r="G507" s="50"/>
      <c r="H507" s="50"/>
    </row>
    <row r="508" spans="1:8">
      <c r="A508" s="53"/>
      <c r="E508" s="50"/>
      <c r="F508" s="50"/>
      <c r="G508" s="50"/>
      <c r="H508" s="50"/>
    </row>
    <row r="509" spans="1:8">
      <c r="A509" s="53"/>
      <c r="E509" s="50"/>
      <c r="F509" s="50"/>
      <c r="G509" s="50"/>
      <c r="H509" s="50"/>
    </row>
    <row r="510" spans="1:8">
      <c r="A510" s="53"/>
      <c r="E510" s="50"/>
      <c r="F510" s="50"/>
      <c r="G510" s="50"/>
      <c r="H510" s="50"/>
    </row>
    <row r="511" spans="1:8">
      <c r="A511" s="53"/>
      <c r="E511" s="50"/>
      <c r="F511" s="50"/>
      <c r="G511" s="50"/>
      <c r="H511" s="50"/>
    </row>
    <row r="512" spans="1:8">
      <c r="A512" s="53"/>
      <c r="E512" s="50"/>
      <c r="F512" s="50"/>
      <c r="G512" s="50"/>
      <c r="H512" s="50"/>
    </row>
    <row r="513" spans="1:8">
      <c r="A513" s="53"/>
      <c r="E513" s="50"/>
      <c r="F513" s="50"/>
      <c r="G513" s="50"/>
      <c r="H513" s="50"/>
    </row>
    <row r="514" spans="1:8">
      <c r="A514" s="53"/>
      <c r="E514" s="50"/>
      <c r="F514" s="50"/>
      <c r="G514" s="50"/>
      <c r="H514" s="50"/>
    </row>
    <row r="515" spans="1:8">
      <c r="A515" s="53"/>
      <c r="E515" s="50"/>
      <c r="F515" s="50"/>
      <c r="G515" s="50"/>
      <c r="H515" s="50"/>
    </row>
    <row r="516" spans="1:8">
      <c r="A516" s="53"/>
      <c r="E516" s="50"/>
      <c r="F516" s="50"/>
      <c r="G516" s="50"/>
      <c r="H516" s="50"/>
    </row>
    <row r="517" spans="1:8">
      <c r="A517" s="53"/>
      <c r="E517" s="50"/>
      <c r="F517" s="50"/>
      <c r="G517" s="50"/>
      <c r="H517" s="50"/>
    </row>
    <row r="518" spans="1:8">
      <c r="A518" s="53"/>
      <c r="E518" s="50"/>
      <c r="F518" s="50"/>
      <c r="G518" s="50"/>
      <c r="H518" s="50"/>
    </row>
    <row r="519" spans="1:8">
      <c r="A519" s="53"/>
      <c r="E519" s="50"/>
      <c r="F519" s="50"/>
      <c r="G519" s="50"/>
      <c r="H519" s="50"/>
    </row>
    <row r="520" spans="1:8">
      <c r="A520" s="53"/>
      <c r="E520" s="50"/>
      <c r="F520" s="50"/>
      <c r="G520" s="50"/>
      <c r="H520" s="50"/>
    </row>
    <row r="521" spans="1:8">
      <c r="A521" s="53"/>
      <c r="E521" s="50"/>
      <c r="F521" s="50"/>
      <c r="G521" s="50"/>
      <c r="H521" s="50"/>
    </row>
    <row r="522" spans="1:8">
      <c r="A522" s="53"/>
      <c r="E522" s="50"/>
      <c r="F522" s="50"/>
      <c r="G522" s="50"/>
      <c r="H522" s="50"/>
    </row>
    <row r="523" spans="1:8">
      <c r="A523" s="53"/>
      <c r="E523" s="50"/>
      <c r="F523" s="50"/>
      <c r="G523" s="50"/>
      <c r="H523" s="50"/>
    </row>
    <row r="524" spans="1:8">
      <c r="A524" s="53"/>
      <c r="E524" s="50"/>
      <c r="F524" s="50"/>
      <c r="G524" s="50"/>
      <c r="H524" s="50"/>
    </row>
    <row r="525" spans="1:8">
      <c r="A525" s="53"/>
      <c r="E525" s="50"/>
      <c r="F525" s="50"/>
      <c r="G525" s="50"/>
      <c r="H525" s="50"/>
    </row>
    <row r="526" spans="1:8">
      <c r="A526" s="53"/>
      <c r="E526" s="50"/>
      <c r="F526" s="50"/>
      <c r="G526" s="50"/>
      <c r="H526" s="50"/>
    </row>
    <row r="527" spans="1:8">
      <c r="A527" s="53"/>
      <c r="E527" s="50"/>
      <c r="F527" s="50"/>
      <c r="G527" s="50"/>
      <c r="H527" s="50"/>
    </row>
    <row r="528" spans="1:8">
      <c r="A528" s="53"/>
      <c r="E528" s="50"/>
      <c r="F528" s="50"/>
      <c r="G528" s="50"/>
      <c r="H528" s="50"/>
    </row>
    <row r="529" spans="1:8">
      <c r="A529" s="53"/>
      <c r="E529" s="50"/>
      <c r="F529" s="50"/>
      <c r="G529" s="50"/>
      <c r="H529" s="50"/>
    </row>
    <row r="530" spans="1:8">
      <c r="A530" s="53"/>
      <c r="E530" s="50"/>
      <c r="F530" s="50"/>
      <c r="G530" s="50"/>
      <c r="H530" s="50"/>
    </row>
    <row r="531" spans="1:8">
      <c r="A531" s="53"/>
      <c r="E531" s="50"/>
      <c r="F531" s="50"/>
      <c r="G531" s="50"/>
      <c r="H531" s="50"/>
    </row>
    <row r="532" spans="1:8">
      <c r="A532" s="53"/>
      <c r="E532" s="50"/>
      <c r="F532" s="50"/>
      <c r="G532" s="50"/>
      <c r="H532" s="50"/>
    </row>
    <row r="533" spans="1:8">
      <c r="A533" s="53"/>
      <c r="E533" s="50"/>
      <c r="F533" s="50"/>
      <c r="G533" s="50"/>
      <c r="H533" s="50"/>
    </row>
    <row r="534" spans="1:8">
      <c r="A534" s="53"/>
      <c r="E534" s="50"/>
      <c r="F534" s="50"/>
      <c r="G534" s="50"/>
      <c r="H534" s="50"/>
    </row>
    <row r="535" spans="1:8">
      <c r="A535" s="53"/>
      <c r="E535" s="50"/>
      <c r="F535" s="50"/>
      <c r="G535" s="50"/>
      <c r="H535" s="50"/>
    </row>
    <row r="536" spans="1:8">
      <c r="A536" s="53"/>
      <c r="E536" s="50"/>
      <c r="F536" s="50"/>
      <c r="G536" s="50"/>
      <c r="H536" s="50"/>
    </row>
    <row r="537" spans="1:8">
      <c r="A537" s="53"/>
      <c r="E537" s="50"/>
      <c r="F537" s="50"/>
      <c r="G537" s="50"/>
      <c r="H537" s="50"/>
    </row>
    <row r="538" spans="1:8">
      <c r="A538" s="53"/>
      <c r="E538" s="50"/>
      <c r="F538" s="50"/>
      <c r="G538" s="50"/>
      <c r="H538" s="50"/>
    </row>
    <row r="539" spans="1:8">
      <c r="A539" s="53"/>
      <c r="E539" s="50"/>
      <c r="F539" s="50"/>
      <c r="G539" s="50"/>
      <c r="H539" s="50"/>
    </row>
    <row r="540" spans="1:8">
      <c r="A540" s="53"/>
      <c r="E540" s="50"/>
      <c r="F540" s="50"/>
      <c r="G540" s="50"/>
      <c r="H540" s="50"/>
    </row>
    <row r="541" spans="1:8">
      <c r="A541" s="53"/>
      <c r="E541" s="50"/>
      <c r="F541" s="50"/>
      <c r="G541" s="50"/>
      <c r="H541" s="50"/>
    </row>
    <row r="542" spans="1:8">
      <c r="A542" s="53"/>
      <c r="E542" s="50"/>
      <c r="F542" s="50"/>
      <c r="G542" s="50"/>
      <c r="H542" s="50"/>
    </row>
    <row r="543" spans="1:8">
      <c r="A543" s="53"/>
      <c r="E543" s="50"/>
      <c r="F543" s="50"/>
      <c r="G543" s="50"/>
      <c r="H543" s="50"/>
    </row>
    <row r="544" spans="1:8">
      <c r="A544" s="53"/>
      <c r="E544" s="50"/>
      <c r="F544" s="50"/>
      <c r="G544" s="50"/>
      <c r="H544" s="50"/>
    </row>
    <row r="545" spans="1:8">
      <c r="A545" s="53"/>
      <c r="E545" s="50"/>
      <c r="F545" s="50"/>
      <c r="G545" s="50"/>
      <c r="H545" s="50"/>
    </row>
    <row r="546" spans="1:8">
      <c r="A546" s="53"/>
      <c r="E546" s="50"/>
      <c r="F546" s="50"/>
      <c r="G546" s="50"/>
      <c r="H546" s="50"/>
    </row>
    <row r="547" spans="1:8">
      <c r="A547" s="53"/>
      <c r="E547" s="50"/>
      <c r="F547" s="50"/>
      <c r="G547" s="50"/>
      <c r="H547" s="50"/>
    </row>
    <row r="548" spans="1:8">
      <c r="A548" s="53"/>
      <c r="E548" s="50"/>
      <c r="F548" s="50"/>
      <c r="G548" s="50"/>
      <c r="H548" s="50"/>
    </row>
    <row r="549" spans="1:8">
      <c r="A549" s="53"/>
      <c r="E549" s="50"/>
      <c r="F549" s="50"/>
      <c r="G549" s="50"/>
      <c r="H549" s="50"/>
    </row>
    <row r="550" spans="1:8">
      <c r="A550" s="53"/>
      <c r="E550" s="50"/>
      <c r="F550" s="50"/>
      <c r="G550" s="50"/>
      <c r="H550" s="50"/>
    </row>
    <row r="551" spans="1:8">
      <c r="A551" s="53"/>
      <c r="E551" s="50"/>
      <c r="F551" s="50"/>
      <c r="G551" s="50"/>
      <c r="H551" s="50"/>
    </row>
    <row r="552" spans="1:8">
      <c r="A552" s="53"/>
      <c r="E552" s="50"/>
      <c r="F552" s="50"/>
      <c r="G552" s="50"/>
      <c r="H552" s="50"/>
    </row>
    <row r="553" spans="1:8">
      <c r="A553" s="53"/>
      <c r="E553" s="50"/>
      <c r="F553" s="50"/>
      <c r="G553" s="50"/>
      <c r="H553" s="50"/>
    </row>
    <row r="554" spans="1:8">
      <c r="A554" s="53"/>
      <c r="E554" s="50"/>
      <c r="F554" s="50"/>
      <c r="G554" s="50"/>
      <c r="H554" s="50"/>
    </row>
    <row r="555" spans="1:8">
      <c r="A555" s="53"/>
      <c r="E555" s="50"/>
      <c r="F555" s="50"/>
      <c r="G555" s="50"/>
      <c r="H555" s="50"/>
    </row>
    <row r="556" spans="1:8">
      <c r="A556" s="53"/>
      <c r="E556" s="50"/>
      <c r="F556" s="50"/>
      <c r="G556" s="50"/>
      <c r="H556" s="50"/>
    </row>
    <row r="557" spans="1:8">
      <c r="A557" s="53"/>
      <c r="E557" s="50"/>
      <c r="F557" s="50"/>
      <c r="G557" s="50"/>
      <c r="H557" s="50"/>
    </row>
    <row r="558" spans="1:8">
      <c r="A558" s="53"/>
      <c r="E558" s="50"/>
      <c r="F558" s="50"/>
      <c r="G558" s="50"/>
      <c r="H558" s="50"/>
    </row>
    <row r="559" spans="1:8">
      <c r="A559" s="53"/>
      <c r="E559" s="50"/>
      <c r="F559" s="50"/>
      <c r="G559" s="50"/>
      <c r="H559" s="50"/>
    </row>
    <row r="560" spans="1:8">
      <c r="A560" s="53"/>
      <c r="E560" s="50"/>
      <c r="F560" s="50"/>
      <c r="G560" s="50"/>
      <c r="H560" s="50"/>
    </row>
    <row r="561" spans="1:8">
      <c r="A561" s="53"/>
      <c r="E561" s="50"/>
      <c r="F561" s="50"/>
      <c r="G561" s="50"/>
      <c r="H561" s="50"/>
    </row>
    <row r="562" spans="1:8">
      <c r="A562" s="53"/>
      <c r="E562" s="50"/>
      <c r="F562" s="50"/>
      <c r="G562" s="50"/>
      <c r="H562" s="50"/>
    </row>
    <row r="563" spans="1:8">
      <c r="A563" s="53"/>
      <c r="E563" s="50"/>
      <c r="F563" s="50"/>
      <c r="G563" s="50"/>
      <c r="H563" s="50"/>
    </row>
    <row r="564" spans="1:8">
      <c r="A564" s="53"/>
      <c r="E564" s="50"/>
      <c r="F564" s="50"/>
      <c r="G564" s="50"/>
      <c r="H564" s="50"/>
    </row>
    <row r="565" spans="1:8">
      <c r="A565" s="53"/>
      <c r="E565" s="50"/>
      <c r="F565" s="50"/>
      <c r="G565" s="50"/>
      <c r="H565" s="50"/>
    </row>
    <row r="566" spans="1:8">
      <c r="A566" s="53"/>
      <c r="E566" s="50"/>
      <c r="F566" s="50"/>
      <c r="G566" s="50"/>
      <c r="H566" s="50"/>
    </row>
    <row r="567" spans="1:8">
      <c r="A567" s="53"/>
      <c r="E567" s="50"/>
      <c r="F567" s="50"/>
      <c r="G567" s="50"/>
      <c r="H567" s="50"/>
    </row>
    <row r="568" spans="1:8">
      <c r="A568" s="53"/>
      <c r="E568" s="50"/>
      <c r="F568" s="50"/>
      <c r="G568" s="50"/>
      <c r="H568" s="50"/>
    </row>
    <row r="569" spans="1:8">
      <c r="A569" s="53"/>
      <c r="E569" s="50"/>
      <c r="F569" s="50"/>
      <c r="G569" s="50"/>
      <c r="H569" s="50"/>
    </row>
    <row r="570" spans="1:8">
      <c r="A570" s="53"/>
      <c r="E570" s="50"/>
      <c r="F570" s="50"/>
      <c r="G570" s="50"/>
      <c r="H570" s="50"/>
    </row>
    <row r="571" spans="1:8">
      <c r="A571" s="53"/>
      <c r="E571" s="50"/>
      <c r="F571" s="50"/>
      <c r="G571" s="50"/>
      <c r="H571" s="50"/>
    </row>
    <row r="572" spans="1:8">
      <c r="A572" s="53"/>
      <c r="E572" s="50"/>
      <c r="F572" s="50"/>
      <c r="G572" s="50"/>
      <c r="H572" s="50"/>
    </row>
    <row r="573" spans="1:8">
      <c r="A573" s="53"/>
      <c r="E573" s="50"/>
      <c r="F573" s="50"/>
      <c r="G573" s="50"/>
      <c r="H573" s="50"/>
    </row>
    <row r="574" spans="1:8">
      <c r="A574" s="53"/>
      <c r="E574" s="50"/>
      <c r="F574" s="50"/>
      <c r="G574" s="50"/>
      <c r="H574" s="50"/>
    </row>
    <row r="575" spans="1:8">
      <c r="A575" s="53"/>
      <c r="E575" s="50"/>
      <c r="F575" s="50"/>
      <c r="G575" s="50"/>
      <c r="H575" s="50"/>
    </row>
    <row r="576" spans="1:8">
      <c r="A576" s="53"/>
      <c r="E576" s="50"/>
      <c r="F576" s="50"/>
      <c r="G576" s="50"/>
      <c r="H576" s="50"/>
    </row>
    <row r="577" spans="1:8">
      <c r="A577" s="53"/>
      <c r="E577" s="50"/>
      <c r="F577" s="50"/>
      <c r="G577" s="50"/>
      <c r="H577" s="50"/>
    </row>
    <row r="578" spans="1:8">
      <c r="A578" s="53"/>
      <c r="E578" s="50"/>
      <c r="F578" s="50"/>
      <c r="G578" s="50"/>
      <c r="H578" s="50"/>
    </row>
    <row r="579" spans="1:8">
      <c r="A579" s="53"/>
      <c r="E579" s="50"/>
      <c r="F579" s="50"/>
      <c r="G579" s="50"/>
      <c r="H579" s="50"/>
    </row>
    <row r="580" spans="1:8">
      <c r="A580" s="53"/>
      <c r="E580" s="50"/>
      <c r="F580" s="50"/>
      <c r="G580" s="50"/>
      <c r="H580" s="50"/>
    </row>
    <row r="581" spans="1:8">
      <c r="A581" s="53"/>
      <c r="E581" s="50"/>
      <c r="F581" s="50"/>
      <c r="G581" s="50"/>
      <c r="H581" s="50"/>
    </row>
    <row r="582" spans="1:8">
      <c r="A582" s="53"/>
      <c r="E582" s="50"/>
      <c r="F582" s="50"/>
      <c r="G582" s="50"/>
      <c r="H582" s="50"/>
    </row>
    <row r="583" spans="1:8">
      <c r="A583" s="53"/>
      <c r="E583" s="50"/>
      <c r="F583" s="50"/>
      <c r="G583" s="50"/>
      <c r="H583" s="50"/>
    </row>
    <row r="584" spans="1:8">
      <c r="A584" s="53"/>
      <c r="E584" s="50"/>
      <c r="F584" s="50"/>
      <c r="G584" s="50"/>
      <c r="H584" s="50"/>
    </row>
    <row r="585" spans="1:8">
      <c r="A585" s="53"/>
      <c r="E585" s="50"/>
      <c r="F585" s="50"/>
      <c r="G585" s="50"/>
      <c r="H585" s="50"/>
    </row>
    <row r="586" spans="1:8">
      <c r="A586" s="53"/>
      <c r="E586" s="50"/>
      <c r="F586" s="50"/>
      <c r="G586" s="50"/>
      <c r="H586" s="50"/>
    </row>
    <row r="587" spans="1:8">
      <c r="A587" s="53"/>
      <c r="E587" s="50"/>
      <c r="F587" s="50"/>
      <c r="G587" s="50"/>
      <c r="H587" s="50"/>
    </row>
    <row r="588" spans="1:8">
      <c r="A588" s="53"/>
      <c r="E588" s="50"/>
      <c r="F588" s="50"/>
      <c r="G588" s="50"/>
      <c r="H588" s="50"/>
    </row>
    <row r="589" spans="1:8">
      <c r="A589" s="53"/>
      <c r="E589" s="50"/>
      <c r="F589" s="50"/>
      <c r="G589" s="50"/>
      <c r="H589" s="50"/>
    </row>
    <row r="590" spans="1:8">
      <c r="A590" s="53"/>
      <c r="E590" s="50"/>
      <c r="F590" s="50"/>
      <c r="G590" s="50"/>
      <c r="H590" s="50"/>
    </row>
    <row r="591" spans="1:8">
      <c r="A591" s="53"/>
      <c r="E591" s="50"/>
      <c r="F591" s="50"/>
      <c r="G591" s="50"/>
      <c r="H591" s="50"/>
    </row>
    <row r="592" spans="1:8">
      <c r="A592" s="53"/>
      <c r="E592" s="50"/>
      <c r="F592" s="50"/>
      <c r="G592" s="50"/>
      <c r="H592" s="50"/>
    </row>
    <row r="593" spans="1:8">
      <c r="A593" s="53"/>
      <c r="E593" s="50"/>
      <c r="F593" s="50"/>
      <c r="G593" s="50"/>
      <c r="H593" s="50"/>
    </row>
    <row r="594" spans="1:8">
      <c r="A594" s="53"/>
      <c r="E594" s="50"/>
      <c r="F594" s="50"/>
      <c r="G594" s="50"/>
      <c r="H594" s="50"/>
    </row>
    <row r="595" spans="1:8">
      <c r="A595" s="53"/>
      <c r="E595" s="50"/>
      <c r="F595" s="50"/>
      <c r="G595" s="50"/>
      <c r="H595" s="50"/>
    </row>
    <row r="596" spans="1:8">
      <c r="A596" s="53"/>
      <c r="E596" s="50"/>
      <c r="F596" s="50"/>
      <c r="G596" s="50"/>
      <c r="H596" s="50"/>
    </row>
    <row r="597" spans="1:8">
      <c r="A597" s="53"/>
      <c r="E597" s="50"/>
      <c r="F597" s="50"/>
      <c r="G597" s="50"/>
      <c r="H597" s="50"/>
    </row>
    <row r="598" spans="1:8">
      <c r="A598" s="53"/>
      <c r="E598" s="50"/>
      <c r="F598" s="50"/>
      <c r="G598" s="50"/>
      <c r="H598" s="50"/>
    </row>
    <row r="599" spans="1:8">
      <c r="A599" s="53"/>
      <c r="E599" s="50"/>
      <c r="F599" s="50"/>
      <c r="G599" s="50"/>
      <c r="H599" s="50"/>
    </row>
    <row r="600" spans="1:8">
      <c r="A600" s="53"/>
      <c r="E600" s="50"/>
      <c r="F600" s="50"/>
      <c r="G600" s="50"/>
      <c r="H600" s="50"/>
    </row>
    <row r="601" spans="1:8">
      <c r="A601" s="53"/>
      <c r="E601" s="50"/>
      <c r="F601" s="50"/>
      <c r="G601" s="50"/>
      <c r="H601" s="50"/>
    </row>
    <row r="602" spans="1:8">
      <c r="A602" s="53"/>
      <c r="E602" s="50"/>
      <c r="F602" s="50"/>
      <c r="G602" s="50"/>
      <c r="H602" s="50"/>
    </row>
    <row r="603" spans="1:8">
      <c r="A603" s="53"/>
      <c r="E603" s="50"/>
      <c r="F603" s="50"/>
      <c r="G603" s="50"/>
      <c r="H603" s="50"/>
    </row>
    <row r="604" spans="1:8">
      <c r="A604" s="53"/>
      <c r="E604" s="50"/>
      <c r="F604" s="50"/>
      <c r="G604" s="50"/>
      <c r="H604" s="50"/>
    </row>
    <row r="605" spans="1:8">
      <c r="A605" s="53"/>
      <c r="E605" s="50"/>
      <c r="F605" s="50"/>
      <c r="G605" s="50"/>
      <c r="H605" s="50"/>
    </row>
    <row r="606" spans="1:8">
      <c r="A606" s="53"/>
      <c r="E606" s="50"/>
      <c r="F606" s="50"/>
      <c r="G606" s="50"/>
      <c r="H606" s="50"/>
    </row>
    <row r="607" spans="1:8">
      <c r="A607" s="53"/>
      <c r="E607" s="50"/>
      <c r="F607" s="50"/>
      <c r="G607" s="50"/>
      <c r="H607" s="50"/>
    </row>
    <row r="608" spans="1:8">
      <c r="A608" s="53"/>
      <c r="E608" s="50"/>
      <c r="F608" s="50"/>
      <c r="G608" s="50"/>
      <c r="H608" s="50"/>
    </row>
    <row r="609" spans="1:8">
      <c r="A609" s="53"/>
      <c r="E609" s="50"/>
      <c r="F609" s="50"/>
      <c r="G609" s="50"/>
      <c r="H609" s="50"/>
    </row>
    <row r="610" spans="1:8">
      <c r="A610" s="53"/>
      <c r="E610" s="50"/>
      <c r="F610" s="50"/>
      <c r="G610" s="50"/>
      <c r="H610" s="50"/>
    </row>
    <row r="611" spans="1:8">
      <c r="A611" s="53"/>
      <c r="E611" s="50"/>
      <c r="F611" s="50"/>
      <c r="G611" s="50"/>
      <c r="H611" s="50"/>
    </row>
    <row r="612" spans="1:8">
      <c r="A612" s="53"/>
      <c r="E612" s="50"/>
      <c r="F612" s="50"/>
      <c r="G612" s="50"/>
      <c r="H612" s="50"/>
    </row>
    <row r="613" spans="1:8">
      <c r="A613" s="53"/>
      <c r="E613" s="50"/>
      <c r="F613" s="50"/>
      <c r="G613" s="50"/>
      <c r="H613" s="50"/>
    </row>
    <row r="614" spans="1:8">
      <c r="A614" s="53"/>
      <c r="E614" s="50"/>
      <c r="F614" s="50"/>
      <c r="G614" s="50"/>
      <c r="H614" s="50"/>
    </row>
    <row r="615" spans="1:8">
      <c r="A615" s="53"/>
      <c r="E615" s="50"/>
      <c r="F615" s="50"/>
      <c r="G615" s="50"/>
      <c r="H615" s="50"/>
    </row>
    <row r="616" spans="1:8">
      <c r="A616" s="53"/>
      <c r="E616" s="50"/>
      <c r="F616" s="50"/>
      <c r="G616" s="50"/>
      <c r="H616" s="50"/>
    </row>
    <row r="617" spans="1:8">
      <c r="A617" s="53"/>
      <c r="E617" s="50"/>
      <c r="F617" s="50"/>
      <c r="G617" s="50"/>
      <c r="H617" s="50"/>
    </row>
    <row r="618" spans="1:8">
      <c r="A618" s="53"/>
      <c r="E618" s="50"/>
      <c r="F618" s="50"/>
      <c r="G618" s="50"/>
      <c r="H618" s="50"/>
    </row>
    <row r="619" spans="1:8">
      <c r="A619" s="53"/>
      <c r="E619" s="50"/>
      <c r="F619" s="50"/>
      <c r="G619" s="50"/>
      <c r="H619" s="50"/>
    </row>
    <row r="620" spans="1:8">
      <c r="A620" s="53"/>
      <c r="E620" s="50"/>
      <c r="F620" s="50"/>
      <c r="G620" s="50"/>
      <c r="H620" s="50"/>
    </row>
    <row r="621" spans="1:8">
      <c r="A621" s="53"/>
      <c r="E621" s="50"/>
      <c r="F621" s="50"/>
      <c r="G621" s="50"/>
      <c r="H621" s="50"/>
    </row>
    <row r="622" spans="1:8">
      <c r="A622" s="53"/>
      <c r="E622" s="50"/>
      <c r="F622" s="50"/>
      <c r="G622" s="50"/>
      <c r="H622" s="50"/>
    </row>
    <row r="623" spans="1:8">
      <c r="A623" s="53"/>
      <c r="E623" s="50"/>
      <c r="F623" s="50"/>
      <c r="G623" s="50"/>
      <c r="H623" s="50"/>
    </row>
    <row r="624" spans="1:8">
      <c r="A624" s="53"/>
      <c r="E624" s="50"/>
      <c r="F624" s="50"/>
      <c r="G624" s="50"/>
      <c r="H624" s="50"/>
    </row>
    <row r="625" spans="1:8">
      <c r="A625" s="53"/>
      <c r="E625" s="50"/>
      <c r="F625" s="50"/>
      <c r="G625" s="50"/>
      <c r="H625" s="50"/>
    </row>
    <row r="626" spans="1:8">
      <c r="A626" s="53"/>
      <c r="E626" s="50"/>
      <c r="F626" s="50"/>
      <c r="G626" s="50"/>
      <c r="H626" s="50"/>
    </row>
    <row r="627" spans="1:8">
      <c r="A627" s="53"/>
      <c r="E627" s="50"/>
      <c r="F627" s="50"/>
      <c r="G627" s="50"/>
      <c r="H627" s="50"/>
    </row>
    <row r="628" spans="1:8">
      <c r="A628" s="53"/>
      <c r="E628" s="50"/>
      <c r="F628" s="50"/>
      <c r="G628" s="50"/>
      <c r="H628" s="50"/>
    </row>
    <row r="629" spans="1:8">
      <c r="A629" s="53"/>
      <c r="E629" s="50"/>
      <c r="F629" s="50"/>
      <c r="G629" s="50"/>
      <c r="H629" s="50"/>
    </row>
    <row r="630" spans="1:8">
      <c r="A630" s="53"/>
      <c r="E630" s="50"/>
      <c r="F630" s="50"/>
      <c r="G630" s="50"/>
      <c r="H630" s="50"/>
    </row>
    <row r="631" spans="1:8">
      <c r="A631" s="53"/>
      <c r="E631" s="50"/>
      <c r="F631" s="50"/>
      <c r="G631" s="50"/>
      <c r="H631" s="50"/>
    </row>
    <row r="632" spans="1:8">
      <c r="A632" s="53"/>
      <c r="E632" s="50"/>
      <c r="F632" s="50"/>
      <c r="G632" s="50"/>
      <c r="H632" s="50"/>
    </row>
    <row r="633" spans="1:8">
      <c r="A633" s="53"/>
      <c r="E633" s="50"/>
      <c r="F633" s="50"/>
      <c r="G633" s="50"/>
      <c r="H633" s="50"/>
    </row>
    <row r="634" spans="1:8">
      <c r="A634" s="53"/>
      <c r="E634" s="50"/>
      <c r="F634" s="50"/>
      <c r="G634" s="50"/>
      <c r="H634" s="50"/>
    </row>
    <row r="635" spans="1:8">
      <c r="A635" s="53"/>
      <c r="E635" s="50"/>
      <c r="F635" s="50"/>
      <c r="G635" s="50"/>
      <c r="H635" s="50"/>
    </row>
    <row r="636" spans="1:8">
      <c r="A636" s="53"/>
      <c r="E636" s="50"/>
      <c r="F636" s="50"/>
      <c r="G636" s="50"/>
      <c r="H636" s="50"/>
    </row>
    <row r="637" spans="1:8">
      <c r="A637" s="53"/>
      <c r="E637" s="50"/>
      <c r="F637" s="50"/>
      <c r="G637" s="50"/>
      <c r="H637" s="50"/>
    </row>
    <row r="638" spans="1:8">
      <c r="A638" s="53"/>
      <c r="E638" s="50"/>
      <c r="F638" s="50"/>
      <c r="G638" s="50"/>
      <c r="H638" s="50"/>
    </row>
    <row r="639" spans="1:8">
      <c r="A639" s="53"/>
      <c r="E639" s="50"/>
      <c r="F639" s="50"/>
      <c r="G639" s="50"/>
      <c r="H639" s="50"/>
    </row>
    <row r="640" spans="1:8">
      <c r="A640" s="53"/>
      <c r="E640" s="50"/>
      <c r="F640" s="50"/>
      <c r="G640" s="50"/>
      <c r="H640" s="50"/>
    </row>
    <row r="641" spans="1:8">
      <c r="A641" s="53"/>
      <c r="E641" s="50"/>
      <c r="F641" s="50"/>
      <c r="G641" s="50"/>
      <c r="H641" s="50"/>
    </row>
    <row r="642" spans="1:8">
      <c r="A642" s="53"/>
      <c r="E642" s="50"/>
      <c r="F642" s="50"/>
      <c r="G642" s="50"/>
      <c r="H642" s="50"/>
    </row>
    <row r="643" spans="1:8">
      <c r="A643" s="53"/>
      <c r="E643" s="50"/>
      <c r="F643" s="50"/>
      <c r="G643" s="50"/>
      <c r="H643" s="50"/>
    </row>
    <row r="644" spans="1:8">
      <c r="A644" s="53"/>
      <c r="E644" s="50"/>
      <c r="F644" s="50"/>
      <c r="G644" s="50"/>
      <c r="H644" s="50"/>
    </row>
    <row r="645" spans="1:8">
      <c r="A645" s="53"/>
      <c r="E645" s="50"/>
      <c r="F645" s="50"/>
      <c r="G645" s="50"/>
      <c r="H645" s="50"/>
    </row>
    <row r="646" spans="1:8">
      <c r="A646" s="53"/>
      <c r="E646" s="50"/>
      <c r="F646" s="50"/>
      <c r="G646" s="50"/>
      <c r="H646" s="50"/>
    </row>
    <row r="647" spans="1:8">
      <c r="A647" s="53"/>
      <c r="E647" s="50"/>
      <c r="F647" s="50"/>
      <c r="G647" s="50"/>
      <c r="H647" s="50"/>
    </row>
    <row r="648" spans="1:8">
      <c r="A648" s="53"/>
      <c r="E648" s="50"/>
      <c r="F648" s="50"/>
      <c r="G648" s="50"/>
      <c r="H648" s="50"/>
    </row>
    <row r="649" spans="1:8">
      <c r="A649" s="53"/>
      <c r="E649" s="50"/>
      <c r="F649" s="50"/>
      <c r="G649" s="50"/>
      <c r="H649" s="50"/>
    </row>
    <row r="650" spans="1:8">
      <c r="A650" s="53"/>
      <c r="E650" s="50"/>
      <c r="F650" s="50"/>
      <c r="G650" s="50"/>
      <c r="H650" s="50"/>
    </row>
    <row r="651" spans="1:8">
      <c r="A651" s="53"/>
      <c r="E651" s="50"/>
      <c r="F651" s="50"/>
      <c r="G651" s="50"/>
      <c r="H651" s="50"/>
    </row>
    <row r="652" spans="1:8">
      <c r="A652" s="53"/>
      <c r="E652" s="50"/>
      <c r="F652" s="50"/>
      <c r="G652" s="50"/>
      <c r="H652" s="50"/>
    </row>
    <row r="653" spans="1:8">
      <c r="A653" s="53"/>
      <c r="E653" s="50"/>
      <c r="F653" s="50"/>
      <c r="G653" s="50"/>
      <c r="H653" s="50"/>
    </row>
    <row r="654" spans="1:8">
      <c r="A654" s="53"/>
      <c r="E654" s="50"/>
      <c r="F654" s="50"/>
      <c r="G654" s="50"/>
      <c r="H654" s="50"/>
    </row>
    <row r="655" spans="1:8">
      <c r="A655" s="53"/>
      <c r="E655" s="50"/>
      <c r="F655" s="50"/>
      <c r="G655" s="50"/>
      <c r="H655" s="50"/>
    </row>
    <row r="656" spans="1:8">
      <c r="A656" s="53"/>
      <c r="E656" s="50"/>
      <c r="F656" s="50"/>
      <c r="G656" s="50"/>
      <c r="H656" s="50"/>
    </row>
    <row r="657" spans="1:8">
      <c r="A657" s="53"/>
      <c r="E657" s="50"/>
      <c r="F657" s="50"/>
      <c r="G657" s="50"/>
      <c r="H657" s="50"/>
    </row>
    <row r="658" spans="1:8">
      <c r="A658" s="53"/>
      <c r="E658" s="50"/>
      <c r="F658" s="50"/>
      <c r="G658" s="50"/>
      <c r="H658" s="50"/>
    </row>
    <row r="659" spans="1:8">
      <c r="A659" s="53"/>
      <c r="E659" s="50"/>
      <c r="F659" s="50"/>
      <c r="G659" s="50"/>
      <c r="H659" s="50"/>
    </row>
    <row r="660" spans="1:8">
      <c r="A660" s="53"/>
      <c r="E660" s="50"/>
      <c r="F660" s="50"/>
      <c r="G660" s="50"/>
      <c r="H660" s="50"/>
    </row>
    <row r="661" spans="1:8">
      <c r="A661" s="53"/>
      <c r="E661" s="50"/>
      <c r="F661" s="50"/>
      <c r="G661" s="50"/>
      <c r="H661" s="50"/>
    </row>
    <row r="662" spans="1:8">
      <c r="A662" s="53"/>
      <c r="E662" s="50"/>
      <c r="F662" s="50"/>
      <c r="G662" s="50"/>
      <c r="H662" s="50"/>
    </row>
    <row r="663" spans="1:8">
      <c r="A663" s="53"/>
      <c r="E663" s="50"/>
      <c r="F663" s="50"/>
      <c r="G663" s="50"/>
      <c r="H663" s="50"/>
    </row>
    <row r="664" spans="1:8">
      <c r="A664" s="53"/>
      <c r="E664" s="50"/>
      <c r="F664" s="50"/>
      <c r="G664" s="50"/>
      <c r="H664" s="50"/>
    </row>
    <row r="665" spans="1:8">
      <c r="A665" s="53"/>
      <c r="E665" s="50"/>
      <c r="F665" s="50"/>
      <c r="G665" s="50"/>
      <c r="H665" s="50"/>
    </row>
    <row r="666" spans="1:8">
      <c r="A666" s="53"/>
      <c r="E666" s="50"/>
      <c r="F666" s="50"/>
      <c r="G666" s="50"/>
      <c r="H666" s="50"/>
    </row>
    <row r="667" spans="1:8">
      <c r="A667" s="53"/>
      <c r="E667" s="50"/>
      <c r="F667" s="50"/>
      <c r="G667" s="50"/>
      <c r="H667" s="50"/>
    </row>
    <row r="668" spans="1:8">
      <c r="A668" s="53"/>
      <c r="E668" s="50"/>
      <c r="F668" s="50"/>
      <c r="G668" s="50"/>
      <c r="H668" s="50"/>
    </row>
    <row r="669" spans="1:8">
      <c r="A669" s="53"/>
      <c r="E669" s="50"/>
      <c r="F669" s="50"/>
      <c r="G669" s="50"/>
      <c r="H669" s="50"/>
    </row>
    <row r="670" spans="1:8">
      <c r="A670" s="53"/>
      <c r="E670" s="50"/>
      <c r="F670" s="50"/>
      <c r="G670" s="50"/>
      <c r="H670" s="50"/>
    </row>
    <row r="671" spans="1:8">
      <c r="A671" s="53"/>
      <c r="E671" s="50"/>
      <c r="F671" s="50"/>
      <c r="G671" s="50"/>
      <c r="H671" s="50"/>
    </row>
    <row r="672" spans="1:8">
      <c r="A672" s="53"/>
      <c r="E672" s="50"/>
      <c r="F672" s="50"/>
      <c r="G672" s="50"/>
      <c r="H672" s="50"/>
    </row>
    <row r="673" spans="1:8">
      <c r="A673" s="53"/>
      <c r="E673" s="50"/>
      <c r="F673" s="50"/>
      <c r="G673" s="50"/>
      <c r="H673" s="50"/>
    </row>
    <row r="674" spans="1:8">
      <c r="A674" s="53"/>
      <c r="E674" s="50"/>
      <c r="F674" s="50"/>
      <c r="G674" s="50"/>
      <c r="H674" s="50"/>
    </row>
    <row r="675" spans="1:8">
      <c r="A675" s="53"/>
      <c r="E675" s="50"/>
      <c r="F675" s="50"/>
      <c r="G675" s="50"/>
      <c r="H675" s="50"/>
    </row>
    <row r="676" spans="1:8">
      <c r="A676" s="53"/>
      <c r="E676" s="50"/>
      <c r="F676" s="50"/>
      <c r="G676" s="50"/>
      <c r="H676" s="50"/>
    </row>
    <row r="677" spans="1:8">
      <c r="A677" s="53"/>
      <c r="E677" s="50"/>
      <c r="F677" s="50"/>
      <c r="G677" s="50"/>
      <c r="H677" s="50"/>
    </row>
    <row r="678" spans="1:8">
      <c r="A678" s="53"/>
      <c r="E678" s="50"/>
      <c r="F678" s="50"/>
      <c r="G678" s="50"/>
      <c r="H678" s="50"/>
    </row>
    <row r="679" spans="1:8">
      <c r="A679" s="53"/>
      <c r="E679" s="50"/>
      <c r="F679" s="50"/>
      <c r="G679" s="50"/>
      <c r="H679" s="50"/>
    </row>
    <row r="680" spans="1:8">
      <c r="A680" s="53"/>
      <c r="E680" s="50"/>
      <c r="F680" s="50"/>
      <c r="G680" s="50"/>
      <c r="H680" s="50"/>
    </row>
    <row r="681" spans="1:8">
      <c r="A681" s="53"/>
      <c r="E681" s="50"/>
      <c r="F681" s="50"/>
      <c r="G681" s="50"/>
      <c r="H681" s="50"/>
    </row>
    <row r="682" spans="1:8">
      <c r="A682" s="53"/>
      <c r="E682" s="50"/>
      <c r="F682" s="50"/>
      <c r="G682" s="50"/>
      <c r="H682" s="50"/>
    </row>
    <row r="683" spans="1:8">
      <c r="A683" s="53"/>
      <c r="E683" s="50"/>
      <c r="F683" s="50"/>
      <c r="G683" s="50"/>
      <c r="H683" s="50"/>
    </row>
    <row r="684" spans="1:8">
      <c r="A684" s="53"/>
      <c r="E684" s="50"/>
      <c r="F684" s="50"/>
      <c r="G684" s="50"/>
      <c r="H684" s="50"/>
    </row>
    <row r="685" spans="1:8">
      <c r="A685" s="53"/>
      <c r="E685" s="50"/>
      <c r="F685" s="50"/>
      <c r="G685" s="50"/>
      <c r="H685" s="50"/>
    </row>
    <row r="686" spans="1:8">
      <c r="A686" s="53"/>
      <c r="E686" s="50"/>
      <c r="F686" s="50"/>
      <c r="G686" s="50"/>
      <c r="H686" s="50"/>
    </row>
  </sheetData>
  <autoFilter xmlns:etc="http://www.wps.cn/officeDocument/2017/etCustomData" ref="A4:H201"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H944"/>
  <sheetViews>
    <sheetView showGridLines="0" view="pageBreakPreview" zoomScale="90" zoomScaleNormal="100" topLeftCell="A60" workbookViewId="0">
      <selection activeCell="E27" sqref="E27"/>
    </sheetView>
  </sheetViews>
  <sheetFormatPr defaultColWidth="9.25" defaultRowHeight="13.8" outlineLevelCol="7"/>
  <cols>
    <col min="1" max="1" width="7.62962962962963" style="31" customWidth="1"/>
    <col min="2" max="2" width="39.5" style="27" customWidth="1"/>
    <col min="3" max="4" width="30.75" style="32" customWidth="1"/>
    <col min="5" max="8" width="13.8796296296296" style="45" customWidth="1"/>
    <col min="9" max="16384" width="9.25" style="31"/>
  </cols>
  <sheetData>
    <row r="1" spans="1:8">
      <c r="A1" s="6" t="s">
        <v>782</v>
      </c>
      <c r="B1" s="6"/>
      <c r="C1" s="7"/>
      <c r="D1" s="7"/>
      <c r="E1" s="6"/>
      <c r="F1" s="6"/>
      <c r="G1" s="6"/>
      <c r="H1" s="6"/>
    </row>
    <row r="2" spans="1:8">
      <c r="A2" s="8" t="s">
        <v>4</v>
      </c>
      <c r="B2" s="8"/>
      <c r="C2" s="8"/>
      <c r="D2" s="8"/>
      <c r="E2" s="34"/>
      <c r="F2" s="34"/>
      <c r="G2" s="34"/>
      <c r="H2" s="34"/>
    </row>
    <row r="3" spans="1:8">
      <c r="A3" s="9" t="s">
        <v>5</v>
      </c>
      <c r="B3" s="9" t="s">
        <v>6</v>
      </c>
      <c r="C3" s="9" t="s">
        <v>7</v>
      </c>
      <c r="D3" s="9"/>
      <c r="E3" s="10" t="s">
        <v>8</v>
      </c>
      <c r="F3" s="10"/>
      <c r="G3" s="10"/>
      <c r="H3" s="10"/>
    </row>
    <row r="4" spans="1:8">
      <c r="A4" s="11"/>
      <c r="B4" s="11"/>
      <c r="C4" s="9" t="s">
        <v>9</v>
      </c>
      <c r="D4" s="9" t="s">
        <v>10</v>
      </c>
      <c r="E4" s="10" t="s">
        <v>11</v>
      </c>
      <c r="F4" s="10" t="s">
        <v>12</v>
      </c>
      <c r="G4" s="10" t="s">
        <v>13</v>
      </c>
      <c r="H4" s="10" t="s">
        <v>14</v>
      </c>
    </row>
    <row r="5" spans="1:8">
      <c r="A5" s="13" t="s">
        <v>15</v>
      </c>
      <c r="B5" s="13"/>
      <c r="C5" s="15"/>
      <c r="D5" s="15"/>
      <c r="E5" s="35" t="s">
        <v>16</v>
      </c>
      <c r="F5" s="35" t="s">
        <v>16</v>
      </c>
      <c r="G5" s="35" t="s">
        <v>16</v>
      </c>
      <c r="H5" s="35" t="s">
        <v>16</v>
      </c>
    </row>
    <row r="6" spans="1:8">
      <c r="A6" s="36">
        <v>1</v>
      </c>
      <c r="B6" s="20" t="s">
        <v>783</v>
      </c>
      <c r="C6" s="18" t="s">
        <v>784</v>
      </c>
      <c r="D6" s="18" t="s">
        <v>785</v>
      </c>
      <c r="E6" s="38">
        <v>1750000</v>
      </c>
      <c r="F6" s="38">
        <v>1250000</v>
      </c>
      <c r="G6" s="38">
        <v>850000</v>
      </c>
      <c r="H6" s="38">
        <v>350000</v>
      </c>
    </row>
    <row r="7" ht="27.6" spans="1:8">
      <c r="A7" s="36">
        <v>2</v>
      </c>
      <c r="B7" s="20" t="s">
        <v>786</v>
      </c>
      <c r="C7" s="18" t="s">
        <v>784</v>
      </c>
      <c r="D7" s="18" t="s">
        <v>787</v>
      </c>
      <c r="E7" s="38">
        <v>2500000</v>
      </c>
      <c r="F7" s="38">
        <v>1750000</v>
      </c>
      <c r="G7" s="38">
        <v>1200000</v>
      </c>
      <c r="H7" s="38">
        <v>500000</v>
      </c>
    </row>
    <row r="8" spans="1:8">
      <c r="A8" s="36">
        <v>3</v>
      </c>
      <c r="B8" s="20" t="s">
        <v>788</v>
      </c>
      <c r="C8" s="18" t="s">
        <v>789</v>
      </c>
      <c r="D8" s="18" t="s">
        <v>790</v>
      </c>
      <c r="E8" s="38">
        <v>2000000</v>
      </c>
      <c r="F8" s="38">
        <v>1400000</v>
      </c>
      <c r="G8" s="38">
        <v>1000000</v>
      </c>
      <c r="H8" s="38">
        <v>400000</v>
      </c>
    </row>
    <row r="9" ht="27.6" spans="1:8">
      <c r="A9" s="36"/>
      <c r="B9" s="17" t="s">
        <v>788</v>
      </c>
      <c r="C9" s="18" t="s">
        <v>786</v>
      </c>
      <c r="D9" s="18" t="s">
        <v>791</v>
      </c>
      <c r="E9" s="23">
        <v>2500000</v>
      </c>
      <c r="F9" s="23">
        <v>1750000</v>
      </c>
      <c r="G9" s="23">
        <v>1200000</v>
      </c>
      <c r="H9" s="23">
        <v>500000</v>
      </c>
    </row>
    <row r="10" spans="1:8">
      <c r="A10" s="36">
        <v>4</v>
      </c>
      <c r="B10" s="20" t="s">
        <v>792</v>
      </c>
      <c r="C10" s="18" t="s">
        <v>786</v>
      </c>
      <c r="D10" s="18" t="s">
        <v>785</v>
      </c>
      <c r="E10" s="23">
        <v>2250000</v>
      </c>
      <c r="F10" s="23">
        <v>1600000</v>
      </c>
      <c r="G10" s="23">
        <v>1100000</v>
      </c>
      <c r="H10" s="23">
        <v>450000</v>
      </c>
    </row>
    <row r="11" spans="1:8">
      <c r="A11" s="36">
        <v>5</v>
      </c>
      <c r="B11" s="20" t="s">
        <v>793</v>
      </c>
      <c r="C11" s="18" t="s">
        <v>792</v>
      </c>
      <c r="D11" s="18" t="s">
        <v>794</v>
      </c>
      <c r="E11" s="23">
        <v>1600000</v>
      </c>
      <c r="F11" s="23">
        <v>1100000</v>
      </c>
      <c r="G11" s="23">
        <v>800000</v>
      </c>
      <c r="H11" s="23">
        <v>320000</v>
      </c>
    </row>
    <row r="12" spans="1:8">
      <c r="A12" s="36">
        <v>6</v>
      </c>
      <c r="B12" s="20" t="s">
        <v>795</v>
      </c>
      <c r="C12" s="18" t="s">
        <v>792</v>
      </c>
      <c r="D12" s="18" t="s">
        <v>794</v>
      </c>
      <c r="E12" s="23">
        <v>1600000</v>
      </c>
      <c r="F12" s="23">
        <v>1100000</v>
      </c>
      <c r="G12" s="23">
        <v>800000</v>
      </c>
      <c r="H12" s="23">
        <v>320000</v>
      </c>
    </row>
    <row r="13" spans="1:8">
      <c r="A13" s="36">
        <v>7</v>
      </c>
      <c r="B13" s="20" t="s">
        <v>796</v>
      </c>
      <c r="C13" s="18" t="s">
        <v>792</v>
      </c>
      <c r="D13" s="18" t="s">
        <v>794</v>
      </c>
      <c r="E13" s="23">
        <v>1600000</v>
      </c>
      <c r="F13" s="23">
        <v>1100000</v>
      </c>
      <c r="G13" s="23">
        <v>800000</v>
      </c>
      <c r="H13" s="23">
        <v>320000</v>
      </c>
    </row>
    <row r="14" spans="1:8">
      <c r="A14" s="36">
        <v>8</v>
      </c>
      <c r="B14" s="20" t="s">
        <v>797</v>
      </c>
      <c r="C14" s="18" t="s">
        <v>792</v>
      </c>
      <c r="D14" s="18" t="s">
        <v>794</v>
      </c>
      <c r="E14" s="23">
        <v>1600000</v>
      </c>
      <c r="F14" s="23">
        <v>1100000</v>
      </c>
      <c r="G14" s="23">
        <v>800000</v>
      </c>
      <c r="H14" s="23">
        <v>320000</v>
      </c>
    </row>
    <row r="15" spans="1:8">
      <c r="A15" s="36">
        <v>9</v>
      </c>
      <c r="B15" s="20" t="s">
        <v>798</v>
      </c>
      <c r="C15" s="18" t="s">
        <v>792</v>
      </c>
      <c r="D15" s="18" t="s">
        <v>797</v>
      </c>
      <c r="E15" s="23">
        <v>1600000</v>
      </c>
      <c r="F15" s="23">
        <v>1100000</v>
      </c>
      <c r="G15" s="23">
        <v>800000</v>
      </c>
      <c r="H15" s="23">
        <v>320000</v>
      </c>
    </row>
    <row r="16" spans="1:8">
      <c r="A16" s="36">
        <v>10</v>
      </c>
      <c r="B16" s="20" t="s">
        <v>799</v>
      </c>
      <c r="C16" s="18" t="s">
        <v>800</v>
      </c>
      <c r="D16" s="18" t="s">
        <v>801</v>
      </c>
      <c r="E16" s="23">
        <v>6900000</v>
      </c>
      <c r="F16" s="23">
        <v>4550000</v>
      </c>
      <c r="G16" s="23">
        <v>3200000</v>
      </c>
      <c r="H16" s="23">
        <v>1400000</v>
      </c>
    </row>
    <row r="17" ht="41.4" spans="1:8">
      <c r="A17" s="36">
        <v>11</v>
      </c>
      <c r="B17" s="20" t="s">
        <v>802</v>
      </c>
      <c r="C17" s="18" t="s">
        <v>803</v>
      </c>
      <c r="D17" s="18" t="s">
        <v>804</v>
      </c>
      <c r="E17" s="23">
        <v>4750000</v>
      </c>
      <c r="F17" s="23">
        <v>2600000</v>
      </c>
      <c r="G17" s="23">
        <v>1850000</v>
      </c>
      <c r="H17" s="23">
        <v>950000</v>
      </c>
    </row>
    <row r="18" spans="1:8">
      <c r="A18" s="36">
        <v>12</v>
      </c>
      <c r="B18" s="20" t="s">
        <v>794</v>
      </c>
      <c r="C18" s="18" t="s">
        <v>784</v>
      </c>
      <c r="D18" s="18" t="s">
        <v>786</v>
      </c>
      <c r="E18" s="23">
        <v>1750000</v>
      </c>
      <c r="F18" s="23">
        <v>1250000</v>
      </c>
      <c r="G18" s="23">
        <v>850000</v>
      </c>
      <c r="H18" s="23">
        <v>350000</v>
      </c>
    </row>
    <row r="19" spans="1:8">
      <c r="A19" s="36"/>
      <c r="B19" s="20" t="s">
        <v>794</v>
      </c>
      <c r="C19" s="18" t="s">
        <v>786</v>
      </c>
      <c r="D19" s="18" t="s">
        <v>785</v>
      </c>
      <c r="E19" s="23">
        <v>2250000</v>
      </c>
      <c r="F19" s="23">
        <v>1600000</v>
      </c>
      <c r="G19" s="23">
        <v>1100000</v>
      </c>
      <c r="H19" s="23">
        <v>450000</v>
      </c>
    </row>
    <row r="20" spans="1:8">
      <c r="A20" s="36">
        <v>13</v>
      </c>
      <c r="B20" s="20" t="s">
        <v>784</v>
      </c>
      <c r="C20" s="18" t="s">
        <v>805</v>
      </c>
      <c r="D20" s="18" t="s">
        <v>806</v>
      </c>
      <c r="E20" s="23">
        <v>2750000</v>
      </c>
      <c r="F20" s="23">
        <v>1950000</v>
      </c>
      <c r="G20" s="23">
        <v>1350000</v>
      </c>
      <c r="H20" s="23">
        <v>550000</v>
      </c>
    </row>
    <row r="21" spans="1:8">
      <c r="A21" s="36"/>
      <c r="B21" s="20" t="s">
        <v>784</v>
      </c>
      <c r="C21" s="18" t="s">
        <v>806</v>
      </c>
      <c r="D21" s="18" t="s">
        <v>802</v>
      </c>
      <c r="E21" s="23">
        <v>2600000</v>
      </c>
      <c r="F21" s="23">
        <v>1800000</v>
      </c>
      <c r="G21" s="23">
        <v>1250000</v>
      </c>
      <c r="H21" s="23">
        <v>500000</v>
      </c>
    </row>
    <row r="22" spans="1:8">
      <c r="A22" s="36">
        <v>14</v>
      </c>
      <c r="B22" s="20" t="s">
        <v>789</v>
      </c>
      <c r="C22" s="18" t="s">
        <v>805</v>
      </c>
      <c r="D22" s="18" t="s">
        <v>807</v>
      </c>
      <c r="E22" s="23">
        <v>2750000</v>
      </c>
      <c r="F22" s="23">
        <v>1950000</v>
      </c>
      <c r="G22" s="23">
        <v>1350000</v>
      </c>
      <c r="H22" s="23">
        <v>550000</v>
      </c>
    </row>
    <row r="23" spans="1:8">
      <c r="A23" s="36"/>
      <c r="B23" s="20" t="s">
        <v>789</v>
      </c>
      <c r="C23" s="18" t="s">
        <v>807</v>
      </c>
      <c r="D23" s="18" t="s">
        <v>808</v>
      </c>
      <c r="E23" s="23">
        <v>1750000</v>
      </c>
      <c r="F23" s="23">
        <v>1250000</v>
      </c>
      <c r="G23" s="23">
        <v>850000</v>
      </c>
      <c r="H23" s="23">
        <v>350000</v>
      </c>
    </row>
    <row r="24" spans="1:8">
      <c r="A24" s="36">
        <v>15</v>
      </c>
      <c r="B24" s="20" t="s">
        <v>785</v>
      </c>
      <c r="C24" s="18" t="s">
        <v>802</v>
      </c>
      <c r="D24" s="18" t="s">
        <v>805</v>
      </c>
      <c r="E24" s="23">
        <v>4750000</v>
      </c>
      <c r="F24" s="23">
        <v>2600000</v>
      </c>
      <c r="G24" s="23">
        <v>1850000</v>
      </c>
      <c r="H24" s="23">
        <v>950000</v>
      </c>
    </row>
    <row r="25" spans="1:8">
      <c r="A25" s="36"/>
      <c r="B25" s="20" t="s">
        <v>785</v>
      </c>
      <c r="C25" s="18" t="s">
        <v>805</v>
      </c>
      <c r="D25" s="18" t="s">
        <v>113</v>
      </c>
      <c r="E25" s="23">
        <v>12500000</v>
      </c>
      <c r="F25" s="23">
        <v>6900000</v>
      </c>
      <c r="G25" s="23">
        <v>4800000</v>
      </c>
      <c r="H25" s="23">
        <v>2500000</v>
      </c>
    </row>
    <row r="26" spans="1:8">
      <c r="A26" s="36">
        <v>16</v>
      </c>
      <c r="B26" s="20" t="s">
        <v>800</v>
      </c>
      <c r="C26" s="18" t="s">
        <v>789</v>
      </c>
      <c r="D26" s="18" t="s">
        <v>785</v>
      </c>
      <c r="E26" s="23">
        <v>2000000</v>
      </c>
      <c r="F26" s="23">
        <v>1400000</v>
      </c>
      <c r="G26" s="23">
        <v>1000000</v>
      </c>
      <c r="H26" s="23">
        <v>400000</v>
      </c>
    </row>
    <row r="27" spans="1:8">
      <c r="A27" s="36">
        <v>17</v>
      </c>
      <c r="B27" s="20" t="s">
        <v>809</v>
      </c>
      <c r="C27" s="18" t="s">
        <v>57</v>
      </c>
      <c r="D27" s="18" t="s">
        <v>810</v>
      </c>
      <c r="E27" s="23">
        <v>9000000</v>
      </c>
      <c r="F27" s="23">
        <v>4950000</v>
      </c>
      <c r="G27" s="23">
        <v>3450000</v>
      </c>
      <c r="H27" s="23">
        <v>1800000</v>
      </c>
    </row>
    <row r="28" ht="27.6" spans="1:8">
      <c r="A28" s="36">
        <v>18</v>
      </c>
      <c r="B28" s="20" t="s">
        <v>811</v>
      </c>
      <c r="C28" s="18" t="s">
        <v>810</v>
      </c>
      <c r="D28" s="18" t="s">
        <v>812</v>
      </c>
      <c r="E28" s="23">
        <v>2000000</v>
      </c>
      <c r="F28" s="23">
        <v>1400000</v>
      </c>
      <c r="G28" s="23">
        <v>1000000</v>
      </c>
      <c r="H28" s="23">
        <v>400000</v>
      </c>
    </row>
    <row r="29" ht="27.6" spans="1:8">
      <c r="A29" s="36"/>
      <c r="B29" s="20" t="s">
        <v>811</v>
      </c>
      <c r="C29" s="18" t="s">
        <v>812</v>
      </c>
      <c r="D29" s="18" t="s">
        <v>813</v>
      </c>
      <c r="E29" s="23">
        <v>1250000</v>
      </c>
      <c r="F29" s="23">
        <v>850000</v>
      </c>
      <c r="G29" s="23">
        <v>600000</v>
      </c>
      <c r="H29" s="23">
        <v>250000</v>
      </c>
    </row>
    <row r="30" spans="1:8">
      <c r="A30" s="36">
        <v>19</v>
      </c>
      <c r="B30" s="20" t="s">
        <v>814</v>
      </c>
      <c r="C30" s="18" t="s">
        <v>815</v>
      </c>
      <c r="D30" s="18" t="s">
        <v>811</v>
      </c>
      <c r="E30" s="23">
        <v>1150000</v>
      </c>
      <c r="F30" s="23">
        <v>800000</v>
      </c>
      <c r="G30" s="23">
        <v>550000</v>
      </c>
      <c r="H30" s="23">
        <v>230000</v>
      </c>
    </row>
    <row r="31" spans="1:8">
      <c r="A31" s="36">
        <v>20</v>
      </c>
      <c r="B31" s="20" t="s">
        <v>805</v>
      </c>
      <c r="C31" s="18" t="s">
        <v>57</v>
      </c>
      <c r="D31" s="18" t="s">
        <v>816</v>
      </c>
      <c r="E31" s="23">
        <v>16000000</v>
      </c>
      <c r="F31" s="23">
        <v>8800000</v>
      </c>
      <c r="G31" s="23">
        <v>6150000</v>
      </c>
      <c r="H31" s="23">
        <v>3200000</v>
      </c>
    </row>
    <row r="32" ht="27.6" spans="1:8">
      <c r="A32" s="36"/>
      <c r="B32" s="20" t="s">
        <v>805</v>
      </c>
      <c r="C32" s="18" t="s">
        <v>816</v>
      </c>
      <c r="D32" s="18" t="s">
        <v>817</v>
      </c>
      <c r="E32" s="23">
        <v>10000000</v>
      </c>
      <c r="F32" s="23">
        <v>5500000</v>
      </c>
      <c r="G32" s="23">
        <v>3850000</v>
      </c>
      <c r="H32" s="23">
        <v>2000000</v>
      </c>
    </row>
    <row r="33" spans="1:8">
      <c r="A33" s="36">
        <v>21</v>
      </c>
      <c r="B33" s="20" t="s">
        <v>818</v>
      </c>
      <c r="C33" s="18" t="s">
        <v>802</v>
      </c>
      <c r="D33" s="18" t="s">
        <v>805</v>
      </c>
      <c r="E33" s="23">
        <v>1500000</v>
      </c>
      <c r="F33" s="23">
        <v>1050000</v>
      </c>
      <c r="G33" s="23">
        <v>750000</v>
      </c>
      <c r="H33" s="23">
        <v>300000</v>
      </c>
    </row>
    <row r="34" spans="1:8">
      <c r="A34" s="36">
        <v>22</v>
      </c>
      <c r="B34" s="20" t="s">
        <v>816</v>
      </c>
      <c r="C34" s="18" t="s">
        <v>805</v>
      </c>
      <c r="D34" s="18" t="s">
        <v>802</v>
      </c>
      <c r="E34" s="23">
        <v>6250000</v>
      </c>
      <c r="F34" s="23">
        <v>3450000</v>
      </c>
      <c r="G34" s="23">
        <v>2400000</v>
      </c>
      <c r="H34" s="23">
        <v>1250000</v>
      </c>
    </row>
    <row r="35" spans="1:8">
      <c r="A35" s="36"/>
      <c r="B35" s="20" t="s">
        <v>816</v>
      </c>
      <c r="C35" s="18" t="s">
        <v>802</v>
      </c>
      <c r="D35" s="18" t="s">
        <v>819</v>
      </c>
      <c r="E35" s="23">
        <v>3000000</v>
      </c>
      <c r="F35" s="23">
        <v>1650000</v>
      </c>
      <c r="G35" s="23">
        <v>1150000</v>
      </c>
      <c r="H35" s="23">
        <v>600000</v>
      </c>
    </row>
    <row r="36" spans="1:8">
      <c r="A36" s="36">
        <v>23</v>
      </c>
      <c r="B36" s="20" t="s">
        <v>820</v>
      </c>
      <c r="C36" s="18" t="s">
        <v>802</v>
      </c>
      <c r="D36" s="18" t="s">
        <v>821</v>
      </c>
      <c r="E36" s="23">
        <v>1250000</v>
      </c>
      <c r="F36" s="23">
        <v>900000</v>
      </c>
      <c r="G36" s="23">
        <v>600000</v>
      </c>
      <c r="H36" s="23">
        <v>250000</v>
      </c>
    </row>
    <row r="37" s="30" customFormat="1" ht="14.4" spans="1:8">
      <c r="A37" s="39" t="s">
        <v>136</v>
      </c>
      <c r="B37" s="20"/>
      <c r="C37" s="18"/>
      <c r="D37" s="18"/>
      <c r="E37" s="23"/>
      <c r="F37" s="23"/>
      <c r="G37" s="23"/>
      <c r="H37" s="23"/>
    </row>
    <row r="38" spans="1:8">
      <c r="A38" s="36">
        <v>24</v>
      </c>
      <c r="B38" s="17" t="s">
        <v>137</v>
      </c>
      <c r="C38" s="18"/>
      <c r="D38" s="18"/>
      <c r="E38" s="23">
        <v>1150000</v>
      </c>
      <c r="F38" s="23">
        <v>800000</v>
      </c>
      <c r="G38" s="23">
        <v>550000</v>
      </c>
      <c r="H38" s="23">
        <v>230000</v>
      </c>
    </row>
    <row r="39" spans="1:8">
      <c r="A39" s="39" t="s">
        <v>822</v>
      </c>
      <c r="B39" s="17"/>
      <c r="C39" s="18"/>
      <c r="D39" s="18"/>
      <c r="E39" s="23"/>
      <c r="F39" s="23"/>
      <c r="G39" s="23"/>
      <c r="H39" s="23"/>
    </row>
    <row r="40" spans="1:8">
      <c r="A40" s="36"/>
      <c r="B40" s="11" t="s">
        <v>823</v>
      </c>
      <c r="C40" s="18"/>
      <c r="D40" s="18"/>
      <c r="E40" s="23" t="s">
        <v>16</v>
      </c>
      <c r="F40" s="23" t="s">
        <v>16</v>
      </c>
      <c r="G40" s="23" t="s">
        <v>16</v>
      </c>
      <c r="H40" s="23" t="s">
        <v>16</v>
      </c>
    </row>
    <row r="41" spans="1:8">
      <c r="A41" s="36">
        <v>25</v>
      </c>
      <c r="B41" s="20" t="s">
        <v>824</v>
      </c>
      <c r="C41" s="18"/>
      <c r="D41" s="18"/>
      <c r="E41" s="23" t="s">
        <v>16</v>
      </c>
      <c r="F41" s="23" t="s">
        <v>16</v>
      </c>
      <c r="G41" s="23" t="s">
        <v>16</v>
      </c>
      <c r="H41" s="23" t="s">
        <v>16</v>
      </c>
    </row>
    <row r="42" ht="27.6" spans="1:8">
      <c r="A42" s="36"/>
      <c r="B42" s="20" t="s">
        <v>825</v>
      </c>
      <c r="C42" s="18"/>
      <c r="D42" s="18"/>
      <c r="E42" s="23">
        <v>12500000</v>
      </c>
      <c r="F42" s="23">
        <v>6900000</v>
      </c>
      <c r="G42" s="23">
        <v>4900000</v>
      </c>
      <c r="H42" s="23">
        <v>0</v>
      </c>
    </row>
    <row r="43" ht="27.6" spans="1:8">
      <c r="A43" s="36"/>
      <c r="B43" s="20" t="s">
        <v>826</v>
      </c>
      <c r="C43" s="18"/>
      <c r="D43" s="18"/>
      <c r="E43" s="23">
        <v>10000000</v>
      </c>
      <c r="F43" s="23">
        <v>5500000</v>
      </c>
      <c r="G43" s="23">
        <v>3900000</v>
      </c>
      <c r="H43" s="23">
        <v>0</v>
      </c>
    </row>
    <row r="44" spans="1:8">
      <c r="A44" s="36">
        <v>26</v>
      </c>
      <c r="B44" s="20" t="s">
        <v>827</v>
      </c>
      <c r="C44" s="18"/>
      <c r="D44" s="18"/>
      <c r="E44" s="23" t="s">
        <v>16</v>
      </c>
      <c r="F44" s="23" t="s">
        <v>16</v>
      </c>
      <c r="G44" s="23" t="s">
        <v>16</v>
      </c>
      <c r="H44" s="23" t="s">
        <v>16</v>
      </c>
    </row>
    <row r="45" ht="41.4" spans="1:8">
      <c r="A45" s="36"/>
      <c r="B45" s="20" t="s">
        <v>828</v>
      </c>
      <c r="C45" s="18"/>
      <c r="D45" s="18"/>
      <c r="E45" s="23">
        <v>3500000</v>
      </c>
      <c r="F45" s="23">
        <v>2450000</v>
      </c>
      <c r="G45" s="23">
        <v>1750000</v>
      </c>
      <c r="H45" s="23">
        <v>0</v>
      </c>
    </row>
    <row r="46" spans="1:8">
      <c r="A46" s="36"/>
      <c r="B46" s="20" t="s">
        <v>829</v>
      </c>
      <c r="C46" s="18"/>
      <c r="D46" s="18"/>
      <c r="E46" s="23">
        <v>2250000</v>
      </c>
      <c r="F46" s="23">
        <v>1500000</v>
      </c>
      <c r="G46" s="23">
        <v>1050000</v>
      </c>
      <c r="H46" s="23">
        <v>0</v>
      </c>
    </row>
    <row r="47" spans="1:8">
      <c r="A47" s="36"/>
      <c r="B47" s="20" t="s">
        <v>830</v>
      </c>
      <c r="C47" s="18"/>
      <c r="D47" s="18"/>
      <c r="E47" s="23">
        <v>1500000</v>
      </c>
      <c r="F47" s="23">
        <v>1050000</v>
      </c>
      <c r="G47" s="23">
        <v>750000</v>
      </c>
      <c r="H47" s="23">
        <v>0</v>
      </c>
    </row>
    <row r="48" spans="1:8">
      <c r="A48" s="36">
        <v>27</v>
      </c>
      <c r="B48" s="20" t="s">
        <v>831</v>
      </c>
      <c r="C48" s="18"/>
      <c r="D48" s="18"/>
      <c r="E48" s="23">
        <v>1000000</v>
      </c>
      <c r="F48" s="23">
        <v>700000</v>
      </c>
      <c r="G48" s="23">
        <v>495000</v>
      </c>
      <c r="H48" s="23">
        <v>0</v>
      </c>
    </row>
    <row r="49" ht="27.6" spans="1:8">
      <c r="A49" s="36">
        <v>28</v>
      </c>
      <c r="B49" s="20" t="s">
        <v>832</v>
      </c>
      <c r="C49" s="18"/>
      <c r="D49" s="18"/>
      <c r="E49" s="23" t="s">
        <v>16</v>
      </c>
      <c r="F49" s="23" t="s">
        <v>16</v>
      </c>
      <c r="G49" s="23" t="s">
        <v>16</v>
      </c>
      <c r="H49" s="23" t="s">
        <v>16</v>
      </c>
    </row>
    <row r="50" ht="27.6" spans="1:8">
      <c r="A50" s="36"/>
      <c r="B50" s="20" t="s">
        <v>833</v>
      </c>
      <c r="C50" s="18"/>
      <c r="D50" s="18"/>
      <c r="E50" s="23">
        <v>1500000</v>
      </c>
      <c r="F50" s="23">
        <v>1050000</v>
      </c>
      <c r="G50" s="23">
        <v>750000</v>
      </c>
      <c r="H50" s="23">
        <v>0</v>
      </c>
    </row>
    <row r="51" spans="1:8">
      <c r="A51" s="36"/>
      <c r="B51" s="20" t="s">
        <v>834</v>
      </c>
      <c r="C51" s="18"/>
      <c r="D51" s="18"/>
      <c r="E51" s="23">
        <v>1000000</v>
      </c>
      <c r="F51" s="23">
        <v>700000</v>
      </c>
      <c r="G51" s="23">
        <v>500000</v>
      </c>
      <c r="H51" s="23">
        <v>0</v>
      </c>
    </row>
    <row r="52" spans="1:8">
      <c r="A52" s="36"/>
      <c r="B52" s="20" t="s">
        <v>835</v>
      </c>
      <c r="C52" s="18"/>
      <c r="D52" s="18"/>
      <c r="E52" s="23">
        <v>600000</v>
      </c>
      <c r="F52" s="23">
        <v>430000</v>
      </c>
      <c r="G52" s="23">
        <v>300000</v>
      </c>
      <c r="H52" s="23">
        <v>0</v>
      </c>
    </row>
    <row r="53" ht="27.6" spans="1:8">
      <c r="A53" s="36">
        <v>29</v>
      </c>
      <c r="B53" s="49" t="s">
        <v>836</v>
      </c>
      <c r="C53" s="41"/>
      <c r="D53" s="41"/>
      <c r="E53" s="23">
        <v>1000000</v>
      </c>
      <c r="F53" s="23">
        <v>650000</v>
      </c>
      <c r="G53" s="23">
        <v>460000</v>
      </c>
      <c r="H53" s="23">
        <v>0</v>
      </c>
    </row>
    <row r="54" spans="1:8">
      <c r="A54" s="36"/>
      <c r="B54" s="11" t="s">
        <v>837</v>
      </c>
      <c r="C54" s="18"/>
      <c r="D54" s="18"/>
      <c r="E54" s="23" t="s">
        <v>16</v>
      </c>
      <c r="F54" s="23" t="s">
        <v>16</v>
      </c>
      <c r="G54" s="23" t="s">
        <v>16</v>
      </c>
      <c r="H54" s="23" t="s">
        <v>16</v>
      </c>
    </row>
    <row r="55" ht="41.4" spans="1:8">
      <c r="A55" s="36">
        <v>30</v>
      </c>
      <c r="B55" s="20" t="s">
        <v>838</v>
      </c>
      <c r="C55" s="18"/>
      <c r="D55" s="18"/>
      <c r="E55" s="23">
        <v>900000</v>
      </c>
      <c r="F55" s="23">
        <v>650000</v>
      </c>
      <c r="G55" s="23">
        <v>440000</v>
      </c>
      <c r="H55" s="23">
        <v>0</v>
      </c>
    </row>
    <row r="56" ht="41.4" spans="1:8">
      <c r="A56" s="36">
        <v>31</v>
      </c>
      <c r="B56" s="20" t="s">
        <v>839</v>
      </c>
      <c r="C56" s="18"/>
      <c r="D56" s="18"/>
      <c r="E56" s="23">
        <v>1000000</v>
      </c>
      <c r="F56" s="23">
        <v>700000</v>
      </c>
      <c r="G56" s="23">
        <v>490000</v>
      </c>
      <c r="H56" s="23">
        <v>0</v>
      </c>
    </row>
    <row r="57" ht="27.6" spans="1:8">
      <c r="A57" s="36">
        <v>32</v>
      </c>
      <c r="B57" s="20" t="s">
        <v>840</v>
      </c>
      <c r="C57" s="18"/>
      <c r="D57" s="18"/>
      <c r="E57" s="23">
        <v>1000000</v>
      </c>
      <c r="F57" s="23">
        <v>700000</v>
      </c>
      <c r="G57" s="23">
        <v>490000</v>
      </c>
      <c r="H57" s="23">
        <v>0</v>
      </c>
    </row>
    <row r="58" spans="1:8">
      <c r="A58" s="179" t="s">
        <v>217</v>
      </c>
      <c r="B58" s="179"/>
      <c r="C58" s="18"/>
      <c r="D58" s="18"/>
      <c r="E58" s="23" t="s">
        <v>16</v>
      </c>
      <c r="F58" s="23" t="s">
        <v>16</v>
      </c>
      <c r="G58" s="23" t="s">
        <v>16</v>
      </c>
      <c r="H58" s="23" t="s">
        <v>16</v>
      </c>
    </row>
    <row r="59" spans="1:8">
      <c r="A59" s="36"/>
      <c r="B59" s="11" t="s">
        <v>823</v>
      </c>
      <c r="C59" s="18"/>
      <c r="D59" s="18"/>
      <c r="E59" s="23" t="s">
        <v>16</v>
      </c>
      <c r="F59" s="23" t="s">
        <v>16</v>
      </c>
      <c r="G59" s="23" t="s">
        <v>16</v>
      </c>
      <c r="H59" s="23" t="s">
        <v>16</v>
      </c>
    </row>
    <row r="60" ht="69" spans="1:8">
      <c r="A60" s="36">
        <v>33</v>
      </c>
      <c r="B60" s="20" t="s">
        <v>841</v>
      </c>
      <c r="C60" s="18"/>
      <c r="D60" s="18"/>
      <c r="E60" s="23">
        <v>350000</v>
      </c>
      <c r="F60" s="23">
        <v>240000</v>
      </c>
      <c r="G60" s="23">
        <v>0</v>
      </c>
      <c r="H60" s="23">
        <v>0</v>
      </c>
    </row>
    <row r="61" ht="96.6" spans="1:8">
      <c r="A61" s="36">
        <v>34</v>
      </c>
      <c r="B61" s="20" t="s">
        <v>842</v>
      </c>
      <c r="C61" s="18"/>
      <c r="D61" s="18"/>
      <c r="E61" s="23">
        <v>300000</v>
      </c>
      <c r="F61" s="23">
        <v>200000</v>
      </c>
      <c r="G61" s="23">
        <v>0</v>
      </c>
      <c r="H61" s="23">
        <v>0</v>
      </c>
    </row>
    <row r="62" spans="1:8">
      <c r="A62" s="36">
        <v>35</v>
      </c>
      <c r="B62" s="20" t="s">
        <v>843</v>
      </c>
      <c r="C62" s="18"/>
      <c r="D62" s="57"/>
      <c r="E62" s="23">
        <v>175000</v>
      </c>
      <c r="F62" s="23">
        <v>0</v>
      </c>
      <c r="G62" s="23">
        <v>0</v>
      </c>
      <c r="H62" s="23">
        <v>0</v>
      </c>
    </row>
    <row r="63" spans="1:8">
      <c r="A63" s="36"/>
      <c r="B63" s="11" t="s">
        <v>837</v>
      </c>
      <c r="C63" s="18"/>
      <c r="D63" s="57"/>
      <c r="E63" s="23" t="s">
        <v>16</v>
      </c>
      <c r="F63" s="23" t="s">
        <v>16</v>
      </c>
      <c r="G63" s="23" t="s">
        <v>16</v>
      </c>
      <c r="H63" s="23" t="s">
        <v>16</v>
      </c>
    </row>
    <row r="64" ht="138" spans="1:8">
      <c r="A64" s="36">
        <v>36</v>
      </c>
      <c r="B64" s="20" t="s">
        <v>844</v>
      </c>
      <c r="C64" s="18"/>
      <c r="D64" s="57"/>
      <c r="E64" s="23">
        <v>250000</v>
      </c>
      <c r="F64" s="23">
        <v>170000</v>
      </c>
      <c r="G64" s="23">
        <v>0</v>
      </c>
      <c r="H64" s="23">
        <v>0</v>
      </c>
    </row>
    <row r="65" ht="55.2" spans="1:8">
      <c r="A65" s="36">
        <v>37</v>
      </c>
      <c r="B65" s="20" t="s">
        <v>845</v>
      </c>
      <c r="C65" s="18"/>
      <c r="D65" s="57"/>
      <c r="E65" s="23">
        <v>175000</v>
      </c>
      <c r="F65" s="23">
        <v>120000</v>
      </c>
      <c r="G65" s="23">
        <v>0</v>
      </c>
      <c r="H65" s="23">
        <v>0</v>
      </c>
    </row>
    <row r="66" spans="1:8">
      <c r="A66" s="36">
        <v>38</v>
      </c>
      <c r="B66" s="20" t="s">
        <v>843</v>
      </c>
      <c r="C66" s="18"/>
      <c r="D66" s="180"/>
      <c r="E66" s="23">
        <v>100000</v>
      </c>
      <c r="F66" s="23">
        <v>0</v>
      </c>
      <c r="G66" s="23">
        <v>0</v>
      </c>
      <c r="H66" s="23">
        <v>0</v>
      </c>
    </row>
    <row r="67" spans="1:8">
      <c r="A67" s="20"/>
      <c r="B67" s="20"/>
      <c r="C67" s="18"/>
      <c r="D67" s="18"/>
      <c r="E67" s="23" t="s">
        <v>16</v>
      </c>
      <c r="F67" s="23" t="s">
        <v>16</v>
      </c>
      <c r="G67" s="23" t="s">
        <v>16</v>
      </c>
      <c r="H67" s="23" t="s">
        <v>16</v>
      </c>
    </row>
    <row r="68" spans="1:8">
      <c r="A68" s="20"/>
      <c r="B68" s="20"/>
      <c r="C68" s="18"/>
      <c r="D68" s="18"/>
      <c r="E68" s="23" t="s">
        <v>16</v>
      </c>
      <c r="F68" s="23" t="s">
        <v>16</v>
      </c>
      <c r="G68" s="23" t="s">
        <v>16</v>
      </c>
      <c r="H68" s="23" t="s">
        <v>16</v>
      </c>
    </row>
    <row r="69" spans="1:8">
      <c r="A69" s="20"/>
      <c r="B69" s="20"/>
      <c r="C69" s="18"/>
      <c r="D69" s="18"/>
      <c r="E69" s="23" t="s">
        <v>16</v>
      </c>
      <c r="F69" s="23" t="s">
        <v>16</v>
      </c>
      <c r="G69" s="23" t="s">
        <v>16</v>
      </c>
      <c r="H69" s="23" t="s">
        <v>16</v>
      </c>
    </row>
    <row r="70" spans="1:8">
      <c r="A70" s="20"/>
      <c r="B70" s="20"/>
      <c r="C70" s="18"/>
      <c r="D70" s="18"/>
      <c r="E70" s="23" t="s">
        <v>16</v>
      </c>
      <c r="F70" s="23" t="s">
        <v>16</v>
      </c>
      <c r="G70" s="23" t="s">
        <v>16</v>
      </c>
      <c r="H70" s="23" t="s">
        <v>16</v>
      </c>
    </row>
    <row r="71" spans="1:8">
      <c r="A71" s="20"/>
      <c r="B71" s="20"/>
      <c r="C71" s="18"/>
      <c r="D71" s="18"/>
      <c r="E71" s="23" t="s">
        <v>16</v>
      </c>
      <c r="F71" s="23" t="s">
        <v>16</v>
      </c>
      <c r="G71" s="23" t="s">
        <v>16</v>
      </c>
      <c r="H71" s="23" t="s">
        <v>16</v>
      </c>
    </row>
    <row r="72" spans="1:8">
      <c r="A72" s="20"/>
      <c r="B72" s="20"/>
      <c r="C72" s="18"/>
      <c r="D72" s="18"/>
      <c r="E72" s="23" t="s">
        <v>16</v>
      </c>
      <c r="F72" s="23" t="s">
        <v>16</v>
      </c>
      <c r="G72" s="23" t="s">
        <v>16</v>
      </c>
      <c r="H72" s="23" t="s">
        <v>16</v>
      </c>
    </row>
    <row r="73" spans="1:8">
      <c r="A73" s="20"/>
      <c r="B73" s="20"/>
      <c r="C73" s="18"/>
      <c r="D73" s="18"/>
      <c r="E73" s="23" t="s">
        <v>16</v>
      </c>
      <c r="F73" s="23" t="s">
        <v>16</v>
      </c>
      <c r="G73" s="23" t="s">
        <v>16</v>
      </c>
      <c r="H73" s="23" t="s">
        <v>16</v>
      </c>
    </row>
    <row r="74" spans="1:8">
      <c r="A74" s="20"/>
      <c r="B74" s="20"/>
      <c r="C74" s="18"/>
      <c r="D74" s="18"/>
      <c r="E74" s="23" t="s">
        <v>16</v>
      </c>
      <c r="F74" s="23" t="s">
        <v>16</v>
      </c>
      <c r="G74" s="23" t="s">
        <v>16</v>
      </c>
      <c r="H74" s="23" t="s">
        <v>16</v>
      </c>
    </row>
    <row r="75" spans="1:8">
      <c r="A75" s="20"/>
      <c r="B75" s="20"/>
      <c r="C75" s="18"/>
      <c r="D75" s="18"/>
      <c r="E75" s="23" t="s">
        <v>16</v>
      </c>
      <c r="F75" s="23" t="s">
        <v>16</v>
      </c>
      <c r="G75" s="23" t="s">
        <v>16</v>
      </c>
      <c r="H75" s="23" t="s">
        <v>16</v>
      </c>
    </row>
    <row r="76" spans="1:8">
      <c r="A76" s="20"/>
      <c r="B76" s="20"/>
      <c r="C76" s="18"/>
      <c r="D76" s="18"/>
      <c r="E76" s="23" t="s">
        <v>16</v>
      </c>
      <c r="F76" s="23" t="s">
        <v>16</v>
      </c>
      <c r="G76" s="23" t="s">
        <v>16</v>
      </c>
      <c r="H76" s="23" t="s">
        <v>16</v>
      </c>
    </row>
    <row r="77" spans="1:8">
      <c r="A77" s="20"/>
      <c r="B77" s="20"/>
      <c r="C77" s="18"/>
      <c r="D77" s="18"/>
      <c r="E77" s="23" t="s">
        <v>16</v>
      </c>
      <c r="F77" s="23" t="s">
        <v>16</v>
      </c>
      <c r="G77" s="23" t="s">
        <v>16</v>
      </c>
      <c r="H77" s="23" t="s">
        <v>16</v>
      </c>
    </row>
    <row r="78" spans="1:8">
      <c r="A78" s="20"/>
      <c r="B78" s="20"/>
      <c r="C78" s="18"/>
      <c r="D78" s="18"/>
      <c r="E78" s="23" t="s">
        <v>16</v>
      </c>
      <c r="F78" s="23" t="s">
        <v>16</v>
      </c>
      <c r="G78" s="23" t="s">
        <v>16</v>
      </c>
      <c r="H78" s="23" t="s">
        <v>16</v>
      </c>
    </row>
    <row r="79" spans="1:8">
      <c r="A79" s="20"/>
      <c r="B79" s="20"/>
      <c r="C79" s="18"/>
      <c r="D79" s="18"/>
      <c r="E79" s="23" t="s">
        <v>16</v>
      </c>
      <c r="F79" s="23" t="s">
        <v>16</v>
      </c>
      <c r="G79" s="23" t="s">
        <v>16</v>
      </c>
      <c r="H79" s="23" t="s">
        <v>16</v>
      </c>
    </row>
    <row r="80" spans="1:8">
      <c r="A80" s="20"/>
      <c r="B80" s="20"/>
      <c r="C80" s="18"/>
      <c r="D80" s="18"/>
      <c r="E80" s="23" t="s">
        <v>16</v>
      </c>
      <c r="F80" s="23" t="s">
        <v>16</v>
      </c>
      <c r="G80" s="23" t="s">
        <v>16</v>
      </c>
      <c r="H80" s="23" t="s">
        <v>16</v>
      </c>
    </row>
    <row r="81" spans="1:8">
      <c r="A81" s="20"/>
      <c r="B81" s="42"/>
      <c r="C81" s="43"/>
      <c r="D81" s="43"/>
      <c r="E81" s="23" t="s">
        <v>16</v>
      </c>
      <c r="F81" s="23" t="s">
        <v>16</v>
      </c>
      <c r="G81" s="23" t="s">
        <v>16</v>
      </c>
      <c r="H81" s="23" t="s">
        <v>16</v>
      </c>
    </row>
    <row r="82" spans="1:8">
      <c r="A82" s="20"/>
      <c r="B82" s="20"/>
      <c r="C82" s="18"/>
      <c r="D82" s="18"/>
      <c r="E82" s="23" t="s">
        <v>16</v>
      </c>
      <c r="F82" s="23" t="s">
        <v>16</v>
      </c>
      <c r="G82" s="23" t="s">
        <v>16</v>
      </c>
      <c r="H82" s="23" t="s">
        <v>16</v>
      </c>
    </row>
    <row r="83" spans="1:8">
      <c r="A83" s="20"/>
      <c r="B83" s="20"/>
      <c r="C83" s="18"/>
      <c r="D83" s="18"/>
      <c r="E83" s="23" t="s">
        <v>16</v>
      </c>
      <c r="F83" s="23" t="s">
        <v>16</v>
      </c>
      <c r="G83" s="23" t="s">
        <v>16</v>
      </c>
      <c r="H83" s="23" t="s">
        <v>16</v>
      </c>
    </row>
    <row r="84" spans="1:8">
      <c r="A84" s="20"/>
      <c r="B84" s="20"/>
      <c r="C84" s="18"/>
      <c r="D84" s="18"/>
      <c r="E84" s="23" t="s">
        <v>16</v>
      </c>
      <c r="F84" s="23" t="s">
        <v>16</v>
      </c>
      <c r="G84" s="23" t="s">
        <v>16</v>
      </c>
      <c r="H84" s="23" t="s">
        <v>16</v>
      </c>
    </row>
    <row r="85" spans="1:8">
      <c r="A85" s="27"/>
      <c r="C85" s="28"/>
      <c r="D85" s="28"/>
      <c r="E85" s="23" t="s">
        <v>16</v>
      </c>
      <c r="F85" s="23" t="s">
        <v>16</v>
      </c>
      <c r="G85" s="23" t="s">
        <v>16</v>
      </c>
      <c r="H85" s="23" t="s">
        <v>16</v>
      </c>
    </row>
    <row r="86" spans="1:8">
      <c r="A86" s="27"/>
      <c r="C86" s="28"/>
      <c r="D86" s="28"/>
      <c r="E86" s="23" t="s">
        <v>16</v>
      </c>
      <c r="F86" s="23" t="s">
        <v>16</v>
      </c>
      <c r="G86" s="23" t="s">
        <v>16</v>
      </c>
      <c r="H86" s="23" t="s">
        <v>16</v>
      </c>
    </row>
    <row r="87" spans="1:8">
      <c r="A87" s="27"/>
      <c r="C87" s="28"/>
      <c r="D87" s="28"/>
      <c r="E87" s="23" t="s">
        <v>16</v>
      </c>
      <c r="F87" s="23" t="s">
        <v>16</v>
      </c>
      <c r="G87" s="23" t="s">
        <v>16</v>
      </c>
      <c r="H87" s="23" t="s">
        <v>16</v>
      </c>
    </row>
    <row r="88" spans="1:8">
      <c r="A88" s="27"/>
      <c r="C88" s="28"/>
      <c r="D88" s="28"/>
      <c r="E88" s="23" t="s">
        <v>16</v>
      </c>
      <c r="F88" s="23" t="s">
        <v>16</v>
      </c>
      <c r="G88" s="23" t="s">
        <v>16</v>
      </c>
      <c r="H88" s="23" t="s">
        <v>16</v>
      </c>
    </row>
    <row r="89" spans="1:8">
      <c r="A89" s="27"/>
      <c r="C89" s="28"/>
      <c r="D89" s="28"/>
      <c r="E89" s="23" t="s">
        <v>16</v>
      </c>
      <c r="F89" s="23" t="s">
        <v>16</v>
      </c>
      <c r="G89" s="23" t="s">
        <v>16</v>
      </c>
      <c r="H89" s="23" t="s">
        <v>16</v>
      </c>
    </row>
    <row r="90" spans="1:8">
      <c r="A90" s="27"/>
      <c r="C90" s="28"/>
      <c r="D90" s="2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t="s">
        <v>16</v>
      </c>
      <c r="F201" s="23" t="s">
        <v>16</v>
      </c>
      <c r="G201" s="23" t="s">
        <v>16</v>
      </c>
      <c r="H201" s="23" t="s">
        <v>16</v>
      </c>
    </row>
    <row r="202" spans="1:8">
      <c r="A202" s="27"/>
      <c r="C202" s="28"/>
      <c r="D202" s="28"/>
      <c r="E202" s="23" t="s">
        <v>16</v>
      </c>
      <c r="F202" s="23" t="s">
        <v>16</v>
      </c>
      <c r="G202" s="23" t="s">
        <v>16</v>
      </c>
      <c r="H202" s="23" t="s">
        <v>16</v>
      </c>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row r="860" spans="1:8">
      <c r="A860" s="27"/>
      <c r="C860" s="28"/>
      <c r="D860" s="28"/>
      <c r="E860" s="50"/>
      <c r="F860" s="50"/>
      <c r="G860" s="50"/>
      <c r="H860" s="50"/>
    </row>
    <row r="861" spans="1:8">
      <c r="A861" s="27"/>
      <c r="C861" s="28"/>
      <c r="D861" s="28"/>
      <c r="E861" s="50"/>
      <c r="F861" s="50"/>
      <c r="G861" s="50"/>
      <c r="H861" s="50"/>
    </row>
    <row r="862" spans="1:8">
      <c r="A862" s="27"/>
      <c r="C862" s="28"/>
      <c r="D862" s="28"/>
      <c r="E862" s="50"/>
      <c r="F862" s="50"/>
      <c r="G862" s="50"/>
      <c r="H862" s="50"/>
    </row>
    <row r="863" spans="1:8">
      <c r="A863" s="27"/>
      <c r="C863" s="28"/>
      <c r="D863" s="28"/>
      <c r="E863" s="50"/>
      <c r="F863" s="50"/>
      <c r="G863" s="50"/>
      <c r="H863" s="50"/>
    </row>
    <row r="864" spans="1:8">
      <c r="A864" s="27"/>
      <c r="C864" s="28"/>
      <c r="D864" s="28"/>
      <c r="E864" s="50"/>
      <c r="F864" s="50"/>
      <c r="G864" s="50"/>
      <c r="H864" s="50"/>
    </row>
    <row r="865" spans="1:8">
      <c r="A865" s="27"/>
      <c r="C865" s="28"/>
      <c r="D865" s="28"/>
      <c r="E865" s="50"/>
      <c r="F865" s="50"/>
      <c r="G865" s="50"/>
      <c r="H865" s="50"/>
    </row>
    <row r="866" spans="1:8">
      <c r="A866" s="27"/>
      <c r="C866" s="28"/>
      <c r="D866" s="28"/>
      <c r="E866" s="50"/>
      <c r="F866" s="50"/>
      <c r="G866" s="50"/>
      <c r="H866" s="50"/>
    </row>
    <row r="867" spans="1:8">
      <c r="A867" s="27"/>
      <c r="C867" s="28"/>
      <c r="D867" s="28"/>
      <c r="E867" s="50"/>
      <c r="F867" s="50"/>
      <c r="G867" s="50"/>
      <c r="H867" s="50"/>
    </row>
    <row r="868" spans="1:8">
      <c r="A868" s="27"/>
      <c r="C868" s="28"/>
      <c r="D868" s="28"/>
      <c r="E868" s="50"/>
      <c r="F868" s="50"/>
      <c r="G868" s="50"/>
      <c r="H868" s="50"/>
    </row>
    <row r="869" spans="1:8">
      <c r="A869" s="27"/>
      <c r="C869" s="28"/>
      <c r="D869" s="28"/>
      <c r="E869" s="50"/>
      <c r="F869" s="50"/>
      <c r="G869" s="50"/>
      <c r="H869" s="50"/>
    </row>
    <row r="870" spans="1:8">
      <c r="A870" s="27"/>
      <c r="C870" s="28"/>
      <c r="D870" s="28"/>
      <c r="E870" s="50"/>
      <c r="F870" s="50"/>
      <c r="G870" s="50"/>
      <c r="H870" s="50"/>
    </row>
    <row r="871" spans="1:8">
      <c r="A871" s="27"/>
      <c r="C871" s="28"/>
      <c r="D871" s="28"/>
      <c r="E871" s="50"/>
      <c r="F871" s="50"/>
      <c r="G871" s="50"/>
      <c r="H871" s="50"/>
    </row>
    <row r="872" spans="1:8">
      <c r="A872" s="27"/>
      <c r="C872" s="28"/>
      <c r="D872" s="28"/>
      <c r="E872" s="50"/>
      <c r="F872" s="50"/>
      <c r="G872" s="50"/>
      <c r="H872" s="50"/>
    </row>
    <row r="873" spans="1:8">
      <c r="A873" s="27"/>
      <c r="C873" s="28"/>
      <c r="D873" s="28"/>
      <c r="E873" s="50"/>
      <c r="F873" s="50"/>
      <c r="G873" s="50"/>
      <c r="H873" s="50"/>
    </row>
    <row r="874" spans="1:8">
      <c r="A874" s="27"/>
      <c r="C874" s="28"/>
      <c r="D874" s="28"/>
      <c r="E874" s="50"/>
      <c r="F874" s="50"/>
      <c r="G874" s="50"/>
      <c r="H874" s="50"/>
    </row>
    <row r="875" spans="1:8">
      <c r="A875" s="27"/>
      <c r="C875" s="28"/>
      <c r="D875" s="28"/>
      <c r="E875" s="50"/>
      <c r="F875" s="50"/>
      <c r="G875" s="50"/>
      <c r="H875" s="50"/>
    </row>
    <row r="876" spans="1:8">
      <c r="A876" s="27"/>
      <c r="C876" s="28"/>
      <c r="D876" s="28"/>
      <c r="E876" s="50"/>
      <c r="F876" s="50"/>
      <c r="G876" s="50"/>
      <c r="H876" s="50"/>
    </row>
    <row r="877" spans="1:8">
      <c r="A877" s="27"/>
      <c r="C877" s="28"/>
      <c r="D877" s="28"/>
      <c r="E877" s="50"/>
      <c r="F877" s="50"/>
      <c r="G877" s="50"/>
      <c r="H877" s="50"/>
    </row>
    <row r="878" spans="1:8">
      <c r="A878" s="27"/>
      <c r="C878" s="28"/>
      <c r="D878" s="28"/>
      <c r="E878" s="50"/>
      <c r="F878" s="50"/>
      <c r="G878" s="50"/>
      <c r="H878" s="50"/>
    </row>
    <row r="879" spans="1:8">
      <c r="A879" s="27"/>
      <c r="C879" s="28"/>
      <c r="D879" s="28"/>
      <c r="E879" s="50"/>
      <c r="F879" s="50"/>
      <c r="G879" s="50"/>
      <c r="H879" s="50"/>
    </row>
    <row r="880" spans="1:8">
      <c r="A880" s="27"/>
      <c r="C880" s="28"/>
      <c r="D880" s="28"/>
      <c r="E880" s="50"/>
      <c r="F880" s="50"/>
      <c r="G880" s="50"/>
      <c r="H880" s="50"/>
    </row>
    <row r="881" spans="1:8">
      <c r="A881" s="27"/>
      <c r="C881" s="28"/>
      <c r="D881" s="28"/>
      <c r="E881" s="50"/>
      <c r="F881" s="50"/>
      <c r="G881" s="50"/>
      <c r="H881" s="50"/>
    </row>
    <row r="882" spans="1:8">
      <c r="A882" s="27"/>
      <c r="C882" s="28"/>
      <c r="D882" s="28"/>
      <c r="E882" s="50"/>
      <c r="F882" s="50"/>
      <c r="G882" s="50"/>
      <c r="H882" s="50"/>
    </row>
    <row r="883" spans="1:8">
      <c r="A883" s="27"/>
      <c r="C883" s="28"/>
      <c r="D883" s="28"/>
      <c r="E883" s="50"/>
      <c r="F883" s="50"/>
      <c r="G883" s="50"/>
      <c r="H883" s="50"/>
    </row>
    <row r="884" spans="1:8">
      <c r="A884" s="27"/>
      <c r="C884" s="28"/>
      <c r="D884" s="28"/>
      <c r="E884" s="50"/>
      <c r="F884" s="50"/>
      <c r="G884" s="50"/>
      <c r="H884" s="50"/>
    </row>
    <row r="885" spans="1:8">
      <c r="A885" s="27"/>
      <c r="C885" s="28"/>
      <c r="D885" s="28"/>
      <c r="E885" s="50"/>
      <c r="F885" s="50"/>
      <c r="G885" s="50"/>
      <c r="H885" s="50"/>
    </row>
    <row r="886" spans="1:8">
      <c r="A886" s="27"/>
      <c r="C886" s="28"/>
      <c r="D886" s="28"/>
      <c r="E886" s="50"/>
      <c r="F886" s="50"/>
      <c r="G886" s="50"/>
      <c r="H886" s="50"/>
    </row>
    <row r="887" spans="1:8">
      <c r="A887" s="27"/>
      <c r="C887" s="28"/>
      <c r="D887" s="28"/>
      <c r="E887" s="50"/>
      <c r="F887" s="50"/>
      <c r="G887" s="50"/>
      <c r="H887" s="50"/>
    </row>
    <row r="888" spans="1:8">
      <c r="A888" s="27"/>
      <c r="C888" s="28"/>
      <c r="D888" s="28"/>
      <c r="E888" s="50"/>
      <c r="F888" s="50"/>
      <c r="G888" s="50"/>
      <c r="H888" s="50"/>
    </row>
    <row r="889" spans="1:8">
      <c r="A889" s="27"/>
      <c r="C889" s="28"/>
      <c r="D889" s="28"/>
      <c r="E889" s="50"/>
      <c r="F889" s="50"/>
      <c r="G889" s="50"/>
      <c r="H889" s="50"/>
    </row>
    <row r="890" spans="1:8">
      <c r="A890" s="27"/>
      <c r="C890" s="28"/>
      <c r="D890" s="28"/>
      <c r="E890" s="50"/>
      <c r="F890" s="50"/>
      <c r="G890" s="50"/>
      <c r="H890" s="50"/>
    </row>
    <row r="891" spans="1:8">
      <c r="A891" s="27"/>
      <c r="C891" s="28"/>
      <c r="D891" s="28"/>
      <c r="E891" s="50"/>
      <c r="F891" s="50"/>
      <c r="G891" s="50"/>
      <c r="H891" s="50"/>
    </row>
    <row r="892" spans="1:8">
      <c r="A892" s="27"/>
      <c r="C892" s="28"/>
      <c r="D892" s="28"/>
      <c r="E892" s="50"/>
      <c r="F892" s="50"/>
      <c r="G892" s="50"/>
      <c r="H892" s="50"/>
    </row>
    <row r="893" spans="1:8">
      <c r="A893" s="27"/>
      <c r="C893" s="28"/>
      <c r="D893" s="28"/>
      <c r="E893" s="50"/>
      <c r="F893" s="50"/>
      <c r="G893" s="50"/>
      <c r="H893" s="50"/>
    </row>
    <row r="894" spans="1:8">
      <c r="A894" s="27"/>
      <c r="C894" s="28"/>
      <c r="D894" s="28"/>
      <c r="E894" s="50"/>
      <c r="F894" s="50"/>
      <c r="G894" s="50"/>
      <c r="H894" s="50"/>
    </row>
    <row r="895" spans="1:8">
      <c r="A895" s="27"/>
      <c r="C895" s="28"/>
      <c r="D895" s="28"/>
      <c r="E895" s="50"/>
      <c r="F895" s="50"/>
      <c r="G895" s="50"/>
      <c r="H895" s="50"/>
    </row>
    <row r="896" spans="1:8">
      <c r="A896" s="27"/>
      <c r="C896" s="28"/>
      <c r="D896" s="28"/>
      <c r="E896" s="50"/>
      <c r="F896" s="50"/>
      <c r="G896" s="50"/>
      <c r="H896" s="50"/>
    </row>
    <row r="897" spans="1:8">
      <c r="A897" s="27"/>
      <c r="C897" s="28"/>
      <c r="D897" s="28"/>
      <c r="E897" s="50"/>
      <c r="F897" s="50"/>
      <c r="G897" s="50"/>
      <c r="H897" s="50"/>
    </row>
    <row r="898" spans="1:8">
      <c r="A898" s="27"/>
      <c r="C898" s="28"/>
      <c r="D898" s="28"/>
      <c r="E898" s="50"/>
      <c r="F898" s="50"/>
      <c r="G898" s="50"/>
      <c r="H898" s="50"/>
    </row>
    <row r="899" spans="1:8">
      <c r="A899" s="27"/>
      <c r="C899" s="28"/>
      <c r="D899" s="28"/>
      <c r="E899" s="50"/>
      <c r="F899" s="50"/>
      <c r="G899" s="50"/>
      <c r="H899" s="50"/>
    </row>
    <row r="900" spans="1:8">
      <c r="A900" s="27"/>
      <c r="C900" s="28"/>
      <c r="D900" s="28"/>
      <c r="E900" s="50"/>
      <c r="F900" s="50"/>
      <c r="G900" s="50"/>
      <c r="H900" s="50"/>
    </row>
    <row r="901" spans="1:8">
      <c r="A901" s="27"/>
      <c r="C901" s="28"/>
      <c r="D901" s="28"/>
      <c r="E901" s="50"/>
      <c r="F901" s="50"/>
      <c r="G901" s="50"/>
      <c r="H901" s="50"/>
    </row>
    <row r="902" spans="1:8">
      <c r="A902" s="27"/>
      <c r="C902" s="28"/>
      <c r="D902" s="28"/>
      <c r="E902" s="50"/>
      <c r="F902" s="50"/>
      <c r="G902" s="50"/>
      <c r="H902" s="50"/>
    </row>
    <row r="903" spans="1:8">
      <c r="A903" s="27"/>
      <c r="C903" s="28"/>
      <c r="D903" s="28"/>
      <c r="E903" s="50"/>
      <c r="F903" s="50"/>
      <c r="G903" s="50"/>
      <c r="H903" s="50"/>
    </row>
    <row r="904" spans="1:8">
      <c r="A904" s="27"/>
      <c r="C904" s="28"/>
      <c r="D904" s="28"/>
      <c r="E904" s="50"/>
      <c r="F904" s="50"/>
      <c r="G904" s="50"/>
      <c r="H904" s="50"/>
    </row>
    <row r="905" spans="1:8">
      <c r="A905" s="27"/>
      <c r="C905" s="28"/>
      <c r="D905" s="28"/>
      <c r="E905" s="50"/>
      <c r="F905" s="50"/>
      <c r="G905" s="50"/>
      <c r="H905" s="50"/>
    </row>
    <row r="906" spans="1:8">
      <c r="A906" s="27"/>
      <c r="C906" s="28"/>
      <c r="D906" s="28"/>
      <c r="E906" s="50"/>
      <c r="F906" s="50"/>
      <c r="G906" s="50"/>
      <c r="H906" s="50"/>
    </row>
    <row r="907" spans="1:8">
      <c r="A907" s="27"/>
      <c r="C907" s="28"/>
      <c r="D907" s="28"/>
      <c r="E907" s="50"/>
      <c r="F907" s="50"/>
      <c r="G907" s="50"/>
      <c r="H907" s="50"/>
    </row>
    <row r="908" spans="1:8">
      <c r="A908" s="27"/>
      <c r="C908" s="28"/>
      <c r="D908" s="28"/>
      <c r="E908" s="50"/>
      <c r="F908" s="50"/>
      <c r="G908" s="50"/>
      <c r="H908" s="50"/>
    </row>
    <row r="909" spans="1:8">
      <c r="A909" s="27"/>
      <c r="C909" s="28"/>
      <c r="D909" s="28"/>
      <c r="E909" s="50"/>
      <c r="F909" s="50"/>
      <c r="G909" s="50"/>
      <c r="H909" s="50"/>
    </row>
    <row r="910" spans="1:8">
      <c r="A910" s="27"/>
      <c r="C910" s="28"/>
      <c r="D910" s="28"/>
      <c r="E910" s="50"/>
      <c r="F910" s="50"/>
      <c r="G910" s="50"/>
      <c r="H910" s="50"/>
    </row>
    <row r="911" spans="1:8">
      <c r="A911" s="27"/>
      <c r="C911" s="28"/>
      <c r="D911" s="28"/>
      <c r="E911" s="50"/>
      <c r="F911" s="50"/>
      <c r="G911" s="50"/>
      <c r="H911" s="50"/>
    </row>
    <row r="912" spans="1:8">
      <c r="A912" s="27"/>
      <c r="C912" s="28"/>
      <c r="D912" s="28"/>
      <c r="E912" s="50"/>
      <c r="F912" s="50"/>
      <c r="G912" s="50"/>
      <c r="H912" s="50"/>
    </row>
    <row r="913" spans="1:8">
      <c r="A913" s="27"/>
      <c r="C913" s="28"/>
      <c r="D913" s="28"/>
      <c r="E913" s="50"/>
      <c r="F913" s="50"/>
      <c r="G913" s="50"/>
      <c r="H913" s="50"/>
    </row>
    <row r="914" spans="1:8">
      <c r="A914" s="27"/>
      <c r="C914" s="28"/>
      <c r="D914" s="28"/>
      <c r="E914" s="50"/>
      <c r="F914" s="50"/>
      <c r="G914" s="50"/>
      <c r="H914" s="50"/>
    </row>
    <row r="915" spans="1:8">
      <c r="A915" s="27"/>
      <c r="C915" s="28"/>
      <c r="D915" s="28"/>
      <c r="E915" s="50"/>
      <c r="F915" s="50"/>
      <c r="G915" s="50"/>
      <c r="H915" s="50"/>
    </row>
    <row r="916" spans="1:8">
      <c r="A916" s="27"/>
      <c r="C916" s="28"/>
      <c r="D916" s="28"/>
      <c r="E916" s="50"/>
      <c r="F916" s="50"/>
      <c r="G916" s="50"/>
      <c r="H916" s="50"/>
    </row>
    <row r="917" spans="1:8">
      <c r="A917" s="27"/>
      <c r="C917" s="28"/>
      <c r="D917" s="28"/>
      <c r="E917" s="50"/>
      <c r="F917" s="50"/>
      <c r="G917" s="50"/>
      <c r="H917" s="50"/>
    </row>
    <row r="918" spans="1:8">
      <c r="A918" s="27"/>
      <c r="C918" s="28"/>
      <c r="D918" s="28"/>
      <c r="E918" s="50"/>
      <c r="F918" s="50"/>
      <c r="G918" s="50"/>
      <c r="H918" s="50"/>
    </row>
    <row r="919" spans="1:8">
      <c r="A919" s="27"/>
      <c r="C919" s="28"/>
      <c r="D919" s="28"/>
      <c r="E919" s="50"/>
      <c r="F919" s="50"/>
      <c r="G919" s="50"/>
      <c r="H919" s="50"/>
    </row>
    <row r="920" spans="1:8">
      <c r="A920" s="27"/>
      <c r="C920" s="28"/>
      <c r="D920" s="28"/>
      <c r="E920" s="50"/>
      <c r="F920" s="50"/>
      <c r="G920" s="50"/>
      <c r="H920" s="50"/>
    </row>
    <row r="921" spans="1:8">
      <c r="A921" s="27"/>
      <c r="C921" s="28"/>
      <c r="D921" s="28"/>
      <c r="E921" s="50"/>
      <c r="F921" s="50"/>
      <c r="G921" s="50"/>
      <c r="H921" s="50"/>
    </row>
    <row r="922" spans="1:8">
      <c r="A922" s="27"/>
      <c r="C922" s="28"/>
      <c r="D922" s="28"/>
      <c r="E922" s="50"/>
      <c r="F922" s="50"/>
      <c r="G922" s="50"/>
      <c r="H922" s="50"/>
    </row>
    <row r="923" spans="1:8">
      <c r="A923" s="27"/>
      <c r="C923" s="28"/>
      <c r="D923" s="28"/>
      <c r="E923" s="50"/>
      <c r="F923" s="50"/>
      <c r="G923" s="50"/>
      <c r="H923" s="50"/>
    </row>
    <row r="924" spans="1:8">
      <c r="A924" s="27"/>
      <c r="C924" s="28"/>
      <c r="D924" s="28"/>
      <c r="E924" s="50"/>
      <c r="F924" s="50"/>
      <c r="G924" s="50"/>
      <c r="H924" s="50"/>
    </row>
    <row r="925" spans="1:8">
      <c r="A925" s="27"/>
      <c r="C925" s="28"/>
      <c r="D925" s="28"/>
      <c r="E925" s="50"/>
      <c r="F925" s="50"/>
      <c r="G925" s="50"/>
      <c r="H925" s="50"/>
    </row>
    <row r="926" spans="1:8">
      <c r="A926" s="27"/>
      <c r="C926" s="28"/>
      <c r="D926" s="28"/>
      <c r="E926" s="50"/>
      <c r="F926" s="50"/>
      <c r="G926" s="50"/>
      <c r="H926" s="50"/>
    </row>
    <row r="927" spans="1:8">
      <c r="A927" s="27"/>
      <c r="C927" s="28"/>
      <c r="D927" s="28"/>
      <c r="E927" s="50"/>
      <c r="F927" s="50"/>
      <c r="G927" s="50"/>
      <c r="H927" s="50"/>
    </row>
    <row r="928" spans="1:8">
      <c r="A928" s="27"/>
      <c r="C928" s="28"/>
      <c r="D928" s="28"/>
      <c r="E928" s="50"/>
      <c r="F928" s="50"/>
      <c r="G928" s="50"/>
      <c r="H928" s="50"/>
    </row>
    <row r="929" spans="1:8">
      <c r="A929" s="27"/>
      <c r="C929" s="28"/>
      <c r="D929" s="28"/>
      <c r="E929" s="50"/>
      <c r="F929" s="50"/>
      <c r="G929" s="50"/>
      <c r="H929" s="50"/>
    </row>
    <row r="930" spans="1:8">
      <c r="A930" s="27"/>
      <c r="C930" s="28"/>
      <c r="D930" s="28"/>
      <c r="E930" s="50"/>
      <c r="F930" s="50"/>
      <c r="G930" s="50"/>
      <c r="H930" s="50"/>
    </row>
    <row r="931" spans="1:8">
      <c r="A931" s="27"/>
      <c r="C931" s="28"/>
      <c r="D931" s="28"/>
      <c r="E931" s="50"/>
      <c r="F931" s="50"/>
      <c r="G931" s="50"/>
      <c r="H931" s="50"/>
    </row>
    <row r="932" spans="1:8">
      <c r="A932" s="27"/>
      <c r="C932" s="28"/>
      <c r="D932" s="28"/>
      <c r="E932" s="50"/>
      <c r="F932" s="50"/>
      <c r="G932" s="50"/>
      <c r="H932" s="50"/>
    </row>
    <row r="933" spans="1:8">
      <c r="A933" s="27"/>
      <c r="C933" s="28"/>
      <c r="D933" s="28"/>
      <c r="E933" s="50"/>
      <c r="F933" s="50"/>
      <c r="G933" s="50"/>
      <c r="H933" s="50"/>
    </row>
    <row r="934" spans="1:8">
      <c r="A934" s="27"/>
      <c r="C934" s="28"/>
      <c r="D934" s="28"/>
      <c r="E934" s="50"/>
      <c r="F934" s="50"/>
      <c r="G934" s="50"/>
      <c r="H934" s="50"/>
    </row>
    <row r="935" spans="1:8">
      <c r="A935" s="27"/>
      <c r="C935" s="28"/>
      <c r="D935" s="28"/>
      <c r="E935" s="50"/>
      <c r="F935" s="50"/>
      <c r="G935" s="50"/>
      <c r="H935" s="50"/>
    </row>
    <row r="936" spans="1:8">
      <c r="A936" s="27"/>
      <c r="C936" s="28"/>
      <c r="D936" s="28"/>
      <c r="E936" s="50"/>
      <c r="F936" s="50"/>
      <c r="G936" s="50"/>
      <c r="H936" s="50"/>
    </row>
    <row r="937" spans="1:8">
      <c r="A937" s="27"/>
      <c r="C937" s="28"/>
      <c r="D937" s="28"/>
      <c r="E937" s="50"/>
      <c r="F937" s="50"/>
      <c r="G937" s="50"/>
      <c r="H937" s="50"/>
    </row>
    <row r="938" spans="1:8">
      <c r="A938" s="27"/>
      <c r="C938" s="28"/>
      <c r="D938" s="28"/>
      <c r="E938" s="50"/>
      <c r="F938" s="50"/>
      <c r="G938" s="50"/>
      <c r="H938" s="50"/>
    </row>
    <row r="939" spans="1:8">
      <c r="A939" s="27"/>
      <c r="C939" s="28"/>
      <c r="D939" s="28"/>
      <c r="E939" s="50"/>
      <c r="F939" s="50"/>
      <c r="G939" s="50"/>
      <c r="H939" s="50"/>
    </row>
    <row r="940" spans="1:8">
      <c r="A940" s="27"/>
      <c r="C940" s="28"/>
      <c r="D940" s="28"/>
      <c r="E940" s="50"/>
      <c r="F940" s="50"/>
      <c r="G940" s="50"/>
      <c r="H940" s="50"/>
    </row>
    <row r="941" spans="1:8">
      <c r="A941" s="27"/>
      <c r="C941" s="28"/>
      <c r="D941" s="28"/>
      <c r="E941" s="50"/>
      <c r="F941" s="50"/>
      <c r="G941" s="50"/>
      <c r="H941" s="50"/>
    </row>
    <row r="942" spans="1:8">
      <c r="A942" s="27"/>
      <c r="C942" s="28"/>
      <c r="D942" s="28"/>
      <c r="E942" s="50"/>
      <c r="F942" s="50"/>
      <c r="G942" s="50"/>
      <c r="H942" s="50"/>
    </row>
    <row r="943" spans="1:8">
      <c r="A943" s="27"/>
      <c r="C943" s="28"/>
      <c r="D943" s="28"/>
      <c r="E943" s="50"/>
      <c r="F943" s="50"/>
      <c r="G943" s="50"/>
      <c r="H943" s="50"/>
    </row>
    <row r="944" spans="1:8">
      <c r="A944" s="27"/>
      <c r="C944" s="28"/>
      <c r="D944" s="28"/>
      <c r="E944" s="50"/>
      <c r="F944" s="50"/>
      <c r="G944" s="50"/>
      <c r="H944" s="50"/>
    </row>
  </sheetData>
  <autoFilter xmlns:etc="http://www.wps.cn/officeDocument/2017/etCustomData" ref="A4:H202"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H913"/>
  <sheetViews>
    <sheetView showGridLines="0" view="pageBreakPreview" zoomScale="80" zoomScaleNormal="100" topLeftCell="A28" workbookViewId="0">
      <selection activeCell="E27" sqref="E27"/>
    </sheetView>
  </sheetViews>
  <sheetFormatPr defaultColWidth="9.12962962962963" defaultRowHeight="13.8" outlineLevelCol="7"/>
  <cols>
    <col min="1" max="1" width="7.62962962962963" style="31" customWidth="1"/>
    <col min="2" max="2" width="39.5" style="27" customWidth="1"/>
    <col min="3" max="4" width="30.75" style="32" customWidth="1"/>
    <col min="5" max="8" width="13.8796296296296" style="45" customWidth="1"/>
    <col min="9" max="16384" width="9.12962962962963" style="31"/>
  </cols>
  <sheetData>
    <row r="1" spans="1:8">
      <c r="A1" s="6" t="s">
        <v>846</v>
      </c>
      <c r="B1" s="6"/>
      <c r="C1" s="7"/>
      <c r="D1" s="7"/>
      <c r="E1" s="6"/>
      <c r="F1" s="6"/>
      <c r="G1" s="6"/>
      <c r="H1" s="6"/>
    </row>
    <row r="2" spans="1:8">
      <c r="A2" s="8" t="s">
        <v>4</v>
      </c>
      <c r="B2" s="8"/>
      <c r="C2" s="8"/>
      <c r="D2" s="8"/>
      <c r="E2" s="34"/>
      <c r="F2" s="34"/>
      <c r="G2" s="34"/>
      <c r="H2" s="34"/>
    </row>
    <row r="3" spans="1:8">
      <c r="A3" s="9" t="s">
        <v>5</v>
      </c>
      <c r="B3" s="9" t="s">
        <v>6</v>
      </c>
      <c r="C3" s="9" t="s">
        <v>7</v>
      </c>
      <c r="D3" s="9"/>
      <c r="E3" s="10" t="s">
        <v>8</v>
      </c>
      <c r="F3" s="10"/>
      <c r="G3" s="10"/>
      <c r="H3" s="10"/>
    </row>
    <row r="4" spans="1:8">
      <c r="A4" s="11"/>
      <c r="B4" s="11"/>
      <c r="C4" s="9" t="s">
        <v>9</v>
      </c>
      <c r="D4" s="9" t="s">
        <v>10</v>
      </c>
      <c r="E4" s="10" t="s">
        <v>11</v>
      </c>
      <c r="F4" s="10" t="s">
        <v>12</v>
      </c>
      <c r="G4" s="10" t="s">
        <v>13</v>
      </c>
      <c r="H4" s="10" t="s">
        <v>14</v>
      </c>
    </row>
    <row r="5" spans="1:8">
      <c r="A5" s="13" t="s">
        <v>140</v>
      </c>
      <c r="B5" s="13"/>
      <c r="C5" s="15"/>
      <c r="D5" s="15"/>
      <c r="E5" s="10" t="s">
        <v>16</v>
      </c>
      <c r="F5" s="10" t="s">
        <v>16</v>
      </c>
      <c r="G5" s="10" t="s">
        <v>16</v>
      </c>
      <c r="H5" s="10" t="s">
        <v>16</v>
      </c>
    </row>
    <row r="6" spans="1:8">
      <c r="A6" s="36">
        <v>1</v>
      </c>
      <c r="B6" s="20" t="s">
        <v>847</v>
      </c>
      <c r="C6" s="18"/>
      <c r="D6" s="18"/>
      <c r="E6" s="51" t="s">
        <v>16</v>
      </c>
      <c r="F6" s="51" t="s">
        <v>16</v>
      </c>
      <c r="G6" s="51" t="s">
        <v>16</v>
      </c>
      <c r="H6" s="21" t="s">
        <v>16</v>
      </c>
    </row>
    <row r="7" ht="27.6" spans="1:8">
      <c r="A7" s="36"/>
      <c r="B7" s="20" t="s">
        <v>848</v>
      </c>
      <c r="C7" s="18"/>
      <c r="D7" s="18"/>
      <c r="E7" s="51">
        <v>300000</v>
      </c>
      <c r="F7" s="51">
        <v>245000</v>
      </c>
      <c r="G7" s="51">
        <v>220000</v>
      </c>
      <c r="H7" s="22">
        <v>0</v>
      </c>
    </row>
    <row r="8" ht="27.6" spans="1:8">
      <c r="A8" s="36"/>
      <c r="B8" s="20" t="s">
        <v>849</v>
      </c>
      <c r="C8" s="18"/>
      <c r="D8" s="18"/>
      <c r="E8" s="51">
        <v>365000</v>
      </c>
      <c r="F8" s="51">
        <v>325000</v>
      </c>
      <c r="G8" s="51">
        <v>260000</v>
      </c>
      <c r="H8" s="22">
        <v>0</v>
      </c>
    </row>
    <row r="9" spans="1:8">
      <c r="A9" s="36">
        <v>2</v>
      </c>
      <c r="B9" s="20" t="s">
        <v>850</v>
      </c>
      <c r="C9" s="18"/>
      <c r="D9" s="18"/>
      <c r="E9" s="23" t="s">
        <v>16</v>
      </c>
      <c r="F9" s="23" t="s">
        <v>16</v>
      </c>
      <c r="G9" s="23" t="s">
        <v>16</v>
      </c>
      <c r="H9" s="23" t="s">
        <v>16</v>
      </c>
    </row>
    <row r="10" spans="1:8">
      <c r="A10" s="36"/>
      <c r="B10" s="20" t="s">
        <v>851</v>
      </c>
      <c r="C10" s="18"/>
      <c r="D10" s="18"/>
      <c r="E10" s="23">
        <v>325000</v>
      </c>
      <c r="F10" s="23">
        <v>230000</v>
      </c>
      <c r="G10" s="23">
        <v>195000</v>
      </c>
      <c r="H10" s="23">
        <v>0</v>
      </c>
    </row>
    <row r="11" spans="1:8">
      <c r="A11" s="36"/>
      <c r="B11" s="20" t="s">
        <v>852</v>
      </c>
      <c r="C11" s="18"/>
      <c r="D11" s="18"/>
      <c r="E11" s="23">
        <v>255000</v>
      </c>
      <c r="F11" s="23">
        <v>205000</v>
      </c>
      <c r="G11" s="23">
        <v>155000</v>
      </c>
      <c r="H11" s="23">
        <v>0</v>
      </c>
    </row>
    <row r="12" spans="1:8">
      <c r="A12" s="36">
        <v>3</v>
      </c>
      <c r="B12" s="20" t="s">
        <v>853</v>
      </c>
      <c r="C12" s="18"/>
      <c r="D12" s="18"/>
      <c r="E12" s="23">
        <v>210000</v>
      </c>
      <c r="F12" s="23">
        <v>170000</v>
      </c>
      <c r="G12" s="23">
        <v>140000</v>
      </c>
      <c r="H12" s="23">
        <v>0</v>
      </c>
    </row>
    <row r="13" spans="1:8">
      <c r="A13" s="36">
        <v>4</v>
      </c>
      <c r="B13" s="20" t="s">
        <v>854</v>
      </c>
      <c r="C13" s="18"/>
      <c r="D13" s="18"/>
      <c r="E13" s="23" t="s">
        <v>16</v>
      </c>
      <c r="F13" s="23" t="s">
        <v>16</v>
      </c>
      <c r="G13" s="23" t="s">
        <v>16</v>
      </c>
      <c r="H13" s="23" t="s">
        <v>16</v>
      </c>
    </row>
    <row r="14" ht="27.6" spans="1:8">
      <c r="A14" s="36"/>
      <c r="B14" s="20" t="s">
        <v>855</v>
      </c>
      <c r="C14" s="18"/>
      <c r="D14" s="18"/>
      <c r="E14" s="23">
        <v>235000</v>
      </c>
      <c r="F14" s="23">
        <v>190000</v>
      </c>
      <c r="G14" s="23">
        <v>160000</v>
      </c>
      <c r="H14" s="23">
        <v>0</v>
      </c>
    </row>
    <row r="15" ht="27.6" spans="1:8">
      <c r="A15" s="36"/>
      <c r="B15" s="20" t="s">
        <v>856</v>
      </c>
      <c r="C15" s="18"/>
      <c r="D15" s="18"/>
      <c r="E15" s="23">
        <v>205000</v>
      </c>
      <c r="F15" s="23">
        <v>165000</v>
      </c>
      <c r="G15" s="23">
        <v>155000</v>
      </c>
      <c r="H15" s="23">
        <v>0</v>
      </c>
    </row>
    <row r="16" ht="41.4" spans="1:8">
      <c r="A16" s="36">
        <v>5</v>
      </c>
      <c r="B16" s="20" t="s">
        <v>857</v>
      </c>
      <c r="C16" s="18"/>
      <c r="D16" s="18"/>
      <c r="E16" s="23">
        <v>210000</v>
      </c>
      <c r="F16" s="23">
        <v>170000</v>
      </c>
      <c r="G16" s="23">
        <v>140000</v>
      </c>
      <c r="H16" s="23">
        <v>0</v>
      </c>
    </row>
    <row r="17" ht="27.6" spans="1:8">
      <c r="A17" s="36">
        <v>6</v>
      </c>
      <c r="B17" s="20" t="s">
        <v>858</v>
      </c>
      <c r="C17" s="18"/>
      <c r="D17" s="18"/>
      <c r="E17" s="23">
        <v>210000</v>
      </c>
      <c r="F17" s="23">
        <v>170000</v>
      </c>
      <c r="G17" s="23">
        <v>140000</v>
      </c>
      <c r="H17" s="23">
        <v>0</v>
      </c>
    </row>
    <row r="18" spans="1:8">
      <c r="A18" s="36">
        <v>7</v>
      </c>
      <c r="B18" s="20" t="s">
        <v>859</v>
      </c>
      <c r="C18" s="18"/>
      <c r="D18" s="18"/>
      <c r="E18" s="23" t="s">
        <v>16</v>
      </c>
      <c r="F18" s="23" t="s">
        <v>16</v>
      </c>
      <c r="G18" s="23" t="s">
        <v>16</v>
      </c>
      <c r="H18" s="23" t="s">
        <v>16</v>
      </c>
    </row>
    <row r="19" ht="27.6" spans="1:8">
      <c r="A19" s="36"/>
      <c r="B19" s="20" t="s">
        <v>860</v>
      </c>
      <c r="C19" s="18"/>
      <c r="D19" s="18"/>
      <c r="E19" s="23">
        <v>290000</v>
      </c>
      <c r="F19" s="23">
        <v>235000</v>
      </c>
      <c r="G19" s="23">
        <v>220000</v>
      </c>
      <c r="H19" s="23">
        <v>0</v>
      </c>
    </row>
    <row r="20" ht="27.6" spans="1:8">
      <c r="A20" s="36"/>
      <c r="B20" s="20" t="s">
        <v>861</v>
      </c>
      <c r="C20" s="18"/>
      <c r="D20" s="18"/>
      <c r="E20" s="23">
        <v>330000</v>
      </c>
      <c r="F20" s="23">
        <v>270000</v>
      </c>
      <c r="G20" s="23">
        <v>225000</v>
      </c>
      <c r="H20" s="23">
        <v>0</v>
      </c>
    </row>
    <row r="21" ht="27.6" spans="1:8">
      <c r="A21" s="36"/>
      <c r="B21" s="20" t="s">
        <v>862</v>
      </c>
      <c r="C21" s="18"/>
      <c r="D21" s="18"/>
      <c r="E21" s="23">
        <v>290000</v>
      </c>
      <c r="F21" s="23">
        <v>235000</v>
      </c>
      <c r="G21" s="23">
        <v>220000</v>
      </c>
      <c r="H21" s="23">
        <v>0</v>
      </c>
    </row>
    <row r="22" spans="1:8">
      <c r="A22" s="36">
        <v>8</v>
      </c>
      <c r="B22" s="20" t="s">
        <v>863</v>
      </c>
      <c r="C22" s="18"/>
      <c r="D22" s="18"/>
      <c r="E22" s="23" t="s">
        <v>16</v>
      </c>
      <c r="F22" s="23" t="s">
        <v>16</v>
      </c>
      <c r="G22" s="23" t="s">
        <v>16</v>
      </c>
      <c r="H22" s="23" t="s">
        <v>16</v>
      </c>
    </row>
    <row r="23" ht="41.4" spans="1:8">
      <c r="A23" s="36"/>
      <c r="B23" s="20" t="s">
        <v>864</v>
      </c>
      <c r="C23" s="18"/>
      <c r="D23" s="18"/>
      <c r="E23" s="23">
        <v>305000</v>
      </c>
      <c r="F23" s="23">
        <v>245000</v>
      </c>
      <c r="G23" s="23">
        <v>215000</v>
      </c>
      <c r="H23" s="23">
        <v>0</v>
      </c>
    </row>
    <row r="24" ht="27.6" spans="1:8">
      <c r="A24" s="36"/>
      <c r="B24" s="20" t="s">
        <v>865</v>
      </c>
      <c r="C24" s="18"/>
      <c r="D24" s="18"/>
      <c r="E24" s="23">
        <v>250000</v>
      </c>
      <c r="F24" s="23">
        <v>200000</v>
      </c>
      <c r="G24" s="23">
        <v>165000</v>
      </c>
      <c r="H24" s="23">
        <v>0</v>
      </c>
    </row>
    <row r="25" spans="1:8">
      <c r="A25" s="36">
        <v>9</v>
      </c>
      <c r="B25" s="20" t="s">
        <v>866</v>
      </c>
      <c r="C25" s="18"/>
      <c r="D25" s="18"/>
      <c r="E25" s="23">
        <v>235000</v>
      </c>
      <c r="F25" s="23">
        <v>190000</v>
      </c>
      <c r="G25" s="23">
        <v>160000</v>
      </c>
      <c r="H25" s="23">
        <v>0</v>
      </c>
    </row>
    <row r="26" ht="41.4" spans="1:8">
      <c r="A26" s="36">
        <v>10</v>
      </c>
      <c r="B26" s="20" t="s">
        <v>867</v>
      </c>
      <c r="C26" s="18"/>
      <c r="D26" s="18"/>
      <c r="E26" s="23">
        <v>205000</v>
      </c>
      <c r="F26" s="23">
        <v>165000</v>
      </c>
      <c r="G26" s="23">
        <v>155000</v>
      </c>
      <c r="H26" s="23">
        <v>0</v>
      </c>
    </row>
    <row r="27" spans="1:8">
      <c r="A27" s="15" t="s">
        <v>167</v>
      </c>
      <c r="B27" s="15"/>
      <c r="C27" s="15"/>
      <c r="D27" s="15"/>
      <c r="E27" s="23" t="s">
        <v>16</v>
      </c>
      <c r="F27" s="23" t="s">
        <v>16</v>
      </c>
      <c r="G27" s="23" t="s">
        <v>16</v>
      </c>
      <c r="H27" s="23" t="s">
        <v>16</v>
      </c>
    </row>
    <row r="28" spans="1:8">
      <c r="A28" s="11"/>
      <c r="B28" s="11" t="s">
        <v>868</v>
      </c>
      <c r="C28" s="15"/>
      <c r="D28" s="15"/>
      <c r="E28" s="23" t="s">
        <v>16</v>
      </c>
      <c r="F28" s="23" t="s">
        <v>16</v>
      </c>
      <c r="G28" s="23" t="s">
        <v>16</v>
      </c>
      <c r="H28" s="23" t="s">
        <v>16</v>
      </c>
    </row>
    <row r="29" ht="27.6" spans="1:8">
      <c r="A29" s="36">
        <v>11</v>
      </c>
      <c r="B29" s="220" t="s">
        <v>869</v>
      </c>
      <c r="C29" s="18"/>
      <c r="D29" s="18"/>
      <c r="E29" s="23">
        <v>115000</v>
      </c>
      <c r="F29" s="23">
        <v>100000</v>
      </c>
      <c r="G29" s="23">
        <v>0</v>
      </c>
      <c r="H29" s="23">
        <v>0</v>
      </c>
    </row>
    <row r="30" ht="69" spans="1:8">
      <c r="A30" s="36">
        <v>12</v>
      </c>
      <c r="B30" s="220" t="s">
        <v>870</v>
      </c>
      <c r="C30" s="18"/>
      <c r="D30" s="18"/>
      <c r="E30" s="23">
        <v>100000</v>
      </c>
      <c r="F30" s="23">
        <v>90000</v>
      </c>
      <c r="G30" s="23">
        <v>0</v>
      </c>
      <c r="H30" s="23">
        <v>0</v>
      </c>
    </row>
    <row r="31" ht="82.8" spans="1:8">
      <c r="A31" s="36">
        <v>13</v>
      </c>
      <c r="B31" s="220" t="s">
        <v>871</v>
      </c>
      <c r="C31" s="18"/>
      <c r="D31" s="18"/>
      <c r="E31" s="23">
        <v>85000</v>
      </c>
      <c r="F31" s="23">
        <v>0</v>
      </c>
      <c r="G31" s="23">
        <v>0</v>
      </c>
      <c r="H31" s="23">
        <v>0</v>
      </c>
    </row>
    <row r="32" ht="27.6" spans="1:8">
      <c r="A32" s="17"/>
      <c r="B32" s="11" t="s">
        <v>872</v>
      </c>
      <c r="C32" s="15"/>
      <c r="D32" s="15"/>
      <c r="E32" s="23" t="s">
        <v>16</v>
      </c>
      <c r="F32" s="23" t="s">
        <v>16</v>
      </c>
      <c r="G32" s="23" t="s">
        <v>16</v>
      </c>
      <c r="H32" s="23" t="s">
        <v>16</v>
      </c>
    </row>
    <row r="33" ht="110.4" spans="1:8">
      <c r="A33" s="36">
        <v>14</v>
      </c>
      <c r="B33" s="220" t="s">
        <v>873</v>
      </c>
      <c r="C33" s="18"/>
      <c r="D33" s="18"/>
      <c r="E33" s="23">
        <v>145000</v>
      </c>
      <c r="F33" s="23">
        <v>125000</v>
      </c>
      <c r="G33" s="23">
        <v>0</v>
      </c>
      <c r="H33" s="23">
        <v>0</v>
      </c>
    </row>
    <row r="34" ht="96.6" spans="1:8">
      <c r="A34" s="36">
        <v>15</v>
      </c>
      <c r="B34" s="220" t="s">
        <v>874</v>
      </c>
      <c r="C34" s="18"/>
      <c r="D34" s="18"/>
      <c r="E34" s="23">
        <v>125000</v>
      </c>
      <c r="F34" s="23">
        <v>115000</v>
      </c>
      <c r="G34" s="23">
        <v>0</v>
      </c>
      <c r="H34" s="23">
        <v>0</v>
      </c>
    </row>
    <row r="35" ht="124.2" spans="1:8">
      <c r="A35" s="36">
        <v>16</v>
      </c>
      <c r="B35" s="220" t="s">
        <v>875</v>
      </c>
      <c r="C35" s="18"/>
      <c r="D35" s="18"/>
      <c r="E35" s="23">
        <v>85000</v>
      </c>
      <c r="F35" s="23">
        <v>0</v>
      </c>
      <c r="G35" s="23">
        <v>0</v>
      </c>
      <c r="H35" s="23">
        <v>0</v>
      </c>
    </row>
    <row r="36" spans="1:8">
      <c r="A36" s="20"/>
      <c r="B36" s="20"/>
      <c r="C36" s="18"/>
      <c r="D36" s="18"/>
      <c r="E36" s="23" t="s">
        <v>16</v>
      </c>
      <c r="F36" s="23" t="s">
        <v>16</v>
      </c>
      <c r="G36" s="23" t="s">
        <v>16</v>
      </c>
      <c r="H36" s="23" t="s">
        <v>16</v>
      </c>
    </row>
    <row r="37" spans="1:8">
      <c r="A37" s="20"/>
      <c r="B37" s="20"/>
      <c r="C37" s="18"/>
      <c r="D37" s="18"/>
      <c r="E37" s="23" t="s">
        <v>16</v>
      </c>
      <c r="F37" s="23" t="s">
        <v>16</v>
      </c>
      <c r="G37" s="23" t="s">
        <v>16</v>
      </c>
      <c r="H37" s="23" t="s">
        <v>16</v>
      </c>
    </row>
    <row r="38" spans="1:8">
      <c r="A38" s="20"/>
      <c r="B38" s="20"/>
      <c r="C38" s="18"/>
      <c r="D38" s="18"/>
      <c r="E38" s="23" t="s">
        <v>16</v>
      </c>
      <c r="F38" s="23" t="s">
        <v>16</v>
      </c>
      <c r="G38" s="23" t="s">
        <v>16</v>
      </c>
      <c r="H38" s="23" t="s">
        <v>16</v>
      </c>
    </row>
    <row r="39" spans="1:8">
      <c r="A39" s="20"/>
      <c r="B39" s="20"/>
      <c r="C39" s="18"/>
      <c r="D39" s="18"/>
      <c r="E39" s="23" t="s">
        <v>16</v>
      </c>
      <c r="F39" s="23" t="s">
        <v>16</v>
      </c>
      <c r="G39" s="23" t="s">
        <v>16</v>
      </c>
      <c r="H39" s="23" t="s">
        <v>16</v>
      </c>
    </row>
    <row r="40" spans="1:8">
      <c r="A40" s="20"/>
      <c r="B40" s="20"/>
      <c r="C40" s="18"/>
      <c r="D40" s="18"/>
      <c r="E40" s="23" t="s">
        <v>16</v>
      </c>
      <c r="F40" s="23" t="s">
        <v>16</v>
      </c>
      <c r="G40" s="23" t="s">
        <v>16</v>
      </c>
      <c r="H40" s="23" t="s">
        <v>16</v>
      </c>
    </row>
    <row r="41" spans="1:8">
      <c r="A41" s="20"/>
      <c r="B41" s="20"/>
      <c r="C41" s="18"/>
      <c r="D41" s="18"/>
      <c r="E41" s="23" t="s">
        <v>16</v>
      </c>
      <c r="F41" s="23" t="s">
        <v>16</v>
      </c>
      <c r="G41" s="23" t="s">
        <v>16</v>
      </c>
      <c r="H41" s="23" t="s">
        <v>16</v>
      </c>
    </row>
    <row r="42" spans="1:8">
      <c r="A42" s="20"/>
      <c r="B42" s="20"/>
      <c r="C42" s="18"/>
      <c r="D42" s="18"/>
      <c r="E42" s="23" t="s">
        <v>16</v>
      </c>
      <c r="F42" s="23" t="s">
        <v>16</v>
      </c>
      <c r="G42" s="23" t="s">
        <v>16</v>
      </c>
      <c r="H42" s="23" t="s">
        <v>16</v>
      </c>
    </row>
    <row r="43" spans="1:8">
      <c r="A43" s="20"/>
      <c r="B43" s="20"/>
      <c r="C43" s="18"/>
      <c r="D43" s="18"/>
      <c r="E43" s="23" t="s">
        <v>16</v>
      </c>
      <c r="F43" s="23" t="s">
        <v>16</v>
      </c>
      <c r="G43" s="23" t="s">
        <v>16</v>
      </c>
      <c r="H43" s="23" t="s">
        <v>16</v>
      </c>
    </row>
    <row r="44" spans="1:8">
      <c r="A44" s="20"/>
      <c r="B44" s="20"/>
      <c r="C44" s="18"/>
      <c r="D44" s="18"/>
      <c r="E44" s="23" t="s">
        <v>16</v>
      </c>
      <c r="F44" s="23" t="s">
        <v>16</v>
      </c>
      <c r="G44" s="23" t="s">
        <v>16</v>
      </c>
      <c r="H44" s="23" t="s">
        <v>16</v>
      </c>
    </row>
    <row r="45" spans="1:8">
      <c r="A45" s="20"/>
      <c r="B45" s="20"/>
      <c r="C45" s="18"/>
      <c r="D45" s="18"/>
      <c r="E45" s="23" t="s">
        <v>16</v>
      </c>
      <c r="F45" s="23" t="s">
        <v>16</v>
      </c>
      <c r="G45" s="23" t="s">
        <v>16</v>
      </c>
      <c r="H45" s="23" t="s">
        <v>16</v>
      </c>
    </row>
    <row r="46" spans="1:8">
      <c r="A46" s="20"/>
      <c r="B46" s="20"/>
      <c r="C46" s="18"/>
      <c r="D46" s="18"/>
      <c r="E46" s="23" t="s">
        <v>16</v>
      </c>
      <c r="F46" s="23" t="s">
        <v>16</v>
      </c>
      <c r="G46" s="23" t="s">
        <v>16</v>
      </c>
      <c r="H46" s="23" t="s">
        <v>16</v>
      </c>
    </row>
    <row r="47" spans="1:8">
      <c r="A47" s="20"/>
      <c r="B47" s="20"/>
      <c r="C47" s="18"/>
      <c r="D47" s="18"/>
      <c r="E47" s="23" t="s">
        <v>16</v>
      </c>
      <c r="F47" s="23" t="s">
        <v>16</v>
      </c>
      <c r="G47" s="23" t="s">
        <v>16</v>
      </c>
      <c r="H47" s="23" t="s">
        <v>16</v>
      </c>
    </row>
    <row r="48" spans="1:8">
      <c r="A48" s="20"/>
      <c r="B48" s="20"/>
      <c r="C48" s="18"/>
      <c r="D48" s="18"/>
      <c r="E48" s="23" t="s">
        <v>16</v>
      </c>
      <c r="F48" s="23" t="s">
        <v>16</v>
      </c>
      <c r="G48" s="23" t="s">
        <v>16</v>
      </c>
      <c r="H48" s="23" t="s">
        <v>16</v>
      </c>
    </row>
    <row r="49" spans="1:8">
      <c r="A49" s="20"/>
      <c r="B49" s="20"/>
      <c r="C49" s="18"/>
      <c r="D49" s="18"/>
      <c r="E49" s="23" t="s">
        <v>16</v>
      </c>
      <c r="F49" s="23" t="s">
        <v>16</v>
      </c>
      <c r="G49" s="23" t="s">
        <v>16</v>
      </c>
      <c r="H49" s="23" t="s">
        <v>16</v>
      </c>
    </row>
    <row r="50" spans="1:8">
      <c r="A50" s="20"/>
      <c r="B50" s="20"/>
      <c r="C50" s="18"/>
      <c r="D50" s="18"/>
      <c r="E50" s="23" t="s">
        <v>16</v>
      </c>
      <c r="F50" s="23" t="s">
        <v>16</v>
      </c>
      <c r="G50" s="23" t="s">
        <v>16</v>
      </c>
      <c r="H50" s="23" t="s">
        <v>16</v>
      </c>
    </row>
    <row r="51" spans="1:8">
      <c r="A51" s="20"/>
      <c r="B51" s="49"/>
      <c r="C51" s="41"/>
      <c r="D51" s="41"/>
      <c r="E51" s="23" t="s">
        <v>16</v>
      </c>
      <c r="F51" s="23" t="s">
        <v>16</v>
      </c>
      <c r="G51" s="23" t="s">
        <v>16</v>
      </c>
      <c r="H51" s="23" t="s">
        <v>16</v>
      </c>
    </row>
    <row r="52" spans="1:8">
      <c r="A52" s="20"/>
      <c r="B52" s="20"/>
      <c r="C52" s="18"/>
      <c r="D52" s="18"/>
      <c r="E52" s="23" t="s">
        <v>16</v>
      </c>
      <c r="F52" s="23" t="s">
        <v>16</v>
      </c>
      <c r="G52" s="23" t="s">
        <v>16</v>
      </c>
      <c r="H52" s="23" t="s">
        <v>16</v>
      </c>
    </row>
    <row r="53" spans="1:8">
      <c r="A53" s="20"/>
      <c r="B53" s="20"/>
      <c r="C53" s="18"/>
      <c r="D53" s="18"/>
      <c r="E53" s="23" t="s">
        <v>16</v>
      </c>
      <c r="F53" s="23" t="s">
        <v>16</v>
      </c>
      <c r="G53" s="23" t="s">
        <v>16</v>
      </c>
      <c r="H53" s="23" t="s">
        <v>16</v>
      </c>
    </row>
    <row r="54" spans="1:8">
      <c r="A54" s="20"/>
      <c r="B54" s="20"/>
      <c r="C54" s="18"/>
      <c r="D54" s="18"/>
      <c r="E54" s="23" t="s">
        <v>16</v>
      </c>
      <c r="F54" s="23" t="s">
        <v>16</v>
      </c>
      <c r="G54" s="23" t="s">
        <v>16</v>
      </c>
      <c r="H54" s="23" t="s">
        <v>16</v>
      </c>
    </row>
    <row r="55" spans="1:8">
      <c r="A55" s="20"/>
      <c r="B55" s="20"/>
      <c r="C55" s="18"/>
      <c r="D55" s="18"/>
      <c r="E55" s="23" t="s">
        <v>16</v>
      </c>
      <c r="F55" s="23" t="s">
        <v>16</v>
      </c>
      <c r="G55" s="23" t="s">
        <v>16</v>
      </c>
      <c r="H55" s="23" t="s">
        <v>16</v>
      </c>
    </row>
    <row r="56" spans="1:8">
      <c r="A56" s="20"/>
      <c r="B56" s="20"/>
      <c r="C56" s="18"/>
      <c r="D56" s="18"/>
      <c r="E56" s="23" t="s">
        <v>16</v>
      </c>
      <c r="F56" s="23" t="s">
        <v>16</v>
      </c>
      <c r="G56" s="23" t="s">
        <v>16</v>
      </c>
      <c r="H56" s="23" t="s">
        <v>16</v>
      </c>
    </row>
    <row r="57" spans="1:8">
      <c r="A57" s="20"/>
      <c r="B57" s="20"/>
      <c r="C57" s="18"/>
      <c r="D57" s="18"/>
      <c r="E57" s="23" t="s">
        <v>16</v>
      </c>
      <c r="F57" s="23" t="s">
        <v>16</v>
      </c>
      <c r="G57" s="23" t="s">
        <v>16</v>
      </c>
      <c r="H57" s="23" t="s">
        <v>16</v>
      </c>
    </row>
    <row r="58" spans="1:8">
      <c r="A58" s="20"/>
      <c r="B58" s="20"/>
      <c r="C58" s="18"/>
      <c r="D58" s="18"/>
      <c r="E58" s="23" t="s">
        <v>16</v>
      </c>
      <c r="F58" s="23" t="s">
        <v>16</v>
      </c>
      <c r="G58" s="23" t="s">
        <v>16</v>
      </c>
      <c r="H58" s="23" t="s">
        <v>16</v>
      </c>
    </row>
    <row r="59" spans="1:8">
      <c r="A59" s="20"/>
      <c r="B59" s="20"/>
      <c r="C59" s="18"/>
      <c r="D59" s="18"/>
      <c r="E59" s="23" t="s">
        <v>16</v>
      </c>
      <c r="F59" s="23" t="s">
        <v>16</v>
      </c>
      <c r="G59" s="23" t="s">
        <v>16</v>
      </c>
      <c r="H59" s="23" t="s">
        <v>16</v>
      </c>
    </row>
    <row r="60" spans="1:8">
      <c r="A60" s="20"/>
      <c r="B60" s="20"/>
      <c r="C60" s="18"/>
      <c r="D60" s="18"/>
      <c r="E60" s="23" t="s">
        <v>16</v>
      </c>
      <c r="F60" s="23" t="s">
        <v>16</v>
      </c>
      <c r="G60" s="23" t="s">
        <v>16</v>
      </c>
      <c r="H60" s="23" t="s">
        <v>16</v>
      </c>
    </row>
    <row r="61" spans="1:8">
      <c r="A61" s="20"/>
      <c r="B61" s="20"/>
      <c r="C61" s="18"/>
      <c r="D61" s="18"/>
      <c r="E61" s="23" t="s">
        <v>16</v>
      </c>
      <c r="F61" s="23" t="s">
        <v>16</v>
      </c>
      <c r="G61" s="23" t="s">
        <v>16</v>
      </c>
      <c r="H61" s="23" t="s">
        <v>16</v>
      </c>
    </row>
    <row r="62" spans="1:8">
      <c r="A62" s="20"/>
      <c r="B62" s="20"/>
      <c r="C62" s="18"/>
      <c r="D62" s="18"/>
      <c r="E62" s="23" t="s">
        <v>16</v>
      </c>
      <c r="F62" s="23" t="s">
        <v>16</v>
      </c>
      <c r="G62" s="23" t="s">
        <v>16</v>
      </c>
      <c r="H62" s="23" t="s">
        <v>16</v>
      </c>
    </row>
    <row r="63" spans="1:8">
      <c r="A63" s="20"/>
      <c r="B63" s="20"/>
      <c r="C63" s="18"/>
      <c r="D63" s="18"/>
      <c r="E63" s="23" t="s">
        <v>16</v>
      </c>
      <c r="F63" s="23" t="s">
        <v>16</v>
      </c>
      <c r="G63" s="23" t="s">
        <v>16</v>
      </c>
      <c r="H63" s="23" t="s">
        <v>16</v>
      </c>
    </row>
    <row r="64" spans="1:8">
      <c r="A64" s="20"/>
      <c r="B64" s="20"/>
      <c r="C64" s="18"/>
      <c r="D64" s="18"/>
      <c r="E64" s="23" t="s">
        <v>16</v>
      </c>
      <c r="F64" s="23" t="s">
        <v>16</v>
      </c>
      <c r="G64" s="23" t="s">
        <v>16</v>
      </c>
      <c r="H64" s="23" t="s">
        <v>16</v>
      </c>
    </row>
    <row r="65" spans="1:8">
      <c r="A65" s="20"/>
      <c r="B65" s="20"/>
      <c r="C65" s="18"/>
      <c r="D65" s="18"/>
      <c r="E65" s="23" t="s">
        <v>16</v>
      </c>
      <c r="F65" s="23" t="s">
        <v>16</v>
      </c>
      <c r="G65" s="23" t="s">
        <v>16</v>
      </c>
      <c r="H65" s="23" t="s">
        <v>16</v>
      </c>
    </row>
    <row r="66" spans="1:8">
      <c r="A66" s="20"/>
      <c r="B66" s="20"/>
      <c r="C66" s="18"/>
      <c r="D66" s="18"/>
      <c r="E66" s="23" t="s">
        <v>16</v>
      </c>
      <c r="F66" s="23" t="s">
        <v>16</v>
      </c>
      <c r="G66" s="23" t="s">
        <v>16</v>
      </c>
      <c r="H66" s="23" t="s">
        <v>16</v>
      </c>
    </row>
    <row r="67" spans="1:8">
      <c r="A67" s="20"/>
      <c r="B67" s="20"/>
      <c r="C67" s="18"/>
      <c r="D67" s="18"/>
      <c r="E67" s="23" t="s">
        <v>16</v>
      </c>
      <c r="F67" s="23" t="s">
        <v>16</v>
      </c>
      <c r="G67" s="23" t="s">
        <v>16</v>
      </c>
      <c r="H67" s="23" t="s">
        <v>16</v>
      </c>
    </row>
    <row r="68" spans="1:8">
      <c r="A68" s="20"/>
      <c r="B68" s="20"/>
      <c r="C68" s="18"/>
      <c r="D68" s="18"/>
      <c r="E68" s="23" t="s">
        <v>16</v>
      </c>
      <c r="F68" s="23" t="s">
        <v>16</v>
      </c>
      <c r="G68" s="23" t="s">
        <v>16</v>
      </c>
      <c r="H68" s="23" t="s">
        <v>16</v>
      </c>
    </row>
    <row r="69" spans="1:8">
      <c r="A69" s="20"/>
      <c r="B69" s="20"/>
      <c r="C69" s="18"/>
      <c r="D69" s="18"/>
      <c r="E69" s="23" t="s">
        <v>16</v>
      </c>
      <c r="F69" s="23" t="s">
        <v>16</v>
      </c>
      <c r="G69" s="23" t="s">
        <v>16</v>
      </c>
      <c r="H69" s="23" t="s">
        <v>16</v>
      </c>
    </row>
    <row r="70" spans="1:8">
      <c r="A70" s="20"/>
      <c r="B70" s="20"/>
      <c r="C70" s="18"/>
      <c r="D70" s="18"/>
      <c r="E70" s="23" t="s">
        <v>16</v>
      </c>
      <c r="F70" s="23" t="s">
        <v>16</v>
      </c>
      <c r="G70" s="23" t="s">
        <v>16</v>
      </c>
      <c r="H70" s="23" t="s">
        <v>16</v>
      </c>
    </row>
    <row r="71" spans="1:8">
      <c r="A71" s="20"/>
      <c r="B71" s="20"/>
      <c r="C71" s="18"/>
      <c r="D71" s="18"/>
      <c r="E71" s="23" t="s">
        <v>16</v>
      </c>
      <c r="F71" s="23" t="s">
        <v>16</v>
      </c>
      <c r="G71" s="23" t="s">
        <v>16</v>
      </c>
      <c r="H71" s="23" t="s">
        <v>16</v>
      </c>
    </row>
    <row r="72" spans="1:8">
      <c r="A72" s="20"/>
      <c r="B72" s="20"/>
      <c r="C72" s="18"/>
      <c r="D72" s="18"/>
      <c r="E72" s="23" t="s">
        <v>16</v>
      </c>
      <c r="F72" s="23" t="s">
        <v>16</v>
      </c>
      <c r="G72" s="23" t="s">
        <v>16</v>
      </c>
      <c r="H72" s="23" t="s">
        <v>16</v>
      </c>
    </row>
    <row r="73" spans="1:8">
      <c r="A73" s="20"/>
      <c r="B73" s="20"/>
      <c r="C73" s="18"/>
      <c r="D73" s="18"/>
      <c r="E73" s="23" t="s">
        <v>16</v>
      </c>
      <c r="F73" s="23" t="s">
        <v>16</v>
      </c>
      <c r="G73" s="23" t="s">
        <v>16</v>
      </c>
      <c r="H73" s="23" t="s">
        <v>16</v>
      </c>
    </row>
    <row r="74" spans="1:8">
      <c r="A74" s="20"/>
      <c r="B74" s="20"/>
      <c r="C74" s="18"/>
      <c r="D74" s="18"/>
      <c r="E74" s="23" t="s">
        <v>16</v>
      </c>
      <c r="F74" s="23" t="s">
        <v>16</v>
      </c>
      <c r="G74" s="23" t="s">
        <v>16</v>
      </c>
      <c r="H74" s="23" t="s">
        <v>16</v>
      </c>
    </row>
    <row r="75" spans="1:8">
      <c r="A75" s="20"/>
      <c r="B75" s="20"/>
      <c r="C75" s="18"/>
      <c r="D75" s="18"/>
      <c r="E75" s="23" t="s">
        <v>16</v>
      </c>
      <c r="F75" s="23" t="s">
        <v>16</v>
      </c>
      <c r="G75" s="23" t="s">
        <v>16</v>
      </c>
      <c r="H75" s="23" t="s">
        <v>16</v>
      </c>
    </row>
    <row r="76" spans="1:8">
      <c r="A76" s="20"/>
      <c r="B76" s="20"/>
      <c r="C76" s="18"/>
      <c r="D76" s="18"/>
      <c r="E76" s="23" t="s">
        <v>16</v>
      </c>
      <c r="F76" s="23" t="s">
        <v>16</v>
      </c>
      <c r="G76" s="23" t="s">
        <v>16</v>
      </c>
      <c r="H76" s="23" t="s">
        <v>16</v>
      </c>
    </row>
    <row r="77" spans="1:8">
      <c r="A77" s="20"/>
      <c r="B77" s="20"/>
      <c r="C77" s="18"/>
      <c r="D77" s="18"/>
      <c r="E77" s="23" t="s">
        <v>16</v>
      </c>
      <c r="F77" s="23" t="s">
        <v>16</v>
      </c>
      <c r="G77" s="23" t="s">
        <v>16</v>
      </c>
      <c r="H77" s="23" t="s">
        <v>16</v>
      </c>
    </row>
    <row r="78" spans="1:8">
      <c r="A78" s="20"/>
      <c r="B78" s="20"/>
      <c r="C78" s="18"/>
      <c r="D78" s="18"/>
      <c r="E78" s="23" t="s">
        <v>16</v>
      </c>
      <c r="F78" s="23" t="s">
        <v>16</v>
      </c>
      <c r="G78" s="23" t="s">
        <v>16</v>
      </c>
      <c r="H78" s="23" t="s">
        <v>16</v>
      </c>
    </row>
    <row r="79" spans="1:8">
      <c r="A79" s="20"/>
      <c r="B79" s="42"/>
      <c r="C79" s="43"/>
      <c r="D79" s="43"/>
      <c r="E79" s="23" t="s">
        <v>16</v>
      </c>
      <c r="F79" s="23" t="s">
        <v>16</v>
      </c>
      <c r="G79" s="23" t="s">
        <v>16</v>
      </c>
      <c r="H79" s="23" t="s">
        <v>16</v>
      </c>
    </row>
    <row r="80" spans="1:8">
      <c r="A80" s="20"/>
      <c r="B80" s="20"/>
      <c r="C80" s="18"/>
      <c r="D80" s="18"/>
      <c r="E80" s="23" t="s">
        <v>16</v>
      </c>
      <c r="F80" s="23" t="s">
        <v>16</v>
      </c>
      <c r="G80" s="23" t="s">
        <v>16</v>
      </c>
      <c r="H80" s="23" t="s">
        <v>16</v>
      </c>
    </row>
    <row r="81" spans="1:8">
      <c r="A81" s="20"/>
      <c r="B81" s="20"/>
      <c r="C81" s="18"/>
      <c r="D81" s="18"/>
      <c r="E81" s="23" t="s">
        <v>16</v>
      </c>
      <c r="F81" s="23" t="s">
        <v>16</v>
      </c>
      <c r="G81" s="23" t="s">
        <v>16</v>
      </c>
      <c r="H81" s="23" t="s">
        <v>16</v>
      </c>
    </row>
    <row r="82" spans="1:8">
      <c r="A82" s="20"/>
      <c r="B82" s="20"/>
      <c r="C82" s="18"/>
      <c r="D82" s="18"/>
      <c r="E82" s="23" t="s">
        <v>16</v>
      </c>
      <c r="F82" s="23" t="s">
        <v>16</v>
      </c>
      <c r="G82" s="23" t="s">
        <v>16</v>
      </c>
      <c r="H82" s="23" t="s">
        <v>16</v>
      </c>
    </row>
    <row r="83" spans="1:8">
      <c r="A83" s="27"/>
      <c r="C83" s="28"/>
      <c r="D83" s="28"/>
      <c r="E83" s="23" t="s">
        <v>16</v>
      </c>
      <c r="F83" s="23" t="s">
        <v>16</v>
      </c>
      <c r="G83" s="23" t="s">
        <v>16</v>
      </c>
      <c r="H83" s="23" t="s">
        <v>16</v>
      </c>
    </row>
    <row r="84" spans="1:8">
      <c r="A84" s="27"/>
      <c r="C84" s="28"/>
      <c r="D84" s="28"/>
      <c r="E84" s="23" t="s">
        <v>16</v>
      </c>
      <c r="F84" s="23" t="s">
        <v>16</v>
      </c>
      <c r="G84" s="23" t="s">
        <v>16</v>
      </c>
      <c r="H84" s="23" t="s">
        <v>16</v>
      </c>
    </row>
    <row r="85" spans="1:8">
      <c r="A85" s="27"/>
      <c r="C85" s="28"/>
      <c r="D85" s="28"/>
      <c r="E85" s="23" t="s">
        <v>16</v>
      </c>
      <c r="F85" s="23" t="s">
        <v>16</v>
      </c>
      <c r="G85" s="23" t="s">
        <v>16</v>
      </c>
      <c r="H85" s="23" t="s">
        <v>16</v>
      </c>
    </row>
    <row r="86" spans="1:8">
      <c r="A86" s="27"/>
      <c r="C86" s="28"/>
      <c r="D86" s="28"/>
      <c r="E86" s="23" t="s">
        <v>16</v>
      </c>
      <c r="F86" s="23" t="s">
        <v>16</v>
      </c>
      <c r="G86" s="23" t="s">
        <v>16</v>
      </c>
      <c r="H86" s="23" t="s">
        <v>16</v>
      </c>
    </row>
    <row r="87" spans="1:8">
      <c r="A87" s="27"/>
      <c r="C87" s="28"/>
      <c r="D87" s="28"/>
      <c r="E87" s="23" t="s">
        <v>16</v>
      </c>
      <c r="F87" s="23" t="s">
        <v>16</v>
      </c>
      <c r="G87" s="23" t="s">
        <v>16</v>
      </c>
      <c r="H87" s="23" t="s">
        <v>16</v>
      </c>
    </row>
    <row r="88" spans="1:8">
      <c r="A88" s="27"/>
      <c r="C88" s="28"/>
      <c r="D88" s="28"/>
      <c r="E88" s="23" t="s">
        <v>16</v>
      </c>
      <c r="F88" s="23" t="s">
        <v>16</v>
      </c>
      <c r="G88" s="23" t="s">
        <v>16</v>
      </c>
      <c r="H88" s="23" t="s">
        <v>16</v>
      </c>
    </row>
    <row r="89" spans="1:8">
      <c r="A89" s="27"/>
      <c r="C89" s="28"/>
      <c r="D89" s="28"/>
      <c r="E89" s="23" t="s">
        <v>16</v>
      </c>
      <c r="F89" s="23" t="s">
        <v>16</v>
      </c>
      <c r="G89" s="23" t="s">
        <v>16</v>
      </c>
      <c r="H89" s="23" t="s">
        <v>16</v>
      </c>
    </row>
    <row r="90" spans="1:8">
      <c r="A90" s="27"/>
      <c r="C90" s="28"/>
      <c r="D90" s="2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c r="F201" s="23"/>
      <c r="G201" s="23"/>
      <c r="H201" s="23"/>
    </row>
    <row r="202" spans="1:8">
      <c r="A202" s="27"/>
      <c r="C202" s="28"/>
      <c r="D202" s="28"/>
      <c r="E202" s="23"/>
      <c r="F202" s="23"/>
      <c r="G202" s="23"/>
      <c r="H202" s="23"/>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row r="860" spans="1:8">
      <c r="A860" s="27"/>
      <c r="C860" s="28"/>
      <c r="D860" s="28"/>
      <c r="E860" s="50"/>
      <c r="F860" s="50"/>
      <c r="G860" s="50"/>
      <c r="H860" s="50"/>
    </row>
    <row r="861" spans="1:8">
      <c r="A861" s="27"/>
      <c r="C861" s="28"/>
      <c r="D861" s="28"/>
      <c r="E861" s="50"/>
      <c r="F861" s="50"/>
      <c r="G861" s="50"/>
      <c r="H861" s="50"/>
    </row>
    <row r="862" spans="1:8">
      <c r="A862" s="27"/>
      <c r="C862" s="28"/>
      <c r="D862" s="28"/>
      <c r="E862" s="50"/>
      <c r="F862" s="50"/>
      <c r="G862" s="50"/>
      <c r="H862" s="50"/>
    </row>
    <row r="863" spans="1:8">
      <c r="A863" s="27"/>
      <c r="C863" s="28"/>
      <c r="D863" s="28"/>
      <c r="E863" s="50"/>
      <c r="F863" s="50"/>
      <c r="G863" s="50"/>
      <c r="H863" s="50"/>
    </row>
    <row r="864" spans="1:8">
      <c r="A864" s="27"/>
      <c r="C864" s="28"/>
      <c r="D864" s="28"/>
      <c r="E864" s="50"/>
      <c r="F864" s="50"/>
      <c r="G864" s="50"/>
      <c r="H864" s="50"/>
    </row>
    <row r="865" spans="1:8">
      <c r="A865" s="27"/>
      <c r="C865" s="28"/>
      <c r="D865" s="28"/>
      <c r="E865" s="50"/>
      <c r="F865" s="50"/>
      <c r="G865" s="50"/>
      <c r="H865" s="50"/>
    </row>
    <row r="866" spans="1:8">
      <c r="A866" s="27"/>
      <c r="C866" s="28"/>
      <c r="D866" s="28"/>
      <c r="E866" s="50"/>
      <c r="F866" s="50"/>
      <c r="G866" s="50"/>
      <c r="H866" s="50"/>
    </row>
    <row r="867" spans="1:8">
      <c r="A867" s="27"/>
      <c r="C867" s="28"/>
      <c r="D867" s="28"/>
      <c r="E867" s="50"/>
      <c r="F867" s="50"/>
      <c r="G867" s="50"/>
      <c r="H867" s="50"/>
    </row>
    <row r="868" spans="1:8">
      <c r="A868" s="27"/>
      <c r="C868" s="28"/>
      <c r="D868" s="28"/>
      <c r="E868" s="50"/>
      <c r="F868" s="50"/>
      <c r="G868" s="50"/>
      <c r="H868" s="50"/>
    </row>
    <row r="869" spans="1:8">
      <c r="A869" s="27"/>
      <c r="C869" s="28"/>
      <c r="D869" s="28"/>
      <c r="E869" s="50"/>
      <c r="F869" s="50"/>
      <c r="G869" s="50"/>
      <c r="H869" s="50"/>
    </row>
    <row r="870" spans="1:8">
      <c r="A870" s="27"/>
      <c r="C870" s="28"/>
      <c r="D870" s="28"/>
      <c r="E870" s="50"/>
      <c r="F870" s="50"/>
      <c r="G870" s="50"/>
      <c r="H870" s="50"/>
    </row>
    <row r="871" spans="1:8">
      <c r="A871" s="27"/>
      <c r="C871" s="28"/>
      <c r="D871" s="28"/>
      <c r="E871" s="50"/>
      <c r="F871" s="50"/>
      <c r="G871" s="50"/>
      <c r="H871" s="50"/>
    </row>
    <row r="872" spans="1:8">
      <c r="A872" s="27"/>
      <c r="C872" s="28"/>
      <c r="D872" s="28"/>
      <c r="E872" s="50"/>
      <c r="F872" s="50"/>
      <c r="G872" s="50"/>
      <c r="H872" s="50"/>
    </row>
    <row r="873" spans="1:8">
      <c r="A873" s="27"/>
      <c r="C873" s="28"/>
      <c r="D873" s="28"/>
      <c r="E873" s="50"/>
      <c r="F873" s="50"/>
      <c r="G873" s="50"/>
      <c r="H873" s="50"/>
    </row>
    <row r="874" spans="1:8">
      <c r="A874" s="27"/>
      <c r="C874" s="28"/>
      <c r="D874" s="28"/>
      <c r="E874" s="50"/>
      <c r="F874" s="50"/>
      <c r="G874" s="50"/>
      <c r="H874" s="50"/>
    </row>
    <row r="875" spans="1:8">
      <c r="A875" s="27"/>
      <c r="C875" s="28"/>
      <c r="D875" s="28"/>
      <c r="E875" s="50"/>
      <c r="F875" s="50"/>
      <c r="G875" s="50"/>
      <c r="H875" s="50"/>
    </row>
    <row r="876" spans="1:8">
      <c r="A876" s="27"/>
      <c r="C876" s="28"/>
      <c r="D876" s="28"/>
      <c r="E876" s="50"/>
      <c r="F876" s="50"/>
      <c r="G876" s="50"/>
      <c r="H876" s="50"/>
    </row>
    <row r="877" spans="1:8">
      <c r="A877" s="27"/>
      <c r="C877" s="28"/>
      <c r="D877" s="28"/>
      <c r="E877" s="50"/>
      <c r="F877" s="50"/>
      <c r="G877" s="50"/>
      <c r="H877" s="50"/>
    </row>
    <row r="878" spans="1:8">
      <c r="A878" s="27"/>
      <c r="C878" s="28"/>
      <c r="D878" s="28"/>
      <c r="E878" s="50"/>
      <c r="F878" s="50"/>
      <c r="G878" s="50"/>
      <c r="H878" s="50"/>
    </row>
    <row r="879" spans="1:8">
      <c r="A879" s="27"/>
      <c r="C879" s="28"/>
      <c r="D879" s="28"/>
      <c r="E879" s="50"/>
      <c r="F879" s="50"/>
      <c r="G879" s="50"/>
      <c r="H879" s="50"/>
    </row>
    <row r="880" spans="1:8">
      <c r="A880" s="27"/>
      <c r="C880" s="28"/>
      <c r="D880" s="28"/>
      <c r="E880" s="50"/>
      <c r="F880" s="50"/>
      <c r="G880" s="50"/>
      <c r="H880" s="50"/>
    </row>
    <row r="881" spans="1:8">
      <c r="A881" s="27"/>
      <c r="C881" s="28"/>
      <c r="D881" s="28"/>
      <c r="E881" s="50"/>
      <c r="F881" s="50"/>
      <c r="G881" s="50"/>
      <c r="H881" s="50"/>
    </row>
    <row r="882" spans="1:8">
      <c r="A882" s="27"/>
      <c r="C882" s="28"/>
      <c r="D882" s="28"/>
      <c r="E882" s="50"/>
      <c r="F882" s="50"/>
      <c r="G882" s="50"/>
      <c r="H882" s="50"/>
    </row>
    <row r="883" spans="1:8">
      <c r="A883" s="27"/>
      <c r="C883" s="28"/>
      <c r="D883" s="28"/>
      <c r="E883" s="50"/>
      <c r="F883" s="50"/>
      <c r="G883" s="50"/>
      <c r="H883" s="50"/>
    </row>
    <row r="884" spans="1:8">
      <c r="A884" s="27"/>
      <c r="C884" s="28"/>
      <c r="D884" s="28"/>
      <c r="E884" s="50"/>
      <c r="F884" s="50"/>
      <c r="G884" s="50"/>
      <c r="H884" s="50"/>
    </row>
    <row r="885" spans="1:8">
      <c r="A885" s="27"/>
      <c r="C885" s="28"/>
      <c r="D885" s="28"/>
      <c r="E885" s="50"/>
      <c r="F885" s="50"/>
      <c r="G885" s="50"/>
      <c r="H885" s="50"/>
    </row>
    <row r="886" spans="1:8">
      <c r="A886" s="27"/>
      <c r="C886" s="28"/>
      <c r="D886" s="28"/>
      <c r="E886" s="50"/>
      <c r="F886" s="50"/>
      <c r="G886" s="50"/>
      <c r="H886" s="50"/>
    </row>
    <row r="887" spans="1:8">
      <c r="A887" s="27"/>
      <c r="C887" s="28"/>
      <c r="D887" s="28"/>
      <c r="E887" s="50"/>
      <c r="F887" s="50"/>
      <c r="G887" s="50"/>
      <c r="H887" s="50"/>
    </row>
    <row r="888" spans="1:8">
      <c r="A888" s="27"/>
      <c r="C888" s="28"/>
      <c r="D888" s="28"/>
      <c r="E888" s="50"/>
      <c r="F888" s="50"/>
      <c r="G888" s="50"/>
      <c r="H888" s="50"/>
    </row>
    <row r="889" spans="1:8">
      <c r="A889" s="27"/>
      <c r="C889" s="28"/>
      <c r="D889" s="28"/>
      <c r="E889" s="50"/>
      <c r="F889" s="50"/>
      <c r="G889" s="50"/>
      <c r="H889" s="50"/>
    </row>
    <row r="890" spans="1:8">
      <c r="A890" s="27"/>
      <c r="C890" s="28"/>
      <c r="D890" s="28"/>
      <c r="E890" s="50"/>
      <c r="F890" s="50"/>
      <c r="G890" s="50"/>
      <c r="H890" s="50"/>
    </row>
    <row r="891" spans="1:8">
      <c r="A891" s="27"/>
      <c r="C891" s="28"/>
      <c r="D891" s="28"/>
      <c r="E891" s="50"/>
      <c r="F891" s="50"/>
      <c r="G891" s="50"/>
      <c r="H891" s="50"/>
    </row>
    <row r="892" spans="1:8">
      <c r="A892" s="27"/>
      <c r="C892" s="28"/>
      <c r="D892" s="28"/>
      <c r="E892" s="50"/>
      <c r="F892" s="50"/>
      <c r="G892" s="50"/>
      <c r="H892" s="50"/>
    </row>
    <row r="893" spans="1:8">
      <c r="A893" s="27"/>
      <c r="C893" s="28"/>
      <c r="D893" s="28"/>
      <c r="E893" s="50"/>
      <c r="F893" s="50"/>
      <c r="G893" s="50"/>
      <c r="H893" s="50"/>
    </row>
    <row r="894" spans="1:8">
      <c r="A894" s="27"/>
      <c r="C894" s="28"/>
      <c r="D894" s="28"/>
      <c r="E894" s="50"/>
      <c r="F894" s="50"/>
      <c r="G894" s="50"/>
      <c r="H894" s="50"/>
    </row>
    <row r="895" spans="1:8">
      <c r="A895" s="27"/>
      <c r="C895" s="28"/>
      <c r="D895" s="28"/>
      <c r="E895" s="50"/>
      <c r="F895" s="50"/>
      <c r="G895" s="50"/>
      <c r="H895" s="50"/>
    </row>
    <row r="896" spans="1:8">
      <c r="A896" s="27"/>
      <c r="C896" s="28"/>
      <c r="D896" s="28"/>
      <c r="E896" s="50"/>
      <c r="F896" s="50"/>
      <c r="G896" s="50"/>
      <c r="H896" s="50"/>
    </row>
    <row r="897" spans="1:8">
      <c r="A897" s="27"/>
      <c r="C897" s="28"/>
      <c r="D897" s="28"/>
      <c r="E897" s="50"/>
      <c r="F897" s="50"/>
      <c r="G897" s="50"/>
      <c r="H897" s="50"/>
    </row>
    <row r="898" spans="1:8">
      <c r="A898" s="27"/>
      <c r="C898" s="28"/>
      <c r="D898" s="28"/>
      <c r="E898" s="50"/>
      <c r="F898" s="50"/>
      <c r="G898" s="50"/>
      <c r="H898" s="50"/>
    </row>
    <row r="899" spans="1:8">
      <c r="A899" s="27"/>
      <c r="C899" s="28"/>
      <c r="D899" s="28"/>
      <c r="E899" s="50"/>
      <c r="F899" s="50"/>
      <c r="G899" s="50"/>
      <c r="H899" s="50"/>
    </row>
    <row r="900" spans="1:8">
      <c r="A900" s="27"/>
      <c r="C900" s="28"/>
      <c r="D900" s="28"/>
      <c r="E900" s="50"/>
      <c r="F900" s="50"/>
      <c r="G900" s="50"/>
      <c r="H900" s="50"/>
    </row>
    <row r="901" spans="1:8">
      <c r="A901" s="27"/>
      <c r="C901" s="28"/>
      <c r="D901" s="28"/>
      <c r="E901" s="50"/>
      <c r="F901" s="50"/>
      <c r="G901" s="50"/>
      <c r="H901" s="50"/>
    </row>
    <row r="902" spans="1:8">
      <c r="A902" s="27"/>
      <c r="C902" s="28"/>
      <c r="D902" s="28"/>
      <c r="E902" s="50"/>
      <c r="F902" s="50"/>
      <c r="G902" s="50"/>
      <c r="H902" s="50"/>
    </row>
    <row r="903" spans="1:8">
      <c r="A903" s="27"/>
      <c r="C903" s="28"/>
      <c r="D903" s="28"/>
      <c r="E903" s="50"/>
      <c r="F903" s="50"/>
      <c r="G903" s="50"/>
      <c r="H903" s="50"/>
    </row>
    <row r="904" spans="1:8">
      <c r="A904" s="27"/>
      <c r="C904" s="28"/>
      <c r="D904" s="28"/>
      <c r="E904" s="50"/>
      <c r="F904" s="50"/>
      <c r="G904" s="50"/>
      <c r="H904" s="50"/>
    </row>
    <row r="905" spans="1:8">
      <c r="A905" s="27"/>
      <c r="C905" s="28"/>
      <c r="D905" s="28"/>
      <c r="E905" s="50"/>
      <c r="F905" s="50"/>
      <c r="G905" s="50"/>
      <c r="H905" s="50"/>
    </row>
    <row r="906" spans="1:8">
      <c r="A906" s="27"/>
      <c r="C906" s="28"/>
      <c r="D906" s="28"/>
      <c r="E906" s="50"/>
      <c r="F906" s="50"/>
      <c r="G906" s="50"/>
      <c r="H906" s="50"/>
    </row>
    <row r="907" spans="1:8">
      <c r="A907" s="27"/>
      <c r="C907" s="28"/>
      <c r="D907" s="28"/>
      <c r="E907" s="50"/>
      <c r="F907" s="50"/>
      <c r="G907" s="50"/>
      <c r="H907" s="50"/>
    </row>
    <row r="908" spans="1:8">
      <c r="A908" s="27"/>
      <c r="C908" s="28"/>
      <c r="D908" s="28"/>
      <c r="E908" s="50"/>
      <c r="F908" s="50"/>
      <c r="G908" s="50"/>
      <c r="H908" s="50"/>
    </row>
    <row r="909" spans="1:8">
      <c r="A909" s="27"/>
      <c r="C909" s="28"/>
      <c r="D909" s="28"/>
      <c r="E909" s="50"/>
      <c r="F909" s="50"/>
      <c r="G909" s="50"/>
      <c r="H909" s="50"/>
    </row>
    <row r="910" spans="1:8">
      <c r="A910" s="27"/>
      <c r="C910" s="28"/>
      <c r="D910" s="28"/>
      <c r="E910" s="50"/>
      <c r="F910" s="50"/>
      <c r="G910" s="50"/>
      <c r="H910" s="50"/>
    </row>
    <row r="911" spans="1:8">
      <c r="A911" s="27"/>
      <c r="C911" s="28"/>
      <c r="D911" s="28"/>
      <c r="E911" s="50"/>
      <c r="F911" s="50"/>
      <c r="G911" s="50"/>
      <c r="H911" s="50"/>
    </row>
    <row r="912" spans="1:8">
      <c r="A912" s="27"/>
      <c r="C912" s="28"/>
      <c r="D912" s="28"/>
      <c r="E912" s="50"/>
      <c r="F912" s="50"/>
      <c r="G912" s="50"/>
      <c r="H912" s="50"/>
    </row>
    <row r="913" spans="1:8">
      <c r="A913" s="27"/>
      <c r="C913" s="28"/>
      <c r="D913" s="28"/>
      <c r="E913" s="50"/>
      <c r="F913" s="50"/>
      <c r="G913" s="50"/>
      <c r="H913" s="50"/>
    </row>
  </sheetData>
  <autoFilter xmlns:etc="http://www.wps.cn/officeDocument/2017/etCustomData" ref="A3:H200" etc:filterBottomFollowUsedRange="0">
    <extLst/>
  </autoFilter>
  <mergeCells count="6">
    <mergeCell ref="A2:H2"/>
    <mergeCell ref="C3:D3"/>
    <mergeCell ref="E3:H3"/>
    <mergeCell ref="A27:D27"/>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C00000"/>
    <pageSetUpPr fitToPage="1"/>
  </sheetPr>
  <dimension ref="A1:I922"/>
  <sheetViews>
    <sheetView showGridLines="0" view="pageBreakPreview" zoomScale="90" zoomScaleNormal="100" topLeftCell="A96" workbookViewId="0">
      <selection activeCell="E27" sqref="E27"/>
    </sheetView>
  </sheetViews>
  <sheetFormatPr defaultColWidth="9.12962962962963" defaultRowHeight="13.8"/>
  <cols>
    <col min="1" max="1" width="7.62962962962963" style="31" customWidth="1"/>
    <col min="2" max="2" width="39.5" style="27" customWidth="1"/>
    <col min="3" max="4" width="30.75" style="32" customWidth="1"/>
    <col min="5" max="8" width="13.8796296296296" style="45" customWidth="1"/>
    <col min="9" max="580" width="9.12962962962963" style="3"/>
    <col min="581" max="583" width="9.75" style="3" customWidth="1"/>
    <col min="584" max="584" width="9.12962962962963" style="3"/>
    <col min="585" max="585" width="9.25" style="3" customWidth="1"/>
    <col min="586" max="588" width="9.12962962962963" style="3"/>
    <col min="589" max="591" width="9.75" style="3" customWidth="1"/>
    <col min="592" max="592" width="9.12962962962963" style="3"/>
    <col min="593" max="593" width="9.25" style="3" customWidth="1"/>
    <col min="594" max="596" width="9.12962962962963" style="3"/>
    <col min="597" max="599" width="9.75" style="3" customWidth="1"/>
    <col min="600" max="600" width="9.12962962962963" style="3"/>
    <col min="601" max="601" width="9.25" style="3" customWidth="1"/>
    <col min="602" max="604" width="9.12962962962963" style="3"/>
    <col min="605" max="607" width="9.75" style="3" customWidth="1"/>
    <col min="608" max="608" width="9.12962962962963" style="3"/>
    <col min="609" max="609" width="9.25" style="3" customWidth="1"/>
    <col min="610" max="612" width="9.12962962962963" style="3"/>
    <col min="613" max="615" width="9.75" style="3" customWidth="1"/>
    <col min="616" max="616" width="9.12962962962963" style="3"/>
    <col min="617" max="617" width="9.25" style="3" customWidth="1"/>
    <col min="618" max="620" width="9.12962962962963" style="3"/>
    <col min="621" max="623" width="9.75" style="3" customWidth="1"/>
    <col min="624" max="624" width="9.12962962962963" style="3"/>
    <col min="625" max="625" width="9.25" style="3" customWidth="1"/>
    <col min="626" max="628" width="9.12962962962963" style="3"/>
    <col min="629" max="631" width="9.75" style="3" customWidth="1"/>
    <col min="632" max="632" width="9.12962962962963" style="3"/>
    <col min="633" max="633" width="9.25" style="3" customWidth="1"/>
    <col min="634" max="636" width="9.12962962962963" style="3"/>
    <col min="637" max="639" width="9.75" style="3" customWidth="1"/>
    <col min="640" max="640" width="9.12962962962963" style="3"/>
    <col min="641" max="641" width="9.25" style="3" customWidth="1"/>
    <col min="642" max="644" width="9.12962962962963" style="3"/>
    <col min="645" max="647" width="9.75" style="3" customWidth="1"/>
    <col min="648" max="648" width="9.12962962962963" style="3"/>
    <col min="649" max="649" width="9.25" style="3" customWidth="1"/>
    <col min="650" max="652" width="9.12962962962963" style="3"/>
    <col min="653" max="655" width="9.75" style="3" customWidth="1"/>
    <col min="656" max="656" width="9.12962962962963" style="3"/>
    <col min="657" max="657" width="9.25" style="3" customWidth="1"/>
    <col min="658" max="660" width="9.12962962962963" style="3"/>
    <col min="661" max="663" width="9.75" style="3" customWidth="1"/>
    <col min="664" max="664" width="9.12962962962963" style="3"/>
    <col min="665" max="665" width="9.25" style="3" customWidth="1"/>
    <col min="666" max="668" width="9.12962962962963" style="3"/>
    <col min="669" max="671" width="9.75" style="3" customWidth="1"/>
    <col min="672" max="672" width="9.12962962962963" style="3"/>
    <col min="673" max="673" width="9.25" style="3" customWidth="1"/>
    <col min="674" max="676" width="9.12962962962963" style="3"/>
    <col min="677" max="679" width="9.75" style="3" customWidth="1"/>
    <col min="680" max="680" width="9.12962962962963" style="3"/>
    <col min="681" max="681" width="9.25" style="3" customWidth="1"/>
    <col min="682" max="684" width="9.12962962962963" style="3"/>
    <col min="685" max="687" width="9.75" style="3" customWidth="1"/>
    <col min="688" max="688" width="9.12962962962963" style="3"/>
    <col min="689" max="689" width="9.25" style="3" customWidth="1"/>
    <col min="690" max="692" width="9.12962962962963" style="3"/>
    <col min="693" max="695" width="9.75" style="3" customWidth="1"/>
    <col min="696" max="696" width="9.12962962962963" style="3"/>
    <col min="697" max="697" width="9.25" style="3" customWidth="1"/>
    <col min="698" max="700" width="9.12962962962963" style="3"/>
    <col min="701" max="703" width="9.75" style="3" customWidth="1"/>
    <col min="704" max="704" width="9.12962962962963" style="3"/>
    <col min="705" max="705" width="9.25" style="3" customWidth="1"/>
    <col min="706" max="708" width="9.12962962962963" style="3"/>
    <col min="709" max="711" width="9.75" style="3" customWidth="1"/>
    <col min="712" max="712" width="9.12962962962963" style="3"/>
    <col min="713" max="713" width="9.25" style="3" customWidth="1"/>
    <col min="714" max="716" width="9.12962962962963" style="3"/>
    <col min="717" max="719" width="9.75" style="3" customWidth="1"/>
    <col min="720" max="720" width="9.12962962962963" style="3"/>
    <col min="721" max="721" width="9.25" style="3" customWidth="1"/>
    <col min="722" max="724" width="9.12962962962963" style="3"/>
    <col min="725" max="727" width="9.75" style="3" customWidth="1"/>
    <col min="728" max="728" width="9.12962962962963" style="3"/>
    <col min="729" max="729" width="9.25" style="3" customWidth="1"/>
    <col min="730" max="732" width="9.12962962962963" style="3"/>
    <col min="733" max="735" width="9.75" style="3" customWidth="1"/>
    <col min="736" max="736" width="9.12962962962963" style="3"/>
    <col min="737" max="737" width="9.25" style="3" customWidth="1"/>
    <col min="738" max="740" width="9.12962962962963" style="3"/>
    <col min="741" max="743" width="9.75" style="3" customWidth="1"/>
    <col min="744" max="744" width="9.12962962962963" style="3"/>
    <col min="745" max="745" width="9.25" style="3" customWidth="1"/>
    <col min="746" max="748" width="9.12962962962963" style="3"/>
    <col min="749" max="751" width="9.75" style="3" customWidth="1"/>
    <col min="752" max="752" width="9.12962962962963" style="3"/>
    <col min="753" max="753" width="9.25" style="3" customWidth="1"/>
    <col min="754" max="756" width="9.12962962962963" style="3"/>
    <col min="757" max="759" width="9.75" style="3" customWidth="1"/>
    <col min="760" max="760" width="9.12962962962963" style="3"/>
    <col min="761" max="761" width="9.25" style="3" customWidth="1"/>
    <col min="762" max="764" width="9.12962962962963" style="3"/>
    <col min="765" max="767" width="9.75" style="3" customWidth="1"/>
    <col min="768" max="768" width="9.12962962962963" style="3"/>
    <col min="769" max="769" width="9.25" style="3" customWidth="1"/>
    <col min="770" max="772" width="9.12962962962963" style="3"/>
    <col min="773" max="775" width="9.75" style="3" customWidth="1"/>
    <col min="776" max="776" width="9.12962962962963" style="3"/>
    <col min="777" max="777" width="9.25" style="3" customWidth="1"/>
    <col min="778" max="780" width="9.12962962962963" style="3"/>
    <col min="781" max="783" width="9.75" style="3" customWidth="1"/>
    <col min="784" max="784" width="9.12962962962963" style="3"/>
    <col min="785" max="785" width="9.25" style="3" customWidth="1"/>
    <col min="786" max="788" width="9.12962962962963" style="3"/>
    <col min="789" max="791" width="9.75" style="3" customWidth="1"/>
    <col min="792" max="792" width="9.12962962962963" style="3"/>
    <col min="793" max="793" width="9.25" style="3" customWidth="1"/>
    <col min="794" max="796" width="9.12962962962963" style="3"/>
    <col min="797" max="799" width="9.75" style="3" customWidth="1"/>
    <col min="800" max="800" width="9.12962962962963" style="3"/>
    <col min="801" max="801" width="9.25" style="3" customWidth="1"/>
    <col min="802" max="804" width="9.12962962962963" style="3"/>
    <col min="805" max="807" width="9.75" style="3" customWidth="1"/>
    <col min="808" max="808" width="9.12962962962963" style="3"/>
    <col min="809" max="809" width="9.25" style="3" customWidth="1"/>
    <col min="810" max="812" width="9.12962962962963" style="3"/>
    <col min="813" max="815" width="9.75" style="3" customWidth="1"/>
    <col min="816" max="816" width="9.12962962962963" style="3"/>
    <col min="817" max="817" width="9.25" style="3" customWidth="1"/>
    <col min="818" max="820" width="9.12962962962963" style="3"/>
    <col min="821" max="823" width="9.75" style="3" customWidth="1"/>
    <col min="824" max="824" width="9.12962962962963" style="3"/>
    <col min="825" max="825" width="9.25" style="3" customWidth="1"/>
    <col min="826" max="828" width="9.12962962962963" style="3"/>
    <col min="829" max="831" width="9.75" style="3" customWidth="1"/>
    <col min="832" max="832" width="9.12962962962963" style="3"/>
    <col min="833" max="833" width="9.25" style="3" customWidth="1"/>
    <col min="834" max="836" width="9.12962962962963" style="3"/>
    <col min="837" max="839" width="9.75" style="3" customWidth="1"/>
    <col min="840" max="840" width="9.12962962962963" style="3"/>
    <col min="841" max="841" width="9.25" style="3" customWidth="1"/>
    <col min="842" max="844" width="9.12962962962963" style="3"/>
    <col min="845" max="847" width="9.75" style="3" customWidth="1"/>
    <col min="848" max="848" width="9.12962962962963" style="3"/>
    <col min="849" max="849" width="9.25" style="3" customWidth="1"/>
    <col min="850" max="852" width="9.12962962962963" style="3"/>
    <col min="853" max="855" width="9.75" style="3" customWidth="1"/>
    <col min="856" max="856" width="9.12962962962963" style="3"/>
    <col min="857" max="857" width="9.25" style="3" customWidth="1"/>
    <col min="858" max="860" width="9.12962962962963" style="3"/>
    <col min="861" max="863" width="9.75" style="3" customWidth="1"/>
    <col min="864" max="864" width="9.12962962962963" style="3"/>
    <col min="865" max="865" width="9.25" style="3" customWidth="1"/>
    <col min="866" max="868" width="9.12962962962963" style="3"/>
    <col min="869" max="871" width="9.75" style="3" customWidth="1"/>
    <col min="872" max="872" width="9.12962962962963" style="3"/>
    <col min="873" max="873" width="9.25" style="3" customWidth="1"/>
    <col min="874" max="876" width="9.12962962962963" style="3"/>
    <col min="877" max="879" width="9.75" style="3" customWidth="1"/>
    <col min="880" max="880" width="9.12962962962963" style="3"/>
    <col min="881" max="881" width="9.25" style="3" customWidth="1"/>
    <col min="882" max="884" width="9.12962962962963" style="3"/>
    <col min="885" max="887" width="9.75" style="3" customWidth="1"/>
    <col min="888" max="888" width="9.12962962962963" style="3"/>
    <col min="889" max="889" width="9.25" style="3" customWidth="1"/>
    <col min="890" max="892" width="9.12962962962963" style="3"/>
    <col min="893" max="895" width="9.75" style="3" customWidth="1"/>
    <col min="896" max="896" width="9.12962962962963" style="3"/>
    <col min="897" max="897" width="9.25" style="3" customWidth="1"/>
    <col min="898" max="900" width="9.12962962962963" style="3"/>
    <col min="901" max="903" width="9.75" style="3" customWidth="1"/>
    <col min="904" max="904" width="9.12962962962963" style="3"/>
    <col min="905" max="905" width="9.25" style="3" customWidth="1"/>
    <col min="906" max="908" width="9.12962962962963" style="3"/>
    <col min="909" max="911" width="9.75" style="3" customWidth="1"/>
    <col min="912" max="912" width="9.12962962962963" style="3"/>
    <col min="913" max="913" width="9.25" style="3" customWidth="1"/>
    <col min="914" max="916" width="9.12962962962963" style="3"/>
    <col min="917" max="919" width="9.75" style="3" customWidth="1"/>
    <col min="920" max="920" width="9.12962962962963" style="3"/>
    <col min="921" max="921" width="9.25" style="3" customWidth="1"/>
    <col min="922" max="924" width="9.12962962962963" style="3"/>
    <col min="925" max="927" width="9.75" style="3" customWidth="1"/>
    <col min="928" max="928" width="9.12962962962963" style="3"/>
    <col min="929" max="929" width="9.25" style="3" customWidth="1"/>
    <col min="930" max="932" width="9.12962962962963" style="3"/>
    <col min="933" max="935" width="9.75" style="3" customWidth="1"/>
    <col min="936" max="936" width="9.12962962962963" style="3"/>
    <col min="937" max="937" width="9.25" style="3" customWidth="1"/>
    <col min="938" max="940" width="9.12962962962963" style="3"/>
    <col min="941" max="943" width="9.75" style="3" customWidth="1"/>
    <col min="944" max="944" width="9.12962962962963" style="3"/>
    <col min="945" max="945" width="9.25" style="3" customWidth="1"/>
    <col min="946" max="948" width="9.12962962962963" style="3"/>
    <col min="949" max="951" width="9.75" style="3" customWidth="1"/>
    <col min="952" max="952" width="9.12962962962963" style="3"/>
    <col min="953" max="953" width="9.25" style="3" customWidth="1"/>
    <col min="954" max="956" width="9.12962962962963" style="3"/>
    <col min="957" max="959" width="9.75" style="3" customWidth="1"/>
    <col min="960" max="960" width="9.12962962962963" style="3"/>
    <col min="961" max="961" width="9.25" style="3" customWidth="1"/>
    <col min="962" max="964" width="9.12962962962963" style="3"/>
    <col min="965" max="967" width="9.75" style="3" customWidth="1"/>
    <col min="968" max="968" width="9.12962962962963" style="3"/>
    <col min="969" max="969" width="9.25" style="3" customWidth="1"/>
    <col min="970" max="972" width="9.12962962962963" style="3"/>
    <col min="973" max="975" width="9.75" style="3" customWidth="1"/>
    <col min="976" max="976" width="9.12962962962963" style="3"/>
    <col min="977" max="977" width="9.25" style="3" customWidth="1"/>
    <col min="978" max="980" width="9.12962962962963" style="3"/>
    <col min="981" max="983" width="9.75" style="3" customWidth="1"/>
    <col min="984" max="984" width="9.12962962962963" style="3"/>
    <col min="985" max="985" width="9.25" style="3" customWidth="1"/>
    <col min="986" max="988" width="9.12962962962963" style="3"/>
    <col min="989" max="991" width="9.75" style="3" customWidth="1"/>
    <col min="992" max="992" width="9.12962962962963" style="3"/>
    <col min="993" max="993" width="9.25" style="3" customWidth="1"/>
    <col min="994" max="996" width="9.12962962962963" style="3"/>
    <col min="997" max="999" width="9.75" style="3" customWidth="1"/>
    <col min="1000" max="1000" width="9.12962962962963" style="3"/>
    <col min="1001" max="1001" width="9.25" style="3" customWidth="1"/>
    <col min="1002" max="1004" width="9.12962962962963" style="3"/>
    <col min="1005" max="1007" width="9.75" style="3" customWidth="1"/>
    <col min="1008" max="1008" width="9.12962962962963" style="3"/>
    <col min="1009" max="1009" width="9.25" style="3" customWidth="1"/>
    <col min="1010" max="1012" width="9.12962962962963" style="3"/>
    <col min="1013" max="1015" width="9.75" style="3" customWidth="1"/>
    <col min="1016" max="1016" width="9.12962962962963" style="3"/>
    <col min="1017" max="1017" width="9.25" style="3" customWidth="1"/>
    <col min="1018" max="1020" width="9.12962962962963" style="3"/>
    <col min="1021" max="1023" width="9.75" style="3" customWidth="1"/>
    <col min="1024" max="1024" width="9.12962962962963" style="3"/>
    <col min="1025" max="1025" width="9.25" style="3" customWidth="1"/>
    <col min="1026" max="1028" width="9.12962962962963" style="3"/>
    <col min="1029" max="1031" width="9.75" style="3" customWidth="1"/>
    <col min="1032" max="1032" width="9.12962962962963" style="3"/>
    <col min="1033" max="1033" width="9.25" style="3" customWidth="1"/>
    <col min="1034" max="1036" width="9.12962962962963" style="3"/>
    <col min="1037" max="1039" width="9.75" style="3" customWidth="1"/>
    <col min="1040" max="1040" width="9.12962962962963" style="3"/>
    <col min="1041" max="1041" width="9.25" style="3" customWidth="1"/>
    <col min="1042" max="1044" width="9.12962962962963" style="3"/>
    <col min="1045" max="1047" width="9.75" style="3" customWidth="1"/>
    <col min="1048" max="1048" width="9.12962962962963" style="3"/>
    <col min="1049" max="1049" width="9.25" style="3" customWidth="1"/>
    <col min="1050" max="1052" width="9.12962962962963" style="3"/>
    <col min="1053" max="1055" width="9.75" style="3" customWidth="1"/>
    <col min="1056" max="1056" width="9.12962962962963" style="3"/>
    <col min="1057" max="1057" width="9.25" style="3" customWidth="1"/>
    <col min="1058" max="1060" width="9.12962962962963" style="3"/>
    <col min="1061" max="1063" width="9.75" style="3" customWidth="1"/>
    <col min="1064" max="1064" width="9.12962962962963" style="3"/>
    <col min="1065" max="1065" width="9.25" style="3" customWidth="1"/>
    <col min="1066" max="1068" width="9.12962962962963" style="3"/>
    <col min="1069" max="1071" width="9.75" style="3" customWidth="1"/>
    <col min="1072" max="1072" width="9.12962962962963" style="3"/>
    <col min="1073" max="1073" width="9.25" style="3" customWidth="1"/>
    <col min="1074" max="1076" width="9.12962962962963" style="3"/>
    <col min="1077" max="1079" width="9.75" style="3" customWidth="1"/>
    <col min="1080" max="1080" width="9.12962962962963" style="3"/>
    <col min="1081" max="1081" width="9.25" style="3" customWidth="1"/>
    <col min="1082" max="1084" width="9.12962962962963" style="3"/>
    <col min="1085" max="1087" width="9.75" style="3" customWidth="1"/>
    <col min="1088" max="1088" width="9.12962962962963" style="3"/>
    <col min="1089" max="1089" width="9.25" style="3" customWidth="1"/>
    <col min="1090" max="1092" width="9.12962962962963" style="3"/>
    <col min="1093" max="1095" width="9.75" style="3" customWidth="1"/>
    <col min="1096" max="1096" width="9.12962962962963" style="3"/>
    <col min="1097" max="1097" width="9.25" style="3" customWidth="1"/>
    <col min="1098" max="1100" width="9.12962962962963" style="3"/>
    <col min="1101" max="1103" width="9.75" style="3" customWidth="1"/>
    <col min="1104" max="1104" width="9.12962962962963" style="3"/>
    <col min="1105" max="1105" width="9.25" style="3" customWidth="1"/>
    <col min="1106" max="1108" width="9.12962962962963" style="3"/>
    <col min="1109" max="1111" width="9.75" style="3" customWidth="1"/>
    <col min="1112" max="1112" width="9.12962962962963" style="3"/>
    <col min="1113" max="1113" width="9.25" style="3" customWidth="1"/>
    <col min="1114" max="1116" width="9.12962962962963" style="3"/>
    <col min="1117" max="1119" width="9.75" style="3" customWidth="1"/>
    <col min="1120" max="1120" width="9.12962962962963" style="3"/>
    <col min="1121" max="1121" width="9.25" style="3" customWidth="1"/>
    <col min="1122" max="1124" width="9.12962962962963" style="3"/>
    <col min="1125" max="1127" width="9.75" style="3" customWidth="1"/>
    <col min="1128" max="1128" width="9.12962962962963" style="3"/>
    <col min="1129" max="1129" width="9.25" style="3" customWidth="1"/>
    <col min="1130" max="1132" width="9.12962962962963" style="3"/>
    <col min="1133" max="1135" width="9.75" style="3" customWidth="1"/>
    <col min="1136" max="1136" width="9.12962962962963" style="3"/>
    <col min="1137" max="1137" width="9.25" style="3" customWidth="1"/>
    <col min="1138" max="1140" width="9.12962962962963" style="3"/>
    <col min="1141" max="1143" width="9.75" style="3" customWidth="1"/>
    <col min="1144" max="1144" width="9.12962962962963" style="3"/>
    <col min="1145" max="1145" width="9.25" style="3" customWidth="1"/>
    <col min="1146" max="1148" width="9.12962962962963" style="3"/>
    <col min="1149" max="1151" width="9.75" style="3" customWidth="1"/>
    <col min="1152" max="1152" width="9.12962962962963" style="3"/>
    <col min="1153" max="1153" width="9.25" style="3" customWidth="1"/>
    <col min="1154" max="1156" width="9.12962962962963" style="3"/>
    <col min="1157" max="1159" width="9.75" style="3" customWidth="1"/>
    <col min="1160" max="1160" width="9.12962962962963" style="3"/>
    <col min="1161" max="1161" width="9.25" style="3" customWidth="1"/>
    <col min="1162" max="1164" width="9.12962962962963" style="3"/>
    <col min="1165" max="1167" width="9.75" style="3" customWidth="1"/>
    <col min="1168" max="1168" width="9.12962962962963" style="3"/>
    <col min="1169" max="1169" width="9.25" style="3" customWidth="1"/>
    <col min="1170" max="1172" width="9.12962962962963" style="3"/>
    <col min="1173" max="1175" width="9.75" style="3" customWidth="1"/>
    <col min="1176" max="1176" width="9.12962962962963" style="3"/>
    <col min="1177" max="1177" width="9.25" style="3" customWidth="1"/>
    <col min="1178" max="1180" width="9.12962962962963" style="3"/>
    <col min="1181" max="1183" width="9.75" style="3" customWidth="1"/>
    <col min="1184" max="1184" width="9.12962962962963" style="3"/>
    <col min="1185" max="1185" width="9.25" style="3" customWidth="1"/>
    <col min="1186" max="1188" width="9.12962962962963" style="3"/>
    <col min="1189" max="1191" width="9.75" style="3" customWidth="1"/>
    <col min="1192" max="1192" width="9.12962962962963" style="3"/>
    <col min="1193" max="1193" width="9.25" style="3" customWidth="1"/>
    <col min="1194" max="1196" width="9.12962962962963" style="3"/>
    <col min="1197" max="1199" width="9.75" style="3" customWidth="1"/>
    <col min="1200" max="1200" width="9.12962962962963" style="3"/>
    <col min="1201" max="1201" width="9.25" style="3" customWidth="1"/>
    <col min="1202" max="1204" width="9.12962962962963" style="3"/>
    <col min="1205" max="1207" width="9.75" style="3" customWidth="1"/>
    <col min="1208" max="1208" width="9.12962962962963" style="3"/>
    <col min="1209" max="1209" width="9.25" style="3" customWidth="1"/>
    <col min="1210" max="1212" width="9.12962962962963" style="3"/>
    <col min="1213" max="1215" width="9.75" style="3" customWidth="1"/>
    <col min="1216" max="1216" width="9.12962962962963" style="3"/>
    <col min="1217" max="1217" width="9.25" style="3" customWidth="1"/>
    <col min="1218" max="1220" width="9.12962962962963" style="3"/>
    <col min="1221" max="1223" width="9.75" style="3" customWidth="1"/>
    <col min="1224" max="1224" width="9.12962962962963" style="3"/>
    <col min="1225" max="1225" width="9.25" style="3" customWidth="1"/>
    <col min="1226" max="1228" width="9.12962962962963" style="3"/>
    <col min="1229" max="1231" width="9.75" style="3" customWidth="1"/>
    <col min="1232" max="1232" width="9.12962962962963" style="3"/>
    <col min="1233" max="1233" width="9.25" style="3" customWidth="1"/>
    <col min="1234" max="1236" width="9.12962962962963" style="3"/>
    <col min="1237" max="1239" width="9.75" style="3" customWidth="1"/>
    <col min="1240" max="1240" width="9.12962962962963" style="3"/>
    <col min="1241" max="1241" width="9.25" style="3" customWidth="1"/>
    <col min="1242" max="1244" width="9.12962962962963" style="3"/>
    <col min="1245" max="1247" width="9.75" style="3" customWidth="1"/>
    <col min="1248" max="1248" width="9.12962962962963" style="3"/>
    <col min="1249" max="1249" width="9.25" style="3" customWidth="1"/>
    <col min="1250" max="1252" width="9.12962962962963" style="3"/>
    <col min="1253" max="1255" width="9.75" style="3" customWidth="1"/>
    <col min="1256" max="1256" width="9.12962962962963" style="3"/>
    <col min="1257" max="1257" width="9.25" style="3" customWidth="1"/>
    <col min="1258" max="1260" width="9.12962962962963" style="3"/>
    <col min="1261" max="1263" width="9.75" style="3" customWidth="1"/>
    <col min="1264" max="1264" width="9.12962962962963" style="3"/>
    <col min="1265" max="1265" width="9.25" style="3" customWidth="1"/>
    <col min="1266" max="1268" width="9.12962962962963" style="3"/>
    <col min="1269" max="1271" width="9.75" style="3" customWidth="1"/>
    <col min="1272" max="1272" width="9.12962962962963" style="3"/>
    <col min="1273" max="1273" width="9.25" style="3" customWidth="1"/>
    <col min="1274" max="1276" width="9.12962962962963" style="3"/>
    <col min="1277" max="1279" width="9.75" style="3" customWidth="1"/>
    <col min="1280" max="1280" width="9.12962962962963" style="3"/>
    <col min="1281" max="1281" width="9.25" style="3" customWidth="1"/>
    <col min="1282" max="1284" width="9.12962962962963" style="3"/>
    <col min="1285" max="1287" width="9.75" style="3" customWidth="1"/>
    <col min="1288" max="1288" width="9.12962962962963" style="3"/>
    <col min="1289" max="1289" width="9.25" style="3" customWidth="1"/>
    <col min="1290" max="1292" width="9.12962962962963" style="3"/>
    <col min="1293" max="1295" width="9.75" style="3" customWidth="1"/>
    <col min="1296" max="1296" width="9.12962962962963" style="3"/>
    <col min="1297" max="1297" width="9.25" style="3" customWidth="1"/>
    <col min="1298" max="1300" width="9.12962962962963" style="3"/>
    <col min="1301" max="1303" width="9.75" style="3" customWidth="1"/>
    <col min="1304" max="1304" width="9.12962962962963" style="3"/>
    <col min="1305" max="1305" width="9.25" style="3" customWidth="1"/>
    <col min="1306" max="1308" width="9.12962962962963" style="3"/>
    <col min="1309" max="1311" width="9.75" style="3" customWidth="1"/>
    <col min="1312" max="1312" width="9.12962962962963" style="3"/>
    <col min="1313" max="1313" width="9.25" style="3" customWidth="1"/>
    <col min="1314" max="1316" width="9.12962962962963" style="3"/>
    <col min="1317" max="1319" width="9.75" style="3" customWidth="1"/>
    <col min="1320" max="1320" width="9.12962962962963" style="3"/>
    <col min="1321" max="1321" width="9.25" style="3" customWidth="1"/>
    <col min="1322" max="1324" width="9.12962962962963" style="3"/>
    <col min="1325" max="1327" width="9.75" style="3" customWidth="1"/>
    <col min="1328" max="1328" width="9.12962962962963" style="3"/>
    <col min="1329" max="1329" width="9.25" style="3" customWidth="1"/>
    <col min="1330" max="1332" width="9.12962962962963" style="3"/>
    <col min="1333" max="1335" width="9.75" style="3" customWidth="1"/>
    <col min="1336" max="1336" width="9.12962962962963" style="3"/>
    <col min="1337" max="1337" width="9.25" style="3" customWidth="1"/>
    <col min="1338" max="1340" width="9.12962962962963" style="3"/>
    <col min="1341" max="1343" width="9.75" style="3" customWidth="1"/>
    <col min="1344" max="1344" width="9.12962962962963" style="3"/>
    <col min="1345" max="1345" width="9.25" style="3" customWidth="1"/>
    <col min="1346" max="1348" width="9.12962962962963" style="3"/>
    <col min="1349" max="1351" width="9.75" style="3" customWidth="1"/>
    <col min="1352" max="1352" width="9.12962962962963" style="3"/>
    <col min="1353" max="1353" width="9.25" style="3" customWidth="1"/>
    <col min="1354" max="1356" width="9.12962962962963" style="3"/>
    <col min="1357" max="1359" width="9.75" style="3" customWidth="1"/>
    <col min="1360" max="1360" width="9.12962962962963" style="3"/>
    <col min="1361" max="1361" width="9.25" style="3" customWidth="1"/>
    <col min="1362" max="1364" width="9.12962962962963" style="3"/>
    <col min="1365" max="1367" width="9.75" style="3" customWidth="1"/>
    <col min="1368" max="1368" width="9.12962962962963" style="3"/>
    <col min="1369" max="1369" width="9.25" style="3" customWidth="1"/>
    <col min="1370" max="1372" width="9.12962962962963" style="3"/>
    <col min="1373" max="1375" width="9.75" style="3" customWidth="1"/>
    <col min="1376" max="1376" width="9.12962962962963" style="3"/>
    <col min="1377" max="1377" width="9.25" style="3" customWidth="1"/>
    <col min="1378" max="1380" width="9.12962962962963" style="3"/>
    <col min="1381" max="1383" width="9.75" style="3" customWidth="1"/>
    <col min="1384" max="1384" width="9.12962962962963" style="3"/>
    <col min="1385" max="1385" width="9.25" style="3" customWidth="1"/>
    <col min="1386" max="1388" width="9.12962962962963" style="3"/>
    <col min="1389" max="1391" width="9.75" style="3" customWidth="1"/>
    <col min="1392" max="1392" width="9.12962962962963" style="3"/>
    <col min="1393" max="1393" width="9.25" style="3" customWidth="1"/>
    <col min="1394" max="1396" width="9.12962962962963" style="3"/>
    <col min="1397" max="1399" width="9.75" style="3" customWidth="1"/>
    <col min="1400" max="1400" width="9.12962962962963" style="3"/>
    <col min="1401" max="1401" width="9.25" style="3" customWidth="1"/>
    <col min="1402" max="1404" width="9.12962962962963" style="3"/>
    <col min="1405" max="1407" width="9.75" style="3" customWidth="1"/>
    <col min="1408" max="1408" width="9.12962962962963" style="3"/>
    <col min="1409" max="1409" width="9.25" style="3" customWidth="1"/>
    <col min="1410" max="1412" width="9.12962962962963" style="3"/>
    <col min="1413" max="1415" width="9.75" style="3" customWidth="1"/>
    <col min="1416" max="1416" width="9.12962962962963" style="3"/>
    <col min="1417" max="1417" width="9.25" style="3" customWidth="1"/>
    <col min="1418" max="1420" width="9.12962962962963" style="3"/>
    <col min="1421" max="1423" width="9.75" style="3" customWidth="1"/>
    <col min="1424" max="1424" width="9.12962962962963" style="3"/>
    <col min="1425" max="1425" width="9.25" style="3" customWidth="1"/>
    <col min="1426" max="1428" width="9.12962962962963" style="3"/>
    <col min="1429" max="1431" width="9.75" style="3" customWidth="1"/>
    <col min="1432" max="1432" width="9.12962962962963" style="3"/>
    <col min="1433" max="1433" width="9.25" style="3" customWidth="1"/>
    <col min="1434" max="1436" width="9.12962962962963" style="3"/>
    <col min="1437" max="1439" width="9.75" style="3" customWidth="1"/>
    <col min="1440" max="1440" width="9.12962962962963" style="3"/>
    <col min="1441" max="1441" width="9.25" style="3" customWidth="1"/>
    <col min="1442" max="1444" width="9.12962962962963" style="3"/>
    <col min="1445" max="1447" width="9.75" style="3" customWidth="1"/>
    <col min="1448" max="1448" width="9.12962962962963" style="3"/>
    <col min="1449" max="1449" width="9.25" style="3" customWidth="1"/>
    <col min="1450" max="1452" width="9.12962962962963" style="3"/>
    <col min="1453" max="1455" width="9.75" style="3" customWidth="1"/>
    <col min="1456" max="1456" width="9.12962962962963" style="3"/>
    <col min="1457" max="1457" width="9.25" style="3" customWidth="1"/>
    <col min="1458" max="1460" width="9.12962962962963" style="3"/>
    <col min="1461" max="1463" width="9.75" style="3" customWidth="1"/>
    <col min="1464" max="1464" width="9.12962962962963" style="3"/>
    <col min="1465" max="1465" width="9.25" style="3" customWidth="1"/>
    <col min="1466" max="1468" width="9.12962962962963" style="3"/>
    <col min="1469" max="1471" width="9.75" style="3" customWidth="1"/>
    <col min="1472" max="1472" width="9.12962962962963" style="3"/>
    <col min="1473" max="1473" width="9.25" style="3" customWidth="1"/>
    <col min="1474" max="1476" width="9.12962962962963" style="3"/>
    <col min="1477" max="1479" width="9.75" style="3" customWidth="1"/>
    <col min="1480" max="1480" width="9.12962962962963" style="3"/>
    <col min="1481" max="1481" width="9.25" style="3" customWidth="1"/>
    <col min="1482" max="1484" width="9.12962962962963" style="3"/>
    <col min="1485" max="1487" width="9.75" style="3" customWidth="1"/>
    <col min="1488" max="1488" width="9.12962962962963" style="3"/>
    <col min="1489" max="1489" width="9.25" style="3" customWidth="1"/>
    <col min="1490" max="1492" width="9.12962962962963" style="3"/>
    <col min="1493" max="1495" width="9.75" style="3" customWidth="1"/>
    <col min="1496" max="1496" width="9.12962962962963" style="3"/>
    <col min="1497" max="1497" width="9.25" style="3" customWidth="1"/>
    <col min="1498" max="1500" width="9.12962962962963" style="3"/>
    <col min="1501" max="1503" width="9.75" style="3" customWidth="1"/>
    <col min="1504" max="1504" width="9.12962962962963" style="3"/>
    <col min="1505" max="1505" width="9.25" style="3" customWidth="1"/>
    <col min="1506" max="1508" width="9.12962962962963" style="3"/>
    <col min="1509" max="1511" width="9.75" style="3" customWidth="1"/>
    <col min="1512" max="1512" width="9.12962962962963" style="3"/>
    <col min="1513" max="1513" width="9.25" style="3" customWidth="1"/>
    <col min="1514" max="1516" width="9.12962962962963" style="3"/>
    <col min="1517" max="1519" width="9.75" style="3" customWidth="1"/>
    <col min="1520" max="1520" width="9.12962962962963" style="3"/>
    <col min="1521" max="1521" width="9.25" style="3" customWidth="1"/>
    <col min="1522" max="1524" width="9.12962962962963" style="3"/>
    <col min="1525" max="1527" width="9.75" style="3" customWidth="1"/>
    <col min="1528" max="1528" width="9.12962962962963" style="3"/>
    <col min="1529" max="1529" width="9.25" style="3" customWidth="1"/>
    <col min="1530" max="1532" width="9.12962962962963" style="3"/>
    <col min="1533" max="1535" width="9.75" style="3" customWidth="1"/>
    <col min="1536" max="1536" width="9.12962962962963" style="3"/>
    <col min="1537" max="1537" width="9.25" style="3" customWidth="1"/>
    <col min="1538" max="1540" width="9.12962962962963" style="3"/>
    <col min="1541" max="1543" width="9.75" style="3" customWidth="1"/>
    <col min="1544" max="1544" width="9.12962962962963" style="3"/>
    <col min="1545" max="1545" width="9.25" style="3" customWidth="1"/>
    <col min="1546" max="1548" width="9.12962962962963" style="3"/>
    <col min="1549" max="1551" width="9.75" style="3" customWidth="1"/>
    <col min="1552" max="1552" width="9.12962962962963" style="3"/>
    <col min="1553" max="1553" width="9.25" style="3" customWidth="1"/>
    <col min="1554" max="1556" width="9.12962962962963" style="3"/>
    <col min="1557" max="1559" width="9.75" style="3" customWidth="1"/>
    <col min="1560" max="1560" width="9.12962962962963" style="3"/>
    <col min="1561" max="1561" width="9.25" style="3" customWidth="1"/>
    <col min="1562" max="1564" width="9.12962962962963" style="3"/>
    <col min="1565" max="1567" width="9.75" style="3" customWidth="1"/>
    <col min="1568" max="1568" width="9.12962962962963" style="3"/>
    <col min="1569" max="1569" width="9.25" style="3" customWidth="1"/>
    <col min="1570" max="1572" width="9.12962962962963" style="3"/>
    <col min="1573" max="1575" width="9.75" style="3" customWidth="1"/>
    <col min="1576" max="1576" width="9.12962962962963" style="3"/>
    <col min="1577" max="1577" width="9.25" style="3" customWidth="1"/>
    <col min="1578" max="1580" width="9.12962962962963" style="3"/>
    <col min="1581" max="1583" width="9.75" style="3" customWidth="1"/>
    <col min="1584" max="1584" width="9.12962962962963" style="3"/>
    <col min="1585" max="1585" width="9.25" style="3" customWidth="1"/>
    <col min="1586" max="1588" width="9.12962962962963" style="3"/>
    <col min="1589" max="1591" width="9.75" style="3" customWidth="1"/>
    <col min="1592" max="1592" width="9.12962962962963" style="3"/>
    <col min="1593" max="1593" width="9.25" style="3" customWidth="1"/>
    <col min="1594" max="1596" width="9.12962962962963" style="3"/>
    <col min="1597" max="1599" width="9.75" style="3" customWidth="1"/>
    <col min="1600" max="1600" width="9.12962962962963" style="3"/>
    <col min="1601" max="1601" width="9.25" style="3" customWidth="1"/>
    <col min="1602" max="1604" width="9.12962962962963" style="3"/>
    <col min="1605" max="1607" width="9.75" style="3" customWidth="1"/>
    <col min="1608" max="1608" width="9.12962962962963" style="3"/>
    <col min="1609" max="1609" width="9.25" style="3" customWidth="1"/>
    <col min="1610" max="1612" width="9.12962962962963" style="3"/>
    <col min="1613" max="1615" width="9.75" style="3" customWidth="1"/>
    <col min="1616" max="1616" width="9.12962962962963" style="3"/>
    <col min="1617" max="1617" width="9.25" style="3" customWidth="1"/>
    <col min="1618" max="1620" width="9.12962962962963" style="3"/>
    <col min="1621" max="1623" width="9.75" style="3" customWidth="1"/>
    <col min="1624" max="1624" width="9.12962962962963" style="3"/>
    <col min="1625" max="1625" width="9.25" style="3" customWidth="1"/>
    <col min="1626" max="1628" width="9.12962962962963" style="3"/>
    <col min="1629" max="1631" width="9.75" style="3" customWidth="1"/>
    <col min="1632" max="1632" width="9.12962962962963" style="3"/>
    <col min="1633" max="1633" width="9.25" style="3" customWidth="1"/>
    <col min="1634" max="1636" width="9.12962962962963" style="3"/>
    <col min="1637" max="1639" width="9.75" style="3" customWidth="1"/>
    <col min="1640" max="1640" width="9.12962962962963" style="3"/>
    <col min="1641" max="1641" width="9.25" style="3" customWidth="1"/>
    <col min="1642" max="1644" width="9.12962962962963" style="3"/>
    <col min="1645" max="1647" width="9.75" style="3" customWidth="1"/>
    <col min="1648" max="1648" width="9.12962962962963" style="3"/>
    <col min="1649" max="1649" width="9.25" style="3" customWidth="1"/>
    <col min="1650" max="1652" width="9.12962962962963" style="3"/>
    <col min="1653" max="1655" width="9.75" style="3" customWidth="1"/>
    <col min="1656" max="1656" width="9.12962962962963" style="3"/>
    <col min="1657" max="1657" width="9.25" style="3" customWidth="1"/>
    <col min="1658" max="1660" width="9.12962962962963" style="3"/>
    <col min="1661" max="1663" width="9.75" style="3" customWidth="1"/>
    <col min="1664" max="1664" width="9.12962962962963" style="3"/>
    <col min="1665" max="1665" width="9.25" style="3" customWidth="1"/>
    <col min="1666" max="1668" width="9.12962962962963" style="3"/>
    <col min="1669" max="1671" width="9.75" style="3" customWidth="1"/>
    <col min="1672" max="1672" width="9.12962962962963" style="3"/>
    <col min="1673" max="1673" width="9.25" style="3" customWidth="1"/>
    <col min="1674" max="1676" width="9.12962962962963" style="3"/>
    <col min="1677" max="1679" width="9.75" style="3" customWidth="1"/>
    <col min="1680" max="1680" width="9.12962962962963" style="3"/>
    <col min="1681" max="1681" width="9.25" style="3" customWidth="1"/>
    <col min="1682" max="1684" width="9.12962962962963" style="3"/>
    <col min="1685" max="1687" width="9.75" style="3" customWidth="1"/>
    <col min="1688" max="1688" width="9.12962962962963" style="3"/>
    <col min="1689" max="1689" width="9.25" style="3" customWidth="1"/>
    <col min="1690" max="1692" width="9.12962962962963" style="3"/>
    <col min="1693" max="1695" width="9.75" style="3" customWidth="1"/>
    <col min="1696" max="1696" width="9.12962962962963" style="3"/>
    <col min="1697" max="1697" width="9.25" style="3" customWidth="1"/>
    <col min="1698" max="1700" width="9.12962962962963" style="3"/>
    <col min="1701" max="1703" width="9.75" style="3" customWidth="1"/>
    <col min="1704" max="1704" width="9.12962962962963" style="3"/>
    <col min="1705" max="1705" width="9.25" style="3" customWidth="1"/>
    <col min="1706" max="1708" width="9.12962962962963" style="3"/>
    <col min="1709" max="1711" width="9.75" style="3" customWidth="1"/>
    <col min="1712" max="1712" width="9.12962962962963" style="3"/>
    <col min="1713" max="1713" width="9.25" style="3" customWidth="1"/>
    <col min="1714" max="1716" width="9.12962962962963" style="3"/>
    <col min="1717" max="1719" width="9.75" style="3" customWidth="1"/>
    <col min="1720" max="1720" width="9.12962962962963" style="3"/>
    <col min="1721" max="1721" width="9.25" style="3" customWidth="1"/>
    <col min="1722" max="1724" width="9.12962962962963" style="3"/>
    <col min="1725" max="1727" width="9.75" style="3" customWidth="1"/>
    <col min="1728" max="1728" width="9.12962962962963" style="3"/>
    <col min="1729" max="1729" width="9.25" style="3" customWidth="1"/>
    <col min="1730" max="1732" width="9.12962962962963" style="3"/>
    <col min="1733" max="1735" width="9.75" style="3" customWidth="1"/>
    <col min="1736" max="1736" width="9.12962962962963" style="3"/>
    <col min="1737" max="1737" width="9.25" style="3" customWidth="1"/>
    <col min="1738" max="1740" width="9.12962962962963" style="3"/>
    <col min="1741" max="1743" width="9.75" style="3" customWidth="1"/>
    <col min="1744" max="1744" width="9.12962962962963" style="3"/>
    <col min="1745" max="1745" width="9.25" style="3" customWidth="1"/>
    <col min="1746" max="1748" width="9.12962962962963" style="3"/>
    <col min="1749" max="1751" width="9.75" style="3" customWidth="1"/>
    <col min="1752" max="1752" width="9.12962962962963" style="3"/>
    <col min="1753" max="1753" width="9.25" style="3" customWidth="1"/>
    <col min="1754" max="1756" width="9.12962962962963" style="3"/>
    <col min="1757" max="1759" width="9.75" style="3" customWidth="1"/>
    <col min="1760" max="1760" width="9.12962962962963" style="3"/>
    <col min="1761" max="1761" width="9.25" style="3" customWidth="1"/>
    <col min="1762" max="1764" width="9.12962962962963" style="3"/>
    <col min="1765" max="1767" width="9.75" style="3" customWidth="1"/>
    <col min="1768" max="1768" width="9.12962962962963" style="3"/>
    <col min="1769" max="1769" width="9.25" style="3" customWidth="1"/>
    <col min="1770" max="1772" width="9.12962962962963" style="3"/>
    <col min="1773" max="1775" width="9.75" style="3" customWidth="1"/>
    <col min="1776" max="1776" width="9.12962962962963" style="3"/>
    <col min="1777" max="1777" width="9.25" style="3" customWidth="1"/>
    <col min="1778" max="1780" width="9.12962962962963" style="3"/>
    <col min="1781" max="1783" width="9.75" style="3" customWidth="1"/>
    <col min="1784" max="1784" width="9.12962962962963" style="3"/>
    <col min="1785" max="1785" width="9.25" style="3" customWidth="1"/>
    <col min="1786" max="1788" width="9.12962962962963" style="3"/>
    <col min="1789" max="1791" width="9.75" style="3" customWidth="1"/>
    <col min="1792" max="1792" width="9.12962962962963" style="3"/>
    <col min="1793" max="1793" width="9.25" style="3" customWidth="1"/>
    <col min="1794" max="1796" width="9.12962962962963" style="3"/>
    <col min="1797" max="1799" width="9.75" style="3" customWidth="1"/>
    <col min="1800" max="1800" width="9.12962962962963" style="3"/>
    <col min="1801" max="1801" width="9.25" style="3" customWidth="1"/>
    <col min="1802" max="1804" width="9.12962962962963" style="3"/>
    <col min="1805" max="1807" width="9.75" style="3" customWidth="1"/>
    <col min="1808" max="1808" width="9.12962962962963" style="3"/>
    <col min="1809" max="1809" width="9.25" style="3" customWidth="1"/>
    <col min="1810" max="1812" width="9.12962962962963" style="3"/>
    <col min="1813" max="1815" width="9.75" style="3" customWidth="1"/>
    <col min="1816" max="1816" width="9.12962962962963" style="3"/>
    <col min="1817" max="1817" width="9.25" style="3" customWidth="1"/>
    <col min="1818" max="1820" width="9.12962962962963" style="3"/>
    <col min="1821" max="1823" width="9.75" style="3" customWidth="1"/>
    <col min="1824" max="1824" width="9.12962962962963" style="3"/>
    <col min="1825" max="1825" width="9.25" style="3" customWidth="1"/>
    <col min="1826" max="1828" width="9.12962962962963" style="3"/>
    <col min="1829" max="1831" width="9.75" style="3" customWidth="1"/>
    <col min="1832" max="1832" width="9.12962962962963" style="3"/>
    <col min="1833" max="1833" width="9.25" style="3" customWidth="1"/>
    <col min="1834" max="1836" width="9.12962962962963" style="3"/>
    <col min="1837" max="1839" width="9.75" style="3" customWidth="1"/>
    <col min="1840" max="1840" width="9.12962962962963" style="3"/>
    <col min="1841" max="1841" width="9.25" style="3" customWidth="1"/>
    <col min="1842" max="1844" width="9.12962962962963" style="3"/>
    <col min="1845" max="1847" width="9.75" style="3" customWidth="1"/>
    <col min="1848" max="1848" width="9.12962962962963" style="3"/>
    <col min="1849" max="1849" width="9.25" style="3" customWidth="1"/>
    <col min="1850" max="1852" width="9.12962962962963" style="3"/>
    <col min="1853" max="1855" width="9.75" style="3" customWidth="1"/>
    <col min="1856" max="1856" width="9.12962962962963" style="3"/>
    <col min="1857" max="1857" width="9.25" style="3" customWidth="1"/>
    <col min="1858" max="1860" width="9.12962962962963" style="3"/>
    <col min="1861" max="1863" width="9.75" style="3" customWidth="1"/>
    <col min="1864" max="1864" width="9.12962962962963" style="3"/>
    <col min="1865" max="1865" width="9.25" style="3" customWidth="1"/>
    <col min="1866" max="1868" width="9.12962962962963" style="3"/>
    <col min="1869" max="1871" width="9.75" style="3" customWidth="1"/>
    <col min="1872" max="1872" width="9.12962962962963" style="3"/>
    <col min="1873" max="1873" width="9.25" style="3" customWidth="1"/>
    <col min="1874" max="1876" width="9.12962962962963" style="3"/>
    <col min="1877" max="1879" width="9.75" style="3" customWidth="1"/>
    <col min="1880" max="1880" width="9.12962962962963" style="3"/>
    <col min="1881" max="1881" width="9.25" style="3" customWidth="1"/>
    <col min="1882" max="1884" width="9.12962962962963" style="3"/>
    <col min="1885" max="1887" width="9.75" style="3" customWidth="1"/>
    <col min="1888" max="1888" width="9.12962962962963" style="3"/>
    <col min="1889" max="1889" width="9.25" style="3" customWidth="1"/>
    <col min="1890" max="1892" width="9.12962962962963" style="3"/>
    <col min="1893" max="1895" width="9.75" style="3" customWidth="1"/>
    <col min="1896" max="1896" width="9.12962962962963" style="3"/>
    <col min="1897" max="1897" width="9.25" style="3" customWidth="1"/>
    <col min="1898" max="1900" width="9.12962962962963" style="3"/>
    <col min="1901" max="1903" width="9.75" style="3" customWidth="1"/>
    <col min="1904" max="1904" width="9.12962962962963" style="3"/>
    <col min="1905" max="1905" width="9.25" style="3" customWidth="1"/>
    <col min="1906" max="1908" width="9.12962962962963" style="3"/>
    <col min="1909" max="1911" width="9.75" style="3" customWidth="1"/>
    <col min="1912" max="1912" width="9.12962962962963" style="3"/>
    <col min="1913" max="1913" width="9.25" style="3" customWidth="1"/>
    <col min="1914" max="1916" width="9.12962962962963" style="3"/>
    <col min="1917" max="1919" width="9.75" style="3" customWidth="1"/>
    <col min="1920" max="1920" width="9.12962962962963" style="3"/>
    <col min="1921" max="1921" width="9.25" style="3" customWidth="1"/>
    <col min="1922" max="1924" width="9.12962962962963" style="3"/>
    <col min="1925" max="1927" width="9.75" style="3" customWidth="1"/>
    <col min="1928" max="1928" width="9.12962962962963" style="3"/>
    <col min="1929" max="1929" width="9.25" style="3" customWidth="1"/>
    <col min="1930" max="1932" width="9.12962962962963" style="3"/>
    <col min="1933" max="1935" width="9.75" style="3" customWidth="1"/>
    <col min="1936" max="1936" width="9.12962962962963" style="3"/>
    <col min="1937" max="1937" width="9.25" style="3" customWidth="1"/>
    <col min="1938" max="1940" width="9.12962962962963" style="3"/>
    <col min="1941" max="1943" width="9.75" style="3" customWidth="1"/>
    <col min="1944" max="1944" width="9.12962962962963" style="3"/>
    <col min="1945" max="1945" width="9.25" style="3" customWidth="1"/>
    <col min="1946" max="1948" width="9.12962962962963" style="3"/>
    <col min="1949" max="1951" width="9.75" style="3" customWidth="1"/>
    <col min="1952" max="1952" width="9.12962962962963" style="3"/>
    <col min="1953" max="1953" width="9.25" style="3" customWidth="1"/>
    <col min="1954" max="1956" width="9.12962962962963" style="3"/>
    <col min="1957" max="1959" width="9.75" style="3" customWidth="1"/>
    <col min="1960" max="1960" width="9.12962962962963" style="3"/>
    <col min="1961" max="1961" width="9.25" style="3" customWidth="1"/>
    <col min="1962" max="1964" width="9.12962962962963" style="3"/>
    <col min="1965" max="1967" width="9.75" style="3" customWidth="1"/>
    <col min="1968" max="1968" width="9.12962962962963" style="3"/>
    <col min="1969" max="1969" width="9.25" style="3" customWidth="1"/>
    <col min="1970" max="1972" width="9.12962962962963" style="3"/>
    <col min="1973" max="1975" width="9.75" style="3" customWidth="1"/>
    <col min="1976" max="1976" width="9.12962962962963" style="3"/>
    <col min="1977" max="1977" width="9.25" style="3" customWidth="1"/>
    <col min="1978" max="1980" width="9.12962962962963" style="3"/>
    <col min="1981" max="1983" width="9.75" style="3" customWidth="1"/>
    <col min="1984" max="1984" width="9.12962962962963" style="3"/>
    <col min="1985" max="1985" width="9.25" style="3" customWidth="1"/>
    <col min="1986" max="1988" width="9.12962962962963" style="3"/>
    <col min="1989" max="1991" width="9.75" style="3" customWidth="1"/>
    <col min="1992" max="1992" width="9.12962962962963" style="3"/>
    <col min="1993" max="1993" width="9.25" style="3" customWidth="1"/>
    <col min="1994" max="1996" width="9.12962962962963" style="3"/>
    <col min="1997" max="1999" width="9.75" style="3" customWidth="1"/>
    <col min="2000" max="2000" width="9.12962962962963" style="3"/>
    <col min="2001" max="2001" width="9.25" style="3" customWidth="1"/>
    <col min="2002" max="2004" width="9.12962962962963" style="3"/>
    <col min="2005" max="2007" width="9.75" style="3" customWidth="1"/>
    <col min="2008" max="2008" width="9.12962962962963" style="3"/>
    <col min="2009" max="2009" width="9.25" style="3" customWidth="1"/>
    <col min="2010" max="2012" width="9.12962962962963" style="3"/>
    <col min="2013" max="2015" width="9.75" style="3" customWidth="1"/>
    <col min="2016" max="2016" width="9.12962962962963" style="3"/>
    <col min="2017" max="2017" width="9.25" style="3" customWidth="1"/>
    <col min="2018" max="2020" width="9.12962962962963" style="3"/>
    <col min="2021" max="2023" width="9.75" style="3" customWidth="1"/>
    <col min="2024" max="2024" width="9.12962962962963" style="3"/>
    <col min="2025" max="2025" width="9.25" style="3" customWidth="1"/>
    <col min="2026" max="2028" width="9.12962962962963" style="3"/>
    <col min="2029" max="2031" width="9.75" style="3" customWidth="1"/>
    <col min="2032" max="2032" width="9.12962962962963" style="3"/>
    <col min="2033" max="2033" width="9.25" style="3" customWidth="1"/>
    <col min="2034" max="2036" width="9.12962962962963" style="3"/>
    <col min="2037" max="2039" width="9.75" style="3" customWidth="1"/>
    <col min="2040" max="2040" width="9.12962962962963" style="3"/>
    <col min="2041" max="2041" width="9.25" style="3" customWidth="1"/>
    <col min="2042" max="2044" width="9.12962962962963" style="3"/>
    <col min="2045" max="2047" width="9.75" style="3" customWidth="1"/>
    <col min="2048" max="2048" width="9.12962962962963" style="3"/>
    <col min="2049" max="2049" width="9.25" style="3" customWidth="1"/>
    <col min="2050" max="2052" width="9.12962962962963" style="3"/>
    <col min="2053" max="2055" width="9.75" style="3" customWidth="1"/>
    <col min="2056" max="2056" width="9.12962962962963" style="3"/>
    <col min="2057" max="2057" width="9.25" style="3" customWidth="1"/>
    <col min="2058" max="2060" width="9.12962962962963" style="3"/>
    <col min="2061" max="2063" width="9.75" style="3" customWidth="1"/>
    <col min="2064" max="2064" width="9.12962962962963" style="3"/>
    <col min="2065" max="2065" width="9.25" style="3" customWidth="1"/>
    <col min="2066" max="2068" width="9.12962962962963" style="3"/>
    <col min="2069" max="2071" width="9.75" style="3" customWidth="1"/>
    <col min="2072" max="2072" width="9.12962962962963" style="3"/>
    <col min="2073" max="2073" width="9.25" style="3" customWidth="1"/>
    <col min="2074" max="2076" width="9.12962962962963" style="3"/>
    <col min="2077" max="2079" width="9.75" style="3" customWidth="1"/>
    <col min="2080" max="2080" width="9.12962962962963" style="3"/>
    <col min="2081" max="2081" width="9.25" style="3" customWidth="1"/>
    <col min="2082" max="2084" width="9.12962962962963" style="3"/>
    <col min="2085" max="2087" width="9.75" style="3" customWidth="1"/>
    <col min="2088" max="2088" width="9.12962962962963" style="3"/>
    <col min="2089" max="2089" width="9.25" style="3" customWidth="1"/>
    <col min="2090" max="2092" width="9.12962962962963" style="3"/>
    <col min="2093" max="2095" width="9.75" style="3" customWidth="1"/>
    <col min="2096" max="2096" width="9.12962962962963" style="3"/>
    <col min="2097" max="2097" width="9.25" style="3" customWidth="1"/>
    <col min="2098" max="2100" width="9.12962962962963" style="3"/>
    <col min="2101" max="2103" width="9.75" style="3" customWidth="1"/>
    <col min="2104" max="2104" width="9.12962962962963" style="3"/>
    <col min="2105" max="2105" width="9.25" style="3" customWidth="1"/>
    <col min="2106" max="2108" width="9.12962962962963" style="3"/>
    <col min="2109" max="2111" width="9.75" style="3" customWidth="1"/>
    <col min="2112" max="2112" width="9.12962962962963" style="3"/>
    <col min="2113" max="2113" width="9.25" style="3" customWidth="1"/>
    <col min="2114" max="2116" width="9.12962962962963" style="3"/>
    <col min="2117" max="2119" width="9.75" style="3" customWidth="1"/>
    <col min="2120" max="2120" width="9.12962962962963" style="3"/>
    <col min="2121" max="2121" width="9.25" style="3" customWidth="1"/>
    <col min="2122" max="2124" width="9.12962962962963" style="3"/>
    <col min="2125" max="2127" width="9.75" style="3" customWidth="1"/>
    <col min="2128" max="2128" width="9.12962962962963" style="3"/>
    <col min="2129" max="2129" width="9.25" style="3" customWidth="1"/>
    <col min="2130" max="2132" width="9.12962962962963" style="3"/>
    <col min="2133" max="2135" width="9.75" style="3" customWidth="1"/>
    <col min="2136" max="2136" width="9.12962962962963" style="3"/>
    <col min="2137" max="2137" width="9.25" style="3" customWidth="1"/>
    <col min="2138" max="2140" width="9.12962962962963" style="3"/>
    <col min="2141" max="2143" width="9.75" style="3" customWidth="1"/>
    <col min="2144" max="2144" width="9.12962962962963" style="3"/>
    <col min="2145" max="2145" width="9.25" style="3" customWidth="1"/>
    <col min="2146" max="2148" width="9.12962962962963" style="3"/>
    <col min="2149" max="2151" width="9.75" style="3" customWidth="1"/>
    <col min="2152" max="2152" width="9.12962962962963" style="3"/>
    <col min="2153" max="2153" width="9.25" style="3" customWidth="1"/>
    <col min="2154" max="2156" width="9.12962962962963" style="3"/>
    <col min="2157" max="2159" width="9.75" style="3" customWidth="1"/>
    <col min="2160" max="2160" width="9.12962962962963" style="3"/>
    <col min="2161" max="2161" width="9.25" style="3" customWidth="1"/>
    <col min="2162" max="2164" width="9.12962962962963" style="3"/>
    <col min="2165" max="2167" width="9.75" style="3" customWidth="1"/>
    <col min="2168" max="2168" width="9.12962962962963" style="3"/>
    <col min="2169" max="2169" width="9.25" style="3" customWidth="1"/>
    <col min="2170" max="2172" width="9.12962962962963" style="3"/>
    <col min="2173" max="2175" width="9.75" style="3" customWidth="1"/>
    <col min="2176" max="2176" width="9.12962962962963" style="3"/>
    <col min="2177" max="2177" width="9.25" style="3" customWidth="1"/>
    <col min="2178" max="2180" width="9.12962962962963" style="3"/>
    <col min="2181" max="2183" width="9.75" style="3" customWidth="1"/>
    <col min="2184" max="2184" width="9.12962962962963" style="3"/>
    <col min="2185" max="2185" width="9.25" style="3" customWidth="1"/>
    <col min="2186" max="2188" width="9.12962962962963" style="3"/>
    <col min="2189" max="2191" width="9.75" style="3" customWidth="1"/>
    <col min="2192" max="2192" width="9.12962962962963" style="3"/>
    <col min="2193" max="2193" width="9.25" style="3" customWidth="1"/>
    <col min="2194" max="2196" width="9.12962962962963" style="3"/>
    <col min="2197" max="2199" width="9.75" style="3" customWidth="1"/>
    <col min="2200" max="2200" width="9.12962962962963" style="3"/>
    <col min="2201" max="2201" width="9.25" style="3" customWidth="1"/>
    <col min="2202" max="2204" width="9.12962962962963" style="3"/>
    <col min="2205" max="2207" width="9.75" style="3" customWidth="1"/>
    <col min="2208" max="2208" width="9.12962962962963" style="3"/>
    <col min="2209" max="2209" width="9.25" style="3" customWidth="1"/>
    <col min="2210" max="2212" width="9.12962962962963" style="3"/>
    <col min="2213" max="2215" width="9.75" style="3" customWidth="1"/>
    <col min="2216" max="2216" width="9.12962962962963" style="3"/>
    <col min="2217" max="2217" width="9.25" style="3" customWidth="1"/>
    <col min="2218" max="2220" width="9.12962962962963" style="3"/>
    <col min="2221" max="2223" width="9.75" style="3" customWidth="1"/>
    <col min="2224" max="2224" width="9.12962962962963" style="3"/>
    <col min="2225" max="2225" width="9.25" style="3" customWidth="1"/>
    <col min="2226" max="2228" width="9.12962962962963" style="3"/>
    <col min="2229" max="2231" width="9.75" style="3" customWidth="1"/>
    <col min="2232" max="2232" width="9.12962962962963" style="3"/>
    <col min="2233" max="2233" width="9.25" style="3" customWidth="1"/>
    <col min="2234" max="2236" width="9.12962962962963" style="3"/>
    <col min="2237" max="2239" width="9.75" style="3" customWidth="1"/>
    <col min="2240" max="2240" width="9.12962962962963" style="3"/>
    <col min="2241" max="2241" width="9.25" style="3" customWidth="1"/>
    <col min="2242" max="2244" width="9.12962962962963" style="3"/>
    <col min="2245" max="2247" width="9.75" style="3" customWidth="1"/>
    <col min="2248" max="2248" width="9.12962962962963" style="3"/>
    <col min="2249" max="2249" width="9.25" style="3" customWidth="1"/>
    <col min="2250" max="2252" width="9.12962962962963" style="3"/>
    <col min="2253" max="2255" width="9.75" style="3" customWidth="1"/>
    <col min="2256" max="2256" width="9.12962962962963" style="3"/>
    <col min="2257" max="2257" width="9.25" style="3" customWidth="1"/>
    <col min="2258" max="2260" width="9.12962962962963" style="3"/>
    <col min="2261" max="2263" width="9.75" style="3" customWidth="1"/>
    <col min="2264" max="2264" width="9.12962962962963" style="3"/>
    <col min="2265" max="2265" width="9.25" style="3" customWidth="1"/>
    <col min="2266" max="2268" width="9.12962962962963" style="3"/>
    <col min="2269" max="2271" width="9.75" style="3" customWidth="1"/>
    <col min="2272" max="2272" width="9.12962962962963" style="3"/>
    <col min="2273" max="2273" width="9.25" style="3" customWidth="1"/>
    <col min="2274" max="2276" width="9.12962962962963" style="3"/>
    <col min="2277" max="2279" width="9.75" style="3" customWidth="1"/>
    <col min="2280" max="2280" width="9.12962962962963" style="3"/>
    <col min="2281" max="2281" width="9.25" style="3" customWidth="1"/>
    <col min="2282" max="2284" width="9.12962962962963" style="3"/>
    <col min="2285" max="2287" width="9.75" style="3" customWidth="1"/>
    <col min="2288" max="2288" width="9.12962962962963" style="3"/>
    <col min="2289" max="2289" width="9.25" style="3" customWidth="1"/>
    <col min="2290" max="2292" width="9.12962962962963" style="3"/>
    <col min="2293" max="2295" width="9.75" style="3" customWidth="1"/>
    <col min="2296" max="2296" width="9.12962962962963" style="3"/>
    <col min="2297" max="2297" width="9.25" style="3" customWidth="1"/>
    <col min="2298" max="2300" width="9.12962962962963" style="3"/>
    <col min="2301" max="2303" width="9.75" style="3" customWidth="1"/>
    <col min="2304" max="2304" width="9.12962962962963" style="3"/>
    <col min="2305" max="2305" width="9.25" style="3" customWidth="1"/>
    <col min="2306" max="2308" width="9.12962962962963" style="3"/>
    <col min="2309" max="2311" width="9.75" style="3" customWidth="1"/>
    <col min="2312" max="2312" width="9.12962962962963" style="3"/>
    <col min="2313" max="2313" width="9.25" style="3" customWidth="1"/>
    <col min="2314" max="2316" width="9.12962962962963" style="3"/>
    <col min="2317" max="2319" width="9.75" style="3" customWidth="1"/>
    <col min="2320" max="2320" width="9.12962962962963" style="3"/>
    <col min="2321" max="2321" width="9.25" style="3" customWidth="1"/>
    <col min="2322" max="2324" width="9.12962962962963" style="3"/>
    <col min="2325" max="2327" width="9.75" style="3" customWidth="1"/>
    <col min="2328" max="2328" width="9.12962962962963" style="3"/>
    <col min="2329" max="2329" width="9.25" style="3" customWidth="1"/>
    <col min="2330" max="2332" width="9.12962962962963" style="3"/>
    <col min="2333" max="2335" width="9.75" style="3" customWidth="1"/>
    <col min="2336" max="2336" width="9.12962962962963" style="3"/>
    <col min="2337" max="2337" width="9.25" style="3" customWidth="1"/>
    <col min="2338" max="2340" width="9.12962962962963" style="3"/>
    <col min="2341" max="2343" width="9.75" style="3" customWidth="1"/>
    <col min="2344" max="2344" width="9.12962962962963" style="3"/>
    <col min="2345" max="2345" width="9.25" style="3" customWidth="1"/>
    <col min="2346" max="2348" width="9.12962962962963" style="3"/>
    <col min="2349" max="2351" width="9.75" style="3" customWidth="1"/>
    <col min="2352" max="2352" width="9.12962962962963" style="3"/>
    <col min="2353" max="2353" width="9.25" style="3" customWidth="1"/>
    <col min="2354" max="2356" width="9.12962962962963" style="3"/>
    <col min="2357" max="2359" width="9.75" style="3" customWidth="1"/>
    <col min="2360" max="2360" width="9.12962962962963" style="3"/>
    <col min="2361" max="2361" width="9.25" style="3" customWidth="1"/>
    <col min="2362" max="2364" width="9.12962962962963" style="3"/>
    <col min="2365" max="2367" width="9.75" style="3" customWidth="1"/>
    <col min="2368" max="2368" width="9.12962962962963" style="3"/>
    <col min="2369" max="2369" width="9.25" style="3" customWidth="1"/>
    <col min="2370" max="2372" width="9.12962962962963" style="3"/>
    <col min="2373" max="2375" width="9.75" style="3" customWidth="1"/>
    <col min="2376" max="2376" width="9.12962962962963" style="3"/>
    <col min="2377" max="2377" width="9.25" style="3" customWidth="1"/>
    <col min="2378" max="2380" width="9.12962962962963" style="3"/>
    <col min="2381" max="2383" width="9.75" style="3" customWidth="1"/>
    <col min="2384" max="2384" width="9.12962962962963" style="3"/>
    <col min="2385" max="2385" width="9.25" style="3" customWidth="1"/>
    <col min="2386" max="2388" width="9.12962962962963" style="3"/>
    <col min="2389" max="2391" width="9.75" style="3" customWidth="1"/>
    <col min="2392" max="2392" width="9.12962962962963" style="3"/>
    <col min="2393" max="2393" width="9.25" style="3" customWidth="1"/>
    <col min="2394" max="2396" width="9.12962962962963" style="3"/>
    <col min="2397" max="2399" width="9.75" style="3" customWidth="1"/>
    <col min="2400" max="2400" width="9.12962962962963" style="3"/>
    <col min="2401" max="2401" width="9.25" style="3" customWidth="1"/>
    <col min="2402" max="2404" width="9.12962962962963" style="3"/>
    <col min="2405" max="2407" width="9.75" style="3" customWidth="1"/>
    <col min="2408" max="2408" width="9.12962962962963" style="3"/>
    <col min="2409" max="2409" width="9.25" style="3" customWidth="1"/>
    <col min="2410" max="2412" width="9.12962962962963" style="3"/>
    <col min="2413" max="2415" width="9.75" style="3" customWidth="1"/>
    <col min="2416" max="2416" width="9.12962962962963" style="3"/>
    <col min="2417" max="2417" width="9.25" style="3" customWidth="1"/>
    <col min="2418" max="2420" width="9.12962962962963" style="3"/>
    <col min="2421" max="2423" width="9.75" style="3" customWidth="1"/>
    <col min="2424" max="2424" width="9.12962962962963" style="3"/>
    <col min="2425" max="2425" width="9.25" style="3" customWidth="1"/>
    <col min="2426" max="2428" width="9.12962962962963" style="3"/>
    <col min="2429" max="2431" width="9.75" style="3" customWidth="1"/>
    <col min="2432" max="2432" width="9.12962962962963" style="3"/>
    <col min="2433" max="2433" width="9.25" style="3" customWidth="1"/>
    <col min="2434" max="2436" width="9.12962962962963" style="3"/>
    <col min="2437" max="2439" width="9.75" style="3" customWidth="1"/>
    <col min="2440" max="2440" width="9.12962962962963" style="3"/>
    <col min="2441" max="2441" width="9.25" style="3" customWidth="1"/>
    <col min="2442" max="2444" width="9.12962962962963" style="3"/>
    <col min="2445" max="2447" width="9.75" style="3" customWidth="1"/>
    <col min="2448" max="2448" width="9.12962962962963" style="3"/>
    <col min="2449" max="2449" width="9.25" style="3" customWidth="1"/>
    <col min="2450" max="2452" width="9.12962962962963" style="3"/>
    <col min="2453" max="2455" width="9.75" style="3" customWidth="1"/>
    <col min="2456" max="2456" width="9.12962962962963" style="3"/>
    <col min="2457" max="2457" width="9.25" style="3" customWidth="1"/>
    <col min="2458" max="2460" width="9.12962962962963" style="3"/>
    <col min="2461" max="2463" width="9.75" style="3" customWidth="1"/>
    <col min="2464" max="2464" width="9.12962962962963" style="3"/>
    <col min="2465" max="2465" width="9.25" style="3" customWidth="1"/>
    <col min="2466" max="2468" width="9.12962962962963" style="3"/>
    <col min="2469" max="2471" width="9.75" style="3" customWidth="1"/>
    <col min="2472" max="2472" width="9.12962962962963" style="3"/>
    <col min="2473" max="2473" width="9.25" style="3" customWidth="1"/>
    <col min="2474" max="2476" width="9.12962962962963" style="3"/>
    <col min="2477" max="2479" width="9.75" style="3" customWidth="1"/>
    <col min="2480" max="2480" width="9.12962962962963" style="3"/>
    <col min="2481" max="2481" width="9.25" style="3" customWidth="1"/>
    <col min="2482" max="2484" width="9.12962962962963" style="3"/>
    <col min="2485" max="2487" width="9.75" style="3" customWidth="1"/>
    <col min="2488" max="2488" width="9.12962962962963" style="3"/>
    <col min="2489" max="2489" width="9.25" style="3" customWidth="1"/>
    <col min="2490" max="2492" width="9.12962962962963" style="3"/>
    <col min="2493" max="2495" width="9.75" style="3" customWidth="1"/>
    <col min="2496" max="2496" width="9.12962962962963" style="3"/>
    <col min="2497" max="2497" width="9.25" style="3" customWidth="1"/>
    <col min="2498" max="2500" width="9.12962962962963" style="3"/>
    <col min="2501" max="2503" width="9.75" style="3" customWidth="1"/>
    <col min="2504" max="2504" width="9.12962962962963" style="3"/>
    <col min="2505" max="2505" width="9.25" style="3" customWidth="1"/>
    <col min="2506" max="2508" width="9.12962962962963" style="3"/>
    <col min="2509" max="2511" width="9.75" style="3" customWidth="1"/>
    <col min="2512" max="2512" width="9.12962962962963" style="3"/>
    <col min="2513" max="2513" width="9.25" style="3" customWidth="1"/>
    <col min="2514" max="2516" width="9.12962962962963" style="3"/>
    <col min="2517" max="2519" width="9.75" style="3" customWidth="1"/>
    <col min="2520" max="2520" width="9.12962962962963" style="3"/>
    <col min="2521" max="2521" width="9.25" style="3" customWidth="1"/>
    <col min="2522" max="2524" width="9.12962962962963" style="3"/>
    <col min="2525" max="2527" width="9.75" style="3" customWidth="1"/>
    <col min="2528" max="2528" width="9.12962962962963" style="3"/>
    <col min="2529" max="2529" width="9.25" style="3" customWidth="1"/>
    <col min="2530" max="2532" width="9.12962962962963" style="3"/>
    <col min="2533" max="2535" width="9.75" style="3" customWidth="1"/>
    <col min="2536" max="2536" width="9.12962962962963" style="3"/>
    <col min="2537" max="2537" width="9.25" style="3" customWidth="1"/>
    <col min="2538" max="2540" width="9.12962962962963" style="3"/>
    <col min="2541" max="2543" width="9.75" style="3" customWidth="1"/>
    <col min="2544" max="2544" width="9.12962962962963" style="3"/>
    <col min="2545" max="2545" width="9.25" style="3" customWidth="1"/>
    <col min="2546" max="2548" width="9.12962962962963" style="3"/>
    <col min="2549" max="2551" width="9.75" style="3" customWidth="1"/>
    <col min="2552" max="2552" width="9.12962962962963" style="3"/>
    <col min="2553" max="2553" width="9.25" style="3" customWidth="1"/>
    <col min="2554" max="2556" width="9.12962962962963" style="3"/>
    <col min="2557" max="2559" width="9.75" style="3" customWidth="1"/>
    <col min="2560" max="2560" width="9.12962962962963" style="3"/>
    <col min="2561" max="2561" width="9.25" style="3" customWidth="1"/>
    <col min="2562" max="2564" width="9.12962962962963" style="3"/>
    <col min="2565" max="2567" width="9.75" style="3" customWidth="1"/>
    <col min="2568" max="2568" width="9.12962962962963" style="3"/>
    <col min="2569" max="2569" width="9.25" style="3" customWidth="1"/>
    <col min="2570" max="2572" width="9.12962962962963" style="3"/>
    <col min="2573" max="2575" width="9.75" style="3" customWidth="1"/>
    <col min="2576" max="2576" width="9.12962962962963" style="3"/>
    <col min="2577" max="2577" width="9.25" style="3" customWidth="1"/>
    <col min="2578" max="2580" width="9.12962962962963" style="3"/>
    <col min="2581" max="2583" width="9.75" style="3" customWidth="1"/>
    <col min="2584" max="2584" width="9.12962962962963" style="3"/>
    <col min="2585" max="2585" width="9.25" style="3" customWidth="1"/>
    <col min="2586" max="2588" width="9.12962962962963" style="3"/>
    <col min="2589" max="2591" width="9.75" style="3" customWidth="1"/>
    <col min="2592" max="2592" width="9.12962962962963" style="3"/>
    <col min="2593" max="2593" width="9.25" style="3" customWidth="1"/>
    <col min="2594" max="2596" width="9.12962962962963" style="3"/>
    <col min="2597" max="2599" width="9.75" style="3" customWidth="1"/>
    <col min="2600" max="2600" width="9.12962962962963" style="3"/>
    <col min="2601" max="2601" width="9.25" style="3" customWidth="1"/>
    <col min="2602" max="2604" width="9.12962962962963" style="3"/>
    <col min="2605" max="2607" width="9.75" style="3" customWidth="1"/>
    <col min="2608" max="2608" width="9.12962962962963" style="3"/>
    <col min="2609" max="2609" width="9.25" style="3" customWidth="1"/>
    <col min="2610" max="2612" width="9.12962962962963" style="3"/>
    <col min="2613" max="2615" width="9.75" style="3" customWidth="1"/>
    <col min="2616" max="2616" width="9.12962962962963" style="3"/>
    <col min="2617" max="2617" width="9.25" style="3" customWidth="1"/>
    <col min="2618" max="2620" width="9.12962962962963" style="3"/>
    <col min="2621" max="2623" width="9.75" style="3" customWidth="1"/>
    <col min="2624" max="2624" width="9.12962962962963" style="3"/>
    <col min="2625" max="2625" width="9.25" style="3" customWidth="1"/>
    <col min="2626" max="2628" width="9.12962962962963" style="3"/>
    <col min="2629" max="2631" width="9.75" style="3" customWidth="1"/>
    <col min="2632" max="2632" width="9.12962962962963" style="3"/>
    <col min="2633" max="2633" width="9.25" style="3" customWidth="1"/>
    <col min="2634" max="2636" width="9.12962962962963" style="3"/>
    <col min="2637" max="2639" width="9.75" style="3" customWidth="1"/>
    <col min="2640" max="2640" width="9.12962962962963" style="3"/>
    <col min="2641" max="2641" width="9.25" style="3" customWidth="1"/>
    <col min="2642" max="2644" width="9.12962962962963" style="3"/>
    <col min="2645" max="2647" width="9.75" style="3" customWidth="1"/>
    <col min="2648" max="2648" width="9.12962962962963" style="3"/>
    <col min="2649" max="2649" width="9.25" style="3" customWidth="1"/>
    <col min="2650" max="2652" width="9.12962962962963" style="3"/>
    <col min="2653" max="2655" width="9.75" style="3" customWidth="1"/>
    <col min="2656" max="2656" width="9.12962962962963" style="3"/>
    <col min="2657" max="2657" width="9.25" style="3" customWidth="1"/>
    <col min="2658" max="2660" width="9.12962962962963" style="3"/>
    <col min="2661" max="2663" width="9.75" style="3" customWidth="1"/>
    <col min="2664" max="2664" width="9.12962962962963" style="3"/>
    <col min="2665" max="2665" width="9.25" style="3" customWidth="1"/>
    <col min="2666" max="2668" width="9.12962962962963" style="3"/>
    <col min="2669" max="2671" width="9.75" style="3" customWidth="1"/>
    <col min="2672" max="2672" width="9.12962962962963" style="3"/>
    <col min="2673" max="2673" width="9.25" style="3" customWidth="1"/>
    <col min="2674" max="2676" width="9.12962962962963" style="3"/>
    <col min="2677" max="2679" width="9.75" style="3" customWidth="1"/>
    <col min="2680" max="2680" width="9.12962962962963" style="3"/>
    <col min="2681" max="2681" width="9.25" style="3" customWidth="1"/>
    <col min="2682" max="2684" width="9.12962962962963" style="3"/>
    <col min="2685" max="2687" width="9.75" style="3" customWidth="1"/>
    <col min="2688" max="2688" width="9.12962962962963" style="3"/>
    <col min="2689" max="2689" width="9.25" style="3" customWidth="1"/>
    <col min="2690" max="2692" width="9.12962962962963" style="3"/>
    <col min="2693" max="2695" width="9.75" style="3" customWidth="1"/>
    <col min="2696" max="2696" width="9.12962962962963" style="3"/>
    <col min="2697" max="2697" width="9.25" style="3" customWidth="1"/>
    <col min="2698" max="2700" width="9.12962962962963" style="3"/>
    <col min="2701" max="2703" width="9.75" style="3" customWidth="1"/>
    <col min="2704" max="2704" width="9.12962962962963" style="3"/>
    <col min="2705" max="2705" width="9.25" style="3" customWidth="1"/>
    <col min="2706" max="2708" width="9.12962962962963" style="3"/>
    <col min="2709" max="2711" width="9.75" style="3" customWidth="1"/>
    <col min="2712" max="2712" width="9.12962962962963" style="3"/>
    <col min="2713" max="2713" width="9.25" style="3" customWidth="1"/>
    <col min="2714" max="2716" width="9.12962962962963" style="3"/>
    <col min="2717" max="2719" width="9.75" style="3" customWidth="1"/>
    <col min="2720" max="2720" width="9.12962962962963" style="3"/>
    <col min="2721" max="2721" width="9.25" style="3" customWidth="1"/>
    <col min="2722" max="2724" width="9.12962962962963" style="3"/>
    <col min="2725" max="2727" width="9.75" style="3" customWidth="1"/>
    <col min="2728" max="2728" width="9.12962962962963" style="3"/>
    <col min="2729" max="2729" width="9.25" style="3" customWidth="1"/>
    <col min="2730" max="2732" width="9.12962962962963" style="3"/>
    <col min="2733" max="2735" width="9.75" style="3" customWidth="1"/>
    <col min="2736" max="2736" width="9.12962962962963" style="3"/>
    <col min="2737" max="2737" width="9.25" style="3" customWidth="1"/>
    <col min="2738" max="2740" width="9.12962962962963" style="3"/>
    <col min="2741" max="2743" width="9.75" style="3" customWidth="1"/>
    <col min="2744" max="2744" width="9.12962962962963" style="3"/>
    <col min="2745" max="2745" width="9.25" style="3" customWidth="1"/>
    <col min="2746" max="2748" width="9.12962962962963" style="3"/>
    <col min="2749" max="2751" width="9.75" style="3" customWidth="1"/>
    <col min="2752" max="2752" width="9.12962962962963" style="3"/>
    <col min="2753" max="2753" width="9.25" style="3" customWidth="1"/>
    <col min="2754" max="2756" width="9.12962962962963" style="3"/>
    <col min="2757" max="2759" width="9.75" style="3" customWidth="1"/>
    <col min="2760" max="2760" width="9.12962962962963" style="3"/>
    <col min="2761" max="2761" width="9.25" style="3" customWidth="1"/>
    <col min="2762" max="2764" width="9.12962962962963" style="3"/>
    <col min="2765" max="2767" width="9.75" style="3" customWidth="1"/>
    <col min="2768" max="2768" width="9.12962962962963" style="3"/>
    <col min="2769" max="2769" width="9.25" style="3" customWidth="1"/>
    <col min="2770" max="2772" width="9.12962962962963" style="3"/>
    <col min="2773" max="2775" width="9.75" style="3" customWidth="1"/>
    <col min="2776" max="2776" width="9.12962962962963" style="3"/>
    <col min="2777" max="2777" width="9.25" style="3" customWidth="1"/>
    <col min="2778" max="2780" width="9.12962962962963" style="3"/>
    <col min="2781" max="2783" width="9.75" style="3" customWidth="1"/>
    <col min="2784" max="2784" width="9.12962962962963" style="3"/>
    <col min="2785" max="2785" width="9.25" style="3" customWidth="1"/>
    <col min="2786" max="2788" width="9.12962962962963" style="3"/>
    <col min="2789" max="2791" width="9.75" style="3" customWidth="1"/>
    <col min="2792" max="2792" width="9.12962962962963" style="3"/>
    <col min="2793" max="2793" width="9.25" style="3" customWidth="1"/>
    <col min="2794" max="2796" width="9.12962962962963" style="3"/>
    <col min="2797" max="2799" width="9.75" style="3" customWidth="1"/>
    <col min="2800" max="2800" width="9.12962962962963" style="3"/>
    <col min="2801" max="2801" width="9.25" style="3" customWidth="1"/>
    <col min="2802" max="2804" width="9.12962962962963" style="3"/>
    <col min="2805" max="2807" width="9.75" style="3" customWidth="1"/>
    <col min="2808" max="2808" width="9.12962962962963" style="3"/>
    <col min="2809" max="2809" width="9.25" style="3" customWidth="1"/>
    <col min="2810" max="2812" width="9.12962962962963" style="3"/>
    <col min="2813" max="2815" width="9.75" style="3" customWidth="1"/>
    <col min="2816" max="2816" width="9.12962962962963" style="3"/>
    <col min="2817" max="2817" width="9.25" style="3" customWidth="1"/>
    <col min="2818" max="2820" width="9.12962962962963" style="3"/>
    <col min="2821" max="2823" width="9.75" style="3" customWidth="1"/>
    <col min="2824" max="2824" width="9.12962962962963" style="3"/>
    <col min="2825" max="2825" width="9.25" style="3" customWidth="1"/>
    <col min="2826" max="2828" width="9.12962962962963" style="3"/>
    <col min="2829" max="2831" width="9.75" style="3" customWidth="1"/>
    <col min="2832" max="2832" width="9.12962962962963" style="3"/>
    <col min="2833" max="2833" width="9.25" style="3" customWidth="1"/>
    <col min="2834" max="2836" width="9.12962962962963" style="3"/>
    <col min="2837" max="2839" width="9.75" style="3" customWidth="1"/>
    <col min="2840" max="2840" width="9.12962962962963" style="3"/>
    <col min="2841" max="2841" width="9.25" style="3" customWidth="1"/>
    <col min="2842" max="2844" width="9.12962962962963" style="3"/>
    <col min="2845" max="2847" width="9.75" style="3" customWidth="1"/>
    <col min="2848" max="2848" width="9.12962962962963" style="3"/>
    <col min="2849" max="2849" width="9.25" style="3" customWidth="1"/>
    <col min="2850" max="2852" width="9.12962962962963" style="3"/>
    <col min="2853" max="2855" width="9.75" style="3" customWidth="1"/>
    <col min="2856" max="2856" width="9.12962962962963" style="3"/>
    <col min="2857" max="2857" width="9.25" style="3" customWidth="1"/>
    <col min="2858" max="2860" width="9.12962962962963" style="3"/>
    <col min="2861" max="2863" width="9.75" style="3" customWidth="1"/>
    <col min="2864" max="2864" width="9.12962962962963" style="3"/>
    <col min="2865" max="2865" width="9.25" style="3" customWidth="1"/>
    <col min="2866" max="2868" width="9.12962962962963" style="3"/>
    <col min="2869" max="2871" width="9.75" style="3" customWidth="1"/>
    <col min="2872" max="2872" width="9.12962962962963" style="3"/>
    <col min="2873" max="2873" width="9.25" style="3" customWidth="1"/>
    <col min="2874" max="2876" width="9.12962962962963" style="3"/>
    <col min="2877" max="2879" width="9.75" style="3" customWidth="1"/>
    <col min="2880" max="2880" width="9.12962962962963" style="3"/>
    <col min="2881" max="2881" width="9.25" style="3" customWidth="1"/>
    <col min="2882" max="2884" width="9.12962962962963" style="3"/>
    <col min="2885" max="2887" width="9.75" style="3" customWidth="1"/>
    <col min="2888" max="2888" width="9.12962962962963" style="3"/>
    <col min="2889" max="2889" width="9.25" style="3" customWidth="1"/>
    <col min="2890" max="2892" width="9.12962962962963" style="3"/>
    <col min="2893" max="2895" width="9.75" style="3" customWidth="1"/>
    <col min="2896" max="2896" width="9.12962962962963" style="3"/>
    <col min="2897" max="2897" width="9.25" style="3" customWidth="1"/>
    <col min="2898" max="2900" width="9.12962962962963" style="3"/>
    <col min="2901" max="2903" width="9.75" style="3" customWidth="1"/>
    <col min="2904" max="2904" width="9.12962962962963" style="3"/>
    <col min="2905" max="2905" width="9.25" style="3" customWidth="1"/>
    <col min="2906" max="2908" width="9.12962962962963" style="3"/>
    <col min="2909" max="2911" width="9.75" style="3" customWidth="1"/>
    <col min="2912" max="2912" width="9.12962962962963" style="3"/>
    <col min="2913" max="2913" width="9.25" style="3" customWidth="1"/>
    <col min="2914" max="2916" width="9.12962962962963" style="3"/>
    <col min="2917" max="2919" width="9.75" style="3" customWidth="1"/>
    <col min="2920" max="2920" width="9.12962962962963" style="3"/>
    <col min="2921" max="2921" width="9.25" style="3" customWidth="1"/>
    <col min="2922" max="2924" width="9.12962962962963" style="3"/>
    <col min="2925" max="2927" width="9.75" style="3" customWidth="1"/>
    <col min="2928" max="2928" width="9.12962962962963" style="3"/>
    <col min="2929" max="2929" width="9.25" style="3" customWidth="1"/>
    <col min="2930" max="2932" width="9.12962962962963" style="3"/>
    <col min="2933" max="2935" width="9.75" style="3" customWidth="1"/>
    <col min="2936" max="2936" width="9.12962962962963" style="3"/>
    <col min="2937" max="2937" width="9.25" style="3" customWidth="1"/>
    <col min="2938" max="2940" width="9.12962962962963" style="3"/>
    <col min="2941" max="2943" width="9.75" style="3" customWidth="1"/>
    <col min="2944" max="2944" width="9.12962962962963" style="3"/>
    <col min="2945" max="2945" width="9.25" style="3" customWidth="1"/>
    <col min="2946" max="2948" width="9.12962962962963" style="3"/>
    <col min="2949" max="2951" width="9.75" style="3" customWidth="1"/>
    <col min="2952" max="2952" width="9.12962962962963" style="3"/>
    <col min="2953" max="2953" width="9.25" style="3" customWidth="1"/>
    <col min="2954" max="2956" width="9.12962962962963" style="3"/>
    <col min="2957" max="2959" width="9.75" style="3" customWidth="1"/>
    <col min="2960" max="2960" width="9.12962962962963" style="3"/>
    <col min="2961" max="2961" width="9.25" style="3" customWidth="1"/>
    <col min="2962" max="2964" width="9.12962962962963" style="3"/>
    <col min="2965" max="2967" width="9.75" style="3" customWidth="1"/>
    <col min="2968" max="2968" width="9.12962962962963" style="3"/>
    <col min="2969" max="2969" width="9.25" style="3" customWidth="1"/>
    <col min="2970" max="2972" width="9.12962962962963" style="3"/>
    <col min="2973" max="2975" width="9.75" style="3" customWidth="1"/>
    <col min="2976" max="2976" width="9.12962962962963" style="3"/>
    <col min="2977" max="2977" width="9.25" style="3" customWidth="1"/>
    <col min="2978" max="2980" width="9.12962962962963" style="3"/>
    <col min="2981" max="2983" width="9.75" style="3" customWidth="1"/>
    <col min="2984" max="2984" width="9.12962962962963" style="3"/>
    <col min="2985" max="2985" width="9.25" style="3" customWidth="1"/>
    <col min="2986" max="2988" width="9.12962962962963" style="3"/>
    <col min="2989" max="2991" width="9.75" style="3" customWidth="1"/>
    <col min="2992" max="2992" width="9.12962962962963" style="3"/>
    <col min="2993" max="2993" width="9.25" style="3" customWidth="1"/>
    <col min="2994" max="2996" width="9.12962962962963" style="3"/>
    <col min="2997" max="2999" width="9.75" style="3" customWidth="1"/>
    <col min="3000" max="3000" width="9.12962962962963" style="3"/>
    <col min="3001" max="3001" width="9.25" style="3" customWidth="1"/>
    <col min="3002" max="3004" width="9.12962962962963" style="3"/>
    <col min="3005" max="3007" width="9.75" style="3" customWidth="1"/>
    <col min="3008" max="3008" width="9.12962962962963" style="3"/>
    <col min="3009" max="3009" width="9.25" style="3" customWidth="1"/>
    <col min="3010" max="3012" width="9.12962962962963" style="3"/>
    <col min="3013" max="3015" width="9.75" style="3" customWidth="1"/>
    <col min="3016" max="3016" width="9.12962962962963" style="3"/>
    <col min="3017" max="3017" width="9.25" style="3" customWidth="1"/>
    <col min="3018" max="3020" width="9.12962962962963" style="3"/>
    <col min="3021" max="3023" width="9.75" style="3" customWidth="1"/>
    <col min="3024" max="3024" width="9.12962962962963" style="3"/>
    <col min="3025" max="3025" width="9.25" style="3" customWidth="1"/>
    <col min="3026" max="3028" width="9.12962962962963" style="3"/>
    <col min="3029" max="3031" width="9.75" style="3" customWidth="1"/>
    <col min="3032" max="3032" width="9.12962962962963" style="3"/>
    <col min="3033" max="3033" width="9.25" style="3" customWidth="1"/>
    <col min="3034" max="3036" width="9.12962962962963" style="3"/>
    <col min="3037" max="3039" width="9.75" style="3" customWidth="1"/>
    <col min="3040" max="3040" width="9.12962962962963" style="3"/>
    <col min="3041" max="3041" width="9.25" style="3" customWidth="1"/>
    <col min="3042" max="3044" width="9.12962962962963" style="3"/>
    <col min="3045" max="3047" width="9.75" style="3" customWidth="1"/>
    <col min="3048" max="3048" width="9.12962962962963" style="3"/>
    <col min="3049" max="3049" width="9.25" style="3" customWidth="1"/>
    <col min="3050" max="3052" width="9.12962962962963" style="3"/>
    <col min="3053" max="3055" width="9.75" style="3" customWidth="1"/>
    <col min="3056" max="3056" width="9.12962962962963" style="3"/>
    <col min="3057" max="3057" width="9.25" style="3" customWidth="1"/>
    <col min="3058" max="3060" width="9.12962962962963" style="3"/>
    <col min="3061" max="3063" width="9.75" style="3" customWidth="1"/>
    <col min="3064" max="3064" width="9.12962962962963" style="3"/>
    <col min="3065" max="3065" width="9.25" style="3" customWidth="1"/>
    <col min="3066" max="3068" width="9.12962962962963" style="3"/>
    <col min="3069" max="3071" width="9.75" style="3" customWidth="1"/>
    <col min="3072" max="3072" width="9.12962962962963" style="3"/>
    <col min="3073" max="3073" width="9.25" style="3" customWidth="1"/>
    <col min="3074" max="3076" width="9.12962962962963" style="3"/>
    <col min="3077" max="3079" width="9.75" style="3" customWidth="1"/>
    <col min="3080" max="3080" width="9.12962962962963" style="3"/>
    <col min="3081" max="3081" width="9.25" style="3" customWidth="1"/>
    <col min="3082" max="3084" width="9.12962962962963" style="3"/>
    <col min="3085" max="3087" width="9.75" style="3" customWidth="1"/>
    <col min="3088" max="3088" width="9.12962962962963" style="3"/>
    <col min="3089" max="3089" width="9.25" style="3" customWidth="1"/>
    <col min="3090" max="3092" width="9.12962962962963" style="3"/>
    <col min="3093" max="3095" width="9.75" style="3" customWidth="1"/>
    <col min="3096" max="3096" width="9.12962962962963" style="3"/>
    <col min="3097" max="3097" width="9.25" style="3" customWidth="1"/>
    <col min="3098" max="3100" width="9.12962962962963" style="3"/>
    <col min="3101" max="3103" width="9.75" style="3" customWidth="1"/>
    <col min="3104" max="3104" width="9.12962962962963" style="3"/>
    <col min="3105" max="3105" width="9.25" style="3" customWidth="1"/>
    <col min="3106" max="3108" width="9.12962962962963" style="3"/>
    <col min="3109" max="3111" width="9.75" style="3" customWidth="1"/>
    <col min="3112" max="3112" width="9.12962962962963" style="3"/>
    <col min="3113" max="3113" width="9.25" style="3" customWidth="1"/>
    <col min="3114" max="3116" width="9.12962962962963" style="3"/>
    <col min="3117" max="3119" width="9.75" style="3" customWidth="1"/>
    <col min="3120" max="3120" width="9.12962962962963" style="3"/>
    <col min="3121" max="3121" width="9.25" style="3" customWidth="1"/>
    <col min="3122" max="3124" width="9.12962962962963" style="3"/>
    <col min="3125" max="3127" width="9.75" style="3" customWidth="1"/>
    <col min="3128" max="3128" width="9.12962962962963" style="3"/>
    <col min="3129" max="3129" width="9.25" style="3" customWidth="1"/>
    <col min="3130" max="3132" width="9.12962962962963" style="3"/>
    <col min="3133" max="3135" width="9.75" style="3" customWidth="1"/>
    <col min="3136" max="3136" width="9.12962962962963" style="3"/>
    <col min="3137" max="3137" width="9.25" style="3" customWidth="1"/>
    <col min="3138" max="3140" width="9.12962962962963" style="3"/>
    <col min="3141" max="3143" width="9.75" style="3" customWidth="1"/>
    <col min="3144" max="3144" width="9.12962962962963" style="3"/>
    <col min="3145" max="3145" width="9.25" style="3" customWidth="1"/>
    <col min="3146" max="3148" width="9.12962962962963" style="3"/>
    <col min="3149" max="3151" width="9.75" style="3" customWidth="1"/>
    <col min="3152" max="3152" width="9.12962962962963" style="3"/>
    <col min="3153" max="3153" width="9.25" style="3" customWidth="1"/>
    <col min="3154" max="3156" width="9.12962962962963" style="3"/>
    <col min="3157" max="3159" width="9.75" style="3" customWidth="1"/>
    <col min="3160" max="3160" width="9.12962962962963" style="3"/>
    <col min="3161" max="3161" width="9.25" style="3" customWidth="1"/>
    <col min="3162" max="3164" width="9.12962962962963" style="3"/>
    <col min="3165" max="3167" width="9.75" style="3" customWidth="1"/>
    <col min="3168" max="3168" width="9.12962962962963" style="3"/>
    <col min="3169" max="3169" width="9.25" style="3" customWidth="1"/>
    <col min="3170" max="3172" width="9.12962962962963" style="3"/>
    <col min="3173" max="3175" width="9.75" style="3" customWidth="1"/>
    <col min="3176" max="3176" width="9.12962962962963" style="3"/>
    <col min="3177" max="3177" width="9.25" style="3" customWidth="1"/>
    <col min="3178" max="3180" width="9.12962962962963" style="3"/>
    <col min="3181" max="3183" width="9.75" style="3" customWidth="1"/>
    <col min="3184" max="3184" width="9.12962962962963" style="3"/>
    <col min="3185" max="3185" width="9.25" style="3" customWidth="1"/>
    <col min="3186" max="3188" width="9.12962962962963" style="3"/>
    <col min="3189" max="3191" width="9.75" style="3" customWidth="1"/>
    <col min="3192" max="3192" width="9.12962962962963" style="3"/>
    <col min="3193" max="3193" width="9.25" style="3" customWidth="1"/>
    <col min="3194" max="3196" width="9.12962962962963" style="3"/>
    <col min="3197" max="3199" width="9.75" style="3" customWidth="1"/>
    <col min="3200" max="3200" width="9.12962962962963" style="3"/>
    <col min="3201" max="3201" width="9.25" style="3" customWidth="1"/>
    <col min="3202" max="3204" width="9.12962962962963" style="3"/>
    <col min="3205" max="3207" width="9.75" style="3" customWidth="1"/>
    <col min="3208" max="3208" width="9.12962962962963" style="3"/>
    <col min="3209" max="3209" width="9.25" style="3" customWidth="1"/>
    <col min="3210" max="3212" width="9.12962962962963" style="3"/>
    <col min="3213" max="3215" width="9.75" style="3" customWidth="1"/>
    <col min="3216" max="3216" width="9.12962962962963" style="3"/>
    <col min="3217" max="3217" width="9.25" style="3" customWidth="1"/>
    <col min="3218" max="3220" width="9.12962962962963" style="3"/>
    <col min="3221" max="3223" width="9.75" style="3" customWidth="1"/>
    <col min="3224" max="3224" width="9.12962962962963" style="3"/>
    <col min="3225" max="3225" width="9.25" style="3" customWidth="1"/>
    <col min="3226" max="3228" width="9.12962962962963" style="3"/>
    <col min="3229" max="3231" width="9.75" style="3" customWidth="1"/>
    <col min="3232" max="3232" width="9.12962962962963" style="3"/>
    <col min="3233" max="3233" width="9.25" style="3" customWidth="1"/>
    <col min="3234" max="3236" width="9.12962962962963" style="3"/>
    <col min="3237" max="3239" width="9.75" style="3" customWidth="1"/>
    <col min="3240" max="3240" width="9.12962962962963" style="3"/>
    <col min="3241" max="3241" width="9.25" style="3" customWidth="1"/>
    <col min="3242" max="3244" width="9.12962962962963" style="3"/>
    <col min="3245" max="3247" width="9.75" style="3" customWidth="1"/>
    <col min="3248" max="3248" width="9.12962962962963" style="3"/>
    <col min="3249" max="3249" width="9.25" style="3" customWidth="1"/>
    <col min="3250" max="3252" width="9.12962962962963" style="3"/>
    <col min="3253" max="3255" width="9.75" style="3" customWidth="1"/>
    <col min="3256" max="3256" width="9.12962962962963" style="3"/>
    <col min="3257" max="3257" width="9.25" style="3" customWidth="1"/>
    <col min="3258" max="3260" width="9.12962962962963" style="3"/>
    <col min="3261" max="3263" width="9.75" style="3" customWidth="1"/>
    <col min="3264" max="3264" width="9.12962962962963" style="3"/>
    <col min="3265" max="3265" width="9.25" style="3" customWidth="1"/>
    <col min="3266" max="3268" width="9.12962962962963" style="3"/>
    <col min="3269" max="3271" width="9.75" style="3" customWidth="1"/>
    <col min="3272" max="3272" width="9.12962962962963" style="3"/>
    <col min="3273" max="3273" width="9.25" style="3" customWidth="1"/>
    <col min="3274" max="3276" width="9.12962962962963" style="3"/>
    <col min="3277" max="3279" width="9.75" style="3" customWidth="1"/>
    <col min="3280" max="3280" width="9.12962962962963" style="3"/>
    <col min="3281" max="3281" width="9.25" style="3" customWidth="1"/>
    <col min="3282" max="3284" width="9.12962962962963" style="3"/>
    <col min="3285" max="3287" width="9.75" style="3" customWidth="1"/>
    <col min="3288" max="3288" width="9.12962962962963" style="3"/>
    <col min="3289" max="3289" width="9.25" style="3" customWidth="1"/>
    <col min="3290" max="3292" width="9.12962962962963" style="3"/>
    <col min="3293" max="3295" width="9.75" style="3" customWidth="1"/>
    <col min="3296" max="3296" width="9.12962962962963" style="3"/>
    <col min="3297" max="3297" width="9.25" style="3" customWidth="1"/>
    <col min="3298" max="3300" width="9.12962962962963" style="3"/>
    <col min="3301" max="3303" width="9.75" style="3" customWidth="1"/>
    <col min="3304" max="3304" width="9.12962962962963" style="3"/>
    <col min="3305" max="3305" width="9.25" style="3" customWidth="1"/>
    <col min="3306" max="3308" width="9.12962962962963" style="3"/>
    <col min="3309" max="3311" width="9.75" style="3" customWidth="1"/>
    <col min="3312" max="3312" width="9.12962962962963" style="3"/>
    <col min="3313" max="3313" width="9.25" style="3" customWidth="1"/>
    <col min="3314" max="3316" width="9.12962962962963" style="3"/>
    <col min="3317" max="3319" width="9.75" style="3" customWidth="1"/>
    <col min="3320" max="3320" width="9.12962962962963" style="3"/>
    <col min="3321" max="3321" width="9.25" style="3" customWidth="1"/>
    <col min="3322" max="3324" width="9.12962962962963" style="3"/>
    <col min="3325" max="3327" width="9.75" style="3" customWidth="1"/>
    <col min="3328" max="3328" width="9.12962962962963" style="3"/>
    <col min="3329" max="3329" width="9.25" style="3" customWidth="1"/>
    <col min="3330" max="3332" width="9.12962962962963" style="3"/>
    <col min="3333" max="3335" width="9.75" style="3" customWidth="1"/>
    <col min="3336" max="3336" width="9.12962962962963" style="3"/>
    <col min="3337" max="3337" width="9.25" style="3" customWidth="1"/>
    <col min="3338" max="3340" width="9.12962962962963" style="3"/>
    <col min="3341" max="3343" width="9.75" style="3" customWidth="1"/>
    <col min="3344" max="3344" width="9.12962962962963" style="3"/>
    <col min="3345" max="3345" width="9.25" style="3" customWidth="1"/>
    <col min="3346" max="3348" width="9.12962962962963" style="3"/>
    <col min="3349" max="3351" width="9.75" style="3" customWidth="1"/>
    <col min="3352" max="3352" width="9.12962962962963" style="3"/>
    <col min="3353" max="3353" width="9.25" style="3" customWidth="1"/>
    <col min="3354" max="3356" width="9.12962962962963" style="3"/>
    <col min="3357" max="3359" width="9.75" style="3" customWidth="1"/>
    <col min="3360" max="3360" width="9.12962962962963" style="3"/>
    <col min="3361" max="3361" width="9.25" style="3" customWidth="1"/>
    <col min="3362" max="3364" width="9.12962962962963" style="3"/>
    <col min="3365" max="3367" width="9.75" style="3" customWidth="1"/>
    <col min="3368" max="3368" width="9.12962962962963" style="3"/>
    <col min="3369" max="3369" width="9.25" style="3" customWidth="1"/>
    <col min="3370" max="3372" width="9.12962962962963" style="3"/>
    <col min="3373" max="3375" width="9.75" style="3" customWidth="1"/>
    <col min="3376" max="3376" width="9.12962962962963" style="3"/>
    <col min="3377" max="3377" width="9.25" style="3" customWidth="1"/>
    <col min="3378" max="3380" width="9.12962962962963" style="3"/>
    <col min="3381" max="3383" width="9.75" style="3" customWidth="1"/>
    <col min="3384" max="3384" width="9.12962962962963" style="3"/>
    <col min="3385" max="3385" width="9.25" style="3" customWidth="1"/>
    <col min="3386" max="3388" width="9.12962962962963" style="3"/>
    <col min="3389" max="3391" width="9.75" style="3" customWidth="1"/>
    <col min="3392" max="3392" width="9.12962962962963" style="3"/>
    <col min="3393" max="3393" width="9.25" style="3" customWidth="1"/>
    <col min="3394" max="3396" width="9.12962962962963" style="3"/>
    <col min="3397" max="3399" width="9.75" style="3" customWidth="1"/>
    <col min="3400" max="3400" width="9.12962962962963" style="3"/>
    <col min="3401" max="3401" width="9.25" style="3" customWidth="1"/>
    <col min="3402" max="3404" width="9.12962962962963" style="3"/>
    <col min="3405" max="3407" width="9.75" style="3" customWidth="1"/>
    <col min="3408" max="3408" width="9.12962962962963" style="3"/>
    <col min="3409" max="3409" width="9.25" style="3" customWidth="1"/>
    <col min="3410" max="3412" width="9.12962962962963" style="3"/>
    <col min="3413" max="3415" width="9.75" style="3" customWidth="1"/>
    <col min="3416" max="3416" width="9.12962962962963" style="3"/>
    <col min="3417" max="3417" width="9.25" style="3" customWidth="1"/>
    <col min="3418" max="3420" width="9.12962962962963" style="3"/>
    <col min="3421" max="3423" width="9.75" style="3" customWidth="1"/>
    <col min="3424" max="3424" width="9.12962962962963" style="3"/>
    <col min="3425" max="3425" width="9.25" style="3" customWidth="1"/>
    <col min="3426" max="3428" width="9.12962962962963" style="3"/>
    <col min="3429" max="3431" width="9.75" style="3" customWidth="1"/>
    <col min="3432" max="3432" width="9.12962962962963" style="3"/>
    <col min="3433" max="3433" width="9.25" style="3" customWidth="1"/>
    <col min="3434" max="3436" width="9.12962962962963" style="3"/>
    <col min="3437" max="3439" width="9.75" style="3" customWidth="1"/>
    <col min="3440" max="3440" width="9.12962962962963" style="3"/>
    <col min="3441" max="3441" width="9.25" style="3" customWidth="1"/>
    <col min="3442" max="3444" width="9.12962962962963" style="3"/>
    <col min="3445" max="3447" width="9.75" style="3" customWidth="1"/>
    <col min="3448" max="3448" width="9.12962962962963" style="3"/>
    <col min="3449" max="3449" width="9.25" style="3" customWidth="1"/>
    <col min="3450" max="3452" width="9.12962962962963" style="3"/>
    <col min="3453" max="3455" width="9.75" style="3" customWidth="1"/>
    <col min="3456" max="3456" width="9.12962962962963" style="3"/>
    <col min="3457" max="3457" width="9.25" style="3" customWidth="1"/>
    <col min="3458" max="3460" width="9.12962962962963" style="3"/>
    <col min="3461" max="3463" width="9.75" style="3" customWidth="1"/>
    <col min="3464" max="3464" width="9.12962962962963" style="3"/>
    <col min="3465" max="3465" width="9.25" style="3" customWidth="1"/>
    <col min="3466" max="3468" width="9.12962962962963" style="3"/>
    <col min="3469" max="3471" width="9.75" style="3" customWidth="1"/>
    <col min="3472" max="3472" width="9.12962962962963" style="3"/>
    <col min="3473" max="3473" width="9.25" style="3" customWidth="1"/>
    <col min="3474" max="3476" width="9.12962962962963" style="3"/>
    <col min="3477" max="3479" width="9.75" style="3" customWidth="1"/>
    <col min="3480" max="3480" width="9.12962962962963" style="3"/>
    <col min="3481" max="3481" width="9.25" style="3" customWidth="1"/>
    <col min="3482" max="3484" width="9.12962962962963" style="3"/>
    <col min="3485" max="3487" width="9.75" style="3" customWidth="1"/>
    <col min="3488" max="3488" width="9.12962962962963" style="3"/>
    <col min="3489" max="3489" width="9.25" style="3" customWidth="1"/>
    <col min="3490" max="3492" width="9.12962962962963" style="3"/>
    <col min="3493" max="3495" width="9.75" style="3" customWidth="1"/>
    <col min="3496" max="3496" width="9.12962962962963" style="3"/>
    <col min="3497" max="3497" width="9.25" style="3" customWidth="1"/>
    <col min="3498" max="3500" width="9.12962962962963" style="3"/>
    <col min="3501" max="3503" width="9.75" style="3" customWidth="1"/>
    <col min="3504" max="3504" width="9.12962962962963" style="3"/>
    <col min="3505" max="3505" width="9.25" style="3" customWidth="1"/>
    <col min="3506" max="3508" width="9.12962962962963" style="3"/>
    <col min="3509" max="3511" width="9.75" style="3" customWidth="1"/>
    <col min="3512" max="3512" width="9.12962962962963" style="3"/>
    <col min="3513" max="3513" width="9.25" style="3" customWidth="1"/>
    <col min="3514" max="3516" width="9.12962962962963" style="3"/>
    <col min="3517" max="3519" width="9.75" style="3" customWidth="1"/>
    <col min="3520" max="3520" width="9.12962962962963" style="3"/>
    <col min="3521" max="3521" width="9.25" style="3" customWidth="1"/>
    <col min="3522" max="3524" width="9.12962962962963" style="3"/>
    <col min="3525" max="3527" width="9.75" style="3" customWidth="1"/>
    <col min="3528" max="3528" width="9.12962962962963" style="3"/>
    <col min="3529" max="3529" width="9.25" style="3" customWidth="1"/>
    <col min="3530" max="3532" width="9.12962962962963" style="3"/>
    <col min="3533" max="3535" width="9.75" style="3" customWidth="1"/>
    <col min="3536" max="3536" width="9.12962962962963" style="3"/>
    <col min="3537" max="3537" width="9.25" style="3" customWidth="1"/>
    <col min="3538" max="3540" width="9.12962962962963" style="3"/>
    <col min="3541" max="3543" width="9.75" style="3" customWidth="1"/>
    <col min="3544" max="3544" width="9.12962962962963" style="3"/>
    <col min="3545" max="3545" width="9.25" style="3" customWidth="1"/>
    <col min="3546" max="3548" width="9.12962962962963" style="3"/>
    <col min="3549" max="3551" width="9.75" style="3" customWidth="1"/>
    <col min="3552" max="3552" width="9.12962962962963" style="3"/>
    <col min="3553" max="3553" width="9.25" style="3" customWidth="1"/>
    <col min="3554" max="3556" width="9.12962962962963" style="3"/>
    <col min="3557" max="3559" width="9.75" style="3" customWidth="1"/>
    <col min="3560" max="3560" width="9.12962962962963" style="3"/>
    <col min="3561" max="3561" width="9.25" style="3" customWidth="1"/>
    <col min="3562" max="3564" width="9.12962962962963" style="3"/>
    <col min="3565" max="3567" width="9.75" style="3" customWidth="1"/>
    <col min="3568" max="3568" width="9.12962962962963" style="3"/>
    <col min="3569" max="3569" width="9.25" style="3" customWidth="1"/>
    <col min="3570" max="3572" width="9.12962962962963" style="3"/>
    <col min="3573" max="3575" width="9.75" style="3" customWidth="1"/>
    <col min="3576" max="3576" width="9.12962962962963" style="3"/>
    <col min="3577" max="3577" width="9.25" style="3" customWidth="1"/>
    <col min="3578" max="3580" width="9.12962962962963" style="3"/>
    <col min="3581" max="3583" width="9.75" style="3" customWidth="1"/>
    <col min="3584" max="3584" width="9.12962962962963" style="3"/>
    <col min="3585" max="3585" width="9.25" style="3" customWidth="1"/>
    <col min="3586" max="3588" width="9.12962962962963" style="3"/>
    <col min="3589" max="3591" width="9.75" style="3" customWidth="1"/>
    <col min="3592" max="3592" width="9.12962962962963" style="3"/>
    <col min="3593" max="3593" width="9.25" style="3" customWidth="1"/>
    <col min="3594" max="3596" width="9.12962962962963" style="3"/>
    <col min="3597" max="3599" width="9.75" style="3" customWidth="1"/>
    <col min="3600" max="3600" width="9.12962962962963" style="3"/>
    <col min="3601" max="3601" width="9.25" style="3" customWidth="1"/>
    <col min="3602" max="3604" width="9.12962962962963" style="3"/>
    <col min="3605" max="3607" width="9.75" style="3" customWidth="1"/>
    <col min="3608" max="3608" width="9.12962962962963" style="3"/>
    <col min="3609" max="3609" width="9.25" style="3" customWidth="1"/>
    <col min="3610" max="3612" width="9.12962962962963" style="3"/>
    <col min="3613" max="3615" width="9.75" style="3" customWidth="1"/>
    <col min="3616" max="3616" width="9.12962962962963" style="3"/>
    <col min="3617" max="3617" width="9.25" style="3" customWidth="1"/>
    <col min="3618" max="3620" width="9.12962962962963" style="3"/>
    <col min="3621" max="3623" width="9.75" style="3" customWidth="1"/>
    <col min="3624" max="3624" width="9.12962962962963" style="3"/>
    <col min="3625" max="3625" width="9.25" style="3" customWidth="1"/>
    <col min="3626" max="3628" width="9.12962962962963" style="3"/>
    <col min="3629" max="3631" width="9.75" style="3" customWidth="1"/>
    <col min="3632" max="3632" width="9.12962962962963" style="3"/>
    <col min="3633" max="3633" width="9.25" style="3" customWidth="1"/>
    <col min="3634" max="3636" width="9.12962962962963" style="3"/>
    <col min="3637" max="3639" width="9.75" style="3" customWidth="1"/>
    <col min="3640" max="3640" width="9.12962962962963" style="3"/>
    <col min="3641" max="3641" width="9.25" style="3" customWidth="1"/>
    <col min="3642" max="3644" width="9.12962962962963" style="3"/>
    <col min="3645" max="3647" width="9.75" style="3" customWidth="1"/>
    <col min="3648" max="3648" width="9.12962962962963" style="3"/>
    <col min="3649" max="3649" width="9.25" style="3" customWidth="1"/>
    <col min="3650" max="3652" width="9.12962962962963" style="3"/>
    <col min="3653" max="3655" width="9.75" style="3" customWidth="1"/>
    <col min="3656" max="3656" width="9.12962962962963" style="3"/>
    <col min="3657" max="3657" width="9.25" style="3" customWidth="1"/>
    <col min="3658" max="3660" width="9.12962962962963" style="3"/>
    <col min="3661" max="3663" width="9.75" style="3" customWidth="1"/>
    <col min="3664" max="3664" width="9.12962962962963" style="3"/>
    <col min="3665" max="3665" width="9.25" style="3" customWidth="1"/>
    <col min="3666" max="3668" width="9.12962962962963" style="3"/>
    <col min="3669" max="3671" width="9.75" style="3" customWidth="1"/>
    <col min="3672" max="3672" width="9.12962962962963" style="3"/>
    <col min="3673" max="3673" width="9.25" style="3" customWidth="1"/>
    <col min="3674" max="3676" width="9.12962962962963" style="3"/>
    <col min="3677" max="3679" width="9.75" style="3" customWidth="1"/>
    <col min="3680" max="3680" width="9.12962962962963" style="3"/>
    <col min="3681" max="3681" width="9.25" style="3" customWidth="1"/>
    <col min="3682" max="3684" width="9.12962962962963" style="3"/>
    <col min="3685" max="3687" width="9.75" style="3" customWidth="1"/>
    <col min="3688" max="3688" width="9.12962962962963" style="3"/>
    <col min="3689" max="3689" width="9.25" style="3" customWidth="1"/>
    <col min="3690" max="3692" width="9.12962962962963" style="3"/>
    <col min="3693" max="3695" width="9.75" style="3" customWidth="1"/>
    <col min="3696" max="3696" width="9.12962962962963" style="3"/>
    <col min="3697" max="3697" width="9.25" style="3" customWidth="1"/>
    <col min="3698" max="3700" width="9.12962962962963" style="3"/>
    <col min="3701" max="3703" width="9.75" style="3" customWidth="1"/>
    <col min="3704" max="3704" width="9.12962962962963" style="3"/>
    <col min="3705" max="3705" width="9.25" style="3" customWidth="1"/>
    <col min="3706" max="3708" width="9.12962962962963" style="3"/>
    <col min="3709" max="3711" width="9.75" style="3" customWidth="1"/>
    <col min="3712" max="3712" width="9.12962962962963" style="3"/>
    <col min="3713" max="3713" width="9.25" style="3" customWidth="1"/>
    <col min="3714" max="3716" width="9.12962962962963" style="3"/>
    <col min="3717" max="3719" width="9.75" style="3" customWidth="1"/>
    <col min="3720" max="3720" width="9.12962962962963" style="3"/>
    <col min="3721" max="3721" width="9.25" style="3" customWidth="1"/>
    <col min="3722" max="3724" width="9.12962962962963" style="3"/>
    <col min="3725" max="3727" width="9.75" style="3" customWidth="1"/>
    <col min="3728" max="3728" width="9.12962962962963" style="3"/>
    <col min="3729" max="3729" width="9.25" style="3" customWidth="1"/>
    <col min="3730" max="3732" width="9.12962962962963" style="3"/>
    <col min="3733" max="3735" width="9.75" style="3" customWidth="1"/>
    <col min="3736" max="3736" width="9.12962962962963" style="3"/>
    <col min="3737" max="3737" width="9.25" style="3" customWidth="1"/>
    <col min="3738" max="3740" width="9.12962962962963" style="3"/>
    <col min="3741" max="3743" width="9.75" style="3" customWidth="1"/>
    <col min="3744" max="3744" width="9.12962962962963" style="3"/>
    <col min="3745" max="3745" width="9.25" style="3" customWidth="1"/>
    <col min="3746" max="3748" width="9.12962962962963" style="3"/>
    <col min="3749" max="3751" width="9.75" style="3" customWidth="1"/>
    <col min="3752" max="3752" width="9.12962962962963" style="3"/>
    <col min="3753" max="3753" width="9.25" style="3" customWidth="1"/>
    <col min="3754" max="3756" width="9.12962962962963" style="3"/>
    <col min="3757" max="3759" width="9.75" style="3" customWidth="1"/>
    <col min="3760" max="3760" width="9.12962962962963" style="3"/>
    <col min="3761" max="3761" width="9.25" style="3" customWidth="1"/>
    <col min="3762" max="3764" width="9.12962962962963" style="3"/>
    <col min="3765" max="3767" width="9.75" style="3" customWidth="1"/>
    <col min="3768" max="3768" width="9.12962962962963" style="3"/>
    <col min="3769" max="3769" width="9.25" style="3" customWidth="1"/>
    <col min="3770" max="3772" width="9.12962962962963" style="3"/>
    <col min="3773" max="3775" width="9.75" style="3" customWidth="1"/>
    <col min="3776" max="3776" width="9.12962962962963" style="3"/>
    <col min="3777" max="3777" width="9.25" style="3" customWidth="1"/>
    <col min="3778" max="3780" width="9.12962962962963" style="3"/>
    <col min="3781" max="3783" width="9.75" style="3" customWidth="1"/>
    <col min="3784" max="3784" width="9.12962962962963" style="3"/>
    <col min="3785" max="3785" width="9.25" style="3" customWidth="1"/>
    <col min="3786" max="3788" width="9.12962962962963" style="3"/>
    <col min="3789" max="3791" width="9.75" style="3" customWidth="1"/>
    <col min="3792" max="3792" width="9.12962962962963" style="3"/>
    <col min="3793" max="3793" width="9.25" style="3" customWidth="1"/>
    <col min="3794" max="3796" width="9.12962962962963" style="3"/>
    <col min="3797" max="3799" width="9.75" style="3" customWidth="1"/>
    <col min="3800" max="3800" width="9.12962962962963" style="3"/>
    <col min="3801" max="3801" width="9.25" style="3" customWidth="1"/>
    <col min="3802" max="3804" width="9.12962962962963" style="3"/>
    <col min="3805" max="3807" width="9.75" style="3" customWidth="1"/>
    <col min="3808" max="3808" width="9.12962962962963" style="3"/>
    <col min="3809" max="3809" width="9.25" style="3" customWidth="1"/>
    <col min="3810" max="3812" width="9.12962962962963" style="3"/>
    <col min="3813" max="3815" width="9.75" style="3" customWidth="1"/>
    <col min="3816" max="3816" width="9.12962962962963" style="3"/>
    <col min="3817" max="3817" width="9.25" style="3" customWidth="1"/>
    <col min="3818" max="3820" width="9.12962962962963" style="3"/>
    <col min="3821" max="3823" width="9.75" style="3" customWidth="1"/>
    <col min="3824" max="3824" width="9.12962962962963" style="3"/>
    <col min="3825" max="3825" width="9.25" style="3" customWidth="1"/>
    <col min="3826" max="3828" width="9.12962962962963" style="3"/>
    <col min="3829" max="3831" width="9.75" style="3" customWidth="1"/>
    <col min="3832" max="3832" width="9.12962962962963" style="3"/>
    <col min="3833" max="3833" width="9.25" style="3" customWidth="1"/>
    <col min="3834" max="3836" width="9.12962962962963" style="3"/>
    <col min="3837" max="3839" width="9.75" style="3" customWidth="1"/>
    <col min="3840" max="3840" width="9.12962962962963" style="3"/>
    <col min="3841" max="3841" width="9.25" style="3" customWidth="1"/>
    <col min="3842" max="3844" width="9.12962962962963" style="3"/>
    <col min="3845" max="3847" width="9.75" style="3" customWidth="1"/>
    <col min="3848" max="3848" width="9.12962962962963" style="3"/>
    <col min="3849" max="3849" width="9.25" style="3" customWidth="1"/>
    <col min="3850" max="3852" width="9.12962962962963" style="3"/>
    <col min="3853" max="3855" width="9.75" style="3" customWidth="1"/>
    <col min="3856" max="3856" width="9.12962962962963" style="3"/>
    <col min="3857" max="3857" width="9.25" style="3" customWidth="1"/>
    <col min="3858" max="3860" width="9.12962962962963" style="3"/>
    <col min="3861" max="3863" width="9.75" style="3" customWidth="1"/>
    <col min="3864" max="3864" width="9.12962962962963" style="3"/>
    <col min="3865" max="3865" width="9.25" style="3" customWidth="1"/>
    <col min="3866" max="3868" width="9.12962962962963" style="3"/>
    <col min="3869" max="3871" width="9.75" style="3" customWidth="1"/>
    <col min="3872" max="3872" width="9.12962962962963" style="3"/>
    <col min="3873" max="3873" width="9.25" style="3" customWidth="1"/>
    <col min="3874" max="3876" width="9.12962962962963" style="3"/>
    <col min="3877" max="3879" width="9.75" style="3" customWidth="1"/>
    <col min="3880" max="3880" width="9.12962962962963" style="3"/>
    <col min="3881" max="3881" width="9.25" style="3" customWidth="1"/>
    <col min="3882" max="3884" width="9.12962962962963" style="3"/>
    <col min="3885" max="3887" width="9.75" style="3" customWidth="1"/>
    <col min="3888" max="3888" width="9.12962962962963" style="3"/>
    <col min="3889" max="3889" width="9.25" style="3" customWidth="1"/>
    <col min="3890" max="3892" width="9.12962962962963" style="3"/>
    <col min="3893" max="3895" width="9.75" style="3" customWidth="1"/>
    <col min="3896" max="3896" width="9.12962962962963" style="3"/>
    <col min="3897" max="3897" width="9.25" style="3" customWidth="1"/>
    <col min="3898" max="3900" width="9.12962962962963" style="3"/>
    <col min="3901" max="3903" width="9.75" style="3" customWidth="1"/>
    <col min="3904" max="3904" width="9.12962962962963" style="3"/>
    <col min="3905" max="3905" width="9.25" style="3" customWidth="1"/>
    <col min="3906" max="3908" width="9.12962962962963" style="3"/>
    <col min="3909" max="3911" width="9.75" style="3" customWidth="1"/>
    <col min="3912" max="3912" width="9.12962962962963" style="3"/>
    <col min="3913" max="3913" width="9.25" style="3" customWidth="1"/>
    <col min="3914" max="3916" width="9.12962962962963" style="3"/>
    <col min="3917" max="3919" width="9.75" style="3" customWidth="1"/>
    <col min="3920" max="3920" width="9.12962962962963" style="3"/>
    <col min="3921" max="3921" width="9.25" style="3" customWidth="1"/>
    <col min="3922" max="3924" width="9.12962962962963" style="3"/>
    <col min="3925" max="3927" width="9.75" style="3" customWidth="1"/>
    <col min="3928" max="3928" width="9.12962962962963" style="3"/>
    <col min="3929" max="3929" width="9.25" style="3" customWidth="1"/>
    <col min="3930" max="3932" width="9.12962962962963" style="3"/>
    <col min="3933" max="3935" width="9.75" style="3" customWidth="1"/>
    <col min="3936" max="3936" width="9.12962962962963" style="3"/>
    <col min="3937" max="3937" width="9.25" style="3" customWidth="1"/>
    <col min="3938" max="3940" width="9.12962962962963" style="3"/>
    <col min="3941" max="3943" width="9.75" style="3" customWidth="1"/>
    <col min="3944" max="3944" width="9.12962962962963" style="3"/>
    <col min="3945" max="3945" width="9.25" style="3" customWidth="1"/>
    <col min="3946" max="3948" width="9.12962962962963" style="3"/>
    <col min="3949" max="3951" width="9.75" style="3" customWidth="1"/>
    <col min="3952" max="3952" width="9.12962962962963" style="3"/>
    <col min="3953" max="3953" width="9.25" style="3" customWidth="1"/>
    <col min="3954" max="3956" width="9.12962962962963" style="3"/>
    <col min="3957" max="3959" width="9.75" style="3" customWidth="1"/>
    <col min="3960" max="3960" width="9.12962962962963" style="3"/>
    <col min="3961" max="3961" width="9.25" style="3" customWidth="1"/>
    <col min="3962" max="3964" width="9.12962962962963" style="3"/>
    <col min="3965" max="3967" width="9.75" style="3" customWidth="1"/>
    <col min="3968" max="3968" width="9.12962962962963" style="3"/>
    <col min="3969" max="3969" width="9.25" style="3" customWidth="1"/>
    <col min="3970" max="3972" width="9.12962962962963" style="3"/>
    <col min="3973" max="3975" width="9.75" style="3" customWidth="1"/>
    <col min="3976" max="3976" width="9.12962962962963" style="3"/>
    <col min="3977" max="3977" width="9.25" style="3" customWidth="1"/>
    <col min="3978" max="3980" width="9.12962962962963" style="3"/>
    <col min="3981" max="3983" width="9.75" style="3" customWidth="1"/>
    <col min="3984" max="3984" width="9.12962962962963" style="3"/>
    <col min="3985" max="3985" width="9.25" style="3" customWidth="1"/>
    <col min="3986" max="3988" width="9.12962962962963" style="3"/>
    <col min="3989" max="3991" width="9.75" style="3" customWidth="1"/>
    <col min="3992" max="3992" width="9.12962962962963" style="3"/>
    <col min="3993" max="3993" width="9.25" style="3" customWidth="1"/>
    <col min="3994" max="3996" width="9.12962962962963" style="3"/>
    <col min="3997" max="3999" width="9.75" style="3" customWidth="1"/>
    <col min="4000" max="4000" width="9.12962962962963" style="3"/>
    <col min="4001" max="4001" width="9.25" style="3" customWidth="1"/>
    <col min="4002" max="4004" width="9.12962962962963" style="3"/>
    <col min="4005" max="4007" width="9.75" style="3" customWidth="1"/>
    <col min="4008" max="4008" width="9.12962962962963" style="3"/>
    <col min="4009" max="4009" width="9.25" style="3" customWidth="1"/>
    <col min="4010" max="4012" width="9.12962962962963" style="3"/>
    <col min="4013" max="4015" width="9.75" style="3" customWidth="1"/>
    <col min="4016" max="4016" width="9.12962962962963" style="3"/>
    <col min="4017" max="4017" width="9.25" style="3" customWidth="1"/>
    <col min="4018" max="4020" width="9.12962962962963" style="3"/>
    <col min="4021" max="4023" width="9.75" style="3" customWidth="1"/>
    <col min="4024" max="4024" width="9.12962962962963" style="3"/>
    <col min="4025" max="4025" width="9.25" style="3" customWidth="1"/>
    <col min="4026" max="4028" width="9.12962962962963" style="3"/>
    <col min="4029" max="4031" width="9.75" style="3" customWidth="1"/>
    <col min="4032" max="4032" width="9.12962962962963" style="3"/>
    <col min="4033" max="4033" width="9.25" style="3" customWidth="1"/>
    <col min="4034" max="4036" width="9.12962962962963" style="3"/>
    <col min="4037" max="4039" width="9.75" style="3" customWidth="1"/>
    <col min="4040" max="4040" width="9.12962962962963" style="3"/>
    <col min="4041" max="4041" width="9.25" style="3" customWidth="1"/>
    <col min="4042" max="4044" width="9.12962962962963" style="3"/>
    <col min="4045" max="4047" width="9.75" style="3" customWidth="1"/>
    <col min="4048" max="4048" width="9.12962962962963" style="3"/>
    <col min="4049" max="4049" width="9.25" style="3" customWidth="1"/>
    <col min="4050" max="4052" width="9.12962962962963" style="3"/>
    <col min="4053" max="4055" width="9.75" style="3" customWidth="1"/>
    <col min="4056" max="4056" width="9.12962962962963" style="3"/>
    <col min="4057" max="4057" width="9.25" style="3" customWidth="1"/>
    <col min="4058" max="4060" width="9.12962962962963" style="3"/>
    <col min="4061" max="4063" width="9.75" style="3" customWidth="1"/>
    <col min="4064" max="4064" width="9.12962962962963" style="3"/>
    <col min="4065" max="4065" width="9.25" style="3" customWidth="1"/>
    <col min="4066" max="4068" width="9.12962962962963" style="3"/>
    <col min="4069" max="4071" width="9.75" style="3" customWidth="1"/>
    <col min="4072" max="4072" width="9.12962962962963" style="3"/>
    <col min="4073" max="4073" width="9.25" style="3" customWidth="1"/>
    <col min="4074" max="4076" width="9.12962962962963" style="3"/>
    <col min="4077" max="4079" width="9.75" style="3" customWidth="1"/>
    <col min="4080" max="4080" width="9.12962962962963" style="3"/>
    <col min="4081" max="4081" width="9.25" style="3" customWidth="1"/>
    <col min="4082" max="4084" width="9.12962962962963" style="3"/>
    <col min="4085" max="4087" width="9.75" style="3" customWidth="1"/>
    <col min="4088" max="4088" width="9.12962962962963" style="3"/>
    <col min="4089" max="4089" width="9.25" style="3" customWidth="1"/>
    <col min="4090" max="4092" width="9.12962962962963" style="3"/>
    <col min="4093" max="4095" width="9.75" style="3" customWidth="1"/>
    <col min="4096" max="4096" width="9.12962962962963" style="3"/>
    <col min="4097" max="4097" width="9.25" style="3" customWidth="1"/>
    <col min="4098" max="4100" width="9.12962962962963" style="3"/>
    <col min="4101" max="4103" width="9.75" style="3" customWidth="1"/>
    <col min="4104" max="4104" width="9.12962962962963" style="3"/>
    <col min="4105" max="4105" width="9.25" style="3" customWidth="1"/>
    <col min="4106" max="4108" width="9.12962962962963" style="3"/>
    <col min="4109" max="4111" width="9.75" style="3" customWidth="1"/>
    <col min="4112" max="4112" width="9.12962962962963" style="3"/>
    <col min="4113" max="4113" width="9.25" style="3" customWidth="1"/>
    <col min="4114" max="4116" width="9.12962962962963" style="3"/>
    <col min="4117" max="4119" width="9.75" style="3" customWidth="1"/>
    <col min="4120" max="4120" width="9.12962962962963" style="3"/>
    <col min="4121" max="4121" width="9.25" style="3" customWidth="1"/>
    <col min="4122" max="4124" width="9.12962962962963" style="3"/>
    <col min="4125" max="4127" width="9.75" style="3" customWidth="1"/>
    <col min="4128" max="4128" width="9.12962962962963" style="3"/>
    <col min="4129" max="4129" width="9.25" style="3" customWidth="1"/>
    <col min="4130" max="4132" width="9.12962962962963" style="3"/>
    <col min="4133" max="4135" width="9.75" style="3" customWidth="1"/>
    <col min="4136" max="4136" width="9.12962962962963" style="3"/>
    <col min="4137" max="4137" width="9.25" style="3" customWidth="1"/>
    <col min="4138" max="4140" width="9.12962962962963" style="3"/>
    <col min="4141" max="4143" width="9.75" style="3" customWidth="1"/>
    <col min="4144" max="4144" width="9.12962962962963" style="3"/>
    <col min="4145" max="4145" width="9.25" style="3" customWidth="1"/>
    <col min="4146" max="4148" width="9.12962962962963" style="3"/>
    <col min="4149" max="4151" width="9.75" style="3" customWidth="1"/>
    <col min="4152" max="4152" width="9.12962962962963" style="3"/>
    <col min="4153" max="4153" width="9.25" style="3" customWidth="1"/>
    <col min="4154" max="4156" width="9.12962962962963" style="3"/>
    <col min="4157" max="4159" width="9.75" style="3" customWidth="1"/>
    <col min="4160" max="4160" width="9.12962962962963" style="3"/>
    <col min="4161" max="4161" width="9.25" style="3" customWidth="1"/>
    <col min="4162" max="4164" width="9.12962962962963" style="3"/>
    <col min="4165" max="4167" width="9.75" style="3" customWidth="1"/>
    <col min="4168" max="4168" width="9.12962962962963" style="3"/>
    <col min="4169" max="4169" width="9.25" style="3" customWidth="1"/>
    <col min="4170" max="4172" width="9.12962962962963" style="3"/>
    <col min="4173" max="4175" width="9.75" style="3" customWidth="1"/>
    <col min="4176" max="4176" width="9.12962962962963" style="3"/>
    <col min="4177" max="4177" width="9.25" style="3" customWidth="1"/>
    <col min="4178" max="4180" width="9.12962962962963" style="3"/>
    <col min="4181" max="4183" width="9.75" style="3" customWidth="1"/>
    <col min="4184" max="4184" width="9.12962962962963" style="3"/>
    <col min="4185" max="4185" width="9.25" style="3" customWidth="1"/>
    <col min="4186" max="4188" width="9.12962962962963" style="3"/>
    <col min="4189" max="4191" width="9.75" style="3" customWidth="1"/>
    <col min="4192" max="4192" width="9.12962962962963" style="3"/>
    <col min="4193" max="4193" width="9.25" style="3" customWidth="1"/>
    <col min="4194" max="4196" width="9.12962962962963" style="3"/>
    <col min="4197" max="4199" width="9.75" style="3" customWidth="1"/>
    <col min="4200" max="4200" width="9.12962962962963" style="3"/>
    <col min="4201" max="4201" width="9.25" style="3" customWidth="1"/>
    <col min="4202" max="4204" width="9.12962962962963" style="3"/>
    <col min="4205" max="4207" width="9.75" style="3" customWidth="1"/>
    <col min="4208" max="4208" width="9.12962962962963" style="3"/>
    <col min="4209" max="4209" width="9.25" style="3" customWidth="1"/>
    <col min="4210" max="4212" width="9.12962962962963" style="3"/>
    <col min="4213" max="4215" width="9.75" style="3" customWidth="1"/>
    <col min="4216" max="4216" width="9.12962962962963" style="3"/>
    <col min="4217" max="4217" width="9.25" style="3" customWidth="1"/>
    <col min="4218" max="4220" width="9.12962962962963" style="3"/>
    <col min="4221" max="4223" width="9.75" style="3" customWidth="1"/>
    <col min="4224" max="4224" width="9.12962962962963" style="3"/>
    <col min="4225" max="4225" width="9.25" style="3" customWidth="1"/>
    <col min="4226" max="4228" width="9.12962962962963" style="3"/>
    <col min="4229" max="4231" width="9.75" style="3" customWidth="1"/>
    <col min="4232" max="4232" width="9.12962962962963" style="3"/>
    <col min="4233" max="4233" width="9.25" style="3" customWidth="1"/>
    <col min="4234" max="4236" width="9.12962962962963" style="3"/>
    <col min="4237" max="4239" width="9.75" style="3" customWidth="1"/>
    <col min="4240" max="4240" width="9.12962962962963" style="3"/>
    <col min="4241" max="4241" width="9.25" style="3" customWidth="1"/>
    <col min="4242" max="4244" width="9.12962962962963" style="3"/>
    <col min="4245" max="4247" width="9.75" style="3" customWidth="1"/>
    <col min="4248" max="4248" width="9.12962962962963" style="3"/>
    <col min="4249" max="4249" width="9.25" style="3" customWidth="1"/>
    <col min="4250" max="4252" width="9.12962962962963" style="3"/>
    <col min="4253" max="4255" width="9.75" style="3" customWidth="1"/>
    <col min="4256" max="4256" width="9.12962962962963" style="3"/>
    <col min="4257" max="4257" width="9.25" style="3" customWidth="1"/>
    <col min="4258" max="4260" width="9.12962962962963" style="3"/>
    <col min="4261" max="4263" width="9.75" style="3" customWidth="1"/>
    <col min="4264" max="4264" width="9.12962962962963" style="3"/>
    <col min="4265" max="4265" width="9.25" style="3" customWidth="1"/>
    <col min="4266" max="4268" width="9.12962962962963" style="3"/>
    <col min="4269" max="4271" width="9.75" style="3" customWidth="1"/>
    <col min="4272" max="4272" width="9.12962962962963" style="3"/>
    <col min="4273" max="4273" width="9.25" style="3" customWidth="1"/>
    <col min="4274" max="4276" width="9.12962962962963" style="3"/>
    <col min="4277" max="4279" width="9.75" style="3" customWidth="1"/>
    <col min="4280" max="4280" width="9.12962962962963" style="3"/>
    <col min="4281" max="4281" width="9.25" style="3" customWidth="1"/>
    <col min="4282" max="4284" width="9.12962962962963" style="3"/>
    <col min="4285" max="4287" width="9.75" style="3" customWidth="1"/>
    <col min="4288" max="4288" width="9.12962962962963" style="3"/>
    <col min="4289" max="4289" width="9.25" style="3" customWidth="1"/>
    <col min="4290" max="4292" width="9.12962962962963" style="3"/>
    <col min="4293" max="4295" width="9.75" style="3" customWidth="1"/>
    <col min="4296" max="4296" width="9.12962962962963" style="3"/>
    <col min="4297" max="4297" width="9.25" style="3" customWidth="1"/>
    <col min="4298" max="4300" width="9.12962962962963" style="3"/>
    <col min="4301" max="4303" width="9.75" style="3" customWidth="1"/>
    <col min="4304" max="4304" width="9.12962962962963" style="3"/>
    <col min="4305" max="4305" width="9.25" style="3" customWidth="1"/>
    <col min="4306" max="4308" width="9.12962962962963" style="3"/>
    <col min="4309" max="4311" width="9.75" style="3" customWidth="1"/>
    <col min="4312" max="4312" width="9.12962962962963" style="3"/>
    <col min="4313" max="4313" width="9.25" style="3" customWidth="1"/>
    <col min="4314" max="4316" width="9.12962962962963" style="3"/>
    <col min="4317" max="4319" width="9.75" style="3" customWidth="1"/>
    <col min="4320" max="4320" width="9.12962962962963" style="3"/>
    <col min="4321" max="4321" width="9.25" style="3" customWidth="1"/>
    <col min="4322" max="4324" width="9.12962962962963" style="3"/>
    <col min="4325" max="4327" width="9.75" style="3" customWidth="1"/>
    <col min="4328" max="4328" width="9.12962962962963" style="3"/>
    <col min="4329" max="4329" width="9.25" style="3" customWidth="1"/>
    <col min="4330" max="4332" width="9.12962962962963" style="3"/>
    <col min="4333" max="4335" width="9.75" style="3" customWidth="1"/>
    <col min="4336" max="4336" width="9.12962962962963" style="3"/>
    <col min="4337" max="4337" width="9.25" style="3" customWidth="1"/>
    <col min="4338" max="4340" width="9.12962962962963" style="3"/>
    <col min="4341" max="4343" width="9.75" style="3" customWidth="1"/>
    <col min="4344" max="4344" width="9.12962962962963" style="3"/>
    <col min="4345" max="4345" width="9.25" style="3" customWidth="1"/>
    <col min="4346" max="4348" width="9.12962962962963" style="3"/>
    <col min="4349" max="4351" width="9.75" style="3" customWidth="1"/>
    <col min="4352" max="4352" width="9.12962962962963" style="3"/>
    <col min="4353" max="4353" width="9.25" style="3" customWidth="1"/>
    <col min="4354" max="4356" width="9.12962962962963" style="3"/>
    <col min="4357" max="4359" width="9.75" style="3" customWidth="1"/>
    <col min="4360" max="4360" width="9.12962962962963" style="3"/>
    <col min="4361" max="4361" width="9.25" style="3" customWidth="1"/>
    <col min="4362" max="4364" width="9.12962962962963" style="3"/>
    <col min="4365" max="4367" width="9.75" style="3" customWidth="1"/>
    <col min="4368" max="4368" width="9.12962962962963" style="3"/>
    <col min="4369" max="4369" width="9.25" style="3" customWidth="1"/>
    <col min="4370" max="4372" width="9.12962962962963" style="3"/>
    <col min="4373" max="4375" width="9.75" style="3" customWidth="1"/>
    <col min="4376" max="4376" width="9.12962962962963" style="3"/>
    <col min="4377" max="4377" width="9.25" style="3" customWidth="1"/>
    <col min="4378" max="4380" width="9.12962962962963" style="3"/>
    <col min="4381" max="4383" width="9.75" style="3" customWidth="1"/>
    <col min="4384" max="4384" width="9.12962962962963" style="3"/>
    <col min="4385" max="4385" width="9.25" style="3" customWidth="1"/>
    <col min="4386" max="4388" width="9.12962962962963" style="3"/>
    <col min="4389" max="4391" width="9.75" style="3" customWidth="1"/>
    <col min="4392" max="4392" width="9.12962962962963" style="3"/>
    <col min="4393" max="4393" width="9.25" style="3" customWidth="1"/>
    <col min="4394" max="4396" width="9.12962962962963" style="3"/>
    <col min="4397" max="4399" width="9.75" style="3" customWidth="1"/>
    <col min="4400" max="4400" width="9.12962962962963" style="3"/>
    <col min="4401" max="4401" width="9.25" style="3" customWidth="1"/>
    <col min="4402" max="4404" width="9.12962962962963" style="3"/>
    <col min="4405" max="4407" width="9.75" style="3" customWidth="1"/>
    <col min="4408" max="4408" width="9.12962962962963" style="3"/>
    <col min="4409" max="4409" width="9.25" style="3" customWidth="1"/>
    <col min="4410" max="4412" width="9.12962962962963" style="3"/>
    <col min="4413" max="4415" width="9.75" style="3" customWidth="1"/>
    <col min="4416" max="4416" width="9.12962962962963" style="3"/>
    <col min="4417" max="4417" width="9.25" style="3" customWidth="1"/>
    <col min="4418" max="4420" width="9.12962962962963" style="3"/>
    <col min="4421" max="4423" width="9.75" style="3" customWidth="1"/>
    <col min="4424" max="4424" width="9.12962962962963" style="3"/>
    <col min="4425" max="4425" width="9.25" style="3" customWidth="1"/>
    <col min="4426" max="4428" width="9.12962962962963" style="3"/>
    <col min="4429" max="4431" width="9.75" style="3" customWidth="1"/>
    <col min="4432" max="4432" width="9.12962962962963" style="3"/>
    <col min="4433" max="4433" width="9.25" style="3" customWidth="1"/>
    <col min="4434" max="4436" width="9.12962962962963" style="3"/>
    <col min="4437" max="4439" width="9.75" style="3" customWidth="1"/>
    <col min="4440" max="4440" width="9.12962962962963" style="3"/>
    <col min="4441" max="4441" width="9.25" style="3" customWidth="1"/>
    <col min="4442" max="4444" width="9.12962962962963" style="3"/>
    <col min="4445" max="4447" width="9.75" style="3" customWidth="1"/>
    <col min="4448" max="4448" width="9.12962962962963" style="3"/>
    <col min="4449" max="4449" width="9.25" style="3" customWidth="1"/>
    <col min="4450" max="4452" width="9.12962962962963" style="3"/>
    <col min="4453" max="4455" width="9.75" style="3" customWidth="1"/>
    <col min="4456" max="4456" width="9.12962962962963" style="3"/>
    <col min="4457" max="4457" width="9.25" style="3" customWidth="1"/>
    <col min="4458" max="4460" width="9.12962962962963" style="3"/>
    <col min="4461" max="4463" width="9.75" style="3" customWidth="1"/>
    <col min="4464" max="4464" width="9.12962962962963" style="3"/>
    <col min="4465" max="4465" width="9.25" style="3" customWidth="1"/>
    <col min="4466" max="4468" width="9.12962962962963" style="3"/>
    <col min="4469" max="4471" width="9.75" style="3" customWidth="1"/>
    <col min="4472" max="4472" width="9.12962962962963" style="3"/>
    <col min="4473" max="4473" width="9.25" style="3" customWidth="1"/>
    <col min="4474" max="4476" width="9.12962962962963" style="3"/>
    <col min="4477" max="4479" width="9.75" style="3" customWidth="1"/>
    <col min="4480" max="4480" width="9.12962962962963" style="3"/>
    <col min="4481" max="4481" width="9.25" style="3" customWidth="1"/>
    <col min="4482" max="4484" width="9.12962962962963" style="3"/>
    <col min="4485" max="4487" width="9.75" style="3" customWidth="1"/>
    <col min="4488" max="4488" width="9.12962962962963" style="3"/>
    <col min="4489" max="4489" width="9.25" style="3" customWidth="1"/>
    <col min="4490" max="4492" width="9.12962962962963" style="3"/>
    <col min="4493" max="4495" width="9.75" style="3" customWidth="1"/>
    <col min="4496" max="4496" width="9.12962962962963" style="3"/>
    <col min="4497" max="4497" width="9.25" style="3" customWidth="1"/>
    <col min="4498" max="4500" width="9.12962962962963" style="3"/>
    <col min="4501" max="4503" width="9.75" style="3" customWidth="1"/>
    <col min="4504" max="4504" width="9.12962962962963" style="3"/>
    <col min="4505" max="4505" width="9.25" style="3" customWidth="1"/>
    <col min="4506" max="4508" width="9.12962962962963" style="3"/>
    <col min="4509" max="4511" width="9.75" style="3" customWidth="1"/>
    <col min="4512" max="4512" width="9.12962962962963" style="3"/>
    <col min="4513" max="4513" width="9.25" style="3" customWidth="1"/>
    <col min="4514" max="4516" width="9.12962962962963" style="3"/>
    <col min="4517" max="4519" width="9.75" style="3" customWidth="1"/>
    <col min="4520" max="4520" width="9.12962962962963" style="3"/>
    <col min="4521" max="4521" width="9.25" style="3" customWidth="1"/>
    <col min="4522" max="4524" width="9.12962962962963" style="3"/>
    <col min="4525" max="4527" width="9.75" style="3" customWidth="1"/>
    <col min="4528" max="4528" width="9.12962962962963" style="3"/>
    <col min="4529" max="4529" width="9.25" style="3" customWidth="1"/>
    <col min="4530" max="4532" width="9.12962962962963" style="3"/>
    <col min="4533" max="4535" width="9.75" style="3" customWidth="1"/>
    <col min="4536" max="4536" width="9.12962962962963" style="3"/>
    <col min="4537" max="4537" width="9.25" style="3" customWidth="1"/>
    <col min="4538" max="4540" width="9.12962962962963" style="3"/>
    <col min="4541" max="4543" width="9.75" style="3" customWidth="1"/>
    <col min="4544" max="4544" width="9.12962962962963" style="3"/>
    <col min="4545" max="4545" width="9.25" style="3" customWidth="1"/>
    <col min="4546" max="4548" width="9.12962962962963" style="3"/>
    <col min="4549" max="4551" width="9.75" style="3" customWidth="1"/>
    <col min="4552" max="4552" width="9.12962962962963" style="3"/>
    <col min="4553" max="4553" width="9.25" style="3" customWidth="1"/>
    <col min="4554" max="4556" width="9.12962962962963" style="3"/>
    <col min="4557" max="4559" width="9.75" style="3" customWidth="1"/>
    <col min="4560" max="4560" width="9.12962962962963" style="3"/>
    <col min="4561" max="4561" width="9.25" style="3" customWidth="1"/>
    <col min="4562" max="4564" width="9.12962962962963" style="3"/>
    <col min="4565" max="4567" width="9.75" style="3" customWidth="1"/>
    <col min="4568" max="4568" width="9.12962962962963" style="3"/>
    <col min="4569" max="4569" width="9.25" style="3" customWidth="1"/>
    <col min="4570" max="4572" width="9.12962962962963" style="3"/>
    <col min="4573" max="4575" width="9.75" style="3" customWidth="1"/>
    <col min="4576" max="4576" width="9.12962962962963" style="3"/>
    <col min="4577" max="4577" width="9.25" style="3" customWidth="1"/>
    <col min="4578" max="4580" width="9.12962962962963" style="3"/>
    <col min="4581" max="4583" width="9.75" style="3" customWidth="1"/>
    <col min="4584" max="4584" width="9.12962962962963" style="3"/>
    <col min="4585" max="4585" width="9.25" style="3" customWidth="1"/>
    <col min="4586" max="4588" width="9.12962962962963" style="3"/>
    <col min="4589" max="4591" width="9.75" style="3" customWidth="1"/>
    <col min="4592" max="4592" width="9.12962962962963" style="3"/>
    <col min="4593" max="4593" width="9.25" style="3" customWidth="1"/>
    <col min="4594" max="4596" width="9.12962962962963" style="3"/>
    <col min="4597" max="4599" width="9.75" style="3" customWidth="1"/>
    <col min="4600" max="4600" width="9.12962962962963" style="3"/>
    <col min="4601" max="4601" width="9.25" style="3" customWidth="1"/>
    <col min="4602" max="4604" width="9.12962962962963" style="3"/>
    <col min="4605" max="4607" width="9.75" style="3" customWidth="1"/>
    <col min="4608" max="4608" width="9.12962962962963" style="3"/>
    <col min="4609" max="4609" width="9.25" style="3" customWidth="1"/>
    <col min="4610" max="4612" width="9.12962962962963" style="3"/>
    <col min="4613" max="4615" width="9.75" style="3" customWidth="1"/>
    <col min="4616" max="4616" width="9.12962962962963" style="3"/>
    <col min="4617" max="4617" width="9.25" style="3" customWidth="1"/>
    <col min="4618" max="4620" width="9.12962962962963" style="3"/>
    <col min="4621" max="4623" width="9.75" style="3" customWidth="1"/>
    <col min="4624" max="4624" width="9.12962962962963" style="3"/>
    <col min="4625" max="4625" width="9.25" style="3" customWidth="1"/>
    <col min="4626" max="4628" width="9.12962962962963" style="3"/>
    <col min="4629" max="4631" width="9.75" style="3" customWidth="1"/>
    <col min="4632" max="4632" width="9.12962962962963" style="3"/>
    <col min="4633" max="4633" width="9.25" style="3" customWidth="1"/>
    <col min="4634" max="4636" width="9.12962962962963" style="3"/>
    <col min="4637" max="4639" width="9.75" style="3" customWidth="1"/>
    <col min="4640" max="4640" width="9.12962962962963" style="3"/>
    <col min="4641" max="4641" width="9.25" style="3" customWidth="1"/>
    <col min="4642" max="4644" width="9.12962962962963" style="3"/>
    <col min="4645" max="4647" width="9.75" style="3" customWidth="1"/>
    <col min="4648" max="4648" width="9.12962962962963" style="3"/>
    <col min="4649" max="4649" width="9.25" style="3" customWidth="1"/>
    <col min="4650" max="4652" width="9.12962962962963" style="3"/>
    <col min="4653" max="4655" width="9.75" style="3" customWidth="1"/>
    <col min="4656" max="4656" width="9.12962962962963" style="3"/>
    <col min="4657" max="4657" width="9.25" style="3" customWidth="1"/>
    <col min="4658" max="4660" width="9.12962962962963" style="3"/>
    <col min="4661" max="4663" width="9.75" style="3" customWidth="1"/>
    <col min="4664" max="4664" width="9.12962962962963" style="3"/>
    <col min="4665" max="4665" width="9.25" style="3" customWidth="1"/>
    <col min="4666" max="4668" width="9.12962962962963" style="3"/>
    <col min="4669" max="4671" width="9.75" style="3" customWidth="1"/>
    <col min="4672" max="4672" width="9.12962962962963" style="3"/>
    <col min="4673" max="4673" width="9.25" style="3" customWidth="1"/>
    <col min="4674" max="4676" width="9.12962962962963" style="3"/>
    <col min="4677" max="4679" width="9.75" style="3" customWidth="1"/>
    <col min="4680" max="4680" width="9.12962962962963" style="3"/>
    <col min="4681" max="4681" width="9.25" style="3" customWidth="1"/>
    <col min="4682" max="4684" width="9.12962962962963" style="3"/>
    <col min="4685" max="4687" width="9.75" style="3" customWidth="1"/>
    <col min="4688" max="4688" width="9.12962962962963" style="3"/>
    <col min="4689" max="4689" width="9.25" style="3" customWidth="1"/>
    <col min="4690" max="4692" width="9.12962962962963" style="3"/>
    <col min="4693" max="4695" width="9.75" style="3" customWidth="1"/>
    <col min="4696" max="4696" width="9.12962962962963" style="3"/>
    <col min="4697" max="4697" width="9.25" style="3" customWidth="1"/>
    <col min="4698" max="4700" width="9.12962962962963" style="3"/>
    <col min="4701" max="4703" width="9.75" style="3" customWidth="1"/>
    <col min="4704" max="4704" width="9.12962962962963" style="3"/>
    <col min="4705" max="4705" width="9.25" style="3" customWidth="1"/>
    <col min="4706" max="4708" width="9.12962962962963" style="3"/>
    <col min="4709" max="4711" width="9.75" style="3" customWidth="1"/>
    <col min="4712" max="4712" width="9.12962962962963" style="3"/>
    <col min="4713" max="4713" width="9.25" style="3" customWidth="1"/>
    <col min="4714" max="4716" width="9.12962962962963" style="3"/>
    <col min="4717" max="4719" width="9.75" style="3" customWidth="1"/>
    <col min="4720" max="4720" width="9.12962962962963" style="3"/>
    <col min="4721" max="4721" width="9.25" style="3" customWidth="1"/>
    <col min="4722" max="4724" width="9.12962962962963" style="3"/>
    <col min="4725" max="4727" width="9.75" style="3" customWidth="1"/>
    <col min="4728" max="4728" width="9.12962962962963" style="3"/>
    <col min="4729" max="4729" width="9.25" style="3" customWidth="1"/>
    <col min="4730" max="4732" width="9.12962962962963" style="3"/>
    <col min="4733" max="4735" width="9.75" style="3" customWidth="1"/>
    <col min="4736" max="4736" width="9.12962962962963" style="3"/>
    <col min="4737" max="4737" width="9.25" style="3" customWidth="1"/>
    <col min="4738" max="4740" width="9.12962962962963" style="3"/>
    <col min="4741" max="4743" width="9.75" style="3" customWidth="1"/>
    <col min="4744" max="4744" width="9.12962962962963" style="3"/>
    <col min="4745" max="4745" width="9.25" style="3" customWidth="1"/>
    <col min="4746" max="4748" width="9.12962962962963" style="3"/>
    <col min="4749" max="4751" width="9.75" style="3" customWidth="1"/>
    <col min="4752" max="4752" width="9.12962962962963" style="3"/>
    <col min="4753" max="4753" width="9.25" style="3" customWidth="1"/>
    <col min="4754" max="4756" width="9.12962962962963" style="3"/>
    <col min="4757" max="4759" width="9.75" style="3" customWidth="1"/>
    <col min="4760" max="4760" width="9.12962962962963" style="3"/>
    <col min="4761" max="4761" width="9.25" style="3" customWidth="1"/>
    <col min="4762" max="4764" width="9.12962962962963" style="3"/>
    <col min="4765" max="4767" width="9.75" style="3" customWidth="1"/>
    <col min="4768" max="4768" width="9.12962962962963" style="3"/>
    <col min="4769" max="4769" width="9.25" style="3" customWidth="1"/>
    <col min="4770" max="4772" width="9.12962962962963" style="3"/>
    <col min="4773" max="4775" width="9.75" style="3" customWidth="1"/>
    <col min="4776" max="4776" width="9.12962962962963" style="3"/>
    <col min="4777" max="4777" width="9.25" style="3" customWidth="1"/>
    <col min="4778" max="4780" width="9.12962962962963" style="3"/>
    <col min="4781" max="4783" width="9.75" style="3" customWidth="1"/>
    <col min="4784" max="4784" width="9.12962962962963" style="3"/>
    <col min="4785" max="4785" width="9.25" style="3" customWidth="1"/>
    <col min="4786" max="4788" width="9.12962962962963" style="3"/>
    <col min="4789" max="4791" width="9.75" style="3" customWidth="1"/>
    <col min="4792" max="4792" width="9.12962962962963" style="3"/>
    <col min="4793" max="4793" width="9.25" style="3" customWidth="1"/>
    <col min="4794" max="4796" width="9.12962962962963" style="3"/>
    <col min="4797" max="4799" width="9.75" style="3" customWidth="1"/>
    <col min="4800" max="4800" width="9.12962962962963" style="3"/>
    <col min="4801" max="4801" width="9.25" style="3" customWidth="1"/>
    <col min="4802" max="4804" width="9.12962962962963" style="3"/>
    <col min="4805" max="4807" width="9.75" style="3" customWidth="1"/>
    <col min="4808" max="4808" width="9.12962962962963" style="3"/>
    <col min="4809" max="4809" width="9.25" style="3" customWidth="1"/>
    <col min="4810" max="4812" width="9.12962962962963" style="3"/>
    <col min="4813" max="4815" width="9.75" style="3" customWidth="1"/>
    <col min="4816" max="4816" width="9.12962962962963" style="3"/>
    <col min="4817" max="4817" width="9.25" style="3" customWidth="1"/>
    <col min="4818" max="4820" width="9.12962962962963" style="3"/>
    <col min="4821" max="4823" width="9.75" style="3" customWidth="1"/>
    <col min="4824" max="4824" width="9.12962962962963" style="3"/>
    <col min="4825" max="4825" width="9.25" style="3" customWidth="1"/>
    <col min="4826" max="4828" width="9.12962962962963" style="3"/>
    <col min="4829" max="4831" width="9.75" style="3" customWidth="1"/>
    <col min="4832" max="4832" width="9.12962962962963" style="3"/>
    <col min="4833" max="4833" width="9.25" style="3" customWidth="1"/>
    <col min="4834" max="4836" width="9.12962962962963" style="3"/>
    <col min="4837" max="4839" width="9.75" style="3" customWidth="1"/>
    <col min="4840" max="4840" width="9.12962962962963" style="3"/>
    <col min="4841" max="4841" width="9.25" style="3" customWidth="1"/>
    <col min="4842" max="4844" width="9.12962962962963" style="3"/>
    <col min="4845" max="4847" width="9.75" style="3" customWidth="1"/>
    <col min="4848" max="4848" width="9.12962962962963" style="3"/>
    <col min="4849" max="4849" width="9.25" style="3" customWidth="1"/>
    <col min="4850" max="4852" width="9.12962962962963" style="3"/>
    <col min="4853" max="4855" width="9.75" style="3" customWidth="1"/>
    <col min="4856" max="4856" width="9.12962962962963" style="3"/>
    <col min="4857" max="4857" width="9.25" style="3" customWidth="1"/>
    <col min="4858" max="4860" width="9.12962962962963" style="3"/>
    <col min="4861" max="4863" width="9.75" style="3" customWidth="1"/>
    <col min="4864" max="4864" width="9.12962962962963" style="3"/>
    <col min="4865" max="4865" width="9.25" style="3" customWidth="1"/>
    <col min="4866" max="4868" width="9.12962962962963" style="3"/>
    <col min="4869" max="4871" width="9.75" style="3" customWidth="1"/>
    <col min="4872" max="4872" width="9.12962962962963" style="3"/>
    <col min="4873" max="4873" width="9.25" style="3" customWidth="1"/>
    <col min="4874" max="4876" width="9.12962962962963" style="3"/>
    <col min="4877" max="4879" width="9.75" style="3" customWidth="1"/>
    <col min="4880" max="4880" width="9.12962962962963" style="3"/>
    <col min="4881" max="4881" width="9.25" style="3" customWidth="1"/>
    <col min="4882" max="4884" width="9.12962962962963" style="3"/>
    <col min="4885" max="4887" width="9.75" style="3" customWidth="1"/>
    <col min="4888" max="4888" width="9.12962962962963" style="3"/>
    <col min="4889" max="4889" width="9.25" style="3" customWidth="1"/>
    <col min="4890" max="4892" width="9.12962962962963" style="3"/>
    <col min="4893" max="4895" width="9.75" style="3" customWidth="1"/>
    <col min="4896" max="4896" width="9.12962962962963" style="3"/>
    <col min="4897" max="4897" width="9.25" style="3" customWidth="1"/>
    <col min="4898" max="4900" width="9.12962962962963" style="3"/>
    <col min="4901" max="4903" width="9.75" style="3" customWidth="1"/>
    <col min="4904" max="4904" width="9.12962962962963" style="3"/>
    <col min="4905" max="4905" width="9.25" style="3" customWidth="1"/>
    <col min="4906" max="4908" width="9.12962962962963" style="3"/>
    <col min="4909" max="4911" width="9.75" style="3" customWidth="1"/>
    <col min="4912" max="4912" width="9.12962962962963" style="3"/>
    <col min="4913" max="4913" width="9.25" style="3" customWidth="1"/>
    <col min="4914" max="4916" width="9.12962962962963" style="3"/>
    <col min="4917" max="4919" width="9.75" style="3" customWidth="1"/>
    <col min="4920" max="4920" width="9.12962962962963" style="3"/>
    <col min="4921" max="4921" width="9.25" style="3" customWidth="1"/>
    <col min="4922" max="4924" width="9.12962962962963" style="3"/>
    <col min="4925" max="4927" width="9.75" style="3" customWidth="1"/>
    <col min="4928" max="4928" width="9.12962962962963" style="3"/>
    <col min="4929" max="4929" width="9.25" style="3" customWidth="1"/>
    <col min="4930" max="4932" width="9.12962962962963" style="3"/>
    <col min="4933" max="4935" width="9.75" style="3" customWidth="1"/>
    <col min="4936" max="4936" width="9.12962962962963" style="3"/>
    <col min="4937" max="4937" width="9.25" style="3" customWidth="1"/>
    <col min="4938" max="4940" width="9.12962962962963" style="3"/>
    <col min="4941" max="4943" width="9.75" style="3" customWidth="1"/>
    <col min="4944" max="4944" width="9.12962962962963" style="3"/>
    <col min="4945" max="4945" width="9.25" style="3" customWidth="1"/>
    <col min="4946" max="4948" width="9.12962962962963" style="3"/>
    <col min="4949" max="4951" width="9.75" style="3" customWidth="1"/>
    <col min="4952" max="4952" width="9.12962962962963" style="3"/>
    <col min="4953" max="4953" width="9.25" style="3" customWidth="1"/>
    <col min="4954" max="4956" width="9.12962962962963" style="3"/>
    <col min="4957" max="4959" width="9.75" style="3" customWidth="1"/>
    <col min="4960" max="4960" width="9.12962962962963" style="3"/>
    <col min="4961" max="4961" width="9.25" style="3" customWidth="1"/>
    <col min="4962" max="4964" width="9.12962962962963" style="3"/>
    <col min="4965" max="4967" width="9.75" style="3" customWidth="1"/>
    <col min="4968" max="4968" width="9.12962962962963" style="3"/>
    <col min="4969" max="4969" width="9.25" style="3" customWidth="1"/>
    <col min="4970" max="4972" width="9.12962962962963" style="3"/>
    <col min="4973" max="4975" width="9.75" style="3" customWidth="1"/>
    <col min="4976" max="4976" width="9.12962962962963" style="3"/>
    <col min="4977" max="4977" width="9.25" style="3" customWidth="1"/>
    <col min="4978" max="4980" width="9.12962962962963" style="3"/>
    <col min="4981" max="4983" width="9.75" style="3" customWidth="1"/>
    <col min="4984" max="4984" width="9.12962962962963" style="3"/>
    <col min="4985" max="4985" width="9.25" style="3" customWidth="1"/>
    <col min="4986" max="4988" width="9.12962962962963" style="3"/>
    <col min="4989" max="4991" width="9.75" style="3" customWidth="1"/>
    <col min="4992" max="4992" width="9.12962962962963" style="3"/>
    <col min="4993" max="4993" width="9.25" style="3" customWidth="1"/>
    <col min="4994" max="4996" width="9.12962962962963" style="3"/>
    <col min="4997" max="4999" width="9.75" style="3" customWidth="1"/>
    <col min="5000" max="5000" width="9.12962962962963" style="3"/>
    <col min="5001" max="5001" width="9.25" style="3" customWidth="1"/>
    <col min="5002" max="5004" width="9.12962962962963" style="3"/>
    <col min="5005" max="5007" width="9.75" style="3" customWidth="1"/>
    <col min="5008" max="5008" width="9.12962962962963" style="3"/>
    <col min="5009" max="5009" width="9.25" style="3" customWidth="1"/>
    <col min="5010" max="5012" width="9.12962962962963" style="3"/>
    <col min="5013" max="5015" width="9.75" style="3" customWidth="1"/>
    <col min="5016" max="5016" width="9.12962962962963" style="3"/>
    <col min="5017" max="5017" width="9.25" style="3" customWidth="1"/>
    <col min="5018" max="5020" width="9.12962962962963" style="3"/>
    <col min="5021" max="5023" width="9.75" style="3" customWidth="1"/>
    <col min="5024" max="5024" width="9.12962962962963" style="3"/>
    <col min="5025" max="5025" width="9.25" style="3" customWidth="1"/>
    <col min="5026" max="5028" width="9.12962962962963" style="3"/>
    <col min="5029" max="5031" width="9.75" style="3" customWidth="1"/>
    <col min="5032" max="5032" width="9.12962962962963" style="3"/>
    <col min="5033" max="5033" width="9.25" style="3" customWidth="1"/>
    <col min="5034" max="5036" width="9.12962962962963" style="3"/>
    <col min="5037" max="5039" width="9.75" style="3" customWidth="1"/>
    <col min="5040" max="5040" width="9.12962962962963" style="3"/>
    <col min="5041" max="5041" width="9.25" style="3" customWidth="1"/>
    <col min="5042" max="5044" width="9.12962962962963" style="3"/>
    <col min="5045" max="5047" width="9.75" style="3" customWidth="1"/>
    <col min="5048" max="5048" width="9.12962962962963" style="3"/>
    <col min="5049" max="5049" width="9.25" style="3" customWidth="1"/>
    <col min="5050" max="5052" width="9.12962962962963" style="3"/>
    <col min="5053" max="5055" width="9.75" style="3" customWidth="1"/>
    <col min="5056" max="5056" width="9.12962962962963" style="3"/>
    <col min="5057" max="5057" width="9.25" style="3" customWidth="1"/>
    <col min="5058" max="5060" width="9.12962962962963" style="3"/>
    <col min="5061" max="5063" width="9.75" style="3" customWidth="1"/>
    <col min="5064" max="5064" width="9.12962962962963" style="3"/>
    <col min="5065" max="5065" width="9.25" style="3" customWidth="1"/>
    <col min="5066" max="5068" width="9.12962962962963" style="3"/>
    <col min="5069" max="5071" width="9.75" style="3" customWidth="1"/>
    <col min="5072" max="5072" width="9.12962962962963" style="3"/>
    <col min="5073" max="5073" width="9.25" style="3" customWidth="1"/>
    <col min="5074" max="5076" width="9.12962962962963" style="3"/>
    <col min="5077" max="5079" width="9.75" style="3" customWidth="1"/>
    <col min="5080" max="5080" width="9.12962962962963" style="3"/>
    <col min="5081" max="5081" width="9.25" style="3" customWidth="1"/>
    <col min="5082" max="5084" width="9.12962962962963" style="3"/>
    <col min="5085" max="5087" width="9.75" style="3" customWidth="1"/>
    <col min="5088" max="5088" width="9.12962962962963" style="3"/>
    <col min="5089" max="5089" width="9.25" style="3" customWidth="1"/>
    <col min="5090" max="5092" width="9.12962962962963" style="3"/>
    <col min="5093" max="5095" width="9.75" style="3" customWidth="1"/>
    <col min="5096" max="5096" width="9.12962962962963" style="3"/>
    <col min="5097" max="5097" width="9.25" style="3" customWidth="1"/>
    <col min="5098" max="5100" width="9.12962962962963" style="3"/>
    <col min="5101" max="5103" width="9.75" style="3" customWidth="1"/>
    <col min="5104" max="5104" width="9.12962962962963" style="3"/>
    <col min="5105" max="5105" width="9.25" style="3" customWidth="1"/>
    <col min="5106" max="5108" width="9.12962962962963" style="3"/>
    <col min="5109" max="5111" width="9.75" style="3" customWidth="1"/>
    <col min="5112" max="5112" width="9.12962962962963" style="3"/>
    <col min="5113" max="5113" width="9.25" style="3" customWidth="1"/>
    <col min="5114" max="5116" width="9.12962962962963" style="3"/>
    <col min="5117" max="5119" width="9.75" style="3" customWidth="1"/>
    <col min="5120" max="5120" width="9.12962962962963" style="3"/>
    <col min="5121" max="5121" width="9.25" style="3" customWidth="1"/>
    <col min="5122" max="5124" width="9.12962962962963" style="3"/>
    <col min="5125" max="5127" width="9.75" style="3" customWidth="1"/>
    <col min="5128" max="5128" width="9.12962962962963" style="3"/>
    <col min="5129" max="5129" width="9.25" style="3" customWidth="1"/>
    <col min="5130" max="5132" width="9.12962962962963" style="3"/>
    <col min="5133" max="5135" width="9.75" style="3" customWidth="1"/>
    <col min="5136" max="5136" width="9.12962962962963" style="3"/>
    <col min="5137" max="5137" width="9.25" style="3" customWidth="1"/>
    <col min="5138" max="5140" width="9.12962962962963" style="3"/>
    <col min="5141" max="5143" width="9.75" style="3" customWidth="1"/>
    <col min="5144" max="5144" width="9.12962962962963" style="3"/>
    <col min="5145" max="5145" width="9.25" style="3" customWidth="1"/>
    <col min="5146" max="5148" width="9.12962962962963" style="3"/>
    <col min="5149" max="5151" width="9.75" style="3" customWidth="1"/>
    <col min="5152" max="5152" width="9.12962962962963" style="3"/>
    <col min="5153" max="5153" width="9.25" style="3" customWidth="1"/>
    <col min="5154" max="5156" width="9.12962962962963" style="3"/>
    <col min="5157" max="5159" width="9.75" style="3" customWidth="1"/>
    <col min="5160" max="5160" width="9.12962962962963" style="3"/>
    <col min="5161" max="5161" width="9.25" style="3" customWidth="1"/>
    <col min="5162" max="5164" width="9.12962962962963" style="3"/>
    <col min="5165" max="5167" width="9.75" style="3" customWidth="1"/>
    <col min="5168" max="5168" width="9.12962962962963" style="3"/>
    <col min="5169" max="5169" width="9.25" style="3" customWidth="1"/>
    <col min="5170" max="5172" width="9.12962962962963" style="3"/>
    <col min="5173" max="5175" width="9.75" style="3" customWidth="1"/>
    <col min="5176" max="5176" width="9.12962962962963" style="3"/>
    <col min="5177" max="5177" width="9.25" style="3" customWidth="1"/>
    <col min="5178" max="5180" width="9.12962962962963" style="3"/>
    <col min="5181" max="5183" width="9.75" style="3" customWidth="1"/>
    <col min="5184" max="5184" width="9.12962962962963" style="3"/>
    <col min="5185" max="5185" width="9.25" style="3" customWidth="1"/>
    <col min="5186" max="5188" width="9.12962962962963" style="3"/>
    <col min="5189" max="5191" width="9.75" style="3" customWidth="1"/>
    <col min="5192" max="5192" width="9.12962962962963" style="3"/>
    <col min="5193" max="5193" width="9.25" style="3" customWidth="1"/>
    <col min="5194" max="5196" width="9.12962962962963" style="3"/>
    <col min="5197" max="5199" width="9.75" style="3" customWidth="1"/>
    <col min="5200" max="5200" width="9.12962962962963" style="3"/>
    <col min="5201" max="5201" width="9.25" style="3" customWidth="1"/>
    <col min="5202" max="5204" width="9.12962962962963" style="3"/>
    <col min="5205" max="5207" width="9.75" style="3" customWidth="1"/>
    <col min="5208" max="5208" width="9.12962962962963" style="3"/>
    <col min="5209" max="5209" width="9.25" style="3" customWidth="1"/>
    <col min="5210" max="5212" width="9.12962962962963" style="3"/>
    <col min="5213" max="5215" width="9.75" style="3" customWidth="1"/>
    <col min="5216" max="5216" width="9.12962962962963" style="3"/>
    <col min="5217" max="5217" width="9.25" style="3" customWidth="1"/>
    <col min="5218" max="5220" width="9.12962962962963" style="3"/>
    <col min="5221" max="5223" width="9.75" style="3" customWidth="1"/>
    <col min="5224" max="5224" width="9.12962962962963" style="3"/>
    <col min="5225" max="5225" width="9.25" style="3" customWidth="1"/>
    <col min="5226" max="5228" width="9.12962962962963" style="3"/>
    <col min="5229" max="5231" width="9.75" style="3" customWidth="1"/>
    <col min="5232" max="5232" width="9.12962962962963" style="3"/>
    <col min="5233" max="5233" width="9.25" style="3" customWidth="1"/>
    <col min="5234" max="5236" width="9.12962962962963" style="3"/>
    <col min="5237" max="5239" width="9.75" style="3" customWidth="1"/>
    <col min="5240" max="5240" width="9.12962962962963" style="3"/>
    <col min="5241" max="5241" width="9.25" style="3" customWidth="1"/>
    <col min="5242" max="5244" width="9.12962962962963" style="3"/>
    <col min="5245" max="5247" width="9.75" style="3" customWidth="1"/>
    <col min="5248" max="5248" width="9.12962962962963" style="3"/>
    <col min="5249" max="5249" width="9.25" style="3" customWidth="1"/>
    <col min="5250" max="5252" width="9.12962962962963" style="3"/>
    <col min="5253" max="5255" width="9.75" style="3" customWidth="1"/>
    <col min="5256" max="5256" width="9.12962962962963" style="3"/>
    <col min="5257" max="5257" width="9.25" style="3" customWidth="1"/>
    <col min="5258" max="5260" width="9.12962962962963" style="3"/>
    <col min="5261" max="5263" width="9.75" style="3" customWidth="1"/>
    <col min="5264" max="5264" width="9.12962962962963" style="3"/>
    <col min="5265" max="5265" width="9.25" style="3" customWidth="1"/>
    <col min="5266" max="5268" width="9.12962962962963" style="3"/>
    <col min="5269" max="5271" width="9.75" style="3" customWidth="1"/>
    <col min="5272" max="5272" width="9.12962962962963" style="3"/>
    <col min="5273" max="5273" width="9.25" style="3" customWidth="1"/>
    <col min="5274" max="5276" width="9.12962962962963" style="3"/>
    <col min="5277" max="5279" width="9.75" style="3" customWidth="1"/>
    <col min="5280" max="5280" width="9.12962962962963" style="3"/>
    <col min="5281" max="5281" width="9.25" style="3" customWidth="1"/>
    <col min="5282" max="5284" width="9.12962962962963" style="3"/>
    <col min="5285" max="5287" width="9.75" style="3" customWidth="1"/>
    <col min="5288" max="5288" width="9.12962962962963" style="3"/>
    <col min="5289" max="5289" width="9.25" style="3" customWidth="1"/>
    <col min="5290" max="5292" width="9.12962962962963" style="3"/>
    <col min="5293" max="5295" width="9.75" style="3" customWidth="1"/>
    <col min="5296" max="5296" width="9.12962962962963" style="3"/>
    <col min="5297" max="5297" width="9.25" style="3" customWidth="1"/>
    <col min="5298" max="5300" width="9.12962962962963" style="3"/>
    <col min="5301" max="5303" width="9.75" style="3" customWidth="1"/>
    <col min="5304" max="5304" width="9.12962962962963" style="3"/>
    <col min="5305" max="5305" width="9.25" style="3" customWidth="1"/>
    <col min="5306" max="5308" width="9.12962962962963" style="3"/>
    <col min="5309" max="5311" width="9.75" style="3" customWidth="1"/>
    <col min="5312" max="5312" width="9.12962962962963" style="3"/>
    <col min="5313" max="5313" width="9.25" style="3" customWidth="1"/>
    <col min="5314" max="5316" width="9.12962962962963" style="3"/>
    <col min="5317" max="5319" width="9.75" style="3" customWidth="1"/>
    <col min="5320" max="5320" width="9.12962962962963" style="3"/>
    <col min="5321" max="5321" width="9.25" style="3" customWidth="1"/>
    <col min="5322" max="5324" width="9.12962962962963" style="3"/>
    <col min="5325" max="5327" width="9.75" style="3" customWidth="1"/>
    <col min="5328" max="5328" width="9.12962962962963" style="3"/>
    <col min="5329" max="5329" width="9.25" style="3" customWidth="1"/>
    <col min="5330" max="5332" width="9.12962962962963" style="3"/>
    <col min="5333" max="5335" width="9.75" style="3" customWidth="1"/>
    <col min="5336" max="5336" width="9.12962962962963" style="3"/>
    <col min="5337" max="5337" width="9.25" style="3" customWidth="1"/>
    <col min="5338" max="5340" width="9.12962962962963" style="3"/>
    <col min="5341" max="5343" width="9.75" style="3" customWidth="1"/>
    <col min="5344" max="5344" width="9.12962962962963" style="3"/>
    <col min="5345" max="5345" width="9.25" style="3" customWidth="1"/>
    <col min="5346" max="5348" width="9.12962962962963" style="3"/>
    <col min="5349" max="5351" width="9.75" style="3" customWidth="1"/>
    <col min="5352" max="5352" width="9.12962962962963" style="3"/>
    <col min="5353" max="5353" width="9.25" style="3" customWidth="1"/>
    <col min="5354" max="5356" width="9.12962962962963" style="3"/>
    <col min="5357" max="5359" width="9.75" style="3" customWidth="1"/>
    <col min="5360" max="5360" width="9.12962962962963" style="3"/>
    <col min="5361" max="5361" width="9.25" style="3" customWidth="1"/>
    <col min="5362" max="5364" width="9.12962962962963" style="3"/>
    <col min="5365" max="5367" width="9.75" style="3" customWidth="1"/>
    <col min="5368" max="5368" width="9.12962962962963" style="3"/>
    <col min="5369" max="5369" width="9.25" style="3" customWidth="1"/>
    <col min="5370" max="5372" width="9.12962962962963" style="3"/>
    <col min="5373" max="5375" width="9.75" style="3" customWidth="1"/>
    <col min="5376" max="5376" width="9.12962962962963" style="3"/>
    <col min="5377" max="5377" width="9.25" style="3" customWidth="1"/>
    <col min="5378" max="5380" width="9.12962962962963" style="3"/>
    <col min="5381" max="5383" width="9.75" style="3" customWidth="1"/>
    <col min="5384" max="5384" width="9.12962962962963" style="3"/>
    <col min="5385" max="5385" width="9.25" style="3" customWidth="1"/>
    <col min="5386" max="5388" width="9.12962962962963" style="3"/>
    <col min="5389" max="5391" width="9.75" style="3" customWidth="1"/>
    <col min="5392" max="5392" width="9.12962962962963" style="3"/>
    <col min="5393" max="5393" width="9.25" style="3" customWidth="1"/>
    <col min="5394" max="5396" width="9.12962962962963" style="3"/>
    <col min="5397" max="5399" width="9.75" style="3" customWidth="1"/>
    <col min="5400" max="5400" width="9.12962962962963" style="3"/>
    <col min="5401" max="5401" width="9.25" style="3" customWidth="1"/>
    <col min="5402" max="5404" width="9.12962962962963" style="3"/>
    <col min="5405" max="5407" width="9.75" style="3" customWidth="1"/>
    <col min="5408" max="5408" width="9.12962962962963" style="3"/>
    <col min="5409" max="5409" width="9.25" style="3" customWidth="1"/>
    <col min="5410" max="5412" width="9.12962962962963" style="3"/>
    <col min="5413" max="5415" width="9.75" style="3" customWidth="1"/>
    <col min="5416" max="5416" width="9.12962962962963" style="3"/>
    <col min="5417" max="5417" width="9.25" style="3" customWidth="1"/>
    <col min="5418" max="5420" width="9.12962962962963" style="3"/>
    <col min="5421" max="5423" width="9.75" style="3" customWidth="1"/>
    <col min="5424" max="5424" width="9.12962962962963" style="3"/>
    <col min="5425" max="5425" width="9.25" style="3" customWidth="1"/>
    <col min="5426" max="5428" width="9.12962962962963" style="3"/>
    <col min="5429" max="5431" width="9.75" style="3" customWidth="1"/>
    <col min="5432" max="5432" width="9.12962962962963" style="3"/>
    <col min="5433" max="5433" width="9.25" style="3" customWidth="1"/>
    <col min="5434" max="5436" width="9.12962962962963" style="3"/>
    <col min="5437" max="5439" width="9.75" style="3" customWidth="1"/>
    <col min="5440" max="5440" width="9.12962962962963" style="3"/>
    <col min="5441" max="5441" width="9.25" style="3" customWidth="1"/>
    <col min="5442" max="5444" width="9.12962962962963" style="3"/>
    <col min="5445" max="5447" width="9.75" style="3" customWidth="1"/>
    <col min="5448" max="5448" width="9.12962962962963" style="3"/>
    <col min="5449" max="5449" width="9.25" style="3" customWidth="1"/>
    <col min="5450" max="5452" width="9.12962962962963" style="3"/>
    <col min="5453" max="5455" width="9.75" style="3" customWidth="1"/>
    <col min="5456" max="5456" width="9.12962962962963" style="3"/>
    <col min="5457" max="5457" width="9.25" style="3" customWidth="1"/>
    <col min="5458" max="5460" width="9.12962962962963" style="3"/>
    <col min="5461" max="5463" width="9.75" style="3" customWidth="1"/>
    <col min="5464" max="5464" width="9.12962962962963" style="3"/>
    <col min="5465" max="5465" width="9.25" style="3" customWidth="1"/>
    <col min="5466" max="5468" width="9.12962962962963" style="3"/>
    <col min="5469" max="5471" width="9.75" style="3" customWidth="1"/>
    <col min="5472" max="5472" width="9.12962962962963" style="3"/>
    <col min="5473" max="5473" width="9.25" style="3" customWidth="1"/>
    <col min="5474" max="5476" width="9.12962962962963" style="3"/>
    <col min="5477" max="5479" width="9.75" style="3" customWidth="1"/>
    <col min="5480" max="5480" width="9.12962962962963" style="3"/>
    <col min="5481" max="5481" width="9.25" style="3" customWidth="1"/>
    <col min="5482" max="5484" width="9.12962962962963" style="3"/>
    <col min="5485" max="5487" width="9.75" style="3" customWidth="1"/>
    <col min="5488" max="5488" width="9.12962962962963" style="3"/>
    <col min="5489" max="5489" width="9.25" style="3" customWidth="1"/>
    <col min="5490" max="5492" width="9.12962962962963" style="3"/>
    <col min="5493" max="5495" width="9.75" style="3" customWidth="1"/>
    <col min="5496" max="5496" width="9.12962962962963" style="3"/>
    <col min="5497" max="5497" width="9.25" style="3" customWidth="1"/>
    <col min="5498" max="5500" width="9.12962962962963" style="3"/>
    <col min="5501" max="5503" width="9.75" style="3" customWidth="1"/>
    <col min="5504" max="5504" width="9.12962962962963" style="3"/>
    <col min="5505" max="5505" width="9.25" style="3" customWidth="1"/>
    <col min="5506" max="5508" width="9.12962962962963" style="3"/>
    <col min="5509" max="5511" width="9.75" style="3" customWidth="1"/>
    <col min="5512" max="5512" width="9.12962962962963" style="3"/>
    <col min="5513" max="5513" width="9.25" style="3" customWidth="1"/>
    <col min="5514" max="5516" width="9.12962962962963" style="3"/>
    <col min="5517" max="5519" width="9.75" style="3" customWidth="1"/>
    <col min="5520" max="5520" width="9.12962962962963" style="3"/>
    <col min="5521" max="5521" width="9.25" style="3" customWidth="1"/>
    <col min="5522" max="5524" width="9.12962962962963" style="3"/>
    <col min="5525" max="5527" width="9.75" style="3" customWidth="1"/>
    <col min="5528" max="5528" width="9.12962962962963" style="3"/>
    <col min="5529" max="5529" width="9.25" style="3" customWidth="1"/>
    <col min="5530" max="5532" width="9.12962962962963" style="3"/>
    <col min="5533" max="5535" width="9.75" style="3" customWidth="1"/>
    <col min="5536" max="5536" width="9.12962962962963" style="3"/>
    <col min="5537" max="5537" width="9.25" style="3" customWidth="1"/>
    <col min="5538" max="5540" width="9.12962962962963" style="3"/>
    <col min="5541" max="5543" width="9.75" style="3" customWidth="1"/>
    <col min="5544" max="5544" width="9.12962962962963" style="3"/>
    <col min="5545" max="5545" width="9.25" style="3" customWidth="1"/>
    <col min="5546" max="5548" width="9.12962962962963" style="3"/>
    <col min="5549" max="5551" width="9.75" style="3" customWidth="1"/>
    <col min="5552" max="5552" width="9.12962962962963" style="3"/>
    <col min="5553" max="5553" width="9.25" style="3" customWidth="1"/>
    <col min="5554" max="5556" width="9.12962962962963" style="3"/>
    <col min="5557" max="5559" width="9.75" style="3" customWidth="1"/>
    <col min="5560" max="5560" width="9.12962962962963" style="3"/>
    <col min="5561" max="5561" width="9.25" style="3" customWidth="1"/>
    <col min="5562" max="5564" width="9.12962962962963" style="3"/>
    <col min="5565" max="5567" width="9.75" style="3" customWidth="1"/>
    <col min="5568" max="5568" width="9.12962962962963" style="3"/>
    <col min="5569" max="5569" width="9.25" style="3" customWidth="1"/>
    <col min="5570" max="5572" width="9.12962962962963" style="3"/>
    <col min="5573" max="5575" width="9.75" style="3" customWidth="1"/>
    <col min="5576" max="5576" width="9.12962962962963" style="3"/>
    <col min="5577" max="5577" width="9.25" style="3" customWidth="1"/>
    <col min="5578" max="5580" width="9.12962962962963" style="3"/>
    <col min="5581" max="5583" width="9.75" style="3" customWidth="1"/>
    <col min="5584" max="5584" width="9.12962962962963" style="3"/>
    <col min="5585" max="5585" width="9.25" style="3" customWidth="1"/>
    <col min="5586" max="5588" width="9.12962962962963" style="3"/>
    <col min="5589" max="5591" width="9.75" style="3" customWidth="1"/>
    <col min="5592" max="5592" width="9.12962962962963" style="3"/>
    <col min="5593" max="5593" width="9.25" style="3" customWidth="1"/>
    <col min="5594" max="5596" width="9.12962962962963" style="3"/>
    <col min="5597" max="5599" width="9.75" style="3" customWidth="1"/>
    <col min="5600" max="5600" width="9.12962962962963" style="3"/>
    <col min="5601" max="5601" width="9.25" style="3" customWidth="1"/>
    <col min="5602" max="5604" width="9.12962962962963" style="3"/>
    <col min="5605" max="5607" width="9.75" style="3" customWidth="1"/>
    <col min="5608" max="5608" width="9.12962962962963" style="3"/>
    <col min="5609" max="5609" width="9.25" style="3" customWidth="1"/>
    <col min="5610" max="5612" width="9.12962962962963" style="3"/>
    <col min="5613" max="5615" width="9.75" style="3" customWidth="1"/>
    <col min="5616" max="5616" width="9.12962962962963" style="3"/>
    <col min="5617" max="5617" width="9.25" style="3" customWidth="1"/>
    <col min="5618" max="5620" width="9.12962962962963" style="3"/>
    <col min="5621" max="5623" width="9.75" style="3" customWidth="1"/>
    <col min="5624" max="5624" width="9.12962962962963" style="3"/>
    <col min="5625" max="5625" width="9.25" style="3" customWidth="1"/>
    <col min="5626" max="5628" width="9.12962962962963" style="3"/>
    <col min="5629" max="5631" width="9.75" style="3" customWidth="1"/>
    <col min="5632" max="5632" width="9.12962962962963" style="3"/>
    <col min="5633" max="5633" width="9.25" style="3" customWidth="1"/>
    <col min="5634" max="5636" width="9.12962962962963" style="3"/>
    <col min="5637" max="5639" width="9.75" style="3" customWidth="1"/>
    <col min="5640" max="5640" width="9.12962962962963" style="3"/>
    <col min="5641" max="5641" width="9.25" style="3" customWidth="1"/>
    <col min="5642" max="5644" width="9.12962962962963" style="3"/>
    <col min="5645" max="5647" width="9.75" style="3" customWidth="1"/>
    <col min="5648" max="5648" width="9.12962962962963" style="3"/>
    <col min="5649" max="5649" width="9.25" style="3" customWidth="1"/>
    <col min="5650" max="5652" width="9.12962962962963" style="3"/>
    <col min="5653" max="5655" width="9.75" style="3" customWidth="1"/>
    <col min="5656" max="5656" width="9.12962962962963" style="3"/>
    <col min="5657" max="5657" width="9.25" style="3" customWidth="1"/>
    <col min="5658" max="5660" width="9.12962962962963" style="3"/>
    <col min="5661" max="5663" width="9.75" style="3" customWidth="1"/>
    <col min="5664" max="5664" width="9.12962962962963" style="3"/>
    <col min="5665" max="5665" width="9.25" style="3" customWidth="1"/>
    <col min="5666" max="5668" width="9.12962962962963" style="3"/>
    <col min="5669" max="5671" width="9.75" style="3" customWidth="1"/>
    <col min="5672" max="5672" width="9.12962962962963" style="3"/>
    <col min="5673" max="5673" width="9.25" style="3" customWidth="1"/>
    <col min="5674" max="5676" width="9.12962962962963" style="3"/>
    <col min="5677" max="5679" width="9.75" style="3" customWidth="1"/>
    <col min="5680" max="5680" width="9.12962962962963" style="3"/>
    <col min="5681" max="5681" width="9.25" style="3" customWidth="1"/>
    <col min="5682" max="5684" width="9.12962962962963" style="3"/>
    <col min="5685" max="5687" width="9.75" style="3" customWidth="1"/>
    <col min="5688" max="5688" width="9.12962962962963" style="3"/>
    <col min="5689" max="5689" width="9.25" style="3" customWidth="1"/>
    <col min="5690" max="5692" width="9.12962962962963" style="3"/>
    <col min="5693" max="5695" width="9.75" style="3" customWidth="1"/>
    <col min="5696" max="5696" width="9.12962962962963" style="3"/>
    <col min="5697" max="5697" width="9.25" style="3" customWidth="1"/>
    <col min="5698" max="5700" width="9.12962962962963" style="3"/>
    <col min="5701" max="5703" width="9.75" style="3" customWidth="1"/>
    <col min="5704" max="5704" width="9.12962962962963" style="3"/>
    <col min="5705" max="5705" width="9.25" style="3" customWidth="1"/>
    <col min="5706" max="5708" width="9.12962962962963" style="3"/>
    <col min="5709" max="5711" width="9.75" style="3" customWidth="1"/>
    <col min="5712" max="5712" width="9.12962962962963" style="3"/>
    <col min="5713" max="5713" width="9.25" style="3" customWidth="1"/>
    <col min="5714" max="5716" width="9.12962962962963" style="3"/>
    <col min="5717" max="5719" width="9.75" style="3" customWidth="1"/>
    <col min="5720" max="5720" width="9.12962962962963" style="3"/>
    <col min="5721" max="5721" width="9.25" style="3" customWidth="1"/>
    <col min="5722" max="5724" width="9.12962962962963" style="3"/>
    <col min="5725" max="5727" width="9.75" style="3" customWidth="1"/>
    <col min="5728" max="5728" width="9.12962962962963" style="3"/>
    <col min="5729" max="5729" width="9.25" style="3" customWidth="1"/>
    <col min="5730" max="5732" width="9.12962962962963" style="3"/>
    <col min="5733" max="5735" width="9.75" style="3" customWidth="1"/>
    <col min="5736" max="5736" width="9.12962962962963" style="3"/>
    <col min="5737" max="5737" width="9.25" style="3" customWidth="1"/>
    <col min="5738" max="5740" width="9.12962962962963" style="3"/>
    <col min="5741" max="5743" width="9.75" style="3" customWidth="1"/>
    <col min="5744" max="5744" width="9.12962962962963" style="3"/>
    <col min="5745" max="5745" width="9.25" style="3" customWidth="1"/>
    <col min="5746" max="5748" width="9.12962962962963" style="3"/>
    <col min="5749" max="5751" width="9.75" style="3" customWidth="1"/>
    <col min="5752" max="5752" width="9.12962962962963" style="3"/>
    <col min="5753" max="5753" width="9.25" style="3" customWidth="1"/>
    <col min="5754" max="5756" width="9.12962962962963" style="3"/>
    <col min="5757" max="5759" width="9.75" style="3" customWidth="1"/>
    <col min="5760" max="5760" width="9.12962962962963" style="3"/>
    <col min="5761" max="5761" width="9.25" style="3" customWidth="1"/>
    <col min="5762" max="5764" width="9.12962962962963" style="3"/>
    <col min="5765" max="5767" width="9.75" style="3" customWidth="1"/>
    <col min="5768" max="5768" width="9.12962962962963" style="3"/>
    <col min="5769" max="5769" width="9.25" style="3" customWidth="1"/>
    <col min="5770" max="5772" width="9.12962962962963" style="3"/>
    <col min="5773" max="5775" width="9.75" style="3" customWidth="1"/>
    <col min="5776" max="5776" width="9.12962962962963" style="3"/>
    <col min="5777" max="5777" width="9.25" style="3" customWidth="1"/>
    <col min="5778" max="5780" width="9.12962962962963" style="3"/>
    <col min="5781" max="5783" width="9.75" style="3" customWidth="1"/>
    <col min="5784" max="5784" width="9.12962962962963" style="3"/>
    <col min="5785" max="5785" width="9.25" style="3" customWidth="1"/>
    <col min="5786" max="5788" width="9.12962962962963" style="3"/>
    <col min="5789" max="5791" width="9.75" style="3" customWidth="1"/>
    <col min="5792" max="5792" width="9.12962962962963" style="3"/>
    <col min="5793" max="5793" width="9.25" style="3" customWidth="1"/>
    <col min="5794" max="5796" width="9.12962962962963" style="3"/>
    <col min="5797" max="5799" width="9.75" style="3" customWidth="1"/>
    <col min="5800" max="5800" width="9.12962962962963" style="3"/>
    <col min="5801" max="5801" width="9.25" style="3" customWidth="1"/>
    <col min="5802" max="5804" width="9.12962962962963" style="3"/>
    <col min="5805" max="5807" width="9.75" style="3" customWidth="1"/>
    <col min="5808" max="5808" width="9.12962962962963" style="3"/>
    <col min="5809" max="5809" width="9.25" style="3" customWidth="1"/>
    <col min="5810" max="5812" width="9.12962962962963" style="3"/>
    <col min="5813" max="5815" width="9.75" style="3" customWidth="1"/>
    <col min="5816" max="5816" width="9.12962962962963" style="3"/>
    <col min="5817" max="5817" width="9.25" style="3" customWidth="1"/>
    <col min="5818" max="5820" width="9.12962962962963" style="3"/>
    <col min="5821" max="5823" width="9.75" style="3" customWidth="1"/>
    <col min="5824" max="5824" width="9.12962962962963" style="3"/>
    <col min="5825" max="5825" width="9.25" style="3" customWidth="1"/>
    <col min="5826" max="5828" width="9.12962962962963" style="3"/>
    <col min="5829" max="5831" width="9.75" style="3" customWidth="1"/>
    <col min="5832" max="5832" width="9.12962962962963" style="3"/>
    <col min="5833" max="5833" width="9.25" style="3" customWidth="1"/>
    <col min="5834" max="5836" width="9.12962962962963" style="3"/>
    <col min="5837" max="5839" width="9.75" style="3" customWidth="1"/>
    <col min="5840" max="5840" width="9.12962962962963" style="3"/>
    <col min="5841" max="5841" width="9.25" style="3" customWidth="1"/>
    <col min="5842" max="5844" width="9.12962962962963" style="3"/>
    <col min="5845" max="5847" width="9.75" style="3" customWidth="1"/>
    <col min="5848" max="5848" width="9.12962962962963" style="3"/>
    <col min="5849" max="5849" width="9.25" style="3" customWidth="1"/>
    <col min="5850" max="5852" width="9.12962962962963" style="3"/>
    <col min="5853" max="5855" width="9.75" style="3" customWidth="1"/>
    <col min="5856" max="5856" width="9.12962962962963" style="3"/>
    <col min="5857" max="5857" width="9.25" style="3" customWidth="1"/>
    <col min="5858" max="5860" width="9.12962962962963" style="3"/>
    <col min="5861" max="5863" width="9.75" style="3" customWidth="1"/>
    <col min="5864" max="5864" width="9.12962962962963" style="3"/>
    <col min="5865" max="5865" width="9.25" style="3" customWidth="1"/>
    <col min="5866" max="5868" width="9.12962962962963" style="3"/>
    <col min="5869" max="5871" width="9.75" style="3" customWidth="1"/>
    <col min="5872" max="5872" width="9.12962962962963" style="3"/>
    <col min="5873" max="5873" width="9.25" style="3" customWidth="1"/>
    <col min="5874" max="5876" width="9.12962962962963" style="3"/>
    <col min="5877" max="5879" width="9.75" style="3" customWidth="1"/>
    <col min="5880" max="5880" width="9.12962962962963" style="3"/>
    <col min="5881" max="5881" width="9.25" style="3" customWidth="1"/>
    <col min="5882" max="5884" width="9.12962962962963" style="3"/>
    <col min="5885" max="5887" width="9.75" style="3" customWidth="1"/>
    <col min="5888" max="5888" width="9.12962962962963" style="3"/>
    <col min="5889" max="5889" width="9.25" style="3" customWidth="1"/>
    <col min="5890" max="5892" width="9.12962962962963" style="3"/>
    <col min="5893" max="5895" width="9.75" style="3" customWidth="1"/>
    <col min="5896" max="5896" width="9.12962962962963" style="3"/>
    <col min="5897" max="5897" width="9.25" style="3" customWidth="1"/>
    <col min="5898" max="5900" width="9.12962962962963" style="3"/>
    <col min="5901" max="5903" width="9.75" style="3" customWidth="1"/>
    <col min="5904" max="5904" width="9.12962962962963" style="3"/>
    <col min="5905" max="5905" width="9.25" style="3" customWidth="1"/>
    <col min="5906" max="5908" width="9.12962962962963" style="3"/>
    <col min="5909" max="5911" width="9.75" style="3" customWidth="1"/>
    <col min="5912" max="5912" width="9.12962962962963" style="3"/>
    <col min="5913" max="5913" width="9.25" style="3" customWidth="1"/>
    <col min="5914" max="5916" width="9.12962962962963" style="3"/>
    <col min="5917" max="5919" width="9.75" style="3" customWidth="1"/>
    <col min="5920" max="5920" width="9.12962962962963" style="3"/>
    <col min="5921" max="5921" width="9.25" style="3" customWidth="1"/>
    <col min="5922" max="5924" width="9.12962962962963" style="3"/>
    <col min="5925" max="5927" width="9.75" style="3" customWidth="1"/>
    <col min="5928" max="5928" width="9.12962962962963" style="3"/>
    <col min="5929" max="5929" width="9.25" style="3" customWidth="1"/>
    <col min="5930" max="5932" width="9.12962962962963" style="3"/>
    <col min="5933" max="5935" width="9.75" style="3" customWidth="1"/>
    <col min="5936" max="5936" width="9.12962962962963" style="3"/>
    <col min="5937" max="5937" width="9.25" style="3" customWidth="1"/>
    <col min="5938" max="5940" width="9.12962962962963" style="3"/>
    <col min="5941" max="5943" width="9.75" style="3" customWidth="1"/>
    <col min="5944" max="5944" width="9.12962962962963" style="3"/>
    <col min="5945" max="5945" width="9.25" style="3" customWidth="1"/>
    <col min="5946" max="5948" width="9.12962962962963" style="3"/>
    <col min="5949" max="5951" width="9.75" style="3" customWidth="1"/>
    <col min="5952" max="5952" width="9.12962962962963" style="3"/>
    <col min="5953" max="5953" width="9.25" style="3" customWidth="1"/>
    <col min="5954" max="5956" width="9.12962962962963" style="3"/>
    <col min="5957" max="5959" width="9.75" style="3" customWidth="1"/>
    <col min="5960" max="5960" width="9.12962962962963" style="3"/>
    <col min="5961" max="5961" width="9.25" style="3" customWidth="1"/>
    <col min="5962" max="5964" width="9.12962962962963" style="3"/>
    <col min="5965" max="5967" width="9.75" style="3" customWidth="1"/>
    <col min="5968" max="5968" width="9.12962962962963" style="3"/>
    <col min="5969" max="5969" width="9.25" style="3" customWidth="1"/>
    <col min="5970" max="5972" width="9.12962962962963" style="3"/>
    <col min="5973" max="5975" width="9.75" style="3" customWidth="1"/>
    <col min="5976" max="5976" width="9.12962962962963" style="3"/>
    <col min="5977" max="5977" width="9.25" style="3" customWidth="1"/>
    <col min="5978" max="5980" width="9.12962962962963" style="3"/>
    <col min="5981" max="5983" width="9.75" style="3" customWidth="1"/>
    <col min="5984" max="5984" width="9.12962962962963" style="3"/>
    <col min="5985" max="5985" width="9.25" style="3" customWidth="1"/>
    <col min="5986" max="5988" width="9.12962962962963" style="3"/>
    <col min="5989" max="5991" width="9.75" style="3" customWidth="1"/>
    <col min="5992" max="5992" width="9.12962962962963" style="3"/>
    <col min="5993" max="5993" width="9.25" style="3" customWidth="1"/>
    <col min="5994" max="5996" width="9.12962962962963" style="3"/>
    <col min="5997" max="5999" width="9.75" style="3" customWidth="1"/>
    <col min="6000" max="6000" width="9.12962962962963" style="3"/>
    <col min="6001" max="6001" width="9.25" style="3" customWidth="1"/>
    <col min="6002" max="6004" width="9.12962962962963" style="3"/>
    <col min="6005" max="6007" width="9.75" style="3" customWidth="1"/>
    <col min="6008" max="6008" width="9.12962962962963" style="3"/>
    <col min="6009" max="6009" width="9.25" style="3" customWidth="1"/>
    <col min="6010" max="6012" width="9.12962962962963" style="3"/>
    <col min="6013" max="6015" width="9.75" style="3" customWidth="1"/>
    <col min="6016" max="6016" width="9.12962962962963" style="3"/>
    <col min="6017" max="6017" width="9.25" style="3" customWidth="1"/>
    <col min="6018" max="6020" width="9.12962962962963" style="3"/>
    <col min="6021" max="6023" width="9.75" style="3" customWidth="1"/>
    <col min="6024" max="6024" width="9.12962962962963" style="3"/>
    <col min="6025" max="6025" width="9.25" style="3" customWidth="1"/>
    <col min="6026" max="6028" width="9.12962962962963" style="3"/>
    <col min="6029" max="6031" width="9.75" style="3" customWidth="1"/>
    <col min="6032" max="6032" width="9.12962962962963" style="3"/>
    <col min="6033" max="6033" width="9.25" style="3" customWidth="1"/>
    <col min="6034" max="6036" width="9.12962962962963" style="3"/>
    <col min="6037" max="6039" width="9.75" style="3" customWidth="1"/>
    <col min="6040" max="6040" width="9.12962962962963" style="3"/>
    <col min="6041" max="6041" width="9.25" style="3" customWidth="1"/>
    <col min="6042" max="6044" width="9.12962962962963" style="3"/>
    <col min="6045" max="6047" width="9.75" style="3" customWidth="1"/>
    <col min="6048" max="6048" width="9.12962962962963" style="3"/>
    <col min="6049" max="6049" width="9.25" style="3" customWidth="1"/>
    <col min="6050" max="6052" width="9.12962962962963" style="3"/>
    <col min="6053" max="6055" width="9.75" style="3" customWidth="1"/>
    <col min="6056" max="6056" width="9.12962962962963" style="3"/>
    <col min="6057" max="6057" width="9.25" style="3" customWidth="1"/>
    <col min="6058" max="6060" width="9.12962962962963" style="3"/>
    <col min="6061" max="6063" width="9.75" style="3" customWidth="1"/>
    <col min="6064" max="6064" width="9.12962962962963" style="3"/>
    <col min="6065" max="6065" width="9.25" style="3" customWidth="1"/>
    <col min="6066" max="6068" width="9.12962962962963" style="3"/>
    <col min="6069" max="6071" width="9.75" style="3" customWidth="1"/>
    <col min="6072" max="6072" width="9.12962962962963" style="3"/>
    <col min="6073" max="6073" width="9.25" style="3" customWidth="1"/>
    <col min="6074" max="6076" width="9.12962962962963" style="3"/>
    <col min="6077" max="6079" width="9.75" style="3" customWidth="1"/>
    <col min="6080" max="6080" width="9.12962962962963" style="3"/>
    <col min="6081" max="6081" width="9.25" style="3" customWidth="1"/>
    <col min="6082" max="6084" width="9.12962962962963" style="3"/>
    <col min="6085" max="6087" width="9.75" style="3" customWidth="1"/>
    <col min="6088" max="6088" width="9.12962962962963" style="3"/>
    <col min="6089" max="6089" width="9.25" style="3" customWidth="1"/>
    <col min="6090" max="6092" width="9.12962962962963" style="3"/>
    <col min="6093" max="6095" width="9.75" style="3" customWidth="1"/>
    <col min="6096" max="6096" width="9.12962962962963" style="3"/>
    <col min="6097" max="6097" width="9.25" style="3" customWidth="1"/>
    <col min="6098" max="6100" width="9.12962962962963" style="3"/>
    <col min="6101" max="6103" width="9.75" style="3" customWidth="1"/>
    <col min="6104" max="6104" width="9.12962962962963" style="3"/>
    <col min="6105" max="6105" width="9.25" style="3" customWidth="1"/>
    <col min="6106" max="6108" width="9.12962962962963" style="3"/>
    <col min="6109" max="6111" width="9.75" style="3" customWidth="1"/>
    <col min="6112" max="6112" width="9.12962962962963" style="3"/>
    <col min="6113" max="6113" width="9.25" style="3" customWidth="1"/>
    <col min="6114" max="6116" width="9.12962962962963" style="3"/>
    <col min="6117" max="6119" width="9.75" style="3" customWidth="1"/>
    <col min="6120" max="6120" width="9.12962962962963" style="3"/>
    <col min="6121" max="6121" width="9.25" style="3" customWidth="1"/>
    <col min="6122" max="6124" width="9.12962962962963" style="3"/>
    <col min="6125" max="6127" width="9.75" style="3" customWidth="1"/>
    <col min="6128" max="6128" width="9.12962962962963" style="3"/>
    <col min="6129" max="6129" width="9.25" style="3" customWidth="1"/>
    <col min="6130" max="6132" width="9.12962962962963" style="3"/>
    <col min="6133" max="6135" width="9.75" style="3" customWidth="1"/>
    <col min="6136" max="6136" width="9.12962962962963" style="3"/>
    <col min="6137" max="6137" width="9.25" style="3" customWidth="1"/>
    <col min="6138" max="6140" width="9.12962962962963" style="3"/>
    <col min="6141" max="6143" width="9.75" style="3" customWidth="1"/>
    <col min="6144" max="6144" width="9.12962962962963" style="3"/>
    <col min="6145" max="6145" width="9.25" style="3" customWidth="1"/>
    <col min="6146" max="6148" width="9.12962962962963" style="3"/>
    <col min="6149" max="6151" width="9.75" style="3" customWidth="1"/>
    <col min="6152" max="6152" width="9.12962962962963" style="3"/>
    <col min="6153" max="6153" width="9.25" style="3" customWidth="1"/>
    <col min="6154" max="6156" width="9.12962962962963" style="3"/>
    <col min="6157" max="6159" width="9.75" style="3" customWidth="1"/>
    <col min="6160" max="6160" width="9.12962962962963" style="3"/>
    <col min="6161" max="6161" width="9.25" style="3" customWidth="1"/>
    <col min="6162" max="6164" width="9.12962962962963" style="3"/>
    <col min="6165" max="6167" width="9.75" style="3" customWidth="1"/>
    <col min="6168" max="6168" width="9.12962962962963" style="3"/>
    <col min="6169" max="6169" width="9.25" style="3" customWidth="1"/>
    <col min="6170" max="6172" width="9.12962962962963" style="3"/>
    <col min="6173" max="6175" width="9.75" style="3" customWidth="1"/>
    <col min="6176" max="6176" width="9.12962962962963" style="3"/>
    <col min="6177" max="6177" width="9.25" style="3" customWidth="1"/>
    <col min="6178" max="6180" width="9.12962962962963" style="3"/>
    <col min="6181" max="6183" width="9.75" style="3" customWidth="1"/>
    <col min="6184" max="6184" width="9.12962962962963" style="3"/>
    <col min="6185" max="6185" width="9.25" style="3" customWidth="1"/>
    <col min="6186" max="6188" width="9.12962962962963" style="3"/>
    <col min="6189" max="6191" width="9.75" style="3" customWidth="1"/>
    <col min="6192" max="6192" width="9.12962962962963" style="3"/>
    <col min="6193" max="6193" width="9.25" style="3" customWidth="1"/>
    <col min="6194" max="6196" width="9.12962962962963" style="3"/>
    <col min="6197" max="6199" width="9.75" style="3" customWidth="1"/>
    <col min="6200" max="6200" width="9.12962962962963" style="3"/>
    <col min="6201" max="6201" width="9.25" style="3" customWidth="1"/>
    <col min="6202" max="6204" width="9.12962962962963" style="3"/>
    <col min="6205" max="6207" width="9.75" style="3" customWidth="1"/>
    <col min="6208" max="6208" width="9.12962962962963" style="3"/>
    <col min="6209" max="6209" width="9.25" style="3" customWidth="1"/>
    <col min="6210" max="6212" width="9.12962962962963" style="3"/>
    <col min="6213" max="6215" width="9.75" style="3" customWidth="1"/>
    <col min="6216" max="6216" width="9.12962962962963" style="3"/>
    <col min="6217" max="6217" width="9.25" style="3" customWidth="1"/>
    <col min="6218" max="6220" width="9.12962962962963" style="3"/>
    <col min="6221" max="6223" width="9.75" style="3" customWidth="1"/>
    <col min="6224" max="6224" width="9.12962962962963" style="3"/>
    <col min="6225" max="6225" width="9.25" style="3" customWidth="1"/>
    <col min="6226" max="6228" width="9.12962962962963" style="3"/>
    <col min="6229" max="6231" width="9.75" style="3" customWidth="1"/>
    <col min="6232" max="6232" width="9.12962962962963" style="3"/>
    <col min="6233" max="6233" width="9.25" style="3" customWidth="1"/>
    <col min="6234" max="6236" width="9.12962962962963" style="3"/>
    <col min="6237" max="6239" width="9.75" style="3" customWidth="1"/>
    <col min="6240" max="6240" width="9.12962962962963" style="3"/>
    <col min="6241" max="6241" width="9.25" style="3" customWidth="1"/>
    <col min="6242" max="6244" width="9.12962962962963" style="3"/>
    <col min="6245" max="6247" width="9.75" style="3" customWidth="1"/>
    <col min="6248" max="6248" width="9.12962962962963" style="3"/>
    <col min="6249" max="6249" width="9.25" style="3" customWidth="1"/>
    <col min="6250" max="6252" width="9.12962962962963" style="3"/>
    <col min="6253" max="6255" width="9.75" style="3" customWidth="1"/>
    <col min="6256" max="6256" width="9.12962962962963" style="3"/>
    <col min="6257" max="6257" width="9.25" style="3" customWidth="1"/>
    <col min="6258" max="6260" width="9.12962962962963" style="3"/>
    <col min="6261" max="6263" width="9.75" style="3" customWidth="1"/>
    <col min="6264" max="6264" width="9.12962962962963" style="3"/>
    <col min="6265" max="6265" width="9.25" style="3" customWidth="1"/>
    <col min="6266" max="6268" width="9.12962962962963" style="3"/>
    <col min="6269" max="6271" width="9.75" style="3" customWidth="1"/>
    <col min="6272" max="6272" width="9.12962962962963" style="3"/>
    <col min="6273" max="6273" width="9.25" style="3" customWidth="1"/>
    <col min="6274" max="6276" width="9.12962962962963" style="3"/>
    <col min="6277" max="6279" width="9.75" style="3" customWidth="1"/>
    <col min="6280" max="6280" width="9.12962962962963" style="3"/>
    <col min="6281" max="6281" width="9.25" style="3" customWidth="1"/>
    <col min="6282" max="6284" width="9.12962962962963" style="3"/>
    <col min="6285" max="6287" width="9.75" style="3" customWidth="1"/>
    <col min="6288" max="6288" width="9.12962962962963" style="3"/>
    <col min="6289" max="6289" width="9.25" style="3" customWidth="1"/>
    <col min="6290" max="6292" width="9.12962962962963" style="3"/>
    <col min="6293" max="6295" width="9.75" style="3" customWidth="1"/>
    <col min="6296" max="6296" width="9.12962962962963" style="3"/>
    <col min="6297" max="6297" width="9.25" style="3" customWidth="1"/>
    <col min="6298" max="6300" width="9.12962962962963" style="3"/>
    <col min="6301" max="6303" width="9.75" style="3" customWidth="1"/>
    <col min="6304" max="6304" width="9.12962962962963" style="3"/>
    <col min="6305" max="6305" width="9.25" style="3" customWidth="1"/>
    <col min="6306" max="6308" width="9.12962962962963" style="3"/>
    <col min="6309" max="6311" width="9.75" style="3" customWidth="1"/>
    <col min="6312" max="6312" width="9.12962962962963" style="3"/>
    <col min="6313" max="6313" width="9.25" style="3" customWidth="1"/>
    <col min="6314" max="6316" width="9.12962962962963" style="3"/>
    <col min="6317" max="6319" width="9.75" style="3" customWidth="1"/>
    <col min="6320" max="6320" width="9.12962962962963" style="3"/>
    <col min="6321" max="6321" width="9.25" style="3" customWidth="1"/>
    <col min="6322" max="6324" width="9.12962962962963" style="3"/>
    <col min="6325" max="6327" width="9.75" style="3" customWidth="1"/>
    <col min="6328" max="6328" width="9.12962962962963" style="3"/>
    <col min="6329" max="6329" width="9.25" style="3" customWidth="1"/>
    <col min="6330" max="6332" width="9.12962962962963" style="3"/>
    <col min="6333" max="6335" width="9.75" style="3" customWidth="1"/>
    <col min="6336" max="6336" width="9.12962962962963" style="3"/>
    <col min="6337" max="6337" width="9.25" style="3" customWidth="1"/>
    <col min="6338" max="6340" width="9.12962962962963" style="3"/>
    <col min="6341" max="6343" width="9.75" style="3" customWidth="1"/>
    <col min="6344" max="6344" width="9.12962962962963" style="3"/>
    <col min="6345" max="6345" width="9.25" style="3" customWidth="1"/>
    <col min="6346" max="6348" width="9.12962962962963" style="3"/>
    <col min="6349" max="6351" width="9.75" style="3" customWidth="1"/>
    <col min="6352" max="6352" width="9.12962962962963" style="3"/>
    <col min="6353" max="6353" width="9.25" style="3" customWidth="1"/>
    <col min="6354" max="6356" width="9.12962962962963" style="3"/>
    <col min="6357" max="6359" width="9.75" style="3" customWidth="1"/>
    <col min="6360" max="6360" width="9.12962962962963" style="3"/>
    <col min="6361" max="6361" width="9.25" style="3" customWidth="1"/>
    <col min="6362" max="6364" width="9.12962962962963" style="3"/>
    <col min="6365" max="6367" width="9.75" style="3" customWidth="1"/>
    <col min="6368" max="6368" width="9.12962962962963" style="3"/>
    <col min="6369" max="6369" width="9.25" style="3" customWidth="1"/>
    <col min="6370" max="6372" width="9.12962962962963" style="3"/>
    <col min="6373" max="6375" width="9.75" style="3" customWidth="1"/>
    <col min="6376" max="6376" width="9.12962962962963" style="3"/>
    <col min="6377" max="6377" width="9.25" style="3" customWidth="1"/>
    <col min="6378" max="6380" width="9.12962962962963" style="3"/>
    <col min="6381" max="6383" width="9.75" style="3" customWidth="1"/>
    <col min="6384" max="6384" width="9.12962962962963" style="3"/>
    <col min="6385" max="6385" width="9.25" style="3" customWidth="1"/>
    <col min="6386" max="6388" width="9.12962962962963" style="3"/>
    <col min="6389" max="6391" width="9.75" style="3" customWidth="1"/>
    <col min="6392" max="6392" width="9.12962962962963" style="3"/>
    <col min="6393" max="6393" width="9.25" style="3" customWidth="1"/>
    <col min="6394" max="6396" width="9.12962962962963" style="3"/>
    <col min="6397" max="6399" width="9.75" style="3" customWidth="1"/>
    <col min="6400" max="6400" width="9.12962962962963" style="3"/>
    <col min="6401" max="6401" width="9.25" style="3" customWidth="1"/>
    <col min="6402" max="6404" width="9.12962962962963" style="3"/>
    <col min="6405" max="6407" width="9.75" style="3" customWidth="1"/>
    <col min="6408" max="6408" width="9.12962962962963" style="3"/>
    <col min="6409" max="6409" width="9.25" style="3" customWidth="1"/>
    <col min="6410" max="6412" width="9.12962962962963" style="3"/>
    <col min="6413" max="6415" width="9.75" style="3" customWidth="1"/>
    <col min="6416" max="6416" width="9.12962962962963" style="3"/>
    <col min="6417" max="6417" width="9.25" style="3" customWidth="1"/>
    <col min="6418" max="6420" width="9.12962962962963" style="3"/>
    <col min="6421" max="6423" width="9.75" style="3" customWidth="1"/>
    <col min="6424" max="6424" width="9.12962962962963" style="3"/>
    <col min="6425" max="6425" width="9.25" style="3" customWidth="1"/>
    <col min="6426" max="6428" width="9.12962962962963" style="3"/>
    <col min="6429" max="6431" width="9.75" style="3" customWidth="1"/>
    <col min="6432" max="6432" width="9.12962962962963" style="3"/>
    <col min="6433" max="6433" width="9.25" style="3" customWidth="1"/>
    <col min="6434" max="6436" width="9.12962962962963" style="3"/>
    <col min="6437" max="6439" width="9.75" style="3" customWidth="1"/>
    <col min="6440" max="6440" width="9.12962962962963" style="3"/>
    <col min="6441" max="6441" width="9.25" style="3" customWidth="1"/>
    <col min="6442" max="6444" width="9.12962962962963" style="3"/>
    <col min="6445" max="6447" width="9.75" style="3" customWidth="1"/>
    <col min="6448" max="6448" width="9.12962962962963" style="3"/>
    <col min="6449" max="6449" width="9.25" style="3" customWidth="1"/>
    <col min="6450" max="6452" width="9.12962962962963" style="3"/>
    <col min="6453" max="6455" width="9.75" style="3" customWidth="1"/>
    <col min="6456" max="6456" width="9.12962962962963" style="3"/>
    <col min="6457" max="6457" width="9.25" style="3" customWidth="1"/>
    <col min="6458" max="6460" width="9.12962962962963" style="3"/>
    <col min="6461" max="6463" width="9.75" style="3" customWidth="1"/>
    <col min="6464" max="6464" width="9.12962962962963" style="3"/>
    <col min="6465" max="6465" width="9.25" style="3" customWidth="1"/>
    <col min="6466" max="6468" width="9.12962962962963" style="3"/>
    <col min="6469" max="6471" width="9.75" style="3" customWidth="1"/>
    <col min="6472" max="6472" width="9.12962962962963" style="3"/>
    <col min="6473" max="6473" width="9.25" style="3" customWidth="1"/>
    <col min="6474" max="6476" width="9.12962962962963" style="3"/>
    <col min="6477" max="6479" width="9.75" style="3" customWidth="1"/>
    <col min="6480" max="6480" width="9.12962962962963" style="3"/>
    <col min="6481" max="6481" width="9.25" style="3" customWidth="1"/>
    <col min="6482" max="6484" width="9.12962962962963" style="3"/>
    <col min="6485" max="6487" width="9.75" style="3" customWidth="1"/>
    <col min="6488" max="6488" width="9.12962962962963" style="3"/>
    <col min="6489" max="6489" width="9.25" style="3" customWidth="1"/>
    <col min="6490" max="6492" width="9.12962962962963" style="3"/>
    <col min="6493" max="6495" width="9.75" style="3" customWidth="1"/>
    <col min="6496" max="6496" width="9.12962962962963" style="3"/>
    <col min="6497" max="6497" width="9.25" style="3" customWidth="1"/>
    <col min="6498" max="6500" width="9.12962962962963" style="3"/>
    <col min="6501" max="6503" width="9.75" style="3" customWidth="1"/>
    <col min="6504" max="6504" width="9.12962962962963" style="3"/>
    <col min="6505" max="6505" width="9.25" style="3" customWidth="1"/>
    <col min="6506" max="6508" width="9.12962962962963" style="3"/>
    <col min="6509" max="6511" width="9.75" style="3" customWidth="1"/>
    <col min="6512" max="6512" width="9.12962962962963" style="3"/>
    <col min="6513" max="6513" width="9.25" style="3" customWidth="1"/>
    <col min="6514" max="6516" width="9.12962962962963" style="3"/>
    <col min="6517" max="6519" width="9.75" style="3" customWidth="1"/>
    <col min="6520" max="6520" width="9.12962962962963" style="3"/>
    <col min="6521" max="6521" width="9.25" style="3" customWidth="1"/>
    <col min="6522" max="6524" width="9.12962962962963" style="3"/>
    <col min="6525" max="6527" width="9.75" style="3" customWidth="1"/>
    <col min="6528" max="6528" width="9.12962962962963" style="3"/>
    <col min="6529" max="6529" width="9.25" style="3" customWidth="1"/>
    <col min="6530" max="6532" width="9.12962962962963" style="3"/>
    <col min="6533" max="6535" width="9.75" style="3" customWidth="1"/>
    <col min="6536" max="6536" width="9.12962962962963" style="3"/>
    <col min="6537" max="6537" width="9.25" style="3" customWidth="1"/>
    <col min="6538" max="6540" width="9.12962962962963" style="3"/>
    <col min="6541" max="6543" width="9.75" style="3" customWidth="1"/>
    <col min="6544" max="6544" width="9.12962962962963" style="3"/>
    <col min="6545" max="6545" width="9.25" style="3" customWidth="1"/>
    <col min="6546" max="6548" width="9.12962962962963" style="3"/>
    <col min="6549" max="6551" width="9.75" style="3" customWidth="1"/>
    <col min="6552" max="6552" width="9.12962962962963" style="3"/>
    <col min="6553" max="6553" width="9.25" style="3" customWidth="1"/>
    <col min="6554" max="6556" width="9.12962962962963" style="3"/>
    <col min="6557" max="6559" width="9.75" style="3" customWidth="1"/>
    <col min="6560" max="6560" width="9.12962962962963" style="3"/>
    <col min="6561" max="6561" width="9.25" style="3" customWidth="1"/>
    <col min="6562" max="6564" width="9.12962962962963" style="3"/>
    <col min="6565" max="6567" width="9.75" style="3" customWidth="1"/>
    <col min="6568" max="6568" width="9.12962962962963" style="3"/>
    <col min="6569" max="6569" width="9.25" style="3" customWidth="1"/>
    <col min="6570" max="6572" width="9.12962962962963" style="3"/>
    <col min="6573" max="6575" width="9.75" style="3" customWidth="1"/>
    <col min="6576" max="6576" width="9.12962962962963" style="3"/>
    <col min="6577" max="6577" width="9.25" style="3" customWidth="1"/>
    <col min="6578" max="6580" width="9.12962962962963" style="3"/>
    <col min="6581" max="6583" width="9.75" style="3" customWidth="1"/>
    <col min="6584" max="6584" width="9.12962962962963" style="3"/>
    <col min="6585" max="6585" width="9.25" style="3" customWidth="1"/>
    <col min="6586" max="6588" width="9.12962962962963" style="3"/>
    <col min="6589" max="6591" width="9.75" style="3" customWidth="1"/>
    <col min="6592" max="6592" width="9.12962962962963" style="3"/>
    <col min="6593" max="6593" width="9.25" style="3" customWidth="1"/>
    <col min="6594" max="6596" width="9.12962962962963" style="3"/>
    <col min="6597" max="6599" width="9.75" style="3" customWidth="1"/>
    <col min="6600" max="6600" width="9.12962962962963" style="3"/>
    <col min="6601" max="6601" width="9.25" style="3" customWidth="1"/>
    <col min="6602" max="6604" width="9.12962962962963" style="3"/>
    <col min="6605" max="6607" width="9.75" style="3" customWidth="1"/>
    <col min="6608" max="6608" width="9.12962962962963" style="3"/>
    <col min="6609" max="6609" width="9.25" style="3" customWidth="1"/>
    <col min="6610" max="6612" width="9.12962962962963" style="3"/>
    <col min="6613" max="6615" width="9.75" style="3" customWidth="1"/>
    <col min="6616" max="6616" width="9.12962962962963" style="3"/>
    <col min="6617" max="6617" width="9.25" style="3" customWidth="1"/>
    <col min="6618" max="6620" width="9.12962962962963" style="3"/>
    <col min="6621" max="6623" width="9.75" style="3" customWidth="1"/>
    <col min="6624" max="6624" width="9.12962962962963" style="3"/>
    <col min="6625" max="6625" width="9.25" style="3" customWidth="1"/>
    <col min="6626" max="6628" width="9.12962962962963" style="3"/>
    <col min="6629" max="6631" width="9.75" style="3" customWidth="1"/>
    <col min="6632" max="6632" width="9.12962962962963" style="3"/>
    <col min="6633" max="6633" width="9.25" style="3" customWidth="1"/>
    <col min="6634" max="6636" width="9.12962962962963" style="3"/>
    <col min="6637" max="6639" width="9.75" style="3" customWidth="1"/>
    <col min="6640" max="6640" width="9.12962962962963" style="3"/>
    <col min="6641" max="6641" width="9.25" style="3" customWidth="1"/>
    <col min="6642" max="6644" width="9.12962962962963" style="3"/>
    <col min="6645" max="6647" width="9.75" style="3" customWidth="1"/>
    <col min="6648" max="6648" width="9.12962962962963" style="3"/>
    <col min="6649" max="6649" width="9.25" style="3" customWidth="1"/>
    <col min="6650" max="6652" width="9.12962962962963" style="3"/>
    <col min="6653" max="6655" width="9.75" style="3" customWidth="1"/>
    <col min="6656" max="6656" width="9.12962962962963" style="3"/>
    <col min="6657" max="6657" width="9.25" style="3" customWidth="1"/>
    <col min="6658" max="6660" width="9.12962962962963" style="3"/>
    <col min="6661" max="6663" width="9.75" style="3" customWidth="1"/>
    <col min="6664" max="6664" width="9.12962962962963" style="3"/>
    <col min="6665" max="6665" width="9.25" style="3" customWidth="1"/>
    <col min="6666" max="6668" width="9.12962962962963" style="3"/>
    <col min="6669" max="6671" width="9.75" style="3" customWidth="1"/>
    <col min="6672" max="6672" width="9.12962962962963" style="3"/>
    <col min="6673" max="6673" width="9.25" style="3" customWidth="1"/>
    <col min="6674" max="6676" width="9.12962962962963" style="3"/>
    <col min="6677" max="6679" width="9.75" style="3" customWidth="1"/>
    <col min="6680" max="6680" width="9.12962962962963" style="3"/>
    <col min="6681" max="6681" width="9.25" style="3" customWidth="1"/>
    <col min="6682" max="6684" width="9.12962962962963" style="3"/>
    <col min="6685" max="6687" width="9.75" style="3" customWidth="1"/>
    <col min="6688" max="6688" width="9.12962962962963" style="3"/>
    <col min="6689" max="6689" width="9.25" style="3" customWidth="1"/>
    <col min="6690" max="6692" width="9.12962962962963" style="3"/>
    <col min="6693" max="6695" width="9.75" style="3" customWidth="1"/>
    <col min="6696" max="6696" width="9.12962962962963" style="3"/>
    <col min="6697" max="6697" width="9.25" style="3" customWidth="1"/>
    <col min="6698" max="6700" width="9.12962962962963" style="3"/>
    <col min="6701" max="6703" width="9.75" style="3" customWidth="1"/>
    <col min="6704" max="6704" width="9.12962962962963" style="3"/>
    <col min="6705" max="6705" width="9.25" style="3" customWidth="1"/>
    <col min="6706" max="6708" width="9.12962962962963" style="3"/>
    <col min="6709" max="6711" width="9.75" style="3" customWidth="1"/>
    <col min="6712" max="6712" width="9.12962962962963" style="3"/>
    <col min="6713" max="6713" width="9.25" style="3" customWidth="1"/>
    <col min="6714" max="6716" width="9.12962962962963" style="3"/>
    <col min="6717" max="6719" width="9.75" style="3" customWidth="1"/>
    <col min="6720" max="6720" width="9.12962962962963" style="3"/>
    <col min="6721" max="6721" width="9.25" style="3" customWidth="1"/>
    <col min="6722" max="6724" width="9.12962962962963" style="3"/>
    <col min="6725" max="6727" width="9.75" style="3" customWidth="1"/>
    <col min="6728" max="6728" width="9.12962962962963" style="3"/>
    <col min="6729" max="6729" width="9.25" style="3" customWidth="1"/>
    <col min="6730" max="6732" width="9.12962962962963" style="3"/>
    <col min="6733" max="6735" width="9.75" style="3" customWidth="1"/>
    <col min="6736" max="6736" width="9.12962962962963" style="3"/>
    <col min="6737" max="6737" width="9.25" style="3" customWidth="1"/>
    <col min="6738" max="6740" width="9.12962962962963" style="3"/>
    <col min="6741" max="6743" width="9.75" style="3" customWidth="1"/>
    <col min="6744" max="6744" width="9.12962962962963" style="3"/>
    <col min="6745" max="6745" width="9.25" style="3" customWidth="1"/>
    <col min="6746" max="6748" width="9.12962962962963" style="3"/>
    <col min="6749" max="6751" width="9.75" style="3" customWidth="1"/>
    <col min="6752" max="6752" width="9.12962962962963" style="3"/>
    <col min="6753" max="6753" width="9.25" style="3" customWidth="1"/>
    <col min="6754" max="6756" width="9.12962962962963" style="3"/>
    <col min="6757" max="6759" width="9.75" style="3" customWidth="1"/>
    <col min="6760" max="6760" width="9.12962962962963" style="3"/>
    <col min="6761" max="6761" width="9.25" style="3" customWidth="1"/>
    <col min="6762" max="6764" width="9.12962962962963" style="3"/>
    <col min="6765" max="6767" width="9.75" style="3" customWidth="1"/>
    <col min="6768" max="6768" width="9.12962962962963" style="3"/>
    <col min="6769" max="6769" width="9.25" style="3" customWidth="1"/>
    <col min="6770" max="6772" width="9.12962962962963" style="3"/>
    <col min="6773" max="6775" width="9.75" style="3" customWidth="1"/>
    <col min="6776" max="6776" width="9.12962962962963" style="3"/>
    <col min="6777" max="6777" width="9.25" style="3" customWidth="1"/>
    <col min="6778" max="6780" width="9.12962962962963" style="3"/>
    <col min="6781" max="6783" width="9.75" style="3" customWidth="1"/>
    <col min="6784" max="6784" width="9.12962962962963" style="3"/>
    <col min="6785" max="6785" width="9.25" style="3" customWidth="1"/>
    <col min="6786" max="6788" width="9.12962962962963" style="3"/>
    <col min="6789" max="6791" width="9.75" style="3" customWidth="1"/>
    <col min="6792" max="6792" width="9.12962962962963" style="3"/>
    <col min="6793" max="6793" width="9.25" style="3" customWidth="1"/>
    <col min="6794" max="6796" width="9.12962962962963" style="3"/>
    <col min="6797" max="6799" width="9.75" style="3" customWidth="1"/>
    <col min="6800" max="6800" width="9.12962962962963" style="3"/>
    <col min="6801" max="6801" width="9.25" style="3" customWidth="1"/>
    <col min="6802" max="6804" width="9.12962962962963" style="3"/>
    <col min="6805" max="6807" width="9.75" style="3" customWidth="1"/>
    <col min="6808" max="6808" width="9.12962962962963" style="3"/>
    <col min="6809" max="6809" width="9.25" style="3" customWidth="1"/>
    <col min="6810" max="6812" width="9.12962962962963" style="3"/>
    <col min="6813" max="6815" width="9.75" style="3" customWidth="1"/>
    <col min="6816" max="6816" width="9.12962962962963" style="3"/>
    <col min="6817" max="6817" width="9.25" style="3" customWidth="1"/>
    <col min="6818" max="6820" width="9.12962962962963" style="3"/>
    <col min="6821" max="6823" width="9.75" style="3" customWidth="1"/>
    <col min="6824" max="6824" width="9.12962962962963" style="3"/>
    <col min="6825" max="6825" width="9.25" style="3" customWidth="1"/>
    <col min="6826" max="6828" width="9.12962962962963" style="3"/>
    <col min="6829" max="6831" width="9.75" style="3" customWidth="1"/>
    <col min="6832" max="6832" width="9.12962962962963" style="3"/>
    <col min="6833" max="6833" width="9.25" style="3" customWidth="1"/>
    <col min="6834" max="6836" width="9.12962962962963" style="3"/>
    <col min="6837" max="6839" width="9.75" style="3" customWidth="1"/>
    <col min="6840" max="6840" width="9.12962962962963" style="3"/>
    <col min="6841" max="6841" width="9.25" style="3" customWidth="1"/>
    <col min="6842" max="6844" width="9.12962962962963" style="3"/>
    <col min="6845" max="6847" width="9.75" style="3" customWidth="1"/>
    <col min="6848" max="6848" width="9.12962962962963" style="3"/>
    <col min="6849" max="6849" width="9.25" style="3" customWidth="1"/>
    <col min="6850" max="6852" width="9.12962962962963" style="3"/>
    <col min="6853" max="6855" width="9.75" style="3" customWidth="1"/>
    <col min="6856" max="6856" width="9.12962962962963" style="3"/>
    <col min="6857" max="6857" width="9.25" style="3" customWidth="1"/>
    <col min="6858" max="6860" width="9.12962962962963" style="3"/>
    <col min="6861" max="6863" width="9.75" style="3" customWidth="1"/>
    <col min="6864" max="6864" width="9.12962962962963" style="3"/>
    <col min="6865" max="6865" width="9.25" style="3" customWidth="1"/>
    <col min="6866" max="6868" width="9.12962962962963" style="3"/>
    <col min="6869" max="6871" width="9.75" style="3" customWidth="1"/>
    <col min="6872" max="6872" width="9.12962962962963" style="3"/>
    <col min="6873" max="6873" width="9.25" style="3" customWidth="1"/>
    <col min="6874" max="6876" width="9.12962962962963" style="3"/>
    <col min="6877" max="6879" width="9.75" style="3" customWidth="1"/>
    <col min="6880" max="6880" width="9.12962962962963" style="3"/>
    <col min="6881" max="6881" width="9.25" style="3" customWidth="1"/>
    <col min="6882" max="6884" width="9.12962962962963" style="3"/>
    <col min="6885" max="6887" width="9.75" style="3" customWidth="1"/>
    <col min="6888" max="6888" width="9.12962962962963" style="3"/>
    <col min="6889" max="6889" width="9.25" style="3" customWidth="1"/>
    <col min="6890" max="6892" width="9.12962962962963" style="3"/>
    <col min="6893" max="6895" width="9.75" style="3" customWidth="1"/>
    <col min="6896" max="6896" width="9.12962962962963" style="3"/>
    <col min="6897" max="6897" width="9.25" style="3" customWidth="1"/>
    <col min="6898" max="6900" width="9.12962962962963" style="3"/>
    <col min="6901" max="6903" width="9.75" style="3" customWidth="1"/>
    <col min="6904" max="6904" width="9.12962962962963" style="3"/>
    <col min="6905" max="6905" width="9.25" style="3" customWidth="1"/>
    <col min="6906" max="6908" width="9.12962962962963" style="3"/>
    <col min="6909" max="6911" width="9.75" style="3" customWidth="1"/>
    <col min="6912" max="6912" width="9.12962962962963" style="3"/>
    <col min="6913" max="6913" width="9.25" style="3" customWidth="1"/>
    <col min="6914" max="6916" width="9.12962962962963" style="3"/>
    <col min="6917" max="6919" width="9.75" style="3" customWidth="1"/>
    <col min="6920" max="6920" width="9.12962962962963" style="3"/>
    <col min="6921" max="6921" width="9.25" style="3" customWidth="1"/>
    <col min="6922" max="6924" width="9.12962962962963" style="3"/>
    <col min="6925" max="6927" width="9.75" style="3" customWidth="1"/>
    <col min="6928" max="6928" width="9.12962962962963" style="3"/>
    <col min="6929" max="6929" width="9.25" style="3" customWidth="1"/>
    <col min="6930" max="6932" width="9.12962962962963" style="3"/>
    <col min="6933" max="6935" width="9.75" style="3" customWidth="1"/>
    <col min="6936" max="6936" width="9.12962962962963" style="3"/>
    <col min="6937" max="6937" width="9.25" style="3" customWidth="1"/>
    <col min="6938" max="6940" width="9.12962962962963" style="3"/>
    <col min="6941" max="6943" width="9.75" style="3" customWidth="1"/>
    <col min="6944" max="6944" width="9.12962962962963" style="3"/>
    <col min="6945" max="6945" width="9.25" style="3" customWidth="1"/>
    <col min="6946" max="6948" width="9.12962962962963" style="3"/>
    <col min="6949" max="6951" width="9.75" style="3" customWidth="1"/>
    <col min="6952" max="6952" width="9.12962962962963" style="3"/>
    <col min="6953" max="6953" width="9.25" style="3" customWidth="1"/>
    <col min="6954" max="6956" width="9.12962962962963" style="3"/>
    <col min="6957" max="6959" width="9.75" style="3" customWidth="1"/>
    <col min="6960" max="6960" width="9.12962962962963" style="3"/>
    <col min="6961" max="6961" width="9.25" style="3" customWidth="1"/>
    <col min="6962" max="6964" width="9.12962962962963" style="3"/>
    <col min="6965" max="6967" width="9.75" style="3" customWidth="1"/>
    <col min="6968" max="6968" width="9.12962962962963" style="3"/>
    <col min="6969" max="6969" width="9.25" style="3" customWidth="1"/>
    <col min="6970" max="6972" width="9.12962962962963" style="3"/>
    <col min="6973" max="6975" width="9.75" style="3" customWidth="1"/>
    <col min="6976" max="6976" width="9.12962962962963" style="3"/>
    <col min="6977" max="6977" width="9.25" style="3" customWidth="1"/>
    <col min="6978" max="6980" width="9.12962962962963" style="3"/>
    <col min="6981" max="6983" width="9.75" style="3" customWidth="1"/>
    <col min="6984" max="6984" width="9.12962962962963" style="3"/>
    <col min="6985" max="6985" width="9.25" style="3" customWidth="1"/>
    <col min="6986" max="6988" width="9.12962962962963" style="3"/>
    <col min="6989" max="6991" width="9.75" style="3" customWidth="1"/>
    <col min="6992" max="6992" width="9.12962962962963" style="3"/>
    <col min="6993" max="6993" width="9.25" style="3" customWidth="1"/>
    <col min="6994" max="6996" width="9.12962962962963" style="3"/>
    <col min="6997" max="6999" width="9.75" style="3" customWidth="1"/>
    <col min="7000" max="7000" width="9.12962962962963" style="3"/>
    <col min="7001" max="7001" width="9.25" style="3" customWidth="1"/>
    <col min="7002" max="7004" width="9.12962962962963" style="3"/>
    <col min="7005" max="7007" width="9.75" style="3" customWidth="1"/>
    <col min="7008" max="7008" width="9.12962962962963" style="3"/>
    <col min="7009" max="7009" width="9.25" style="3" customWidth="1"/>
    <col min="7010" max="7012" width="9.12962962962963" style="3"/>
    <col min="7013" max="7015" width="9.75" style="3" customWidth="1"/>
    <col min="7016" max="7016" width="9.12962962962963" style="3"/>
    <col min="7017" max="7017" width="9.25" style="3" customWidth="1"/>
    <col min="7018" max="7020" width="9.12962962962963" style="3"/>
    <col min="7021" max="7023" width="9.75" style="3" customWidth="1"/>
    <col min="7024" max="7024" width="9.12962962962963" style="3"/>
    <col min="7025" max="7025" width="9.25" style="3" customWidth="1"/>
    <col min="7026" max="7028" width="9.12962962962963" style="3"/>
    <col min="7029" max="7031" width="9.75" style="3" customWidth="1"/>
    <col min="7032" max="7032" width="9.12962962962963" style="3"/>
    <col min="7033" max="7033" width="9.25" style="3" customWidth="1"/>
    <col min="7034" max="7036" width="9.12962962962963" style="3"/>
    <col min="7037" max="7039" width="9.75" style="3" customWidth="1"/>
    <col min="7040" max="7040" width="9.12962962962963" style="3"/>
    <col min="7041" max="7041" width="9.25" style="3" customWidth="1"/>
    <col min="7042" max="7044" width="9.12962962962963" style="3"/>
    <col min="7045" max="7047" width="9.75" style="3" customWidth="1"/>
    <col min="7048" max="7048" width="9.12962962962963" style="3"/>
    <col min="7049" max="7049" width="9.25" style="3" customWidth="1"/>
    <col min="7050" max="7052" width="9.12962962962963" style="3"/>
    <col min="7053" max="7055" width="9.75" style="3" customWidth="1"/>
    <col min="7056" max="7056" width="9.12962962962963" style="3"/>
    <col min="7057" max="7057" width="9.25" style="3" customWidth="1"/>
    <col min="7058" max="7060" width="9.12962962962963" style="3"/>
    <col min="7061" max="7063" width="9.75" style="3" customWidth="1"/>
    <col min="7064" max="7064" width="9.12962962962963" style="3"/>
    <col min="7065" max="7065" width="9.25" style="3" customWidth="1"/>
    <col min="7066" max="7068" width="9.12962962962963" style="3"/>
    <col min="7069" max="7071" width="9.75" style="3" customWidth="1"/>
    <col min="7072" max="7072" width="9.12962962962963" style="3"/>
    <col min="7073" max="7073" width="9.25" style="3" customWidth="1"/>
    <col min="7074" max="7076" width="9.12962962962963" style="3"/>
    <col min="7077" max="7079" width="9.75" style="3" customWidth="1"/>
    <col min="7080" max="7080" width="9.12962962962963" style="3"/>
    <col min="7081" max="7081" width="9.25" style="3" customWidth="1"/>
    <col min="7082" max="7084" width="9.12962962962963" style="3"/>
    <col min="7085" max="7087" width="9.75" style="3" customWidth="1"/>
    <col min="7088" max="7088" width="9.12962962962963" style="3"/>
    <col min="7089" max="7089" width="9.25" style="3" customWidth="1"/>
    <col min="7090" max="7092" width="9.12962962962963" style="3"/>
    <col min="7093" max="7095" width="9.75" style="3" customWidth="1"/>
    <col min="7096" max="7096" width="9.12962962962963" style="3"/>
    <col min="7097" max="7097" width="9.25" style="3" customWidth="1"/>
    <col min="7098" max="7100" width="9.12962962962963" style="3"/>
    <col min="7101" max="7103" width="9.75" style="3" customWidth="1"/>
    <col min="7104" max="7104" width="9.12962962962963" style="3"/>
    <col min="7105" max="7105" width="9.25" style="3" customWidth="1"/>
    <col min="7106" max="7108" width="9.12962962962963" style="3"/>
    <col min="7109" max="7111" width="9.75" style="3" customWidth="1"/>
    <col min="7112" max="7112" width="9.12962962962963" style="3"/>
    <col min="7113" max="7113" width="9.25" style="3" customWidth="1"/>
    <col min="7114" max="7116" width="9.12962962962963" style="3"/>
    <col min="7117" max="7119" width="9.75" style="3" customWidth="1"/>
    <col min="7120" max="7120" width="9.12962962962963" style="3"/>
    <col min="7121" max="7121" width="9.25" style="3" customWidth="1"/>
    <col min="7122" max="7124" width="9.12962962962963" style="3"/>
    <col min="7125" max="7127" width="9.75" style="3" customWidth="1"/>
    <col min="7128" max="7128" width="9.12962962962963" style="3"/>
    <col min="7129" max="7129" width="9.25" style="3" customWidth="1"/>
    <col min="7130" max="7132" width="9.12962962962963" style="3"/>
    <col min="7133" max="7135" width="9.75" style="3" customWidth="1"/>
    <col min="7136" max="7136" width="9.12962962962963" style="3"/>
    <col min="7137" max="7137" width="9.25" style="3" customWidth="1"/>
    <col min="7138" max="7140" width="9.12962962962963" style="3"/>
    <col min="7141" max="7143" width="9.75" style="3" customWidth="1"/>
    <col min="7144" max="7144" width="9.12962962962963" style="3"/>
    <col min="7145" max="7145" width="9.25" style="3" customWidth="1"/>
    <col min="7146" max="7148" width="9.12962962962963" style="3"/>
    <col min="7149" max="7151" width="9.75" style="3" customWidth="1"/>
    <col min="7152" max="7152" width="9.12962962962963" style="3"/>
    <col min="7153" max="7153" width="9.25" style="3" customWidth="1"/>
    <col min="7154" max="7156" width="9.12962962962963" style="3"/>
    <col min="7157" max="7159" width="9.75" style="3" customWidth="1"/>
    <col min="7160" max="7160" width="9.12962962962963" style="3"/>
    <col min="7161" max="7161" width="9.25" style="3" customWidth="1"/>
    <col min="7162" max="7164" width="9.12962962962963" style="3"/>
    <col min="7165" max="7167" width="9.75" style="3" customWidth="1"/>
    <col min="7168" max="7168" width="9.12962962962963" style="3"/>
    <col min="7169" max="7169" width="9.25" style="3" customWidth="1"/>
    <col min="7170" max="7172" width="9.12962962962963" style="3"/>
    <col min="7173" max="7175" width="9.75" style="3" customWidth="1"/>
    <col min="7176" max="7176" width="9.12962962962963" style="3"/>
    <col min="7177" max="7177" width="9.25" style="3" customWidth="1"/>
    <col min="7178" max="7180" width="9.12962962962963" style="3"/>
    <col min="7181" max="7183" width="9.75" style="3" customWidth="1"/>
    <col min="7184" max="7184" width="9.12962962962963" style="3"/>
    <col min="7185" max="7185" width="9.25" style="3" customWidth="1"/>
    <col min="7186" max="7188" width="9.12962962962963" style="3"/>
    <col min="7189" max="7191" width="9.75" style="3" customWidth="1"/>
    <col min="7192" max="7192" width="9.12962962962963" style="3"/>
    <col min="7193" max="7193" width="9.25" style="3" customWidth="1"/>
    <col min="7194" max="7196" width="9.12962962962963" style="3"/>
    <col min="7197" max="7199" width="9.75" style="3" customWidth="1"/>
    <col min="7200" max="7200" width="9.12962962962963" style="3"/>
    <col min="7201" max="7201" width="9.25" style="3" customWidth="1"/>
    <col min="7202" max="7204" width="9.12962962962963" style="3"/>
    <col min="7205" max="7207" width="9.75" style="3" customWidth="1"/>
    <col min="7208" max="7208" width="9.12962962962963" style="3"/>
    <col min="7209" max="7209" width="9.25" style="3" customWidth="1"/>
    <col min="7210" max="7212" width="9.12962962962963" style="3"/>
    <col min="7213" max="7215" width="9.75" style="3" customWidth="1"/>
    <col min="7216" max="7216" width="9.12962962962963" style="3"/>
    <col min="7217" max="7217" width="9.25" style="3" customWidth="1"/>
    <col min="7218" max="7220" width="9.12962962962963" style="3"/>
    <col min="7221" max="7223" width="9.75" style="3" customWidth="1"/>
    <col min="7224" max="7224" width="9.12962962962963" style="3"/>
    <col min="7225" max="7225" width="9.25" style="3" customWidth="1"/>
    <col min="7226" max="7228" width="9.12962962962963" style="3"/>
    <col min="7229" max="7231" width="9.75" style="3" customWidth="1"/>
    <col min="7232" max="7232" width="9.12962962962963" style="3"/>
    <col min="7233" max="7233" width="9.25" style="3" customWidth="1"/>
    <col min="7234" max="7236" width="9.12962962962963" style="3"/>
    <col min="7237" max="7239" width="9.75" style="3" customWidth="1"/>
    <col min="7240" max="7240" width="9.12962962962963" style="3"/>
    <col min="7241" max="7241" width="9.25" style="3" customWidth="1"/>
    <col min="7242" max="7244" width="9.12962962962963" style="3"/>
    <col min="7245" max="7247" width="9.75" style="3" customWidth="1"/>
    <col min="7248" max="7248" width="9.12962962962963" style="3"/>
    <col min="7249" max="7249" width="9.25" style="3" customWidth="1"/>
    <col min="7250" max="7252" width="9.12962962962963" style="3"/>
    <col min="7253" max="7255" width="9.75" style="3" customWidth="1"/>
    <col min="7256" max="7256" width="9.12962962962963" style="3"/>
    <col min="7257" max="7257" width="9.25" style="3" customWidth="1"/>
    <col min="7258" max="7260" width="9.12962962962963" style="3"/>
    <col min="7261" max="7263" width="9.75" style="3" customWidth="1"/>
    <col min="7264" max="7264" width="9.12962962962963" style="3"/>
    <col min="7265" max="7265" width="9.25" style="3" customWidth="1"/>
    <col min="7266" max="7268" width="9.12962962962963" style="3"/>
    <col min="7269" max="7271" width="9.75" style="3" customWidth="1"/>
    <col min="7272" max="7272" width="9.12962962962963" style="3"/>
    <col min="7273" max="7273" width="9.25" style="3" customWidth="1"/>
    <col min="7274" max="7276" width="9.12962962962963" style="3"/>
    <col min="7277" max="7279" width="9.75" style="3" customWidth="1"/>
    <col min="7280" max="7280" width="9.12962962962963" style="3"/>
    <col min="7281" max="7281" width="9.25" style="3" customWidth="1"/>
    <col min="7282" max="7284" width="9.12962962962963" style="3"/>
    <col min="7285" max="7287" width="9.75" style="3" customWidth="1"/>
    <col min="7288" max="7288" width="9.12962962962963" style="3"/>
    <col min="7289" max="7289" width="9.25" style="3" customWidth="1"/>
    <col min="7290" max="7292" width="9.12962962962963" style="3"/>
    <col min="7293" max="7295" width="9.75" style="3" customWidth="1"/>
    <col min="7296" max="7296" width="9.12962962962963" style="3"/>
    <col min="7297" max="7297" width="9.25" style="3" customWidth="1"/>
    <col min="7298" max="7300" width="9.12962962962963" style="3"/>
    <col min="7301" max="7303" width="9.75" style="3" customWidth="1"/>
    <col min="7304" max="7304" width="9.12962962962963" style="3"/>
    <col min="7305" max="7305" width="9.25" style="3" customWidth="1"/>
    <col min="7306" max="7308" width="9.12962962962963" style="3"/>
    <col min="7309" max="7311" width="9.75" style="3" customWidth="1"/>
    <col min="7312" max="7312" width="9.12962962962963" style="3"/>
    <col min="7313" max="7313" width="9.25" style="3" customWidth="1"/>
    <col min="7314" max="7316" width="9.12962962962963" style="3"/>
    <col min="7317" max="7319" width="9.75" style="3" customWidth="1"/>
    <col min="7320" max="7320" width="9.12962962962963" style="3"/>
    <col min="7321" max="7321" width="9.25" style="3" customWidth="1"/>
    <col min="7322" max="7324" width="9.12962962962963" style="3"/>
    <col min="7325" max="7327" width="9.75" style="3" customWidth="1"/>
    <col min="7328" max="7328" width="9.12962962962963" style="3"/>
    <col min="7329" max="7329" width="9.25" style="3" customWidth="1"/>
    <col min="7330" max="7332" width="9.12962962962963" style="3"/>
    <col min="7333" max="7335" width="9.75" style="3" customWidth="1"/>
    <col min="7336" max="7336" width="9.12962962962963" style="3"/>
    <col min="7337" max="7337" width="9.25" style="3" customWidth="1"/>
    <col min="7338" max="7340" width="9.12962962962963" style="3"/>
    <col min="7341" max="7343" width="9.75" style="3" customWidth="1"/>
    <col min="7344" max="7344" width="9.12962962962963" style="3"/>
    <col min="7345" max="7345" width="9.25" style="3" customWidth="1"/>
    <col min="7346" max="7348" width="9.12962962962963" style="3"/>
    <col min="7349" max="7351" width="9.75" style="3" customWidth="1"/>
    <col min="7352" max="7352" width="9.12962962962963" style="3"/>
    <col min="7353" max="7353" width="9.25" style="3" customWidth="1"/>
    <col min="7354" max="7356" width="9.12962962962963" style="3"/>
    <col min="7357" max="7359" width="9.75" style="3" customWidth="1"/>
    <col min="7360" max="7360" width="9.12962962962963" style="3"/>
    <col min="7361" max="7361" width="9.25" style="3" customWidth="1"/>
    <col min="7362" max="7364" width="9.12962962962963" style="3"/>
    <col min="7365" max="7367" width="9.75" style="3" customWidth="1"/>
    <col min="7368" max="7368" width="9.12962962962963" style="3"/>
    <col min="7369" max="7369" width="9.25" style="3" customWidth="1"/>
    <col min="7370" max="7372" width="9.12962962962963" style="3"/>
    <col min="7373" max="7375" width="9.75" style="3" customWidth="1"/>
    <col min="7376" max="7376" width="9.12962962962963" style="3"/>
    <col min="7377" max="7377" width="9.25" style="3" customWidth="1"/>
    <col min="7378" max="7380" width="9.12962962962963" style="3"/>
    <col min="7381" max="7383" width="9.75" style="3" customWidth="1"/>
    <col min="7384" max="7384" width="9.12962962962963" style="3"/>
    <col min="7385" max="7385" width="9.25" style="3" customWidth="1"/>
    <col min="7386" max="7388" width="9.12962962962963" style="3"/>
    <col min="7389" max="7391" width="9.75" style="3" customWidth="1"/>
    <col min="7392" max="7392" width="9.12962962962963" style="3"/>
    <col min="7393" max="7393" width="9.25" style="3" customWidth="1"/>
    <col min="7394" max="7396" width="9.12962962962963" style="3"/>
    <col min="7397" max="7399" width="9.75" style="3" customWidth="1"/>
    <col min="7400" max="7400" width="9.12962962962963" style="3"/>
    <col min="7401" max="7401" width="9.25" style="3" customWidth="1"/>
    <col min="7402" max="7404" width="9.12962962962963" style="3"/>
    <col min="7405" max="7407" width="9.75" style="3" customWidth="1"/>
    <col min="7408" max="7408" width="9.12962962962963" style="3"/>
    <col min="7409" max="7409" width="9.25" style="3" customWidth="1"/>
    <col min="7410" max="7412" width="9.12962962962963" style="3"/>
    <col min="7413" max="7415" width="9.75" style="3" customWidth="1"/>
    <col min="7416" max="7416" width="9.12962962962963" style="3"/>
    <col min="7417" max="7417" width="9.25" style="3" customWidth="1"/>
    <col min="7418" max="7420" width="9.12962962962963" style="3"/>
    <col min="7421" max="7423" width="9.75" style="3" customWidth="1"/>
    <col min="7424" max="7424" width="9.12962962962963" style="3"/>
    <col min="7425" max="7425" width="9.25" style="3" customWidth="1"/>
    <col min="7426" max="7428" width="9.12962962962963" style="3"/>
    <col min="7429" max="7431" width="9.75" style="3" customWidth="1"/>
    <col min="7432" max="7432" width="9.12962962962963" style="3"/>
    <col min="7433" max="7433" width="9.25" style="3" customWidth="1"/>
    <col min="7434" max="7436" width="9.12962962962963" style="3"/>
    <col min="7437" max="7439" width="9.75" style="3" customWidth="1"/>
    <col min="7440" max="7440" width="9.12962962962963" style="3"/>
    <col min="7441" max="7441" width="9.25" style="3" customWidth="1"/>
    <col min="7442" max="7444" width="9.12962962962963" style="3"/>
    <col min="7445" max="7447" width="9.75" style="3" customWidth="1"/>
    <col min="7448" max="7448" width="9.12962962962963" style="3"/>
    <col min="7449" max="7449" width="9.25" style="3" customWidth="1"/>
    <col min="7450" max="7452" width="9.12962962962963" style="3"/>
    <col min="7453" max="7455" width="9.75" style="3" customWidth="1"/>
    <col min="7456" max="7456" width="9.12962962962963" style="3"/>
    <col min="7457" max="7457" width="9.25" style="3" customWidth="1"/>
    <col min="7458" max="7460" width="9.12962962962963" style="3"/>
    <col min="7461" max="7463" width="9.75" style="3" customWidth="1"/>
    <col min="7464" max="7464" width="9.12962962962963" style="3"/>
    <col min="7465" max="7465" width="9.25" style="3" customWidth="1"/>
    <col min="7466" max="7468" width="9.12962962962963" style="3"/>
    <col min="7469" max="7471" width="9.75" style="3" customWidth="1"/>
    <col min="7472" max="7472" width="9.12962962962963" style="3"/>
    <col min="7473" max="7473" width="9.25" style="3" customWidth="1"/>
    <col min="7474" max="7476" width="9.12962962962963" style="3"/>
    <col min="7477" max="7479" width="9.75" style="3" customWidth="1"/>
    <col min="7480" max="7480" width="9.12962962962963" style="3"/>
    <col min="7481" max="7481" width="9.25" style="3" customWidth="1"/>
    <col min="7482" max="7484" width="9.12962962962963" style="3"/>
    <col min="7485" max="7487" width="9.75" style="3" customWidth="1"/>
    <col min="7488" max="7488" width="9.12962962962963" style="3"/>
    <col min="7489" max="7489" width="9.25" style="3" customWidth="1"/>
    <col min="7490" max="7492" width="9.12962962962963" style="3"/>
    <col min="7493" max="7495" width="9.75" style="3" customWidth="1"/>
    <col min="7496" max="7496" width="9.12962962962963" style="3"/>
    <col min="7497" max="7497" width="9.25" style="3" customWidth="1"/>
    <col min="7498" max="7500" width="9.12962962962963" style="3"/>
    <col min="7501" max="7503" width="9.75" style="3" customWidth="1"/>
    <col min="7504" max="7504" width="9.12962962962963" style="3"/>
    <col min="7505" max="7505" width="9.25" style="3" customWidth="1"/>
    <col min="7506" max="7508" width="9.12962962962963" style="3"/>
    <col min="7509" max="7511" width="9.75" style="3" customWidth="1"/>
    <col min="7512" max="7512" width="9.12962962962963" style="3"/>
    <col min="7513" max="7513" width="9.25" style="3" customWidth="1"/>
    <col min="7514" max="7516" width="9.12962962962963" style="3"/>
    <col min="7517" max="7519" width="9.75" style="3" customWidth="1"/>
    <col min="7520" max="7520" width="9.12962962962963" style="3"/>
    <col min="7521" max="7521" width="9.25" style="3" customWidth="1"/>
    <col min="7522" max="7524" width="9.12962962962963" style="3"/>
    <col min="7525" max="7527" width="9.75" style="3" customWidth="1"/>
    <col min="7528" max="7528" width="9.12962962962963" style="3"/>
    <col min="7529" max="7529" width="9.25" style="3" customWidth="1"/>
    <col min="7530" max="7532" width="9.12962962962963" style="3"/>
    <col min="7533" max="7535" width="9.75" style="3" customWidth="1"/>
    <col min="7536" max="7536" width="9.12962962962963" style="3"/>
    <col min="7537" max="7537" width="9.25" style="3" customWidth="1"/>
    <col min="7538" max="7540" width="9.12962962962963" style="3"/>
    <col min="7541" max="7543" width="9.75" style="3" customWidth="1"/>
    <col min="7544" max="7544" width="9.12962962962963" style="3"/>
    <col min="7545" max="7545" width="9.25" style="3" customWidth="1"/>
    <col min="7546" max="7548" width="9.12962962962963" style="3"/>
    <col min="7549" max="7551" width="9.75" style="3" customWidth="1"/>
    <col min="7552" max="7552" width="9.12962962962963" style="3"/>
    <col min="7553" max="7553" width="9.25" style="3" customWidth="1"/>
    <col min="7554" max="7556" width="9.12962962962963" style="3"/>
    <col min="7557" max="7559" width="9.75" style="3" customWidth="1"/>
    <col min="7560" max="7560" width="9.12962962962963" style="3"/>
    <col min="7561" max="7561" width="9.25" style="3" customWidth="1"/>
    <col min="7562" max="7564" width="9.12962962962963" style="3"/>
    <col min="7565" max="7567" width="9.75" style="3" customWidth="1"/>
    <col min="7568" max="7568" width="9.12962962962963" style="3"/>
    <col min="7569" max="7569" width="9.25" style="3" customWidth="1"/>
    <col min="7570" max="7572" width="9.12962962962963" style="3"/>
    <col min="7573" max="7575" width="9.75" style="3" customWidth="1"/>
    <col min="7576" max="7576" width="9.12962962962963" style="3"/>
    <col min="7577" max="7577" width="9.25" style="3" customWidth="1"/>
    <col min="7578" max="7580" width="9.12962962962963" style="3"/>
    <col min="7581" max="7583" width="9.75" style="3" customWidth="1"/>
    <col min="7584" max="7584" width="9.12962962962963" style="3"/>
    <col min="7585" max="7585" width="9.25" style="3" customWidth="1"/>
    <col min="7586" max="7588" width="9.12962962962963" style="3"/>
    <col min="7589" max="7591" width="9.75" style="3" customWidth="1"/>
    <col min="7592" max="7592" width="9.12962962962963" style="3"/>
    <col min="7593" max="7593" width="9.25" style="3" customWidth="1"/>
    <col min="7594" max="7596" width="9.12962962962963" style="3"/>
    <col min="7597" max="7599" width="9.75" style="3" customWidth="1"/>
    <col min="7600" max="7600" width="9.12962962962963" style="3"/>
    <col min="7601" max="7601" width="9.25" style="3" customWidth="1"/>
    <col min="7602" max="7604" width="9.12962962962963" style="3"/>
    <col min="7605" max="7607" width="9.75" style="3" customWidth="1"/>
    <col min="7608" max="7608" width="9.12962962962963" style="3"/>
    <col min="7609" max="7609" width="9.25" style="3" customWidth="1"/>
    <col min="7610" max="7612" width="9.12962962962963" style="3"/>
    <col min="7613" max="7615" width="9.75" style="3" customWidth="1"/>
    <col min="7616" max="7616" width="9.12962962962963" style="3"/>
    <col min="7617" max="7617" width="9.25" style="3" customWidth="1"/>
    <col min="7618" max="7620" width="9.12962962962963" style="3"/>
    <col min="7621" max="7623" width="9.75" style="3" customWidth="1"/>
    <col min="7624" max="7624" width="9.12962962962963" style="3"/>
    <col min="7625" max="7625" width="9.25" style="3" customWidth="1"/>
    <col min="7626" max="7628" width="9.12962962962963" style="3"/>
    <col min="7629" max="7631" width="9.75" style="3" customWidth="1"/>
    <col min="7632" max="7632" width="9.12962962962963" style="3"/>
    <col min="7633" max="7633" width="9.25" style="3" customWidth="1"/>
    <col min="7634" max="7636" width="9.12962962962963" style="3"/>
    <col min="7637" max="7639" width="9.75" style="3" customWidth="1"/>
    <col min="7640" max="7640" width="9.12962962962963" style="3"/>
    <col min="7641" max="7641" width="9.25" style="3" customWidth="1"/>
    <col min="7642" max="7644" width="9.12962962962963" style="3"/>
    <col min="7645" max="7647" width="9.75" style="3" customWidth="1"/>
    <col min="7648" max="7648" width="9.12962962962963" style="3"/>
    <col min="7649" max="7649" width="9.25" style="3" customWidth="1"/>
    <col min="7650" max="7652" width="9.12962962962963" style="3"/>
    <col min="7653" max="7655" width="9.75" style="3" customWidth="1"/>
    <col min="7656" max="7656" width="9.12962962962963" style="3"/>
    <col min="7657" max="7657" width="9.25" style="3" customWidth="1"/>
    <col min="7658" max="7660" width="9.12962962962963" style="3"/>
    <col min="7661" max="7663" width="9.75" style="3" customWidth="1"/>
    <col min="7664" max="7664" width="9.12962962962963" style="3"/>
    <col min="7665" max="7665" width="9.25" style="3" customWidth="1"/>
    <col min="7666" max="7668" width="9.12962962962963" style="3"/>
    <col min="7669" max="7671" width="9.75" style="3" customWidth="1"/>
    <col min="7672" max="7672" width="9.12962962962963" style="3"/>
    <col min="7673" max="7673" width="9.25" style="3" customWidth="1"/>
    <col min="7674" max="7676" width="9.12962962962963" style="3"/>
    <col min="7677" max="7679" width="9.75" style="3" customWidth="1"/>
    <col min="7680" max="7680" width="9.12962962962963" style="3"/>
    <col min="7681" max="7681" width="9.25" style="3" customWidth="1"/>
    <col min="7682" max="7684" width="9.12962962962963" style="3"/>
    <col min="7685" max="7687" width="9.75" style="3" customWidth="1"/>
    <col min="7688" max="7688" width="9.12962962962963" style="3"/>
    <col min="7689" max="7689" width="9.25" style="3" customWidth="1"/>
    <col min="7690" max="7692" width="9.12962962962963" style="3"/>
    <col min="7693" max="7695" width="9.75" style="3" customWidth="1"/>
    <col min="7696" max="7696" width="9.12962962962963" style="3"/>
    <col min="7697" max="7697" width="9.25" style="3" customWidth="1"/>
    <col min="7698" max="7700" width="9.12962962962963" style="3"/>
    <col min="7701" max="7703" width="9.75" style="3" customWidth="1"/>
    <col min="7704" max="7704" width="9.12962962962963" style="3"/>
    <col min="7705" max="7705" width="9.25" style="3" customWidth="1"/>
    <col min="7706" max="7708" width="9.12962962962963" style="3"/>
    <col min="7709" max="7711" width="9.75" style="3" customWidth="1"/>
    <col min="7712" max="7712" width="9.12962962962963" style="3"/>
    <col min="7713" max="7713" width="9.25" style="3" customWidth="1"/>
    <col min="7714" max="7716" width="9.12962962962963" style="3"/>
    <col min="7717" max="7719" width="9.75" style="3" customWidth="1"/>
    <col min="7720" max="7720" width="9.12962962962963" style="3"/>
    <col min="7721" max="7721" width="9.25" style="3" customWidth="1"/>
    <col min="7722" max="7724" width="9.12962962962963" style="3"/>
    <col min="7725" max="7727" width="9.75" style="3" customWidth="1"/>
    <col min="7728" max="7728" width="9.12962962962963" style="3"/>
    <col min="7729" max="7729" width="9.25" style="3" customWidth="1"/>
    <col min="7730" max="7732" width="9.12962962962963" style="3"/>
    <col min="7733" max="7735" width="9.75" style="3" customWidth="1"/>
    <col min="7736" max="7736" width="9.12962962962963" style="3"/>
    <col min="7737" max="7737" width="9.25" style="3" customWidth="1"/>
    <col min="7738" max="7740" width="9.12962962962963" style="3"/>
    <col min="7741" max="7743" width="9.75" style="3" customWidth="1"/>
    <col min="7744" max="7744" width="9.12962962962963" style="3"/>
    <col min="7745" max="7745" width="9.25" style="3" customWidth="1"/>
    <col min="7746" max="7748" width="9.12962962962963" style="3"/>
    <col min="7749" max="7751" width="9.75" style="3" customWidth="1"/>
    <col min="7752" max="7752" width="9.12962962962963" style="3"/>
    <col min="7753" max="7753" width="9.25" style="3" customWidth="1"/>
    <col min="7754" max="7756" width="9.12962962962963" style="3"/>
    <col min="7757" max="7759" width="9.75" style="3" customWidth="1"/>
    <col min="7760" max="7760" width="9.12962962962963" style="3"/>
    <col min="7761" max="7761" width="9.25" style="3" customWidth="1"/>
    <col min="7762" max="7764" width="9.12962962962963" style="3"/>
    <col min="7765" max="7767" width="9.75" style="3" customWidth="1"/>
    <col min="7768" max="7768" width="9.12962962962963" style="3"/>
    <col min="7769" max="7769" width="9.25" style="3" customWidth="1"/>
    <col min="7770" max="7772" width="9.12962962962963" style="3"/>
    <col min="7773" max="7775" width="9.75" style="3" customWidth="1"/>
    <col min="7776" max="7776" width="9.12962962962963" style="3"/>
    <col min="7777" max="7777" width="9.25" style="3" customWidth="1"/>
    <col min="7778" max="7780" width="9.12962962962963" style="3"/>
    <col min="7781" max="7783" width="9.75" style="3" customWidth="1"/>
    <col min="7784" max="7784" width="9.12962962962963" style="3"/>
    <col min="7785" max="7785" width="9.25" style="3" customWidth="1"/>
    <col min="7786" max="7788" width="9.12962962962963" style="3"/>
    <col min="7789" max="7791" width="9.75" style="3" customWidth="1"/>
    <col min="7792" max="7792" width="9.12962962962963" style="3"/>
    <col min="7793" max="7793" width="9.25" style="3" customWidth="1"/>
    <col min="7794" max="7796" width="9.12962962962963" style="3"/>
    <col min="7797" max="7799" width="9.75" style="3" customWidth="1"/>
    <col min="7800" max="7800" width="9.12962962962963" style="3"/>
    <col min="7801" max="7801" width="9.25" style="3" customWidth="1"/>
    <col min="7802" max="7804" width="9.12962962962963" style="3"/>
    <col min="7805" max="7807" width="9.75" style="3" customWidth="1"/>
    <col min="7808" max="7808" width="9.12962962962963" style="3"/>
    <col min="7809" max="7809" width="9.25" style="3" customWidth="1"/>
    <col min="7810" max="7812" width="9.12962962962963" style="3"/>
    <col min="7813" max="7815" width="9.75" style="3" customWidth="1"/>
    <col min="7816" max="7816" width="9.12962962962963" style="3"/>
    <col min="7817" max="7817" width="9.25" style="3" customWidth="1"/>
    <col min="7818" max="7820" width="9.12962962962963" style="3"/>
    <col min="7821" max="7823" width="9.75" style="3" customWidth="1"/>
    <col min="7824" max="7824" width="9.12962962962963" style="3"/>
    <col min="7825" max="7825" width="9.25" style="3" customWidth="1"/>
    <col min="7826" max="7828" width="9.12962962962963" style="3"/>
    <col min="7829" max="7831" width="9.75" style="3" customWidth="1"/>
    <col min="7832" max="7832" width="9.12962962962963" style="3"/>
    <col min="7833" max="7833" width="9.25" style="3" customWidth="1"/>
    <col min="7834" max="7836" width="9.12962962962963" style="3"/>
    <col min="7837" max="7839" width="9.75" style="3" customWidth="1"/>
    <col min="7840" max="7840" width="9.12962962962963" style="3"/>
    <col min="7841" max="7841" width="9.25" style="3" customWidth="1"/>
    <col min="7842" max="7844" width="9.12962962962963" style="3"/>
    <col min="7845" max="7847" width="9.75" style="3" customWidth="1"/>
    <col min="7848" max="7848" width="9.12962962962963" style="3"/>
    <col min="7849" max="7849" width="9.25" style="3" customWidth="1"/>
    <col min="7850" max="7852" width="9.12962962962963" style="3"/>
    <col min="7853" max="7855" width="9.75" style="3" customWidth="1"/>
    <col min="7856" max="7856" width="9.12962962962963" style="3"/>
    <col min="7857" max="7857" width="9.25" style="3" customWidth="1"/>
    <col min="7858" max="7860" width="9.12962962962963" style="3"/>
    <col min="7861" max="7863" width="9.75" style="3" customWidth="1"/>
    <col min="7864" max="7864" width="9.12962962962963" style="3"/>
    <col min="7865" max="7865" width="9.25" style="3" customWidth="1"/>
    <col min="7866" max="7868" width="9.12962962962963" style="3"/>
    <col min="7869" max="7871" width="9.75" style="3" customWidth="1"/>
    <col min="7872" max="7872" width="9.12962962962963" style="3"/>
    <col min="7873" max="7873" width="9.25" style="3" customWidth="1"/>
    <col min="7874" max="7876" width="9.12962962962963" style="3"/>
    <col min="7877" max="7879" width="9.75" style="3" customWidth="1"/>
    <col min="7880" max="7880" width="9.12962962962963" style="3"/>
    <col min="7881" max="7881" width="9.25" style="3" customWidth="1"/>
    <col min="7882" max="7884" width="9.12962962962963" style="3"/>
    <col min="7885" max="7887" width="9.75" style="3" customWidth="1"/>
    <col min="7888" max="7888" width="9.12962962962963" style="3"/>
    <col min="7889" max="7889" width="9.25" style="3" customWidth="1"/>
    <col min="7890" max="7892" width="9.12962962962963" style="3"/>
    <col min="7893" max="7895" width="9.75" style="3" customWidth="1"/>
    <col min="7896" max="7896" width="9.12962962962963" style="3"/>
    <col min="7897" max="7897" width="9.25" style="3" customWidth="1"/>
    <col min="7898" max="7900" width="9.12962962962963" style="3"/>
    <col min="7901" max="7903" width="9.75" style="3" customWidth="1"/>
    <col min="7904" max="7904" width="9.12962962962963" style="3"/>
    <col min="7905" max="7905" width="9.25" style="3" customWidth="1"/>
    <col min="7906" max="7908" width="9.12962962962963" style="3"/>
    <col min="7909" max="7911" width="9.75" style="3" customWidth="1"/>
    <col min="7912" max="7912" width="9.12962962962963" style="3"/>
    <col min="7913" max="7913" width="9.25" style="3" customWidth="1"/>
    <col min="7914" max="7916" width="9.12962962962963" style="3"/>
    <col min="7917" max="7919" width="9.75" style="3" customWidth="1"/>
    <col min="7920" max="7920" width="9.12962962962963" style="3"/>
    <col min="7921" max="7921" width="9.25" style="3" customWidth="1"/>
    <col min="7922" max="7924" width="9.12962962962963" style="3"/>
    <col min="7925" max="7927" width="9.75" style="3" customWidth="1"/>
    <col min="7928" max="7928" width="9.12962962962963" style="3"/>
    <col min="7929" max="7929" width="9.25" style="3" customWidth="1"/>
    <col min="7930" max="7932" width="9.12962962962963" style="3"/>
    <col min="7933" max="7935" width="9.75" style="3" customWidth="1"/>
    <col min="7936" max="7936" width="9.12962962962963" style="3"/>
    <col min="7937" max="7937" width="9.25" style="3" customWidth="1"/>
    <col min="7938" max="7940" width="9.12962962962963" style="3"/>
    <col min="7941" max="7943" width="9.75" style="3" customWidth="1"/>
    <col min="7944" max="7944" width="9.12962962962963" style="3"/>
    <col min="7945" max="7945" width="9.25" style="3" customWidth="1"/>
    <col min="7946" max="7948" width="9.12962962962963" style="3"/>
    <col min="7949" max="7951" width="9.75" style="3" customWidth="1"/>
    <col min="7952" max="7952" width="9.12962962962963" style="3"/>
    <col min="7953" max="7953" width="9.25" style="3" customWidth="1"/>
    <col min="7954" max="7956" width="9.12962962962963" style="3"/>
    <col min="7957" max="7959" width="9.75" style="3" customWidth="1"/>
    <col min="7960" max="7960" width="9.12962962962963" style="3"/>
    <col min="7961" max="7961" width="9.25" style="3" customWidth="1"/>
    <col min="7962" max="7964" width="9.12962962962963" style="3"/>
    <col min="7965" max="7967" width="9.75" style="3" customWidth="1"/>
    <col min="7968" max="7968" width="9.12962962962963" style="3"/>
    <col min="7969" max="7969" width="9.25" style="3" customWidth="1"/>
    <col min="7970" max="7972" width="9.12962962962963" style="3"/>
    <col min="7973" max="7975" width="9.75" style="3" customWidth="1"/>
    <col min="7976" max="7976" width="9.12962962962963" style="3"/>
    <col min="7977" max="7977" width="9.25" style="3" customWidth="1"/>
    <col min="7978" max="7980" width="9.12962962962963" style="3"/>
    <col min="7981" max="7983" width="9.75" style="3" customWidth="1"/>
    <col min="7984" max="7984" width="9.12962962962963" style="3"/>
    <col min="7985" max="7985" width="9.25" style="3" customWidth="1"/>
    <col min="7986" max="7988" width="9.12962962962963" style="3"/>
    <col min="7989" max="7991" width="9.75" style="3" customWidth="1"/>
    <col min="7992" max="7992" width="9.12962962962963" style="3"/>
    <col min="7993" max="7993" width="9.25" style="3" customWidth="1"/>
    <col min="7994" max="7996" width="9.12962962962963" style="3"/>
    <col min="7997" max="7999" width="9.75" style="3" customWidth="1"/>
    <col min="8000" max="8000" width="9.12962962962963" style="3"/>
    <col min="8001" max="8001" width="9.25" style="3" customWidth="1"/>
    <col min="8002" max="8004" width="9.12962962962963" style="3"/>
    <col min="8005" max="8007" width="9.75" style="3" customWidth="1"/>
    <col min="8008" max="8008" width="9.12962962962963" style="3"/>
    <col min="8009" max="8009" width="9.25" style="3" customWidth="1"/>
    <col min="8010" max="8012" width="9.12962962962963" style="3"/>
    <col min="8013" max="8015" width="9.75" style="3" customWidth="1"/>
    <col min="8016" max="8016" width="9.12962962962963" style="3"/>
    <col min="8017" max="8017" width="9.25" style="3" customWidth="1"/>
    <col min="8018" max="8020" width="9.12962962962963" style="3"/>
    <col min="8021" max="8023" width="9.75" style="3" customWidth="1"/>
    <col min="8024" max="8024" width="9.12962962962963" style="3"/>
    <col min="8025" max="8025" width="9.25" style="3" customWidth="1"/>
    <col min="8026" max="8028" width="9.12962962962963" style="3"/>
    <col min="8029" max="8031" width="9.75" style="3" customWidth="1"/>
    <col min="8032" max="8032" width="9.12962962962963" style="3"/>
    <col min="8033" max="8033" width="9.25" style="3" customWidth="1"/>
    <col min="8034" max="8036" width="9.12962962962963" style="3"/>
    <col min="8037" max="8039" width="9.75" style="3" customWidth="1"/>
    <col min="8040" max="8040" width="9.12962962962963" style="3"/>
    <col min="8041" max="8041" width="9.25" style="3" customWidth="1"/>
    <col min="8042" max="8044" width="9.12962962962963" style="3"/>
    <col min="8045" max="8047" width="9.75" style="3" customWidth="1"/>
    <col min="8048" max="8048" width="9.12962962962963" style="3"/>
    <col min="8049" max="8049" width="9.25" style="3" customWidth="1"/>
    <col min="8050" max="8052" width="9.12962962962963" style="3"/>
    <col min="8053" max="8055" width="9.75" style="3" customWidth="1"/>
    <col min="8056" max="8056" width="9.12962962962963" style="3"/>
    <col min="8057" max="8057" width="9.25" style="3" customWidth="1"/>
    <col min="8058" max="8060" width="9.12962962962963" style="3"/>
    <col min="8061" max="8063" width="9.75" style="3" customWidth="1"/>
    <col min="8064" max="8064" width="9.12962962962963" style="3"/>
    <col min="8065" max="8065" width="9.25" style="3" customWidth="1"/>
    <col min="8066" max="8068" width="9.12962962962963" style="3"/>
    <col min="8069" max="8071" width="9.75" style="3" customWidth="1"/>
    <col min="8072" max="8072" width="9.12962962962963" style="3"/>
    <col min="8073" max="8073" width="9.25" style="3" customWidth="1"/>
    <col min="8074" max="8076" width="9.12962962962963" style="3"/>
    <col min="8077" max="8079" width="9.75" style="3" customWidth="1"/>
    <col min="8080" max="8080" width="9.12962962962963" style="3"/>
    <col min="8081" max="8081" width="9.25" style="3" customWidth="1"/>
    <col min="8082" max="8084" width="9.12962962962963" style="3"/>
    <col min="8085" max="8087" width="9.75" style="3" customWidth="1"/>
    <col min="8088" max="8088" width="9.12962962962963" style="3"/>
    <col min="8089" max="8089" width="9.25" style="3" customWidth="1"/>
    <col min="8090" max="8092" width="9.12962962962963" style="3"/>
    <col min="8093" max="8095" width="9.75" style="3" customWidth="1"/>
    <col min="8096" max="8096" width="9.12962962962963" style="3"/>
    <col min="8097" max="8097" width="9.25" style="3" customWidth="1"/>
    <col min="8098" max="8100" width="9.12962962962963" style="3"/>
    <col min="8101" max="8103" width="9.75" style="3" customWidth="1"/>
    <col min="8104" max="8104" width="9.12962962962963" style="3"/>
    <col min="8105" max="8105" width="9.25" style="3" customWidth="1"/>
    <col min="8106" max="8108" width="9.12962962962963" style="3"/>
    <col min="8109" max="8111" width="9.75" style="3" customWidth="1"/>
    <col min="8112" max="8112" width="9.12962962962963" style="3"/>
    <col min="8113" max="8113" width="9.25" style="3" customWidth="1"/>
    <col min="8114" max="8116" width="9.12962962962963" style="3"/>
    <col min="8117" max="8119" width="9.75" style="3" customWidth="1"/>
    <col min="8120" max="8120" width="9.12962962962963" style="3"/>
    <col min="8121" max="8121" width="9.25" style="3" customWidth="1"/>
    <col min="8122" max="8124" width="9.12962962962963" style="3"/>
    <col min="8125" max="8127" width="9.75" style="3" customWidth="1"/>
    <col min="8128" max="8128" width="9.12962962962963" style="3"/>
    <col min="8129" max="8129" width="9.25" style="3" customWidth="1"/>
    <col min="8130" max="8132" width="9.12962962962963" style="3"/>
    <col min="8133" max="8135" width="9.75" style="3" customWidth="1"/>
    <col min="8136" max="8136" width="9.12962962962963" style="3"/>
    <col min="8137" max="8137" width="9.25" style="3" customWidth="1"/>
    <col min="8138" max="8140" width="9.12962962962963" style="3"/>
    <col min="8141" max="8143" width="9.75" style="3" customWidth="1"/>
    <col min="8144" max="8144" width="9.12962962962963" style="3"/>
    <col min="8145" max="8145" width="9.25" style="3" customWidth="1"/>
    <col min="8146" max="8148" width="9.12962962962963" style="3"/>
    <col min="8149" max="8151" width="9.75" style="3" customWidth="1"/>
    <col min="8152" max="8152" width="9.12962962962963" style="3"/>
    <col min="8153" max="8153" width="9.25" style="3" customWidth="1"/>
    <col min="8154" max="8156" width="9.12962962962963" style="3"/>
    <col min="8157" max="8159" width="9.75" style="3" customWidth="1"/>
    <col min="8160" max="8160" width="9.12962962962963" style="3"/>
    <col min="8161" max="8161" width="9.25" style="3" customWidth="1"/>
    <col min="8162" max="8164" width="9.12962962962963" style="3"/>
    <col min="8165" max="8167" width="9.75" style="3" customWidth="1"/>
    <col min="8168" max="8168" width="9.12962962962963" style="3"/>
    <col min="8169" max="8169" width="9.25" style="3" customWidth="1"/>
    <col min="8170" max="8172" width="9.12962962962963" style="3"/>
    <col min="8173" max="8175" width="9.75" style="3" customWidth="1"/>
    <col min="8176" max="8176" width="9.12962962962963" style="3"/>
    <col min="8177" max="8177" width="9.25" style="3" customWidth="1"/>
    <col min="8178" max="8180" width="9.12962962962963" style="3"/>
    <col min="8181" max="8183" width="9.75" style="3" customWidth="1"/>
    <col min="8184" max="8184" width="9.12962962962963" style="3"/>
    <col min="8185" max="8185" width="9.25" style="3" customWidth="1"/>
    <col min="8186" max="8188" width="9.12962962962963" style="3"/>
    <col min="8189" max="8191" width="9.75" style="3" customWidth="1"/>
    <col min="8192" max="8192" width="9.12962962962963" style="3"/>
    <col min="8193" max="8193" width="9.25" style="3" customWidth="1"/>
    <col min="8194" max="8196" width="9.12962962962963" style="3"/>
    <col min="8197" max="8199" width="9.75" style="3" customWidth="1"/>
    <col min="8200" max="8200" width="9.12962962962963" style="3"/>
    <col min="8201" max="8201" width="9.25" style="3" customWidth="1"/>
    <col min="8202" max="8204" width="9.12962962962963" style="3"/>
    <col min="8205" max="8207" width="9.75" style="3" customWidth="1"/>
    <col min="8208" max="8208" width="9.12962962962963" style="3"/>
    <col min="8209" max="8209" width="9.25" style="3" customWidth="1"/>
    <col min="8210" max="8212" width="9.12962962962963" style="3"/>
    <col min="8213" max="8215" width="9.75" style="3" customWidth="1"/>
    <col min="8216" max="8216" width="9.12962962962963" style="3"/>
    <col min="8217" max="8217" width="9.25" style="3" customWidth="1"/>
    <col min="8218" max="8220" width="9.12962962962963" style="3"/>
    <col min="8221" max="8223" width="9.75" style="3" customWidth="1"/>
    <col min="8224" max="8224" width="9.12962962962963" style="3"/>
    <col min="8225" max="8225" width="9.25" style="3" customWidth="1"/>
    <col min="8226" max="8228" width="9.12962962962963" style="3"/>
    <col min="8229" max="8231" width="9.75" style="3" customWidth="1"/>
    <col min="8232" max="8232" width="9.12962962962963" style="3"/>
    <col min="8233" max="8233" width="9.25" style="3" customWidth="1"/>
    <col min="8234" max="8236" width="9.12962962962963" style="3"/>
    <col min="8237" max="8239" width="9.75" style="3" customWidth="1"/>
    <col min="8240" max="8240" width="9.12962962962963" style="3"/>
    <col min="8241" max="8241" width="9.25" style="3" customWidth="1"/>
    <col min="8242" max="8244" width="9.12962962962963" style="3"/>
    <col min="8245" max="8247" width="9.75" style="3" customWidth="1"/>
    <col min="8248" max="8248" width="9.12962962962963" style="3"/>
    <col min="8249" max="8249" width="9.25" style="3" customWidth="1"/>
    <col min="8250" max="8252" width="9.12962962962963" style="3"/>
    <col min="8253" max="8255" width="9.75" style="3" customWidth="1"/>
    <col min="8256" max="8256" width="9.12962962962963" style="3"/>
    <col min="8257" max="8257" width="9.25" style="3" customWidth="1"/>
    <col min="8258" max="8260" width="9.12962962962963" style="3"/>
    <col min="8261" max="8263" width="9.75" style="3" customWidth="1"/>
    <col min="8264" max="8264" width="9.12962962962963" style="3"/>
    <col min="8265" max="8265" width="9.25" style="3" customWidth="1"/>
    <col min="8266" max="8268" width="9.12962962962963" style="3"/>
    <col min="8269" max="8271" width="9.75" style="3" customWidth="1"/>
    <col min="8272" max="8272" width="9.12962962962963" style="3"/>
    <col min="8273" max="8273" width="9.25" style="3" customWidth="1"/>
    <col min="8274" max="8276" width="9.12962962962963" style="3"/>
    <col min="8277" max="8279" width="9.75" style="3" customWidth="1"/>
    <col min="8280" max="8280" width="9.12962962962963" style="3"/>
    <col min="8281" max="8281" width="9.25" style="3" customWidth="1"/>
    <col min="8282" max="8284" width="9.12962962962963" style="3"/>
    <col min="8285" max="8287" width="9.75" style="3" customWidth="1"/>
    <col min="8288" max="8288" width="9.12962962962963" style="3"/>
    <col min="8289" max="8289" width="9.25" style="3" customWidth="1"/>
    <col min="8290" max="8292" width="9.12962962962963" style="3"/>
    <col min="8293" max="8295" width="9.75" style="3" customWidth="1"/>
    <col min="8296" max="8296" width="9.12962962962963" style="3"/>
    <col min="8297" max="8297" width="9.25" style="3" customWidth="1"/>
    <col min="8298" max="8300" width="9.12962962962963" style="3"/>
    <col min="8301" max="8303" width="9.75" style="3" customWidth="1"/>
    <col min="8304" max="8304" width="9.12962962962963" style="3"/>
    <col min="8305" max="8305" width="9.25" style="3" customWidth="1"/>
    <col min="8306" max="8308" width="9.12962962962963" style="3"/>
    <col min="8309" max="8311" width="9.75" style="3" customWidth="1"/>
    <col min="8312" max="8312" width="9.12962962962963" style="3"/>
    <col min="8313" max="8313" width="9.25" style="3" customWidth="1"/>
    <col min="8314" max="8316" width="9.12962962962963" style="3"/>
    <col min="8317" max="8319" width="9.75" style="3" customWidth="1"/>
    <col min="8320" max="8320" width="9.12962962962963" style="3"/>
    <col min="8321" max="8321" width="9.25" style="3" customWidth="1"/>
    <col min="8322" max="8324" width="9.12962962962963" style="3"/>
    <col min="8325" max="8327" width="9.75" style="3" customWidth="1"/>
    <col min="8328" max="8328" width="9.12962962962963" style="3"/>
    <col min="8329" max="8329" width="9.25" style="3" customWidth="1"/>
    <col min="8330" max="8332" width="9.12962962962963" style="3"/>
    <col min="8333" max="8335" width="9.75" style="3" customWidth="1"/>
    <col min="8336" max="8336" width="9.12962962962963" style="3"/>
    <col min="8337" max="8337" width="9.25" style="3" customWidth="1"/>
    <col min="8338" max="8340" width="9.12962962962963" style="3"/>
    <col min="8341" max="8343" width="9.75" style="3" customWidth="1"/>
    <col min="8344" max="8344" width="9.12962962962963" style="3"/>
    <col min="8345" max="8345" width="9.25" style="3" customWidth="1"/>
    <col min="8346" max="8348" width="9.12962962962963" style="3"/>
    <col min="8349" max="8351" width="9.75" style="3" customWidth="1"/>
    <col min="8352" max="8352" width="9.12962962962963" style="3"/>
    <col min="8353" max="8353" width="9.25" style="3" customWidth="1"/>
    <col min="8354" max="8356" width="9.12962962962963" style="3"/>
    <col min="8357" max="8359" width="9.75" style="3" customWidth="1"/>
    <col min="8360" max="8360" width="9.12962962962963" style="3"/>
    <col min="8361" max="8361" width="9.25" style="3" customWidth="1"/>
    <col min="8362" max="8364" width="9.12962962962963" style="3"/>
    <col min="8365" max="8367" width="9.75" style="3" customWidth="1"/>
    <col min="8368" max="8368" width="9.12962962962963" style="3"/>
    <col min="8369" max="8369" width="9.25" style="3" customWidth="1"/>
    <col min="8370" max="8372" width="9.12962962962963" style="3"/>
    <col min="8373" max="8375" width="9.75" style="3" customWidth="1"/>
    <col min="8376" max="8376" width="9.12962962962963" style="3"/>
    <col min="8377" max="8377" width="9.25" style="3" customWidth="1"/>
    <col min="8378" max="8380" width="9.12962962962963" style="3"/>
    <col min="8381" max="8383" width="9.75" style="3" customWidth="1"/>
    <col min="8384" max="8384" width="9.12962962962963" style="3"/>
    <col min="8385" max="8385" width="9.25" style="3" customWidth="1"/>
    <col min="8386" max="8388" width="9.12962962962963" style="3"/>
    <col min="8389" max="8391" width="9.75" style="3" customWidth="1"/>
    <col min="8392" max="8392" width="9.12962962962963" style="3"/>
    <col min="8393" max="8393" width="9.25" style="3" customWidth="1"/>
    <col min="8394" max="8396" width="9.12962962962963" style="3"/>
    <col min="8397" max="8399" width="9.75" style="3" customWidth="1"/>
    <col min="8400" max="8400" width="9.12962962962963" style="3"/>
    <col min="8401" max="8401" width="9.25" style="3" customWidth="1"/>
    <col min="8402" max="8404" width="9.12962962962963" style="3"/>
    <col min="8405" max="8407" width="9.75" style="3" customWidth="1"/>
    <col min="8408" max="8408" width="9.12962962962963" style="3"/>
    <col min="8409" max="8409" width="9.25" style="3" customWidth="1"/>
    <col min="8410" max="8412" width="9.12962962962963" style="3"/>
    <col min="8413" max="8415" width="9.75" style="3" customWidth="1"/>
    <col min="8416" max="8416" width="9.12962962962963" style="3"/>
    <col min="8417" max="8417" width="9.25" style="3" customWidth="1"/>
    <col min="8418" max="8420" width="9.12962962962963" style="3"/>
    <col min="8421" max="8423" width="9.75" style="3" customWidth="1"/>
    <col min="8424" max="8424" width="9.12962962962963" style="3"/>
    <col min="8425" max="8425" width="9.25" style="3" customWidth="1"/>
    <col min="8426" max="8428" width="9.12962962962963" style="3"/>
    <col min="8429" max="8431" width="9.75" style="3" customWidth="1"/>
    <col min="8432" max="8432" width="9.12962962962963" style="3"/>
    <col min="8433" max="8433" width="9.25" style="3" customWidth="1"/>
    <col min="8434" max="8436" width="9.12962962962963" style="3"/>
    <col min="8437" max="8439" width="9.75" style="3" customWidth="1"/>
    <col min="8440" max="8440" width="9.12962962962963" style="3"/>
    <col min="8441" max="8441" width="9.25" style="3" customWidth="1"/>
    <col min="8442" max="8444" width="9.12962962962963" style="3"/>
    <col min="8445" max="8447" width="9.75" style="3" customWidth="1"/>
    <col min="8448" max="8448" width="9.12962962962963" style="3"/>
    <col min="8449" max="8449" width="9.25" style="3" customWidth="1"/>
    <col min="8450" max="8452" width="9.12962962962963" style="3"/>
    <col min="8453" max="8455" width="9.75" style="3" customWidth="1"/>
    <col min="8456" max="8456" width="9.12962962962963" style="3"/>
    <col min="8457" max="8457" width="9.25" style="3" customWidth="1"/>
    <col min="8458" max="8460" width="9.12962962962963" style="3"/>
    <col min="8461" max="8463" width="9.75" style="3" customWidth="1"/>
    <col min="8464" max="8464" width="9.12962962962963" style="3"/>
    <col min="8465" max="8465" width="9.25" style="3" customWidth="1"/>
    <col min="8466" max="8468" width="9.12962962962963" style="3"/>
    <col min="8469" max="8471" width="9.75" style="3" customWidth="1"/>
    <col min="8472" max="8472" width="9.12962962962963" style="3"/>
    <col min="8473" max="8473" width="9.25" style="3" customWidth="1"/>
    <col min="8474" max="8476" width="9.12962962962963" style="3"/>
    <col min="8477" max="8479" width="9.75" style="3" customWidth="1"/>
    <col min="8480" max="8480" width="9.12962962962963" style="3"/>
    <col min="8481" max="8481" width="9.25" style="3" customWidth="1"/>
    <col min="8482" max="8484" width="9.12962962962963" style="3"/>
    <col min="8485" max="8487" width="9.75" style="3" customWidth="1"/>
    <col min="8488" max="8488" width="9.12962962962963" style="3"/>
    <col min="8489" max="8489" width="9.25" style="3" customWidth="1"/>
    <col min="8490" max="8492" width="9.12962962962963" style="3"/>
    <col min="8493" max="8495" width="9.75" style="3" customWidth="1"/>
    <col min="8496" max="8496" width="9.12962962962963" style="3"/>
    <col min="8497" max="8497" width="9.25" style="3" customWidth="1"/>
    <col min="8498" max="8500" width="9.12962962962963" style="3"/>
    <col min="8501" max="8503" width="9.75" style="3" customWidth="1"/>
    <col min="8504" max="8504" width="9.12962962962963" style="3"/>
    <col min="8505" max="8505" width="9.25" style="3" customWidth="1"/>
    <col min="8506" max="8508" width="9.12962962962963" style="3"/>
    <col min="8509" max="8511" width="9.75" style="3" customWidth="1"/>
    <col min="8512" max="8512" width="9.12962962962963" style="3"/>
    <col min="8513" max="8513" width="9.25" style="3" customWidth="1"/>
    <col min="8514" max="8516" width="9.12962962962963" style="3"/>
    <col min="8517" max="8519" width="9.75" style="3" customWidth="1"/>
    <col min="8520" max="8520" width="9.12962962962963" style="3"/>
    <col min="8521" max="8521" width="9.25" style="3" customWidth="1"/>
    <col min="8522" max="8524" width="9.12962962962963" style="3"/>
    <col min="8525" max="8527" width="9.75" style="3" customWidth="1"/>
    <col min="8528" max="8528" width="9.12962962962963" style="3"/>
    <col min="8529" max="8529" width="9.25" style="3" customWidth="1"/>
    <col min="8530" max="8532" width="9.12962962962963" style="3"/>
    <col min="8533" max="8535" width="9.75" style="3" customWidth="1"/>
    <col min="8536" max="8536" width="9.12962962962963" style="3"/>
    <col min="8537" max="8537" width="9.25" style="3" customWidth="1"/>
    <col min="8538" max="8540" width="9.12962962962963" style="3"/>
    <col min="8541" max="8543" width="9.75" style="3" customWidth="1"/>
    <col min="8544" max="8544" width="9.12962962962963" style="3"/>
    <col min="8545" max="8545" width="9.25" style="3" customWidth="1"/>
    <col min="8546" max="8548" width="9.12962962962963" style="3"/>
    <col min="8549" max="8551" width="9.75" style="3" customWidth="1"/>
    <col min="8552" max="8552" width="9.12962962962963" style="3"/>
    <col min="8553" max="8553" width="9.25" style="3" customWidth="1"/>
    <col min="8554" max="8556" width="9.12962962962963" style="3"/>
    <col min="8557" max="8559" width="9.75" style="3" customWidth="1"/>
    <col min="8560" max="8560" width="9.12962962962963" style="3"/>
    <col min="8561" max="8561" width="9.25" style="3" customWidth="1"/>
    <col min="8562" max="8564" width="9.12962962962963" style="3"/>
    <col min="8565" max="8567" width="9.75" style="3" customWidth="1"/>
    <col min="8568" max="8568" width="9.12962962962963" style="3"/>
    <col min="8569" max="8569" width="9.25" style="3" customWidth="1"/>
    <col min="8570" max="8572" width="9.12962962962963" style="3"/>
    <col min="8573" max="8575" width="9.75" style="3" customWidth="1"/>
    <col min="8576" max="8576" width="9.12962962962963" style="3"/>
    <col min="8577" max="8577" width="9.25" style="3" customWidth="1"/>
    <col min="8578" max="8580" width="9.12962962962963" style="3"/>
    <col min="8581" max="8583" width="9.75" style="3" customWidth="1"/>
    <col min="8584" max="8584" width="9.12962962962963" style="3"/>
    <col min="8585" max="8585" width="9.25" style="3" customWidth="1"/>
    <col min="8586" max="8588" width="9.12962962962963" style="3"/>
    <col min="8589" max="8591" width="9.75" style="3" customWidth="1"/>
    <col min="8592" max="8592" width="9.12962962962963" style="3"/>
    <col min="8593" max="8593" width="9.25" style="3" customWidth="1"/>
    <col min="8594" max="8596" width="9.12962962962963" style="3"/>
    <col min="8597" max="8599" width="9.75" style="3" customWidth="1"/>
    <col min="8600" max="8600" width="9.12962962962963" style="3"/>
    <col min="8601" max="8601" width="9.25" style="3" customWidth="1"/>
    <col min="8602" max="8604" width="9.12962962962963" style="3"/>
    <col min="8605" max="8607" width="9.75" style="3" customWidth="1"/>
    <col min="8608" max="8608" width="9.12962962962963" style="3"/>
    <col min="8609" max="8609" width="9.25" style="3" customWidth="1"/>
    <col min="8610" max="8612" width="9.12962962962963" style="3"/>
    <col min="8613" max="8615" width="9.75" style="3" customWidth="1"/>
    <col min="8616" max="8616" width="9.12962962962963" style="3"/>
    <col min="8617" max="8617" width="9.25" style="3" customWidth="1"/>
    <col min="8618" max="8620" width="9.12962962962963" style="3"/>
    <col min="8621" max="8623" width="9.75" style="3" customWidth="1"/>
    <col min="8624" max="8624" width="9.12962962962963" style="3"/>
    <col min="8625" max="8625" width="9.25" style="3" customWidth="1"/>
    <col min="8626" max="8628" width="9.12962962962963" style="3"/>
    <col min="8629" max="8631" width="9.75" style="3" customWidth="1"/>
    <col min="8632" max="8632" width="9.12962962962963" style="3"/>
    <col min="8633" max="8633" width="9.25" style="3" customWidth="1"/>
    <col min="8634" max="8636" width="9.12962962962963" style="3"/>
    <col min="8637" max="8639" width="9.75" style="3" customWidth="1"/>
    <col min="8640" max="8640" width="9.12962962962963" style="3"/>
    <col min="8641" max="8641" width="9.25" style="3" customWidth="1"/>
    <col min="8642" max="8644" width="9.12962962962963" style="3"/>
    <col min="8645" max="8647" width="9.75" style="3" customWidth="1"/>
    <col min="8648" max="8648" width="9.12962962962963" style="3"/>
    <col min="8649" max="8649" width="9.25" style="3" customWidth="1"/>
    <col min="8650" max="8652" width="9.12962962962963" style="3"/>
    <col min="8653" max="8655" width="9.75" style="3" customWidth="1"/>
    <col min="8656" max="8656" width="9.12962962962963" style="3"/>
    <col min="8657" max="8657" width="9.25" style="3" customWidth="1"/>
    <col min="8658" max="8660" width="9.12962962962963" style="3"/>
    <col min="8661" max="8663" width="9.75" style="3" customWidth="1"/>
    <col min="8664" max="8664" width="9.12962962962963" style="3"/>
    <col min="8665" max="8665" width="9.25" style="3" customWidth="1"/>
    <col min="8666" max="8668" width="9.12962962962963" style="3"/>
    <col min="8669" max="8671" width="9.75" style="3" customWidth="1"/>
    <col min="8672" max="8672" width="9.12962962962963" style="3"/>
    <col min="8673" max="8673" width="9.25" style="3" customWidth="1"/>
    <col min="8674" max="8676" width="9.12962962962963" style="3"/>
    <col min="8677" max="8679" width="9.75" style="3" customWidth="1"/>
    <col min="8680" max="8680" width="9.12962962962963" style="3"/>
    <col min="8681" max="8681" width="9.25" style="3" customWidth="1"/>
    <col min="8682" max="8684" width="9.12962962962963" style="3"/>
    <col min="8685" max="8687" width="9.75" style="3" customWidth="1"/>
    <col min="8688" max="8688" width="9.12962962962963" style="3"/>
    <col min="8689" max="8689" width="9.25" style="3" customWidth="1"/>
    <col min="8690" max="8692" width="9.12962962962963" style="3"/>
    <col min="8693" max="8695" width="9.75" style="3" customWidth="1"/>
    <col min="8696" max="8696" width="9.12962962962963" style="3"/>
    <col min="8697" max="8697" width="9.25" style="3" customWidth="1"/>
    <col min="8698" max="8700" width="9.12962962962963" style="3"/>
    <col min="8701" max="8703" width="9.75" style="3" customWidth="1"/>
    <col min="8704" max="8704" width="9.12962962962963" style="3"/>
    <col min="8705" max="8705" width="9.25" style="3" customWidth="1"/>
    <col min="8706" max="8708" width="9.12962962962963" style="3"/>
    <col min="8709" max="8711" width="9.75" style="3" customWidth="1"/>
    <col min="8712" max="8712" width="9.12962962962963" style="3"/>
    <col min="8713" max="8713" width="9.25" style="3" customWidth="1"/>
    <col min="8714" max="8716" width="9.12962962962963" style="3"/>
    <col min="8717" max="8719" width="9.75" style="3" customWidth="1"/>
    <col min="8720" max="8720" width="9.12962962962963" style="3"/>
    <col min="8721" max="8721" width="9.25" style="3" customWidth="1"/>
    <col min="8722" max="8724" width="9.12962962962963" style="3"/>
    <col min="8725" max="8727" width="9.75" style="3" customWidth="1"/>
    <col min="8728" max="8728" width="9.12962962962963" style="3"/>
    <col min="8729" max="8729" width="9.25" style="3" customWidth="1"/>
    <col min="8730" max="8732" width="9.12962962962963" style="3"/>
    <col min="8733" max="8735" width="9.75" style="3" customWidth="1"/>
    <col min="8736" max="8736" width="9.12962962962963" style="3"/>
    <col min="8737" max="8737" width="9.25" style="3" customWidth="1"/>
    <col min="8738" max="8740" width="9.12962962962963" style="3"/>
    <col min="8741" max="8743" width="9.75" style="3" customWidth="1"/>
    <col min="8744" max="8744" width="9.12962962962963" style="3"/>
    <col min="8745" max="8745" width="9.25" style="3" customWidth="1"/>
    <col min="8746" max="8748" width="9.12962962962963" style="3"/>
    <col min="8749" max="8751" width="9.75" style="3" customWidth="1"/>
    <col min="8752" max="8752" width="9.12962962962963" style="3"/>
    <col min="8753" max="8753" width="9.25" style="3" customWidth="1"/>
    <col min="8754" max="8756" width="9.12962962962963" style="3"/>
    <col min="8757" max="8759" width="9.75" style="3" customWidth="1"/>
    <col min="8760" max="8760" width="9.12962962962963" style="3"/>
    <col min="8761" max="8761" width="9.25" style="3" customWidth="1"/>
    <col min="8762" max="8764" width="9.12962962962963" style="3"/>
    <col min="8765" max="8767" width="9.75" style="3" customWidth="1"/>
    <col min="8768" max="8768" width="9.12962962962963" style="3"/>
    <col min="8769" max="8769" width="9.25" style="3" customWidth="1"/>
    <col min="8770" max="8772" width="9.12962962962963" style="3"/>
    <col min="8773" max="8775" width="9.75" style="3" customWidth="1"/>
    <col min="8776" max="8776" width="9.12962962962963" style="3"/>
    <col min="8777" max="8777" width="9.25" style="3" customWidth="1"/>
    <col min="8778" max="8780" width="9.12962962962963" style="3"/>
    <col min="8781" max="8783" width="9.75" style="3" customWidth="1"/>
    <col min="8784" max="8784" width="9.12962962962963" style="3"/>
    <col min="8785" max="8785" width="9.25" style="3" customWidth="1"/>
    <col min="8786" max="8788" width="9.12962962962963" style="3"/>
    <col min="8789" max="8791" width="9.75" style="3" customWidth="1"/>
    <col min="8792" max="8792" width="9.12962962962963" style="3"/>
    <col min="8793" max="8793" width="9.25" style="3" customWidth="1"/>
    <col min="8794" max="8796" width="9.12962962962963" style="3"/>
    <col min="8797" max="8799" width="9.75" style="3" customWidth="1"/>
    <col min="8800" max="8800" width="9.12962962962963" style="3"/>
    <col min="8801" max="8801" width="9.25" style="3" customWidth="1"/>
    <col min="8802" max="8804" width="9.12962962962963" style="3"/>
    <col min="8805" max="8807" width="9.75" style="3" customWidth="1"/>
    <col min="8808" max="8808" width="9.12962962962963" style="3"/>
    <col min="8809" max="8809" width="9.25" style="3" customWidth="1"/>
    <col min="8810" max="8812" width="9.12962962962963" style="3"/>
    <col min="8813" max="8815" width="9.75" style="3" customWidth="1"/>
    <col min="8816" max="8816" width="9.12962962962963" style="3"/>
    <col min="8817" max="8817" width="9.25" style="3" customWidth="1"/>
    <col min="8818" max="8820" width="9.12962962962963" style="3"/>
    <col min="8821" max="8823" width="9.75" style="3" customWidth="1"/>
    <col min="8824" max="8824" width="9.12962962962963" style="3"/>
    <col min="8825" max="8825" width="9.25" style="3" customWidth="1"/>
    <col min="8826" max="8828" width="9.12962962962963" style="3"/>
    <col min="8829" max="8831" width="9.75" style="3" customWidth="1"/>
    <col min="8832" max="8832" width="9.12962962962963" style="3"/>
    <col min="8833" max="8833" width="9.25" style="3" customWidth="1"/>
    <col min="8834" max="8836" width="9.12962962962963" style="3"/>
    <col min="8837" max="8839" width="9.75" style="3" customWidth="1"/>
    <col min="8840" max="8840" width="9.12962962962963" style="3"/>
    <col min="8841" max="8841" width="9.25" style="3" customWidth="1"/>
    <col min="8842" max="8844" width="9.12962962962963" style="3"/>
    <col min="8845" max="8847" width="9.75" style="3" customWidth="1"/>
    <col min="8848" max="8848" width="9.12962962962963" style="3"/>
    <col min="8849" max="8849" width="9.25" style="3" customWidth="1"/>
    <col min="8850" max="8852" width="9.12962962962963" style="3"/>
    <col min="8853" max="8855" width="9.75" style="3" customWidth="1"/>
    <col min="8856" max="8856" width="9.12962962962963" style="3"/>
    <col min="8857" max="8857" width="9.25" style="3" customWidth="1"/>
    <col min="8858" max="8860" width="9.12962962962963" style="3"/>
    <col min="8861" max="8863" width="9.75" style="3" customWidth="1"/>
    <col min="8864" max="8864" width="9.12962962962963" style="3"/>
    <col min="8865" max="8865" width="9.25" style="3" customWidth="1"/>
    <col min="8866" max="8868" width="9.12962962962963" style="3"/>
    <col min="8869" max="8871" width="9.75" style="3" customWidth="1"/>
    <col min="8872" max="8872" width="9.12962962962963" style="3"/>
    <col min="8873" max="8873" width="9.25" style="3" customWidth="1"/>
    <col min="8874" max="8876" width="9.12962962962963" style="3"/>
    <col min="8877" max="8879" width="9.75" style="3" customWidth="1"/>
    <col min="8880" max="8880" width="9.12962962962963" style="3"/>
    <col min="8881" max="8881" width="9.25" style="3" customWidth="1"/>
    <col min="8882" max="8884" width="9.12962962962963" style="3"/>
    <col min="8885" max="8887" width="9.75" style="3" customWidth="1"/>
    <col min="8888" max="8888" width="9.12962962962963" style="3"/>
    <col min="8889" max="8889" width="9.25" style="3" customWidth="1"/>
    <col min="8890" max="8892" width="9.12962962962963" style="3"/>
    <col min="8893" max="8895" width="9.75" style="3" customWidth="1"/>
    <col min="8896" max="8896" width="9.12962962962963" style="3"/>
    <col min="8897" max="8897" width="9.25" style="3" customWidth="1"/>
    <col min="8898" max="8900" width="9.12962962962963" style="3"/>
    <col min="8901" max="8903" width="9.75" style="3" customWidth="1"/>
    <col min="8904" max="8904" width="9.12962962962963" style="3"/>
    <col min="8905" max="8905" width="9.25" style="3" customWidth="1"/>
    <col min="8906" max="8908" width="9.12962962962963" style="3"/>
    <col min="8909" max="8911" width="9.75" style="3" customWidth="1"/>
    <col min="8912" max="8912" width="9.12962962962963" style="3"/>
    <col min="8913" max="8913" width="9.25" style="3" customWidth="1"/>
    <col min="8914" max="8916" width="9.12962962962963" style="3"/>
    <col min="8917" max="8919" width="9.75" style="3" customWidth="1"/>
    <col min="8920" max="8920" width="9.12962962962963" style="3"/>
    <col min="8921" max="8921" width="9.25" style="3" customWidth="1"/>
    <col min="8922" max="8924" width="9.12962962962963" style="3"/>
    <col min="8925" max="8927" width="9.75" style="3" customWidth="1"/>
    <col min="8928" max="8928" width="9.12962962962963" style="3"/>
    <col min="8929" max="8929" width="9.25" style="3" customWidth="1"/>
    <col min="8930" max="8932" width="9.12962962962963" style="3"/>
    <col min="8933" max="8935" width="9.75" style="3" customWidth="1"/>
    <col min="8936" max="8936" width="9.12962962962963" style="3"/>
    <col min="8937" max="8937" width="9.25" style="3" customWidth="1"/>
    <col min="8938" max="8940" width="9.12962962962963" style="3"/>
    <col min="8941" max="8943" width="9.75" style="3" customWidth="1"/>
    <col min="8944" max="8944" width="9.12962962962963" style="3"/>
    <col min="8945" max="8945" width="9.25" style="3" customWidth="1"/>
    <col min="8946" max="8948" width="9.12962962962963" style="3"/>
    <col min="8949" max="8951" width="9.75" style="3" customWidth="1"/>
    <col min="8952" max="8952" width="9.12962962962963" style="3"/>
    <col min="8953" max="8953" width="9.25" style="3" customWidth="1"/>
    <col min="8954" max="8956" width="9.12962962962963" style="3"/>
    <col min="8957" max="8959" width="9.75" style="3" customWidth="1"/>
    <col min="8960" max="8960" width="9.12962962962963" style="3"/>
    <col min="8961" max="8961" width="9.25" style="3" customWidth="1"/>
    <col min="8962" max="8964" width="9.12962962962963" style="3"/>
    <col min="8965" max="8967" width="9.75" style="3" customWidth="1"/>
    <col min="8968" max="8968" width="9.12962962962963" style="3"/>
    <col min="8969" max="8969" width="9.25" style="3" customWidth="1"/>
    <col min="8970" max="8972" width="9.12962962962963" style="3"/>
    <col min="8973" max="8975" width="9.75" style="3" customWidth="1"/>
    <col min="8976" max="8976" width="9.12962962962963" style="3"/>
    <col min="8977" max="8977" width="9.25" style="3" customWidth="1"/>
    <col min="8978" max="8980" width="9.12962962962963" style="3"/>
    <col min="8981" max="8983" width="9.75" style="3" customWidth="1"/>
    <col min="8984" max="8984" width="9.12962962962963" style="3"/>
    <col min="8985" max="8985" width="9.25" style="3" customWidth="1"/>
    <col min="8986" max="8988" width="9.12962962962963" style="3"/>
    <col min="8989" max="8991" width="9.75" style="3" customWidth="1"/>
    <col min="8992" max="8992" width="9.12962962962963" style="3"/>
    <col min="8993" max="8993" width="9.25" style="3" customWidth="1"/>
    <col min="8994" max="8996" width="9.12962962962963" style="3"/>
    <col min="8997" max="8999" width="9.75" style="3" customWidth="1"/>
    <col min="9000" max="9000" width="9.12962962962963" style="3"/>
    <col min="9001" max="9001" width="9.25" style="3" customWidth="1"/>
    <col min="9002" max="9004" width="9.12962962962963" style="3"/>
    <col min="9005" max="9007" width="9.75" style="3" customWidth="1"/>
    <col min="9008" max="9008" width="9.12962962962963" style="3"/>
    <col min="9009" max="9009" width="9.25" style="3" customWidth="1"/>
    <col min="9010" max="9012" width="9.12962962962963" style="3"/>
    <col min="9013" max="9015" width="9.75" style="3" customWidth="1"/>
    <col min="9016" max="9016" width="9.12962962962963" style="3"/>
    <col min="9017" max="9017" width="9.25" style="3" customWidth="1"/>
    <col min="9018" max="9020" width="9.12962962962963" style="3"/>
    <col min="9021" max="9023" width="9.75" style="3" customWidth="1"/>
    <col min="9024" max="9024" width="9.12962962962963" style="3"/>
    <col min="9025" max="9025" width="9.25" style="3" customWidth="1"/>
    <col min="9026" max="9028" width="9.12962962962963" style="3"/>
    <col min="9029" max="9031" width="9.75" style="3" customWidth="1"/>
    <col min="9032" max="9032" width="9.12962962962963" style="3"/>
    <col min="9033" max="9033" width="9.25" style="3" customWidth="1"/>
    <col min="9034" max="9036" width="9.12962962962963" style="3"/>
    <col min="9037" max="9039" width="9.75" style="3" customWidth="1"/>
    <col min="9040" max="9040" width="9.12962962962963" style="3"/>
    <col min="9041" max="9041" width="9.25" style="3" customWidth="1"/>
    <col min="9042" max="9044" width="9.12962962962963" style="3"/>
    <col min="9045" max="9047" width="9.75" style="3" customWidth="1"/>
    <col min="9048" max="9048" width="9.12962962962963" style="3"/>
    <col min="9049" max="9049" width="9.25" style="3" customWidth="1"/>
    <col min="9050" max="9052" width="9.12962962962963" style="3"/>
    <col min="9053" max="9055" width="9.75" style="3" customWidth="1"/>
    <col min="9056" max="9056" width="9.12962962962963" style="3"/>
    <col min="9057" max="9057" width="9.25" style="3" customWidth="1"/>
    <col min="9058" max="9060" width="9.12962962962963" style="3"/>
    <col min="9061" max="9063" width="9.75" style="3" customWidth="1"/>
    <col min="9064" max="9064" width="9.12962962962963" style="3"/>
    <col min="9065" max="9065" width="9.25" style="3" customWidth="1"/>
    <col min="9066" max="9068" width="9.12962962962963" style="3"/>
    <col min="9069" max="9071" width="9.75" style="3" customWidth="1"/>
    <col min="9072" max="9072" width="9.12962962962963" style="3"/>
    <col min="9073" max="9073" width="9.25" style="3" customWidth="1"/>
    <col min="9074" max="9076" width="9.12962962962963" style="3"/>
    <col min="9077" max="9079" width="9.75" style="3" customWidth="1"/>
    <col min="9080" max="9080" width="9.12962962962963" style="3"/>
    <col min="9081" max="9081" width="9.25" style="3" customWidth="1"/>
    <col min="9082" max="9084" width="9.12962962962963" style="3"/>
    <col min="9085" max="9087" width="9.75" style="3" customWidth="1"/>
    <col min="9088" max="9088" width="9.12962962962963" style="3"/>
    <col min="9089" max="9089" width="9.25" style="3" customWidth="1"/>
    <col min="9090" max="9092" width="9.12962962962963" style="3"/>
    <col min="9093" max="9095" width="9.75" style="3" customWidth="1"/>
    <col min="9096" max="9096" width="9.12962962962963" style="3"/>
    <col min="9097" max="9097" width="9.25" style="3" customWidth="1"/>
    <col min="9098" max="9100" width="9.12962962962963" style="3"/>
    <col min="9101" max="9103" width="9.75" style="3" customWidth="1"/>
    <col min="9104" max="9104" width="9.12962962962963" style="3"/>
    <col min="9105" max="9105" width="9.25" style="3" customWidth="1"/>
    <col min="9106" max="9108" width="9.12962962962963" style="3"/>
    <col min="9109" max="9111" width="9.75" style="3" customWidth="1"/>
    <col min="9112" max="9112" width="9.12962962962963" style="3"/>
    <col min="9113" max="9113" width="9.25" style="3" customWidth="1"/>
    <col min="9114" max="9116" width="9.12962962962963" style="3"/>
    <col min="9117" max="9119" width="9.75" style="3" customWidth="1"/>
    <col min="9120" max="9120" width="9.12962962962963" style="3"/>
    <col min="9121" max="9121" width="9.25" style="3" customWidth="1"/>
    <col min="9122" max="9124" width="9.12962962962963" style="3"/>
    <col min="9125" max="9127" width="9.75" style="3" customWidth="1"/>
    <col min="9128" max="9128" width="9.12962962962963" style="3"/>
    <col min="9129" max="9129" width="9.25" style="3" customWidth="1"/>
    <col min="9130" max="9132" width="9.12962962962963" style="3"/>
    <col min="9133" max="9135" width="9.75" style="3" customWidth="1"/>
    <col min="9136" max="9136" width="9.12962962962963" style="3"/>
    <col min="9137" max="9137" width="9.25" style="3" customWidth="1"/>
    <col min="9138" max="9140" width="9.12962962962963" style="3"/>
    <col min="9141" max="9143" width="9.75" style="3" customWidth="1"/>
    <col min="9144" max="9144" width="9.12962962962963" style="3"/>
    <col min="9145" max="9145" width="9.25" style="3" customWidth="1"/>
    <col min="9146" max="9148" width="9.12962962962963" style="3"/>
    <col min="9149" max="9151" width="9.75" style="3" customWidth="1"/>
    <col min="9152" max="9152" width="9.12962962962963" style="3"/>
    <col min="9153" max="9153" width="9.25" style="3" customWidth="1"/>
    <col min="9154" max="9156" width="9.12962962962963" style="3"/>
    <col min="9157" max="9159" width="9.75" style="3" customWidth="1"/>
    <col min="9160" max="9160" width="9.12962962962963" style="3"/>
    <col min="9161" max="9161" width="9.25" style="3" customWidth="1"/>
    <col min="9162" max="9164" width="9.12962962962963" style="3"/>
    <col min="9165" max="9167" width="9.75" style="3" customWidth="1"/>
    <col min="9168" max="9168" width="9.12962962962963" style="3"/>
    <col min="9169" max="9169" width="9.25" style="3" customWidth="1"/>
    <col min="9170" max="9172" width="9.12962962962963" style="3"/>
    <col min="9173" max="9175" width="9.75" style="3" customWidth="1"/>
    <col min="9176" max="9176" width="9.12962962962963" style="3"/>
    <col min="9177" max="9177" width="9.25" style="3" customWidth="1"/>
    <col min="9178" max="9180" width="9.12962962962963" style="3"/>
    <col min="9181" max="9183" width="9.75" style="3" customWidth="1"/>
    <col min="9184" max="9184" width="9.12962962962963" style="3"/>
    <col min="9185" max="9185" width="9.25" style="3" customWidth="1"/>
    <col min="9186" max="9188" width="9.12962962962963" style="3"/>
    <col min="9189" max="9191" width="9.75" style="3" customWidth="1"/>
    <col min="9192" max="9192" width="9.12962962962963" style="3"/>
    <col min="9193" max="9193" width="9.25" style="3" customWidth="1"/>
    <col min="9194" max="9196" width="9.12962962962963" style="3"/>
    <col min="9197" max="9199" width="9.75" style="3" customWidth="1"/>
    <col min="9200" max="9200" width="9.12962962962963" style="3"/>
    <col min="9201" max="9201" width="9.25" style="3" customWidth="1"/>
    <col min="9202" max="9204" width="9.12962962962963" style="3"/>
    <col min="9205" max="9207" width="9.75" style="3" customWidth="1"/>
    <col min="9208" max="9208" width="9.12962962962963" style="3"/>
    <col min="9209" max="9209" width="9.25" style="3" customWidth="1"/>
    <col min="9210" max="9212" width="9.12962962962963" style="3"/>
    <col min="9213" max="9215" width="9.75" style="3" customWidth="1"/>
    <col min="9216" max="9216" width="9.12962962962963" style="3"/>
    <col min="9217" max="9217" width="9.25" style="3" customWidth="1"/>
    <col min="9218" max="9220" width="9.12962962962963" style="3"/>
    <col min="9221" max="9223" width="9.75" style="3" customWidth="1"/>
    <col min="9224" max="9224" width="9.12962962962963" style="3"/>
    <col min="9225" max="9225" width="9.25" style="3" customWidth="1"/>
    <col min="9226" max="9228" width="9.12962962962963" style="3"/>
    <col min="9229" max="9231" width="9.75" style="3" customWidth="1"/>
    <col min="9232" max="9232" width="9.12962962962963" style="3"/>
    <col min="9233" max="9233" width="9.25" style="3" customWidth="1"/>
    <col min="9234" max="9236" width="9.12962962962963" style="3"/>
    <col min="9237" max="9239" width="9.75" style="3" customWidth="1"/>
    <col min="9240" max="9240" width="9.12962962962963" style="3"/>
    <col min="9241" max="9241" width="9.25" style="3" customWidth="1"/>
    <col min="9242" max="9244" width="9.12962962962963" style="3"/>
    <col min="9245" max="9247" width="9.75" style="3" customWidth="1"/>
    <col min="9248" max="9248" width="9.12962962962963" style="3"/>
    <col min="9249" max="9249" width="9.25" style="3" customWidth="1"/>
    <col min="9250" max="9252" width="9.12962962962963" style="3"/>
    <col min="9253" max="9255" width="9.75" style="3" customWidth="1"/>
    <col min="9256" max="9256" width="9.12962962962963" style="3"/>
    <col min="9257" max="9257" width="9.25" style="3" customWidth="1"/>
    <col min="9258" max="9260" width="9.12962962962963" style="3"/>
    <col min="9261" max="9263" width="9.75" style="3" customWidth="1"/>
    <col min="9264" max="9264" width="9.12962962962963" style="3"/>
    <col min="9265" max="9265" width="9.25" style="3" customWidth="1"/>
    <col min="9266" max="9268" width="9.12962962962963" style="3"/>
    <col min="9269" max="9271" width="9.75" style="3" customWidth="1"/>
    <col min="9272" max="9272" width="9.12962962962963" style="3"/>
    <col min="9273" max="9273" width="9.25" style="3" customWidth="1"/>
    <col min="9274" max="9276" width="9.12962962962963" style="3"/>
    <col min="9277" max="9279" width="9.75" style="3" customWidth="1"/>
    <col min="9280" max="9280" width="9.12962962962963" style="3"/>
    <col min="9281" max="9281" width="9.25" style="3" customWidth="1"/>
    <col min="9282" max="9284" width="9.12962962962963" style="3"/>
    <col min="9285" max="9287" width="9.75" style="3" customWidth="1"/>
    <col min="9288" max="9288" width="9.12962962962963" style="3"/>
    <col min="9289" max="9289" width="9.25" style="3" customWidth="1"/>
    <col min="9290" max="9292" width="9.12962962962963" style="3"/>
    <col min="9293" max="9295" width="9.75" style="3" customWidth="1"/>
    <col min="9296" max="9296" width="9.12962962962963" style="3"/>
    <col min="9297" max="9297" width="9.25" style="3" customWidth="1"/>
    <col min="9298" max="9300" width="9.12962962962963" style="3"/>
    <col min="9301" max="9303" width="9.75" style="3" customWidth="1"/>
    <col min="9304" max="9304" width="9.12962962962963" style="3"/>
    <col min="9305" max="9305" width="9.25" style="3" customWidth="1"/>
    <col min="9306" max="9308" width="9.12962962962963" style="3"/>
    <col min="9309" max="9311" width="9.75" style="3" customWidth="1"/>
    <col min="9312" max="9312" width="9.12962962962963" style="3"/>
    <col min="9313" max="9313" width="9.25" style="3" customWidth="1"/>
    <col min="9314" max="9316" width="9.12962962962963" style="3"/>
    <col min="9317" max="9319" width="9.75" style="3" customWidth="1"/>
    <col min="9320" max="9320" width="9.12962962962963" style="3"/>
    <col min="9321" max="9321" width="9.25" style="3" customWidth="1"/>
    <col min="9322" max="9324" width="9.12962962962963" style="3"/>
    <col min="9325" max="9327" width="9.75" style="3" customWidth="1"/>
    <col min="9328" max="9328" width="9.12962962962963" style="3"/>
    <col min="9329" max="9329" width="9.25" style="3" customWidth="1"/>
    <col min="9330" max="9332" width="9.12962962962963" style="3"/>
    <col min="9333" max="9335" width="9.75" style="3" customWidth="1"/>
    <col min="9336" max="9336" width="9.12962962962963" style="3"/>
    <col min="9337" max="9337" width="9.25" style="3" customWidth="1"/>
    <col min="9338" max="9340" width="9.12962962962963" style="3"/>
    <col min="9341" max="9343" width="9.75" style="3" customWidth="1"/>
    <col min="9344" max="9344" width="9.12962962962963" style="3"/>
    <col min="9345" max="9345" width="9.25" style="3" customWidth="1"/>
    <col min="9346" max="9348" width="9.12962962962963" style="3"/>
    <col min="9349" max="9351" width="9.75" style="3" customWidth="1"/>
    <col min="9352" max="9352" width="9.12962962962963" style="3"/>
    <col min="9353" max="9353" width="9.25" style="3" customWidth="1"/>
    <col min="9354" max="9356" width="9.12962962962963" style="3"/>
    <col min="9357" max="9359" width="9.75" style="3" customWidth="1"/>
    <col min="9360" max="9360" width="9.12962962962963" style="3"/>
    <col min="9361" max="9361" width="9.25" style="3" customWidth="1"/>
    <col min="9362" max="9364" width="9.12962962962963" style="3"/>
    <col min="9365" max="9367" width="9.75" style="3" customWidth="1"/>
    <col min="9368" max="9368" width="9.12962962962963" style="3"/>
    <col min="9369" max="9369" width="9.25" style="3" customWidth="1"/>
    <col min="9370" max="9372" width="9.12962962962963" style="3"/>
    <col min="9373" max="9375" width="9.75" style="3" customWidth="1"/>
    <col min="9376" max="9376" width="9.12962962962963" style="3"/>
    <col min="9377" max="9377" width="9.25" style="3" customWidth="1"/>
    <col min="9378" max="9380" width="9.12962962962963" style="3"/>
    <col min="9381" max="9383" width="9.75" style="3" customWidth="1"/>
    <col min="9384" max="9384" width="9.12962962962963" style="3"/>
    <col min="9385" max="9385" width="9.25" style="3" customWidth="1"/>
    <col min="9386" max="9388" width="9.12962962962963" style="3"/>
    <col min="9389" max="9391" width="9.75" style="3" customWidth="1"/>
    <col min="9392" max="9392" width="9.12962962962963" style="3"/>
    <col min="9393" max="9393" width="9.25" style="3" customWidth="1"/>
    <col min="9394" max="9396" width="9.12962962962963" style="3"/>
    <col min="9397" max="9399" width="9.75" style="3" customWidth="1"/>
    <col min="9400" max="9400" width="9.12962962962963" style="3"/>
    <col min="9401" max="9401" width="9.25" style="3" customWidth="1"/>
    <col min="9402" max="9404" width="9.12962962962963" style="3"/>
    <col min="9405" max="9407" width="9.75" style="3" customWidth="1"/>
    <col min="9408" max="9408" width="9.12962962962963" style="3"/>
    <col min="9409" max="9409" width="9.25" style="3" customWidth="1"/>
    <col min="9410" max="9412" width="9.12962962962963" style="3"/>
    <col min="9413" max="9415" width="9.75" style="3" customWidth="1"/>
    <col min="9416" max="9416" width="9.12962962962963" style="3"/>
    <col min="9417" max="9417" width="9.25" style="3" customWidth="1"/>
    <col min="9418" max="9420" width="9.12962962962963" style="3"/>
    <col min="9421" max="9423" width="9.75" style="3" customWidth="1"/>
    <col min="9424" max="9424" width="9.12962962962963" style="3"/>
    <col min="9425" max="9425" width="9.25" style="3" customWidth="1"/>
    <col min="9426" max="9428" width="9.12962962962963" style="3"/>
    <col min="9429" max="9431" width="9.75" style="3" customWidth="1"/>
    <col min="9432" max="9432" width="9.12962962962963" style="3"/>
    <col min="9433" max="9433" width="9.25" style="3" customWidth="1"/>
    <col min="9434" max="9436" width="9.12962962962963" style="3"/>
    <col min="9437" max="9439" width="9.75" style="3" customWidth="1"/>
    <col min="9440" max="9440" width="9.12962962962963" style="3"/>
    <col min="9441" max="9441" width="9.25" style="3" customWidth="1"/>
    <col min="9442" max="9444" width="9.12962962962963" style="3"/>
    <col min="9445" max="9447" width="9.75" style="3" customWidth="1"/>
    <col min="9448" max="9448" width="9.12962962962963" style="3"/>
    <col min="9449" max="9449" width="9.25" style="3" customWidth="1"/>
    <col min="9450" max="9452" width="9.12962962962963" style="3"/>
    <col min="9453" max="9455" width="9.75" style="3" customWidth="1"/>
    <col min="9456" max="9456" width="9.12962962962963" style="3"/>
    <col min="9457" max="9457" width="9.25" style="3" customWidth="1"/>
    <col min="9458" max="9460" width="9.12962962962963" style="3"/>
    <col min="9461" max="9463" width="9.75" style="3" customWidth="1"/>
    <col min="9464" max="9464" width="9.12962962962963" style="3"/>
    <col min="9465" max="9465" width="9.25" style="3" customWidth="1"/>
    <col min="9466" max="9468" width="9.12962962962963" style="3"/>
    <col min="9469" max="9471" width="9.75" style="3" customWidth="1"/>
    <col min="9472" max="9472" width="9.12962962962963" style="3"/>
    <col min="9473" max="9473" width="9.25" style="3" customWidth="1"/>
    <col min="9474" max="9476" width="9.12962962962963" style="3"/>
    <col min="9477" max="9479" width="9.75" style="3" customWidth="1"/>
    <col min="9480" max="9480" width="9.12962962962963" style="3"/>
    <col min="9481" max="9481" width="9.25" style="3" customWidth="1"/>
    <col min="9482" max="9484" width="9.12962962962963" style="3"/>
    <col min="9485" max="9487" width="9.75" style="3" customWidth="1"/>
    <col min="9488" max="9488" width="9.12962962962963" style="3"/>
    <col min="9489" max="9489" width="9.25" style="3" customWidth="1"/>
    <col min="9490" max="9492" width="9.12962962962963" style="3"/>
    <col min="9493" max="9495" width="9.75" style="3" customWidth="1"/>
    <col min="9496" max="9496" width="9.12962962962963" style="3"/>
    <col min="9497" max="9497" width="9.25" style="3" customWidth="1"/>
    <col min="9498" max="9500" width="9.12962962962963" style="3"/>
    <col min="9501" max="9503" width="9.75" style="3" customWidth="1"/>
    <col min="9504" max="9504" width="9.12962962962963" style="3"/>
    <col min="9505" max="9505" width="9.25" style="3" customWidth="1"/>
    <col min="9506" max="9508" width="9.12962962962963" style="3"/>
    <col min="9509" max="9511" width="9.75" style="3" customWidth="1"/>
    <col min="9512" max="9512" width="9.12962962962963" style="3"/>
    <col min="9513" max="9513" width="9.25" style="3" customWidth="1"/>
    <col min="9514" max="9516" width="9.12962962962963" style="3"/>
    <col min="9517" max="9519" width="9.75" style="3" customWidth="1"/>
    <col min="9520" max="9520" width="9.12962962962963" style="3"/>
    <col min="9521" max="9521" width="9.25" style="3" customWidth="1"/>
    <col min="9522" max="9524" width="9.12962962962963" style="3"/>
    <col min="9525" max="9527" width="9.75" style="3" customWidth="1"/>
    <col min="9528" max="9528" width="9.12962962962963" style="3"/>
    <col min="9529" max="9529" width="9.25" style="3" customWidth="1"/>
    <col min="9530" max="9532" width="9.12962962962963" style="3"/>
    <col min="9533" max="9535" width="9.75" style="3" customWidth="1"/>
    <col min="9536" max="9536" width="9.12962962962963" style="3"/>
    <col min="9537" max="9537" width="9.25" style="3" customWidth="1"/>
    <col min="9538" max="9540" width="9.12962962962963" style="3"/>
    <col min="9541" max="9543" width="9.75" style="3" customWidth="1"/>
    <col min="9544" max="9544" width="9.12962962962963" style="3"/>
    <col min="9545" max="9545" width="9.25" style="3" customWidth="1"/>
    <col min="9546" max="9548" width="9.12962962962963" style="3"/>
    <col min="9549" max="9551" width="9.75" style="3" customWidth="1"/>
    <col min="9552" max="9552" width="9.12962962962963" style="3"/>
    <col min="9553" max="9553" width="9.25" style="3" customWidth="1"/>
    <col min="9554" max="9556" width="9.12962962962963" style="3"/>
    <col min="9557" max="9559" width="9.75" style="3" customWidth="1"/>
    <col min="9560" max="9560" width="9.12962962962963" style="3"/>
    <col min="9561" max="9561" width="9.25" style="3" customWidth="1"/>
    <col min="9562" max="9564" width="9.12962962962963" style="3"/>
    <col min="9565" max="9567" width="9.75" style="3" customWidth="1"/>
    <col min="9568" max="9568" width="9.12962962962963" style="3"/>
    <col min="9569" max="9569" width="9.25" style="3" customWidth="1"/>
    <col min="9570" max="9572" width="9.12962962962963" style="3"/>
    <col min="9573" max="9575" width="9.75" style="3" customWidth="1"/>
    <col min="9576" max="9576" width="9.12962962962963" style="3"/>
    <col min="9577" max="9577" width="9.25" style="3" customWidth="1"/>
    <col min="9578" max="9580" width="9.12962962962963" style="3"/>
    <col min="9581" max="9583" width="9.75" style="3" customWidth="1"/>
    <col min="9584" max="9584" width="9.12962962962963" style="3"/>
    <col min="9585" max="9585" width="9.25" style="3" customWidth="1"/>
    <col min="9586" max="9588" width="9.12962962962963" style="3"/>
    <col min="9589" max="9591" width="9.75" style="3" customWidth="1"/>
    <col min="9592" max="9592" width="9.12962962962963" style="3"/>
    <col min="9593" max="9593" width="9.25" style="3" customWidth="1"/>
    <col min="9594" max="9596" width="9.12962962962963" style="3"/>
    <col min="9597" max="9599" width="9.75" style="3" customWidth="1"/>
    <col min="9600" max="9600" width="9.12962962962963" style="3"/>
    <col min="9601" max="9601" width="9.25" style="3" customWidth="1"/>
    <col min="9602" max="9604" width="9.12962962962963" style="3"/>
    <col min="9605" max="9607" width="9.75" style="3" customWidth="1"/>
    <col min="9608" max="9608" width="9.12962962962963" style="3"/>
    <col min="9609" max="9609" width="9.25" style="3" customWidth="1"/>
    <col min="9610" max="9612" width="9.12962962962963" style="3"/>
    <col min="9613" max="9615" width="9.75" style="3" customWidth="1"/>
    <col min="9616" max="9616" width="9.12962962962963" style="3"/>
    <col min="9617" max="9617" width="9.25" style="3" customWidth="1"/>
    <col min="9618" max="9620" width="9.12962962962963" style="3"/>
    <col min="9621" max="9623" width="9.75" style="3" customWidth="1"/>
    <col min="9624" max="9624" width="9.12962962962963" style="3"/>
    <col min="9625" max="9625" width="9.25" style="3" customWidth="1"/>
    <col min="9626" max="9628" width="9.12962962962963" style="3"/>
    <col min="9629" max="9631" width="9.75" style="3" customWidth="1"/>
    <col min="9632" max="9632" width="9.12962962962963" style="3"/>
    <col min="9633" max="9633" width="9.25" style="3" customWidth="1"/>
    <col min="9634" max="9636" width="9.12962962962963" style="3"/>
    <col min="9637" max="9639" width="9.75" style="3" customWidth="1"/>
    <col min="9640" max="9640" width="9.12962962962963" style="3"/>
    <col min="9641" max="9641" width="9.25" style="3" customWidth="1"/>
    <col min="9642" max="9644" width="9.12962962962963" style="3"/>
    <col min="9645" max="9647" width="9.75" style="3" customWidth="1"/>
    <col min="9648" max="9648" width="9.12962962962963" style="3"/>
    <col min="9649" max="9649" width="9.25" style="3" customWidth="1"/>
    <col min="9650" max="9652" width="9.12962962962963" style="3"/>
    <col min="9653" max="9655" width="9.75" style="3" customWidth="1"/>
    <col min="9656" max="9656" width="9.12962962962963" style="3"/>
    <col min="9657" max="9657" width="9.25" style="3" customWidth="1"/>
    <col min="9658" max="9660" width="9.12962962962963" style="3"/>
    <col min="9661" max="9663" width="9.75" style="3" customWidth="1"/>
    <col min="9664" max="9664" width="9.12962962962963" style="3"/>
    <col min="9665" max="9665" width="9.25" style="3" customWidth="1"/>
    <col min="9666" max="9668" width="9.12962962962963" style="3"/>
    <col min="9669" max="9671" width="9.75" style="3" customWidth="1"/>
    <col min="9672" max="9672" width="9.12962962962963" style="3"/>
    <col min="9673" max="9673" width="9.25" style="3" customWidth="1"/>
    <col min="9674" max="9676" width="9.12962962962963" style="3"/>
    <col min="9677" max="9679" width="9.75" style="3" customWidth="1"/>
    <col min="9680" max="9680" width="9.12962962962963" style="3"/>
    <col min="9681" max="9681" width="9.25" style="3" customWidth="1"/>
    <col min="9682" max="9684" width="9.12962962962963" style="3"/>
    <col min="9685" max="9687" width="9.75" style="3" customWidth="1"/>
    <col min="9688" max="9688" width="9.12962962962963" style="3"/>
    <col min="9689" max="9689" width="9.25" style="3" customWidth="1"/>
    <col min="9690" max="9692" width="9.12962962962963" style="3"/>
    <col min="9693" max="9695" width="9.75" style="3" customWidth="1"/>
    <col min="9696" max="9696" width="9.12962962962963" style="3"/>
    <col min="9697" max="9697" width="9.25" style="3" customWidth="1"/>
    <col min="9698" max="9700" width="9.12962962962963" style="3"/>
    <col min="9701" max="9703" width="9.75" style="3" customWidth="1"/>
    <col min="9704" max="9704" width="9.12962962962963" style="3"/>
    <col min="9705" max="9705" width="9.25" style="3" customWidth="1"/>
    <col min="9706" max="9708" width="9.12962962962963" style="3"/>
    <col min="9709" max="9711" width="9.75" style="3" customWidth="1"/>
    <col min="9712" max="9712" width="9.12962962962963" style="3"/>
    <col min="9713" max="9713" width="9.25" style="3" customWidth="1"/>
    <col min="9714" max="9716" width="9.12962962962963" style="3"/>
    <col min="9717" max="9719" width="9.75" style="3" customWidth="1"/>
    <col min="9720" max="9720" width="9.12962962962963" style="3"/>
    <col min="9721" max="9721" width="9.25" style="3" customWidth="1"/>
    <col min="9722" max="9724" width="9.12962962962963" style="3"/>
    <col min="9725" max="9727" width="9.75" style="3" customWidth="1"/>
    <col min="9728" max="9728" width="9.12962962962963" style="3"/>
    <col min="9729" max="9729" width="9.25" style="3" customWidth="1"/>
    <col min="9730" max="9732" width="9.12962962962963" style="3"/>
    <col min="9733" max="9735" width="9.75" style="3" customWidth="1"/>
    <col min="9736" max="9736" width="9.12962962962963" style="3"/>
    <col min="9737" max="9737" width="9.25" style="3" customWidth="1"/>
    <col min="9738" max="9740" width="9.12962962962963" style="3"/>
    <col min="9741" max="9743" width="9.75" style="3" customWidth="1"/>
    <col min="9744" max="9744" width="9.12962962962963" style="3"/>
    <col min="9745" max="9745" width="9.25" style="3" customWidth="1"/>
    <col min="9746" max="9748" width="9.12962962962963" style="3"/>
    <col min="9749" max="9751" width="9.75" style="3" customWidth="1"/>
    <col min="9752" max="9752" width="9.12962962962963" style="3"/>
    <col min="9753" max="9753" width="9.25" style="3" customWidth="1"/>
    <col min="9754" max="9756" width="9.12962962962963" style="3"/>
    <col min="9757" max="9759" width="9.75" style="3" customWidth="1"/>
    <col min="9760" max="9760" width="9.12962962962963" style="3"/>
    <col min="9761" max="9761" width="9.25" style="3" customWidth="1"/>
    <col min="9762" max="9764" width="9.12962962962963" style="3"/>
    <col min="9765" max="9767" width="9.75" style="3" customWidth="1"/>
    <col min="9768" max="9768" width="9.12962962962963" style="3"/>
    <col min="9769" max="9769" width="9.25" style="3" customWidth="1"/>
    <col min="9770" max="9772" width="9.12962962962963" style="3"/>
    <col min="9773" max="9775" width="9.75" style="3" customWidth="1"/>
    <col min="9776" max="9776" width="9.12962962962963" style="3"/>
    <col min="9777" max="9777" width="9.25" style="3" customWidth="1"/>
    <col min="9778" max="9780" width="9.12962962962963" style="3"/>
    <col min="9781" max="9783" width="9.75" style="3" customWidth="1"/>
    <col min="9784" max="9784" width="9.12962962962963" style="3"/>
    <col min="9785" max="9785" width="9.25" style="3" customWidth="1"/>
    <col min="9786" max="9788" width="9.12962962962963" style="3"/>
    <col min="9789" max="9791" width="9.75" style="3" customWidth="1"/>
    <col min="9792" max="9792" width="9.12962962962963" style="3"/>
    <col min="9793" max="9793" width="9.25" style="3" customWidth="1"/>
    <col min="9794" max="9796" width="9.12962962962963" style="3"/>
    <col min="9797" max="9799" width="9.75" style="3" customWidth="1"/>
    <col min="9800" max="9800" width="9.12962962962963" style="3"/>
    <col min="9801" max="9801" width="9.25" style="3" customWidth="1"/>
    <col min="9802" max="9804" width="9.12962962962963" style="3"/>
    <col min="9805" max="9807" width="9.75" style="3" customWidth="1"/>
    <col min="9808" max="9808" width="9.12962962962963" style="3"/>
    <col min="9809" max="9809" width="9.25" style="3" customWidth="1"/>
    <col min="9810" max="9812" width="9.12962962962963" style="3"/>
    <col min="9813" max="9815" width="9.75" style="3" customWidth="1"/>
    <col min="9816" max="9816" width="9.12962962962963" style="3"/>
    <col min="9817" max="9817" width="9.25" style="3" customWidth="1"/>
    <col min="9818" max="9820" width="9.12962962962963" style="3"/>
    <col min="9821" max="9823" width="9.75" style="3" customWidth="1"/>
    <col min="9824" max="9824" width="9.12962962962963" style="3"/>
    <col min="9825" max="9825" width="9.25" style="3" customWidth="1"/>
    <col min="9826" max="9828" width="9.12962962962963" style="3"/>
    <col min="9829" max="9831" width="9.75" style="3" customWidth="1"/>
    <col min="9832" max="9832" width="9.12962962962963" style="3"/>
    <col min="9833" max="9833" width="9.25" style="3" customWidth="1"/>
    <col min="9834" max="9836" width="9.12962962962963" style="3"/>
    <col min="9837" max="9839" width="9.75" style="3" customWidth="1"/>
    <col min="9840" max="9840" width="9.12962962962963" style="3"/>
    <col min="9841" max="9841" width="9.25" style="3" customWidth="1"/>
    <col min="9842" max="9844" width="9.12962962962963" style="3"/>
    <col min="9845" max="9847" width="9.75" style="3" customWidth="1"/>
    <col min="9848" max="9848" width="9.12962962962963" style="3"/>
    <col min="9849" max="9849" width="9.25" style="3" customWidth="1"/>
    <col min="9850" max="9852" width="9.12962962962963" style="3"/>
    <col min="9853" max="9855" width="9.75" style="3" customWidth="1"/>
    <col min="9856" max="9856" width="9.12962962962963" style="3"/>
    <col min="9857" max="9857" width="9.25" style="3" customWidth="1"/>
    <col min="9858" max="9860" width="9.12962962962963" style="3"/>
    <col min="9861" max="9863" width="9.75" style="3" customWidth="1"/>
    <col min="9864" max="9864" width="9.12962962962963" style="3"/>
    <col min="9865" max="9865" width="9.25" style="3" customWidth="1"/>
    <col min="9866" max="9868" width="9.12962962962963" style="3"/>
    <col min="9869" max="9871" width="9.75" style="3" customWidth="1"/>
    <col min="9872" max="9872" width="9.12962962962963" style="3"/>
    <col min="9873" max="9873" width="9.25" style="3" customWidth="1"/>
    <col min="9874" max="9876" width="9.12962962962963" style="3"/>
    <col min="9877" max="9879" width="9.75" style="3" customWidth="1"/>
    <col min="9880" max="9880" width="9.12962962962963" style="3"/>
    <col min="9881" max="9881" width="9.25" style="3" customWidth="1"/>
    <col min="9882" max="9884" width="9.12962962962963" style="3"/>
    <col min="9885" max="9887" width="9.75" style="3" customWidth="1"/>
    <col min="9888" max="9888" width="9.12962962962963" style="3"/>
    <col min="9889" max="9889" width="9.25" style="3" customWidth="1"/>
    <col min="9890" max="9892" width="9.12962962962963" style="3"/>
    <col min="9893" max="9895" width="9.75" style="3" customWidth="1"/>
    <col min="9896" max="9896" width="9.12962962962963" style="3"/>
    <col min="9897" max="9897" width="9.25" style="3" customWidth="1"/>
    <col min="9898" max="9900" width="9.12962962962963" style="3"/>
    <col min="9901" max="9903" width="9.75" style="3" customWidth="1"/>
    <col min="9904" max="9904" width="9.12962962962963" style="3"/>
    <col min="9905" max="9905" width="9.25" style="3" customWidth="1"/>
    <col min="9906" max="9908" width="9.12962962962963" style="3"/>
    <col min="9909" max="9911" width="9.75" style="3" customWidth="1"/>
    <col min="9912" max="9912" width="9.12962962962963" style="3"/>
    <col min="9913" max="9913" width="9.25" style="3" customWidth="1"/>
    <col min="9914" max="9916" width="9.12962962962963" style="3"/>
    <col min="9917" max="9919" width="9.75" style="3" customWidth="1"/>
    <col min="9920" max="9920" width="9.12962962962963" style="3"/>
    <col min="9921" max="9921" width="9.25" style="3" customWidth="1"/>
    <col min="9922" max="9924" width="9.12962962962963" style="3"/>
    <col min="9925" max="9927" width="9.75" style="3" customWidth="1"/>
    <col min="9928" max="9928" width="9.12962962962963" style="3"/>
    <col min="9929" max="9929" width="9.25" style="3" customWidth="1"/>
    <col min="9930" max="9932" width="9.12962962962963" style="3"/>
    <col min="9933" max="9935" width="9.75" style="3" customWidth="1"/>
    <col min="9936" max="9936" width="9.12962962962963" style="3"/>
    <col min="9937" max="9937" width="9.25" style="3" customWidth="1"/>
    <col min="9938" max="9940" width="9.12962962962963" style="3"/>
    <col min="9941" max="9943" width="9.75" style="3" customWidth="1"/>
    <col min="9944" max="9944" width="9.12962962962963" style="3"/>
    <col min="9945" max="9945" width="9.25" style="3" customWidth="1"/>
    <col min="9946" max="9948" width="9.12962962962963" style="3"/>
    <col min="9949" max="9951" width="9.75" style="3" customWidth="1"/>
    <col min="9952" max="9952" width="9.12962962962963" style="3"/>
    <col min="9953" max="9953" width="9.25" style="3" customWidth="1"/>
    <col min="9954" max="9956" width="9.12962962962963" style="3"/>
    <col min="9957" max="9959" width="9.75" style="3" customWidth="1"/>
    <col min="9960" max="9960" width="9.12962962962963" style="3"/>
    <col min="9961" max="9961" width="9.25" style="3" customWidth="1"/>
    <col min="9962" max="9964" width="9.12962962962963" style="3"/>
    <col min="9965" max="9967" width="9.75" style="3" customWidth="1"/>
    <col min="9968" max="9968" width="9.12962962962963" style="3"/>
    <col min="9969" max="9969" width="9.25" style="3" customWidth="1"/>
    <col min="9970" max="9972" width="9.12962962962963" style="3"/>
    <col min="9973" max="9975" width="9.75" style="3" customWidth="1"/>
    <col min="9976" max="9976" width="9.12962962962963" style="3"/>
    <col min="9977" max="9977" width="9.25" style="3" customWidth="1"/>
    <col min="9978" max="9980" width="9.12962962962963" style="3"/>
    <col min="9981" max="9983" width="9.75" style="3" customWidth="1"/>
    <col min="9984" max="9984" width="9.12962962962963" style="3"/>
    <col min="9985" max="9985" width="9.25" style="3" customWidth="1"/>
    <col min="9986" max="9988" width="9.12962962962963" style="3"/>
    <col min="9989" max="9991" width="9.75" style="3" customWidth="1"/>
    <col min="9992" max="9992" width="9.12962962962963" style="3"/>
    <col min="9993" max="9993" width="9.25" style="3" customWidth="1"/>
    <col min="9994" max="9996" width="9.12962962962963" style="3"/>
    <col min="9997" max="9999" width="9.75" style="3" customWidth="1"/>
    <col min="10000" max="10000" width="9.12962962962963" style="3"/>
    <col min="10001" max="10001" width="9.25" style="3" customWidth="1"/>
    <col min="10002" max="10004" width="9.12962962962963" style="3"/>
    <col min="10005" max="10007" width="9.75" style="3" customWidth="1"/>
    <col min="10008" max="10008" width="9.12962962962963" style="3"/>
    <col min="10009" max="10009" width="9.25" style="3" customWidth="1"/>
    <col min="10010" max="10012" width="9.12962962962963" style="3"/>
    <col min="10013" max="10015" width="9.75" style="3" customWidth="1"/>
    <col min="10016" max="10016" width="9.12962962962963" style="3"/>
    <col min="10017" max="10017" width="9.25" style="3" customWidth="1"/>
    <col min="10018" max="10020" width="9.12962962962963" style="3"/>
    <col min="10021" max="10023" width="9.75" style="3" customWidth="1"/>
    <col min="10024" max="10024" width="9.12962962962963" style="3"/>
    <col min="10025" max="10025" width="9.25" style="3" customWidth="1"/>
    <col min="10026" max="10028" width="9.12962962962963" style="3"/>
    <col min="10029" max="10031" width="9.75" style="3" customWidth="1"/>
    <col min="10032" max="10032" width="9.12962962962963" style="3"/>
    <col min="10033" max="10033" width="9.25" style="3" customWidth="1"/>
    <col min="10034" max="10036" width="9.12962962962963" style="3"/>
    <col min="10037" max="10039" width="9.75" style="3" customWidth="1"/>
    <col min="10040" max="10040" width="9.12962962962963" style="3"/>
    <col min="10041" max="10041" width="9.25" style="3" customWidth="1"/>
    <col min="10042" max="10044" width="9.12962962962963" style="3"/>
    <col min="10045" max="10047" width="9.75" style="3" customWidth="1"/>
    <col min="10048" max="10048" width="9.12962962962963" style="3"/>
    <col min="10049" max="10049" width="9.25" style="3" customWidth="1"/>
    <col min="10050" max="10052" width="9.12962962962963" style="3"/>
    <col min="10053" max="10055" width="9.75" style="3" customWidth="1"/>
    <col min="10056" max="10056" width="9.12962962962963" style="3"/>
    <col min="10057" max="10057" width="9.25" style="3" customWidth="1"/>
    <col min="10058" max="10060" width="9.12962962962963" style="3"/>
    <col min="10061" max="10063" width="9.75" style="3" customWidth="1"/>
    <col min="10064" max="10064" width="9.12962962962963" style="3"/>
    <col min="10065" max="10065" width="9.25" style="3" customWidth="1"/>
    <col min="10066" max="10068" width="9.12962962962963" style="3"/>
    <col min="10069" max="10071" width="9.75" style="3" customWidth="1"/>
    <col min="10072" max="10072" width="9.12962962962963" style="3"/>
    <col min="10073" max="10073" width="9.25" style="3" customWidth="1"/>
    <col min="10074" max="10076" width="9.12962962962963" style="3"/>
    <col min="10077" max="10079" width="9.75" style="3" customWidth="1"/>
    <col min="10080" max="10080" width="9.12962962962963" style="3"/>
    <col min="10081" max="10081" width="9.25" style="3" customWidth="1"/>
    <col min="10082" max="10084" width="9.12962962962963" style="3"/>
    <col min="10085" max="10087" width="9.75" style="3" customWidth="1"/>
    <col min="10088" max="10088" width="9.12962962962963" style="3"/>
    <col min="10089" max="10089" width="9.25" style="3" customWidth="1"/>
    <col min="10090" max="10092" width="9.12962962962963" style="3"/>
    <col min="10093" max="10095" width="9.75" style="3" customWidth="1"/>
    <col min="10096" max="10096" width="9.12962962962963" style="3"/>
    <col min="10097" max="10097" width="9.25" style="3" customWidth="1"/>
    <col min="10098" max="10100" width="9.12962962962963" style="3"/>
    <col min="10101" max="10103" width="9.75" style="3" customWidth="1"/>
    <col min="10104" max="10104" width="9.12962962962963" style="3"/>
    <col min="10105" max="10105" width="9.25" style="3" customWidth="1"/>
    <col min="10106" max="10108" width="9.12962962962963" style="3"/>
    <col min="10109" max="10111" width="9.75" style="3" customWidth="1"/>
    <col min="10112" max="10112" width="9.12962962962963" style="3"/>
    <col min="10113" max="10113" width="9.25" style="3" customWidth="1"/>
    <col min="10114" max="10116" width="9.12962962962963" style="3"/>
    <col min="10117" max="10119" width="9.75" style="3" customWidth="1"/>
    <col min="10120" max="10120" width="9.12962962962963" style="3"/>
    <col min="10121" max="10121" width="9.25" style="3" customWidth="1"/>
    <col min="10122" max="10124" width="9.12962962962963" style="3"/>
    <col min="10125" max="10127" width="9.75" style="3" customWidth="1"/>
    <col min="10128" max="10128" width="9.12962962962963" style="3"/>
    <col min="10129" max="10129" width="9.25" style="3" customWidth="1"/>
    <col min="10130" max="10132" width="9.12962962962963" style="3"/>
    <col min="10133" max="10135" width="9.75" style="3" customWidth="1"/>
    <col min="10136" max="10136" width="9.12962962962963" style="3"/>
    <col min="10137" max="10137" width="9.25" style="3" customWidth="1"/>
    <col min="10138" max="10140" width="9.12962962962963" style="3"/>
    <col min="10141" max="10143" width="9.75" style="3" customWidth="1"/>
    <col min="10144" max="10144" width="9.12962962962963" style="3"/>
    <col min="10145" max="10145" width="9.25" style="3" customWidth="1"/>
    <col min="10146" max="10148" width="9.12962962962963" style="3"/>
    <col min="10149" max="10151" width="9.75" style="3" customWidth="1"/>
    <col min="10152" max="10152" width="9.12962962962963" style="3"/>
    <col min="10153" max="10153" width="9.25" style="3" customWidth="1"/>
    <col min="10154" max="10156" width="9.12962962962963" style="3"/>
    <col min="10157" max="10159" width="9.75" style="3" customWidth="1"/>
    <col min="10160" max="10160" width="9.12962962962963" style="3"/>
    <col min="10161" max="10161" width="9.25" style="3" customWidth="1"/>
    <col min="10162" max="10164" width="9.12962962962963" style="3"/>
    <col min="10165" max="10167" width="9.75" style="3" customWidth="1"/>
    <col min="10168" max="10168" width="9.12962962962963" style="3"/>
    <col min="10169" max="10169" width="9.25" style="3" customWidth="1"/>
    <col min="10170" max="10172" width="9.12962962962963" style="3"/>
    <col min="10173" max="10175" width="9.75" style="3" customWidth="1"/>
    <col min="10176" max="10176" width="9.12962962962963" style="3"/>
    <col min="10177" max="10177" width="9.25" style="3" customWidth="1"/>
    <col min="10178" max="10180" width="9.12962962962963" style="3"/>
    <col min="10181" max="10183" width="9.75" style="3" customWidth="1"/>
    <col min="10184" max="10184" width="9.12962962962963" style="3"/>
    <col min="10185" max="10185" width="9.25" style="3" customWidth="1"/>
    <col min="10186" max="10188" width="9.12962962962963" style="3"/>
    <col min="10189" max="10191" width="9.75" style="3" customWidth="1"/>
    <col min="10192" max="10192" width="9.12962962962963" style="3"/>
    <col min="10193" max="10193" width="9.25" style="3" customWidth="1"/>
    <col min="10194" max="10196" width="9.12962962962963" style="3"/>
    <col min="10197" max="10199" width="9.75" style="3" customWidth="1"/>
    <col min="10200" max="10200" width="9.12962962962963" style="3"/>
    <col min="10201" max="10201" width="9.25" style="3" customWidth="1"/>
    <col min="10202" max="10204" width="9.12962962962963" style="3"/>
    <col min="10205" max="10207" width="9.75" style="3" customWidth="1"/>
    <col min="10208" max="10208" width="9.12962962962963" style="3"/>
    <col min="10209" max="10209" width="9.25" style="3" customWidth="1"/>
    <col min="10210" max="10212" width="9.12962962962963" style="3"/>
    <col min="10213" max="10215" width="9.75" style="3" customWidth="1"/>
    <col min="10216" max="10216" width="9.12962962962963" style="3"/>
    <col min="10217" max="10217" width="9.25" style="3" customWidth="1"/>
    <col min="10218" max="10220" width="9.12962962962963" style="3"/>
    <col min="10221" max="10223" width="9.75" style="3" customWidth="1"/>
    <col min="10224" max="10224" width="9.12962962962963" style="3"/>
    <col min="10225" max="10225" width="9.25" style="3" customWidth="1"/>
    <col min="10226" max="10228" width="9.12962962962963" style="3"/>
    <col min="10229" max="10231" width="9.75" style="3" customWidth="1"/>
    <col min="10232" max="10232" width="9.12962962962963" style="3"/>
    <col min="10233" max="10233" width="9.25" style="3" customWidth="1"/>
    <col min="10234" max="10236" width="9.12962962962963" style="3"/>
    <col min="10237" max="10239" width="9.75" style="3" customWidth="1"/>
    <col min="10240" max="10240" width="9.12962962962963" style="3"/>
    <col min="10241" max="10241" width="9.25" style="3" customWidth="1"/>
    <col min="10242" max="10244" width="9.12962962962963" style="3"/>
    <col min="10245" max="10247" width="9.75" style="3" customWidth="1"/>
    <col min="10248" max="10248" width="9.12962962962963" style="3"/>
    <col min="10249" max="10249" width="9.25" style="3" customWidth="1"/>
    <col min="10250" max="10252" width="9.12962962962963" style="3"/>
    <col min="10253" max="10255" width="9.75" style="3" customWidth="1"/>
    <col min="10256" max="10256" width="9.12962962962963" style="3"/>
    <col min="10257" max="10257" width="9.25" style="3" customWidth="1"/>
    <col min="10258" max="10260" width="9.12962962962963" style="3"/>
    <col min="10261" max="10263" width="9.75" style="3" customWidth="1"/>
    <col min="10264" max="10264" width="9.12962962962963" style="3"/>
    <col min="10265" max="10265" width="9.25" style="3" customWidth="1"/>
    <col min="10266" max="10268" width="9.12962962962963" style="3"/>
    <col min="10269" max="10271" width="9.75" style="3" customWidth="1"/>
    <col min="10272" max="10272" width="9.12962962962963" style="3"/>
    <col min="10273" max="10273" width="9.25" style="3" customWidth="1"/>
    <col min="10274" max="10276" width="9.12962962962963" style="3"/>
    <col min="10277" max="10279" width="9.75" style="3" customWidth="1"/>
    <col min="10280" max="10280" width="9.12962962962963" style="3"/>
    <col min="10281" max="10281" width="9.25" style="3" customWidth="1"/>
    <col min="10282" max="10284" width="9.12962962962963" style="3"/>
    <col min="10285" max="10287" width="9.75" style="3" customWidth="1"/>
    <col min="10288" max="10288" width="9.12962962962963" style="3"/>
    <col min="10289" max="10289" width="9.25" style="3" customWidth="1"/>
    <col min="10290" max="10292" width="9.12962962962963" style="3"/>
    <col min="10293" max="10295" width="9.75" style="3" customWidth="1"/>
    <col min="10296" max="10296" width="9.12962962962963" style="3"/>
    <col min="10297" max="10297" width="9.25" style="3" customWidth="1"/>
    <col min="10298" max="10300" width="9.12962962962963" style="3"/>
    <col min="10301" max="10303" width="9.75" style="3" customWidth="1"/>
    <col min="10304" max="10304" width="9.12962962962963" style="3"/>
    <col min="10305" max="10305" width="9.25" style="3" customWidth="1"/>
    <col min="10306" max="10308" width="9.12962962962963" style="3"/>
    <col min="10309" max="10311" width="9.75" style="3" customWidth="1"/>
    <col min="10312" max="10312" width="9.12962962962963" style="3"/>
    <col min="10313" max="10313" width="9.25" style="3" customWidth="1"/>
    <col min="10314" max="10316" width="9.12962962962963" style="3"/>
    <col min="10317" max="10319" width="9.75" style="3" customWidth="1"/>
    <col min="10320" max="10320" width="9.12962962962963" style="3"/>
    <col min="10321" max="10321" width="9.25" style="3" customWidth="1"/>
    <col min="10322" max="10324" width="9.12962962962963" style="3"/>
    <col min="10325" max="10327" width="9.75" style="3" customWidth="1"/>
    <col min="10328" max="10328" width="9.12962962962963" style="3"/>
    <col min="10329" max="10329" width="9.25" style="3" customWidth="1"/>
    <col min="10330" max="10332" width="9.12962962962963" style="3"/>
    <col min="10333" max="10335" width="9.75" style="3" customWidth="1"/>
    <col min="10336" max="10336" width="9.12962962962963" style="3"/>
    <col min="10337" max="10337" width="9.25" style="3" customWidth="1"/>
    <col min="10338" max="10340" width="9.12962962962963" style="3"/>
    <col min="10341" max="10343" width="9.75" style="3" customWidth="1"/>
    <col min="10344" max="10344" width="9.12962962962963" style="3"/>
    <col min="10345" max="10345" width="9.25" style="3" customWidth="1"/>
    <col min="10346" max="10348" width="9.12962962962963" style="3"/>
    <col min="10349" max="10351" width="9.75" style="3" customWidth="1"/>
    <col min="10352" max="10352" width="9.12962962962963" style="3"/>
    <col min="10353" max="10353" width="9.25" style="3" customWidth="1"/>
    <col min="10354" max="10356" width="9.12962962962963" style="3"/>
    <col min="10357" max="10359" width="9.75" style="3" customWidth="1"/>
    <col min="10360" max="10360" width="9.12962962962963" style="3"/>
    <col min="10361" max="10361" width="9.25" style="3" customWidth="1"/>
    <col min="10362" max="10364" width="9.12962962962963" style="3"/>
    <col min="10365" max="10367" width="9.75" style="3" customWidth="1"/>
    <col min="10368" max="10368" width="9.12962962962963" style="3"/>
    <col min="10369" max="10369" width="9.25" style="3" customWidth="1"/>
    <col min="10370" max="10372" width="9.12962962962963" style="3"/>
    <col min="10373" max="10375" width="9.75" style="3" customWidth="1"/>
    <col min="10376" max="10376" width="9.12962962962963" style="3"/>
    <col min="10377" max="10377" width="9.25" style="3" customWidth="1"/>
    <col min="10378" max="10380" width="9.12962962962963" style="3"/>
    <col min="10381" max="10383" width="9.75" style="3" customWidth="1"/>
    <col min="10384" max="10384" width="9.12962962962963" style="3"/>
    <col min="10385" max="10385" width="9.25" style="3" customWidth="1"/>
    <col min="10386" max="10388" width="9.12962962962963" style="3"/>
    <col min="10389" max="10391" width="9.75" style="3" customWidth="1"/>
    <col min="10392" max="10392" width="9.12962962962963" style="3"/>
    <col min="10393" max="10393" width="9.25" style="3" customWidth="1"/>
    <col min="10394" max="10396" width="9.12962962962963" style="3"/>
    <col min="10397" max="10399" width="9.75" style="3" customWidth="1"/>
    <col min="10400" max="10400" width="9.12962962962963" style="3"/>
    <col min="10401" max="10401" width="9.25" style="3" customWidth="1"/>
    <col min="10402" max="10404" width="9.12962962962963" style="3"/>
    <col min="10405" max="10407" width="9.75" style="3" customWidth="1"/>
    <col min="10408" max="10408" width="9.12962962962963" style="3"/>
    <col min="10409" max="10409" width="9.25" style="3" customWidth="1"/>
    <col min="10410" max="10412" width="9.12962962962963" style="3"/>
    <col min="10413" max="10415" width="9.75" style="3" customWidth="1"/>
    <col min="10416" max="10416" width="9.12962962962963" style="3"/>
    <col min="10417" max="10417" width="9.25" style="3" customWidth="1"/>
    <col min="10418" max="10420" width="9.12962962962963" style="3"/>
    <col min="10421" max="10423" width="9.75" style="3" customWidth="1"/>
    <col min="10424" max="10424" width="9.12962962962963" style="3"/>
    <col min="10425" max="10425" width="9.25" style="3" customWidth="1"/>
    <col min="10426" max="10428" width="9.12962962962963" style="3"/>
    <col min="10429" max="10431" width="9.75" style="3" customWidth="1"/>
    <col min="10432" max="10432" width="9.12962962962963" style="3"/>
    <col min="10433" max="10433" width="9.25" style="3" customWidth="1"/>
    <col min="10434" max="10436" width="9.12962962962963" style="3"/>
    <col min="10437" max="10439" width="9.75" style="3" customWidth="1"/>
    <col min="10440" max="10440" width="9.12962962962963" style="3"/>
    <col min="10441" max="10441" width="9.25" style="3" customWidth="1"/>
    <col min="10442" max="10444" width="9.12962962962963" style="3"/>
    <col min="10445" max="10447" width="9.75" style="3" customWidth="1"/>
    <col min="10448" max="10448" width="9.12962962962963" style="3"/>
    <col min="10449" max="10449" width="9.25" style="3" customWidth="1"/>
    <col min="10450" max="10452" width="9.12962962962963" style="3"/>
    <col min="10453" max="10455" width="9.75" style="3" customWidth="1"/>
    <col min="10456" max="10456" width="9.12962962962963" style="3"/>
    <col min="10457" max="10457" width="9.25" style="3" customWidth="1"/>
    <col min="10458" max="10460" width="9.12962962962963" style="3"/>
    <col min="10461" max="10463" width="9.75" style="3" customWidth="1"/>
    <col min="10464" max="10464" width="9.12962962962963" style="3"/>
    <col min="10465" max="10465" width="9.25" style="3" customWidth="1"/>
    <col min="10466" max="10468" width="9.12962962962963" style="3"/>
    <col min="10469" max="10471" width="9.75" style="3" customWidth="1"/>
    <col min="10472" max="10472" width="9.12962962962963" style="3"/>
    <col min="10473" max="10473" width="9.25" style="3" customWidth="1"/>
    <col min="10474" max="10476" width="9.12962962962963" style="3"/>
    <col min="10477" max="10479" width="9.75" style="3" customWidth="1"/>
    <col min="10480" max="10480" width="9.12962962962963" style="3"/>
    <col min="10481" max="10481" width="9.25" style="3" customWidth="1"/>
    <col min="10482" max="10484" width="9.12962962962963" style="3"/>
    <col min="10485" max="10487" width="9.75" style="3" customWidth="1"/>
    <col min="10488" max="10488" width="9.12962962962963" style="3"/>
    <col min="10489" max="10489" width="9.25" style="3" customWidth="1"/>
    <col min="10490" max="10492" width="9.12962962962963" style="3"/>
    <col min="10493" max="10495" width="9.75" style="3" customWidth="1"/>
    <col min="10496" max="10496" width="9.12962962962963" style="3"/>
    <col min="10497" max="10497" width="9.25" style="3" customWidth="1"/>
    <col min="10498" max="10500" width="9.12962962962963" style="3"/>
    <col min="10501" max="10503" width="9.75" style="3" customWidth="1"/>
    <col min="10504" max="10504" width="9.12962962962963" style="3"/>
    <col min="10505" max="10505" width="9.25" style="3" customWidth="1"/>
    <col min="10506" max="10508" width="9.12962962962963" style="3"/>
    <col min="10509" max="10511" width="9.75" style="3" customWidth="1"/>
    <col min="10512" max="10512" width="9.12962962962963" style="3"/>
    <col min="10513" max="10513" width="9.25" style="3" customWidth="1"/>
    <col min="10514" max="10516" width="9.12962962962963" style="3"/>
    <col min="10517" max="10519" width="9.75" style="3" customWidth="1"/>
    <col min="10520" max="10520" width="9.12962962962963" style="3"/>
    <col min="10521" max="10521" width="9.25" style="3" customWidth="1"/>
    <col min="10522" max="10524" width="9.12962962962963" style="3"/>
    <col min="10525" max="10527" width="9.75" style="3" customWidth="1"/>
    <col min="10528" max="10528" width="9.12962962962963" style="3"/>
    <col min="10529" max="10529" width="9.25" style="3" customWidth="1"/>
    <col min="10530" max="10532" width="9.12962962962963" style="3"/>
    <col min="10533" max="10535" width="9.75" style="3" customWidth="1"/>
    <col min="10536" max="10536" width="9.12962962962963" style="3"/>
    <col min="10537" max="10537" width="9.25" style="3" customWidth="1"/>
    <col min="10538" max="10540" width="9.12962962962963" style="3"/>
    <col min="10541" max="10543" width="9.75" style="3" customWidth="1"/>
    <col min="10544" max="10544" width="9.12962962962963" style="3"/>
    <col min="10545" max="10545" width="9.25" style="3" customWidth="1"/>
    <col min="10546" max="10548" width="9.12962962962963" style="3"/>
    <col min="10549" max="10551" width="9.75" style="3" customWidth="1"/>
    <col min="10552" max="10552" width="9.12962962962963" style="3"/>
    <col min="10553" max="10553" width="9.25" style="3" customWidth="1"/>
    <col min="10554" max="10556" width="9.12962962962963" style="3"/>
    <col min="10557" max="10559" width="9.75" style="3" customWidth="1"/>
    <col min="10560" max="10560" width="9.12962962962963" style="3"/>
    <col min="10561" max="10561" width="9.25" style="3" customWidth="1"/>
    <col min="10562" max="10564" width="9.12962962962963" style="3"/>
    <col min="10565" max="10567" width="9.75" style="3" customWidth="1"/>
    <col min="10568" max="10568" width="9.12962962962963" style="3"/>
    <col min="10569" max="10569" width="9.25" style="3" customWidth="1"/>
    <col min="10570" max="10572" width="9.12962962962963" style="3"/>
    <col min="10573" max="10575" width="9.75" style="3" customWidth="1"/>
    <col min="10576" max="10576" width="9.12962962962963" style="3"/>
    <col min="10577" max="10577" width="9.25" style="3" customWidth="1"/>
    <col min="10578" max="10580" width="9.12962962962963" style="3"/>
    <col min="10581" max="10583" width="9.75" style="3" customWidth="1"/>
    <col min="10584" max="10584" width="9.12962962962963" style="3"/>
    <col min="10585" max="10585" width="9.25" style="3" customWidth="1"/>
    <col min="10586" max="10588" width="9.12962962962963" style="3"/>
    <col min="10589" max="10591" width="9.75" style="3" customWidth="1"/>
    <col min="10592" max="10592" width="9.12962962962963" style="3"/>
    <col min="10593" max="10593" width="9.25" style="3" customWidth="1"/>
    <col min="10594" max="10596" width="9.12962962962963" style="3"/>
    <col min="10597" max="10599" width="9.75" style="3" customWidth="1"/>
    <col min="10600" max="10600" width="9.12962962962963" style="3"/>
    <col min="10601" max="10601" width="9.25" style="3" customWidth="1"/>
    <col min="10602" max="10604" width="9.12962962962963" style="3"/>
    <col min="10605" max="10607" width="9.75" style="3" customWidth="1"/>
    <col min="10608" max="10608" width="9.12962962962963" style="3"/>
    <col min="10609" max="10609" width="9.25" style="3" customWidth="1"/>
    <col min="10610" max="10612" width="9.12962962962963" style="3"/>
    <col min="10613" max="10615" width="9.75" style="3" customWidth="1"/>
    <col min="10616" max="10616" width="9.12962962962963" style="3"/>
    <col min="10617" max="10617" width="9.25" style="3" customWidth="1"/>
    <col min="10618" max="10620" width="9.12962962962963" style="3"/>
    <col min="10621" max="10623" width="9.75" style="3" customWidth="1"/>
    <col min="10624" max="10624" width="9.12962962962963" style="3"/>
    <col min="10625" max="10625" width="9.25" style="3" customWidth="1"/>
    <col min="10626" max="10628" width="9.12962962962963" style="3"/>
    <col min="10629" max="10631" width="9.75" style="3" customWidth="1"/>
    <col min="10632" max="10632" width="9.12962962962963" style="3"/>
    <col min="10633" max="10633" width="9.25" style="3" customWidth="1"/>
    <col min="10634" max="10636" width="9.12962962962963" style="3"/>
    <col min="10637" max="10639" width="9.75" style="3" customWidth="1"/>
    <col min="10640" max="10640" width="9.12962962962963" style="3"/>
    <col min="10641" max="10641" width="9.25" style="3" customWidth="1"/>
    <col min="10642" max="10644" width="9.12962962962963" style="3"/>
    <col min="10645" max="10647" width="9.75" style="3" customWidth="1"/>
    <col min="10648" max="10648" width="9.12962962962963" style="3"/>
    <col min="10649" max="10649" width="9.25" style="3" customWidth="1"/>
    <col min="10650" max="10652" width="9.12962962962963" style="3"/>
    <col min="10653" max="10655" width="9.75" style="3" customWidth="1"/>
    <col min="10656" max="10656" width="9.12962962962963" style="3"/>
    <col min="10657" max="10657" width="9.25" style="3" customWidth="1"/>
    <col min="10658" max="10660" width="9.12962962962963" style="3"/>
    <col min="10661" max="10663" width="9.75" style="3" customWidth="1"/>
    <col min="10664" max="10664" width="9.12962962962963" style="3"/>
    <col min="10665" max="10665" width="9.25" style="3" customWidth="1"/>
    <col min="10666" max="10668" width="9.12962962962963" style="3"/>
    <col min="10669" max="10671" width="9.75" style="3" customWidth="1"/>
    <col min="10672" max="10672" width="9.12962962962963" style="3"/>
    <col min="10673" max="10673" width="9.25" style="3" customWidth="1"/>
    <col min="10674" max="10676" width="9.12962962962963" style="3"/>
    <col min="10677" max="10679" width="9.75" style="3" customWidth="1"/>
    <col min="10680" max="10680" width="9.12962962962963" style="3"/>
    <col min="10681" max="10681" width="9.25" style="3" customWidth="1"/>
    <col min="10682" max="10684" width="9.12962962962963" style="3"/>
    <col min="10685" max="10687" width="9.75" style="3" customWidth="1"/>
    <col min="10688" max="10688" width="9.12962962962963" style="3"/>
    <col min="10689" max="10689" width="9.25" style="3" customWidth="1"/>
    <col min="10690" max="10692" width="9.12962962962963" style="3"/>
    <col min="10693" max="10695" width="9.75" style="3" customWidth="1"/>
    <col min="10696" max="10696" width="9.12962962962963" style="3"/>
    <col min="10697" max="10697" width="9.25" style="3" customWidth="1"/>
    <col min="10698" max="10700" width="9.12962962962963" style="3"/>
    <col min="10701" max="10703" width="9.75" style="3" customWidth="1"/>
    <col min="10704" max="10704" width="9.12962962962963" style="3"/>
    <col min="10705" max="10705" width="9.25" style="3" customWidth="1"/>
    <col min="10706" max="10708" width="9.12962962962963" style="3"/>
    <col min="10709" max="10711" width="9.75" style="3" customWidth="1"/>
    <col min="10712" max="10712" width="9.12962962962963" style="3"/>
    <col min="10713" max="10713" width="9.25" style="3" customWidth="1"/>
    <col min="10714" max="10716" width="9.12962962962963" style="3"/>
    <col min="10717" max="10719" width="9.75" style="3" customWidth="1"/>
    <col min="10720" max="10720" width="9.12962962962963" style="3"/>
    <col min="10721" max="10721" width="9.25" style="3" customWidth="1"/>
    <col min="10722" max="10724" width="9.12962962962963" style="3"/>
    <col min="10725" max="10727" width="9.75" style="3" customWidth="1"/>
    <col min="10728" max="10728" width="9.12962962962963" style="3"/>
    <col min="10729" max="10729" width="9.25" style="3" customWidth="1"/>
    <col min="10730" max="10732" width="9.12962962962963" style="3"/>
    <col min="10733" max="10735" width="9.75" style="3" customWidth="1"/>
    <col min="10736" max="10736" width="9.12962962962963" style="3"/>
    <col min="10737" max="10737" width="9.25" style="3" customWidth="1"/>
    <col min="10738" max="10740" width="9.12962962962963" style="3"/>
    <col min="10741" max="10743" width="9.75" style="3" customWidth="1"/>
    <col min="10744" max="10744" width="9.12962962962963" style="3"/>
    <col min="10745" max="10745" width="9.25" style="3" customWidth="1"/>
    <col min="10746" max="10748" width="9.12962962962963" style="3"/>
    <col min="10749" max="10751" width="9.75" style="3" customWidth="1"/>
    <col min="10752" max="10752" width="9.12962962962963" style="3"/>
    <col min="10753" max="10753" width="9.25" style="3" customWidth="1"/>
    <col min="10754" max="10756" width="9.12962962962963" style="3"/>
    <col min="10757" max="10759" width="9.75" style="3" customWidth="1"/>
    <col min="10760" max="10760" width="9.12962962962963" style="3"/>
    <col min="10761" max="10761" width="9.25" style="3" customWidth="1"/>
    <col min="10762" max="10764" width="9.12962962962963" style="3"/>
    <col min="10765" max="10767" width="9.75" style="3" customWidth="1"/>
    <col min="10768" max="10768" width="9.12962962962963" style="3"/>
    <col min="10769" max="10769" width="9.25" style="3" customWidth="1"/>
    <col min="10770" max="10772" width="9.12962962962963" style="3"/>
    <col min="10773" max="10775" width="9.75" style="3" customWidth="1"/>
    <col min="10776" max="10776" width="9.12962962962963" style="3"/>
    <col min="10777" max="10777" width="9.25" style="3" customWidth="1"/>
    <col min="10778" max="10780" width="9.12962962962963" style="3"/>
    <col min="10781" max="10783" width="9.75" style="3" customWidth="1"/>
    <col min="10784" max="10784" width="9.12962962962963" style="3"/>
    <col min="10785" max="10785" width="9.25" style="3" customWidth="1"/>
    <col min="10786" max="10788" width="9.12962962962963" style="3"/>
    <col min="10789" max="10791" width="9.75" style="3" customWidth="1"/>
    <col min="10792" max="10792" width="9.12962962962963" style="3"/>
    <col min="10793" max="10793" width="9.25" style="3" customWidth="1"/>
    <col min="10794" max="10796" width="9.12962962962963" style="3"/>
    <col min="10797" max="10799" width="9.75" style="3" customWidth="1"/>
    <col min="10800" max="10800" width="9.12962962962963" style="3"/>
    <col min="10801" max="10801" width="9.25" style="3" customWidth="1"/>
    <col min="10802" max="10804" width="9.12962962962963" style="3"/>
    <col min="10805" max="10807" width="9.75" style="3" customWidth="1"/>
    <col min="10808" max="10808" width="9.12962962962963" style="3"/>
    <col min="10809" max="10809" width="9.25" style="3" customWidth="1"/>
    <col min="10810" max="10812" width="9.12962962962963" style="3"/>
    <col min="10813" max="10815" width="9.75" style="3" customWidth="1"/>
    <col min="10816" max="10816" width="9.12962962962963" style="3"/>
    <col min="10817" max="10817" width="9.25" style="3" customWidth="1"/>
    <col min="10818" max="10820" width="9.12962962962963" style="3"/>
    <col min="10821" max="10823" width="9.75" style="3" customWidth="1"/>
    <col min="10824" max="10824" width="9.12962962962963" style="3"/>
    <col min="10825" max="10825" width="9.25" style="3" customWidth="1"/>
    <col min="10826" max="10828" width="9.12962962962963" style="3"/>
    <col min="10829" max="10831" width="9.75" style="3" customWidth="1"/>
    <col min="10832" max="10832" width="9.12962962962963" style="3"/>
    <col min="10833" max="10833" width="9.25" style="3" customWidth="1"/>
    <col min="10834" max="10836" width="9.12962962962963" style="3"/>
    <col min="10837" max="10839" width="9.75" style="3" customWidth="1"/>
    <col min="10840" max="10840" width="9.12962962962963" style="3"/>
    <col min="10841" max="10841" width="9.25" style="3" customWidth="1"/>
    <col min="10842" max="10844" width="9.12962962962963" style="3"/>
    <col min="10845" max="10847" width="9.75" style="3" customWidth="1"/>
    <col min="10848" max="10848" width="9.12962962962963" style="3"/>
    <col min="10849" max="10849" width="9.25" style="3" customWidth="1"/>
    <col min="10850" max="10852" width="9.12962962962963" style="3"/>
    <col min="10853" max="10855" width="9.75" style="3" customWidth="1"/>
    <col min="10856" max="10856" width="9.12962962962963" style="3"/>
    <col min="10857" max="10857" width="9.25" style="3" customWidth="1"/>
    <col min="10858" max="10860" width="9.12962962962963" style="3"/>
    <col min="10861" max="10863" width="9.75" style="3" customWidth="1"/>
    <col min="10864" max="10864" width="9.12962962962963" style="3"/>
    <col min="10865" max="10865" width="9.25" style="3" customWidth="1"/>
    <col min="10866" max="10868" width="9.12962962962963" style="3"/>
    <col min="10869" max="10871" width="9.75" style="3" customWidth="1"/>
    <col min="10872" max="10872" width="9.12962962962963" style="3"/>
    <col min="10873" max="10873" width="9.25" style="3" customWidth="1"/>
    <col min="10874" max="10876" width="9.12962962962963" style="3"/>
    <col min="10877" max="10879" width="9.75" style="3" customWidth="1"/>
    <col min="10880" max="10880" width="9.12962962962963" style="3"/>
    <col min="10881" max="10881" width="9.25" style="3" customWidth="1"/>
    <col min="10882" max="10884" width="9.12962962962963" style="3"/>
    <col min="10885" max="10887" width="9.75" style="3" customWidth="1"/>
    <col min="10888" max="10888" width="9.12962962962963" style="3"/>
    <col min="10889" max="10889" width="9.25" style="3" customWidth="1"/>
    <col min="10890" max="10892" width="9.12962962962963" style="3"/>
    <col min="10893" max="10895" width="9.75" style="3" customWidth="1"/>
    <col min="10896" max="10896" width="9.12962962962963" style="3"/>
    <col min="10897" max="10897" width="9.25" style="3" customWidth="1"/>
    <col min="10898" max="10900" width="9.12962962962963" style="3"/>
    <col min="10901" max="10903" width="9.75" style="3" customWidth="1"/>
    <col min="10904" max="10904" width="9.12962962962963" style="3"/>
    <col min="10905" max="10905" width="9.25" style="3" customWidth="1"/>
    <col min="10906" max="10908" width="9.12962962962963" style="3"/>
    <col min="10909" max="10911" width="9.75" style="3" customWidth="1"/>
    <col min="10912" max="10912" width="9.12962962962963" style="3"/>
    <col min="10913" max="10913" width="9.25" style="3" customWidth="1"/>
    <col min="10914" max="10916" width="9.12962962962963" style="3"/>
    <col min="10917" max="10919" width="9.75" style="3" customWidth="1"/>
    <col min="10920" max="10920" width="9.12962962962963" style="3"/>
    <col min="10921" max="10921" width="9.25" style="3" customWidth="1"/>
    <col min="10922" max="10924" width="9.12962962962963" style="3"/>
    <col min="10925" max="10927" width="9.75" style="3" customWidth="1"/>
    <col min="10928" max="10928" width="9.12962962962963" style="3"/>
    <col min="10929" max="10929" width="9.25" style="3" customWidth="1"/>
    <col min="10930" max="10932" width="9.12962962962963" style="3"/>
    <col min="10933" max="10935" width="9.75" style="3" customWidth="1"/>
    <col min="10936" max="10936" width="9.12962962962963" style="3"/>
    <col min="10937" max="10937" width="9.25" style="3" customWidth="1"/>
    <col min="10938" max="10940" width="9.12962962962963" style="3"/>
    <col min="10941" max="10943" width="9.75" style="3" customWidth="1"/>
    <col min="10944" max="10944" width="9.12962962962963" style="3"/>
    <col min="10945" max="10945" width="9.25" style="3" customWidth="1"/>
    <col min="10946" max="10948" width="9.12962962962963" style="3"/>
    <col min="10949" max="10951" width="9.75" style="3" customWidth="1"/>
    <col min="10952" max="10952" width="9.12962962962963" style="3"/>
    <col min="10953" max="10953" width="9.25" style="3" customWidth="1"/>
    <col min="10954" max="10956" width="9.12962962962963" style="3"/>
    <col min="10957" max="10959" width="9.75" style="3" customWidth="1"/>
    <col min="10960" max="10960" width="9.12962962962963" style="3"/>
    <col min="10961" max="10961" width="9.25" style="3" customWidth="1"/>
    <col min="10962" max="10964" width="9.12962962962963" style="3"/>
    <col min="10965" max="10967" width="9.75" style="3" customWidth="1"/>
    <col min="10968" max="10968" width="9.12962962962963" style="3"/>
    <col min="10969" max="10969" width="9.25" style="3" customWidth="1"/>
    <col min="10970" max="10972" width="9.12962962962963" style="3"/>
    <col min="10973" max="10975" width="9.75" style="3" customWidth="1"/>
    <col min="10976" max="10976" width="9.12962962962963" style="3"/>
    <col min="10977" max="10977" width="9.25" style="3" customWidth="1"/>
    <col min="10978" max="10980" width="9.12962962962963" style="3"/>
    <col min="10981" max="10983" width="9.75" style="3" customWidth="1"/>
    <col min="10984" max="10984" width="9.12962962962963" style="3"/>
    <col min="10985" max="10985" width="9.25" style="3" customWidth="1"/>
    <col min="10986" max="10988" width="9.12962962962963" style="3"/>
    <col min="10989" max="10991" width="9.75" style="3" customWidth="1"/>
    <col min="10992" max="10992" width="9.12962962962963" style="3"/>
    <col min="10993" max="10993" width="9.25" style="3" customWidth="1"/>
    <col min="10994" max="10996" width="9.12962962962963" style="3"/>
    <col min="10997" max="10999" width="9.75" style="3" customWidth="1"/>
    <col min="11000" max="11000" width="9.12962962962963" style="3"/>
    <col min="11001" max="11001" width="9.25" style="3" customWidth="1"/>
    <col min="11002" max="11004" width="9.12962962962963" style="3"/>
    <col min="11005" max="11007" width="9.75" style="3" customWidth="1"/>
    <col min="11008" max="11008" width="9.12962962962963" style="3"/>
    <col min="11009" max="11009" width="9.25" style="3" customWidth="1"/>
    <col min="11010" max="11012" width="9.12962962962963" style="3"/>
    <col min="11013" max="11015" width="9.75" style="3" customWidth="1"/>
    <col min="11016" max="11016" width="9.12962962962963" style="3"/>
    <col min="11017" max="11017" width="9.25" style="3" customWidth="1"/>
    <col min="11018" max="11020" width="9.12962962962963" style="3"/>
    <col min="11021" max="11023" width="9.75" style="3" customWidth="1"/>
    <col min="11024" max="11024" width="9.12962962962963" style="3"/>
    <col min="11025" max="11025" width="9.25" style="3" customWidth="1"/>
    <col min="11026" max="11028" width="9.12962962962963" style="3"/>
    <col min="11029" max="11031" width="9.75" style="3" customWidth="1"/>
    <col min="11032" max="11032" width="9.12962962962963" style="3"/>
    <col min="11033" max="11033" width="9.25" style="3" customWidth="1"/>
    <col min="11034" max="11036" width="9.12962962962963" style="3"/>
    <col min="11037" max="11039" width="9.75" style="3" customWidth="1"/>
    <col min="11040" max="11040" width="9.12962962962963" style="3"/>
    <col min="11041" max="11041" width="9.25" style="3" customWidth="1"/>
    <col min="11042" max="11044" width="9.12962962962963" style="3"/>
    <col min="11045" max="11047" width="9.75" style="3" customWidth="1"/>
    <col min="11048" max="11048" width="9.12962962962963" style="3"/>
    <col min="11049" max="11049" width="9.25" style="3" customWidth="1"/>
    <col min="11050" max="11052" width="9.12962962962963" style="3"/>
    <col min="11053" max="11055" width="9.75" style="3" customWidth="1"/>
    <col min="11056" max="11056" width="9.12962962962963" style="3"/>
    <col min="11057" max="11057" width="9.25" style="3" customWidth="1"/>
    <col min="11058" max="11060" width="9.12962962962963" style="3"/>
    <col min="11061" max="11063" width="9.75" style="3" customWidth="1"/>
    <col min="11064" max="11064" width="9.12962962962963" style="3"/>
    <col min="11065" max="11065" width="9.25" style="3" customWidth="1"/>
    <col min="11066" max="11068" width="9.12962962962963" style="3"/>
    <col min="11069" max="11071" width="9.75" style="3" customWidth="1"/>
    <col min="11072" max="11072" width="9.12962962962963" style="3"/>
    <col min="11073" max="11073" width="9.25" style="3" customWidth="1"/>
    <col min="11074" max="11076" width="9.12962962962963" style="3"/>
    <col min="11077" max="11079" width="9.75" style="3" customWidth="1"/>
    <col min="11080" max="11080" width="9.12962962962963" style="3"/>
    <col min="11081" max="11081" width="9.25" style="3" customWidth="1"/>
    <col min="11082" max="11084" width="9.12962962962963" style="3"/>
    <col min="11085" max="11087" width="9.75" style="3" customWidth="1"/>
    <col min="11088" max="11088" width="9.12962962962963" style="3"/>
    <col min="11089" max="11089" width="9.25" style="3" customWidth="1"/>
    <col min="11090" max="11092" width="9.12962962962963" style="3"/>
    <col min="11093" max="11095" width="9.75" style="3" customWidth="1"/>
    <col min="11096" max="11096" width="9.12962962962963" style="3"/>
    <col min="11097" max="11097" width="9.25" style="3" customWidth="1"/>
    <col min="11098" max="11100" width="9.12962962962963" style="3"/>
    <col min="11101" max="11103" width="9.75" style="3" customWidth="1"/>
    <col min="11104" max="11104" width="9.12962962962963" style="3"/>
    <col min="11105" max="11105" width="9.25" style="3" customWidth="1"/>
    <col min="11106" max="11108" width="9.12962962962963" style="3"/>
    <col min="11109" max="11111" width="9.75" style="3" customWidth="1"/>
    <col min="11112" max="11112" width="9.12962962962963" style="3"/>
    <col min="11113" max="11113" width="9.25" style="3" customWidth="1"/>
    <col min="11114" max="11116" width="9.12962962962963" style="3"/>
    <col min="11117" max="11119" width="9.75" style="3" customWidth="1"/>
    <col min="11120" max="11120" width="9.12962962962963" style="3"/>
    <col min="11121" max="11121" width="9.25" style="3" customWidth="1"/>
    <col min="11122" max="11124" width="9.12962962962963" style="3"/>
    <col min="11125" max="11127" width="9.75" style="3" customWidth="1"/>
    <col min="11128" max="11128" width="9.12962962962963" style="3"/>
    <col min="11129" max="11129" width="9.25" style="3" customWidth="1"/>
    <col min="11130" max="11132" width="9.12962962962963" style="3"/>
    <col min="11133" max="11135" width="9.75" style="3" customWidth="1"/>
    <col min="11136" max="11136" width="9.12962962962963" style="3"/>
    <col min="11137" max="11137" width="9.25" style="3" customWidth="1"/>
    <col min="11138" max="11140" width="9.12962962962963" style="3"/>
    <col min="11141" max="11143" width="9.75" style="3" customWidth="1"/>
    <col min="11144" max="11144" width="9.12962962962963" style="3"/>
    <col min="11145" max="11145" width="9.25" style="3" customWidth="1"/>
    <col min="11146" max="11148" width="9.12962962962963" style="3"/>
    <col min="11149" max="11151" width="9.75" style="3" customWidth="1"/>
    <col min="11152" max="11152" width="9.12962962962963" style="3"/>
    <col min="11153" max="11153" width="9.25" style="3" customWidth="1"/>
    <col min="11154" max="11156" width="9.12962962962963" style="3"/>
    <col min="11157" max="11159" width="9.75" style="3" customWidth="1"/>
    <col min="11160" max="11160" width="9.12962962962963" style="3"/>
    <col min="11161" max="11161" width="9.25" style="3" customWidth="1"/>
    <col min="11162" max="11164" width="9.12962962962963" style="3"/>
    <col min="11165" max="11167" width="9.75" style="3" customWidth="1"/>
    <col min="11168" max="11168" width="9.12962962962963" style="3"/>
    <col min="11169" max="11169" width="9.25" style="3" customWidth="1"/>
    <col min="11170" max="11172" width="9.12962962962963" style="3"/>
    <col min="11173" max="11175" width="9.75" style="3" customWidth="1"/>
    <col min="11176" max="11176" width="9.12962962962963" style="3"/>
    <col min="11177" max="11177" width="9.25" style="3" customWidth="1"/>
    <col min="11178" max="11180" width="9.12962962962963" style="3"/>
    <col min="11181" max="11183" width="9.75" style="3" customWidth="1"/>
    <col min="11184" max="11184" width="9.12962962962963" style="3"/>
    <col min="11185" max="11185" width="9.25" style="3" customWidth="1"/>
    <col min="11186" max="11188" width="9.12962962962963" style="3"/>
    <col min="11189" max="11191" width="9.75" style="3" customWidth="1"/>
    <col min="11192" max="11192" width="9.12962962962963" style="3"/>
    <col min="11193" max="11193" width="9.25" style="3" customWidth="1"/>
    <col min="11194" max="11196" width="9.12962962962963" style="3"/>
    <col min="11197" max="11199" width="9.75" style="3" customWidth="1"/>
    <col min="11200" max="11200" width="9.12962962962963" style="3"/>
    <col min="11201" max="11201" width="9.25" style="3" customWidth="1"/>
    <col min="11202" max="11204" width="9.12962962962963" style="3"/>
    <col min="11205" max="11207" width="9.75" style="3" customWidth="1"/>
    <col min="11208" max="11208" width="9.12962962962963" style="3"/>
    <col min="11209" max="11209" width="9.25" style="3" customWidth="1"/>
    <col min="11210" max="11212" width="9.12962962962963" style="3"/>
    <col min="11213" max="11215" width="9.75" style="3" customWidth="1"/>
    <col min="11216" max="11216" width="9.12962962962963" style="3"/>
    <col min="11217" max="11217" width="9.25" style="3" customWidth="1"/>
    <col min="11218" max="11220" width="9.12962962962963" style="3"/>
    <col min="11221" max="11223" width="9.75" style="3" customWidth="1"/>
    <col min="11224" max="11224" width="9.12962962962963" style="3"/>
    <col min="11225" max="11225" width="9.25" style="3" customWidth="1"/>
    <col min="11226" max="11228" width="9.12962962962963" style="3"/>
    <col min="11229" max="11231" width="9.75" style="3" customWidth="1"/>
    <col min="11232" max="11232" width="9.12962962962963" style="3"/>
    <col min="11233" max="11233" width="9.25" style="3" customWidth="1"/>
    <col min="11234" max="11236" width="9.12962962962963" style="3"/>
    <col min="11237" max="11239" width="9.75" style="3" customWidth="1"/>
    <col min="11240" max="11240" width="9.12962962962963" style="3"/>
    <col min="11241" max="11241" width="9.25" style="3" customWidth="1"/>
    <col min="11242" max="11244" width="9.12962962962963" style="3"/>
    <col min="11245" max="11247" width="9.75" style="3" customWidth="1"/>
    <col min="11248" max="11248" width="9.12962962962963" style="3"/>
    <col min="11249" max="11249" width="9.25" style="3" customWidth="1"/>
    <col min="11250" max="11252" width="9.12962962962963" style="3"/>
    <col min="11253" max="11255" width="9.75" style="3" customWidth="1"/>
    <col min="11256" max="11256" width="9.12962962962963" style="3"/>
    <col min="11257" max="11257" width="9.25" style="3" customWidth="1"/>
    <col min="11258" max="11260" width="9.12962962962963" style="3"/>
    <col min="11261" max="11263" width="9.75" style="3" customWidth="1"/>
    <col min="11264" max="11264" width="9.12962962962963" style="3"/>
    <col min="11265" max="11265" width="9.25" style="3" customWidth="1"/>
    <col min="11266" max="11268" width="9.12962962962963" style="3"/>
    <col min="11269" max="11271" width="9.75" style="3" customWidth="1"/>
    <col min="11272" max="11272" width="9.12962962962963" style="3"/>
    <col min="11273" max="11273" width="9.25" style="3" customWidth="1"/>
    <col min="11274" max="11276" width="9.12962962962963" style="3"/>
    <col min="11277" max="11279" width="9.75" style="3" customWidth="1"/>
    <col min="11280" max="11280" width="9.12962962962963" style="3"/>
    <col min="11281" max="11281" width="9.25" style="3" customWidth="1"/>
    <col min="11282" max="11284" width="9.12962962962963" style="3"/>
    <col min="11285" max="11287" width="9.75" style="3" customWidth="1"/>
    <col min="11288" max="11288" width="9.12962962962963" style="3"/>
    <col min="11289" max="11289" width="9.25" style="3" customWidth="1"/>
    <col min="11290" max="11292" width="9.12962962962963" style="3"/>
    <col min="11293" max="11295" width="9.75" style="3" customWidth="1"/>
    <col min="11296" max="11296" width="9.12962962962963" style="3"/>
    <col min="11297" max="11297" width="9.25" style="3" customWidth="1"/>
    <col min="11298" max="11300" width="9.12962962962963" style="3"/>
    <col min="11301" max="11303" width="9.75" style="3" customWidth="1"/>
    <col min="11304" max="11304" width="9.12962962962963" style="3"/>
    <col min="11305" max="11305" width="9.25" style="3" customWidth="1"/>
    <col min="11306" max="11308" width="9.12962962962963" style="3"/>
    <col min="11309" max="11311" width="9.75" style="3" customWidth="1"/>
    <col min="11312" max="11312" width="9.12962962962963" style="3"/>
    <col min="11313" max="11313" width="9.25" style="3" customWidth="1"/>
    <col min="11314" max="11316" width="9.12962962962963" style="3"/>
    <col min="11317" max="11319" width="9.75" style="3" customWidth="1"/>
    <col min="11320" max="11320" width="9.12962962962963" style="3"/>
    <col min="11321" max="11321" width="9.25" style="3" customWidth="1"/>
    <col min="11322" max="11324" width="9.12962962962963" style="3"/>
    <col min="11325" max="11327" width="9.75" style="3" customWidth="1"/>
    <col min="11328" max="11328" width="9.12962962962963" style="3"/>
    <col min="11329" max="11329" width="9.25" style="3" customWidth="1"/>
    <col min="11330" max="11332" width="9.12962962962963" style="3"/>
    <col min="11333" max="11335" width="9.75" style="3" customWidth="1"/>
    <col min="11336" max="11336" width="9.12962962962963" style="3"/>
    <col min="11337" max="11337" width="9.25" style="3" customWidth="1"/>
    <col min="11338" max="11340" width="9.12962962962963" style="3"/>
    <col min="11341" max="11343" width="9.75" style="3" customWidth="1"/>
    <col min="11344" max="11344" width="9.12962962962963" style="3"/>
    <col min="11345" max="11345" width="9.25" style="3" customWidth="1"/>
    <col min="11346" max="11348" width="9.12962962962963" style="3"/>
    <col min="11349" max="11351" width="9.75" style="3" customWidth="1"/>
    <col min="11352" max="11352" width="9.12962962962963" style="3"/>
    <col min="11353" max="11353" width="9.25" style="3" customWidth="1"/>
    <col min="11354" max="11356" width="9.12962962962963" style="3"/>
    <col min="11357" max="11359" width="9.75" style="3" customWidth="1"/>
    <col min="11360" max="11360" width="9.12962962962963" style="3"/>
    <col min="11361" max="11361" width="9.25" style="3" customWidth="1"/>
    <col min="11362" max="11364" width="9.12962962962963" style="3"/>
    <col min="11365" max="11367" width="9.75" style="3" customWidth="1"/>
    <col min="11368" max="11368" width="9.12962962962963" style="3"/>
    <col min="11369" max="11369" width="9.25" style="3" customWidth="1"/>
    <col min="11370" max="11372" width="9.12962962962963" style="3"/>
    <col min="11373" max="11375" width="9.75" style="3" customWidth="1"/>
    <col min="11376" max="11376" width="9.12962962962963" style="3"/>
    <col min="11377" max="11377" width="9.25" style="3" customWidth="1"/>
    <col min="11378" max="11380" width="9.12962962962963" style="3"/>
    <col min="11381" max="11383" width="9.75" style="3" customWidth="1"/>
    <col min="11384" max="11384" width="9.12962962962963" style="3"/>
    <col min="11385" max="11385" width="9.25" style="3" customWidth="1"/>
    <col min="11386" max="11388" width="9.12962962962963" style="3"/>
    <col min="11389" max="11391" width="9.75" style="3" customWidth="1"/>
    <col min="11392" max="11392" width="9.12962962962963" style="3"/>
    <col min="11393" max="11393" width="9.25" style="3" customWidth="1"/>
    <col min="11394" max="11396" width="9.12962962962963" style="3"/>
    <col min="11397" max="11399" width="9.75" style="3" customWidth="1"/>
    <col min="11400" max="11400" width="9.12962962962963" style="3"/>
    <col min="11401" max="11401" width="9.25" style="3" customWidth="1"/>
    <col min="11402" max="11404" width="9.12962962962963" style="3"/>
    <col min="11405" max="11407" width="9.75" style="3" customWidth="1"/>
    <col min="11408" max="11408" width="9.12962962962963" style="3"/>
    <col min="11409" max="11409" width="9.25" style="3" customWidth="1"/>
    <col min="11410" max="11412" width="9.12962962962963" style="3"/>
    <col min="11413" max="11415" width="9.75" style="3" customWidth="1"/>
    <col min="11416" max="11416" width="9.12962962962963" style="3"/>
    <col min="11417" max="11417" width="9.25" style="3" customWidth="1"/>
    <col min="11418" max="11420" width="9.12962962962963" style="3"/>
    <col min="11421" max="11423" width="9.75" style="3" customWidth="1"/>
    <col min="11424" max="11424" width="9.12962962962963" style="3"/>
    <col min="11425" max="11425" width="9.25" style="3" customWidth="1"/>
    <col min="11426" max="11428" width="9.12962962962963" style="3"/>
    <col min="11429" max="11431" width="9.75" style="3" customWidth="1"/>
    <col min="11432" max="11432" width="9.12962962962963" style="3"/>
    <col min="11433" max="11433" width="9.25" style="3" customWidth="1"/>
    <col min="11434" max="11436" width="9.12962962962963" style="3"/>
    <col min="11437" max="11439" width="9.75" style="3" customWidth="1"/>
    <col min="11440" max="11440" width="9.12962962962963" style="3"/>
    <col min="11441" max="11441" width="9.25" style="3" customWidth="1"/>
    <col min="11442" max="11444" width="9.12962962962963" style="3"/>
    <col min="11445" max="11447" width="9.75" style="3" customWidth="1"/>
    <col min="11448" max="11448" width="9.12962962962963" style="3"/>
    <col min="11449" max="11449" width="9.25" style="3" customWidth="1"/>
    <col min="11450" max="11452" width="9.12962962962963" style="3"/>
    <col min="11453" max="11455" width="9.75" style="3" customWidth="1"/>
    <col min="11456" max="11456" width="9.12962962962963" style="3"/>
    <col min="11457" max="11457" width="9.25" style="3" customWidth="1"/>
    <col min="11458" max="11460" width="9.12962962962963" style="3"/>
    <col min="11461" max="11463" width="9.75" style="3" customWidth="1"/>
    <col min="11464" max="11464" width="9.12962962962963" style="3"/>
    <col min="11465" max="11465" width="9.25" style="3" customWidth="1"/>
    <col min="11466" max="11468" width="9.12962962962963" style="3"/>
    <col min="11469" max="11471" width="9.75" style="3" customWidth="1"/>
    <col min="11472" max="11472" width="9.12962962962963" style="3"/>
    <col min="11473" max="11473" width="9.25" style="3" customWidth="1"/>
    <col min="11474" max="11476" width="9.12962962962963" style="3"/>
    <col min="11477" max="11479" width="9.75" style="3" customWidth="1"/>
    <col min="11480" max="11480" width="9.12962962962963" style="3"/>
    <col min="11481" max="11481" width="9.25" style="3" customWidth="1"/>
    <col min="11482" max="11484" width="9.12962962962963" style="3"/>
    <col min="11485" max="11487" width="9.75" style="3" customWidth="1"/>
    <col min="11488" max="11488" width="9.12962962962963" style="3"/>
    <col min="11489" max="11489" width="9.25" style="3" customWidth="1"/>
    <col min="11490" max="11492" width="9.12962962962963" style="3"/>
    <col min="11493" max="11495" width="9.75" style="3" customWidth="1"/>
    <col min="11496" max="11496" width="9.12962962962963" style="3"/>
    <col min="11497" max="11497" width="9.25" style="3" customWidth="1"/>
    <col min="11498" max="11500" width="9.12962962962963" style="3"/>
    <col min="11501" max="11503" width="9.75" style="3" customWidth="1"/>
    <col min="11504" max="11504" width="9.12962962962963" style="3"/>
    <col min="11505" max="11505" width="9.25" style="3" customWidth="1"/>
    <col min="11506" max="11508" width="9.12962962962963" style="3"/>
    <col min="11509" max="11511" width="9.75" style="3" customWidth="1"/>
    <col min="11512" max="11512" width="9.12962962962963" style="3"/>
    <col min="11513" max="11513" width="9.25" style="3" customWidth="1"/>
    <col min="11514" max="11516" width="9.12962962962963" style="3"/>
    <col min="11517" max="11519" width="9.75" style="3" customWidth="1"/>
    <col min="11520" max="11520" width="9.12962962962963" style="3"/>
    <col min="11521" max="11521" width="9.25" style="3" customWidth="1"/>
    <col min="11522" max="11524" width="9.12962962962963" style="3"/>
    <col min="11525" max="11527" width="9.75" style="3" customWidth="1"/>
    <col min="11528" max="11528" width="9.12962962962963" style="3"/>
    <col min="11529" max="11529" width="9.25" style="3" customWidth="1"/>
    <col min="11530" max="11532" width="9.12962962962963" style="3"/>
    <col min="11533" max="11535" width="9.75" style="3" customWidth="1"/>
    <col min="11536" max="11536" width="9.12962962962963" style="3"/>
    <col min="11537" max="11537" width="9.25" style="3" customWidth="1"/>
    <col min="11538" max="11540" width="9.12962962962963" style="3"/>
    <col min="11541" max="11543" width="9.75" style="3" customWidth="1"/>
    <col min="11544" max="11544" width="9.12962962962963" style="3"/>
    <col min="11545" max="11545" width="9.25" style="3" customWidth="1"/>
    <col min="11546" max="11548" width="9.12962962962963" style="3"/>
    <col min="11549" max="11551" width="9.75" style="3" customWidth="1"/>
    <col min="11552" max="11552" width="9.12962962962963" style="3"/>
    <col min="11553" max="11553" width="9.25" style="3" customWidth="1"/>
    <col min="11554" max="11556" width="9.12962962962963" style="3"/>
    <col min="11557" max="11559" width="9.75" style="3" customWidth="1"/>
    <col min="11560" max="11560" width="9.12962962962963" style="3"/>
    <col min="11561" max="11561" width="9.25" style="3" customWidth="1"/>
    <col min="11562" max="11564" width="9.12962962962963" style="3"/>
    <col min="11565" max="11567" width="9.75" style="3" customWidth="1"/>
    <col min="11568" max="11568" width="9.12962962962963" style="3"/>
    <col min="11569" max="11569" width="9.25" style="3" customWidth="1"/>
    <col min="11570" max="11572" width="9.12962962962963" style="3"/>
    <col min="11573" max="11575" width="9.75" style="3" customWidth="1"/>
    <col min="11576" max="11576" width="9.12962962962963" style="3"/>
    <col min="11577" max="11577" width="9.25" style="3" customWidth="1"/>
    <col min="11578" max="11580" width="9.12962962962963" style="3"/>
    <col min="11581" max="11583" width="9.75" style="3" customWidth="1"/>
    <col min="11584" max="11584" width="9.12962962962963" style="3"/>
    <col min="11585" max="11585" width="9.25" style="3" customWidth="1"/>
    <col min="11586" max="11588" width="9.12962962962963" style="3"/>
    <col min="11589" max="11591" width="9.75" style="3" customWidth="1"/>
    <col min="11592" max="11592" width="9.12962962962963" style="3"/>
    <col min="11593" max="11593" width="9.25" style="3" customWidth="1"/>
    <col min="11594" max="11596" width="9.12962962962963" style="3"/>
    <col min="11597" max="11599" width="9.75" style="3" customWidth="1"/>
    <col min="11600" max="11600" width="9.12962962962963" style="3"/>
    <col min="11601" max="11601" width="9.25" style="3" customWidth="1"/>
    <col min="11602" max="11604" width="9.12962962962963" style="3"/>
    <col min="11605" max="11607" width="9.75" style="3" customWidth="1"/>
    <col min="11608" max="11608" width="9.12962962962963" style="3"/>
    <col min="11609" max="11609" width="9.25" style="3" customWidth="1"/>
    <col min="11610" max="11612" width="9.12962962962963" style="3"/>
    <col min="11613" max="11615" width="9.75" style="3" customWidth="1"/>
    <col min="11616" max="11616" width="9.12962962962963" style="3"/>
    <col min="11617" max="11617" width="9.25" style="3" customWidth="1"/>
    <col min="11618" max="11620" width="9.12962962962963" style="3"/>
    <col min="11621" max="11623" width="9.75" style="3" customWidth="1"/>
    <col min="11624" max="11624" width="9.12962962962963" style="3"/>
    <col min="11625" max="11625" width="9.25" style="3" customWidth="1"/>
    <col min="11626" max="11628" width="9.12962962962963" style="3"/>
    <col min="11629" max="11631" width="9.75" style="3" customWidth="1"/>
    <col min="11632" max="11632" width="9.12962962962963" style="3"/>
    <col min="11633" max="11633" width="9.25" style="3" customWidth="1"/>
    <col min="11634" max="11636" width="9.12962962962963" style="3"/>
    <col min="11637" max="11639" width="9.75" style="3" customWidth="1"/>
    <col min="11640" max="11640" width="9.12962962962963" style="3"/>
    <col min="11641" max="11641" width="9.25" style="3" customWidth="1"/>
    <col min="11642" max="11644" width="9.12962962962963" style="3"/>
    <col min="11645" max="11647" width="9.75" style="3" customWidth="1"/>
    <col min="11648" max="11648" width="9.12962962962963" style="3"/>
    <col min="11649" max="11649" width="9.25" style="3" customWidth="1"/>
    <col min="11650" max="11652" width="9.12962962962963" style="3"/>
    <col min="11653" max="11655" width="9.75" style="3" customWidth="1"/>
    <col min="11656" max="11656" width="9.12962962962963" style="3"/>
    <col min="11657" max="11657" width="9.25" style="3" customWidth="1"/>
    <col min="11658" max="11660" width="9.12962962962963" style="3"/>
    <col min="11661" max="11663" width="9.75" style="3" customWidth="1"/>
    <col min="11664" max="11664" width="9.12962962962963" style="3"/>
    <col min="11665" max="11665" width="9.25" style="3" customWidth="1"/>
    <col min="11666" max="11668" width="9.12962962962963" style="3"/>
    <col min="11669" max="11671" width="9.75" style="3" customWidth="1"/>
    <col min="11672" max="11672" width="9.12962962962963" style="3"/>
    <col min="11673" max="11673" width="9.25" style="3" customWidth="1"/>
    <col min="11674" max="11676" width="9.12962962962963" style="3"/>
    <col min="11677" max="11679" width="9.75" style="3" customWidth="1"/>
    <col min="11680" max="11680" width="9.12962962962963" style="3"/>
    <col min="11681" max="11681" width="9.25" style="3" customWidth="1"/>
    <col min="11682" max="11684" width="9.12962962962963" style="3"/>
    <col min="11685" max="11687" width="9.75" style="3" customWidth="1"/>
    <col min="11688" max="11688" width="9.12962962962963" style="3"/>
    <col min="11689" max="11689" width="9.25" style="3" customWidth="1"/>
    <col min="11690" max="11692" width="9.12962962962963" style="3"/>
    <col min="11693" max="11695" width="9.75" style="3" customWidth="1"/>
    <col min="11696" max="11696" width="9.12962962962963" style="3"/>
    <col min="11697" max="11697" width="9.25" style="3" customWidth="1"/>
    <col min="11698" max="11700" width="9.12962962962963" style="3"/>
    <col min="11701" max="11703" width="9.75" style="3" customWidth="1"/>
    <col min="11704" max="11704" width="9.12962962962963" style="3"/>
    <col min="11705" max="11705" width="9.25" style="3" customWidth="1"/>
    <col min="11706" max="11708" width="9.12962962962963" style="3"/>
    <col min="11709" max="11711" width="9.75" style="3" customWidth="1"/>
    <col min="11712" max="11712" width="9.12962962962963" style="3"/>
    <col min="11713" max="11713" width="9.25" style="3" customWidth="1"/>
    <col min="11714" max="11716" width="9.12962962962963" style="3"/>
    <col min="11717" max="11719" width="9.75" style="3" customWidth="1"/>
    <col min="11720" max="11720" width="9.12962962962963" style="3"/>
    <col min="11721" max="11721" width="9.25" style="3" customWidth="1"/>
    <col min="11722" max="11724" width="9.12962962962963" style="3"/>
    <col min="11725" max="11727" width="9.75" style="3" customWidth="1"/>
    <col min="11728" max="11728" width="9.12962962962963" style="3"/>
    <col min="11729" max="11729" width="9.25" style="3" customWidth="1"/>
    <col min="11730" max="11732" width="9.12962962962963" style="3"/>
    <col min="11733" max="11735" width="9.75" style="3" customWidth="1"/>
    <col min="11736" max="11736" width="9.12962962962963" style="3"/>
    <col min="11737" max="11737" width="9.25" style="3" customWidth="1"/>
    <col min="11738" max="11740" width="9.12962962962963" style="3"/>
    <col min="11741" max="11743" width="9.75" style="3" customWidth="1"/>
    <col min="11744" max="11744" width="9.12962962962963" style="3"/>
    <col min="11745" max="11745" width="9.25" style="3" customWidth="1"/>
    <col min="11746" max="11748" width="9.12962962962963" style="3"/>
    <col min="11749" max="11751" width="9.75" style="3" customWidth="1"/>
    <col min="11752" max="11752" width="9.12962962962963" style="3"/>
    <col min="11753" max="11753" width="9.25" style="3" customWidth="1"/>
    <col min="11754" max="11756" width="9.12962962962963" style="3"/>
    <col min="11757" max="11759" width="9.75" style="3" customWidth="1"/>
    <col min="11760" max="11760" width="9.12962962962963" style="3"/>
    <col min="11761" max="11761" width="9.25" style="3" customWidth="1"/>
    <col min="11762" max="11764" width="9.12962962962963" style="3"/>
    <col min="11765" max="11767" width="9.75" style="3" customWidth="1"/>
    <col min="11768" max="11768" width="9.12962962962963" style="3"/>
    <col min="11769" max="11769" width="9.25" style="3" customWidth="1"/>
    <col min="11770" max="11772" width="9.12962962962963" style="3"/>
    <col min="11773" max="11775" width="9.75" style="3" customWidth="1"/>
    <col min="11776" max="11776" width="9.12962962962963" style="3"/>
    <col min="11777" max="11777" width="9.25" style="3" customWidth="1"/>
    <col min="11778" max="11780" width="9.12962962962963" style="3"/>
    <col min="11781" max="11783" width="9.75" style="3" customWidth="1"/>
    <col min="11784" max="11784" width="9.12962962962963" style="3"/>
    <col min="11785" max="11785" width="9.25" style="3" customWidth="1"/>
    <col min="11786" max="11788" width="9.12962962962963" style="3"/>
    <col min="11789" max="11791" width="9.75" style="3" customWidth="1"/>
    <col min="11792" max="11792" width="9.12962962962963" style="3"/>
    <col min="11793" max="11793" width="9.25" style="3" customWidth="1"/>
    <col min="11794" max="11796" width="9.12962962962963" style="3"/>
    <col min="11797" max="11799" width="9.75" style="3" customWidth="1"/>
    <col min="11800" max="11800" width="9.12962962962963" style="3"/>
    <col min="11801" max="11801" width="9.25" style="3" customWidth="1"/>
    <col min="11802" max="11804" width="9.12962962962963" style="3"/>
    <col min="11805" max="11807" width="9.75" style="3" customWidth="1"/>
    <col min="11808" max="11808" width="9.12962962962963" style="3"/>
    <col min="11809" max="11809" width="9.25" style="3" customWidth="1"/>
    <col min="11810" max="11812" width="9.12962962962963" style="3"/>
    <col min="11813" max="11815" width="9.75" style="3" customWidth="1"/>
    <col min="11816" max="11816" width="9.12962962962963" style="3"/>
    <col min="11817" max="11817" width="9.25" style="3" customWidth="1"/>
    <col min="11818" max="11820" width="9.12962962962963" style="3"/>
    <col min="11821" max="11823" width="9.75" style="3" customWidth="1"/>
    <col min="11824" max="11824" width="9.12962962962963" style="3"/>
    <col min="11825" max="11825" width="9.25" style="3" customWidth="1"/>
    <col min="11826" max="11828" width="9.12962962962963" style="3"/>
    <col min="11829" max="11831" width="9.75" style="3" customWidth="1"/>
    <col min="11832" max="11832" width="9.12962962962963" style="3"/>
    <col min="11833" max="11833" width="9.25" style="3" customWidth="1"/>
    <col min="11834" max="11836" width="9.12962962962963" style="3"/>
    <col min="11837" max="11839" width="9.75" style="3" customWidth="1"/>
    <col min="11840" max="11840" width="9.12962962962963" style="3"/>
    <col min="11841" max="11841" width="9.25" style="3" customWidth="1"/>
    <col min="11842" max="11844" width="9.12962962962963" style="3"/>
    <col min="11845" max="11847" width="9.75" style="3" customWidth="1"/>
    <col min="11848" max="11848" width="9.12962962962963" style="3"/>
    <col min="11849" max="11849" width="9.25" style="3" customWidth="1"/>
    <col min="11850" max="11852" width="9.12962962962963" style="3"/>
    <col min="11853" max="11855" width="9.75" style="3" customWidth="1"/>
    <col min="11856" max="11856" width="9.12962962962963" style="3"/>
    <col min="11857" max="11857" width="9.25" style="3" customWidth="1"/>
    <col min="11858" max="11860" width="9.12962962962963" style="3"/>
    <col min="11861" max="11863" width="9.75" style="3" customWidth="1"/>
    <col min="11864" max="11864" width="9.12962962962963" style="3"/>
    <col min="11865" max="11865" width="9.25" style="3" customWidth="1"/>
    <col min="11866" max="11868" width="9.12962962962963" style="3"/>
    <col min="11869" max="11871" width="9.75" style="3" customWidth="1"/>
    <col min="11872" max="11872" width="9.12962962962963" style="3"/>
    <col min="11873" max="11873" width="9.25" style="3" customWidth="1"/>
    <col min="11874" max="11876" width="9.12962962962963" style="3"/>
    <col min="11877" max="11879" width="9.75" style="3" customWidth="1"/>
    <col min="11880" max="11880" width="9.12962962962963" style="3"/>
    <col min="11881" max="11881" width="9.25" style="3" customWidth="1"/>
    <col min="11882" max="11884" width="9.12962962962963" style="3"/>
    <col min="11885" max="11887" width="9.75" style="3" customWidth="1"/>
    <col min="11888" max="11888" width="9.12962962962963" style="3"/>
    <col min="11889" max="11889" width="9.25" style="3" customWidth="1"/>
    <col min="11890" max="11892" width="9.12962962962963" style="3"/>
    <col min="11893" max="11895" width="9.75" style="3" customWidth="1"/>
    <col min="11896" max="11896" width="9.12962962962963" style="3"/>
    <col min="11897" max="11897" width="9.25" style="3" customWidth="1"/>
    <col min="11898" max="11900" width="9.12962962962963" style="3"/>
    <col min="11901" max="11903" width="9.75" style="3" customWidth="1"/>
    <col min="11904" max="11904" width="9.12962962962963" style="3"/>
    <col min="11905" max="11905" width="9.25" style="3" customWidth="1"/>
    <col min="11906" max="11908" width="9.12962962962963" style="3"/>
    <col min="11909" max="11911" width="9.75" style="3" customWidth="1"/>
    <col min="11912" max="11912" width="9.12962962962963" style="3"/>
    <col min="11913" max="11913" width="9.25" style="3" customWidth="1"/>
    <col min="11914" max="11916" width="9.12962962962963" style="3"/>
    <col min="11917" max="11919" width="9.75" style="3" customWidth="1"/>
    <col min="11920" max="11920" width="9.12962962962963" style="3"/>
    <col min="11921" max="11921" width="9.25" style="3" customWidth="1"/>
    <col min="11922" max="11924" width="9.12962962962963" style="3"/>
    <col min="11925" max="11927" width="9.75" style="3" customWidth="1"/>
    <col min="11928" max="11928" width="9.12962962962963" style="3"/>
    <col min="11929" max="11929" width="9.25" style="3" customWidth="1"/>
    <col min="11930" max="11932" width="9.12962962962963" style="3"/>
    <col min="11933" max="11935" width="9.75" style="3" customWidth="1"/>
    <col min="11936" max="11936" width="9.12962962962963" style="3"/>
    <col min="11937" max="11937" width="9.25" style="3" customWidth="1"/>
    <col min="11938" max="11940" width="9.12962962962963" style="3"/>
    <col min="11941" max="11943" width="9.75" style="3" customWidth="1"/>
    <col min="11944" max="11944" width="9.12962962962963" style="3"/>
    <col min="11945" max="11945" width="9.25" style="3" customWidth="1"/>
    <col min="11946" max="11948" width="9.12962962962963" style="3"/>
    <col min="11949" max="11951" width="9.75" style="3" customWidth="1"/>
    <col min="11952" max="11952" width="9.12962962962963" style="3"/>
    <col min="11953" max="11953" width="9.25" style="3" customWidth="1"/>
    <col min="11954" max="11956" width="9.12962962962963" style="3"/>
    <col min="11957" max="11959" width="9.75" style="3" customWidth="1"/>
    <col min="11960" max="11960" width="9.12962962962963" style="3"/>
    <col min="11961" max="11961" width="9.25" style="3" customWidth="1"/>
    <col min="11962" max="11964" width="9.12962962962963" style="3"/>
    <col min="11965" max="11967" width="9.75" style="3" customWidth="1"/>
    <col min="11968" max="11968" width="9.12962962962963" style="3"/>
    <col min="11969" max="11969" width="9.25" style="3" customWidth="1"/>
    <col min="11970" max="11972" width="9.12962962962963" style="3"/>
    <col min="11973" max="11975" width="9.75" style="3" customWidth="1"/>
    <col min="11976" max="11976" width="9.12962962962963" style="3"/>
    <col min="11977" max="11977" width="9.25" style="3" customWidth="1"/>
    <col min="11978" max="11980" width="9.12962962962963" style="3"/>
    <col min="11981" max="11983" width="9.75" style="3" customWidth="1"/>
    <col min="11984" max="11984" width="9.12962962962963" style="3"/>
    <col min="11985" max="11985" width="9.25" style="3" customWidth="1"/>
    <col min="11986" max="11988" width="9.12962962962963" style="3"/>
    <col min="11989" max="11991" width="9.75" style="3" customWidth="1"/>
    <col min="11992" max="11992" width="9.12962962962963" style="3"/>
    <col min="11993" max="11993" width="9.25" style="3" customWidth="1"/>
    <col min="11994" max="11996" width="9.12962962962963" style="3"/>
    <col min="11997" max="11999" width="9.75" style="3" customWidth="1"/>
    <col min="12000" max="12000" width="9.12962962962963" style="3"/>
    <col min="12001" max="12001" width="9.25" style="3" customWidth="1"/>
    <col min="12002" max="12004" width="9.12962962962963" style="3"/>
    <col min="12005" max="12007" width="9.75" style="3" customWidth="1"/>
    <col min="12008" max="12008" width="9.12962962962963" style="3"/>
    <col min="12009" max="12009" width="9.25" style="3" customWidth="1"/>
    <col min="12010" max="12012" width="9.12962962962963" style="3"/>
    <col min="12013" max="12015" width="9.75" style="3" customWidth="1"/>
    <col min="12016" max="12016" width="9.12962962962963" style="3"/>
    <col min="12017" max="12017" width="9.25" style="3" customWidth="1"/>
    <col min="12018" max="12020" width="9.12962962962963" style="3"/>
    <col min="12021" max="12023" width="9.75" style="3" customWidth="1"/>
    <col min="12024" max="12024" width="9.12962962962963" style="3"/>
    <col min="12025" max="12025" width="9.25" style="3" customWidth="1"/>
    <col min="12026" max="12028" width="9.12962962962963" style="3"/>
    <col min="12029" max="12031" width="9.75" style="3" customWidth="1"/>
    <col min="12032" max="12032" width="9.12962962962963" style="3"/>
    <col min="12033" max="12033" width="9.25" style="3" customWidth="1"/>
    <col min="12034" max="12036" width="9.12962962962963" style="3"/>
    <col min="12037" max="12039" width="9.75" style="3" customWidth="1"/>
    <col min="12040" max="12040" width="9.12962962962963" style="3"/>
    <col min="12041" max="12041" width="9.25" style="3" customWidth="1"/>
    <col min="12042" max="12044" width="9.12962962962963" style="3"/>
    <col min="12045" max="12047" width="9.75" style="3" customWidth="1"/>
    <col min="12048" max="12048" width="9.12962962962963" style="3"/>
    <col min="12049" max="12049" width="9.25" style="3" customWidth="1"/>
    <col min="12050" max="12052" width="9.12962962962963" style="3"/>
    <col min="12053" max="12055" width="9.75" style="3" customWidth="1"/>
    <col min="12056" max="12056" width="9.12962962962963" style="3"/>
    <col min="12057" max="12057" width="9.25" style="3" customWidth="1"/>
    <col min="12058" max="12060" width="9.12962962962963" style="3"/>
    <col min="12061" max="12063" width="9.75" style="3" customWidth="1"/>
    <col min="12064" max="12064" width="9.12962962962963" style="3"/>
    <col min="12065" max="12065" width="9.25" style="3" customWidth="1"/>
    <col min="12066" max="12068" width="9.12962962962963" style="3"/>
    <col min="12069" max="12071" width="9.75" style="3" customWidth="1"/>
    <col min="12072" max="12072" width="9.12962962962963" style="3"/>
    <col min="12073" max="12073" width="9.25" style="3" customWidth="1"/>
    <col min="12074" max="12076" width="9.12962962962963" style="3"/>
    <col min="12077" max="12079" width="9.75" style="3" customWidth="1"/>
    <col min="12080" max="12080" width="9.12962962962963" style="3"/>
    <col min="12081" max="12081" width="9.25" style="3" customWidth="1"/>
    <col min="12082" max="12084" width="9.12962962962963" style="3"/>
    <col min="12085" max="12087" width="9.75" style="3" customWidth="1"/>
    <col min="12088" max="12088" width="9.12962962962963" style="3"/>
    <col min="12089" max="12089" width="9.25" style="3" customWidth="1"/>
    <col min="12090" max="12092" width="9.12962962962963" style="3"/>
    <col min="12093" max="12095" width="9.75" style="3" customWidth="1"/>
    <col min="12096" max="12096" width="9.12962962962963" style="3"/>
    <col min="12097" max="12097" width="9.25" style="3" customWidth="1"/>
    <col min="12098" max="12100" width="9.12962962962963" style="3"/>
    <col min="12101" max="12103" width="9.75" style="3" customWidth="1"/>
    <col min="12104" max="12104" width="9.12962962962963" style="3"/>
    <col min="12105" max="12105" width="9.25" style="3" customWidth="1"/>
    <col min="12106" max="12108" width="9.12962962962963" style="3"/>
    <col min="12109" max="12111" width="9.75" style="3" customWidth="1"/>
    <col min="12112" max="12112" width="9.12962962962963" style="3"/>
    <col min="12113" max="12113" width="9.25" style="3" customWidth="1"/>
    <col min="12114" max="12116" width="9.12962962962963" style="3"/>
    <col min="12117" max="12119" width="9.75" style="3" customWidth="1"/>
    <col min="12120" max="12120" width="9.12962962962963" style="3"/>
    <col min="12121" max="12121" width="9.25" style="3" customWidth="1"/>
    <col min="12122" max="12124" width="9.12962962962963" style="3"/>
    <col min="12125" max="12127" width="9.75" style="3" customWidth="1"/>
    <col min="12128" max="12128" width="9.12962962962963" style="3"/>
    <col min="12129" max="12129" width="9.25" style="3" customWidth="1"/>
    <col min="12130" max="12132" width="9.12962962962963" style="3"/>
    <col min="12133" max="12135" width="9.75" style="3" customWidth="1"/>
    <col min="12136" max="12136" width="9.12962962962963" style="3"/>
    <col min="12137" max="12137" width="9.25" style="3" customWidth="1"/>
    <col min="12138" max="12140" width="9.12962962962963" style="3"/>
    <col min="12141" max="12143" width="9.75" style="3" customWidth="1"/>
    <col min="12144" max="12144" width="9.12962962962963" style="3"/>
    <col min="12145" max="12145" width="9.25" style="3" customWidth="1"/>
    <col min="12146" max="12148" width="9.12962962962963" style="3"/>
    <col min="12149" max="12151" width="9.75" style="3" customWidth="1"/>
    <col min="12152" max="12152" width="9.12962962962963" style="3"/>
    <col min="12153" max="12153" width="9.25" style="3" customWidth="1"/>
    <col min="12154" max="12156" width="9.12962962962963" style="3"/>
    <col min="12157" max="12159" width="9.75" style="3" customWidth="1"/>
    <col min="12160" max="12160" width="9.12962962962963" style="3"/>
    <col min="12161" max="12161" width="9.25" style="3" customWidth="1"/>
    <col min="12162" max="12164" width="9.12962962962963" style="3"/>
    <col min="12165" max="12167" width="9.75" style="3" customWidth="1"/>
    <col min="12168" max="12168" width="9.12962962962963" style="3"/>
    <col min="12169" max="12169" width="9.25" style="3" customWidth="1"/>
    <col min="12170" max="12172" width="9.12962962962963" style="3"/>
    <col min="12173" max="12175" width="9.75" style="3" customWidth="1"/>
    <col min="12176" max="12176" width="9.12962962962963" style="3"/>
    <col min="12177" max="12177" width="9.25" style="3" customWidth="1"/>
    <col min="12178" max="12180" width="9.12962962962963" style="3"/>
    <col min="12181" max="12183" width="9.75" style="3" customWidth="1"/>
    <col min="12184" max="12184" width="9.12962962962963" style="3"/>
    <col min="12185" max="12185" width="9.25" style="3" customWidth="1"/>
    <col min="12186" max="12188" width="9.12962962962963" style="3"/>
    <col min="12189" max="12191" width="9.75" style="3" customWidth="1"/>
    <col min="12192" max="12192" width="9.12962962962963" style="3"/>
    <col min="12193" max="12193" width="9.25" style="3" customWidth="1"/>
    <col min="12194" max="12196" width="9.12962962962963" style="3"/>
    <col min="12197" max="12199" width="9.75" style="3" customWidth="1"/>
    <col min="12200" max="12200" width="9.12962962962963" style="3"/>
    <col min="12201" max="12201" width="9.25" style="3" customWidth="1"/>
    <col min="12202" max="12204" width="9.12962962962963" style="3"/>
    <col min="12205" max="12207" width="9.75" style="3" customWidth="1"/>
    <col min="12208" max="12208" width="9.12962962962963" style="3"/>
    <col min="12209" max="12209" width="9.25" style="3" customWidth="1"/>
    <col min="12210" max="12212" width="9.12962962962963" style="3"/>
    <col min="12213" max="12215" width="9.75" style="3" customWidth="1"/>
    <col min="12216" max="12216" width="9.12962962962963" style="3"/>
    <col min="12217" max="12217" width="9.25" style="3" customWidth="1"/>
    <col min="12218" max="12220" width="9.12962962962963" style="3"/>
    <col min="12221" max="12223" width="9.75" style="3" customWidth="1"/>
    <col min="12224" max="12224" width="9.12962962962963" style="3"/>
    <col min="12225" max="12225" width="9.25" style="3" customWidth="1"/>
    <col min="12226" max="12228" width="9.12962962962963" style="3"/>
    <col min="12229" max="12231" width="9.75" style="3" customWidth="1"/>
    <col min="12232" max="12232" width="9.12962962962963" style="3"/>
    <col min="12233" max="12233" width="9.25" style="3" customWidth="1"/>
    <col min="12234" max="12236" width="9.12962962962963" style="3"/>
    <col min="12237" max="12239" width="9.75" style="3" customWidth="1"/>
    <col min="12240" max="12240" width="9.12962962962963" style="3"/>
    <col min="12241" max="12241" width="9.25" style="3" customWidth="1"/>
    <col min="12242" max="12244" width="9.12962962962963" style="3"/>
    <col min="12245" max="12247" width="9.75" style="3" customWidth="1"/>
    <col min="12248" max="12248" width="9.12962962962963" style="3"/>
    <col min="12249" max="12249" width="9.25" style="3" customWidth="1"/>
    <col min="12250" max="12252" width="9.12962962962963" style="3"/>
    <col min="12253" max="12255" width="9.75" style="3" customWidth="1"/>
    <col min="12256" max="12256" width="9.12962962962963" style="3"/>
    <col min="12257" max="12257" width="9.25" style="3" customWidth="1"/>
    <col min="12258" max="12260" width="9.12962962962963" style="3"/>
    <col min="12261" max="12263" width="9.75" style="3" customWidth="1"/>
    <col min="12264" max="12264" width="9.12962962962963" style="3"/>
    <col min="12265" max="12265" width="9.25" style="3" customWidth="1"/>
    <col min="12266" max="12268" width="9.12962962962963" style="3"/>
    <col min="12269" max="12271" width="9.75" style="3" customWidth="1"/>
    <col min="12272" max="12272" width="9.12962962962963" style="3"/>
    <col min="12273" max="12273" width="9.25" style="3" customWidth="1"/>
    <col min="12274" max="12276" width="9.12962962962963" style="3"/>
    <col min="12277" max="12279" width="9.75" style="3" customWidth="1"/>
    <col min="12280" max="12280" width="9.12962962962963" style="3"/>
    <col min="12281" max="12281" width="9.25" style="3" customWidth="1"/>
    <col min="12282" max="12284" width="9.12962962962963" style="3"/>
    <col min="12285" max="12287" width="9.75" style="3" customWidth="1"/>
    <col min="12288" max="12288" width="9.12962962962963" style="3"/>
    <col min="12289" max="12289" width="9.25" style="3" customWidth="1"/>
    <col min="12290" max="12292" width="9.12962962962963" style="3"/>
    <col min="12293" max="12295" width="9.75" style="3" customWidth="1"/>
    <col min="12296" max="12296" width="9.12962962962963" style="3"/>
    <col min="12297" max="12297" width="9.25" style="3" customWidth="1"/>
    <col min="12298" max="12300" width="9.12962962962963" style="3"/>
    <col min="12301" max="12303" width="9.75" style="3" customWidth="1"/>
    <col min="12304" max="12304" width="9.12962962962963" style="3"/>
    <col min="12305" max="12305" width="9.25" style="3" customWidth="1"/>
    <col min="12306" max="12308" width="9.12962962962963" style="3"/>
    <col min="12309" max="12311" width="9.75" style="3" customWidth="1"/>
    <col min="12312" max="12312" width="9.12962962962963" style="3"/>
    <col min="12313" max="12313" width="9.25" style="3" customWidth="1"/>
    <col min="12314" max="12316" width="9.12962962962963" style="3"/>
    <col min="12317" max="12319" width="9.75" style="3" customWidth="1"/>
    <col min="12320" max="12320" width="9.12962962962963" style="3"/>
    <col min="12321" max="12321" width="9.25" style="3" customWidth="1"/>
    <col min="12322" max="12324" width="9.12962962962963" style="3"/>
    <col min="12325" max="12327" width="9.75" style="3" customWidth="1"/>
    <col min="12328" max="12328" width="9.12962962962963" style="3"/>
    <col min="12329" max="12329" width="9.25" style="3" customWidth="1"/>
    <col min="12330" max="12332" width="9.12962962962963" style="3"/>
    <col min="12333" max="12335" width="9.75" style="3" customWidth="1"/>
    <col min="12336" max="12336" width="9.12962962962963" style="3"/>
    <col min="12337" max="12337" width="9.25" style="3" customWidth="1"/>
    <col min="12338" max="12340" width="9.12962962962963" style="3"/>
    <col min="12341" max="12343" width="9.75" style="3" customWidth="1"/>
    <col min="12344" max="12344" width="9.12962962962963" style="3"/>
    <col min="12345" max="12345" width="9.25" style="3" customWidth="1"/>
    <col min="12346" max="12348" width="9.12962962962963" style="3"/>
    <col min="12349" max="12351" width="9.75" style="3" customWidth="1"/>
    <col min="12352" max="12352" width="9.12962962962963" style="3"/>
    <col min="12353" max="12353" width="9.25" style="3" customWidth="1"/>
    <col min="12354" max="12356" width="9.12962962962963" style="3"/>
    <col min="12357" max="12359" width="9.75" style="3" customWidth="1"/>
    <col min="12360" max="12360" width="9.12962962962963" style="3"/>
    <col min="12361" max="12361" width="9.25" style="3" customWidth="1"/>
    <col min="12362" max="12364" width="9.12962962962963" style="3"/>
    <col min="12365" max="12367" width="9.75" style="3" customWidth="1"/>
    <col min="12368" max="12368" width="9.12962962962963" style="3"/>
    <col min="12369" max="12369" width="9.25" style="3" customWidth="1"/>
    <col min="12370" max="12372" width="9.12962962962963" style="3"/>
    <col min="12373" max="12375" width="9.75" style="3" customWidth="1"/>
    <col min="12376" max="12376" width="9.12962962962963" style="3"/>
    <col min="12377" max="12377" width="9.25" style="3" customWidth="1"/>
    <col min="12378" max="12380" width="9.12962962962963" style="3"/>
    <col min="12381" max="12383" width="9.75" style="3" customWidth="1"/>
    <col min="12384" max="12384" width="9.12962962962963" style="3"/>
    <col min="12385" max="12385" width="9.25" style="3" customWidth="1"/>
    <col min="12386" max="12388" width="9.12962962962963" style="3"/>
    <col min="12389" max="12391" width="9.75" style="3" customWidth="1"/>
    <col min="12392" max="12392" width="9.12962962962963" style="3"/>
    <col min="12393" max="12393" width="9.25" style="3" customWidth="1"/>
    <col min="12394" max="12396" width="9.12962962962963" style="3"/>
    <col min="12397" max="12399" width="9.75" style="3" customWidth="1"/>
    <col min="12400" max="12400" width="9.12962962962963" style="3"/>
    <col min="12401" max="12401" width="9.25" style="3" customWidth="1"/>
    <col min="12402" max="12404" width="9.12962962962963" style="3"/>
    <col min="12405" max="12407" width="9.75" style="3" customWidth="1"/>
    <col min="12408" max="12408" width="9.12962962962963" style="3"/>
    <col min="12409" max="12409" width="9.25" style="3" customWidth="1"/>
    <col min="12410" max="12412" width="9.12962962962963" style="3"/>
    <col min="12413" max="12415" width="9.75" style="3" customWidth="1"/>
    <col min="12416" max="12416" width="9.12962962962963" style="3"/>
    <col min="12417" max="12417" width="9.25" style="3" customWidth="1"/>
    <col min="12418" max="12420" width="9.12962962962963" style="3"/>
    <col min="12421" max="12423" width="9.75" style="3" customWidth="1"/>
    <col min="12424" max="12424" width="9.12962962962963" style="3"/>
    <col min="12425" max="12425" width="9.25" style="3" customWidth="1"/>
    <col min="12426" max="12428" width="9.12962962962963" style="3"/>
    <col min="12429" max="12431" width="9.75" style="3" customWidth="1"/>
    <col min="12432" max="12432" width="9.12962962962963" style="3"/>
    <col min="12433" max="12433" width="9.25" style="3" customWidth="1"/>
    <col min="12434" max="12436" width="9.12962962962963" style="3"/>
    <col min="12437" max="12439" width="9.75" style="3" customWidth="1"/>
    <col min="12440" max="12440" width="9.12962962962963" style="3"/>
    <col min="12441" max="12441" width="9.25" style="3" customWidth="1"/>
    <col min="12442" max="12444" width="9.12962962962963" style="3"/>
    <col min="12445" max="12447" width="9.75" style="3" customWidth="1"/>
    <col min="12448" max="12448" width="9.12962962962963" style="3"/>
    <col min="12449" max="12449" width="9.25" style="3" customWidth="1"/>
    <col min="12450" max="12452" width="9.12962962962963" style="3"/>
    <col min="12453" max="12455" width="9.75" style="3" customWidth="1"/>
    <col min="12456" max="12456" width="9.12962962962963" style="3"/>
    <col min="12457" max="12457" width="9.25" style="3" customWidth="1"/>
    <col min="12458" max="12460" width="9.12962962962963" style="3"/>
    <col min="12461" max="12463" width="9.75" style="3" customWidth="1"/>
    <col min="12464" max="12464" width="9.12962962962963" style="3"/>
    <col min="12465" max="12465" width="9.25" style="3" customWidth="1"/>
    <col min="12466" max="12468" width="9.12962962962963" style="3"/>
    <col min="12469" max="12471" width="9.75" style="3" customWidth="1"/>
    <col min="12472" max="12472" width="9.12962962962963" style="3"/>
    <col min="12473" max="12473" width="9.25" style="3" customWidth="1"/>
    <col min="12474" max="12476" width="9.12962962962963" style="3"/>
    <col min="12477" max="12479" width="9.75" style="3" customWidth="1"/>
    <col min="12480" max="12480" width="9.12962962962963" style="3"/>
    <col min="12481" max="12481" width="9.25" style="3" customWidth="1"/>
    <col min="12482" max="12484" width="9.12962962962963" style="3"/>
    <col min="12485" max="12487" width="9.75" style="3" customWidth="1"/>
    <col min="12488" max="12488" width="9.12962962962963" style="3"/>
    <col min="12489" max="12489" width="9.25" style="3" customWidth="1"/>
    <col min="12490" max="12492" width="9.12962962962963" style="3"/>
    <col min="12493" max="12495" width="9.75" style="3" customWidth="1"/>
    <col min="12496" max="12496" width="9.12962962962963" style="3"/>
    <col min="12497" max="12497" width="9.25" style="3" customWidth="1"/>
    <col min="12498" max="12500" width="9.12962962962963" style="3"/>
    <col min="12501" max="12503" width="9.75" style="3" customWidth="1"/>
    <col min="12504" max="12504" width="9.12962962962963" style="3"/>
    <col min="12505" max="12505" width="9.25" style="3" customWidth="1"/>
    <col min="12506" max="12508" width="9.12962962962963" style="3"/>
    <col min="12509" max="12511" width="9.75" style="3" customWidth="1"/>
    <col min="12512" max="12512" width="9.12962962962963" style="3"/>
    <col min="12513" max="12513" width="9.25" style="3" customWidth="1"/>
    <col min="12514" max="12516" width="9.12962962962963" style="3"/>
    <col min="12517" max="12519" width="9.75" style="3" customWidth="1"/>
    <col min="12520" max="12520" width="9.12962962962963" style="3"/>
    <col min="12521" max="12521" width="9.25" style="3" customWidth="1"/>
    <col min="12522" max="12524" width="9.12962962962963" style="3"/>
    <col min="12525" max="12527" width="9.75" style="3" customWidth="1"/>
    <col min="12528" max="12528" width="9.12962962962963" style="3"/>
    <col min="12529" max="12529" width="9.25" style="3" customWidth="1"/>
    <col min="12530" max="12532" width="9.12962962962963" style="3"/>
    <col min="12533" max="12535" width="9.75" style="3" customWidth="1"/>
    <col min="12536" max="12536" width="9.12962962962963" style="3"/>
    <col min="12537" max="12537" width="9.25" style="3" customWidth="1"/>
    <col min="12538" max="12540" width="9.12962962962963" style="3"/>
    <col min="12541" max="12543" width="9.75" style="3" customWidth="1"/>
    <col min="12544" max="12544" width="9.12962962962963" style="3"/>
    <col min="12545" max="12545" width="9.25" style="3" customWidth="1"/>
    <col min="12546" max="12548" width="9.12962962962963" style="3"/>
    <col min="12549" max="12551" width="9.75" style="3" customWidth="1"/>
    <col min="12552" max="12552" width="9.12962962962963" style="3"/>
    <col min="12553" max="12553" width="9.25" style="3" customWidth="1"/>
    <col min="12554" max="12556" width="9.12962962962963" style="3"/>
    <col min="12557" max="12559" width="9.75" style="3" customWidth="1"/>
    <col min="12560" max="12560" width="9.12962962962963" style="3"/>
    <col min="12561" max="12561" width="9.25" style="3" customWidth="1"/>
    <col min="12562" max="12564" width="9.12962962962963" style="3"/>
    <col min="12565" max="12567" width="9.75" style="3" customWidth="1"/>
    <col min="12568" max="12568" width="9.12962962962963" style="3"/>
    <col min="12569" max="12569" width="9.25" style="3" customWidth="1"/>
    <col min="12570" max="12572" width="9.12962962962963" style="3"/>
    <col min="12573" max="12575" width="9.75" style="3" customWidth="1"/>
    <col min="12576" max="12576" width="9.12962962962963" style="3"/>
    <col min="12577" max="12577" width="9.25" style="3" customWidth="1"/>
    <col min="12578" max="12580" width="9.12962962962963" style="3"/>
    <col min="12581" max="12583" width="9.75" style="3" customWidth="1"/>
    <col min="12584" max="12584" width="9.12962962962963" style="3"/>
    <col min="12585" max="12585" width="9.25" style="3" customWidth="1"/>
    <col min="12586" max="12588" width="9.12962962962963" style="3"/>
    <col min="12589" max="12591" width="9.75" style="3" customWidth="1"/>
    <col min="12592" max="12592" width="9.12962962962963" style="3"/>
    <col min="12593" max="12593" width="9.25" style="3" customWidth="1"/>
    <col min="12594" max="12596" width="9.12962962962963" style="3"/>
    <col min="12597" max="12599" width="9.75" style="3" customWidth="1"/>
    <col min="12600" max="12600" width="9.12962962962963" style="3"/>
    <col min="12601" max="12601" width="9.25" style="3" customWidth="1"/>
    <col min="12602" max="12604" width="9.12962962962963" style="3"/>
    <col min="12605" max="12607" width="9.75" style="3" customWidth="1"/>
    <col min="12608" max="12608" width="9.12962962962963" style="3"/>
    <col min="12609" max="12609" width="9.25" style="3" customWidth="1"/>
    <col min="12610" max="12612" width="9.12962962962963" style="3"/>
    <col min="12613" max="12615" width="9.75" style="3" customWidth="1"/>
    <col min="12616" max="12616" width="9.12962962962963" style="3"/>
    <col min="12617" max="12617" width="9.25" style="3" customWidth="1"/>
    <col min="12618" max="12620" width="9.12962962962963" style="3"/>
    <col min="12621" max="12623" width="9.75" style="3" customWidth="1"/>
    <col min="12624" max="12624" width="9.12962962962963" style="3"/>
    <col min="12625" max="12625" width="9.25" style="3" customWidth="1"/>
    <col min="12626" max="12628" width="9.12962962962963" style="3"/>
    <col min="12629" max="12631" width="9.75" style="3" customWidth="1"/>
    <col min="12632" max="12632" width="9.12962962962963" style="3"/>
    <col min="12633" max="12633" width="9.25" style="3" customWidth="1"/>
    <col min="12634" max="12636" width="9.12962962962963" style="3"/>
    <col min="12637" max="12639" width="9.75" style="3" customWidth="1"/>
    <col min="12640" max="12640" width="9.12962962962963" style="3"/>
    <col min="12641" max="12641" width="9.25" style="3" customWidth="1"/>
    <col min="12642" max="12644" width="9.12962962962963" style="3"/>
    <col min="12645" max="12647" width="9.75" style="3" customWidth="1"/>
    <col min="12648" max="12648" width="9.12962962962963" style="3"/>
    <col min="12649" max="12649" width="9.25" style="3" customWidth="1"/>
    <col min="12650" max="12652" width="9.12962962962963" style="3"/>
    <col min="12653" max="12655" width="9.75" style="3" customWidth="1"/>
    <col min="12656" max="12656" width="9.12962962962963" style="3"/>
    <col min="12657" max="12657" width="9.25" style="3" customWidth="1"/>
    <col min="12658" max="12660" width="9.12962962962963" style="3"/>
    <col min="12661" max="12663" width="9.75" style="3" customWidth="1"/>
    <col min="12664" max="12664" width="9.12962962962963" style="3"/>
    <col min="12665" max="12665" width="9.25" style="3" customWidth="1"/>
    <col min="12666" max="12668" width="9.12962962962963" style="3"/>
    <col min="12669" max="12671" width="9.75" style="3" customWidth="1"/>
    <col min="12672" max="12672" width="9.12962962962963" style="3"/>
    <col min="12673" max="12673" width="9.25" style="3" customWidth="1"/>
    <col min="12674" max="12676" width="9.12962962962963" style="3"/>
    <col min="12677" max="12679" width="9.75" style="3" customWidth="1"/>
    <col min="12680" max="12680" width="9.12962962962963" style="3"/>
    <col min="12681" max="12681" width="9.25" style="3" customWidth="1"/>
    <col min="12682" max="12684" width="9.12962962962963" style="3"/>
    <col min="12685" max="12687" width="9.75" style="3" customWidth="1"/>
    <col min="12688" max="12688" width="9.12962962962963" style="3"/>
    <col min="12689" max="12689" width="9.25" style="3" customWidth="1"/>
    <col min="12690" max="12692" width="9.12962962962963" style="3"/>
    <col min="12693" max="12695" width="9.75" style="3" customWidth="1"/>
    <col min="12696" max="12696" width="9.12962962962963" style="3"/>
    <col min="12697" max="12697" width="9.25" style="3" customWidth="1"/>
    <col min="12698" max="12700" width="9.12962962962963" style="3"/>
    <col min="12701" max="12703" width="9.75" style="3" customWidth="1"/>
    <col min="12704" max="12704" width="9.12962962962963" style="3"/>
    <col min="12705" max="12705" width="9.25" style="3" customWidth="1"/>
    <col min="12706" max="12708" width="9.12962962962963" style="3"/>
    <col min="12709" max="12711" width="9.75" style="3" customWidth="1"/>
    <col min="12712" max="12712" width="9.12962962962963" style="3"/>
    <col min="12713" max="12713" width="9.25" style="3" customWidth="1"/>
    <col min="12714" max="12716" width="9.12962962962963" style="3"/>
    <col min="12717" max="12719" width="9.75" style="3" customWidth="1"/>
    <col min="12720" max="12720" width="9.12962962962963" style="3"/>
    <col min="12721" max="12721" width="9.25" style="3" customWidth="1"/>
    <col min="12722" max="12724" width="9.12962962962963" style="3"/>
    <col min="12725" max="12727" width="9.75" style="3" customWidth="1"/>
    <col min="12728" max="12728" width="9.12962962962963" style="3"/>
    <col min="12729" max="12729" width="9.25" style="3" customWidth="1"/>
    <col min="12730" max="12732" width="9.12962962962963" style="3"/>
    <col min="12733" max="12735" width="9.75" style="3" customWidth="1"/>
    <col min="12736" max="12736" width="9.12962962962963" style="3"/>
    <col min="12737" max="12737" width="9.25" style="3" customWidth="1"/>
    <col min="12738" max="12740" width="9.12962962962963" style="3"/>
    <col min="12741" max="12743" width="9.75" style="3" customWidth="1"/>
    <col min="12744" max="12744" width="9.12962962962963" style="3"/>
    <col min="12745" max="12745" width="9.25" style="3" customWidth="1"/>
    <col min="12746" max="12748" width="9.12962962962963" style="3"/>
    <col min="12749" max="12751" width="9.75" style="3" customWidth="1"/>
    <col min="12752" max="12752" width="9.12962962962963" style="3"/>
    <col min="12753" max="12753" width="9.25" style="3" customWidth="1"/>
    <col min="12754" max="12756" width="9.12962962962963" style="3"/>
    <col min="12757" max="12759" width="9.75" style="3" customWidth="1"/>
    <col min="12760" max="12760" width="9.12962962962963" style="3"/>
    <col min="12761" max="12761" width="9.25" style="3" customWidth="1"/>
    <col min="12762" max="12764" width="9.12962962962963" style="3"/>
    <col min="12765" max="12767" width="9.75" style="3" customWidth="1"/>
    <col min="12768" max="12768" width="9.12962962962963" style="3"/>
    <col min="12769" max="12769" width="9.25" style="3" customWidth="1"/>
    <col min="12770" max="12772" width="9.12962962962963" style="3"/>
    <col min="12773" max="12775" width="9.75" style="3" customWidth="1"/>
    <col min="12776" max="12776" width="9.12962962962963" style="3"/>
    <col min="12777" max="12777" width="9.25" style="3" customWidth="1"/>
    <col min="12778" max="12780" width="9.12962962962963" style="3"/>
    <col min="12781" max="12783" width="9.75" style="3" customWidth="1"/>
    <col min="12784" max="12784" width="9.12962962962963" style="3"/>
    <col min="12785" max="12785" width="9.25" style="3" customWidth="1"/>
    <col min="12786" max="12788" width="9.12962962962963" style="3"/>
    <col min="12789" max="12791" width="9.75" style="3" customWidth="1"/>
    <col min="12792" max="12792" width="9.12962962962963" style="3"/>
    <col min="12793" max="12793" width="9.25" style="3" customWidth="1"/>
    <col min="12794" max="12796" width="9.12962962962963" style="3"/>
    <col min="12797" max="12799" width="9.75" style="3" customWidth="1"/>
    <col min="12800" max="12800" width="9.12962962962963" style="3"/>
    <col min="12801" max="12801" width="9.25" style="3" customWidth="1"/>
    <col min="12802" max="12804" width="9.12962962962963" style="3"/>
    <col min="12805" max="12807" width="9.75" style="3" customWidth="1"/>
    <col min="12808" max="12808" width="9.12962962962963" style="3"/>
    <col min="12809" max="12809" width="9.25" style="3" customWidth="1"/>
    <col min="12810" max="12812" width="9.12962962962963" style="3"/>
    <col min="12813" max="12815" width="9.75" style="3" customWidth="1"/>
    <col min="12816" max="12816" width="9.12962962962963" style="3"/>
    <col min="12817" max="12817" width="9.25" style="3" customWidth="1"/>
    <col min="12818" max="12820" width="9.12962962962963" style="3"/>
    <col min="12821" max="12823" width="9.75" style="3" customWidth="1"/>
    <col min="12824" max="12824" width="9.12962962962963" style="3"/>
    <col min="12825" max="12825" width="9.25" style="3" customWidth="1"/>
    <col min="12826" max="12828" width="9.12962962962963" style="3"/>
    <col min="12829" max="12831" width="9.75" style="3" customWidth="1"/>
    <col min="12832" max="12832" width="9.12962962962963" style="3"/>
    <col min="12833" max="12833" width="9.25" style="3" customWidth="1"/>
    <col min="12834" max="12836" width="9.12962962962963" style="3"/>
    <col min="12837" max="12839" width="9.75" style="3" customWidth="1"/>
    <col min="12840" max="12840" width="9.12962962962963" style="3"/>
    <col min="12841" max="12841" width="9.25" style="3" customWidth="1"/>
    <col min="12842" max="12844" width="9.12962962962963" style="3"/>
    <col min="12845" max="12847" width="9.75" style="3" customWidth="1"/>
    <col min="12848" max="12848" width="9.12962962962963" style="3"/>
    <col min="12849" max="12849" width="9.25" style="3" customWidth="1"/>
    <col min="12850" max="12852" width="9.12962962962963" style="3"/>
    <col min="12853" max="12855" width="9.75" style="3" customWidth="1"/>
    <col min="12856" max="12856" width="9.12962962962963" style="3"/>
    <col min="12857" max="12857" width="9.25" style="3" customWidth="1"/>
    <col min="12858" max="12860" width="9.12962962962963" style="3"/>
    <col min="12861" max="12863" width="9.75" style="3" customWidth="1"/>
    <col min="12864" max="12864" width="9.12962962962963" style="3"/>
    <col min="12865" max="12865" width="9.25" style="3" customWidth="1"/>
    <col min="12866" max="12868" width="9.12962962962963" style="3"/>
    <col min="12869" max="12871" width="9.75" style="3" customWidth="1"/>
    <col min="12872" max="12872" width="9.12962962962963" style="3"/>
    <col min="12873" max="12873" width="9.25" style="3" customWidth="1"/>
    <col min="12874" max="12876" width="9.12962962962963" style="3"/>
    <col min="12877" max="12879" width="9.75" style="3" customWidth="1"/>
    <col min="12880" max="12880" width="9.12962962962963" style="3"/>
    <col min="12881" max="12881" width="9.25" style="3" customWidth="1"/>
    <col min="12882" max="12884" width="9.12962962962963" style="3"/>
    <col min="12885" max="12887" width="9.75" style="3" customWidth="1"/>
    <col min="12888" max="12888" width="9.12962962962963" style="3"/>
    <col min="12889" max="12889" width="9.25" style="3" customWidth="1"/>
    <col min="12890" max="12892" width="9.12962962962963" style="3"/>
    <col min="12893" max="12895" width="9.75" style="3" customWidth="1"/>
    <col min="12896" max="12896" width="9.12962962962963" style="3"/>
    <col min="12897" max="12897" width="9.25" style="3" customWidth="1"/>
    <col min="12898" max="12900" width="9.12962962962963" style="3"/>
    <col min="12901" max="12903" width="9.75" style="3" customWidth="1"/>
    <col min="12904" max="12904" width="9.12962962962963" style="3"/>
    <col min="12905" max="12905" width="9.25" style="3" customWidth="1"/>
    <col min="12906" max="12908" width="9.12962962962963" style="3"/>
    <col min="12909" max="12911" width="9.75" style="3" customWidth="1"/>
    <col min="12912" max="12912" width="9.12962962962963" style="3"/>
    <col min="12913" max="12913" width="9.25" style="3" customWidth="1"/>
    <col min="12914" max="12916" width="9.12962962962963" style="3"/>
    <col min="12917" max="12919" width="9.75" style="3" customWidth="1"/>
    <col min="12920" max="12920" width="9.12962962962963" style="3"/>
    <col min="12921" max="12921" width="9.25" style="3" customWidth="1"/>
    <col min="12922" max="12924" width="9.12962962962963" style="3"/>
    <col min="12925" max="12927" width="9.75" style="3" customWidth="1"/>
    <col min="12928" max="12928" width="9.12962962962963" style="3"/>
    <col min="12929" max="12929" width="9.25" style="3" customWidth="1"/>
    <col min="12930" max="12932" width="9.12962962962963" style="3"/>
    <col min="12933" max="12935" width="9.75" style="3" customWidth="1"/>
    <col min="12936" max="12936" width="9.12962962962963" style="3"/>
    <col min="12937" max="12937" width="9.25" style="3" customWidth="1"/>
    <col min="12938" max="12940" width="9.12962962962963" style="3"/>
    <col min="12941" max="12943" width="9.75" style="3" customWidth="1"/>
    <col min="12944" max="12944" width="9.12962962962963" style="3"/>
    <col min="12945" max="12945" width="9.25" style="3" customWidth="1"/>
    <col min="12946" max="12948" width="9.12962962962963" style="3"/>
    <col min="12949" max="12951" width="9.75" style="3" customWidth="1"/>
    <col min="12952" max="12952" width="9.12962962962963" style="3"/>
    <col min="12953" max="12953" width="9.25" style="3" customWidth="1"/>
    <col min="12954" max="12956" width="9.12962962962963" style="3"/>
    <col min="12957" max="12959" width="9.75" style="3" customWidth="1"/>
    <col min="12960" max="12960" width="9.12962962962963" style="3"/>
    <col min="12961" max="12961" width="9.25" style="3" customWidth="1"/>
    <col min="12962" max="12964" width="9.12962962962963" style="3"/>
    <col min="12965" max="12967" width="9.75" style="3" customWidth="1"/>
    <col min="12968" max="12968" width="9.12962962962963" style="3"/>
    <col min="12969" max="12969" width="9.25" style="3" customWidth="1"/>
    <col min="12970" max="12972" width="9.12962962962963" style="3"/>
    <col min="12973" max="12975" width="9.75" style="3" customWidth="1"/>
    <col min="12976" max="12976" width="9.12962962962963" style="3"/>
    <col min="12977" max="12977" width="9.25" style="3" customWidth="1"/>
    <col min="12978" max="12980" width="9.12962962962963" style="3"/>
    <col min="12981" max="12983" width="9.75" style="3" customWidth="1"/>
    <col min="12984" max="12984" width="9.12962962962963" style="3"/>
    <col min="12985" max="12985" width="9.25" style="3" customWidth="1"/>
    <col min="12986" max="12988" width="9.12962962962963" style="3"/>
    <col min="12989" max="12991" width="9.75" style="3" customWidth="1"/>
    <col min="12992" max="12992" width="9.12962962962963" style="3"/>
    <col min="12993" max="12993" width="9.25" style="3" customWidth="1"/>
    <col min="12994" max="12996" width="9.12962962962963" style="3"/>
    <col min="12997" max="12999" width="9.75" style="3" customWidth="1"/>
    <col min="13000" max="13000" width="9.12962962962963" style="3"/>
    <col min="13001" max="13001" width="9.25" style="3" customWidth="1"/>
    <col min="13002" max="13004" width="9.12962962962963" style="3"/>
    <col min="13005" max="13007" width="9.75" style="3" customWidth="1"/>
    <col min="13008" max="13008" width="9.12962962962963" style="3"/>
    <col min="13009" max="13009" width="9.25" style="3" customWidth="1"/>
    <col min="13010" max="13012" width="9.12962962962963" style="3"/>
    <col min="13013" max="13015" width="9.75" style="3" customWidth="1"/>
    <col min="13016" max="13016" width="9.12962962962963" style="3"/>
    <col min="13017" max="13017" width="9.25" style="3" customWidth="1"/>
    <col min="13018" max="13020" width="9.12962962962963" style="3"/>
    <col min="13021" max="13023" width="9.75" style="3" customWidth="1"/>
    <col min="13024" max="13024" width="9.12962962962963" style="3"/>
    <col min="13025" max="13025" width="9.25" style="3" customWidth="1"/>
    <col min="13026" max="13028" width="9.12962962962963" style="3"/>
    <col min="13029" max="13031" width="9.75" style="3" customWidth="1"/>
    <col min="13032" max="13032" width="9.12962962962963" style="3"/>
    <col min="13033" max="13033" width="9.25" style="3" customWidth="1"/>
    <col min="13034" max="13036" width="9.12962962962963" style="3"/>
    <col min="13037" max="13039" width="9.75" style="3" customWidth="1"/>
    <col min="13040" max="13040" width="9.12962962962963" style="3"/>
    <col min="13041" max="13041" width="9.25" style="3" customWidth="1"/>
    <col min="13042" max="13044" width="9.12962962962963" style="3"/>
    <col min="13045" max="13047" width="9.75" style="3" customWidth="1"/>
    <col min="13048" max="13048" width="9.12962962962963" style="3"/>
    <col min="13049" max="13049" width="9.25" style="3" customWidth="1"/>
    <col min="13050" max="13052" width="9.12962962962963" style="3"/>
    <col min="13053" max="13055" width="9.75" style="3" customWidth="1"/>
    <col min="13056" max="13056" width="9.12962962962963" style="3"/>
    <col min="13057" max="13057" width="9.25" style="3" customWidth="1"/>
    <col min="13058" max="13060" width="9.12962962962963" style="3"/>
    <col min="13061" max="13063" width="9.75" style="3" customWidth="1"/>
    <col min="13064" max="13064" width="9.12962962962963" style="3"/>
    <col min="13065" max="13065" width="9.25" style="3" customWidth="1"/>
    <col min="13066" max="13068" width="9.12962962962963" style="3"/>
    <col min="13069" max="13071" width="9.75" style="3" customWidth="1"/>
    <col min="13072" max="13072" width="9.12962962962963" style="3"/>
    <col min="13073" max="13073" width="9.25" style="3" customWidth="1"/>
    <col min="13074" max="13076" width="9.12962962962963" style="3"/>
    <col min="13077" max="13079" width="9.75" style="3" customWidth="1"/>
    <col min="13080" max="13080" width="9.12962962962963" style="3"/>
    <col min="13081" max="13081" width="9.25" style="3" customWidth="1"/>
    <col min="13082" max="13084" width="9.12962962962963" style="3"/>
    <col min="13085" max="13087" width="9.75" style="3" customWidth="1"/>
    <col min="13088" max="13088" width="9.12962962962963" style="3"/>
    <col min="13089" max="13089" width="9.25" style="3" customWidth="1"/>
    <col min="13090" max="13092" width="9.12962962962963" style="3"/>
    <col min="13093" max="13095" width="9.75" style="3" customWidth="1"/>
    <col min="13096" max="13096" width="9.12962962962963" style="3"/>
    <col min="13097" max="13097" width="9.25" style="3" customWidth="1"/>
    <col min="13098" max="13100" width="9.12962962962963" style="3"/>
    <col min="13101" max="13103" width="9.75" style="3" customWidth="1"/>
    <col min="13104" max="13104" width="9.12962962962963" style="3"/>
    <col min="13105" max="13105" width="9.25" style="3" customWidth="1"/>
    <col min="13106" max="13108" width="9.12962962962963" style="3"/>
    <col min="13109" max="13111" width="9.75" style="3" customWidth="1"/>
    <col min="13112" max="13112" width="9.12962962962963" style="3"/>
    <col min="13113" max="13113" width="9.25" style="3" customWidth="1"/>
    <col min="13114" max="13116" width="9.12962962962963" style="3"/>
    <col min="13117" max="13119" width="9.75" style="3" customWidth="1"/>
    <col min="13120" max="13120" width="9.12962962962963" style="3"/>
    <col min="13121" max="13121" width="9.25" style="3" customWidth="1"/>
    <col min="13122" max="13124" width="9.12962962962963" style="3"/>
    <col min="13125" max="13127" width="9.75" style="3" customWidth="1"/>
    <col min="13128" max="13128" width="9.12962962962963" style="3"/>
    <col min="13129" max="13129" width="9.25" style="3" customWidth="1"/>
    <col min="13130" max="13132" width="9.12962962962963" style="3"/>
    <col min="13133" max="13135" width="9.75" style="3" customWidth="1"/>
    <col min="13136" max="13136" width="9.12962962962963" style="3"/>
    <col min="13137" max="13137" width="9.25" style="3" customWidth="1"/>
    <col min="13138" max="13140" width="9.12962962962963" style="3"/>
    <col min="13141" max="13143" width="9.75" style="3" customWidth="1"/>
    <col min="13144" max="13144" width="9.12962962962963" style="3"/>
    <col min="13145" max="13145" width="9.25" style="3" customWidth="1"/>
    <col min="13146" max="13148" width="9.12962962962963" style="3"/>
    <col min="13149" max="13151" width="9.75" style="3" customWidth="1"/>
    <col min="13152" max="13152" width="9.12962962962963" style="3"/>
    <col min="13153" max="13153" width="9.25" style="3" customWidth="1"/>
    <col min="13154" max="13156" width="9.12962962962963" style="3"/>
    <col min="13157" max="13159" width="9.75" style="3" customWidth="1"/>
    <col min="13160" max="13160" width="9.12962962962963" style="3"/>
    <col min="13161" max="13161" width="9.25" style="3" customWidth="1"/>
    <col min="13162" max="13164" width="9.12962962962963" style="3"/>
    <col min="13165" max="13167" width="9.75" style="3" customWidth="1"/>
    <col min="13168" max="13168" width="9.12962962962963" style="3"/>
    <col min="13169" max="13169" width="9.25" style="3" customWidth="1"/>
    <col min="13170" max="13172" width="9.12962962962963" style="3"/>
    <col min="13173" max="13175" width="9.75" style="3" customWidth="1"/>
    <col min="13176" max="13176" width="9.12962962962963" style="3"/>
    <col min="13177" max="13177" width="9.25" style="3" customWidth="1"/>
    <col min="13178" max="13180" width="9.12962962962963" style="3"/>
    <col min="13181" max="13183" width="9.75" style="3" customWidth="1"/>
    <col min="13184" max="13184" width="9.12962962962963" style="3"/>
    <col min="13185" max="13185" width="9.25" style="3" customWidth="1"/>
    <col min="13186" max="13188" width="9.12962962962963" style="3"/>
    <col min="13189" max="13191" width="9.75" style="3" customWidth="1"/>
    <col min="13192" max="13192" width="9.12962962962963" style="3"/>
    <col min="13193" max="13193" width="9.25" style="3" customWidth="1"/>
    <col min="13194" max="13196" width="9.12962962962963" style="3"/>
    <col min="13197" max="13199" width="9.75" style="3" customWidth="1"/>
    <col min="13200" max="13200" width="9.12962962962963" style="3"/>
    <col min="13201" max="13201" width="9.25" style="3" customWidth="1"/>
    <col min="13202" max="13204" width="9.12962962962963" style="3"/>
    <col min="13205" max="13207" width="9.75" style="3" customWidth="1"/>
    <col min="13208" max="13208" width="9.12962962962963" style="3"/>
    <col min="13209" max="13209" width="9.25" style="3" customWidth="1"/>
    <col min="13210" max="13212" width="9.12962962962963" style="3"/>
    <col min="13213" max="13215" width="9.75" style="3" customWidth="1"/>
    <col min="13216" max="13216" width="9.12962962962963" style="3"/>
    <col min="13217" max="13217" width="9.25" style="3" customWidth="1"/>
    <col min="13218" max="13220" width="9.12962962962963" style="3"/>
    <col min="13221" max="13223" width="9.75" style="3" customWidth="1"/>
    <col min="13224" max="13224" width="9.12962962962963" style="3"/>
    <col min="13225" max="13225" width="9.25" style="3" customWidth="1"/>
    <col min="13226" max="13228" width="9.12962962962963" style="3"/>
    <col min="13229" max="13231" width="9.75" style="3" customWidth="1"/>
    <col min="13232" max="13232" width="9.12962962962963" style="3"/>
    <col min="13233" max="13233" width="9.25" style="3" customWidth="1"/>
    <col min="13234" max="13236" width="9.12962962962963" style="3"/>
    <col min="13237" max="13239" width="9.75" style="3" customWidth="1"/>
    <col min="13240" max="13240" width="9.12962962962963" style="3"/>
    <col min="13241" max="13241" width="9.25" style="3" customWidth="1"/>
    <col min="13242" max="13244" width="9.12962962962963" style="3"/>
    <col min="13245" max="13247" width="9.75" style="3" customWidth="1"/>
    <col min="13248" max="13248" width="9.12962962962963" style="3"/>
    <col min="13249" max="13249" width="9.25" style="3" customWidth="1"/>
    <col min="13250" max="13252" width="9.12962962962963" style="3"/>
    <col min="13253" max="13255" width="9.75" style="3" customWidth="1"/>
    <col min="13256" max="13256" width="9.12962962962963" style="3"/>
    <col min="13257" max="13257" width="9.25" style="3" customWidth="1"/>
    <col min="13258" max="13260" width="9.12962962962963" style="3"/>
    <col min="13261" max="13263" width="9.75" style="3" customWidth="1"/>
    <col min="13264" max="13264" width="9.12962962962963" style="3"/>
    <col min="13265" max="13265" width="9.25" style="3" customWidth="1"/>
    <col min="13266" max="13268" width="9.12962962962963" style="3"/>
    <col min="13269" max="13271" width="9.75" style="3" customWidth="1"/>
    <col min="13272" max="13272" width="9.12962962962963" style="3"/>
    <col min="13273" max="13273" width="9.25" style="3" customWidth="1"/>
    <col min="13274" max="13276" width="9.12962962962963" style="3"/>
    <col min="13277" max="13279" width="9.75" style="3" customWidth="1"/>
    <col min="13280" max="13280" width="9.12962962962963" style="3"/>
    <col min="13281" max="13281" width="9.25" style="3" customWidth="1"/>
    <col min="13282" max="13284" width="9.12962962962963" style="3"/>
    <col min="13285" max="13287" width="9.75" style="3" customWidth="1"/>
    <col min="13288" max="13288" width="9.12962962962963" style="3"/>
    <col min="13289" max="13289" width="9.25" style="3" customWidth="1"/>
    <col min="13290" max="13292" width="9.12962962962963" style="3"/>
    <col min="13293" max="13295" width="9.75" style="3" customWidth="1"/>
    <col min="13296" max="13296" width="9.12962962962963" style="3"/>
    <col min="13297" max="13297" width="9.25" style="3" customWidth="1"/>
    <col min="13298" max="13300" width="9.12962962962963" style="3"/>
    <col min="13301" max="13303" width="9.75" style="3" customWidth="1"/>
    <col min="13304" max="13304" width="9.12962962962963" style="3"/>
    <col min="13305" max="13305" width="9.25" style="3" customWidth="1"/>
    <col min="13306" max="13308" width="9.12962962962963" style="3"/>
    <col min="13309" max="13311" width="9.75" style="3" customWidth="1"/>
    <col min="13312" max="13312" width="9.12962962962963" style="3"/>
    <col min="13313" max="13313" width="9.25" style="3" customWidth="1"/>
    <col min="13314" max="13316" width="9.12962962962963" style="3"/>
    <col min="13317" max="13319" width="9.75" style="3" customWidth="1"/>
    <col min="13320" max="13320" width="9.12962962962963" style="3"/>
    <col min="13321" max="13321" width="9.25" style="3" customWidth="1"/>
    <col min="13322" max="13324" width="9.12962962962963" style="3"/>
    <col min="13325" max="13327" width="9.75" style="3" customWidth="1"/>
    <col min="13328" max="13328" width="9.12962962962963" style="3"/>
    <col min="13329" max="13329" width="9.25" style="3" customWidth="1"/>
    <col min="13330" max="13332" width="9.12962962962963" style="3"/>
    <col min="13333" max="13335" width="9.75" style="3" customWidth="1"/>
    <col min="13336" max="13336" width="9.12962962962963" style="3"/>
    <col min="13337" max="13337" width="9.25" style="3" customWidth="1"/>
    <col min="13338" max="13340" width="9.12962962962963" style="3"/>
    <col min="13341" max="13343" width="9.75" style="3" customWidth="1"/>
    <col min="13344" max="13344" width="9.12962962962963" style="3"/>
    <col min="13345" max="13345" width="9.25" style="3" customWidth="1"/>
    <col min="13346" max="13348" width="9.12962962962963" style="3"/>
    <col min="13349" max="13351" width="9.75" style="3" customWidth="1"/>
    <col min="13352" max="13352" width="9.12962962962963" style="3"/>
    <col min="13353" max="13353" width="9.25" style="3" customWidth="1"/>
    <col min="13354" max="13356" width="9.12962962962963" style="3"/>
    <col min="13357" max="13359" width="9.75" style="3" customWidth="1"/>
    <col min="13360" max="13360" width="9.12962962962963" style="3"/>
    <col min="13361" max="13361" width="9.25" style="3" customWidth="1"/>
    <col min="13362" max="13364" width="9.12962962962963" style="3"/>
    <col min="13365" max="13367" width="9.75" style="3" customWidth="1"/>
    <col min="13368" max="13368" width="9.12962962962963" style="3"/>
    <col min="13369" max="13369" width="9.25" style="3" customWidth="1"/>
    <col min="13370" max="13372" width="9.12962962962963" style="3"/>
    <col min="13373" max="13375" width="9.75" style="3" customWidth="1"/>
    <col min="13376" max="13376" width="9.12962962962963" style="3"/>
    <col min="13377" max="13377" width="9.25" style="3" customWidth="1"/>
    <col min="13378" max="13380" width="9.12962962962963" style="3"/>
    <col min="13381" max="13383" width="9.75" style="3" customWidth="1"/>
    <col min="13384" max="13384" width="9.12962962962963" style="3"/>
    <col min="13385" max="13385" width="9.25" style="3" customWidth="1"/>
    <col min="13386" max="13388" width="9.12962962962963" style="3"/>
    <col min="13389" max="13391" width="9.75" style="3" customWidth="1"/>
    <col min="13392" max="13392" width="9.12962962962963" style="3"/>
    <col min="13393" max="13393" width="9.25" style="3" customWidth="1"/>
    <col min="13394" max="13396" width="9.12962962962963" style="3"/>
    <col min="13397" max="13399" width="9.75" style="3" customWidth="1"/>
    <col min="13400" max="13400" width="9.12962962962963" style="3"/>
    <col min="13401" max="13401" width="9.25" style="3" customWidth="1"/>
    <col min="13402" max="13404" width="9.12962962962963" style="3"/>
    <col min="13405" max="13407" width="9.75" style="3" customWidth="1"/>
    <col min="13408" max="13408" width="9.12962962962963" style="3"/>
    <col min="13409" max="13409" width="9.25" style="3" customWidth="1"/>
    <col min="13410" max="13412" width="9.12962962962963" style="3"/>
    <col min="13413" max="13415" width="9.75" style="3" customWidth="1"/>
    <col min="13416" max="13416" width="9.12962962962963" style="3"/>
    <col min="13417" max="13417" width="9.25" style="3" customWidth="1"/>
    <col min="13418" max="13420" width="9.12962962962963" style="3"/>
    <col min="13421" max="13423" width="9.75" style="3" customWidth="1"/>
    <col min="13424" max="13424" width="9.12962962962963" style="3"/>
    <col min="13425" max="13425" width="9.25" style="3" customWidth="1"/>
    <col min="13426" max="13428" width="9.12962962962963" style="3"/>
    <col min="13429" max="13431" width="9.75" style="3" customWidth="1"/>
    <col min="13432" max="13432" width="9.12962962962963" style="3"/>
    <col min="13433" max="13433" width="9.25" style="3" customWidth="1"/>
    <col min="13434" max="13436" width="9.12962962962963" style="3"/>
    <col min="13437" max="13439" width="9.75" style="3" customWidth="1"/>
    <col min="13440" max="13440" width="9.12962962962963" style="3"/>
    <col min="13441" max="13441" width="9.25" style="3" customWidth="1"/>
    <col min="13442" max="13444" width="9.12962962962963" style="3"/>
    <col min="13445" max="13447" width="9.75" style="3" customWidth="1"/>
    <col min="13448" max="13448" width="9.12962962962963" style="3"/>
    <col min="13449" max="13449" width="9.25" style="3" customWidth="1"/>
    <col min="13450" max="13452" width="9.12962962962963" style="3"/>
    <col min="13453" max="13455" width="9.75" style="3" customWidth="1"/>
    <col min="13456" max="13456" width="9.12962962962963" style="3"/>
    <col min="13457" max="13457" width="9.25" style="3" customWidth="1"/>
    <col min="13458" max="13460" width="9.12962962962963" style="3"/>
    <col min="13461" max="13463" width="9.75" style="3" customWidth="1"/>
    <col min="13464" max="13464" width="9.12962962962963" style="3"/>
    <col min="13465" max="13465" width="9.25" style="3" customWidth="1"/>
    <col min="13466" max="13468" width="9.12962962962963" style="3"/>
    <col min="13469" max="13471" width="9.75" style="3" customWidth="1"/>
    <col min="13472" max="13472" width="9.12962962962963" style="3"/>
    <col min="13473" max="13473" width="9.25" style="3" customWidth="1"/>
    <col min="13474" max="13476" width="9.12962962962963" style="3"/>
    <col min="13477" max="13479" width="9.75" style="3" customWidth="1"/>
    <col min="13480" max="13480" width="9.12962962962963" style="3"/>
    <col min="13481" max="13481" width="9.25" style="3" customWidth="1"/>
    <col min="13482" max="13484" width="9.12962962962963" style="3"/>
    <col min="13485" max="13487" width="9.75" style="3" customWidth="1"/>
    <col min="13488" max="13488" width="9.12962962962963" style="3"/>
    <col min="13489" max="13489" width="9.25" style="3" customWidth="1"/>
    <col min="13490" max="13492" width="9.12962962962963" style="3"/>
    <col min="13493" max="13495" width="9.75" style="3" customWidth="1"/>
    <col min="13496" max="13496" width="9.12962962962963" style="3"/>
    <col min="13497" max="13497" width="9.25" style="3" customWidth="1"/>
    <col min="13498" max="13500" width="9.12962962962963" style="3"/>
    <col min="13501" max="13503" width="9.75" style="3" customWidth="1"/>
    <col min="13504" max="13504" width="9.12962962962963" style="3"/>
    <col min="13505" max="13505" width="9.25" style="3" customWidth="1"/>
    <col min="13506" max="13508" width="9.12962962962963" style="3"/>
    <col min="13509" max="13511" width="9.75" style="3" customWidth="1"/>
    <col min="13512" max="13512" width="9.12962962962963" style="3"/>
    <col min="13513" max="13513" width="9.25" style="3" customWidth="1"/>
    <col min="13514" max="13516" width="9.12962962962963" style="3"/>
    <col min="13517" max="13519" width="9.75" style="3" customWidth="1"/>
    <col min="13520" max="13520" width="9.12962962962963" style="3"/>
    <col min="13521" max="13521" width="9.25" style="3" customWidth="1"/>
    <col min="13522" max="13524" width="9.12962962962963" style="3"/>
    <col min="13525" max="13527" width="9.75" style="3" customWidth="1"/>
    <col min="13528" max="13528" width="9.12962962962963" style="3"/>
    <col min="13529" max="13529" width="9.25" style="3" customWidth="1"/>
    <col min="13530" max="13532" width="9.12962962962963" style="3"/>
    <col min="13533" max="13535" width="9.75" style="3" customWidth="1"/>
    <col min="13536" max="13536" width="9.12962962962963" style="3"/>
    <col min="13537" max="13537" width="9.25" style="3" customWidth="1"/>
    <col min="13538" max="13540" width="9.12962962962963" style="3"/>
    <col min="13541" max="13543" width="9.75" style="3" customWidth="1"/>
    <col min="13544" max="13544" width="9.12962962962963" style="3"/>
    <col min="13545" max="13545" width="9.25" style="3" customWidth="1"/>
    <col min="13546" max="13548" width="9.12962962962963" style="3"/>
    <col min="13549" max="13551" width="9.75" style="3" customWidth="1"/>
    <col min="13552" max="13552" width="9.12962962962963" style="3"/>
    <col min="13553" max="13553" width="9.25" style="3" customWidth="1"/>
    <col min="13554" max="13556" width="9.12962962962963" style="3"/>
    <col min="13557" max="13559" width="9.75" style="3" customWidth="1"/>
    <col min="13560" max="13560" width="9.12962962962963" style="3"/>
    <col min="13561" max="13561" width="9.25" style="3" customWidth="1"/>
    <col min="13562" max="13564" width="9.12962962962963" style="3"/>
    <col min="13565" max="13567" width="9.75" style="3" customWidth="1"/>
    <col min="13568" max="13568" width="9.12962962962963" style="3"/>
    <col min="13569" max="13569" width="9.25" style="3" customWidth="1"/>
    <col min="13570" max="13572" width="9.12962962962963" style="3"/>
    <col min="13573" max="13575" width="9.75" style="3" customWidth="1"/>
    <col min="13576" max="13576" width="9.12962962962963" style="3"/>
    <col min="13577" max="13577" width="9.25" style="3" customWidth="1"/>
    <col min="13578" max="13580" width="9.12962962962963" style="3"/>
    <col min="13581" max="13583" width="9.75" style="3" customWidth="1"/>
    <col min="13584" max="13584" width="9.12962962962963" style="3"/>
    <col min="13585" max="13585" width="9.25" style="3" customWidth="1"/>
    <col min="13586" max="13588" width="9.12962962962963" style="3"/>
    <col min="13589" max="13591" width="9.75" style="3" customWidth="1"/>
    <col min="13592" max="13592" width="9.12962962962963" style="3"/>
    <col min="13593" max="13593" width="9.25" style="3" customWidth="1"/>
    <col min="13594" max="13596" width="9.12962962962963" style="3"/>
    <col min="13597" max="13599" width="9.75" style="3" customWidth="1"/>
    <col min="13600" max="13600" width="9.12962962962963" style="3"/>
    <col min="13601" max="13601" width="9.25" style="3" customWidth="1"/>
    <col min="13602" max="13604" width="9.12962962962963" style="3"/>
    <col min="13605" max="13607" width="9.75" style="3" customWidth="1"/>
    <col min="13608" max="13608" width="9.12962962962963" style="3"/>
    <col min="13609" max="13609" width="9.25" style="3" customWidth="1"/>
    <col min="13610" max="13612" width="9.12962962962963" style="3"/>
    <col min="13613" max="13615" width="9.75" style="3" customWidth="1"/>
    <col min="13616" max="13616" width="9.12962962962963" style="3"/>
    <col min="13617" max="13617" width="9.25" style="3" customWidth="1"/>
    <col min="13618" max="13620" width="9.12962962962963" style="3"/>
    <col min="13621" max="13623" width="9.75" style="3" customWidth="1"/>
    <col min="13624" max="13624" width="9.12962962962963" style="3"/>
    <col min="13625" max="13625" width="9.25" style="3" customWidth="1"/>
    <col min="13626" max="13628" width="9.12962962962963" style="3"/>
    <col min="13629" max="13631" width="9.75" style="3" customWidth="1"/>
    <col min="13632" max="13632" width="9.12962962962963" style="3"/>
    <col min="13633" max="13633" width="9.25" style="3" customWidth="1"/>
    <col min="13634" max="13636" width="9.12962962962963" style="3"/>
    <col min="13637" max="13639" width="9.75" style="3" customWidth="1"/>
    <col min="13640" max="13640" width="9.12962962962963" style="3"/>
    <col min="13641" max="13641" width="9.25" style="3" customWidth="1"/>
    <col min="13642" max="13644" width="9.12962962962963" style="3"/>
    <col min="13645" max="13647" width="9.75" style="3" customWidth="1"/>
    <col min="13648" max="13648" width="9.12962962962963" style="3"/>
    <col min="13649" max="13649" width="9.25" style="3" customWidth="1"/>
    <col min="13650" max="13652" width="9.12962962962963" style="3"/>
    <col min="13653" max="13655" width="9.75" style="3" customWidth="1"/>
    <col min="13656" max="13656" width="9.12962962962963" style="3"/>
    <col min="13657" max="13657" width="9.25" style="3" customWidth="1"/>
    <col min="13658" max="13660" width="9.12962962962963" style="3"/>
    <col min="13661" max="13663" width="9.75" style="3" customWidth="1"/>
    <col min="13664" max="13664" width="9.12962962962963" style="3"/>
    <col min="13665" max="13665" width="9.25" style="3" customWidth="1"/>
    <col min="13666" max="13668" width="9.12962962962963" style="3"/>
    <col min="13669" max="13671" width="9.75" style="3" customWidth="1"/>
    <col min="13672" max="13672" width="9.12962962962963" style="3"/>
    <col min="13673" max="13673" width="9.25" style="3" customWidth="1"/>
    <col min="13674" max="13676" width="9.12962962962963" style="3"/>
    <col min="13677" max="13679" width="9.75" style="3" customWidth="1"/>
    <col min="13680" max="13680" width="9.12962962962963" style="3"/>
    <col min="13681" max="13681" width="9.25" style="3" customWidth="1"/>
    <col min="13682" max="13684" width="9.12962962962963" style="3"/>
    <col min="13685" max="13687" width="9.75" style="3" customWidth="1"/>
    <col min="13688" max="13688" width="9.12962962962963" style="3"/>
    <col min="13689" max="13689" width="9.25" style="3" customWidth="1"/>
    <col min="13690" max="13692" width="9.12962962962963" style="3"/>
    <col min="13693" max="13695" width="9.75" style="3" customWidth="1"/>
    <col min="13696" max="13696" width="9.12962962962963" style="3"/>
    <col min="13697" max="13697" width="9.25" style="3" customWidth="1"/>
    <col min="13698" max="13700" width="9.12962962962963" style="3"/>
    <col min="13701" max="13703" width="9.75" style="3" customWidth="1"/>
    <col min="13704" max="13704" width="9.12962962962963" style="3"/>
    <col min="13705" max="13705" width="9.25" style="3" customWidth="1"/>
    <col min="13706" max="13708" width="9.12962962962963" style="3"/>
    <col min="13709" max="13711" width="9.75" style="3" customWidth="1"/>
    <col min="13712" max="13712" width="9.12962962962963" style="3"/>
    <col min="13713" max="13713" width="9.25" style="3" customWidth="1"/>
    <col min="13714" max="13716" width="9.12962962962963" style="3"/>
    <col min="13717" max="13719" width="9.75" style="3" customWidth="1"/>
    <col min="13720" max="13720" width="9.12962962962963" style="3"/>
    <col min="13721" max="13721" width="9.25" style="3" customWidth="1"/>
    <col min="13722" max="13724" width="9.12962962962963" style="3"/>
    <col min="13725" max="13727" width="9.75" style="3" customWidth="1"/>
    <col min="13728" max="13728" width="9.12962962962963" style="3"/>
    <col min="13729" max="13729" width="9.25" style="3" customWidth="1"/>
    <col min="13730" max="13732" width="9.12962962962963" style="3"/>
    <col min="13733" max="13735" width="9.75" style="3" customWidth="1"/>
    <col min="13736" max="13736" width="9.12962962962963" style="3"/>
    <col min="13737" max="13737" width="9.25" style="3" customWidth="1"/>
    <col min="13738" max="13740" width="9.12962962962963" style="3"/>
    <col min="13741" max="13743" width="9.75" style="3" customWidth="1"/>
    <col min="13744" max="13744" width="9.12962962962963" style="3"/>
    <col min="13745" max="13745" width="9.25" style="3" customWidth="1"/>
    <col min="13746" max="13748" width="9.12962962962963" style="3"/>
    <col min="13749" max="13751" width="9.75" style="3" customWidth="1"/>
    <col min="13752" max="13752" width="9.12962962962963" style="3"/>
    <col min="13753" max="13753" width="9.25" style="3" customWidth="1"/>
    <col min="13754" max="13756" width="9.12962962962963" style="3"/>
    <col min="13757" max="13759" width="9.75" style="3" customWidth="1"/>
    <col min="13760" max="13760" width="9.12962962962963" style="3"/>
    <col min="13761" max="13761" width="9.25" style="3" customWidth="1"/>
    <col min="13762" max="13764" width="9.12962962962963" style="3"/>
    <col min="13765" max="13767" width="9.75" style="3" customWidth="1"/>
    <col min="13768" max="13768" width="9.12962962962963" style="3"/>
    <col min="13769" max="13769" width="9.25" style="3" customWidth="1"/>
    <col min="13770" max="13772" width="9.12962962962963" style="3"/>
    <col min="13773" max="13775" width="9.75" style="3" customWidth="1"/>
    <col min="13776" max="13776" width="9.12962962962963" style="3"/>
    <col min="13777" max="13777" width="9.25" style="3" customWidth="1"/>
    <col min="13778" max="13780" width="9.12962962962963" style="3"/>
    <col min="13781" max="13783" width="9.75" style="3" customWidth="1"/>
    <col min="13784" max="13784" width="9.12962962962963" style="3"/>
    <col min="13785" max="13785" width="9.25" style="3" customWidth="1"/>
    <col min="13786" max="13788" width="9.12962962962963" style="3"/>
    <col min="13789" max="13791" width="9.75" style="3" customWidth="1"/>
    <col min="13792" max="13792" width="9.12962962962963" style="3"/>
    <col min="13793" max="13793" width="9.25" style="3" customWidth="1"/>
    <col min="13794" max="13796" width="9.12962962962963" style="3"/>
    <col min="13797" max="13799" width="9.75" style="3" customWidth="1"/>
    <col min="13800" max="13800" width="9.12962962962963" style="3"/>
    <col min="13801" max="13801" width="9.25" style="3" customWidth="1"/>
    <col min="13802" max="13804" width="9.12962962962963" style="3"/>
    <col min="13805" max="13807" width="9.75" style="3" customWidth="1"/>
    <col min="13808" max="13808" width="9.12962962962963" style="3"/>
    <col min="13809" max="13809" width="9.25" style="3" customWidth="1"/>
    <col min="13810" max="13812" width="9.12962962962963" style="3"/>
    <col min="13813" max="13815" width="9.75" style="3" customWidth="1"/>
    <col min="13816" max="13816" width="9.12962962962963" style="3"/>
    <col min="13817" max="13817" width="9.25" style="3" customWidth="1"/>
    <col min="13818" max="13820" width="9.12962962962963" style="3"/>
    <col min="13821" max="13823" width="9.75" style="3" customWidth="1"/>
    <col min="13824" max="13824" width="9.12962962962963" style="3"/>
    <col min="13825" max="13825" width="9.25" style="3" customWidth="1"/>
    <col min="13826" max="13828" width="9.12962962962963" style="3"/>
    <col min="13829" max="13831" width="9.75" style="3" customWidth="1"/>
    <col min="13832" max="13832" width="9.12962962962963" style="3"/>
    <col min="13833" max="13833" width="9.25" style="3" customWidth="1"/>
    <col min="13834" max="13836" width="9.12962962962963" style="3"/>
    <col min="13837" max="13839" width="9.75" style="3" customWidth="1"/>
    <col min="13840" max="13840" width="9.12962962962963" style="3"/>
    <col min="13841" max="13841" width="9.25" style="3" customWidth="1"/>
    <col min="13842" max="13844" width="9.12962962962963" style="3"/>
    <col min="13845" max="13847" width="9.75" style="3" customWidth="1"/>
    <col min="13848" max="13848" width="9.12962962962963" style="3"/>
    <col min="13849" max="13849" width="9.25" style="3" customWidth="1"/>
    <col min="13850" max="13852" width="9.12962962962963" style="3"/>
    <col min="13853" max="13855" width="9.75" style="3" customWidth="1"/>
    <col min="13856" max="13856" width="9.12962962962963" style="3"/>
    <col min="13857" max="13857" width="9.25" style="3" customWidth="1"/>
    <col min="13858" max="13860" width="9.12962962962963" style="3"/>
    <col min="13861" max="13863" width="9.75" style="3" customWidth="1"/>
    <col min="13864" max="13864" width="9.12962962962963" style="3"/>
    <col min="13865" max="13865" width="9.25" style="3" customWidth="1"/>
    <col min="13866" max="13868" width="9.12962962962963" style="3"/>
    <col min="13869" max="13871" width="9.75" style="3" customWidth="1"/>
    <col min="13872" max="13872" width="9.12962962962963" style="3"/>
    <col min="13873" max="13873" width="9.25" style="3" customWidth="1"/>
    <col min="13874" max="13876" width="9.12962962962963" style="3"/>
    <col min="13877" max="13879" width="9.75" style="3" customWidth="1"/>
    <col min="13880" max="13880" width="9.12962962962963" style="3"/>
    <col min="13881" max="13881" width="9.25" style="3" customWidth="1"/>
    <col min="13882" max="13884" width="9.12962962962963" style="3"/>
    <col min="13885" max="13887" width="9.75" style="3" customWidth="1"/>
    <col min="13888" max="13888" width="9.12962962962963" style="3"/>
    <col min="13889" max="13889" width="9.25" style="3" customWidth="1"/>
    <col min="13890" max="13892" width="9.12962962962963" style="3"/>
    <col min="13893" max="13895" width="9.75" style="3" customWidth="1"/>
    <col min="13896" max="13896" width="9.12962962962963" style="3"/>
    <col min="13897" max="13897" width="9.25" style="3" customWidth="1"/>
    <col min="13898" max="13900" width="9.12962962962963" style="3"/>
    <col min="13901" max="13903" width="9.75" style="3" customWidth="1"/>
    <col min="13904" max="13904" width="9.12962962962963" style="3"/>
    <col min="13905" max="13905" width="9.25" style="3" customWidth="1"/>
    <col min="13906" max="13908" width="9.12962962962963" style="3"/>
    <col min="13909" max="13911" width="9.75" style="3" customWidth="1"/>
    <col min="13912" max="13912" width="9.12962962962963" style="3"/>
    <col min="13913" max="13913" width="9.25" style="3" customWidth="1"/>
    <col min="13914" max="13916" width="9.12962962962963" style="3"/>
    <col min="13917" max="13919" width="9.75" style="3" customWidth="1"/>
    <col min="13920" max="13920" width="9.12962962962963" style="3"/>
    <col min="13921" max="13921" width="9.25" style="3" customWidth="1"/>
    <col min="13922" max="13924" width="9.12962962962963" style="3"/>
    <col min="13925" max="13927" width="9.75" style="3" customWidth="1"/>
    <col min="13928" max="13928" width="9.12962962962963" style="3"/>
    <col min="13929" max="13929" width="9.25" style="3" customWidth="1"/>
    <col min="13930" max="13932" width="9.12962962962963" style="3"/>
    <col min="13933" max="13935" width="9.75" style="3" customWidth="1"/>
    <col min="13936" max="13936" width="9.12962962962963" style="3"/>
    <col min="13937" max="13937" width="9.25" style="3" customWidth="1"/>
    <col min="13938" max="13940" width="9.12962962962963" style="3"/>
    <col min="13941" max="13943" width="9.75" style="3" customWidth="1"/>
    <col min="13944" max="13944" width="9.12962962962963" style="3"/>
    <col min="13945" max="13945" width="9.25" style="3" customWidth="1"/>
    <col min="13946" max="13948" width="9.12962962962963" style="3"/>
    <col min="13949" max="13951" width="9.75" style="3" customWidth="1"/>
    <col min="13952" max="13952" width="9.12962962962963" style="3"/>
    <col min="13953" max="13953" width="9.25" style="3" customWidth="1"/>
    <col min="13954" max="13956" width="9.12962962962963" style="3"/>
    <col min="13957" max="13959" width="9.75" style="3" customWidth="1"/>
    <col min="13960" max="13960" width="9.12962962962963" style="3"/>
    <col min="13961" max="13961" width="9.25" style="3" customWidth="1"/>
    <col min="13962" max="13964" width="9.12962962962963" style="3"/>
    <col min="13965" max="13967" width="9.75" style="3" customWidth="1"/>
    <col min="13968" max="13968" width="9.12962962962963" style="3"/>
    <col min="13969" max="13969" width="9.25" style="3" customWidth="1"/>
    <col min="13970" max="13972" width="9.12962962962963" style="3"/>
    <col min="13973" max="13975" width="9.75" style="3" customWidth="1"/>
    <col min="13976" max="13976" width="9.12962962962963" style="3"/>
    <col min="13977" max="13977" width="9.25" style="3" customWidth="1"/>
    <col min="13978" max="13980" width="9.12962962962963" style="3"/>
    <col min="13981" max="13983" width="9.75" style="3" customWidth="1"/>
    <col min="13984" max="13984" width="9.12962962962963" style="3"/>
    <col min="13985" max="13985" width="9.25" style="3" customWidth="1"/>
    <col min="13986" max="13988" width="9.12962962962963" style="3"/>
    <col min="13989" max="13991" width="9.75" style="3" customWidth="1"/>
    <col min="13992" max="13992" width="9.12962962962963" style="3"/>
    <col min="13993" max="13993" width="9.25" style="3" customWidth="1"/>
    <col min="13994" max="13996" width="9.12962962962963" style="3"/>
    <col min="13997" max="13999" width="9.75" style="3" customWidth="1"/>
    <col min="14000" max="14000" width="9.12962962962963" style="3"/>
    <col min="14001" max="14001" width="9.25" style="3" customWidth="1"/>
    <col min="14002" max="14004" width="9.12962962962963" style="3"/>
    <col min="14005" max="14007" width="9.75" style="3" customWidth="1"/>
    <col min="14008" max="14008" width="9.12962962962963" style="3"/>
    <col min="14009" max="14009" width="9.25" style="3" customWidth="1"/>
    <col min="14010" max="14012" width="9.12962962962963" style="3"/>
    <col min="14013" max="14015" width="9.75" style="3" customWidth="1"/>
    <col min="14016" max="14016" width="9.12962962962963" style="3"/>
    <col min="14017" max="14017" width="9.25" style="3" customWidth="1"/>
    <col min="14018" max="14020" width="9.12962962962963" style="3"/>
    <col min="14021" max="14023" width="9.75" style="3" customWidth="1"/>
    <col min="14024" max="14024" width="9.12962962962963" style="3"/>
    <col min="14025" max="14025" width="9.25" style="3" customWidth="1"/>
    <col min="14026" max="14028" width="9.12962962962963" style="3"/>
    <col min="14029" max="14031" width="9.75" style="3" customWidth="1"/>
    <col min="14032" max="14032" width="9.12962962962963" style="3"/>
    <col min="14033" max="14033" width="9.25" style="3" customWidth="1"/>
    <col min="14034" max="14036" width="9.12962962962963" style="3"/>
    <col min="14037" max="14039" width="9.75" style="3" customWidth="1"/>
    <col min="14040" max="14040" width="9.12962962962963" style="3"/>
    <col min="14041" max="14041" width="9.25" style="3" customWidth="1"/>
    <col min="14042" max="14044" width="9.12962962962963" style="3"/>
    <col min="14045" max="14047" width="9.75" style="3" customWidth="1"/>
    <col min="14048" max="14048" width="9.12962962962963" style="3"/>
    <col min="14049" max="14049" width="9.25" style="3" customWidth="1"/>
    <col min="14050" max="14052" width="9.12962962962963" style="3"/>
    <col min="14053" max="14055" width="9.75" style="3" customWidth="1"/>
    <col min="14056" max="14056" width="9.12962962962963" style="3"/>
    <col min="14057" max="14057" width="9.25" style="3" customWidth="1"/>
    <col min="14058" max="14060" width="9.12962962962963" style="3"/>
    <col min="14061" max="14063" width="9.75" style="3" customWidth="1"/>
    <col min="14064" max="14064" width="9.12962962962963" style="3"/>
    <col min="14065" max="14065" width="9.25" style="3" customWidth="1"/>
    <col min="14066" max="14068" width="9.12962962962963" style="3"/>
    <col min="14069" max="14071" width="9.75" style="3" customWidth="1"/>
    <col min="14072" max="14072" width="9.12962962962963" style="3"/>
    <col min="14073" max="14073" width="9.25" style="3" customWidth="1"/>
    <col min="14074" max="14076" width="9.12962962962963" style="3"/>
    <col min="14077" max="14079" width="9.75" style="3" customWidth="1"/>
    <col min="14080" max="14080" width="9.12962962962963" style="3"/>
    <col min="14081" max="14081" width="9.25" style="3" customWidth="1"/>
    <col min="14082" max="14084" width="9.12962962962963" style="3"/>
    <col min="14085" max="14087" width="9.75" style="3" customWidth="1"/>
    <col min="14088" max="14088" width="9.12962962962963" style="3"/>
    <col min="14089" max="14089" width="9.25" style="3" customWidth="1"/>
    <col min="14090" max="14092" width="9.12962962962963" style="3"/>
    <col min="14093" max="14095" width="9.75" style="3" customWidth="1"/>
    <col min="14096" max="14096" width="9.12962962962963" style="3"/>
    <col min="14097" max="14097" width="9.25" style="3" customWidth="1"/>
    <col min="14098" max="14100" width="9.12962962962963" style="3"/>
    <col min="14101" max="14103" width="9.75" style="3" customWidth="1"/>
    <col min="14104" max="14104" width="9.12962962962963" style="3"/>
    <col min="14105" max="14105" width="9.25" style="3" customWidth="1"/>
    <col min="14106" max="14108" width="9.12962962962963" style="3"/>
    <col min="14109" max="14111" width="9.75" style="3" customWidth="1"/>
    <col min="14112" max="14112" width="9.12962962962963" style="3"/>
    <col min="14113" max="14113" width="9.25" style="3" customWidth="1"/>
    <col min="14114" max="14116" width="9.12962962962963" style="3"/>
    <col min="14117" max="14119" width="9.75" style="3" customWidth="1"/>
    <col min="14120" max="14120" width="9.12962962962963" style="3"/>
    <col min="14121" max="14121" width="9.25" style="3" customWidth="1"/>
    <col min="14122" max="14124" width="9.12962962962963" style="3"/>
    <col min="14125" max="14127" width="9.75" style="3" customWidth="1"/>
    <col min="14128" max="14128" width="9.12962962962963" style="3"/>
    <col min="14129" max="14129" width="9.25" style="3" customWidth="1"/>
    <col min="14130" max="14132" width="9.12962962962963" style="3"/>
    <col min="14133" max="14135" width="9.75" style="3" customWidth="1"/>
    <col min="14136" max="14136" width="9.12962962962963" style="3"/>
    <col min="14137" max="14137" width="9.25" style="3" customWidth="1"/>
    <col min="14138" max="14140" width="9.12962962962963" style="3"/>
    <col min="14141" max="14143" width="9.75" style="3" customWidth="1"/>
    <col min="14144" max="14144" width="9.12962962962963" style="3"/>
    <col min="14145" max="14145" width="9.25" style="3" customWidth="1"/>
    <col min="14146" max="14148" width="9.12962962962963" style="3"/>
    <col min="14149" max="14151" width="9.75" style="3" customWidth="1"/>
    <col min="14152" max="14152" width="9.12962962962963" style="3"/>
    <col min="14153" max="14153" width="9.25" style="3" customWidth="1"/>
    <col min="14154" max="14156" width="9.12962962962963" style="3"/>
    <col min="14157" max="14159" width="9.75" style="3" customWidth="1"/>
    <col min="14160" max="14160" width="9.12962962962963" style="3"/>
    <col min="14161" max="14161" width="9.25" style="3" customWidth="1"/>
    <col min="14162" max="14164" width="9.12962962962963" style="3"/>
    <col min="14165" max="14167" width="9.75" style="3" customWidth="1"/>
    <col min="14168" max="14168" width="9.12962962962963" style="3"/>
    <col min="14169" max="14169" width="9.25" style="3" customWidth="1"/>
    <col min="14170" max="14172" width="9.12962962962963" style="3"/>
    <col min="14173" max="14175" width="9.75" style="3" customWidth="1"/>
    <col min="14176" max="14176" width="9.12962962962963" style="3"/>
    <col min="14177" max="14177" width="9.25" style="3" customWidth="1"/>
    <col min="14178" max="14180" width="9.12962962962963" style="3"/>
    <col min="14181" max="14183" width="9.75" style="3" customWidth="1"/>
    <col min="14184" max="14184" width="9.12962962962963" style="3"/>
    <col min="14185" max="14185" width="9.25" style="3" customWidth="1"/>
    <col min="14186" max="14188" width="9.12962962962963" style="3"/>
    <col min="14189" max="14191" width="9.75" style="3" customWidth="1"/>
    <col min="14192" max="14192" width="9.12962962962963" style="3"/>
    <col min="14193" max="14193" width="9.25" style="3" customWidth="1"/>
    <col min="14194" max="14196" width="9.12962962962963" style="3"/>
    <col min="14197" max="14199" width="9.75" style="3" customWidth="1"/>
    <col min="14200" max="14200" width="9.12962962962963" style="3"/>
    <col min="14201" max="14201" width="9.25" style="3" customWidth="1"/>
    <col min="14202" max="14204" width="9.12962962962963" style="3"/>
    <col min="14205" max="14207" width="9.75" style="3" customWidth="1"/>
    <col min="14208" max="14208" width="9.12962962962963" style="3"/>
    <col min="14209" max="14209" width="9.25" style="3" customWidth="1"/>
    <col min="14210" max="14212" width="9.12962962962963" style="3"/>
    <col min="14213" max="14215" width="9.75" style="3" customWidth="1"/>
    <col min="14216" max="14216" width="9.12962962962963" style="3"/>
    <col min="14217" max="14217" width="9.25" style="3" customWidth="1"/>
    <col min="14218" max="14220" width="9.12962962962963" style="3"/>
    <col min="14221" max="14223" width="9.75" style="3" customWidth="1"/>
    <col min="14224" max="14224" width="9.12962962962963" style="3"/>
    <col min="14225" max="14225" width="9.25" style="3" customWidth="1"/>
    <col min="14226" max="14228" width="9.12962962962963" style="3"/>
    <col min="14229" max="14231" width="9.75" style="3" customWidth="1"/>
    <col min="14232" max="14232" width="9.12962962962963" style="3"/>
    <col min="14233" max="14233" width="9.25" style="3" customWidth="1"/>
    <col min="14234" max="14236" width="9.12962962962963" style="3"/>
    <col min="14237" max="14239" width="9.75" style="3" customWidth="1"/>
    <col min="14240" max="14240" width="9.12962962962963" style="3"/>
    <col min="14241" max="14241" width="9.25" style="3" customWidth="1"/>
    <col min="14242" max="14244" width="9.12962962962963" style="3"/>
    <col min="14245" max="14247" width="9.75" style="3" customWidth="1"/>
    <col min="14248" max="14248" width="9.12962962962963" style="3"/>
    <col min="14249" max="14249" width="9.25" style="3" customWidth="1"/>
    <col min="14250" max="14252" width="9.12962962962963" style="3"/>
    <col min="14253" max="14255" width="9.75" style="3" customWidth="1"/>
    <col min="14256" max="14256" width="9.12962962962963" style="3"/>
    <col min="14257" max="14257" width="9.25" style="3" customWidth="1"/>
    <col min="14258" max="14260" width="9.12962962962963" style="3"/>
    <col min="14261" max="14263" width="9.75" style="3" customWidth="1"/>
    <col min="14264" max="14264" width="9.12962962962963" style="3"/>
    <col min="14265" max="14265" width="9.25" style="3" customWidth="1"/>
    <col min="14266" max="14268" width="9.12962962962963" style="3"/>
    <col min="14269" max="14271" width="9.75" style="3" customWidth="1"/>
    <col min="14272" max="14272" width="9.12962962962963" style="3"/>
    <col min="14273" max="14273" width="9.25" style="3" customWidth="1"/>
    <col min="14274" max="14276" width="9.12962962962963" style="3"/>
    <col min="14277" max="14279" width="9.75" style="3" customWidth="1"/>
    <col min="14280" max="14280" width="9.12962962962963" style="3"/>
    <col min="14281" max="14281" width="9.25" style="3" customWidth="1"/>
    <col min="14282" max="14284" width="9.12962962962963" style="3"/>
    <col min="14285" max="14287" width="9.75" style="3" customWidth="1"/>
    <col min="14288" max="14288" width="9.12962962962963" style="3"/>
    <col min="14289" max="14289" width="9.25" style="3" customWidth="1"/>
    <col min="14290" max="14292" width="9.12962962962963" style="3"/>
    <col min="14293" max="14295" width="9.75" style="3" customWidth="1"/>
    <col min="14296" max="14296" width="9.12962962962963" style="3"/>
    <col min="14297" max="14297" width="9.25" style="3" customWidth="1"/>
    <col min="14298" max="14300" width="9.12962962962963" style="3"/>
    <col min="14301" max="14303" width="9.75" style="3" customWidth="1"/>
    <col min="14304" max="14304" width="9.12962962962963" style="3"/>
    <col min="14305" max="14305" width="9.25" style="3" customWidth="1"/>
    <col min="14306" max="14308" width="9.12962962962963" style="3"/>
    <col min="14309" max="14311" width="9.75" style="3" customWidth="1"/>
    <col min="14312" max="14312" width="9.12962962962963" style="3"/>
    <col min="14313" max="14313" width="9.25" style="3" customWidth="1"/>
    <col min="14314" max="14316" width="9.12962962962963" style="3"/>
    <col min="14317" max="14319" width="9.75" style="3" customWidth="1"/>
    <col min="14320" max="14320" width="9.12962962962963" style="3"/>
    <col min="14321" max="14321" width="9.25" style="3" customWidth="1"/>
    <col min="14322" max="14324" width="9.12962962962963" style="3"/>
    <col min="14325" max="14327" width="9.75" style="3" customWidth="1"/>
    <col min="14328" max="14328" width="9.12962962962963" style="3"/>
    <col min="14329" max="14329" width="9.25" style="3" customWidth="1"/>
    <col min="14330" max="14332" width="9.12962962962963" style="3"/>
    <col min="14333" max="14335" width="9.75" style="3" customWidth="1"/>
    <col min="14336" max="14336" width="9.12962962962963" style="3"/>
    <col min="14337" max="14337" width="9.25" style="3" customWidth="1"/>
    <col min="14338" max="14340" width="9.12962962962963" style="3"/>
    <col min="14341" max="14343" width="9.75" style="3" customWidth="1"/>
    <col min="14344" max="14344" width="9.12962962962963" style="3"/>
    <col min="14345" max="14345" width="9.25" style="3" customWidth="1"/>
    <col min="14346" max="14348" width="9.12962962962963" style="3"/>
    <col min="14349" max="14351" width="9.75" style="3" customWidth="1"/>
    <col min="14352" max="14352" width="9.12962962962963" style="3"/>
    <col min="14353" max="14353" width="9.25" style="3" customWidth="1"/>
    <col min="14354" max="14356" width="9.12962962962963" style="3"/>
    <col min="14357" max="14359" width="9.75" style="3" customWidth="1"/>
    <col min="14360" max="14360" width="9.12962962962963" style="3"/>
    <col min="14361" max="14361" width="9.25" style="3" customWidth="1"/>
    <col min="14362" max="14364" width="9.12962962962963" style="3"/>
    <col min="14365" max="14367" width="9.75" style="3" customWidth="1"/>
    <col min="14368" max="14368" width="9.12962962962963" style="3"/>
    <col min="14369" max="14369" width="9.25" style="3" customWidth="1"/>
    <col min="14370" max="14372" width="9.12962962962963" style="3"/>
    <col min="14373" max="14375" width="9.75" style="3" customWidth="1"/>
    <col min="14376" max="14376" width="9.12962962962963" style="3"/>
    <col min="14377" max="14377" width="9.25" style="3" customWidth="1"/>
    <col min="14378" max="14380" width="9.12962962962963" style="3"/>
    <col min="14381" max="14383" width="9.75" style="3" customWidth="1"/>
    <col min="14384" max="14384" width="9.12962962962963" style="3"/>
    <col min="14385" max="14385" width="9.25" style="3" customWidth="1"/>
    <col min="14386" max="14388" width="9.12962962962963" style="3"/>
    <col min="14389" max="14391" width="9.75" style="3" customWidth="1"/>
    <col min="14392" max="14392" width="9.12962962962963" style="3"/>
    <col min="14393" max="14393" width="9.25" style="3" customWidth="1"/>
    <col min="14394" max="14396" width="9.12962962962963" style="3"/>
    <col min="14397" max="14399" width="9.75" style="3" customWidth="1"/>
    <col min="14400" max="14400" width="9.12962962962963" style="3"/>
    <col min="14401" max="14401" width="9.25" style="3" customWidth="1"/>
    <col min="14402" max="14404" width="9.12962962962963" style="3"/>
    <col min="14405" max="14407" width="9.75" style="3" customWidth="1"/>
    <col min="14408" max="14408" width="9.12962962962963" style="3"/>
    <col min="14409" max="14409" width="9.25" style="3" customWidth="1"/>
    <col min="14410" max="14412" width="9.12962962962963" style="3"/>
    <col min="14413" max="14415" width="9.75" style="3" customWidth="1"/>
    <col min="14416" max="14416" width="9.12962962962963" style="3"/>
    <col min="14417" max="14417" width="9.25" style="3" customWidth="1"/>
    <col min="14418" max="14420" width="9.12962962962963" style="3"/>
    <col min="14421" max="14423" width="9.75" style="3" customWidth="1"/>
    <col min="14424" max="14424" width="9.12962962962963" style="3"/>
    <col min="14425" max="14425" width="9.25" style="3" customWidth="1"/>
    <col min="14426" max="14428" width="9.12962962962963" style="3"/>
    <col min="14429" max="14431" width="9.75" style="3" customWidth="1"/>
    <col min="14432" max="14432" width="9.12962962962963" style="3"/>
    <col min="14433" max="14433" width="9.25" style="3" customWidth="1"/>
    <col min="14434" max="14436" width="9.12962962962963" style="3"/>
    <col min="14437" max="14439" width="9.75" style="3" customWidth="1"/>
    <col min="14440" max="14440" width="9.12962962962963" style="3"/>
    <col min="14441" max="14441" width="9.25" style="3" customWidth="1"/>
    <col min="14442" max="14444" width="9.12962962962963" style="3"/>
    <col min="14445" max="14447" width="9.75" style="3" customWidth="1"/>
    <col min="14448" max="14448" width="9.12962962962963" style="3"/>
    <col min="14449" max="14449" width="9.25" style="3" customWidth="1"/>
    <col min="14450" max="14452" width="9.12962962962963" style="3"/>
    <col min="14453" max="14455" width="9.75" style="3" customWidth="1"/>
    <col min="14456" max="14456" width="9.12962962962963" style="3"/>
    <col min="14457" max="14457" width="9.25" style="3" customWidth="1"/>
    <col min="14458" max="14460" width="9.12962962962963" style="3"/>
    <col min="14461" max="14463" width="9.75" style="3" customWidth="1"/>
    <col min="14464" max="14464" width="9.12962962962963" style="3"/>
    <col min="14465" max="14465" width="9.25" style="3" customWidth="1"/>
    <col min="14466" max="14468" width="9.12962962962963" style="3"/>
    <col min="14469" max="14471" width="9.75" style="3" customWidth="1"/>
    <col min="14472" max="14472" width="9.12962962962963" style="3"/>
    <col min="14473" max="14473" width="9.25" style="3" customWidth="1"/>
    <col min="14474" max="14476" width="9.12962962962963" style="3"/>
    <col min="14477" max="14479" width="9.75" style="3" customWidth="1"/>
    <col min="14480" max="14480" width="9.12962962962963" style="3"/>
    <col min="14481" max="14481" width="9.25" style="3" customWidth="1"/>
    <col min="14482" max="14484" width="9.12962962962963" style="3"/>
    <col min="14485" max="14487" width="9.75" style="3" customWidth="1"/>
    <col min="14488" max="14488" width="9.12962962962963" style="3"/>
    <col min="14489" max="14489" width="9.25" style="3" customWidth="1"/>
    <col min="14490" max="14492" width="9.12962962962963" style="3"/>
    <col min="14493" max="14495" width="9.75" style="3" customWidth="1"/>
    <col min="14496" max="14496" width="9.12962962962963" style="3"/>
    <col min="14497" max="14497" width="9.25" style="3" customWidth="1"/>
    <col min="14498" max="14500" width="9.12962962962963" style="3"/>
    <col min="14501" max="14503" width="9.75" style="3" customWidth="1"/>
    <col min="14504" max="14504" width="9.12962962962963" style="3"/>
    <col min="14505" max="14505" width="9.25" style="3" customWidth="1"/>
    <col min="14506" max="14508" width="9.12962962962963" style="3"/>
    <col min="14509" max="14511" width="9.75" style="3" customWidth="1"/>
    <col min="14512" max="14512" width="9.12962962962963" style="3"/>
    <col min="14513" max="14513" width="9.25" style="3" customWidth="1"/>
    <col min="14514" max="14516" width="9.12962962962963" style="3"/>
    <col min="14517" max="14519" width="9.75" style="3" customWidth="1"/>
    <col min="14520" max="14520" width="9.12962962962963" style="3"/>
    <col min="14521" max="14521" width="9.25" style="3" customWidth="1"/>
    <col min="14522" max="14524" width="9.12962962962963" style="3"/>
    <col min="14525" max="14527" width="9.75" style="3" customWidth="1"/>
    <col min="14528" max="14528" width="9.12962962962963" style="3"/>
    <col min="14529" max="14529" width="9.25" style="3" customWidth="1"/>
    <col min="14530" max="14532" width="9.12962962962963" style="3"/>
    <col min="14533" max="14535" width="9.75" style="3" customWidth="1"/>
    <col min="14536" max="14536" width="9.12962962962963" style="3"/>
    <col min="14537" max="14537" width="9.25" style="3" customWidth="1"/>
    <col min="14538" max="14540" width="9.12962962962963" style="3"/>
    <col min="14541" max="14543" width="9.75" style="3" customWidth="1"/>
    <col min="14544" max="14544" width="9.12962962962963" style="3"/>
    <col min="14545" max="14545" width="9.25" style="3" customWidth="1"/>
    <col min="14546" max="14548" width="9.12962962962963" style="3"/>
    <col min="14549" max="14551" width="9.75" style="3" customWidth="1"/>
    <col min="14552" max="14552" width="9.12962962962963" style="3"/>
    <col min="14553" max="14553" width="9.25" style="3" customWidth="1"/>
    <col min="14554" max="14556" width="9.12962962962963" style="3"/>
    <col min="14557" max="14559" width="9.75" style="3" customWidth="1"/>
    <col min="14560" max="14560" width="9.12962962962963" style="3"/>
    <col min="14561" max="14561" width="9.25" style="3" customWidth="1"/>
    <col min="14562" max="14564" width="9.12962962962963" style="3"/>
    <col min="14565" max="14567" width="9.75" style="3" customWidth="1"/>
    <col min="14568" max="14568" width="9.12962962962963" style="3"/>
    <col min="14569" max="14569" width="9.25" style="3" customWidth="1"/>
    <col min="14570" max="14572" width="9.12962962962963" style="3"/>
    <col min="14573" max="14575" width="9.75" style="3" customWidth="1"/>
    <col min="14576" max="14576" width="9.12962962962963" style="3"/>
    <col min="14577" max="14577" width="9.25" style="3" customWidth="1"/>
    <col min="14578" max="14580" width="9.12962962962963" style="3"/>
    <col min="14581" max="14583" width="9.75" style="3" customWidth="1"/>
    <col min="14584" max="14584" width="9.12962962962963" style="3"/>
    <col min="14585" max="14585" width="9.25" style="3" customWidth="1"/>
    <col min="14586" max="14588" width="9.12962962962963" style="3"/>
    <col min="14589" max="14591" width="9.75" style="3" customWidth="1"/>
    <col min="14592" max="14592" width="9.12962962962963" style="3"/>
    <col min="14593" max="14593" width="9.25" style="3" customWidth="1"/>
    <col min="14594" max="14596" width="9.12962962962963" style="3"/>
    <col min="14597" max="14599" width="9.75" style="3" customWidth="1"/>
    <col min="14600" max="14600" width="9.12962962962963" style="3"/>
    <col min="14601" max="14601" width="9.25" style="3" customWidth="1"/>
    <col min="14602" max="14604" width="9.12962962962963" style="3"/>
    <col min="14605" max="14607" width="9.75" style="3" customWidth="1"/>
    <col min="14608" max="14608" width="9.12962962962963" style="3"/>
    <col min="14609" max="14609" width="9.25" style="3" customWidth="1"/>
    <col min="14610" max="14612" width="9.12962962962963" style="3"/>
    <col min="14613" max="14615" width="9.75" style="3" customWidth="1"/>
    <col min="14616" max="14616" width="9.12962962962963" style="3"/>
    <col min="14617" max="14617" width="9.25" style="3" customWidth="1"/>
    <col min="14618" max="14620" width="9.12962962962963" style="3"/>
    <col min="14621" max="14623" width="9.75" style="3" customWidth="1"/>
    <col min="14624" max="14624" width="9.12962962962963" style="3"/>
    <col min="14625" max="14625" width="9.25" style="3" customWidth="1"/>
    <col min="14626" max="14628" width="9.12962962962963" style="3"/>
    <col min="14629" max="14631" width="9.75" style="3" customWidth="1"/>
    <col min="14632" max="14632" width="9.12962962962963" style="3"/>
    <col min="14633" max="14633" width="9.25" style="3" customWidth="1"/>
    <col min="14634" max="14636" width="9.12962962962963" style="3"/>
    <col min="14637" max="14639" width="9.75" style="3" customWidth="1"/>
    <col min="14640" max="14640" width="9.12962962962963" style="3"/>
    <col min="14641" max="14641" width="9.25" style="3" customWidth="1"/>
    <col min="14642" max="14644" width="9.12962962962963" style="3"/>
    <col min="14645" max="14647" width="9.75" style="3" customWidth="1"/>
    <col min="14648" max="14648" width="9.12962962962963" style="3"/>
    <col min="14649" max="14649" width="9.25" style="3" customWidth="1"/>
    <col min="14650" max="14652" width="9.12962962962963" style="3"/>
    <col min="14653" max="14655" width="9.75" style="3" customWidth="1"/>
    <col min="14656" max="14656" width="9.12962962962963" style="3"/>
    <col min="14657" max="14657" width="9.25" style="3" customWidth="1"/>
    <col min="14658" max="14660" width="9.12962962962963" style="3"/>
    <col min="14661" max="14663" width="9.75" style="3" customWidth="1"/>
    <col min="14664" max="14664" width="9.12962962962963" style="3"/>
    <col min="14665" max="14665" width="9.25" style="3" customWidth="1"/>
    <col min="14666" max="14668" width="9.12962962962963" style="3"/>
    <col min="14669" max="14671" width="9.75" style="3" customWidth="1"/>
    <col min="14672" max="14672" width="9.12962962962963" style="3"/>
    <col min="14673" max="14673" width="9.25" style="3" customWidth="1"/>
    <col min="14674" max="14676" width="9.12962962962963" style="3"/>
    <col min="14677" max="14679" width="9.75" style="3" customWidth="1"/>
    <col min="14680" max="14680" width="9.12962962962963" style="3"/>
    <col min="14681" max="14681" width="9.25" style="3" customWidth="1"/>
    <col min="14682" max="14684" width="9.12962962962963" style="3"/>
    <col min="14685" max="14687" width="9.75" style="3" customWidth="1"/>
    <col min="14688" max="14688" width="9.12962962962963" style="3"/>
    <col min="14689" max="14689" width="9.25" style="3" customWidth="1"/>
    <col min="14690" max="14692" width="9.12962962962963" style="3"/>
    <col min="14693" max="14695" width="9.75" style="3" customWidth="1"/>
    <col min="14696" max="14696" width="9.12962962962963" style="3"/>
    <col min="14697" max="14697" width="9.25" style="3" customWidth="1"/>
    <col min="14698" max="14700" width="9.12962962962963" style="3"/>
    <col min="14701" max="14703" width="9.75" style="3" customWidth="1"/>
    <col min="14704" max="14704" width="9.12962962962963" style="3"/>
    <col min="14705" max="14705" width="9.25" style="3" customWidth="1"/>
    <col min="14706" max="14708" width="9.12962962962963" style="3"/>
    <col min="14709" max="14711" width="9.75" style="3" customWidth="1"/>
    <col min="14712" max="14712" width="9.12962962962963" style="3"/>
    <col min="14713" max="14713" width="9.25" style="3" customWidth="1"/>
    <col min="14714" max="14716" width="9.12962962962963" style="3"/>
    <col min="14717" max="14719" width="9.75" style="3" customWidth="1"/>
    <col min="14720" max="14720" width="9.12962962962963" style="3"/>
    <col min="14721" max="14721" width="9.25" style="3" customWidth="1"/>
    <col min="14722" max="14724" width="9.12962962962963" style="3"/>
    <col min="14725" max="14727" width="9.75" style="3" customWidth="1"/>
    <col min="14728" max="14728" width="9.12962962962963" style="3"/>
    <col min="14729" max="14729" width="9.25" style="3" customWidth="1"/>
    <col min="14730" max="14732" width="9.12962962962963" style="3"/>
    <col min="14733" max="14735" width="9.75" style="3" customWidth="1"/>
    <col min="14736" max="14736" width="9.12962962962963" style="3"/>
    <col min="14737" max="14737" width="9.25" style="3" customWidth="1"/>
    <col min="14738" max="14740" width="9.12962962962963" style="3"/>
    <col min="14741" max="14743" width="9.75" style="3" customWidth="1"/>
    <col min="14744" max="14744" width="9.12962962962963" style="3"/>
    <col min="14745" max="14745" width="9.25" style="3" customWidth="1"/>
    <col min="14746" max="14748" width="9.12962962962963" style="3"/>
    <col min="14749" max="14751" width="9.75" style="3" customWidth="1"/>
    <col min="14752" max="14752" width="9.12962962962963" style="3"/>
    <col min="14753" max="14753" width="9.25" style="3" customWidth="1"/>
    <col min="14754" max="14756" width="9.12962962962963" style="3"/>
    <col min="14757" max="14759" width="9.75" style="3" customWidth="1"/>
    <col min="14760" max="14760" width="9.12962962962963" style="3"/>
    <col min="14761" max="14761" width="9.25" style="3" customWidth="1"/>
    <col min="14762" max="14764" width="9.12962962962963" style="3"/>
    <col min="14765" max="14767" width="9.75" style="3" customWidth="1"/>
    <col min="14768" max="14768" width="9.12962962962963" style="3"/>
    <col min="14769" max="14769" width="9.25" style="3" customWidth="1"/>
    <col min="14770" max="14772" width="9.12962962962963" style="3"/>
    <col min="14773" max="14775" width="9.75" style="3" customWidth="1"/>
    <col min="14776" max="14776" width="9.12962962962963" style="3"/>
    <col min="14777" max="14777" width="9.25" style="3" customWidth="1"/>
    <col min="14778" max="14780" width="9.12962962962963" style="3"/>
    <col min="14781" max="14783" width="9.75" style="3" customWidth="1"/>
    <col min="14784" max="14784" width="9.12962962962963" style="3"/>
    <col min="14785" max="14785" width="9.25" style="3" customWidth="1"/>
    <col min="14786" max="14788" width="9.12962962962963" style="3"/>
    <col min="14789" max="14791" width="9.75" style="3" customWidth="1"/>
    <col min="14792" max="14792" width="9.12962962962963" style="3"/>
    <col min="14793" max="14793" width="9.25" style="3" customWidth="1"/>
    <col min="14794" max="14796" width="9.12962962962963" style="3"/>
    <col min="14797" max="14799" width="9.75" style="3" customWidth="1"/>
    <col min="14800" max="14800" width="9.12962962962963" style="3"/>
    <col min="14801" max="14801" width="9.25" style="3" customWidth="1"/>
    <col min="14802" max="14804" width="9.12962962962963" style="3"/>
    <col min="14805" max="14807" width="9.75" style="3" customWidth="1"/>
    <col min="14808" max="14808" width="9.12962962962963" style="3"/>
    <col min="14809" max="14809" width="9.25" style="3" customWidth="1"/>
    <col min="14810" max="14812" width="9.12962962962963" style="3"/>
    <col min="14813" max="14815" width="9.75" style="3" customWidth="1"/>
    <col min="14816" max="14816" width="9.12962962962963" style="3"/>
    <col min="14817" max="14817" width="9.25" style="3" customWidth="1"/>
    <col min="14818" max="14820" width="9.12962962962963" style="3"/>
    <col min="14821" max="14823" width="9.75" style="3" customWidth="1"/>
    <col min="14824" max="14824" width="9.12962962962963" style="3"/>
    <col min="14825" max="14825" width="9.25" style="3" customWidth="1"/>
    <col min="14826" max="14828" width="9.12962962962963" style="3"/>
    <col min="14829" max="14831" width="9.75" style="3" customWidth="1"/>
    <col min="14832" max="14832" width="9.12962962962963" style="3"/>
    <col min="14833" max="14833" width="9.25" style="3" customWidth="1"/>
    <col min="14834" max="14836" width="9.12962962962963" style="3"/>
    <col min="14837" max="14839" width="9.75" style="3" customWidth="1"/>
    <col min="14840" max="14840" width="9.12962962962963" style="3"/>
    <col min="14841" max="14841" width="9.25" style="3" customWidth="1"/>
    <col min="14842" max="14844" width="9.12962962962963" style="3"/>
    <col min="14845" max="14847" width="9.75" style="3" customWidth="1"/>
    <col min="14848" max="14848" width="9.12962962962963" style="3"/>
    <col min="14849" max="14849" width="9.25" style="3" customWidth="1"/>
    <col min="14850" max="14852" width="9.12962962962963" style="3"/>
    <col min="14853" max="14855" width="9.75" style="3" customWidth="1"/>
    <col min="14856" max="14856" width="9.12962962962963" style="3"/>
    <col min="14857" max="14857" width="9.25" style="3" customWidth="1"/>
    <col min="14858" max="14860" width="9.12962962962963" style="3"/>
    <col min="14861" max="14863" width="9.75" style="3" customWidth="1"/>
    <col min="14864" max="14864" width="9.12962962962963" style="3"/>
    <col min="14865" max="14865" width="9.25" style="3" customWidth="1"/>
    <col min="14866" max="14868" width="9.12962962962963" style="3"/>
    <col min="14869" max="14871" width="9.75" style="3" customWidth="1"/>
    <col min="14872" max="14872" width="9.12962962962963" style="3"/>
    <col min="14873" max="14873" width="9.25" style="3" customWidth="1"/>
    <col min="14874" max="14876" width="9.12962962962963" style="3"/>
    <col min="14877" max="14879" width="9.75" style="3" customWidth="1"/>
    <col min="14880" max="14880" width="9.12962962962963" style="3"/>
    <col min="14881" max="14881" width="9.25" style="3" customWidth="1"/>
    <col min="14882" max="14884" width="9.12962962962963" style="3"/>
    <col min="14885" max="14887" width="9.75" style="3" customWidth="1"/>
    <col min="14888" max="14888" width="9.12962962962963" style="3"/>
    <col min="14889" max="14889" width="9.25" style="3" customWidth="1"/>
    <col min="14890" max="14892" width="9.12962962962963" style="3"/>
    <col min="14893" max="14895" width="9.75" style="3" customWidth="1"/>
    <col min="14896" max="14896" width="9.12962962962963" style="3"/>
    <col min="14897" max="14897" width="9.25" style="3" customWidth="1"/>
    <col min="14898" max="14900" width="9.12962962962963" style="3"/>
    <col min="14901" max="14903" width="9.75" style="3" customWidth="1"/>
    <col min="14904" max="14904" width="9.12962962962963" style="3"/>
    <col min="14905" max="14905" width="9.25" style="3" customWidth="1"/>
    <col min="14906" max="14908" width="9.12962962962963" style="3"/>
    <col min="14909" max="14911" width="9.75" style="3" customWidth="1"/>
    <col min="14912" max="14912" width="9.12962962962963" style="3"/>
    <col min="14913" max="14913" width="9.25" style="3" customWidth="1"/>
    <col min="14914" max="14916" width="9.12962962962963" style="3"/>
    <col min="14917" max="14919" width="9.75" style="3" customWidth="1"/>
    <col min="14920" max="14920" width="9.12962962962963" style="3"/>
    <col min="14921" max="14921" width="9.25" style="3" customWidth="1"/>
    <col min="14922" max="14924" width="9.12962962962963" style="3"/>
    <col min="14925" max="14927" width="9.75" style="3" customWidth="1"/>
    <col min="14928" max="14928" width="9.12962962962963" style="3"/>
    <col min="14929" max="14929" width="9.25" style="3" customWidth="1"/>
    <col min="14930" max="14932" width="9.12962962962963" style="3"/>
    <col min="14933" max="14935" width="9.75" style="3" customWidth="1"/>
    <col min="14936" max="14936" width="9.12962962962963" style="3"/>
    <col min="14937" max="14937" width="9.25" style="3" customWidth="1"/>
    <col min="14938" max="14940" width="9.12962962962963" style="3"/>
    <col min="14941" max="14943" width="9.75" style="3" customWidth="1"/>
    <col min="14944" max="14944" width="9.12962962962963" style="3"/>
    <col min="14945" max="14945" width="9.25" style="3" customWidth="1"/>
    <col min="14946" max="14948" width="9.12962962962963" style="3"/>
    <col min="14949" max="14951" width="9.75" style="3" customWidth="1"/>
    <col min="14952" max="14952" width="9.12962962962963" style="3"/>
    <col min="14953" max="14953" width="9.25" style="3" customWidth="1"/>
    <col min="14954" max="14956" width="9.12962962962963" style="3"/>
    <col min="14957" max="14959" width="9.75" style="3" customWidth="1"/>
    <col min="14960" max="14960" width="9.12962962962963" style="3"/>
    <col min="14961" max="14961" width="9.25" style="3" customWidth="1"/>
    <col min="14962" max="14964" width="9.12962962962963" style="3"/>
    <col min="14965" max="14967" width="9.75" style="3" customWidth="1"/>
    <col min="14968" max="14968" width="9.12962962962963" style="3"/>
    <col min="14969" max="14969" width="9.25" style="3" customWidth="1"/>
    <col min="14970" max="14972" width="9.12962962962963" style="3"/>
    <col min="14973" max="14975" width="9.75" style="3" customWidth="1"/>
    <col min="14976" max="14976" width="9.12962962962963" style="3"/>
    <col min="14977" max="14977" width="9.25" style="3" customWidth="1"/>
    <col min="14978" max="14980" width="9.12962962962963" style="3"/>
    <col min="14981" max="14983" width="9.75" style="3" customWidth="1"/>
    <col min="14984" max="14984" width="9.12962962962963" style="3"/>
    <col min="14985" max="14985" width="9.25" style="3" customWidth="1"/>
    <col min="14986" max="14988" width="9.12962962962963" style="3"/>
    <col min="14989" max="14991" width="9.75" style="3" customWidth="1"/>
    <col min="14992" max="14992" width="9.12962962962963" style="3"/>
    <col min="14993" max="14993" width="9.25" style="3" customWidth="1"/>
    <col min="14994" max="14996" width="9.12962962962963" style="3"/>
    <col min="14997" max="14999" width="9.75" style="3" customWidth="1"/>
    <col min="15000" max="15000" width="9.12962962962963" style="3"/>
    <col min="15001" max="15001" width="9.25" style="3" customWidth="1"/>
    <col min="15002" max="15004" width="9.12962962962963" style="3"/>
    <col min="15005" max="15007" width="9.75" style="3" customWidth="1"/>
    <col min="15008" max="15008" width="9.12962962962963" style="3"/>
    <col min="15009" max="15009" width="9.25" style="3" customWidth="1"/>
    <col min="15010" max="15012" width="9.12962962962963" style="3"/>
    <col min="15013" max="15015" width="9.75" style="3" customWidth="1"/>
    <col min="15016" max="15016" width="9.12962962962963" style="3"/>
    <col min="15017" max="15017" width="9.25" style="3" customWidth="1"/>
    <col min="15018" max="15020" width="9.12962962962963" style="3"/>
    <col min="15021" max="15023" width="9.75" style="3" customWidth="1"/>
    <col min="15024" max="15024" width="9.12962962962963" style="3"/>
    <col min="15025" max="15025" width="9.25" style="3" customWidth="1"/>
    <col min="15026" max="15028" width="9.12962962962963" style="3"/>
    <col min="15029" max="15031" width="9.75" style="3" customWidth="1"/>
    <col min="15032" max="15032" width="9.12962962962963" style="3"/>
    <col min="15033" max="15033" width="9.25" style="3" customWidth="1"/>
    <col min="15034" max="15036" width="9.12962962962963" style="3"/>
    <col min="15037" max="15039" width="9.75" style="3" customWidth="1"/>
    <col min="15040" max="15040" width="9.12962962962963" style="3"/>
    <col min="15041" max="15041" width="9.25" style="3" customWidth="1"/>
    <col min="15042" max="15044" width="9.12962962962963" style="3"/>
    <col min="15045" max="15047" width="9.75" style="3" customWidth="1"/>
    <col min="15048" max="15048" width="9.12962962962963" style="3"/>
    <col min="15049" max="15049" width="9.25" style="3" customWidth="1"/>
    <col min="15050" max="15052" width="9.12962962962963" style="3"/>
    <col min="15053" max="15055" width="9.75" style="3" customWidth="1"/>
    <col min="15056" max="15056" width="9.12962962962963" style="3"/>
    <col min="15057" max="15057" width="9.25" style="3" customWidth="1"/>
    <col min="15058" max="15060" width="9.12962962962963" style="3"/>
    <col min="15061" max="15063" width="9.75" style="3" customWidth="1"/>
    <col min="15064" max="15064" width="9.12962962962963" style="3"/>
    <col min="15065" max="15065" width="9.25" style="3" customWidth="1"/>
    <col min="15066" max="15068" width="9.12962962962963" style="3"/>
    <col min="15069" max="15071" width="9.75" style="3" customWidth="1"/>
    <col min="15072" max="15072" width="9.12962962962963" style="3"/>
    <col min="15073" max="15073" width="9.25" style="3" customWidth="1"/>
    <col min="15074" max="15076" width="9.12962962962963" style="3"/>
    <col min="15077" max="15079" width="9.75" style="3" customWidth="1"/>
    <col min="15080" max="15080" width="9.12962962962963" style="3"/>
    <col min="15081" max="15081" width="9.25" style="3" customWidth="1"/>
    <col min="15082" max="15084" width="9.12962962962963" style="3"/>
    <col min="15085" max="15087" width="9.75" style="3" customWidth="1"/>
    <col min="15088" max="15088" width="9.12962962962963" style="3"/>
    <col min="15089" max="15089" width="9.25" style="3" customWidth="1"/>
    <col min="15090" max="15092" width="9.12962962962963" style="3"/>
    <col min="15093" max="15095" width="9.75" style="3" customWidth="1"/>
    <col min="15096" max="15096" width="9.12962962962963" style="3"/>
    <col min="15097" max="15097" width="9.25" style="3" customWidth="1"/>
    <col min="15098" max="15100" width="9.12962962962963" style="3"/>
    <col min="15101" max="15103" width="9.75" style="3" customWidth="1"/>
    <col min="15104" max="15104" width="9.12962962962963" style="3"/>
    <col min="15105" max="15105" width="9.25" style="3" customWidth="1"/>
    <col min="15106" max="15108" width="9.12962962962963" style="3"/>
    <col min="15109" max="15111" width="9.75" style="3" customWidth="1"/>
    <col min="15112" max="15112" width="9.12962962962963" style="3"/>
    <col min="15113" max="15113" width="9.25" style="3" customWidth="1"/>
    <col min="15114" max="15116" width="9.12962962962963" style="3"/>
    <col min="15117" max="15119" width="9.75" style="3" customWidth="1"/>
    <col min="15120" max="15120" width="9.12962962962963" style="3"/>
    <col min="15121" max="15121" width="9.25" style="3" customWidth="1"/>
    <col min="15122" max="15124" width="9.12962962962963" style="3"/>
    <col min="15125" max="15127" width="9.75" style="3" customWidth="1"/>
    <col min="15128" max="15128" width="9.12962962962963" style="3"/>
    <col min="15129" max="15129" width="9.25" style="3" customWidth="1"/>
    <col min="15130" max="15132" width="9.12962962962963" style="3"/>
    <col min="15133" max="15135" width="9.75" style="3" customWidth="1"/>
    <col min="15136" max="15136" width="9.12962962962963" style="3"/>
    <col min="15137" max="15137" width="9.25" style="3" customWidth="1"/>
    <col min="15138" max="15140" width="9.12962962962963" style="3"/>
    <col min="15141" max="15143" width="9.75" style="3" customWidth="1"/>
    <col min="15144" max="15144" width="9.12962962962963" style="3"/>
    <col min="15145" max="15145" width="9.25" style="3" customWidth="1"/>
    <col min="15146" max="15148" width="9.12962962962963" style="3"/>
    <col min="15149" max="15151" width="9.75" style="3" customWidth="1"/>
    <col min="15152" max="15152" width="9.12962962962963" style="3"/>
    <col min="15153" max="15153" width="9.25" style="3" customWidth="1"/>
    <col min="15154" max="15156" width="9.12962962962963" style="3"/>
    <col min="15157" max="15159" width="9.75" style="3" customWidth="1"/>
    <col min="15160" max="15160" width="9.12962962962963" style="3"/>
    <col min="15161" max="15161" width="9.25" style="3" customWidth="1"/>
    <col min="15162" max="15164" width="9.12962962962963" style="3"/>
    <col min="15165" max="15167" width="9.75" style="3" customWidth="1"/>
    <col min="15168" max="15168" width="9.12962962962963" style="3"/>
    <col min="15169" max="15169" width="9.25" style="3" customWidth="1"/>
    <col min="15170" max="15172" width="9.12962962962963" style="3"/>
    <col min="15173" max="15175" width="9.75" style="3" customWidth="1"/>
    <col min="15176" max="15176" width="9.12962962962963" style="3"/>
    <col min="15177" max="15177" width="9.25" style="3" customWidth="1"/>
    <col min="15178" max="15180" width="9.12962962962963" style="3"/>
    <col min="15181" max="15183" width="9.75" style="3" customWidth="1"/>
    <col min="15184" max="15184" width="9.12962962962963" style="3"/>
    <col min="15185" max="15185" width="9.25" style="3" customWidth="1"/>
    <col min="15186" max="15188" width="9.12962962962963" style="3"/>
    <col min="15189" max="15191" width="9.75" style="3" customWidth="1"/>
    <col min="15192" max="15192" width="9.12962962962963" style="3"/>
    <col min="15193" max="15193" width="9.25" style="3" customWidth="1"/>
    <col min="15194" max="15196" width="9.12962962962963" style="3"/>
    <col min="15197" max="15199" width="9.75" style="3" customWidth="1"/>
    <col min="15200" max="15200" width="9.12962962962963" style="3"/>
    <col min="15201" max="15201" width="9.25" style="3" customWidth="1"/>
    <col min="15202" max="15204" width="9.12962962962963" style="3"/>
    <col min="15205" max="15207" width="9.75" style="3" customWidth="1"/>
    <col min="15208" max="15208" width="9.12962962962963" style="3"/>
    <col min="15209" max="15209" width="9.25" style="3" customWidth="1"/>
    <col min="15210" max="15212" width="9.12962962962963" style="3"/>
    <col min="15213" max="15215" width="9.75" style="3" customWidth="1"/>
    <col min="15216" max="15216" width="9.12962962962963" style="3"/>
    <col min="15217" max="15217" width="9.25" style="3" customWidth="1"/>
    <col min="15218" max="15220" width="9.12962962962963" style="3"/>
    <col min="15221" max="15223" width="9.75" style="3" customWidth="1"/>
    <col min="15224" max="15224" width="9.12962962962963" style="3"/>
    <col min="15225" max="15225" width="9.25" style="3" customWidth="1"/>
    <col min="15226" max="15228" width="9.12962962962963" style="3"/>
    <col min="15229" max="15231" width="9.75" style="3" customWidth="1"/>
    <col min="15232" max="15232" width="9.12962962962963" style="3"/>
    <col min="15233" max="15233" width="9.25" style="3" customWidth="1"/>
    <col min="15234" max="15236" width="9.12962962962963" style="3"/>
    <col min="15237" max="15239" width="9.75" style="3" customWidth="1"/>
    <col min="15240" max="15240" width="9.12962962962963" style="3"/>
    <col min="15241" max="15241" width="9.25" style="3" customWidth="1"/>
    <col min="15242" max="15244" width="9.12962962962963" style="3"/>
    <col min="15245" max="15247" width="9.75" style="3" customWidth="1"/>
    <col min="15248" max="15248" width="9.12962962962963" style="3"/>
    <col min="15249" max="15249" width="9.25" style="3" customWidth="1"/>
    <col min="15250" max="15252" width="9.12962962962963" style="3"/>
    <col min="15253" max="15255" width="9.75" style="3" customWidth="1"/>
    <col min="15256" max="15256" width="9.12962962962963" style="3"/>
    <col min="15257" max="15257" width="9.25" style="3" customWidth="1"/>
    <col min="15258" max="15260" width="9.12962962962963" style="3"/>
    <col min="15261" max="15263" width="9.75" style="3" customWidth="1"/>
    <col min="15264" max="15264" width="9.12962962962963" style="3"/>
    <col min="15265" max="15265" width="9.25" style="3" customWidth="1"/>
    <col min="15266" max="15268" width="9.12962962962963" style="3"/>
    <col min="15269" max="15271" width="9.75" style="3" customWidth="1"/>
    <col min="15272" max="15272" width="9.12962962962963" style="3"/>
    <col min="15273" max="15273" width="9.25" style="3" customWidth="1"/>
    <col min="15274" max="15276" width="9.12962962962963" style="3"/>
    <col min="15277" max="15279" width="9.75" style="3" customWidth="1"/>
    <col min="15280" max="15280" width="9.12962962962963" style="3"/>
    <col min="15281" max="15281" width="9.25" style="3" customWidth="1"/>
    <col min="15282" max="15284" width="9.12962962962963" style="3"/>
    <col min="15285" max="15287" width="9.75" style="3" customWidth="1"/>
    <col min="15288" max="15288" width="9.12962962962963" style="3"/>
    <col min="15289" max="15289" width="9.25" style="3" customWidth="1"/>
    <col min="15290" max="15292" width="9.12962962962963" style="3"/>
    <col min="15293" max="15295" width="9.75" style="3" customWidth="1"/>
    <col min="15296" max="15296" width="9.12962962962963" style="3"/>
    <col min="15297" max="15297" width="9.25" style="3" customWidth="1"/>
    <col min="15298" max="15300" width="9.12962962962963" style="3"/>
    <col min="15301" max="15303" width="9.75" style="3" customWidth="1"/>
    <col min="15304" max="15304" width="9.12962962962963" style="3"/>
    <col min="15305" max="15305" width="9.25" style="3" customWidth="1"/>
    <col min="15306" max="15308" width="9.12962962962963" style="3"/>
    <col min="15309" max="15311" width="9.75" style="3" customWidth="1"/>
    <col min="15312" max="15312" width="9.12962962962963" style="3"/>
    <col min="15313" max="15313" width="9.25" style="3" customWidth="1"/>
    <col min="15314" max="15316" width="9.12962962962963" style="3"/>
    <col min="15317" max="15319" width="9.75" style="3" customWidth="1"/>
    <col min="15320" max="15320" width="9.12962962962963" style="3"/>
    <col min="15321" max="15321" width="9.25" style="3" customWidth="1"/>
    <col min="15322" max="15324" width="9.12962962962963" style="3"/>
    <col min="15325" max="15327" width="9.75" style="3" customWidth="1"/>
    <col min="15328" max="15328" width="9.12962962962963" style="3"/>
    <col min="15329" max="15329" width="9.25" style="3" customWidth="1"/>
    <col min="15330" max="15332" width="9.12962962962963" style="3"/>
    <col min="15333" max="15335" width="9.75" style="3" customWidth="1"/>
    <col min="15336" max="15336" width="9.12962962962963" style="3"/>
    <col min="15337" max="15337" width="9.25" style="3" customWidth="1"/>
    <col min="15338" max="15340" width="9.12962962962963" style="3"/>
    <col min="15341" max="15343" width="9.75" style="3" customWidth="1"/>
    <col min="15344" max="15344" width="9.12962962962963" style="3"/>
    <col min="15345" max="15345" width="9.25" style="3" customWidth="1"/>
    <col min="15346" max="15348" width="9.12962962962963" style="3"/>
    <col min="15349" max="15351" width="9.75" style="3" customWidth="1"/>
    <col min="15352" max="15352" width="9.12962962962963" style="3"/>
    <col min="15353" max="15353" width="9.25" style="3" customWidth="1"/>
    <col min="15354" max="15356" width="9.12962962962963" style="3"/>
    <col min="15357" max="15359" width="9.75" style="3" customWidth="1"/>
    <col min="15360" max="15360" width="9.12962962962963" style="3"/>
    <col min="15361" max="15361" width="9.25" style="3" customWidth="1"/>
    <col min="15362" max="15364" width="9.12962962962963" style="3"/>
    <col min="15365" max="15367" width="9.75" style="3" customWidth="1"/>
    <col min="15368" max="15368" width="9.12962962962963" style="3"/>
    <col min="15369" max="15369" width="9.25" style="3" customWidth="1"/>
    <col min="15370" max="15372" width="9.12962962962963" style="3"/>
    <col min="15373" max="15375" width="9.75" style="3" customWidth="1"/>
    <col min="15376" max="15376" width="9.12962962962963" style="3"/>
    <col min="15377" max="15377" width="9.25" style="3" customWidth="1"/>
    <col min="15378" max="15380" width="9.12962962962963" style="3"/>
    <col min="15381" max="15383" width="9.75" style="3" customWidth="1"/>
    <col min="15384" max="15384" width="9.12962962962963" style="3"/>
    <col min="15385" max="15385" width="9.25" style="3" customWidth="1"/>
    <col min="15386" max="15388" width="9.12962962962963" style="3"/>
    <col min="15389" max="15391" width="9.75" style="3" customWidth="1"/>
    <col min="15392" max="15392" width="9.12962962962963" style="3"/>
    <col min="15393" max="15393" width="9.25" style="3" customWidth="1"/>
    <col min="15394" max="15396" width="9.12962962962963" style="3"/>
    <col min="15397" max="15399" width="9.75" style="3" customWidth="1"/>
    <col min="15400" max="15400" width="9.12962962962963" style="3"/>
    <col min="15401" max="15401" width="9.25" style="3" customWidth="1"/>
    <col min="15402" max="15404" width="9.12962962962963" style="3"/>
    <col min="15405" max="15407" width="9.75" style="3" customWidth="1"/>
    <col min="15408" max="15408" width="9.12962962962963" style="3"/>
    <col min="15409" max="15409" width="9.25" style="3" customWidth="1"/>
    <col min="15410" max="15412" width="9.12962962962963" style="3"/>
    <col min="15413" max="15415" width="9.75" style="3" customWidth="1"/>
    <col min="15416" max="15416" width="9.12962962962963" style="3"/>
    <col min="15417" max="15417" width="9.25" style="3" customWidth="1"/>
    <col min="15418" max="15420" width="9.12962962962963" style="3"/>
    <col min="15421" max="15423" width="9.75" style="3" customWidth="1"/>
    <col min="15424" max="15424" width="9.12962962962963" style="3"/>
    <col min="15425" max="15425" width="9.25" style="3" customWidth="1"/>
    <col min="15426" max="15428" width="9.12962962962963" style="3"/>
    <col min="15429" max="15431" width="9.75" style="3" customWidth="1"/>
    <col min="15432" max="15432" width="9.12962962962963" style="3"/>
    <col min="15433" max="15433" width="9.25" style="3" customWidth="1"/>
    <col min="15434" max="15436" width="9.12962962962963" style="3"/>
    <col min="15437" max="15439" width="9.75" style="3" customWidth="1"/>
    <col min="15440" max="15440" width="9.12962962962963" style="3"/>
    <col min="15441" max="15441" width="9.25" style="3" customWidth="1"/>
    <col min="15442" max="15444" width="9.12962962962963" style="3"/>
    <col min="15445" max="15447" width="9.75" style="3" customWidth="1"/>
    <col min="15448" max="15448" width="9.12962962962963" style="3"/>
    <col min="15449" max="15449" width="9.25" style="3" customWidth="1"/>
    <col min="15450" max="15452" width="9.12962962962963" style="3"/>
    <col min="15453" max="15455" width="9.75" style="3" customWidth="1"/>
    <col min="15456" max="15456" width="9.12962962962963" style="3"/>
    <col min="15457" max="15457" width="9.25" style="3" customWidth="1"/>
    <col min="15458" max="15460" width="9.12962962962963" style="3"/>
    <col min="15461" max="15463" width="9.75" style="3" customWidth="1"/>
    <col min="15464" max="15464" width="9.12962962962963" style="3"/>
    <col min="15465" max="15465" width="9.25" style="3" customWidth="1"/>
    <col min="15466" max="15468" width="9.12962962962963" style="3"/>
    <col min="15469" max="15471" width="9.75" style="3" customWidth="1"/>
    <col min="15472" max="15472" width="9.12962962962963" style="3"/>
    <col min="15473" max="15473" width="9.25" style="3" customWidth="1"/>
    <col min="15474" max="15476" width="9.12962962962963" style="3"/>
    <col min="15477" max="15479" width="9.75" style="3" customWidth="1"/>
    <col min="15480" max="15480" width="9.12962962962963" style="3"/>
    <col min="15481" max="15481" width="9.25" style="3" customWidth="1"/>
    <col min="15482" max="15484" width="9.12962962962963" style="3"/>
    <col min="15485" max="15487" width="9.75" style="3" customWidth="1"/>
    <col min="15488" max="15488" width="9.12962962962963" style="3"/>
    <col min="15489" max="15489" width="9.25" style="3" customWidth="1"/>
    <col min="15490" max="15492" width="9.12962962962963" style="3"/>
    <col min="15493" max="15495" width="9.75" style="3" customWidth="1"/>
    <col min="15496" max="15496" width="9.12962962962963" style="3"/>
    <col min="15497" max="15497" width="9.25" style="3" customWidth="1"/>
    <col min="15498" max="15500" width="9.12962962962963" style="3"/>
    <col min="15501" max="15503" width="9.75" style="3" customWidth="1"/>
    <col min="15504" max="15504" width="9.12962962962963" style="3"/>
    <col min="15505" max="15505" width="9.25" style="3" customWidth="1"/>
    <col min="15506" max="15508" width="9.12962962962963" style="3"/>
    <col min="15509" max="15511" width="9.75" style="3" customWidth="1"/>
    <col min="15512" max="15512" width="9.12962962962963" style="3"/>
    <col min="15513" max="15513" width="9.25" style="3" customWidth="1"/>
    <col min="15514" max="15516" width="9.12962962962963" style="3"/>
    <col min="15517" max="15519" width="9.75" style="3" customWidth="1"/>
    <col min="15520" max="15520" width="9.12962962962963" style="3"/>
    <col min="15521" max="15521" width="9.25" style="3" customWidth="1"/>
    <col min="15522" max="15524" width="9.12962962962963" style="3"/>
    <col min="15525" max="15527" width="9.75" style="3" customWidth="1"/>
    <col min="15528" max="15528" width="9.12962962962963" style="3"/>
    <col min="15529" max="15529" width="9.25" style="3" customWidth="1"/>
    <col min="15530" max="15532" width="9.12962962962963" style="3"/>
    <col min="15533" max="15535" width="9.75" style="3" customWidth="1"/>
    <col min="15536" max="15536" width="9.12962962962963" style="3"/>
    <col min="15537" max="15537" width="9.25" style="3" customWidth="1"/>
    <col min="15538" max="15540" width="9.12962962962963" style="3"/>
    <col min="15541" max="15543" width="9.75" style="3" customWidth="1"/>
    <col min="15544" max="15544" width="9.12962962962963" style="3"/>
    <col min="15545" max="15545" width="9.25" style="3" customWidth="1"/>
    <col min="15546" max="15548" width="9.12962962962963" style="3"/>
    <col min="15549" max="15551" width="9.75" style="3" customWidth="1"/>
    <col min="15552" max="15552" width="9.12962962962963" style="3"/>
    <col min="15553" max="15553" width="9.25" style="3" customWidth="1"/>
    <col min="15554" max="15556" width="9.12962962962963" style="3"/>
    <col min="15557" max="15559" width="9.75" style="3" customWidth="1"/>
    <col min="15560" max="15560" width="9.12962962962963" style="3"/>
    <col min="15561" max="15561" width="9.25" style="3" customWidth="1"/>
    <col min="15562" max="15564" width="9.12962962962963" style="3"/>
    <col min="15565" max="15567" width="9.75" style="3" customWidth="1"/>
    <col min="15568" max="15568" width="9.12962962962963" style="3"/>
    <col min="15569" max="15569" width="9.25" style="3" customWidth="1"/>
    <col min="15570" max="15572" width="9.12962962962963" style="3"/>
    <col min="15573" max="15575" width="9.75" style="3" customWidth="1"/>
    <col min="15576" max="15576" width="9.12962962962963" style="3"/>
    <col min="15577" max="15577" width="9.25" style="3" customWidth="1"/>
    <col min="15578" max="15580" width="9.12962962962963" style="3"/>
    <col min="15581" max="15583" width="9.75" style="3" customWidth="1"/>
    <col min="15584" max="15584" width="9.12962962962963" style="3"/>
    <col min="15585" max="15585" width="9.25" style="3" customWidth="1"/>
    <col min="15586" max="15588" width="9.12962962962963" style="3"/>
    <col min="15589" max="15591" width="9.75" style="3" customWidth="1"/>
    <col min="15592" max="15592" width="9.12962962962963" style="3"/>
    <col min="15593" max="15593" width="9.25" style="3" customWidth="1"/>
    <col min="15594" max="15596" width="9.12962962962963" style="3"/>
    <col min="15597" max="15599" width="9.75" style="3" customWidth="1"/>
    <col min="15600" max="15600" width="9.12962962962963" style="3"/>
    <col min="15601" max="15601" width="9.25" style="3" customWidth="1"/>
    <col min="15602" max="15604" width="9.12962962962963" style="3"/>
    <col min="15605" max="15607" width="9.75" style="3" customWidth="1"/>
    <col min="15608" max="15608" width="9.12962962962963" style="3"/>
    <col min="15609" max="15609" width="9.25" style="3" customWidth="1"/>
    <col min="15610" max="15612" width="9.12962962962963" style="3"/>
    <col min="15613" max="15615" width="9.75" style="3" customWidth="1"/>
    <col min="15616" max="15616" width="9.12962962962963" style="3"/>
    <col min="15617" max="15617" width="9.25" style="3" customWidth="1"/>
    <col min="15618" max="15620" width="9.12962962962963" style="3"/>
    <col min="15621" max="15623" width="9.75" style="3" customWidth="1"/>
    <col min="15624" max="15624" width="9.12962962962963" style="3"/>
    <col min="15625" max="15625" width="9.25" style="3" customWidth="1"/>
    <col min="15626" max="15628" width="9.12962962962963" style="3"/>
    <col min="15629" max="15631" width="9.75" style="3" customWidth="1"/>
    <col min="15632" max="15632" width="9.12962962962963" style="3"/>
    <col min="15633" max="15633" width="9.25" style="3" customWidth="1"/>
    <col min="15634" max="15636" width="9.12962962962963" style="3"/>
    <col min="15637" max="15639" width="9.75" style="3" customWidth="1"/>
    <col min="15640" max="15640" width="9.12962962962963" style="3"/>
    <col min="15641" max="15641" width="9.25" style="3" customWidth="1"/>
    <col min="15642" max="15644" width="9.12962962962963" style="3"/>
    <col min="15645" max="15647" width="9.75" style="3" customWidth="1"/>
    <col min="15648" max="15648" width="9.12962962962963" style="3"/>
    <col min="15649" max="15649" width="9.25" style="3" customWidth="1"/>
    <col min="15650" max="15652" width="9.12962962962963" style="3"/>
    <col min="15653" max="15655" width="9.75" style="3" customWidth="1"/>
    <col min="15656" max="15656" width="9.12962962962963" style="3"/>
    <col min="15657" max="15657" width="9.25" style="3" customWidth="1"/>
    <col min="15658" max="15660" width="9.12962962962963" style="3"/>
    <col min="15661" max="15663" width="9.75" style="3" customWidth="1"/>
    <col min="15664" max="15664" width="9.12962962962963" style="3"/>
    <col min="15665" max="15665" width="9.25" style="3" customWidth="1"/>
    <col min="15666" max="15668" width="9.12962962962963" style="3"/>
    <col min="15669" max="15671" width="9.75" style="3" customWidth="1"/>
    <col min="15672" max="15672" width="9.12962962962963" style="3"/>
    <col min="15673" max="15673" width="9.25" style="3" customWidth="1"/>
    <col min="15674" max="15676" width="9.12962962962963" style="3"/>
    <col min="15677" max="15679" width="9.75" style="3" customWidth="1"/>
    <col min="15680" max="15680" width="9.12962962962963" style="3"/>
    <col min="15681" max="15681" width="9.25" style="3" customWidth="1"/>
    <col min="15682" max="15684" width="9.12962962962963" style="3"/>
    <col min="15685" max="15687" width="9.75" style="3" customWidth="1"/>
    <col min="15688" max="15688" width="9.12962962962963" style="3"/>
    <col min="15689" max="15689" width="9.25" style="3" customWidth="1"/>
    <col min="15690" max="15692" width="9.12962962962963" style="3"/>
    <col min="15693" max="15695" width="9.75" style="3" customWidth="1"/>
    <col min="15696" max="15696" width="9.12962962962963" style="3"/>
    <col min="15697" max="15697" width="9.25" style="3" customWidth="1"/>
    <col min="15698" max="15700" width="9.12962962962963" style="3"/>
    <col min="15701" max="15703" width="9.75" style="3" customWidth="1"/>
    <col min="15704" max="15704" width="9.12962962962963" style="3"/>
    <col min="15705" max="15705" width="9.25" style="3" customWidth="1"/>
    <col min="15706" max="15708" width="9.12962962962963" style="3"/>
    <col min="15709" max="15711" width="9.75" style="3" customWidth="1"/>
    <col min="15712" max="15712" width="9.12962962962963" style="3"/>
    <col min="15713" max="15713" width="9.25" style="3" customWidth="1"/>
    <col min="15714" max="15716" width="9.12962962962963" style="3"/>
    <col min="15717" max="15719" width="9.75" style="3" customWidth="1"/>
    <col min="15720" max="15720" width="9.12962962962963" style="3"/>
    <col min="15721" max="15721" width="9.25" style="3" customWidth="1"/>
    <col min="15722" max="15724" width="9.12962962962963" style="3"/>
    <col min="15725" max="15727" width="9.75" style="3" customWidth="1"/>
    <col min="15728" max="15728" width="9.12962962962963" style="3"/>
    <col min="15729" max="15729" width="9.25" style="3" customWidth="1"/>
    <col min="15730" max="15732" width="9.12962962962963" style="3"/>
    <col min="15733" max="15735" width="9.75" style="3" customWidth="1"/>
    <col min="15736" max="15736" width="9.12962962962963" style="3"/>
    <col min="15737" max="15737" width="9.25" style="3" customWidth="1"/>
    <col min="15738" max="15740" width="9.12962962962963" style="3"/>
    <col min="15741" max="15743" width="9.75" style="3" customWidth="1"/>
    <col min="15744" max="15744" width="9.12962962962963" style="3"/>
    <col min="15745" max="15745" width="9.25" style="3" customWidth="1"/>
    <col min="15746" max="15748" width="9.12962962962963" style="3"/>
    <col min="15749" max="15751" width="9.75" style="3" customWidth="1"/>
    <col min="15752" max="15752" width="9.12962962962963" style="3"/>
    <col min="15753" max="15753" width="9.25" style="3" customWidth="1"/>
    <col min="15754" max="15756" width="9.12962962962963" style="3"/>
    <col min="15757" max="15759" width="9.75" style="3" customWidth="1"/>
    <col min="15760" max="15760" width="9.12962962962963" style="3"/>
    <col min="15761" max="15761" width="9.25" style="3" customWidth="1"/>
    <col min="15762" max="15764" width="9.12962962962963" style="3"/>
    <col min="15765" max="15767" width="9.75" style="3" customWidth="1"/>
    <col min="15768" max="15768" width="9.12962962962963" style="3"/>
    <col min="15769" max="15769" width="9.25" style="3" customWidth="1"/>
    <col min="15770" max="15772" width="9.12962962962963" style="3"/>
    <col min="15773" max="15775" width="9.75" style="3" customWidth="1"/>
    <col min="15776" max="15776" width="9.12962962962963" style="3"/>
    <col min="15777" max="15777" width="9.25" style="3" customWidth="1"/>
    <col min="15778" max="15780" width="9.12962962962963" style="3"/>
    <col min="15781" max="15783" width="9.75" style="3" customWidth="1"/>
    <col min="15784" max="15784" width="9.12962962962963" style="3"/>
    <col min="15785" max="15785" width="9.25" style="3" customWidth="1"/>
    <col min="15786" max="15788" width="9.12962962962963" style="3"/>
    <col min="15789" max="15791" width="9.75" style="3" customWidth="1"/>
    <col min="15792" max="15792" width="9.12962962962963" style="3"/>
    <col min="15793" max="15793" width="9.25" style="3" customWidth="1"/>
    <col min="15794" max="15796" width="9.12962962962963" style="3"/>
    <col min="15797" max="15799" width="9.75" style="3" customWidth="1"/>
    <col min="15800" max="15800" width="9.12962962962963" style="3"/>
    <col min="15801" max="15801" width="9.25" style="3" customWidth="1"/>
    <col min="15802" max="15804" width="9.12962962962963" style="3"/>
    <col min="15805" max="15807" width="9.75" style="3" customWidth="1"/>
    <col min="15808" max="15808" width="9.12962962962963" style="3"/>
    <col min="15809" max="15809" width="9.25" style="3" customWidth="1"/>
    <col min="15810" max="15812" width="9.12962962962963" style="3"/>
    <col min="15813" max="15815" width="9.75" style="3" customWidth="1"/>
    <col min="15816" max="15816" width="9.12962962962963" style="3"/>
    <col min="15817" max="15817" width="9.25" style="3" customWidth="1"/>
    <col min="15818" max="15820" width="9.12962962962963" style="3"/>
    <col min="15821" max="15823" width="9.75" style="3" customWidth="1"/>
    <col min="15824" max="15824" width="9.12962962962963" style="3"/>
    <col min="15825" max="15825" width="9.25" style="3" customWidth="1"/>
    <col min="15826" max="15828" width="9.12962962962963" style="3"/>
    <col min="15829" max="15831" width="9.75" style="3" customWidth="1"/>
    <col min="15832" max="15832" width="9.12962962962963" style="3"/>
    <col min="15833" max="15833" width="9.25" style="3" customWidth="1"/>
    <col min="15834" max="15836" width="9.12962962962963" style="3"/>
    <col min="15837" max="15839" width="9.75" style="3" customWidth="1"/>
    <col min="15840" max="15840" width="9.12962962962963" style="3"/>
    <col min="15841" max="15841" width="9.25" style="3" customWidth="1"/>
    <col min="15842" max="15844" width="9.12962962962963" style="3"/>
    <col min="15845" max="15847" width="9.75" style="3" customWidth="1"/>
    <col min="15848" max="15848" width="9.12962962962963" style="3"/>
    <col min="15849" max="15849" width="9.25" style="3" customWidth="1"/>
    <col min="15850" max="15852" width="9.12962962962963" style="3"/>
    <col min="15853" max="15855" width="9.75" style="3" customWidth="1"/>
    <col min="15856" max="15856" width="9.12962962962963" style="3"/>
    <col min="15857" max="15857" width="9.25" style="3" customWidth="1"/>
    <col min="15858" max="15860" width="9.12962962962963" style="3"/>
    <col min="15861" max="15863" width="9.75" style="3" customWidth="1"/>
    <col min="15864" max="15864" width="9.12962962962963" style="3"/>
    <col min="15865" max="15865" width="9.25" style="3" customWidth="1"/>
    <col min="15866" max="15868" width="9.12962962962963" style="3"/>
    <col min="15869" max="15871" width="9.75" style="3" customWidth="1"/>
    <col min="15872" max="15872" width="9.12962962962963" style="3"/>
    <col min="15873" max="15873" width="9.25" style="3" customWidth="1"/>
    <col min="15874" max="15876" width="9.12962962962963" style="3"/>
    <col min="15877" max="15879" width="9.75" style="3" customWidth="1"/>
    <col min="15880" max="15880" width="9.12962962962963" style="3"/>
    <col min="15881" max="15881" width="9.25" style="3" customWidth="1"/>
    <col min="15882" max="15884" width="9.12962962962963" style="3"/>
    <col min="15885" max="15887" width="9.75" style="3" customWidth="1"/>
    <col min="15888" max="15888" width="9.12962962962963" style="3"/>
    <col min="15889" max="15889" width="9.25" style="3" customWidth="1"/>
    <col min="15890" max="15892" width="9.12962962962963" style="3"/>
    <col min="15893" max="15895" width="9.75" style="3" customWidth="1"/>
    <col min="15896" max="15896" width="9.12962962962963" style="3"/>
    <col min="15897" max="15897" width="9.25" style="3" customWidth="1"/>
    <col min="15898" max="15900" width="9.12962962962963" style="3"/>
    <col min="15901" max="15903" width="9.75" style="3" customWidth="1"/>
    <col min="15904" max="15904" width="9.12962962962963" style="3"/>
    <col min="15905" max="15905" width="9.25" style="3" customWidth="1"/>
    <col min="15906" max="15908" width="9.12962962962963" style="3"/>
    <col min="15909" max="15911" width="9.75" style="3" customWidth="1"/>
    <col min="15912" max="15912" width="9.12962962962963" style="3"/>
    <col min="15913" max="15913" width="9.25" style="3" customWidth="1"/>
    <col min="15914" max="15916" width="9.12962962962963" style="3"/>
    <col min="15917" max="15919" width="9.75" style="3" customWidth="1"/>
    <col min="15920" max="15920" width="9.12962962962963" style="3"/>
    <col min="15921" max="15921" width="9.25" style="3" customWidth="1"/>
    <col min="15922" max="15924" width="9.12962962962963" style="3"/>
    <col min="15925" max="15927" width="9.75" style="3" customWidth="1"/>
    <col min="15928" max="15928" width="9.12962962962963" style="3"/>
    <col min="15929" max="15929" width="9.25" style="3" customWidth="1"/>
    <col min="15930" max="15932" width="9.12962962962963" style="3"/>
    <col min="15933" max="15935" width="9.75" style="3" customWidth="1"/>
    <col min="15936" max="15936" width="9.12962962962963" style="3"/>
    <col min="15937" max="15937" width="9.25" style="3" customWidth="1"/>
    <col min="15938" max="15940" width="9.12962962962963" style="3"/>
    <col min="15941" max="15943" width="9.75" style="3" customWidth="1"/>
    <col min="15944" max="15944" width="9.12962962962963" style="3"/>
    <col min="15945" max="15945" width="9.25" style="3" customWidth="1"/>
    <col min="15946" max="15948" width="9.12962962962963" style="3"/>
    <col min="15949" max="15951" width="9.75" style="3" customWidth="1"/>
    <col min="15952" max="15952" width="9.12962962962963" style="3"/>
    <col min="15953" max="15953" width="9.25" style="3" customWidth="1"/>
    <col min="15954" max="15956" width="9.12962962962963" style="3"/>
    <col min="15957" max="15959" width="9.75" style="3" customWidth="1"/>
    <col min="15960" max="15960" width="9.12962962962963" style="3"/>
    <col min="15961" max="15961" width="9.25" style="3" customWidth="1"/>
    <col min="15962" max="15964" width="9.12962962962963" style="3"/>
    <col min="15965" max="15967" width="9.75" style="3" customWidth="1"/>
    <col min="15968" max="15968" width="9.12962962962963" style="3"/>
    <col min="15969" max="15969" width="9.25" style="3" customWidth="1"/>
    <col min="15970" max="15972" width="9.12962962962963" style="3"/>
    <col min="15973" max="15975" width="9.75" style="3" customWidth="1"/>
    <col min="15976" max="15976" width="9.12962962962963" style="3"/>
    <col min="15977" max="15977" width="9.25" style="3" customWidth="1"/>
    <col min="15978" max="15980" width="9.12962962962963" style="3"/>
    <col min="15981" max="15983" width="9.75" style="3" customWidth="1"/>
    <col min="15984" max="15984" width="9.12962962962963" style="3"/>
    <col min="15985" max="15985" width="9.25" style="3" customWidth="1"/>
    <col min="15986" max="15988" width="9.12962962962963" style="3"/>
    <col min="15989" max="15991" width="9.75" style="3" customWidth="1"/>
    <col min="15992" max="15992" width="9.12962962962963" style="3"/>
    <col min="15993" max="15993" width="9.25" style="3" customWidth="1"/>
    <col min="15994" max="15996" width="9.12962962962963" style="3"/>
    <col min="15997" max="15999" width="9.75" style="3" customWidth="1"/>
    <col min="16000" max="16000" width="9.12962962962963" style="3"/>
    <col min="16001" max="16001" width="9.25" style="3" customWidth="1"/>
    <col min="16002" max="16004" width="9.12962962962963" style="3"/>
    <col min="16005" max="16007" width="9.75" style="3" customWidth="1"/>
    <col min="16008" max="16008" width="9.12962962962963" style="3"/>
    <col min="16009" max="16009" width="9.25" style="3" customWidth="1"/>
    <col min="16010" max="16012" width="9.12962962962963" style="3"/>
    <col min="16013" max="16015" width="9.75" style="3" customWidth="1"/>
    <col min="16016" max="16016" width="9.12962962962963" style="3"/>
    <col min="16017" max="16017" width="9.25" style="3" customWidth="1"/>
    <col min="16018" max="16020" width="9.12962962962963" style="3"/>
    <col min="16021" max="16023" width="9.75" style="3" customWidth="1"/>
    <col min="16024" max="16024" width="9.12962962962963" style="3"/>
    <col min="16025" max="16025" width="9.25" style="3" customWidth="1"/>
    <col min="16026" max="16028" width="9.12962962962963" style="3"/>
    <col min="16029" max="16031" width="9.75" style="3" customWidth="1"/>
    <col min="16032" max="16032" width="9.12962962962963" style="3"/>
    <col min="16033" max="16033" width="9.25" style="3" customWidth="1"/>
    <col min="16034" max="16036" width="9.12962962962963" style="3"/>
    <col min="16037" max="16039" width="9.75" style="3" customWidth="1"/>
    <col min="16040" max="16040" width="9.12962962962963" style="3"/>
    <col min="16041" max="16041" width="9.25" style="3" customWidth="1"/>
    <col min="16042" max="16044" width="9.12962962962963" style="3"/>
    <col min="16045" max="16047" width="9.75" style="3" customWidth="1"/>
    <col min="16048" max="16048" width="9.12962962962963" style="3"/>
    <col min="16049" max="16049" width="9.25" style="3" customWidth="1"/>
    <col min="16050" max="16052" width="9.12962962962963" style="3"/>
    <col min="16053" max="16055" width="9.75" style="3" customWidth="1"/>
    <col min="16056" max="16056" width="9.12962962962963" style="3"/>
    <col min="16057" max="16057" width="9.25" style="3" customWidth="1"/>
    <col min="16058" max="16060" width="9.12962962962963" style="3"/>
    <col min="16061" max="16063" width="9.75" style="3" customWidth="1"/>
    <col min="16064" max="16064" width="9.12962962962963" style="3"/>
    <col min="16065" max="16065" width="9.25" style="3" customWidth="1"/>
    <col min="16066" max="16068" width="9.12962962962963" style="3"/>
    <col min="16069" max="16071" width="9.75" style="3" customWidth="1"/>
    <col min="16072" max="16072" width="9.12962962962963" style="3"/>
    <col min="16073" max="16073" width="9.25" style="3" customWidth="1"/>
    <col min="16074" max="16076" width="9.12962962962963" style="3"/>
    <col min="16077" max="16079" width="9.75" style="3" customWidth="1"/>
    <col min="16080" max="16080" width="9.12962962962963" style="3"/>
    <col min="16081" max="16081" width="9.25" style="3" customWidth="1"/>
    <col min="16082" max="16084" width="9.12962962962963" style="3"/>
    <col min="16085" max="16087" width="9.75" style="3" customWidth="1"/>
    <col min="16088" max="16088" width="9.12962962962963" style="3"/>
    <col min="16089" max="16089" width="9.25" style="3" customWidth="1"/>
    <col min="16090" max="16092" width="9.12962962962963" style="3"/>
    <col min="16093" max="16095" width="9.75" style="3" customWidth="1"/>
    <col min="16096" max="16096" width="9.12962962962963" style="3"/>
    <col min="16097" max="16097" width="9.25" style="3" customWidth="1"/>
    <col min="16098" max="16100" width="9.12962962962963" style="3"/>
    <col min="16101" max="16103" width="9.75" style="3" customWidth="1"/>
    <col min="16104" max="16104" width="9.12962962962963" style="3"/>
    <col min="16105" max="16105" width="9.25" style="3" customWidth="1"/>
    <col min="16106" max="16108" width="9.12962962962963" style="3"/>
    <col min="16109" max="16111" width="9.75" style="3" customWidth="1"/>
    <col min="16112" max="16112" width="9.12962962962963" style="3"/>
    <col min="16113" max="16113" width="9.25" style="3" customWidth="1"/>
    <col min="16114" max="16116" width="9.12962962962963" style="3"/>
    <col min="16117" max="16119" width="9.75" style="3" customWidth="1"/>
    <col min="16120" max="16120" width="9.12962962962963" style="3"/>
    <col min="16121" max="16121" width="9.25" style="3" customWidth="1"/>
    <col min="16122" max="16124" width="9.12962962962963" style="3"/>
    <col min="16125" max="16127" width="9.75" style="3" customWidth="1"/>
    <col min="16128" max="16128" width="9.12962962962963" style="3"/>
    <col min="16129" max="16129" width="9.25" style="3" customWidth="1"/>
    <col min="16130" max="16132" width="9.12962962962963" style="3"/>
    <col min="16133" max="16135" width="9.75" style="3" customWidth="1"/>
    <col min="16136" max="16136" width="9.12962962962963" style="3"/>
    <col min="16137" max="16137" width="9.25" style="3" customWidth="1"/>
    <col min="16138" max="16140" width="9.12962962962963" style="3"/>
    <col min="16141" max="16143" width="9.75" style="3" customWidth="1"/>
    <col min="16144" max="16144" width="9.12962962962963" style="3"/>
    <col min="16145" max="16145" width="9.25" style="3" customWidth="1"/>
    <col min="16146" max="16148" width="9.12962962962963" style="3"/>
    <col min="16149" max="16151" width="9.75" style="3" customWidth="1"/>
    <col min="16152" max="16152" width="9.12962962962963" style="3"/>
    <col min="16153" max="16153" width="9.25" style="3" customWidth="1"/>
    <col min="16154" max="16156" width="9.12962962962963" style="3"/>
    <col min="16157" max="16159" width="9.75" style="3" customWidth="1"/>
    <col min="16160" max="16160" width="9.12962962962963" style="3"/>
    <col min="16161" max="16161" width="9.25" style="3" customWidth="1"/>
    <col min="16162" max="16164" width="9.12962962962963" style="3"/>
    <col min="16165" max="16167" width="9.75" style="3" customWidth="1"/>
    <col min="16168" max="16168" width="9.12962962962963" style="3"/>
    <col min="16169" max="16169" width="9.25" style="3" customWidth="1"/>
    <col min="16170" max="16172" width="9.12962962962963" style="3"/>
    <col min="16173" max="16175" width="9.75" style="3" customWidth="1"/>
    <col min="16176" max="16176" width="9.12962962962963" style="3"/>
    <col min="16177" max="16177" width="9.25" style="3" customWidth="1"/>
    <col min="16178" max="16180" width="9.12962962962963" style="3"/>
    <col min="16181" max="16183" width="9.75" style="3" customWidth="1"/>
    <col min="16184" max="16184" width="9.12962962962963" style="3"/>
    <col min="16185" max="16185" width="9.25" style="3" customWidth="1"/>
    <col min="16186" max="16188" width="9.12962962962963" style="3"/>
    <col min="16189" max="16191" width="9.75" style="3" customWidth="1"/>
    <col min="16192" max="16192" width="9.12962962962963" style="3"/>
    <col min="16193" max="16193" width="9.25" style="3" customWidth="1"/>
    <col min="16194" max="16196" width="9.12962962962963" style="3"/>
    <col min="16197" max="16199" width="9.75" style="3" customWidth="1"/>
    <col min="16200" max="16200" width="9.12962962962963" style="3"/>
    <col min="16201" max="16201" width="9.25" style="3" customWidth="1"/>
    <col min="16202" max="16204" width="9.12962962962963" style="3"/>
    <col min="16205" max="16207" width="9.75" style="3" customWidth="1"/>
    <col min="16208" max="16208" width="9.12962962962963" style="3"/>
    <col min="16209" max="16209" width="9.25" style="3" customWidth="1"/>
    <col min="16210" max="16212" width="9.12962962962963" style="3"/>
    <col min="16213" max="16215" width="9.75" style="3" customWidth="1"/>
    <col min="16216" max="16216" width="9.12962962962963" style="3"/>
    <col min="16217" max="16217" width="9.25" style="3" customWidth="1"/>
    <col min="16218" max="16220" width="9.12962962962963" style="3"/>
    <col min="16221" max="16223" width="9.75" style="3" customWidth="1"/>
    <col min="16224" max="16224" width="9.12962962962963" style="3"/>
    <col min="16225" max="16225" width="9.25" style="3" customWidth="1"/>
    <col min="16226" max="16228" width="9.12962962962963" style="3"/>
    <col min="16229" max="16231" width="9.75" style="3" customWidth="1"/>
    <col min="16232" max="16232" width="9.12962962962963" style="3"/>
    <col min="16233" max="16233" width="9.25" style="3" customWidth="1"/>
    <col min="16234" max="16236" width="9.12962962962963" style="3"/>
    <col min="16237" max="16239" width="9.75" style="3" customWidth="1"/>
    <col min="16240" max="16240" width="9.12962962962963" style="3"/>
    <col min="16241" max="16241" width="9.25" style="3" customWidth="1"/>
    <col min="16242" max="16244" width="9.12962962962963" style="3"/>
    <col min="16245" max="16247" width="9.75" style="3" customWidth="1"/>
    <col min="16248" max="16248" width="9.12962962962963" style="3"/>
    <col min="16249" max="16249" width="9.25" style="3" customWidth="1"/>
    <col min="16250" max="16252" width="9.12962962962963" style="3"/>
    <col min="16253" max="16255" width="9.75" style="3" customWidth="1"/>
    <col min="16256" max="16256" width="9.12962962962963" style="3"/>
    <col min="16257" max="16257" width="9.25" style="3" customWidth="1"/>
    <col min="16258" max="16260" width="9.12962962962963" style="3"/>
    <col min="16261" max="16263" width="9.75" style="3" customWidth="1"/>
    <col min="16264" max="16264" width="9.12962962962963" style="3"/>
    <col min="16265" max="16265" width="9.25" style="3" customWidth="1"/>
    <col min="16266" max="16268" width="9.12962962962963" style="3"/>
    <col min="16269" max="16271" width="9.75" style="3" customWidth="1"/>
    <col min="16272" max="16272" width="9.12962962962963" style="3"/>
    <col min="16273" max="16273" width="9.25" style="3" customWidth="1"/>
    <col min="16274" max="16276" width="9.12962962962963" style="3"/>
    <col min="16277" max="16279" width="9.75" style="3" customWidth="1"/>
    <col min="16280" max="16280" width="9.12962962962963" style="3"/>
    <col min="16281" max="16281" width="9.25" style="3" customWidth="1"/>
    <col min="16282" max="16284" width="9.12962962962963" style="3"/>
    <col min="16285" max="16287" width="9.75" style="3" customWidth="1"/>
    <col min="16288" max="16288" width="9.12962962962963" style="3"/>
    <col min="16289" max="16289" width="9.25" style="3" customWidth="1"/>
    <col min="16290" max="16292" width="9.12962962962963" style="3"/>
    <col min="16293" max="16295" width="9.75" style="3" customWidth="1"/>
    <col min="16296" max="16296" width="9.12962962962963" style="3"/>
    <col min="16297" max="16297" width="9.25" style="3" customWidth="1"/>
    <col min="16298" max="16300" width="9.12962962962963" style="3"/>
    <col min="16301" max="16303" width="9.75" style="3" customWidth="1"/>
    <col min="16304" max="16304" width="9.12962962962963" style="3"/>
    <col min="16305" max="16305" width="9.25" style="3" customWidth="1"/>
    <col min="16306" max="16308" width="9.12962962962963" style="3"/>
    <col min="16309" max="16311" width="9.75" style="3" customWidth="1"/>
    <col min="16312" max="16312" width="9.12962962962963" style="3"/>
    <col min="16313" max="16313" width="9.25" style="3" customWidth="1"/>
    <col min="16314" max="16316" width="9.12962962962963" style="3"/>
    <col min="16317" max="16319" width="9.75" style="3" customWidth="1"/>
    <col min="16320" max="16320" width="9.12962962962963" style="3"/>
    <col min="16321" max="16321" width="9.25" style="3" customWidth="1"/>
    <col min="16322" max="16324" width="9.12962962962963" style="3"/>
    <col min="16325" max="16327" width="9.75" style="3" customWidth="1"/>
    <col min="16328" max="16328" width="9.12962962962963" style="3"/>
    <col min="16329" max="16329" width="9.25" style="3" customWidth="1"/>
    <col min="16330" max="16332" width="9.12962962962963" style="3"/>
    <col min="16333" max="16335" width="9.75" style="3" customWidth="1"/>
    <col min="16336" max="16336" width="9.12962962962963" style="3"/>
    <col min="16337" max="16337" width="9.25" style="3" customWidth="1"/>
    <col min="16338" max="16340" width="9.12962962962963" style="3"/>
    <col min="16341" max="16343" width="9.75" style="3" customWidth="1"/>
    <col min="16344" max="16344" width="9.12962962962963" style="3"/>
    <col min="16345" max="16345" width="9.25" style="3" customWidth="1"/>
    <col min="16346" max="16348" width="9.12962962962963" style="3"/>
    <col min="16349" max="16351" width="9.75" style="3" customWidth="1"/>
    <col min="16352" max="16352" width="9.12962962962963" style="3"/>
    <col min="16353" max="16353" width="9.25" style="3" customWidth="1"/>
    <col min="16354" max="16356" width="9.12962962962963" style="3"/>
    <col min="16357" max="16359" width="9.75" style="3" customWidth="1"/>
    <col min="16360" max="16360" width="9.12962962962963" style="3"/>
    <col min="16361" max="16361" width="9.25" style="3" customWidth="1"/>
    <col min="16362" max="16364" width="9.12962962962963" style="3"/>
    <col min="16365" max="16367" width="9.75" style="3" customWidth="1"/>
    <col min="16368" max="16368" width="9.12962962962963" style="3"/>
    <col min="16369" max="16369" width="9.25" style="3" customWidth="1"/>
    <col min="16370" max="16372" width="9.12962962962963" style="3"/>
    <col min="16373" max="16375" width="9.75" style="3" customWidth="1"/>
    <col min="16376" max="16376" width="9.12962962962963" style="3"/>
    <col min="16377" max="16377" width="9.25" style="3" customWidth="1"/>
    <col min="16378" max="16384" width="9.12962962962963" style="3"/>
  </cols>
  <sheetData>
    <row r="1" spans="1:9">
      <c r="A1" s="6" t="s">
        <v>876</v>
      </c>
      <c r="B1" s="6"/>
      <c r="C1" s="7"/>
      <c r="D1" s="7"/>
      <c r="E1" s="6"/>
      <c r="F1" s="6"/>
      <c r="G1" s="6"/>
      <c r="H1" s="6"/>
    </row>
    <row r="2" spans="1:9">
      <c r="A2" s="8" t="s">
        <v>4</v>
      </c>
      <c r="B2" s="8"/>
      <c r="C2" s="8"/>
      <c r="D2" s="8"/>
      <c r="E2" s="34"/>
      <c r="F2" s="34"/>
      <c r="G2" s="34"/>
      <c r="H2" s="34"/>
    </row>
    <row r="3" spans="1:9">
      <c r="A3" s="9" t="s">
        <v>5</v>
      </c>
      <c r="B3" s="9" t="s">
        <v>6</v>
      </c>
      <c r="C3" s="9" t="s">
        <v>7</v>
      </c>
      <c r="D3" s="9"/>
      <c r="E3" s="10" t="s">
        <v>8</v>
      </c>
      <c r="F3" s="10"/>
      <c r="G3" s="10"/>
      <c r="H3" s="10"/>
    </row>
    <row r="4" spans="1:9">
      <c r="A4" s="11"/>
      <c r="B4" s="11"/>
      <c r="C4" s="9" t="s">
        <v>9</v>
      </c>
      <c r="D4" s="9" t="s">
        <v>10</v>
      </c>
      <c r="E4" s="10" t="s">
        <v>11</v>
      </c>
      <c r="F4" s="10" t="s">
        <v>12</v>
      </c>
      <c r="G4" s="10" t="s">
        <v>13</v>
      </c>
      <c r="H4" s="10" t="s">
        <v>14</v>
      </c>
    </row>
    <row r="5" spans="1:9">
      <c r="A5" s="13" t="s">
        <v>15</v>
      </c>
      <c r="B5" s="13"/>
      <c r="C5" s="15"/>
      <c r="D5" s="15"/>
      <c r="E5" s="10" t="s">
        <v>16</v>
      </c>
      <c r="F5" s="10" t="s">
        <v>16</v>
      </c>
      <c r="G5" s="10" t="s">
        <v>16</v>
      </c>
      <c r="H5" s="10" t="s">
        <v>16</v>
      </c>
    </row>
    <row r="6" ht="27.6" spans="1:9">
      <c r="A6" s="36">
        <v>1</v>
      </c>
      <c r="B6" s="20" t="s">
        <v>877</v>
      </c>
      <c r="C6" s="18" t="s">
        <v>878</v>
      </c>
      <c r="D6" s="18" t="s">
        <v>879</v>
      </c>
      <c r="E6" s="51">
        <v>180000</v>
      </c>
      <c r="F6" s="51">
        <v>110000</v>
      </c>
      <c r="G6" s="51">
        <v>90000</v>
      </c>
      <c r="H6" s="51">
        <v>70000</v>
      </c>
    </row>
    <row r="7" spans="1:9">
      <c r="A7" s="36">
        <v>2</v>
      </c>
      <c r="B7" s="20" t="s">
        <v>880</v>
      </c>
      <c r="C7" s="18" t="s">
        <v>881</v>
      </c>
      <c r="D7" s="18" t="s">
        <v>882</v>
      </c>
      <c r="E7" s="51">
        <v>175000</v>
      </c>
      <c r="F7" s="51">
        <v>105000</v>
      </c>
      <c r="G7" s="51">
        <v>85000</v>
      </c>
      <c r="H7" s="51">
        <v>70000</v>
      </c>
    </row>
    <row r="8" spans="1:9">
      <c r="A8" s="36">
        <v>3</v>
      </c>
      <c r="B8" s="20" t="s">
        <v>883</v>
      </c>
      <c r="C8" s="18" t="s">
        <v>884</v>
      </c>
      <c r="D8" s="18" t="s">
        <v>885</v>
      </c>
      <c r="E8" s="51">
        <v>250000</v>
      </c>
      <c r="F8" s="51">
        <v>150000</v>
      </c>
      <c r="G8" s="51">
        <v>125000</v>
      </c>
      <c r="H8" s="51">
        <v>100000</v>
      </c>
    </row>
    <row r="9" spans="1:9">
      <c r="A9" s="36">
        <v>4</v>
      </c>
      <c r="B9" s="20" t="s">
        <v>886</v>
      </c>
      <c r="C9" s="18" t="s">
        <v>887</v>
      </c>
      <c r="D9" s="18" t="s">
        <v>888</v>
      </c>
      <c r="E9" s="23">
        <v>1200000</v>
      </c>
      <c r="F9" s="23">
        <v>700000</v>
      </c>
      <c r="G9" s="23">
        <v>600000</v>
      </c>
      <c r="H9" s="23">
        <v>480000</v>
      </c>
    </row>
    <row r="10" ht="27.6" spans="1:9">
      <c r="A10" s="36">
        <v>5</v>
      </c>
      <c r="B10" s="20" t="s">
        <v>889</v>
      </c>
      <c r="C10" s="18"/>
      <c r="D10" s="18"/>
      <c r="E10" s="23">
        <v>450000</v>
      </c>
      <c r="F10" s="23">
        <v>270000</v>
      </c>
      <c r="G10" s="23">
        <v>225000</v>
      </c>
      <c r="H10" s="23">
        <v>180000</v>
      </c>
      <c r="I10" s="31" t="s">
        <v>890</v>
      </c>
    </row>
    <row r="11" ht="27.6" spans="1:9">
      <c r="A11" s="36">
        <v>6</v>
      </c>
      <c r="B11" s="20" t="s">
        <v>891</v>
      </c>
      <c r="C11" s="18"/>
      <c r="D11" s="18"/>
      <c r="E11" s="23">
        <v>650000</v>
      </c>
      <c r="F11" s="23">
        <v>390000</v>
      </c>
      <c r="G11" s="23">
        <v>325000</v>
      </c>
      <c r="H11" s="23">
        <v>260000</v>
      </c>
    </row>
    <row r="12" spans="1:9">
      <c r="A12" s="36">
        <v>7</v>
      </c>
      <c r="B12" s="20" t="s">
        <v>892</v>
      </c>
      <c r="C12" s="144" t="s">
        <v>893</v>
      </c>
      <c r="D12" s="20" t="s">
        <v>888</v>
      </c>
      <c r="E12" s="23">
        <v>650000</v>
      </c>
      <c r="F12" s="23">
        <v>390000</v>
      </c>
      <c r="G12" s="23">
        <v>325000</v>
      </c>
      <c r="H12" s="23">
        <v>260000</v>
      </c>
      <c r="I12" s="3" t="s">
        <v>890</v>
      </c>
    </row>
    <row r="13" ht="27.6" spans="1:9">
      <c r="A13" s="36">
        <v>8</v>
      </c>
      <c r="B13" s="20" t="s">
        <v>894</v>
      </c>
      <c r="C13" s="18" t="s">
        <v>893</v>
      </c>
      <c r="D13" s="18" t="s">
        <v>895</v>
      </c>
      <c r="E13" s="23">
        <v>650000</v>
      </c>
      <c r="F13" s="23">
        <v>390000</v>
      </c>
      <c r="G13" s="23">
        <v>325000</v>
      </c>
      <c r="H13" s="23">
        <v>260000</v>
      </c>
    </row>
    <row r="14" spans="1:9">
      <c r="A14" s="36">
        <v>9</v>
      </c>
      <c r="B14" s="20" t="s">
        <v>896</v>
      </c>
      <c r="C14" s="18" t="s">
        <v>887</v>
      </c>
      <c r="D14" s="18" t="s">
        <v>897</v>
      </c>
      <c r="E14" s="23">
        <v>1150000</v>
      </c>
      <c r="F14" s="23">
        <v>700000</v>
      </c>
      <c r="G14" s="23">
        <v>550000</v>
      </c>
      <c r="H14" s="23">
        <v>460000</v>
      </c>
    </row>
    <row r="15" spans="1:9">
      <c r="A15" s="36">
        <v>10</v>
      </c>
      <c r="B15" s="20" t="s">
        <v>898</v>
      </c>
      <c r="C15" s="18" t="s">
        <v>899</v>
      </c>
      <c r="D15" s="18" t="s">
        <v>900</v>
      </c>
      <c r="E15" s="23">
        <v>80000</v>
      </c>
      <c r="F15" s="23">
        <v>50000</v>
      </c>
      <c r="G15" s="23">
        <v>40000</v>
      </c>
      <c r="H15" s="23">
        <v>30000</v>
      </c>
    </row>
    <row r="16" ht="27.6" spans="1:9">
      <c r="A16" s="36">
        <v>11</v>
      </c>
      <c r="B16" s="20" t="s">
        <v>901</v>
      </c>
      <c r="C16" s="18"/>
      <c r="D16" s="18"/>
      <c r="E16" s="23" t="s">
        <v>16</v>
      </c>
      <c r="F16" s="23" t="s">
        <v>16</v>
      </c>
      <c r="G16" s="23" t="s">
        <v>16</v>
      </c>
      <c r="H16" s="23" t="s">
        <v>16</v>
      </c>
    </row>
    <row r="17" spans="1:8">
      <c r="A17" s="36"/>
      <c r="B17" s="20" t="s">
        <v>902</v>
      </c>
      <c r="C17" s="18" t="s">
        <v>903</v>
      </c>
      <c r="D17" s="18" t="s">
        <v>904</v>
      </c>
      <c r="E17" s="23">
        <v>155000</v>
      </c>
      <c r="F17" s="23">
        <v>95000</v>
      </c>
      <c r="G17" s="23">
        <v>75000</v>
      </c>
      <c r="H17" s="23">
        <v>60000</v>
      </c>
    </row>
    <row r="18" spans="1:8">
      <c r="A18" s="36"/>
      <c r="B18" s="20" t="s">
        <v>905</v>
      </c>
      <c r="C18" s="18" t="s">
        <v>90</v>
      </c>
      <c r="D18" s="18" t="s">
        <v>906</v>
      </c>
      <c r="E18" s="23">
        <v>155000</v>
      </c>
      <c r="F18" s="23">
        <v>95000</v>
      </c>
      <c r="G18" s="23">
        <v>75000</v>
      </c>
      <c r="H18" s="23">
        <v>60000</v>
      </c>
    </row>
    <row r="19" spans="1:8">
      <c r="A19" s="36"/>
      <c r="B19" s="20" t="s">
        <v>907</v>
      </c>
      <c r="C19" s="18" t="s">
        <v>90</v>
      </c>
      <c r="D19" s="18" t="s">
        <v>908</v>
      </c>
      <c r="E19" s="23">
        <v>155000</v>
      </c>
      <c r="F19" s="23">
        <v>95000</v>
      </c>
      <c r="G19" s="23">
        <v>75000</v>
      </c>
      <c r="H19" s="23">
        <v>60000</v>
      </c>
    </row>
    <row r="20" spans="1:8">
      <c r="A20" s="36">
        <v>12</v>
      </c>
      <c r="B20" s="20" t="s">
        <v>909</v>
      </c>
      <c r="C20" s="18" t="s">
        <v>884</v>
      </c>
      <c r="D20" s="18" t="s">
        <v>910</v>
      </c>
      <c r="E20" s="23">
        <v>125000</v>
      </c>
      <c r="F20" s="23">
        <v>75000</v>
      </c>
      <c r="G20" s="23">
        <v>60000</v>
      </c>
      <c r="H20" s="23">
        <v>50000</v>
      </c>
    </row>
    <row r="21" ht="27.6" spans="1:8">
      <c r="A21" s="36">
        <v>13</v>
      </c>
      <c r="B21" s="20" t="s">
        <v>911</v>
      </c>
      <c r="C21" s="18" t="s">
        <v>912</v>
      </c>
      <c r="D21" s="18" t="s">
        <v>913</v>
      </c>
      <c r="E21" s="23">
        <v>650000</v>
      </c>
      <c r="F21" s="23">
        <v>390000</v>
      </c>
      <c r="G21" s="23">
        <v>325000</v>
      </c>
      <c r="H21" s="23">
        <v>260000</v>
      </c>
    </row>
    <row r="22" spans="1:8">
      <c r="A22" s="36">
        <v>14</v>
      </c>
      <c r="B22" s="20" t="s">
        <v>888</v>
      </c>
      <c r="C22" s="18" t="s">
        <v>886</v>
      </c>
      <c r="D22" s="18" t="s">
        <v>914</v>
      </c>
      <c r="E22" s="23">
        <v>750000</v>
      </c>
      <c r="F22" s="23">
        <v>450000</v>
      </c>
      <c r="G22" s="23">
        <v>375000</v>
      </c>
      <c r="H22" s="23">
        <v>300000</v>
      </c>
    </row>
    <row r="23" spans="1:8">
      <c r="A23" s="36">
        <v>15</v>
      </c>
      <c r="B23" s="20" t="s">
        <v>915</v>
      </c>
      <c r="C23" s="18" t="s">
        <v>916</v>
      </c>
      <c r="D23" s="18" t="s">
        <v>887</v>
      </c>
      <c r="E23" s="23">
        <v>600000</v>
      </c>
      <c r="F23" s="23">
        <v>360000</v>
      </c>
      <c r="G23" s="23">
        <v>300000</v>
      </c>
      <c r="H23" s="23">
        <v>240000</v>
      </c>
    </row>
    <row r="24" spans="1:8">
      <c r="A24" s="36">
        <v>16</v>
      </c>
      <c r="B24" s="20" t="s">
        <v>917</v>
      </c>
      <c r="C24" s="18" t="s">
        <v>897</v>
      </c>
      <c r="D24" s="18" t="s">
        <v>918</v>
      </c>
      <c r="E24" s="23">
        <v>850000</v>
      </c>
      <c r="F24" s="23">
        <v>500000</v>
      </c>
      <c r="G24" s="23">
        <v>425000</v>
      </c>
      <c r="H24" s="23">
        <v>340000</v>
      </c>
    </row>
    <row r="25" ht="27.6" spans="1:8">
      <c r="A25" s="36">
        <v>17</v>
      </c>
      <c r="B25" s="20" t="s">
        <v>919</v>
      </c>
      <c r="C25" s="18" t="s">
        <v>920</v>
      </c>
      <c r="D25" s="18" t="s">
        <v>921</v>
      </c>
      <c r="E25" s="23">
        <v>300000</v>
      </c>
      <c r="F25" s="23">
        <v>180000</v>
      </c>
      <c r="G25" s="23">
        <v>150000</v>
      </c>
      <c r="H25" s="23">
        <v>120000</v>
      </c>
    </row>
    <row r="26" ht="27.6" spans="1:8">
      <c r="A26" s="36">
        <v>18</v>
      </c>
      <c r="B26" s="20" t="s">
        <v>922</v>
      </c>
      <c r="C26" s="18" t="s">
        <v>918</v>
      </c>
      <c r="D26" s="18" t="s">
        <v>923</v>
      </c>
      <c r="E26" s="23">
        <v>850000</v>
      </c>
      <c r="F26" s="23">
        <v>500000</v>
      </c>
      <c r="G26" s="23">
        <v>425000</v>
      </c>
      <c r="H26" s="23">
        <v>340000</v>
      </c>
    </row>
    <row r="27" ht="27.6" spans="1:8">
      <c r="A27" s="36"/>
      <c r="B27" s="20" t="s">
        <v>922</v>
      </c>
      <c r="C27" s="18" t="s">
        <v>924</v>
      </c>
      <c r="D27" s="18" t="s">
        <v>925</v>
      </c>
      <c r="E27" s="23">
        <v>550000</v>
      </c>
      <c r="F27" s="23">
        <v>330000</v>
      </c>
      <c r="G27" s="23">
        <v>275000</v>
      </c>
      <c r="H27" s="23">
        <v>220000</v>
      </c>
    </row>
    <row r="28" spans="1:8">
      <c r="A28" s="36">
        <v>19</v>
      </c>
      <c r="B28" s="20" t="s">
        <v>926</v>
      </c>
      <c r="C28" s="18" t="s">
        <v>927</v>
      </c>
      <c r="D28" s="18" t="s">
        <v>928</v>
      </c>
      <c r="E28" s="23">
        <v>1150000</v>
      </c>
      <c r="F28" s="23">
        <v>700000</v>
      </c>
      <c r="G28" s="23">
        <v>550000</v>
      </c>
      <c r="H28" s="23">
        <v>460000</v>
      </c>
    </row>
    <row r="29" spans="1:8">
      <c r="A29" s="36">
        <v>20</v>
      </c>
      <c r="B29" s="20" t="s">
        <v>929</v>
      </c>
      <c r="C29" s="18" t="s">
        <v>930</v>
      </c>
      <c r="D29" s="18" t="s">
        <v>931</v>
      </c>
      <c r="E29" s="23">
        <v>80000</v>
      </c>
      <c r="F29" s="23">
        <v>50000</v>
      </c>
      <c r="G29" s="23">
        <v>40000</v>
      </c>
      <c r="H29" s="23">
        <v>30000</v>
      </c>
    </row>
    <row r="30" spans="1:8">
      <c r="A30" s="36">
        <v>21</v>
      </c>
      <c r="B30" s="20" t="s">
        <v>932</v>
      </c>
      <c r="C30" s="18" t="s">
        <v>887</v>
      </c>
      <c r="D30" s="18" t="s">
        <v>915</v>
      </c>
      <c r="E30" s="23">
        <v>650000</v>
      </c>
      <c r="F30" s="23">
        <v>390000</v>
      </c>
      <c r="G30" s="23">
        <v>325000</v>
      </c>
      <c r="H30" s="23">
        <v>260000</v>
      </c>
    </row>
    <row r="31" ht="27.6" spans="1:8">
      <c r="A31" s="36"/>
      <c r="B31" s="20" t="s">
        <v>932</v>
      </c>
      <c r="C31" s="18" t="s">
        <v>933</v>
      </c>
      <c r="D31" s="18" t="s">
        <v>934</v>
      </c>
      <c r="E31" s="23">
        <v>600000</v>
      </c>
      <c r="F31" s="23">
        <v>360000</v>
      </c>
      <c r="G31" s="23">
        <v>300000</v>
      </c>
      <c r="H31" s="23">
        <v>240000</v>
      </c>
    </row>
    <row r="32" ht="27.6" spans="1:8">
      <c r="A32" s="36"/>
      <c r="B32" s="20" t="s">
        <v>932</v>
      </c>
      <c r="C32" s="18" t="s">
        <v>935</v>
      </c>
      <c r="D32" s="18" t="s">
        <v>936</v>
      </c>
      <c r="E32" s="23">
        <v>550000</v>
      </c>
      <c r="F32" s="23">
        <v>330000</v>
      </c>
      <c r="G32" s="23">
        <v>275000</v>
      </c>
      <c r="H32" s="23">
        <v>220000</v>
      </c>
    </row>
    <row r="33" spans="1:8">
      <c r="A33" s="36">
        <v>22</v>
      </c>
      <c r="B33" s="18" t="s">
        <v>937</v>
      </c>
      <c r="C33" s="18" t="s">
        <v>938</v>
      </c>
      <c r="D33" s="18" t="s">
        <v>939</v>
      </c>
      <c r="E33" s="23">
        <v>175000</v>
      </c>
      <c r="F33" s="23">
        <v>105000</v>
      </c>
      <c r="G33" s="23">
        <v>85000</v>
      </c>
      <c r="H33" s="23">
        <v>70000</v>
      </c>
    </row>
    <row r="34" spans="1:8">
      <c r="A34" s="36">
        <v>23</v>
      </c>
      <c r="B34" s="20" t="s">
        <v>940</v>
      </c>
      <c r="C34" s="18" t="s">
        <v>941</v>
      </c>
      <c r="D34" s="18" t="s">
        <v>942</v>
      </c>
      <c r="E34" s="23">
        <v>135000</v>
      </c>
      <c r="F34" s="23">
        <v>80000</v>
      </c>
      <c r="G34" s="23">
        <v>65000</v>
      </c>
      <c r="H34" s="23">
        <v>55000</v>
      </c>
    </row>
    <row r="35" spans="1:8">
      <c r="A35" s="36"/>
      <c r="B35" s="20" t="s">
        <v>943</v>
      </c>
      <c r="C35" s="18" t="s">
        <v>944</v>
      </c>
      <c r="D35" s="18" t="s">
        <v>945</v>
      </c>
      <c r="E35" s="23">
        <v>135000</v>
      </c>
      <c r="F35" s="23">
        <v>80000</v>
      </c>
      <c r="G35" s="23">
        <v>65000</v>
      </c>
      <c r="H35" s="23">
        <v>55000</v>
      </c>
    </row>
    <row r="36" spans="1:8">
      <c r="A36" s="36">
        <v>24</v>
      </c>
      <c r="B36" s="20" t="s">
        <v>918</v>
      </c>
      <c r="C36" s="18" t="s">
        <v>887</v>
      </c>
      <c r="D36" s="18" t="s">
        <v>917</v>
      </c>
      <c r="E36" s="23">
        <v>1200000</v>
      </c>
      <c r="F36" s="23">
        <v>700000</v>
      </c>
      <c r="G36" s="23">
        <v>600000</v>
      </c>
      <c r="H36" s="23">
        <v>480000</v>
      </c>
    </row>
    <row r="37" spans="1:8">
      <c r="A37" s="36"/>
      <c r="B37" s="17" t="s">
        <v>946</v>
      </c>
      <c r="C37" s="18" t="s">
        <v>887</v>
      </c>
      <c r="D37" s="18" t="s">
        <v>947</v>
      </c>
      <c r="E37" s="23">
        <v>1200000</v>
      </c>
      <c r="F37" s="23">
        <v>700000</v>
      </c>
      <c r="G37" s="23">
        <v>600000</v>
      </c>
      <c r="H37" s="23">
        <v>480000</v>
      </c>
    </row>
    <row r="38" ht="27.6" spans="1:8">
      <c r="A38" s="36"/>
      <c r="B38" s="20" t="s">
        <v>946</v>
      </c>
      <c r="C38" s="18" t="s">
        <v>917</v>
      </c>
      <c r="D38" s="18" t="s">
        <v>948</v>
      </c>
      <c r="E38" s="23">
        <v>600000</v>
      </c>
      <c r="F38" s="23">
        <v>360000</v>
      </c>
      <c r="G38" s="23">
        <v>300000</v>
      </c>
      <c r="H38" s="23">
        <v>240000</v>
      </c>
    </row>
    <row r="39" ht="27.6" spans="1:8">
      <c r="A39" s="36"/>
      <c r="B39" s="20" t="s">
        <v>918</v>
      </c>
      <c r="C39" s="18" t="s">
        <v>947</v>
      </c>
      <c r="D39" s="18" t="s">
        <v>949</v>
      </c>
      <c r="E39" s="23">
        <v>600000</v>
      </c>
      <c r="F39" s="23">
        <v>360000</v>
      </c>
      <c r="G39" s="23">
        <v>300000</v>
      </c>
      <c r="H39" s="23">
        <v>240000</v>
      </c>
    </row>
    <row r="40" ht="41.4" spans="1:8">
      <c r="A40" s="36"/>
      <c r="B40" s="20" t="s">
        <v>918</v>
      </c>
      <c r="C40" s="18" t="s">
        <v>950</v>
      </c>
      <c r="D40" s="18" t="s">
        <v>951</v>
      </c>
      <c r="E40" s="23">
        <v>155000</v>
      </c>
      <c r="F40" s="23">
        <v>95000</v>
      </c>
      <c r="G40" s="23">
        <v>75000</v>
      </c>
      <c r="H40" s="23">
        <v>60000</v>
      </c>
    </row>
    <row r="41" spans="1:8">
      <c r="A41" s="36">
        <v>25</v>
      </c>
      <c r="B41" s="20" t="s">
        <v>952</v>
      </c>
      <c r="C41" s="18" t="s">
        <v>918</v>
      </c>
      <c r="D41" s="18" t="s">
        <v>886</v>
      </c>
      <c r="E41" s="23">
        <v>850000</v>
      </c>
      <c r="F41" s="23">
        <v>500000</v>
      </c>
      <c r="G41" s="23">
        <v>425000</v>
      </c>
      <c r="H41" s="23">
        <v>340000</v>
      </c>
    </row>
    <row r="42" spans="1:8">
      <c r="A42" s="36">
        <v>26</v>
      </c>
      <c r="B42" s="20" t="s">
        <v>953</v>
      </c>
      <c r="C42" s="18" t="s">
        <v>954</v>
      </c>
      <c r="D42" s="18" t="s">
        <v>955</v>
      </c>
      <c r="E42" s="23">
        <v>180000</v>
      </c>
      <c r="F42" s="23">
        <v>110000</v>
      </c>
      <c r="G42" s="23">
        <v>90000</v>
      </c>
      <c r="H42" s="23">
        <v>70000</v>
      </c>
    </row>
    <row r="43" spans="1:8">
      <c r="A43" s="36">
        <v>27</v>
      </c>
      <c r="B43" s="20" t="s">
        <v>956</v>
      </c>
      <c r="C43" s="18" t="s">
        <v>897</v>
      </c>
      <c r="D43" s="18" t="s">
        <v>957</v>
      </c>
      <c r="E43" s="23">
        <v>850000</v>
      </c>
      <c r="F43" s="23">
        <v>500000</v>
      </c>
      <c r="G43" s="23">
        <v>425000</v>
      </c>
      <c r="H43" s="23">
        <v>340000</v>
      </c>
    </row>
    <row r="44" spans="1:8">
      <c r="A44" s="36">
        <v>28</v>
      </c>
      <c r="B44" s="18" t="s">
        <v>958</v>
      </c>
      <c r="C44" s="18" t="s">
        <v>959</v>
      </c>
      <c r="D44" s="18" t="s">
        <v>960</v>
      </c>
      <c r="E44" s="23">
        <v>250000</v>
      </c>
      <c r="F44" s="23">
        <v>150000</v>
      </c>
      <c r="G44" s="23">
        <v>125000</v>
      </c>
      <c r="H44" s="23">
        <v>100000</v>
      </c>
    </row>
    <row r="45" spans="1:8">
      <c r="A45" s="36">
        <v>29</v>
      </c>
      <c r="B45" s="20" t="s">
        <v>961</v>
      </c>
      <c r="C45" s="18" t="s">
        <v>912</v>
      </c>
      <c r="D45" s="18" t="s">
        <v>962</v>
      </c>
      <c r="E45" s="23">
        <v>155000</v>
      </c>
      <c r="F45" s="23">
        <v>95000</v>
      </c>
      <c r="G45" s="23">
        <v>75000</v>
      </c>
      <c r="H45" s="23">
        <v>60000</v>
      </c>
    </row>
    <row r="46" ht="41.4" spans="1:8">
      <c r="A46" s="36">
        <v>30</v>
      </c>
      <c r="B46" s="20" t="s">
        <v>963</v>
      </c>
      <c r="C46" s="18" t="s">
        <v>887</v>
      </c>
      <c r="D46" s="18" t="s">
        <v>964</v>
      </c>
      <c r="E46" s="23">
        <v>850000</v>
      </c>
      <c r="F46" s="23">
        <v>500000</v>
      </c>
      <c r="G46" s="23">
        <v>425000</v>
      </c>
      <c r="H46" s="23">
        <v>340000</v>
      </c>
    </row>
    <row r="47" ht="41.4" spans="1:8">
      <c r="A47" s="36">
        <v>31</v>
      </c>
      <c r="B47" s="20" t="s">
        <v>965</v>
      </c>
      <c r="C47" s="18" t="s">
        <v>966</v>
      </c>
      <c r="D47" s="18" t="s">
        <v>967</v>
      </c>
      <c r="E47" s="23">
        <v>650000</v>
      </c>
      <c r="F47" s="23">
        <v>390000</v>
      </c>
      <c r="G47" s="23">
        <v>325000</v>
      </c>
      <c r="H47" s="23">
        <v>260000</v>
      </c>
    </row>
    <row r="48" ht="27.6" spans="1:8">
      <c r="A48" s="36">
        <v>32</v>
      </c>
      <c r="B48" s="18" t="s">
        <v>968</v>
      </c>
      <c r="C48" s="18" t="s">
        <v>969</v>
      </c>
      <c r="D48" s="18" t="s">
        <v>970</v>
      </c>
      <c r="E48" s="23">
        <v>600000</v>
      </c>
      <c r="F48" s="23">
        <v>360000</v>
      </c>
      <c r="G48" s="23">
        <v>300000</v>
      </c>
      <c r="H48" s="23">
        <v>240000</v>
      </c>
    </row>
    <row r="49" spans="1:8">
      <c r="A49" s="36">
        <v>33</v>
      </c>
      <c r="B49" s="20" t="s">
        <v>971</v>
      </c>
      <c r="C49" s="18" t="s">
        <v>972</v>
      </c>
      <c r="D49" s="18" t="s">
        <v>973</v>
      </c>
      <c r="E49" s="23">
        <v>140000</v>
      </c>
      <c r="F49" s="23">
        <v>85000</v>
      </c>
      <c r="G49" s="23">
        <v>70000</v>
      </c>
      <c r="H49" s="23">
        <v>55000</v>
      </c>
    </row>
    <row r="50" spans="1:8">
      <c r="A50" s="36">
        <v>34</v>
      </c>
      <c r="B50" s="20" t="s">
        <v>974</v>
      </c>
      <c r="C50" s="18" t="s">
        <v>975</v>
      </c>
      <c r="D50" s="18" t="s">
        <v>976</v>
      </c>
      <c r="E50" s="23">
        <v>240000</v>
      </c>
      <c r="F50" s="23">
        <v>145000</v>
      </c>
      <c r="G50" s="23">
        <v>120000</v>
      </c>
      <c r="H50" s="23">
        <v>95000</v>
      </c>
    </row>
    <row r="51" spans="1:8">
      <c r="A51" s="36">
        <v>35</v>
      </c>
      <c r="B51" s="49" t="s">
        <v>977</v>
      </c>
      <c r="C51" s="41" t="s">
        <v>887</v>
      </c>
      <c r="D51" s="41" t="s">
        <v>932</v>
      </c>
      <c r="E51" s="23">
        <v>850000</v>
      </c>
      <c r="F51" s="23">
        <v>500000</v>
      </c>
      <c r="G51" s="23">
        <v>425000</v>
      </c>
      <c r="H51" s="23">
        <v>340000</v>
      </c>
    </row>
    <row r="52" ht="27.6" spans="1:8">
      <c r="A52" s="36">
        <v>36</v>
      </c>
      <c r="B52" s="20" t="s">
        <v>978</v>
      </c>
      <c r="C52" s="18" t="s">
        <v>979</v>
      </c>
      <c r="D52" s="18" t="s">
        <v>980</v>
      </c>
      <c r="E52" s="23">
        <v>157500</v>
      </c>
      <c r="F52" s="23">
        <v>95000</v>
      </c>
      <c r="G52" s="23">
        <v>80000</v>
      </c>
      <c r="H52" s="23">
        <v>65000</v>
      </c>
    </row>
    <row r="53" spans="1:8">
      <c r="A53" s="36">
        <v>37</v>
      </c>
      <c r="B53" s="20" t="s">
        <v>981</v>
      </c>
      <c r="C53" s="18" t="s">
        <v>887</v>
      </c>
      <c r="D53" s="18" t="s">
        <v>917</v>
      </c>
      <c r="E53" s="23">
        <v>850000</v>
      </c>
      <c r="F53" s="23">
        <v>500000</v>
      </c>
      <c r="G53" s="23">
        <v>425000</v>
      </c>
      <c r="H53" s="23">
        <v>340000</v>
      </c>
    </row>
    <row r="54" spans="1:8">
      <c r="A54" s="36">
        <v>38</v>
      </c>
      <c r="B54" s="20" t="s">
        <v>982</v>
      </c>
      <c r="C54" s="18" t="s">
        <v>921</v>
      </c>
      <c r="D54" s="18" t="s">
        <v>983</v>
      </c>
      <c r="E54" s="23">
        <v>300000</v>
      </c>
      <c r="F54" s="23">
        <v>180000</v>
      </c>
      <c r="G54" s="23">
        <v>150000</v>
      </c>
      <c r="H54" s="23">
        <v>120000</v>
      </c>
    </row>
    <row r="55" spans="1:8">
      <c r="A55" s="36">
        <v>39</v>
      </c>
      <c r="B55" s="20" t="s">
        <v>984</v>
      </c>
      <c r="C55" s="18" t="s">
        <v>985</v>
      </c>
      <c r="D55" s="18" t="s">
        <v>986</v>
      </c>
      <c r="E55" s="23">
        <v>80000</v>
      </c>
      <c r="F55" s="23">
        <v>50000</v>
      </c>
      <c r="G55" s="23">
        <v>40000</v>
      </c>
      <c r="H55" s="23">
        <v>30000</v>
      </c>
    </row>
    <row r="56" spans="1:8">
      <c r="A56" s="36">
        <v>40</v>
      </c>
      <c r="B56" s="20" t="s">
        <v>987</v>
      </c>
      <c r="C56" s="18" t="s">
        <v>887</v>
      </c>
      <c r="D56" s="18" t="s">
        <v>912</v>
      </c>
      <c r="E56" s="23">
        <v>600000</v>
      </c>
      <c r="F56" s="23">
        <v>360000</v>
      </c>
      <c r="G56" s="23">
        <v>300000</v>
      </c>
      <c r="H56" s="23">
        <v>240000</v>
      </c>
    </row>
    <row r="57" ht="27.6" spans="1:8">
      <c r="A57" s="36">
        <v>41</v>
      </c>
      <c r="B57" s="18" t="s">
        <v>988</v>
      </c>
      <c r="C57" s="18" t="s">
        <v>912</v>
      </c>
      <c r="D57" s="18" t="s">
        <v>989</v>
      </c>
      <c r="E57" s="23">
        <v>650000</v>
      </c>
      <c r="F57" s="23">
        <v>390000</v>
      </c>
      <c r="G57" s="23">
        <v>325000</v>
      </c>
      <c r="H57" s="23">
        <v>260000</v>
      </c>
    </row>
    <row r="58" spans="1:8">
      <c r="A58" s="36">
        <v>42</v>
      </c>
      <c r="B58" s="20" t="s">
        <v>990</v>
      </c>
      <c r="C58" s="18" t="s">
        <v>957</v>
      </c>
      <c r="D58" s="18" t="s">
        <v>917</v>
      </c>
      <c r="E58" s="23">
        <v>1150000</v>
      </c>
      <c r="F58" s="23">
        <v>700000</v>
      </c>
      <c r="G58" s="23">
        <v>550000</v>
      </c>
      <c r="H58" s="23">
        <v>460000</v>
      </c>
    </row>
    <row r="59" spans="1:8">
      <c r="A59" s="36">
        <v>43</v>
      </c>
      <c r="B59" s="20" t="s">
        <v>991</v>
      </c>
      <c r="C59" s="18" t="s">
        <v>957</v>
      </c>
      <c r="D59" s="18" t="s">
        <v>887</v>
      </c>
      <c r="E59" s="23">
        <v>1150000</v>
      </c>
      <c r="F59" s="23">
        <v>700000</v>
      </c>
      <c r="G59" s="23">
        <v>550000</v>
      </c>
      <c r="H59" s="23">
        <v>460000</v>
      </c>
    </row>
    <row r="60" ht="27.6" spans="1:8">
      <c r="A60" s="36">
        <v>44</v>
      </c>
      <c r="B60" s="20" t="s">
        <v>912</v>
      </c>
      <c r="C60" s="18" t="s">
        <v>952</v>
      </c>
      <c r="D60" s="18" t="s">
        <v>992</v>
      </c>
      <c r="E60" s="23">
        <v>850000</v>
      </c>
      <c r="F60" s="23">
        <v>500000</v>
      </c>
      <c r="G60" s="23">
        <v>425000</v>
      </c>
      <c r="H60" s="23">
        <v>340000</v>
      </c>
    </row>
    <row r="61" ht="41.4" spans="1:8">
      <c r="A61" s="36"/>
      <c r="B61" s="20" t="s">
        <v>912</v>
      </c>
      <c r="C61" s="18" t="s">
        <v>993</v>
      </c>
      <c r="D61" s="18" t="s">
        <v>994</v>
      </c>
      <c r="E61" s="23">
        <v>600000</v>
      </c>
      <c r="F61" s="23">
        <v>360000</v>
      </c>
      <c r="G61" s="23">
        <v>300000</v>
      </c>
      <c r="H61" s="23">
        <v>240000</v>
      </c>
    </row>
    <row r="62" ht="27.6" spans="1:8">
      <c r="A62" s="36"/>
      <c r="B62" s="20" t="s">
        <v>912</v>
      </c>
      <c r="C62" s="18" t="s">
        <v>995</v>
      </c>
      <c r="D62" s="18" t="s">
        <v>996</v>
      </c>
      <c r="E62" s="23">
        <v>250000</v>
      </c>
      <c r="F62" s="23">
        <v>150000</v>
      </c>
      <c r="G62" s="23">
        <v>125000</v>
      </c>
      <c r="H62" s="23">
        <v>100000</v>
      </c>
    </row>
    <row r="63" ht="27.6" spans="1:8">
      <c r="A63" s="36"/>
      <c r="B63" s="20" t="s">
        <v>912</v>
      </c>
      <c r="C63" s="18" t="s">
        <v>996</v>
      </c>
      <c r="D63" s="18" t="s">
        <v>997</v>
      </c>
      <c r="E63" s="23">
        <v>155000</v>
      </c>
      <c r="F63" s="23">
        <v>95000</v>
      </c>
      <c r="G63" s="23">
        <v>75000</v>
      </c>
      <c r="H63" s="23">
        <v>60000</v>
      </c>
    </row>
    <row r="64" ht="27.6" spans="1:8">
      <c r="A64" s="36">
        <v>45</v>
      </c>
      <c r="B64" s="20" t="s">
        <v>998</v>
      </c>
      <c r="C64" s="18" t="s">
        <v>981</v>
      </c>
      <c r="D64" s="18" t="s">
        <v>999</v>
      </c>
      <c r="E64" s="23">
        <v>1150000</v>
      </c>
      <c r="F64" s="23">
        <v>700000</v>
      </c>
      <c r="G64" s="23">
        <v>550000</v>
      </c>
      <c r="H64" s="23">
        <v>460000</v>
      </c>
    </row>
    <row r="65" spans="1:9">
      <c r="A65" s="36">
        <v>46</v>
      </c>
      <c r="B65" s="20" t="s">
        <v>1000</v>
      </c>
      <c r="C65" s="18" t="s">
        <v>887</v>
      </c>
      <c r="D65" s="18" t="s">
        <v>915</v>
      </c>
      <c r="E65" s="23">
        <v>850000</v>
      </c>
      <c r="F65" s="23">
        <v>500000</v>
      </c>
      <c r="G65" s="23">
        <v>425000</v>
      </c>
      <c r="H65" s="23">
        <v>340000</v>
      </c>
    </row>
    <row r="66" ht="41.4" spans="1:9">
      <c r="A66" s="36"/>
      <c r="B66" s="20" t="s">
        <v>1000</v>
      </c>
      <c r="C66" s="20" t="s">
        <v>1001</v>
      </c>
      <c r="D66" s="20" t="s">
        <v>1002</v>
      </c>
      <c r="E66" s="23">
        <v>750000</v>
      </c>
      <c r="F66" s="23">
        <v>450000</v>
      </c>
      <c r="G66" s="23">
        <v>375000</v>
      </c>
      <c r="H66" s="23">
        <v>300000</v>
      </c>
      <c r="I66" s="3" t="s">
        <v>890</v>
      </c>
    </row>
    <row r="67" ht="41.4" spans="1:9">
      <c r="A67" s="36"/>
      <c r="B67" s="20" t="s">
        <v>1000</v>
      </c>
      <c r="C67" s="18" t="s">
        <v>915</v>
      </c>
      <c r="D67" s="18" t="s">
        <v>1003</v>
      </c>
      <c r="E67" s="23">
        <v>750000</v>
      </c>
      <c r="F67" s="23">
        <v>450000</v>
      </c>
      <c r="G67" s="23">
        <v>375000</v>
      </c>
      <c r="H67" s="23">
        <v>300000</v>
      </c>
    </row>
    <row r="68" ht="27.6" spans="1:9">
      <c r="A68" s="36"/>
      <c r="B68" s="20" t="s">
        <v>1000</v>
      </c>
      <c r="C68" s="18" t="s">
        <v>1004</v>
      </c>
      <c r="D68" s="18" t="s">
        <v>1005</v>
      </c>
      <c r="E68" s="23">
        <v>155000</v>
      </c>
      <c r="F68" s="23">
        <v>95000</v>
      </c>
      <c r="G68" s="23">
        <v>75000</v>
      </c>
      <c r="H68" s="23">
        <v>60000</v>
      </c>
    </row>
    <row r="69" ht="27.6" spans="1:9">
      <c r="A69" s="36">
        <v>47</v>
      </c>
      <c r="B69" s="20" t="s">
        <v>1006</v>
      </c>
      <c r="C69" s="18" t="s">
        <v>1007</v>
      </c>
      <c r="D69" s="18" t="s">
        <v>1005</v>
      </c>
      <c r="E69" s="23">
        <v>110000</v>
      </c>
      <c r="F69" s="23">
        <v>65000</v>
      </c>
      <c r="G69" s="23">
        <v>55000</v>
      </c>
      <c r="H69" s="23">
        <v>45000</v>
      </c>
    </row>
    <row r="70" ht="27.6" spans="1:9">
      <c r="A70" s="36"/>
      <c r="B70" s="20" t="s">
        <v>1008</v>
      </c>
      <c r="C70" s="18" t="s">
        <v>1009</v>
      </c>
      <c r="D70" s="18" t="s">
        <v>1007</v>
      </c>
      <c r="E70" s="23">
        <v>185000</v>
      </c>
      <c r="F70" s="23">
        <v>110000</v>
      </c>
      <c r="G70" s="23">
        <v>90000</v>
      </c>
      <c r="H70" s="23">
        <v>75000</v>
      </c>
    </row>
    <row r="71" spans="1:9">
      <c r="A71" s="36">
        <v>48</v>
      </c>
      <c r="B71" s="20" t="s">
        <v>887</v>
      </c>
      <c r="C71" s="18" t="s">
        <v>1010</v>
      </c>
      <c r="D71" s="18" t="s">
        <v>896</v>
      </c>
      <c r="E71" s="23">
        <v>3350000</v>
      </c>
      <c r="F71" s="23">
        <v>2000000</v>
      </c>
      <c r="G71" s="23">
        <v>1650000</v>
      </c>
      <c r="H71" s="23">
        <v>1350000</v>
      </c>
    </row>
    <row r="72" ht="41.4" spans="1:9">
      <c r="A72" s="36"/>
      <c r="B72" s="20" t="s">
        <v>887</v>
      </c>
      <c r="C72" s="18" t="s">
        <v>896</v>
      </c>
      <c r="D72" s="18" t="s">
        <v>1011</v>
      </c>
      <c r="E72" s="23">
        <v>2550000</v>
      </c>
      <c r="F72" s="23">
        <v>1550000</v>
      </c>
      <c r="G72" s="23">
        <v>1250000</v>
      </c>
      <c r="H72" s="23">
        <v>1000000</v>
      </c>
    </row>
    <row r="73" spans="1:9">
      <c r="A73" s="36">
        <v>49</v>
      </c>
      <c r="B73" s="20" t="s">
        <v>1012</v>
      </c>
      <c r="C73" s="18" t="s">
        <v>957</v>
      </c>
      <c r="D73" s="18" t="s">
        <v>887</v>
      </c>
      <c r="E73" s="23">
        <v>1150000</v>
      </c>
      <c r="F73" s="23">
        <v>700000</v>
      </c>
      <c r="G73" s="23">
        <v>550000</v>
      </c>
      <c r="H73" s="23">
        <v>460000</v>
      </c>
    </row>
    <row r="74" ht="41.4" spans="1:9">
      <c r="A74" s="36">
        <v>50</v>
      </c>
      <c r="B74" s="18" t="s">
        <v>1009</v>
      </c>
      <c r="C74" s="18" t="s">
        <v>1013</v>
      </c>
      <c r="D74" s="18" t="s">
        <v>1014</v>
      </c>
      <c r="E74" s="23">
        <v>1250000</v>
      </c>
      <c r="F74" s="23">
        <v>750000</v>
      </c>
      <c r="G74" s="23">
        <v>600000</v>
      </c>
      <c r="H74" s="23">
        <v>500000</v>
      </c>
    </row>
    <row r="75" spans="1:9">
      <c r="A75" s="36">
        <v>51</v>
      </c>
      <c r="B75" s="20" t="s">
        <v>1015</v>
      </c>
      <c r="C75" s="18" t="s">
        <v>887</v>
      </c>
      <c r="D75" s="18" t="s">
        <v>915</v>
      </c>
      <c r="E75" s="23">
        <v>650000</v>
      </c>
      <c r="F75" s="23">
        <v>390000</v>
      </c>
      <c r="G75" s="23">
        <v>325000</v>
      </c>
      <c r="H75" s="23">
        <v>260000</v>
      </c>
    </row>
    <row r="76" ht="27.6" spans="1:9">
      <c r="A76" s="36">
        <v>52</v>
      </c>
      <c r="B76" s="20" t="s">
        <v>1016</v>
      </c>
      <c r="C76" s="18" t="s">
        <v>933</v>
      </c>
      <c r="D76" s="18" t="s">
        <v>1017</v>
      </c>
      <c r="E76" s="23">
        <v>600000</v>
      </c>
      <c r="F76" s="23">
        <v>360000</v>
      </c>
      <c r="G76" s="23">
        <v>300000</v>
      </c>
      <c r="H76" s="23">
        <v>240000</v>
      </c>
    </row>
    <row r="77" spans="1:9">
      <c r="A77" s="36">
        <v>53</v>
      </c>
      <c r="B77" s="20" t="s">
        <v>1018</v>
      </c>
      <c r="C77" s="18" t="s">
        <v>900</v>
      </c>
      <c r="D77" s="18" t="s">
        <v>1019</v>
      </c>
      <c r="E77" s="23">
        <v>100000</v>
      </c>
      <c r="F77" s="23">
        <v>60000</v>
      </c>
      <c r="G77" s="23">
        <v>50000</v>
      </c>
      <c r="H77" s="23">
        <v>40000</v>
      </c>
    </row>
    <row r="78" spans="1:9">
      <c r="A78" s="36">
        <v>54</v>
      </c>
      <c r="B78" s="20" t="s">
        <v>1020</v>
      </c>
      <c r="C78" s="18" t="s">
        <v>1019</v>
      </c>
      <c r="D78" s="18" t="s">
        <v>1021</v>
      </c>
      <c r="E78" s="23">
        <v>100000</v>
      </c>
      <c r="F78" s="23">
        <v>60000</v>
      </c>
      <c r="G78" s="23">
        <v>50000</v>
      </c>
      <c r="H78" s="23">
        <v>40000</v>
      </c>
    </row>
    <row r="79" spans="1:9">
      <c r="A79" s="36">
        <v>55</v>
      </c>
      <c r="B79" s="43" t="s">
        <v>1022</v>
      </c>
      <c r="C79" s="43" t="s">
        <v>887</v>
      </c>
      <c r="D79" s="43" t="s">
        <v>998</v>
      </c>
      <c r="E79" s="23">
        <v>600000</v>
      </c>
      <c r="F79" s="23">
        <v>360000</v>
      </c>
      <c r="G79" s="23">
        <v>300000</v>
      </c>
      <c r="H79" s="23">
        <v>240000</v>
      </c>
    </row>
    <row r="80" spans="1:9">
      <c r="A80" s="36">
        <v>56</v>
      </c>
      <c r="B80" s="18" t="s">
        <v>1023</v>
      </c>
      <c r="C80" s="18" t="s">
        <v>960</v>
      </c>
      <c r="D80" s="18" t="s">
        <v>884</v>
      </c>
      <c r="E80" s="23">
        <v>250000</v>
      </c>
      <c r="F80" s="23">
        <v>150000</v>
      </c>
      <c r="G80" s="23">
        <v>125000</v>
      </c>
      <c r="H80" s="23">
        <v>100000</v>
      </c>
    </row>
    <row r="81" spans="1:9">
      <c r="A81" s="36">
        <v>57</v>
      </c>
      <c r="B81" s="20" t="s">
        <v>1024</v>
      </c>
      <c r="C81" s="18" t="s">
        <v>983</v>
      </c>
      <c r="D81" s="18" t="s">
        <v>1025</v>
      </c>
      <c r="E81" s="23">
        <v>240000</v>
      </c>
      <c r="F81" s="23">
        <v>145000</v>
      </c>
      <c r="G81" s="23">
        <v>120000</v>
      </c>
      <c r="H81" s="23">
        <v>95000</v>
      </c>
    </row>
    <row r="82" spans="1:9">
      <c r="A82" s="36">
        <v>58</v>
      </c>
      <c r="B82" s="20" t="s">
        <v>1026</v>
      </c>
      <c r="C82" s="18" t="s">
        <v>976</v>
      </c>
      <c r="D82" s="18" t="s">
        <v>1027</v>
      </c>
      <c r="E82" s="23">
        <v>300000</v>
      </c>
      <c r="F82" s="23">
        <v>180000</v>
      </c>
      <c r="G82" s="23">
        <v>150000</v>
      </c>
      <c r="H82" s="23">
        <v>120000</v>
      </c>
    </row>
    <row r="83" ht="27.6" spans="1:9">
      <c r="A83" s="36">
        <v>59</v>
      </c>
      <c r="B83" s="20" t="s">
        <v>1028</v>
      </c>
      <c r="C83" s="18" t="s">
        <v>918</v>
      </c>
      <c r="D83" s="18" t="s">
        <v>1029</v>
      </c>
      <c r="E83" s="23">
        <v>750000</v>
      </c>
      <c r="F83" s="23">
        <v>450000</v>
      </c>
      <c r="G83" s="23">
        <v>375000</v>
      </c>
      <c r="H83" s="23">
        <v>300000</v>
      </c>
    </row>
    <row r="84" ht="27.6" spans="1:9">
      <c r="A84" s="36">
        <v>60</v>
      </c>
      <c r="B84" s="18" t="s">
        <v>1030</v>
      </c>
      <c r="C84" s="18" t="s">
        <v>1031</v>
      </c>
      <c r="D84" s="18" t="s">
        <v>1032</v>
      </c>
      <c r="E84" s="23">
        <v>600000</v>
      </c>
      <c r="F84" s="23">
        <v>360000</v>
      </c>
      <c r="G84" s="23">
        <v>300000</v>
      </c>
      <c r="H84" s="23">
        <v>240000</v>
      </c>
    </row>
    <row r="85" spans="1:9">
      <c r="A85" s="36">
        <v>61</v>
      </c>
      <c r="B85" s="20" t="s">
        <v>1033</v>
      </c>
      <c r="C85" s="18" t="s">
        <v>957</v>
      </c>
      <c r="D85" s="18" t="s">
        <v>897</v>
      </c>
      <c r="E85" s="23">
        <v>1150000</v>
      </c>
      <c r="F85" s="23">
        <v>700000</v>
      </c>
      <c r="G85" s="23">
        <v>550000</v>
      </c>
      <c r="H85" s="23">
        <v>460000</v>
      </c>
    </row>
    <row r="86" ht="27.6" spans="1:9">
      <c r="A86" s="36">
        <v>62</v>
      </c>
      <c r="B86" s="20" t="s">
        <v>1034</v>
      </c>
      <c r="C86" s="18" t="s">
        <v>1035</v>
      </c>
      <c r="D86" s="18" t="s">
        <v>957</v>
      </c>
      <c r="E86" s="23">
        <v>850000</v>
      </c>
      <c r="F86" s="23">
        <v>500000</v>
      </c>
      <c r="G86" s="23">
        <v>425000</v>
      </c>
      <c r="H86" s="23">
        <v>340000</v>
      </c>
    </row>
    <row r="87" spans="1:9">
      <c r="A87" s="36">
        <v>63</v>
      </c>
      <c r="B87" s="20" t="s">
        <v>1036</v>
      </c>
      <c r="C87" s="18" t="s">
        <v>1037</v>
      </c>
      <c r="D87" s="18" t="s">
        <v>886</v>
      </c>
      <c r="E87" s="23">
        <v>850000</v>
      </c>
      <c r="F87" s="23">
        <v>500000</v>
      </c>
      <c r="G87" s="23">
        <v>425000</v>
      </c>
      <c r="H87" s="23">
        <v>340000</v>
      </c>
    </row>
    <row r="88" ht="27.6" spans="1:9">
      <c r="A88" s="36">
        <v>64</v>
      </c>
      <c r="B88" s="20" t="s">
        <v>1038</v>
      </c>
      <c r="C88" s="18" t="s">
        <v>1039</v>
      </c>
      <c r="D88" s="18" t="s">
        <v>1040</v>
      </c>
      <c r="E88" s="23">
        <v>850000</v>
      </c>
      <c r="F88" s="23">
        <v>500000</v>
      </c>
      <c r="G88" s="23">
        <v>425000</v>
      </c>
      <c r="H88" s="23">
        <v>340000</v>
      </c>
    </row>
    <row r="89" spans="1:9">
      <c r="A89" s="36">
        <v>65</v>
      </c>
      <c r="B89" s="20" t="s">
        <v>1041</v>
      </c>
      <c r="C89" s="18" t="s">
        <v>1042</v>
      </c>
      <c r="D89" s="18" t="s">
        <v>1040</v>
      </c>
      <c r="E89" s="23">
        <v>850000</v>
      </c>
      <c r="F89" s="23">
        <v>500000</v>
      </c>
      <c r="G89" s="23">
        <v>425000</v>
      </c>
      <c r="H89" s="23">
        <v>340000</v>
      </c>
    </row>
    <row r="90" ht="27.6" spans="1:9">
      <c r="A90" s="36">
        <v>66</v>
      </c>
      <c r="B90" s="20" t="s">
        <v>1043</v>
      </c>
      <c r="C90" s="18" t="s">
        <v>1044</v>
      </c>
      <c r="D90" s="18" t="s">
        <v>1045</v>
      </c>
      <c r="E90" s="23">
        <v>850000</v>
      </c>
      <c r="F90" s="23">
        <v>500000</v>
      </c>
      <c r="G90" s="23">
        <v>425000</v>
      </c>
      <c r="H90" s="23">
        <v>340000</v>
      </c>
    </row>
    <row r="91" spans="1:9">
      <c r="A91" s="36">
        <v>67</v>
      </c>
      <c r="B91" s="20" t="s">
        <v>897</v>
      </c>
      <c r="C91" s="18" t="s">
        <v>957</v>
      </c>
      <c r="D91" s="18" t="s">
        <v>918</v>
      </c>
      <c r="E91" s="23">
        <v>1200000</v>
      </c>
      <c r="F91" s="23">
        <v>700000</v>
      </c>
      <c r="G91" s="23">
        <v>600000</v>
      </c>
      <c r="H91" s="23">
        <v>480000</v>
      </c>
    </row>
    <row r="92" spans="1:9">
      <c r="A92" s="36">
        <v>68</v>
      </c>
      <c r="B92" s="49" t="s">
        <v>957</v>
      </c>
      <c r="C92" s="41" t="s">
        <v>1035</v>
      </c>
      <c r="D92" s="144" t="s">
        <v>1046</v>
      </c>
      <c r="E92" s="23">
        <v>850000</v>
      </c>
      <c r="F92" s="23">
        <v>500000</v>
      </c>
      <c r="G92" s="23">
        <v>425000</v>
      </c>
      <c r="H92" s="23">
        <v>340000</v>
      </c>
      <c r="I92" s="3" t="s">
        <v>890</v>
      </c>
    </row>
    <row r="93" spans="1:9">
      <c r="A93" s="36"/>
      <c r="B93" s="20" t="s">
        <v>957</v>
      </c>
      <c r="C93" s="144" t="s">
        <v>1046</v>
      </c>
      <c r="D93" s="18" t="s">
        <v>896</v>
      </c>
      <c r="E93" s="23">
        <v>750000</v>
      </c>
      <c r="F93" s="23">
        <v>450000</v>
      </c>
      <c r="G93" s="23">
        <v>375000</v>
      </c>
      <c r="H93" s="23">
        <v>300000</v>
      </c>
      <c r="I93" s="3" t="s">
        <v>890</v>
      </c>
    </row>
    <row r="94" spans="1:9">
      <c r="A94" s="36">
        <v>69</v>
      </c>
      <c r="B94" s="20" t="s">
        <v>1047</v>
      </c>
      <c r="C94" s="18" t="s">
        <v>1048</v>
      </c>
      <c r="D94" s="18" t="s">
        <v>1049</v>
      </c>
      <c r="E94" s="23">
        <v>80000</v>
      </c>
      <c r="F94" s="23">
        <v>50000</v>
      </c>
      <c r="G94" s="23">
        <v>40000</v>
      </c>
      <c r="H94" s="23">
        <v>30000</v>
      </c>
    </row>
    <row r="95" ht="27.6" spans="1:9">
      <c r="A95" s="36">
        <v>70</v>
      </c>
      <c r="B95" s="20" t="s">
        <v>1050</v>
      </c>
      <c r="C95" s="18" t="s">
        <v>916</v>
      </c>
      <c r="D95" s="18" t="s">
        <v>1051</v>
      </c>
      <c r="E95" s="23">
        <v>550000</v>
      </c>
      <c r="F95" s="23">
        <v>330000</v>
      </c>
      <c r="G95" s="23">
        <v>275000</v>
      </c>
      <c r="H95" s="23">
        <v>220000</v>
      </c>
    </row>
    <row r="96" spans="1:9">
      <c r="A96" s="36">
        <v>71</v>
      </c>
      <c r="B96" s="20" t="s">
        <v>1052</v>
      </c>
      <c r="C96" s="18" t="s">
        <v>1053</v>
      </c>
      <c r="D96" s="18" t="s">
        <v>1054</v>
      </c>
      <c r="E96" s="23">
        <v>80000</v>
      </c>
      <c r="F96" s="23">
        <v>50000</v>
      </c>
      <c r="G96" s="23">
        <v>40000</v>
      </c>
      <c r="H96" s="23">
        <v>30000</v>
      </c>
    </row>
    <row r="97" ht="27.6" spans="1:9">
      <c r="A97" s="36">
        <v>72</v>
      </c>
      <c r="B97" s="20" t="s">
        <v>1055</v>
      </c>
      <c r="C97" s="18" t="s">
        <v>1056</v>
      </c>
      <c r="D97" s="18" t="s">
        <v>1057</v>
      </c>
      <c r="E97" s="23">
        <v>250000</v>
      </c>
      <c r="F97" s="23">
        <v>150000</v>
      </c>
      <c r="G97" s="23">
        <v>125000</v>
      </c>
      <c r="H97" s="23">
        <v>100000</v>
      </c>
    </row>
    <row r="98" spans="1:9">
      <c r="A98" s="36">
        <v>73</v>
      </c>
      <c r="B98" s="20" t="s">
        <v>1058</v>
      </c>
      <c r="C98" s="18" t="s">
        <v>885</v>
      </c>
      <c r="D98" s="18" t="s">
        <v>1059</v>
      </c>
      <c r="E98" s="23">
        <v>250000</v>
      </c>
      <c r="F98" s="23">
        <v>150000</v>
      </c>
      <c r="G98" s="23">
        <v>125000</v>
      </c>
      <c r="H98" s="23">
        <v>100000</v>
      </c>
    </row>
    <row r="99" spans="1:9">
      <c r="A99" s="36">
        <v>74</v>
      </c>
      <c r="B99" s="20" t="s">
        <v>1060</v>
      </c>
      <c r="C99" s="18" t="s">
        <v>1061</v>
      </c>
      <c r="D99" s="18" t="s">
        <v>1062</v>
      </c>
      <c r="E99" s="23">
        <v>100000</v>
      </c>
      <c r="F99" s="23">
        <v>60000</v>
      </c>
      <c r="G99" s="23">
        <v>50000</v>
      </c>
      <c r="H99" s="23">
        <v>40000</v>
      </c>
    </row>
    <row r="100" spans="1:9">
      <c r="A100" s="36">
        <v>75</v>
      </c>
      <c r="B100" s="20" t="s">
        <v>1063</v>
      </c>
      <c r="C100" s="18" t="s">
        <v>1064</v>
      </c>
      <c r="D100" s="18" t="s">
        <v>1065</v>
      </c>
      <c r="E100" s="23">
        <v>135000</v>
      </c>
      <c r="F100" s="23">
        <v>80000</v>
      </c>
      <c r="G100" s="23">
        <v>65000</v>
      </c>
      <c r="H100" s="23">
        <v>55000</v>
      </c>
    </row>
    <row r="101" ht="27.6" spans="1:9">
      <c r="A101" s="36">
        <v>76</v>
      </c>
      <c r="B101" s="20" t="s">
        <v>1066</v>
      </c>
      <c r="C101" s="18" t="s">
        <v>1067</v>
      </c>
      <c r="D101" s="18" t="s">
        <v>980</v>
      </c>
      <c r="E101" s="23">
        <v>250000</v>
      </c>
      <c r="F101" s="23">
        <v>150000</v>
      </c>
      <c r="G101" s="23">
        <v>125000</v>
      </c>
      <c r="H101" s="23">
        <v>100000</v>
      </c>
    </row>
    <row r="102" s="30" customFormat="1" ht="14.4" spans="1:9">
      <c r="A102" s="39" t="s">
        <v>136</v>
      </c>
      <c r="B102" s="20"/>
      <c r="C102" s="18"/>
      <c r="D102" s="18"/>
      <c r="E102" s="23"/>
      <c r="F102" s="23"/>
      <c r="G102" s="23"/>
      <c r="H102" s="23"/>
      <c r="I102" s="3"/>
    </row>
    <row r="103" spans="1:9">
      <c r="A103" s="36">
        <v>77</v>
      </c>
      <c r="B103" s="17" t="s">
        <v>137</v>
      </c>
      <c r="C103" s="18"/>
      <c r="D103" s="18"/>
      <c r="E103" s="23">
        <v>80000</v>
      </c>
      <c r="F103" s="23">
        <v>50000</v>
      </c>
      <c r="G103" s="23">
        <v>40000</v>
      </c>
      <c r="H103" s="23">
        <v>30000</v>
      </c>
      <c r="I103" s="3" t="s">
        <v>1068</v>
      </c>
    </row>
    <row r="104" spans="1:9">
      <c r="A104" s="15" t="s">
        <v>1069</v>
      </c>
      <c r="B104" s="15"/>
      <c r="C104" s="15"/>
      <c r="D104" s="15"/>
      <c r="E104" s="23" t="s">
        <v>16</v>
      </c>
      <c r="F104" s="23" t="s">
        <v>16</v>
      </c>
      <c r="G104" s="23" t="s">
        <v>16</v>
      </c>
      <c r="H104" s="23" t="s">
        <v>16</v>
      </c>
    </row>
    <row r="105" ht="55.2" spans="1:9">
      <c r="A105" s="16">
        <v>78</v>
      </c>
      <c r="B105" s="20" t="s">
        <v>1070</v>
      </c>
      <c r="C105" s="18"/>
      <c r="D105" s="18"/>
      <c r="E105" s="23">
        <v>125000</v>
      </c>
      <c r="F105" s="23">
        <v>105000</v>
      </c>
      <c r="G105" s="23">
        <v>0</v>
      </c>
      <c r="H105" s="23">
        <v>0</v>
      </c>
      <c r="I105" s="3" t="s">
        <v>890</v>
      </c>
    </row>
    <row r="106" ht="55.2" spans="1:9">
      <c r="A106" s="16">
        <v>79</v>
      </c>
      <c r="B106" s="20" t="s">
        <v>1071</v>
      </c>
      <c r="C106" s="18"/>
      <c r="D106" s="18"/>
      <c r="E106" s="23">
        <v>100000</v>
      </c>
      <c r="F106" s="23">
        <v>90000</v>
      </c>
      <c r="G106" s="23">
        <v>0</v>
      </c>
      <c r="H106" s="23">
        <v>0</v>
      </c>
    </row>
    <row r="107" ht="55.2" spans="1:9">
      <c r="A107" s="16">
        <v>80</v>
      </c>
      <c r="B107" s="20" t="s">
        <v>1072</v>
      </c>
      <c r="C107" s="18"/>
      <c r="D107" s="18"/>
      <c r="E107" s="23">
        <v>85000</v>
      </c>
      <c r="F107" s="23">
        <v>0</v>
      </c>
      <c r="G107" s="23">
        <v>0</v>
      </c>
      <c r="H107" s="23">
        <v>0</v>
      </c>
    </row>
    <row r="108" spans="1:9">
      <c r="A108" s="27"/>
      <c r="C108" s="28"/>
      <c r="D108" s="28"/>
      <c r="E108" s="23" t="s">
        <v>16</v>
      </c>
      <c r="F108" s="23" t="s">
        <v>16</v>
      </c>
      <c r="G108" s="23" t="s">
        <v>16</v>
      </c>
      <c r="H108" s="23" t="s">
        <v>16</v>
      </c>
    </row>
    <row r="109" spans="1:9">
      <c r="A109" s="27"/>
      <c r="C109" s="28"/>
      <c r="D109" s="28"/>
      <c r="E109" s="23" t="s">
        <v>16</v>
      </c>
      <c r="F109" s="23" t="s">
        <v>16</v>
      </c>
      <c r="G109" s="23" t="s">
        <v>16</v>
      </c>
      <c r="H109" s="23" t="s">
        <v>16</v>
      </c>
    </row>
    <row r="110" spans="1:9">
      <c r="A110" s="27"/>
      <c r="C110" s="28"/>
      <c r="D110" s="28"/>
      <c r="E110" s="23" t="s">
        <v>16</v>
      </c>
      <c r="F110" s="23" t="s">
        <v>16</v>
      </c>
      <c r="G110" s="23" t="s">
        <v>16</v>
      </c>
      <c r="H110" s="23" t="s">
        <v>16</v>
      </c>
    </row>
    <row r="111" spans="1:9">
      <c r="A111" s="27"/>
      <c r="C111" s="28"/>
      <c r="D111" s="28"/>
      <c r="E111" s="23" t="s">
        <v>16</v>
      </c>
      <c r="F111" s="23" t="s">
        <v>16</v>
      </c>
      <c r="G111" s="23" t="s">
        <v>16</v>
      </c>
      <c r="H111" s="23" t="s">
        <v>16</v>
      </c>
    </row>
    <row r="112" spans="1:9">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t="s">
        <v>16</v>
      </c>
      <c r="F201" s="23" t="s">
        <v>16</v>
      </c>
      <c r="G201" s="23" t="s">
        <v>16</v>
      </c>
      <c r="H201" s="23" t="s">
        <v>16</v>
      </c>
    </row>
    <row r="202" spans="1:8">
      <c r="A202" s="27"/>
      <c r="C202" s="28"/>
      <c r="D202" s="28"/>
      <c r="E202" s="23" t="s">
        <v>16</v>
      </c>
      <c r="F202" s="23" t="s">
        <v>16</v>
      </c>
      <c r="G202" s="23" t="s">
        <v>16</v>
      </c>
      <c r="H202" s="23" t="s">
        <v>16</v>
      </c>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row r="860" spans="1:8">
      <c r="A860" s="27"/>
      <c r="C860" s="28"/>
      <c r="D860" s="28"/>
      <c r="E860" s="50"/>
      <c r="F860" s="50"/>
      <c r="G860" s="50"/>
      <c r="H860" s="50"/>
    </row>
    <row r="861" spans="1:8">
      <c r="A861" s="27"/>
      <c r="C861" s="28"/>
      <c r="D861" s="28"/>
      <c r="E861" s="50"/>
      <c r="F861" s="50"/>
      <c r="G861" s="50"/>
      <c r="H861" s="50"/>
    </row>
    <row r="862" spans="1:8">
      <c r="A862" s="27"/>
      <c r="C862" s="28"/>
      <c r="D862" s="28"/>
      <c r="E862" s="50"/>
      <c r="F862" s="50"/>
      <c r="G862" s="50"/>
      <c r="H862" s="50"/>
    </row>
    <row r="863" spans="1:8">
      <c r="A863" s="27"/>
      <c r="C863" s="28"/>
      <c r="D863" s="28"/>
      <c r="E863" s="50"/>
      <c r="F863" s="50"/>
      <c r="G863" s="50"/>
      <c r="H863" s="50"/>
    </row>
    <row r="864" spans="1:8">
      <c r="A864" s="27"/>
      <c r="C864" s="28"/>
      <c r="D864" s="28"/>
      <c r="E864" s="50"/>
      <c r="F864" s="50"/>
      <c r="G864" s="50"/>
      <c r="H864" s="50"/>
    </row>
    <row r="865" spans="1:8">
      <c r="A865" s="27"/>
      <c r="C865" s="28"/>
      <c r="D865" s="28"/>
      <c r="E865" s="50"/>
      <c r="F865" s="50"/>
      <c r="G865" s="50"/>
      <c r="H865" s="50"/>
    </row>
    <row r="866" spans="1:8">
      <c r="A866" s="27"/>
      <c r="C866" s="28"/>
      <c r="D866" s="28"/>
      <c r="E866" s="50"/>
      <c r="F866" s="50"/>
      <c r="G866" s="50"/>
      <c r="H866" s="50"/>
    </row>
    <row r="867" spans="1:8">
      <c r="A867" s="27"/>
      <c r="C867" s="28"/>
      <c r="D867" s="28"/>
      <c r="E867" s="50"/>
      <c r="F867" s="50"/>
      <c r="G867" s="50"/>
      <c r="H867" s="50"/>
    </row>
    <row r="868" spans="1:8">
      <c r="A868" s="27"/>
      <c r="C868" s="28"/>
      <c r="D868" s="28"/>
      <c r="E868" s="50"/>
      <c r="F868" s="50"/>
      <c r="G868" s="50"/>
      <c r="H868" s="50"/>
    </row>
    <row r="869" spans="1:8">
      <c r="A869" s="27"/>
      <c r="C869" s="28"/>
      <c r="D869" s="28"/>
      <c r="E869" s="50"/>
      <c r="F869" s="50"/>
      <c r="G869" s="50"/>
      <c r="H869" s="50"/>
    </row>
    <row r="870" spans="1:8">
      <c r="A870" s="27"/>
      <c r="C870" s="28"/>
      <c r="D870" s="28"/>
      <c r="E870" s="50"/>
      <c r="F870" s="50"/>
      <c r="G870" s="50"/>
      <c r="H870" s="50"/>
    </row>
    <row r="871" spans="1:8">
      <c r="A871" s="27"/>
      <c r="C871" s="28"/>
      <c r="D871" s="28"/>
      <c r="E871" s="50"/>
      <c r="F871" s="50"/>
      <c r="G871" s="50"/>
      <c r="H871" s="50"/>
    </row>
    <row r="872" spans="1:8">
      <c r="A872" s="27"/>
      <c r="C872" s="28"/>
      <c r="D872" s="28"/>
      <c r="E872" s="50"/>
      <c r="F872" s="50"/>
      <c r="G872" s="50"/>
      <c r="H872" s="50"/>
    </row>
    <row r="873" spans="1:8">
      <c r="A873" s="27"/>
      <c r="C873" s="28"/>
      <c r="D873" s="28"/>
      <c r="E873" s="50"/>
      <c r="F873" s="50"/>
      <c r="G873" s="50"/>
      <c r="H873" s="50"/>
    </row>
    <row r="874" spans="1:8">
      <c r="A874" s="27"/>
      <c r="C874" s="28"/>
      <c r="D874" s="28"/>
      <c r="E874" s="50"/>
      <c r="F874" s="50"/>
      <c r="G874" s="50"/>
      <c r="H874" s="50"/>
    </row>
    <row r="875" spans="1:8">
      <c r="A875" s="27"/>
      <c r="C875" s="28"/>
      <c r="D875" s="28"/>
      <c r="E875" s="50"/>
      <c r="F875" s="50"/>
      <c r="G875" s="50"/>
      <c r="H875" s="50"/>
    </row>
    <row r="876" spans="1:8">
      <c r="A876" s="27"/>
      <c r="C876" s="28"/>
      <c r="D876" s="28"/>
      <c r="E876" s="50"/>
      <c r="F876" s="50"/>
      <c r="G876" s="50"/>
      <c r="H876" s="50"/>
    </row>
    <row r="877" spans="1:8">
      <c r="A877" s="27"/>
      <c r="C877" s="28"/>
      <c r="D877" s="28"/>
      <c r="E877" s="50"/>
      <c r="F877" s="50"/>
      <c r="G877" s="50"/>
      <c r="H877" s="50"/>
    </row>
    <row r="878" spans="1:8">
      <c r="A878" s="27"/>
      <c r="C878" s="28"/>
      <c r="D878" s="28"/>
      <c r="E878" s="50"/>
      <c r="F878" s="50"/>
      <c r="G878" s="50"/>
      <c r="H878" s="50"/>
    </row>
    <row r="879" spans="1:8">
      <c r="A879" s="27"/>
      <c r="C879" s="28"/>
      <c r="D879" s="28"/>
      <c r="E879" s="50"/>
      <c r="F879" s="50"/>
      <c r="G879" s="50"/>
      <c r="H879" s="50"/>
    </row>
    <row r="880" spans="1:8">
      <c r="A880" s="27"/>
      <c r="C880" s="28"/>
      <c r="D880" s="28"/>
      <c r="E880" s="50"/>
      <c r="F880" s="50"/>
      <c r="G880" s="50"/>
      <c r="H880" s="50"/>
    </row>
    <row r="881" spans="1:8">
      <c r="A881" s="27"/>
      <c r="C881" s="28"/>
      <c r="D881" s="28"/>
      <c r="E881" s="50"/>
      <c r="F881" s="50"/>
      <c r="G881" s="50"/>
      <c r="H881" s="50"/>
    </row>
    <row r="882" spans="1:8">
      <c r="A882" s="27"/>
      <c r="C882" s="28"/>
      <c r="D882" s="28"/>
      <c r="E882" s="50"/>
      <c r="F882" s="50"/>
      <c r="G882" s="50"/>
      <c r="H882" s="50"/>
    </row>
    <row r="883" spans="1:8">
      <c r="A883" s="27"/>
      <c r="C883" s="28"/>
      <c r="D883" s="28"/>
      <c r="E883" s="50"/>
      <c r="F883" s="50"/>
      <c r="G883" s="50"/>
      <c r="H883" s="50"/>
    </row>
    <row r="884" spans="1:8">
      <c r="A884" s="27"/>
      <c r="C884" s="28"/>
      <c r="D884" s="28"/>
      <c r="E884" s="50"/>
      <c r="F884" s="50"/>
      <c r="G884" s="50"/>
      <c r="H884" s="50"/>
    </row>
    <row r="885" spans="1:8">
      <c r="A885" s="27"/>
      <c r="C885" s="28"/>
      <c r="D885" s="28"/>
      <c r="E885" s="50"/>
      <c r="F885" s="50"/>
      <c r="G885" s="50"/>
      <c r="H885" s="50"/>
    </row>
    <row r="886" spans="1:8">
      <c r="A886" s="27"/>
      <c r="C886" s="28"/>
      <c r="D886" s="28"/>
      <c r="E886" s="50"/>
      <c r="F886" s="50"/>
      <c r="G886" s="50"/>
      <c r="H886" s="50"/>
    </row>
    <row r="887" spans="1:8">
      <c r="A887" s="27"/>
      <c r="C887" s="28"/>
      <c r="D887" s="28"/>
      <c r="E887" s="50"/>
      <c r="F887" s="50"/>
      <c r="G887" s="50"/>
      <c r="H887" s="50"/>
    </row>
    <row r="888" spans="1:8">
      <c r="A888" s="27"/>
      <c r="C888" s="28"/>
      <c r="D888" s="28"/>
      <c r="E888" s="50"/>
      <c r="F888" s="50"/>
      <c r="G888" s="50"/>
      <c r="H888" s="50"/>
    </row>
    <row r="889" spans="1:8">
      <c r="A889" s="27"/>
      <c r="C889" s="28"/>
      <c r="D889" s="28"/>
      <c r="E889" s="50"/>
      <c r="F889" s="50"/>
      <c r="G889" s="50"/>
      <c r="H889" s="50"/>
    </row>
    <row r="890" spans="1:8">
      <c r="A890" s="27"/>
      <c r="C890" s="28"/>
      <c r="D890" s="28"/>
      <c r="E890" s="50"/>
      <c r="F890" s="50"/>
      <c r="G890" s="50"/>
      <c r="H890" s="50"/>
    </row>
    <row r="891" spans="1:8">
      <c r="A891" s="27"/>
      <c r="C891" s="28"/>
      <c r="D891" s="28"/>
      <c r="E891" s="50"/>
      <c r="F891" s="50"/>
      <c r="G891" s="50"/>
      <c r="H891" s="50"/>
    </row>
    <row r="892" spans="1:8">
      <c r="A892" s="27"/>
      <c r="C892" s="28"/>
      <c r="D892" s="28"/>
      <c r="E892" s="50"/>
      <c r="F892" s="50"/>
      <c r="G892" s="50"/>
      <c r="H892" s="50"/>
    </row>
    <row r="893" spans="1:8">
      <c r="A893" s="27"/>
      <c r="C893" s="28"/>
      <c r="D893" s="28"/>
      <c r="E893" s="50"/>
      <c r="F893" s="50"/>
      <c r="G893" s="50"/>
      <c r="H893" s="50"/>
    </row>
    <row r="894" spans="1:8">
      <c r="A894" s="27"/>
      <c r="C894" s="28"/>
      <c r="D894" s="28"/>
      <c r="E894" s="50"/>
      <c r="F894" s="50"/>
      <c r="G894" s="50"/>
      <c r="H894" s="50"/>
    </row>
    <row r="895" spans="1:8">
      <c r="A895" s="27"/>
      <c r="C895" s="28"/>
      <c r="D895" s="28"/>
      <c r="E895" s="50"/>
      <c r="F895" s="50"/>
      <c r="G895" s="50"/>
      <c r="H895" s="50"/>
    </row>
    <row r="896" spans="1:8">
      <c r="A896" s="27"/>
      <c r="C896" s="28"/>
      <c r="D896" s="28"/>
      <c r="E896" s="50"/>
      <c r="F896" s="50"/>
      <c r="G896" s="50"/>
      <c r="H896" s="50"/>
    </row>
    <row r="897" spans="1:8">
      <c r="A897" s="27"/>
      <c r="C897" s="28"/>
      <c r="D897" s="28"/>
      <c r="E897" s="50"/>
      <c r="F897" s="50"/>
      <c r="G897" s="50"/>
      <c r="H897" s="50"/>
    </row>
    <row r="898" spans="1:8">
      <c r="A898" s="27"/>
      <c r="C898" s="28"/>
      <c r="D898" s="28"/>
      <c r="E898" s="50"/>
      <c r="F898" s="50"/>
      <c r="G898" s="50"/>
      <c r="H898" s="50"/>
    </row>
    <row r="899" spans="1:8">
      <c r="A899" s="27"/>
      <c r="C899" s="28"/>
      <c r="D899" s="28"/>
      <c r="E899" s="50"/>
      <c r="F899" s="50"/>
      <c r="G899" s="50"/>
      <c r="H899" s="50"/>
    </row>
    <row r="900" spans="1:8">
      <c r="A900" s="27"/>
      <c r="C900" s="28"/>
      <c r="D900" s="28"/>
      <c r="E900" s="50"/>
      <c r="F900" s="50"/>
      <c r="G900" s="50"/>
      <c r="H900" s="50"/>
    </row>
    <row r="901" spans="1:8">
      <c r="A901" s="27"/>
      <c r="C901" s="28"/>
      <c r="D901" s="28"/>
      <c r="E901" s="50"/>
      <c r="F901" s="50"/>
      <c r="G901" s="50"/>
      <c r="H901" s="50"/>
    </row>
    <row r="902" spans="1:8">
      <c r="A902" s="27"/>
      <c r="C902" s="28"/>
      <c r="D902" s="28"/>
      <c r="E902" s="50"/>
      <c r="F902" s="50"/>
      <c r="G902" s="50"/>
      <c r="H902" s="50"/>
    </row>
    <row r="903" spans="1:8">
      <c r="A903" s="27"/>
      <c r="C903" s="28"/>
      <c r="D903" s="28"/>
      <c r="E903" s="50"/>
      <c r="F903" s="50"/>
      <c r="G903" s="50"/>
      <c r="H903" s="50"/>
    </row>
    <row r="904" spans="1:8">
      <c r="A904" s="27"/>
      <c r="C904" s="28"/>
      <c r="D904" s="28"/>
      <c r="E904" s="50"/>
      <c r="F904" s="50"/>
      <c r="G904" s="50"/>
      <c r="H904" s="50"/>
    </row>
    <row r="905" spans="1:8">
      <c r="A905" s="27"/>
      <c r="C905" s="28"/>
      <c r="D905" s="28"/>
      <c r="E905" s="50"/>
      <c r="F905" s="50"/>
      <c r="G905" s="50"/>
      <c r="H905" s="50"/>
    </row>
    <row r="906" spans="1:8">
      <c r="A906" s="27"/>
      <c r="C906" s="28"/>
      <c r="D906" s="28"/>
      <c r="E906" s="50"/>
      <c r="F906" s="50"/>
      <c r="G906" s="50"/>
      <c r="H906" s="50"/>
    </row>
    <row r="907" spans="1:8">
      <c r="A907" s="27"/>
      <c r="C907" s="28"/>
      <c r="D907" s="28"/>
      <c r="E907" s="50"/>
      <c r="F907" s="50"/>
      <c r="G907" s="50"/>
      <c r="H907" s="50"/>
    </row>
    <row r="908" spans="1:8">
      <c r="A908" s="27"/>
      <c r="C908" s="28"/>
      <c r="D908" s="28"/>
      <c r="E908" s="50"/>
      <c r="F908" s="50"/>
      <c r="G908" s="50"/>
      <c r="H908" s="50"/>
    </row>
    <row r="909" spans="1:8">
      <c r="A909" s="27"/>
      <c r="C909" s="28"/>
      <c r="D909" s="28"/>
      <c r="E909" s="50"/>
      <c r="F909" s="50"/>
      <c r="G909" s="50"/>
      <c r="H909" s="50"/>
    </row>
    <row r="910" spans="1:8">
      <c r="A910" s="27"/>
      <c r="C910" s="28"/>
      <c r="D910" s="28"/>
      <c r="E910" s="50"/>
      <c r="F910" s="50"/>
      <c r="G910" s="50"/>
      <c r="H910" s="50"/>
    </row>
    <row r="911" spans="1:8">
      <c r="A911" s="27"/>
      <c r="C911" s="28"/>
      <c r="D911" s="28"/>
      <c r="E911" s="50"/>
      <c r="F911" s="50"/>
      <c r="G911" s="50"/>
      <c r="H911" s="50"/>
    </row>
    <row r="912" spans="1:8">
      <c r="A912" s="27"/>
      <c r="C912" s="28"/>
      <c r="D912" s="28"/>
      <c r="E912" s="50"/>
      <c r="F912" s="50"/>
      <c r="G912" s="50"/>
      <c r="H912" s="50"/>
    </row>
    <row r="913" spans="1:8">
      <c r="A913" s="27"/>
      <c r="C913" s="28"/>
      <c r="D913" s="28"/>
      <c r="E913" s="50"/>
      <c r="F913" s="50"/>
      <c r="G913" s="50"/>
      <c r="H913" s="50"/>
    </row>
    <row r="914" spans="1:8">
      <c r="A914" s="27"/>
      <c r="C914" s="28"/>
      <c r="D914" s="28"/>
      <c r="E914" s="50"/>
      <c r="F914" s="50"/>
      <c r="G914" s="50"/>
      <c r="H914" s="50"/>
    </row>
    <row r="915" spans="1:8">
      <c r="A915" s="27"/>
      <c r="C915" s="28"/>
      <c r="D915" s="28"/>
      <c r="E915" s="50"/>
      <c r="F915" s="50"/>
      <c r="G915" s="50"/>
      <c r="H915" s="50"/>
    </row>
    <row r="916" spans="1:8">
      <c r="A916" s="27"/>
      <c r="C916" s="28"/>
      <c r="D916" s="28"/>
      <c r="E916" s="50"/>
      <c r="F916" s="50"/>
      <c r="G916" s="50"/>
      <c r="H916" s="50"/>
    </row>
    <row r="917" spans="1:8">
      <c r="A917" s="27"/>
      <c r="C917" s="28"/>
      <c r="D917" s="28"/>
      <c r="E917" s="50"/>
      <c r="F917" s="50"/>
      <c r="G917" s="50"/>
      <c r="H917" s="50"/>
    </row>
    <row r="918" spans="1:8">
      <c r="A918" s="27"/>
      <c r="C918" s="28"/>
      <c r="D918" s="28"/>
      <c r="E918" s="50"/>
      <c r="F918" s="50"/>
      <c r="G918" s="50"/>
      <c r="H918" s="50"/>
    </row>
    <row r="919" spans="1:8">
      <c r="A919" s="27"/>
      <c r="C919" s="28"/>
      <c r="D919" s="28"/>
      <c r="E919" s="50"/>
      <c r="F919" s="50"/>
      <c r="G919" s="50"/>
      <c r="H919" s="50"/>
    </row>
    <row r="920" spans="1:8">
      <c r="A920" s="27"/>
      <c r="C920" s="28"/>
      <c r="D920" s="28"/>
      <c r="E920" s="50"/>
      <c r="F920" s="50"/>
      <c r="G920" s="50"/>
      <c r="H920" s="50"/>
    </row>
    <row r="921" spans="1:8">
      <c r="A921" s="27"/>
      <c r="C921" s="28"/>
      <c r="D921" s="28"/>
      <c r="E921" s="50"/>
      <c r="F921" s="50"/>
      <c r="G921" s="50"/>
      <c r="H921" s="50"/>
    </row>
    <row r="922" spans="1:8">
      <c r="A922" s="27"/>
      <c r="C922" s="28"/>
      <c r="D922" s="28"/>
      <c r="E922" s="50"/>
      <c r="F922" s="50"/>
      <c r="G922" s="50"/>
      <c r="H922" s="50"/>
    </row>
  </sheetData>
  <autoFilter xmlns:etc="http://www.wps.cn/officeDocument/2017/etCustomData" ref="A4:I202" etc:filterBottomFollowUsedRange="0">
    <extLst/>
  </autoFilter>
  <mergeCells count="6">
    <mergeCell ref="A2:H2"/>
    <mergeCell ref="C3:D3"/>
    <mergeCell ref="E3:H3"/>
    <mergeCell ref="A104:B104"/>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00B0F0"/>
    <pageSetUpPr fitToPage="1"/>
  </sheetPr>
  <dimension ref="A1:H921"/>
  <sheetViews>
    <sheetView showGridLines="0" view="pageBreakPreview" zoomScale="90" zoomScaleNormal="100" topLeftCell="A26" workbookViewId="0">
      <selection activeCell="E27" sqref="E27"/>
    </sheetView>
  </sheetViews>
  <sheetFormatPr defaultColWidth="9.25" defaultRowHeight="13.8" outlineLevelCol="7"/>
  <cols>
    <col min="1" max="1" width="7.62962962962963" style="31" customWidth="1"/>
    <col min="2" max="2" width="39.5" style="27" customWidth="1"/>
    <col min="3" max="4" width="30.75" style="32" customWidth="1"/>
    <col min="5" max="8" width="13.8796296296296" style="33" customWidth="1"/>
    <col min="9" max="16384" width="9.25" style="31"/>
  </cols>
  <sheetData>
    <row r="1" spans="1:8">
      <c r="A1" s="6" t="s">
        <v>1073</v>
      </c>
      <c r="B1" s="6"/>
      <c r="C1" s="7"/>
      <c r="D1" s="7"/>
      <c r="E1" s="6"/>
      <c r="F1" s="6"/>
      <c r="G1" s="6"/>
      <c r="H1" s="6"/>
    </row>
    <row r="2" spans="1:8">
      <c r="A2" s="8" t="s">
        <v>4</v>
      </c>
      <c r="B2" s="8"/>
      <c r="C2" s="8"/>
      <c r="D2" s="8"/>
      <c r="E2" s="34"/>
      <c r="F2" s="34"/>
      <c r="G2" s="34"/>
      <c r="H2" s="34"/>
    </row>
    <row r="3" spans="1:8">
      <c r="A3" s="9" t="s">
        <v>5</v>
      </c>
      <c r="B3" s="9" t="s">
        <v>6</v>
      </c>
      <c r="C3" s="9" t="s">
        <v>7</v>
      </c>
      <c r="D3" s="9"/>
      <c r="E3" s="35" t="s">
        <v>8</v>
      </c>
      <c r="F3" s="35"/>
      <c r="G3" s="35"/>
      <c r="H3" s="35"/>
    </row>
    <row r="4" spans="1:8">
      <c r="A4" s="11"/>
      <c r="B4" s="11"/>
      <c r="C4" s="9" t="s">
        <v>9</v>
      </c>
      <c r="D4" s="9" t="s">
        <v>10</v>
      </c>
      <c r="E4" s="35" t="s">
        <v>11</v>
      </c>
      <c r="F4" s="35" t="s">
        <v>12</v>
      </c>
      <c r="G4" s="35" t="s">
        <v>13</v>
      </c>
      <c r="H4" s="35" t="s">
        <v>14</v>
      </c>
    </row>
    <row r="5" spans="1:8">
      <c r="A5" s="13" t="s">
        <v>15</v>
      </c>
      <c r="B5" s="13"/>
      <c r="C5" s="39"/>
      <c r="D5" s="15"/>
      <c r="E5" s="35" t="s">
        <v>16</v>
      </c>
      <c r="F5" s="35" t="s">
        <v>16</v>
      </c>
      <c r="G5" s="35" t="s">
        <v>16</v>
      </c>
      <c r="H5" s="35" t="s">
        <v>16</v>
      </c>
    </row>
    <row r="6" ht="27.6" spans="1:8">
      <c r="A6" s="36">
        <v>1</v>
      </c>
      <c r="B6" s="18" t="s">
        <v>1074</v>
      </c>
      <c r="C6" s="18" t="s">
        <v>1075</v>
      </c>
      <c r="D6" s="18" t="s">
        <v>1076</v>
      </c>
      <c r="E6" s="52">
        <v>1000000</v>
      </c>
      <c r="F6" s="38">
        <v>600000</v>
      </c>
      <c r="G6" s="38">
        <v>500000</v>
      </c>
      <c r="H6" s="38">
        <v>400000</v>
      </c>
    </row>
    <row r="7" ht="27.6" spans="1:8">
      <c r="A7" s="36"/>
      <c r="B7" s="18" t="s">
        <v>1074</v>
      </c>
      <c r="C7" s="18" t="s">
        <v>1076</v>
      </c>
      <c r="D7" s="18" t="s">
        <v>1077</v>
      </c>
      <c r="E7" s="52">
        <v>900000</v>
      </c>
      <c r="F7" s="38">
        <v>550000</v>
      </c>
      <c r="G7" s="38">
        <v>450000</v>
      </c>
      <c r="H7" s="38">
        <v>360000</v>
      </c>
    </row>
    <row r="8" spans="1:8">
      <c r="A8" s="36">
        <v>2</v>
      </c>
      <c r="B8" s="18" t="s">
        <v>1078</v>
      </c>
      <c r="C8" s="18" t="s">
        <v>1079</v>
      </c>
      <c r="D8" s="18" t="s">
        <v>1080</v>
      </c>
      <c r="E8" s="52">
        <v>1250000</v>
      </c>
      <c r="F8" s="38">
        <v>750000</v>
      </c>
      <c r="G8" s="38">
        <v>600000</v>
      </c>
      <c r="H8" s="38">
        <v>500000</v>
      </c>
    </row>
    <row r="9" spans="1:8">
      <c r="A9" s="36"/>
      <c r="B9" s="18" t="s">
        <v>1078</v>
      </c>
      <c r="C9" s="18" t="s">
        <v>1080</v>
      </c>
      <c r="D9" s="18" t="s">
        <v>1081</v>
      </c>
      <c r="E9" s="23">
        <v>900000</v>
      </c>
      <c r="F9" s="23">
        <v>550000</v>
      </c>
      <c r="G9" s="23">
        <v>450000</v>
      </c>
      <c r="H9" s="23">
        <v>360000</v>
      </c>
    </row>
    <row r="10" ht="27.6" spans="1:8">
      <c r="A10" s="36">
        <v>3</v>
      </c>
      <c r="B10" s="18" t="s">
        <v>1082</v>
      </c>
      <c r="C10" s="18" t="s">
        <v>1083</v>
      </c>
      <c r="D10" s="18" t="s">
        <v>1084</v>
      </c>
      <c r="E10" s="23">
        <v>1500000</v>
      </c>
      <c r="F10" s="23">
        <v>900000</v>
      </c>
      <c r="G10" s="23">
        <v>750000</v>
      </c>
      <c r="H10" s="23">
        <v>600000</v>
      </c>
    </row>
    <row r="11" ht="27.6" spans="1:8">
      <c r="A11" s="36">
        <v>4</v>
      </c>
      <c r="B11" s="18" t="s">
        <v>1085</v>
      </c>
      <c r="C11" s="18" t="s">
        <v>1086</v>
      </c>
      <c r="D11" s="18" t="s">
        <v>1087</v>
      </c>
      <c r="E11" s="23">
        <v>900000</v>
      </c>
      <c r="F11" s="23">
        <v>550000</v>
      </c>
      <c r="G11" s="23">
        <v>450000</v>
      </c>
      <c r="H11" s="23">
        <v>360000</v>
      </c>
    </row>
    <row r="12" ht="17.25" customHeight="1" spans="1:8">
      <c r="A12" s="36"/>
      <c r="B12" s="18" t="s">
        <v>1085</v>
      </c>
      <c r="C12" s="18" t="s">
        <v>1088</v>
      </c>
      <c r="D12" s="18" t="s">
        <v>1074</v>
      </c>
      <c r="E12" s="23">
        <v>900000</v>
      </c>
      <c r="F12" s="23">
        <v>550000</v>
      </c>
      <c r="G12" s="23">
        <v>450000</v>
      </c>
      <c r="H12" s="23">
        <v>360000</v>
      </c>
    </row>
    <row r="13" ht="27.6" spans="1:8">
      <c r="A13" s="36"/>
      <c r="B13" s="18" t="s">
        <v>1085</v>
      </c>
      <c r="C13" s="18" t="s">
        <v>1089</v>
      </c>
      <c r="D13" s="18" t="s">
        <v>1074</v>
      </c>
      <c r="E13" s="23">
        <v>1400000</v>
      </c>
      <c r="F13" s="23">
        <v>850000</v>
      </c>
      <c r="G13" s="23">
        <v>700000</v>
      </c>
      <c r="H13" s="23">
        <v>550000</v>
      </c>
    </row>
    <row r="14" ht="27.6" spans="1:8">
      <c r="A14" s="36"/>
      <c r="B14" s="18" t="s">
        <v>1085</v>
      </c>
      <c r="C14" s="18" t="s">
        <v>1090</v>
      </c>
      <c r="D14" s="18" t="s">
        <v>1091</v>
      </c>
      <c r="E14" s="23">
        <v>900000</v>
      </c>
      <c r="F14" s="23">
        <v>550000</v>
      </c>
      <c r="G14" s="23">
        <v>450000</v>
      </c>
      <c r="H14" s="23">
        <v>360000</v>
      </c>
    </row>
    <row r="15" spans="1:8">
      <c r="A15" s="36"/>
      <c r="B15" s="18" t="s">
        <v>1092</v>
      </c>
      <c r="C15" s="18" t="s">
        <v>1093</v>
      </c>
      <c r="D15" s="18" t="s">
        <v>1094</v>
      </c>
      <c r="E15" s="23">
        <v>1750000</v>
      </c>
      <c r="F15" s="23">
        <v>1050000</v>
      </c>
      <c r="G15" s="23">
        <v>850000</v>
      </c>
      <c r="H15" s="23">
        <v>700000</v>
      </c>
    </row>
    <row r="16" ht="27.6" spans="1:8">
      <c r="A16" s="36">
        <v>5</v>
      </c>
      <c r="B16" s="18" t="s">
        <v>1095</v>
      </c>
      <c r="C16" s="18" t="s">
        <v>1096</v>
      </c>
      <c r="D16" s="18" t="s">
        <v>1097</v>
      </c>
      <c r="E16" s="23">
        <v>1500000</v>
      </c>
      <c r="F16" s="23">
        <v>900000</v>
      </c>
      <c r="G16" s="23">
        <v>750000</v>
      </c>
      <c r="H16" s="23">
        <v>600000</v>
      </c>
    </row>
    <row r="17" spans="1:8">
      <c r="A17" s="36">
        <v>6</v>
      </c>
      <c r="B17" s="18" t="s">
        <v>1076</v>
      </c>
      <c r="C17" s="18" t="s">
        <v>1098</v>
      </c>
      <c r="D17" s="18" t="s">
        <v>1099</v>
      </c>
      <c r="E17" s="23">
        <v>1500000</v>
      </c>
      <c r="F17" s="23">
        <v>900000</v>
      </c>
      <c r="G17" s="23">
        <v>750000</v>
      </c>
      <c r="H17" s="23">
        <v>600000</v>
      </c>
    </row>
    <row r="18" ht="27.6" spans="1:8">
      <c r="A18" s="36">
        <v>7</v>
      </c>
      <c r="B18" s="18" t="s">
        <v>1100</v>
      </c>
      <c r="C18" s="18" t="s">
        <v>1101</v>
      </c>
      <c r="D18" s="18" t="s">
        <v>1102</v>
      </c>
      <c r="E18" s="23">
        <v>1100000</v>
      </c>
      <c r="F18" s="23">
        <v>650000</v>
      </c>
      <c r="G18" s="23">
        <v>550000</v>
      </c>
      <c r="H18" s="23">
        <v>440000</v>
      </c>
    </row>
    <row r="19" ht="27.6" spans="1:8">
      <c r="A19" s="36">
        <v>8</v>
      </c>
      <c r="B19" s="18" t="s">
        <v>1103</v>
      </c>
      <c r="C19" s="18" t="s">
        <v>1104</v>
      </c>
      <c r="D19" s="18" t="s">
        <v>1105</v>
      </c>
      <c r="E19" s="23">
        <v>750000</v>
      </c>
      <c r="F19" s="23">
        <v>450000</v>
      </c>
      <c r="G19" s="23">
        <v>375000</v>
      </c>
      <c r="H19" s="23">
        <v>300000</v>
      </c>
    </row>
    <row r="20" ht="27.6" spans="1:8">
      <c r="A20" s="36"/>
      <c r="B20" s="18" t="s">
        <v>1103</v>
      </c>
      <c r="C20" s="18" t="s">
        <v>1106</v>
      </c>
      <c r="D20" s="18" t="s">
        <v>1104</v>
      </c>
      <c r="E20" s="23">
        <v>900000</v>
      </c>
      <c r="F20" s="23">
        <v>550000</v>
      </c>
      <c r="G20" s="23">
        <v>450000</v>
      </c>
      <c r="H20" s="23">
        <v>360000</v>
      </c>
    </row>
    <row r="21" ht="27.6" spans="1:8">
      <c r="A21" s="36">
        <v>9</v>
      </c>
      <c r="B21" s="18" t="s">
        <v>1107</v>
      </c>
      <c r="C21" s="18" t="s">
        <v>1108</v>
      </c>
      <c r="D21" s="18" t="s">
        <v>1076</v>
      </c>
      <c r="E21" s="23">
        <v>1750000</v>
      </c>
      <c r="F21" s="23">
        <v>1050000</v>
      </c>
      <c r="G21" s="23">
        <v>850000</v>
      </c>
      <c r="H21" s="23">
        <v>700000</v>
      </c>
    </row>
    <row r="22" ht="27.6" spans="1:8">
      <c r="A22" s="36"/>
      <c r="B22" s="18" t="s">
        <v>1109</v>
      </c>
      <c r="C22" s="18" t="s">
        <v>1076</v>
      </c>
      <c r="D22" s="18" t="s">
        <v>1110</v>
      </c>
      <c r="E22" s="23">
        <v>1500000</v>
      </c>
      <c r="F22" s="23">
        <v>900000</v>
      </c>
      <c r="G22" s="23">
        <v>750000</v>
      </c>
      <c r="H22" s="23">
        <v>600000</v>
      </c>
    </row>
    <row r="23" spans="1:8">
      <c r="A23" s="36">
        <v>10</v>
      </c>
      <c r="B23" s="18" t="s">
        <v>1111</v>
      </c>
      <c r="C23" s="18" t="s">
        <v>1112</v>
      </c>
      <c r="D23" s="18" t="s">
        <v>1080</v>
      </c>
      <c r="E23" s="23">
        <v>1250000</v>
      </c>
      <c r="F23" s="23">
        <v>750000</v>
      </c>
      <c r="G23" s="23">
        <v>600000</v>
      </c>
      <c r="H23" s="23">
        <v>500000</v>
      </c>
    </row>
    <row r="24" spans="1:8">
      <c r="A24" s="36"/>
      <c r="B24" s="18" t="s">
        <v>1111</v>
      </c>
      <c r="C24" s="18" t="s">
        <v>1080</v>
      </c>
      <c r="D24" s="18" t="s">
        <v>1081</v>
      </c>
      <c r="E24" s="23">
        <v>900000</v>
      </c>
      <c r="F24" s="23">
        <v>550000</v>
      </c>
      <c r="G24" s="23">
        <v>450000</v>
      </c>
      <c r="H24" s="23">
        <v>360000</v>
      </c>
    </row>
    <row r="25" ht="27.6" spans="1:8">
      <c r="A25" s="36">
        <v>11</v>
      </c>
      <c r="B25" s="18" t="s">
        <v>1113</v>
      </c>
      <c r="C25" s="18" t="s">
        <v>1114</v>
      </c>
      <c r="D25" s="18" t="s">
        <v>1115</v>
      </c>
      <c r="E25" s="23">
        <v>750000</v>
      </c>
      <c r="F25" s="23">
        <v>450000</v>
      </c>
      <c r="G25" s="23">
        <v>375000</v>
      </c>
      <c r="H25" s="23">
        <v>300000</v>
      </c>
    </row>
    <row r="26" spans="1:8">
      <c r="A26" s="36">
        <v>12</v>
      </c>
      <c r="B26" s="18" t="s">
        <v>1116</v>
      </c>
      <c r="C26" s="18" t="s">
        <v>1117</v>
      </c>
      <c r="D26" s="18" t="s">
        <v>1113</v>
      </c>
      <c r="E26" s="23">
        <v>1250000</v>
      </c>
      <c r="F26" s="23">
        <v>750000</v>
      </c>
      <c r="G26" s="23">
        <v>600000</v>
      </c>
      <c r="H26" s="23">
        <v>500000</v>
      </c>
    </row>
    <row r="27" spans="1:8">
      <c r="A27" s="36"/>
      <c r="B27" s="18" t="s">
        <v>1116</v>
      </c>
      <c r="C27" s="18" t="s">
        <v>1113</v>
      </c>
      <c r="D27" s="18" t="s">
        <v>1118</v>
      </c>
      <c r="E27" s="23">
        <v>750000</v>
      </c>
      <c r="F27" s="23">
        <v>450000</v>
      </c>
      <c r="G27" s="23">
        <v>375000</v>
      </c>
      <c r="H27" s="23">
        <v>300000</v>
      </c>
    </row>
    <row r="28" ht="27.6" spans="1:8">
      <c r="A28" s="36">
        <v>13</v>
      </c>
      <c r="B28" s="18" t="s">
        <v>1119</v>
      </c>
      <c r="C28" s="18" t="s">
        <v>1114</v>
      </c>
      <c r="D28" s="18" t="s">
        <v>1120</v>
      </c>
      <c r="E28" s="23">
        <v>1500000</v>
      </c>
      <c r="F28" s="23">
        <v>900000</v>
      </c>
      <c r="G28" s="23">
        <v>750000</v>
      </c>
      <c r="H28" s="23">
        <v>600000</v>
      </c>
    </row>
    <row r="29" ht="27.6" spans="1:8">
      <c r="A29" s="36">
        <v>14</v>
      </c>
      <c r="B29" s="18" t="s">
        <v>1080</v>
      </c>
      <c r="C29" s="18" t="s">
        <v>1121</v>
      </c>
      <c r="D29" s="18" t="s">
        <v>1122</v>
      </c>
      <c r="E29" s="23">
        <v>900000</v>
      </c>
      <c r="F29" s="23">
        <v>550000</v>
      </c>
      <c r="G29" s="23">
        <v>450000</v>
      </c>
      <c r="H29" s="23">
        <v>360000</v>
      </c>
    </row>
    <row r="30" ht="27.6" spans="1:8">
      <c r="A30" s="36">
        <v>15</v>
      </c>
      <c r="B30" s="18" t="s">
        <v>1081</v>
      </c>
      <c r="C30" s="18" t="s">
        <v>1101</v>
      </c>
      <c r="D30" s="18" t="s">
        <v>1123</v>
      </c>
      <c r="E30" s="23">
        <v>1100000</v>
      </c>
      <c r="F30" s="23">
        <v>650000</v>
      </c>
      <c r="G30" s="23">
        <v>550000</v>
      </c>
      <c r="H30" s="23">
        <v>440000</v>
      </c>
    </row>
    <row r="31" ht="27.6" spans="1:8">
      <c r="A31" s="36">
        <v>16</v>
      </c>
      <c r="B31" s="18" t="s">
        <v>1124</v>
      </c>
      <c r="C31" s="18" t="s">
        <v>1113</v>
      </c>
      <c r="D31" s="18" t="s">
        <v>1125</v>
      </c>
      <c r="E31" s="23">
        <v>800000</v>
      </c>
      <c r="F31" s="23">
        <v>480000</v>
      </c>
      <c r="G31" s="23">
        <v>400000</v>
      </c>
      <c r="H31" s="23">
        <v>320000</v>
      </c>
    </row>
    <row r="32" ht="27.6" spans="1:8">
      <c r="A32" s="36"/>
      <c r="B32" s="18" t="s">
        <v>1124</v>
      </c>
      <c r="C32" s="18" t="s">
        <v>1126</v>
      </c>
      <c r="D32" s="18" t="s">
        <v>1113</v>
      </c>
      <c r="E32" s="23">
        <v>1250000</v>
      </c>
      <c r="F32" s="23">
        <v>750000</v>
      </c>
      <c r="G32" s="23">
        <v>600000</v>
      </c>
      <c r="H32" s="23">
        <v>500000</v>
      </c>
    </row>
    <row r="33" ht="27.6" spans="1:8">
      <c r="A33" s="36">
        <v>17</v>
      </c>
      <c r="B33" s="18" t="s">
        <v>1127</v>
      </c>
      <c r="C33" s="18" t="s">
        <v>1128</v>
      </c>
      <c r="D33" s="18" t="s">
        <v>1129</v>
      </c>
      <c r="E33" s="23">
        <v>1000000</v>
      </c>
      <c r="F33" s="23">
        <v>600000</v>
      </c>
      <c r="G33" s="23">
        <v>500000</v>
      </c>
      <c r="H33" s="23">
        <v>400000</v>
      </c>
    </row>
    <row r="34" ht="27.6" spans="1:8">
      <c r="A34" s="36">
        <v>18</v>
      </c>
      <c r="B34" s="18" t="s">
        <v>1130</v>
      </c>
      <c r="C34" s="18" t="s">
        <v>1131</v>
      </c>
      <c r="D34" s="18" t="s">
        <v>1128</v>
      </c>
      <c r="E34" s="23">
        <v>1000000</v>
      </c>
      <c r="F34" s="23">
        <v>600000</v>
      </c>
      <c r="G34" s="23">
        <v>500000</v>
      </c>
      <c r="H34" s="23">
        <v>400000</v>
      </c>
    </row>
    <row r="35" ht="27.6" spans="1:8">
      <c r="A35" s="36">
        <v>19</v>
      </c>
      <c r="B35" s="18" t="s">
        <v>1132</v>
      </c>
      <c r="C35" s="18" t="s">
        <v>1133</v>
      </c>
      <c r="D35" s="18" t="s">
        <v>1134</v>
      </c>
      <c r="E35" s="23">
        <v>1250000</v>
      </c>
      <c r="F35" s="23">
        <v>750000</v>
      </c>
      <c r="G35" s="23">
        <v>600000</v>
      </c>
      <c r="H35" s="23">
        <v>500000</v>
      </c>
    </row>
    <row r="36" spans="1:8">
      <c r="A36" s="36"/>
      <c r="B36" s="18" t="s">
        <v>1132</v>
      </c>
      <c r="C36" s="18" t="s">
        <v>1134</v>
      </c>
      <c r="D36" s="18" t="s">
        <v>1135</v>
      </c>
      <c r="E36" s="23">
        <v>800000</v>
      </c>
      <c r="F36" s="23">
        <v>480000</v>
      </c>
      <c r="G36" s="23">
        <v>400000</v>
      </c>
      <c r="H36" s="23">
        <v>320000</v>
      </c>
    </row>
    <row r="37" spans="1:8">
      <c r="A37" s="36">
        <v>20</v>
      </c>
      <c r="B37" s="18" t="s">
        <v>1134</v>
      </c>
      <c r="C37" s="18" t="s">
        <v>1136</v>
      </c>
      <c r="D37" s="18" t="s">
        <v>1137</v>
      </c>
      <c r="E37" s="23">
        <v>750000</v>
      </c>
      <c r="F37" s="23">
        <v>450000</v>
      </c>
      <c r="G37" s="23">
        <v>375000</v>
      </c>
      <c r="H37" s="23">
        <v>300000</v>
      </c>
    </row>
    <row r="38" s="30" customFormat="1" ht="14.4" spans="1:8">
      <c r="A38" s="39" t="s">
        <v>136</v>
      </c>
      <c r="B38" s="18"/>
      <c r="C38" s="18"/>
      <c r="D38" s="18"/>
      <c r="E38" s="23"/>
      <c r="F38" s="23"/>
      <c r="G38" s="23"/>
      <c r="H38" s="23"/>
    </row>
    <row r="39" spans="1:8">
      <c r="A39" s="36">
        <v>21</v>
      </c>
      <c r="B39" s="17" t="s">
        <v>137</v>
      </c>
      <c r="C39" s="18"/>
      <c r="D39" s="18"/>
      <c r="E39" s="23">
        <v>750000</v>
      </c>
      <c r="F39" s="23">
        <v>450000</v>
      </c>
      <c r="G39" s="23">
        <v>375000</v>
      </c>
      <c r="H39" s="23">
        <v>300000</v>
      </c>
    </row>
    <row r="40" spans="1:8">
      <c r="A40" s="13" t="s">
        <v>1069</v>
      </c>
      <c r="B40" s="13"/>
      <c r="C40" s="39"/>
      <c r="D40" s="15"/>
      <c r="E40" s="23" t="s">
        <v>16</v>
      </c>
      <c r="F40" s="23" t="s">
        <v>16</v>
      </c>
      <c r="G40" s="23" t="s">
        <v>16</v>
      </c>
      <c r="H40" s="23" t="s">
        <v>16</v>
      </c>
    </row>
    <row r="41" ht="41.4" spans="1:8">
      <c r="A41" s="36">
        <v>22</v>
      </c>
      <c r="B41" s="20" t="s">
        <v>1138</v>
      </c>
      <c r="C41" s="18"/>
      <c r="D41" s="18"/>
      <c r="E41" s="23">
        <v>350000</v>
      </c>
      <c r="F41" s="23">
        <v>305000</v>
      </c>
      <c r="G41" s="23">
        <v>0</v>
      </c>
      <c r="H41" s="23">
        <v>0</v>
      </c>
    </row>
    <row r="42" ht="55.2" spans="1:8">
      <c r="A42" s="36">
        <v>23</v>
      </c>
      <c r="B42" s="20" t="s">
        <v>1139</v>
      </c>
      <c r="C42" s="18"/>
      <c r="D42" s="18"/>
      <c r="E42" s="23">
        <v>300000</v>
      </c>
      <c r="F42" s="23">
        <v>275000</v>
      </c>
      <c r="G42" s="23">
        <v>0</v>
      </c>
      <c r="H42" s="23">
        <v>0</v>
      </c>
    </row>
    <row r="43" spans="1:8">
      <c r="A43" s="36">
        <v>24</v>
      </c>
      <c r="B43" s="20" t="s">
        <v>1140</v>
      </c>
      <c r="C43" s="18"/>
      <c r="D43" s="18"/>
      <c r="E43" s="23">
        <v>250000</v>
      </c>
      <c r="F43" s="23">
        <v>0</v>
      </c>
      <c r="G43" s="23">
        <v>0</v>
      </c>
      <c r="H43" s="23">
        <v>0</v>
      </c>
    </row>
    <row r="44" spans="1:8">
      <c r="A44" s="20"/>
      <c r="B44" s="20"/>
      <c r="C44" s="18"/>
      <c r="D44" s="18"/>
      <c r="E44" s="23" t="s">
        <v>16</v>
      </c>
      <c r="F44" s="23" t="s">
        <v>16</v>
      </c>
      <c r="G44" s="23" t="s">
        <v>16</v>
      </c>
      <c r="H44" s="23" t="s">
        <v>16</v>
      </c>
    </row>
    <row r="45" spans="1:8">
      <c r="A45" s="20"/>
      <c r="B45" s="20"/>
      <c r="C45" s="18"/>
      <c r="D45" s="18"/>
      <c r="E45" s="23" t="s">
        <v>16</v>
      </c>
      <c r="F45" s="23" t="s">
        <v>16</v>
      </c>
      <c r="G45" s="23" t="s">
        <v>16</v>
      </c>
      <c r="H45" s="23" t="s">
        <v>16</v>
      </c>
    </row>
    <row r="46" spans="1:8">
      <c r="A46" s="20"/>
      <c r="B46" s="20"/>
      <c r="C46" s="18"/>
      <c r="D46" s="18"/>
      <c r="E46" s="23" t="s">
        <v>16</v>
      </c>
      <c r="F46" s="23" t="s">
        <v>16</v>
      </c>
      <c r="G46" s="23" t="s">
        <v>16</v>
      </c>
      <c r="H46" s="23" t="s">
        <v>16</v>
      </c>
    </row>
    <row r="47" spans="1:8">
      <c r="A47" s="20"/>
      <c r="B47" s="20"/>
      <c r="C47" s="18"/>
      <c r="D47" s="18"/>
      <c r="E47" s="23" t="s">
        <v>16</v>
      </c>
      <c r="F47" s="23" t="s">
        <v>16</v>
      </c>
      <c r="G47" s="23" t="s">
        <v>16</v>
      </c>
      <c r="H47" s="23" t="s">
        <v>16</v>
      </c>
    </row>
    <row r="48" spans="1:8">
      <c r="A48" s="20"/>
      <c r="B48" s="20"/>
      <c r="C48" s="18"/>
      <c r="D48" s="18"/>
      <c r="E48" s="23" t="s">
        <v>16</v>
      </c>
      <c r="F48" s="23" t="s">
        <v>16</v>
      </c>
      <c r="G48" s="23" t="s">
        <v>16</v>
      </c>
      <c r="H48" s="23" t="s">
        <v>16</v>
      </c>
    </row>
    <row r="49" spans="1:8">
      <c r="A49" s="20"/>
      <c r="B49" s="20"/>
      <c r="C49" s="18"/>
      <c r="D49" s="18"/>
      <c r="E49" s="23" t="s">
        <v>16</v>
      </c>
      <c r="F49" s="23" t="s">
        <v>16</v>
      </c>
      <c r="G49" s="23" t="s">
        <v>16</v>
      </c>
      <c r="H49" s="23" t="s">
        <v>16</v>
      </c>
    </row>
    <row r="50" spans="1:8">
      <c r="A50" s="20"/>
      <c r="B50" s="20"/>
      <c r="C50" s="18"/>
      <c r="D50" s="18"/>
      <c r="E50" s="23" t="s">
        <v>16</v>
      </c>
      <c r="F50" s="23" t="s">
        <v>16</v>
      </c>
      <c r="G50" s="23" t="s">
        <v>16</v>
      </c>
      <c r="H50" s="23" t="s">
        <v>16</v>
      </c>
    </row>
    <row r="51" spans="1:8">
      <c r="A51" s="20"/>
      <c r="B51" s="20"/>
      <c r="C51" s="18"/>
      <c r="D51" s="18"/>
      <c r="E51" s="23" t="s">
        <v>16</v>
      </c>
      <c r="F51" s="23" t="s">
        <v>16</v>
      </c>
      <c r="G51" s="23" t="s">
        <v>16</v>
      </c>
      <c r="H51" s="23" t="s">
        <v>16</v>
      </c>
    </row>
    <row r="52" spans="1:8">
      <c r="A52" s="20"/>
      <c r="B52" s="20"/>
      <c r="C52" s="18"/>
      <c r="D52" s="18"/>
      <c r="E52" s="23" t="s">
        <v>16</v>
      </c>
      <c r="F52" s="23" t="s">
        <v>16</v>
      </c>
      <c r="G52" s="23" t="s">
        <v>16</v>
      </c>
      <c r="H52" s="23" t="s">
        <v>16</v>
      </c>
    </row>
    <row r="53" spans="1:8">
      <c r="A53" s="20"/>
      <c r="B53" s="49"/>
      <c r="C53" s="41"/>
      <c r="D53" s="41"/>
      <c r="E53" s="23" t="s">
        <v>16</v>
      </c>
      <c r="F53" s="23" t="s">
        <v>16</v>
      </c>
      <c r="G53" s="23" t="s">
        <v>16</v>
      </c>
      <c r="H53" s="23" t="s">
        <v>16</v>
      </c>
    </row>
    <row r="54" spans="1:8">
      <c r="A54" s="20"/>
      <c r="B54" s="20"/>
      <c r="C54" s="18"/>
      <c r="D54" s="18"/>
      <c r="E54" s="23" t="s">
        <v>16</v>
      </c>
      <c r="F54" s="23" t="s">
        <v>16</v>
      </c>
      <c r="G54" s="23" t="s">
        <v>16</v>
      </c>
      <c r="H54" s="23" t="s">
        <v>16</v>
      </c>
    </row>
    <row r="55" spans="1:8">
      <c r="A55" s="20"/>
      <c r="B55" s="20"/>
      <c r="C55" s="18"/>
      <c r="D55" s="18"/>
      <c r="E55" s="23" t="s">
        <v>16</v>
      </c>
      <c r="F55" s="23" t="s">
        <v>16</v>
      </c>
      <c r="G55" s="23" t="s">
        <v>16</v>
      </c>
      <c r="H55" s="23" t="s">
        <v>16</v>
      </c>
    </row>
    <row r="56" spans="1:8">
      <c r="A56" s="20"/>
      <c r="B56" s="20"/>
      <c r="C56" s="18"/>
      <c r="D56" s="18"/>
      <c r="E56" s="23" t="s">
        <v>16</v>
      </c>
      <c r="F56" s="23" t="s">
        <v>16</v>
      </c>
      <c r="G56" s="23" t="s">
        <v>16</v>
      </c>
      <c r="H56" s="23" t="s">
        <v>16</v>
      </c>
    </row>
    <row r="57" spans="1:8">
      <c r="A57" s="20"/>
      <c r="B57" s="20"/>
      <c r="C57" s="18"/>
      <c r="D57" s="18"/>
      <c r="E57" s="23" t="s">
        <v>16</v>
      </c>
      <c r="F57" s="23" t="s">
        <v>16</v>
      </c>
      <c r="G57" s="23" t="s">
        <v>16</v>
      </c>
      <c r="H57" s="23" t="s">
        <v>16</v>
      </c>
    </row>
    <row r="58" spans="1:8">
      <c r="A58" s="20"/>
      <c r="B58" s="20"/>
      <c r="C58" s="18"/>
      <c r="D58" s="18"/>
      <c r="E58" s="23" t="s">
        <v>16</v>
      </c>
      <c r="F58" s="23" t="s">
        <v>16</v>
      </c>
      <c r="G58" s="23" t="s">
        <v>16</v>
      </c>
      <c r="H58" s="23" t="s">
        <v>16</v>
      </c>
    </row>
    <row r="59" spans="1:8">
      <c r="A59" s="20"/>
      <c r="B59" s="20"/>
      <c r="C59" s="18"/>
      <c r="D59" s="18"/>
      <c r="E59" s="23" t="s">
        <v>16</v>
      </c>
      <c r="F59" s="23" t="s">
        <v>16</v>
      </c>
      <c r="G59" s="23" t="s">
        <v>16</v>
      </c>
      <c r="H59" s="23" t="s">
        <v>16</v>
      </c>
    </row>
    <row r="60" spans="1:8">
      <c r="A60" s="20"/>
      <c r="B60" s="20"/>
      <c r="C60" s="18"/>
      <c r="D60" s="18"/>
      <c r="E60" s="23" t="s">
        <v>16</v>
      </c>
      <c r="F60" s="23" t="s">
        <v>16</v>
      </c>
      <c r="G60" s="23" t="s">
        <v>16</v>
      </c>
      <c r="H60" s="23" t="s">
        <v>16</v>
      </c>
    </row>
    <row r="61" spans="1:8">
      <c r="A61" s="20"/>
      <c r="B61" s="20"/>
      <c r="C61" s="18"/>
      <c r="D61" s="18"/>
      <c r="E61" s="23" t="s">
        <v>16</v>
      </c>
      <c r="F61" s="23" t="s">
        <v>16</v>
      </c>
      <c r="G61" s="23" t="s">
        <v>16</v>
      </c>
      <c r="H61" s="23" t="s">
        <v>16</v>
      </c>
    </row>
    <row r="62" spans="1:8">
      <c r="A62" s="20"/>
      <c r="B62" s="20"/>
      <c r="C62" s="18"/>
      <c r="D62" s="18"/>
      <c r="E62" s="23" t="s">
        <v>16</v>
      </c>
      <c r="F62" s="23" t="s">
        <v>16</v>
      </c>
      <c r="G62" s="23" t="s">
        <v>16</v>
      </c>
      <c r="H62" s="23" t="s">
        <v>16</v>
      </c>
    </row>
    <row r="63" spans="1:8">
      <c r="A63" s="20"/>
      <c r="B63" s="20"/>
      <c r="C63" s="18"/>
      <c r="D63" s="18"/>
      <c r="E63" s="23" t="s">
        <v>16</v>
      </c>
      <c r="F63" s="23" t="s">
        <v>16</v>
      </c>
      <c r="G63" s="23" t="s">
        <v>16</v>
      </c>
      <c r="H63" s="23" t="s">
        <v>16</v>
      </c>
    </row>
    <row r="64" spans="1:8">
      <c r="A64" s="20"/>
      <c r="B64" s="20"/>
      <c r="C64" s="18"/>
      <c r="D64" s="18"/>
      <c r="E64" s="23" t="s">
        <v>16</v>
      </c>
      <c r="F64" s="23" t="s">
        <v>16</v>
      </c>
      <c r="G64" s="23" t="s">
        <v>16</v>
      </c>
      <c r="H64" s="23" t="s">
        <v>16</v>
      </c>
    </row>
    <row r="65" spans="1:8">
      <c r="A65" s="20"/>
      <c r="B65" s="20"/>
      <c r="C65" s="18"/>
      <c r="D65" s="18"/>
      <c r="E65" s="23" t="s">
        <v>16</v>
      </c>
      <c r="F65" s="23" t="s">
        <v>16</v>
      </c>
      <c r="G65" s="23" t="s">
        <v>16</v>
      </c>
      <c r="H65" s="23" t="s">
        <v>16</v>
      </c>
    </row>
    <row r="66" spans="1:8">
      <c r="A66" s="20"/>
      <c r="B66" s="20"/>
      <c r="C66" s="18"/>
      <c r="D66" s="18"/>
      <c r="E66" s="23" t="s">
        <v>16</v>
      </c>
      <c r="F66" s="23" t="s">
        <v>16</v>
      </c>
      <c r="G66" s="23" t="s">
        <v>16</v>
      </c>
      <c r="H66" s="23" t="s">
        <v>16</v>
      </c>
    </row>
    <row r="67" spans="1:8">
      <c r="A67" s="20"/>
      <c r="B67" s="20"/>
      <c r="C67" s="18"/>
      <c r="D67" s="18"/>
      <c r="E67" s="23" t="s">
        <v>16</v>
      </c>
      <c r="F67" s="23" t="s">
        <v>16</v>
      </c>
      <c r="G67" s="23" t="s">
        <v>16</v>
      </c>
      <c r="H67" s="23" t="s">
        <v>16</v>
      </c>
    </row>
    <row r="68" spans="1:8">
      <c r="A68" s="20"/>
      <c r="B68" s="20"/>
      <c r="C68" s="18"/>
      <c r="D68" s="18"/>
      <c r="E68" s="23" t="s">
        <v>16</v>
      </c>
      <c r="F68" s="23" t="s">
        <v>16</v>
      </c>
      <c r="G68" s="23" t="s">
        <v>16</v>
      </c>
      <c r="H68" s="23" t="s">
        <v>16</v>
      </c>
    </row>
    <row r="69" spans="1:8">
      <c r="A69" s="20"/>
      <c r="B69" s="20"/>
      <c r="C69" s="18"/>
      <c r="D69" s="18"/>
      <c r="E69" s="23" t="s">
        <v>16</v>
      </c>
      <c r="F69" s="23" t="s">
        <v>16</v>
      </c>
      <c r="G69" s="23" t="s">
        <v>16</v>
      </c>
      <c r="H69" s="23" t="s">
        <v>16</v>
      </c>
    </row>
    <row r="70" spans="1:8">
      <c r="A70" s="20"/>
      <c r="B70" s="20"/>
      <c r="C70" s="18"/>
      <c r="D70" s="18"/>
      <c r="E70" s="23" t="s">
        <v>16</v>
      </c>
      <c r="F70" s="23" t="s">
        <v>16</v>
      </c>
      <c r="G70" s="23" t="s">
        <v>16</v>
      </c>
      <c r="H70" s="23" t="s">
        <v>16</v>
      </c>
    </row>
    <row r="71" spans="1:8">
      <c r="A71" s="20"/>
      <c r="B71" s="20"/>
      <c r="C71" s="18"/>
      <c r="D71" s="18"/>
      <c r="E71" s="23" t="s">
        <v>16</v>
      </c>
      <c r="F71" s="23" t="s">
        <v>16</v>
      </c>
      <c r="G71" s="23" t="s">
        <v>16</v>
      </c>
      <c r="H71" s="23" t="s">
        <v>16</v>
      </c>
    </row>
    <row r="72" spans="1:8">
      <c r="A72" s="20"/>
      <c r="B72" s="20"/>
      <c r="C72" s="18"/>
      <c r="D72" s="18"/>
      <c r="E72" s="23" t="s">
        <v>16</v>
      </c>
      <c r="F72" s="23" t="s">
        <v>16</v>
      </c>
      <c r="G72" s="23" t="s">
        <v>16</v>
      </c>
      <c r="H72" s="23" t="s">
        <v>16</v>
      </c>
    </row>
    <row r="73" spans="1:8">
      <c r="A73" s="20"/>
      <c r="B73" s="20"/>
      <c r="C73" s="18"/>
      <c r="D73" s="18"/>
      <c r="E73" s="23" t="s">
        <v>16</v>
      </c>
      <c r="F73" s="23" t="s">
        <v>16</v>
      </c>
      <c r="G73" s="23" t="s">
        <v>16</v>
      </c>
      <c r="H73" s="23" t="s">
        <v>16</v>
      </c>
    </row>
    <row r="74" spans="1:8">
      <c r="A74" s="20"/>
      <c r="B74" s="20"/>
      <c r="C74" s="18"/>
      <c r="D74" s="18"/>
      <c r="E74" s="23" t="s">
        <v>16</v>
      </c>
      <c r="F74" s="23" t="s">
        <v>16</v>
      </c>
      <c r="G74" s="23" t="s">
        <v>16</v>
      </c>
      <c r="H74" s="23" t="s">
        <v>16</v>
      </c>
    </row>
    <row r="75" spans="1:8">
      <c r="A75" s="20"/>
      <c r="B75" s="20"/>
      <c r="C75" s="18"/>
      <c r="D75" s="18"/>
      <c r="E75" s="23" t="s">
        <v>16</v>
      </c>
      <c r="F75" s="23" t="s">
        <v>16</v>
      </c>
      <c r="G75" s="23" t="s">
        <v>16</v>
      </c>
      <c r="H75" s="23" t="s">
        <v>16</v>
      </c>
    </row>
    <row r="76" spans="1:8">
      <c r="A76" s="20"/>
      <c r="B76" s="20"/>
      <c r="C76" s="18"/>
      <c r="D76" s="18"/>
      <c r="E76" s="23" t="s">
        <v>16</v>
      </c>
      <c r="F76" s="23" t="s">
        <v>16</v>
      </c>
      <c r="G76" s="23" t="s">
        <v>16</v>
      </c>
      <c r="H76" s="23" t="s">
        <v>16</v>
      </c>
    </row>
    <row r="77" spans="1:8">
      <c r="A77" s="20"/>
      <c r="B77" s="20"/>
      <c r="C77" s="18"/>
      <c r="D77" s="18"/>
      <c r="E77" s="23" t="s">
        <v>16</v>
      </c>
      <c r="F77" s="23" t="s">
        <v>16</v>
      </c>
      <c r="G77" s="23" t="s">
        <v>16</v>
      </c>
      <c r="H77" s="23" t="s">
        <v>16</v>
      </c>
    </row>
    <row r="78" spans="1:8">
      <c r="A78" s="20"/>
      <c r="B78" s="20"/>
      <c r="C78" s="18"/>
      <c r="D78" s="18"/>
      <c r="E78" s="23" t="s">
        <v>16</v>
      </c>
      <c r="F78" s="23" t="s">
        <v>16</v>
      </c>
      <c r="G78" s="23" t="s">
        <v>16</v>
      </c>
      <c r="H78" s="23" t="s">
        <v>16</v>
      </c>
    </row>
    <row r="79" spans="1:8">
      <c r="A79" s="20"/>
      <c r="B79" s="20"/>
      <c r="C79" s="18"/>
      <c r="D79" s="18"/>
      <c r="E79" s="23" t="s">
        <v>16</v>
      </c>
      <c r="F79" s="23" t="s">
        <v>16</v>
      </c>
      <c r="G79" s="23" t="s">
        <v>16</v>
      </c>
      <c r="H79" s="23" t="s">
        <v>16</v>
      </c>
    </row>
    <row r="80" spans="1:8">
      <c r="A80" s="20"/>
      <c r="B80" s="20"/>
      <c r="C80" s="18"/>
      <c r="D80" s="18"/>
      <c r="E80" s="23" t="s">
        <v>16</v>
      </c>
      <c r="F80" s="23" t="s">
        <v>16</v>
      </c>
      <c r="G80" s="23" t="s">
        <v>16</v>
      </c>
      <c r="H80" s="23" t="s">
        <v>16</v>
      </c>
    </row>
    <row r="81" spans="1:8">
      <c r="A81" s="20"/>
      <c r="B81" s="42"/>
      <c r="C81" s="43"/>
      <c r="D81" s="43"/>
      <c r="E81" s="23" t="s">
        <v>16</v>
      </c>
      <c r="F81" s="23" t="s">
        <v>16</v>
      </c>
      <c r="G81" s="23" t="s">
        <v>16</v>
      </c>
      <c r="H81" s="23" t="s">
        <v>16</v>
      </c>
    </row>
    <row r="82" spans="1:8">
      <c r="A82" s="20"/>
      <c r="B82" s="20"/>
      <c r="C82" s="18"/>
      <c r="D82" s="18"/>
      <c r="E82" s="23" t="s">
        <v>16</v>
      </c>
      <c r="F82" s="23" t="s">
        <v>16</v>
      </c>
      <c r="G82" s="23" t="s">
        <v>16</v>
      </c>
      <c r="H82" s="23" t="s">
        <v>16</v>
      </c>
    </row>
    <row r="83" spans="1:8">
      <c r="A83" s="20"/>
      <c r="B83" s="20"/>
      <c r="C83" s="18"/>
      <c r="D83" s="18"/>
      <c r="E83" s="23" t="s">
        <v>16</v>
      </c>
      <c r="F83" s="23" t="s">
        <v>16</v>
      </c>
      <c r="G83" s="23" t="s">
        <v>16</v>
      </c>
      <c r="H83" s="23" t="s">
        <v>16</v>
      </c>
    </row>
    <row r="84" spans="1:8">
      <c r="A84" s="20"/>
      <c r="B84" s="20"/>
      <c r="C84" s="18"/>
      <c r="D84" s="18"/>
      <c r="E84" s="23" t="s">
        <v>16</v>
      </c>
      <c r="F84" s="23" t="s">
        <v>16</v>
      </c>
      <c r="G84" s="23" t="s">
        <v>16</v>
      </c>
      <c r="H84" s="23" t="s">
        <v>16</v>
      </c>
    </row>
    <row r="85" spans="1:8">
      <c r="A85" s="27"/>
      <c r="C85" s="28"/>
      <c r="D85" s="28"/>
      <c r="E85" s="23" t="s">
        <v>16</v>
      </c>
      <c r="F85" s="23" t="s">
        <v>16</v>
      </c>
      <c r="G85" s="23" t="s">
        <v>16</v>
      </c>
      <c r="H85" s="23" t="s">
        <v>16</v>
      </c>
    </row>
    <row r="86" spans="1:8">
      <c r="A86" s="27"/>
      <c r="C86" s="28"/>
      <c r="D86" s="28"/>
      <c r="E86" s="23" t="s">
        <v>16</v>
      </c>
      <c r="F86" s="23" t="s">
        <v>16</v>
      </c>
      <c r="G86" s="23" t="s">
        <v>16</v>
      </c>
      <c r="H86" s="23" t="s">
        <v>16</v>
      </c>
    </row>
    <row r="87" spans="1:8">
      <c r="A87" s="27"/>
      <c r="C87" s="28"/>
      <c r="D87" s="28"/>
      <c r="E87" s="23" t="s">
        <v>16</v>
      </c>
      <c r="F87" s="23" t="s">
        <v>16</v>
      </c>
      <c r="G87" s="23" t="s">
        <v>16</v>
      </c>
      <c r="H87" s="23" t="s">
        <v>16</v>
      </c>
    </row>
    <row r="88" spans="1:8">
      <c r="A88" s="27"/>
      <c r="C88" s="28"/>
      <c r="D88" s="28"/>
      <c r="E88" s="23" t="s">
        <v>16</v>
      </c>
      <c r="F88" s="23" t="s">
        <v>16</v>
      </c>
      <c r="G88" s="23" t="s">
        <v>16</v>
      </c>
      <c r="H88" s="23" t="s">
        <v>16</v>
      </c>
    </row>
    <row r="89" spans="1:8">
      <c r="A89" s="27"/>
      <c r="C89" s="28"/>
      <c r="D89" s="28"/>
      <c r="E89" s="23" t="s">
        <v>16</v>
      </c>
      <c r="F89" s="23" t="s">
        <v>16</v>
      </c>
      <c r="G89" s="23" t="s">
        <v>16</v>
      </c>
      <c r="H89" s="23" t="s">
        <v>16</v>
      </c>
    </row>
    <row r="90" spans="1:8">
      <c r="A90" s="27"/>
      <c r="C90" s="28"/>
      <c r="D90" s="2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t="s">
        <v>16</v>
      </c>
      <c r="F201" s="23" t="s">
        <v>16</v>
      </c>
      <c r="G201" s="23" t="s">
        <v>16</v>
      </c>
      <c r="H201" s="23" t="s">
        <v>16</v>
      </c>
    </row>
    <row r="202" spans="1:8">
      <c r="A202" s="27"/>
      <c r="C202" s="28"/>
      <c r="D202" s="28"/>
      <c r="E202" s="23" t="s">
        <v>16</v>
      </c>
      <c r="F202" s="23" t="s">
        <v>16</v>
      </c>
      <c r="G202" s="23" t="s">
        <v>16</v>
      </c>
      <c r="H202" s="23" t="s">
        <v>16</v>
      </c>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44"/>
      <c r="F222" s="44"/>
      <c r="G222" s="44"/>
      <c r="H222" s="44"/>
    </row>
    <row r="223" spans="1:8">
      <c r="A223" s="27"/>
      <c r="C223" s="28"/>
      <c r="D223" s="28"/>
      <c r="E223" s="44"/>
      <c r="F223" s="44"/>
      <c r="G223" s="44"/>
      <c r="H223" s="44"/>
    </row>
    <row r="224" spans="1:8">
      <c r="A224" s="27"/>
      <c r="C224" s="28"/>
      <c r="D224" s="28"/>
      <c r="E224" s="44"/>
      <c r="F224" s="44"/>
      <c r="G224" s="44"/>
      <c r="H224" s="44"/>
    </row>
    <row r="225" spans="1:8">
      <c r="A225" s="27"/>
      <c r="C225" s="28"/>
      <c r="D225" s="28"/>
      <c r="E225" s="44"/>
      <c r="F225" s="44"/>
      <c r="G225" s="44"/>
      <c r="H225" s="44"/>
    </row>
    <row r="226" spans="1:8">
      <c r="A226" s="27"/>
      <c r="C226" s="28"/>
      <c r="D226" s="28"/>
      <c r="E226" s="44"/>
      <c r="F226" s="44"/>
      <c r="G226" s="44"/>
      <c r="H226" s="44"/>
    </row>
    <row r="227" spans="1:8">
      <c r="A227" s="27"/>
      <c r="C227" s="28"/>
      <c r="D227" s="28"/>
      <c r="E227" s="44"/>
      <c r="F227" s="44"/>
      <c r="G227" s="44"/>
      <c r="H227" s="44"/>
    </row>
    <row r="228" spans="1:8">
      <c r="A228" s="27"/>
      <c r="C228" s="28"/>
      <c r="D228" s="28"/>
      <c r="E228" s="44"/>
      <c r="F228" s="44"/>
      <c r="G228" s="44"/>
      <c r="H228" s="44"/>
    </row>
    <row r="229" spans="1:8">
      <c r="A229" s="27"/>
      <c r="C229" s="28"/>
      <c r="D229" s="28"/>
      <c r="E229" s="44"/>
      <c r="F229" s="44"/>
      <c r="G229" s="44"/>
      <c r="H229" s="44"/>
    </row>
    <row r="230" spans="1:8">
      <c r="A230" s="27"/>
      <c r="C230" s="28"/>
      <c r="D230" s="28"/>
      <c r="E230" s="44"/>
      <c r="F230" s="44"/>
      <c r="G230" s="44"/>
      <c r="H230" s="44"/>
    </row>
    <row r="231" spans="1:8">
      <c r="A231" s="27"/>
      <c r="C231" s="28"/>
      <c r="D231" s="28"/>
      <c r="E231" s="44"/>
      <c r="F231" s="44"/>
      <c r="G231" s="44"/>
      <c r="H231" s="44"/>
    </row>
    <row r="232" spans="1:8">
      <c r="A232" s="27"/>
      <c r="C232" s="28"/>
      <c r="D232" s="28"/>
      <c r="E232" s="44"/>
      <c r="F232" s="44"/>
      <c r="G232" s="44"/>
      <c r="H232" s="44"/>
    </row>
    <row r="233" spans="1:8">
      <c r="A233" s="27"/>
      <c r="C233" s="28"/>
      <c r="D233" s="28"/>
      <c r="E233" s="44"/>
      <c r="F233" s="44"/>
      <c r="G233" s="44"/>
      <c r="H233" s="44"/>
    </row>
    <row r="234" spans="1:8">
      <c r="A234" s="27"/>
      <c r="C234" s="28"/>
      <c r="D234" s="28"/>
      <c r="E234" s="44"/>
      <c r="F234" s="44"/>
      <c r="G234" s="44"/>
      <c r="H234" s="44"/>
    </row>
    <row r="235" spans="1:8">
      <c r="A235" s="27"/>
      <c r="C235" s="28"/>
      <c r="D235" s="28"/>
      <c r="E235" s="44"/>
      <c r="F235" s="44"/>
      <c r="G235" s="44"/>
      <c r="H235" s="44"/>
    </row>
    <row r="236" spans="1:8">
      <c r="A236" s="27"/>
      <c r="C236" s="28"/>
      <c r="D236" s="28"/>
      <c r="E236" s="44"/>
      <c r="F236" s="44"/>
      <c r="G236" s="44"/>
      <c r="H236" s="44"/>
    </row>
    <row r="237" spans="1:8">
      <c r="A237" s="27"/>
      <c r="C237" s="28"/>
      <c r="D237" s="28"/>
      <c r="E237" s="44"/>
      <c r="F237" s="44"/>
      <c r="G237" s="44"/>
      <c r="H237" s="44"/>
    </row>
    <row r="238" spans="1:8">
      <c r="A238" s="27"/>
      <c r="C238" s="28"/>
      <c r="D238" s="28"/>
      <c r="E238" s="44"/>
      <c r="F238" s="44"/>
      <c r="G238" s="44"/>
      <c r="H238" s="44"/>
    </row>
    <row r="239" spans="1:8">
      <c r="A239" s="27"/>
      <c r="C239" s="28"/>
      <c r="D239" s="28"/>
      <c r="E239" s="44"/>
      <c r="F239" s="44"/>
      <c r="G239" s="44"/>
      <c r="H239" s="44"/>
    </row>
    <row r="240" spans="1:8">
      <c r="A240" s="27"/>
      <c r="C240" s="28"/>
      <c r="D240" s="28"/>
      <c r="E240" s="44"/>
      <c r="F240" s="44"/>
      <c r="G240" s="44"/>
      <c r="H240" s="44"/>
    </row>
    <row r="241" spans="1:8">
      <c r="A241" s="27"/>
      <c r="C241" s="28"/>
      <c r="D241" s="28"/>
      <c r="E241" s="44"/>
      <c r="F241" s="44"/>
      <c r="G241" s="44"/>
      <c r="H241" s="44"/>
    </row>
    <row r="242" spans="1:8">
      <c r="A242" s="27"/>
      <c r="C242" s="28"/>
      <c r="D242" s="28"/>
      <c r="E242" s="44"/>
      <c r="F242" s="44"/>
      <c r="G242" s="44"/>
      <c r="H242" s="44"/>
    </row>
    <row r="243" spans="1:8">
      <c r="A243" s="27"/>
      <c r="C243" s="28"/>
      <c r="D243" s="28"/>
      <c r="E243" s="44"/>
      <c r="F243" s="44"/>
      <c r="G243" s="44"/>
      <c r="H243" s="44"/>
    </row>
    <row r="244" spans="1:8">
      <c r="A244" s="27"/>
      <c r="C244" s="28"/>
      <c r="D244" s="28"/>
      <c r="E244" s="44"/>
      <c r="F244" s="44"/>
      <c r="G244" s="44"/>
      <c r="H244" s="44"/>
    </row>
    <row r="245" spans="1:8">
      <c r="A245" s="27"/>
      <c r="C245" s="28"/>
      <c r="D245" s="28"/>
      <c r="E245" s="44"/>
      <c r="F245" s="44"/>
      <c r="G245" s="44"/>
      <c r="H245" s="44"/>
    </row>
    <row r="246" spans="1:8">
      <c r="A246" s="27"/>
      <c r="C246" s="28"/>
      <c r="D246" s="28"/>
      <c r="E246" s="44"/>
      <c r="F246" s="44"/>
      <c r="G246" s="44"/>
      <c r="H246" s="44"/>
    </row>
    <row r="247" spans="1:8">
      <c r="A247" s="27"/>
      <c r="C247" s="28"/>
      <c r="D247" s="28"/>
      <c r="E247" s="44"/>
      <c r="F247" s="44"/>
      <c r="G247" s="44"/>
      <c r="H247" s="44"/>
    </row>
    <row r="248" spans="1:8">
      <c r="A248" s="27"/>
      <c r="C248" s="28"/>
      <c r="D248" s="28"/>
      <c r="E248" s="44"/>
      <c r="F248" s="44"/>
      <c r="G248" s="44"/>
      <c r="H248" s="44"/>
    </row>
    <row r="249" spans="1:8">
      <c r="A249" s="27"/>
      <c r="C249" s="28"/>
      <c r="D249" s="28"/>
      <c r="E249" s="44"/>
      <c r="F249" s="44"/>
      <c r="G249" s="44"/>
      <c r="H249" s="44"/>
    </row>
    <row r="250" spans="1:8">
      <c r="A250" s="27"/>
      <c r="C250" s="28"/>
      <c r="D250" s="28"/>
      <c r="E250" s="44"/>
      <c r="F250" s="44"/>
      <c r="G250" s="44"/>
      <c r="H250" s="44"/>
    </row>
    <row r="251" spans="1:8">
      <c r="A251" s="27"/>
      <c r="C251" s="28"/>
      <c r="D251" s="28"/>
      <c r="E251" s="44"/>
      <c r="F251" s="44"/>
      <c r="G251" s="44"/>
      <c r="H251" s="44"/>
    </row>
    <row r="252" spans="1:8">
      <c r="A252" s="27"/>
      <c r="C252" s="28"/>
      <c r="D252" s="28"/>
      <c r="E252" s="44"/>
      <c r="F252" s="44"/>
      <c r="G252" s="44"/>
      <c r="H252" s="44"/>
    </row>
    <row r="253" spans="1:8">
      <c r="A253" s="27"/>
      <c r="C253" s="28"/>
      <c r="D253" s="28"/>
      <c r="E253" s="44"/>
      <c r="F253" s="44"/>
      <c r="G253" s="44"/>
      <c r="H253" s="44"/>
    </row>
    <row r="254" spans="1:8">
      <c r="A254" s="27"/>
      <c r="C254" s="28"/>
      <c r="D254" s="28"/>
      <c r="E254" s="44"/>
      <c r="F254" s="44"/>
      <c r="G254" s="44"/>
      <c r="H254" s="44"/>
    </row>
    <row r="255" spans="1:8">
      <c r="A255" s="27"/>
      <c r="C255" s="28"/>
      <c r="D255" s="28"/>
      <c r="E255" s="44"/>
      <c r="F255" s="44"/>
      <c r="G255" s="44"/>
      <c r="H255" s="44"/>
    </row>
    <row r="256" spans="1:8">
      <c r="A256" s="27"/>
      <c r="C256" s="28"/>
      <c r="D256" s="28"/>
      <c r="E256" s="44"/>
      <c r="F256" s="44"/>
      <c r="G256" s="44"/>
      <c r="H256" s="44"/>
    </row>
    <row r="257" spans="1:8">
      <c r="A257" s="27"/>
      <c r="C257" s="28"/>
      <c r="D257" s="28"/>
      <c r="E257" s="44"/>
      <c r="F257" s="44"/>
      <c r="G257" s="44"/>
      <c r="H257" s="44"/>
    </row>
    <row r="258" spans="1:8">
      <c r="A258" s="27"/>
      <c r="C258" s="28"/>
      <c r="D258" s="28"/>
      <c r="E258" s="44"/>
      <c r="F258" s="44"/>
      <c r="G258" s="44"/>
      <c r="H258" s="44"/>
    </row>
    <row r="259" spans="1:8">
      <c r="A259" s="27"/>
      <c r="C259" s="28"/>
      <c r="D259" s="28"/>
      <c r="E259" s="44"/>
      <c r="F259" s="44"/>
      <c r="G259" s="44"/>
      <c r="H259" s="44"/>
    </row>
    <row r="260" spans="1:8">
      <c r="A260" s="27"/>
      <c r="C260" s="28"/>
      <c r="D260" s="28"/>
      <c r="E260" s="44"/>
      <c r="F260" s="44"/>
      <c r="G260" s="44"/>
      <c r="H260" s="44"/>
    </row>
    <row r="261" spans="1:8">
      <c r="A261" s="27"/>
      <c r="C261" s="28"/>
      <c r="D261" s="28"/>
      <c r="E261" s="44"/>
      <c r="F261" s="44"/>
      <c r="G261" s="44"/>
      <c r="H261" s="44"/>
    </row>
    <row r="262" spans="1:8">
      <c r="A262" s="27"/>
      <c r="C262" s="28"/>
      <c r="D262" s="28"/>
      <c r="E262" s="44"/>
      <c r="F262" s="44"/>
      <c r="G262" s="44"/>
      <c r="H262" s="44"/>
    </row>
    <row r="263" spans="1:8">
      <c r="A263" s="27"/>
      <c r="C263" s="28"/>
      <c r="D263" s="28"/>
      <c r="E263" s="44"/>
      <c r="F263" s="44"/>
      <c r="G263" s="44"/>
      <c r="H263" s="44"/>
    </row>
    <row r="264" spans="1:8">
      <c r="A264" s="27"/>
      <c r="C264" s="28"/>
      <c r="D264" s="28"/>
      <c r="E264" s="44"/>
      <c r="F264" s="44"/>
      <c r="G264" s="44"/>
      <c r="H264" s="44"/>
    </row>
    <row r="265" spans="1:8">
      <c r="A265" s="27"/>
      <c r="C265" s="28"/>
      <c r="D265" s="28"/>
      <c r="E265" s="44"/>
      <c r="F265" s="44"/>
      <c r="G265" s="44"/>
      <c r="H265" s="44"/>
    </row>
    <row r="266" spans="1:8">
      <c r="A266" s="27"/>
      <c r="C266" s="28"/>
      <c r="D266" s="28"/>
      <c r="E266" s="44"/>
      <c r="F266" s="44"/>
      <c r="G266" s="44"/>
      <c r="H266" s="44"/>
    </row>
    <row r="267" spans="1:8">
      <c r="A267" s="27"/>
      <c r="C267" s="28"/>
      <c r="D267" s="28"/>
      <c r="E267" s="44"/>
      <c r="F267" s="44"/>
      <c r="G267" s="44"/>
      <c r="H267" s="44"/>
    </row>
    <row r="268" spans="1:8">
      <c r="A268" s="27"/>
      <c r="C268" s="28"/>
      <c r="D268" s="28"/>
      <c r="E268" s="44"/>
      <c r="F268" s="44"/>
      <c r="G268" s="44"/>
      <c r="H268" s="44"/>
    </row>
    <row r="269" spans="1:8">
      <c r="A269" s="27"/>
      <c r="C269" s="28"/>
      <c r="D269" s="28"/>
      <c r="E269" s="44"/>
      <c r="F269" s="44"/>
      <c r="G269" s="44"/>
      <c r="H269" s="44"/>
    </row>
    <row r="270" spans="1:8">
      <c r="A270" s="27"/>
      <c r="C270" s="28"/>
      <c r="D270" s="28"/>
      <c r="E270" s="44"/>
      <c r="F270" s="44"/>
      <c r="G270" s="44"/>
      <c r="H270" s="44"/>
    </row>
    <row r="271" spans="1:8">
      <c r="A271" s="27"/>
      <c r="C271" s="28"/>
      <c r="D271" s="28"/>
      <c r="E271" s="44"/>
      <c r="F271" s="44"/>
      <c r="G271" s="44"/>
      <c r="H271" s="44"/>
    </row>
    <row r="272" spans="1:8">
      <c r="A272" s="27"/>
      <c r="C272" s="28"/>
      <c r="D272" s="28"/>
      <c r="E272" s="44"/>
      <c r="F272" s="44"/>
      <c r="G272" s="44"/>
      <c r="H272" s="44"/>
    </row>
    <row r="273" spans="1:8">
      <c r="A273" s="27"/>
      <c r="C273" s="28"/>
      <c r="D273" s="28"/>
      <c r="E273" s="44"/>
      <c r="F273" s="44"/>
      <c r="G273" s="44"/>
      <c r="H273" s="44"/>
    </row>
    <row r="274" spans="1:8">
      <c r="A274" s="27"/>
      <c r="C274" s="28"/>
      <c r="D274" s="28"/>
      <c r="E274" s="44"/>
      <c r="F274" s="44"/>
      <c r="G274" s="44"/>
      <c r="H274" s="44"/>
    </row>
    <row r="275" spans="1:8">
      <c r="A275" s="27"/>
      <c r="C275" s="28"/>
      <c r="D275" s="28"/>
      <c r="E275" s="44"/>
      <c r="F275" s="44"/>
      <c r="G275" s="44"/>
      <c r="H275" s="44"/>
    </row>
    <row r="276" spans="1:8">
      <c r="A276" s="27"/>
      <c r="C276" s="28"/>
      <c r="D276" s="28"/>
      <c r="E276" s="44"/>
      <c r="F276" s="44"/>
      <c r="G276" s="44"/>
      <c r="H276" s="44"/>
    </row>
    <row r="277" spans="1:8">
      <c r="A277" s="27"/>
      <c r="C277" s="28"/>
      <c r="D277" s="28"/>
      <c r="E277" s="44"/>
      <c r="F277" s="44"/>
      <c r="G277" s="44"/>
      <c r="H277" s="44"/>
    </row>
    <row r="278" spans="1:8">
      <c r="A278" s="27"/>
      <c r="C278" s="28"/>
      <c r="D278" s="28"/>
      <c r="E278" s="44"/>
      <c r="F278" s="44"/>
      <c r="G278" s="44"/>
      <c r="H278" s="44"/>
    </row>
    <row r="279" spans="1:8">
      <c r="A279" s="27"/>
      <c r="C279" s="28"/>
      <c r="D279" s="28"/>
      <c r="E279" s="44"/>
      <c r="F279" s="44"/>
      <c r="G279" s="44"/>
      <c r="H279" s="44"/>
    </row>
    <row r="280" spans="1:8">
      <c r="A280" s="27"/>
      <c r="C280" s="28"/>
      <c r="D280" s="28"/>
      <c r="E280" s="44"/>
      <c r="F280" s="44"/>
      <c r="G280" s="44"/>
      <c r="H280" s="44"/>
    </row>
    <row r="281" spans="1:8">
      <c r="A281" s="27"/>
      <c r="C281" s="28"/>
      <c r="D281" s="28"/>
      <c r="E281" s="44"/>
      <c r="F281" s="44"/>
      <c r="G281" s="44"/>
      <c r="H281" s="44"/>
    </row>
    <row r="282" spans="1:8">
      <c r="A282" s="27"/>
      <c r="C282" s="28"/>
      <c r="D282" s="28"/>
      <c r="E282" s="44"/>
      <c r="F282" s="44"/>
      <c r="G282" s="44"/>
      <c r="H282" s="44"/>
    </row>
    <row r="283" spans="1:8">
      <c r="A283" s="27"/>
      <c r="C283" s="28"/>
      <c r="D283" s="28"/>
      <c r="E283" s="44"/>
      <c r="F283" s="44"/>
      <c r="G283" s="44"/>
      <c r="H283" s="44"/>
    </row>
    <row r="284" spans="1:8">
      <c r="A284" s="27"/>
      <c r="C284" s="28"/>
      <c r="D284" s="28"/>
      <c r="E284" s="44"/>
      <c r="F284" s="44"/>
      <c r="G284" s="44"/>
      <c r="H284" s="44"/>
    </row>
    <row r="285" spans="1:8">
      <c r="A285" s="27"/>
      <c r="C285" s="28"/>
      <c r="D285" s="28"/>
      <c r="E285" s="44"/>
      <c r="F285" s="44"/>
      <c r="G285" s="44"/>
      <c r="H285" s="44"/>
    </row>
    <row r="286" spans="1:8">
      <c r="A286" s="27"/>
      <c r="C286" s="28"/>
      <c r="D286" s="28"/>
      <c r="E286" s="44"/>
      <c r="F286" s="44"/>
      <c r="G286" s="44"/>
      <c r="H286" s="44"/>
    </row>
    <row r="287" spans="1:8">
      <c r="A287" s="27"/>
      <c r="C287" s="28"/>
      <c r="D287" s="28"/>
      <c r="E287" s="44"/>
      <c r="F287" s="44"/>
      <c r="G287" s="44"/>
      <c r="H287" s="44"/>
    </row>
    <row r="288" spans="1:8">
      <c r="A288" s="27"/>
      <c r="C288" s="28"/>
      <c r="D288" s="28"/>
      <c r="E288" s="44"/>
      <c r="F288" s="44"/>
      <c r="G288" s="44"/>
      <c r="H288" s="44"/>
    </row>
    <row r="289" spans="1:8">
      <c r="A289" s="27"/>
      <c r="C289" s="28"/>
      <c r="D289" s="28"/>
      <c r="E289" s="44"/>
      <c r="F289" s="44"/>
      <c r="G289" s="44"/>
      <c r="H289" s="44"/>
    </row>
    <row r="290" spans="1:8">
      <c r="A290" s="27"/>
      <c r="C290" s="28"/>
      <c r="D290" s="28"/>
      <c r="E290" s="44"/>
      <c r="F290" s="44"/>
      <c r="G290" s="44"/>
      <c r="H290" s="44"/>
    </row>
    <row r="291" spans="1:8">
      <c r="A291" s="27"/>
      <c r="C291" s="28"/>
      <c r="D291" s="28"/>
      <c r="E291" s="44"/>
      <c r="F291" s="44"/>
      <c r="G291" s="44"/>
      <c r="H291" s="44"/>
    </row>
    <row r="292" spans="1:8">
      <c r="A292" s="27"/>
      <c r="C292" s="28"/>
      <c r="D292" s="28"/>
      <c r="E292" s="44"/>
      <c r="F292" s="44"/>
      <c r="G292" s="44"/>
      <c r="H292" s="44"/>
    </row>
    <row r="293" spans="1:8">
      <c r="A293" s="27"/>
      <c r="C293" s="28"/>
      <c r="D293" s="28"/>
      <c r="E293" s="44"/>
      <c r="F293" s="44"/>
      <c r="G293" s="44"/>
      <c r="H293" s="44"/>
    </row>
    <row r="294" spans="1:8">
      <c r="A294" s="27"/>
      <c r="C294" s="28"/>
      <c r="D294" s="28"/>
      <c r="E294" s="44"/>
      <c r="F294" s="44"/>
      <c r="G294" s="44"/>
      <c r="H294" s="44"/>
    </row>
    <row r="295" spans="1:8">
      <c r="A295" s="27"/>
      <c r="C295" s="28"/>
      <c r="D295" s="28"/>
      <c r="E295" s="44"/>
      <c r="F295" s="44"/>
      <c r="G295" s="44"/>
      <c r="H295" s="44"/>
    </row>
    <row r="296" spans="1:8">
      <c r="A296" s="27"/>
      <c r="C296" s="28"/>
      <c r="D296" s="28"/>
      <c r="E296" s="44"/>
      <c r="F296" s="44"/>
      <c r="G296" s="44"/>
      <c r="H296" s="44"/>
    </row>
    <row r="297" spans="1:8">
      <c r="A297" s="27"/>
      <c r="C297" s="28"/>
      <c r="D297" s="28"/>
      <c r="E297" s="44"/>
      <c r="F297" s="44"/>
      <c r="G297" s="44"/>
      <c r="H297" s="44"/>
    </row>
    <row r="298" spans="1:8">
      <c r="A298" s="27"/>
      <c r="C298" s="28"/>
      <c r="D298" s="28"/>
      <c r="E298" s="44"/>
      <c r="F298" s="44"/>
      <c r="G298" s="44"/>
      <c r="H298" s="44"/>
    </row>
    <row r="299" spans="1:8">
      <c r="A299" s="27"/>
      <c r="C299" s="28"/>
      <c r="D299" s="28"/>
      <c r="E299" s="44"/>
      <c r="F299" s="44"/>
      <c r="G299" s="44"/>
      <c r="H299" s="44"/>
    </row>
    <row r="300" spans="1:8">
      <c r="A300" s="27"/>
      <c r="C300" s="28"/>
      <c r="D300" s="28"/>
      <c r="E300" s="44"/>
      <c r="F300" s="44"/>
      <c r="G300" s="44"/>
      <c r="H300" s="44"/>
    </row>
    <row r="301" spans="1:8">
      <c r="A301" s="27"/>
      <c r="C301" s="28"/>
      <c r="D301" s="28"/>
      <c r="E301" s="44"/>
      <c r="F301" s="44"/>
      <c r="G301" s="44"/>
      <c r="H301" s="44"/>
    </row>
    <row r="302" spans="1:8">
      <c r="A302" s="27"/>
      <c r="C302" s="28"/>
      <c r="D302" s="28"/>
      <c r="E302" s="44"/>
      <c r="F302" s="44"/>
      <c r="G302" s="44"/>
      <c r="H302" s="44"/>
    </row>
    <row r="303" spans="1:8">
      <c r="A303" s="27"/>
      <c r="C303" s="28"/>
      <c r="D303" s="28"/>
      <c r="E303" s="44"/>
      <c r="F303" s="44"/>
      <c r="G303" s="44"/>
      <c r="H303" s="44"/>
    </row>
    <row r="304" spans="1:8">
      <c r="A304" s="27"/>
      <c r="C304" s="28"/>
      <c r="D304" s="28"/>
      <c r="E304" s="44"/>
      <c r="F304" s="44"/>
      <c r="G304" s="44"/>
      <c r="H304" s="44"/>
    </row>
    <row r="305" spans="1:8">
      <c r="A305" s="27"/>
      <c r="C305" s="28"/>
      <c r="D305" s="28"/>
      <c r="E305" s="44"/>
      <c r="F305" s="44"/>
      <c r="G305" s="44"/>
      <c r="H305" s="44"/>
    </row>
    <row r="306" spans="1:8">
      <c r="A306" s="27"/>
      <c r="C306" s="28"/>
      <c r="D306" s="28"/>
      <c r="E306" s="44"/>
      <c r="F306" s="44"/>
      <c r="G306" s="44"/>
      <c r="H306" s="44"/>
    </row>
    <row r="307" spans="1:8">
      <c r="A307" s="27"/>
      <c r="C307" s="28"/>
      <c r="D307" s="28"/>
      <c r="E307" s="44"/>
      <c r="F307" s="44"/>
      <c r="G307" s="44"/>
      <c r="H307" s="44"/>
    </row>
    <row r="308" spans="1:8">
      <c r="A308" s="27"/>
      <c r="C308" s="28"/>
      <c r="D308" s="28"/>
      <c r="E308" s="44"/>
      <c r="F308" s="44"/>
      <c r="G308" s="44"/>
      <c r="H308" s="44"/>
    </row>
    <row r="309" spans="1:8">
      <c r="A309" s="27"/>
      <c r="C309" s="28"/>
      <c r="D309" s="28"/>
      <c r="E309" s="44"/>
      <c r="F309" s="44"/>
      <c r="G309" s="44"/>
      <c r="H309" s="44"/>
    </row>
    <row r="310" spans="1:8">
      <c r="A310" s="27"/>
      <c r="C310" s="28"/>
      <c r="D310" s="28"/>
      <c r="E310" s="44"/>
      <c r="F310" s="44"/>
      <c r="G310" s="44"/>
      <c r="H310" s="44"/>
    </row>
    <row r="311" spans="1:8">
      <c r="A311" s="27"/>
      <c r="C311" s="28"/>
      <c r="D311" s="28"/>
      <c r="E311" s="44"/>
      <c r="F311" s="44"/>
      <c r="G311" s="44"/>
      <c r="H311" s="44"/>
    </row>
    <row r="312" spans="1:8">
      <c r="A312" s="27"/>
      <c r="C312" s="28"/>
      <c r="D312" s="28"/>
      <c r="E312" s="44"/>
      <c r="F312" s="44"/>
      <c r="G312" s="44"/>
      <c r="H312" s="44"/>
    </row>
    <row r="313" spans="1:8">
      <c r="A313" s="27"/>
      <c r="C313" s="28"/>
      <c r="D313" s="28"/>
      <c r="E313" s="44"/>
      <c r="F313" s="44"/>
      <c r="G313" s="44"/>
      <c r="H313" s="44"/>
    </row>
    <row r="314" spans="1:8">
      <c r="A314" s="27"/>
      <c r="C314" s="28"/>
      <c r="D314" s="28"/>
      <c r="E314" s="44"/>
      <c r="F314" s="44"/>
      <c r="G314" s="44"/>
      <c r="H314" s="44"/>
    </row>
    <row r="315" spans="1:8">
      <c r="A315" s="27"/>
      <c r="C315" s="28"/>
      <c r="D315" s="28"/>
      <c r="E315" s="44"/>
      <c r="F315" s="44"/>
      <c r="G315" s="44"/>
      <c r="H315" s="44"/>
    </row>
    <row r="316" spans="1:8">
      <c r="A316" s="27"/>
      <c r="C316" s="28"/>
      <c r="D316" s="28"/>
      <c r="E316" s="44"/>
      <c r="F316" s="44"/>
      <c r="G316" s="44"/>
      <c r="H316" s="44"/>
    </row>
    <row r="317" spans="1:8">
      <c r="A317" s="27"/>
      <c r="C317" s="28"/>
      <c r="D317" s="28"/>
      <c r="E317" s="44"/>
      <c r="F317" s="44"/>
      <c r="G317" s="44"/>
      <c r="H317" s="44"/>
    </row>
    <row r="318" spans="1:8">
      <c r="A318" s="27"/>
      <c r="C318" s="28"/>
      <c r="D318" s="28"/>
      <c r="E318" s="44"/>
      <c r="F318" s="44"/>
      <c r="G318" s="44"/>
      <c r="H318" s="44"/>
    </row>
    <row r="319" spans="1:8">
      <c r="A319" s="27"/>
      <c r="C319" s="28"/>
      <c r="D319" s="28"/>
      <c r="E319" s="44"/>
      <c r="F319" s="44"/>
      <c r="G319" s="44"/>
      <c r="H319" s="44"/>
    </row>
    <row r="320" spans="1:8">
      <c r="A320" s="27"/>
      <c r="C320" s="28"/>
      <c r="D320" s="28"/>
      <c r="E320" s="44"/>
      <c r="F320" s="44"/>
      <c r="G320" s="44"/>
      <c r="H320" s="44"/>
    </row>
    <row r="321" spans="1:8">
      <c r="A321" s="27"/>
      <c r="C321" s="28"/>
      <c r="D321" s="28"/>
      <c r="E321" s="44"/>
      <c r="F321" s="44"/>
      <c r="G321" s="44"/>
      <c r="H321" s="44"/>
    </row>
    <row r="322" spans="1:8">
      <c r="A322" s="27"/>
      <c r="C322" s="28"/>
      <c r="D322" s="28"/>
      <c r="E322" s="44"/>
      <c r="F322" s="44"/>
      <c r="G322" s="44"/>
      <c r="H322" s="44"/>
    </row>
    <row r="323" spans="1:8">
      <c r="A323" s="27"/>
      <c r="C323" s="28"/>
      <c r="D323" s="28"/>
      <c r="E323" s="44"/>
      <c r="F323" s="44"/>
      <c r="G323" s="44"/>
      <c r="H323" s="44"/>
    </row>
    <row r="324" spans="1:8">
      <c r="A324" s="27"/>
      <c r="C324" s="28"/>
      <c r="D324" s="28"/>
      <c r="E324" s="44"/>
      <c r="F324" s="44"/>
      <c r="G324" s="44"/>
      <c r="H324" s="44"/>
    </row>
    <row r="325" spans="1:8">
      <c r="A325" s="27"/>
      <c r="C325" s="28"/>
      <c r="D325" s="28"/>
      <c r="E325" s="44"/>
      <c r="F325" s="44"/>
      <c r="G325" s="44"/>
      <c r="H325" s="44"/>
    </row>
    <row r="326" spans="1:8">
      <c r="A326" s="27"/>
      <c r="C326" s="28"/>
      <c r="D326" s="28"/>
      <c r="E326" s="44"/>
      <c r="F326" s="44"/>
      <c r="G326" s="44"/>
      <c r="H326" s="44"/>
    </row>
    <row r="327" spans="1:8">
      <c r="A327" s="27"/>
      <c r="C327" s="28"/>
      <c r="D327" s="28"/>
      <c r="E327" s="44"/>
      <c r="F327" s="44"/>
      <c r="G327" s="44"/>
      <c r="H327" s="44"/>
    </row>
    <row r="328" spans="1:8">
      <c r="A328" s="27"/>
      <c r="C328" s="28"/>
      <c r="D328" s="28"/>
      <c r="E328" s="44"/>
      <c r="F328" s="44"/>
      <c r="G328" s="44"/>
      <c r="H328" s="44"/>
    </row>
    <row r="329" spans="1:8">
      <c r="A329" s="27"/>
      <c r="C329" s="28"/>
      <c r="D329" s="28"/>
      <c r="E329" s="44"/>
      <c r="F329" s="44"/>
      <c r="G329" s="44"/>
      <c r="H329" s="44"/>
    </row>
    <row r="330" spans="1:8">
      <c r="A330" s="27"/>
      <c r="C330" s="28"/>
      <c r="D330" s="28"/>
      <c r="E330" s="44"/>
      <c r="F330" s="44"/>
      <c r="G330" s="44"/>
      <c r="H330" s="44"/>
    </row>
    <row r="331" spans="1:8">
      <c r="A331" s="27"/>
      <c r="C331" s="28"/>
      <c r="D331" s="28"/>
      <c r="E331" s="44"/>
      <c r="F331" s="44"/>
      <c r="G331" s="44"/>
      <c r="H331" s="44"/>
    </row>
    <row r="332" spans="1:8">
      <c r="A332" s="27"/>
      <c r="C332" s="28"/>
      <c r="D332" s="28"/>
      <c r="E332" s="44"/>
      <c r="F332" s="44"/>
      <c r="G332" s="44"/>
      <c r="H332" s="44"/>
    </row>
    <row r="333" spans="1:8">
      <c r="A333" s="27"/>
      <c r="C333" s="28"/>
      <c r="D333" s="28"/>
      <c r="E333" s="44"/>
      <c r="F333" s="44"/>
      <c r="G333" s="44"/>
      <c r="H333" s="44"/>
    </row>
    <row r="334" spans="1:8">
      <c r="A334" s="27"/>
      <c r="C334" s="28"/>
      <c r="D334" s="28"/>
      <c r="E334" s="44"/>
      <c r="F334" s="44"/>
      <c r="G334" s="44"/>
      <c r="H334" s="44"/>
    </row>
    <row r="335" spans="1:8">
      <c r="A335" s="27"/>
      <c r="C335" s="28"/>
      <c r="D335" s="28"/>
      <c r="E335" s="44"/>
      <c r="F335" s="44"/>
      <c r="G335" s="44"/>
      <c r="H335" s="44"/>
    </row>
    <row r="336" spans="1:8">
      <c r="A336" s="27"/>
      <c r="C336" s="28"/>
      <c r="D336" s="28"/>
      <c r="E336" s="44"/>
      <c r="F336" s="44"/>
      <c r="G336" s="44"/>
      <c r="H336" s="44"/>
    </row>
    <row r="337" spans="1:8">
      <c r="A337" s="27"/>
      <c r="C337" s="28"/>
      <c r="D337" s="28"/>
      <c r="E337" s="44"/>
      <c r="F337" s="44"/>
      <c r="G337" s="44"/>
      <c r="H337" s="44"/>
    </row>
    <row r="338" spans="1:8">
      <c r="A338" s="27"/>
      <c r="C338" s="28"/>
      <c r="D338" s="28"/>
      <c r="E338" s="44"/>
      <c r="F338" s="44"/>
      <c r="G338" s="44"/>
      <c r="H338" s="44"/>
    </row>
    <row r="339" spans="1:8">
      <c r="A339" s="27"/>
      <c r="C339" s="28"/>
      <c r="D339" s="28"/>
      <c r="E339" s="44"/>
      <c r="F339" s="44"/>
      <c r="G339" s="44"/>
      <c r="H339" s="44"/>
    </row>
    <row r="340" spans="1:8">
      <c r="A340" s="27"/>
      <c r="C340" s="28"/>
      <c r="D340" s="28"/>
      <c r="E340" s="44"/>
      <c r="F340" s="44"/>
      <c r="G340" s="44"/>
      <c r="H340" s="44"/>
    </row>
    <row r="341" spans="1:8">
      <c r="A341" s="27"/>
      <c r="C341" s="28"/>
      <c r="D341" s="28"/>
      <c r="E341" s="44"/>
      <c r="F341" s="44"/>
      <c r="G341" s="44"/>
      <c r="H341" s="44"/>
    </row>
    <row r="342" spans="1:8">
      <c r="A342" s="27"/>
      <c r="C342" s="28"/>
      <c r="D342" s="28"/>
      <c r="E342" s="44"/>
      <c r="F342" s="44"/>
      <c r="G342" s="44"/>
      <c r="H342" s="44"/>
    </row>
    <row r="343" spans="1:8">
      <c r="A343" s="27"/>
      <c r="C343" s="28"/>
      <c r="D343" s="28"/>
      <c r="E343" s="44"/>
      <c r="F343" s="44"/>
      <c r="G343" s="44"/>
      <c r="H343" s="44"/>
    </row>
    <row r="344" spans="1:8">
      <c r="A344" s="27"/>
      <c r="C344" s="28"/>
      <c r="D344" s="28"/>
      <c r="E344" s="44"/>
      <c r="F344" s="44"/>
      <c r="G344" s="44"/>
      <c r="H344" s="44"/>
    </row>
    <row r="345" spans="1:8">
      <c r="A345" s="27"/>
      <c r="C345" s="28"/>
      <c r="D345" s="28"/>
      <c r="E345" s="44"/>
      <c r="F345" s="44"/>
      <c r="G345" s="44"/>
      <c r="H345" s="44"/>
    </row>
    <row r="346" spans="1:8">
      <c r="A346" s="27"/>
      <c r="C346" s="28"/>
      <c r="D346" s="28"/>
      <c r="E346" s="44"/>
      <c r="F346" s="44"/>
      <c r="G346" s="44"/>
      <c r="H346" s="44"/>
    </row>
    <row r="347" spans="1:8">
      <c r="A347" s="27"/>
      <c r="C347" s="28"/>
      <c r="D347" s="28"/>
      <c r="E347" s="44"/>
      <c r="F347" s="44"/>
      <c r="G347" s="44"/>
      <c r="H347" s="44"/>
    </row>
    <row r="348" spans="1:8">
      <c r="A348" s="27"/>
      <c r="C348" s="28"/>
      <c r="D348" s="28"/>
      <c r="E348" s="44"/>
      <c r="F348" s="44"/>
      <c r="G348" s="44"/>
      <c r="H348" s="44"/>
    </row>
    <row r="349" spans="1:8">
      <c r="A349" s="27"/>
      <c r="C349" s="28"/>
      <c r="D349" s="28"/>
      <c r="E349" s="44"/>
      <c r="F349" s="44"/>
      <c r="G349" s="44"/>
      <c r="H349" s="44"/>
    </row>
    <row r="350" spans="1:8">
      <c r="A350" s="27"/>
      <c r="C350" s="28"/>
      <c r="D350" s="28"/>
      <c r="E350" s="44"/>
      <c r="F350" s="44"/>
      <c r="G350" s="44"/>
      <c r="H350" s="44"/>
    </row>
    <row r="351" spans="1:8">
      <c r="A351" s="27"/>
      <c r="C351" s="28"/>
      <c r="D351" s="28"/>
      <c r="E351" s="44"/>
      <c r="F351" s="44"/>
      <c r="G351" s="44"/>
      <c r="H351" s="44"/>
    </row>
    <row r="352" spans="1:8">
      <c r="A352" s="27"/>
      <c r="C352" s="28"/>
      <c r="D352" s="28"/>
      <c r="E352" s="44"/>
      <c r="F352" s="44"/>
      <c r="G352" s="44"/>
      <c r="H352" s="44"/>
    </row>
    <row r="353" spans="1:8">
      <c r="A353" s="27"/>
      <c r="C353" s="28"/>
      <c r="D353" s="28"/>
      <c r="E353" s="44"/>
      <c r="F353" s="44"/>
      <c r="G353" s="44"/>
      <c r="H353" s="44"/>
    </row>
    <row r="354" spans="1:8">
      <c r="A354" s="27"/>
      <c r="C354" s="28"/>
      <c r="D354" s="28"/>
      <c r="E354" s="44"/>
      <c r="F354" s="44"/>
      <c r="G354" s="44"/>
      <c r="H354" s="44"/>
    </row>
    <row r="355" spans="1:8">
      <c r="A355" s="27"/>
      <c r="C355" s="28"/>
      <c r="D355" s="28"/>
      <c r="E355" s="44"/>
      <c r="F355" s="44"/>
      <c r="G355" s="44"/>
      <c r="H355" s="44"/>
    </row>
    <row r="356" spans="1:8">
      <c r="A356" s="27"/>
      <c r="C356" s="28"/>
      <c r="D356" s="28"/>
      <c r="E356" s="44"/>
      <c r="F356" s="44"/>
      <c r="G356" s="44"/>
      <c r="H356" s="44"/>
    </row>
    <row r="357" spans="1:8">
      <c r="A357" s="27"/>
      <c r="C357" s="28"/>
      <c r="D357" s="28"/>
      <c r="E357" s="44"/>
      <c r="F357" s="44"/>
      <c r="G357" s="44"/>
      <c r="H357" s="44"/>
    </row>
    <row r="358" spans="1:8">
      <c r="A358" s="27"/>
      <c r="C358" s="28"/>
      <c r="D358" s="28"/>
      <c r="E358" s="44"/>
      <c r="F358" s="44"/>
      <c r="G358" s="44"/>
      <c r="H358" s="44"/>
    </row>
    <row r="359" spans="1:8">
      <c r="A359" s="27"/>
      <c r="C359" s="28"/>
      <c r="D359" s="28"/>
      <c r="E359" s="44"/>
      <c r="F359" s="44"/>
      <c r="G359" s="44"/>
      <c r="H359" s="44"/>
    </row>
    <row r="360" spans="1:8">
      <c r="A360" s="27"/>
      <c r="C360" s="28"/>
      <c r="D360" s="28"/>
      <c r="E360" s="44"/>
      <c r="F360" s="44"/>
      <c r="G360" s="44"/>
      <c r="H360" s="44"/>
    </row>
    <row r="361" spans="1:8">
      <c r="A361" s="27"/>
      <c r="C361" s="28"/>
      <c r="D361" s="28"/>
      <c r="E361" s="44"/>
      <c r="F361" s="44"/>
      <c r="G361" s="44"/>
      <c r="H361" s="44"/>
    </row>
    <row r="362" spans="1:8">
      <c r="A362" s="27"/>
      <c r="C362" s="28"/>
      <c r="D362" s="28"/>
      <c r="E362" s="44"/>
      <c r="F362" s="44"/>
      <c r="G362" s="44"/>
      <c r="H362" s="44"/>
    </row>
    <row r="363" spans="1:8">
      <c r="A363" s="27"/>
      <c r="C363" s="28"/>
      <c r="D363" s="28"/>
      <c r="E363" s="44"/>
      <c r="F363" s="44"/>
      <c r="G363" s="44"/>
      <c r="H363" s="44"/>
    </row>
    <row r="364" spans="1:8">
      <c r="A364" s="27"/>
      <c r="C364" s="28"/>
      <c r="D364" s="28"/>
      <c r="E364" s="44"/>
      <c r="F364" s="44"/>
      <c r="G364" s="44"/>
      <c r="H364" s="44"/>
    </row>
    <row r="365" spans="1:8">
      <c r="A365" s="27"/>
      <c r="C365" s="28"/>
      <c r="D365" s="28"/>
      <c r="E365" s="44"/>
      <c r="F365" s="44"/>
      <c r="G365" s="44"/>
      <c r="H365" s="44"/>
    </row>
    <row r="366" spans="1:8">
      <c r="A366" s="27"/>
      <c r="C366" s="28"/>
      <c r="D366" s="28"/>
      <c r="E366" s="44"/>
      <c r="F366" s="44"/>
      <c r="G366" s="44"/>
      <c r="H366" s="44"/>
    </row>
    <row r="367" spans="1:8">
      <c r="A367" s="27"/>
      <c r="C367" s="28"/>
      <c r="D367" s="28"/>
      <c r="E367" s="44"/>
      <c r="F367" s="44"/>
      <c r="G367" s="44"/>
      <c r="H367" s="44"/>
    </row>
    <row r="368" spans="1:8">
      <c r="A368" s="27"/>
      <c r="C368" s="28"/>
      <c r="D368" s="28"/>
      <c r="E368" s="44"/>
      <c r="F368" s="44"/>
      <c r="G368" s="44"/>
      <c r="H368" s="44"/>
    </row>
    <row r="369" spans="1:8">
      <c r="A369" s="27"/>
      <c r="C369" s="28"/>
      <c r="D369" s="28"/>
      <c r="E369" s="44"/>
      <c r="F369" s="44"/>
      <c r="G369" s="44"/>
      <c r="H369" s="44"/>
    </row>
    <row r="370" spans="1:8">
      <c r="A370" s="27"/>
      <c r="C370" s="28"/>
      <c r="D370" s="28"/>
      <c r="E370" s="44"/>
      <c r="F370" s="44"/>
      <c r="G370" s="44"/>
      <c r="H370" s="44"/>
    </row>
    <row r="371" spans="1:8">
      <c r="A371" s="27"/>
      <c r="C371" s="28"/>
      <c r="D371" s="28"/>
      <c r="E371" s="44"/>
      <c r="F371" s="44"/>
      <c r="G371" s="44"/>
      <c r="H371" s="44"/>
    </row>
    <row r="372" spans="1:8">
      <c r="A372" s="27"/>
      <c r="C372" s="28"/>
      <c r="D372" s="28"/>
      <c r="E372" s="44"/>
      <c r="F372" s="44"/>
      <c r="G372" s="44"/>
      <c r="H372" s="44"/>
    </row>
    <row r="373" spans="1:8">
      <c r="A373" s="27"/>
      <c r="C373" s="28"/>
      <c r="D373" s="28"/>
      <c r="E373" s="44"/>
      <c r="F373" s="44"/>
      <c r="G373" s="44"/>
      <c r="H373" s="44"/>
    </row>
    <row r="374" spans="1:8">
      <c r="A374" s="27"/>
      <c r="C374" s="28"/>
      <c r="D374" s="28"/>
      <c r="E374" s="44"/>
      <c r="F374" s="44"/>
      <c r="G374" s="44"/>
      <c r="H374" s="44"/>
    </row>
    <row r="375" spans="1:8">
      <c r="A375" s="27"/>
      <c r="C375" s="28"/>
      <c r="D375" s="28"/>
      <c r="E375" s="44"/>
      <c r="F375" s="44"/>
      <c r="G375" s="44"/>
      <c r="H375" s="44"/>
    </row>
    <row r="376" spans="1:8">
      <c r="A376" s="27"/>
      <c r="C376" s="28"/>
      <c r="D376" s="28"/>
      <c r="E376" s="44"/>
      <c r="F376" s="44"/>
      <c r="G376" s="44"/>
      <c r="H376" s="44"/>
    </row>
    <row r="377" spans="1:8">
      <c r="A377" s="27"/>
      <c r="C377" s="28"/>
      <c r="D377" s="28"/>
      <c r="E377" s="44"/>
      <c r="F377" s="44"/>
      <c r="G377" s="44"/>
      <c r="H377" s="44"/>
    </row>
    <row r="378" spans="1:8">
      <c r="A378" s="27"/>
      <c r="C378" s="28"/>
      <c r="D378" s="28"/>
      <c r="E378" s="44"/>
      <c r="F378" s="44"/>
      <c r="G378" s="44"/>
      <c r="H378" s="44"/>
    </row>
    <row r="379" spans="1:8">
      <c r="A379" s="27"/>
      <c r="C379" s="28"/>
      <c r="D379" s="28"/>
      <c r="E379" s="44"/>
      <c r="F379" s="44"/>
      <c r="G379" s="44"/>
      <c r="H379" s="44"/>
    </row>
    <row r="380" spans="1:8">
      <c r="A380" s="27"/>
      <c r="C380" s="28"/>
      <c r="D380" s="28"/>
      <c r="E380" s="44"/>
      <c r="F380" s="44"/>
      <c r="G380" s="44"/>
      <c r="H380" s="44"/>
    </row>
    <row r="381" spans="1:8">
      <c r="A381" s="27"/>
      <c r="C381" s="28"/>
      <c r="D381" s="28"/>
      <c r="E381" s="44"/>
      <c r="F381" s="44"/>
      <c r="G381" s="44"/>
      <c r="H381" s="44"/>
    </row>
    <row r="382" spans="1:8">
      <c r="A382" s="27"/>
      <c r="C382" s="28"/>
      <c r="D382" s="28"/>
      <c r="E382" s="44"/>
      <c r="F382" s="44"/>
      <c r="G382" s="44"/>
      <c r="H382" s="44"/>
    </row>
    <row r="383" spans="1:8">
      <c r="A383" s="27"/>
      <c r="C383" s="28"/>
      <c r="D383" s="28"/>
      <c r="E383" s="44"/>
      <c r="F383" s="44"/>
      <c r="G383" s="44"/>
      <c r="H383" s="44"/>
    </row>
    <row r="384" spans="1:8">
      <c r="A384" s="27"/>
      <c r="C384" s="28"/>
      <c r="D384" s="28"/>
      <c r="E384" s="44"/>
      <c r="F384" s="44"/>
      <c r="G384" s="44"/>
      <c r="H384" s="44"/>
    </row>
    <row r="385" spans="1:8">
      <c r="A385" s="27"/>
      <c r="C385" s="28"/>
      <c r="D385" s="28"/>
      <c r="E385" s="44"/>
      <c r="F385" s="44"/>
      <c r="G385" s="44"/>
      <c r="H385" s="44"/>
    </row>
    <row r="386" spans="1:8">
      <c r="A386" s="27"/>
      <c r="C386" s="28"/>
      <c r="D386" s="28"/>
      <c r="E386" s="44"/>
      <c r="F386" s="44"/>
      <c r="G386" s="44"/>
      <c r="H386" s="44"/>
    </row>
    <row r="387" spans="1:8">
      <c r="A387" s="27"/>
      <c r="C387" s="28"/>
      <c r="D387" s="28"/>
      <c r="E387" s="44"/>
      <c r="F387" s="44"/>
      <c r="G387" s="44"/>
      <c r="H387" s="44"/>
    </row>
    <row r="388" spans="1:8">
      <c r="A388" s="27"/>
      <c r="C388" s="28"/>
      <c r="D388" s="28"/>
      <c r="E388" s="44"/>
      <c r="F388" s="44"/>
      <c r="G388" s="44"/>
      <c r="H388" s="44"/>
    </row>
    <row r="389" spans="1:8">
      <c r="A389" s="27"/>
      <c r="C389" s="28"/>
      <c r="D389" s="28"/>
      <c r="E389" s="44"/>
      <c r="F389" s="44"/>
      <c r="G389" s="44"/>
      <c r="H389" s="44"/>
    </row>
    <row r="390" spans="1:8">
      <c r="A390" s="27"/>
      <c r="C390" s="28"/>
      <c r="D390" s="28"/>
      <c r="E390" s="44"/>
      <c r="F390" s="44"/>
      <c r="G390" s="44"/>
      <c r="H390" s="44"/>
    </row>
    <row r="391" spans="1:8">
      <c r="A391" s="27"/>
      <c r="C391" s="28"/>
      <c r="D391" s="28"/>
      <c r="E391" s="44"/>
      <c r="F391" s="44"/>
      <c r="G391" s="44"/>
      <c r="H391" s="44"/>
    </row>
    <row r="392" spans="1:8">
      <c r="A392" s="27"/>
      <c r="C392" s="28"/>
      <c r="D392" s="28"/>
      <c r="E392" s="44"/>
      <c r="F392" s="44"/>
      <c r="G392" s="44"/>
      <c r="H392" s="44"/>
    </row>
    <row r="393" spans="1:8">
      <c r="A393" s="27"/>
      <c r="C393" s="28"/>
      <c r="D393" s="28"/>
      <c r="E393" s="44"/>
      <c r="F393" s="44"/>
      <c r="G393" s="44"/>
      <c r="H393" s="44"/>
    </row>
    <row r="394" spans="1:8">
      <c r="A394" s="27"/>
      <c r="C394" s="28"/>
      <c r="D394" s="28"/>
      <c r="E394" s="44"/>
      <c r="F394" s="44"/>
      <c r="G394" s="44"/>
      <c r="H394" s="44"/>
    </row>
    <row r="395" spans="1:8">
      <c r="A395" s="27"/>
      <c r="C395" s="28"/>
      <c r="D395" s="28"/>
      <c r="E395" s="44"/>
      <c r="F395" s="44"/>
      <c r="G395" s="44"/>
      <c r="H395" s="44"/>
    </row>
    <row r="396" spans="1:8">
      <c r="A396" s="27"/>
      <c r="C396" s="28"/>
      <c r="D396" s="28"/>
      <c r="E396" s="44"/>
      <c r="F396" s="44"/>
      <c r="G396" s="44"/>
      <c r="H396" s="44"/>
    </row>
    <row r="397" spans="1:8">
      <c r="A397" s="27"/>
      <c r="C397" s="28"/>
      <c r="D397" s="28"/>
      <c r="E397" s="44"/>
      <c r="F397" s="44"/>
      <c r="G397" s="44"/>
      <c r="H397" s="44"/>
    </row>
    <row r="398" spans="1:8">
      <c r="A398" s="27"/>
      <c r="C398" s="28"/>
      <c r="D398" s="28"/>
      <c r="E398" s="44"/>
      <c r="F398" s="44"/>
      <c r="G398" s="44"/>
      <c r="H398" s="44"/>
    </row>
    <row r="399" spans="1:8">
      <c r="A399" s="27"/>
      <c r="C399" s="28"/>
      <c r="D399" s="28"/>
      <c r="E399" s="44"/>
      <c r="F399" s="44"/>
      <c r="G399" s="44"/>
      <c r="H399" s="44"/>
    </row>
    <row r="400" spans="1:8">
      <c r="A400" s="27"/>
      <c r="C400" s="28"/>
      <c r="D400" s="28"/>
      <c r="E400" s="44"/>
      <c r="F400" s="44"/>
      <c r="G400" s="44"/>
      <c r="H400" s="44"/>
    </row>
    <row r="401" spans="1:8">
      <c r="A401" s="27"/>
      <c r="C401" s="28"/>
      <c r="D401" s="28"/>
      <c r="E401" s="44"/>
      <c r="F401" s="44"/>
      <c r="G401" s="44"/>
      <c r="H401" s="44"/>
    </row>
    <row r="402" spans="1:8">
      <c r="A402" s="27"/>
      <c r="C402" s="28"/>
      <c r="D402" s="28"/>
      <c r="E402" s="44"/>
      <c r="F402" s="44"/>
      <c r="G402" s="44"/>
      <c r="H402" s="44"/>
    </row>
    <row r="403" spans="1:8">
      <c r="A403" s="27"/>
      <c r="C403" s="28"/>
      <c r="D403" s="28"/>
      <c r="E403" s="44"/>
      <c r="F403" s="44"/>
      <c r="G403" s="44"/>
      <c r="H403" s="44"/>
    </row>
    <row r="404" spans="1:8">
      <c r="A404" s="27"/>
      <c r="C404" s="28"/>
      <c r="D404" s="28"/>
      <c r="E404" s="44"/>
      <c r="F404" s="44"/>
      <c r="G404" s="44"/>
      <c r="H404" s="44"/>
    </row>
    <row r="405" spans="1:8">
      <c r="A405" s="27"/>
      <c r="C405" s="28"/>
      <c r="D405" s="28"/>
      <c r="E405" s="44"/>
      <c r="F405" s="44"/>
      <c r="G405" s="44"/>
      <c r="H405" s="44"/>
    </row>
    <row r="406" spans="1:8">
      <c r="A406" s="27"/>
      <c r="C406" s="28"/>
      <c r="D406" s="28"/>
      <c r="E406" s="44"/>
      <c r="F406" s="44"/>
      <c r="G406" s="44"/>
      <c r="H406" s="44"/>
    </row>
    <row r="407" spans="1:8">
      <c r="A407" s="27"/>
      <c r="C407" s="28"/>
      <c r="D407" s="28"/>
      <c r="E407" s="44"/>
      <c r="F407" s="44"/>
      <c r="G407" s="44"/>
      <c r="H407" s="44"/>
    </row>
    <row r="408" spans="1:8">
      <c r="A408" s="27"/>
      <c r="C408" s="28"/>
      <c r="D408" s="28"/>
      <c r="E408" s="44"/>
      <c r="F408" s="44"/>
      <c r="G408" s="44"/>
      <c r="H408" s="44"/>
    </row>
    <row r="409" spans="1:8">
      <c r="A409" s="27"/>
      <c r="C409" s="28"/>
      <c r="D409" s="28"/>
      <c r="E409" s="44"/>
      <c r="F409" s="44"/>
      <c r="G409" s="44"/>
      <c r="H409" s="44"/>
    </row>
    <row r="410" spans="1:8">
      <c r="A410" s="27"/>
      <c r="C410" s="28"/>
      <c r="D410" s="28"/>
      <c r="E410" s="44"/>
      <c r="F410" s="44"/>
      <c r="G410" s="44"/>
      <c r="H410" s="44"/>
    </row>
    <row r="411" spans="1:8">
      <c r="A411" s="27"/>
      <c r="C411" s="28"/>
      <c r="D411" s="28"/>
      <c r="E411" s="44"/>
      <c r="F411" s="44"/>
      <c r="G411" s="44"/>
      <c r="H411" s="44"/>
    </row>
    <row r="412" spans="1:8">
      <c r="A412" s="27"/>
      <c r="C412" s="28"/>
      <c r="D412" s="28"/>
      <c r="E412" s="44"/>
      <c r="F412" s="44"/>
      <c r="G412" s="44"/>
      <c r="H412" s="44"/>
    </row>
    <row r="413" spans="1:8">
      <c r="A413" s="27"/>
      <c r="C413" s="28"/>
      <c r="D413" s="28"/>
      <c r="E413" s="44"/>
      <c r="F413" s="44"/>
      <c r="G413" s="44"/>
      <c r="H413" s="44"/>
    </row>
    <row r="414" spans="1:8">
      <c r="A414" s="27"/>
      <c r="C414" s="28"/>
      <c r="D414" s="28"/>
      <c r="E414" s="44"/>
      <c r="F414" s="44"/>
      <c r="G414" s="44"/>
      <c r="H414" s="44"/>
    </row>
    <row r="415" spans="1:8">
      <c r="A415" s="27"/>
      <c r="C415" s="28"/>
      <c r="D415" s="28"/>
      <c r="E415" s="44"/>
      <c r="F415" s="44"/>
      <c r="G415" s="44"/>
      <c r="H415" s="44"/>
    </row>
    <row r="416" spans="1:8">
      <c r="A416" s="27"/>
      <c r="C416" s="28"/>
      <c r="D416" s="28"/>
      <c r="E416" s="44"/>
      <c r="F416" s="44"/>
      <c r="G416" s="44"/>
      <c r="H416" s="44"/>
    </row>
    <row r="417" spans="1:8">
      <c r="A417" s="27"/>
      <c r="C417" s="28"/>
      <c r="D417" s="28"/>
      <c r="E417" s="44"/>
      <c r="F417" s="44"/>
      <c r="G417" s="44"/>
      <c r="H417" s="44"/>
    </row>
    <row r="418" spans="1:8">
      <c r="A418" s="27"/>
      <c r="C418" s="28"/>
      <c r="D418" s="28"/>
      <c r="E418" s="44"/>
      <c r="F418" s="44"/>
      <c r="G418" s="44"/>
      <c r="H418" s="44"/>
    </row>
    <row r="419" spans="1:8">
      <c r="A419" s="27"/>
      <c r="C419" s="28"/>
      <c r="D419" s="28"/>
      <c r="E419" s="44"/>
      <c r="F419" s="44"/>
      <c r="G419" s="44"/>
      <c r="H419" s="44"/>
    </row>
    <row r="420" spans="1:8">
      <c r="A420" s="27"/>
      <c r="C420" s="28"/>
      <c r="D420" s="28"/>
      <c r="E420" s="44"/>
      <c r="F420" s="44"/>
      <c r="G420" s="44"/>
      <c r="H420" s="44"/>
    </row>
    <row r="421" spans="1:8">
      <c r="A421" s="27"/>
      <c r="C421" s="28"/>
      <c r="D421" s="28"/>
      <c r="E421" s="44"/>
      <c r="F421" s="44"/>
      <c r="G421" s="44"/>
      <c r="H421" s="44"/>
    </row>
    <row r="422" spans="1:8">
      <c r="A422" s="27"/>
      <c r="C422" s="28"/>
      <c r="D422" s="28"/>
      <c r="E422" s="44"/>
      <c r="F422" s="44"/>
      <c r="G422" s="44"/>
      <c r="H422" s="44"/>
    </row>
    <row r="423" spans="1:8">
      <c r="A423" s="27"/>
      <c r="C423" s="28"/>
      <c r="D423" s="28"/>
      <c r="E423" s="44"/>
      <c r="F423" s="44"/>
      <c r="G423" s="44"/>
      <c r="H423" s="44"/>
    </row>
    <row r="424" spans="1:8">
      <c r="A424" s="27"/>
      <c r="C424" s="28"/>
      <c r="D424" s="28"/>
      <c r="E424" s="44"/>
      <c r="F424" s="44"/>
      <c r="G424" s="44"/>
      <c r="H424" s="44"/>
    </row>
    <row r="425" spans="1:8">
      <c r="A425" s="27"/>
      <c r="C425" s="28"/>
      <c r="D425" s="28"/>
      <c r="E425" s="44"/>
      <c r="F425" s="44"/>
      <c r="G425" s="44"/>
      <c r="H425" s="44"/>
    </row>
    <row r="426" spans="1:8">
      <c r="A426" s="27"/>
      <c r="C426" s="28"/>
      <c r="D426" s="28"/>
      <c r="E426" s="44"/>
      <c r="F426" s="44"/>
      <c r="G426" s="44"/>
      <c r="H426" s="44"/>
    </row>
    <row r="427" spans="1:8">
      <c r="A427" s="27"/>
      <c r="C427" s="28"/>
      <c r="D427" s="28"/>
      <c r="E427" s="44"/>
      <c r="F427" s="44"/>
      <c r="G427" s="44"/>
      <c r="H427" s="44"/>
    </row>
    <row r="428" spans="1:8">
      <c r="A428" s="27"/>
      <c r="C428" s="28"/>
      <c r="D428" s="28"/>
      <c r="E428" s="44"/>
      <c r="F428" s="44"/>
      <c r="G428" s="44"/>
      <c r="H428" s="44"/>
    </row>
    <row r="429" spans="1:8">
      <c r="A429" s="27"/>
      <c r="C429" s="28"/>
      <c r="D429" s="28"/>
      <c r="E429" s="44"/>
      <c r="F429" s="44"/>
      <c r="G429" s="44"/>
      <c r="H429" s="44"/>
    </row>
    <row r="430" spans="1:8">
      <c r="A430" s="27"/>
      <c r="C430" s="28"/>
      <c r="D430" s="28"/>
      <c r="E430" s="44"/>
      <c r="F430" s="44"/>
      <c r="G430" s="44"/>
      <c r="H430" s="44"/>
    </row>
    <row r="431" spans="1:8">
      <c r="A431" s="27"/>
      <c r="C431" s="28"/>
      <c r="D431" s="28"/>
      <c r="E431" s="44"/>
      <c r="F431" s="44"/>
      <c r="G431" s="44"/>
      <c r="H431" s="44"/>
    </row>
    <row r="432" spans="1:8">
      <c r="A432" s="27"/>
      <c r="C432" s="28"/>
      <c r="D432" s="28"/>
      <c r="E432" s="44"/>
      <c r="F432" s="44"/>
      <c r="G432" s="44"/>
      <c r="H432" s="44"/>
    </row>
    <row r="433" spans="1:8">
      <c r="A433" s="27"/>
      <c r="C433" s="28"/>
      <c r="D433" s="28"/>
      <c r="E433" s="44"/>
      <c r="F433" s="44"/>
      <c r="G433" s="44"/>
      <c r="H433" s="44"/>
    </row>
    <row r="434" spans="1:8">
      <c r="A434" s="27"/>
      <c r="C434" s="28"/>
      <c r="D434" s="28"/>
      <c r="E434" s="44"/>
      <c r="F434" s="44"/>
      <c r="G434" s="44"/>
      <c r="H434" s="44"/>
    </row>
    <row r="435" spans="1:8">
      <c r="A435" s="27"/>
      <c r="C435" s="28"/>
      <c r="D435" s="28"/>
      <c r="E435" s="44"/>
      <c r="F435" s="44"/>
      <c r="G435" s="44"/>
      <c r="H435" s="44"/>
    </row>
    <row r="436" spans="1:8">
      <c r="A436" s="27"/>
      <c r="C436" s="28"/>
      <c r="D436" s="28"/>
      <c r="E436" s="44"/>
      <c r="F436" s="44"/>
      <c r="G436" s="44"/>
      <c r="H436" s="44"/>
    </row>
    <row r="437" spans="1:8">
      <c r="A437" s="27"/>
      <c r="C437" s="28"/>
      <c r="D437" s="28"/>
      <c r="E437" s="44"/>
      <c r="F437" s="44"/>
      <c r="G437" s="44"/>
      <c r="H437" s="44"/>
    </row>
    <row r="438" spans="1:8">
      <c r="A438" s="27"/>
      <c r="C438" s="28"/>
      <c r="D438" s="28"/>
      <c r="E438" s="44"/>
      <c r="F438" s="44"/>
      <c r="G438" s="44"/>
      <c r="H438" s="44"/>
    </row>
    <row r="439" spans="1:8">
      <c r="A439" s="27"/>
      <c r="C439" s="28"/>
      <c r="D439" s="28"/>
      <c r="E439" s="44"/>
      <c r="F439" s="44"/>
      <c r="G439" s="44"/>
      <c r="H439" s="44"/>
    </row>
    <row r="440" spans="1:8">
      <c r="A440" s="27"/>
      <c r="C440" s="28"/>
      <c r="D440" s="28"/>
      <c r="E440" s="44"/>
      <c r="F440" s="44"/>
      <c r="G440" s="44"/>
      <c r="H440" s="44"/>
    </row>
    <row r="441" spans="1:8">
      <c r="A441" s="27"/>
      <c r="C441" s="28"/>
      <c r="D441" s="28"/>
      <c r="E441" s="44"/>
      <c r="F441" s="44"/>
      <c r="G441" s="44"/>
      <c r="H441" s="44"/>
    </row>
    <row r="442" spans="1:8">
      <c r="A442" s="27"/>
      <c r="C442" s="28"/>
      <c r="D442" s="28"/>
      <c r="E442" s="44"/>
      <c r="F442" s="44"/>
      <c r="G442" s="44"/>
      <c r="H442" s="44"/>
    </row>
    <row r="443" spans="1:8">
      <c r="A443" s="27"/>
      <c r="C443" s="28"/>
      <c r="D443" s="28"/>
      <c r="E443" s="44"/>
      <c r="F443" s="44"/>
      <c r="G443" s="44"/>
      <c r="H443" s="44"/>
    </row>
    <row r="444" spans="1:8">
      <c r="A444" s="27"/>
      <c r="C444" s="28"/>
      <c r="D444" s="28"/>
      <c r="E444" s="44"/>
      <c r="F444" s="44"/>
      <c r="G444" s="44"/>
      <c r="H444" s="44"/>
    </row>
    <row r="445" spans="1:8">
      <c r="A445" s="27"/>
      <c r="C445" s="28"/>
      <c r="D445" s="28"/>
      <c r="E445" s="44"/>
      <c r="F445" s="44"/>
      <c r="G445" s="44"/>
      <c r="H445" s="44"/>
    </row>
    <row r="446" spans="1:8">
      <c r="A446" s="27"/>
      <c r="C446" s="28"/>
      <c r="D446" s="28"/>
      <c r="E446" s="44"/>
      <c r="F446" s="44"/>
      <c r="G446" s="44"/>
      <c r="H446" s="44"/>
    </row>
    <row r="447" spans="1:8">
      <c r="A447" s="27"/>
      <c r="C447" s="28"/>
      <c r="D447" s="28"/>
      <c r="E447" s="44"/>
      <c r="F447" s="44"/>
      <c r="G447" s="44"/>
      <c r="H447" s="44"/>
    </row>
    <row r="448" spans="1:8">
      <c r="A448" s="27"/>
      <c r="C448" s="28"/>
      <c r="D448" s="28"/>
      <c r="E448" s="44"/>
      <c r="F448" s="44"/>
      <c r="G448" s="44"/>
      <c r="H448" s="44"/>
    </row>
    <row r="449" spans="1:8">
      <c r="A449" s="27"/>
      <c r="C449" s="28"/>
      <c r="D449" s="28"/>
      <c r="E449" s="44"/>
      <c r="F449" s="44"/>
      <c r="G449" s="44"/>
      <c r="H449" s="44"/>
    </row>
    <row r="450" spans="1:8">
      <c r="A450" s="27"/>
      <c r="C450" s="28"/>
      <c r="D450" s="28"/>
      <c r="E450" s="44"/>
      <c r="F450" s="44"/>
      <c r="G450" s="44"/>
      <c r="H450" s="44"/>
    </row>
    <row r="451" spans="1:8">
      <c r="A451" s="27"/>
      <c r="C451" s="28"/>
      <c r="D451" s="28"/>
      <c r="E451" s="44"/>
      <c r="F451" s="44"/>
      <c r="G451" s="44"/>
      <c r="H451" s="44"/>
    </row>
    <row r="452" spans="1:8">
      <c r="A452" s="27"/>
      <c r="C452" s="28"/>
      <c r="D452" s="28"/>
      <c r="E452" s="44"/>
      <c r="F452" s="44"/>
      <c r="G452" s="44"/>
      <c r="H452" s="44"/>
    </row>
    <row r="453" spans="1:8">
      <c r="A453" s="27"/>
      <c r="C453" s="28"/>
      <c r="D453" s="28"/>
      <c r="E453" s="44"/>
      <c r="F453" s="44"/>
      <c r="G453" s="44"/>
      <c r="H453" s="44"/>
    </row>
    <row r="454" spans="1:8">
      <c r="A454" s="27"/>
      <c r="C454" s="28"/>
      <c r="D454" s="28"/>
      <c r="E454" s="44"/>
      <c r="F454" s="44"/>
      <c r="G454" s="44"/>
      <c r="H454" s="44"/>
    </row>
    <row r="455" spans="1:8">
      <c r="A455" s="27"/>
      <c r="C455" s="28"/>
      <c r="D455" s="28"/>
      <c r="E455" s="44"/>
      <c r="F455" s="44"/>
      <c r="G455" s="44"/>
      <c r="H455" s="44"/>
    </row>
    <row r="456" spans="1:8">
      <c r="A456" s="27"/>
      <c r="C456" s="28"/>
      <c r="D456" s="28"/>
      <c r="E456" s="44"/>
      <c r="F456" s="44"/>
      <c r="G456" s="44"/>
      <c r="H456" s="44"/>
    </row>
    <row r="457" spans="1:8">
      <c r="A457" s="27"/>
      <c r="C457" s="28"/>
      <c r="D457" s="28"/>
      <c r="E457" s="44"/>
      <c r="F457" s="44"/>
      <c r="G457" s="44"/>
      <c r="H457" s="44"/>
    </row>
    <row r="458" spans="1:8">
      <c r="A458" s="27"/>
      <c r="C458" s="28"/>
      <c r="D458" s="28"/>
      <c r="E458" s="44"/>
      <c r="F458" s="44"/>
      <c r="G458" s="44"/>
      <c r="H458" s="44"/>
    </row>
    <row r="459" spans="1:8">
      <c r="A459" s="27"/>
      <c r="C459" s="28"/>
      <c r="D459" s="28"/>
      <c r="E459" s="44"/>
      <c r="F459" s="44"/>
      <c r="G459" s="44"/>
      <c r="H459" s="44"/>
    </row>
    <row r="460" spans="1:8">
      <c r="A460" s="27"/>
      <c r="C460" s="28"/>
      <c r="D460" s="28"/>
      <c r="E460" s="44"/>
      <c r="F460" s="44"/>
      <c r="G460" s="44"/>
      <c r="H460" s="44"/>
    </row>
    <row r="461" spans="1:8">
      <c r="A461" s="27"/>
      <c r="C461" s="28"/>
      <c r="D461" s="28"/>
      <c r="E461" s="44"/>
      <c r="F461" s="44"/>
      <c r="G461" s="44"/>
      <c r="H461" s="44"/>
    </row>
    <row r="462" spans="1:8">
      <c r="A462" s="27"/>
      <c r="C462" s="28"/>
      <c r="D462" s="28"/>
      <c r="E462" s="44"/>
      <c r="F462" s="44"/>
      <c r="G462" s="44"/>
      <c r="H462" s="44"/>
    </row>
    <row r="463" spans="1:8">
      <c r="A463" s="27"/>
      <c r="C463" s="28"/>
      <c r="D463" s="28"/>
      <c r="E463" s="44"/>
      <c r="F463" s="44"/>
      <c r="G463" s="44"/>
      <c r="H463" s="44"/>
    </row>
    <row r="464" spans="1:8">
      <c r="A464" s="27"/>
      <c r="C464" s="28"/>
      <c r="D464" s="28"/>
      <c r="E464" s="44"/>
      <c r="F464" s="44"/>
      <c r="G464" s="44"/>
      <c r="H464" s="44"/>
    </row>
    <row r="465" spans="1:8">
      <c r="A465" s="27"/>
      <c r="C465" s="28"/>
      <c r="D465" s="28"/>
      <c r="E465" s="44"/>
      <c r="F465" s="44"/>
      <c r="G465" s="44"/>
      <c r="H465" s="44"/>
    </row>
    <row r="466" spans="1:8">
      <c r="A466" s="27"/>
      <c r="C466" s="28"/>
      <c r="D466" s="28"/>
      <c r="E466" s="44"/>
      <c r="F466" s="44"/>
      <c r="G466" s="44"/>
      <c r="H466" s="44"/>
    </row>
    <row r="467" spans="1:8">
      <c r="A467" s="27"/>
      <c r="C467" s="28"/>
      <c r="D467" s="28"/>
      <c r="E467" s="44"/>
      <c r="F467" s="44"/>
      <c r="G467" s="44"/>
      <c r="H467" s="44"/>
    </row>
    <row r="468" spans="1:8">
      <c r="A468" s="27"/>
      <c r="C468" s="28"/>
      <c r="D468" s="28"/>
      <c r="E468" s="44"/>
      <c r="F468" s="44"/>
      <c r="G468" s="44"/>
      <c r="H468" s="44"/>
    </row>
    <row r="469" spans="1:8">
      <c r="A469" s="27"/>
      <c r="C469" s="28"/>
      <c r="D469" s="28"/>
      <c r="E469" s="44"/>
      <c r="F469" s="44"/>
      <c r="G469" s="44"/>
      <c r="H469" s="44"/>
    </row>
    <row r="470" spans="1:8">
      <c r="A470" s="27"/>
      <c r="C470" s="28"/>
      <c r="D470" s="28"/>
      <c r="E470" s="44"/>
      <c r="F470" s="44"/>
      <c r="G470" s="44"/>
      <c r="H470" s="44"/>
    </row>
    <row r="471" spans="1:8">
      <c r="A471" s="27"/>
      <c r="C471" s="28"/>
      <c r="D471" s="28"/>
      <c r="E471" s="44"/>
      <c r="F471" s="44"/>
      <c r="G471" s="44"/>
      <c r="H471" s="44"/>
    </row>
    <row r="472" spans="1:8">
      <c r="A472" s="27"/>
      <c r="C472" s="28"/>
      <c r="D472" s="28"/>
      <c r="E472" s="44"/>
      <c r="F472" s="44"/>
      <c r="G472" s="44"/>
      <c r="H472" s="44"/>
    </row>
    <row r="473" spans="1:8">
      <c r="A473" s="27"/>
      <c r="C473" s="28"/>
      <c r="D473" s="28"/>
      <c r="E473" s="44"/>
      <c r="F473" s="44"/>
      <c r="G473" s="44"/>
      <c r="H473" s="44"/>
    </row>
    <row r="474" spans="1:8">
      <c r="A474" s="27"/>
      <c r="C474" s="28"/>
      <c r="D474" s="28"/>
      <c r="E474" s="44"/>
      <c r="F474" s="44"/>
      <c r="G474" s="44"/>
      <c r="H474" s="44"/>
    </row>
    <row r="475" spans="1:8">
      <c r="A475" s="27"/>
      <c r="C475" s="28"/>
      <c r="D475" s="28"/>
      <c r="E475" s="44"/>
      <c r="F475" s="44"/>
      <c r="G475" s="44"/>
      <c r="H475" s="44"/>
    </row>
    <row r="476" spans="1:8">
      <c r="A476" s="27"/>
      <c r="C476" s="28"/>
      <c r="D476" s="28"/>
      <c r="E476" s="44"/>
      <c r="F476" s="44"/>
      <c r="G476" s="44"/>
      <c r="H476" s="44"/>
    </row>
    <row r="477" spans="1:8">
      <c r="A477" s="27"/>
      <c r="C477" s="28"/>
      <c r="D477" s="28"/>
      <c r="E477" s="44"/>
      <c r="F477" s="44"/>
      <c r="G477" s="44"/>
      <c r="H477" s="44"/>
    </row>
    <row r="478" spans="1:8">
      <c r="A478" s="27"/>
      <c r="C478" s="28"/>
      <c r="D478" s="28"/>
      <c r="E478" s="44"/>
      <c r="F478" s="44"/>
      <c r="G478" s="44"/>
      <c r="H478" s="44"/>
    </row>
    <row r="479" spans="1:8">
      <c r="A479" s="27"/>
      <c r="C479" s="28"/>
      <c r="D479" s="28"/>
      <c r="E479" s="44"/>
      <c r="F479" s="44"/>
      <c r="G479" s="44"/>
      <c r="H479" s="44"/>
    </row>
    <row r="480" spans="1:8">
      <c r="A480" s="27"/>
      <c r="C480" s="28"/>
      <c r="D480" s="28"/>
      <c r="E480" s="44"/>
      <c r="F480" s="44"/>
      <c r="G480" s="44"/>
      <c r="H480" s="44"/>
    </row>
    <row r="481" spans="1:8">
      <c r="A481" s="27"/>
      <c r="C481" s="28"/>
      <c r="D481" s="28"/>
      <c r="E481" s="44"/>
      <c r="F481" s="44"/>
      <c r="G481" s="44"/>
      <c r="H481" s="44"/>
    </row>
    <row r="482" spans="1:8">
      <c r="A482" s="27"/>
      <c r="C482" s="28"/>
      <c r="D482" s="28"/>
      <c r="E482" s="44"/>
      <c r="F482" s="44"/>
      <c r="G482" s="44"/>
      <c r="H482" s="44"/>
    </row>
    <row r="483" spans="1:8">
      <c r="A483" s="27"/>
      <c r="C483" s="28"/>
      <c r="D483" s="28"/>
      <c r="E483" s="44"/>
      <c r="F483" s="44"/>
      <c r="G483" s="44"/>
      <c r="H483" s="44"/>
    </row>
    <row r="484" spans="1:8">
      <c r="A484" s="27"/>
      <c r="C484" s="28"/>
      <c r="D484" s="28"/>
      <c r="E484" s="44"/>
      <c r="F484" s="44"/>
      <c r="G484" s="44"/>
      <c r="H484" s="44"/>
    </row>
    <row r="485" spans="1:8">
      <c r="A485" s="27"/>
      <c r="C485" s="28"/>
      <c r="D485" s="28"/>
      <c r="E485" s="44"/>
      <c r="F485" s="44"/>
      <c r="G485" s="44"/>
      <c r="H485" s="44"/>
    </row>
    <row r="486" spans="1:8">
      <c r="A486" s="27"/>
      <c r="C486" s="28"/>
      <c r="D486" s="28"/>
      <c r="E486" s="44"/>
      <c r="F486" s="44"/>
      <c r="G486" s="44"/>
      <c r="H486" s="44"/>
    </row>
    <row r="487" spans="1:8">
      <c r="A487" s="27"/>
      <c r="C487" s="28"/>
      <c r="D487" s="28"/>
      <c r="E487" s="44"/>
      <c r="F487" s="44"/>
      <c r="G487" s="44"/>
      <c r="H487" s="44"/>
    </row>
    <row r="488" spans="1:8">
      <c r="A488" s="27"/>
      <c r="C488" s="28"/>
      <c r="D488" s="28"/>
      <c r="E488" s="44"/>
      <c r="F488" s="44"/>
      <c r="G488" s="44"/>
      <c r="H488" s="44"/>
    </row>
    <row r="489" spans="1:8">
      <c r="A489" s="27"/>
      <c r="C489" s="28"/>
      <c r="D489" s="28"/>
      <c r="E489" s="44"/>
      <c r="F489" s="44"/>
      <c r="G489" s="44"/>
      <c r="H489" s="44"/>
    </row>
    <row r="490" spans="1:8">
      <c r="A490" s="27"/>
      <c r="C490" s="28"/>
      <c r="D490" s="28"/>
      <c r="E490" s="44"/>
      <c r="F490" s="44"/>
      <c r="G490" s="44"/>
      <c r="H490" s="44"/>
    </row>
    <row r="491" spans="1:8">
      <c r="A491" s="27"/>
      <c r="C491" s="28"/>
      <c r="D491" s="28"/>
      <c r="E491" s="44"/>
      <c r="F491" s="44"/>
      <c r="G491" s="44"/>
      <c r="H491" s="44"/>
    </row>
    <row r="492" spans="1:8">
      <c r="A492" s="27"/>
      <c r="C492" s="28"/>
      <c r="D492" s="28"/>
      <c r="E492" s="44"/>
      <c r="F492" s="44"/>
      <c r="G492" s="44"/>
      <c r="H492" s="44"/>
    </row>
    <row r="493" spans="1:8">
      <c r="A493" s="27"/>
      <c r="C493" s="28"/>
      <c r="D493" s="28"/>
      <c r="E493" s="44"/>
      <c r="F493" s="44"/>
      <c r="G493" s="44"/>
      <c r="H493" s="44"/>
    </row>
    <row r="494" spans="1:8">
      <c r="A494" s="27"/>
      <c r="C494" s="28"/>
      <c r="D494" s="28"/>
      <c r="E494" s="44"/>
      <c r="F494" s="44"/>
      <c r="G494" s="44"/>
      <c r="H494" s="44"/>
    </row>
    <row r="495" spans="1:8">
      <c r="A495" s="27"/>
      <c r="C495" s="28"/>
      <c r="D495" s="28"/>
      <c r="E495" s="44"/>
      <c r="F495" s="44"/>
      <c r="G495" s="44"/>
      <c r="H495" s="44"/>
    </row>
    <row r="496" spans="1:8">
      <c r="A496" s="27"/>
      <c r="C496" s="28"/>
      <c r="D496" s="28"/>
      <c r="E496" s="44"/>
      <c r="F496" s="44"/>
      <c r="G496" s="44"/>
      <c r="H496" s="44"/>
    </row>
    <row r="497" spans="1:8">
      <c r="A497" s="27"/>
      <c r="C497" s="28"/>
      <c r="D497" s="28"/>
      <c r="E497" s="44"/>
      <c r="F497" s="44"/>
      <c r="G497" s="44"/>
      <c r="H497" s="44"/>
    </row>
    <row r="498" spans="1:8">
      <c r="A498" s="27"/>
      <c r="C498" s="28"/>
      <c r="D498" s="28"/>
      <c r="E498" s="44"/>
      <c r="F498" s="44"/>
      <c r="G498" s="44"/>
      <c r="H498" s="44"/>
    </row>
    <row r="499" spans="1:8">
      <c r="A499" s="27"/>
      <c r="C499" s="28"/>
      <c r="D499" s="28"/>
      <c r="E499" s="44"/>
      <c r="F499" s="44"/>
      <c r="G499" s="44"/>
      <c r="H499" s="44"/>
    </row>
    <row r="500" spans="1:8">
      <c r="A500" s="27"/>
      <c r="C500" s="28"/>
      <c r="D500" s="28"/>
      <c r="E500" s="44"/>
      <c r="F500" s="44"/>
      <c r="G500" s="44"/>
      <c r="H500" s="44"/>
    </row>
    <row r="501" spans="1:8">
      <c r="A501" s="27"/>
      <c r="C501" s="28"/>
      <c r="D501" s="28"/>
      <c r="E501" s="44"/>
      <c r="F501" s="44"/>
      <c r="G501" s="44"/>
      <c r="H501" s="44"/>
    </row>
    <row r="502" spans="1:8">
      <c r="A502" s="27"/>
      <c r="C502" s="28"/>
      <c r="D502" s="28"/>
      <c r="E502" s="44"/>
      <c r="F502" s="44"/>
      <c r="G502" s="44"/>
      <c r="H502" s="44"/>
    </row>
    <row r="503" spans="1:8">
      <c r="A503" s="27"/>
      <c r="C503" s="28"/>
      <c r="D503" s="28"/>
      <c r="E503" s="44"/>
      <c r="F503" s="44"/>
      <c r="G503" s="44"/>
      <c r="H503" s="44"/>
    </row>
    <row r="504" spans="1:8">
      <c r="A504" s="27"/>
      <c r="C504" s="28"/>
      <c r="D504" s="28"/>
      <c r="E504" s="44"/>
      <c r="F504" s="44"/>
      <c r="G504" s="44"/>
      <c r="H504" s="44"/>
    </row>
    <row r="505" spans="1:8">
      <c r="A505" s="27"/>
      <c r="C505" s="28"/>
      <c r="D505" s="28"/>
      <c r="E505" s="44"/>
      <c r="F505" s="44"/>
      <c r="G505" s="44"/>
      <c r="H505" s="44"/>
    </row>
    <row r="506" spans="1:8">
      <c r="A506" s="27"/>
      <c r="C506" s="28"/>
      <c r="D506" s="28"/>
      <c r="E506" s="44"/>
      <c r="F506" s="44"/>
      <c r="G506" s="44"/>
      <c r="H506" s="44"/>
    </row>
    <row r="507" spans="1:8">
      <c r="A507" s="27"/>
      <c r="C507" s="28"/>
      <c r="D507" s="28"/>
      <c r="E507" s="44"/>
      <c r="F507" s="44"/>
      <c r="G507" s="44"/>
      <c r="H507" s="44"/>
    </row>
    <row r="508" spans="1:8">
      <c r="A508" s="27"/>
      <c r="C508" s="28"/>
      <c r="D508" s="28"/>
      <c r="E508" s="44"/>
      <c r="F508" s="44"/>
      <c r="G508" s="44"/>
      <c r="H508" s="44"/>
    </row>
    <row r="509" spans="1:8">
      <c r="A509" s="27"/>
      <c r="C509" s="28"/>
      <c r="D509" s="28"/>
      <c r="E509" s="44"/>
      <c r="F509" s="44"/>
      <c r="G509" s="44"/>
      <c r="H509" s="44"/>
    </row>
    <row r="510" spans="1:8">
      <c r="A510" s="27"/>
      <c r="C510" s="28"/>
      <c r="D510" s="28"/>
      <c r="E510" s="44"/>
      <c r="F510" s="44"/>
      <c r="G510" s="44"/>
      <c r="H510" s="44"/>
    </row>
    <row r="511" spans="1:8">
      <c r="A511" s="27"/>
      <c r="C511" s="28"/>
      <c r="D511" s="28"/>
      <c r="E511" s="44"/>
      <c r="F511" s="44"/>
      <c r="G511" s="44"/>
      <c r="H511" s="44"/>
    </row>
    <row r="512" spans="1:8">
      <c r="A512" s="27"/>
      <c r="C512" s="28"/>
      <c r="D512" s="28"/>
      <c r="E512" s="44"/>
      <c r="F512" s="44"/>
      <c r="G512" s="44"/>
      <c r="H512" s="44"/>
    </row>
    <row r="513" spans="1:8">
      <c r="A513" s="27"/>
      <c r="C513" s="28"/>
      <c r="D513" s="28"/>
      <c r="E513" s="44"/>
      <c r="F513" s="44"/>
      <c r="G513" s="44"/>
      <c r="H513" s="44"/>
    </row>
    <row r="514" spans="1:8">
      <c r="A514" s="27"/>
      <c r="C514" s="28"/>
      <c r="D514" s="28"/>
      <c r="E514" s="44"/>
      <c r="F514" s="44"/>
      <c r="G514" s="44"/>
      <c r="H514" s="44"/>
    </row>
    <row r="515" spans="1:8">
      <c r="A515" s="27"/>
      <c r="C515" s="28"/>
      <c r="D515" s="28"/>
      <c r="E515" s="44"/>
      <c r="F515" s="44"/>
      <c r="G515" s="44"/>
      <c r="H515" s="44"/>
    </row>
    <row r="516" spans="1:8">
      <c r="A516" s="27"/>
      <c r="C516" s="28"/>
      <c r="D516" s="28"/>
      <c r="E516" s="44"/>
      <c r="F516" s="44"/>
      <c r="G516" s="44"/>
      <c r="H516" s="44"/>
    </row>
    <row r="517" spans="1:8">
      <c r="A517" s="27"/>
      <c r="C517" s="28"/>
      <c r="D517" s="28"/>
      <c r="E517" s="44"/>
      <c r="F517" s="44"/>
      <c r="G517" s="44"/>
      <c r="H517" s="44"/>
    </row>
    <row r="518" spans="1:8">
      <c r="A518" s="27"/>
      <c r="C518" s="28"/>
      <c r="D518" s="28"/>
      <c r="E518" s="44"/>
      <c r="F518" s="44"/>
      <c r="G518" s="44"/>
      <c r="H518" s="44"/>
    </row>
    <row r="519" spans="1:8">
      <c r="A519" s="27"/>
      <c r="C519" s="28"/>
      <c r="D519" s="28"/>
      <c r="E519" s="44"/>
      <c r="F519" s="44"/>
      <c r="G519" s="44"/>
      <c r="H519" s="44"/>
    </row>
    <row r="520" spans="1:8">
      <c r="A520" s="27"/>
      <c r="C520" s="28"/>
      <c r="D520" s="28"/>
      <c r="E520" s="44"/>
      <c r="F520" s="44"/>
      <c r="G520" s="44"/>
      <c r="H520" s="44"/>
    </row>
    <row r="521" spans="1:8">
      <c r="A521" s="27"/>
      <c r="C521" s="28"/>
      <c r="D521" s="28"/>
      <c r="E521" s="44"/>
      <c r="F521" s="44"/>
      <c r="G521" s="44"/>
      <c r="H521" s="44"/>
    </row>
    <row r="522" spans="1:8">
      <c r="A522" s="27"/>
      <c r="C522" s="28"/>
      <c r="D522" s="28"/>
      <c r="E522" s="44"/>
      <c r="F522" s="44"/>
      <c r="G522" s="44"/>
      <c r="H522" s="44"/>
    </row>
    <row r="523" spans="1:8">
      <c r="A523" s="27"/>
      <c r="C523" s="28"/>
      <c r="D523" s="28"/>
      <c r="E523" s="44"/>
      <c r="F523" s="44"/>
      <c r="G523" s="44"/>
      <c r="H523" s="44"/>
    </row>
    <row r="524" spans="1:8">
      <c r="A524" s="27"/>
      <c r="C524" s="28"/>
      <c r="D524" s="28"/>
      <c r="E524" s="44"/>
      <c r="F524" s="44"/>
      <c r="G524" s="44"/>
      <c r="H524" s="44"/>
    </row>
    <row r="525" spans="1:8">
      <c r="A525" s="27"/>
      <c r="C525" s="28"/>
      <c r="D525" s="28"/>
      <c r="E525" s="44"/>
      <c r="F525" s="44"/>
      <c r="G525" s="44"/>
      <c r="H525" s="44"/>
    </row>
    <row r="526" spans="1:8">
      <c r="A526" s="27"/>
      <c r="C526" s="28"/>
      <c r="D526" s="28"/>
      <c r="E526" s="44"/>
      <c r="F526" s="44"/>
      <c r="G526" s="44"/>
      <c r="H526" s="44"/>
    </row>
    <row r="527" spans="1:8">
      <c r="A527" s="27"/>
      <c r="C527" s="28"/>
      <c r="D527" s="28"/>
      <c r="E527" s="44"/>
      <c r="F527" s="44"/>
      <c r="G527" s="44"/>
      <c r="H527" s="44"/>
    </row>
    <row r="528" spans="1:8">
      <c r="A528" s="27"/>
      <c r="C528" s="28"/>
      <c r="D528" s="28"/>
      <c r="E528" s="44"/>
      <c r="F528" s="44"/>
      <c r="G528" s="44"/>
      <c r="H528" s="44"/>
    </row>
    <row r="529" spans="1:8">
      <c r="A529" s="27"/>
      <c r="C529" s="28"/>
      <c r="D529" s="28"/>
      <c r="E529" s="44"/>
      <c r="F529" s="44"/>
      <c r="G529" s="44"/>
      <c r="H529" s="44"/>
    </row>
    <row r="530" spans="1:8">
      <c r="A530" s="27"/>
      <c r="C530" s="28"/>
      <c r="D530" s="28"/>
      <c r="E530" s="44"/>
      <c r="F530" s="44"/>
      <c r="G530" s="44"/>
      <c r="H530" s="44"/>
    </row>
    <row r="531" spans="1:8">
      <c r="A531" s="27"/>
      <c r="C531" s="28"/>
      <c r="D531" s="28"/>
      <c r="E531" s="44"/>
      <c r="F531" s="44"/>
      <c r="G531" s="44"/>
      <c r="H531" s="44"/>
    </row>
    <row r="532" spans="1:8">
      <c r="A532" s="27"/>
      <c r="C532" s="28"/>
      <c r="D532" s="28"/>
      <c r="E532" s="44"/>
      <c r="F532" s="44"/>
      <c r="G532" s="44"/>
      <c r="H532" s="44"/>
    </row>
    <row r="533" spans="1:8">
      <c r="A533" s="27"/>
      <c r="C533" s="28"/>
      <c r="D533" s="28"/>
      <c r="E533" s="44"/>
      <c r="F533" s="44"/>
      <c r="G533" s="44"/>
      <c r="H533" s="44"/>
    </row>
    <row r="534" spans="1:8">
      <c r="A534" s="27"/>
      <c r="C534" s="28"/>
      <c r="D534" s="28"/>
      <c r="E534" s="44"/>
      <c r="F534" s="44"/>
      <c r="G534" s="44"/>
      <c r="H534" s="44"/>
    </row>
    <row r="535" spans="1:8">
      <c r="A535" s="27"/>
      <c r="C535" s="28"/>
      <c r="D535" s="28"/>
      <c r="E535" s="44"/>
      <c r="F535" s="44"/>
      <c r="G535" s="44"/>
      <c r="H535" s="44"/>
    </row>
    <row r="536" spans="1:8">
      <c r="A536" s="27"/>
      <c r="C536" s="28"/>
      <c r="D536" s="28"/>
      <c r="E536" s="44"/>
      <c r="F536" s="44"/>
      <c r="G536" s="44"/>
      <c r="H536" s="44"/>
    </row>
    <row r="537" spans="1:8">
      <c r="A537" s="27"/>
      <c r="C537" s="28"/>
      <c r="D537" s="28"/>
      <c r="E537" s="44"/>
      <c r="F537" s="44"/>
      <c r="G537" s="44"/>
      <c r="H537" s="44"/>
    </row>
    <row r="538" spans="1:8">
      <c r="A538" s="27"/>
      <c r="C538" s="28"/>
      <c r="D538" s="28"/>
      <c r="E538" s="44"/>
      <c r="F538" s="44"/>
      <c r="G538" s="44"/>
      <c r="H538" s="44"/>
    </row>
    <row r="539" spans="1:8">
      <c r="A539" s="27"/>
      <c r="C539" s="28"/>
      <c r="D539" s="28"/>
      <c r="E539" s="44"/>
      <c r="F539" s="44"/>
      <c r="G539" s="44"/>
      <c r="H539" s="44"/>
    </row>
    <row r="540" spans="1:8">
      <c r="A540" s="27"/>
      <c r="C540" s="28"/>
      <c r="D540" s="28"/>
      <c r="E540" s="44"/>
      <c r="F540" s="44"/>
      <c r="G540" s="44"/>
      <c r="H540" s="44"/>
    </row>
    <row r="541" spans="1:8">
      <c r="A541" s="27"/>
      <c r="C541" s="28"/>
      <c r="D541" s="28"/>
      <c r="E541" s="44"/>
      <c r="F541" s="44"/>
      <c r="G541" s="44"/>
      <c r="H541" s="44"/>
    </row>
    <row r="542" spans="1:8">
      <c r="A542" s="27"/>
      <c r="C542" s="28"/>
      <c r="D542" s="28"/>
      <c r="E542" s="44"/>
      <c r="F542" s="44"/>
      <c r="G542" s="44"/>
      <c r="H542" s="44"/>
    </row>
    <row r="543" spans="1:8">
      <c r="A543" s="27"/>
      <c r="C543" s="28"/>
      <c r="D543" s="28"/>
      <c r="E543" s="44"/>
      <c r="F543" s="44"/>
      <c r="G543" s="44"/>
      <c r="H543" s="44"/>
    </row>
    <row r="544" spans="1:8">
      <c r="A544" s="27"/>
      <c r="C544" s="28"/>
      <c r="D544" s="28"/>
      <c r="E544" s="44"/>
      <c r="F544" s="44"/>
      <c r="G544" s="44"/>
      <c r="H544" s="44"/>
    </row>
    <row r="545" spans="1:8">
      <c r="A545" s="27"/>
      <c r="C545" s="28"/>
      <c r="D545" s="28"/>
      <c r="E545" s="44"/>
      <c r="F545" s="44"/>
      <c r="G545" s="44"/>
      <c r="H545" s="44"/>
    </row>
    <row r="546" spans="1:8">
      <c r="A546" s="27"/>
      <c r="C546" s="28"/>
      <c r="D546" s="28"/>
      <c r="E546" s="44"/>
      <c r="F546" s="44"/>
      <c r="G546" s="44"/>
      <c r="H546" s="44"/>
    </row>
    <row r="547" spans="1:8">
      <c r="A547" s="27"/>
      <c r="C547" s="28"/>
      <c r="D547" s="28"/>
      <c r="E547" s="44"/>
      <c r="F547" s="44"/>
      <c r="G547" s="44"/>
      <c r="H547" s="44"/>
    </row>
    <row r="548" spans="1:8">
      <c r="A548" s="27"/>
      <c r="C548" s="28"/>
      <c r="D548" s="28"/>
      <c r="E548" s="44"/>
      <c r="F548" s="44"/>
      <c r="G548" s="44"/>
      <c r="H548" s="44"/>
    </row>
    <row r="549" spans="1:8">
      <c r="A549" s="27"/>
      <c r="C549" s="28"/>
      <c r="D549" s="28"/>
      <c r="E549" s="44"/>
      <c r="F549" s="44"/>
      <c r="G549" s="44"/>
      <c r="H549" s="44"/>
    </row>
    <row r="550" spans="1:8">
      <c r="A550" s="27"/>
      <c r="C550" s="28"/>
      <c r="D550" s="28"/>
      <c r="E550" s="44"/>
      <c r="F550" s="44"/>
      <c r="G550" s="44"/>
      <c r="H550" s="44"/>
    </row>
    <row r="551" spans="1:8">
      <c r="A551" s="27"/>
      <c r="C551" s="28"/>
      <c r="D551" s="28"/>
      <c r="E551" s="44"/>
      <c r="F551" s="44"/>
      <c r="G551" s="44"/>
      <c r="H551" s="44"/>
    </row>
    <row r="552" spans="1:8">
      <c r="A552" s="27"/>
      <c r="C552" s="28"/>
      <c r="D552" s="28"/>
      <c r="E552" s="44"/>
      <c r="F552" s="44"/>
      <c r="G552" s="44"/>
      <c r="H552" s="44"/>
    </row>
    <row r="553" spans="1:8">
      <c r="A553" s="27"/>
      <c r="C553" s="28"/>
      <c r="D553" s="28"/>
      <c r="E553" s="44"/>
      <c r="F553" s="44"/>
      <c r="G553" s="44"/>
      <c r="H553" s="44"/>
    </row>
    <row r="554" spans="1:8">
      <c r="A554" s="27"/>
      <c r="C554" s="28"/>
      <c r="D554" s="28"/>
      <c r="E554" s="44"/>
      <c r="F554" s="44"/>
      <c r="G554" s="44"/>
      <c r="H554" s="44"/>
    </row>
    <row r="555" spans="1:8">
      <c r="A555" s="27"/>
      <c r="C555" s="28"/>
      <c r="D555" s="28"/>
      <c r="E555" s="44"/>
      <c r="F555" s="44"/>
      <c r="G555" s="44"/>
      <c r="H555" s="44"/>
    </row>
    <row r="556" spans="1:8">
      <c r="A556" s="27"/>
      <c r="C556" s="28"/>
      <c r="D556" s="28"/>
      <c r="E556" s="44"/>
      <c r="F556" s="44"/>
      <c r="G556" s="44"/>
      <c r="H556" s="44"/>
    </row>
    <row r="557" spans="1:8">
      <c r="A557" s="27"/>
      <c r="C557" s="28"/>
      <c r="D557" s="28"/>
      <c r="E557" s="44"/>
      <c r="F557" s="44"/>
      <c r="G557" s="44"/>
      <c r="H557" s="44"/>
    </row>
    <row r="558" spans="1:8">
      <c r="A558" s="27"/>
      <c r="C558" s="28"/>
      <c r="D558" s="28"/>
      <c r="E558" s="44"/>
      <c r="F558" s="44"/>
      <c r="G558" s="44"/>
      <c r="H558" s="44"/>
    </row>
    <row r="559" spans="1:8">
      <c r="A559" s="27"/>
      <c r="C559" s="28"/>
      <c r="D559" s="28"/>
      <c r="E559" s="44"/>
      <c r="F559" s="44"/>
      <c r="G559" s="44"/>
      <c r="H559" s="44"/>
    </row>
    <row r="560" spans="1:8">
      <c r="A560" s="27"/>
      <c r="C560" s="28"/>
      <c r="D560" s="28"/>
      <c r="E560" s="44"/>
      <c r="F560" s="44"/>
      <c r="G560" s="44"/>
      <c r="H560" s="44"/>
    </row>
    <row r="561" spans="1:8">
      <c r="A561" s="27"/>
      <c r="C561" s="28"/>
      <c r="D561" s="28"/>
      <c r="E561" s="44"/>
      <c r="F561" s="44"/>
      <c r="G561" s="44"/>
      <c r="H561" s="44"/>
    </row>
    <row r="562" spans="1:8">
      <c r="A562" s="27"/>
      <c r="C562" s="28"/>
      <c r="D562" s="28"/>
      <c r="E562" s="44"/>
      <c r="F562" s="44"/>
      <c r="G562" s="44"/>
      <c r="H562" s="44"/>
    </row>
    <row r="563" spans="1:8">
      <c r="A563" s="27"/>
      <c r="C563" s="28"/>
      <c r="D563" s="28"/>
      <c r="E563" s="44"/>
      <c r="F563" s="44"/>
      <c r="G563" s="44"/>
      <c r="H563" s="44"/>
    </row>
    <row r="564" spans="1:8">
      <c r="A564" s="27"/>
      <c r="C564" s="28"/>
      <c r="D564" s="28"/>
      <c r="E564" s="44"/>
      <c r="F564" s="44"/>
      <c r="G564" s="44"/>
      <c r="H564" s="44"/>
    </row>
    <row r="565" spans="1:8">
      <c r="A565" s="27"/>
      <c r="C565" s="28"/>
      <c r="D565" s="28"/>
      <c r="E565" s="44"/>
      <c r="F565" s="44"/>
      <c r="G565" s="44"/>
      <c r="H565" s="44"/>
    </row>
    <row r="566" spans="1:8">
      <c r="A566" s="27"/>
      <c r="C566" s="28"/>
      <c r="D566" s="28"/>
      <c r="E566" s="44"/>
      <c r="F566" s="44"/>
      <c r="G566" s="44"/>
      <c r="H566" s="44"/>
    </row>
    <row r="567" spans="1:8">
      <c r="A567" s="27"/>
      <c r="C567" s="28"/>
      <c r="D567" s="28"/>
      <c r="E567" s="44"/>
      <c r="F567" s="44"/>
      <c r="G567" s="44"/>
      <c r="H567" s="44"/>
    </row>
    <row r="568" spans="1:8">
      <c r="A568" s="27"/>
      <c r="C568" s="28"/>
      <c r="D568" s="28"/>
      <c r="E568" s="44"/>
      <c r="F568" s="44"/>
      <c r="G568" s="44"/>
      <c r="H568" s="44"/>
    </row>
    <row r="569" spans="1:8">
      <c r="A569" s="27"/>
      <c r="C569" s="28"/>
      <c r="D569" s="28"/>
      <c r="E569" s="44"/>
      <c r="F569" s="44"/>
      <c r="G569" s="44"/>
      <c r="H569" s="44"/>
    </row>
    <row r="570" spans="1:8">
      <c r="A570" s="27"/>
      <c r="C570" s="28"/>
      <c r="D570" s="28"/>
      <c r="E570" s="44"/>
      <c r="F570" s="44"/>
      <c r="G570" s="44"/>
      <c r="H570" s="44"/>
    </row>
    <row r="571" spans="1:8">
      <c r="A571" s="27"/>
      <c r="C571" s="28"/>
      <c r="D571" s="28"/>
      <c r="E571" s="44"/>
      <c r="F571" s="44"/>
      <c r="G571" s="44"/>
      <c r="H571" s="44"/>
    </row>
    <row r="572" spans="1:8">
      <c r="A572" s="27"/>
      <c r="C572" s="28"/>
      <c r="D572" s="28"/>
      <c r="E572" s="44"/>
      <c r="F572" s="44"/>
      <c r="G572" s="44"/>
      <c r="H572" s="44"/>
    </row>
    <row r="573" spans="1:8">
      <c r="A573" s="27"/>
      <c r="C573" s="28"/>
      <c r="D573" s="28"/>
      <c r="E573" s="44"/>
      <c r="F573" s="44"/>
      <c r="G573" s="44"/>
      <c r="H573" s="44"/>
    </row>
    <row r="574" spans="1:8">
      <c r="A574" s="27"/>
      <c r="C574" s="28"/>
      <c r="D574" s="28"/>
      <c r="E574" s="44"/>
      <c r="F574" s="44"/>
      <c r="G574" s="44"/>
      <c r="H574" s="44"/>
    </row>
    <row r="575" spans="1:8">
      <c r="A575" s="27"/>
      <c r="C575" s="28"/>
      <c r="D575" s="28"/>
      <c r="E575" s="44"/>
      <c r="F575" s="44"/>
      <c r="G575" s="44"/>
      <c r="H575" s="44"/>
    </row>
    <row r="576" spans="1:8">
      <c r="A576" s="27"/>
      <c r="C576" s="28"/>
      <c r="D576" s="28"/>
      <c r="E576" s="44"/>
      <c r="F576" s="44"/>
      <c r="G576" s="44"/>
      <c r="H576" s="44"/>
    </row>
    <row r="577" spans="1:8">
      <c r="A577" s="27"/>
      <c r="C577" s="28"/>
      <c r="D577" s="28"/>
      <c r="E577" s="44"/>
      <c r="F577" s="44"/>
      <c r="G577" s="44"/>
      <c r="H577" s="44"/>
    </row>
    <row r="578" spans="1:8">
      <c r="A578" s="27"/>
      <c r="C578" s="28"/>
      <c r="D578" s="28"/>
      <c r="E578" s="44"/>
      <c r="F578" s="44"/>
      <c r="G578" s="44"/>
      <c r="H578" s="44"/>
    </row>
    <row r="579" spans="1:8">
      <c r="A579" s="27"/>
      <c r="C579" s="28"/>
      <c r="D579" s="28"/>
      <c r="E579" s="44"/>
      <c r="F579" s="44"/>
      <c r="G579" s="44"/>
      <c r="H579" s="44"/>
    </row>
    <row r="580" spans="1:8">
      <c r="A580" s="27"/>
      <c r="C580" s="28"/>
      <c r="D580" s="28"/>
      <c r="E580" s="44"/>
      <c r="F580" s="44"/>
      <c r="G580" s="44"/>
      <c r="H580" s="44"/>
    </row>
    <row r="581" spans="1:8">
      <c r="A581" s="27"/>
      <c r="C581" s="28"/>
      <c r="D581" s="28"/>
      <c r="E581" s="44"/>
      <c r="F581" s="44"/>
      <c r="G581" s="44"/>
      <c r="H581" s="44"/>
    </row>
    <row r="582" spans="1:8">
      <c r="A582" s="27"/>
      <c r="C582" s="28"/>
      <c r="D582" s="28"/>
      <c r="E582" s="44"/>
      <c r="F582" s="44"/>
      <c r="G582" s="44"/>
      <c r="H582" s="44"/>
    </row>
    <row r="583" spans="1:8">
      <c r="A583" s="27"/>
      <c r="C583" s="28"/>
      <c r="D583" s="28"/>
      <c r="E583" s="44"/>
      <c r="F583" s="44"/>
      <c r="G583" s="44"/>
      <c r="H583" s="44"/>
    </row>
    <row r="584" spans="1:8">
      <c r="A584" s="27"/>
      <c r="C584" s="28"/>
      <c r="D584" s="28"/>
      <c r="E584" s="44"/>
      <c r="F584" s="44"/>
      <c r="G584" s="44"/>
      <c r="H584" s="44"/>
    </row>
    <row r="585" spans="1:8">
      <c r="A585" s="27"/>
      <c r="C585" s="28"/>
      <c r="D585" s="28"/>
      <c r="E585" s="44"/>
      <c r="F585" s="44"/>
      <c r="G585" s="44"/>
      <c r="H585" s="44"/>
    </row>
    <row r="586" spans="1:8">
      <c r="A586" s="27"/>
      <c r="C586" s="28"/>
      <c r="D586" s="28"/>
      <c r="E586" s="44"/>
      <c r="F586" s="44"/>
      <c r="G586" s="44"/>
      <c r="H586" s="44"/>
    </row>
    <row r="587" spans="1:8">
      <c r="A587" s="27"/>
      <c r="C587" s="28"/>
      <c r="D587" s="28"/>
      <c r="E587" s="44"/>
      <c r="F587" s="44"/>
      <c r="G587" s="44"/>
      <c r="H587" s="44"/>
    </row>
    <row r="588" spans="1:8">
      <c r="A588" s="27"/>
      <c r="C588" s="28"/>
      <c r="D588" s="28"/>
      <c r="E588" s="44"/>
      <c r="F588" s="44"/>
      <c r="G588" s="44"/>
      <c r="H588" s="44"/>
    </row>
    <row r="589" spans="1:8">
      <c r="A589" s="27"/>
      <c r="C589" s="28"/>
      <c r="D589" s="28"/>
      <c r="E589" s="44"/>
      <c r="F589" s="44"/>
      <c r="G589" s="44"/>
      <c r="H589" s="44"/>
    </row>
    <row r="590" spans="1:8">
      <c r="A590" s="27"/>
      <c r="C590" s="28"/>
      <c r="D590" s="28"/>
      <c r="E590" s="44"/>
      <c r="F590" s="44"/>
      <c r="G590" s="44"/>
      <c r="H590" s="44"/>
    </row>
    <row r="591" spans="1:8">
      <c r="A591" s="27"/>
      <c r="C591" s="28"/>
      <c r="D591" s="28"/>
      <c r="E591" s="44"/>
      <c r="F591" s="44"/>
      <c r="G591" s="44"/>
      <c r="H591" s="44"/>
    </row>
    <row r="592" spans="1:8">
      <c r="A592" s="27"/>
      <c r="C592" s="28"/>
      <c r="D592" s="28"/>
      <c r="E592" s="44"/>
      <c r="F592" s="44"/>
      <c r="G592" s="44"/>
      <c r="H592" s="44"/>
    </row>
    <row r="593" spans="1:8">
      <c r="A593" s="27"/>
      <c r="C593" s="28"/>
      <c r="D593" s="28"/>
      <c r="E593" s="44"/>
      <c r="F593" s="44"/>
      <c r="G593" s="44"/>
      <c r="H593" s="44"/>
    </row>
    <row r="594" spans="1:8">
      <c r="A594" s="27"/>
      <c r="C594" s="28"/>
      <c r="D594" s="28"/>
      <c r="E594" s="44"/>
      <c r="F594" s="44"/>
      <c r="G594" s="44"/>
      <c r="H594" s="44"/>
    </row>
    <row r="595" spans="1:8">
      <c r="A595" s="27"/>
      <c r="C595" s="28"/>
      <c r="D595" s="28"/>
      <c r="E595" s="44"/>
      <c r="F595" s="44"/>
      <c r="G595" s="44"/>
      <c r="H595" s="44"/>
    </row>
    <row r="596" spans="1:8">
      <c r="A596" s="27"/>
      <c r="C596" s="28"/>
      <c r="D596" s="28"/>
      <c r="E596" s="44"/>
      <c r="F596" s="44"/>
      <c r="G596" s="44"/>
      <c r="H596" s="44"/>
    </row>
    <row r="597" spans="1:8">
      <c r="A597" s="27"/>
      <c r="C597" s="28"/>
      <c r="D597" s="28"/>
      <c r="E597" s="44"/>
      <c r="F597" s="44"/>
      <c r="G597" s="44"/>
      <c r="H597" s="44"/>
    </row>
    <row r="598" spans="1:8">
      <c r="A598" s="27"/>
      <c r="C598" s="28"/>
      <c r="D598" s="28"/>
      <c r="E598" s="44"/>
      <c r="F598" s="44"/>
      <c r="G598" s="44"/>
      <c r="H598" s="44"/>
    </row>
    <row r="599" spans="1:8">
      <c r="A599" s="27"/>
      <c r="C599" s="28"/>
      <c r="D599" s="28"/>
      <c r="E599" s="44"/>
      <c r="F599" s="44"/>
      <c r="G599" s="44"/>
      <c r="H599" s="44"/>
    </row>
    <row r="600" spans="1:8">
      <c r="A600" s="27"/>
      <c r="C600" s="28"/>
      <c r="D600" s="28"/>
      <c r="E600" s="44"/>
      <c r="F600" s="44"/>
      <c r="G600" s="44"/>
      <c r="H600" s="44"/>
    </row>
    <row r="601" spans="1:8">
      <c r="A601" s="27"/>
      <c r="C601" s="28"/>
      <c r="D601" s="28"/>
      <c r="E601" s="44"/>
      <c r="F601" s="44"/>
      <c r="G601" s="44"/>
      <c r="H601" s="44"/>
    </row>
    <row r="602" spans="1:8">
      <c r="A602" s="27"/>
      <c r="C602" s="28"/>
      <c r="D602" s="28"/>
      <c r="E602" s="44"/>
      <c r="F602" s="44"/>
      <c r="G602" s="44"/>
      <c r="H602" s="44"/>
    </row>
    <row r="603" spans="1:8">
      <c r="A603" s="27"/>
      <c r="C603" s="28"/>
      <c r="D603" s="28"/>
      <c r="E603" s="44"/>
      <c r="F603" s="44"/>
      <c r="G603" s="44"/>
      <c r="H603" s="44"/>
    </row>
    <row r="604" spans="1:8">
      <c r="A604" s="27"/>
      <c r="C604" s="28"/>
      <c r="D604" s="28"/>
      <c r="E604" s="44"/>
      <c r="F604" s="44"/>
      <c r="G604" s="44"/>
      <c r="H604" s="44"/>
    </row>
    <row r="605" spans="1:8">
      <c r="A605" s="27"/>
      <c r="C605" s="28"/>
      <c r="D605" s="28"/>
      <c r="E605" s="44"/>
      <c r="F605" s="44"/>
      <c r="G605" s="44"/>
      <c r="H605" s="44"/>
    </row>
    <row r="606" spans="1:8">
      <c r="A606" s="27"/>
      <c r="C606" s="28"/>
      <c r="D606" s="28"/>
      <c r="E606" s="44"/>
      <c r="F606" s="44"/>
      <c r="G606" s="44"/>
      <c r="H606" s="44"/>
    </row>
    <row r="607" spans="1:8">
      <c r="A607" s="27"/>
      <c r="C607" s="28"/>
      <c r="D607" s="28"/>
      <c r="E607" s="44"/>
      <c r="F607" s="44"/>
      <c r="G607" s="44"/>
      <c r="H607" s="44"/>
    </row>
    <row r="608" spans="1:8">
      <c r="A608" s="27"/>
      <c r="C608" s="28"/>
      <c r="D608" s="28"/>
      <c r="E608" s="44"/>
      <c r="F608" s="44"/>
      <c r="G608" s="44"/>
      <c r="H608" s="44"/>
    </row>
    <row r="609" spans="1:8">
      <c r="A609" s="27"/>
      <c r="C609" s="28"/>
      <c r="D609" s="28"/>
      <c r="E609" s="44"/>
      <c r="F609" s="44"/>
      <c r="G609" s="44"/>
      <c r="H609" s="44"/>
    </row>
    <row r="610" spans="1:8">
      <c r="A610" s="27"/>
      <c r="C610" s="28"/>
      <c r="D610" s="28"/>
      <c r="E610" s="44"/>
      <c r="F610" s="44"/>
      <c r="G610" s="44"/>
      <c r="H610" s="44"/>
    </row>
    <row r="611" spans="1:8">
      <c r="A611" s="27"/>
      <c r="C611" s="28"/>
      <c r="D611" s="28"/>
      <c r="E611" s="44"/>
      <c r="F611" s="44"/>
      <c r="G611" s="44"/>
      <c r="H611" s="44"/>
    </row>
    <row r="612" spans="1:8">
      <c r="A612" s="27"/>
      <c r="C612" s="28"/>
      <c r="D612" s="28"/>
      <c r="E612" s="44"/>
      <c r="F612" s="44"/>
      <c r="G612" s="44"/>
      <c r="H612" s="44"/>
    </row>
    <row r="613" spans="1:8">
      <c r="A613" s="27"/>
      <c r="C613" s="28"/>
      <c r="D613" s="28"/>
      <c r="E613" s="44"/>
      <c r="F613" s="44"/>
      <c r="G613" s="44"/>
      <c r="H613" s="44"/>
    </row>
    <row r="614" spans="1:8">
      <c r="A614" s="27"/>
      <c r="C614" s="28"/>
      <c r="D614" s="28"/>
      <c r="E614" s="44"/>
      <c r="F614" s="44"/>
      <c r="G614" s="44"/>
      <c r="H614" s="44"/>
    </row>
    <row r="615" spans="1:8">
      <c r="A615" s="27"/>
      <c r="C615" s="28"/>
      <c r="D615" s="28"/>
      <c r="E615" s="44"/>
      <c r="F615" s="44"/>
      <c r="G615" s="44"/>
      <c r="H615" s="44"/>
    </row>
    <row r="616" spans="1:8">
      <c r="A616" s="27"/>
      <c r="C616" s="28"/>
      <c r="D616" s="28"/>
      <c r="E616" s="44"/>
      <c r="F616" s="44"/>
      <c r="G616" s="44"/>
      <c r="H616" s="44"/>
    </row>
    <row r="617" spans="1:8">
      <c r="A617" s="27"/>
      <c r="C617" s="28"/>
      <c r="D617" s="28"/>
      <c r="E617" s="44"/>
      <c r="F617" s="44"/>
      <c r="G617" s="44"/>
      <c r="H617" s="44"/>
    </row>
    <row r="618" spans="1:8">
      <c r="A618" s="27"/>
      <c r="C618" s="28"/>
      <c r="D618" s="28"/>
      <c r="E618" s="44"/>
      <c r="F618" s="44"/>
      <c r="G618" s="44"/>
      <c r="H618" s="44"/>
    </row>
    <row r="619" spans="1:8">
      <c r="A619" s="27"/>
      <c r="C619" s="28"/>
      <c r="D619" s="28"/>
      <c r="E619" s="44"/>
      <c r="F619" s="44"/>
      <c r="G619" s="44"/>
      <c r="H619" s="44"/>
    </row>
    <row r="620" spans="1:8">
      <c r="A620" s="27"/>
      <c r="C620" s="28"/>
      <c r="D620" s="28"/>
      <c r="E620" s="44"/>
      <c r="F620" s="44"/>
      <c r="G620" s="44"/>
      <c r="H620" s="44"/>
    </row>
    <row r="621" spans="1:8">
      <c r="A621" s="27"/>
      <c r="C621" s="28"/>
      <c r="D621" s="28"/>
      <c r="E621" s="44"/>
      <c r="F621" s="44"/>
      <c r="G621" s="44"/>
      <c r="H621" s="44"/>
    </row>
    <row r="622" spans="1:8">
      <c r="A622" s="27"/>
      <c r="C622" s="28"/>
      <c r="D622" s="28"/>
      <c r="E622" s="44"/>
      <c r="F622" s="44"/>
      <c r="G622" s="44"/>
      <c r="H622" s="44"/>
    </row>
    <row r="623" spans="1:8">
      <c r="A623" s="27"/>
      <c r="C623" s="28"/>
      <c r="D623" s="28"/>
      <c r="E623" s="44"/>
      <c r="F623" s="44"/>
      <c r="G623" s="44"/>
      <c r="H623" s="44"/>
    </row>
    <row r="624" spans="1:8">
      <c r="A624" s="27"/>
      <c r="C624" s="28"/>
      <c r="D624" s="28"/>
      <c r="E624" s="44"/>
      <c r="F624" s="44"/>
      <c r="G624" s="44"/>
      <c r="H624" s="44"/>
    </row>
    <row r="625" spans="1:8">
      <c r="A625" s="27"/>
      <c r="C625" s="28"/>
      <c r="D625" s="28"/>
      <c r="E625" s="44"/>
      <c r="F625" s="44"/>
      <c r="G625" s="44"/>
      <c r="H625" s="44"/>
    </row>
    <row r="626" spans="1:8">
      <c r="A626" s="27"/>
      <c r="C626" s="28"/>
      <c r="D626" s="28"/>
      <c r="E626" s="44"/>
      <c r="F626" s="44"/>
      <c r="G626" s="44"/>
      <c r="H626" s="44"/>
    </row>
    <row r="627" spans="1:8">
      <c r="A627" s="27"/>
      <c r="C627" s="28"/>
      <c r="D627" s="28"/>
      <c r="E627" s="44"/>
      <c r="F627" s="44"/>
      <c r="G627" s="44"/>
      <c r="H627" s="44"/>
    </row>
    <row r="628" spans="1:8">
      <c r="A628" s="27"/>
      <c r="C628" s="28"/>
      <c r="D628" s="28"/>
      <c r="E628" s="44"/>
      <c r="F628" s="44"/>
      <c r="G628" s="44"/>
      <c r="H628" s="44"/>
    </row>
    <row r="629" spans="1:8">
      <c r="A629" s="27"/>
      <c r="C629" s="28"/>
      <c r="D629" s="28"/>
      <c r="E629" s="44"/>
      <c r="F629" s="44"/>
      <c r="G629" s="44"/>
      <c r="H629" s="44"/>
    </row>
    <row r="630" spans="1:8">
      <c r="A630" s="27"/>
      <c r="C630" s="28"/>
      <c r="D630" s="28"/>
      <c r="E630" s="44"/>
      <c r="F630" s="44"/>
      <c r="G630" s="44"/>
      <c r="H630" s="44"/>
    </row>
    <row r="631" spans="1:8">
      <c r="A631" s="27"/>
      <c r="C631" s="28"/>
      <c r="D631" s="28"/>
      <c r="E631" s="44"/>
      <c r="F631" s="44"/>
      <c r="G631" s="44"/>
      <c r="H631" s="44"/>
    </row>
    <row r="632" spans="1:8">
      <c r="A632" s="27"/>
      <c r="C632" s="28"/>
      <c r="D632" s="28"/>
      <c r="E632" s="44"/>
      <c r="F632" s="44"/>
      <c r="G632" s="44"/>
      <c r="H632" s="44"/>
    </row>
    <row r="633" spans="1:8">
      <c r="A633" s="27"/>
      <c r="C633" s="28"/>
      <c r="D633" s="28"/>
      <c r="E633" s="44"/>
      <c r="F633" s="44"/>
      <c r="G633" s="44"/>
      <c r="H633" s="44"/>
    </row>
    <row r="634" spans="1:8">
      <c r="A634" s="27"/>
      <c r="C634" s="28"/>
      <c r="D634" s="28"/>
      <c r="E634" s="44"/>
      <c r="F634" s="44"/>
      <c r="G634" s="44"/>
      <c r="H634" s="44"/>
    </row>
    <row r="635" spans="1:8">
      <c r="A635" s="27"/>
      <c r="C635" s="28"/>
      <c r="D635" s="28"/>
      <c r="E635" s="44"/>
      <c r="F635" s="44"/>
      <c r="G635" s="44"/>
      <c r="H635" s="44"/>
    </row>
    <row r="636" spans="1:8">
      <c r="A636" s="27"/>
      <c r="C636" s="28"/>
      <c r="D636" s="28"/>
      <c r="E636" s="44"/>
      <c r="F636" s="44"/>
      <c r="G636" s="44"/>
      <c r="H636" s="44"/>
    </row>
    <row r="637" spans="1:8">
      <c r="A637" s="27"/>
      <c r="C637" s="28"/>
      <c r="D637" s="28"/>
      <c r="E637" s="44"/>
      <c r="F637" s="44"/>
      <c r="G637" s="44"/>
      <c r="H637" s="44"/>
    </row>
    <row r="638" spans="1:8">
      <c r="A638" s="27"/>
      <c r="C638" s="28"/>
      <c r="D638" s="28"/>
      <c r="E638" s="44"/>
      <c r="F638" s="44"/>
      <c r="G638" s="44"/>
      <c r="H638" s="44"/>
    </row>
    <row r="639" spans="1:8">
      <c r="A639" s="27"/>
      <c r="C639" s="28"/>
      <c r="D639" s="28"/>
      <c r="E639" s="44"/>
      <c r="F639" s="44"/>
      <c r="G639" s="44"/>
      <c r="H639" s="44"/>
    </row>
    <row r="640" spans="1:8">
      <c r="A640" s="27"/>
      <c r="C640" s="28"/>
      <c r="D640" s="28"/>
      <c r="E640" s="44"/>
      <c r="F640" s="44"/>
      <c r="G640" s="44"/>
      <c r="H640" s="44"/>
    </row>
    <row r="641" spans="1:8">
      <c r="A641" s="27"/>
      <c r="C641" s="28"/>
      <c r="D641" s="28"/>
      <c r="E641" s="44"/>
      <c r="F641" s="44"/>
      <c r="G641" s="44"/>
      <c r="H641" s="44"/>
    </row>
    <row r="642" spans="1:8">
      <c r="A642" s="27"/>
      <c r="C642" s="28"/>
      <c r="D642" s="28"/>
      <c r="E642" s="44"/>
      <c r="F642" s="44"/>
      <c r="G642" s="44"/>
      <c r="H642" s="44"/>
    </row>
    <row r="643" spans="1:8">
      <c r="A643" s="27"/>
      <c r="C643" s="28"/>
      <c r="D643" s="28"/>
      <c r="E643" s="44"/>
      <c r="F643" s="44"/>
      <c r="G643" s="44"/>
      <c r="H643" s="44"/>
    </row>
    <row r="644" spans="1:8">
      <c r="A644" s="27"/>
      <c r="C644" s="28"/>
      <c r="D644" s="28"/>
      <c r="E644" s="44"/>
      <c r="F644" s="44"/>
      <c r="G644" s="44"/>
      <c r="H644" s="44"/>
    </row>
    <row r="645" spans="1:8">
      <c r="A645" s="27"/>
      <c r="C645" s="28"/>
      <c r="D645" s="28"/>
      <c r="E645" s="44"/>
      <c r="F645" s="44"/>
      <c r="G645" s="44"/>
      <c r="H645" s="44"/>
    </row>
    <row r="646" spans="1:8">
      <c r="A646" s="27"/>
      <c r="C646" s="28"/>
      <c r="D646" s="28"/>
      <c r="E646" s="44"/>
      <c r="F646" s="44"/>
      <c r="G646" s="44"/>
      <c r="H646" s="44"/>
    </row>
    <row r="647" spans="1:8">
      <c r="A647" s="27"/>
      <c r="C647" s="28"/>
      <c r="D647" s="28"/>
      <c r="E647" s="44"/>
      <c r="F647" s="44"/>
      <c r="G647" s="44"/>
      <c r="H647" s="44"/>
    </row>
    <row r="648" spans="1:8">
      <c r="A648" s="27"/>
      <c r="C648" s="28"/>
      <c r="D648" s="28"/>
      <c r="E648" s="44"/>
      <c r="F648" s="44"/>
      <c r="G648" s="44"/>
      <c r="H648" s="44"/>
    </row>
    <row r="649" spans="1:8">
      <c r="A649" s="27"/>
      <c r="C649" s="28"/>
      <c r="D649" s="28"/>
      <c r="E649" s="44"/>
      <c r="F649" s="44"/>
      <c r="G649" s="44"/>
      <c r="H649" s="44"/>
    </row>
    <row r="650" spans="1:8">
      <c r="A650" s="27"/>
      <c r="C650" s="28"/>
      <c r="D650" s="28"/>
      <c r="E650" s="44"/>
      <c r="F650" s="44"/>
      <c r="G650" s="44"/>
      <c r="H650" s="44"/>
    </row>
    <row r="651" spans="1:8">
      <c r="A651" s="27"/>
      <c r="C651" s="28"/>
      <c r="D651" s="28"/>
      <c r="E651" s="44"/>
      <c r="F651" s="44"/>
      <c r="G651" s="44"/>
      <c r="H651" s="44"/>
    </row>
    <row r="652" spans="1:8">
      <c r="A652" s="27"/>
      <c r="C652" s="28"/>
      <c r="D652" s="28"/>
      <c r="E652" s="44"/>
      <c r="F652" s="44"/>
      <c r="G652" s="44"/>
      <c r="H652" s="44"/>
    </row>
    <row r="653" spans="1:8">
      <c r="A653" s="27"/>
      <c r="C653" s="28"/>
      <c r="D653" s="28"/>
      <c r="E653" s="44"/>
      <c r="F653" s="44"/>
      <c r="G653" s="44"/>
      <c r="H653" s="44"/>
    </row>
    <row r="654" spans="1:8">
      <c r="A654" s="27"/>
      <c r="C654" s="28"/>
      <c r="D654" s="28"/>
      <c r="E654" s="44"/>
      <c r="F654" s="44"/>
      <c r="G654" s="44"/>
      <c r="H654" s="44"/>
    </row>
    <row r="655" spans="1:8">
      <c r="A655" s="27"/>
      <c r="C655" s="28"/>
      <c r="D655" s="28"/>
      <c r="E655" s="44"/>
      <c r="F655" s="44"/>
      <c r="G655" s="44"/>
      <c r="H655" s="44"/>
    </row>
    <row r="656" spans="1:8">
      <c r="A656" s="27"/>
      <c r="C656" s="28"/>
      <c r="D656" s="28"/>
      <c r="E656" s="44"/>
      <c r="F656" s="44"/>
      <c r="G656" s="44"/>
      <c r="H656" s="44"/>
    </row>
    <row r="657" spans="1:8">
      <c r="A657" s="27"/>
      <c r="C657" s="28"/>
      <c r="D657" s="28"/>
      <c r="E657" s="44"/>
      <c r="F657" s="44"/>
      <c r="G657" s="44"/>
      <c r="H657" s="44"/>
    </row>
    <row r="658" spans="1:8">
      <c r="A658" s="27"/>
      <c r="C658" s="28"/>
      <c r="D658" s="28"/>
      <c r="E658" s="44"/>
      <c r="F658" s="44"/>
      <c r="G658" s="44"/>
      <c r="H658" s="44"/>
    </row>
    <row r="659" spans="1:8">
      <c r="A659" s="27"/>
      <c r="C659" s="28"/>
      <c r="D659" s="28"/>
      <c r="E659" s="44"/>
      <c r="F659" s="44"/>
      <c r="G659" s="44"/>
      <c r="H659" s="44"/>
    </row>
    <row r="660" spans="1:8">
      <c r="A660" s="27"/>
      <c r="C660" s="28"/>
      <c r="D660" s="28"/>
      <c r="E660" s="44"/>
      <c r="F660" s="44"/>
      <c r="G660" s="44"/>
      <c r="H660" s="44"/>
    </row>
    <row r="661" spans="1:8">
      <c r="A661" s="27"/>
      <c r="C661" s="28"/>
      <c r="D661" s="28"/>
      <c r="E661" s="44"/>
      <c r="F661" s="44"/>
      <c r="G661" s="44"/>
      <c r="H661" s="44"/>
    </row>
    <row r="662" spans="1:8">
      <c r="A662" s="27"/>
      <c r="C662" s="28"/>
      <c r="D662" s="28"/>
      <c r="E662" s="44"/>
      <c r="F662" s="44"/>
      <c r="G662" s="44"/>
      <c r="H662" s="44"/>
    </row>
    <row r="663" spans="1:8">
      <c r="A663" s="27"/>
      <c r="C663" s="28"/>
      <c r="D663" s="28"/>
      <c r="E663" s="44"/>
      <c r="F663" s="44"/>
      <c r="G663" s="44"/>
      <c r="H663" s="44"/>
    </row>
    <row r="664" spans="1:8">
      <c r="A664" s="27"/>
      <c r="C664" s="28"/>
      <c r="D664" s="28"/>
      <c r="E664" s="44"/>
      <c r="F664" s="44"/>
      <c r="G664" s="44"/>
      <c r="H664" s="44"/>
    </row>
    <row r="665" spans="1:8">
      <c r="A665" s="27"/>
      <c r="C665" s="28"/>
      <c r="D665" s="28"/>
      <c r="E665" s="44"/>
      <c r="F665" s="44"/>
      <c r="G665" s="44"/>
      <c r="H665" s="44"/>
    </row>
    <row r="666" spans="1:8">
      <c r="A666" s="27"/>
      <c r="C666" s="28"/>
      <c r="D666" s="28"/>
      <c r="E666" s="44"/>
      <c r="F666" s="44"/>
      <c r="G666" s="44"/>
      <c r="H666" s="44"/>
    </row>
    <row r="667" spans="1:8">
      <c r="A667" s="27"/>
      <c r="C667" s="28"/>
      <c r="D667" s="28"/>
      <c r="E667" s="44"/>
      <c r="F667" s="44"/>
      <c r="G667" s="44"/>
      <c r="H667" s="44"/>
    </row>
    <row r="668" spans="1:8">
      <c r="A668" s="27"/>
      <c r="C668" s="28"/>
      <c r="D668" s="28"/>
      <c r="E668" s="44"/>
      <c r="F668" s="44"/>
      <c r="G668" s="44"/>
      <c r="H668" s="44"/>
    </row>
    <row r="669" spans="1:8">
      <c r="A669" s="27"/>
      <c r="C669" s="28"/>
      <c r="D669" s="28"/>
      <c r="E669" s="44"/>
      <c r="F669" s="44"/>
      <c r="G669" s="44"/>
      <c r="H669" s="44"/>
    </row>
    <row r="670" spans="1:8">
      <c r="A670" s="27"/>
      <c r="C670" s="28"/>
      <c r="D670" s="28"/>
      <c r="E670" s="44"/>
      <c r="F670" s="44"/>
      <c r="G670" s="44"/>
      <c r="H670" s="44"/>
    </row>
    <row r="671" spans="1:8">
      <c r="A671" s="27"/>
      <c r="C671" s="28"/>
      <c r="D671" s="28"/>
      <c r="E671" s="44"/>
      <c r="F671" s="44"/>
      <c r="G671" s="44"/>
      <c r="H671" s="44"/>
    </row>
    <row r="672" spans="1:8">
      <c r="A672" s="27"/>
      <c r="C672" s="28"/>
      <c r="D672" s="28"/>
      <c r="E672" s="44"/>
      <c r="F672" s="44"/>
      <c r="G672" s="44"/>
      <c r="H672" s="44"/>
    </row>
    <row r="673" spans="1:8">
      <c r="A673" s="27"/>
      <c r="C673" s="28"/>
      <c r="D673" s="28"/>
      <c r="E673" s="44"/>
      <c r="F673" s="44"/>
      <c r="G673" s="44"/>
      <c r="H673" s="44"/>
    </row>
    <row r="674" spans="1:8">
      <c r="A674" s="27"/>
      <c r="C674" s="28"/>
      <c r="D674" s="28"/>
      <c r="E674" s="44"/>
      <c r="F674" s="44"/>
      <c r="G674" s="44"/>
      <c r="H674" s="44"/>
    </row>
    <row r="675" spans="1:8">
      <c r="A675" s="27"/>
      <c r="C675" s="28"/>
      <c r="D675" s="28"/>
      <c r="E675" s="44"/>
      <c r="F675" s="44"/>
      <c r="G675" s="44"/>
      <c r="H675" s="44"/>
    </row>
    <row r="676" spans="1:8">
      <c r="A676" s="27"/>
      <c r="C676" s="28"/>
      <c r="D676" s="28"/>
      <c r="E676" s="44"/>
      <c r="F676" s="44"/>
      <c r="G676" s="44"/>
      <c r="H676" s="44"/>
    </row>
    <row r="677" spans="1:8">
      <c r="A677" s="27"/>
      <c r="C677" s="28"/>
      <c r="D677" s="28"/>
      <c r="E677" s="44"/>
      <c r="F677" s="44"/>
      <c r="G677" s="44"/>
      <c r="H677" s="44"/>
    </row>
    <row r="678" spans="1:8">
      <c r="A678" s="27"/>
      <c r="C678" s="28"/>
      <c r="D678" s="28"/>
      <c r="E678" s="44"/>
      <c r="F678" s="44"/>
      <c r="G678" s="44"/>
      <c r="H678" s="44"/>
    </row>
    <row r="679" spans="1:8">
      <c r="A679" s="27"/>
      <c r="C679" s="28"/>
      <c r="D679" s="28"/>
      <c r="E679" s="44"/>
      <c r="F679" s="44"/>
      <c r="G679" s="44"/>
      <c r="H679" s="44"/>
    </row>
    <row r="680" spans="1:8">
      <c r="A680" s="27"/>
      <c r="C680" s="28"/>
      <c r="D680" s="28"/>
      <c r="E680" s="44"/>
      <c r="F680" s="44"/>
      <c r="G680" s="44"/>
      <c r="H680" s="44"/>
    </row>
    <row r="681" spans="1:8">
      <c r="A681" s="27"/>
      <c r="C681" s="28"/>
      <c r="D681" s="28"/>
      <c r="E681" s="44"/>
      <c r="F681" s="44"/>
      <c r="G681" s="44"/>
      <c r="H681" s="44"/>
    </row>
    <row r="682" spans="1:8">
      <c r="A682" s="27"/>
      <c r="C682" s="28"/>
      <c r="D682" s="28"/>
      <c r="E682" s="44"/>
      <c r="F682" s="44"/>
      <c r="G682" s="44"/>
      <c r="H682" s="44"/>
    </row>
    <row r="683" spans="1:8">
      <c r="A683" s="27"/>
      <c r="C683" s="28"/>
      <c r="D683" s="28"/>
      <c r="E683" s="44"/>
      <c r="F683" s="44"/>
      <c r="G683" s="44"/>
      <c r="H683" s="44"/>
    </row>
    <row r="684" spans="1:8">
      <c r="A684" s="27"/>
      <c r="C684" s="28"/>
      <c r="D684" s="28"/>
      <c r="E684" s="44"/>
      <c r="F684" s="44"/>
      <c r="G684" s="44"/>
      <c r="H684" s="44"/>
    </row>
    <row r="685" spans="1:8">
      <c r="A685" s="27"/>
      <c r="C685" s="28"/>
      <c r="D685" s="28"/>
      <c r="E685" s="44"/>
      <c r="F685" s="44"/>
      <c r="G685" s="44"/>
      <c r="H685" s="44"/>
    </row>
    <row r="686" spans="1:8">
      <c r="A686" s="27"/>
      <c r="C686" s="28"/>
      <c r="D686" s="28"/>
      <c r="E686" s="44"/>
      <c r="F686" s="44"/>
      <c r="G686" s="44"/>
      <c r="H686" s="44"/>
    </row>
    <row r="687" spans="1:8">
      <c r="A687" s="27"/>
      <c r="C687" s="28"/>
      <c r="D687" s="28"/>
      <c r="E687" s="44"/>
      <c r="F687" s="44"/>
      <c r="G687" s="44"/>
      <c r="H687" s="44"/>
    </row>
    <row r="688" spans="1:8">
      <c r="A688" s="27"/>
      <c r="C688" s="28"/>
      <c r="D688" s="28"/>
      <c r="E688" s="44"/>
      <c r="F688" s="44"/>
      <c r="G688" s="44"/>
      <c r="H688" s="44"/>
    </row>
    <row r="689" spans="1:8">
      <c r="A689" s="27"/>
      <c r="C689" s="28"/>
      <c r="D689" s="28"/>
      <c r="E689" s="44"/>
      <c r="F689" s="44"/>
      <c r="G689" s="44"/>
      <c r="H689" s="44"/>
    </row>
    <row r="690" spans="1:8">
      <c r="A690" s="27"/>
      <c r="C690" s="28"/>
      <c r="D690" s="28"/>
      <c r="E690" s="44"/>
      <c r="F690" s="44"/>
      <c r="G690" s="44"/>
      <c r="H690" s="44"/>
    </row>
    <row r="691" spans="1:8">
      <c r="A691" s="27"/>
      <c r="C691" s="28"/>
      <c r="D691" s="28"/>
      <c r="E691" s="44"/>
      <c r="F691" s="44"/>
      <c r="G691" s="44"/>
      <c r="H691" s="44"/>
    </row>
    <row r="692" spans="1:8">
      <c r="A692" s="27"/>
      <c r="C692" s="28"/>
      <c r="D692" s="28"/>
      <c r="E692" s="44"/>
      <c r="F692" s="44"/>
      <c r="G692" s="44"/>
      <c r="H692" s="44"/>
    </row>
    <row r="693" spans="1:8">
      <c r="A693" s="27"/>
      <c r="C693" s="28"/>
      <c r="D693" s="28"/>
      <c r="E693" s="44"/>
      <c r="F693" s="44"/>
      <c r="G693" s="44"/>
      <c r="H693" s="44"/>
    </row>
    <row r="694" spans="1:8">
      <c r="A694" s="27"/>
      <c r="C694" s="28"/>
      <c r="D694" s="28"/>
      <c r="E694" s="44"/>
      <c r="F694" s="44"/>
      <c r="G694" s="44"/>
      <c r="H694" s="44"/>
    </row>
    <row r="695" spans="1:8">
      <c r="A695" s="27"/>
      <c r="C695" s="28"/>
      <c r="D695" s="28"/>
      <c r="E695" s="44"/>
      <c r="F695" s="44"/>
      <c r="G695" s="44"/>
      <c r="H695" s="44"/>
    </row>
    <row r="696" spans="1:8">
      <c r="A696" s="27"/>
      <c r="C696" s="28"/>
      <c r="D696" s="28"/>
      <c r="E696" s="44"/>
      <c r="F696" s="44"/>
      <c r="G696" s="44"/>
      <c r="H696" s="44"/>
    </row>
    <row r="697" spans="1:8">
      <c r="A697" s="27"/>
      <c r="C697" s="28"/>
      <c r="D697" s="28"/>
      <c r="E697" s="44"/>
      <c r="F697" s="44"/>
      <c r="G697" s="44"/>
      <c r="H697" s="44"/>
    </row>
    <row r="698" spans="1:8">
      <c r="A698" s="27"/>
      <c r="C698" s="28"/>
      <c r="D698" s="28"/>
      <c r="E698" s="44"/>
      <c r="F698" s="44"/>
      <c r="G698" s="44"/>
      <c r="H698" s="44"/>
    </row>
    <row r="699" spans="1:8">
      <c r="A699" s="27"/>
      <c r="C699" s="28"/>
      <c r="D699" s="28"/>
      <c r="E699" s="44"/>
      <c r="F699" s="44"/>
      <c r="G699" s="44"/>
      <c r="H699" s="44"/>
    </row>
    <row r="700" spans="1:8">
      <c r="A700" s="27"/>
      <c r="C700" s="28"/>
      <c r="D700" s="28"/>
      <c r="E700" s="44"/>
      <c r="F700" s="44"/>
      <c r="G700" s="44"/>
      <c r="H700" s="44"/>
    </row>
    <row r="701" spans="1:8">
      <c r="A701" s="27"/>
      <c r="C701" s="28"/>
      <c r="D701" s="28"/>
      <c r="E701" s="44"/>
      <c r="F701" s="44"/>
      <c r="G701" s="44"/>
      <c r="H701" s="44"/>
    </row>
    <row r="702" spans="1:8">
      <c r="A702" s="27"/>
      <c r="C702" s="28"/>
      <c r="D702" s="28"/>
      <c r="E702" s="44"/>
      <c r="F702" s="44"/>
      <c r="G702" s="44"/>
      <c r="H702" s="44"/>
    </row>
    <row r="703" spans="1:8">
      <c r="A703" s="27"/>
      <c r="C703" s="28"/>
      <c r="D703" s="28"/>
      <c r="E703" s="44"/>
      <c r="F703" s="44"/>
      <c r="G703" s="44"/>
      <c r="H703" s="44"/>
    </row>
    <row r="704" spans="1:8">
      <c r="A704" s="27"/>
      <c r="C704" s="28"/>
      <c r="D704" s="28"/>
      <c r="E704" s="44"/>
      <c r="F704" s="44"/>
      <c r="G704" s="44"/>
      <c r="H704" s="44"/>
    </row>
    <row r="705" spans="1:8">
      <c r="A705" s="27"/>
      <c r="C705" s="28"/>
      <c r="D705" s="28"/>
      <c r="E705" s="44"/>
      <c r="F705" s="44"/>
      <c r="G705" s="44"/>
      <c r="H705" s="44"/>
    </row>
    <row r="706" spans="1:8">
      <c r="A706" s="27"/>
      <c r="C706" s="28"/>
      <c r="D706" s="28"/>
      <c r="E706" s="44"/>
      <c r="F706" s="44"/>
      <c r="G706" s="44"/>
      <c r="H706" s="44"/>
    </row>
    <row r="707" spans="1:8">
      <c r="A707" s="27"/>
      <c r="C707" s="28"/>
      <c r="D707" s="28"/>
      <c r="E707" s="44"/>
      <c r="F707" s="44"/>
      <c r="G707" s="44"/>
      <c r="H707" s="44"/>
    </row>
    <row r="708" spans="1:8">
      <c r="A708" s="27"/>
      <c r="C708" s="28"/>
      <c r="D708" s="28"/>
      <c r="E708" s="44"/>
      <c r="F708" s="44"/>
      <c r="G708" s="44"/>
      <c r="H708" s="44"/>
    </row>
    <row r="709" spans="1:8">
      <c r="A709" s="27"/>
      <c r="C709" s="28"/>
      <c r="D709" s="28"/>
      <c r="E709" s="44"/>
      <c r="F709" s="44"/>
      <c r="G709" s="44"/>
      <c r="H709" s="44"/>
    </row>
    <row r="710" spans="1:8">
      <c r="A710" s="27"/>
      <c r="C710" s="28"/>
      <c r="D710" s="28"/>
      <c r="E710" s="44"/>
      <c r="F710" s="44"/>
      <c r="G710" s="44"/>
      <c r="H710" s="44"/>
    </row>
    <row r="711" spans="1:8">
      <c r="A711" s="27"/>
      <c r="C711" s="28"/>
      <c r="D711" s="28"/>
      <c r="E711" s="44"/>
      <c r="F711" s="44"/>
      <c r="G711" s="44"/>
      <c r="H711" s="44"/>
    </row>
    <row r="712" spans="1:8">
      <c r="A712" s="27"/>
      <c r="C712" s="28"/>
      <c r="D712" s="28"/>
      <c r="E712" s="44"/>
      <c r="F712" s="44"/>
      <c r="G712" s="44"/>
      <c r="H712" s="44"/>
    </row>
    <row r="713" spans="1:8">
      <c r="A713" s="27"/>
      <c r="C713" s="28"/>
      <c r="D713" s="28"/>
      <c r="E713" s="44"/>
      <c r="F713" s="44"/>
      <c r="G713" s="44"/>
      <c r="H713" s="44"/>
    </row>
    <row r="714" spans="1:8">
      <c r="A714" s="27"/>
      <c r="C714" s="28"/>
      <c r="D714" s="28"/>
      <c r="E714" s="44"/>
      <c r="F714" s="44"/>
      <c r="G714" s="44"/>
      <c r="H714" s="44"/>
    </row>
    <row r="715" spans="1:8">
      <c r="A715" s="27"/>
      <c r="C715" s="28"/>
      <c r="D715" s="28"/>
      <c r="E715" s="44"/>
      <c r="F715" s="44"/>
      <c r="G715" s="44"/>
      <c r="H715" s="44"/>
    </row>
    <row r="716" spans="1:8">
      <c r="A716" s="27"/>
      <c r="C716" s="28"/>
      <c r="D716" s="28"/>
      <c r="E716" s="44"/>
      <c r="F716" s="44"/>
      <c r="G716" s="44"/>
      <c r="H716" s="44"/>
    </row>
    <row r="717" spans="1:8">
      <c r="A717" s="27"/>
      <c r="C717" s="28"/>
      <c r="D717" s="28"/>
      <c r="E717" s="44"/>
      <c r="F717" s="44"/>
      <c r="G717" s="44"/>
      <c r="H717" s="44"/>
    </row>
    <row r="718" spans="1:8">
      <c r="A718" s="27"/>
      <c r="C718" s="28"/>
      <c r="D718" s="28"/>
      <c r="E718" s="44"/>
      <c r="F718" s="44"/>
      <c r="G718" s="44"/>
      <c r="H718" s="44"/>
    </row>
    <row r="719" spans="1:8">
      <c r="A719" s="27"/>
      <c r="C719" s="28"/>
      <c r="D719" s="28"/>
      <c r="E719" s="44"/>
      <c r="F719" s="44"/>
      <c r="G719" s="44"/>
      <c r="H719" s="44"/>
    </row>
    <row r="720" spans="1:8">
      <c r="A720" s="27"/>
      <c r="C720" s="28"/>
      <c r="D720" s="28"/>
      <c r="E720" s="44"/>
      <c r="F720" s="44"/>
      <c r="G720" s="44"/>
      <c r="H720" s="44"/>
    </row>
    <row r="721" spans="1:8">
      <c r="A721" s="27"/>
      <c r="C721" s="28"/>
      <c r="D721" s="28"/>
      <c r="E721" s="44"/>
      <c r="F721" s="44"/>
      <c r="G721" s="44"/>
      <c r="H721" s="44"/>
    </row>
    <row r="722" spans="1:8">
      <c r="A722" s="27"/>
      <c r="C722" s="28"/>
      <c r="D722" s="28"/>
      <c r="E722" s="44"/>
      <c r="F722" s="44"/>
      <c r="G722" s="44"/>
      <c r="H722" s="44"/>
    </row>
    <row r="723" spans="1:8">
      <c r="A723" s="27"/>
      <c r="C723" s="28"/>
      <c r="D723" s="28"/>
      <c r="E723" s="44"/>
      <c r="F723" s="44"/>
      <c r="G723" s="44"/>
      <c r="H723" s="44"/>
    </row>
    <row r="724" spans="1:8">
      <c r="A724" s="27"/>
      <c r="C724" s="28"/>
      <c r="D724" s="28"/>
      <c r="E724" s="44"/>
      <c r="F724" s="44"/>
      <c r="G724" s="44"/>
      <c r="H724" s="44"/>
    </row>
    <row r="725" spans="1:8">
      <c r="A725" s="27"/>
      <c r="C725" s="28"/>
      <c r="D725" s="28"/>
      <c r="E725" s="44"/>
      <c r="F725" s="44"/>
      <c r="G725" s="44"/>
      <c r="H725" s="44"/>
    </row>
    <row r="726" spans="1:8">
      <c r="A726" s="27"/>
      <c r="C726" s="28"/>
      <c r="D726" s="28"/>
      <c r="E726" s="44"/>
      <c r="F726" s="44"/>
      <c r="G726" s="44"/>
      <c r="H726" s="44"/>
    </row>
    <row r="727" spans="1:8">
      <c r="A727" s="27"/>
      <c r="C727" s="28"/>
      <c r="D727" s="28"/>
      <c r="E727" s="44"/>
      <c r="F727" s="44"/>
      <c r="G727" s="44"/>
      <c r="H727" s="44"/>
    </row>
    <row r="728" spans="1:8">
      <c r="A728" s="27"/>
      <c r="C728" s="28"/>
      <c r="D728" s="28"/>
      <c r="E728" s="44"/>
      <c r="F728" s="44"/>
      <c r="G728" s="44"/>
      <c r="H728" s="44"/>
    </row>
    <row r="729" spans="1:8">
      <c r="A729" s="27"/>
      <c r="C729" s="28"/>
      <c r="D729" s="28"/>
      <c r="E729" s="44"/>
      <c r="F729" s="44"/>
      <c r="G729" s="44"/>
      <c r="H729" s="44"/>
    </row>
    <row r="730" spans="1:8">
      <c r="A730" s="27"/>
      <c r="C730" s="28"/>
      <c r="D730" s="28"/>
      <c r="E730" s="44"/>
      <c r="F730" s="44"/>
      <c r="G730" s="44"/>
      <c r="H730" s="44"/>
    </row>
    <row r="731" spans="1:8">
      <c r="A731" s="27"/>
      <c r="C731" s="28"/>
      <c r="D731" s="28"/>
      <c r="E731" s="44"/>
      <c r="F731" s="44"/>
      <c r="G731" s="44"/>
      <c r="H731" s="44"/>
    </row>
    <row r="732" spans="1:8">
      <c r="A732" s="27"/>
      <c r="C732" s="28"/>
      <c r="D732" s="28"/>
      <c r="E732" s="44"/>
      <c r="F732" s="44"/>
      <c r="G732" s="44"/>
      <c r="H732" s="44"/>
    </row>
    <row r="733" spans="1:8">
      <c r="A733" s="27"/>
      <c r="C733" s="28"/>
      <c r="D733" s="28"/>
      <c r="E733" s="44"/>
      <c r="F733" s="44"/>
      <c r="G733" s="44"/>
      <c r="H733" s="44"/>
    </row>
    <row r="734" spans="1:8">
      <c r="A734" s="27"/>
      <c r="C734" s="28"/>
      <c r="D734" s="28"/>
      <c r="E734" s="44"/>
      <c r="F734" s="44"/>
      <c r="G734" s="44"/>
      <c r="H734" s="44"/>
    </row>
    <row r="735" spans="1:8">
      <c r="A735" s="27"/>
      <c r="C735" s="28"/>
      <c r="D735" s="28"/>
      <c r="E735" s="44"/>
      <c r="F735" s="44"/>
      <c r="G735" s="44"/>
      <c r="H735" s="44"/>
    </row>
    <row r="736" spans="1:8">
      <c r="A736" s="27"/>
      <c r="C736" s="28"/>
      <c r="D736" s="28"/>
      <c r="E736" s="44"/>
      <c r="F736" s="44"/>
      <c r="G736" s="44"/>
      <c r="H736" s="44"/>
    </row>
    <row r="737" spans="1:8">
      <c r="A737" s="27"/>
      <c r="C737" s="28"/>
      <c r="D737" s="28"/>
      <c r="E737" s="44"/>
      <c r="F737" s="44"/>
      <c r="G737" s="44"/>
      <c r="H737" s="44"/>
    </row>
    <row r="738" spans="1:8">
      <c r="A738" s="27"/>
      <c r="C738" s="28"/>
      <c r="D738" s="28"/>
      <c r="E738" s="44"/>
      <c r="F738" s="44"/>
      <c r="G738" s="44"/>
      <c r="H738" s="44"/>
    </row>
    <row r="739" spans="1:8">
      <c r="A739" s="27"/>
      <c r="C739" s="28"/>
      <c r="D739" s="28"/>
      <c r="E739" s="44"/>
      <c r="F739" s="44"/>
      <c r="G739" s="44"/>
      <c r="H739" s="44"/>
    </row>
    <row r="740" spans="1:8">
      <c r="A740" s="27"/>
      <c r="C740" s="28"/>
      <c r="D740" s="28"/>
      <c r="E740" s="44"/>
      <c r="F740" s="44"/>
      <c r="G740" s="44"/>
      <c r="H740" s="44"/>
    </row>
    <row r="741" spans="1:8">
      <c r="A741" s="27"/>
      <c r="C741" s="28"/>
      <c r="D741" s="28"/>
      <c r="E741" s="44"/>
      <c r="F741" s="44"/>
      <c r="G741" s="44"/>
      <c r="H741" s="44"/>
    </row>
    <row r="742" spans="1:8">
      <c r="A742" s="27"/>
      <c r="C742" s="28"/>
      <c r="D742" s="28"/>
      <c r="E742" s="44"/>
      <c r="F742" s="44"/>
      <c r="G742" s="44"/>
      <c r="H742" s="44"/>
    </row>
    <row r="743" spans="1:8">
      <c r="A743" s="27"/>
      <c r="C743" s="28"/>
      <c r="D743" s="28"/>
      <c r="E743" s="44"/>
      <c r="F743" s="44"/>
      <c r="G743" s="44"/>
      <c r="H743" s="44"/>
    </row>
    <row r="744" spans="1:8">
      <c r="A744" s="27"/>
      <c r="C744" s="28"/>
      <c r="D744" s="28"/>
      <c r="E744" s="44"/>
      <c r="F744" s="44"/>
      <c r="G744" s="44"/>
      <c r="H744" s="44"/>
    </row>
    <row r="745" spans="1:8">
      <c r="A745" s="27"/>
      <c r="C745" s="28"/>
      <c r="D745" s="28"/>
      <c r="E745" s="44"/>
      <c r="F745" s="44"/>
      <c r="G745" s="44"/>
      <c r="H745" s="44"/>
    </row>
    <row r="746" spans="1:8">
      <c r="A746" s="27"/>
      <c r="C746" s="28"/>
      <c r="D746" s="28"/>
      <c r="E746" s="44"/>
      <c r="F746" s="44"/>
      <c r="G746" s="44"/>
      <c r="H746" s="44"/>
    </row>
    <row r="747" spans="1:8">
      <c r="A747" s="27"/>
      <c r="C747" s="28"/>
      <c r="D747" s="28"/>
      <c r="E747" s="44"/>
      <c r="F747" s="44"/>
      <c r="G747" s="44"/>
      <c r="H747" s="44"/>
    </row>
    <row r="748" spans="1:8">
      <c r="A748" s="27"/>
      <c r="C748" s="28"/>
      <c r="D748" s="28"/>
      <c r="E748" s="44"/>
      <c r="F748" s="44"/>
      <c r="G748" s="44"/>
      <c r="H748" s="44"/>
    </row>
    <row r="749" spans="1:8">
      <c r="A749" s="27"/>
      <c r="C749" s="28"/>
      <c r="D749" s="28"/>
      <c r="E749" s="44"/>
      <c r="F749" s="44"/>
      <c r="G749" s="44"/>
      <c r="H749" s="44"/>
    </row>
    <row r="750" spans="1:8">
      <c r="A750" s="27"/>
      <c r="C750" s="28"/>
      <c r="D750" s="28"/>
      <c r="E750" s="44"/>
      <c r="F750" s="44"/>
      <c r="G750" s="44"/>
      <c r="H750" s="44"/>
    </row>
    <row r="751" spans="1:8">
      <c r="A751" s="27"/>
      <c r="C751" s="28"/>
      <c r="D751" s="28"/>
      <c r="E751" s="44"/>
      <c r="F751" s="44"/>
      <c r="G751" s="44"/>
      <c r="H751" s="44"/>
    </row>
    <row r="752" spans="1:8">
      <c r="A752" s="27"/>
      <c r="C752" s="28"/>
      <c r="D752" s="28"/>
      <c r="E752" s="44"/>
      <c r="F752" s="44"/>
      <c r="G752" s="44"/>
      <c r="H752" s="44"/>
    </row>
    <row r="753" spans="1:8">
      <c r="A753" s="27"/>
      <c r="C753" s="28"/>
      <c r="D753" s="28"/>
      <c r="E753" s="44"/>
      <c r="F753" s="44"/>
      <c r="G753" s="44"/>
      <c r="H753" s="44"/>
    </row>
    <row r="754" spans="1:8">
      <c r="A754" s="27"/>
      <c r="C754" s="28"/>
      <c r="D754" s="28"/>
      <c r="E754" s="44"/>
      <c r="F754" s="44"/>
      <c r="G754" s="44"/>
      <c r="H754" s="44"/>
    </row>
    <row r="755" spans="1:8">
      <c r="A755" s="27"/>
      <c r="C755" s="28"/>
      <c r="D755" s="28"/>
      <c r="E755" s="44"/>
      <c r="F755" s="44"/>
      <c r="G755" s="44"/>
      <c r="H755" s="44"/>
    </row>
    <row r="756" spans="1:8">
      <c r="A756" s="27"/>
      <c r="C756" s="28"/>
      <c r="D756" s="28"/>
      <c r="E756" s="44"/>
      <c r="F756" s="44"/>
      <c r="G756" s="44"/>
      <c r="H756" s="44"/>
    </row>
    <row r="757" spans="1:8">
      <c r="A757" s="27"/>
      <c r="C757" s="28"/>
      <c r="D757" s="28"/>
      <c r="E757" s="44"/>
      <c r="F757" s="44"/>
      <c r="G757" s="44"/>
      <c r="H757" s="44"/>
    </row>
    <row r="758" spans="1:8">
      <c r="A758" s="27"/>
      <c r="C758" s="28"/>
      <c r="D758" s="28"/>
      <c r="E758" s="44"/>
      <c r="F758" s="44"/>
      <c r="G758" s="44"/>
      <c r="H758" s="44"/>
    </row>
    <row r="759" spans="1:8">
      <c r="A759" s="27"/>
      <c r="C759" s="28"/>
      <c r="D759" s="28"/>
      <c r="E759" s="44"/>
      <c r="F759" s="44"/>
      <c r="G759" s="44"/>
      <c r="H759" s="44"/>
    </row>
    <row r="760" spans="1:8">
      <c r="A760" s="27"/>
      <c r="C760" s="28"/>
      <c r="D760" s="28"/>
      <c r="E760" s="44"/>
      <c r="F760" s="44"/>
      <c r="G760" s="44"/>
      <c r="H760" s="44"/>
    </row>
    <row r="761" spans="1:8">
      <c r="A761" s="27"/>
      <c r="C761" s="28"/>
      <c r="D761" s="28"/>
      <c r="E761" s="44"/>
      <c r="F761" s="44"/>
      <c r="G761" s="44"/>
      <c r="H761" s="44"/>
    </row>
    <row r="762" spans="1:8">
      <c r="A762" s="27"/>
      <c r="C762" s="28"/>
      <c r="D762" s="28"/>
      <c r="E762" s="44"/>
      <c r="F762" s="44"/>
      <c r="G762" s="44"/>
      <c r="H762" s="44"/>
    </row>
    <row r="763" spans="1:8">
      <c r="A763" s="27"/>
      <c r="C763" s="28"/>
      <c r="D763" s="28"/>
      <c r="E763" s="44"/>
      <c r="F763" s="44"/>
      <c r="G763" s="44"/>
      <c r="H763" s="44"/>
    </row>
    <row r="764" spans="1:8">
      <c r="A764" s="27"/>
      <c r="C764" s="28"/>
      <c r="D764" s="28"/>
      <c r="E764" s="44"/>
      <c r="F764" s="44"/>
      <c r="G764" s="44"/>
      <c r="H764" s="44"/>
    </row>
    <row r="765" spans="1:8">
      <c r="A765" s="27"/>
      <c r="C765" s="28"/>
      <c r="D765" s="28"/>
      <c r="E765" s="44"/>
      <c r="F765" s="44"/>
      <c r="G765" s="44"/>
      <c r="H765" s="44"/>
    </row>
    <row r="766" spans="1:8">
      <c r="A766" s="27"/>
      <c r="C766" s="28"/>
      <c r="D766" s="28"/>
      <c r="E766" s="44"/>
      <c r="F766" s="44"/>
      <c r="G766" s="44"/>
      <c r="H766" s="44"/>
    </row>
    <row r="767" spans="1:8">
      <c r="A767" s="27"/>
      <c r="C767" s="28"/>
      <c r="D767" s="28"/>
      <c r="E767" s="44"/>
      <c r="F767" s="44"/>
      <c r="G767" s="44"/>
      <c r="H767" s="44"/>
    </row>
    <row r="768" spans="1:8">
      <c r="A768" s="27"/>
      <c r="C768" s="28"/>
      <c r="D768" s="28"/>
      <c r="E768" s="44"/>
      <c r="F768" s="44"/>
      <c r="G768" s="44"/>
      <c r="H768" s="44"/>
    </row>
    <row r="769" spans="1:8">
      <c r="A769" s="27"/>
      <c r="C769" s="28"/>
      <c r="D769" s="28"/>
      <c r="E769" s="44"/>
      <c r="F769" s="44"/>
      <c r="G769" s="44"/>
      <c r="H769" s="44"/>
    </row>
    <row r="770" spans="1:8">
      <c r="A770" s="27"/>
      <c r="C770" s="28"/>
      <c r="D770" s="28"/>
      <c r="E770" s="44"/>
      <c r="F770" s="44"/>
      <c r="G770" s="44"/>
      <c r="H770" s="44"/>
    </row>
    <row r="771" spans="1:8">
      <c r="A771" s="27"/>
      <c r="C771" s="28"/>
      <c r="D771" s="28"/>
      <c r="E771" s="44"/>
      <c r="F771" s="44"/>
      <c r="G771" s="44"/>
      <c r="H771" s="44"/>
    </row>
    <row r="772" spans="1:8">
      <c r="A772" s="27"/>
      <c r="C772" s="28"/>
      <c r="D772" s="28"/>
      <c r="E772" s="44"/>
      <c r="F772" s="44"/>
      <c r="G772" s="44"/>
      <c r="H772" s="44"/>
    </row>
    <row r="773" spans="1:8">
      <c r="A773" s="27"/>
      <c r="C773" s="28"/>
      <c r="D773" s="28"/>
      <c r="E773" s="44"/>
      <c r="F773" s="44"/>
      <c r="G773" s="44"/>
      <c r="H773" s="44"/>
    </row>
    <row r="774" spans="1:8">
      <c r="A774" s="27"/>
      <c r="C774" s="28"/>
      <c r="D774" s="28"/>
      <c r="E774" s="44"/>
      <c r="F774" s="44"/>
      <c r="G774" s="44"/>
      <c r="H774" s="44"/>
    </row>
    <row r="775" spans="1:8">
      <c r="A775" s="27"/>
      <c r="C775" s="28"/>
      <c r="D775" s="28"/>
      <c r="E775" s="44"/>
      <c r="F775" s="44"/>
      <c r="G775" s="44"/>
      <c r="H775" s="44"/>
    </row>
    <row r="776" spans="1:8">
      <c r="A776" s="27"/>
      <c r="C776" s="28"/>
      <c r="D776" s="28"/>
      <c r="E776" s="44"/>
      <c r="F776" s="44"/>
      <c r="G776" s="44"/>
      <c r="H776" s="44"/>
    </row>
    <row r="777" spans="1:8">
      <c r="A777" s="27"/>
      <c r="C777" s="28"/>
      <c r="D777" s="28"/>
      <c r="E777" s="44"/>
      <c r="F777" s="44"/>
      <c r="G777" s="44"/>
      <c r="H777" s="44"/>
    </row>
    <row r="778" spans="1:8">
      <c r="A778" s="27"/>
      <c r="C778" s="28"/>
      <c r="D778" s="28"/>
      <c r="E778" s="44"/>
      <c r="F778" s="44"/>
      <c r="G778" s="44"/>
      <c r="H778" s="44"/>
    </row>
    <row r="779" spans="1:8">
      <c r="A779" s="27"/>
      <c r="C779" s="28"/>
      <c r="D779" s="28"/>
      <c r="E779" s="44"/>
      <c r="F779" s="44"/>
      <c r="G779" s="44"/>
      <c r="H779" s="44"/>
    </row>
    <row r="780" spans="1:8">
      <c r="A780" s="27"/>
      <c r="C780" s="28"/>
      <c r="D780" s="28"/>
      <c r="E780" s="44"/>
      <c r="F780" s="44"/>
      <c r="G780" s="44"/>
      <c r="H780" s="44"/>
    </row>
    <row r="781" spans="1:8">
      <c r="A781" s="27"/>
      <c r="C781" s="28"/>
      <c r="D781" s="28"/>
      <c r="E781" s="44"/>
      <c r="F781" s="44"/>
      <c r="G781" s="44"/>
      <c r="H781" s="44"/>
    </row>
    <row r="782" spans="1:8">
      <c r="A782" s="27"/>
      <c r="C782" s="28"/>
      <c r="D782" s="28"/>
      <c r="E782" s="44"/>
      <c r="F782" s="44"/>
      <c r="G782" s="44"/>
      <c r="H782" s="44"/>
    </row>
    <row r="783" spans="1:8">
      <c r="A783" s="27"/>
      <c r="C783" s="28"/>
      <c r="D783" s="28"/>
      <c r="E783" s="44"/>
      <c r="F783" s="44"/>
      <c r="G783" s="44"/>
      <c r="H783" s="44"/>
    </row>
    <row r="784" spans="1:8">
      <c r="A784" s="27"/>
      <c r="C784" s="28"/>
      <c r="D784" s="28"/>
      <c r="E784" s="44"/>
      <c r="F784" s="44"/>
      <c r="G784" s="44"/>
      <c r="H784" s="44"/>
    </row>
    <row r="785" spans="1:8">
      <c r="A785" s="27"/>
      <c r="C785" s="28"/>
      <c r="D785" s="28"/>
      <c r="E785" s="44"/>
      <c r="F785" s="44"/>
      <c r="G785" s="44"/>
      <c r="H785" s="44"/>
    </row>
    <row r="786" spans="1:8">
      <c r="A786" s="27"/>
      <c r="C786" s="28"/>
      <c r="D786" s="28"/>
      <c r="E786" s="44"/>
      <c r="F786" s="44"/>
      <c r="G786" s="44"/>
      <c r="H786" s="44"/>
    </row>
    <row r="787" spans="1:8">
      <c r="A787" s="27"/>
      <c r="C787" s="28"/>
      <c r="D787" s="28"/>
      <c r="E787" s="44"/>
      <c r="F787" s="44"/>
      <c r="G787" s="44"/>
      <c r="H787" s="44"/>
    </row>
    <row r="788" spans="1:8">
      <c r="A788" s="27"/>
      <c r="C788" s="28"/>
      <c r="D788" s="28"/>
      <c r="E788" s="44"/>
      <c r="F788" s="44"/>
      <c r="G788" s="44"/>
      <c r="H788" s="44"/>
    </row>
    <row r="789" spans="1:8">
      <c r="A789" s="27"/>
      <c r="C789" s="28"/>
      <c r="D789" s="28"/>
      <c r="E789" s="44"/>
      <c r="F789" s="44"/>
      <c r="G789" s="44"/>
      <c r="H789" s="44"/>
    </row>
    <row r="790" spans="1:8">
      <c r="A790" s="27"/>
      <c r="C790" s="28"/>
      <c r="D790" s="28"/>
      <c r="E790" s="44"/>
      <c r="F790" s="44"/>
      <c r="G790" s="44"/>
      <c r="H790" s="44"/>
    </row>
    <row r="791" spans="1:8">
      <c r="A791" s="27"/>
      <c r="C791" s="28"/>
      <c r="D791" s="28"/>
      <c r="E791" s="44"/>
      <c r="F791" s="44"/>
      <c r="G791" s="44"/>
      <c r="H791" s="44"/>
    </row>
    <row r="792" spans="1:8">
      <c r="A792" s="27"/>
      <c r="C792" s="28"/>
      <c r="D792" s="28"/>
      <c r="E792" s="44"/>
      <c r="F792" s="44"/>
      <c r="G792" s="44"/>
      <c r="H792" s="44"/>
    </row>
    <row r="793" spans="1:8">
      <c r="A793" s="27"/>
      <c r="C793" s="28"/>
      <c r="D793" s="28"/>
      <c r="E793" s="44"/>
      <c r="F793" s="44"/>
      <c r="G793" s="44"/>
      <c r="H793" s="44"/>
    </row>
    <row r="794" spans="1:8">
      <c r="A794" s="27"/>
      <c r="C794" s="28"/>
      <c r="D794" s="28"/>
      <c r="E794" s="44"/>
      <c r="F794" s="44"/>
      <c r="G794" s="44"/>
      <c r="H794" s="44"/>
    </row>
    <row r="795" spans="1:8">
      <c r="A795" s="27"/>
      <c r="C795" s="28"/>
      <c r="D795" s="28"/>
      <c r="E795" s="44"/>
      <c r="F795" s="44"/>
      <c r="G795" s="44"/>
      <c r="H795" s="44"/>
    </row>
    <row r="796" spans="1:8">
      <c r="A796" s="27"/>
      <c r="C796" s="28"/>
      <c r="D796" s="28"/>
      <c r="E796" s="44"/>
      <c r="F796" s="44"/>
      <c r="G796" s="44"/>
      <c r="H796" s="44"/>
    </row>
    <row r="797" spans="1:8">
      <c r="A797" s="27"/>
      <c r="C797" s="28"/>
      <c r="D797" s="28"/>
      <c r="E797" s="44"/>
      <c r="F797" s="44"/>
      <c r="G797" s="44"/>
      <c r="H797" s="44"/>
    </row>
    <row r="798" spans="1:8">
      <c r="A798" s="27"/>
      <c r="C798" s="28"/>
      <c r="D798" s="28"/>
      <c r="E798" s="44"/>
      <c r="F798" s="44"/>
      <c r="G798" s="44"/>
      <c r="H798" s="44"/>
    </row>
    <row r="799" spans="1:8">
      <c r="A799" s="27"/>
      <c r="C799" s="28"/>
      <c r="D799" s="28"/>
      <c r="E799" s="44"/>
      <c r="F799" s="44"/>
      <c r="G799" s="44"/>
      <c r="H799" s="44"/>
    </row>
    <row r="800" spans="1:8">
      <c r="A800" s="27"/>
      <c r="C800" s="28"/>
      <c r="D800" s="28"/>
      <c r="E800" s="44"/>
      <c r="F800" s="44"/>
      <c r="G800" s="44"/>
      <c r="H800" s="44"/>
    </row>
    <row r="801" spans="1:8">
      <c r="A801" s="27"/>
      <c r="C801" s="28"/>
      <c r="D801" s="28"/>
      <c r="E801" s="44"/>
      <c r="F801" s="44"/>
      <c r="G801" s="44"/>
      <c r="H801" s="44"/>
    </row>
    <row r="802" spans="1:8">
      <c r="A802" s="27"/>
      <c r="C802" s="28"/>
      <c r="D802" s="28"/>
      <c r="E802" s="44"/>
      <c r="F802" s="44"/>
      <c r="G802" s="44"/>
      <c r="H802" s="44"/>
    </row>
    <row r="803" spans="1:8">
      <c r="A803" s="27"/>
      <c r="C803" s="28"/>
      <c r="D803" s="28"/>
      <c r="E803" s="44"/>
      <c r="F803" s="44"/>
      <c r="G803" s="44"/>
      <c r="H803" s="44"/>
    </row>
    <row r="804" spans="1:8">
      <c r="A804" s="27"/>
      <c r="C804" s="28"/>
      <c r="D804" s="28"/>
      <c r="E804" s="44"/>
      <c r="F804" s="44"/>
      <c r="G804" s="44"/>
      <c r="H804" s="44"/>
    </row>
    <row r="805" spans="1:8">
      <c r="A805" s="27"/>
      <c r="C805" s="28"/>
      <c r="D805" s="28"/>
      <c r="E805" s="44"/>
      <c r="F805" s="44"/>
      <c r="G805" s="44"/>
      <c r="H805" s="44"/>
    </row>
    <row r="806" spans="1:8">
      <c r="A806" s="27"/>
      <c r="C806" s="28"/>
      <c r="D806" s="28"/>
      <c r="E806" s="44"/>
      <c r="F806" s="44"/>
      <c r="G806" s="44"/>
      <c r="H806" s="44"/>
    </row>
    <row r="807" spans="1:8">
      <c r="A807" s="27"/>
      <c r="C807" s="28"/>
      <c r="D807" s="28"/>
      <c r="E807" s="44"/>
      <c r="F807" s="44"/>
      <c r="G807" s="44"/>
      <c r="H807" s="44"/>
    </row>
    <row r="808" spans="1:8">
      <c r="A808" s="27"/>
      <c r="C808" s="28"/>
      <c r="D808" s="28"/>
      <c r="E808" s="44"/>
      <c r="F808" s="44"/>
      <c r="G808" s="44"/>
      <c r="H808" s="44"/>
    </row>
    <row r="809" spans="1:8">
      <c r="A809" s="27"/>
      <c r="C809" s="28"/>
      <c r="D809" s="28"/>
      <c r="E809" s="44"/>
      <c r="F809" s="44"/>
      <c r="G809" s="44"/>
      <c r="H809" s="44"/>
    </row>
    <row r="810" spans="1:8">
      <c r="A810" s="27"/>
      <c r="C810" s="28"/>
      <c r="D810" s="28"/>
      <c r="E810" s="44"/>
      <c r="F810" s="44"/>
      <c r="G810" s="44"/>
      <c r="H810" s="44"/>
    </row>
    <row r="811" spans="1:8">
      <c r="A811" s="27"/>
      <c r="C811" s="28"/>
      <c r="D811" s="28"/>
      <c r="E811" s="44"/>
      <c r="F811" s="44"/>
      <c r="G811" s="44"/>
      <c r="H811" s="44"/>
    </row>
    <row r="812" spans="1:8">
      <c r="A812" s="27"/>
      <c r="C812" s="28"/>
      <c r="D812" s="28"/>
      <c r="E812" s="44"/>
      <c r="F812" s="44"/>
      <c r="G812" s="44"/>
      <c r="H812" s="44"/>
    </row>
    <row r="813" spans="1:8">
      <c r="A813" s="27"/>
      <c r="C813" s="28"/>
      <c r="D813" s="28"/>
      <c r="E813" s="44"/>
      <c r="F813" s="44"/>
      <c r="G813" s="44"/>
      <c r="H813" s="44"/>
    </row>
    <row r="814" spans="1:8">
      <c r="A814" s="27"/>
      <c r="C814" s="28"/>
      <c r="D814" s="28"/>
      <c r="E814" s="44"/>
      <c r="F814" s="44"/>
      <c r="G814" s="44"/>
      <c r="H814" s="44"/>
    </row>
    <row r="815" spans="1:8">
      <c r="A815" s="27"/>
      <c r="C815" s="28"/>
      <c r="D815" s="28"/>
      <c r="E815" s="44"/>
      <c r="F815" s="44"/>
      <c r="G815" s="44"/>
      <c r="H815" s="44"/>
    </row>
    <row r="816" spans="1:8">
      <c r="A816" s="27"/>
      <c r="C816" s="28"/>
      <c r="D816" s="28"/>
      <c r="E816" s="44"/>
      <c r="F816" s="44"/>
      <c r="G816" s="44"/>
      <c r="H816" s="44"/>
    </row>
    <row r="817" spans="1:8">
      <c r="A817" s="27"/>
      <c r="C817" s="28"/>
      <c r="D817" s="28"/>
      <c r="E817" s="44"/>
      <c r="F817" s="44"/>
      <c r="G817" s="44"/>
      <c r="H817" s="44"/>
    </row>
    <row r="818" spans="1:8">
      <c r="A818" s="27"/>
      <c r="C818" s="28"/>
      <c r="D818" s="28"/>
      <c r="E818" s="44"/>
      <c r="F818" s="44"/>
      <c r="G818" s="44"/>
      <c r="H818" s="44"/>
    </row>
    <row r="819" spans="1:8">
      <c r="A819" s="27"/>
      <c r="C819" s="28"/>
      <c r="D819" s="28"/>
      <c r="E819" s="44"/>
      <c r="F819" s="44"/>
      <c r="G819" s="44"/>
      <c r="H819" s="44"/>
    </row>
    <row r="820" spans="1:8">
      <c r="A820" s="27"/>
      <c r="C820" s="28"/>
      <c r="D820" s="28"/>
      <c r="E820" s="44"/>
      <c r="F820" s="44"/>
      <c r="G820" s="44"/>
      <c r="H820" s="44"/>
    </row>
    <row r="821" spans="1:8">
      <c r="A821" s="27"/>
      <c r="C821" s="28"/>
      <c r="D821" s="28"/>
      <c r="E821" s="44"/>
      <c r="F821" s="44"/>
      <c r="G821" s="44"/>
      <c r="H821" s="44"/>
    </row>
    <row r="822" spans="1:8">
      <c r="A822" s="27"/>
      <c r="C822" s="28"/>
      <c r="D822" s="28"/>
      <c r="E822" s="44"/>
      <c r="F822" s="44"/>
      <c r="G822" s="44"/>
      <c r="H822" s="44"/>
    </row>
    <row r="823" spans="1:8">
      <c r="A823" s="27"/>
      <c r="C823" s="28"/>
      <c r="D823" s="28"/>
      <c r="E823" s="44"/>
      <c r="F823" s="44"/>
      <c r="G823" s="44"/>
      <c r="H823" s="44"/>
    </row>
    <row r="824" spans="1:8">
      <c r="A824" s="27"/>
      <c r="C824" s="28"/>
      <c r="D824" s="28"/>
      <c r="E824" s="44"/>
      <c r="F824" s="44"/>
      <c r="G824" s="44"/>
      <c r="H824" s="44"/>
    </row>
    <row r="825" spans="1:8">
      <c r="A825" s="27"/>
      <c r="C825" s="28"/>
      <c r="D825" s="28"/>
      <c r="E825" s="44"/>
      <c r="F825" s="44"/>
      <c r="G825" s="44"/>
      <c r="H825" s="44"/>
    </row>
    <row r="826" spans="1:8">
      <c r="A826" s="27"/>
      <c r="C826" s="28"/>
      <c r="D826" s="28"/>
      <c r="E826" s="44"/>
      <c r="F826" s="44"/>
      <c r="G826" s="44"/>
      <c r="H826" s="44"/>
    </row>
    <row r="827" spans="1:8">
      <c r="A827" s="27"/>
      <c r="C827" s="28"/>
      <c r="D827" s="28"/>
      <c r="E827" s="44"/>
      <c r="F827" s="44"/>
      <c r="G827" s="44"/>
      <c r="H827" s="44"/>
    </row>
    <row r="828" spans="1:8">
      <c r="A828" s="27"/>
      <c r="C828" s="28"/>
      <c r="D828" s="28"/>
      <c r="E828" s="44"/>
      <c r="F828" s="44"/>
      <c r="G828" s="44"/>
      <c r="H828" s="44"/>
    </row>
    <row r="829" spans="1:8">
      <c r="A829" s="27"/>
      <c r="C829" s="28"/>
      <c r="D829" s="28"/>
      <c r="E829" s="44"/>
      <c r="F829" s="44"/>
      <c r="G829" s="44"/>
      <c r="H829" s="44"/>
    </row>
    <row r="830" spans="1:8">
      <c r="A830" s="27"/>
      <c r="C830" s="28"/>
      <c r="D830" s="28"/>
      <c r="E830" s="44"/>
      <c r="F830" s="44"/>
      <c r="G830" s="44"/>
      <c r="H830" s="44"/>
    </row>
    <row r="831" spans="1:8">
      <c r="A831" s="27"/>
      <c r="C831" s="28"/>
      <c r="D831" s="28"/>
      <c r="E831" s="44"/>
      <c r="F831" s="44"/>
      <c r="G831" s="44"/>
      <c r="H831" s="44"/>
    </row>
    <row r="832" spans="1:8">
      <c r="A832" s="27"/>
      <c r="C832" s="28"/>
      <c r="D832" s="28"/>
      <c r="E832" s="44"/>
      <c r="F832" s="44"/>
      <c r="G832" s="44"/>
      <c r="H832" s="44"/>
    </row>
    <row r="833" spans="1:8">
      <c r="A833" s="27"/>
      <c r="C833" s="28"/>
      <c r="D833" s="28"/>
      <c r="E833" s="44"/>
      <c r="F833" s="44"/>
      <c r="G833" s="44"/>
      <c r="H833" s="44"/>
    </row>
    <row r="834" spans="1:8">
      <c r="A834" s="27"/>
      <c r="C834" s="28"/>
      <c r="D834" s="28"/>
      <c r="E834" s="44"/>
      <c r="F834" s="44"/>
      <c r="G834" s="44"/>
      <c r="H834" s="44"/>
    </row>
    <row r="835" spans="1:8">
      <c r="A835" s="27"/>
      <c r="C835" s="28"/>
      <c r="D835" s="28"/>
      <c r="E835" s="44"/>
      <c r="F835" s="44"/>
      <c r="G835" s="44"/>
      <c r="H835" s="44"/>
    </row>
    <row r="836" spans="1:8">
      <c r="A836" s="27"/>
      <c r="C836" s="28"/>
      <c r="D836" s="28"/>
      <c r="E836" s="44"/>
      <c r="F836" s="44"/>
      <c r="G836" s="44"/>
      <c r="H836" s="44"/>
    </row>
    <row r="837" spans="1:8">
      <c r="A837" s="27"/>
      <c r="C837" s="28"/>
      <c r="D837" s="28"/>
      <c r="E837" s="44"/>
      <c r="F837" s="44"/>
      <c r="G837" s="44"/>
      <c r="H837" s="44"/>
    </row>
    <row r="838" spans="1:8">
      <c r="A838" s="27"/>
      <c r="C838" s="28"/>
      <c r="D838" s="28"/>
      <c r="E838" s="44"/>
      <c r="F838" s="44"/>
      <c r="G838" s="44"/>
      <c r="H838" s="44"/>
    </row>
    <row r="839" spans="1:8">
      <c r="A839" s="27"/>
      <c r="C839" s="28"/>
      <c r="D839" s="28"/>
      <c r="E839" s="44"/>
      <c r="F839" s="44"/>
      <c r="G839" s="44"/>
      <c r="H839" s="44"/>
    </row>
    <row r="840" spans="1:8">
      <c r="A840" s="27"/>
      <c r="C840" s="28"/>
      <c r="D840" s="28"/>
      <c r="E840" s="44"/>
      <c r="F840" s="44"/>
      <c r="G840" s="44"/>
      <c r="H840" s="44"/>
    </row>
    <row r="841" spans="1:8">
      <c r="A841" s="27"/>
      <c r="C841" s="28"/>
      <c r="D841" s="28"/>
      <c r="E841" s="44"/>
      <c r="F841" s="44"/>
      <c r="G841" s="44"/>
      <c r="H841" s="44"/>
    </row>
    <row r="842" spans="1:8">
      <c r="A842" s="27"/>
      <c r="C842" s="28"/>
      <c r="D842" s="28"/>
      <c r="E842" s="44"/>
      <c r="F842" s="44"/>
      <c r="G842" s="44"/>
      <c r="H842" s="44"/>
    </row>
    <row r="843" spans="1:8">
      <c r="A843" s="27"/>
      <c r="C843" s="28"/>
      <c r="D843" s="28"/>
      <c r="E843" s="44"/>
      <c r="F843" s="44"/>
      <c r="G843" s="44"/>
      <c r="H843" s="44"/>
    </row>
    <row r="844" spans="1:8">
      <c r="A844" s="27"/>
      <c r="C844" s="28"/>
      <c r="D844" s="28"/>
      <c r="E844" s="44"/>
      <c r="F844" s="44"/>
      <c r="G844" s="44"/>
      <c r="H844" s="44"/>
    </row>
    <row r="845" spans="1:8">
      <c r="A845" s="27"/>
      <c r="C845" s="28"/>
      <c r="D845" s="28"/>
      <c r="E845" s="44"/>
      <c r="F845" s="44"/>
      <c r="G845" s="44"/>
      <c r="H845" s="44"/>
    </row>
    <row r="846" spans="1:8">
      <c r="A846" s="27"/>
      <c r="C846" s="28"/>
      <c r="D846" s="28"/>
      <c r="E846" s="44"/>
      <c r="F846" s="44"/>
      <c r="G846" s="44"/>
      <c r="H846" s="44"/>
    </row>
    <row r="847" spans="1:8">
      <c r="A847" s="27"/>
      <c r="C847" s="28"/>
      <c r="D847" s="28"/>
      <c r="E847" s="44"/>
      <c r="F847" s="44"/>
      <c r="G847" s="44"/>
      <c r="H847" s="44"/>
    </row>
    <row r="848" spans="1:8">
      <c r="A848" s="27"/>
      <c r="C848" s="28"/>
      <c r="D848" s="28"/>
      <c r="E848" s="44"/>
      <c r="F848" s="44"/>
      <c r="G848" s="44"/>
      <c r="H848" s="44"/>
    </row>
    <row r="849" spans="1:8">
      <c r="A849" s="27"/>
      <c r="C849" s="28"/>
      <c r="D849" s="28"/>
      <c r="E849" s="44"/>
      <c r="F849" s="44"/>
      <c r="G849" s="44"/>
      <c r="H849" s="44"/>
    </row>
    <row r="850" spans="1:8">
      <c r="A850" s="27"/>
      <c r="C850" s="28"/>
      <c r="D850" s="28"/>
      <c r="E850" s="44"/>
      <c r="F850" s="44"/>
      <c r="G850" s="44"/>
      <c r="H850" s="44"/>
    </row>
    <row r="851" spans="1:8">
      <c r="A851" s="27"/>
      <c r="C851" s="28"/>
      <c r="D851" s="28"/>
      <c r="E851" s="44"/>
      <c r="F851" s="44"/>
      <c r="G851" s="44"/>
      <c r="H851" s="44"/>
    </row>
    <row r="852" spans="1:8">
      <c r="A852" s="27"/>
      <c r="C852" s="28"/>
      <c r="D852" s="28"/>
      <c r="E852" s="44"/>
      <c r="F852" s="44"/>
      <c r="G852" s="44"/>
      <c r="H852" s="44"/>
    </row>
    <row r="853" spans="1:8">
      <c r="A853" s="27"/>
      <c r="C853" s="28"/>
      <c r="D853" s="28"/>
      <c r="E853" s="44"/>
      <c r="F853" s="44"/>
      <c r="G853" s="44"/>
      <c r="H853" s="44"/>
    </row>
    <row r="854" spans="1:8">
      <c r="A854" s="27"/>
      <c r="C854" s="28"/>
      <c r="D854" s="28"/>
      <c r="E854" s="44"/>
      <c r="F854" s="44"/>
      <c r="G854" s="44"/>
      <c r="H854" s="44"/>
    </row>
    <row r="855" spans="1:8">
      <c r="A855" s="27"/>
      <c r="C855" s="28"/>
      <c r="D855" s="28"/>
      <c r="E855" s="44"/>
      <c r="F855" s="44"/>
      <c r="G855" s="44"/>
      <c r="H855" s="44"/>
    </row>
    <row r="856" spans="1:8">
      <c r="A856" s="27"/>
      <c r="C856" s="28"/>
      <c r="D856" s="28"/>
      <c r="E856" s="44"/>
      <c r="F856" s="44"/>
      <c r="G856" s="44"/>
      <c r="H856" s="44"/>
    </row>
    <row r="857" spans="1:8">
      <c r="A857" s="27"/>
      <c r="C857" s="28"/>
      <c r="D857" s="28"/>
      <c r="E857" s="44"/>
      <c r="F857" s="44"/>
      <c r="G857" s="44"/>
      <c r="H857" s="44"/>
    </row>
    <row r="858" spans="1:8">
      <c r="A858" s="27"/>
      <c r="C858" s="28"/>
      <c r="D858" s="28"/>
      <c r="E858" s="44"/>
      <c r="F858" s="44"/>
      <c r="G858" s="44"/>
      <c r="H858" s="44"/>
    </row>
    <row r="859" spans="1:8">
      <c r="A859" s="27"/>
      <c r="C859" s="28"/>
      <c r="D859" s="28"/>
      <c r="E859" s="44"/>
      <c r="F859" s="44"/>
      <c r="G859" s="44"/>
      <c r="H859" s="44"/>
    </row>
    <row r="860" spans="1:8">
      <c r="A860" s="27"/>
      <c r="C860" s="28"/>
      <c r="D860" s="28"/>
      <c r="E860" s="44"/>
      <c r="F860" s="44"/>
      <c r="G860" s="44"/>
      <c r="H860" s="44"/>
    </row>
    <row r="861" spans="1:8">
      <c r="A861" s="27"/>
      <c r="C861" s="28"/>
      <c r="D861" s="28"/>
      <c r="E861" s="44"/>
      <c r="F861" s="44"/>
      <c r="G861" s="44"/>
      <c r="H861" s="44"/>
    </row>
    <row r="862" spans="1:8">
      <c r="A862" s="27"/>
      <c r="C862" s="28"/>
      <c r="D862" s="28"/>
      <c r="E862" s="44"/>
      <c r="F862" s="44"/>
      <c r="G862" s="44"/>
      <c r="H862" s="44"/>
    </row>
    <row r="863" spans="1:8">
      <c r="A863" s="27"/>
      <c r="C863" s="28"/>
      <c r="D863" s="28"/>
      <c r="E863" s="44"/>
      <c r="F863" s="44"/>
      <c r="G863" s="44"/>
      <c r="H863" s="44"/>
    </row>
    <row r="864" spans="1:8">
      <c r="A864" s="27"/>
      <c r="C864" s="28"/>
      <c r="D864" s="28"/>
      <c r="E864" s="44"/>
      <c r="F864" s="44"/>
      <c r="G864" s="44"/>
      <c r="H864" s="44"/>
    </row>
    <row r="865" spans="1:8">
      <c r="A865" s="27"/>
      <c r="C865" s="28"/>
      <c r="D865" s="28"/>
      <c r="E865" s="44"/>
      <c r="F865" s="44"/>
      <c r="G865" s="44"/>
      <c r="H865" s="44"/>
    </row>
    <row r="866" spans="1:8">
      <c r="A866" s="27"/>
      <c r="C866" s="28"/>
      <c r="D866" s="28"/>
      <c r="E866" s="44"/>
      <c r="F866" s="44"/>
      <c r="G866" s="44"/>
      <c r="H866" s="44"/>
    </row>
    <row r="867" spans="1:8">
      <c r="A867" s="27"/>
      <c r="C867" s="28"/>
      <c r="D867" s="28"/>
      <c r="E867" s="44"/>
      <c r="F867" s="44"/>
      <c r="G867" s="44"/>
      <c r="H867" s="44"/>
    </row>
    <row r="868" spans="1:8">
      <c r="A868" s="27"/>
      <c r="C868" s="28"/>
      <c r="D868" s="28"/>
      <c r="E868" s="44"/>
      <c r="F868" s="44"/>
      <c r="G868" s="44"/>
      <c r="H868" s="44"/>
    </row>
    <row r="869" spans="1:8">
      <c r="A869" s="27"/>
      <c r="C869" s="28"/>
      <c r="D869" s="28"/>
      <c r="E869" s="44"/>
      <c r="F869" s="44"/>
      <c r="G869" s="44"/>
      <c r="H869" s="44"/>
    </row>
    <row r="870" spans="1:8">
      <c r="A870" s="27"/>
      <c r="C870" s="28"/>
      <c r="D870" s="28"/>
      <c r="E870" s="44"/>
      <c r="F870" s="44"/>
      <c r="G870" s="44"/>
      <c r="H870" s="44"/>
    </row>
    <row r="871" spans="1:8">
      <c r="A871" s="27"/>
      <c r="C871" s="28"/>
      <c r="D871" s="28"/>
      <c r="E871" s="44"/>
      <c r="F871" s="44"/>
      <c r="G871" s="44"/>
      <c r="H871" s="44"/>
    </row>
    <row r="872" spans="1:8">
      <c r="A872" s="27"/>
      <c r="C872" s="28"/>
      <c r="D872" s="28"/>
      <c r="E872" s="44"/>
      <c r="F872" s="44"/>
      <c r="G872" s="44"/>
      <c r="H872" s="44"/>
    </row>
    <row r="873" spans="1:8">
      <c r="A873" s="27"/>
      <c r="C873" s="28"/>
      <c r="D873" s="28"/>
      <c r="E873" s="44"/>
      <c r="F873" s="44"/>
      <c r="G873" s="44"/>
      <c r="H873" s="44"/>
    </row>
    <row r="874" spans="1:8">
      <c r="A874" s="27"/>
      <c r="C874" s="28"/>
      <c r="D874" s="28"/>
      <c r="E874" s="44"/>
      <c r="F874" s="44"/>
      <c r="G874" s="44"/>
      <c r="H874" s="44"/>
    </row>
    <row r="875" spans="1:8">
      <c r="A875" s="27"/>
      <c r="C875" s="28"/>
      <c r="D875" s="28"/>
      <c r="E875" s="44"/>
      <c r="F875" s="44"/>
      <c r="G875" s="44"/>
      <c r="H875" s="44"/>
    </row>
    <row r="876" spans="1:8">
      <c r="A876" s="27"/>
      <c r="C876" s="28"/>
      <c r="D876" s="28"/>
      <c r="E876" s="44"/>
      <c r="F876" s="44"/>
      <c r="G876" s="44"/>
      <c r="H876" s="44"/>
    </row>
    <row r="877" spans="1:8">
      <c r="A877" s="27"/>
      <c r="C877" s="28"/>
      <c r="D877" s="28"/>
      <c r="E877" s="44"/>
      <c r="F877" s="44"/>
      <c r="G877" s="44"/>
      <c r="H877" s="44"/>
    </row>
    <row r="878" spans="1:8">
      <c r="A878" s="27"/>
      <c r="C878" s="28"/>
      <c r="D878" s="28"/>
      <c r="E878" s="44"/>
      <c r="F878" s="44"/>
      <c r="G878" s="44"/>
      <c r="H878" s="44"/>
    </row>
    <row r="879" spans="1:8">
      <c r="A879" s="27"/>
      <c r="C879" s="28"/>
      <c r="D879" s="28"/>
      <c r="E879" s="44"/>
      <c r="F879" s="44"/>
      <c r="G879" s="44"/>
      <c r="H879" s="44"/>
    </row>
    <row r="880" spans="1:8">
      <c r="A880" s="27"/>
      <c r="C880" s="28"/>
      <c r="D880" s="28"/>
      <c r="E880" s="44"/>
      <c r="F880" s="44"/>
      <c r="G880" s="44"/>
      <c r="H880" s="44"/>
    </row>
    <row r="881" spans="1:8">
      <c r="A881" s="27"/>
      <c r="C881" s="28"/>
      <c r="D881" s="28"/>
      <c r="E881" s="44"/>
      <c r="F881" s="44"/>
      <c r="G881" s="44"/>
      <c r="H881" s="44"/>
    </row>
    <row r="882" spans="1:8">
      <c r="A882" s="27"/>
      <c r="C882" s="28"/>
      <c r="D882" s="28"/>
      <c r="E882" s="44"/>
      <c r="F882" s="44"/>
      <c r="G882" s="44"/>
      <c r="H882" s="44"/>
    </row>
    <row r="883" spans="1:8">
      <c r="A883" s="27"/>
      <c r="C883" s="28"/>
      <c r="D883" s="28"/>
      <c r="E883" s="44"/>
      <c r="F883" s="44"/>
      <c r="G883" s="44"/>
      <c r="H883" s="44"/>
    </row>
    <row r="884" spans="1:8">
      <c r="A884" s="27"/>
      <c r="C884" s="28"/>
      <c r="D884" s="28"/>
      <c r="E884" s="44"/>
      <c r="F884" s="44"/>
      <c r="G884" s="44"/>
      <c r="H884" s="44"/>
    </row>
    <row r="885" spans="1:8">
      <c r="A885" s="27"/>
      <c r="C885" s="28"/>
      <c r="D885" s="28"/>
      <c r="E885" s="44"/>
      <c r="F885" s="44"/>
      <c r="G885" s="44"/>
      <c r="H885" s="44"/>
    </row>
    <row r="886" spans="1:8">
      <c r="A886" s="27"/>
      <c r="C886" s="28"/>
      <c r="D886" s="28"/>
      <c r="E886" s="44"/>
      <c r="F886" s="44"/>
      <c r="G886" s="44"/>
      <c r="H886" s="44"/>
    </row>
    <row r="887" spans="1:8">
      <c r="A887" s="27"/>
      <c r="C887" s="28"/>
      <c r="D887" s="28"/>
      <c r="E887" s="44"/>
      <c r="F887" s="44"/>
      <c r="G887" s="44"/>
      <c r="H887" s="44"/>
    </row>
    <row r="888" spans="1:8">
      <c r="A888" s="27"/>
      <c r="C888" s="28"/>
      <c r="D888" s="28"/>
      <c r="E888" s="44"/>
      <c r="F888" s="44"/>
      <c r="G888" s="44"/>
      <c r="H888" s="44"/>
    </row>
    <row r="889" spans="1:8">
      <c r="A889" s="27"/>
      <c r="C889" s="28"/>
      <c r="D889" s="28"/>
      <c r="E889" s="44"/>
      <c r="F889" s="44"/>
      <c r="G889" s="44"/>
      <c r="H889" s="44"/>
    </row>
    <row r="890" spans="1:8">
      <c r="A890" s="27"/>
      <c r="C890" s="28"/>
      <c r="D890" s="28"/>
      <c r="E890" s="44"/>
      <c r="F890" s="44"/>
      <c r="G890" s="44"/>
      <c r="H890" s="44"/>
    </row>
    <row r="891" spans="1:8">
      <c r="A891" s="27"/>
      <c r="C891" s="28"/>
      <c r="D891" s="28"/>
      <c r="E891" s="44"/>
      <c r="F891" s="44"/>
      <c r="G891" s="44"/>
      <c r="H891" s="44"/>
    </row>
    <row r="892" spans="1:8">
      <c r="A892" s="27"/>
      <c r="C892" s="28"/>
      <c r="D892" s="28"/>
      <c r="E892" s="44"/>
      <c r="F892" s="44"/>
      <c r="G892" s="44"/>
      <c r="H892" s="44"/>
    </row>
    <row r="893" spans="1:8">
      <c r="A893" s="27"/>
      <c r="C893" s="28"/>
      <c r="D893" s="28"/>
      <c r="E893" s="44"/>
      <c r="F893" s="44"/>
      <c r="G893" s="44"/>
      <c r="H893" s="44"/>
    </row>
    <row r="894" spans="1:8">
      <c r="A894" s="27"/>
      <c r="C894" s="28"/>
      <c r="D894" s="28"/>
      <c r="E894" s="44"/>
      <c r="F894" s="44"/>
      <c r="G894" s="44"/>
      <c r="H894" s="44"/>
    </row>
    <row r="895" spans="1:8">
      <c r="A895" s="27"/>
      <c r="C895" s="28"/>
      <c r="D895" s="28"/>
      <c r="E895" s="44"/>
      <c r="F895" s="44"/>
      <c r="G895" s="44"/>
      <c r="H895" s="44"/>
    </row>
    <row r="896" spans="1:8">
      <c r="A896" s="27"/>
      <c r="C896" s="28"/>
      <c r="D896" s="28"/>
      <c r="E896" s="44"/>
      <c r="F896" s="44"/>
      <c r="G896" s="44"/>
      <c r="H896" s="44"/>
    </row>
    <row r="897" spans="1:8">
      <c r="A897" s="27"/>
      <c r="C897" s="28"/>
      <c r="D897" s="28"/>
      <c r="E897" s="44"/>
      <c r="F897" s="44"/>
      <c r="G897" s="44"/>
      <c r="H897" s="44"/>
    </row>
    <row r="898" spans="1:8">
      <c r="A898" s="27"/>
      <c r="C898" s="28"/>
      <c r="D898" s="28"/>
      <c r="E898" s="44"/>
      <c r="F898" s="44"/>
      <c r="G898" s="44"/>
      <c r="H898" s="44"/>
    </row>
    <row r="899" spans="1:8">
      <c r="A899" s="27"/>
      <c r="C899" s="28"/>
      <c r="D899" s="28"/>
      <c r="E899" s="44"/>
      <c r="F899" s="44"/>
      <c r="G899" s="44"/>
      <c r="H899" s="44"/>
    </row>
    <row r="900" spans="1:8">
      <c r="A900" s="27"/>
      <c r="C900" s="28"/>
      <c r="D900" s="28"/>
      <c r="E900" s="44"/>
      <c r="F900" s="44"/>
      <c r="G900" s="44"/>
      <c r="H900" s="44"/>
    </row>
    <row r="901" spans="1:8">
      <c r="A901" s="27"/>
      <c r="C901" s="28"/>
      <c r="D901" s="28"/>
      <c r="E901" s="44"/>
      <c r="F901" s="44"/>
      <c r="G901" s="44"/>
      <c r="H901" s="44"/>
    </row>
    <row r="902" spans="1:8">
      <c r="A902" s="27"/>
      <c r="C902" s="28"/>
      <c r="D902" s="28"/>
      <c r="E902" s="44"/>
      <c r="F902" s="44"/>
      <c r="G902" s="44"/>
      <c r="H902" s="44"/>
    </row>
    <row r="903" spans="1:8">
      <c r="A903" s="27"/>
      <c r="C903" s="28"/>
      <c r="D903" s="28"/>
      <c r="E903" s="44"/>
      <c r="F903" s="44"/>
      <c r="G903" s="44"/>
      <c r="H903" s="44"/>
    </row>
    <row r="904" spans="1:8">
      <c r="A904" s="27"/>
      <c r="C904" s="28"/>
      <c r="D904" s="28"/>
      <c r="E904" s="44"/>
      <c r="F904" s="44"/>
      <c r="G904" s="44"/>
      <c r="H904" s="44"/>
    </row>
    <row r="905" spans="1:8">
      <c r="A905" s="27"/>
      <c r="C905" s="28"/>
      <c r="D905" s="28"/>
      <c r="E905" s="44"/>
      <c r="F905" s="44"/>
      <c r="G905" s="44"/>
      <c r="H905" s="44"/>
    </row>
    <row r="906" spans="1:8">
      <c r="A906" s="27"/>
      <c r="C906" s="28"/>
      <c r="D906" s="28"/>
      <c r="E906" s="44"/>
      <c r="F906" s="44"/>
      <c r="G906" s="44"/>
      <c r="H906" s="44"/>
    </row>
    <row r="907" spans="1:8">
      <c r="A907" s="27"/>
      <c r="C907" s="28"/>
      <c r="D907" s="28"/>
      <c r="E907" s="44"/>
      <c r="F907" s="44"/>
      <c r="G907" s="44"/>
      <c r="H907" s="44"/>
    </row>
    <row r="908" spans="1:8">
      <c r="A908" s="27"/>
      <c r="C908" s="28"/>
      <c r="D908" s="28"/>
      <c r="E908" s="44"/>
      <c r="F908" s="44"/>
      <c r="G908" s="44"/>
      <c r="H908" s="44"/>
    </row>
    <row r="909" spans="1:8">
      <c r="A909" s="27"/>
      <c r="C909" s="28"/>
      <c r="D909" s="28"/>
      <c r="E909" s="44"/>
      <c r="F909" s="44"/>
      <c r="G909" s="44"/>
      <c r="H909" s="44"/>
    </row>
    <row r="910" spans="1:8">
      <c r="A910" s="27"/>
      <c r="C910" s="28"/>
      <c r="D910" s="28"/>
      <c r="E910" s="44"/>
      <c r="F910" s="44"/>
      <c r="G910" s="44"/>
      <c r="H910" s="44"/>
    </row>
    <row r="911" spans="1:8">
      <c r="A911" s="27"/>
      <c r="C911" s="28"/>
      <c r="D911" s="28"/>
      <c r="E911" s="44"/>
      <c r="F911" s="44"/>
      <c r="G911" s="44"/>
      <c r="H911" s="44"/>
    </row>
    <row r="912" spans="1:8">
      <c r="A912" s="27"/>
      <c r="C912" s="28"/>
      <c r="D912" s="28"/>
      <c r="E912" s="44"/>
      <c r="F912" s="44"/>
      <c r="G912" s="44"/>
      <c r="H912" s="44"/>
    </row>
    <row r="913" spans="1:8">
      <c r="A913" s="27"/>
      <c r="C913" s="28"/>
      <c r="D913" s="28"/>
      <c r="E913" s="44"/>
      <c r="F913" s="44"/>
      <c r="G913" s="44"/>
      <c r="H913" s="44"/>
    </row>
    <row r="914" spans="1:8">
      <c r="A914" s="27"/>
      <c r="C914" s="28"/>
      <c r="D914" s="28"/>
      <c r="E914" s="44"/>
      <c r="F914" s="44"/>
      <c r="G914" s="44"/>
      <c r="H914" s="44"/>
    </row>
    <row r="915" spans="1:8">
      <c r="A915" s="27"/>
      <c r="C915" s="28"/>
      <c r="D915" s="28"/>
      <c r="E915" s="44"/>
      <c r="F915" s="44"/>
      <c r="G915" s="44"/>
      <c r="H915" s="44"/>
    </row>
    <row r="916" spans="1:8">
      <c r="A916" s="27"/>
      <c r="C916" s="28"/>
      <c r="D916" s="28"/>
      <c r="E916" s="44"/>
      <c r="F916" s="44"/>
      <c r="G916" s="44"/>
      <c r="H916" s="44"/>
    </row>
    <row r="917" spans="1:8">
      <c r="A917" s="27"/>
      <c r="C917" s="28"/>
      <c r="D917" s="28"/>
      <c r="E917" s="44"/>
      <c r="F917" s="44"/>
      <c r="G917" s="44"/>
      <c r="H917" s="44"/>
    </row>
    <row r="918" spans="1:8">
      <c r="A918" s="27"/>
      <c r="C918" s="28"/>
      <c r="D918" s="28"/>
      <c r="E918" s="44"/>
      <c r="F918" s="44"/>
      <c r="G918" s="44"/>
      <c r="H918" s="44"/>
    </row>
    <row r="919" spans="1:8">
      <c r="A919" s="27"/>
      <c r="C919" s="28"/>
      <c r="D919" s="28"/>
      <c r="E919" s="44"/>
      <c r="F919" s="44"/>
      <c r="G919" s="44"/>
      <c r="H919" s="44"/>
    </row>
    <row r="920" spans="1:8">
      <c r="A920" s="27"/>
      <c r="C920" s="28"/>
      <c r="D920" s="28"/>
      <c r="E920" s="44"/>
      <c r="F920" s="44"/>
      <c r="G920" s="44"/>
      <c r="H920" s="44"/>
    </row>
    <row r="921" spans="1:8">
      <c r="A921" s="27"/>
      <c r="C921" s="28"/>
      <c r="D921" s="28"/>
      <c r="E921" s="44"/>
      <c r="F921" s="44"/>
      <c r="G921" s="44"/>
      <c r="H921" s="44"/>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J221"/>
  <sheetViews>
    <sheetView showGridLines="0" view="pageBreakPreview" zoomScale="90" zoomScaleNormal="100" topLeftCell="A40" workbookViewId="0">
      <selection activeCell="E27" sqref="E27"/>
    </sheetView>
  </sheetViews>
  <sheetFormatPr defaultColWidth="9.12962962962963" defaultRowHeight="13.8"/>
  <cols>
    <col min="1" max="1" width="7.62962962962963" style="31" customWidth="1"/>
    <col min="2" max="2" width="39.5" style="27" customWidth="1"/>
    <col min="3" max="4" width="30.75" style="32" customWidth="1"/>
    <col min="5" max="8" width="13.8796296296296" style="33" customWidth="1"/>
    <col min="9" max="9" width="9.12962962962963" style="175"/>
    <col min="10" max="16384" width="9.12962962962963" style="31"/>
  </cols>
  <sheetData>
    <row r="1" spans="1:9">
      <c r="A1" s="6" t="s">
        <v>1141</v>
      </c>
      <c r="B1" s="6"/>
      <c r="C1" s="7"/>
      <c r="D1" s="7"/>
      <c r="E1" s="6"/>
      <c r="F1" s="6"/>
      <c r="G1" s="6"/>
      <c r="H1" s="6"/>
    </row>
    <row r="2" spans="1:9">
      <c r="A2" s="8" t="s">
        <v>4</v>
      </c>
      <c r="B2" s="8"/>
      <c r="C2" s="8"/>
      <c r="D2" s="8"/>
      <c r="E2" s="34"/>
      <c r="F2" s="34"/>
      <c r="G2" s="34"/>
      <c r="H2" s="34"/>
      <c r="I2" s="176"/>
    </row>
    <row r="3" spans="1:9">
      <c r="A3" s="9" t="s">
        <v>5</v>
      </c>
      <c r="B3" s="9" t="s">
        <v>6</v>
      </c>
      <c r="C3" s="9" t="s">
        <v>7</v>
      </c>
      <c r="D3" s="9"/>
      <c r="E3" s="35" t="s">
        <v>8</v>
      </c>
      <c r="F3" s="35"/>
      <c r="G3" s="35"/>
      <c r="H3" s="35"/>
    </row>
    <row r="4" spans="1:9">
      <c r="A4" s="11"/>
      <c r="B4" s="11"/>
      <c r="C4" s="9" t="s">
        <v>9</v>
      </c>
      <c r="D4" s="9" t="s">
        <v>10</v>
      </c>
      <c r="E4" s="35" t="s">
        <v>11</v>
      </c>
      <c r="F4" s="35" t="s">
        <v>12</v>
      </c>
      <c r="G4" s="35" t="s">
        <v>13</v>
      </c>
      <c r="H4" s="35" t="s">
        <v>14</v>
      </c>
    </row>
    <row r="5" spans="1:9">
      <c r="A5" s="13" t="s">
        <v>15</v>
      </c>
      <c r="B5" s="13"/>
      <c r="C5" s="15"/>
      <c r="D5" s="15"/>
      <c r="E5" s="35" t="s">
        <v>16</v>
      </c>
      <c r="F5" s="35" t="s">
        <v>16</v>
      </c>
      <c r="G5" s="35" t="s">
        <v>16</v>
      </c>
      <c r="H5" s="35" t="s">
        <v>16</v>
      </c>
    </row>
    <row r="6" ht="27.6" spans="1:9">
      <c r="A6" s="36">
        <v>1</v>
      </c>
      <c r="B6" s="18" t="s">
        <v>1142</v>
      </c>
      <c r="C6" s="18" t="s">
        <v>1143</v>
      </c>
      <c r="D6" s="18" t="s">
        <v>1144</v>
      </c>
      <c r="E6" s="52">
        <v>495000</v>
      </c>
      <c r="F6" s="38">
        <v>345000</v>
      </c>
      <c r="G6" s="38">
        <v>250000</v>
      </c>
      <c r="H6" s="38">
        <v>200000</v>
      </c>
    </row>
    <row r="7" spans="1:9">
      <c r="A7" s="36">
        <v>2</v>
      </c>
      <c r="B7" s="18" t="s">
        <v>1145</v>
      </c>
      <c r="C7" s="18" t="s">
        <v>1146</v>
      </c>
      <c r="D7" s="18" t="s">
        <v>1147</v>
      </c>
      <c r="E7" s="52">
        <v>330000</v>
      </c>
      <c r="F7" s="38">
        <v>260000</v>
      </c>
      <c r="G7" s="38">
        <v>195000</v>
      </c>
      <c r="H7" s="38">
        <v>130000</v>
      </c>
    </row>
    <row r="8" spans="1:9">
      <c r="A8" s="36"/>
      <c r="B8" s="18" t="s">
        <v>1145</v>
      </c>
      <c r="C8" s="18" t="s">
        <v>1148</v>
      </c>
      <c r="D8" s="18" t="s">
        <v>1149</v>
      </c>
      <c r="E8" s="52">
        <v>420000</v>
      </c>
      <c r="F8" s="38">
        <v>330000</v>
      </c>
      <c r="G8" s="38">
        <v>245000</v>
      </c>
      <c r="H8" s="38">
        <v>170000</v>
      </c>
    </row>
    <row r="9" ht="27.6" spans="1:9">
      <c r="A9" s="36">
        <v>3</v>
      </c>
      <c r="B9" s="18" t="s">
        <v>1150</v>
      </c>
      <c r="C9" s="18" t="s">
        <v>1151</v>
      </c>
      <c r="D9" s="18" t="s">
        <v>1152</v>
      </c>
      <c r="E9" s="23">
        <v>225000</v>
      </c>
      <c r="F9" s="23">
        <v>195000</v>
      </c>
      <c r="G9" s="23">
        <v>130000</v>
      </c>
      <c r="H9" s="23">
        <v>90000</v>
      </c>
    </row>
    <row r="10" ht="27.6" spans="1:9">
      <c r="A10" s="36">
        <v>4</v>
      </c>
      <c r="B10" s="18" t="s">
        <v>1153</v>
      </c>
      <c r="C10" s="18" t="s">
        <v>1154</v>
      </c>
      <c r="D10" s="18" t="s">
        <v>1155</v>
      </c>
      <c r="E10" s="23">
        <v>375000</v>
      </c>
      <c r="F10" s="23">
        <v>300000</v>
      </c>
      <c r="G10" s="23">
        <v>220000</v>
      </c>
      <c r="H10" s="23">
        <v>150000</v>
      </c>
    </row>
    <row r="11" ht="27.6" spans="1:9">
      <c r="A11" s="36">
        <v>5</v>
      </c>
      <c r="B11" s="18" t="s">
        <v>1156</v>
      </c>
      <c r="C11" s="18" t="s">
        <v>1157</v>
      </c>
      <c r="D11" s="18" t="s">
        <v>1158</v>
      </c>
      <c r="E11" s="23">
        <v>330000</v>
      </c>
      <c r="F11" s="23">
        <v>265000</v>
      </c>
      <c r="G11" s="23">
        <v>195000</v>
      </c>
      <c r="H11" s="23">
        <v>130000</v>
      </c>
    </row>
    <row r="12" ht="27.6" spans="1:9">
      <c r="A12" s="36">
        <v>6</v>
      </c>
      <c r="B12" s="18" t="s">
        <v>1159</v>
      </c>
      <c r="C12" s="18" t="s">
        <v>1160</v>
      </c>
      <c r="D12" s="18" t="s">
        <v>1161</v>
      </c>
      <c r="E12" s="23">
        <v>225000</v>
      </c>
      <c r="F12" s="23">
        <v>195000</v>
      </c>
      <c r="G12" s="23">
        <v>130000</v>
      </c>
      <c r="H12" s="23">
        <v>90000</v>
      </c>
    </row>
    <row r="13" ht="27.6" spans="1:9">
      <c r="A13" s="36">
        <v>7</v>
      </c>
      <c r="B13" s="18" t="s">
        <v>1162</v>
      </c>
      <c r="C13" s="18" t="s">
        <v>1163</v>
      </c>
      <c r="D13" s="18" t="s">
        <v>1164</v>
      </c>
      <c r="E13" s="23">
        <v>225000</v>
      </c>
      <c r="F13" s="23">
        <v>195000</v>
      </c>
      <c r="G13" s="23">
        <v>130000</v>
      </c>
      <c r="H13" s="23">
        <v>90000</v>
      </c>
    </row>
    <row r="14" ht="27.6" spans="1:9">
      <c r="A14" s="36">
        <v>8</v>
      </c>
      <c r="B14" s="18" t="s">
        <v>1165</v>
      </c>
      <c r="C14" s="18" t="s">
        <v>1166</v>
      </c>
      <c r="D14" s="18" t="s">
        <v>1167</v>
      </c>
      <c r="E14" s="23">
        <v>135000</v>
      </c>
      <c r="F14" s="23">
        <v>80000</v>
      </c>
      <c r="G14" s="23">
        <v>65000</v>
      </c>
      <c r="H14" s="23">
        <v>55000</v>
      </c>
    </row>
    <row r="15" ht="27.6" spans="1:9">
      <c r="A15" s="36">
        <v>9</v>
      </c>
      <c r="B15" s="18" t="s">
        <v>1168</v>
      </c>
      <c r="C15" s="18" t="s">
        <v>1169</v>
      </c>
      <c r="D15" s="18" t="s">
        <v>1170</v>
      </c>
      <c r="E15" s="23">
        <v>375000</v>
      </c>
      <c r="F15" s="23">
        <v>300000</v>
      </c>
      <c r="G15" s="23">
        <v>240000</v>
      </c>
      <c r="H15" s="23">
        <v>150000</v>
      </c>
    </row>
    <row r="16" ht="27.6" spans="1:9">
      <c r="A16" s="36">
        <v>10</v>
      </c>
      <c r="B16" s="18" t="s">
        <v>1171</v>
      </c>
      <c r="C16" s="18" t="s">
        <v>1172</v>
      </c>
      <c r="D16" s="18" t="s">
        <v>1173</v>
      </c>
      <c r="E16" s="23">
        <v>300000</v>
      </c>
      <c r="F16" s="23">
        <v>250000</v>
      </c>
      <c r="G16" s="23">
        <v>200000</v>
      </c>
      <c r="H16" s="23">
        <v>120000</v>
      </c>
    </row>
    <row r="17" s="30" customFormat="1" ht="14.4" spans="1:10">
      <c r="A17" s="39" t="s">
        <v>136</v>
      </c>
      <c r="B17" s="18"/>
      <c r="C17" s="18"/>
      <c r="D17" s="18"/>
      <c r="E17" s="23"/>
      <c r="F17" s="23"/>
      <c r="G17" s="23"/>
      <c r="H17" s="23"/>
      <c r="I17" s="175"/>
    </row>
    <row r="18" spans="1:10">
      <c r="A18" s="36">
        <v>11</v>
      </c>
      <c r="B18" s="17" t="s">
        <v>137</v>
      </c>
      <c r="C18" s="18"/>
      <c r="D18" s="18"/>
      <c r="E18" s="23">
        <v>135000</v>
      </c>
      <c r="F18" s="23">
        <v>80000</v>
      </c>
      <c r="G18" s="23">
        <v>65000</v>
      </c>
      <c r="H18" s="23">
        <v>55000</v>
      </c>
    </row>
    <row r="19" spans="1:10">
      <c r="A19" s="40" t="s">
        <v>205</v>
      </c>
      <c r="B19" s="18"/>
      <c r="C19" s="18"/>
      <c r="D19" s="18"/>
      <c r="E19" s="23" t="s">
        <v>16</v>
      </c>
      <c r="F19" s="23" t="s">
        <v>16</v>
      </c>
      <c r="G19" s="23" t="s">
        <v>16</v>
      </c>
      <c r="H19" s="23" t="s">
        <v>16</v>
      </c>
    </row>
    <row r="20" spans="1:10">
      <c r="A20" s="17"/>
      <c r="B20" s="40" t="s">
        <v>1174</v>
      </c>
      <c r="C20" s="18"/>
      <c r="D20" s="18"/>
      <c r="E20" s="23" t="s">
        <v>16</v>
      </c>
      <c r="F20" s="23" t="s">
        <v>16</v>
      </c>
      <c r="G20" s="23" t="s">
        <v>16</v>
      </c>
      <c r="H20" s="23" t="s">
        <v>16</v>
      </c>
    </row>
    <row r="21" ht="27.6" spans="1:10">
      <c r="A21" s="36">
        <v>12</v>
      </c>
      <c r="B21" s="18" t="s">
        <v>1175</v>
      </c>
      <c r="C21" s="18"/>
      <c r="D21" s="18"/>
      <c r="E21" s="23">
        <v>375000</v>
      </c>
      <c r="F21" s="23">
        <v>300000</v>
      </c>
      <c r="G21" s="23">
        <v>240000</v>
      </c>
      <c r="H21" s="23">
        <v>0</v>
      </c>
    </row>
    <row r="22" ht="55.2" spans="1:10">
      <c r="A22" s="36">
        <v>13</v>
      </c>
      <c r="B22" s="18" t="s">
        <v>1176</v>
      </c>
      <c r="C22" s="18"/>
      <c r="D22" s="18"/>
      <c r="E22" s="23">
        <v>280000</v>
      </c>
      <c r="F22" s="23">
        <v>245000</v>
      </c>
      <c r="G22" s="23">
        <v>185000</v>
      </c>
      <c r="H22" s="23">
        <v>0</v>
      </c>
    </row>
    <row r="23" ht="55.2" spans="1:10">
      <c r="A23" s="36">
        <v>14</v>
      </c>
      <c r="B23" s="18" t="s">
        <v>1177</v>
      </c>
      <c r="C23" s="18"/>
      <c r="D23" s="18"/>
      <c r="E23" s="23">
        <v>225000</v>
      </c>
      <c r="F23" s="23">
        <v>205000</v>
      </c>
      <c r="G23" s="23">
        <v>190000</v>
      </c>
      <c r="H23" s="23">
        <v>0</v>
      </c>
    </row>
    <row r="24" spans="1:10">
      <c r="A24" s="17"/>
      <c r="B24" s="40" t="s">
        <v>1178</v>
      </c>
      <c r="C24" s="18"/>
      <c r="D24" s="18"/>
      <c r="E24" s="23" t="s">
        <v>16</v>
      </c>
      <c r="F24" s="23" t="s">
        <v>16</v>
      </c>
      <c r="G24" s="23" t="s">
        <v>16</v>
      </c>
      <c r="H24" s="23" t="s">
        <v>16</v>
      </c>
    </row>
    <row r="25" spans="1:10">
      <c r="A25" s="36">
        <v>15</v>
      </c>
      <c r="B25" s="18" t="s">
        <v>145</v>
      </c>
      <c r="C25" s="18"/>
      <c r="D25" s="18"/>
      <c r="E25" s="23" t="s">
        <v>16</v>
      </c>
      <c r="F25" s="23" t="s">
        <v>16</v>
      </c>
      <c r="G25" s="23" t="s">
        <v>16</v>
      </c>
      <c r="H25" s="23" t="s">
        <v>16</v>
      </c>
    </row>
    <row r="26" ht="96.6" spans="1:10">
      <c r="A26" s="36"/>
      <c r="B26" s="18" t="s">
        <v>1179</v>
      </c>
      <c r="C26" s="18"/>
      <c r="D26" s="18"/>
      <c r="E26" s="23">
        <v>435000</v>
      </c>
      <c r="F26" s="23">
        <v>255000</v>
      </c>
      <c r="G26" s="23">
        <v>210000</v>
      </c>
      <c r="H26" s="23">
        <v>0</v>
      </c>
    </row>
    <row r="27" ht="96.6" spans="1:10">
      <c r="A27" s="36"/>
      <c r="B27" s="18" t="s">
        <v>1180</v>
      </c>
      <c r="C27" s="18"/>
      <c r="D27" s="18"/>
      <c r="E27" s="23">
        <v>475000</v>
      </c>
      <c r="F27" s="23">
        <v>250000</v>
      </c>
      <c r="G27" s="23">
        <v>225000</v>
      </c>
      <c r="H27" s="23">
        <v>0</v>
      </c>
    </row>
    <row r="28" ht="27.6" spans="1:10">
      <c r="A28" s="36">
        <v>16</v>
      </c>
      <c r="B28" s="18" t="s">
        <v>1181</v>
      </c>
      <c r="C28" s="18"/>
      <c r="D28" s="18"/>
      <c r="E28" s="23">
        <v>410000</v>
      </c>
      <c r="F28" s="23">
        <v>215000</v>
      </c>
      <c r="G28" s="23">
        <v>195000</v>
      </c>
      <c r="H28" s="23">
        <v>0</v>
      </c>
      <c r="J28" s="112"/>
    </row>
    <row r="29" spans="1:10">
      <c r="A29" s="17"/>
      <c r="B29" s="40" t="s">
        <v>1182</v>
      </c>
      <c r="C29" s="18"/>
      <c r="D29" s="18"/>
      <c r="E29" s="23" t="s">
        <v>16</v>
      </c>
      <c r="F29" s="23" t="s">
        <v>16</v>
      </c>
      <c r="G29" s="23" t="s">
        <v>16</v>
      </c>
      <c r="H29" s="23"/>
    </row>
    <row r="30" ht="27.6" spans="1:10">
      <c r="A30" s="36">
        <v>17</v>
      </c>
      <c r="B30" s="18" t="s">
        <v>1183</v>
      </c>
      <c r="C30" s="18"/>
      <c r="D30" s="18"/>
      <c r="E30" s="23">
        <v>410000</v>
      </c>
      <c r="F30" s="23">
        <v>215000</v>
      </c>
      <c r="G30" s="23">
        <v>195000</v>
      </c>
      <c r="H30" s="23">
        <v>0</v>
      </c>
    </row>
    <row r="31" ht="27.6" spans="1:10">
      <c r="A31" s="36">
        <v>18</v>
      </c>
      <c r="B31" s="18" t="s">
        <v>1184</v>
      </c>
      <c r="C31" s="18"/>
      <c r="D31" s="18"/>
      <c r="E31" s="23">
        <v>410000</v>
      </c>
      <c r="F31" s="23">
        <v>215000</v>
      </c>
      <c r="G31" s="23">
        <v>195000</v>
      </c>
      <c r="H31" s="23">
        <v>0</v>
      </c>
    </row>
    <row r="32" spans="1:10">
      <c r="A32" s="36">
        <v>19</v>
      </c>
      <c r="B32" s="18" t="s">
        <v>1185</v>
      </c>
      <c r="C32" s="18"/>
      <c r="D32" s="18"/>
      <c r="E32" s="23">
        <v>410000</v>
      </c>
      <c r="F32" s="23">
        <v>215000</v>
      </c>
      <c r="G32" s="23">
        <v>195000</v>
      </c>
      <c r="H32" s="23">
        <v>0</v>
      </c>
    </row>
    <row r="33" spans="1:8">
      <c r="A33" s="36">
        <v>20</v>
      </c>
      <c r="B33" s="18" t="s">
        <v>1186</v>
      </c>
      <c r="C33" s="18"/>
      <c r="D33" s="18"/>
      <c r="E33" s="23">
        <v>410000</v>
      </c>
      <c r="F33" s="23">
        <v>215000</v>
      </c>
      <c r="G33" s="23">
        <v>195000</v>
      </c>
      <c r="H33" s="23">
        <v>0</v>
      </c>
    </row>
    <row r="34" ht="27.6" spans="1:8">
      <c r="A34" s="36">
        <v>21</v>
      </c>
      <c r="B34" s="18" t="s">
        <v>1187</v>
      </c>
      <c r="C34" s="18"/>
      <c r="D34" s="18"/>
      <c r="E34" s="23">
        <v>410000</v>
      </c>
      <c r="F34" s="23">
        <v>215000</v>
      </c>
      <c r="G34" s="23">
        <v>195000</v>
      </c>
      <c r="H34" s="23">
        <v>0</v>
      </c>
    </row>
    <row r="35" ht="27.6" spans="1:8">
      <c r="A35" s="36">
        <v>22</v>
      </c>
      <c r="B35" s="18" t="s">
        <v>1188</v>
      </c>
      <c r="C35" s="18"/>
      <c r="D35" s="18"/>
      <c r="E35" s="23">
        <v>410000</v>
      </c>
      <c r="F35" s="23">
        <v>215000</v>
      </c>
      <c r="G35" s="23">
        <v>195000</v>
      </c>
      <c r="H35" s="23">
        <v>0</v>
      </c>
    </row>
    <row r="36" spans="1:8">
      <c r="A36" s="36">
        <v>23</v>
      </c>
      <c r="B36" s="18" t="s">
        <v>1189</v>
      </c>
      <c r="C36" s="18"/>
      <c r="D36" s="18"/>
      <c r="E36" s="23">
        <v>410000</v>
      </c>
      <c r="F36" s="23">
        <v>215000</v>
      </c>
      <c r="G36" s="23">
        <v>195000</v>
      </c>
      <c r="H36" s="23">
        <v>0</v>
      </c>
    </row>
    <row r="37" ht="41.4" spans="1:8">
      <c r="A37" s="36">
        <v>24</v>
      </c>
      <c r="B37" s="18" t="s">
        <v>1190</v>
      </c>
      <c r="C37" s="18"/>
      <c r="D37" s="18"/>
      <c r="E37" s="23">
        <v>410000</v>
      </c>
      <c r="F37" s="23">
        <v>215000</v>
      </c>
      <c r="G37" s="23">
        <v>195000</v>
      </c>
      <c r="H37" s="23">
        <v>0</v>
      </c>
    </row>
    <row r="38" ht="55.2" spans="1:8">
      <c r="A38" s="36">
        <v>25</v>
      </c>
      <c r="B38" s="18" t="s">
        <v>1191</v>
      </c>
      <c r="C38" s="18"/>
      <c r="D38" s="18"/>
      <c r="E38" s="23">
        <v>435000</v>
      </c>
      <c r="F38" s="23">
        <v>255000</v>
      </c>
      <c r="G38" s="23">
        <v>210000</v>
      </c>
      <c r="H38" s="23">
        <v>0</v>
      </c>
    </row>
    <row r="39" ht="55.2" spans="1:8">
      <c r="A39" s="36">
        <v>26</v>
      </c>
      <c r="B39" s="18" t="s">
        <v>1192</v>
      </c>
      <c r="C39" s="18"/>
      <c r="D39" s="18"/>
      <c r="E39" s="23">
        <v>475000</v>
      </c>
      <c r="F39" s="23">
        <v>290000</v>
      </c>
      <c r="G39" s="23">
        <v>225000</v>
      </c>
      <c r="H39" s="23">
        <v>0</v>
      </c>
    </row>
    <row r="40" ht="55.2" spans="1:8">
      <c r="A40" s="36">
        <v>27</v>
      </c>
      <c r="B40" s="18" t="s">
        <v>1193</v>
      </c>
      <c r="C40" s="18"/>
      <c r="D40" s="18"/>
      <c r="E40" s="23">
        <v>435000</v>
      </c>
      <c r="F40" s="23">
        <v>255000</v>
      </c>
      <c r="G40" s="23">
        <v>210000</v>
      </c>
      <c r="H40" s="23">
        <v>0</v>
      </c>
    </row>
    <row r="41" spans="1:8">
      <c r="A41" s="40" t="s">
        <v>217</v>
      </c>
      <c r="B41" s="18"/>
      <c r="C41" s="18"/>
      <c r="D41" s="18"/>
      <c r="E41" s="23" t="s">
        <v>16</v>
      </c>
      <c r="F41" s="23" t="s">
        <v>16</v>
      </c>
      <c r="G41" s="23" t="s">
        <v>16</v>
      </c>
      <c r="H41" s="23" t="s">
        <v>16</v>
      </c>
    </row>
    <row r="42" spans="1:8">
      <c r="A42" s="17"/>
      <c r="B42" s="40" t="s">
        <v>1178</v>
      </c>
      <c r="C42" s="18"/>
      <c r="D42" s="18"/>
      <c r="E42" s="23" t="s">
        <v>16</v>
      </c>
      <c r="F42" s="23" t="s">
        <v>16</v>
      </c>
      <c r="G42" s="23" t="s">
        <v>16</v>
      </c>
      <c r="H42" s="23" t="s">
        <v>16</v>
      </c>
    </row>
    <row r="43" ht="289.8" spans="1:8">
      <c r="A43" s="36">
        <v>28</v>
      </c>
      <c r="B43" s="18" t="s">
        <v>1194</v>
      </c>
      <c r="C43" s="18"/>
      <c r="D43" s="18"/>
      <c r="E43" s="23">
        <v>180000</v>
      </c>
      <c r="F43" s="23">
        <v>125000</v>
      </c>
      <c r="G43" s="23">
        <v>0</v>
      </c>
      <c r="H43" s="23">
        <v>0</v>
      </c>
    </row>
    <row r="44" spans="1:8">
      <c r="A44" s="17"/>
      <c r="B44" s="40" t="s">
        <v>1182</v>
      </c>
      <c r="C44" s="18"/>
      <c r="D44" s="18"/>
      <c r="E44" s="23" t="s">
        <v>16</v>
      </c>
      <c r="F44" s="23" t="s">
        <v>16</v>
      </c>
      <c r="G44" s="23" t="s">
        <v>16</v>
      </c>
      <c r="H44" s="23" t="s">
        <v>16</v>
      </c>
    </row>
    <row r="45" ht="124.2" spans="1:8">
      <c r="A45" s="36">
        <v>29</v>
      </c>
      <c r="B45" s="18" t="s">
        <v>1195</v>
      </c>
      <c r="C45" s="18"/>
      <c r="D45" s="18"/>
      <c r="E45" s="23">
        <v>180000</v>
      </c>
      <c r="F45" s="23">
        <v>125000</v>
      </c>
      <c r="G45" s="23">
        <v>0</v>
      </c>
      <c r="H45" s="23">
        <v>0</v>
      </c>
    </row>
    <row r="46" spans="1:8">
      <c r="A46" s="17"/>
      <c r="B46" s="20"/>
      <c r="C46" s="57"/>
      <c r="D46" s="57"/>
      <c r="E46" s="23" t="s">
        <v>16</v>
      </c>
      <c r="F46" s="23" t="s">
        <v>16</v>
      </c>
      <c r="G46" s="23" t="s">
        <v>16</v>
      </c>
      <c r="H46" s="23" t="s">
        <v>16</v>
      </c>
    </row>
    <row r="47" spans="1:8">
      <c r="A47" s="17"/>
      <c r="B47" s="20"/>
      <c r="C47" s="57"/>
      <c r="D47" s="57"/>
      <c r="E47" s="23" t="s">
        <v>16</v>
      </c>
      <c r="F47" s="23" t="s">
        <v>16</v>
      </c>
      <c r="G47" s="23" t="s">
        <v>16</v>
      </c>
      <c r="H47" s="23" t="s">
        <v>16</v>
      </c>
    </row>
    <row r="48" spans="1:8">
      <c r="A48" s="17"/>
      <c r="B48" s="20"/>
      <c r="C48" s="57"/>
      <c r="D48" s="57"/>
      <c r="E48" s="23" t="s">
        <v>16</v>
      </c>
      <c r="F48" s="23" t="s">
        <v>16</v>
      </c>
      <c r="G48" s="23" t="s">
        <v>16</v>
      </c>
      <c r="H48" s="23" t="s">
        <v>16</v>
      </c>
    </row>
    <row r="49" spans="1:8">
      <c r="A49" s="17"/>
      <c r="B49" s="20"/>
      <c r="C49" s="57"/>
      <c r="D49" s="57"/>
      <c r="E49" s="23" t="s">
        <v>16</v>
      </c>
      <c r="F49" s="23" t="s">
        <v>16</v>
      </c>
      <c r="G49" s="23" t="s">
        <v>16</v>
      </c>
      <c r="H49" s="23" t="s">
        <v>16</v>
      </c>
    </row>
    <row r="50" spans="1:8">
      <c r="A50" s="17"/>
      <c r="B50" s="20"/>
      <c r="C50" s="57"/>
      <c r="D50" s="57"/>
      <c r="E50" s="23" t="s">
        <v>16</v>
      </c>
      <c r="F50" s="23" t="s">
        <v>16</v>
      </c>
      <c r="G50" s="23" t="s">
        <v>16</v>
      </c>
      <c r="H50" s="23" t="s">
        <v>16</v>
      </c>
    </row>
    <row r="51" spans="1:8">
      <c r="A51" s="17"/>
      <c r="B51" s="20"/>
      <c r="C51" s="57"/>
      <c r="D51" s="57"/>
      <c r="E51" s="23" t="s">
        <v>16</v>
      </c>
      <c r="F51" s="23" t="s">
        <v>16</v>
      </c>
      <c r="G51" s="23" t="s">
        <v>16</v>
      </c>
      <c r="H51" s="23" t="s">
        <v>16</v>
      </c>
    </row>
    <row r="52" spans="1:8">
      <c r="A52" s="17"/>
      <c r="B52" s="20"/>
      <c r="C52" s="57"/>
      <c r="D52" s="57"/>
      <c r="E52" s="23" t="s">
        <v>16</v>
      </c>
      <c r="F52" s="23" t="s">
        <v>16</v>
      </c>
      <c r="G52" s="23" t="s">
        <v>16</v>
      </c>
      <c r="H52" s="23" t="s">
        <v>16</v>
      </c>
    </row>
    <row r="53" spans="1:8">
      <c r="A53" s="17"/>
      <c r="B53" s="49"/>
      <c r="C53" s="177"/>
      <c r="D53" s="177"/>
      <c r="E53" s="23" t="s">
        <v>16</v>
      </c>
      <c r="F53" s="23" t="s">
        <v>16</v>
      </c>
      <c r="G53" s="23" t="s">
        <v>16</v>
      </c>
      <c r="H53" s="23" t="s">
        <v>16</v>
      </c>
    </row>
    <row r="54" spans="1:8">
      <c r="A54" s="17"/>
      <c r="B54" s="20"/>
      <c r="C54" s="57"/>
      <c r="D54" s="57"/>
      <c r="E54" s="23" t="s">
        <v>16</v>
      </c>
      <c r="F54" s="23" t="s">
        <v>16</v>
      </c>
      <c r="G54" s="23" t="s">
        <v>16</v>
      </c>
      <c r="H54" s="23" t="s">
        <v>16</v>
      </c>
    </row>
    <row r="55" spans="1:8">
      <c r="A55" s="17"/>
      <c r="B55" s="20"/>
      <c r="C55" s="57"/>
      <c r="D55" s="57"/>
      <c r="E55" s="23" t="s">
        <v>16</v>
      </c>
      <c r="F55" s="23" t="s">
        <v>16</v>
      </c>
      <c r="G55" s="23" t="s">
        <v>16</v>
      </c>
      <c r="H55" s="23" t="s">
        <v>16</v>
      </c>
    </row>
    <row r="56" spans="1:8">
      <c r="A56" s="17"/>
      <c r="B56" s="20"/>
      <c r="C56" s="57"/>
      <c r="D56" s="57"/>
      <c r="E56" s="23" t="s">
        <v>16</v>
      </c>
      <c r="F56" s="23" t="s">
        <v>16</v>
      </c>
      <c r="G56" s="23" t="s">
        <v>16</v>
      </c>
      <c r="H56" s="23" t="s">
        <v>16</v>
      </c>
    </row>
    <row r="57" spans="1:8">
      <c r="A57" s="17"/>
      <c r="B57" s="20"/>
      <c r="C57" s="57"/>
      <c r="D57" s="57"/>
      <c r="E57" s="23" t="s">
        <v>16</v>
      </c>
      <c r="F57" s="23" t="s">
        <v>16</v>
      </c>
      <c r="G57" s="23" t="s">
        <v>16</v>
      </c>
      <c r="H57" s="23" t="s">
        <v>16</v>
      </c>
    </row>
    <row r="58" spans="1:8">
      <c r="A58" s="17"/>
      <c r="B58" s="20"/>
      <c r="C58" s="57"/>
      <c r="D58" s="57"/>
      <c r="E58" s="23" t="s">
        <v>16</v>
      </c>
      <c r="F58" s="23" t="s">
        <v>16</v>
      </c>
      <c r="G58" s="23" t="s">
        <v>16</v>
      </c>
      <c r="H58" s="23" t="s">
        <v>16</v>
      </c>
    </row>
    <row r="59" spans="1:8">
      <c r="A59" s="17"/>
      <c r="B59" s="20"/>
      <c r="C59" s="57"/>
      <c r="D59" s="57"/>
      <c r="E59" s="23" t="s">
        <v>16</v>
      </c>
      <c r="F59" s="23" t="s">
        <v>16</v>
      </c>
      <c r="G59" s="23" t="s">
        <v>16</v>
      </c>
      <c r="H59" s="23" t="s">
        <v>16</v>
      </c>
    </row>
    <row r="60" spans="1:8">
      <c r="A60" s="17"/>
      <c r="B60" s="20"/>
      <c r="C60" s="57"/>
      <c r="D60" s="57"/>
      <c r="E60" s="23" t="s">
        <v>16</v>
      </c>
      <c r="F60" s="23" t="s">
        <v>16</v>
      </c>
      <c r="G60" s="23" t="s">
        <v>16</v>
      </c>
      <c r="H60" s="23" t="s">
        <v>16</v>
      </c>
    </row>
    <row r="61" spans="1:8">
      <c r="A61" s="17"/>
      <c r="B61" s="20"/>
      <c r="C61" s="57"/>
      <c r="D61" s="57"/>
      <c r="E61" s="23" t="s">
        <v>16</v>
      </c>
      <c r="F61" s="23" t="s">
        <v>16</v>
      </c>
      <c r="G61" s="23" t="s">
        <v>16</v>
      </c>
      <c r="H61" s="23" t="s">
        <v>16</v>
      </c>
    </row>
    <row r="62" spans="1:8">
      <c r="A62" s="17"/>
      <c r="B62" s="20"/>
      <c r="C62" s="57"/>
      <c r="D62" s="57"/>
      <c r="E62" s="23" t="s">
        <v>16</v>
      </c>
      <c r="F62" s="23" t="s">
        <v>16</v>
      </c>
      <c r="G62" s="23" t="s">
        <v>16</v>
      </c>
      <c r="H62" s="23" t="s">
        <v>16</v>
      </c>
    </row>
    <row r="63" spans="1:8">
      <c r="A63" s="17"/>
      <c r="B63" s="20"/>
      <c r="C63" s="57"/>
      <c r="D63" s="57"/>
      <c r="E63" s="23" t="s">
        <v>16</v>
      </c>
      <c r="F63" s="23" t="s">
        <v>16</v>
      </c>
      <c r="G63" s="23" t="s">
        <v>16</v>
      </c>
      <c r="H63" s="23" t="s">
        <v>16</v>
      </c>
    </row>
    <row r="64" spans="1:8">
      <c r="A64" s="17"/>
      <c r="B64" s="20"/>
      <c r="C64" s="57"/>
      <c r="D64" s="57"/>
      <c r="E64" s="23" t="s">
        <v>16</v>
      </c>
      <c r="F64" s="23" t="s">
        <v>16</v>
      </c>
      <c r="G64" s="23" t="s">
        <v>16</v>
      </c>
      <c r="H64" s="23" t="s">
        <v>16</v>
      </c>
    </row>
    <row r="65" spans="1:8">
      <c r="A65" s="17"/>
      <c r="B65" s="20"/>
      <c r="C65" s="57"/>
      <c r="D65" s="57"/>
      <c r="E65" s="23" t="s">
        <v>16</v>
      </c>
      <c r="F65" s="23" t="s">
        <v>16</v>
      </c>
      <c r="G65" s="23" t="s">
        <v>16</v>
      </c>
      <c r="H65" s="23" t="s">
        <v>16</v>
      </c>
    </row>
    <row r="66" spans="1:8">
      <c r="A66" s="17"/>
      <c r="B66" s="20"/>
      <c r="C66" s="57"/>
      <c r="D66" s="57"/>
      <c r="E66" s="23" t="s">
        <v>16</v>
      </c>
      <c r="F66" s="23" t="s">
        <v>16</v>
      </c>
      <c r="G66" s="23" t="s">
        <v>16</v>
      </c>
      <c r="H66" s="23" t="s">
        <v>16</v>
      </c>
    </row>
    <row r="67" spans="1:8">
      <c r="A67" s="17"/>
      <c r="B67" s="20"/>
      <c r="C67" s="57"/>
      <c r="D67" s="57"/>
      <c r="E67" s="23" t="s">
        <v>16</v>
      </c>
      <c r="F67" s="23" t="s">
        <v>16</v>
      </c>
      <c r="G67" s="23" t="s">
        <v>16</v>
      </c>
      <c r="H67" s="23" t="s">
        <v>16</v>
      </c>
    </row>
    <row r="68" spans="1:8">
      <c r="A68" s="17"/>
      <c r="B68" s="20"/>
      <c r="C68" s="57"/>
      <c r="D68" s="57"/>
      <c r="E68" s="23" t="s">
        <v>16</v>
      </c>
      <c r="F68" s="23" t="s">
        <v>16</v>
      </c>
      <c r="G68" s="23" t="s">
        <v>16</v>
      </c>
      <c r="H68" s="23" t="s">
        <v>16</v>
      </c>
    </row>
    <row r="69" spans="1:8">
      <c r="A69" s="17"/>
      <c r="B69" s="20"/>
      <c r="C69" s="57"/>
      <c r="D69" s="57"/>
      <c r="E69" s="23" t="s">
        <v>16</v>
      </c>
      <c r="F69" s="23" t="s">
        <v>16</v>
      </c>
      <c r="G69" s="23" t="s">
        <v>16</v>
      </c>
      <c r="H69" s="23" t="s">
        <v>16</v>
      </c>
    </row>
    <row r="70" spans="1:8">
      <c r="A70" s="17"/>
      <c r="B70" s="20"/>
      <c r="C70" s="57"/>
      <c r="D70" s="57"/>
      <c r="E70" s="23" t="s">
        <v>16</v>
      </c>
      <c r="F70" s="23" t="s">
        <v>16</v>
      </c>
      <c r="G70" s="23" t="s">
        <v>16</v>
      </c>
      <c r="H70" s="23" t="s">
        <v>16</v>
      </c>
    </row>
    <row r="71" spans="1:8">
      <c r="A71" s="17"/>
      <c r="B71" s="20"/>
      <c r="C71" s="57"/>
      <c r="D71" s="57"/>
      <c r="E71" s="23" t="s">
        <v>16</v>
      </c>
      <c r="F71" s="23" t="s">
        <v>16</v>
      </c>
      <c r="G71" s="23" t="s">
        <v>16</v>
      </c>
      <c r="H71" s="23" t="s">
        <v>16</v>
      </c>
    </row>
    <row r="72" spans="1:8">
      <c r="A72" s="17"/>
      <c r="B72" s="20"/>
      <c r="C72" s="57"/>
      <c r="D72" s="57"/>
      <c r="E72" s="23" t="s">
        <v>16</v>
      </c>
      <c r="F72" s="23" t="s">
        <v>16</v>
      </c>
      <c r="G72" s="23" t="s">
        <v>16</v>
      </c>
      <c r="H72" s="23" t="s">
        <v>16</v>
      </c>
    </row>
    <row r="73" spans="1:8">
      <c r="A73" s="17"/>
      <c r="B73" s="20"/>
      <c r="C73" s="57"/>
      <c r="D73" s="57"/>
      <c r="E73" s="23" t="s">
        <v>16</v>
      </c>
      <c r="F73" s="23" t="s">
        <v>16</v>
      </c>
      <c r="G73" s="23" t="s">
        <v>16</v>
      </c>
      <c r="H73" s="23" t="s">
        <v>16</v>
      </c>
    </row>
    <row r="74" spans="1:8">
      <c r="A74" s="17"/>
      <c r="B74" s="20"/>
      <c r="C74" s="57"/>
      <c r="D74" s="57"/>
      <c r="E74" s="23" t="s">
        <v>16</v>
      </c>
      <c r="F74" s="23" t="s">
        <v>16</v>
      </c>
      <c r="G74" s="23" t="s">
        <v>16</v>
      </c>
      <c r="H74" s="23" t="s">
        <v>16</v>
      </c>
    </row>
    <row r="75" spans="1:8">
      <c r="A75" s="17"/>
      <c r="B75" s="20"/>
      <c r="C75" s="57"/>
      <c r="D75" s="57"/>
      <c r="E75" s="23" t="s">
        <v>16</v>
      </c>
      <c r="F75" s="23" t="s">
        <v>16</v>
      </c>
      <c r="G75" s="23" t="s">
        <v>16</v>
      </c>
      <c r="H75" s="23" t="s">
        <v>16</v>
      </c>
    </row>
    <row r="76" spans="1:8">
      <c r="A76" s="17"/>
      <c r="B76" s="20"/>
      <c r="C76" s="57"/>
      <c r="D76" s="57"/>
      <c r="E76" s="23" t="s">
        <v>16</v>
      </c>
      <c r="F76" s="23" t="s">
        <v>16</v>
      </c>
      <c r="G76" s="23" t="s">
        <v>16</v>
      </c>
      <c r="H76" s="23" t="s">
        <v>16</v>
      </c>
    </row>
    <row r="77" spans="1:8">
      <c r="A77" s="17"/>
      <c r="B77" s="20"/>
      <c r="C77" s="57"/>
      <c r="D77" s="57"/>
      <c r="E77" s="23" t="s">
        <v>16</v>
      </c>
      <c r="F77" s="23" t="s">
        <v>16</v>
      </c>
      <c r="G77" s="23" t="s">
        <v>16</v>
      </c>
      <c r="H77" s="23" t="s">
        <v>16</v>
      </c>
    </row>
    <row r="78" spans="1:8">
      <c r="A78" s="17"/>
      <c r="B78" s="20"/>
      <c r="C78" s="57"/>
      <c r="D78" s="57"/>
      <c r="E78" s="23" t="s">
        <v>16</v>
      </c>
      <c r="F78" s="23" t="s">
        <v>16</v>
      </c>
      <c r="G78" s="23" t="s">
        <v>16</v>
      </c>
      <c r="H78" s="23" t="s">
        <v>16</v>
      </c>
    </row>
    <row r="79" spans="1:8">
      <c r="A79" s="17"/>
      <c r="B79" s="20"/>
      <c r="C79" s="57"/>
      <c r="D79" s="57"/>
      <c r="E79" s="23" t="s">
        <v>16</v>
      </c>
      <c r="F79" s="23" t="s">
        <v>16</v>
      </c>
      <c r="G79" s="23" t="s">
        <v>16</v>
      </c>
      <c r="H79" s="23" t="s">
        <v>16</v>
      </c>
    </row>
    <row r="80" spans="1:8">
      <c r="A80" s="17"/>
      <c r="B80" s="20"/>
      <c r="C80" s="57"/>
      <c r="D80" s="57"/>
      <c r="E80" s="23" t="s">
        <v>16</v>
      </c>
      <c r="F80" s="23" t="s">
        <v>16</v>
      </c>
      <c r="G80" s="23" t="s">
        <v>16</v>
      </c>
      <c r="H80" s="23" t="s">
        <v>16</v>
      </c>
    </row>
    <row r="81" spans="1:8">
      <c r="A81" s="17"/>
      <c r="B81" s="42"/>
      <c r="C81" s="178"/>
      <c r="D81" s="178"/>
      <c r="E81" s="23" t="s">
        <v>16</v>
      </c>
      <c r="F81" s="23" t="s">
        <v>16</v>
      </c>
      <c r="G81" s="23" t="s">
        <v>16</v>
      </c>
      <c r="H81" s="23" t="s">
        <v>16</v>
      </c>
    </row>
    <row r="82" spans="1:8">
      <c r="A82" s="17"/>
      <c r="B82" s="20"/>
      <c r="C82" s="57"/>
      <c r="D82" s="57"/>
      <c r="E82" s="23" t="s">
        <v>16</v>
      </c>
      <c r="F82" s="23" t="s">
        <v>16</v>
      </c>
      <c r="G82" s="23" t="s">
        <v>16</v>
      </c>
      <c r="H82" s="23" t="s">
        <v>16</v>
      </c>
    </row>
    <row r="83" spans="1:8">
      <c r="A83" s="17"/>
      <c r="B83" s="20"/>
      <c r="C83" s="57"/>
      <c r="D83" s="57"/>
      <c r="E83" s="23" t="s">
        <v>16</v>
      </c>
      <c r="F83" s="23" t="s">
        <v>16</v>
      </c>
      <c r="G83" s="23" t="s">
        <v>16</v>
      </c>
      <c r="H83" s="23" t="s">
        <v>16</v>
      </c>
    </row>
    <row r="84" spans="1:8">
      <c r="A84" s="17"/>
      <c r="B84" s="20"/>
      <c r="C84" s="57"/>
      <c r="D84" s="57"/>
      <c r="E84" s="23" t="s">
        <v>16</v>
      </c>
      <c r="F84" s="23" t="s">
        <v>16</v>
      </c>
      <c r="G84" s="23" t="s">
        <v>16</v>
      </c>
      <c r="H84" s="23" t="s">
        <v>16</v>
      </c>
    </row>
    <row r="85" spans="1:8">
      <c r="E85" s="23" t="s">
        <v>16</v>
      </c>
      <c r="F85" s="23" t="s">
        <v>16</v>
      </c>
      <c r="G85" s="23" t="s">
        <v>16</v>
      </c>
      <c r="H85" s="23" t="s">
        <v>16</v>
      </c>
    </row>
    <row r="86" spans="1:8">
      <c r="E86" s="23" t="s">
        <v>16</v>
      </c>
      <c r="F86" s="23" t="s">
        <v>16</v>
      </c>
      <c r="G86" s="23" t="s">
        <v>16</v>
      </c>
      <c r="H86" s="23" t="s">
        <v>16</v>
      </c>
    </row>
    <row r="87" spans="1:8">
      <c r="E87" s="23" t="s">
        <v>16</v>
      </c>
      <c r="F87" s="23" t="s">
        <v>16</v>
      </c>
      <c r="G87" s="23" t="s">
        <v>16</v>
      </c>
      <c r="H87" s="23" t="s">
        <v>16</v>
      </c>
    </row>
    <row r="88" spans="1:8">
      <c r="E88" s="23" t="s">
        <v>16</v>
      </c>
      <c r="F88" s="23" t="s">
        <v>16</v>
      </c>
      <c r="G88" s="23" t="s">
        <v>16</v>
      </c>
      <c r="H88" s="23" t="s">
        <v>16</v>
      </c>
    </row>
    <row r="89" spans="1:8">
      <c r="E89" s="23" t="s">
        <v>16</v>
      </c>
      <c r="F89" s="23" t="s">
        <v>16</v>
      </c>
      <c r="G89" s="23" t="s">
        <v>16</v>
      </c>
      <c r="H89" s="23" t="s">
        <v>16</v>
      </c>
    </row>
    <row r="90" spans="1:8">
      <c r="E90" s="23" t="s">
        <v>16</v>
      </c>
      <c r="F90" s="23" t="s">
        <v>16</v>
      </c>
      <c r="G90" s="23" t="s">
        <v>16</v>
      </c>
      <c r="H90" s="23" t="s">
        <v>16</v>
      </c>
    </row>
    <row r="91" spans="1:8">
      <c r="E91" s="23" t="s">
        <v>16</v>
      </c>
      <c r="F91" s="23" t="s">
        <v>16</v>
      </c>
      <c r="G91" s="23" t="s">
        <v>16</v>
      </c>
      <c r="H91" s="23" t="s">
        <v>16</v>
      </c>
    </row>
    <row r="92" spans="1:8">
      <c r="E92" s="23" t="s">
        <v>16</v>
      </c>
      <c r="F92" s="23" t="s">
        <v>16</v>
      </c>
      <c r="G92" s="23" t="s">
        <v>16</v>
      </c>
      <c r="H92" s="23" t="s">
        <v>16</v>
      </c>
    </row>
    <row r="93" spans="1:8">
      <c r="E93" s="23" t="s">
        <v>16</v>
      </c>
      <c r="F93" s="23" t="s">
        <v>16</v>
      </c>
      <c r="G93" s="23" t="s">
        <v>16</v>
      </c>
      <c r="H93" s="23" t="s">
        <v>16</v>
      </c>
    </row>
    <row r="94" spans="1:8">
      <c r="E94" s="23" t="s">
        <v>16</v>
      </c>
      <c r="F94" s="23" t="s">
        <v>16</v>
      </c>
      <c r="G94" s="23" t="s">
        <v>16</v>
      </c>
      <c r="H94" s="23" t="s">
        <v>16</v>
      </c>
    </row>
    <row r="95" spans="1:8">
      <c r="E95" s="23" t="s">
        <v>16</v>
      </c>
      <c r="F95" s="23" t="s">
        <v>16</v>
      </c>
      <c r="G95" s="23" t="s">
        <v>16</v>
      </c>
      <c r="H95" s="23" t="s">
        <v>16</v>
      </c>
    </row>
    <row r="96" spans="1:8">
      <c r="E96" s="23" t="s">
        <v>16</v>
      </c>
      <c r="F96" s="23" t="s">
        <v>16</v>
      </c>
      <c r="G96" s="23" t="s">
        <v>16</v>
      </c>
      <c r="H96" s="23" t="s">
        <v>16</v>
      </c>
    </row>
    <row r="97" spans="5:8">
      <c r="E97" s="23" t="s">
        <v>16</v>
      </c>
      <c r="F97" s="23" t="s">
        <v>16</v>
      </c>
      <c r="G97" s="23" t="s">
        <v>16</v>
      </c>
      <c r="H97" s="23" t="s">
        <v>16</v>
      </c>
    </row>
    <row r="98" spans="5:8">
      <c r="E98" s="23" t="s">
        <v>16</v>
      </c>
      <c r="F98" s="23" t="s">
        <v>16</v>
      </c>
      <c r="G98" s="23" t="s">
        <v>16</v>
      </c>
      <c r="H98" s="23" t="s">
        <v>16</v>
      </c>
    </row>
    <row r="99" spans="5:8">
      <c r="E99" s="23" t="s">
        <v>16</v>
      </c>
      <c r="F99" s="23" t="s">
        <v>16</v>
      </c>
      <c r="G99" s="23" t="s">
        <v>16</v>
      </c>
      <c r="H99" s="23" t="s">
        <v>16</v>
      </c>
    </row>
    <row r="100" spans="5:8">
      <c r="E100" s="23" t="s">
        <v>16</v>
      </c>
      <c r="F100" s="23" t="s">
        <v>16</v>
      </c>
      <c r="G100" s="23" t="s">
        <v>16</v>
      </c>
      <c r="H100" s="23" t="s">
        <v>16</v>
      </c>
    </row>
    <row r="101" spans="5:8">
      <c r="E101" s="23" t="s">
        <v>16</v>
      </c>
      <c r="F101" s="23" t="s">
        <v>16</v>
      </c>
      <c r="G101" s="23" t="s">
        <v>16</v>
      </c>
      <c r="H101" s="23" t="s">
        <v>16</v>
      </c>
    </row>
    <row r="102" spans="5:8">
      <c r="E102" s="23" t="s">
        <v>16</v>
      </c>
      <c r="F102" s="23" t="s">
        <v>16</v>
      </c>
      <c r="G102" s="23" t="s">
        <v>16</v>
      </c>
      <c r="H102" s="23" t="s">
        <v>16</v>
      </c>
    </row>
    <row r="103" spans="5:8">
      <c r="E103" s="23" t="s">
        <v>16</v>
      </c>
      <c r="F103" s="23" t="s">
        <v>16</v>
      </c>
      <c r="G103" s="23" t="s">
        <v>16</v>
      </c>
      <c r="H103" s="23" t="s">
        <v>16</v>
      </c>
    </row>
    <row r="104" spans="5:8">
      <c r="E104" s="23" t="s">
        <v>16</v>
      </c>
      <c r="F104" s="23" t="s">
        <v>16</v>
      </c>
      <c r="G104" s="23" t="s">
        <v>16</v>
      </c>
      <c r="H104" s="23" t="s">
        <v>16</v>
      </c>
    </row>
    <row r="105" spans="5:8">
      <c r="E105" s="23" t="s">
        <v>16</v>
      </c>
      <c r="F105" s="23" t="s">
        <v>16</v>
      </c>
      <c r="G105" s="23" t="s">
        <v>16</v>
      </c>
      <c r="H105" s="23" t="s">
        <v>16</v>
      </c>
    </row>
    <row r="106" spans="5:8">
      <c r="E106" s="23" t="s">
        <v>16</v>
      </c>
      <c r="F106" s="23" t="s">
        <v>16</v>
      </c>
      <c r="G106" s="23" t="s">
        <v>16</v>
      </c>
      <c r="H106" s="23" t="s">
        <v>16</v>
      </c>
    </row>
    <row r="107" spans="5:8">
      <c r="E107" s="23" t="s">
        <v>16</v>
      </c>
      <c r="F107" s="23" t="s">
        <v>16</v>
      </c>
      <c r="G107" s="23" t="s">
        <v>16</v>
      </c>
      <c r="H107" s="23" t="s">
        <v>16</v>
      </c>
    </row>
    <row r="108" spans="5:8">
      <c r="E108" s="23" t="s">
        <v>16</v>
      </c>
      <c r="F108" s="23" t="s">
        <v>16</v>
      </c>
      <c r="G108" s="23" t="s">
        <v>16</v>
      </c>
      <c r="H108" s="23" t="s">
        <v>16</v>
      </c>
    </row>
    <row r="109" spans="5:8">
      <c r="E109" s="23" t="s">
        <v>16</v>
      </c>
      <c r="F109" s="23" t="s">
        <v>16</v>
      </c>
      <c r="G109" s="23" t="s">
        <v>16</v>
      </c>
      <c r="H109" s="23" t="s">
        <v>16</v>
      </c>
    </row>
    <row r="110" spans="5:8">
      <c r="E110" s="23" t="s">
        <v>16</v>
      </c>
      <c r="F110" s="23" t="s">
        <v>16</v>
      </c>
      <c r="G110" s="23" t="s">
        <v>16</v>
      </c>
      <c r="H110" s="23" t="s">
        <v>16</v>
      </c>
    </row>
    <row r="111" spans="5:8">
      <c r="E111" s="23" t="s">
        <v>16</v>
      </c>
      <c r="F111" s="23" t="s">
        <v>16</v>
      </c>
      <c r="G111" s="23" t="s">
        <v>16</v>
      </c>
      <c r="H111" s="23" t="s">
        <v>16</v>
      </c>
    </row>
    <row r="112" spans="5:8">
      <c r="E112" s="23" t="s">
        <v>16</v>
      </c>
      <c r="F112" s="23" t="s">
        <v>16</v>
      </c>
      <c r="G112" s="23" t="s">
        <v>16</v>
      </c>
      <c r="H112" s="23" t="s">
        <v>16</v>
      </c>
    </row>
    <row r="113" spans="5:8">
      <c r="E113" s="23" t="s">
        <v>16</v>
      </c>
      <c r="F113" s="23" t="s">
        <v>16</v>
      </c>
      <c r="G113" s="23" t="s">
        <v>16</v>
      </c>
      <c r="H113" s="23" t="s">
        <v>16</v>
      </c>
    </row>
    <row r="114" spans="5:8">
      <c r="E114" s="23" t="s">
        <v>16</v>
      </c>
      <c r="F114" s="23" t="s">
        <v>16</v>
      </c>
      <c r="G114" s="23" t="s">
        <v>16</v>
      </c>
      <c r="H114" s="23" t="s">
        <v>16</v>
      </c>
    </row>
    <row r="115" spans="5:8">
      <c r="E115" s="23" t="s">
        <v>16</v>
      </c>
      <c r="F115" s="23" t="s">
        <v>16</v>
      </c>
      <c r="G115" s="23" t="s">
        <v>16</v>
      </c>
      <c r="H115" s="23" t="s">
        <v>16</v>
      </c>
    </row>
    <row r="116" spans="5:8">
      <c r="E116" s="23" t="s">
        <v>16</v>
      </c>
      <c r="F116" s="23" t="s">
        <v>16</v>
      </c>
      <c r="G116" s="23" t="s">
        <v>16</v>
      </c>
      <c r="H116" s="23" t="s">
        <v>16</v>
      </c>
    </row>
    <row r="117" spans="5:8">
      <c r="E117" s="23" t="s">
        <v>16</v>
      </c>
      <c r="F117" s="23" t="s">
        <v>16</v>
      </c>
      <c r="G117" s="23" t="s">
        <v>16</v>
      </c>
      <c r="H117" s="23" t="s">
        <v>16</v>
      </c>
    </row>
    <row r="118" spans="5:8">
      <c r="E118" s="23" t="s">
        <v>16</v>
      </c>
      <c r="F118" s="23" t="s">
        <v>16</v>
      </c>
      <c r="G118" s="23" t="s">
        <v>16</v>
      </c>
      <c r="H118" s="23" t="s">
        <v>16</v>
      </c>
    </row>
    <row r="119" spans="5:8">
      <c r="E119" s="23" t="s">
        <v>16</v>
      </c>
      <c r="F119" s="23" t="s">
        <v>16</v>
      </c>
      <c r="G119" s="23" t="s">
        <v>16</v>
      </c>
      <c r="H119" s="23" t="s">
        <v>16</v>
      </c>
    </row>
    <row r="120" spans="5:8">
      <c r="E120" s="23" t="s">
        <v>16</v>
      </c>
      <c r="F120" s="23" t="s">
        <v>16</v>
      </c>
      <c r="G120" s="23" t="s">
        <v>16</v>
      </c>
      <c r="H120" s="23" t="s">
        <v>16</v>
      </c>
    </row>
    <row r="121" spans="5:8">
      <c r="E121" s="23" t="s">
        <v>16</v>
      </c>
      <c r="F121" s="23" t="s">
        <v>16</v>
      </c>
      <c r="G121" s="23" t="s">
        <v>16</v>
      </c>
      <c r="H121" s="23" t="s">
        <v>16</v>
      </c>
    </row>
    <row r="122" spans="5:8">
      <c r="E122" s="23" t="s">
        <v>16</v>
      </c>
      <c r="F122" s="23" t="s">
        <v>16</v>
      </c>
      <c r="G122" s="23" t="s">
        <v>16</v>
      </c>
      <c r="H122" s="23" t="s">
        <v>16</v>
      </c>
    </row>
    <row r="123" spans="5:8">
      <c r="E123" s="23" t="s">
        <v>16</v>
      </c>
      <c r="F123" s="23" t="s">
        <v>16</v>
      </c>
      <c r="G123" s="23" t="s">
        <v>16</v>
      </c>
      <c r="H123" s="23" t="s">
        <v>16</v>
      </c>
    </row>
    <row r="124" spans="5:8">
      <c r="E124" s="23" t="s">
        <v>16</v>
      </c>
      <c r="F124" s="23" t="s">
        <v>16</v>
      </c>
      <c r="G124" s="23" t="s">
        <v>16</v>
      </c>
      <c r="H124" s="23" t="s">
        <v>16</v>
      </c>
    </row>
    <row r="125" spans="5:8">
      <c r="E125" s="23" t="s">
        <v>16</v>
      </c>
      <c r="F125" s="23" t="s">
        <v>16</v>
      </c>
      <c r="G125" s="23" t="s">
        <v>16</v>
      </c>
      <c r="H125" s="23" t="s">
        <v>16</v>
      </c>
    </row>
    <row r="126" spans="5:8">
      <c r="E126" s="23" t="s">
        <v>16</v>
      </c>
      <c r="F126" s="23" t="s">
        <v>16</v>
      </c>
      <c r="G126" s="23" t="s">
        <v>16</v>
      </c>
      <c r="H126" s="23" t="s">
        <v>16</v>
      </c>
    </row>
    <row r="127" spans="5:8">
      <c r="E127" s="23" t="s">
        <v>16</v>
      </c>
      <c r="F127" s="23" t="s">
        <v>16</v>
      </c>
      <c r="G127" s="23" t="s">
        <v>16</v>
      </c>
      <c r="H127" s="23" t="s">
        <v>16</v>
      </c>
    </row>
    <row r="128" spans="5:8">
      <c r="E128" s="23" t="s">
        <v>16</v>
      </c>
      <c r="F128" s="23" t="s">
        <v>16</v>
      </c>
      <c r="G128" s="23" t="s">
        <v>16</v>
      </c>
      <c r="H128" s="23" t="s">
        <v>16</v>
      </c>
    </row>
    <row r="129" spans="5:8">
      <c r="E129" s="23" t="s">
        <v>16</v>
      </c>
      <c r="F129" s="23" t="s">
        <v>16</v>
      </c>
      <c r="G129" s="23" t="s">
        <v>16</v>
      </c>
      <c r="H129" s="23" t="s">
        <v>16</v>
      </c>
    </row>
    <row r="130" spans="5:8">
      <c r="E130" s="23" t="s">
        <v>16</v>
      </c>
      <c r="F130" s="23" t="s">
        <v>16</v>
      </c>
      <c r="G130" s="23" t="s">
        <v>16</v>
      </c>
      <c r="H130" s="23" t="s">
        <v>16</v>
      </c>
    </row>
    <row r="131" spans="5:8">
      <c r="E131" s="23" t="s">
        <v>16</v>
      </c>
      <c r="F131" s="23" t="s">
        <v>16</v>
      </c>
      <c r="G131" s="23" t="s">
        <v>16</v>
      </c>
      <c r="H131" s="23" t="s">
        <v>16</v>
      </c>
    </row>
    <row r="132" spans="5:8">
      <c r="E132" s="23" t="s">
        <v>16</v>
      </c>
      <c r="F132" s="23" t="s">
        <v>16</v>
      </c>
      <c r="G132" s="23" t="s">
        <v>16</v>
      </c>
      <c r="H132" s="23" t="s">
        <v>16</v>
      </c>
    </row>
    <row r="133" spans="5:8">
      <c r="E133" s="23" t="s">
        <v>16</v>
      </c>
      <c r="F133" s="23" t="s">
        <v>16</v>
      </c>
      <c r="G133" s="23" t="s">
        <v>16</v>
      </c>
      <c r="H133" s="23" t="s">
        <v>16</v>
      </c>
    </row>
    <row r="134" spans="5:8">
      <c r="E134" s="23" t="s">
        <v>16</v>
      </c>
      <c r="F134" s="23" t="s">
        <v>16</v>
      </c>
      <c r="G134" s="23" t="s">
        <v>16</v>
      </c>
      <c r="H134" s="23" t="s">
        <v>16</v>
      </c>
    </row>
    <row r="135" spans="5:8">
      <c r="E135" s="23" t="s">
        <v>16</v>
      </c>
      <c r="F135" s="23" t="s">
        <v>16</v>
      </c>
      <c r="G135" s="23" t="s">
        <v>16</v>
      </c>
      <c r="H135" s="23" t="s">
        <v>16</v>
      </c>
    </row>
    <row r="136" spans="5:8">
      <c r="E136" s="23" t="s">
        <v>16</v>
      </c>
      <c r="F136" s="23" t="s">
        <v>16</v>
      </c>
      <c r="G136" s="23" t="s">
        <v>16</v>
      </c>
      <c r="H136" s="23" t="s">
        <v>16</v>
      </c>
    </row>
    <row r="137" spans="5:8">
      <c r="E137" s="23" t="s">
        <v>16</v>
      </c>
      <c r="F137" s="23" t="s">
        <v>16</v>
      </c>
      <c r="G137" s="23" t="s">
        <v>16</v>
      </c>
      <c r="H137" s="23" t="s">
        <v>16</v>
      </c>
    </row>
    <row r="138" spans="5:8">
      <c r="E138" s="23" t="s">
        <v>16</v>
      </c>
      <c r="F138" s="23" t="s">
        <v>16</v>
      </c>
      <c r="G138" s="23" t="s">
        <v>16</v>
      </c>
      <c r="H138" s="23" t="s">
        <v>16</v>
      </c>
    </row>
    <row r="139" spans="5:8">
      <c r="E139" s="23" t="s">
        <v>16</v>
      </c>
      <c r="F139" s="23" t="s">
        <v>16</v>
      </c>
      <c r="G139" s="23" t="s">
        <v>16</v>
      </c>
      <c r="H139" s="23" t="s">
        <v>16</v>
      </c>
    </row>
    <row r="140" spans="5:8">
      <c r="E140" s="23" t="s">
        <v>16</v>
      </c>
      <c r="F140" s="23" t="s">
        <v>16</v>
      </c>
      <c r="G140" s="23" t="s">
        <v>16</v>
      </c>
      <c r="H140" s="23" t="s">
        <v>16</v>
      </c>
    </row>
    <row r="141" spans="5:8">
      <c r="E141" s="23" t="s">
        <v>16</v>
      </c>
      <c r="F141" s="23" t="s">
        <v>16</v>
      </c>
      <c r="G141" s="23" t="s">
        <v>16</v>
      </c>
      <c r="H141" s="23" t="s">
        <v>16</v>
      </c>
    </row>
    <row r="142" spans="5:8">
      <c r="E142" s="23" t="s">
        <v>16</v>
      </c>
      <c r="F142" s="23" t="s">
        <v>16</v>
      </c>
      <c r="G142" s="23" t="s">
        <v>16</v>
      </c>
      <c r="H142" s="23" t="s">
        <v>16</v>
      </c>
    </row>
    <row r="143" spans="5:8">
      <c r="E143" s="23" t="s">
        <v>16</v>
      </c>
      <c r="F143" s="23" t="s">
        <v>16</v>
      </c>
      <c r="G143" s="23" t="s">
        <v>16</v>
      </c>
      <c r="H143" s="23" t="s">
        <v>16</v>
      </c>
    </row>
    <row r="144" spans="5:8">
      <c r="E144" s="23" t="s">
        <v>16</v>
      </c>
      <c r="F144" s="23" t="s">
        <v>16</v>
      </c>
      <c r="G144" s="23" t="s">
        <v>16</v>
      </c>
      <c r="H144" s="23" t="s">
        <v>16</v>
      </c>
    </row>
    <row r="145" spans="5:8">
      <c r="E145" s="23" t="s">
        <v>16</v>
      </c>
      <c r="F145" s="23" t="s">
        <v>16</v>
      </c>
      <c r="G145" s="23" t="s">
        <v>16</v>
      </c>
      <c r="H145" s="23" t="s">
        <v>16</v>
      </c>
    </row>
    <row r="146" spans="5:8">
      <c r="E146" s="23" t="s">
        <v>16</v>
      </c>
      <c r="F146" s="23" t="s">
        <v>16</v>
      </c>
      <c r="G146" s="23" t="s">
        <v>16</v>
      </c>
      <c r="H146" s="23" t="s">
        <v>16</v>
      </c>
    </row>
    <row r="147" spans="5:8">
      <c r="E147" s="23" t="s">
        <v>16</v>
      </c>
      <c r="F147" s="23" t="s">
        <v>16</v>
      </c>
      <c r="G147" s="23" t="s">
        <v>16</v>
      </c>
      <c r="H147" s="23" t="s">
        <v>16</v>
      </c>
    </row>
    <row r="148" spans="5:8">
      <c r="E148" s="23" t="s">
        <v>16</v>
      </c>
      <c r="F148" s="23" t="s">
        <v>16</v>
      </c>
      <c r="G148" s="23" t="s">
        <v>16</v>
      </c>
      <c r="H148" s="23" t="s">
        <v>16</v>
      </c>
    </row>
    <row r="149" spans="5:8">
      <c r="E149" s="23" t="s">
        <v>16</v>
      </c>
      <c r="F149" s="23" t="s">
        <v>16</v>
      </c>
      <c r="G149" s="23" t="s">
        <v>16</v>
      </c>
      <c r="H149" s="23" t="s">
        <v>16</v>
      </c>
    </row>
    <row r="150" spans="5:8">
      <c r="E150" s="23" t="s">
        <v>16</v>
      </c>
      <c r="F150" s="23" t="s">
        <v>16</v>
      </c>
      <c r="G150" s="23" t="s">
        <v>16</v>
      </c>
      <c r="H150" s="23" t="s">
        <v>16</v>
      </c>
    </row>
    <row r="151" spans="5:8">
      <c r="E151" s="23" t="s">
        <v>16</v>
      </c>
      <c r="F151" s="23" t="s">
        <v>16</v>
      </c>
      <c r="G151" s="23" t="s">
        <v>16</v>
      </c>
      <c r="H151" s="23" t="s">
        <v>16</v>
      </c>
    </row>
    <row r="152" spans="5:8">
      <c r="E152" s="23" t="s">
        <v>16</v>
      </c>
      <c r="F152" s="23" t="s">
        <v>16</v>
      </c>
      <c r="G152" s="23" t="s">
        <v>16</v>
      </c>
      <c r="H152" s="23" t="s">
        <v>16</v>
      </c>
    </row>
    <row r="153" spans="5:8">
      <c r="E153" s="23" t="s">
        <v>16</v>
      </c>
      <c r="F153" s="23" t="s">
        <v>16</v>
      </c>
      <c r="G153" s="23" t="s">
        <v>16</v>
      </c>
      <c r="H153" s="23" t="s">
        <v>16</v>
      </c>
    </row>
    <row r="154" spans="5:8">
      <c r="E154" s="23" t="s">
        <v>16</v>
      </c>
      <c r="F154" s="23" t="s">
        <v>16</v>
      </c>
      <c r="G154" s="23" t="s">
        <v>16</v>
      </c>
      <c r="H154" s="23" t="s">
        <v>16</v>
      </c>
    </row>
    <row r="155" spans="5:8">
      <c r="E155" s="23" t="s">
        <v>16</v>
      </c>
      <c r="F155" s="23" t="s">
        <v>16</v>
      </c>
      <c r="G155" s="23" t="s">
        <v>16</v>
      </c>
      <c r="H155" s="23" t="s">
        <v>16</v>
      </c>
    </row>
    <row r="156" spans="5:8">
      <c r="E156" s="23" t="s">
        <v>16</v>
      </c>
      <c r="F156" s="23" t="s">
        <v>16</v>
      </c>
      <c r="G156" s="23" t="s">
        <v>16</v>
      </c>
      <c r="H156" s="23" t="s">
        <v>16</v>
      </c>
    </row>
    <row r="157" spans="5:8">
      <c r="E157" s="23" t="s">
        <v>16</v>
      </c>
      <c r="F157" s="23" t="s">
        <v>16</v>
      </c>
      <c r="G157" s="23" t="s">
        <v>16</v>
      </c>
      <c r="H157" s="23" t="s">
        <v>16</v>
      </c>
    </row>
    <row r="158" spans="5:8">
      <c r="E158" s="23" t="s">
        <v>16</v>
      </c>
      <c r="F158" s="23" t="s">
        <v>16</v>
      </c>
      <c r="G158" s="23" t="s">
        <v>16</v>
      </c>
      <c r="H158" s="23" t="s">
        <v>16</v>
      </c>
    </row>
    <row r="159" spans="5:8">
      <c r="E159" s="23" t="s">
        <v>16</v>
      </c>
      <c r="F159" s="23" t="s">
        <v>16</v>
      </c>
      <c r="G159" s="23" t="s">
        <v>16</v>
      </c>
      <c r="H159" s="23" t="s">
        <v>16</v>
      </c>
    </row>
    <row r="160" spans="5:8">
      <c r="E160" s="23" t="s">
        <v>16</v>
      </c>
      <c r="F160" s="23" t="s">
        <v>16</v>
      </c>
      <c r="G160" s="23" t="s">
        <v>16</v>
      </c>
      <c r="H160" s="23" t="s">
        <v>16</v>
      </c>
    </row>
    <row r="161" spans="5:8">
      <c r="E161" s="23" t="s">
        <v>16</v>
      </c>
      <c r="F161" s="23" t="s">
        <v>16</v>
      </c>
      <c r="G161" s="23" t="s">
        <v>16</v>
      </c>
      <c r="H161" s="23" t="s">
        <v>16</v>
      </c>
    </row>
    <row r="162" spans="5:8">
      <c r="E162" s="23" t="s">
        <v>16</v>
      </c>
      <c r="F162" s="23" t="s">
        <v>16</v>
      </c>
      <c r="G162" s="23" t="s">
        <v>16</v>
      </c>
      <c r="H162" s="23" t="s">
        <v>16</v>
      </c>
    </row>
    <row r="163" spans="5:8">
      <c r="E163" s="23" t="s">
        <v>16</v>
      </c>
      <c r="F163" s="23" t="s">
        <v>16</v>
      </c>
      <c r="G163" s="23" t="s">
        <v>16</v>
      </c>
      <c r="H163" s="23" t="s">
        <v>16</v>
      </c>
    </row>
    <row r="164" spans="5:8">
      <c r="E164" s="23" t="s">
        <v>16</v>
      </c>
      <c r="F164" s="23" t="s">
        <v>16</v>
      </c>
      <c r="G164" s="23" t="s">
        <v>16</v>
      </c>
      <c r="H164" s="23" t="s">
        <v>16</v>
      </c>
    </row>
    <row r="165" spans="5:8">
      <c r="E165" s="23" t="s">
        <v>16</v>
      </c>
      <c r="F165" s="23" t="s">
        <v>16</v>
      </c>
      <c r="G165" s="23" t="s">
        <v>16</v>
      </c>
      <c r="H165" s="23" t="s">
        <v>16</v>
      </c>
    </row>
    <row r="166" spans="5:8">
      <c r="E166" s="23" t="s">
        <v>16</v>
      </c>
      <c r="F166" s="23" t="s">
        <v>16</v>
      </c>
      <c r="G166" s="23" t="s">
        <v>16</v>
      </c>
      <c r="H166" s="23" t="s">
        <v>16</v>
      </c>
    </row>
    <row r="167" spans="5:8">
      <c r="E167" s="23" t="s">
        <v>16</v>
      </c>
      <c r="F167" s="23" t="s">
        <v>16</v>
      </c>
      <c r="G167" s="23" t="s">
        <v>16</v>
      </c>
      <c r="H167" s="23" t="s">
        <v>16</v>
      </c>
    </row>
    <row r="168" spans="5:8">
      <c r="E168" s="23" t="s">
        <v>16</v>
      </c>
      <c r="F168" s="23" t="s">
        <v>16</v>
      </c>
      <c r="G168" s="23" t="s">
        <v>16</v>
      </c>
      <c r="H168" s="23" t="s">
        <v>16</v>
      </c>
    </row>
    <row r="169" spans="5:8">
      <c r="E169" s="23" t="s">
        <v>16</v>
      </c>
      <c r="F169" s="23" t="s">
        <v>16</v>
      </c>
      <c r="G169" s="23" t="s">
        <v>16</v>
      </c>
      <c r="H169" s="23" t="s">
        <v>16</v>
      </c>
    </row>
    <row r="170" spans="5:8">
      <c r="E170" s="23" t="s">
        <v>16</v>
      </c>
      <c r="F170" s="23" t="s">
        <v>16</v>
      </c>
      <c r="G170" s="23" t="s">
        <v>16</v>
      </c>
      <c r="H170" s="23" t="s">
        <v>16</v>
      </c>
    </row>
    <row r="171" spans="5:8">
      <c r="E171" s="23" t="s">
        <v>16</v>
      </c>
      <c r="F171" s="23" t="s">
        <v>16</v>
      </c>
      <c r="G171" s="23" t="s">
        <v>16</v>
      </c>
      <c r="H171" s="23" t="s">
        <v>16</v>
      </c>
    </row>
    <row r="172" spans="5:8">
      <c r="E172" s="23" t="s">
        <v>16</v>
      </c>
      <c r="F172" s="23" t="s">
        <v>16</v>
      </c>
      <c r="G172" s="23" t="s">
        <v>16</v>
      </c>
      <c r="H172" s="23" t="s">
        <v>16</v>
      </c>
    </row>
    <row r="173" spans="5:8">
      <c r="E173" s="23" t="s">
        <v>16</v>
      </c>
      <c r="F173" s="23" t="s">
        <v>16</v>
      </c>
      <c r="G173" s="23" t="s">
        <v>16</v>
      </c>
      <c r="H173" s="23" t="s">
        <v>16</v>
      </c>
    </row>
    <row r="174" spans="5:8">
      <c r="E174" s="23" t="s">
        <v>16</v>
      </c>
      <c r="F174" s="23" t="s">
        <v>16</v>
      </c>
      <c r="G174" s="23" t="s">
        <v>16</v>
      </c>
      <c r="H174" s="23" t="s">
        <v>16</v>
      </c>
    </row>
    <row r="175" spans="5:8">
      <c r="E175" s="23" t="s">
        <v>16</v>
      </c>
      <c r="F175" s="23" t="s">
        <v>16</v>
      </c>
      <c r="G175" s="23" t="s">
        <v>16</v>
      </c>
      <c r="H175" s="23" t="s">
        <v>16</v>
      </c>
    </row>
    <row r="176" spans="5:8">
      <c r="E176" s="23" t="s">
        <v>16</v>
      </c>
      <c r="F176" s="23" t="s">
        <v>16</v>
      </c>
      <c r="G176" s="23" t="s">
        <v>16</v>
      </c>
      <c r="H176" s="23" t="s">
        <v>16</v>
      </c>
    </row>
    <row r="177" spans="5:8">
      <c r="E177" s="23" t="s">
        <v>16</v>
      </c>
      <c r="F177" s="23" t="s">
        <v>16</v>
      </c>
      <c r="G177" s="23" t="s">
        <v>16</v>
      </c>
      <c r="H177" s="23" t="s">
        <v>16</v>
      </c>
    </row>
    <row r="178" spans="5:8">
      <c r="E178" s="23" t="s">
        <v>16</v>
      </c>
      <c r="F178" s="23" t="s">
        <v>16</v>
      </c>
      <c r="G178" s="23" t="s">
        <v>16</v>
      </c>
      <c r="H178" s="23" t="s">
        <v>16</v>
      </c>
    </row>
    <row r="179" spans="5:8">
      <c r="E179" s="23" t="s">
        <v>16</v>
      </c>
      <c r="F179" s="23" t="s">
        <v>16</v>
      </c>
      <c r="G179" s="23" t="s">
        <v>16</v>
      </c>
      <c r="H179" s="23" t="s">
        <v>16</v>
      </c>
    </row>
    <row r="180" spans="5:8">
      <c r="E180" s="23" t="s">
        <v>16</v>
      </c>
      <c r="F180" s="23" t="s">
        <v>16</v>
      </c>
      <c r="G180" s="23" t="s">
        <v>16</v>
      </c>
      <c r="H180" s="23" t="s">
        <v>16</v>
      </c>
    </row>
    <row r="181" spans="5:8">
      <c r="E181" s="23" t="s">
        <v>16</v>
      </c>
      <c r="F181" s="23" t="s">
        <v>16</v>
      </c>
      <c r="G181" s="23" t="s">
        <v>16</v>
      </c>
      <c r="H181" s="23" t="s">
        <v>16</v>
      </c>
    </row>
    <row r="182" spans="5:8">
      <c r="E182" s="23" t="s">
        <v>16</v>
      </c>
      <c r="F182" s="23" t="s">
        <v>16</v>
      </c>
      <c r="G182" s="23" t="s">
        <v>16</v>
      </c>
      <c r="H182" s="23" t="s">
        <v>16</v>
      </c>
    </row>
    <row r="183" spans="5:8">
      <c r="E183" s="23" t="s">
        <v>16</v>
      </c>
      <c r="F183" s="23" t="s">
        <v>16</v>
      </c>
      <c r="G183" s="23" t="s">
        <v>16</v>
      </c>
      <c r="H183" s="23" t="s">
        <v>16</v>
      </c>
    </row>
    <row r="184" spans="5:8">
      <c r="E184" s="23" t="s">
        <v>16</v>
      </c>
      <c r="F184" s="23" t="s">
        <v>16</v>
      </c>
      <c r="G184" s="23" t="s">
        <v>16</v>
      </c>
      <c r="H184" s="23" t="s">
        <v>16</v>
      </c>
    </row>
    <row r="185" spans="5:8">
      <c r="E185" s="23" t="s">
        <v>16</v>
      </c>
      <c r="F185" s="23" t="s">
        <v>16</v>
      </c>
      <c r="G185" s="23" t="s">
        <v>16</v>
      </c>
      <c r="H185" s="23" t="s">
        <v>16</v>
      </c>
    </row>
    <row r="186" spans="5:8">
      <c r="E186" s="23" t="s">
        <v>16</v>
      </c>
      <c r="F186" s="23" t="s">
        <v>16</v>
      </c>
      <c r="G186" s="23" t="s">
        <v>16</v>
      </c>
      <c r="H186" s="23" t="s">
        <v>16</v>
      </c>
    </row>
    <row r="187" spans="5:8">
      <c r="E187" s="23" t="s">
        <v>16</v>
      </c>
      <c r="F187" s="23" t="s">
        <v>16</v>
      </c>
      <c r="G187" s="23" t="s">
        <v>16</v>
      </c>
      <c r="H187" s="23" t="s">
        <v>16</v>
      </c>
    </row>
    <row r="188" spans="5:8">
      <c r="E188" s="23" t="s">
        <v>16</v>
      </c>
      <c r="F188" s="23" t="s">
        <v>16</v>
      </c>
      <c r="G188" s="23" t="s">
        <v>16</v>
      </c>
      <c r="H188" s="23" t="s">
        <v>16</v>
      </c>
    </row>
    <row r="189" spans="5:8">
      <c r="E189" s="23" t="s">
        <v>16</v>
      </c>
      <c r="F189" s="23" t="s">
        <v>16</v>
      </c>
      <c r="G189" s="23" t="s">
        <v>16</v>
      </c>
      <c r="H189" s="23" t="s">
        <v>16</v>
      </c>
    </row>
    <row r="190" spans="5:8">
      <c r="E190" s="23" t="s">
        <v>16</v>
      </c>
      <c r="F190" s="23" t="s">
        <v>16</v>
      </c>
      <c r="G190" s="23" t="s">
        <v>16</v>
      </c>
      <c r="H190" s="23" t="s">
        <v>16</v>
      </c>
    </row>
    <row r="191" spans="5:8">
      <c r="E191" s="23" t="s">
        <v>16</v>
      </c>
      <c r="F191" s="23" t="s">
        <v>16</v>
      </c>
      <c r="G191" s="23" t="s">
        <v>16</v>
      </c>
      <c r="H191" s="23" t="s">
        <v>16</v>
      </c>
    </row>
    <row r="192" spans="5:8">
      <c r="E192" s="23" t="s">
        <v>16</v>
      </c>
      <c r="F192" s="23" t="s">
        <v>16</v>
      </c>
      <c r="G192" s="23" t="s">
        <v>16</v>
      </c>
      <c r="H192" s="23" t="s">
        <v>16</v>
      </c>
    </row>
    <row r="193" spans="5:8">
      <c r="E193" s="23" t="s">
        <v>16</v>
      </c>
      <c r="F193" s="23" t="s">
        <v>16</v>
      </c>
      <c r="G193" s="23" t="s">
        <v>16</v>
      </c>
      <c r="H193" s="23" t="s">
        <v>16</v>
      </c>
    </row>
    <row r="194" spans="5:8">
      <c r="E194" s="23" t="s">
        <v>16</v>
      </c>
      <c r="F194" s="23" t="s">
        <v>16</v>
      </c>
      <c r="G194" s="23" t="s">
        <v>16</v>
      </c>
      <c r="H194" s="23" t="s">
        <v>16</v>
      </c>
    </row>
    <row r="195" spans="5:8">
      <c r="E195" s="23" t="s">
        <v>16</v>
      </c>
      <c r="F195" s="23" t="s">
        <v>16</v>
      </c>
      <c r="G195" s="23" t="s">
        <v>16</v>
      </c>
      <c r="H195" s="23" t="s">
        <v>16</v>
      </c>
    </row>
    <row r="196" spans="5:8">
      <c r="E196" s="23" t="s">
        <v>16</v>
      </c>
      <c r="F196" s="23" t="s">
        <v>16</v>
      </c>
      <c r="G196" s="23" t="s">
        <v>16</v>
      </c>
      <c r="H196" s="23" t="s">
        <v>16</v>
      </c>
    </row>
    <row r="197" spans="5:8">
      <c r="E197" s="23" t="s">
        <v>16</v>
      </c>
      <c r="F197" s="23" t="s">
        <v>16</v>
      </c>
      <c r="G197" s="23" t="s">
        <v>16</v>
      </c>
      <c r="H197" s="23" t="s">
        <v>16</v>
      </c>
    </row>
    <row r="198" spans="5:8">
      <c r="E198" s="23" t="s">
        <v>16</v>
      </c>
      <c r="F198" s="23" t="s">
        <v>16</v>
      </c>
      <c r="G198" s="23" t="s">
        <v>16</v>
      </c>
      <c r="H198" s="23" t="s">
        <v>16</v>
      </c>
    </row>
    <row r="199" spans="5:8">
      <c r="E199" s="23" t="s">
        <v>16</v>
      </c>
      <c r="F199" s="23" t="s">
        <v>16</v>
      </c>
      <c r="G199" s="23" t="s">
        <v>16</v>
      </c>
      <c r="H199" s="23" t="s">
        <v>16</v>
      </c>
    </row>
    <row r="200" spans="5:8">
      <c r="E200" s="23" t="s">
        <v>16</v>
      </c>
      <c r="F200" s="23" t="s">
        <v>16</v>
      </c>
      <c r="G200" s="23" t="s">
        <v>16</v>
      </c>
      <c r="H200" s="23" t="s">
        <v>16</v>
      </c>
    </row>
    <row r="201" spans="5:8">
      <c r="E201" s="23" t="s">
        <v>16</v>
      </c>
      <c r="F201" s="23" t="s">
        <v>16</v>
      </c>
      <c r="G201" s="23" t="s">
        <v>16</v>
      </c>
      <c r="H201" s="23" t="s">
        <v>16</v>
      </c>
    </row>
    <row r="202" spans="5:8">
      <c r="E202" s="23" t="s">
        <v>16</v>
      </c>
      <c r="F202" s="23" t="s">
        <v>16</v>
      </c>
      <c r="G202" s="23" t="s">
        <v>16</v>
      </c>
      <c r="H202" s="23" t="s">
        <v>16</v>
      </c>
    </row>
    <row r="203" spans="5:8">
      <c r="E203" s="23"/>
      <c r="F203" s="23"/>
      <c r="G203" s="23"/>
      <c r="H203" s="23"/>
    </row>
    <row r="204" spans="5:8">
      <c r="E204" s="23"/>
      <c r="F204" s="23"/>
      <c r="G204" s="23"/>
      <c r="H204" s="23"/>
    </row>
    <row r="205" spans="5:8">
      <c r="E205" s="23"/>
      <c r="F205" s="23"/>
      <c r="G205" s="23"/>
      <c r="H205" s="23"/>
    </row>
    <row r="206" spans="5:8">
      <c r="E206" s="23"/>
      <c r="F206" s="23"/>
      <c r="G206" s="23"/>
      <c r="H206" s="23"/>
    </row>
    <row r="207" spans="5:8">
      <c r="E207" s="23"/>
      <c r="F207" s="23"/>
      <c r="G207" s="23"/>
      <c r="H207" s="23"/>
    </row>
    <row r="208" spans="5:8">
      <c r="E208" s="23"/>
      <c r="F208" s="23"/>
      <c r="G208" s="23"/>
      <c r="H208" s="23"/>
    </row>
    <row r="209" spans="5:8">
      <c r="E209" s="23"/>
      <c r="F209" s="23"/>
      <c r="G209" s="23"/>
      <c r="H209" s="23"/>
    </row>
    <row r="210" spans="5:8">
      <c r="E210" s="23"/>
      <c r="F210" s="23"/>
      <c r="G210" s="23"/>
      <c r="H210" s="23"/>
    </row>
    <row r="211" spans="5:8">
      <c r="E211" s="23"/>
      <c r="F211" s="23"/>
      <c r="G211" s="23"/>
      <c r="H211" s="23"/>
    </row>
    <row r="212" spans="5:8">
      <c r="E212" s="23"/>
      <c r="F212" s="23"/>
      <c r="G212" s="23"/>
      <c r="H212" s="23"/>
    </row>
    <row r="213" spans="5:8">
      <c r="E213" s="23"/>
      <c r="F213" s="23"/>
      <c r="G213" s="23"/>
      <c r="H213" s="23"/>
    </row>
    <row r="214" spans="5:8">
      <c r="E214" s="23"/>
      <c r="F214" s="23"/>
      <c r="G214" s="23"/>
      <c r="H214" s="23"/>
    </row>
    <row r="215" spans="5:8">
      <c r="E215" s="23"/>
      <c r="F215" s="23"/>
      <c r="G215" s="23"/>
      <c r="H215" s="23"/>
    </row>
    <row r="216" spans="5:8">
      <c r="E216" s="23"/>
      <c r="F216" s="23"/>
      <c r="G216" s="23"/>
      <c r="H216" s="23"/>
    </row>
    <row r="217" spans="5:8">
      <c r="E217" s="23"/>
      <c r="F217" s="23"/>
      <c r="G217" s="23"/>
      <c r="H217" s="23"/>
    </row>
    <row r="218" spans="5:8">
      <c r="E218" s="23"/>
      <c r="F218" s="23"/>
      <c r="G218" s="23"/>
      <c r="H218" s="23"/>
    </row>
    <row r="219" spans="5:8">
      <c r="E219" s="23"/>
      <c r="F219" s="23"/>
      <c r="G219" s="23"/>
      <c r="H219" s="23"/>
    </row>
    <row r="220" spans="5:8">
      <c r="E220" s="23"/>
      <c r="F220" s="23"/>
      <c r="G220" s="23"/>
      <c r="H220" s="23"/>
    </row>
    <row r="221" spans="5:8">
      <c r="E221" s="23"/>
      <c r="F221" s="23"/>
      <c r="G221" s="23"/>
      <c r="H221" s="23"/>
    </row>
  </sheetData>
  <autoFilter xmlns:etc="http://www.wps.cn/officeDocument/2017/etCustomData" ref="A4:H202"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40" max="7"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H952"/>
  <sheetViews>
    <sheetView showGridLines="0" view="pageBreakPreview" zoomScale="90" zoomScaleNormal="100" topLeftCell="A62" workbookViewId="0">
      <selection activeCell="E27" sqref="E27"/>
    </sheetView>
  </sheetViews>
  <sheetFormatPr defaultColWidth="9.12962962962963" defaultRowHeight="13.8" outlineLevelCol="7"/>
  <cols>
    <col min="1" max="1" width="7.62962962962963" style="31" customWidth="1"/>
    <col min="2" max="2" width="39.5" style="27" customWidth="1"/>
    <col min="3" max="4" width="30.75" style="32" customWidth="1"/>
    <col min="5" max="8" width="13.8796296296296" style="33" customWidth="1"/>
    <col min="9" max="16384" width="9.12962962962963" style="31"/>
  </cols>
  <sheetData>
    <row r="1" spans="1:8">
      <c r="A1" s="6" t="s">
        <v>1196</v>
      </c>
      <c r="B1" s="6"/>
      <c r="C1" s="7"/>
      <c r="D1" s="7"/>
      <c r="E1" s="6"/>
      <c r="F1" s="6"/>
      <c r="G1" s="6"/>
      <c r="H1" s="6"/>
    </row>
    <row r="2" spans="1:8">
      <c r="A2" s="8" t="s">
        <v>4</v>
      </c>
      <c r="B2" s="8"/>
      <c r="C2" s="8"/>
      <c r="D2" s="8"/>
      <c r="E2" s="34"/>
      <c r="F2" s="34"/>
      <c r="G2" s="34"/>
      <c r="H2" s="34"/>
    </row>
    <row r="3" spans="1:8">
      <c r="A3" s="9" t="s">
        <v>5</v>
      </c>
      <c r="B3" s="9" t="s">
        <v>6</v>
      </c>
      <c r="C3" s="9" t="s">
        <v>7</v>
      </c>
      <c r="D3" s="9"/>
      <c r="E3" s="35" t="s">
        <v>8</v>
      </c>
      <c r="F3" s="35"/>
      <c r="G3" s="35"/>
      <c r="H3" s="35"/>
    </row>
    <row r="4" spans="1:8">
      <c r="A4" s="11"/>
      <c r="B4" s="11"/>
      <c r="C4" s="9" t="s">
        <v>9</v>
      </c>
      <c r="D4" s="9" t="s">
        <v>10</v>
      </c>
      <c r="E4" s="35" t="s">
        <v>11</v>
      </c>
      <c r="F4" s="35" t="s">
        <v>12</v>
      </c>
      <c r="G4" s="35" t="s">
        <v>13</v>
      </c>
      <c r="H4" s="35" t="s">
        <v>14</v>
      </c>
    </row>
    <row r="5" spans="1:8">
      <c r="A5" s="15" t="s">
        <v>15</v>
      </c>
      <c r="B5" s="15"/>
      <c r="C5" s="15"/>
      <c r="D5" s="15"/>
      <c r="E5" s="35" t="s">
        <v>16</v>
      </c>
      <c r="F5" s="35" t="s">
        <v>16</v>
      </c>
      <c r="G5" s="35" t="s">
        <v>16</v>
      </c>
      <c r="H5" s="35" t="s">
        <v>16</v>
      </c>
    </row>
    <row r="6" ht="27.6" spans="1:8">
      <c r="A6" s="36">
        <v>1</v>
      </c>
      <c r="B6" s="20" t="s">
        <v>1197</v>
      </c>
      <c r="C6" s="18" t="s">
        <v>1198</v>
      </c>
      <c r="D6" s="18" t="s">
        <v>1199</v>
      </c>
      <c r="E6" s="52">
        <v>2500000</v>
      </c>
      <c r="F6" s="51">
        <v>1500000</v>
      </c>
      <c r="G6" s="51">
        <v>1250000</v>
      </c>
      <c r="H6" s="51">
        <v>1000000</v>
      </c>
    </row>
    <row r="7" spans="1:8">
      <c r="A7" s="36">
        <v>2</v>
      </c>
      <c r="B7" s="20" t="s">
        <v>1200</v>
      </c>
      <c r="C7" s="18" t="s">
        <v>1201</v>
      </c>
      <c r="D7" s="18" t="s">
        <v>1202</v>
      </c>
      <c r="E7" s="52">
        <v>600000</v>
      </c>
      <c r="F7" s="51">
        <v>360000</v>
      </c>
      <c r="G7" s="51">
        <v>300000</v>
      </c>
      <c r="H7" s="51">
        <v>240000</v>
      </c>
    </row>
    <row r="8" spans="1:8">
      <c r="A8" s="36">
        <v>3</v>
      </c>
      <c r="B8" s="20" t="s">
        <v>1203</v>
      </c>
      <c r="C8" s="18" t="s">
        <v>1204</v>
      </c>
      <c r="D8" s="18" t="s">
        <v>1205</v>
      </c>
      <c r="E8" s="52">
        <v>1750000</v>
      </c>
      <c r="F8" s="51">
        <v>1050000</v>
      </c>
      <c r="G8" s="51">
        <v>850000</v>
      </c>
      <c r="H8" s="51">
        <v>700000</v>
      </c>
    </row>
    <row r="9" spans="1:8">
      <c r="A9" s="36">
        <v>4</v>
      </c>
      <c r="B9" s="20" t="s">
        <v>1206</v>
      </c>
      <c r="C9" s="18" t="s">
        <v>1207</v>
      </c>
      <c r="D9" s="18" t="s">
        <v>1208</v>
      </c>
      <c r="E9" s="23">
        <v>250000</v>
      </c>
      <c r="F9" s="23">
        <v>150000</v>
      </c>
      <c r="G9" s="23">
        <v>125000</v>
      </c>
      <c r="H9" s="23">
        <v>100000</v>
      </c>
    </row>
    <row r="10" spans="1:8">
      <c r="A10" s="36">
        <v>5</v>
      </c>
      <c r="B10" s="20" t="s">
        <v>1209</v>
      </c>
      <c r="C10" s="18" t="s">
        <v>1202</v>
      </c>
      <c r="D10" s="18" t="s">
        <v>1210</v>
      </c>
      <c r="E10" s="23">
        <v>350000</v>
      </c>
      <c r="F10" s="23">
        <v>210000</v>
      </c>
      <c r="G10" s="23">
        <v>175000</v>
      </c>
      <c r="H10" s="23">
        <v>140000</v>
      </c>
    </row>
    <row r="11" ht="27.6" spans="1:8">
      <c r="A11" s="36">
        <v>6</v>
      </c>
      <c r="B11" s="20" t="s">
        <v>1211</v>
      </c>
      <c r="C11" s="18" t="s">
        <v>1212</v>
      </c>
      <c r="D11" s="18" t="s">
        <v>1213</v>
      </c>
      <c r="E11" s="23">
        <v>250000</v>
      </c>
      <c r="F11" s="23">
        <v>150000</v>
      </c>
      <c r="G11" s="23">
        <v>125000</v>
      </c>
      <c r="H11" s="23">
        <v>100000</v>
      </c>
    </row>
    <row r="12" spans="1:8">
      <c r="A12" s="36">
        <v>7</v>
      </c>
      <c r="B12" s="20" t="s">
        <v>1214</v>
      </c>
      <c r="C12" s="18" t="s">
        <v>1215</v>
      </c>
      <c r="D12" s="18" t="s">
        <v>1216</v>
      </c>
      <c r="E12" s="23">
        <v>350000</v>
      </c>
      <c r="F12" s="23">
        <v>210000</v>
      </c>
      <c r="G12" s="23">
        <v>175000</v>
      </c>
      <c r="H12" s="23">
        <v>140000</v>
      </c>
    </row>
    <row r="13" spans="1:8">
      <c r="A13" s="36">
        <v>8</v>
      </c>
      <c r="B13" s="20" t="s">
        <v>1217</v>
      </c>
      <c r="C13" s="18" t="s">
        <v>1200</v>
      </c>
      <c r="D13" s="18" t="s">
        <v>1201</v>
      </c>
      <c r="E13" s="23">
        <v>600000</v>
      </c>
      <c r="F13" s="23">
        <v>360000</v>
      </c>
      <c r="G13" s="23">
        <v>300000</v>
      </c>
      <c r="H13" s="23">
        <v>240000</v>
      </c>
    </row>
    <row r="14" ht="27.6" spans="1:8">
      <c r="A14" s="36">
        <v>9</v>
      </c>
      <c r="B14" s="20" t="s">
        <v>1218</v>
      </c>
      <c r="C14" s="18" t="s">
        <v>1219</v>
      </c>
      <c r="D14" s="18" t="s">
        <v>1220</v>
      </c>
      <c r="E14" s="23">
        <v>600000</v>
      </c>
      <c r="F14" s="23">
        <v>360000</v>
      </c>
      <c r="G14" s="23">
        <v>300000</v>
      </c>
      <c r="H14" s="23">
        <v>240000</v>
      </c>
    </row>
    <row r="15" ht="27.6" spans="1:8">
      <c r="A15" s="36">
        <v>10</v>
      </c>
      <c r="B15" s="20" t="s">
        <v>1221</v>
      </c>
      <c r="C15" s="18" t="s">
        <v>1222</v>
      </c>
      <c r="D15" s="18" t="s">
        <v>1223</v>
      </c>
      <c r="E15" s="23">
        <v>350000</v>
      </c>
      <c r="F15" s="23">
        <v>210000</v>
      </c>
      <c r="G15" s="23">
        <v>175000</v>
      </c>
      <c r="H15" s="23">
        <v>140000</v>
      </c>
    </row>
    <row r="16" ht="27.6" spans="1:8">
      <c r="A16" s="36">
        <v>11</v>
      </c>
      <c r="B16" s="20" t="s">
        <v>1224</v>
      </c>
      <c r="C16" s="18" t="s">
        <v>1225</v>
      </c>
      <c r="D16" s="18" t="s">
        <v>1223</v>
      </c>
      <c r="E16" s="23">
        <v>175000</v>
      </c>
      <c r="F16" s="23">
        <v>105000</v>
      </c>
      <c r="G16" s="23">
        <v>85000</v>
      </c>
      <c r="H16" s="23">
        <v>70000</v>
      </c>
    </row>
    <row r="17" ht="27.6" spans="1:8">
      <c r="A17" s="36">
        <v>12</v>
      </c>
      <c r="B17" s="20" t="s">
        <v>918</v>
      </c>
      <c r="C17" s="18" t="s">
        <v>1226</v>
      </c>
      <c r="D17" s="18" t="s">
        <v>949</v>
      </c>
      <c r="E17" s="23">
        <v>600000</v>
      </c>
      <c r="F17" s="23">
        <v>360000</v>
      </c>
      <c r="G17" s="23">
        <v>300000</v>
      </c>
      <c r="H17" s="23">
        <v>240000</v>
      </c>
    </row>
    <row r="18" ht="27.6" spans="1:8">
      <c r="A18" s="36">
        <v>13</v>
      </c>
      <c r="B18" s="20" t="s">
        <v>1227</v>
      </c>
      <c r="C18" s="18" t="s">
        <v>1223</v>
      </c>
      <c r="D18" s="18" t="s">
        <v>1091</v>
      </c>
      <c r="E18" s="23">
        <v>2000000</v>
      </c>
      <c r="F18" s="23">
        <v>1200000</v>
      </c>
      <c r="G18" s="23">
        <v>1000000</v>
      </c>
      <c r="H18" s="23">
        <v>800000</v>
      </c>
    </row>
    <row r="19" spans="1:8">
      <c r="A19" s="36">
        <v>14</v>
      </c>
      <c r="B19" s="20" t="s">
        <v>1201</v>
      </c>
      <c r="C19" s="18" t="s">
        <v>1228</v>
      </c>
      <c r="D19" s="18" t="s">
        <v>1229</v>
      </c>
      <c r="E19" s="23">
        <v>1000000</v>
      </c>
      <c r="F19" s="23">
        <v>600000</v>
      </c>
      <c r="G19" s="23">
        <v>500000</v>
      </c>
      <c r="H19" s="23">
        <v>400000</v>
      </c>
    </row>
    <row r="20" ht="27.6" spans="1:8">
      <c r="A20" s="36"/>
      <c r="B20" s="20" t="s">
        <v>1201</v>
      </c>
      <c r="C20" s="18" t="s">
        <v>1230</v>
      </c>
      <c r="D20" s="18" t="s">
        <v>1228</v>
      </c>
      <c r="E20" s="23">
        <v>1500000</v>
      </c>
      <c r="F20" s="23">
        <v>900000</v>
      </c>
      <c r="G20" s="23">
        <v>750000</v>
      </c>
      <c r="H20" s="23">
        <v>600000</v>
      </c>
    </row>
    <row r="21" ht="27.6" spans="1:8">
      <c r="A21" s="36"/>
      <c r="B21" s="20" t="s">
        <v>1201</v>
      </c>
      <c r="C21" s="18" t="s">
        <v>1198</v>
      </c>
      <c r="D21" s="18" t="s">
        <v>1231</v>
      </c>
      <c r="E21" s="23">
        <v>2500000</v>
      </c>
      <c r="F21" s="23">
        <v>1500000</v>
      </c>
      <c r="G21" s="23">
        <v>1250000</v>
      </c>
      <c r="H21" s="23">
        <v>1000000</v>
      </c>
    </row>
    <row r="22" ht="27.6" spans="1:8">
      <c r="A22" s="36">
        <v>15</v>
      </c>
      <c r="B22" s="20" t="s">
        <v>1232</v>
      </c>
      <c r="C22" s="18" t="s">
        <v>1233</v>
      </c>
      <c r="D22" s="18" t="s">
        <v>1199</v>
      </c>
      <c r="E22" s="23">
        <v>700000</v>
      </c>
      <c r="F22" s="23">
        <v>420000</v>
      </c>
      <c r="G22" s="23">
        <v>350000</v>
      </c>
      <c r="H22" s="23">
        <v>280000</v>
      </c>
    </row>
    <row r="23" ht="27.6" spans="1:8">
      <c r="A23" s="36"/>
      <c r="B23" s="20" t="s">
        <v>1232</v>
      </c>
      <c r="C23" s="18" t="s">
        <v>1234</v>
      </c>
      <c r="D23" s="18" t="s">
        <v>1199</v>
      </c>
      <c r="E23" s="23">
        <v>500000</v>
      </c>
      <c r="F23" s="23">
        <v>300000</v>
      </c>
      <c r="G23" s="23">
        <v>249000</v>
      </c>
      <c r="H23" s="23">
        <v>199000</v>
      </c>
    </row>
    <row r="24" ht="27.6" spans="1:8">
      <c r="A24" s="36">
        <v>16</v>
      </c>
      <c r="B24" s="20" t="s">
        <v>1205</v>
      </c>
      <c r="C24" s="18" t="s">
        <v>1198</v>
      </c>
      <c r="D24" s="18" t="s">
        <v>1235</v>
      </c>
      <c r="E24" s="23">
        <v>2000000</v>
      </c>
      <c r="F24" s="23">
        <v>1200000</v>
      </c>
      <c r="G24" s="23">
        <v>1000000</v>
      </c>
      <c r="H24" s="23">
        <v>800000</v>
      </c>
    </row>
    <row r="25" ht="27.6" spans="1:8">
      <c r="A25" s="36">
        <v>17</v>
      </c>
      <c r="B25" s="20" t="s">
        <v>1236</v>
      </c>
      <c r="C25" s="18" t="s">
        <v>1237</v>
      </c>
      <c r="D25" s="18" t="s">
        <v>1238</v>
      </c>
      <c r="E25" s="23">
        <v>600000</v>
      </c>
      <c r="F25" s="23">
        <v>360000</v>
      </c>
      <c r="G25" s="23">
        <v>300000</v>
      </c>
      <c r="H25" s="23">
        <v>240000</v>
      </c>
    </row>
    <row r="26" spans="1:8">
      <c r="A26" s="36">
        <v>18</v>
      </c>
      <c r="B26" s="20" t="s">
        <v>1239</v>
      </c>
      <c r="C26" s="18" t="s">
        <v>1240</v>
      </c>
      <c r="D26" s="18" t="s">
        <v>1241</v>
      </c>
      <c r="E26" s="23">
        <v>300000</v>
      </c>
      <c r="F26" s="23">
        <v>180000</v>
      </c>
      <c r="G26" s="23">
        <v>150000</v>
      </c>
      <c r="H26" s="23">
        <v>120000</v>
      </c>
    </row>
    <row r="27" spans="1:8">
      <c r="A27" s="36">
        <v>19</v>
      </c>
      <c r="B27" s="20" t="s">
        <v>1242</v>
      </c>
      <c r="C27" s="18" t="s">
        <v>1243</v>
      </c>
      <c r="D27" s="18" t="s">
        <v>1244</v>
      </c>
      <c r="E27" s="23">
        <v>350000</v>
      </c>
      <c r="F27" s="23">
        <v>210000</v>
      </c>
      <c r="G27" s="23">
        <v>175000</v>
      </c>
      <c r="H27" s="23">
        <v>140000</v>
      </c>
    </row>
    <row r="28" spans="1:8">
      <c r="A28" s="36">
        <v>20</v>
      </c>
      <c r="B28" s="20" t="s">
        <v>1245</v>
      </c>
      <c r="C28" s="18" t="s">
        <v>1246</v>
      </c>
      <c r="D28" s="18" t="s">
        <v>1247</v>
      </c>
      <c r="E28" s="23">
        <v>250000</v>
      </c>
      <c r="F28" s="23">
        <v>150000</v>
      </c>
      <c r="G28" s="23">
        <v>125000</v>
      </c>
      <c r="H28" s="23">
        <v>100000</v>
      </c>
    </row>
    <row r="29" ht="27.6" spans="1:8">
      <c r="A29" s="36">
        <v>21</v>
      </c>
      <c r="B29" s="20" t="s">
        <v>1248</v>
      </c>
      <c r="C29" s="18" t="s">
        <v>1249</v>
      </c>
      <c r="D29" s="18" t="s">
        <v>1199</v>
      </c>
      <c r="E29" s="23">
        <v>250000</v>
      </c>
      <c r="F29" s="23">
        <v>150000</v>
      </c>
      <c r="G29" s="23">
        <v>125000</v>
      </c>
      <c r="H29" s="23">
        <v>100000</v>
      </c>
    </row>
    <row r="30" spans="1:8">
      <c r="A30" s="36">
        <v>22</v>
      </c>
      <c r="B30" s="20" t="s">
        <v>1250</v>
      </c>
      <c r="C30" s="18" t="s">
        <v>1207</v>
      </c>
      <c r="D30" s="18" t="s">
        <v>1251</v>
      </c>
      <c r="E30" s="23">
        <v>250000</v>
      </c>
      <c r="F30" s="23">
        <v>150000</v>
      </c>
      <c r="G30" s="23">
        <v>125000</v>
      </c>
      <c r="H30" s="23">
        <v>100000</v>
      </c>
    </row>
    <row r="31" spans="1:8">
      <c r="A31" s="36">
        <v>23</v>
      </c>
      <c r="B31" s="20" t="s">
        <v>1252</v>
      </c>
      <c r="C31" s="18" t="s">
        <v>1200</v>
      </c>
      <c r="D31" s="18" t="s">
        <v>1253</v>
      </c>
      <c r="E31" s="23">
        <v>175000</v>
      </c>
      <c r="F31" s="23">
        <v>105000</v>
      </c>
      <c r="G31" s="23">
        <v>85000</v>
      </c>
      <c r="H31" s="23">
        <v>70000</v>
      </c>
    </row>
    <row r="32" ht="41.4" spans="1:8">
      <c r="A32" s="36">
        <v>24</v>
      </c>
      <c r="B32" s="20" t="s">
        <v>1208</v>
      </c>
      <c r="C32" s="18" t="s">
        <v>1254</v>
      </c>
      <c r="D32" s="18" t="s">
        <v>1255</v>
      </c>
      <c r="E32" s="23">
        <v>100000</v>
      </c>
      <c r="F32" s="23">
        <v>60000</v>
      </c>
      <c r="G32" s="23">
        <v>50000</v>
      </c>
      <c r="H32" s="23">
        <v>40000</v>
      </c>
    </row>
    <row r="33" ht="41.4" spans="1:8">
      <c r="A33" s="36"/>
      <c r="B33" s="20" t="s">
        <v>1208</v>
      </c>
      <c r="C33" s="18" t="s">
        <v>1207</v>
      </c>
      <c r="D33" s="18" t="s">
        <v>1254</v>
      </c>
      <c r="E33" s="23">
        <v>250000</v>
      </c>
      <c r="F33" s="23">
        <v>150000</v>
      </c>
      <c r="G33" s="23">
        <v>125000</v>
      </c>
      <c r="H33" s="23">
        <v>100000</v>
      </c>
    </row>
    <row r="34" spans="1:8">
      <c r="A34" s="36">
        <v>25</v>
      </c>
      <c r="B34" s="20" t="s">
        <v>1256</v>
      </c>
      <c r="C34" s="18" t="s">
        <v>1257</v>
      </c>
      <c r="D34" s="18" t="s">
        <v>1232</v>
      </c>
      <c r="E34" s="23">
        <v>350000</v>
      </c>
      <c r="F34" s="23">
        <v>210000</v>
      </c>
      <c r="G34" s="23">
        <v>175000</v>
      </c>
      <c r="H34" s="23">
        <v>140000</v>
      </c>
    </row>
    <row r="35" spans="1:8">
      <c r="A35" s="36">
        <v>26</v>
      </c>
      <c r="B35" s="20" t="s">
        <v>1258</v>
      </c>
      <c r="C35" s="18" t="s">
        <v>1232</v>
      </c>
      <c r="D35" s="18" t="s">
        <v>1227</v>
      </c>
      <c r="E35" s="23">
        <v>350000</v>
      </c>
      <c r="F35" s="23">
        <v>210000</v>
      </c>
      <c r="G35" s="23">
        <v>175000</v>
      </c>
      <c r="H35" s="23">
        <v>140000</v>
      </c>
    </row>
    <row r="36" ht="41.4" spans="1:8">
      <c r="A36" s="36">
        <v>27</v>
      </c>
      <c r="B36" s="20" t="s">
        <v>1259</v>
      </c>
      <c r="C36" s="18" t="s">
        <v>1260</v>
      </c>
      <c r="D36" s="18" t="s">
        <v>1261</v>
      </c>
      <c r="E36" s="23">
        <v>500000</v>
      </c>
      <c r="F36" s="23">
        <v>300000</v>
      </c>
      <c r="G36" s="23">
        <v>250000</v>
      </c>
      <c r="H36" s="23">
        <v>200000</v>
      </c>
    </row>
    <row r="37" ht="27.6" spans="1:8">
      <c r="A37" s="36"/>
      <c r="B37" s="20" t="s">
        <v>1259</v>
      </c>
      <c r="C37" s="18" t="s">
        <v>1198</v>
      </c>
      <c r="D37" s="18" t="s">
        <v>1262</v>
      </c>
      <c r="E37" s="23">
        <v>750000</v>
      </c>
      <c r="F37" s="23">
        <v>450000</v>
      </c>
      <c r="G37" s="23">
        <v>375000</v>
      </c>
      <c r="H37" s="23">
        <v>300000</v>
      </c>
    </row>
    <row r="38" spans="1:8">
      <c r="A38" s="36">
        <v>28</v>
      </c>
      <c r="B38" s="20" t="s">
        <v>1263</v>
      </c>
      <c r="C38" s="18" t="s">
        <v>1201</v>
      </c>
      <c r="D38" s="18" t="s">
        <v>1205</v>
      </c>
      <c r="E38" s="23">
        <v>350000</v>
      </c>
      <c r="F38" s="23">
        <v>210000</v>
      </c>
      <c r="G38" s="23">
        <v>175000</v>
      </c>
      <c r="H38" s="23">
        <v>140000</v>
      </c>
    </row>
    <row r="39" ht="27.6" spans="1:8">
      <c r="A39" s="36">
        <v>29</v>
      </c>
      <c r="B39" s="20" t="s">
        <v>1264</v>
      </c>
      <c r="C39" s="18" t="s">
        <v>1198</v>
      </c>
      <c r="D39" s="18" t="s">
        <v>1265</v>
      </c>
      <c r="E39" s="23">
        <v>2000000</v>
      </c>
      <c r="F39" s="23">
        <v>1200000</v>
      </c>
      <c r="G39" s="23">
        <v>1000000</v>
      </c>
      <c r="H39" s="23">
        <v>800000</v>
      </c>
    </row>
    <row r="40" ht="27.6" spans="1:8">
      <c r="A40" s="36">
        <v>30</v>
      </c>
      <c r="B40" s="20" t="s">
        <v>1266</v>
      </c>
      <c r="C40" s="18" t="s">
        <v>1267</v>
      </c>
      <c r="D40" s="18" t="s">
        <v>1268</v>
      </c>
      <c r="E40" s="23">
        <v>250000</v>
      </c>
      <c r="F40" s="23">
        <v>150000</v>
      </c>
      <c r="G40" s="23">
        <v>125000</v>
      </c>
      <c r="H40" s="23">
        <v>100000</v>
      </c>
    </row>
    <row r="41" ht="27.6" spans="1:8">
      <c r="A41" s="36">
        <v>31</v>
      </c>
      <c r="B41" s="20" t="s">
        <v>1269</v>
      </c>
      <c r="C41" s="18" t="s">
        <v>1270</v>
      </c>
      <c r="D41" s="18" t="s">
        <v>1271</v>
      </c>
      <c r="E41" s="23">
        <v>175000</v>
      </c>
      <c r="F41" s="23">
        <v>105000</v>
      </c>
      <c r="G41" s="23">
        <v>85000</v>
      </c>
      <c r="H41" s="23">
        <v>70000</v>
      </c>
    </row>
    <row r="42" spans="1:8">
      <c r="A42" s="36">
        <v>32</v>
      </c>
      <c r="B42" s="20" t="s">
        <v>1243</v>
      </c>
      <c r="C42" s="18" t="s">
        <v>1205</v>
      </c>
      <c r="D42" s="18" t="s">
        <v>1272</v>
      </c>
      <c r="E42" s="23">
        <v>600000</v>
      </c>
      <c r="F42" s="23">
        <v>360000</v>
      </c>
      <c r="G42" s="23">
        <v>300000</v>
      </c>
      <c r="H42" s="23">
        <v>240000</v>
      </c>
    </row>
    <row r="43" spans="1:8">
      <c r="A43" s="36">
        <v>33</v>
      </c>
      <c r="B43" s="20" t="s">
        <v>1198</v>
      </c>
      <c r="C43" s="18" t="s">
        <v>1273</v>
      </c>
      <c r="D43" s="18" t="s">
        <v>1274</v>
      </c>
      <c r="E43" s="23">
        <v>1500000</v>
      </c>
      <c r="F43" s="23">
        <v>900000</v>
      </c>
      <c r="G43" s="23">
        <v>750000</v>
      </c>
      <c r="H43" s="23">
        <v>600000</v>
      </c>
    </row>
    <row r="44" spans="1:8">
      <c r="A44" s="36"/>
      <c r="B44" s="20" t="s">
        <v>1198</v>
      </c>
      <c r="C44" s="18" t="s">
        <v>1275</v>
      </c>
      <c r="D44" s="18" t="s">
        <v>1276</v>
      </c>
      <c r="E44" s="23">
        <v>1500000</v>
      </c>
      <c r="F44" s="23">
        <v>900000</v>
      </c>
      <c r="G44" s="23">
        <v>750000</v>
      </c>
      <c r="H44" s="23">
        <v>600000</v>
      </c>
    </row>
    <row r="45" ht="27.6" spans="1:8">
      <c r="A45" s="36"/>
      <c r="B45" s="20" t="s">
        <v>1198</v>
      </c>
      <c r="C45" s="18" t="s">
        <v>1277</v>
      </c>
      <c r="D45" s="18" t="s">
        <v>1278</v>
      </c>
      <c r="E45" s="23">
        <v>2250000</v>
      </c>
      <c r="F45" s="23">
        <v>1350000</v>
      </c>
      <c r="G45" s="23">
        <v>1100000</v>
      </c>
      <c r="H45" s="23">
        <v>900000</v>
      </c>
    </row>
    <row r="46" spans="1:8">
      <c r="A46" s="36"/>
      <c r="B46" s="20" t="s">
        <v>1198</v>
      </c>
      <c r="C46" s="18" t="s">
        <v>1279</v>
      </c>
      <c r="D46" s="18" t="s">
        <v>1280</v>
      </c>
      <c r="E46" s="23">
        <v>2500000</v>
      </c>
      <c r="F46" s="23">
        <v>1500000</v>
      </c>
      <c r="G46" s="23">
        <v>1250000</v>
      </c>
      <c r="H46" s="23">
        <v>1000000</v>
      </c>
    </row>
    <row r="47" ht="27.6" spans="1:8">
      <c r="A47" s="36"/>
      <c r="B47" s="20" t="s">
        <v>1198</v>
      </c>
      <c r="C47" s="18" t="s">
        <v>1281</v>
      </c>
      <c r="D47" s="18" t="s">
        <v>1282</v>
      </c>
      <c r="E47" s="23">
        <v>3000000</v>
      </c>
      <c r="F47" s="23">
        <v>1800000</v>
      </c>
      <c r="G47" s="23">
        <v>1500000</v>
      </c>
      <c r="H47" s="23">
        <v>1200000</v>
      </c>
    </row>
    <row r="48" spans="1:8">
      <c r="A48" s="36">
        <v>34</v>
      </c>
      <c r="B48" s="20" t="s">
        <v>1233</v>
      </c>
      <c r="C48" s="18" t="s">
        <v>1197</v>
      </c>
      <c r="D48" s="18" t="s">
        <v>1264</v>
      </c>
      <c r="E48" s="23">
        <v>1850000</v>
      </c>
      <c r="F48" s="23">
        <v>1100000</v>
      </c>
      <c r="G48" s="23">
        <v>900000</v>
      </c>
      <c r="H48" s="23">
        <v>750000</v>
      </c>
    </row>
    <row r="49" ht="27.6" spans="1:8">
      <c r="A49" s="36">
        <v>35</v>
      </c>
      <c r="B49" s="20" t="s">
        <v>1283</v>
      </c>
      <c r="C49" s="18" t="s">
        <v>1284</v>
      </c>
      <c r="D49" s="18" t="s">
        <v>1285</v>
      </c>
      <c r="E49" s="23">
        <v>250000</v>
      </c>
      <c r="F49" s="23">
        <v>150000</v>
      </c>
      <c r="G49" s="23">
        <v>125000</v>
      </c>
      <c r="H49" s="23">
        <v>100000</v>
      </c>
    </row>
    <row r="50" spans="1:8">
      <c r="A50" s="36">
        <v>36</v>
      </c>
      <c r="B50" s="20" t="s">
        <v>1207</v>
      </c>
      <c r="C50" s="18" t="s">
        <v>1210</v>
      </c>
      <c r="D50" s="18" t="s">
        <v>1286</v>
      </c>
      <c r="E50" s="23">
        <v>350000</v>
      </c>
      <c r="F50" s="23">
        <v>210000</v>
      </c>
      <c r="G50" s="23">
        <v>175000</v>
      </c>
      <c r="H50" s="23">
        <v>140000</v>
      </c>
    </row>
    <row r="51" spans="1:8">
      <c r="A51" s="36">
        <v>37</v>
      </c>
      <c r="B51" s="20" t="s">
        <v>1287</v>
      </c>
      <c r="C51" s="18" t="s">
        <v>1288</v>
      </c>
      <c r="D51" s="18" t="s">
        <v>1289</v>
      </c>
      <c r="E51" s="23">
        <v>300000</v>
      </c>
      <c r="F51" s="23">
        <v>180000</v>
      </c>
      <c r="G51" s="23">
        <v>150000</v>
      </c>
      <c r="H51" s="23">
        <v>120000</v>
      </c>
    </row>
    <row r="52" ht="27.6" spans="1:8">
      <c r="A52" s="36"/>
      <c r="B52" s="20" t="s">
        <v>1287</v>
      </c>
      <c r="C52" s="18" t="s">
        <v>1290</v>
      </c>
      <c r="D52" s="18" t="s">
        <v>1291</v>
      </c>
      <c r="E52" s="23">
        <v>200000</v>
      </c>
      <c r="F52" s="23">
        <v>120000</v>
      </c>
      <c r="G52" s="23">
        <v>99500</v>
      </c>
      <c r="H52" s="23">
        <v>79500</v>
      </c>
    </row>
    <row r="53" ht="27.6" spans="1:8">
      <c r="A53" s="36">
        <v>38</v>
      </c>
      <c r="B53" s="20" t="s">
        <v>1292</v>
      </c>
      <c r="C53" s="18" t="s">
        <v>1293</v>
      </c>
      <c r="D53" s="18" t="s">
        <v>1294</v>
      </c>
      <c r="E53" s="23">
        <v>250000</v>
      </c>
      <c r="F53" s="23">
        <v>150000</v>
      </c>
      <c r="G53" s="23">
        <v>125000</v>
      </c>
      <c r="H53" s="23">
        <v>100000</v>
      </c>
    </row>
    <row r="54" spans="1:8">
      <c r="A54" s="36">
        <v>39</v>
      </c>
      <c r="B54" s="49" t="s">
        <v>1295</v>
      </c>
      <c r="C54" s="41" t="s">
        <v>1207</v>
      </c>
      <c r="D54" s="41" t="s">
        <v>1215</v>
      </c>
      <c r="E54" s="23">
        <v>350000</v>
      </c>
      <c r="F54" s="23">
        <v>210000</v>
      </c>
      <c r="G54" s="23">
        <v>175000</v>
      </c>
      <c r="H54" s="23">
        <v>140000</v>
      </c>
    </row>
    <row r="55" spans="1:8">
      <c r="A55" s="36">
        <v>40</v>
      </c>
      <c r="B55" s="20" t="s">
        <v>1296</v>
      </c>
      <c r="C55" s="18" t="s">
        <v>1297</v>
      </c>
      <c r="D55" s="18" t="s">
        <v>1298</v>
      </c>
      <c r="E55" s="23">
        <v>250000</v>
      </c>
      <c r="F55" s="23">
        <v>150000</v>
      </c>
      <c r="G55" s="23">
        <v>125000</v>
      </c>
      <c r="H55" s="23">
        <v>100000</v>
      </c>
    </row>
    <row r="56" spans="1:8">
      <c r="A56" s="36">
        <v>41</v>
      </c>
      <c r="B56" s="20" t="s">
        <v>1299</v>
      </c>
      <c r="C56" s="18" t="s">
        <v>1300</v>
      </c>
      <c r="D56" s="18" t="s">
        <v>1301</v>
      </c>
      <c r="E56" s="23">
        <v>350000</v>
      </c>
      <c r="F56" s="23">
        <v>210000</v>
      </c>
      <c r="G56" s="23">
        <v>175000</v>
      </c>
      <c r="H56" s="23">
        <v>140000</v>
      </c>
    </row>
    <row r="57" spans="1:8">
      <c r="A57" s="36">
        <v>42</v>
      </c>
      <c r="B57" s="20" t="s">
        <v>1302</v>
      </c>
      <c r="C57" s="18" t="s">
        <v>1198</v>
      </c>
      <c r="D57" s="18" t="s">
        <v>1201</v>
      </c>
      <c r="E57" s="23">
        <v>600000</v>
      </c>
      <c r="F57" s="23">
        <v>360000</v>
      </c>
      <c r="G57" s="23">
        <v>300000</v>
      </c>
      <c r="H57" s="23">
        <v>240000</v>
      </c>
    </row>
    <row r="58" spans="1:8">
      <c r="A58" s="36">
        <v>43</v>
      </c>
      <c r="B58" s="20" t="s">
        <v>1303</v>
      </c>
      <c r="C58" s="18" t="s">
        <v>1232</v>
      </c>
      <c r="D58" s="18" t="s">
        <v>1304</v>
      </c>
      <c r="E58" s="23">
        <v>250000</v>
      </c>
      <c r="F58" s="23">
        <v>150000</v>
      </c>
      <c r="G58" s="23">
        <v>125000</v>
      </c>
      <c r="H58" s="23">
        <v>100000</v>
      </c>
    </row>
    <row r="59" ht="27.6" spans="1:8">
      <c r="A59" s="36">
        <v>44</v>
      </c>
      <c r="B59" s="20" t="s">
        <v>1305</v>
      </c>
      <c r="C59" s="18" t="s">
        <v>1306</v>
      </c>
      <c r="D59" s="18" t="s">
        <v>1307</v>
      </c>
      <c r="E59" s="23">
        <v>225000</v>
      </c>
      <c r="F59" s="23">
        <v>135000</v>
      </c>
      <c r="G59" s="23">
        <v>110000</v>
      </c>
      <c r="H59" s="23">
        <v>90000</v>
      </c>
    </row>
    <row r="60" spans="1:8">
      <c r="A60" s="36">
        <v>45</v>
      </c>
      <c r="B60" s="20" t="s">
        <v>1308</v>
      </c>
      <c r="C60" s="18" t="s">
        <v>1233</v>
      </c>
      <c r="D60" s="18" t="s">
        <v>1309</v>
      </c>
      <c r="E60" s="23">
        <v>600000</v>
      </c>
      <c r="F60" s="23">
        <v>360000</v>
      </c>
      <c r="G60" s="23">
        <v>300000</v>
      </c>
      <c r="H60" s="23">
        <v>240000</v>
      </c>
    </row>
    <row r="61" ht="27.6" spans="1:8">
      <c r="A61" s="36">
        <v>46</v>
      </c>
      <c r="B61" s="20" t="s">
        <v>1310</v>
      </c>
      <c r="C61" s="18" t="s">
        <v>1311</v>
      </c>
      <c r="D61" s="18" t="s">
        <v>1312</v>
      </c>
      <c r="E61" s="23">
        <v>350000</v>
      </c>
      <c r="F61" s="23">
        <v>210000</v>
      </c>
      <c r="G61" s="23">
        <v>175000</v>
      </c>
      <c r="H61" s="23">
        <v>140000</v>
      </c>
    </row>
    <row r="62" spans="1:8">
      <c r="A62" s="36">
        <v>47</v>
      </c>
      <c r="B62" s="20" t="s">
        <v>1313</v>
      </c>
      <c r="C62" s="18" t="s">
        <v>1253</v>
      </c>
      <c r="D62" s="18" t="s">
        <v>1251</v>
      </c>
      <c r="E62" s="23">
        <v>175000</v>
      </c>
      <c r="F62" s="23">
        <v>105000</v>
      </c>
      <c r="G62" s="23">
        <v>85000</v>
      </c>
      <c r="H62" s="23">
        <v>70000</v>
      </c>
    </row>
    <row r="63" spans="1:8">
      <c r="A63" s="36">
        <v>48</v>
      </c>
      <c r="B63" s="20" t="s">
        <v>1314</v>
      </c>
      <c r="C63" s="18" t="s">
        <v>1313</v>
      </c>
      <c r="D63" s="18" t="s">
        <v>1315</v>
      </c>
      <c r="E63" s="23">
        <v>175000</v>
      </c>
      <c r="F63" s="23">
        <v>105000</v>
      </c>
      <c r="G63" s="23">
        <v>85000</v>
      </c>
      <c r="H63" s="23">
        <v>70000</v>
      </c>
    </row>
    <row r="64" spans="1:8">
      <c r="A64" s="36">
        <v>49</v>
      </c>
      <c r="B64" s="18" t="s">
        <v>1316</v>
      </c>
      <c r="C64" s="18" t="s">
        <v>1317</v>
      </c>
      <c r="D64" s="18" t="s">
        <v>1275</v>
      </c>
      <c r="E64" s="23">
        <v>750000</v>
      </c>
      <c r="F64" s="23">
        <v>450000</v>
      </c>
      <c r="G64" s="23">
        <v>375000</v>
      </c>
      <c r="H64" s="23">
        <v>300000</v>
      </c>
    </row>
    <row r="65" spans="1:8">
      <c r="A65" s="36">
        <v>50</v>
      </c>
      <c r="B65" s="20" t="s">
        <v>1318</v>
      </c>
      <c r="C65" s="18" t="s">
        <v>1259</v>
      </c>
      <c r="D65" s="18" t="s">
        <v>1319</v>
      </c>
      <c r="E65" s="23">
        <v>350000</v>
      </c>
      <c r="F65" s="23">
        <v>210000</v>
      </c>
      <c r="G65" s="23">
        <v>175000</v>
      </c>
      <c r="H65" s="23">
        <v>140000</v>
      </c>
    </row>
    <row r="66" spans="1:8">
      <c r="A66" s="39" t="s">
        <v>136</v>
      </c>
      <c r="B66" s="20"/>
      <c r="C66" s="18"/>
      <c r="D66" s="18"/>
      <c r="E66" s="23"/>
      <c r="F66" s="23"/>
      <c r="G66" s="23"/>
      <c r="H66" s="23"/>
    </row>
    <row r="67" spans="1:8">
      <c r="A67" s="36">
        <v>51</v>
      </c>
      <c r="B67" s="20" t="s">
        <v>137</v>
      </c>
      <c r="C67" s="18"/>
      <c r="D67" s="18"/>
      <c r="E67" s="23">
        <v>175000</v>
      </c>
      <c r="F67" s="23">
        <v>105000</v>
      </c>
      <c r="G67" s="23">
        <v>85000</v>
      </c>
      <c r="H67" s="23">
        <v>70000</v>
      </c>
    </row>
    <row r="68" spans="1:8">
      <c r="A68" s="15" t="s">
        <v>1069</v>
      </c>
      <c r="B68" s="15"/>
      <c r="C68" s="15"/>
      <c r="D68" s="15"/>
      <c r="E68" s="23" t="s">
        <v>16</v>
      </c>
      <c r="F68" s="23" t="s">
        <v>16</v>
      </c>
      <c r="G68" s="23" t="s">
        <v>16</v>
      </c>
      <c r="H68" s="23" t="s">
        <v>16</v>
      </c>
    </row>
    <row r="69" spans="1:8">
      <c r="A69" s="17"/>
      <c r="B69" s="40" t="s">
        <v>1320</v>
      </c>
      <c r="C69" s="15"/>
      <c r="D69" s="15"/>
      <c r="E69" s="23" t="s">
        <v>16</v>
      </c>
      <c r="F69" s="23" t="s">
        <v>16</v>
      </c>
      <c r="G69" s="23" t="s">
        <v>16</v>
      </c>
      <c r="H69" s="23" t="s">
        <v>16</v>
      </c>
    </row>
    <row r="70" ht="27.6" spans="1:8">
      <c r="A70" s="36">
        <v>52</v>
      </c>
      <c r="B70" s="20" t="s">
        <v>1321</v>
      </c>
      <c r="C70" s="18"/>
      <c r="D70" s="18"/>
      <c r="E70" s="23">
        <v>350000</v>
      </c>
      <c r="F70" s="23">
        <v>220000</v>
      </c>
      <c r="G70" s="23">
        <v>0</v>
      </c>
      <c r="H70" s="23">
        <v>0</v>
      </c>
    </row>
    <row r="71" ht="69" spans="1:8">
      <c r="A71" s="36">
        <v>53</v>
      </c>
      <c r="B71" s="20" t="s">
        <v>1322</v>
      </c>
      <c r="C71" s="18"/>
      <c r="D71" s="18"/>
      <c r="E71" s="23">
        <v>215000</v>
      </c>
      <c r="F71" s="23">
        <v>145000</v>
      </c>
      <c r="G71" s="23">
        <v>0</v>
      </c>
      <c r="H71" s="23">
        <v>0</v>
      </c>
    </row>
    <row r="72" ht="110.4" spans="1:8">
      <c r="A72" s="36">
        <v>54</v>
      </c>
      <c r="B72" s="20" t="s">
        <v>1323</v>
      </c>
      <c r="C72" s="18"/>
      <c r="D72" s="18"/>
      <c r="E72" s="23">
        <v>90000</v>
      </c>
      <c r="F72" s="23">
        <v>0</v>
      </c>
      <c r="G72" s="23">
        <v>0</v>
      </c>
      <c r="H72" s="23">
        <v>0</v>
      </c>
    </row>
    <row r="73" spans="1:8">
      <c r="A73" s="17"/>
      <c r="B73" s="40" t="s">
        <v>1324</v>
      </c>
      <c r="C73" s="18"/>
      <c r="D73" s="18"/>
      <c r="E73" s="23" t="s">
        <v>16</v>
      </c>
      <c r="F73" s="23" t="s">
        <v>16</v>
      </c>
      <c r="G73" s="23" t="s">
        <v>16</v>
      </c>
      <c r="H73" s="23" t="s">
        <v>16</v>
      </c>
    </row>
    <row r="74" spans="1:8">
      <c r="A74" s="36">
        <v>55</v>
      </c>
      <c r="B74" s="20" t="s">
        <v>1325</v>
      </c>
      <c r="C74" s="18"/>
      <c r="D74" s="18"/>
      <c r="E74" s="23">
        <v>115000</v>
      </c>
      <c r="F74" s="23">
        <v>100000</v>
      </c>
      <c r="G74" s="23">
        <v>0</v>
      </c>
      <c r="H74" s="23">
        <v>0</v>
      </c>
    </row>
    <row r="75" ht="41.4" spans="1:8">
      <c r="A75" s="36">
        <v>56</v>
      </c>
      <c r="B75" s="20" t="s">
        <v>1326</v>
      </c>
      <c r="C75" s="18"/>
      <c r="D75" s="18"/>
      <c r="E75" s="23">
        <v>100000</v>
      </c>
      <c r="F75" s="23">
        <v>90000</v>
      </c>
      <c r="G75" s="23">
        <v>0</v>
      </c>
      <c r="H75" s="23">
        <v>0</v>
      </c>
    </row>
    <row r="76" ht="55.2" spans="1:8">
      <c r="A76" s="36">
        <v>57</v>
      </c>
      <c r="B76" s="20" t="s">
        <v>1327</v>
      </c>
      <c r="C76" s="18"/>
      <c r="D76" s="18"/>
      <c r="E76" s="23">
        <v>55000</v>
      </c>
      <c r="F76" s="23">
        <v>0</v>
      </c>
      <c r="G76" s="23">
        <v>0</v>
      </c>
      <c r="H76" s="23">
        <v>0</v>
      </c>
    </row>
    <row r="77" spans="1:8">
      <c r="A77" s="20"/>
      <c r="B77" s="20"/>
      <c r="C77" s="18"/>
      <c r="D77" s="18"/>
      <c r="E77" s="23" t="s">
        <v>16</v>
      </c>
      <c r="F77" s="23" t="s">
        <v>16</v>
      </c>
      <c r="G77" s="23" t="s">
        <v>16</v>
      </c>
      <c r="H77" s="23" t="s">
        <v>16</v>
      </c>
    </row>
    <row r="78" spans="1:8">
      <c r="A78" s="20"/>
      <c r="B78" s="20"/>
      <c r="C78" s="18"/>
      <c r="D78" s="18"/>
      <c r="E78" s="23" t="s">
        <v>16</v>
      </c>
      <c r="F78" s="23" t="s">
        <v>16</v>
      </c>
      <c r="G78" s="23" t="s">
        <v>16</v>
      </c>
      <c r="H78" s="23" t="s">
        <v>16</v>
      </c>
    </row>
    <row r="79" spans="1:8">
      <c r="A79" s="20"/>
      <c r="B79" s="20"/>
      <c r="C79" s="18"/>
      <c r="D79" s="18"/>
      <c r="E79" s="23" t="s">
        <v>16</v>
      </c>
      <c r="F79" s="23" t="s">
        <v>16</v>
      </c>
      <c r="G79" s="23" t="s">
        <v>16</v>
      </c>
      <c r="H79" s="23" t="s">
        <v>16</v>
      </c>
    </row>
    <row r="80" spans="1:8">
      <c r="A80" s="20"/>
      <c r="B80" s="20"/>
      <c r="C80" s="18"/>
      <c r="D80" s="18"/>
      <c r="E80" s="23" t="s">
        <v>16</v>
      </c>
      <c r="F80" s="23" t="s">
        <v>16</v>
      </c>
      <c r="G80" s="23" t="s">
        <v>16</v>
      </c>
      <c r="H80" s="23" t="s">
        <v>16</v>
      </c>
    </row>
    <row r="81" spans="1:8">
      <c r="A81" s="20"/>
      <c r="B81" s="20"/>
      <c r="C81" s="18"/>
      <c r="D81" s="18"/>
      <c r="E81" s="23" t="s">
        <v>16</v>
      </c>
      <c r="F81" s="23" t="s">
        <v>16</v>
      </c>
      <c r="G81" s="23" t="s">
        <v>16</v>
      </c>
      <c r="H81" s="23" t="s">
        <v>16</v>
      </c>
    </row>
    <row r="82" spans="1:8">
      <c r="A82" s="20"/>
      <c r="B82" s="20"/>
      <c r="C82" s="18"/>
      <c r="D82" s="18"/>
      <c r="E82" s="23" t="s">
        <v>16</v>
      </c>
      <c r="F82" s="23" t="s">
        <v>16</v>
      </c>
      <c r="G82" s="23" t="s">
        <v>16</v>
      </c>
      <c r="H82" s="23" t="s">
        <v>16</v>
      </c>
    </row>
    <row r="83" spans="1:8">
      <c r="A83" s="20"/>
      <c r="B83" s="20"/>
      <c r="C83" s="18"/>
      <c r="D83" s="18"/>
      <c r="E83" s="23" t="s">
        <v>16</v>
      </c>
      <c r="F83" s="23" t="s">
        <v>16</v>
      </c>
      <c r="G83" s="23" t="s">
        <v>16</v>
      </c>
      <c r="H83" s="23" t="s">
        <v>16</v>
      </c>
    </row>
    <row r="84" spans="1:8">
      <c r="A84" s="20"/>
      <c r="B84" s="42"/>
      <c r="C84" s="43"/>
      <c r="D84" s="43"/>
      <c r="E84" s="23" t="s">
        <v>16</v>
      </c>
      <c r="F84" s="23" t="s">
        <v>16</v>
      </c>
      <c r="G84" s="23" t="s">
        <v>16</v>
      </c>
      <c r="H84" s="23" t="s">
        <v>16</v>
      </c>
    </row>
    <row r="85" spans="1:8">
      <c r="A85" s="20"/>
      <c r="B85" s="20"/>
      <c r="C85" s="18"/>
      <c r="D85" s="18"/>
      <c r="E85" s="23" t="s">
        <v>16</v>
      </c>
      <c r="F85" s="23" t="s">
        <v>16</v>
      </c>
      <c r="G85" s="23" t="s">
        <v>16</v>
      </c>
      <c r="H85" s="23" t="s">
        <v>16</v>
      </c>
    </row>
    <row r="86" spans="1:8">
      <c r="A86" s="20"/>
      <c r="B86" s="20"/>
      <c r="C86" s="18"/>
      <c r="D86" s="18"/>
      <c r="E86" s="23" t="s">
        <v>16</v>
      </c>
      <c r="F86" s="23" t="s">
        <v>16</v>
      </c>
      <c r="G86" s="23" t="s">
        <v>16</v>
      </c>
      <c r="H86" s="23" t="s">
        <v>16</v>
      </c>
    </row>
    <row r="87" spans="1:8">
      <c r="A87" s="20"/>
      <c r="B87" s="20"/>
      <c r="C87" s="18"/>
      <c r="D87" s="18"/>
      <c r="E87" s="23" t="s">
        <v>16</v>
      </c>
      <c r="F87" s="23" t="s">
        <v>16</v>
      </c>
      <c r="G87" s="23" t="s">
        <v>16</v>
      </c>
      <c r="H87" s="23" t="s">
        <v>16</v>
      </c>
    </row>
    <row r="88" spans="1:8">
      <c r="A88" s="27"/>
      <c r="C88" s="28"/>
      <c r="D88" s="28"/>
      <c r="E88" s="23" t="s">
        <v>16</v>
      </c>
      <c r="F88" s="23" t="s">
        <v>16</v>
      </c>
      <c r="G88" s="23" t="s">
        <v>16</v>
      </c>
      <c r="H88" s="23" t="s">
        <v>16</v>
      </c>
    </row>
    <row r="89" spans="1:8">
      <c r="A89" s="27"/>
      <c r="C89" s="28"/>
      <c r="D89" s="28"/>
      <c r="E89" s="23" t="s">
        <v>16</v>
      </c>
      <c r="F89" s="23" t="s">
        <v>16</v>
      </c>
      <c r="G89" s="23" t="s">
        <v>16</v>
      </c>
      <c r="H89" s="23" t="s">
        <v>16</v>
      </c>
    </row>
    <row r="90" spans="1:8">
      <c r="A90" s="27"/>
      <c r="C90" s="28"/>
      <c r="D90" s="2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t="s">
        <v>16</v>
      </c>
      <c r="F201" s="23" t="s">
        <v>16</v>
      </c>
      <c r="G201" s="23" t="s">
        <v>16</v>
      </c>
      <c r="H201" s="23" t="s">
        <v>16</v>
      </c>
    </row>
    <row r="202" spans="1:8">
      <c r="A202" s="27"/>
      <c r="C202" s="28"/>
      <c r="D202" s="28"/>
      <c r="E202" s="23" t="s">
        <v>16</v>
      </c>
      <c r="F202" s="23" t="s">
        <v>16</v>
      </c>
      <c r="G202" s="23" t="s">
        <v>16</v>
      </c>
      <c r="H202" s="23" t="s">
        <v>16</v>
      </c>
    </row>
    <row r="203" spans="1:8">
      <c r="A203" s="27"/>
      <c r="C203" s="28"/>
      <c r="D203" s="28"/>
      <c r="E203" s="23" t="s">
        <v>16</v>
      </c>
      <c r="F203" s="23" t="s">
        <v>16</v>
      </c>
      <c r="G203" s="23" t="s">
        <v>16</v>
      </c>
      <c r="H203" s="23" t="s">
        <v>16</v>
      </c>
    </row>
    <row r="204" spans="1:8">
      <c r="A204" s="27"/>
      <c r="C204" s="28"/>
      <c r="D204" s="28"/>
      <c r="E204" s="23" t="s">
        <v>16</v>
      </c>
      <c r="F204" s="23" t="s">
        <v>16</v>
      </c>
      <c r="G204" s="23" t="s">
        <v>16</v>
      </c>
      <c r="H204" s="23" t="s">
        <v>16</v>
      </c>
    </row>
    <row r="205" spans="1:8">
      <c r="A205" s="27"/>
      <c r="C205" s="28"/>
      <c r="D205" s="28"/>
      <c r="E205" s="23" t="s">
        <v>16</v>
      </c>
      <c r="F205" s="23" t="s">
        <v>16</v>
      </c>
      <c r="G205" s="23" t="s">
        <v>16</v>
      </c>
      <c r="H205" s="23" t="s">
        <v>16</v>
      </c>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44"/>
      <c r="F222" s="44"/>
      <c r="G222" s="44"/>
      <c r="H222" s="44"/>
    </row>
    <row r="223" spans="1:8">
      <c r="A223" s="27"/>
      <c r="C223" s="28"/>
      <c r="D223" s="28"/>
      <c r="E223" s="44"/>
      <c r="F223" s="44"/>
      <c r="G223" s="44"/>
      <c r="H223" s="44"/>
    </row>
    <row r="224" spans="1:8">
      <c r="A224" s="27"/>
      <c r="C224" s="28"/>
      <c r="D224" s="28"/>
      <c r="E224" s="44"/>
      <c r="F224" s="44"/>
      <c r="G224" s="44"/>
      <c r="H224" s="44"/>
    </row>
    <row r="225" spans="1:8">
      <c r="A225" s="27"/>
      <c r="C225" s="28"/>
      <c r="D225" s="28"/>
      <c r="E225" s="44"/>
      <c r="F225" s="44"/>
      <c r="G225" s="44"/>
      <c r="H225" s="44"/>
    </row>
    <row r="226" spans="1:8">
      <c r="A226" s="27"/>
      <c r="C226" s="28"/>
      <c r="D226" s="28"/>
      <c r="E226" s="44"/>
      <c r="F226" s="44"/>
      <c r="G226" s="44"/>
      <c r="H226" s="44"/>
    </row>
    <row r="227" spans="1:8">
      <c r="A227" s="27"/>
      <c r="C227" s="28"/>
      <c r="D227" s="28"/>
      <c r="E227" s="44"/>
      <c r="F227" s="44"/>
      <c r="G227" s="44"/>
      <c r="H227" s="44"/>
    </row>
    <row r="228" spans="1:8">
      <c r="A228" s="27"/>
      <c r="C228" s="28"/>
      <c r="D228" s="28"/>
      <c r="E228" s="44"/>
      <c r="F228" s="44"/>
      <c r="G228" s="44"/>
      <c r="H228" s="44"/>
    </row>
    <row r="229" spans="1:8">
      <c r="A229" s="27"/>
      <c r="C229" s="28"/>
      <c r="D229" s="28"/>
      <c r="E229" s="44"/>
      <c r="F229" s="44"/>
      <c r="G229" s="44"/>
      <c r="H229" s="44"/>
    </row>
    <row r="230" spans="1:8">
      <c r="A230" s="27"/>
      <c r="C230" s="28"/>
      <c r="D230" s="28"/>
      <c r="E230" s="44"/>
      <c r="F230" s="44"/>
      <c r="G230" s="44"/>
      <c r="H230" s="44"/>
    </row>
    <row r="231" spans="1:8">
      <c r="A231" s="27"/>
      <c r="C231" s="28"/>
      <c r="D231" s="28"/>
      <c r="E231" s="44"/>
      <c r="F231" s="44"/>
      <c r="G231" s="44"/>
      <c r="H231" s="44"/>
    </row>
    <row r="232" spans="1:8">
      <c r="A232" s="27"/>
      <c r="C232" s="28"/>
      <c r="D232" s="28"/>
      <c r="E232" s="44"/>
      <c r="F232" s="44"/>
      <c r="G232" s="44"/>
      <c r="H232" s="44"/>
    </row>
    <row r="233" spans="1:8">
      <c r="A233" s="27"/>
      <c r="C233" s="28"/>
      <c r="D233" s="28"/>
      <c r="E233" s="44"/>
      <c r="F233" s="44"/>
      <c r="G233" s="44"/>
      <c r="H233" s="44"/>
    </row>
    <row r="234" spans="1:8">
      <c r="A234" s="27"/>
      <c r="C234" s="28"/>
      <c r="D234" s="28"/>
      <c r="E234" s="44"/>
      <c r="F234" s="44"/>
      <c r="G234" s="44"/>
      <c r="H234" s="44"/>
    </row>
    <row r="235" spans="1:8">
      <c r="A235" s="27"/>
      <c r="C235" s="28"/>
      <c r="D235" s="28"/>
      <c r="E235" s="44"/>
      <c r="F235" s="44"/>
      <c r="G235" s="44"/>
      <c r="H235" s="44"/>
    </row>
    <row r="236" spans="1:8">
      <c r="A236" s="27"/>
      <c r="C236" s="28"/>
      <c r="D236" s="28"/>
      <c r="E236" s="44"/>
      <c r="F236" s="44"/>
      <c r="G236" s="44"/>
      <c r="H236" s="44"/>
    </row>
    <row r="237" spans="1:8">
      <c r="A237" s="27"/>
      <c r="C237" s="28"/>
      <c r="D237" s="28"/>
      <c r="E237" s="44"/>
      <c r="F237" s="44"/>
      <c r="G237" s="44"/>
      <c r="H237" s="44"/>
    </row>
    <row r="238" spans="1:8">
      <c r="A238" s="27"/>
      <c r="C238" s="28"/>
      <c r="D238" s="28"/>
      <c r="E238" s="44"/>
      <c r="F238" s="44"/>
      <c r="G238" s="44"/>
      <c r="H238" s="44"/>
    </row>
    <row r="239" spans="1:8">
      <c r="A239" s="27"/>
      <c r="C239" s="28"/>
      <c r="D239" s="28"/>
      <c r="E239" s="44"/>
      <c r="F239" s="44"/>
      <c r="G239" s="44"/>
      <c r="H239" s="44"/>
    </row>
    <row r="240" spans="1:8">
      <c r="A240" s="27"/>
      <c r="C240" s="28"/>
      <c r="D240" s="28"/>
      <c r="E240" s="44"/>
      <c r="F240" s="44"/>
      <c r="G240" s="44"/>
      <c r="H240" s="44"/>
    </row>
    <row r="241" spans="1:8">
      <c r="A241" s="27"/>
      <c r="C241" s="28"/>
      <c r="D241" s="28"/>
      <c r="E241" s="44"/>
      <c r="F241" s="44"/>
      <c r="G241" s="44"/>
      <c r="H241" s="44"/>
    </row>
    <row r="242" spans="1:8">
      <c r="A242" s="27"/>
      <c r="C242" s="28"/>
      <c r="D242" s="28"/>
      <c r="E242" s="44"/>
      <c r="F242" s="44"/>
      <c r="G242" s="44"/>
      <c r="H242" s="44"/>
    </row>
    <row r="243" spans="1:8">
      <c r="A243" s="27"/>
      <c r="C243" s="28"/>
      <c r="D243" s="28"/>
      <c r="E243" s="44"/>
      <c r="F243" s="44"/>
      <c r="G243" s="44"/>
      <c r="H243" s="44"/>
    </row>
    <row r="244" spans="1:8">
      <c r="A244" s="27"/>
      <c r="C244" s="28"/>
      <c r="D244" s="28"/>
      <c r="E244" s="44"/>
      <c r="F244" s="44"/>
      <c r="G244" s="44"/>
      <c r="H244" s="44"/>
    </row>
    <row r="245" spans="1:8">
      <c r="A245" s="27"/>
      <c r="C245" s="28"/>
      <c r="D245" s="28"/>
      <c r="E245" s="44"/>
      <c r="F245" s="44"/>
      <c r="G245" s="44"/>
      <c r="H245" s="44"/>
    </row>
    <row r="246" spans="1:8">
      <c r="A246" s="27"/>
      <c r="C246" s="28"/>
      <c r="D246" s="28"/>
      <c r="E246" s="44"/>
      <c r="F246" s="44"/>
      <c r="G246" s="44"/>
      <c r="H246" s="44"/>
    </row>
    <row r="247" spans="1:8">
      <c r="A247" s="27"/>
      <c r="C247" s="28"/>
      <c r="D247" s="28"/>
      <c r="E247" s="44"/>
      <c r="F247" s="44"/>
      <c r="G247" s="44"/>
      <c r="H247" s="44"/>
    </row>
    <row r="248" spans="1:8">
      <c r="A248" s="27"/>
      <c r="C248" s="28"/>
      <c r="D248" s="28"/>
      <c r="E248" s="44"/>
      <c r="F248" s="44"/>
      <c r="G248" s="44"/>
      <c r="H248" s="44"/>
    </row>
    <row r="249" spans="1:8">
      <c r="A249" s="27"/>
      <c r="C249" s="28"/>
      <c r="D249" s="28"/>
      <c r="E249" s="44"/>
      <c r="F249" s="44"/>
      <c r="G249" s="44"/>
      <c r="H249" s="44"/>
    </row>
    <row r="250" spans="1:8">
      <c r="A250" s="27"/>
      <c r="C250" s="28"/>
      <c r="D250" s="28"/>
      <c r="E250" s="44"/>
      <c r="F250" s="44"/>
      <c r="G250" s="44"/>
      <c r="H250" s="44"/>
    </row>
    <row r="251" spans="1:8">
      <c r="A251" s="27"/>
      <c r="C251" s="28"/>
      <c r="D251" s="28"/>
      <c r="E251" s="44"/>
      <c r="F251" s="44"/>
      <c r="G251" s="44"/>
      <c r="H251" s="44"/>
    </row>
    <row r="252" spans="1:8">
      <c r="A252" s="27"/>
      <c r="C252" s="28"/>
      <c r="D252" s="28"/>
      <c r="E252" s="44"/>
      <c r="F252" s="44"/>
      <c r="G252" s="44"/>
      <c r="H252" s="44"/>
    </row>
    <row r="253" spans="1:8">
      <c r="A253" s="27"/>
      <c r="C253" s="28"/>
      <c r="D253" s="28"/>
      <c r="E253" s="44"/>
      <c r="F253" s="44"/>
      <c r="G253" s="44"/>
      <c r="H253" s="44"/>
    </row>
    <row r="254" spans="1:8">
      <c r="A254" s="27"/>
      <c r="C254" s="28"/>
      <c r="D254" s="28"/>
      <c r="E254" s="44"/>
      <c r="F254" s="44"/>
      <c r="G254" s="44"/>
      <c r="H254" s="44"/>
    </row>
    <row r="255" spans="1:8">
      <c r="A255" s="27"/>
      <c r="C255" s="28"/>
      <c r="D255" s="28"/>
      <c r="E255" s="44"/>
      <c r="F255" s="44"/>
      <c r="G255" s="44"/>
      <c r="H255" s="44"/>
    </row>
    <row r="256" spans="1:8">
      <c r="A256" s="27"/>
      <c r="C256" s="28"/>
      <c r="D256" s="28"/>
      <c r="E256" s="44"/>
      <c r="F256" s="44"/>
      <c r="G256" s="44"/>
      <c r="H256" s="44"/>
    </row>
    <row r="257" spans="1:8">
      <c r="A257" s="27"/>
      <c r="C257" s="28"/>
      <c r="D257" s="28"/>
      <c r="E257" s="44"/>
      <c r="F257" s="44"/>
      <c r="G257" s="44"/>
      <c r="H257" s="44"/>
    </row>
    <row r="258" spans="1:8">
      <c r="A258" s="27"/>
      <c r="C258" s="28"/>
      <c r="D258" s="28"/>
      <c r="E258" s="44"/>
      <c r="F258" s="44"/>
      <c r="G258" s="44"/>
      <c r="H258" s="44"/>
    </row>
    <row r="259" spans="1:8">
      <c r="A259" s="27"/>
      <c r="C259" s="28"/>
      <c r="D259" s="28"/>
      <c r="E259" s="44"/>
      <c r="F259" s="44"/>
      <c r="G259" s="44"/>
      <c r="H259" s="44"/>
    </row>
    <row r="260" spans="1:8">
      <c r="A260" s="27"/>
      <c r="C260" s="28"/>
      <c r="D260" s="28"/>
      <c r="E260" s="44"/>
      <c r="F260" s="44"/>
      <c r="G260" s="44"/>
      <c r="H260" s="44"/>
    </row>
    <row r="261" spans="1:8">
      <c r="A261" s="27"/>
      <c r="C261" s="28"/>
      <c r="D261" s="28"/>
      <c r="E261" s="44"/>
      <c r="F261" s="44"/>
      <c r="G261" s="44"/>
      <c r="H261" s="44"/>
    </row>
    <row r="262" spans="1:8">
      <c r="A262" s="27"/>
      <c r="C262" s="28"/>
      <c r="D262" s="28"/>
      <c r="E262" s="44"/>
      <c r="F262" s="44"/>
      <c r="G262" s="44"/>
      <c r="H262" s="44"/>
    </row>
    <row r="263" spans="1:8">
      <c r="A263" s="27"/>
      <c r="C263" s="28"/>
      <c r="D263" s="28"/>
      <c r="E263" s="44"/>
      <c r="F263" s="44"/>
      <c r="G263" s="44"/>
      <c r="H263" s="44"/>
    </row>
    <row r="264" spans="1:8">
      <c r="A264" s="27"/>
      <c r="C264" s="28"/>
      <c r="D264" s="28"/>
      <c r="E264" s="44"/>
      <c r="F264" s="44"/>
      <c r="G264" s="44"/>
      <c r="H264" s="44"/>
    </row>
    <row r="265" spans="1:8">
      <c r="A265" s="27"/>
      <c r="C265" s="28"/>
      <c r="D265" s="28"/>
      <c r="E265" s="44"/>
      <c r="F265" s="44"/>
      <c r="G265" s="44"/>
      <c r="H265" s="44"/>
    </row>
    <row r="266" spans="1:8">
      <c r="A266" s="27"/>
      <c r="C266" s="28"/>
      <c r="D266" s="28"/>
      <c r="E266" s="44"/>
      <c r="F266" s="44"/>
      <c r="G266" s="44"/>
      <c r="H266" s="44"/>
    </row>
    <row r="267" spans="1:8">
      <c r="A267" s="27"/>
      <c r="C267" s="28"/>
      <c r="D267" s="28"/>
      <c r="E267" s="44"/>
      <c r="F267" s="44"/>
      <c r="G267" s="44"/>
      <c r="H267" s="44"/>
    </row>
    <row r="268" spans="1:8">
      <c r="A268" s="27"/>
      <c r="C268" s="28"/>
      <c r="D268" s="28"/>
      <c r="E268" s="44"/>
      <c r="F268" s="44"/>
      <c r="G268" s="44"/>
      <c r="H268" s="44"/>
    </row>
    <row r="269" spans="1:8">
      <c r="A269" s="27"/>
      <c r="C269" s="28"/>
      <c r="D269" s="28"/>
      <c r="E269" s="44"/>
      <c r="F269" s="44"/>
      <c r="G269" s="44"/>
      <c r="H269" s="44"/>
    </row>
    <row r="270" spans="1:8">
      <c r="A270" s="27"/>
      <c r="C270" s="28"/>
      <c r="D270" s="28"/>
      <c r="E270" s="44"/>
      <c r="F270" s="44"/>
      <c r="G270" s="44"/>
      <c r="H270" s="44"/>
    </row>
    <row r="271" spans="1:8">
      <c r="A271" s="27"/>
      <c r="C271" s="28"/>
      <c r="D271" s="28"/>
      <c r="E271" s="44"/>
      <c r="F271" s="44"/>
      <c r="G271" s="44"/>
      <c r="H271" s="44"/>
    </row>
    <row r="272" spans="1:8">
      <c r="A272" s="27"/>
      <c r="C272" s="28"/>
      <c r="D272" s="28"/>
      <c r="E272" s="44"/>
      <c r="F272" s="44"/>
      <c r="G272" s="44"/>
      <c r="H272" s="44"/>
    </row>
    <row r="273" spans="1:8">
      <c r="A273" s="27"/>
      <c r="C273" s="28"/>
      <c r="D273" s="28"/>
      <c r="E273" s="44"/>
      <c r="F273" s="44"/>
      <c r="G273" s="44"/>
      <c r="H273" s="44"/>
    </row>
    <row r="274" spans="1:8">
      <c r="A274" s="27"/>
      <c r="C274" s="28"/>
      <c r="D274" s="28"/>
      <c r="E274" s="44"/>
      <c r="F274" s="44"/>
      <c r="G274" s="44"/>
      <c r="H274" s="44"/>
    </row>
    <row r="275" spans="1:8">
      <c r="A275" s="27"/>
      <c r="C275" s="28"/>
      <c r="D275" s="28"/>
      <c r="E275" s="44"/>
      <c r="F275" s="44"/>
      <c r="G275" s="44"/>
      <c r="H275" s="44"/>
    </row>
    <row r="276" spans="1:8">
      <c r="A276" s="27"/>
      <c r="C276" s="28"/>
      <c r="D276" s="28"/>
      <c r="E276" s="44"/>
      <c r="F276" s="44"/>
      <c r="G276" s="44"/>
      <c r="H276" s="44"/>
    </row>
    <row r="277" spans="1:8">
      <c r="A277" s="27"/>
      <c r="C277" s="28"/>
      <c r="D277" s="28"/>
      <c r="E277" s="44"/>
      <c r="F277" s="44"/>
      <c r="G277" s="44"/>
      <c r="H277" s="44"/>
    </row>
    <row r="278" spans="1:8">
      <c r="A278" s="27"/>
      <c r="C278" s="28"/>
      <c r="D278" s="28"/>
      <c r="E278" s="44"/>
      <c r="F278" s="44"/>
      <c r="G278" s="44"/>
      <c r="H278" s="44"/>
    </row>
    <row r="279" spans="1:8">
      <c r="A279" s="27"/>
      <c r="C279" s="28"/>
      <c r="D279" s="28"/>
      <c r="E279" s="44"/>
      <c r="F279" s="44"/>
      <c r="G279" s="44"/>
      <c r="H279" s="44"/>
    </row>
    <row r="280" spans="1:8">
      <c r="A280" s="27"/>
      <c r="C280" s="28"/>
      <c r="D280" s="28"/>
      <c r="E280" s="44"/>
      <c r="F280" s="44"/>
      <c r="G280" s="44"/>
      <c r="H280" s="44"/>
    </row>
    <row r="281" spans="1:8">
      <c r="A281" s="27"/>
      <c r="C281" s="28"/>
      <c r="D281" s="28"/>
      <c r="E281" s="44"/>
      <c r="F281" s="44"/>
      <c r="G281" s="44"/>
      <c r="H281" s="44"/>
    </row>
    <row r="282" spans="1:8">
      <c r="A282" s="27"/>
      <c r="C282" s="28"/>
      <c r="D282" s="28"/>
      <c r="E282" s="44"/>
      <c r="F282" s="44"/>
      <c r="G282" s="44"/>
      <c r="H282" s="44"/>
    </row>
    <row r="283" spans="1:8">
      <c r="A283" s="27"/>
      <c r="C283" s="28"/>
      <c r="D283" s="28"/>
      <c r="E283" s="44"/>
      <c r="F283" s="44"/>
      <c r="G283" s="44"/>
      <c r="H283" s="44"/>
    </row>
    <row r="284" spans="1:8">
      <c r="A284" s="27"/>
      <c r="C284" s="28"/>
      <c r="D284" s="28"/>
      <c r="E284" s="44"/>
      <c r="F284" s="44"/>
      <c r="G284" s="44"/>
      <c r="H284" s="44"/>
    </row>
    <row r="285" spans="1:8">
      <c r="A285" s="27"/>
      <c r="C285" s="28"/>
      <c r="D285" s="28"/>
      <c r="E285" s="44"/>
      <c r="F285" s="44"/>
      <c r="G285" s="44"/>
      <c r="H285" s="44"/>
    </row>
    <row r="286" spans="1:8">
      <c r="A286" s="27"/>
      <c r="C286" s="28"/>
      <c r="D286" s="28"/>
      <c r="E286" s="44"/>
      <c r="F286" s="44"/>
      <c r="G286" s="44"/>
      <c r="H286" s="44"/>
    </row>
    <row r="287" spans="1:8">
      <c r="A287" s="27"/>
      <c r="C287" s="28"/>
      <c r="D287" s="28"/>
      <c r="E287" s="44"/>
      <c r="F287" s="44"/>
      <c r="G287" s="44"/>
      <c r="H287" s="44"/>
    </row>
    <row r="288" spans="1:8">
      <c r="A288" s="27"/>
      <c r="C288" s="28"/>
      <c r="D288" s="28"/>
      <c r="E288" s="44"/>
      <c r="F288" s="44"/>
      <c r="G288" s="44"/>
      <c r="H288" s="44"/>
    </row>
    <row r="289" spans="1:8">
      <c r="A289" s="27"/>
      <c r="C289" s="28"/>
      <c r="D289" s="28"/>
      <c r="E289" s="44"/>
      <c r="F289" s="44"/>
      <c r="G289" s="44"/>
      <c r="H289" s="44"/>
    </row>
    <row r="290" spans="1:8">
      <c r="A290" s="27"/>
      <c r="C290" s="28"/>
      <c r="D290" s="28"/>
      <c r="E290" s="44"/>
      <c r="F290" s="44"/>
      <c r="G290" s="44"/>
      <c r="H290" s="44"/>
    </row>
    <row r="291" spans="1:8">
      <c r="A291" s="27"/>
      <c r="C291" s="28"/>
      <c r="D291" s="28"/>
      <c r="E291" s="44"/>
      <c r="F291" s="44"/>
      <c r="G291" s="44"/>
      <c r="H291" s="44"/>
    </row>
    <row r="292" spans="1:8">
      <c r="A292" s="27"/>
      <c r="C292" s="28"/>
      <c r="D292" s="28"/>
      <c r="E292" s="44"/>
      <c r="F292" s="44"/>
      <c r="G292" s="44"/>
      <c r="H292" s="44"/>
    </row>
    <row r="293" spans="1:8">
      <c r="A293" s="27"/>
      <c r="C293" s="28"/>
      <c r="D293" s="28"/>
      <c r="E293" s="44"/>
      <c r="F293" s="44"/>
      <c r="G293" s="44"/>
      <c r="H293" s="44"/>
    </row>
    <row r="294" spans="1:8">
      <c r="A294" s="27"/>
      <c r="C294" s="28"/>
      <c r="D294" s="28"/>
      <c r="E294" s="44"/>
      <c r="F294" s="44"/>
      <c r="G294" s="44"/>
      <c r="H294" s="44"/>
    </row>
    <row r="295" spans="1:8">
      <c r="A295" s="27"/>
      <c r="C295" s="28"/>
      <c r="D295" s="28"/>
      <c r="E295" s="44"/>
      <c r="F295" s="44"/>
      <c r="G295" s="44"/>
      <c r="H295" s="44"/>
    </row>
    <row r="296" spans="1:8">
      <c r="A296" s="27"/>
      <c r="C296" s="28"/>
      <c r="D296" s="28"/>
      <c r="E296" s="44"/>
      <c r="F296" s="44"/>
      <c r="G296" s="44"/>
      <c r="H296" s="44"/>
    </row>
    <row r="297" spans="1:8">
      <c r="A297" s="27"/>
      <c r="C297" s="28"/>
      <c r="D297" s="28"/>
      <c r="E297" s="44"/>
      <c r="F297" s="44"/>
      <c r="G297" s="44"/>
      <c r="H297" s="44"/>
    </row>
    <row r="298" spans="1:8">
      <c r="A298" s="27"/>
      <c r="C298" s="28"/>
      <c r="D298" s="28"/>
      <c r="E298" s="44"/>
      <c r="F298" s="44"/>
      <c r="G298" s="44"/>
      <c r="H298" s="44"/>
    </row>
    <row r="299" spans="1:8">
      <c r="A299" s="27"/>
      <c r="C299" s="28"/>
      <c r="D299" s="28"/>
      <c r="E299" s="44"/>
      <c r="F299" s="44"/>
      <c r="G299" s="44"/>
      <c r="H299" s="44"/>
    </row>
    <row r="300" spans="1:8">
      <c r="A300" s="27"/>
      <c r="C300" s="28"/>
      <c r="D300" s="28"/>
      <c r="E300" s="44"/>
      <c r="F300" s="44"/>
      <c r="G300" s="44"/>
      <c r="H300" s="44"/>
    </row>
    <row r="301" spans="1:8">
      <c r="A301" s="27"/>
      <c r="C301" s="28"/>
      <c r="D301" s="28"/>
      <c r="E301" s="44"/>
      <c r="F301" s="44"/>
      <c r="G301" s="44"/>
      <c r="H301" s="44"/>
    </row>
    <row r="302" spans="1:8">
      <c r="A302" s="27"/>
      <c r="C302" s="28"/>
      <c r="D302" s="28"/>
      <c r="E302" s="44"/>
      <c r="F302" s="44"/>
      <c r="G302" s="44"/>
      <c r="H302" s="44"/>
    </row>
    <row r="303" spans="1:8">
      <c r="A303" s="27"/>
      <c r="C303" s="28"/>
      <c r="D303" s="28"/>
      <c r="E303" s="44"/>
      <c r="F303" s="44"/>
      <c r="G303" s="44"/>
      <c r="H303" s="44"/>
    </row>
    <row r="304" spans="1:8">
      <c r="A304" s="27"/>
      <c r="C304" s="28"/>
      <c r="D304" s="28"/>
      <c r="E304" s="44"/>
      <c r="F304" s="44"/>
      <c r="G304" s="44"/>
      <c r="H304" s="44"/>
    </row>
    <row r="305" spans="1:8">
      <c r="A305" s="27"/>
      <c r="C305" s="28"/>
      <c r="D305" s="28"/>
      <c r="E305" s="44"/>
      <c r="F305" s="44"/>
      <c r="G305" s="44"/>
      <c r="H305" s="44"/>
    </row>
    <row r="306" spans="1:8">
      <c r="A306" s="27"/>
      <c r="C306" s="28"/>
      <c r="D306" s="28"/>
      <c r="E306" s="44"/>
      <c r="F306" s="44"/>
      <c r="G306" s="44"/>
      <c r="H306" s="44"/>
    </row>
    <row r="307" spans="1:8">
      <c r="A307" s="27"/>
      <c r="C307" s="28"/>
      <c r="D307" s="28"/>
      <c r="E307" s="44"/>
      <c r="F307" s="44"/>
      <c r="G307" s="44"/>
      <c r="H307" s="44"/>
    </row>
    <row r="308" spans="1:8">
      <c r="A308" s="27"/>
      <c r="C308" s="28"/>
      <c r="D308" s="28"/>
      <c r="E308" s="44"/>
      <c r="F308" s="44"/>
      <c r="G308" s="44"/>
      <c r="H308" s="44"/>
    </row>
    <row r="309" spans="1:8">
      <c r="A309" s="27"/>
      <c r="C309" s="28"/>
      <c r="D309" s="28"/>
      <c r="E309" s="44"/>
      <c r="F309" s="44"/>
      <c r="G309" s="44"/>
      <c r="H309" s="44"/>
    </row>
    <row r="310" spans="1:8">
      <c r="A310" s="27"/>
      <c r="C310" s="28"/>
      <c r="D310" s="28"/>
      <c r="E310" s="44"/>
      <c r="F310" s="44"/>
      <c r="G310" s="44"/>
      <c r="H310" s="44"/>
    </row>
    <row r="311" spans="1:8">
      <c r="A311" s="27"/>
      <c r="C311" s="28"/>
      <c r="D311" s="28"/>
      <c r="E311" s="44"/>
      <c r="F311" s="44"/>
      <c r="G311" s="44"/>
      <c r="H311" s="44"/>
    </row>
    <row r="312" spans="1:8">
      <c r="A312" s="27"/>
      <c r="C312" s="28"/>
      <c r="D312" s="28"/>
      <c r="E312" s="44"/>
      <c r="F312" s="44"/>
      <c r="G312" s="44"/>
      <c r="H312" s="44"/>
    </row>
    <row r="313" spans="1:8">
      <c r="A313" s="27"/>
      <c r="C313" s="28"/>
      <c r="D313" s="28"/>
      <c r="E313" s="44"/>
      <c r="F313" s="44"/>
      <c r="G313" s="44"/>
      <c r="H313" s="44"/>
    </row>
    <row r="314" spans="1:8">
      <c r="A314" s="27"/>
      <c r="C314" s="28"/>
      <c r="D314" s="28"/>
      <c r="E314" s="44"/>
      <c r="F314" s="44"/>
      <c r="G314" s="44"/>
      <c r="H314" s="44"/>
    </row>
    <row r="315" spans="1:8">
      <c r="A315" s="27"/>
      <c r="C315" s="28"/>
      <c r="D315" s="28"/>
      <c r="E315" s="44"/>
      <c r="F315" s="44"/>
      <c r="G315" s="44"/>
      <c r="H315" s="44"/>
    </row>
    <row r="316" spans="1:8">
      <c r="A316" s="27"/>
      <c r="C316" s="28"/>
      <c r="D316" s="28"/>
      <c r="E316" s="44"/>
      <c r="F316" s="44"/>
      <c r="G316" s="44"/>
      <c r="H316" s="44"/>
    </row>
    <row r="317" spans="1:8">
      <c r="A317" s="27"/>
      <c r="C317" s="28"/>
      <c r="D317" s="28"/>
      <c r="E317" s="44"/>
      <c r="F317" s="44"/>
      <c r="G317" s="44"/>
      <c r="H317" s="44"/>
    </row>
    <row r="318" spans="1:8">
      <c r="A318" s="27"/>
      <c r="C318" s="28"/>
      <c r="D318" s="28"/>
      <c r="E318" s="44"/>
      <c r="F318" s="44"/>
      <c r="G318" s="44"/>
      <c r="H318" s="44"/>
    </row>
    <row r="319" spans="1:8">
      <c r="A319" s="27"/>
      <c r="C319" s="28"/>
      <c r="D319" s="28"/>
      <c r="E319" s="44"/>
      <c r="F319" s="44"/>
      <c r="G319" s="44"/>
      <c r="H319" s="44"/>
    </row>
    <row r="320" spans="1:8">
      <c r="A320" s="27"/>
      <c r="C320" s="28"/>
      <c r="D320" s="28"/>
      <c r="E320" s="44"/>
      <c r="F320" s="44"/>
      <c r="G320" s="44"/>
      <c r="H320" s="44"/>
    </row>
    <row r="321" spans="1:8">
      <c r="A321" s="27"/>
      <c r="C321" s="28"/>
      <c r="D321" s="28"/>
      <c r="E321" s="44"/>
      <c r="F321" s="44"/>
      <c r="G321" s="44"/>
      <c r="H321" s="44"/>
    </row>
    <row r="322" spans="1:8">
      <c r="A322" s="27"/>
      <c r="C322" s="28"/>
      <c r="D322" s="28"/>
      <c r="E322" s="44"/>
      <c r="F322" s="44"/>
      <c r="G322" s="44"/>
      <c r="H322" s="44"/>
    </row>
    <row r="323" spans="1:8">
      <c r="A323" s="27"/>
      <c r="C323" s="28"/>
      <c r="D323" s="28"/>
      <c r="E323" s="44"/>
      <c r="F323" s="44"/>
      <c r="G323" s="44"/>
      <c r="H323" s="44"/>
    </row>
    <row r="324" spans="1:8">
      <c r="A324" s="27"/>
      <c r="C324" s="28"/>
      <c r="D324" s="28"/>
      <c r="E324" s="44"/>
      <c r="F324" s="44"/>
      <c r="G324" s="44"/>
      <c r="H324" s="44"/>
    </row>
    <row r="325" spans="1:8">
      <c r="A325" s="27"/>
      <c r="C325" s="28"/>
      <c r="D325" s="28"/>
      <c r="E325" s="44"/>
      <c r="F325" s="44"/>
      <c r="G325" s="44"/>
      <c r="H325" s="44"/>
    </row>
    <row r="326" spans="1:8">
      <c r="A326" s="27"/>
      <c r="C326" s="28"/>
      <c r="D326" s="28"/>
      <c r="E326" s="44"/>
      <c r="F326" s="44"/>
      <c r="G326" s="44"/>
      <c r="H326" s="44"/>
    </row>
    <row r="327" spans="1:8">
      <c r="A327" s="27"/>
      <c r="C327" s="28"/>
      <c r="D327" s="28"/>
      <c r="E327" s="44"/>
      <c r="F327" s="44"/>
      <c r="G327" s="44"/>
      <c r="H327" s="44"/>
    </row>
    <row r="328" spans="1:8">
      <c r="A328" s="27"/>
      <c r="C328" s="28"/>
      <c r="D328" s="28"/>
      <c r="E328" s="44"/>
      <c r="F328" s="44"/>
      <c r="G328" s="44"/>
      <c r="H328" s="44"/>
    </row>
    <row r="329" spans="1:8">
      <c r="A329" s="27"/>
      <c r="C329" s="28"/>
      <c r="D329" s="28"/>
      <c r="E329" s="44"/>
      <c r="F329" s="44"/>
      <c r="G329" s="44"/>
      <c r="H329" s="44"/>
    </row>
    <row r="330" spans="1:8">
      <c r="A330" s="27"/>
      <c r="C330" s="28"/>
      <c r="D330" s="28"/>
      <c r="E330" s="44"/>
      <c r="F330" s="44"/>
      <c r="G330" s="44"/>
      <c r="H330" s="44"/>
    </row>
    <row r="331" spans="1:8">
      <c r="A331" s="27"/>
      <c r="C331" s="28"/>
      <c r="D331" s="28"/>
      <c r="E331" s="44"/>
      <c r="F331" s="44"/>
      <c r="G331" s="44"/>
      <c r="H331" s="44"/>
    </row>
    <row r="332" spans="1:8">
      <c r="A332" s="27"/>
      <c r="C332" s="28"/>
      <c r="D332" s="28"/>
      <c r="E332" s="44"/>
      <c r="F332" s="44"/>
      <c r="G332" s="44"/>
      <c r="H332" s="44"/>
    </row>
    <row r="333" spans="1:8">
      <c r="A333" s="27"/>
      <c r="C333" s="28"/>
      <c r="D333" s="28"/>
      <c r="E333" s="44"/>
      <c r="F333" s="44"/>
      <c r="G333" s="44"/>
      <c r="H333" s="44"/>
    </row>
    <row r="334" spans="1:8">
      <c r="A334" s="27"/>
      <c r="C334" s="28"/>
      <c r="D334" s="28"/>
      <c r="E334" s="44"/>
      <c r="F334" s="44"/>
      <c r="G334" s="44"/>
      <c r="H334" s="44"/>
    </row>
    <row r="335" spans="1:8">
      <c r="A335" s="27"/>
      <c r="C335" s="28"/>
      <c r="D335" s="28"/>
      <c r="E335" s="44"/>
      <c r="F335" s="44"/>
      <c r="G335" s="44"/>
      <c r="H335" s="44"/>
    </row>
    <row r="336" spans="1:8">
      <c r="A336" s="27"/>
      <c r="C336" s="28"/>
      <c r="D336" s="28"/>
      <c r="E336" s="44"/>
      <c r="F336" s="44"/>
      <c r="G336" s="44"/>
      <c r="H336" s="44"/>
    </row>
    <row r="337" spans="1:8">
      <c r="A337" s="27"/>
      <c r="C337" s="28"/>
      <c r="D337" s="28"/>
      <c r="E337" s="44"/>
      <c r="F337" s="44"/>
      <c r="G337" s="44"/>
      <c r="H337" s="44"/>
    </row>
    <row r="338" spans="1:8">
      <c r="A338" s="27"/>
      <c r="C338" s="28"/>
      <c r="D338" s="28"/>
      <c r="E338" s="44"/>
      <c r="F338" s="44"/>
      <c r="G338" s="44"/>
      <c r="H338" s="44"/>
    </row>
    <row r="339" spans="1:8">
      <c r="A339" s="27"/>
      <c r="C339" s="28"/>
      <c r="D339" s="28"/>
      <c r="E339" s="44"/>
      <c r="F339" s="44"/>
      <c r="G339" s="44"/>
      <c r="H339" s="44"/>
    </row>
    <row r="340" spans="1:8">
      <c r="A340" s="27"/>
      <c r="C340" s="28"/>
      <c r="D340" s="28"/>
      <c r="E340" s="44"/>
      <c r="F340" s="44"/>
      <c r="G340" s="44"/>
      <c r="H340" s="44"/>
    </row>
    <row r="341" spans="1:8">
      <c r="A341" s="27"/>
      <c r="C341" s="28"/>
      <c r="D341" s="28"/>
      <c r="E341" s="44"/>
      <c r="F341" s="44"/>
      <c r="G341" s="44"/>
      <c r="H341" s="44"/>
    </row>
    <row r="342" spans="1:8">
      <c r="A342" s="27"/>
      <c r="C342" s="28"/>
      <c r="D342" s="28"/>
      <c r="E342" s="44"/>
      <c r="F342" s="44"/>
      <c r="G342" s="44"/>
      <c r="H342" s="44"/>
    </row>
    <row r="343" spans="1:8">
      <c r="A343" s="27"/>
      <c r="C343" s="28"/>
      <c r="D343" s="28"/>
      <c r="E343" s="44"/>
      <c r="F343" s="44"/>
      <c r="G343" s="44"/>
      <c r="H343" s="44"/>
    </row>
    <row r="344" spans="1:8">
      <c r="A344" s="27"/>
      <c r="C344" s="28"/>
      <c r="D344" s="28"/>
      <c r="E344" s="44"/>
      <c r="F344" s="44"/>
      <c r="G344" s="44"/>
      <c r="H344" s="44"/>
    </row>
    <row r="345" spans="1:8">
      <c r="A345" s="27"/>
      <c r="C345" s="28"/>
      <c r="D345" s="28"/>
      <c r="E345" s="44"/>
      <c r="F345" s="44"/>
      <c r="G345" s="44"/>
      <c r="H345" s="44"/>
    </row>
    <row r="346" spans="1:8">
      <c r="A346" s="27"/>
      <c r="C346" s="28"/>
      <c r="D346" s="28"/>
      <c r="E346" s="44"/>
      <c r="F346" s="44"/>
      <c r="G346" s="44"/>
      <c r="H346" s="44"/>
    </row>
    <row r="347" spans="1:8">
      <c r="A347" s="27"/>
      <c r="C347" s="28"/>
      <c r="D347" s="28"/>
      <c r="E347" s="44"/>
      <c r="F347" s="44"/>
      <c r="G347" s="44"/>
      <c r="H347" s="44"/>
    </row>
    <row r="348" spans="1:8">
      <c r="A348" s="27"/>
      <c r="C348" s="28"/>
      <c r="D348" s="28"/>
      <c r="E348" s="44"/>
      <c r="F348" s="44"/>
      <c r="G348" s="44"/>
      <c r="H348" s="44"/>
    </row>
    <row r="349" spans="1:8">
      <c r="A349" s="27"/>
      <c r="C349" s="28"/>
      <c r="D349" s="28"/>
      <c r="E349" s="44"/>
      <c r="F349" s="44"/>
      <c r="G349" s="44"/>
      <c r="H349" s="44"/>
    </row>
    <row r="350" spans="1:8">
      <c r="A350" s="27"/>
      <c r="C350" s="28"/>
      <c r="D350" s="28"/>
      <c r="E350" s="44"/>
      <c r="F350" s="44"/>
      <c r="G350" s="44"/>
      <c r="H350" s="44"/>
    </row>
    <row r="351" spans="1:8">
      <c r="A351" s="27"/>
      <c r="C351" s="28"/>
      <c r="D351" s="28"/>
      <c r="E351" s="44"/>
      <c r="F351" s="44"/>
      <c r="G351" s="44"/>
      <c r="H351" s="44"/>
    </row>
    <row r="352" spans="1:8">
      <c r="A352" s="27"/>
      <c r="C352" s="28"/>
      <c r="D352" s="28"/>
      <c r="E352" s="44"/>
      <c r="F352" s="44"/>
      <c r="G352" s="44"/>
      <c r="H352" s="44"/>
    </row>
    <row r="353" spans="1:8">
      <c r="A353" s="27"/>
      <c r="C353" s="28"/>
      <c r="D353" s="28"/>
      <c r="E353" s="44"/>
      <c r="F353" s="44"/>
      <c r="G353" s="44"/>
      <c r="H353" s="44"/>
    </row>
    <row r="354" spans="1:8">
      <c r="A354" s="27"/>
      <c r="C354" s="28"/>
      <c r="D354" s="28"/>
      <c r="E354" s="44"/>
      <c r="F354" s="44"/>
      <c r="G354" s="44"/>
      <c r="H354" s="44"/>
    </row>
    <row r="355" spans="1:8">
      <c r="A355" s="27"/>
      <c r="C355" s="28"/>
      <c r="D355" s="28"/>
      <c r="E355" s="44"/>
      <c r="F355" s="44"/>
      <c r="G355" s="44"/>
      <c r="H355" s="44"/>
    </row>
    <row r="356" spans="1:8">
      <c r="A356" s="27"/>
      <c r="C356" s="28"/>
      <c r="D356" s="28"/>
      <c r="E356" s="44"/>
      <c r="F356" s="44"/>
      <c r="G356" s="44"/>
      <c r="H356" s="44"/>
    </row>
    <row r="357" spans="1:8">
      <c r="A357" s="27"/>
      <c r="C357" s="28"/>
      <c r="D357" s="28"/>
      <c r="E357" s="44"/>
      <c r="F357" s="44"/>
      <c r="G357" s="44"/>
      <c r="H357" s="44"/>
    </row>
    <row r="358" spans="1:8">
      <c r="A358" s="27"/>
      <c r="C358" s="28"/>
      <c r="D358" s="28"/>
      <c r="E358" s="44"/>
      <c r="F358" s="44"/>
      <c r="G358" s="44"/>
      <c r="H358" s="44"/>
    </row>
    <row r="359" spans="1:8">
      <c r="A359" s="27"/>
      <c r="C359" s="28"/>
      <c r="D359" s="28"/>
      <c r="E359" s="44"/>
      <c r="F359" s="44"/>
      <c r="G359" s="44"/>
      <c r="H359" s="44"/>
    </row>
    <row r="360" spans="1:8">
      <c r="A360" s="27"/>
      <c r="C360" s="28"/>
      <c r="D360" s="28"/>
      <c r="E360" s="44"/>
      <c r="F360" s="44"/>
      <c r="G360" s="44"/>
      <c r="H360" s="44"/>
    </row>
    <row r="361" spans="1:8">
      <c r="A361" s="27"/>
      <c r="C361" s="28"/>
      <c r="D361" s="28"/>
      <c r="E361" s="44"/>
      <c r="F361" s="44"/>
      <c r="G361" s="44"/>
      <c r="H361" s="44"/>
    </row>
    <row r="362" spans="1:8">
      <c r="A362" s="27"/>
      <c r="C362" s="28"/>
      <c r="D362" s="28"/>
      <c r="E362" s="44"/>
      <c r="F362" s="44"/>
      <c r="G362" s="44"/>
      <c r="H362" s="44"/>
    </row>
    <row r="363" spans="1:8">
      <c r="A363" s="27"/>
      <c r="C363" s="28"/>
      <c r="D363" s="28"/>
      <c r="E363" s="44"/>
      <c r="F363" s="44"/>
      <c r="G363" s="44"/>
      <c r="H363" s="44"/>
    </row>
    <row r="364" spans="1:8">
      <c r="A364" s="27"/>
      <c r="C364" s="28"/>
      <c r="D364" s="28"/>
      <c r="E364" s="44"/>
      <c r="F364" s="44"/>
      <c r="G364" s="44"/>
      <c r="H364" s="44"/>
    </row>
    <row r="365" spans="1:8">
      <c r="A365" s="27"/>
      <c r="C365" s="28"/>
      <c r="D365" s="28"/>
      <c r="E365" s="44"/>
      <c r="F365" s="44"/>
      <c r="G365" s="44"/>
      <c r="H365" s="44"/>
    </row>
    <row r="366" spans="1:8">
      <c r="A366" s="27"/>
      <c r="C366" s="28"/>
      <c r="D366" s="28"/>
      <c r="E366" s="44"/>
      <c r="F366" s="44"/>
      <c r="G366" s="44"/>
      <c r="H366" s="44"/>
    </row>
    <row r="367" spans="1:8">
      <c r="A367" s="27"/>
      <c r="C367" s="28"/>
      <c r="D367" s="28"/>
      <c r="E367" s="44"/>
      <c r="F367" s="44"/>
      <c r="G367" s="44"/>
      <c r="H367" s="44"/>
    </row>
    <row r="368" spans="1:8">
      <c r="A368" s="27"/>
      <c r="C368" s="28"/>
      <c r="D368" s="28"/>
      <c r="E368" s="44"/>
      <c r="F368" s="44"/>
      <c r="G368" s="44"/>
      <c r="H368" s="44"/>
    </row>
    <row r="369" spans="1:8">
      <c r="A369" s="27"/>
      <c r="C369" s="28"/>
      <c r="D369" s="28"/>
      <c r="E369" s="44"/>
      <c r="F369" s="44"/>
      <c r="G369" s="44"/>
      <c r="H369" s="44"/>
    </row>
    <row r="370" spans="1:8">
      <c r="A370" s="27"/>
      <c r="C370" s="28"/>
      <c r="D370" s="28"/>
      <c r="E370" s="44"/>
      <c r="F370" s="44"/>
      <c r="G370" s="44"/>
      <c r="H370" s="44"/>
    </row>
    <row r="371" spans="1:8">
      <c r="A371" s="27"/>
      <c r="C371" s="28"/>
      <c r="D371" s="28"/>
      <c r="E371" s="44"/>
      <c r="F371" s="44"/>
      <c r="G371" s="44"/>
      <c r="H371" s="44"/>
    </row>
    <row r="372" spans="1:8">
      <c r="A372" s="27"/>
      <c r="C372" s="28"/>
      <c r="D372" s="28"/>
      <c r="E372" s="44"/>
      <c r="F372" s="44"/>
      <c r="G372" s="44"/>
      <c r="H372" s="44"/>
    </row>
    <row r="373" spans="1:8">
      <c r="A373" s="27"/>
      <c r="C373" s="28"/>
      <c r="D373" s="28"/>
      <c r="E373" s="44"/>
      <c r="F373" s="44"/>
      <c r="G373" s="44"/>
      <c r="H373" s="44"/>
    </row>
    <row r="374" spans="1:8">
      <c r="A374" s="27"/>
      <c r="C374" s="28"/>
      <c r="D374" s="28"/>
      <c r="E374" s="44"/>
      <c r="F374" s="44"/>
      <c r="G374" s="44"/>
      <c r="H374" s="44"/>
    </row>
    <row r="375" spans="1:8">
      <c r="A375" s="27"/>
      <c r="C375" s="28"/>
      <c r="D375" s="28"/>
      <c r="E375" s="44"/>
      <c r="F375" s="44"/>
      <c r="G375" s="44"/>
      <c r="H375" s="44"/>
    </row>
    <row r="376" spans="1:8">
      <c r="A376" s="27"/>
      <c r="C376" s="28"/>
      <c r="D376" s="28"/>
      <c r="E376" s="44"/>
      <c r="F376" s="44"/>
      <c r="G376" s="44"/>
      <c r="H376" s="44"/>
    </row>
    <row r="377" spans="1:8">
      <c r="A377" s="27"/>
      <c r="C377" s="28"/>
      <c r="D377" s="28"/>
      <c r="E377" s="44"/>
      <c r="F377" s="44"/>
      <c r="G377" s="44"/>
      <c r="H377" s="44"/>
    </row>
    <row r="378" spans="1:8">
      <c r="A378" s="27"/>
      <c r="C378" s="28"/>
      <c r="D378" s="28"/>
      <c r="E378" s="44"/>
      <c r="F378" s="44"/>
      <c r="G378" s="44"/>
      <c r="H378" s="44"/>
    </row>
    <row r="379" spans="1:8">
      <c r="A379" s="27"/>
      <c r="C379" s="28"/>
      <c r="D379" s="28"/>
      <c r="E379" s="44"/>
      <c r="F379" s="44"/>
      <c r="G379" s="44"/>
      <c r="H379" s="44"/>
    </row>
    <row r="380" spans="1:8">
      <c r="A380" s="27"/>
      <c r="C380" s="28"/>
      <c r="D380" s="28"/>
      <c r="E380" s="44"/>
      <c r="F380" s="44"/>
      <c r="G380" s="44"/>
      <c r="H380" s="44"/>
    </row>
    <row r="381" spans="1:8">
      <c r="A381" s="27"/>
      <c r="C381" s="28"/>
      <c r="D381" s="28"/>
      <c r="E381" s="44"/>
      <c r="F381" s="44"/>
      <c r="G381" s="44"/>
      <c r="H381" s="44"/>
    </row>
    <row r="382" spans="1:8">
      <c r="A382" s="27"/>
      <c r="C382" s="28"/>
      <c r="D382" s="28"/>
      <c r="E382" s="44"/>
      <c r="F382" s="44"/>
      <c r="G382" s="44"/>
      <c r="H382" s="44"/>
    </row>
    <row r="383" spans="1:8">
      <c r="A383" s="27"/>
      <c r="C383" s="28"/>
      <c r="D383" s="28"/>
      <c r="E383" s="44"/>
      <c r="F383" s="44"/>
      <c r="G383" s="44"/>
      <c r="H383" s="44"/>
    </row>
    <row r="384" spans="1:8">
      <c r="A384" s="27"/>
      <c r="C384" s="28"/>
      <c r="D384" s="28"/>
      <c r="E384" s="44"/>
      <c r="F384" s="44"/>
      <c r="G384" s="44"/>
      <c r="H384" s="44"/>
    </row>
    <row r="385" spans="1:8">
      <c r="A385" s="27"/>
      <c r="C385" s="28"/>
      <c r="D385" s="28"/>
      <c r="E385" s="44"/>
      <c r="F385" s="44"/>
      <c r="G385" s="44"/>
      <c r="H385" s="44"/>
    </row>
    <row r="386" spans="1:8">
      <c r="A386" s="27"/>
      <c r="C386" s="28"/>
      <c r="D386" s="28"/>
      <c r="E386" s="44"/>
      <c r="F386" s="44"/>
      <c r="G386" s="44"/>
      <c r="H386" s="44"/>
    </row>
    <row r="387" spans="1:8">
      <c r="A387" s="27"/>
      <c r="C387" s="28"/>
      <c r="D387" s="28"/>
      <c r="E387" s="44"/>
      <c r="F387" s="44"/>
      <c r="G387" s="44"/>
      <c r="H387" s="44"/>
    </row>
    <row r="388" spans="1:8">
      <c r="A388" s="27"/>
      <c r="C388" s="28"/>
      <c r="D388" s="28"/>
      <c r="E388" s="44"/>
      <c r="F388" s="44"/>
      <c r="G388" s="44"/>
      <c r="H388" s="44"/>
    </row>
    <row r="389" spans="1:8">
      <c r="A389" s="27"/>
      <c r="C389" s="28"/>
      <c r="D389" s="28"/>
      <c r="E389" s="44"/>
      <c r="F389" s="44"/>
      <c r="G389" s="44"/>
      <c r="H389" s="44"/>
    </row>
    <row r="390" spans="1:8">
      <c r="A390" s="27"/>
      <c r="C390" s="28"/>
      <c r="D390" s="28"/>
      <c r="E390" s="44"/>
      <c r="F390" s="44"/>
      <c r="G390" s="44"/>
      <c r="H390" s="44"/>
    </row>
    <row r="391" spans="1:8">
      <c r="A391" s="27"/>
      <c r="C391" s="28"/>
      <c r="D391" s="28"/>
      <c r="E391" s="44"/>
      <c r="F391" s="44"/>
      <c r="G391" s="44"/>
      <c r="H391" s="44"/>
    </row>
    <row r="392" spans="1:8">
      <c r="A392" s="27"/>
      <c r="C392" s="28"/>
      <c r="D392" s="28"/>
      <c r="E392" s="44"/>
      <c r="F392" s="44"/>
      <c r="G392" s="44"/>
      <c r="H392" s="44"/>
    </row>
    <row r="393" spans="1:8">
      <c r="A393" s="27"/>
      <c r="C393" s="28"/>
      <c r="D393" s="28"/>
      <c r="E393" s="44"/>
      <c r="F393" s="44"/>
      <c r="G393" s="44"/>
      <c r="H393" s="44"/>
    </row>
    <row r="394" spans="1:8">
      <c r="A394" s="27"/>
      <c r="C394" s="28"/>
      <c r="D394" s="28"/>
      <c r="E394" s="44"/>
      <c r="F394" s="44"/>
      <c r="G394" s="44"/>
      <c r="H394" s="44"/>
    </row>
    <row r="395" spans="1:8">
      <c r="A395" s="27"/>
      <c r="C395" s="28"/>
      <c r="D395" s="28"/>
      <c r="E395" s="44"/>
      <c r="F395" s="44"/>
      <c r="G395" s="44"/>
      <c r="H395" s="44"/>
    </row>
    <row r="396" spans="1:8">
      <c r="A396" s="27"/>
      <c r="C396" s="28"/>
      <c r="D396" s="28"/>
      <c r="E396" s="44"/>
      <c r="F396" s="44"/>
      <c r="G396" s="44"/>
      <c r="H396" s="44"/>
    </row>
    <row r="397" spans="1:8">
      <c r="A397" s="27"/>
      <c r="C397" s="28"/>
      <c r="D397" s="28"/>
      <c r="E397" s="44"/>
      <c r="F397" s="44"/>
      <c r="G397" s="44"/>
      <c r="H397" s="44"/>
    </row>
    <row r="398" spans="1:8">
      <c r="A398" s="27"/>
      <c r="C398" s="28"/>
      <c r="D398" s="28"/>
      <c r="E398" s="44"/>
      <c r="F398" s="44"/>
      <c r="G398" s="44"/>
      <c r="H398" s="44"/>
    </row>
    <row r="399" spans="1:8">
      <c r="A399" s="27"/>
      <c r="C399" s="28"/>
      <c r="D399" s="28"/>
      <c r="E399" s="44"/>
      <c r="F399" s="44"/>
      <c r="G399" s="44"/>
      <c r="H399" s="44"/>
    </row>
    <row r="400" spans="1:8">
      <c r="A400" s="27"/>
      <c r="C400" s="28"/>
      <c r="D400" s="28"/>
      <c r="E400" s="44"/>
      <c r="F400" s="44"/>
      <c r="G400" s="44"/>
      <c r="H400" s="44"/>
    </row>
    <row r="401" spans="1:8">
      <c r="A401" s="27"/>
      <c r="C401" s="28"/>
      <c r="D401" s="28"/>
      <c r="E401" s="44"/>
      <c r="F401" s="44"/>
      <c r="G401" s="44"/>
      <c r="H401" s="44"/>
    </row>
    <row r="402" spans="1:8">
      <c r="A402" s="27"/>
      <c r="C402" s="28"/>
      <c r="D402" s="28"/>
      <c r="E402" s="44"/>
      <c r="F402" s="44"/>
      <c r="G402" s="44"/>
      <c r="H402" s="44"/>
    </row>
    <row r="403" spans="1:8">
      <c r="A403" s="27"/>
      <c r="C403" s="28"/>
      <c r="D403" s="28"/>
      <c r="E403" s="44"/>
      <c r="F403" s="44"/>
      <c r="G403" s="44"/>
      <c r="H403" s="44"/>
    </row>
    <row r="404" spans="1:8">
      <c r="A404" s="27"/>
      <c r="C404" s="28"/>
      <c r="D404" s="28"/>
      <c r="E404" s="44"/>
      <c r="F404" s="44"/>
      <c r="G404" s="44"/>
      <c r="H404" s="44"/>
    </row>
    <row r="405" spans="1:8">
      <c r="A405" s="27"/>
      <c r="C405" s="28"/>
      <c r="D405" s="28"/>
      <c r="E405" s="44"/>
      <c r="F405" s="44"/>
      <c r="G405" s="44"/>
      <c r="H405" s="44"/>
    </row>
    <row r="406" spans="1:8">
      <c r="A406" s="27"/>
      <c r="C406" s="28"/>
      <c r="D406" s="28"/>
      <c r="E406" s="44"/>
      <c r="F406" s="44"/>
      <c r="G406" s="44"/>
      <c r="H406" s="44"/>
    </row>
    <row r="407" spans="1:8">
      <c r="A407" s="27"/>
      <c r="C407" s="28"/>
      <c r="D407" s="28"/>
      <c r="E407" s="44"/>
      <c r="F407" s="44"/>
      <c r="G407" s="44"/>
      <c r="H407" s="44"/>
    </row>
    <row r="408" spans="1:8">
      <c r="A408" s="27"/>
      <c r="C408" s="28"/>
      <c r="D408" s="28"/>
      <c r="E408" s="44"/>
      <c r="F408" s="44"/>
      <c r="G408" s="44"/>
      <c r="H408" s="44"/>
    </row>
    <row r="409" spans="1:8">
      <c r="A409" s="27"/>
      <c r="C409" s="28"/>
      <c r="D409" s="28"/>
      <c r="E409" s="44"/>
      <c r="F409" s="44"/>
      <c r="G409" s="44"/>
      <c r="H409" s="44"/>
    </row>
    <row r="410" spans="1:8">
      <c r="A410" s="27"/>
      <c r="C410" s="28"/>
      <c r="D410" s="28"/>
      <c r="E410" s="44"/>
      <c r="F410" s="44"/>
      <c r="G410" s="44"/>
      <c r="H410" s="44"/>
    </row>
    <row r="411" spans="1:8">
      <c r="A411" s="27"/>
      <c r="C411" s="28"/>
      <c r="D411" s="28"/>
      <c r="E411" s="44"/>
      <c r="F411" s="44"/>
      <c r="G411" s="44"/>
      <c r="H411" s="44"/>
    </row>
    <row r="412" spans="1:8">
      <c r="A412" s="27"/>
      <c r="C412" s="28"/>
      <c r="D412" s="28"/>
      <c r="E412" s="44"/>
      <c r="F412" s="44"/>
      <c r="G412" s="44"/>
      <c r="H412" s="44"/>
    </row>
    <row r="413" spans="1:8">
      <c r="A413" s="27"/>
      <c r="C413" s="28"/>
      <c r="D413" s="28"/>
      <c r="E413" s="44"/>
      <c r="F413" s="44"/>
      <c r="G413" s="44"/>
      <c r="H413" s="44"/>
    </row>
    <row r="414" spans="1:8">
      <c r="A414" s="27"/>
      <c r="C414" s="28"/>
      <c r="D414" s="28"/>
      <c r="E414" s="44"/>
      <c r="F414" s="44"/>
      <c r="G414" s="44"/>
      <c r="H414" s="44"/>
    </row>
    <row r="415" spans="1:8">
      <c r="A415" s="27"/>
      <c r="C415" s="28"/>
      <c r="D415" s="28"/>
      <c r="E415" s="44"/>
      <c r="F415" s="44"/>
      <c r="G415" s="44"/>
      <c r="H415" s="44"/>
    </row>
    <row r="416" spans="1:8">
      <c r="A416" s="27"/>
      <c r="C416" s="28"/>
      <c r="D416" s="28"/>
      <c r="E416" s="44"/>
      <c r="F416" s="44"/>
      <c r="G416" s="44"/>
      <c r="H416" s="44"/>
    </row>
    <row r="417" spans="1:8">
      <c r="A417" s="27"/>
      <c r="C417" s="28"/>
      <c r="D417" s="28"/>
      <c r="E417" s="44"/>
      <c r="F417" s="44"/>
      <c r="G417" s="44"/>
      <c r="H417" s="44"/>
    </row>
    <row r="418" spans="1:8">
      <c r="A418" s="27"/>
      <c r="C418" s="28"/>
      <c r="D418" s="28"/>
      <c r="E418" s="44"/>
      <c r="F418" s="44"/>
      <c r="G418" s="44"/>
      <c r="H418" s="44"/>
    </row>
    <row r="419" spans="1:8">
      <c r="A419" s="27"/>
      <c r="C419" s="28"/>
      <c r="D419" s="28"/>
      <c r="E419" s="44"/>
      <c r="F419" s="44"/>
      <c r="G419" s="44"/>
      <c r="H419" s="44"/>
    </row>
    <row r="420" spans="1:8">
      <c r="A420" s="27"/>
      <c r="C420" s="28"/>
      <c r="D420" s="28"/>
      <c r="E420" s="44"/>
      <c r="F420" s="44"/>
      <c r="G420" s="44"/>
      <c r="H420" s="44"/>
    </row>
    <row r="421" spans="1:8">
      <c r="A421" s="27"/>
      <c r="C421" s="28"/>
      <c r="D421" s="28"/>
      <c r="E421" s="44"/>
      <c r="F421" s="44"/>
      <c r="G421" s="44"/>
      <c r="H421" s="44"/>
    </row>
    <row r="422" spans="1:8">
      <c r="A422" s="27"/>
      <c r="C422" s="28"/>
      <c r="D422" s="28"/>
      <c r="E422" s="44"/>
      <c r="F422" s="44"/>
      <c r="G422" s="44"/>
      <c r="H422" s="44"/>
    </row>
    <row r="423" spans="1:8">
      <c r="A423" s="27"/>
      <c r="C423" s="28"/>
      <c r="D423" s="28"/>
      <c r="E423" s="44"/>
      <c r="F423" s="44"/>
      <c r="G423" s="44"/>
      <c r="H423" s="44"/>
    </row>
    <row r="424" spans="1:8">
      <c r="A424" s="27"/>
      <c r="C424" s="28"/>
      <c r="D424" s="28"/>
      <c r="E424" s="44"/>
      <c r="F424" s="44"/>
      <c r="G424" s="44"/>
      <c r="H424" s="44"/>
    </row>
    <row r="425" spans="1:8">
      <c r="A425" s="27"/>
      <c r="C425" s="28"/>
      <c r="D425" s="28"/>
      <c r="E425" s="44"/>
      <c r="F425" s="44"/>
      <c r="G425" s="44"/>
      <c r="H425" s="44"/>
    </row>
    <row r="426" spans="1:8">
      <c r="A426" s="27"/>
      <c r="C426" s="28"/>
      <c r="D426" s="28"/>
      <c r="E426" s="44"/>
      <c r="F426" s="44"/>
      <c r="G426" s="44"/>
      <c r="H426" s="44"/>
    </row>
    <row r="427" spans="1:8">
      <c r="A427" s="27"/>
      <c r="C427" s="28"/>
      <c r="D427" s="28"/>
      <c r="E427" s="44"/>
      <c r="F427" s="44"/>
      <c r="G427" s="44"/>
      <c r="H427" s="44"/>
    </row>
    <row r="428" spans="1:8">
      <c r="A428" s="27"/>
      <c r="C428" s="28"/>
      <c r="D428" s="28"/>
      <c r="E428" s="44"/>
      <c r="F428" s="44"/>
      <c r="G428" s="44"/>
      <c r="H428" s="44"/>
    </row>
    <row r="429" spans="1:8">
      <c r="A429" s="27"/>
      <c r="C429" s="28"/>
      <c r="D429" s="28"/>
      <c r="E429" s="44"/>
      <c r="F429" s="44"/>
      <c r="G429" s="44"/>
      <c r="H429" s="44"/>
    </row>
    <row r="430" spans="1:8">
      <c r="A430" s="27"/>
      <c r="C430" s="28"/>
      <c r="D430" s="28"/>
      <c r="E430" s="44"/>
      <c r="F430" s="44"/>
      <c r="G430" s="44"/>
      <c r="H430" s="44"/>
    </row>
    <row r="431" spans="1:8">
      <c r="A431" s="27"/>
      <c r="C431" s="28"/>
      <c r="D431" s="28"/>
      <c r="E431" s="44"/>
      <c r="F431" s="44"/>
      <c r="G431" s="44"/>
      <c r="H431" s="44"/>
    </row>
    <row r="432" spans="1:8">
      <c r="A432" s="27"/>
      <c r="C432" s="28"/>
      <c r="D432" s="28"/>
      <c r="E432" s="44"/>
      <c r="F432" s="44"/>
      <c r="G432" s="44"/>
      <c r="H432" s="44"/>
    </row>
    <row r="433" spans="1:8">
      <c r="A433" s="27"/>
      <c r="C433" s="28"/>
      <c r="D433" s="28"/>
      <c r="E433" s="44"/>
      <c r="F433" s="44"/>
      <c r="G433" s="44"/>
      <c r="H433" s="44"/>
    </row>
    <row r="434" spans="1:8">
      <c r="A434" s="27"/>
      <c r="C434" s="28"/>
      <c r="D434" s="28"/>
      <c r="E434" s="44"/>
      <c r="F434" s="44"/>
      <c r="G434" s="44"/>
      <c r="H434" s="44"/>
    </row>
    <row r="435" spans="1:8">
      <c r="A435" s="27"/>
      <c r="C435" s="28"/>
      <c r="D435" s="28"/>
      <c r="E435" s="44"/>
      <c r="F435" s="44"/>
      <c r="G435" s="44"/>
      <c r="H435" s="44"/>
    </row>
    <row r="436" spans="1:8">
      <c r="A436" s="27"/>
      <c r="C436" s="28"/>
      <c r="D436" s="28"/>
      <c r="E436" s="44"/>
      <c r="F436" s="44"/>
      <c r="G436" s="44"/>
      <c r="H436" s="44"/>
    </row>
    <row r="437" spans="1:8">
      <c r="A437" s="27"/>
      <c r="C437" s="28"/>
      <c r="D437" s="28"/>
      <c r="E437" s="44"/>
      <c r="F437" s="44"/>
      <c r="G437" s="44"/>
      <c r="H437" s="44"/>
    </row>
    <row r="438" spans="1:8">
      <c r="A438" s="27"/>
      <c r="C438" s="28"/>
      <c r="D438" s="28"/>
      <c r="E438" s="44"/>
      <c r="F438" s="44"/>
      <c r="G438" s="44"/>
      <c r="H438" s="44"/>
    </row>
    <row r="439" spans="1:8">
      <c r="A439" s="27"/>
      <c r="C439" s="28"/>
      <c r="D439" s="28"/>
      <c r="E439" s="44"/>
      <c r="F439" s="44"/>
      <c r="G439" s="44"/>
      <c r="H439" s="44"/>
    </row>
    <row r="440" spans="1:8">
      <c r="A440" s="27"/>
      <c r="C440" s="28"/>
      <c r="D440" s="28"/>
      <c r="E440" s="44"/>
      <c r="F440" s="44"/>
      <c r="G440" s="44"/>
      <c r="H440" s="44"/>
    </row>
    <row r="441" spans="1:8">
      <c r="A441" s="27"/>
      <c r="C441" s="28"/>
      <c r="D441" s="28"/>
      <c r="E441" s="44"/>
      <c r="F441" s="44"/>
      <c r="G441" s="44"/>
      <c r="H441" s="44"/>
    </row>
    <row r="442" spans="1:8">
      <c r="A442" s="27"/>
      <c r="C442" s="28"/>
      <c r="D442" s="28"/>
      <c r="E442" s="44"/>
      <c r="F442" s="44"/>
      <c r="G442" s="44"/>
      <c r="H442" s="44"/>
    </row>
    <row r="443" spans="1:8">
      <c r="A443" s="27"/>
      <c r="C443" s="28"/>
      <c r="D443" s="28"/>
      <c r="E443" s="44"/>
      <c r="F443" s="44"/>
      <c r="G443" s="44"/>
      <c r="H443" s="44"/>
    </row>
    <row r="444" spans="1:8">
      <c r="A444" s="27"/>
      <c r="C444" s="28"/>
      <c r="D444" s="28"/>
      <c r="E444" s="44"/>
      <c r="F444" s="44"/>
      <c r="G444" s="44"/>
      <c r="H444" s="44"/>
    </row>
    <row r="445" spans="1:8">
      <c r="A445" s="27"/>
      <c r="C445" s="28"/>
      <c r="D445" s="28"/>
      <c r="E445" s="44"/>
      <c r="F445" s="44"/>
      <c r="G445" s="44"/>
      <c r="H445" s="44"/>
    </row>
    <row r="446" spans="1:8">
      <c r="A446" s="27"/>
      <c r="C446" s="28"/>
      <c r="D446" s="28"/>
      <c r="E446" s="44"/>
      <c r="F446" s="44"/>
      <c r="G446" s="44"/>
      <c r="H446" s="44"/>
    </row>
    <row r="447" spans="1:8">
      <c r="A447" s="27"/>
      <c r="C447" s="28"/>
      <c r="D447" s="28"/>
      <c r="E447" s="44"/>
      <c r="F447" s="44"/>
      <c r="G447" s="44"/>
      <c r="H447" s="44"/>
    </row>
    <row r="448" spans="1:8">
      <c r="A448" s="27"/>
      <c r="C448" s="28"/>
      <c r="D448" s="28"/>
      <c r="E448" s="44"/>
      <c r="F448" s="44"/>
      <c r="G448" s="44"/>
      <c r="H448" s="44"/>
    </row>
    <row r="449" spans="1:8">
      <c r="A449" s="27"/>
      <c r="C449" s="28"/>
      <c r="D449" s="28"/>
      <c r="E449" s="44"/>
      <c r="F449" s="44"/>
      <c r="G449" s="44"/>
      <c r="H449" s="44"/>
    </row>
    <row r="450" spans="1:8">
      <c r="A450" s="27"/>
      <c r="C450" s="28"/>
      <c r="D450" s="28"/>
      <c r="E450" s="44"/>
      <c r="F450" s="44"/>
      <c r="G450" s="44"/>
      <c r="H450" s="44"/>
    </row>
    <row r="451" spans="1:8">
      <c r="A451" s="27"/>
      <c r="C451" s="28"/>
      <c r="D451" s="28"/>
      <c r="E451" s="44"/>
      <c r="F451" s="44"/>
      <c r="G451" s="44"/>
      <c r="H451" s="44"/>
    </row>
    <row r="452" spans="1:8">
      <c r="A452" s="27"/>
      <c r="C452" s="28"/>
      <c r="D452" s="28"/>
      <c r="E452" s="44"/>
      <c r="F452" s="44"/>
      <c r="G452" s="44"/>
      <c r="H452" s="44"/>
    </row>
    <row r="453" spans="1:8">
      <c r="A453" s="27"/>
      <c r="C453" s="28"/>
      <c r="D453" s="28"/>
      <c r="E453" s="44"/>
      <c r="F453" s="44"/>
      <c r="G453" s="44"/>
      <c r="H453" s="44"/>
    </row>
    <row r="454" spans="1:8">
      <c r="A454" s="27"/>
      <c r="C454" s="28"/>
      <c r="D454" s="28"/>
      <c r="E454" s="44"/>
      <c r="F454" s="44"/>
      <c r="G454" s="44"/>
      <c r="H454" s="44"/>
    </row>
    <row r="455" spans="1:8">
      <c r="A455" s="27"/>
      <c r="C455" s="28"/>
      <c r="D455" s="28"/>
      <c r="E455" s="44"/>
      <c r="F455" s="44"/>
      <c r="G455" s="44"/>
      <c r="H455" s="44"/>
    </row>
    <row r="456" spans="1:8">
      <c r="A456" s="27"/>
      <c r="C456" s="28"/>
      <c r="D456" s="28"/>
      <c r="E456" s="44"/>
      <c r="F456" s="44"/>
      <c r="G456" s="44"/>
      <c r="H456" s="44"/>
    </row>
    <row r="457" spans="1:8">
      <c r="A457" s="27"/>
      <c r="C457" s="28"/>
      <c r="D457" s="28"/>
      <c r="E457" s="44"/>
      <c r="F457" s="44"/>
      <c r="G457" s="44"/>
      <c r="H457" s="44"/>
    </row>
    <row r="458" spans="1:8">
      <c r="A458" s="27"/>
      <c r="C458" s="28"/>
      <c r="D458" s="28"/>
      <c r="E458" s="44"/>
      <c r="F458" s="44"/>
      <c r="G458" s="44"/>
      <c r="H458" s="44"/>
    </row>
    <row r="459" spans="1:8">
      <c r="A459" s="27"/>
      <c r="C459" s="28"/>
      <c r="D459" s="28"/>
      <c r="E459" s="44"/>
      <c r="F459" s="44"/>
      <c r="G459" s="44"/>
      <c r="H459" s="44"/>
    </row>
    <row r="460" spans="1:8">
      <c r="A460" s="27"/>
      <c r="C460" s="28"/>
      <c r="D460" s="28"/>
      <c r="E460" s="44"/>
      <c r="F460" s="44"/>
      <c r="G460" s="44"/>
      <c r="H460" s="44"/>
    </row>
    <row r="461" spans="1:8">
      <c r="A461" s="27"/>
      <c r="C461" s="28"/>
      <c r="D461" s="28"/>
      <c r="E461" s="44"/>
      <c r="F461" s="44"/>
      <c r="G461" s="44"/>
      <c r="H461" s="44"/>
    </row>
    <row r="462" spans="1:8">
      <c r="A462" s="27"/>
      <c r="C462" s="28"/>
      <c r="D462" s="28"/>
      <c r="E462" s="44"/>
      <c r="F462" s="44"/>
      <c r="G462" s="44"/>
      <c r="H462" s="44"/>
    </row>
    <row r="463" spans="1:8">
      <c r="A463" s="27"/>
      <c r="C463" s="28"/>
      <c r="D463" s="28"/>
      <c r="E463" s="44"/>
      <c r="F463" s="44"/>
      <c r="G463" s="44"/>
      <c r="H463" s="44"/>
    </row>
    <row r="464" spans="1:8">
      <c r="A464" s="27"/>
      <c r="C464" s="28"/>
      <c r="D464" s="28"/>
      <c r="E464" s="44"/>
      <c r="F464" s="44"/>
      <c r="G464" s="44"/>
      <c r="H464" s="44"/>
    </row>
    <row r="465" spans="1:8">
      <c r="A465" s="27"/>
      <c r="C465" s="28"/>
      <c r="D465" s="28"/>
      <c r="E465" s="44"/>
      <c r="F465" s="44"/>
      <c r="G465" s="44"/>
      <c r="H465" s="44"/>
    </row>
    <row r="466" spans="1:8">
      <c r="A466" s="27"/>
      <c r="C466" s="28"/>
      <c r="D466" s="28"/>
      <c r="E466" s="44"/>
      <c r="F466" s="44"/>
      <c r="G466" s="44"/>
      <c r="H466" s="44"/>
    </row>
    <row r="467" spans="1:8">
      <c r="A467" s="27"/>
      <c r="C467" s="28"/>
      <c r="D467" s="28"/>
      <c r="E467" s="44"/>
      <c r="F467" s="44"/>
      <c r="G467" s="44"/>
      <c r="H467" s="44"/>
    </row>
    <row r="468" spans="1:8">
      <c r="A468" s="27"/>
      <c r="C468" s="28"/>
      <c r="D468" s="28"/>
      <c r="E468" s="44"/>
      <c r="F468" s="44"/>
      <c r="G468" s="44"/>
      <c r="H468" s="44"/>
    </row>
    <row r="469" spans="1:8">
      <c r="A469" s="27"/>
      <c r="C469" s="28"/>
      <c r="D469" s="28"/>
      <c r="E469" s="44"/>
      <c r="F469" s="44"/>
      <c r="G469" s="44"/>
      <c r="H469" s="44"/>
    </row>
    <row r="470" spans="1:8">
      <c r="A470" s="27"/>
      <c r="C470" s="28"/>
      <c r="D470" s="28"/>
      <c r="E470" s="44"/>
      <c r="F470" s="44"/>
      <c r="G470" s="44"/>
      <c r="H470" s="44"/>
    </row>
    <row r="471" spans="1:8">
      <c r="A471" s="27"/>
      <c r="C471" s="28"/>
      <c r="D471" s="28"/>
      <c r="E471" s="44"/>
      <c r="F471" s="44"/>
      <c r="G471" s="44"/>
      <c r="H471" s="44"/>
    </row>
    <row r="472" spans="1:8">
      <c r="A472" s="27"/>
      <c r="C472" s="28"/>
      <c r="D472" s="28"/>
      <c r="E472" s="44"/>
      <c r="F472" s="44"/>
      <c r="G472" s="44"/>
      <c r="H472" s="44"/>
    </row>
    <row r="473" spans="1:8">
      <c r="A473" s="27"/>
      <c r="C473" s="28"/>
      <c r="D473" s="28"/>
      <c r="E473" s="44"/>
      <c r="F473" s="44"/>
      <c r="G473" s="44"/>
      <c r="H473" s="44"/>
    </row>
    <row r="474" spans="1:8">
      <c r="A474" s="27"/>
      <c r="C474" s="28"/>
      <c r="D474" s="28"/>
      <c r="E474" s="44"/>
      <c r="F474" s="44"/>
      <c r="G474" s="44"/>
      <c r="H474" s="44"/>
    </row>
    <row r="475" spans="1:8">
      <c r="A475" s="27"/>
      <c r="C475" s="28"/>
      <c r="D475" s="28"/>
      <c r="E475" s="44"/>
      <c r="F475" s="44"/>
      <c r="G475" s="44"/>
      <c r="H475" s="44"/>
    </row>
    <row r="476" spans="1:8">
      <c r="A476" s="27"/>
      <c r="C476" s="28"/>
      <c r="D476" s="28"/>
      <c r="E476" s="44"/>
      <c r="F476" s="44"/>
      <c r="G476" s="44"/>
      <c r="H476" s="44"/>
    </row>
    <row r="477" spans="1:8">
      <c r="A477" s="27"/>
      <c r="C477" s="28"/>
      <c r="D477" s="28"/>
      <c r="E477" s="44"/>
      <c r="F477" s="44"/>
      <c r="G477" s="44"/>
      <c r="H477" s="44"/>
    </row>
    <row r="478" spans="1:8">
      <c r="A478" s="27"/>
      <c r="C478" s="28"/>
      <c r="D478" s="28"/>
      <c r="E478" s="44"/>
      <c r="F478" s="44"/>
      <c r="G478" s="44"/>
      <c r="H478" s="44"/>
    </row>
    <row r="479" spans="1:8">
      <c r="A479" s="27"/>
      <c r="C479" s="28"/>
      <c r="D479" s="28"/>
      <c r="E479" s="44"/>
      <c r="F479" s="44"/>
      <c r="G479" s="44"/>
      <c r="H479" s="44"/>
    </row>
    <row r="480" spans="1:8">
      <c r="A480" s="27"/>
      <c r="C480" s="28"/>
      <c r="D480" s="28"/>
      <c r="E480" s="44"/>
      <c r="F480" s="44"/>
      <c r="G480" s="44"/>
      <c r="H480" s="44"/>
    </row>
    <row r="481" spans="1:8">
      <c r="A481" s="27"/>
      <c r="C481" s="28"/>
      <c r="D481" s="28"/>
      <c r="E481" s="44"/>
      <c r="F481" s="44"/>
      <c r="G481" s="44"/>
      <c r="H481" s="44"/>
    </row>
    <row r="482" spans="1:8">
      <c r="A482" s="27"/>
      <c r="C482" s="28"/>
      <c r="D482" s="28"/>
      <c r="E482" s="44"/>
      <c r="F482" s="44"/>
      <c r="G482" s="44"/>
      <c r="H482" s="44"/>
    </row>
    <row r="483" spans="1:8">
      <c r="A483" s="27"/>
      <c r="C483" s="28"/>
      <c r="D483" s="28"/>
      <c r="E483" s="44"/>
      <c r="F483" s="44"/>
      <c r="G483" s="44"/>
      <c r="H483" s="44"/>
    </row>
    <row r="484" spans="1:8">
      <c r="A484" s="27"/>
      <c r="C484" s="28"/>
      <c r="D484" s="28"/>
      <c r="E484" s="44"/>
      <c r="F484" s="44"/>
      <c r="G484" s="44"/>
      <c r="H484" s="44"/>
    </row>
    <row r="485" spans="1:8">
      <c r="A485" s="27"/>
      <c r="C485" s="28"/>
      <c r="D485" s="28"/>
      <c r="E485" s="44"/>
      <c r="F485" s="44"/>
      <c r="G485" s="44"/>
      <c r="H485" s="44"/>
    </row>
    <row r="486" spans="1:8">
      <c r="A486" s="27"/>
      <c r="C486" s="28"/>
      <c r="D486" s="28"/>
      <c r="E486" s="44"/>
      <c r="F486" s="44"/>
      <c r="G486" s="44"/>
      <c r="H486" s="44"/>
    </row>
    <row r="487" spans="1:8">
      <c r="A487" s="27"/>
      <c r="C487" s="28"/>
      <c r="D487" s="28"/>
      <c r="E487" s="44"/>
      <c r="F487" s="44"/>
      <c r="G487" s="44"/>
      <c r="H487" s="44"/>
    </row>
    <row r="488" spans="1:8">
      <c r="A488" s="27"/>
      <c r="C488" s="28"/>
      <c r="D488" s="28"/>
      <c r="E488" s="44"/>
      <c r="F488" s="44"/>
      <c r="G488" s="44"/>
      <c r="H488" s="44"/>
    </row>
    <row r="489" spans="1:8">
      <c r="A489" s="27"/>
      <c r="C489" s="28"/>
      <c r="D489" s="28"/>
      <c r="E489" s="44"/>
      <c r="F489" s="44"/>
      <c r="G489" s="44"/>
      <c r="H489" s="44"/>
    </row>
    <row r="490" spans="1:8">
      <c r="A490" s="27"/>
      <c r="C490" s="28"/>
      <c r="D490" s="28"/>
      <c r="E490" s="44"/>
      <c r="F490" s="44"/>
      <c r="G490" s="44"/>
      <c r="H490" s="44"/>
    </row>
    <row r="491" spans="1:8">
      <c r="A491" s="27"/>
      <c r="C491" s="28"/>
      <c r="D491" s="28"/>
      <c r="E491" s="44"/>
      <c r="F491" s="44"/>
      <c r="G491" s="44"/>
      <c r="H491" s="44"/>
    </row>
    <row r="492" spans="1:8">
      <c r="A492" s="27"/>
      <c r="C492" s="28"/>
      <c r="D492" s="28"/>
      <c r="E492" s="44"/>
      <c r="F492" s="44"/>
      <c r="G492" s="44"/>
      <c r="H492" s="44"/>
    </row>
    <row r="493" spans="1:8">
      <c r="A493" s="27"/>
      <c r="C493" s="28"/>
      <c r="D493" s="28"/>
      <c r="E493" s="44"/>
      <c r="F493" s="44"/>
      <c r="G493" s="44"/>
      <c r="H493" s="44"/>
    </row>
    <row r="494" spans="1:8">
      <c r="A494" s="27"/>
      <c r="C494" s="28"/>
      <c r="D494" s="28"/>
      <c r="E494" s="44"/>
      <c r="F494" s="44"/>
      <c r="G494" s="44"/>
      <c r="H494" s="44"/>
    </row>
    <row r="495" spans="1:8">
      <c r="A495" s="27"/>
      <c r="C495" s="28"/>
      <c r="D495" s="28"/>
      <c r="E495" s="44"/>
      <c r="F495" s="44"/>
      <c r="G495" s="44"/>
      <c r="H495" s="44"/>
    </row>
    <row r="496" spans="1:8">
      <c r="A496" s="27"/>
      <c r="C496" s="28"/>
      <c r="D496" s="28"/>
      <c r="E496" s="44"/>
      <c r="F496" s="44"/>
      <c r="G496" s="44"/>
      <c r="H496" s="44"/>
    </row>
    <row r="497" spans="1:8">
      <c r="A497" s="27"/>
      <c r="C497" s="28"/>
      <c r="D497" s="28"/>
      <c r="E497" s="44"/>
      <c r="F497" s="44"/>
      <c r="G497" s="44"/>
      <c r="H497" s="44"/>
    </row>
    <row r="498" spans="1:8">
      <c r="A498" s="27"/>
      <c r="C498" s="28"/>
      <c r="D498" s="28"/>
      <c r="E498" s="44"/>
      <c r="F498" s="44"/>
      <c r="G498" s="44"/>
      <c r="H498" s="44"/>
    </row>
    <row r="499" spans="1:8">
      <c r="A499" s="27"/>
      <c r="C499" s="28"/>
      <c r="D499" s="28"/>
      <c r="E499" s="44"/>
      <c r="F499" s="44"/>
      <c r="G499" s="44"/>
      <c r="H499" s="44"/>
    </row>
    <row r="500" spans="1:8">
      <c r="A500" s="27"/>
      <c r="C500" s="28"/>
      <c r="D500" s="28"/>
      <c r="E500" s="44"/>
      <c r="F500" s="44"/>
      <c r="G500" s="44"/>
      <c r="H500" s="44"/>
    </row>
    <row r="501" spans="1:8">
      <c r="A501" s="27"/>
      <c r="C501" s="28"/>
      <c r="D501" s="28"/>
      <c r="E501" s="44"/>
      <c r="F501" s="44"/>
      <c r="G501" s="44"/>
      <c r="H501" s="44"/>
    </row>
    <row r="502" spans="1:8">
      <c r="A502" s="27"/>
      <c r="C502" s="28"/>
      <c r="D502" s="28"/>
      <c r="E502" s="44"/>
      <c r="F502" s="44"/>
      <c r="G502" s="44"/>
      <c r="H502" s="44"/>
    </row>
    <row r="503" spans="1:8">
      <c r="A503" s="27"/>
      <c r="C503" s="28"/>
      <c r="D503" s="28"/>
      <c r="E503" s="44"/>
      <c r="F503" s="44"/>
      <c r="G503" s="44"/>
      <c r="H503" s="44"/>
    </row>
    <row r="504" spans="1:8">
      <c r="A504" s="27"/>
      <c r="C504" s="28"/>
      <c r="D504" s="28"/>
      <c r="E504" s="44"/>
      <c r="F504" s="44"/>
      <c r="G504" s="44"/>
      <c r="H504" s="44"/>
    </row>
    <row r="505" spans="1:8">
      <c r="A505" s="27"/>
      <c r="C505" s="28"/>
      <c r="D505" s="28"/>
      <c r="E505" s="44"/>
      <c r="F505" s="44"/>
      <c r="G505" s="44"/>
      <c r="H505" s="44"/>
    </row>
    <row r="506" spans="1:8">
      <c r="A506" s="27"/>
      <c r="C506" s="28"/>
      <c r="D506" s="28"/>
      <c r="E506" s="44"/>
      <c r="F506" s="44"/>
      <c r="G506" s="44"/>
      <c r="H506" s="44"/>
    </row>
    <row r="507" spans="1:8">
      <c r="A507" s="27"/>
      <c r="C507" s="28"/>
      <c r="D507" s="28"/>
      <c r="E507" s="44"/>
      <c r="F507" s="44"/>
      <c r="G507" s="44"/>
      <c r="H507" s="44"/>
    </row>
    <row r="508" spans="1:8">
      <c r="A508" s="27"/>
      <c r="C508" s="28"/>
      <c r="D508" s="28"/>
      <c r="E508" s="44"/>
      <c r="F508" s="44"/>
      <c r="G508" s="44"/>
      <c r="H508" s="44"/>
    </row>
    <row r="509" spans="1:8">
      <c r="A509" s="27"/>
      <c r="C509" s="28"/>
      <c r="D509" s="28"/>
      <c r="E509" s="44"/>
      <c r="F509" s="44"/>
      <c r="G509" s="44"/>
      <c r="H509" s="44"/>
    </row>
    <row r="510" spans="1:8">
      <c r="A510" s="27"/>
      <c r="C510" s="28"/>
      <c r="D510" s="28"/>
      <c r="E510" s="44"/>
      <c r="F510" s="44"/>
      <c r="G510" s="44"/>
      <c r="H510" s="44"/>
    </row>
    <row r="511" spans="1:8">
      <c r="A511" s="27"/>
      <c r="C511" s="28"/>
      <c r="D511" s="28"/>
      <c r="E511" s="44"/>
      <c r="F511" s="44"/>
      <c r="G511" s="44"/>
      <c r="H511" s="44"/>
    </row>
    <row r="512" spans="1:8">
      <c r="A512" s="27"/>
      <c r="C512" s="28"/>
      <c r="D512" s="28"/>
      <c r="E512" s="44"/>
      <c r="F512" s="44"/>
      <c r="G512" s="44"/>
      <c r="H512" s="44"/>
    </row>
    <row r="513" spans="1:8">
      <c r="A513" s="27"/>
      <c r="C513" s="28"/>
      <c r="D513" s="28"/>
      <c r="E513" s="44"/>
      <c r="F513" s="44"/>
      <c r="G513" s="44"/>
      <c r="H513" s="44"/>
    </row>
    <row r="514" spans="1:8">
      <c r="A514" s="27"/>
      <c r="C514" s="28"/>
      <c r="D514" s="28"/>
      <c r="E514" s="44"/>
      <c r="F514" s="44"/>
      <c r="G514" s="44"/>
      <c r="H514" s="44"/>
    </row>
    <row r="515" spans="1:8">
      <c r="A515" s="27"/>
      <c r="C515" s="28"/>
      <c r="D515" s="28"/>
      <c r="E515" s="44"/>
      <c r="F515" s="44"/>
      <c r="G515" s="44"/>
      <c r="H515" s="44"/>
    </row>
    <row r="516" spans="1:8">
      <c r="A516" s="27"/>
      <c r="C516" s="28"/>
      <c r="D516" s="28"/>
      <c r="E516" s="44"/>
      <c r="F516" s="44"/>
      <c r="G516" s="44"/>
      <c r="H516" s="44"/>
    </row>
    <row r="517" spans="1:8">
      <c r="A517" s="27"/>
      <c r="C517" s="28"/>
      <c r="D517" s="28"/>
      <c r="E517" s="44"/>
      <c r="F517" s="44"/>
      <c r="G517" s="44"/>
      <c r="H517" s="44"/>
    </row>
    <row r="518" spans="1:8">
      <c r="A518" s="27"/>
      <c r="C518" s="28"/>
      <c r="D518" s="28"/>
      <c r="E518" s="44"/>
      <c r="F518" s="44"/>
      <c r="G518" s="44"/>
      <c r="H518" s="44"/>
    </row>
    <row r="519" spans="1:8">
      <c r="A519" s="27"/>
      <c r="C519" s="28"/>
      <c r="D519" s="28"/>
      <c r="E519" s="44"/>
      <c r="F519" s="44"/>
      <c r="G519" s="44"/>
      <c r="H519" s="44"/>
    </row>
    <row r="520" spans="1:8">
      <c r="A520" s="27"/>
      <c r="C520" s="28"/>
      <c r="D520" s="28"/>
      <c r="E520" s="44"/>
      <c r="F520" s="44"/>
      <c r="G520" s="44"/>
      <c r="H520" s="44"/>
    </row>
    <row r="521" spans="1:8">
      <c r="A521" s="27"/>
      <c r="C521" s="28"/>
      <c r="D521" s="28"/>
      <c r="E521" s="44"/>
      <c r="F521" s="44"/>
      <c r="G521" s="44"/>
      <c r="H521" s="44"/>
    </row>
    <row r="522" spans="1:8">
      <c r="A522" s="27"/>
      <c r="C522" s="28"/>
      <c r="D522" s="28"/>
      <c r="E522" s="44"/>
      <c r="F522" s="44"/>
      <c r="G522" s="44"/>
      <c r="H522" s="44"/>
    </row>
    <row r="523" spans="1:8">
      <c r="A523" s="27"/>
      <c r="C523" s="28"/>
      <c r="D523" s="28"/>
      <c r="E523" s="44"/>
      <c r="F523" s="44"/>
      <c r="G523" s="44"/>
      <c r="H523" s="44"/>
    </row>
    <row r="524" spans="1:8">
      <c r="A524" s="27"/>
      <c r="C524" s="28"/>
      <c r="D524" s="28"/>
      <c r="E524" s="44"/>
      <c r="F524" s="44"/>
      <c r="G524" s="44"/>
      <c r="H524" s="44"/>
    </row>
    <row r="525" spans="1:8">
      <c r="A525" s="27"/>
      <c r="C525" s="28"/>
      <c r="D525" s="28"/>
      <c r="E525" s="44"/>
      <c r="F525" s="44"/>
      <c r="G525" s="44"/>
      <c r="H525" s="44"/>
    </row>
    <row r="526" spans="1:8">
      <c r="A526" s="27"/>
      <c r="C526" s="28"/>
      <c r="D526" s="28"/>
      <c r="E526" s="44"/>
      <c r="F526" s="44"/>
      <c r="G526" s="44"/>
      <c r="H526" s="44"/>
    </row>
    <row r="527" spans="1:8">
      <c r="A527" s="27"/>
      <c r="C527" s="28"/>
      <c r="D527" s="28"/>
      <c r="E527" s="44"/>
      <c r="F527" s="44"/>
      <c r="G527" s="44"/>
      <c r="H527" s="44"/>
    </row>
    <row r="528" spans="1:8">
      <c r="A528" s="27"/>
      <c r="C528" s="28"/>
      <c r="D528" s="28"/>
      <c r="E528" s="44"/>
      <c r="F528" s="44"/>
      <c r="G528" s="44"/>
      <c r="H528" s="44"/>
    </row>
    <row r="529" spans="1:8">
      <c r="A529" s="27"/>
      <c r="C529" s="28"/>
      <c r="D529" s="28"/>
      <c r="E529" s="44"/>
      <c r="F529" s="44"/>
      <c r="G529" s="44"/>
      <c r="H529" s="44"/>
    </row>
    <row r="530" spans="1:8">
      <c r="A530" s="27"/>
      <c r="C530" s="28"/>
      <c r="D530" s="28"/>
      <c r="E530" s="44"/>
      <c r="F530" s="44"/>
      <c r="G530" s="44"/>
      <c r="H530" s="44"/>
    </row>
    <row r="531" spans="1:8">
      <c r="A531" s="27"/>
      <c r="C531" s="28"/>
      <c r="D531" s="28"/>
      <c r="E531" s="44"/>
      <c r="F531" s="44"/>
      <c r="G531" s="44"/>
      <c r="H531" s="44"/>
    </row>
    <row r="532" spans="1:8">
      <c r="A532" s="27"/>
      <c r="C532" s="28"/>
      <c r="D532" s="28"/>
      <c r="E532" s="44"/>
      <c r="F532" s="44"/>
      <c r="G532" s="44"/>
      <c r="H532" s="44"/>
    </row>
    <row r="533" spans="1:8">
      <c r="A533" s="27"/>
      <c r="C533" s="28"/>
      <c r="D533" s="28"/>
      <c r="E533" s="44"/>
      <c r="F533" s="44"/>
      <c r="G533" s="44"/>
      <c r="H533" s="44"/>
    </row>
    <row r="534" spans="1:8">
      <c r="A534" s="27"/>
      <c r="C534" s="28"/>
      <c r="D534" s="28"/>
      <c r="E534" s="44"/>
      <c r="F534" s="44"/>
      <c r="G534" s="44"/>
      <c r="H534" s="44"/>
    </row>
    <row r="535" spans="1:8">
      <c r="A535" s="27"/>
      <c r="C535" s="28"/>
      <c r="D535" s="28"/>
      <c r="E535" s="44"/>
      <c r="F535" s="44"/>
      <c r="G535" s="44"/>
      <c r="H535" s="44"/>
    </row>
    <row r="536" spans="1:8">
      <c r="A536" s="27"/>
      <c r="C536" s="28"/>
      <c r="D536" s="28"/>
      <c r="E536" s="44"/>
      <c r="F536" s="44"/>
      <c r="G536" s="44"/>
      <c r="H536" s="44"/>
    </row>
    <row r="537" spans="1:8">
      <c r="A537" s="27"/>
      <c r="C537" s="28"/>
      <c r="D537" s="28"/>
      <c r="E537" s="44"/>
      <c r="F537" s="44"/>
      <c r="G537" s="44"/>
      <c r="H537" s="44"/>
    </row>
    <row r="538" spans="1:8">
      <c r="A538" s="27"/>
      <c r="C538" s="28"/>
      <c r="D538" s="28"/>
      <c r="E538" s="44"/>
      <c r="F538" s="44"/>
      <c r="G538" s="44"/>
      <c r="H538" s="44"/>
    </row>
    <row r="539" spans="1:8">
      <c r="A539" s="27"/>
      <c r="C539" s="28"/>
      <c r="D539" s="28"/>
      <c r="E539" s="44"/>
      <c r="F539" s="44"/>
      <c r="G539" s="44"/>
      <c r="H539" s="44"/>
    </row>
    <row r="540" spans="1:8">
      <c r="A540" s="27"/>
      <c r="C540" s="28"/>
      <c r="D540" s="28"/>
      <c r="E540" s="44"/>
      <c r="F540" s="44"/>
      <c r="G540" s="44"/>
      <c r="H540" s="44"/>
    </row>
    <row r="541" spans="1:8">
      <c r="A541" s="27"/>
      <c r="C541" s="28"/>
      <c r="D541" s="28"/>
      <c r="E541" s="44"/>
      <c r="F541" s="44"/>
      <c r="G541" s="44"/>
      <c r="H541" s="44"/>
    </row>
    <row r="542" spans="1:8">
      <c r="A542" s="27"/>
      <c r="C542" s="28"/>
      <c r="D542" s="28"/>
      <c r="E542" s="44"/>
      <c r="F542" s="44"/>
      <c r="G542" s="44"/>
      <c r="H542" s="44"/>
    </row>
    <row r="543" spans="1:8">
      <c r="A543" s="27"/>
      <c r="C543" s="28"/>
      <c r="D543" s="28"/>
      <c r="E543" s="44"/>
      <c r="F543" s="44"/>
      <c r="G543" s="44"/>
      <c r="H543" s="44"/>
    </row>
    <row r="544" spans="1:8">
      <c r="A544" s="27"/>
      <c r="C544" s="28"/>
      <c r="D544" s="28"/>
      <c r="E544" s="44"/>
      <c r="F544" s="44"/>
      <c r="G544" s="44"/>
      <c r="H544" s="44"/>
    </row>
    <row r="545" spans="1:8">
      <c r="A545" s="27"/>
      <c r="C545" s="28"/>
      <c r="D545" s="28"/>
      <c r="E545" s="44"/>
      <c r="F545" s="44"/>
      <c r="G545" s="44"/>
      <c r="H545" s="44"/>
    </row>
    <row r="546" spans="1:8">
      <c r="A546" s="27"/>
      <c r="C546" s="28"/>
      <c r="D546" s="28"/>
      <c r="E546" s="44"/>
      <c r="F546" s="44"/>
      <c r="G546" s="44"/>
      <c r="H546" s="44"/>
    </row>
    <row r="547" spans="1:8">
      <c r="A547" s="27"/>
      <c r="C547" s="28"/>
      <c r="D547" s="28"/>
      <c r="E547" s="44"/>
      <c r="F547" s="44"/>
      <c r="G547" s="44"/>
      <c r="H547" s="44"/>
    </row>
    <row r="548" spans="1:8">
      <c r="A548" s="27"/>
      <c r="C548" s="28"/>
      <c r="D548" s="28"/>
      <c r="E548" s="44"/>
      <c r="F548" s="44"/>
      <c r="G548" s="44"/>
      <c r="H548" s="44"/>
    </row>
    <row r="549" spans="1:8">
      <c r="A549" s="27"/>
      <c r="C549" s="28"/>
      <c r="D549" s="28"/>
      <c r="E549" s="44"/>
      <c r="F549" s="44"/>
      <c r="G549" s="44"/>
      <c r="H549" s="44"/>
    </row>
    <row r="550" spans="1:8">
      <c r="A550" s="27"/>
      <c r="C550" s="28"/>
      <c r="D550" s="28"/>
      <c r="E550" s="44"/>
      <c r="F550" s="44"/>
      <c r="G550" s="44"/>
      <c r="H550" s="44"/>
    </row>
    <row r="551" spans="1:8">
      <c r="A551" s="27"/>
      <c r="C551" s="28"/>
      <c r="D551" s="28"/>
      <c r="E551" s="44"/>
      <c r="F551" s="44"/>
      <c r="G551" s="44"/>
      <c r="H551" s="44"/>
    </row>
    <row r="552" spans="1:8">
      <c r="A552" s="27"/>
      <c r="C552" s="28"/>
      <c r="D552" s="28"/>
      <c r="E552" s="44"/>
      <c r="F552" s="44"/>
      <c r="G552" s="44"/>
      <c r="H552" s="44"/>
    </row>
    <row r="553" spans="1:8">
      <c r="A553" s="27"/>
      <c r="C553" s="28"/>
      <c r="D553" s="28"/>
      <c r="E553" s="44"/>
      <c r="F553" s="44"/>
      <c r="G553" s="44"/>
      <c r="H553" s="44"/>
    </row>
    <row r="554" spans="1:8">
      <c r="A554" s="27"/>
      <c r="C554" s="28"/>
      <c r="D554" s="28"/>
      <c r="E554" s="44"/>
      <c r="F554" s="44"/>
      <c r="G554" s="44"/>
      <c r="H554" s="44"/>
    </row>
    <row r="555" spans="1:8">
      <c r="A555" s="27"/>
      <c r="C555" s="28"/>
      <c r="D555" s="28"/>
      <c r="E555" s="44"/>
      <c r="F555" s="44"/>
      <c r="G555" s="44"/>
      <c r="H555" s="44"/>
    </row>
    <row r="556" spans="1:8">
      <c r="A556" s="27"/>
      <c r="C556" s="28"/>
      <c r="D556" s="28"/>
      <c r="E556" s="44"/>
      <c r="F556" s="44"/>
      <c r="G556" s="44"/>
      <c r="H556" s="44"/>
    </row>
    <row r="557" spans="1:8">
      <c r="A557" s="27"/>
      <c r="C557" s="28"/>
      <c r="D557" s="28"/>
      <c r="E557" s="44"/>
      <c r="F557" s="44"/>
      <c r="G557" s="44"/>
      <c r="H557" s="44"/>
    </row>
    <row r="558" spans="1:8">
      <c r="A558" s="27"/>
      <c r="C558" s="28"/>
      <c r="D558" s="28"/>
      <c r="E558" s="44"/>
      <c r="F558" s="44"/>
      <c r="G558" s="44"/>
      <c r="H558" s="44"/>
    </row>
    <row r="559" spans="1:8">
      <c r="A559" s="27"/>
      <c r="C559" s="28"/>
      <c r="D559" s="28"/>
      <c r="E559" s="44"/>
      <c r="F559" s="44"/>
      <c r="G559" s="44"/>
      <c r="H559" s="44"/>
    </row>
    <row r="560" spans="1:8">
      <c r="A560" s="27"/>
      <c r="C560" s="28"/>
      <c r="D560" s="28"/>
      <c r="E560" s="44"/>
      <c r="F560" s="44"/>
      <c r="G560" s="44"/>
      <c r="H560" s="44"/>
    </row>
    <row r="561" spans="1:8">
      <c r="A561" s="27"/>
      <c r="C561" s="28"/>
      <c r="D561" s="28"/>
      <c r="E561" s="44"/>
      <c r="F561" s="44"/>
      <c r="G561" s="44"/>
      <c r="H561" s="44"/>
    </row>
    <row r="562" spans="1:8">
      <c r="A562" s="27"/>
      <c r="C562" s="28"/>
      <c r="D562" s="28"/>
      <c r="E562" s="44"/>
      <c r="F562" s="44"/>
      <c r="G562" s="44"/>
      <c r="H562" s="44"/>
    </row>
    <row r="563" spans="1:8">
      <c r="A563" s="27"/>
      <c r="C563" s="28"/>
      <c r="D563" s="28"/>
      <c r="E563" s="44"/>
      <c r="F563" s="44"/>
      <c r="G563" s="44"/>
      <c r="H563" s="44"/>
    </row>
    <row r="564" spans="1:8">
      <c r="A564" s="27"/>
      <c r="C564" s="28"/>
      <c r="D564" s="28"/>
      <c r="E564" s="44"/>
      <c r="F564" s="44"/>
      <c r="G564" s="44"/>
      <c r="H564" s="44"/>
    </row>
    <row r="565" spans="1:8">
      <c r="A565" s="27"/>
      <c r="C565" s="28"/>
      <c r="D565" s="28"/>
      <c r="E565" s="44"/>
      <c r="F565" s="44"/>
      <c r="G565" s="44"/>
      <c r="H565" s="44"/>
    </row>
    <row r="566" spans="1:8">
      <c r="A566" s="27"/>
      <c r="C566" s="28"/>
      <c r="D566" s="28"/>
      <c r="E566" s="44"/>
      <c r="F566" s="44"/>
      <c r="G566" s="44"/>
      <c r="H566" s="44"/>
    </row>
    <row r="567" spans="1:8">
      <c r="A567" s="27"/>
      <c r="C567" s="28"/>
      <c r="D567" s="28"/>
      <c r="E567" s="44"/>
      <c r="F567" s="44"/>
      <c r="G567" s="44"/>
      <c r="H567" s="44"/>
    </row>
    <row r="568" spans="1:8">
      <c r="A568" s="27"/>
      <c r="C568" s="28"/>
      <c r="D568" s="28"/>
      <c r="E568" s="44"/>
      <c r="F568" s="44"/>
      <c r="G568" s="44"/>
      <c r="H568" s="44"/>
    </row>
    <row r="569" spans="1:8">
      <c r="A569" s="27"/>
      <c r="C569" s="28"/>
      <c r="D569" s="28"/>
      <c r="E569" s="44"/>
      <c r="F569" s="44"/>
      <c r="G569" s="44"/>
      <c r="H569" s="44"/>
    </row>
    <row r="570" spans="1:8">
      <c r="A570" s="27"/>
      <c r="C570" s="28"/>
      <c r="D570" s="28"/>
      <c r="E570" s="44"/>
      <c r="F570" s="44"/>
      <c r="G570" s="44"/>
      <c r="H570" s="44"/>
    </row>
    <row r="571" spans="1:8">
      <c r="A571" s="27"/>
      <c r="C571" s="28"/>
      <c r="D571" s="28"/>
      <c r="E571" s="44"/>
      <c r="F571" s="44"/>
      <c r="G571" s="44"/>
      <c r="H571" s="44"/>
    </row>
    <row r="572" spans="1:8">
      <c r="A572" s="27"/>
      <c r="C572" s="28"/>
      <c r="D572" s="28"/>
      <c r="E572" s="44"/>
      <c r="F572" s="44"/>
      <c r="G572" s="44"/>
      <c r="H572" s="44"/>
    </row>
    <row r="573" spans="1:8">
      <c r="A573" s="27"/>
      <c r="C573" s="28"/>
      <c r="D573" s="28"/>
      <c r="E573" s="44"/>
      <c r="F573" s="44"/>
      <c r="G573" s="44"/>
      <c r="H573" s="44"/>
    </row>
    <row r="574" spans="1:8">
      <c r="A574" s="27"/>
      <c r="C574" s="28"/>
      <c r="D574" s="28"/>
      <c r="E574" s="44"/>
      <c r="F574" s="44"/>
      <c r="G574" s="44"/>
      <c r="H574" s="44"/>
    </row>
    <row r="575" spans="1:8">
      <c r="A575" s="27"/>
      <c r="C575" s="28"/>
      <c r="D575" s="28"/>
      <c r="E575" s="44"/>
      <c r="F575" s="44"/>
      <c r="G575" s="44"/>
      <c r="H575" s="44"/>
    </row>
    <row r="576" spans="1:8">
      <c r="A576" s="27"/>
      <c r="C576" s="28"/>
      <c r="D576" s="28"/>
      <c r="E576" s="44"/>
      <c r="F576" s="44"/>
      <c r="G576" s="44"/>
      <c r="H576" s="44"/>
    </row>
    <row r="577" spans="1:8">
      <c r="A577" s="27"/>
      <c r="C577" s="28"/>
      <c r="D577" s="28"/>
      <c r="E577" s="44"/>
      <c r="F577" s="44"/>
      <c r="G577" s="44"/>
      <c r="H577" s="44"/>
    </row>
    <row r="578" spans="1:8">
      <c r="A578" s="27"/>
      <c r="C578" s="28"/>
      <c r="D578" s="28"/>
      <c r="E578" s="44"/>
      <c r="F578" s="44"/>
      <c r="G578" s="44"/>
      <c r="H578" s="44"/>
    </row>
    <row r="579" spans="1:8">
      <c r="A579" s="27"/>
      <c r="C579" s="28"/>
      <c r="D579" s="28"/>
      <c r="E579" s="44"/>
      <c r="F579" s="44"/>
      <c r="G579" s="44"/>
      <c r="H579" s="44"/>
    </row>
    <row r="580" spans="1:8">
      <c r="A580" s="27"/>
      <c r="C580" s="28"/>
      <c r="D580" s="28"/>
      <c r="E580" s="44"/>
      <c r="F580" s="44"/>
      <c r="G580" s="44"/>
      <c r="H580" s="44"/>
    </row>
    <row r="581" spans="1:8">
      <c r="A581" s="27"/>
      <c r="C581" s="28"/>
      <c r="D581" s="28"/>
      <c r="E581" s="44"/>
      <c r="F581" s="44"/>
      <c r="G581" s="44"/>
      <c r="H581" s="44"/>
    </row>
    <row r="582" spans="1:8">
      <c r="A582" s="27"/>
      <c r="C582" s="28"/>
      <c r="D582" s="28"/>
      <c r="E582" s="44"/>
      <c r="F582" s="44"/>
      <c r="G582" s="44"/>
      <c r="H582" s="44"/>
    </row>
    <row r="583" spans="1:8">
      <c r="A583" s="27"/>
      <c r="C583" s="28"/>
      <c r="D583" s="28"/>
      <c r="E583" s="44"/>
      <c r="F583" s="44"/>
      <c r="G583" s="44"/>
      <c r="H583" s="44"/>
    </row>
    <row r="584" spans="1:8">
      <c r="A584" s="27"/>
      <c r="C584" s="28"/>
      <c r="D584" s="28"/>
      <c r="E584" s="44"/>
      <c r="F584" s="44"/>
      <c r="G584" s="44"/>
      <c r="H584" s="44"/>
    </row>
    <row r="585" spans="1:8">
      <c r="A585" s="27"/>
      <c r="C585" s="28"/>
      <c r="D585" s="28"/>
      <c r="E585" s="44"/>
      <c r="F585" s="44"/>
      <c r="G585" s="44"/>
      <c r="H585" s="44"/>
    </row>
    <row r="586" spans="1:8">
      <c r="A586" s="27"/>
      <c r="C586" s="28"/>
      <c r="D586" s="28"/>
      <c r="E586" s="44"/>
      <c r="F586" s="44"/>
      <c r="G586" s="44"/>
      <c r="H586" s="44"/>
    </row>
    <row r="587" spans="1:8">
      <c r="A587" s="27"/>
      <c r="C587" s="28"/>
      <c r="D587" s="28"/>
      <c r="E587" s="44"/>
      <c r="F587" s="44"/>
      <c r="G587" s="44"/>
      <c r="H587" s="44"/>
    </row>
    <row r="588" spans="1:8">
      <c r="A588" s="27"/>
      <c r="C588" s="28"/>
      <c r="D588" s="28"/>
      <c r="E588" s="44"/>
      <c r="F588" s="44"/>
      <c r="G588" s="44"/>
      <c r="H588" s="44"/>
    </row>
    <row r="589" spans="1:8">
      <c r="A589" s="27"/>
      <c r="C589" s="28"/>
      <c r="D589" s="28"/>
      <c r="E589" s="44"/>
      <c r="F589" s="44"/>
      <c r="G589" s="44"/>
      <c r="H589" s="44"/>
    </row>
    <row r="590" spans="1:8">
      <c r="A590" s="27"/>
      <c r="C590" s="28"/>
      <c r="D590" s="28"/>
      <c r="E590" s="44"/>
      <c r="F590" s="44"/>
      <c r="G590" s="44"/>
      <c r="H590" s="44"/>
    </row>
    <row r="591" spans="1:8">
      <c r="A591" s="27"/>
      <c r="C591" s="28"/>
      <c r="D591" s="28"/>
      <c r="E591" s="44"/>
      <c r="F591" s="44"/>
      <c r="G591" s="44"/>
      <c r="H591" s="44"/>
    </row>
    <row r="592" spans="1:8">
      <c r="A592" s="27"/>
      <c r="C592" s="28"/>
      <c r="D592" s="28"/>
      <c r="E592" s="44"/>
      <c r="F592" s="44"/>
      <c r="G592" s="44"/>
      <c r="H592" s="44"/>
    </row>
    <row r="593" spans="1:8">
      <c r="A593" s="27"/>
      <c r="C593" s="28"/>
      <c r="D593" s="28"/>
      <c r="E593" s="44"/>
      <c r="F593" s="44"/>
      <c r="G593" s="44"/>
      <c r="H593" s="44"/>
    </row>
    <row r="594" spans="1:8">
      <c r="A594" s="27"/>
      <c r="C594" s="28"/>
      <c r="D594" s="28"/>
      <c r="E594" s="44"/>
      <c r="F594" s="44"/>
      <c r="G594" s="44"/>
      <c r="H594" s="44"/>
    </row>
    <row r="595" spans="1:8">
      <c r="A595" s="27"/>
      <c r="C595" s="28"/>
      <c r="D595" s="28"/>
      <c r="E595" s="44"/>
      <c r="F595" s="44"/>
      <c r="G595" s="44"/>
      <c r="H595" s="44"/>
    </row>
    <row r="596" spans="1:8">
      <c r="A596" s="27"/>
      <c r="C596" s="28"/>
      <c r="D596" s="28"/>
      <c r="E596" s="44"/>
      <c r="F596" s="44"/>
      <c r="G596" s="44"/>
      <c r="H596" s="44"/>
    </row>
    <row r="597" spans="1:8">
      <c r="A597" s="27"/>
      <c r="C597" s="28"/>
      <c r="D597" s="28"/>
      <c r="E597" s="44"/>
      <c r="F597" s="44"/>
      <c r="G597" s="44"/>
      <c r="H597" s="44"/>
    </row>
    <row r="598" spans="1:8">
      <c r="A598" s="27"/>
      <c r="C598" s="28"/>
      <c r="D598" s="28"/>
      <c r="E598" s="44"/>
      <c r="F598" s="44"/>
      <c r="G598" s="44"/>
      <c r="H598" s="44"/>
    </row>
    <row r="599" spans="1:8">
      <c r="A599" s="27"/>
      <c r="C599" s="28"/>
      <c r="D599" s="28"/>
      <c r="E599" s="44"/>
      <c r="F599" s="44"/>
      <c r="G599" s="44"/>
      <c r="H599" s="44"/>
    </row>
    <row r="600" spans="1:8">
      <c r="A600" s="27"/>
      <c r="C600" s="28"/>
      <c r="D600" s="28"/>
      <c r="E600" s="44"/>
      <c r="F600" s="44"/>
      <c r="G600" s="44"/>
      <c r="H600" s="44"/>
    </row>
    <row r="601" spans="1:8">
      <c r="A601" s="27"/>
      <c r="C601" s="28"/>
      <c r="D601" s="28"/>
      <c r="E601" s="44"/>
      <c r="F601" s="44"/>
      <c r="G601" s="44"/>
      <c r="H601" s="44"/>
    </row>
    <row r="602" spans="1:8">
      <c r="A602" s="27"/>
      <c r="C602" s="28"/>
      <c r="D602" s="28"/>
      <c r="E602" s="44"/>
      <c r="F602" s="44"/>
      <c r="G602" s="44"/>
      <c r="H602" s="44"/>
    </row>
    <row r="603" spans="1:8">
      <c r="A603" s="27"/>
      <c r="C603" s="28"/>
      <c r="D603" s="28"/>
      <c r="E603" s="44"/>
      <c r="F603" s="44"/>
      <c r="G603" s="44"/>
      <c r="H603" s="44"/>
    </row>
    <row r="604" spans="1:8">
      <c r="A604" s="27"/>
      <c r="C604" s="28"/>
      <c r="D604" s="28"/>
      <c r="E604" s="44"/>
      <c r="F604" s="44"/>
      <c r="G604" s="44"/>
      <c r="H604" s="44"/>
    </row>
    <row r="605" spans="1:8">
      <c r="A605" s="27"/>
      <c r="C605" s="28"/>
      <c r="D605" s="28"/>
      <c r="E605" s="44"/>
      <c r="F605" s="44"/>
      <c r="G605" s="44"/>
      <c r="H605" s="44"/>
    </row>
    <row r="606" spans="1:8">
      <c r="A606" s="27"/>
      <c r="C606" s="28"/>
      <c r="D606" s="28"/>
      <c r="E606" s="44"/>
      <c r="F606" s="44"/>
      <c r="G606" s="44"/>
      <c r="H606" s="44"/>
    </row>
    <row r="607" spans="1:8">
      <c r="A607" s="27"/>
      <c r="C607" s="28"/>
      <c r="D607" s="28"/>
      <c r="E607" s="44"/>
      <c r="F607" s="44"/>
      <c r="G607" s="44"/>
      <c r="H607" s="44"/>
    </row>
    <row r="608" spans="1:8">
      <c r="A608" s="27"/>
      <c r="C608" s="28"/>
      <c r="D608" s="28"/>
      <c r="E608" s="44"/>
      <c r="F608" s="44"/>
      <c r="G608" s="44"/>
      <c r="H608" s="44"/>
    </row>
    <row r="609" spans="1:8">
      <c r="A609" s="27"/>
      <c r="C609" s="28"/>
      <c r="D609" s="28"/>
      <c r="E609" s="44"/>
      <c r="F609" s="44"/>
      <c r="G609" s="44"/>
      <c r="H609" s="44"/>
    </row>
    <row r="610" spans="1:8">
      <c r="A610" s="27"/>
      <c r="C610" s="28"/>
      <c r="D610" s="28"/>
      <c r="E610" s="44"/>
      <c r="F610" s="44"/>
      <c r="G610" s="44"/>
      <c r="H610" s="44"/>
    </row>
    <row r="611" spans="1:8">
      <c r="A611" s="27"/>
      <c r="C611" s="28"/>
      <c r="D611" s="28"/>
      <c r="E611" s="44"/>
      <c r="F611" s="44"/>
      <c r="G611" s="44"/>
      <c r="H611" s="44"/>
    </row>
    <row r="612" spans="1:8">
      <c r="A612" s="27"/>
      <c r="C612" s="28"/>
      <c r="D612" s="28"/>
      <c r="E612" s="44"/>
      <c r="F612" s="44"/>
      <c r="G612" s="44"/>
      <c r="H612" s="44"/>
    </row>
    <row r="613" spans="1:8">
      <c r="A613" s="27"/>
      <c r="C613" s="28"/>
      <c r="D613" s="28"/>
      <c r="E613" s="44"/>
      <c r="F613" s="44"/>
      <c r="G613" s="44"/>
      <c r="H613" s="44"/>
    </row>
    <row r="614" spans="1:8">
      <c r="A614" s="27"/>
      <c r="C614" s="28"/>
      <c r="D614" s="28"/>
      <c r="E614" s="44"/>
      <c r="F614" s="44"/>
      <c r="G614" s="44"/>
      <c r="H614" s="44"/>
    </row>
    <row r="615" spans="1:8">
      <c r="A615" s="27"/>
      <c r="C615" s="28"/>
      <c r="D615" s="28"/>
      <c r="E615" s="44"/>
      <c r="F615" s="44"/>
      <c r="G615" s="44"/>
      <c r="H615" s="44"/>
    </row>
    <row r="616" spans="1:8">
      <c r="A616" s="27"/>
      <c r="C616" s="28"/>
      <c r="D616" s="28"/>
      <c r="E616" s="44"/>
      <c r="F616" s="44"/>
      <c r="G616" s="44"/>
      <c r="H616" s="44"/>
    </row>
    <row r="617" spans="1:8">
      <c r="A617" s="27"/>
      <c r="C617" s="28"/>
      <c r="D617" s="28"/>
      <c r="E617" s="44"/>
      <c r="F617" s="44"/>
      <c r="G617" s="44"/>
      <c r="H617" s="44"/>
    </row>
    <row r="618" spans="1:8">
      <c r="A618" s="27"/>
      <c r="C618" s="28"/>
      <c r="D618" s="28"/>
      <c r="E618" s="44"/>
      <c r="F618" s="44"/>
      <c r="G618" s="44"/>
      <c r="H618" s="44"/>
    </row>
    <row r="619" spans="1:8">
      <c r="A619" s="27"/>
      <c r="C619" s="28"/>
      <c r="D619" s="28"/>
      <c r="E619" s="44"/>
      <c r="F619" s="44"/>
      <c r="G619" s="44"/>
      <c r="H619" s="44"/>
    </row>
    <row r="620" spans="1:8">
      <c r="A620" s="27"/>
      <c r="C620" s="28"/>
      <c r="D620" s="28"/>
      <c r="E620" s="44"/>
      <c r="F620" s="44"/>
      <c r="G620" s="44"/>
      <c r="H620" s="44"/>
    </row>
    <row r="621" spans="1:8">
      <c r="A621" s="27"/>
      <c r="C621" s="28"/>
      <c r="D621" s="28"/>
      <c r="E621" s="44"/>
      <c r="F621" s="44"/>
      <c r="G621" s="44"/>
      <c r="H621" s="44"/>
    </row>
    <row r="622" spans="1:8">
      <c r="A622" s="27"/>
      <c r="C622" s="28"/>
      <c r="D622" s="28"/>
      <c r="E622" s="44"/>
      <c r="F622" s="44"/>
      <c r="G622" s="44"/>
      <c r="H622" s="44"/>
    </row>
    <row r="623" spans="1:8">
      <c r="A623" s="27"/>
      <c r="C623" s="28"/>
      <c r="D623" s="28"/>
      <c r="E623" s="44"/>
      <c r="F623" s="44"/>
      <c r="G623" s="44"/>
      <c r="H623" s="44"/>
    </row>
    <row r="624" spans="1:8">
      <c r="A624" s="27"/>
      <c r="C624" s="28"/>
      <c r="D624" s="28"/>
      <c r="E624" s="44"/>
      <c r="F624" s="44"/>
      <c r="G624" s="44"/>
      <c r="H624" s="44"/>
    </row>
    <row r="625" spans="1:8">
      <c r="A625" s="27"/>
      <c r="C625" s="28"/>
      <c r="D625" s="28"/>
      <c r="E625" s="44"/>
      <c r="F625" s="44"/>
      <c r="G625" s="44"/>
      <c r="H625" s="44"/>
    </row>
    <row r="626" spans="1:8">
      <c r="A626" s="27"/>
      <c r="C626" s="28"/>
      <c r="D626" s="28"/>
      <c r="E626" s="44"/>
      <c r="F626" s="44"/>
      <c r="G626" s="44"/>
      <c r="H626" s="44"/>
    </row>
    <row r="627" spans="1:8">
      <c r="A627" s="27"/>
      <c r="C627" s="28"/>
      <c r="D627" s="28"/>
      <c r="E627" s="44"/>
      <c r="F627" s="44"/>
      <c r="G627" s="44"/>
      <c r="H627" s="44"/>
    </row>
    <row r="628" spans="1:8">
      <c r="A628" s="27"/>
      <c r="C628" s="28"/>
      <c r="D628" s="28"/>
      <c r="E628" s="44"/>
      <c r="F628" s="44"/>
      <c r="G628" s="44"/>
      <c r="H628" s="44"/>
    </row>
    <row r="629" spans="1:8">
      <c r="A629" s="27"/>
      <c r="C629" s="28"/>
      <c r="D629" s="28"/>
      <c r="E629" s="44"/>
      <c r="F629" s="44"/>
      <c r="G629" s="44"/>
      <c r="H629" s="44"/>
    </row>
    <row r="630" spans="1:8">
      <c r="A630" s="27"/>
      <c r="C630" s="28"/>
      <c r="D630" s="28"/>
      <c r="E630" s="44"/>
      <c r="F630" s="44"/>
      <c r="G630" s="44"/>
      <c r="H630" s="44"/>
    </row>
    <row r="631" spans="1:8">
      <c r="A631" s="27"/>
      <c r="C631" s="28"/>
      <c r="D631" s="28"/>
      <c r="E631" s="44"/>
      <c r="F631" s="44"/>
      <c r="G631" s="44"/>
      <c r="H631" s="44"/>
    </row>
    <row r="632" spans="1:8">
      <c r="A632" s="27"/>
      <c r="C632" s="28"/>
      <c r="D632" s="28"/>
      <c r="E632" s="44"/>
      <c r="F632" s="44"/>
      <c r="G632" s="44"/>
      <c r="H632" s="44"/>
    </row>
    <row r="633" spans="1:8">
      <c r="A633" s="27"/>
      <c r="C633" s="28"/>
      <c r="D633" s="28"/>
      <c r="E633" s="44"/>
      <c r="F633" s="44"/>
      <c r="G633" s="44"/>
      <c r="H633" s="44"/>
    </row>
    <row r="634" spans="1:8">
      <c r="A634" s="27"/>
      <c r="C634" s="28"/>
      <c r="D634" s="28"/>
      <c r="E634" s="44"/>
      <c r="F634" s="44"/>
      <c r="G634" s="44"/>
      <c r="H634" s="44"/>
    </row>
    <row r="635" spans="1:8">
      <c r="A635" s="27"/>
      <c r="C635" s="28"/>
      <c r="D635" s="28"/>
      <c r="E635" s="44"/>
      <c r="F635" s="44"/>
      <c r="G635" s="44"/>
      <c r="H635" s="44"/>
    </row>
    <row r="636" spans="1:8">
      <c r="A636" s="27"/>
      <c r="C636" s="28"/>
      <c r="D636" s="28"/>
      <c r="E636" s="44"/>
      <c r="F636" s="44"/>
      <c r="G636" s="44"/>
      <c r="H636" s="44"/>
    </row>
    <row r="637" spans="1:8">
      <c r="A637" s="27"/>
      <c r="C637" s="28"/>
      <c r="D637" s="28"/>
      <c r="E637" s="44"/>
      <c r="F637" s="44"/>
      <c r="G637" s="44"/>
      <c r="H637" s="44"/>
    </row>
    <row r="638" spans="1:8">
      <c r="A638" s="27"/>
      <c r="C638" s="28"/>
      <c r="D638" s="28"/>
      <c r="E638" s="44"/>
      <c r="F638" s="44"/>
      <c r="G638" s="44"/>
      <c r="H638" s="44"/>
    </row>
    <row r="639" spans="1:8">
      <c r="A639" s="27"/>
      <c r="C639" s="28"/>
      <c r="D639" s="28"/>
      <c r="E639" s="44"/>
      <c r="F639" s="44"/>
      <c r="G639" s="44"/>
      <c r="H639" s="44"/>
    </row>
    <row r="640" spans="1:8">
      <c r="A640" s="27"/>
      <c r="C640" s="28"/>
      <c r="D640" s="28"/>
      <c r="E640" s="44"/>
      <c r="F640" s="44"/>
      <c r="G640" s="44"/>
      <c r="H640" s="44"/>
    </row>
    <row r="641" spans="1:8">
      <c r="A641" s="27"/>
      <c r="C641" s="28"/>
      <c r="D641" s="28"/>
      <c r="E641" s="44"/>
      <c r="F641" s="44"/>
      <c r="G641" s="44"/>
      <c r="H641" s="44"/>
    </row>
    <row r="642" spans="1:8">
      <c r="A642" s="27"/>
      <c r="C642" s="28"/>
      <c r="D642" s="28"/>
      <c r="E642" s="44"/>
      <c r="F642" s="44"/>
      <c r="G642" s="44"/>
      <c r="H642" s="44"/>
    </row>
    <row r="643" spans="1:8">
      <c r="A643" s="27"/>
      <c r="C643" s="28"/>
      <c r="D643" s="28"/>
      <c r="E643" s="44"/>
      <c r="F643" s="44"/>
      <c r="G643" s="44"/>
      <c r="H643" s="44"/>
    </row>
    <row r="644" spans="1:8">
      <c r="A644" s="27"/>
      <c r="C644" s="28"/>
      <c r="D644" s="28"/>
      <c r="E644" s="44"/>
      <c r="F644" s="44"/>
      <c r="G644" s="44"/>
      <c r="H644" s="44"/>
    </row>
    <row r="645" spans="1:8">
      <c r="A645" s="27"/>
      <c r="C645" s="28"/>
      <c r="D645" s="28"/>
      <c r="E645" s="44"/>
      <c r="F645" s="44"/>
      <c r="G645" s="44"/>
      <c r="H645" s="44"/>
    </row>
    <row r="646" spans="1:8">
      <c r="A646" s="27"/>
      <c r="C646" s="28"/>
      <c r="D646" s="28"/>
      <c r="E646" s="44"/>
      <c r="F646" s="44"/>
      <c r="G646" s="44"/>
      <c r="H646" s="44"/>
    </row>
    <row r="647" spans="1:8">
      <c r="A647" s="27"/>
      <c r="C647" s="28"/>
      <c r="D647" s="28"/>
      <c r="E647" s="44"/>
      <c r="F647" s="44"/>
      <c r="G647" s="44"/>
      <c r="H647" s="44"/>
    </row>
    <row r="648" spans="1:8">
      <c r="A648" s="27"/>
      <c r="C648" s="28"/>
      <c r="D648" s="28"/>
      <c r="E648" s="44"/>
      <c r="F648" s="44"/>
      <c r="G648" s="44"/>
      <c r="H648" s="44"/>
    </row>
    <row r="649" spans="1:8">
      <c r="A649" s="27"/>
      <c r="C649" s="28"/>
      <c r="D649" s="28"/>
      <c r="E649" s="44"/>
      <c r="F649" s="44"/>
      <c r="G649" s="44"/>
      <c r="H649" s="44"/>
    </row>
    <row r="650" spans="1:8">
      <c r="A650" s="27"/>
      <c r="C650" s="28"/>
      <c r="D650" s="28"/>
      <c r="E650" s="44"/>
      <c r="F650" s="44"/>
      <c r="G650" s="44"/>
      <c r="H650" s="44"/>
    </row>
    <row r="651" spans="1:8">
      <c r="A651" s="27"/>
      <c r="C651" s="28"/>
      <c r="D651" s="28"/>
      <c r="E651" s="44"/>
      <c r="F651" s="44"/>
      <c r="G651" s="44"/>
      <c r="H651" s="44"/>
    </row>
    <row r="652" spans="1:8">
      <c r="A652" s="27"/>
      <c r="C652" s="28"/>
      <c r="D652" s="28"/>
      <c r="E652" s="44"/>
      <c r="F652" s="44"/>
      <c r="G652" s="44"/>
      <c r="H652" s="44"/>
    </row>
    <row r="653" spans="1:8">
      <c r="A653" s="27"/>
      <c r="C653" s="28"/>
      <c r="D653" s="28"/>
      <c r="E653" s="44"/>
      <c r="F653" s="44"/>
      <c r="G653" s="44"/>
      <c r="H653" s="44"/>
    </row>
    <row r="654" spans="1:8">
      <c r="A654" s="27"/>
      <c r="C654" s="28"/>
      <c r="D654" s="28"/>
      <c r="E654" s="44"/>
      <c r="F654" s="44"/>
      <c r="G654" s="44"/>
      <c r="H654" s="44"/>
    </row>
    <row r="655" spans="1:8">
      <c r="A655" s="27"/>
      <c r="C655" s="28"/>
      <c r="D655" s="28"/>
      <c r="E655" s="44"/>
      <c r="F655" s="44"/>
      <c r="G655" s="44"/>
      <c r="H655" s="44"/>
    </row>
    <row r="656" spans="1:8">
      <c r="A656" s="27"/>
      <c r="C656" s="28"/>
      <c r="D656" s="28"/>
      <c r="E656" s="44"/>
      <c r="F656" s="44"/>
      <c r="G656" s="44"/>
      <c r="H656" s="44"/>
    </row>
    <row r="657" spans="1:8">
      <c r="A657" s="27"/>
      <c r="C657" s="28"/>
      <c r="D657" s="28"/>
      <c r="E657" s="44"/>
      <c r="F657" s="44"/>
      <c r="G657" s="44"/>
      <c r="H657" s="44"/>
    </row>
    <row r="658" spans="1:8">
      <c r="A658" s="27"/>
      <c r="C658" s="28"/>
      <c r="D658" s="28"/>
      <c r="E658" s="44"/>
      <c r="F658" s="44"/>
      <c r="G658" s="44"/>
      <c r="H658" s="44"/>
    </row>
    <row r="659" spans="1:8">
      <c r="A659" s="27"/>
      <c r="C659" s="28"/>
      <c r="D659" s="28"/>
      <c r="E659" s="44"/>
      <c r="F659" s="44"/>
      <c r="G659" s="44"/>
      <c r="H659" s="44"/>
    </row>
    <row r="660" spans="1:8">
      <c r="A660" s="27"/>
      <c r="C660" s="28"/>
      <c r="D660" s="28"/>
      <c r="E660" s="44"/>
      <c r="F660" s="44"/>
      <c r="G660" s="44"/>
      <c r="H660" s="44"/>
    </row>
    <row r="661" spans="1:8">
      <c r="A661" s="27"/>
      <c r="C661" s="28"/>
      <c r="D661" s="28"/>
      <c r="E661" s="44"/>
      <c r="F661" s="44"/>
      <c r="G661" s="44"/>
      <c r="H661" s="44"/>
    </row>
    <row r="662" spans="1:8">
      <c r="A662" s="27"/>
      <c r="C662" s="28"/>
      <c r="D662" s="28"/>
      <c r="E662" s="44"/>
      <c r="F662" s="44"/>
      <c r="G662" s="44"/>
      <c r="H662" s="44"/>
    </row>
    <row r="663" spans="1:8">
      <c r="A663" s="27"/>
      <c r="C663" s="28"/>
      <c r="D663" s="28"/>
      <c r="E663" s="44"/>
      <c r="F663" s="44"/>
      <c r="G663" s="44"/>
      <c r="H663" s="44"/>
    </row>
    <row r="664" spans="1:8">
      <c r="A664" s="27"/>
      <c r="C664" s="28"/>
      <c r="D664" s="28"/>
      <c r="E664" s="44"/>
      <c r="F664" s="44"/>
      <c r="G664" s="44"/>
      <c r="H664" s="44"/>
    </row>
    <row r="665" spans="1:8">
      <c r="A665" s="27"/>
      <c r="C665" s="28"/>
      <c r="D665" s="28"/>
      <c r="E665" s="44"/>
      <c r="F665" s="44"/>
      <c r="G665" s="44"/>
      <c r="H665" s="44"/>
    </row>
    <row r="666" spans="1:8">
      <c r="A666" s="27"/>
      <c r="C666" s="28"/>
      <c r="D666" s="28"/>
      <c r="E666" s="44"/>
      <c r="F666" s="44"/>
      <c r="G666" s="44"/>
      <c r="H666" s="44"/>
    </row>
    <row r="667" spans="1:8">
      <c r="A667" s="27"/>
      <c r="C667" s="28"/>
      <c r="D667" s="28"/>
      <c r="E667" s="44"/>
      <c r="F667" s="44"/>
      <c r="G667" s="44"/>
      <c r="H667" s="44"/>
    </row>
    <row r="668" spans="1:8">
      <c r="A668" s="27"/>
      <c r="C668" s="28"/>
      <c r="D668" s="28"/>
      <c r="E668" s="44"/>
      <c r="F668" s="44"/>
      <c r="G668" s="44"/>
      <c r="H668" s="44"/>
    </row>
    <row r="669" spans="1:8">
      <c r="A669" s="27"/>
      <c r="C669" s="28"/>
      <c r="D669" s="28"/>
      <c r="E669" s="44"/>
      <c r="F669" s="44"/>
      <c r="G669" s="44"/>
      <c r="H669" s="44"/>
    </row>
    <row r="670" spans="1:8">
      <c r="A670" s="27"/>
      <c r="C670" s="28"/>
      <c r="D670" s="28"/>
      <c r="E670" s="44"/>
      <c r="F670" s="44"/>
      <c r="G670" s="44"/>
      <c r="H670" s="44"/>
    </row>
    <row r="671" spans="1:8">
      <c r="A671" s="27"/>
      <c r="C671" s="28"/>
      <c r="D671" s="28"/>
      <c r="E671" s="44"/>
      <c r="F671" s="44"/>
      <c r="G671" s="44"/>
      <c r="H671" s="44"/>
    </row>
    <row r="672" spans="1:8">
      <c r="A672" s="27"/>
      <c r="C672" s="28"/>
      <c r="D672" s="28"/>
      <c r="E672" s="44"/>
      <c r="F672" s="44"/>
      <c r="G672" s="44"/>
      <c r="H672" s="44"/>
    </row>
    <row r="673" spans="1:8">
      <c r="A673" s="27"/>
      <c r="C673" s="28"/>
      <c r="D673" s="28"/>
      <c r="E673" s="44"/>
      <c r="F673" s="44"/>
      <c r="G673" s="44"/>
      <c r="H673" s="44"/>
    </row>
    <row r="674" spans="1:8">
      <c r="A674" s="27"/>
      <c r="C674" s="28"/>
      <c r="D674" s="28"/>
      <c r="E674" s="44"/>
      <c r="F674" s="44"/>
      <c r="G674" s="44"/>
      <c r="H674" s="44"/>
    </row>
    <row r="675" spans="1:8">
      <c r="A675" s="27"/>
      <c r="C675" s="28"/>
      <c r="D675" s="28"/>
      <c r="E675" s="44"/>
      <c r="F675" s="44"/>
      <c r="G675" s="44"/>
      <c r="H675" s="44"/>
    </row>
    <row r="676" spans="1:8">
      <c r="A676" s="27"/>
      <c r="C676" s="28"/>
      <c r="D676" s="28"/>
      <c r="E676" s="44"/>
      <c r="F676" s="44"/>
      <c r="G676" s="44"/>
      <c r="H676" s="44"/>
    </row>
    <row r="677" spans="1:8">
      <c r="A677" s="27"/>
      <c r="C677" s="28"/>
      <c r="D677" s="28"/>
      <c r="E677" s="44"/>
      <c r="F677" s="44"/>
      <c r="G677" s="44"/>
      <c r="H677" s="44"/>
    </row>
    <row r="678" spans="1:8">
      <c r="A678" s="27"/>
      <c r="C678" s="28"/>
      <c r="D678" s="28"/>
      <c r="E678" s="44"/>
      <c r="F678" s="44"/>
      <c r="G678" s="44"/>
      <c r="H678" s="44"/>
    </row>
    <row r="679" spans="1:8">
      <c r="A679" s="27"/>
      <c r="C679" s="28"/>
      <c r="D679" s="28"/>
      <c r="E679" s="44"/>
      <c r="F679" s="44"/>
      <c r="G679" s="44"/>
      <c r="H679" s="44"/>
    </row>
    <row r="680" spans="1:8">
      <c r="A680" s="27"/>
      <c r="C680" s="28"/>
      <c r="D680" s="28"/>
      <c r="E680" s="44"/>
      <c r="F680" s="44"/>
      <c r="G680" s="44"/>
      <c r="H680" s="44"/>
    </row>
    <row r="681" spans="1:8">
      <c r="A681" s="27"/>
      <c r="C681" s="28"/>
      <c r="D681" s="28"/>
      <c r="E681" s="44"/>
      <c r="F681" s="44"/>
      <c r="G681" s="44"/>
      <c r="H681" s="44"/>
    </row>
    <row r="682" spans="1:8">
      <c r="A682" s="27"/>
      <c r="C682" s="28"/>
      <c r="D682" s="28"/>
      <c r="E682" s="44"/>
      <c r="F682" s="44"/>
      <c r="G682" s="44"/>
      <c r="H682" s="44"/>
    </row>
    <row r="683" spans="1:8">
      <c r="A683" s="27"/>
      <c r="C683" s="28"/>
      <c r="D683" s="28"/>
      <c r="E683" s="44"/>
      <c r="F683" s="44"/>
      <c r="G683" s="44"/>
      <c r="H683" s="44"/>
    </row>
    <row r="684" spans="1:8">
      <c r="A684" s="27"/>
      <c r="C684" s="28"/>
      <c r="D684" s="28"/>
      <c r="E684" s="44"/>
      <c r="F684" s="44"/>
      <c r="G684" s="44"/>
      <c r="H684" s="44"/>
    </row>
    <row r="685" spans="1:8">
      <c r="A685" s="27"/>
      <c r="C685" s="28"/>
      <c r="D685" s="28"/>
      <c r="E685" s="44"/>
      <c r="F685" s="44"/>
      <c r="G685" s="44"/>
      <c r="H685" s="44"/>
    </row>
    <row r="686" spans="1:8">
      <c r="A686" s="27"/>
      <c r="C686" s="28"/>
      <c r="D686" s="28"/>
      <c r="E686" s="44"/>
      <c r="F686" s="44"/>
      <c r="G686" s="44"/>
      <c r="H686" s="44"/>
    </row>
    <row r="687" spans="1:8">
      <c r="A687" s="27"/>
      <c r="C687" s="28"/>
      <c r="D687" s="28"/>
      <c r="E687" s="44"/>
      <c r="F687" s="44"/>
      <c r="G687" s="44"/>
      <c r="H687" s="44"/>
    </row>
    <row r="688" spans="1:8">
      <c r="A688" s="27"/>
      <c r="C688" s="28"/>
      <c r="D688" s="28"/>
      <c r="E688" s="44"/>
      <c r="F688" s="44"/>
      <c r="G688" s="44"/>
      <c r="H688" s="44"/>
    </row>
    <row r="689" spans="1:8">
      <c r="A689" s="27"/>
      <c r="C689" s="28"/>
      <c r="D689" s="28"/>
      <c r="E689" s="44"/>
      <c r="F689" s="44"/>
      <c r="G689" s="44"/>
      <c r="H689" s="44"/>
    </row>
    <row r="690" spans="1:8">
      <c r="A690" s="27"/>
      <c r="C690" s="28"/>
      <c r="D690" s="28"/>
      <c r="E690" s="44"/>
      <c r="F690" s="44"/>
      <c r="G690" s="44"/>
      <c r="H690" s="44"/>
    </row>
    <row r="691" spans="1:8">
      <c r="A691" s="27"/>
      <c r="C691" s="28"/>
      <c r="D691" s="28"/>
      <c r="E691" s="44"/>
      <c r="F691" s="44"/>
      <c r="G691" s="44"/>
      <c r="H691" s="44"/>
    </row>
    <row r="692" spans="1:8">
      <c r="A692" s="27"/>
      <c r="C692" s="28"/>
      <c r="D692" s="28"/>
      <c r="E692" s="44"/>
      <c r="F692" s="44"/>
      <c r="G692" s="44"/>
      <c r="H692" s="44"/>
    </row>
    <row r="693" spans="1:8">
      <c r="A693" s="27"/>
      <c r="C693" s="28"/>
      <c r="D693" s="28"/>
      <c r="E693" s="44"/>
      <c r="F693" s="44"/>
      <c r="G693" s="44"/>
      <c r="H693" s="44"/>
    </row>
    <row r="694" spans="1:8">
      <c r="A694" s="27"/>
      <c r="C694" s="28"/>
      <c r="D694" s="28"/>
      <c r="E694" s="44"/>
      <c r="F694" s="44"/>
      <c r="G694" s="44"/>
      <c r="H694" s="44"/>
    </row>
    <row r="695" spans="1:8">
      <c r="A695" s="27"/>
      <c r="C695" s="28"/>
      <c r="D695" s="28"/>
      <c r="E695" s="44"/>
      <c r="F695" s="44"/>
      <c r="G695" s="44"/>
      <c r="H695" s="44"/>
    </row>
    <row r="696" spans="1:8">
      <c r="A696" s="27"/>
      <c r="C696" s="28"/>
      <c r="D696" s="28"/>
      <c r="E696" s="44"/>
      <c r="F696" s="44"/>
      <c r="G696" s="44"/>
      <c r="H696" s="44"/>
    </row>
    <row r="697" spans="1:8">
      <c r="A697" s="27"/>
      <c r="C697" s="28"/>
      <c r="D697" s="28"/>
      <c r="E697" s="44"/>
      <c r="F697" s="44"/>
      <c r="G697" s="44"/>
      <c r="H697" s="44"/>
    </row>
    <row r="698" spans="1:8">
      <c r="A698" s="27"/>
      <c r="C698" s="28"/>
      <c r="D698" s="28"/>
      <c r="E698" s="44"/>
      <c r="F698" s="44"/>
      <c r="G698" s="44"/>
      <c r="H698" s="44"/>
    </row>
    <row r="699" spans="1:8">
      <c r="A699" s="27"/>
      <c r="C699" s="28"/>
      <c r="D699" s="28"/>
      <c r="E699" s="44"/>
      <c r="F699" s="44"/>
      <c r="G699" s="44"/>
      <c r="H699" s="44"/>
    </row>
    <row r="700" spans="1:8">
      <c r="A700" s="27"/>
      <c r="C700" s="28"/>
      <c r="D700" s="28"/>
      <c r="E700" s="44"/>
      <c r="F700" s="44"/>
      <c r="G700" s="44"/>
      <c r="H700" s="44"/>
    </row>
    <row r="701" spans="1:8">
      <c r="A701" s="27"/>
      <c r="C701" s="28"/>
      <c r="D701" s="28"/>
      <c r="E701" s="44"/>
      <c r="F701" s="44"/>
      <c r="G701" s="44"/>
      <c r="H701" s="44"/>
    </row>
    <row r="702" spans="1:8">
      <c r="A702" s="27"/>
      <c r="C702" s="28"/>
      <c r="D702" s="28"/>
      <c r="E702" s="44"/>
      <c r="F702" s="44"/>
      <c r="G702" s="44"/>
      <c r="H702" s="44"/>
    </row>
    <row r="703" spans="1:8">
      <c r="A703" s="27"/>
      <c r="C703" s="28"/>
      <c r="D703" s="28"/>
      <c r="E703" s="44"/>
      <c r="F703" s="44"/>
      <c r="G703" s="44"/>
      <c r="H703" s="44"/>
    </row>
    <row r="704" spans="1:8">
      <c r="A704" s="27"/>
      <c r="C704" s="28"/>
      <c r="D704" s="28"/>
      <c r="E704" s="44"/>
      <c r="F704" s="44"/>
      <c r="G704" s="44"/>
      <c r="H704" s="44"/>
    </row>
    <row r="705" spans="1:8">
      <c r="A705" s="27"/>
      <c r="C705" s="28"/>
      <c r="D705" s="28"/>
      <c r="E705" s="44"/>
      <c r="F705" s="44"/>
      <c r="G705" s="44"/>
      <c r="H705" s="44"/>
    </row>
    <row r="706" spans="1:8">
      <c r="A706" s="27"/>
      <c r="C706" s="28"/>
      <c r="D706" s="28"/>
      <c r="E706" s="44"/>
      <c r="F706" s="44"/>
      <c r="G706" s="44"/>
      <c r="H706" s="44"/>
    </row>
    <row r="707" spans="1:8">
      <c r="A707" s="27"/>
      <c r="C707" s="28"/>
      <c r="D707" s="28"/>
      <c r="E707" s="44"/>
      <c r="F707" s="44"/>
      <c r="G707" s="44"/>
      <c r="H707" s="44"/>
    </row>
    <row r="708" spans="1:8">
      <c r="A708" s="27"/>
      <c r="C708" s="28"/>
      <c r="D708" s="28"/>
      <c r="E708" s="44"/>
      <c r="F708" s="44"/>
      <c r="G708" s="44"/>
      <c r="H708" s="44"/>
    </row>
    <row r="709" spans="1:8">
      <c r="A709" s="27"/>
      <c r="C709" s="28"/>
      <c r="D709" s="28"/>
      <c r="E709" s="44"/>
      <c r="F709" s="44"/>
      <c r="G709" s="44"/>
      <c r="H709" s="44"/>
    </row>
    <row r="710" spans="1:8">
      <c r="A710" s="27"/>
      <c r="C710" s="28"/>
      <c r="D710" s="28"/>
      <c r="E710" s="44"/>
      <c r="F710" s="44"/>
      <c r="G710" s="44"/>
      <c r="H710" s="44"/>
    </row>
    <row r="711" spans="1:8">
      <c r="A711" s="27"/>
      <c r="C711" s="28"/>
      <c r="D711" s="28"/>
      <c r="E711" s="44"/>
      <c r="F711" s="44"/>
      <c r="G711" s="44"/>
      <c r="H711" s="44"/>
    </row>
    <row r="712" spans="1:8">
      <c r="A712" s="27"/>
      <c r="C712" s="28"/>
      <c r="D712" s="28"/>
      <c r="E712" s="44"/>
      <c r="F712" s="44"/>
      <c r="G712" s="44"/>
      <c r="H712" s="44"/>
    </row>
    <row r="713" spans="1:8">
      <c r="A713" s="27"/>
      <c r="C713" s="28"/>
      <c r="D713" s="28"/>
      <c r="E713" s="44"/>
      <c r="F713" s="44"/>
      <c r="G713" s="44"/>
      <c r="H713" s="44"/>
    </row>
    <row r="714" spans="1:8">
      <c r="A714" s="27"/>
      <c r="C714" s="28"/>
      <c r="D714" s="28"/>
      <c r="E714" s="44"/>
      <c r="F714" s="44"/>
      <c r="G714" s="44"/>
      <c r="H714" s="44"/>
    </row>
    <row r="715" spans="1:8">
      <c r="A715" s="27"/>
      <c r="C715" s="28"/>
      <c r="D715" s="28"/>
      <c r="E715" s="44"/>
      <c r="F715" s="44"/>
      <c r="G715" s="44"/>
      <c r="H715" s="44"/>
    </row>
    <row r="716" spans="1:8">
      <c r="A716" s="27"/>
      <c r="C716" s="28"/>
      <c r="D716" s="28"/>
      <c r="E716" s="44"/>
      <c r="F716" s="44"/>
      <c r="G716" s="44"/>
      <c r="H716" s="44"/>
    </row>
    <row r="717" spans="1:8">
      <c r="A717" s="27"/>
      <c r="C717" s="28"/>
      <c r="D717" s="28"/>
      <c r="E717" s="44"/>
      <c r="F717" s="44"/>
      <c r="G717" s="44"/>
      <c r="H717" s="44"/>
    </row>
    <row r="718" spans="1:8">
      <c r="A718" s="27"/>
      <c r="C718" s="28"/>
      <c r="D718" s="28"/>
      <c r="E718" s="44"/>
      <c r="F718" s="44"/>
      <c r="G718" s="44"/>
      <c r="H718" s="44"/>
    </row>
    <row r="719" spans="1:8">
      <c r="A719" s="27"/>
      <c r="C719" s="28"/>
      <c r="D719" s="28"/>
      <c r="E719" s="44"/>
      <c r="F719" s="44"/>
      <c r="G719" s="44"/>
      <c r="H719" s="44"/>
    </row>
    <row r="720" spans="1:8">
      <c r="A720" s="27"/>
      <c r="C720" s="28"/>
      <c r="D720" s="28"/>
      <c r="E720" s="44"/>
      <c r="F720" s="44"/>
      <c r="G720" s="44"/>
      <c r="H720" s="44"/>
    </row>
    <row r="721" spans="1:8">
      <c r="A721" s="27"/>
      <c r="C721" s="28"/>
      <c r="D721" s="28"/>
      <c r="E721" s="44"/>
      <c r="F721" s="44"/>
      <c r="G721" s="44"/>
      <c r="H721" s="44"/>
    </row>
    <row r="722" spans="1:8">
      <c r="A722" s="27"/>
      <c r="C722" s="28"/>
      <c r="D722" s="28"/>
      <c r="E722" s="44"/>
      <c r="F722" s="44"/>
      <c r="G722" s="44"/>
      <c r="H722" s="44"/>
    </row>
    <row r="723" spans="1:8">
      <c r="A723" s="27"/>
      <c r="C723" s="28"/>
      <c r="D723" s="28"/>
      <c r="E723" s="44"/>
      <c r="F723" s="44"/>
      <c r="G723" s="44"/>
      <c r="H723" s="44"/>
    </row>
    <row r="724" spans="1:8">
      <c r="A724" s="27"/>
      <c r="C724" s="28"/>
      <c r="D724" s="28"/>
      <c r="E724" s="44"/>
      <c r="F724" s="44"/>
      <c r="G724" s="44"/>
      <c r="H724" s="44"/>
    </row>
    <row r="725" spans="1:8">
      <c r="A725" s="27"/>
      <c r="C725" s="28"/>
      <c r="D725" s="28"/>
      <c r="E725" s="44"/>
      <c r="F725" s="44"/>
      <c r="G725" s="44"/>
      <c r="H725" s="44"/>
    </row>
    <row r="726" spans="1:8">
      <c r="A726" s="27"/>
      <c r="C726" s="28"/>
      <c r="D726" s="28"/>
      <c r="E726" s="44"/>
      <c r="F726" s="44"/>
      <c r="G726" s="44"/>
      <c r="H726" s="44"/>
    </row>
    <row r="727" spans="1:8">
      <c r="A727" s="27"/>
      <c r="C727" s="28"/>
      <c r="D727" s="28"/>
      <c r="E727" s="44"/>
      <c r="F727" s="44"/>
      <c r="G727" s="44"/>
      <c r="H727" s="44"/>
    </row>
    <row r="728" spans="1:8">
      <c r="A728" s="27"/>
      <c r="C728" s="28"/>
      <c r="D728" s="28"/>
      <c r="E728" s="44"/>
      <c r="F728" s="44"/>
      <c r="G728" s="44"/>
      <c r="H728" s="44"/>
    </row>
    <row r="729" spans="1:8">
      <c r="A729" s="27"/>
      <c r="C729" s="28"/>
      <c r="D729" s="28"/>
      <c r="E729" s="44"/>
      <c r="F729" s="44"/>
      <c r="G729" s="44"/>
      <c r="H729" s="44"/>
    </row>
    <row r="730" spans="1:8">
      <c r="A730" s="27"/>
      <c r="C730" s="28"/>
      <c r="D730" s="28"/>
      <c r="E730" s="44"/>
      <c r="F730" s="44"/>
      <c r="G730" s="44"/>
      <c r="H730" s="44"/>
    </row>
    <row r="731" spans="1:8">
      <c r="A731" s="27"/>
      <c r="C731" s="28"/>
      <c r="D731" s="28"/>
      <c r="E731" s="44"/>
      <c r="F731" s="44"/>
      <c r="G731" s="44"/>
      <c r="H731" s="44"/>
    </row>
    <row r="732" spans="1:8">
      <c r="A732" s="27"/>
      <c r="C732" s="28"/>
      <c r="D732" s="28"/>
      <c r="E732" s="44"/>
      <c r="F732" s="44"/>
      <c r="G732" s="44"/>
      <c r="H732" s="44"/>
    </row>
    <row r="733" spans="1:8">
      <c r="A733" s="27"/>
      <c r="C733" s="28"/>
      <c r="D733" s="28"/>
      <c r="E733" s="44"/>
      <c r="F733" s="44"/>
      <c r="G733" s="44"/>
      <c r="H733" s="44"/>
    </row>
    <row r="734" spans="1:8">
      <c r="A734" s="27"/>
      <c r="C734" s="28"/>
      <c r="D734" s="28"/>
      <c r="E734" s="44"/>
      <c r="F734" s="44"/>
      <c r="G734" s="44"/>
      <c r="H734" s="44"/>
    </row>
    <row r="735" spans="1:8">
      <c r="A735" s="27"/>
      <c r="C735" s="28"/>
      <c r="D735" s="28"/>
      <c r="E735" s="44"/>
      <c r="F735" s="44"/>
      <c r="G735" s="44"/>
      <c r="H735" s="44"/>
    </row>
    <row r="736" spans="1:8">
      <c r="A736" s="27"/>
      <c r="C736" s="28"/>
      <c r="D736" s="28"/>
      <c r="E736" s="44"/>
      <c r="F736" s="44"/>
      <c r="G736" s="44"/>
      <c r="H736" s="44"/>
    </row>
    <row r="737" spans="1:8">
      <c r="A737" s="27"/>
      <c r="C737" s="28"/>
      <c r="D737" s="28"/>
      <c r="E737" s="44"/>
      <c r="F737" s="44"/>
      <c r="G737" s="44"/>
      <c r="H737" s="44"/>
    </row>
    <row r="738" spans="1:8">
      <c r="A738" s="27"/>
      <c r="C738" s="28"/>
      <c r="D738" s="28"/>
      <c r="E738" s="44"/>
      <c r="F738" s="44"/>
      <c r="G738" s="44"/>
      <c r="H738" s="44"/>
    </row>
    <row r="739" spans="1:8">
      <c r="A739" s="27"/>
      <c r="C739" s="28"/>
      <c r="D739" s="28"/>
      <c r="E739" s="44"/>
      <c r="F739" s="44"/>
      <c r="G739" s="44"/>
      <c r="H739" s="44"/>
    </row>
    <row r="740" spans="1:8">
      <c r="A740" s="27"/>
      <c r="C740" s="28"/>
      <c r="D740" s="28"/>
      <c r="E740" s="44"/>
      <c r="F740" s="44"/>
      <c r="G740" s="44"/>
      <c r="H740" s="44"/>
    </row>
    <row r="741" spans="1:8">
      <c r="A741" s="27"/>
      <c r="C741" s="28"/>
      <c r="D741" s="28"/>
      <c r="E741" s="44"/>
      <c r="F741" s="44"/>
      <c r="G741" s="44"/>
      <c r="H741" s="44"/>
    </row>
    <row r="742" spans="1:8">
      <c r="A742" s="27"/>
      <c r="C742" s="28"/>
      <c r="D742" s="28"/>
      <c r="E742" s="44"/>
      <c r="F742" s="44"/>
      <c r="G742" s="44"/>
      <c r="H742" s="44"/>
    </row>
    <row r="743" spans="1:8">
      <c r="A743" s="27"/>
      <c r="C743" s="28"/>
      <c r="D743" s="28"/>
      <c r="E743" s="44"/>
      <c r="F743" s="44"/>
      <c r="G743" s="44"/>
      <c r="H743" s="44"/>
    </row>
    <row r="744" spans="1:8">
      <c r="A744" s="27"/>
      <c r="C744" s="28"/>
      <c r="D744" s="28"/>
      <c r="E744" s="44"/>
      <c r="F744" s="44"/>
      <c r="G744" s="44"/>
      <c r="H744" s="44"/>
    </row>
    <row r="745" spans="1:8">
      <c r="A745" s="27"/>
      <c r="C745" s="28"/>
      <c r="D745" s="28"/>
      <c r="E745" s="44"/>
      <c r="F745" s="44"/>
      <c r="G745" s="44"/>
      <c r="H745" s="44"/>
    </row>
    <row r="746" spans="1:8">
      <c r="A746" s="27"/>
      <c r="C746" s="28"/>
      <c r="D746" s="28"/>
      <c r="E746" s="44"/>
      <c r="F746" s="44"/>
      <c r="G746" s="44"/>
      <c r="H746" s="44"/>
    </row>
    <row r="747" spans="1:8">
      <c r="A747" s="27"/>
      <c r="C747" s="28"/>
      <c r="D747" s="28"/>
      <c r="E747" s="44"/>
      <c r="F747" s="44"/>
      <c r="G747" s="44"/>
      <c r="H747" s="44"/>
    </row>
    <row r="748" spans="1:8">
      <c r="A748" s="27"/>
      <c r="C748" s="28"/>
      <c r="D748" s="28"/>
      <c r="E748" s="44"/>
      <c r="F748" s="44"/>
      <c r="G748" s="44"/>
      <c r="H748" s="44"/>
    </row>
    <row r="749" spans="1:8">
      <c r="A749" s="27"/>
      <c r="C749" s="28"/>
      <c r="D749" s="28"/>
      <c r="E749" s="44"/>
      <c r="F749" s="44"/>
      <c r="G749" s="44"/>
      <c r="H749" s="44"/>
    </row>
    <row r="750" spans="1:8">
      <c r="A750" s="27"/>
      <c r="C750" s="28"/>
      <c r="D750" s="28"/>
      <c r="E750" s="44"/>
      <c r="F750" s="44"/>
      <c r="G750" s="44"/>
      <c r="H750" s="44"/>
    </row>
    <row r="751" spans="1:8">
      <c r="A751" s="27"/>
      <c r="C751" s="28"/>
      <c r="D751" s="28"/>
      <c r="E751" s="44"/>
      <c r="F751" s="44"/>
      <c r="G751" s="44"/>
      <c r="H751" s="44"/>
    </row>
    <row r="752" spans="1:8">
      <c r="A752" s="27"/>
      <c r="C752" s="28"/>
      <c r="D752" s="28"/>
      <c r="E752" s="44"/>
      <c r="F752" s="44"/>
      <c r="G752" s="44"/>
      <c r="H752" s="44"/>
    </row>
    <row r="753" spans="1:8">
      <c r="A753" s="27"/>
      <c r="C753" s="28"/>
      <c r="D753" s="28"/>
      <c r="E753" s="44"/>
      <c r="F753" s="44"/>
      <c r="G753" s="44"/>
      <c r="H753" s="44"/>
    </row>
    <row r="754" spans="1:8">
      <c r="A754" s="27"/>
      <c r="C754" s="28"/>
      <c r="D754" s="28"/>
      <c r="E754" s="44"/>
      <c r="F754" s="44"/>
      <c r="G754" s="44"/>
      <c r="H754" s="44"/>
    </row>
    <row r="755" spans="1:8">
      <c r="A755" s="27"/>
      <c r="C755" s="28"/>
      <c r="D755" s="28"/>
      <c r="E755" s="44"/>
      <c r="F755" s="44"/>
      <c r="G755" s="44"/>
      <c r="H755" s="44"/>
    </row>
    <row r="756" spans="1:8">
      <c r="A756" s="27"/>
      <c r="C756" s="28"/>
      <c r="D756" s="28"/>
      <c r="E756" s="44"/>
      <c r="F756" s="44"/>
      <c r="G756" s="44"/>
      <c r="H756" s="44"/>
    </row>
    <row r="757" spans="1:8">
      <c r="A757" s="27"/>
      <c r="C757" s="28"/>
      <c r="D757" s="28"/>
      <c r="E757" s="44"/>
      <c r="F757" s="44"/>
      <c r="G757" s="44"/>
      <c r="H757" s="44"/>
    </row>
    <row r="758" spans="1:8">
      <c r="A758" s="27"/>
      <c r="C758" s="28"/>
      <c r="D758" s="28"/>
      <c r="E758" s="44"/>
      <c r="F758" s="44"/>
      <c r="G758" s="44"/>
      <c r="H758" s="44"/>
    </row>
    <row r="759" spans="1:8">
      <c r="A759" s="27"/>
      <c r="C759" s="28"/>
      <c r="D759" s="28"/>
      <c r="E759" s="44"/>
      <c r="F759" s="44"/>
      <c r="G759" s="44"/>
      <c r="H759" s="44"/>
    </row>
    <row r="760" spans="1:8">
      <c r="A760" s="27"/>
      <c r="C760" s="28"/>
      <c r="D760" s="28"/>
      <c r="E760" s="44"/>
      <c r="F760" s="44"/>
      <c r="G760" s="44"/>
      <c r="H760" s="44"/>
    </row>
    <row r="761" spans="1:8">
      <c r="A761" s="27"/>
      <c r="C761" s="28"/>
      <c r="D761" s="28"/>
      <c r="E761" s="44"/>
      <c r="F761" s="44"/>
      <c r="G761" s="44"/>
      <c r="H761" s="44"/>
    </row>
    <row r="762" spans="1:8">
      <c r="A762" s="27"/>
      <c r="C762" s="28"/>
      <c r="D762" s="28"/>
      <c r="E762" s="44"/>
      <c r="F762" s="44"/>
      <c r="G762" s="44"/>
      <c r="H762" s="44"/>
    </row>
    <row r="763" spans="1:8">
      <c r="A763" s="27"/>
      <c r="C763" s="28"/>
      <c r="D763" s="28"/>
      <c r="E763" s="44"/>
      <c r="F763" s="44"/>
      <c r="G763" s="44"/>
      <c r="H763" s="44"/>
    </row>
    <row r="764" spans="1:8">
      <c r="A764" s="27"/>
      <c r="C764" s="28"/>
      <c r="D764" s="28"/>
      <c r="E764" s="44"/>
      <c r="F764" s="44"/>
      <c r="G764" s="44"/>
      <c r="H764" s="44"/>
    </row>
    <row r="765" spans="1:8">
      <c r="A765" s="27"/>
      <c r="C765" s="28"/>
      <c r="D765" s="28"/>
      <c r="E765" s="44"/>
      <c r="F765" s="44"/>
      <c r="G765" s="44"/>
      <c r="H765" s="44"/>
    </row>
    <row r="766" spans="1:8">
      <c r="A766" s="27"/>
      <c r="C766" s="28"/>
      <c r="D766" s="28"/>
      <c r="E766" s="44"/>
      <c r="F766" s="44"/>
      <c r="G766" s="44"/>
      <c r="H766" s="44"/>
    </row>
    <row r="767" spans="1:8">
      <c r="A767" s="27"/>
      <c r="C767" s="28"/>
      <c r="D767" s="28"/>
      <c r="E767" s="44"/>
      <c r="F767" s="44"/>
      <c r="G767" s="44"/>
      <c r="H767" s="44"/>
    </row>
    <row r="768" spans="1:8">
      <c r="A768" s="27"/>
      <c r="C768" s="28"/>
      <c r="D768" s="28"/>
      <c r="E768" s="44"/>
      <c r="F768" s="44"/>
      <c r="G768" s="44"/>
      <c r="H768" s="44"/>
    </row>
    <row r="769" spans="1:8">
      <c r="A769" s="27"/>
      <c r="C769" s="28"/>
      <c r="D769" s="28"/>
      <c r="E769" s="44"/>
      <c r="F769" s="44"/>
      <c r="G769" s="44"/>
      <c r="H769" s="44"/>
    </row>
    <row r="770" spans="1:8">
      <c r="A770" s="27"/>
      <c r="C770" s="28"/>
      <c r="D770" s="28"/>
      <c r="E770" s="44"/>
      <c r="F770" s="44"/>
      <c r="G770" s="44"/>
      <c r="H770" s="44"/>
    </row>
    <row r="771" spans="1:8">
      <c r="A771" s="27"/>
      <c r="C771" s="28"/>
      <c r="D771" s="28"/>
      <c r="E771" s="44"/>
      <c r="F771" s="44"/>
      <c r="G771" s="44"/>
      <c r="H771" s="44"/>
    </row>
    <row r="772" spans="1:8">
      <c r="A772" s="27"/>
      <c r="C772" s="28"/>
      <c r="D772" s="28"/>
      <c r="E772" s="44"/>
      <c r="F772" s="44"/>
      <c r="G772" s="44"/>
      <c r="H772" s="44"/>
    </row>
    <row r="773" spans="1:8">
      <c r="A773" s="27"/>
      <c r="C773" s="28"/>
      <c r="D773" s="28"/>
      <c r="E773" s="44"/>
      <c r="F773" s="44"/>
      <c r="G773" s="44"/>
      <c r="H773" s="44"/>
    </row>
    <row r="774" spans="1:8">
      <c r="A774" s="27"/>
      <c r="C774" s="28"/>
      <c r="D774" s="28"/>
      <c r="E774" s="44"/>
      <c r="F774" s="44"/>
      <c r="G774" s="44"/>
      <c r="H774" s="44"/>
    </row>
    <row r="775" spans="1:8">
      <c r="A775" s="27"/>
      <c r="C775" s="28"/>
      <c r="D775" s="28"/>
      <c r="E775" s="44"/>
      <c r="F775" s="44"/>
      <c r="G775" s="44"/>
      <c r="H775" s="44"/>
    </row>
    <row r="776" spans="1:8">
      <c r="A776" s="27"/>
      <c r="C776" s="28"/>
      <c r="D776" s="28"/>
      <c r="E776" s="44"/>
      <c r="F776" s="44"/>
      <c r="G776" s="44"/>
      <c r="H776" s="44"/>
    </row>
    <row r="777" spans="1:8">
      <c r="A777" s="27"/>
      <c r="C777" s="28"/>
      <c r="D777" s="28"/>
      <c r="E777" s="44"/>
      <c r="F777" s="44"/>
      <c r="G777" s="44"/>
      <c r="H777" s="44"/>
    </row>
    <row r="778" spans="1:8">
      <c r="A778" s="27"/>
      <c r="C778" s="28"/>
      <c r="D778" s="28"/>
      <c r="E778" s="44"/>
      <c r="F778" s="44"/>
      <c r="G778" s="44"/>
      <c r="H778" s="44"/>
    </row>
    <row r="779" spans="1:8">
      <c r="A779" s="27"/>
      <c r="C779" s="28"/>
      <c r="D779" s="28"/>
      <c r="E779" s="44"/>
      <c r="F779" s="44"/>
      <c r="G779" s="44"/>
      <c r="H779" s="44"/>
    </row>
    <row r="780" spans="1:8">
      <c r="A780" s="27"/>
      <c r="C780" s="28"/>
      <c r="D780" s="28"/>
      <c r="E780" s="44"/>
      <c r="F780" s="44"/>
      <c r="G780" s="44"/>
      <c r="H780" s="44"/>
    </row>
    <row r="781" spans="1:8">
      <c r="A781" s="27"/>
      <c r="C781" s="28"/>
      <c r="D781" s="28"/>
      <c r="E781" s="44"/>
      <c r="F781" s="44"/>
      <c r="G781" s="44"/>
      <c r="H781" s="44"/>
    </row>
    <row r="782" spans="1:8">
      <c r="A782" s="27"/>
      <c r="C782" s="28"/>
      <c r="D782" s="28"/>
      <c r="E782" s="44"/>
      <c r="F782" s="44"/>
      <c r="G782" s="44"/>
      <c r="H782" s="44"/>
    </row>
    <row r="783" spans="1:8">
      <c r="A783" s="27"/>
      <c r="C783" s="28"/>
      <c r="D783" s="28"/>
      <c r="E783" s="44"/>
      <c r="F783" s="44"/>
      <c r="G783" s="44"/>
      <c r="H783" s="44"/>
    </row>
    <row r="784" spans="1:8">
      <c r="A784" s="27"/>
      <c r="C784" s="28"/>
      <c r="D784" s="28"/>
      <c r="E784" s="44"/>
      <c r="F784" s="44"/>
      <c r="G784" s="44"/>
      <c r="H784" s="44"/>
    </row>
    <row r="785" spans="1:8">
      <c r="A785" s="27"/>
      <c r="C785" s="28"/>
      <c r="D785" s="28"/>
      <c r="E785" s="44"/>
      <c r="F785" s="44"/>
      <c r="G785" s="44"/>
      <c r="H785" s="44"/>
    </row>
    <row r="786" spans="1:8">
      <c r="A786" s="27"/>
      <c r="C786" s="28"/>
      <c r="D786" s="28"/>
      <c r="E786" s="44"/>
      <c r="F786" s="44"/>
      <c r="G786" s="44"/>
      <c r="H786" s="44"/>
    </row>
    <row r="787" spans="1:8">
      <c r="A787" s="27"/>
      <c r="C787" s="28"/>
      <c r="D787" s="28"/>
      <c r="E787" s="44"/>
      <c r="F787" s="44"/>
      <c r="G787" s="44"/>
      <c r="H787" s="44"/>
    </row>
    <row r="788" spans="1:8">
      <c r="A788" s="27"/>
      <c r="C788" s="28"/>
      <c r="D788" s="28"/>
      <c r="E788" s="44"/>
      <c r="F788" s="44"/>
      <c r="G788" s="44"/>
      <c r="H788" s="44"/>
    </row>
    <row r="789" spans="1:8">
      <c r="A789" s="27"/>
      <c r="C789" s="28"/>
      <c r="D789" s="28"/>
      <c r="E789" s="44"/>
      <c r="F789" s="44"/>
      <c r="G789" s="44"/>
      <c r="H789" s="44"/>
    </row>
    <row r="790" spans="1:8">
      <c r="A790" s="27"/>
      <c r="C790" s="28"/>
      <c r="D790" s="28"/>
      <c r="E790" s="44"/>
      <c r="F790" s="44"/>
      <c r="G790" s="44"/>
      <c r="H790" s="44"/>
    </row>
    <row r="791" spans="1:8">
      <c r="A791" s="27"/>
      <c r="C791" s="28"/>
      <c r="D791" s="28"/>
      <c r="E791" s="44"/>
      <c r="F791" s="44"/>
      <c r="G791" s="44"/>
      <c r="H791" s="44"/>
    </row>
    <row r="792" spans="1:8">
      <c r="A792" s="27"/>
      <c r="C792" s="28"/>
      <c r="D792" s="28"/>
      <c r="E792" s="44"/>
      <c r="F792" s="44"/>
      <c r="G792" s="44"/>
      <c r="H792" s="44"/>
    </row>
    <row r="793" spans="1:8">
      <c r="A793" s="27"/>
      <c r="C793" s="28"/>
      <c r="D793" s="28"/>
      <c r="E793" s="44"/>
      <c r="F793" s="44"/>
      <c r="G793" s="44"/>
      <c r="H793" s="44"/>
    </row>
    <row r="794" spans="1:8">
      <c r="A794" s="27"/>
      <c r="C794" s="28"/>
      <c r="D794" s="28"/>
      <c r="E794" s="44"/>
      <c r="F794" s="44"/>
      <c r="G794" s="44"/>
      <c r="H794" s="44"/>
    </row>
    <row r="795" spans="1:8">
      <c r="A795" s="27"/>
      <c r="C795" s="28"/>
      <c r="D795" s="28"/>
      <c r="E795" s="44"/>
      <c r="F795" s="44"/>
      <c r="G795" s="44"/>
      <c r="H795" s="44"/>
    </row>
    <row r="796" spans="1:8">
      <c r="A796" s="27"/>
      <c r="C796" s="28"/>
      <c r="D796" s="28"/>
      <c r="E796" s="44"/>
      <c r="F796" s="44"/>
      <c r="G796" s="44"/>
      <c r="H796" s="44"/>
    </row>
    <row r="797" spans="1:8">
      <c r="A797" s="27"/>
      <c r="C797" s="28"/>
      <c r="D797" s="28"/>
      <c r="E797" s="44"/>
      <c r="F797" s="44"/>
      <c r="G797" s="44"/>
      <c r="H797" s="44"/>
    </row>
    <row r="798" spans="1:8">
      <c r="A798" s="27"/>
      <c r="C798" s="28"/>
      <c r="D798" s="28"/>
      <c r="E798" s="44"/>
      <c r="F798" s="44"/>
      <c r="G798" s="44"/>
      <c r="H798" s="44"/>
    </row>
    <row r="799" spans="1:8">
      <c r="A799" s="27"/>
      <c r="C799" s="28"/>
      <c r="D799" s="28"/>
      <c r="E799" s="44"/>
      <c r="F799" s="44"/>
      <c r="G799" s="44"/>
      <c r="H799" s="44"/>
    </row>
    <row r="800" spans="1:8">
      <c r="A800" s="27"/>
      <c r="C800" s="28"/>
      <c r="D800" s="28"/>
      <c r="E800" s="44"/>
      <c r="F800" s="44"/>
      <c r="G800" s="44"/>
      <c r="H800" s="44"/>
    </row>
    <row r="801" spans="1:8">
      <c r="A801" s="27"/>
      <c r="C801" s="28"/>
      <c r="D801" s="28"/>
      <c r="E801" s="44"/>
      <c r="F801" s="44"/>
      <c r="G801" s="44"/>
      <c r="H801" s="44"/>
    </row>
    <row r="802" spans="1:8">
      <c r="A802" s="27"/>
      <c r="C802" s="28"/>
      <c r="D802" s="28"/>
      <c r="E802" s="44"/>
      <c r="F802" s="44"/>
      <c r="G802" s="44"/>
      <c r="H802" s="44"/>
    </row>
    <row r="803" spans="1:8">
      <c r="A803" s="27"/>
      <c r="C803" s="28"/>
      <c r="D803" s="28"/>
      <c r="E803" s="44"/>
      <c r="F803" s="44"/>
      <c r="G803" s="44"/>
      <c r="H803" s="44"/>
    </row>
    <row r="804" spans="1:8">
      <c r="A804" s="27"/>
      <c r="C804" s="28"/>
      <c r="D804" s="28"/>
      <c r="E804" s="44"/>
      <c r="F804" s="44"/>
      <c r="G804" s="44"/>
      <c r="H804" s="44"/>
    </row>
    <row r="805" spans="1:8">
      <c r="A805" s="27"/>
      <c r="C805" s="28"/>
      <c r="D805" s="28"/>
      <c r="E805" s="44"/>
      <c r="F805" s="44"/>
      <c r="G805" s="44"/>
      <c r="H805" s="44"/>
    </row>
    <row r="806" spans="1:8">
      <c r="A806" s="27"/>
      <c r="C806" s="28"/>
      <c r="D806" s="28"/>
      <c r="E806" s="44"/>
      <c r="F806" s="44"/>
      <c r="G806" s="44"/>
      <c r="H806" s="44"/>
    </row>
    <row r="807" spans="1:8">
      <c r="A807" s="27"/>
      <c r="C807" s="28"/>
      <c r="D807" s="28"/>
      <c r="E807" s="44"/>
      <c r="F807" s="44"/>
      <c r="G807" s="44"/>
      <c r="H807" s="44"/>
    </row>
    <row r="808" spans="1:8">
      <c r="A808" s="27"/>
      <c r="C808" s="28"/>
      <c r="D808" s="28"/>
      <c r="E808" s="44"/>
      <c r="F808" s="44"/>
      <c r="G808" s="44"/>
      <c r="H808" s="44"/>
    </row>
    <row r="809" spans="1:8">
      <c r="A809" s="27"/>
      <c r="C809" s="28"/>
      <c r="D809" s="28"/>
      <c r="E809" s="44"/>
      <c r="F809" s="44"/>
      <c r="G809" s="44"/>
      <c r="H809" s="44"/>
    </row>
    <row r="810" spans="1:8">
      <c r="A810" s="27"/>
      <c r="C810" s="28"/>
      <c r="D810" s="28"/>
      <c r="E810" s="44"/>
      <c r="F810" s="44"/>
      <c r="G810" s="44"/>
      <c r="H810" s="44"/>
    </row>
    <row r="811" spans="1:8">
      <c r="A811" s="27"/>
      <c r="C811" s="28"/>
      <c r="D811" s="28"/>
      <c r="E811" s="44"/>
      <c r="F811" s="44"/>
      <c r="G811" s="44"/>
      <c r="H811" s="44"/>
    </row>
    <row r="812" spans="1:8">
      <c r="A812" s="27"/>
      <c r="C812" s="28"/>
      <c r="D812" s="28"/>
      <c r="E812" s="44"/>
      <c r="F812" s="44"/>
      <c r="G812" s="44"/>
      <c r="H812" s="44"/>
    </row>
    <row r="813" spans="1:8">
      <c r="A813" s="27"/>
      <c r="C813" s="28"/>
      <c r="D813" s="28"/>
      <c r="E813" s="44"/>
      <c r="F813" s="44"/>
      <c r="G813" s="44"/>
      <c r="H813" s="44"/>
    </row>
    <row r="814" spans="1:8">
      <c r="A814" s="27"/>
      <c r="C814" s="28"/>
      <c r="D814" s="28"/>
      <c r="E814" s="44"/>
      <c r="F814" s="44"/>
      <c r="G814" s="44"/>
      <c r="H814" s="44"/>
    </row>
    <row r="815" spans="1:8">
      <c r="A815" s="27"/>
      <c r="C815" s="28"/>
      <c r="D815" s="28"/>
      <c r="E815" s="44"/>
      <c r="F815" s="44"/>
      <c r="G815" s="44"/>
      <c r="H815" s="44"/>
    </row>
    <row r="816" spans="1:8">
      <c r="A816" s="27"/>
      <c r="C816" s="28"/>
      <c r="D816" s="28"/>
      <c r="E816" s="44"/>
      <c r="F816" s="44"/>
      <c r="G816" s="44"/>
      <c r="H816" s="44"/>
    </row>
    <row r="817" spans="1:8">
      <c r="A817" s="27"/>
      <c r="C817" s="28"/>
      <c r="D817" s="28"/>
      <c r="E817" s="44"/>
      <c r="F817" s="44"/>
      <c r="G817" s="44"/>
      <c r="H817" s="44"/>
    </row>
    <row r="818" spans="1:8">
      <c r="A818" s="27"/>
      <c r="C818" s="28"/>
      <c r="D818" s="28"/>
      <c r="E818" s="44"/>
      <c r="F818" s="44"/>
      <c r="G818" s="44"/>
      <c r="H818" s="44"/>
    </row>
    <row r="819" spans="1:8">
      <c r="A819" s="27"/>
      <c r="C819" s="28"/>
      <c r="D819" s="28"/>
      <c r="E819" s="44"/>
      <c r="F819" s="44"/>
      <c r="G819" s="44"/>
      <c r="H819" s="44"/>
    </row>
    <row r="820" spans="1:8">
      <c r="A820" s="27"/>
      <c r="C820" s="28"/>
      <c r="D820" s="28"/>
      <c r="E820" s="44"/>
      <c r="F820" s="44"/>
      <c r="G820" s="44"/>
      <c r="H820" s="44"/>
    </row>
    <row r="821" spans="1:8">
      <c r="A821" s="27"/>
      <c r="C821" s="28"/>
      <c r="D821" s="28"/>
      <c r="E821" s="44"/>
      <c r="F821" s="44"/>
      <c r="G821" s="44"/>
      <c r="H821" s="44"/>
    </row>
    <row r="822" spans="1:8">
      <c r="A822" s="27"/>
      <c r="C822" s="28"/>
      <c r="D822" s="28"/>
      <c r="E822" s="44"/>
      <c r="F822" s="44"/>
      <c r="G822" s="44"/>
      <c r="H822" s="44"/>
    </row>
    <row r="823" spans="1:8">
      <c r="A823" s="27"/>
      <c r="C823" s="28"/>
      <c r="D823" s="28"/>
      <c r="E823" s="44"/>
      <c r="F823" s="44"/>
      <c r="G823" s="44"/>
      <c r="H823" s="44"/>
    </row>
    <row r="824" spans="1:8">
      <c r="A824" s="27"/>
      <c r="C824" s="28"/>
      <c r="D824" s="28"/>
      <c r="E824" s="44"/>
      <c r="F824" s="44"/>
      <c r="G824" s="44"/>
      <c r="H824" s="44"/>
    </row>
    <row r="825" spans="1:8">
      <c r="A825" s="27"/>
      <c r="C825" s="28"/>
      <c r="D825" s="28"/>
      <c r="E825" s="44"/>
      <c r="F825" s="44"/>
      <c r="G825" s="44"/>
      <c r="H825" s="44"/>
    </row>
    <row r="826" spans="1:8">
      <c r="A826" s="27"/>
      <c r="C826" s="28"/>
      <c r="D826" s="28"/>
      <c r="E826" s="44"/>
      <c r="F826" s="44"/>
      <c r="G826" s="44"/>
      <c r="H826" s="44"/>
    </row>
    <row r="827" spans="1:8">
      <c r="A827" s="27"/>
      <c r="C827" s="28"/>
      <c r="D827" s="28"/>
      <c r="E827" s="44"/>
      <c r="F827" s="44"/>
      <c r="G827" s="44"/>
      <c r="H827" s="44"/>
    </row>
    <row r="828" spans="1:8">
      <c r="A828" s="27"/>
      <c r="C828" s="28"/>
      <c r="D828" s="28"/>
      <c r="E828" s="44"/>
      <c r="F828" s="44"/>
      <c r="G828" s="44"/>
      <c r="H828" s="44"/>
    </row>
    <row r="829" spans="1:8">
      <c r="A829" s="27"/>
      <c r="C829" s="28"/>
      <c r="D829" s="28"/>
      <c r="E829" s="44"/>
      <c r="F829" s="44"/>
      <c r="G829" s="44"/>
      <c r="H829" s="44"/>
    </row>
    <row r="830" spans="1:8">
      <c r="A830" s="27"/>
      <c r="C830" s="28"/>
      <c r="D830" s="28"/>
      <c r="E830" s="44"/>
      <c r="F830" s="44"/>
      <c r="G830" s="44"/>
      <c r="H830" s="44"/>
    </row>
    <row r="831" spans="1:8">
      <c r="A831" s="27"/>
      <c r="C831" s="28"/>
      <c r="D831" s="28"/>
      <c r="E831" s="44"/>
      <c r="F831" s="44"/>
      <c r="G831" s="44"/>
      <c r="H831" s="44"/>
    </row>
    <row r="832" spans="1:8">
      <c r="A832" s="27"/>
      <c r="C832" s="28"/>
      <c r="D832" s="28"/>
      <c r="E832" s="44"/>
      <c r="F832" s="44"/>
      <c r="G832" s="44"/>
      <c r="H832" s="44"/>
    </row>
    <row r="833" spans="1:8">
      <c r="A833" s="27"/>
      <c r="C833" s="28"/>
      <c r="D833" s="28"/>
      <c r="E833" s="44"/>
      <c r="F833" s="44"/>
      <c r="G833" s="44"/>
      <c r="H833" s="44"/>
    </row>
    <row r="834" spans="1:8">
      <c r="A834" s="27"/>
      <c r="C834" s="28"/>
      <c r="D834" s="28"/>
      <c r="E834" s="44"/>
      <c r="F834" s="44"/>
      <c r="G834" s="44"/>
      <c r="H834" s="44"/>
    </row>
    <row r="835" spans="1:8">
      <c r="A835" s="27"/>
      <c r="C835" s="28"/>
      <c r="D835" s="28"/>
      <c r="E835" s="44"/>
      <c r="F835" s="44"/>
      <c r="G835" s="44"/>
      <c r="H835" s="44"/>
    </row>
    <row r="836" spans="1:8">
      <c r="A836" s="27"/>
      <c r="C836" s="28"/>
      <c r="D836" s="28"/>
      <c r="E836" s="44"/>
      <c r="F836" s="44"/>
      <c r="G836" s="44"/>
      <c r="H836" s="44"/>
    </row>
    <row r="837" spans="1:8">
      <c r="A837" s="27"/>
      <c r="C837" s="28"/>
      <c r="D837" s="28"/>
      <c r="E837" s="44"/>
      <c r="F837" s="44"/>
      <c r="G837" s="44"/>
      <c r="H837" s="44"/>
    </row>
    <row r="838" spans="1:8">
      <c r="A838" s="27"/>
      <c r="C838" s="28"/>
      <c r="D838" s="28"/>
      <c r="E838" s="44"/>
      <c r="F838" s="44"/>
      <c r="G838" s="44"/>
      <c r="H838" s="44"/>
    </row>
    <row r="839" spans="1:8">
      <c r="A839" s="27"/>
      <c r="C839" s="28"/>
      <c r="D839" s="28"/>
      <c r="E839" s="44"/>
      <c r="F839" s="44"/>
      <c r="G839" s="44"/>
      <c r="H839" s="44"/>
    </row>
    <row r="840" spans="1:8">
      <c r="A840" s="27"/>
      <c r="C840" s="28"/>
      <c r="D840" s="28"/>
      <c r="E840" s="44"/>
      <c r="F840" s="44"/>
      <c r="G840" s="44"/>
      <c r="H840" s="44"/>
    </row>
    <row r="841" spans="1:8">
      <c r="A841" s="27"/>
      <c r="C841" s="28"/>
      <c r="D841" s="28"/>
      <c r="E841" s="44"/>
      <c r="F841" s="44"/>
      <c r="G841" s="44"/>
      <c r="H841" s="44"/>
    </row>
    <row r="842" spans="1:8">
      <c r="A842" s="27"/>
      <c r="C842" s="28"/>
      <c r="D842" s="28"/>
      <c r="E842" s="44"/>
      <c r="F842" s="44"/>
      <c r="G842" s="44"/>
      <c r="H842" s="44"/>
    </row>
    <row r="843" spans="1:8">
      <c r="A843" s="27"/>
      <c r="C843" s="28"/>
      <c r="D843" s="28"/>
      <c r="E843" s="44"/>
      <c r="F843" s="44"/>
      <c r="G843" s="44"/>
      <c r="H843" s="44"/>
    </row>
    <row r="844" spans="1:8">
      <c r="A844" s="27"/>
      <c r="C844" s="28"/>
      <c r="D844" s="28"/>
      <c r="E844" s="44"/>
      <c r="F844" s="44"/>
      <c r="G844" s="44"/>
      <c r="H844" s="44"/>
    </row>
    <row r="845" spans="1:8">
      <c r="A845" s="27"/>
      <c r="C845" s="28"/>
      <c r="D845" s="28"/>
      <c r="E845" s="44"/>
      <c r="F845" s="44"/>
      <c r="G845" s="44"/>
      <c r="H845" s="44"/>
    </row>
    <row r="846" spans="1:8">
      <c r="A846" s="27"/>
      <c r="C846" s="28"/>
      <c r="D846" s="28"/>
      <c r="E846" s="44"/>
      <c r="F846" s="44"/>
      <c r="G846" s="44"/>
      <c r="H846" s="44"/>
    </row>
    <row r="847" spans="1:8">
      <c r="A847" s="27"/>
      <c r="C847" s="28"/>
      <c r="D847" s="28"/>
      <c r="E847" s="44"/>
      <c r="F847" s="44"/>
      <c r="G847" s="44"/>
      <c r="H847" s="44"/>
    </row>
    <row r="848" spans="1:8">
      <c r="A848" s="27"/>
      <c r="C848" s="28"/>
      <c r="D848" s="28"/>
      <c r="E848" s="44"/>
      <c r="F848" s="44"/>
      <c r="G848" s="44"/>
      <c r="H848" s="44"/>
    </row>
    <row r="849" spans="1:8">
      <c r="A849" s="27"/>
      <c r="C849" s="28"/>
      <c r="D849" s="28"/>
      <c r="E849" s="44"/>
      <c r="F849" s="44"/>
      <c r="G849" s="44"/>
      <c r="H849" s="44"/>
    </row>
    <row r="850" spans="1:8">
      <c r="A850" s="27"/>
      <c r="C850" s="28"/>
      <c r="D850" s="28"/>
      <c r="E850" s="44"/>
      <c r="F850" s="44"/>
      <c r="G850" s="44"/>
      <c r="H850" s="44"/>
    </row>
    <row r="851" spans="1:8">
      <c r="A851" s="27"/>
      <c r="C851" s="28"/>
      <c r="D851" s="28"/>
      <c r="E851" s="44"/>
      <c r="F851" s="44"/>
      <c r="G851" s="44"/>
      <c r="H851" s="44"/>
    </row>
    <row r="852" spans="1:8">
      <c r="A852" s="27"/>
      <c r="C852" s="28"/>
      <c r="D852" s="28"/>
      <c r="E852" s="44"/>
      <c r="F852" s="44"/>
      <c r="G852" s="44"/>
      <c r="H852" s="44"/>
    </row>
    <row r="853" spans="1:8">
      <c r="A853" s="27"/>
      <c r="C853" s="28"/>
      <c r="D853" s="28"/>
      <c r="E853" s="44"/>
      <c r="F853" s="44"/>
      <c r="G853" s="44"/>
      <c r="H853" s="44"/>
    </row>
    <row r="854" spans="1:8">
      <c r="A854" s="27"/>
      <c r="C854" s="28"/>
      <c r="D854" s="28"/>
      <c r="E854" s="44"/>
      <c r="F854" s="44"/>
      <c r="G854" s="44"/>
      <c r="H854" s="44"/>
    </row>
    <row r="855" spans="1:8">
      <c r="A855" s="27"/>
      <c r="C855" s="28"/>
      <c r="D855" s="28"/>
      <c r="E855" s="44"/>
      <c r="F855" s="44"/>
      <c r="G855" s="44"/>
      <c r="H855" s="44"/>
    </row>
    <row r="856" spans="1:8">
      <c r="A856" s="27"/>
      <c r="C856" s="28"/>
      <c r="D856" s="28"/>
      <c r="E856" s="44"/>
      <c r="F856" s="44"/>
      <c r="G856" s="44"/>
      <c r="H856" s="44"/>
    </row>
    <row r="857" spans="1:8">
      <c r="A857" s="27"/>
      <c r="C857" s="28"/>
      <c r="D857" s="28"/>
      <c r="E857" s="44"/>
      <c r="F857" s="44"/>
      <c r="G857" s="44"/>
      <c r="H857" s="44"/>
    </row>
    <row r="858" spans="1:8">
      <c r="A858" s="27"/>
      <c r="C858" s="28"/>
      <c r="D858" s="28"/>
      <c r="E858" s="44"/>
      <c r="F858" s="44"/>
      <c r="G858" s="44"/>
      <c r="H858" s="44"/>
    </row>
    <row r="859" spans="1:8">
      <c r="A859" s="27"/>
      <c r="C859" s="28"/>
      <c r="D859" s="28"/>
      <c r="E859" s="44"/>
      <c r="F859" s="44"/>
      <c r="G859" s="44"/>
      <c r="H859" s="44"/>
    </row>
    <row r="860" spans="1:8">
      <c r="A860" s="27"/>
      <c r="C860" s="28"/>
      <c r="D860" s="28"/>
      <c r="E860" s="44"/>
      <c r="F860" s="44"/>
      <c r="G860" s="44"/>
      <c r="H860" s="44"/>
    </row>
    <row r="861" spans="1:8">
      <c r="A861" s="27"/>
      <c r="C861" s="28"/>
      <c r="D861" s="28"/>
      <c r="E861" s="44"/>
      <c r="F861" s="44"/>
      <c r="G861" s="44"/>
      <c r="H861" s="44"/>
    </row>
    <row r="862" spans="1:8">
      <c r="A862" s="27"/>
      <c r="C862" s="28"/>
      <c r="D862" s="28"/>
      <c r="E862" s="44"/>
      <c r="F862" s="44"/>
      <c r="G862" s="44"/>
      <c r="H862" s="44"/>
    </row>
    <row r="863" spans="1:8">
      <c r="A863" s="27"/>
      <c r="C863" s="28"/>
      <c r="D863" s="28"/>
      <c r="E863" s="44"/>
      <c r="F863" s="44"/>
      <c r="G863" s="44"/>
      <c r="H863" s="44"/>
    </row>
    <row r="864" spans="1:8">
      <c r="A864" s="27"/>
      <c r="C864" s="28"/>
      <c r="D864" s="28"/>
      <c r="E864" s="44"/>
      <c r="F864" s="44"/>
      <c r="G864" s="44"/>
      <c r="H864" s="44"/>
    </row>
    <row r="865" spans="1:8">
      <c r="A865" s="27"/>
      <c r="C865" s="28"/>
      <c r="D865" s="28"/>
      <c r="E865" s="44"/>
      <c r="F865" s="44"/>
      <c r="G865" s="44"/>
      <c r="H865" s="44"/>
    </row>
    <row r="866" spans="1:8">
      <c r="A866" s="27"/>
      <c r="C866" s="28"/>
      <c r="D866" s="28"/>
      <c r="E866" s="44"/>
      <c r="F866" s="44"/>
      <c r="G866" s="44"/>
      <c r="H866" s="44"/>
    </row>
    <row r="867" spans="1:8">
      <c r="A867" s="27"/>
      <c r="C867" s="28"/>
      <c r="D867" s="28"/>
      <c r="E867" s="44"/>
      <c r="F867" s="44"/>
      <c r="G867" s="44"/>
      <c r="H867" s="44"/>
    </row>
    <row r="868" spans="1:8">
      <c r="A868" s="27"/>
      <c r="C868" s="28"/>
      <c r="D868" s="28"/>
      <c r="E868" s="44"/>
      <c r="F868" s="44"/>
      <c r="G868" s="44"/>
      <c r="H868" s="44"/>
    </row>
    <row r="869" spans="1:8">
      <c r="A869" s="27"/>
      <c r="C869" s="28"/>
      <c r="D869" s="28"/>
      <c r="E869" s="44"/>
      <c r="F869" s="44"/>
      <c r="G869" s="44"/>
      <c r="H869" s="44"/>
    </row>
    <row r="870" spans="1:8">
      <c r="A870" s="27"/>
      <c r="C870" s="28"/>
      <c r="D870" s="28"/>
      <c r="E870" s="44"/>
      <c r="F870" s="44"/>
      <c r="G870" s="44"/>
      <c r="H870" s="44"/>
    </row>
    <row r="871" spans="1:8">
      <c r="A871" s="27"/>
      <c r="C871" s="28"/>
      <c r="D871" s="28"/>
      <c r="E871" s="44"/>
      <c r="F871" s="44"/>
      <c r="G871" s="44"/>
      <c r="H871" s="44"/>
    </row>
    <row r="872" spans="1:8">
      <c r="A872" s="27"/>
      <c r="C872" s="28"/>
      <c r="D872" s="28"/>
      <c r="E872" s="44"/>
      <c r="F872" s="44"/>
      <c r="G872" s="44"/>
      <c r="H872" s="44"/>
    </row>
    <row r="873" spans="1:8">
      <c r="A873" s="27"/>
      <c r="C873" s="28"/>
      <c r="D873" s="28"/>
      <c r="E873" s="44"/>
      <c r="F873" s="44"/>
      <c r="G873" s="44"/>
      <c r="H873" s="44"/>
    </row>
    <row r="874" spans="1:8">
      <c r="A874" s="27"/>
      <c r="C874" s="28"/>
      <c r="D874" s="28"/>
      <c r="E874" s="44"/>
      <c r="F874" s="44"/>
      <c r="G874" s="44"/>
      <c r="H874" s="44"/>
    </row>
    <row r="875" spans="1:8">
      <c r="A875" s="27"/>
      <c r="C875" s="28"/>
      <c r="D875" s="28"/>
      <c r="E875" s="44"/>
      <c r="F875" s="44"/>
      <c r="G875" s="44"/>
      <c r="H875" s="44"/>
    </row>
    <row r="876" spans="1:8">
      <c r="A876" s="27"/>
      <c r="C876" s="28"/>
      <c r="D876" s="28"/>
      <c r="E876" s="44"/>
      <c r="F876" s="44"/>
      <c r="G876" s="44"/>
      <c r="H876" s="44"/>
    </row>
    <row r="877" spans="1:8">
      <c r="A877" s="27"/>
      <c r="C877" s="28"/>
      <c r="D877" s="28"/>
      <c r="E877" s="44"/>
      <c r="F877" s="44"/>
      <c r="G877" s="44"/>
      <c r="H877" s="44"/>
    </row>
    <row r="878" spans="1:8">
      <c r="A878" s="27"/>
      <c r="C878" s="28"/>
      <c r="D878" s="28"/>
      <c r="E878" s="44"/>
      <c r="F878" s="44"/>
      <c r="G878" s="44"/>
      <c r="H878" s="44"/>
    </row>
    <row r="879" spans="1:8">
      <c r="A879" s="27"/>
      <c r="C879" s="28"/>
      <c r="D879" s="28"/>
      <c r="E879" s="44"/>
      <c r="F879" s="44"/>
      <c r="G879" s="44"/>
      <c r="H879" s="44"/>
    </row>
    <row r="880" spans="1:8">
      <c r="A880" s="27"/>
      <c r="C880" s="28"/>
      <c r="D880" s="28"/>
      <c r="E880" s="44"/>
      <c r="F880" s="44"/>
      <c r="G880" s="44"/>
      <c r="H880" s="44"/>
    </row>
    <row r="881" spans="1:8">
      <c r="A881" s="27"/>
      <c r="C881" s="28"/>
      <c r="D881" s="28"/>
      <c r="E881" s="44"/>
      <c r="F881" s="44"/>
      <c r="G881" s="44"/>
      <c r="H881" s="44"/>
    </row>
    <row r="882" spans="1:8">
      <c r="A882" s="27"/>
      <c r="C882" s="28"/>
      <c r="D882" s="28"/>
      <c r="E882" s="44"/>
      <c r="F882" s="44"/>
      <c r="G882" s="44"/>
      <c r="H882" s="44"/>
    </row>
    <row r="883" spans="1:8">
      <c r="A883" s="27"/>
      <c r="C883" s="28"/>
      <c r="D883" s="28"/>
      <c r="E883" s="44"/>
      <c r="F883" s="44"/>
      <c r="G883" s="44"/>
      <c r="H883" s="44"/>
    </row>
    <row r="884" spans="1:8">
      <c r="A884" s="27"/>
      <c r="C884" s="28"/>
      <c r="D884" s="28"/>
      <c r="E884" s="44"/>
      <c r="F884" s="44"/>
      <c r="G884" s="44"/>
      <c r="H884" s="44"/>
    </row>
    <row r="885" spans="1:8">
      <c r="A885" s="27"/>
      <c r="C885" s="28"/>
      <c r="D885" s="28"/>
      <c r="E885" s="44"/>
      <c r="F885" s="44"/>
      <c r="G885" s="44"/>
      <c r="H885" s="44"/>
    </row>
    <row r="886" spans="1:8">
      <c r="A886" s="27"/>
      <c r="C886" s="28"/>
      <c r="D886" s="28"/>
      <c r="E886" s="44"/>
      <c r="F886" s="44"/>
      <c r="G886" s="44"/>
      <c r="H886" s="44"/>
    </row>
    <row r="887" spans="1:8">
      <c r="A887" s="27"/>
      <c r="C887" s="28"/>
      <c r="D887" s="28"/>
      <c r="E887" s="44"/>
      <c r="F887" s="44"/>
      <c r="G887" s="44"/>
      <c r="H887" s="44"/>
    </row>
    <row r="888" spans="1:8">
      <c r="A888" s="27"/>
      <c r="C888" s="28"/>
      <c r="D888" s="28"/>
      <c r="E888" s="44"/>
      <c r="F888" s="44"/>
      <c r="G888" s="44"/>
      <c r="H888" s="44"/>
    </row>
    <row r="889" spans="1:8">
      <c r="A889" s="27"/>
      <c r="C889" s="28"/>
      <c r="D889" s="28"/>
      <c r="E889" s="44"/>
      <c r="F889" s="44"/>
      <c r="G889" s="44"/>
      <c r="H889" s="44"/>
    </row>
    <row r="890" spans="1:8">
      <c r="A890" s="27"/>
      <c r="C890" s="28"/>
      <c r="D890" s="28"/>
      <c r="E890" s="44"/>
      <c r="F890" s="44"/>
      <c r="G890" s="44"/>
      <c r="H890" s="44"/>
    </row>
    <row r="891" spans="1:8">
      <c r="A891" s="27"/>
      <c r="C891" s="28"/>
      <c r="D891" s="28"/>
      <c r="E891" s="44"/>
      <c r="F891" s="44"/>
      <c r="G891" s="44"/>
      <c r="H891" s="44"/>
    </row>
    <row r="892" spans="1:8">
      <c r="A892" s="27"/>
      <c r="C892" s="28"/>
      <c r="D892" s="28"/>
      <c r="E892" s="44"/>
      <c r="F892" s="44"/>
      <c r="G892" s="44"/>
      <c r="H892" s="44"/>
    </row>
    <row r="893" spans="1:8">
      <c r="A893" s="27"/>
      <c r="C893" s="28"/>
      <c r="D893" s="28"/>
      <c r="E893" s="44"/>
      <c r="F893" s="44"/>
      <c r="G893" s="44"/>
      <c r="H893" s="44"/>
    </row>
    <row r="894" spans="1:8">
      <c r="A894" s="27"/>
      <c r="C894" s="28"/>
      <c r="D894" s="28"/>
      <c r="E894" s="44"/>
      <c r="F894" s="44"/>
      <c r="G894" s="44"/>
      <c r="H894" s="44"/>
    </row>
    <row r="895" spans="1:8">
      <c r="A895" s="27"/>
      <c r="C895" s="28"/>
      <c r="D895" s="28"/>
      <c r="E895" s="44"/>
      <c r="F895" s="44"/>
      <c r="G895" s="44"/>
      <c r="H895" s="44"/>
    </row>
    <row r="896" spans="1:8">
      <c r="A896" s="27"/>
      <c r="C896" s="28"/>
      <c r="D896" s="28"/>
      <c r="E896" s="44"/>
      <c r="F896" s="44"/>
      <c r="G896" s="44"/>
      <c r="H896" s="44"/>
    </row>
    <row r="897" spans="1:8">
      <c r="A897" s="27"/>
      <c r="C897" s="28"/>
      <c r="D897" s="28"/>
      <c r="E897" s="44"/>
      <c r="F897" s="44"/>
      <c r="G897" s="44"/>
      <c r="H897" s="44"/>
    </row>
    <row r="898" spans="1:8">
      <c r="A898" s="27"/>
      <c r="C898" s="28"/>
      <c r="D898" s="28"/>
      <c r="E898" s="44"/>
      <c r="F898" s="44"/>
      <c r="G898" s="44"/>
      <c r="H898" s="44"/>
    </row>
    <row r="899" spans="1:8">
      <c r="A899" s="27"/>
      <c r="C899" s="28"/>
      <c r="D899" s="28"/>
      <c r="E899" s="44"/>
      <c r="F899" s="44"/>
      <c r="G899" s="44"/>
      <c r="H899" s="44"/>
    </row>
    <row r="900" spans="1:8">
      <c r="A900" s="27"/>
      <c r="C900" s="28"/>
      <c r="D900" s="28"/>
      <c r="E900" s="44"/>
      <c r="F900" s="44"/>
      <c r="G900" s="44"/>
      <c r="H900" s="44"/>
    </row>
    <row r="901" spans="1:8">
      <c r="A901" s="27"/>
      <c r="C901" s="28"/>
      <c r="D901" s="28"/>
      <c r="E901" s="44"/>
      <c r="F901" s="44"/>
      <c r="G901" s="44"/>
      <c r="H901" s="44"/>
    </row>
    <row r="902" spans="1:8">
      <c r="A902" s="27"/>
      <c r="C902" s="28"/>
      <c r="D902" s="28"/>
      <c r="E902" s="44"/>
      <c r="F902" s="44"/>
      <c r="G902" s="44"/>
      <c r="H902" s="44"/>
    </row>
    <row r="903" spans="1:8">
      <c r="A903" s="27"/>
      <c r="C903" s="28"/>
      <c r="D903" s="28"/>
      <c r="E903" s="44"/>
      <c r="F903" s="44"/>
      <c r="G903" s="44"/>
      <c r="H903" s="44"/>
    </row>
    <row r="904" spans="1:8">
      <c r="A904" s="27"/>
      <c r="C904" s="28"/>
      <c r="D904" s="28"/>
      <c r="E904" s="44"/>
      <c r="F904" s="44"/>
      <c r="G904" s="44"/>
      <c r="H904" s="44"/>
    </row>
    <row r="905" spans="1:8">
      <c r="A905" s="27"/>
      <c r="C905" s="28"/>
      <c r="D905" s="28"/>
      <c r="E905" s="44"/>
      <c r="F905" s="44"/>
      <c r="G905" s="44"/>
      <c r="H905" s="44"/>
    </row>
    <row r="906" spans="1:8">
      <c r="A906" s="27"/>
      <c r="C906" s="28"/>
      <c r="D906" s="28"/>
      <c r="E906" s="44"/>
      <c r="F906" s="44"/>
      <c r="G906" s="44"/>
      <c r="H906" s="44"/>
    </row>
    <row r="907" spans="1:8">
      <c r="A907" s="27"/>
      <c r="C907" s="28"/>
      <c r="D907" s="28"/>
      <c r="E907" s="44"/>
      <c r="F907" s="44"/>
      <c r="G907" s="44"/>
      <c r="H907" s="44"/>
    </row>
    <row r="908" spans="1:8">
      <c r="A908" s="27"/>
      <c r="C908" s="28"/>
      <c r="D908" s="28"/>
      <c r="E908" s="44"/>
      <c r="F908" s="44"/>
      <c r="G908" s="44"/>
      <c r="H908" s="44"/>
    </row>
    <row r="909" spans="1:8">
      <c r="A909" s="27"/>
      <c r="C909" s="28"/>
      <c r="D909" s="28"/>
      <c r="E909" s="44"/>
      <c r="F909" s="44"/>
      <c r="G909" s="44"/>
      <c r="H909" s="44"/>
    </row>
    <row r="910" spans="1:8">
      <c r="A910" s="27"/>
      <c r="C910" s="28"/>
      <c r="D910" s="28"/>
      <c r="E910" s="44"/>
      <c r="F910" s="44"/>
      <c r="G910" s="44"/>
      <c r="H910" s="44"/>
    </row>
    <row r="911" spans="1:8">
      <c r="A911" s="27"/>
      <c r="C911" s="28"/>
      <c r="D911" s="28"/>
      <c r="E911" s="44"/>
      <c r="F911" s="44"/>
      <c r="G911" s="44"/>
      <c r="H911" s="44"/>
    </row>
    <row r="912" spans="1:8">
      <c r="A912" s="27"/>
      <c r="C912" s="28"/>
      <c r="D912" s="28"/>
      <c r="E912" s="44"/>
      <c r="F912" s="44"/>
      <c r="G912" s="44"/>
      <c r="H912" s="44"/>
    </row>
    <row r="913" spans="1:8">
      <c r="A913" s="27"/>
      <c r="C913" s="28"/>
      <c r="D913" s="28"/>
      <c r="E913" s="44"/>
      <c r="F913" s="44"/>
      <c r="G913" s="44"/>
      <c r="H913" s="44"/>
    </row>
    <row r="914" spans="1:8">
      <c r="A914" s="27"/>
      <c r="C914" s="28"/>
      <c r="D914" s="28"/>
      <c r="E914" s="44"/>
      <c r="F914" s="44"/>
      <c r="G914" s="44"/>
      <c r="H914" s="44"/>
    </row>
    <row r="915" spans="1:8">
      <c r="A915" s="27"/>
      <c r="C915" s="28"/>
      <c r="D915" s="28"/>
      <c r="E915" s="44"/>
      <c r="F915" s="44"/>
      <c r="G915" s="44"/>
      <c r="H915" s="44"/>
    </row>
    <row r="916" spans="1:8">
      <c r="A916" s="27"/>
      <c r="C916" s="28"/>
      <c r="D916" s="28"/>
      <c r="E916" s="44"/>
      <c r="F916" s="44"/>
      <c r="G916" s="44"/>
      <c r="H916" s="44"/>
    </row>
    <row r="917" spans="1:8">
      <c r="A917" s="27"/>
      <c r="C917" s="28"/>
      <c r="D917" s="28"/>
      <c r="E917" s="44"/>
      <c r="F917" s="44"/>
      <c r="G917" s="44"/>
      <c r="H917" s="44"/>
    </row>
    <row r="918" spans="1:8">
      <c r="A918" s="27"/>
      <c r="C918" s="28"/>
      <c r="D918" s="28"/>
      <c r="E918" s="44"/>
      <c r="F918" s="44"/>
      <c r="G918" s="44"/>
      <c r="H918" s="44"/>
    </row>
    <row r="919" spans="1:8">
      <c r="A919" s="27"/>
      <c r="C919" s="28"/>
      <c r="D919" s="28"/>
      <c r="E919" s="44"/>
      <c r="F919" s="44"/>
      <c r="G919" s="44"/>
      <c r="H919" s="44"/>
    </row>
    <row r="920" spans="1:8">
      <c r="A920" s="27"/>
      <c r="C920" s="28"/>
      <c r="D920" s="28"/>
      <c r="E920" s="44"/>
      <c r="F920" s="44"/>
      <c r="G920" s="44"/>
      <c r="H920" s="44"/>
    </row>
    <row r="921" spans="1:8">
      <c r="A921" s="27"/>
      <c r="C921" s="28"/>
      <c r="D921" s="28"/>
      <c r="E921" s="44"/>
      <c r="F921" s="44"/>
      <c r="G921" s="44"/>
      <c r="H921" s="44"/>
    </row>
    <row r="922" spans="1:8">
      <c r="A922" s="27"/>
      <c r="C922" s="28"/>
      <c r="D922" s="28"/>
      <c r="E922" s="44"/>
      <c r="F922" s="44"/>
      <c r="G922" s="44"/>
      <c r="H922" s="44"/>
    </row>
    <row r="923" spans="1:8">
      <c r="A923" s="27"/>
      <c r="C923" s="28"/>
      <c r="D923" s="28"/>
      <c r="E923" s="44"/>
      <c r="F923" s="44"/>
      <c r="G923" s="44"/>
      <c r="H923" s="44"/>
    </row>
    <row r="924" spans="1:8">
      <c r="A924" s="27"/>
      <c r="C924" s="28"/>
      <c r="D924" s="28"/>
      <c r="E924" s="44"/>
      <c r="F924" s="44"/>
      <c r="G924" s="44"/>
      <c r="H924" s="44"/>
    </row>
    <row r="925" spans="1:8">
      <c r="A925" s="27"/>
      <c r="C925" s="28"/>
      <c r="D925" s="28"/>
      <c r="E925" s="44"/>
      <c r="F925" s="44"/>
      <c r="G925" s="44"/>
      <c r="H925" s="44"/>
    </row>
    <row r="926" spans="1:8">
      <c r="A926" s="27"/>
      <c r="C926" s="28"/>
      <c r="D926" s="28"/>
      <c r="E926" s="44"/>
      <c r="F926" s="44"/>
      <c r="G926" s="44"/>
      <c r="H926" s="44"/>
    </row>
    <row r="927" spans="1:8">
      <c r="A927" s="27"/>
      <c r="C927" s="28"/>
      <c r="D927" s="28"/>
      <c r="E927" s="44"/>
      <c r="F927" s="44"/>
      <c r="G927" s="44"/>
      <c r="H927" s="44"/>
    </row>
    <row r="928" spans="1:8">
      <c r="A928" s="27"/>
      <c r="C928" s="28"/>
      <c r="D928" s="28"/>
      <c r="E928" s="44"/>
      <c r="F928" s="44"/>
      <c r="G928" s="44"/>
      <c r="H928" s="44"/>
    </row>
    <row r="929" spans="1:8">
      <c r="A929" s="27"/>
      <c r="C929" s="28"/>
      <c r="D929" s="28"/>
      <c r="E929" s="44"/>
      <c r="F929" s="44"/>
      <c r="G929" s="44"/>
      <c r="H929" s="44"/>
    </row>
    <row r="930" spans="1:8">
      <c r="A930" s="27"/>
      <c r="C930" s="28"/>
      <c r="D930" s="28"/>
      <c r="E930" s="44"/>
      <c r="F930" s="44"/>
      <c r="G930" s="44"/>
      <c r="H930" s="44"/>
    </row>
    <row r="931" spans="1:8">
      <c r="A931" s="27"/>
      <c r="C931" s="28"/>
      <c r="D931" s="28"/>
      <c r="E931" s="44"/>
      <c r="F931" s="44"/>
      <c r="G931" s="44"/>
      <c r="H931" s="44"/>
    </row>
    <row r="932" spans="1:8">
      <c r="A932" s="27"/>
      <c r="C932" s="28"/>
      <c r="D932" s="28"/>
      <c r="E932" s="44"/>
      <c r="F932" s="44"/>
      <c r="G932" s="44"/>
      <c r="H932" s="44"/>
    </row>
    <row r="933" spans="1:8">
      <c r="A933" s="27"/>
      <c r="C933" s="28"/>
      <c r="D933" s="28"/>
      <c r="E933" s="44"/>
      <c r="F933" s="44"/>
      <c r="G933" s="44"/>
      <c r="H933" s="44"/>
    </row>
    <row r="934" spans="1:8">
      <c r="A934" s="27"/>
      <c r="C934" s="28"/>
      <c r="D934" s="28"/>
      <c r="E934" s="44"/>
      <c r="F934" s="44"/>
      <c r="G934" s="44"/>
      <c r="H934" s="44"/>
    </row>
    <row r="935" spans="1:8">
      <c r="A935" s="27"/>
      <c r="C935" s="28"/>
      <c r="D935" s="28"/>
      <c r="E935" s="44"/>
      <c r="F935" s="44"/>
      <c r="G935" s="44"/>
      <c r="H935" s="44"/>
    </row>
    <row r="936" spans="1:8">
      <c r="A936" s="27"/>
      <c r="C936" s="28"/>
      <c r="D936" s="28"/>
      <c r="E936" s="44"/>
      <c r="F936" s="44"/>
      <c r="G936" s="44"/>
      <c r="H936" s="44"/>
    </row>
    <row r="937" spans="1:8">
      <c r="A937" s="27"/>
      <c r="C937" s="28"/>
      <c r="D937" s="28"/>
      <c r="E937" s="44"/>
      <c r="F937" s="44"/>
      <c r="G937" s="44"/>
      <c r="H937" s="44"/>
    </row>
    <row r="938" spans="1:8">
      <c r="A938" s="27"/>
      <c r="C938" s="28"/>
      <c r="D938" s="28"/>
      <c r="E938" s="44"/>
      <c r="F938" s="44"/>
      <c r="G938" s="44"/>
      <c r="H938" s="44"/>
    </row>
    <row r="939" spans="1:8">
      <c r="A939" s="27"/>
      <c r="C939" s="28"/>
      <c r="D939" s="28"/>
      <c r="E939" s="44"/>
      <c r="F939" s="44"/>
      <c r="G939" s="44"/>
      <c r="H939" s="44"/>
    </row>
    <row r="940" spans="1:8">
      <c r="A940" s="27"/>
      <c r="C940" s="28"/>
      <c r="D940" s="28"/>
      <c r="E940" s="44"/>
      <c r="F940" s="44"/>
      <c r="G940" s="44"/>
      <c r="H940" s="44"/>
    </row>
    <row r="941" spans="1:8">
      <c r="A941" s="27"/>
      <c r="C941" s="28"/>
      <c r="D941" s="28"/>
      <c r="E941" s="44"/>
      <c r="F941" s="44"/>
      <c r="G941" s="44"/>
      <c r="H941" s="44"/>
    </row>
    <row r="942" spans="1:8">
      <c r="A942" s="27"/>
      <c r="C942" s="28"/>
      <c r="D942" s="28"/>
      <c r="E942" s="44"/>
      <c r="F942" s="44"/>
      <c r="G942" s="44"/>
      <c r="H942" s="44"/>
    </row>
    <row r="943" spans="1:8">
      <c r="A943" s="27"/>
      <c r="C943" s="28"/>
      <c r="D943" s="28"/>
      <c r="E943" s="44"/>
      <c r="F943" s="44"/>
      <c r="G943" s="44"/>
      <c r="H943" s="44"/>
    </row>
    <row r="944" spans="1:8">
      <c r="A944" s="27"/>
      <c r="C944" s="28"/>
      <c r="D944" s="28"/>
      <c r="E944" s="44"/>
      <c r="F944" s="44"/>
      <c r="G944" s="44"/>
      <c r="H944" s="44"/>
    </row>
    <row r="945" spans="1:8">
      <c r="A945" s="27"/>
      <c r="C945" s="28"/>
      <c r="D945" s="28"/>
      <c r="E945" s="44"/>
      <c r="F945" s="44"/>
      <c r="G945" s="44"/>
      <c r="H945" s="44"/>
    </row>
    <row r="946" spans="1:8">
      <c r="A946" s="27"/>
      <c r="C946" s="28"/>
      <c r="D946" s="28"/>
      <c r="E946" s="44"/>
      <c r="F946" s="44"/>
      <c r="G946" s="44"/>
      <c r="H946" s="44"/>
    </row>
    <row r="947" spans="1:8">
      <c r="A947" s="27"/>
      <c r="C947" s="28"/>
      <c r="D947" s="28"/>
      <c r="E947" s="44"/>
      <c r="F947" s="44"/>
      <c r="G947" s="44"/>
      <c r="H947" s="44"/>
    </row>
    <row r="948" spans="1:8">
      <c r="A948" s="27"/>
      <c r="C948" s="28"/>
      <c r="D948" s="28"/>
      <c r="E948" s="44"/>
      <c r="F948" s="44"/>
      <c r="G948" s="44"/>
      <c r="H948" s="44"/>
    </row>
    <row r="949" spans="1:8">
      <c r="A949" s="27"/>
      <c r="C949" s="28"/>
      <c r="D949" s="28"/>
      <c r="E949" s="44"/>
      <c r="F949" s="44"/>
      <c r="G949" s="44"/>
      <c r="H949" s="44"/>
    </row>
    <row r="950" spans="1:8">
      <c r="A950" s="27"/>
      <c r="C950" s="28"/>
      <c r="D950" s="28"/>
      <c r="E950" s="44"/>
      <c r="F950" s="44"/>
      <c r="G950" s="44"/>
      <c r="H950" s="44"/>
    </row>
    <row r="951" spans="1:8">
      <c r="A951" s="27"/>
      <c r="C951" s="28"/>
      <c r="D951" s="28"/>
      <c r="E951" s="44"/>
      <c r="F951" s="44"/>
      <c r="G951" s="44"/>
      <c r="H951" s="44"/>
    </row>
    <row r="952" spans="1:8">
      <c r="A952" s="27"/>
      <c r="C952" s="28"/>
      <c r="D952" s="28"/>
      <c r="E952" s="44"/>
      <c r="F952" s="44"/>
      <c r="G952" s="44"/>
      <c r="H952" s="44"/>
    </row>
  </sheetData>
  <autoFilter xmlns:etc="http://www.wps.cn/officeDocument/2017/etCustomData" ref="A4:H205" etc:filterBottomFollowUsedRange="0">
    <extLst/>
  </autoFilter>
  <mergeCells count="7">
    <mergeCell ref="A2:H2"/>
    <mergeCell ref="C3:D3"/>
    <mergeCell ref="E3:H3"/>
    <mergeCell ref="A5:B5"/>
    <mergeCell ref="A68:B68"/>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K948"/>
  <sheetViews>
    <sheetView view="pageBreakPreview" zoomScaleNormal="55" workbookViewId="0">
      <pane ySplit="4" topLeftCell="A96" activePane="bottomLeft" state="frozen"/>
      <selection/>
      <selection pane="bottomLeft" activeCell="E27" sqref="E27"/>
    </sheetView>
  </sheetViews>
  <sheetFormatPr defaultColWidth="9.5" defaultRowHeight="13.8"/>
  <cols>
    <col min="1" max="1" width="7.62962962962963" style="3" customWidth="1"/>
    <col min="2" max="2" width="39.5" style="3" customWidth="1"/>
    <col min="3" max="4" width="30.75" style="4" customWidth="1"/>
    <col min="5" max="5" width="13.8796296296296" style="164" customWidth="1"/>
    <col min="6" max="8" width="13.8796296296296" style="3" customWidth="1"/>
    <col min="9" max="10" width="9.5" style="88"/>
    <col min="11" max="16384" width="9.5" style="3"/>
  </cols>
  <sheetData>
    <row r="1" spans="1:10">
      <c r="A1" s="6" t="s">
        <v>1328</v>
      </c>
      <c r="B1" s="6"/>
      <c r="C1" s="7"/>
      <c r="D1" s="7"/>
      <c r="E1" s="6"/>
      <c r="F1" s="6"/>
      <c r="G1" s="6"/>
      <c r="H1" s="6"/>
    </row>
    <row r="2" spans="1:10">
      <c r="A2" s="8" t="s">
        <v>1329</v>
      </c>
      <c r="B2" s="8"/>
      <c r="C2" s="8"/>
      <c r="D2" s="8"/>
      <c r="E2" s="8"/>
      <c r="F2" s="8"/>
      <c r="G2" s="8"/>
      <c r="H2" s="8"/>
    </row>
    <row r="3" s="1" customFormat="1" spans="1:10">
      <c r="A3" s="9" t="s">
        <v>5</v>
      </c>
      <c r="B3" s="9" t="s">
        <v>6</v>
      </c>
      <c r="C3" s="9" t="s">
        <v>7</v>
      </c>
      <c r="D3" s="9"/>
      <c r="E3" s="9" t="s">
        <v>8</v>
      </c>
      <c r="F3" s="9"/>
      <c r="G3" s="9"/>
      <c r="H3" s="9"/>
      <c r="I3" s="103"/>
      <c r="J3" s="103"/>
    </row>
    <row r="4" spans="1:10">
      <c r="A4" s="11"/>
      <c r="B4" s="11"/>
      <c r="C4" s="9" t="s">
        <v>9</v>
      </c>
      <c r="D4" s="9" t="s">
        <v>10</v>
      </c>
      <c r="E4" s="35" t="s">
        <v>11</v>
      </c>
      <c r="F4" s="9" t="s">
        <v>12</v>
      </c>
      <c r="G4" s="10" t="s">
        <v>13</v>
      </c>
      <c r="H4" s="10" t="s">
        <v>14</v>
      </c>
    </row>
    <row r="5" spans="1:10">
      <c r="A5" s="13" t="s">
        <v>15</v>
      </c>
      <c r="B5" s="13"/>
      <c r="C5" s="15"/>
      <c r="D5" s="15"/>
      <c r="E5" s="35" t="s">
        <v>16</v>
      </c>
      <c r="F5" s="9" t="s">
        <v>16</v>
      </c>
      <c r="G5" s="9" t="s">
        <v>16</v>
      </c>
      <c r="H5" s="9" t="s">
        <v>16</v>
      </c>
      <c r="I5" s="103"/>
      <c r="J5" s="165"/>
    </row>
    <row r="6" spans="1:10">
      <c r="A6" s="16">
        <v>1</v>
      </c>
      <c r="B6" s="18" t="s">
        <v>1330</v>
      </c>
      <c r="C6" s="18" t="s">
        <v>1331</v>
      </c>
      <c r="D6" s="18" t="s">
        <v>1332</v>
      </c>
      <c r="E6" s="38">
        <v>1350000</v>
      </c>
      <c r="F6" s="21">
        <v>750000</v>
      </c>
      <c r="G6" s="21">
        <v>500000</v>
      </c>
      <c r="H6" s="21">
        <v>285000</v>
      </c>
    </row>
    <row r="7" ht="27.6" spans="1:10">
      <c r="A7" s="16"/>
      <c r="B7" s="18" t="s">
        <v>1330</v>
      </c>
      <c r="C7" s="18" t="s">
        <v>1332</v>
      </c>
      <c r="D7" s="18" t="s">
        <v>1333</v>
      </c>
      <c r="E7" s="38">
        <v>1800000</v>
      </c>
      <c r="F7" s="21">
        <v>1050000</v>
      </c>
      <c r="G7" s="21">
        <v>650000</v>
      </c>
      <c r="H7" s="21">
        <v>380000</v>
      </c>
    </row>
    <row r="8" ht="55.2" spans="1:10">
      <c r="A8" s="16">
        <v>2</v>
      </c>
      <c r="B8" s="18" t="s">
        <v>1334</v>
      </c>
      <c r="C8" s="18" t="s">
        <v>358</v>
      </c>
      <c r="D8" s="18" t="s">
        <v>534</v>
      </c>
      <c r="E8" s="38">
        <v>1350000</v>
      </c>
      <c r="F8" s="21">
        <v>750000</v>
      </c>
      <c r="G8" s="21">
        <v>500000</v>
      </c>
      <c r="H8" s="21">
        <v>285000</v>
      </c>
    </row>
    <row r="9" ht="27.6" spans="1:10">
      <c r="A9" s="16">
        <v>3</v>
      </c>
      <c r="B9" s="18" t="s">
        <v>1335</v>
      </c>
      <c r="C9" s="18" t="s">
        <v>1336</v>
      </c>
      <c r="D9" s="18" t="s">
        <v>376</v>
      </c>
      <c r="E9" s="23">
        <v>1350000</v>
      </c>
      <c r="F9" s="23">
        <v>750000</v>
      </c>
      <c r="G9" s="23">
        <v>500000</v>
      </c>
      <c r="H9" s="23">
        <v>285000</v>
      </c>
    </row>
    <row r="10" spans="1:10">
      <c r="A10" s="16">
        <f>A9+1</f>
        <v>4</v>
      </c>
      <c r="B10" s="18" t="s">
        <v>1337</v>
      </c>
      <c r="C10" s="64" t="s">
        <v>1338</v>
      </c>
      <c r="D10" s="64" t="s">
        <v>341</v>
      </c>
      <c r="E10" s="23">
        <v>1350000</v>
      </c>
      <c r="F10" s="23">
        <v>750000</v>
      </c>
      <c r="G10" s="23">
        <v>500000</v>
      </c>
      <c r="H10" s="23">
        <v>285000</v>
      </c>
      <c r="I10" s="166"/>
      <c r="J10" s="167"/>
    </row>
    <row r="11" spans="1:10">
      <c r="A11" s="16">
        <f t="shared" ref="A11:A19" si="0">A10+1</f>
        <v>5</v>
      </c>
      <c r="B11" s="18" t="s">
        <v>367</v>
      </c>
      <c r="C11" s="18" t="s">
        <v>1339</v>
      </c>
      <c r="D11" s="18" t="s">
        <v>1340</v>
      </c>
      <c r="E11" s="23">
        <v>1450000</v>
      </c>
      <c r="F11" s="23">
        <v>850000</v>
      </c>
      <c r="G11" s="23">
        <v>550000</v>
      </c>
      <c r="H11" s="23">
        <v>305000</v>
      </c>
    </row>
    <row r="12" spans="1:10">
      <c r="A12" s="16">
        <f t="shared" si="0"/>
        <v>6</v>
      </c>
      <c r="B12" s="18" t="s">
        <v>379</v>
      </c>
      <c r="C12" s="18" t="s">
        <v>415</v>
      </c>
      <c r="D12" s="18" t="s">
        <v>1340</v>
      </c>
      <c r="E12" s="23">
        <v>1800000</v>
      </c>
      <c r="F12" s="23">
        <v>1050000</v>
      </c>
      <c r="G12" s="23">
        <v>650000</v>
      </c>
      <c r="H12" s="23">
        <v>380000</v>
      </c>
    </row>
    <row r="13" spans="1:10">
      <c r="A13" s="16">
        <f t="shared" si="0"/>
        <v>7</v>
      </c>
      <c r="B13" s="18" t="s">
        <v>1341</v>
      </c>
      <c r="C13" s="64" t="s">
        <v>1338</v>
      </c>
      <c r="D13" s="64" t="s">
        <v>341</v>
      </c>
      <c r="E13" s="23">
        <v>1450000</v>
      </c>
      <c r="F13" s="23">
        <v>850000</v>
      </c>
      <c r="G13" s="23">
        <v>550000</v>
      </c>
      <c r="H13" s="23">
        <v>305000</v>
      </c>
    </row>
    <row r="14" spans="1:10">
      <c r="A14" s="16">
        <f t="shared" si="0"/>
        <v>8</v>
      </c>
      <c r="B14" s="18" t="s">
        <v>1342</v>
      </c>
      <c r="C14" s="18" t="s">
        <v>358</v>
      </c>
      <c r="D14" s="18" t="s">
        <v>415</v>
      </c>
      <c r="E14" s="23">
        <v>1450000</v>
      </c>
      <c r="F14" s="23">
        <v>850000</v>
      </c>
      <c r="G14" s="23">
        <v>550000</v>
      </c>
      <c r="H14" s="23">
        <v>305000</v>
      </c>
    </row>
    <row r="15" spans="1:10">
      <c r="A15" s="16">
        <f t="shared" si="0"/>
        <v>9</v>
      </c>
      <c r="B15" s="18" t="s">
        <v>1342</v>
      </c>
      <c r="C15" s="221" t="s">
        <v>415</v>
      </c>
      <c r="D15" s="18" t="s">
        <v>433</v>
      </c>
      <c r="E15" s="23">
        <v>1350000</v>
      </c>
      <c r="F15" s="23">
        <v>750000</v>
      </c>
      <c r="G15" s="23">
        <v>500000</v>
      </c>
      <c r="H15" s="23">
        <v>285000</v>
      </c>
    </row>
    <row r="16" spans="1:10">
      <c r="A16" s="16">
        <f t="shared" si="0"/>
        <v>10</v>
      </c>
      <c r="B16" s="18" t="s">
        <v>1343</v>
      </c>
      <c r="C16" s="221" t="s">
        <v>1344</v>
      </c>
      <c r="D16" s="18" t="s">
        <v>1331</v>
      </c>
      <c r="E16" s="23">
        <v>1350000</v>
      </c>
      <c r="F16" s="23">
        <v>750000</v>
      </c>
      <c r="G16" s="23">
        <v>500000</v>
      </c>
      <c r="H16" s="23">
        <v>285000</v>
      </c>
    </row>
    <row r="17" spans="1:8">
      <c r="A17" s="16">
        <f t="shared" si="0"/>
        <v>11</v>
      </c>
      <c r="B17" s="18" t="s">
        <v>363</v>
      </c>
      <c r="C17" s="18" t="s">
        <v>358</v>
      </c>
      <c r="D17" s="18" t="s">
        <v>1340</v>
      </c>
      <c r="E17" s="23">
        <v>1350000</v>
      </c>
      <c r="F17" s="23">
        <v>750000</v>
      </c>
      <c r="G17" s="23">
        <v>500000</v>
      </c>
      <c r="H17" s="23">
        <v>285000</v>
      </c>
    </row>
    <row r="18" spans="1:8">
      <c r="A18" s="16">
        <f t="shared" si="0"/>
        <v>12</v>
      </c>
      <c r="B18" s="18" t="s">
        <v>1338</v>
      </c>
      <c r="C18" s="18" t="s">
        <v>358</v>
      </c>
      <c r="D18" s="18" t="s">
        <v>433</v>
      </c>
      <c r="E18" s="23">
        <v>2400000</v>
      </c>
      <c r="F18" s="23">
        <v>1350000</v>
      </c>
      <c r="G18" s="23">
        <v>900000</v>
      </c>
      <c r="H18" s="23">
        <v>500000</v>
      </c>
    </row>
    <row r="19" spans="1:8">
      <c r="A19" s="16">
        <f t="shared" si="0"/>
        <v>13</v>
      </c>
      <c r="B19" s="18" t="s">
        <v>1345</v>
      </c>
      <c r="C19" s="18" t="s">
        <v>358</v>
      </c>
      <c r="D19" s="18" t="s">
        <v>1346</v>
      </c>
      <c r="E19" s="23">
        <v>1800000</v>
      </c>
      <c r="F19" s="23">
        <v>1050000</v>
      </c>
      <c r="G19" s="23">
        <v>650000</v>
      </c>
      <c r="H19" s="23">
        <v>380000</v>
      </c>
    </row>
    <row r="20" ht="27.6" spans="1:8">
      <c r="A20" s="16"/>
      <c r="B20" s="18" t="s">
        <v>1347</v>
      </c>
      <c r="C20" s="18" t="s">
        <v>358</v>
      </c>
      <c r="D20" s="18" t="s">
        <v>382</v>
      </c>
      <c r="E20" s="23">
        <v>2600000</v>
      </c>
      <c r="F20" s="23">
        <v>1500000</v>
      </c>
      <c r="G20" s="23">
        <v>950000</v>
      </c>
      <c r="H20" s="23">
        <v>550000</v>
      </c>
    </row>
    <row r="21" ht="27.6" spans="1:8">
      <c r="A21" s="16">
        <f>A19+1</f>
        <v>14</v>
      </c>
      <c r="B21" s="18" t="s">
        <v>1348</v>
      </c>
      <c r="C21" s="18" t="s">
        <v>1338</v>
      </c>
      <c r="D21" s="18" t="s">
        <v>433</v>
      </c>
      <c r="E21" s="23">
        <v>1350000</v>
      </c>
      <c r="F21" s="23">
        <v>750000</v>
      </c>
      <c r="G21" s="23">
        <v>500000</v>
      </c>
      <c r="H21" s="23">
        <v>285000</v>
      </c>
    </row>
    <row r="22" ht="27.6" spans="1:8">
      <c r="A22" s="16">
        <f>A21+1</f>
        <v>15</v>
      </c>
      <c r="B22" s="18" t="s">
        <v>1349</v>
      </c>
      <c r="C22" s="18" t="s">
        <v>376</v>
      </c>
      <c r="D22" s="18" t="s">
        <v>1350</v>
      </c>
      <c r="E22" s="23">
        <v>1350000</v>
      </c>
      <c r="F22" s="23">
        <v>750000</v>
      </c>
      <c r="G22" s="23">
        <v>500000</v>
      </c>
      <c r="H22" s="23">
        <v>285000</v>
      </c>
    </row>
    <row r="23" ht="27.6" spans="1:8">
      <c r="A23" s="16">
        <f>A22+1</f>
        <v>16</v>
      </c>
      <c r="B23" s="18" t="s">
        <v>382</v>
      </c>
      <c r="C23" s="18" t="s">
        <v>1351</v>
      </c>
      <c r="D23" s="18" t="s">
        <v>1340</v>
      </c>
      <c r="E23" s="23">
        <v>1350000</v>
      </c>
      <c r="F23" s="23">
        <v>750000</v>
      </c>
      <c r="G23" s="23">
        <v>500000</v>
      </c>
      <c r="H23" s="23">
        <v>285000</v>
      </c>
    </row>
    <row r="24" spans="1:8">
      <c r="A24" s="16">
        <f t="shared" ref="A24:A35" si="1">A23+1</f>
        <v>17</v>
      </c>
      <c r="B24" s="18" t="s">
        <v>1352</v>
      </c>
      <c r="C24" s="18" t="s">
        <v>1338</v>
      </c>
      <c r="D24" s="18" t="s">
        <v>1353</v>
      </c>
      <c r="E24" s="23">
        <v>1350000</v>
      </c>
      <c r="F24" s="23">
        <v>750000</v>
      </c>
      <c r="G24" s="23">
        <v>500000</v>
      </c>
      <c r="H24" s="23">
        <v>285000</v>
      </c>
    </row>
    <row r="25" spans="1:8">
      <c r="A25" s="16">
        <f t="shared" si="1"/>
        <v>18</v>
      </c>
      <c r="B25" s="18" t="s">
        <v>1354</v>
      </c>
      <c r="C25" s="18" t="s">
        <v>1331</v>
      </c>
      <c r="D25" s="18" t="s">
        <v>1355</v>
      </c>
      <c r="E25" s="23">
        <v>1450000</v>
      </c>
      <c r="F25" s="23">
        <v>850000</v>
      </c>
      <c r="G25" s="23">
        <v>550000</v>
      </c>
      <c r="H25" s="23">
        <v>305000</v>
      </c>
    </row>
    <row r="26" spans="1:8">
      <c r="A26" s="16">
        <f t="shared" si="1"/>
        <v>19</v>
      </c>
      <c r="B26" s="18" t="s">
        <v>1356</v>
      </c>
      <c r="C26" s="18" t="s">
        <v>1357</v>
      </c>
      <c r="D26" s="18" t="s">
        <v>433</v>
      </c>
      <c r="E26" s="23">
        <v>1450000</v>
      </c>
      <c r="F26" s="23">
        <v>850000</v>
      </c>
      <c r="G26" s="23">
        <v>550000</v>
      </c>
      <c r="H26" s="23">
        <v>305000</v>
      </c>
    </row>
    <row r="27" spans="1:8">
      <c r="A27" s="16">
        <f t="shared" si="1"/>
        <v>20</v>
      </c>
      <c r="B27" s="18" t="s">
        <v>1358</v>
      </c>
      <c r="C27" s="18" t="s">
        <v>358</v>
      </c>
      <c r="D27" s="18" t="s">
        <v>1359</v>
      </c>
      <c r="E27" s="23">
        <v>1350000</v>
      </c>
      <c r="F27" s="23">
        <v>750000</v>
      </c>
      <c r="G27" s="23">
        <v>500000</v>
      </c>
      <c r="H27" s="23">
        <v>285000</v>
      </c>
    </row>
    <row r="28" spans="1:8">
      <c r="A28" s="16">
        <f t="shared" si="1"/>
        <v>21</v>
      </c>
      <c r="B28" s="18" t="s">
        <v>1360</v>
      </c>
      <c r="C28" s="18" t="s">
        <v>358</v>
      </c>
      <c r="D28" s="18" t="s">
        <v>415</v>
      </c>
      <c r="E28" s="23">
        <v>1450000</v>
      </c>
      <c r="F28" s="23">
        <v>850000</v>
      </c>
      <c r="G28" s="23">
        <v>550000</v>
      </c>
      <c r="H28" s="23">
        <v>305000</v>
      </c>
    </row>
    <row r="29" spans="1:8">
      <c r="A29" s="16">
        <f t="shared" si="1"/>
        <v>22</v>
      </c>
      <c r="B29" s="18" t="s">
        <v>371</v>
      </c>
      <c r="C29" s="18" t="s">
        <v>358</v>
      </c>
      <c r="D29" s="18" t="s">
        <v>415</v>
      </c>
      <c r="E29" s="23">
        <v>1450000</v>
      </c>
      <c r="F29" s="23">
        <v>850000</v>
      </c>
      <c r="G29" s="23">
        <v>550000</v>
      </c>
      <c r="H29" s="23">
        <v>305000</v>
      </c>
    </row>
    <row r="30" spans="1:8">
      <c r="A30" s="16">
        <f t="shared" si="1"/>
        <v>23</v>
      </c>
      <c r="B30" s="18" t="s">
        <v>1361</v>
      </c>
      <c r="C30" s="18" t="s">
        <v>358</v>
      </c>
      <c r="D30" s="18" t="s">
        <v>1362</v>
      </c>
      <c r="E30" s="23">
        <v>3150000</v>
      </c>
      <c r="F30" s="23">
        <v>1800000</v>
      </c>
      <c r="G30" s="23">
        <v>1150000</v>
      </c>
      <c r="H30" s="23">
        <v>650000</v>
      </c>
    </row>
    <row r="31" spans="1:8">
      <c r="A31" s="16">
        <f t="shared" si="1"/>
        <v>24</v>
      </c>
      <c r="B31" s="18" t="s">
        <v>1359</v>
      </c>
      <c r="C31" s="18" t="s">
        <v>1331</v>
      </c>
      <c r="D31" s="18" t="s">
        <v>1363</v>
      </c>
      <c r="E31" s="23">
        <v>1450000</v>
      </c>
      <c r="F31" s="23">
        <v>850000</v>
      </c>
      <c r="G31" s="23">
        <v>550000</v>
      </c>
      <c r="H31" s="23">
        <v>305000</v>
      </c>
    </row>
    <row r="32" ht="27.6" spans="1:8">
      <c r="A32" s="16">
        <f t="shared" si="1"/>
        <v>25</v>
      </c>
      <c r="B32" s="18" t="s">
        <v>1364</v>
      </c>
      <c r="C32" s="221" t="s">
        <v>1365</v>
      </c>
      <c r="D32" s="18" t="s">
        <v>1366</v>
      </c>
      <c r="E32" s="23">
        <v>1350000</v>
      </c>
      <c r="F32" s="23">
        <v>750000</v>
      </c>
      <c r="G32" s="23">
        <v>500000</v>
      </c>
      <c r="H32" s="23">
        <v>285000</v>
      </c>
    </row>
    <row r="33" ht="27.6" spans="1:8">
      <c r="A33" s="16">
        <f t="shared" si="1"/>
        <v>26</v>
      </c>
      <c r="B33" s="18" t="s">
        <v>1367</v>
      </c>
      <c r="C33" s="221" t="s">
        <v>358</v>
      </c>
      <c r="D33" s="18" t="s">
        <v>382</v>
      </c>
      <c r="E33" s="23">
        <v>1350000</v>
      </c>
      <c r="F33" s="23">
        <v>750000</v>
      </c>
      <c r="G33" s="23">
        <v>500000</v>
      </c>
      <c r="H33" s="23">
        <v>285000</v>
      </c>
    </row>
    <row r="34" spans="1:8">
      <c r="A34" s="16">
        <f t="shared" si="1"/>
        <v>27</v>
      </c>
      <c r="B34" s="18" t="s">
        <v>1368</v>
      </c>
      <c r="C34" s="18" t="s">
        <v>433</v>
      </c>
      <c r="D34" s="18" t="s">
        <v>1338</v>
      </c>
      <c r="E34" s="23">
        <v>1350000</v>
      </c>
      <c r="F34" s="23">
        <v>750000</v>
      </c>
      <c r="G34" s="23">
        <v>500000</v>
      </c>
      <c r="H34" s="23">
        <v>285000</v>
      </c>
    </row>
    <row r="35" spans="1:8">
      <c r="A35" s="16">
        <f t="shared" si="1"/>
        <v>28</v>
      </c>
      <c r="B35" s="18" t="s">
        <v>1369</v>
      </c>
      <c r="C35" s="18" t="s">
        <v>358</v>
      </c>
      <c r="D35" s="18" t="s">
        <v>1370</v>
      </c>
      <c r="E35" s="23">
        <v>1800000</v>
      </c>
      <c r="F35" s="23">
        <v>1050000</v>
      </c>
      <c r="G35" s="23">
        <v>650000</v>
      </c>
      <c r="H35" s="23">
        <v>380000</v>
      </c>
    </row>
    <row r="36" spans="1:8">
      <c r="A36" s="16"/>
      <c r="B36" s="18" t="s">
        <v>1369</v>
      </c>
      <c r="C36" s="18" t="s">
        <v>1370</v>
      </c>
      <c r="D36" s="18" t="s">
        <v>412</v>
      </c>
      <c r="E36" s="23">
        <v>1450000</v>
      </c>
      <c r="F36" s="23">
        <v>850000</v>
      </c>
      <c r="G36" s="23">
        <v>550000</v>
      </c>
      <c r="H36" s="23">
        <v>305000</v>
      </c>
    </row>
    <row r="37" ht="27.6" spans="1:8">
      <c r="A37" s="16">
        <f>A35+1</f>
        <v>29</v>
      </c>
      <c r="B37" s="18" t="s">
        <v>1371</v>
      </c>
      <c r="C37" s="18" t="s">
        <v>382</v>
      </c>
      <c r="D37" s="18" t="s">
        <v>1372</v>
      </c>
      <c r="E37" s="23">
        <v>750000</v>
      </c>
      <c r="F37" s="23">
        <v>425000</v>
      </c>
      <c r="G37" s="23">
        <v>275000</v>
      </c>
      <c r="H37" s="23">
        <v>160000</v>
      </c>
    </row>
    <row r="38" spans="1:8">
      <c r="A38" s="16">
        <f>A37+1</f>
        <v>30</v>
      </c>
      <c r="B38" s="18" t="s">
        <v>1373</v>
      </c>
      <c r="C38" s="18" t="s">
        <v>1331</v>
      </c>
      <c r="D38" s="18" t="s">
        <v>1332</v>
      </c>
      <c r="E38" s="23">
        <v>1450000</v>
      </c>
      <c r="F38" s="23">
        <v>850000</v>
      </c>
      <c r="G38" s="23">
        <v>550000</v>
      </c>
      <c r="H38" s="23">
        <v>305000</v>
      </c>
    </row>
    <row r="39" ht="27.6" spans="1:8">
      <c r="A39" s="16"/>
      <c r="B39" s="18" t="s">
        <v>1373</v>
      </c>
      <c r="C39" s="18" t="s">
        <v>1332</v>
      </c>
      <c r="D39" s="18" t="s">
        <v>1374</v>
      </c>
      <c r="E39" s="23">
        <v>1450000</v>
      </c>
      <c r="F39" s="23">
        <v>850000</v>
      </c>
      <c r="G39" s="23">
        <v>550000</v>
      </c>
      <c r="H39" s="23">
        <v>305000</v>
      </c>
    </row>
    <row r="40" spans="1:8">
      <c r="A40" s="16">
        <f>A38+1</f>
        <v>31</v>
      </c>
      <c r="B40" s="18" t="s">
        <v>1375</v>
      </c>
      <c r="C40" s="18" t="s">
        <v>1376</v>
      </c>
      <c r="D40" s="18" t="s">
        <v>367</v>
      </c>
      <c r="E40" s="23">
        <v>1450000</v>
      </c>
      <c r="F40" s="23">
        <v>850000</v>
      </c>
      <c r="G40" s="23">
        <v>550000</v>
      </c>
      <c r="H40" s="23">
        <v>305000</v>
      </c>
    </row>
    <row r="41" spans="1:8">
      <c r="A41" s="16"/>
      <c r="B41" s="18" t="s">
        <v>1375</v>
      </c>
      <c r="C41" s="18" t="s">
        <v>367</v>
      </c>
      <c r="D41" s="18" t="s">
        <v>1377</v>
      </c>
      <c r="E41" s="23">
        <v>1350000</v>
      </c>
      <c r="F41" s="23">
        <v>750000</v>
      </c>
      <c r="G41" s="23">
        <v>500000</v>
      </c>
      <c r="H41" s="23">
        <v>285000</v>
      </c>
    </row>
    <row r="42" spans="1:8">
      <c r="A42" s="16">
        <f>A40+1</f>
        <v>32</v>
      </c>
      <c r="B42" s="18" t="s">
        <v>1378</v>
      </c>
      <c r="C42" s="18" t="s">
        <v>358</v>
      </c>
      <c r="D42" s="18" t="s">
        <v>415</v>
      </c>
      <c r="E42" s="23">
        <v>1350000</v>
      </c>
      <c r="F42" s="23">
        <v>750000</v>
      </c>
      <c r="G42" s="23">
        <v>500000</v>
      </c>
      <c r="H42" s="23">
        <v>285000</v>
      </c>
    </row>
    <row r="43" spans="1:8">
      <c r="A43" s="16"/>
      <c r="B43" s="18" t="s">
        <v>1378</v>
      </c>
      <c r="C43" s="18" t="s">
        <v>415</v>
      </c>
      <c r="D43" s="18" t="s">
        <v>367</v>
      </c>
      <c r="E43" s="23">
        <v>1000000</v>
      </c>
      <c r="F43" s="23">
        <v>550000</v>
      </c>
      <c r="G43" s="23">
        <v>370000</v>
      </c>
      <c r="H43" s="23">
        <v>210000</v>
      </c>
    </row>
    <row r="44" spans="1:8">
      <c r="A44" s="16">
        <f>A42+1</f>
        <v>33</v>
      </c>
      <c r="B44" s="18" t="s">
        <v>1339</v>
      </c>
      <c r="C44" s="221" t="s">
        <v>358</v>
      </c>
      <c r="D44" s="18" t="s">
        <v>1375</v>
      </c>
      <c r="E44" s="23">
        <v>1450000</v>
      </c>
      <c r="F44" s="23">
        <v>850000</v>
      </c>
      <c r="G44" s="23">
        <v>550000</v>
      </c>
      <c r="H44" s="23">
        <v>305000</v>
      </c>
    </row>
    <row r="45" spans="1:8">
      <c r="A45" s="16"/>
      <c r="B45" s="18" t="s">
        <v>1339</v>
      </c>
      <c r="C45" s="18" t="s">
        <v>1375</v>
      </c>
      <c r="D45" s="18" t="s">
        <v>367</v>
      </c>
      <c r="E45" s="23">
        <v>1350000</v>
      </c>
      <c r="F45" s="23">
        <v>750000</v>
      </c>
      <c r="G45" s="23">
        <v>500000</v>
      </c>
      <c r="H45" s="23">
        <v>285000</v>
      </c>
    </row>
    <row r="46" spans="1:8">
      <c r="A46" s="16">
        <f>A44+1</f>
        <v>34</v>
      </c>
      <c r="B46" s="18" t="s">
        <v>1379</v>
      </c>
      <c r="C46" s="18" t="s">
        <v>358</v>
      </c>
      <c r="D46" s="18" t="s">
        <v>415</v>
      </c>
      <c r="E46" s="23">
        <v>4200000</v>
      </c>
      <c r="F46" s="23">
        <v>2400000</v>
      </c>
      <c r="G46" s="23">
        <v>1550000</v>
      </c>
      <c r="H46" s="23">
        <v>900000</v>
      </c>
    </row>
    <row r="47" ht="27.6" spans="1:8">
      <c r="A47" s="16"/>
      <c r="B47" s="18" t="s">
        <v>1379</v>
      </c>
      <c r="C47" s="18" t="s">
        <v>415</v>
      </c>
      <c r="D47" s="18" t="s">
        <v>1380</v>
      </c>
      <c r="E47" s="23">
        <v>2600000</v>
      </c>
      <c r="F47" s="23">
        <v>1500000</v>
      </c>
      <c r="G47" s="23">
        <v>950000</v>
      </c>
      <c r="H47" s="23">
        <v>550000</v>
      </c>
    </row>
    <row r="48" ht="27.6" spans="1:8">
      <c r="A48" s="16"/>
      <c r="B48" s="18" t="s">
        <v>1379</v>
      </c>
      <c r="C48" s="18" t="s">
        <v>1380</v>
      </c>
      <c r="D48" s="18" t="s">
        <v>429</v>
      </c>
      <c r="E48" s="23">
        <v>2400000</v>
      </c>
      <c r="F48" s="23">
        <v>1350000</v>
      </c>
      <c r="G48" s="23">
        <v>900000</v>
      </c>
      <c r="H48" s="23">
        <v>500000</v>
      </c>
    </row>
    <row r="49" spans="1:8">
      <c r="A49" s="16"/>
      <c r="B49" s="18" t="s">
        <v>1381</v>
      </c>
      <c r="C49" s="18" t="s">
        <v>358</v>
      </c>
      <c r="D49" s="18" t="s">
        <v>412</v>
      </c>
      <c r="E49" s="23">
        <v>2600000</v>
      </c>
      <c r="F49" s="23">
        <v>1500000</v>
      </c>
      <c r="G49" s="23">
        <v>950000</v>
      </c>
      <c r="H49" s="23">
        <v>550000</v>
      </c>
    </row>
    <row r="50" spans="1:8">
      <c r="A50" s="16"/>
      <c r="B50" s="18" t="s">
        <v>1381</v>
      </c>
      <c r="C50" s="18" t="s">
        <v>412</v>
      </c>
      <c r="D50" s="18" t="s">
        <v>1382</v>
      </c>
      <c r="E50" s="23">
        <v>2400000</v>
      </c>
      <c r="F50" s="23">
        <v>1350000</v>
      </c>
      <c r="G50" s="23">
        <v>900000</v>
      </c>
      <c r="H50" s="23">
        <v>500000</v>
      </c>
    </row>
    <row r="51" spans="1:8">
      <c r="A51" s="16">
        <f>A46+1</f>
        <v>35</v>
      </c>
      <c r="B51" s="41" t="s">
        <v>1383</v>
      </c>
      <c r="C51" s="41" t="s">
        <v>1338</v>
      </c>
      <c r="D51" s="41" t="s">
        <v>1384</v>
      </c>
      <c r="E51" s="23">
        <v>1350000</v>
      </c>
      <c r="F51" s="23">
        <v>750000</v>
      </c>
      <c r="G51" s="23">
        <v>500000</v>
      </c>
      <c r="H51" s="23">
        <v>285000</v>
      </c>
    </row>
    <row r="52" spans="1:8">
      <c r="A52" s="16">
        <f>A51+1</f>
        <v>36</v>
      </c>
      <c r="B52" s="18" t="s">
        <v>358</v>
      </c>
      <c r="C52" s="18" t="s">
        <v>1340</v>
      </c>
      <c r="D52" s="18" t="s">
        <v>1361</v>
      </c>
      <c r="E52" s="23">
        <v>7800000</v>
      </c>
      <c r="F52" s="23">
        <v>4450000</v>
      </c>
      <c r="G52" s="23">
        <v>2900000</v>
      </c>
      <c r="H52" s="23">
        <v>1650000</v>
      </c>
    </row>
    <row r="53" spans="1:8">
      <c r="A53" s="16"/>
      <c r="B53" s="18" t="s">
        <v>358</v>
      </c>
      <c r="C53" s="18" t="s">
        <v>1361</v>
      </c>
      <c r="D53" s="18" t="s">
        <v>1385</v>
      </c>
      <c r="E53" s="23">
        <v>5750000</v>
      </c>
      <c r="F53" s="23">
        <v>3300000</v>
      </c>
      <c r="G53" s="23">
        <v>2150000</v>
      </c>
      <c r="H53" s="23">
        <v>1200000</v>
      </c>
    </row>
    <row r="54" spans="1:8">
      <c r="A54" s="16">
        <f>A52+1</f>
        <v>37</v>
      </c>
      <c r="B54" s="18" t="s">
        <v>1386</v>
      </c>
      <c r="C54" s="18" t="s">
        <v>358</v>
      </c>
      <c r="D54" s="18" t="s">
        <v>415</v>
      </c>
      <c r="E54" s="23">
        <v>2400000</v>
      </c>
      <c r="F54" s="23">
        <v>1350000</v>
      </c>
      <c r="G54" s="23">
        <v>900000</v>
      </c>
      <c r="H54" s="23">
        <v>500000</v>
      </c>
    </row>
    <row r="55" spans="1:8">
      <c r="A55" s="16">
        <f>A54+1</f>
        <v>38</v>
      </c>
      <c r="B55" s="18" t="s">
        <v>425</v>
      </c>
      <c r="C55" s="18" t="s">
        <v>358</v>
      </c>
      <c r="D55" s="18" t="s">
        <v>1340</v>
      </c>
      <c r="E55" s="23">
        <v>1450000</v>
      </c>
      <c r="F55" s="23">
        <v>850000</v>
      </c>
      <c r="G55" s="23">
        <v>550000</v>
      </c>
      <c r="H55" s="23">
        <v>305000</v>
      </c>
    </row>
    <row r="56" spans="1:8">
      <c r="A56" s="16">
        <f>A55+1</f>
        <v>39</v>
      </c>
      <c r="B56" s="18" t="s">
        <v>1387</v>
      </c>
      <c r="C56" s="18" t="s">
        <v>1388</v>
      </c>
      <c r="D56" s="18" t="s">
        <v>376</v>
      </c>
      <c r="E56" s="23">
        <v>1350000</v>
      </c>
      <c r="F56" s="23">
        <v>750000</v>
      </c>
      <c r="G56" s="23">
        <v>500000</v>
      </c>
      <c r="H56" s="23">
        <v>285000</v>
      </c>
    </row>
    <row r="57" spans="1:8">
      <c r="A57" s="16">
        <f>A56+1</f>
        <v>40</v>
      </c>
      <c r="B57" s="18" t="s">
        <v>1388</v>
      </c>
      <c r="C57" s="18" t="s">
        <v>1338</v>
      </c>
      <c r="D57" s="18" t="s">
        <v>1384</v>
      </c>
      <c r="E57" s="23">
        <v>1350000</v>
      </c>
      <c r="F57" s="23">
        <v>750000</v>
      </c>
      <c r="G57" s="23">
        <v>500000</v>
      </c>
      <c r="H57" s="23">
        <v>285000</v>
      </c>
    </row>
    <row r="58" spans="1:8">
      <c r="A58" s="16">
        <f>A57+1</f>
        <v>41</v>
      </c>
      <c r="B58" s="18" t="s">
        <v>1357</v>
      </c>
      <c r="C58" s="18" t="s">
        <v>358</v>
      </c>
      <c r="D58" s="18" t="s">
        <v>415</v>
      </c>
      <c r="E58" s="23">
        <v>2400000</v>
      </c>
      <c r="F58" s="23">
        <v>1350000</v>
      </c>
      <c r="G58" s="23">
        <v>900000</v>
      </c>
      <c r="H58" s="23">
        <v>500000</v>
      </c>
    </row>
    <row r="59" spans="1:8">
      <c r="A59" s="16"/>
      <c r="B59" s="18" t="s">
        <v>1357</v>
      </c>
      <c r="C59" s="18" t="s">
        <v>415</v>
      </c>
      <c r="D59" s="18" t="s">
        <v>433</v>
      </c>
      <c r="E59" s="23">
        <v>1450000</v>
      </c>
      <c r="F59" s="23">
        <v>850000</v>
      </c>
      <c r="G59" s="23">
        <v>550000</v>
      </c>
      <c r="H59" s="23">
        <v>305000</v>
      </c>
    </row>
    <row r="60" spans="1:8">
      <c r="A60" s="16">
        <f>A58+1</f>
        <v>42</v>
      </c>
      <c r="B60" s="18" t="s">
        <v>429</v>
      </c>
      <c r="C60" s="18" t="s">
        <v>415</v>
      </c>
      <c r="D60" s="18" t="s">
        <v>344</v>
      </c>
      <c r="E60" s="23">
        <v>1800000</v>
      </c>
      <c r="F60" s="23">
        <v>1050000</v>
      </c>
      <c r="G60" s="23">
        <v>650000</v>
      </c>
      <c r="H60" s="23">
        <v>380000</v>
      </c>
    </row>
    <row r="61" spans="1:8">
      <c r="A61" s="16">
        <f>A60+1</f>
        <v>43</v>
      </c>
      <c r="B61" s="18" t="s">
        <v>1389</v>
      </c>
      <c r="C61" s="18" t="s">
        <v>1335</v>
      </c>
      <c r="D61" s="18" t="s">
        <v>376</v>
      </c>
      <c r="E61" s="23">
        <v>1350000</v>
      </c>
      <c r="F61" s="23">
        <v>750000</v>
      </c>
      <c r="G61" s="23">
        <v>500000</v>
      </c>
      <c r="H61" s="23">
        <v>285000</v>
      </c>
    </row>
    <row r="62" spans="1:8">
      <c r="A62" s="16">
        <f t="shared" ref="A62:A65" si="2">A61+1</f>
        <v>44</v>
      </c>
      <c r="B62" s="18" t="s">
        <v>1332</v>
      </c>
      <c r="C62" s="18" t="s">
        <v>412</v>
      </c>
      <c r="D62" s="18" t="s">
        <v>1390</v>
      </c>
      <c r="E62" s="23">
        <v>1800000</v>
      </c>
      <c r="F62" s="23">
        <v>1050000</v>
      </c>
      <c r="G62" s="23">
        <v>650000</v>
      </c>
      <c r="H62" s="23">
        <v>380000</v>
      </c>
    </row>
    <row r="63" spans="1:8">
      <c r="A63" s="16">
        <f t="shared" si="2"/>
        <v>45</v>
      </c>
      <c r="B63" s="18" t="s">
        <v>430</v>
      </c>
      <c r="C63" s="18" t="s">
        <v>370</v>
      </c>
      <c r="D63" s="18" t="s">
        <v>429</v>
      </c>
      <c r="E63" s="23">
        <v>1000000</v>
      </c>
      <c r="F63" s="23">
        <v>550000</v>
      </c>
      <c r="G63" s="23">
        <v>370000</v>
      </c>
      <c r="H63" s="23">
        <v>210000</v>
      </c>
    </row>
    <row r="64" spans="1:8">
      <c r="A64" s="16">
        <f t="shared" si="2"/>
        <v>46</v>
      </c>
      <c r="B64" s="18" t="s">
        <v>433</v>
      </c>
      <c r="C64" s="18" t="s">
        <v>341</v>
      </c>
      <c r="D64" s="18" t="s">
        <v>367</v>
      </c>
      <c r="E64" s="23">
        <v>3450000</v>
      </c>
      <c r="F64" s="23">
        <v>1950000</v>
      </c>
      <c r="G64" s="23">
        <v>1300000</v>
      </c>
      <c r="H64" s="23">
        <v>700000</v>
      </c>
    </row>
    <row r="65" spans="1:10">
      <c r="A65" s="16">
        <f t="shared" si="2"/>
        <v>47</v>
      </c>
      <c r="B65" s="18" t="s">
        <v>415</v>
      </c>
      <c r="C65" s="18" t="s">
        <v>1350</v>
      </c>
      <c r="D65" s="18" t="s">
        <v>370</v>
      </c>
      <c r="E65" s="23">
        <v>3450000</v>
      </c>
      <c r="F65" s="23">
        <v>1950000</v>
      </c>
      <c r="G65" s="23">
        <v>1300000</v>
      </c>
      <c r="H65" s="23">
        <v>700000</v>
      </c>
    </row>
    <row r="66" spans="1:10">
      <c r="A66" s="16"/>
      <c r="B66" s="18" t="s">
        <v>415</v>
      </c>
      <c r="C66" s="18" t="s">
        <v>370</v>
      </c>
      <c r="D66" s="18" t="s">
        <v>1340</v>
      </c>
      <c r="E66" s="23">
        <v>3150000</v>
      </c>
      <c r="F66" s="23">
        <v>1800000</v>
      </c>
      <c r="G66" s="23">
        <v>1150000</v>
      </c>
      <c r="H66" s="23">
        <v>650000</v>
      </c>
    </row>
    <row r="67" spans="1:10">
      <c r="A67" s="16">
        <f>A65+1</f>
        <v>48</v>
      </c>
      <c r="B67" s="18" t="s">
        <v>370</v>
      </c>
      <c r="C67" s="18" t="s">
        <v>358</v>
      </c>
      <c r="D67" s="18" t="s">
        <v>1340</v>
      </c>
      <c r="E67" s="23">
        <v>4200000</v>
      </c>
      <c r="F67" s="23">
        <v>2400000</v>
      </c>
      <c r="G67" s="23">
        <v>1550000</v>
      </c>
      <c r="H67" s="23">
        <v>900000</v>
      </c>
    </row>
    <row r="68" spans="1:10">
      <c r="A68" s="16">
        <f>A67+1</f>
        <v>49</v>
      </c>
      <c r="B68" s="18" t="s">
        <v>341</v>
      </c>
      <c r="C68" s="18" t="s">
        <v>358</v>
      </c>
      <c r="D68" s="18" t="s">
        <v>1391</v>
      </c>
      <c r="E68" s="23">
        <v>5750000</v>
      </c>
      <c r="F68" s="23">
        <v>3300000</v>
      </c>
      <c r="G68" s="23">
        <v>2150000</v>
      </c>
      <c r="H68" s="23">
        <v>1200000</v>
      </c>
    </row>
    <row r="69" ht="27.6" spans="1:10">
      <c r="A69" s="16">
        <f t="shared" ref="A69:A72" si="3">A68+1</f>
        <v>50</v>
      </c>
      <c r="B69" s="18" t="s">
        <v>1392</v>
      </c>
      <c r="C69" s="18" t="s">
        <v>382</v>
      </c>
      <c r="D69" s="18" t="s">
        <v>1393</v>
      </c>
      <c r="E69" s="23">
        <v>750000</v>
      </c>
      <c r="F69" s="23">
        <v>425000</v>
      </c>
      <c r="G69" s="23">
        <v>275000</v>
      </c>
      <c r="H69" s="23">
        <v>160000</v>
      </c>
    </row>
    <row r="70" spans="1:10">
      <c r="A70" s="16">
        <f t="shared" si="3"/>
        <v>51</v>
      </c>
      <c r="B70" s="18" t="s">
        <v>1394</v>
      </c>
      <c r="C70" s="18" t="s">
        <v>412</v>
      </c>
      <c r="D70" s="18" t="s">
        <v>1343</v>
      </c>
      <c r="E70" s="23">
        <v>1000000</v>
      </c>
      <c r="F70" s="23">
        <v>550000</v>
      </c>
      <c r="G70" s="23">
        <v>370000</v>
      </c>
      <c r="H70" s="23">
        <v>210000</v>
      </c>
    </row>
    <row r="71" spans="1:10">
      <c r="A71" s="16">
        <f t="shared" si="3"/>
        <v>52</v>
      </c>
      <c r="B71" s="18" t="s">
        <v>1363</v>
      </c>
      <c r="C71" s="18" t="s">
        <v>358</v>
      </c>
      <c r="D71" s="18" t="s">
        <v>412</v>
      </c>
      <c r="E71" s="23">
        <v>1350000</v>
      </c>
      <c r="F71" s="23">
        <v>750000</v>
      </c>
      <c r="G71" s="23">
        <v>500000</v>
      </c>
      <c r="H71" s="23">
        <v>285000</v>
      </c>
    </row>
    <row r="72" spans="1:10">
      <c r="A72" s="16">
        <f t="shared" si="3"/>
        <v>53</v>
      </c>
      <c r="B72" s="18" t="s">
        <v>412</v>
      </c>
      <c r="C72" s="18" t="s">
        <v>1395</v>
      </c>
      <c r="D72" s="18" t="s">
        <v>1331</v>
      </c>
      <c r="E72" s="23">
        <v>2400000</v>
      </c>
      <c r="F72" s="23">
        <v>1350000</v>
      </c>
      <c r="G72" s="23">
        <v>900000</v>
      </c>
      <c r="H72" s="23">
        <v>500000</v>
      </c>
    </row>
    <row r="73" spans="1:10">
      <c r="A73" s="16"/>
      <c r="B73" s="18" t="s">
        <v>412</v>
      </c>
      <c r="C73" s="18" t="s">
        <v>1331</v>
      </c>
      <c r="D73" s="18" t="s">
        <v>1340</v>
      </c>
      <c r="E73" s="23">
        <v>1800000</v>
      </c>
      <c r="F73" s="23">
        <v>1050000</v>
      </c>
      <c r="G73" s="23">
        <v>650000</v>
      </c>
      <c r="H73" s="23">
        <v>380000</v>
      </c>
    </row>
    <row r="74" spans="1:10">
      <c r="A74" s="16">
        <f>A72+1</f>
        <v>54</v>
      </c>
      <c r="B74" s="18" t="s">
        <v>344</v>
      </c>
      <c r="C74" s="18" t="s">
        <v>415</v>
      </c>
      <c r="D74" s="18" t="s">
        <v>1340</v>
      </c>
      <c r="E74" s="23">
        <v>1450000</v>
      </c>
      <c r="F74" s="23">
        <v>850000</v>
      </c>
      <c r="G74" s="23">
        <v>550000</v>
      </c>
      <c r="H74" s="23">
        <v>305000</v>
      </c>
    </row>
    <row r="75" spans="1:10">
      <c r="A75" s="16">
        <f>A74+1</f>
        <v>55</v>
      </c>
      <c r="B75" s="18" t="s">
        <v>1396</v>
      </c>
      <c r="C75" s="18" t="s">
        <v>1367</v>
      </c>
      <c r="D75" s="18" t="s">
        <v>1397</v>
      </c>
      <c r="E75" s="23">
        <v>1350000</v>
      </c>
      <c r="F75" s="23">
        <v>750000</v>
      </c>
      <c r="G75" s="23">
        <v>500000</v>
      </c>
      <c r="H75" s="23">
        <v>285000</v>
      </c>
    </row>
    <row r="76" spans="1:10">
      <c r="A76" s="16">
        <f t="shared" ref="A76" si="4">A75+1</f>
        <v>56</v>
      </c>
      <c r="B76" s="18" t="s">
        <v>376</v>
      </c>
      <c r="C76" s="18" t="s">
        <v>341</v>
      </c>
      <c r="D76" s="18" t="s">
        <v>1398</v>
      </c>
      <c r="E76" s="23">
        <v>1800000</v>
      </c>
      <c r="F76" s="23">
        <v>1050000</v>
      </c>
      <c r="G76" s="23">
        <v>650000</v>
      </c>
      <c r="H76" s="23">
        <v>380000</v>
      </c>
    </row>
    <row r="77" spans="1:10">
      <c r="A77" s="39" t="s">
        <v>136</v>
      </c>
      <c r="B77" s="14"/>
      <c r="C77" s="15"/>
      <c r="D77" s="15"/>
      <c r="E77" s="23" t="s">
        <v>16</v>
      </c>
      <c r="F77" s="23" t="s">
        <v>16</v>
      </c>
      <c r="G77" s="23" t="s">
        <v>16</v>
      </c>
      <c r="H77" s="23" t="s">
        <v>16</v>
      </c>
      <c r="I77" s="168"/>
      <c r="J77" s="168"/>
    </row>
    <row r="78" spans="1:10">
      <c r="A78" s="16">
        <f>A76+1</f>
        <v>57</v>
      </c>
      <c r="B78" s="18" t="s">
        <v>1399</v>
      </c>
      <c r="C78" s="18" t="s">
        <v>1359</v>
      </c>
      <c r="D78" s="18" t="s">
        <v>412</v>
      </c>
      <c r="E78" s="23">
        <v>1350000</v>
      </c>
      <c r="F78" s="23">
        <v>750000</v>
      </c>
      <c r="G78" s="23">
        <v>500000</v>
      </c>
      <c r="H78" s="23">
        <v>285000</v>
      </c>
      <c r="I78" s="169"/>
      <c r="J78" s="169"/>
    </row>
    <row r="79" spans="1:10">
      <c r="A79" s="16">
        <f>A78+1</f>
        <v>58</v>
      </c>
      <c r="B79" s="43" t="s">
        <v>366</v>
      </c>
      <c r="C79" s="43" t="s">
        <v>367</v>
      </c>
      <c r="D79" s="43" t="s">
        <v>1340</v>
      </c>
      <c r="E79" s="23">
        <v>3450000</v>
      </c>
      <c r="F79" s="23">
        <v>1950000</v>
      </c>
      <c r="G79" s="23">
        <v>1300000</v>
      </c>
      <c r="H79" s="23">
        <v>700000</v>
      </c>
    </row>
    <row r="80" spans="1:10">
      <c r="A80" s="16">
        <f>A79+1</f>
        <v>59</v>
      </c>
      <c r="B80" s="18" t="s">
        <v>137</v>
      </c>
      <c r="C80" s="18"/>
      <c r="D80" s="18"/>
      <c r="E80" s="23">
        <v>750000</v>
      </c>
      <c r="F80" s="23">
        <v>425000</v>
      </c>
      <c r="G80" s="23">
        <v>275000</v>
      </c>
      <c r="H80" s="23">
        <v>160000</v>
      </c>
    </row>
    <row r="81" spans="1:10">
      <c r="A81" s="39" t="s">
        <v>205</v>
      </c>
      <c r="B81" s="14"/>
      <c r="C81" s="39"/>
      <c r="D81" s="39"/>
      <c r="E81" s="23" t="s">
        <v>16</v>
      </c>
      <c r="F81" s="23" t="s">
        <v>16</v>
      </c>
      <c r="G81" s="23" t="s">
        <v>16</v>
      </c>
      <c r="H81" s="23" t="s">
        <v>16</v>
      </c>
    </row>
    <row r="82" spans="1:10">
      <c r="A82" s="16">
        <f>A80+1</f>
        <v>60</v>
      </c>
      <c r="B82" s="20" t="s">
        <v>1400</v>
      </c>
      <c r="C82" s="15"/>
      <c r="D82" s="15"/>
      <c r="E82" s="23" t="s">
        <v>16</v>
      </c>
      <c r="F82" s="23" t="s">
        <v>16</v>
      </c>
      <c r="G82" s="23" t="s">
        <v>16</v>
      </c>
      <c r="H82" s="23" t="s">
        <v>16</v>
      </c>
      <c r="I82" s="103"/>
      <c r="J82" s="103"/>
    </row>
    <row r="83" ht="41.4" spans="1:10">
      <c r="A83" s="16"/>
      <c r="B83" s="20" t="s">
        <v>1401</v>
      </c>
      <c r="C83" s="18"/>
      <c r="D83" s="18"/>
      <c r="E83" s="23">
        <v>3150000</v>
      </c>
      <c r="F83" s="23">
        <v>1450000</v>
      </c>
      <c r="G83" s="23">
        <v>850000</v>
      </c>
      <c r="H83" s="23">
        <v>0</v>
      </c>
      <c r="I83" s="170"/>
      <c r="J83" s="170"/>
    </row>
    <row r="84" ht="27.6" spans="1:10">
      <c r="A84" s="16"/>
      <c r="B84" s="20" t="s">
        <v>1402</v>
      </c>
      <c r="C84" s="18"/>
      <c r="D84" s="18"/>
      <c r="E84" s="23">
        <v>2650000</v>
      </c>
      <c r="F84" s="23">
        <v>1200000</v>
      </c>
      <c r="G84" s="23">
        <v>700000</v>
      </c>
      <c r="H84" s="23">
        <v>0</v>
      </c>
    </row>
    <row r="85" spans="1:10">
      <c r="A85" s="16">
        <f>A82+1</f>
        <v>61</v>
      </c>
      <c r="B85" s="20" t="s">
        <v>1403</v>
      </c>
      <c r="C85" s="18"/>
      <c r="D85" s="18"/>
      <c r="E85" s="23">
        <v>1350000</v>
      </c>
      <c r="F85" s="23">
        <v>470000</v>
      </c>
      <c r="G85" s="23">
        <v>325000</v>
      </c>
      <c r="H85" s="23">
        <v>0</v>
      </c>
    </row>
    <row r="86" ht="27.6" spans="1:10">
      <c r="A86" s="16">
        <f>A85+1</f>
        <v>62</v>
      </c>
      <c r="B86" s="20" t="s">
        <v>1404</v>
      </c>
      <c r="C86" s="18"/>
      <c r="D86" s="18"/>
      <c r="E86" s="23">
        <v>1600000</v>
      </c>
      <c r="F86" s="23">
        <v>550000</v>
      </c>
      <c r="G86" s="23">
        <v>335000</v>
      </c>
      <c r="H86" s="23">
        <v>0</v>
      </c>
    </row>
    <row r="87" ht="27.6" spans="1:10">
      <c r="A87" s="16">
        <f t="shared" ref="A87:A89" si="5">A86+1</f>
        <v>63</v>
      </c>
      <c r="B87" s="20" t="s">
        <v>1405</v>
      </c>
      <c r="C87" s="18"/>
      <c r="D87" s="18"/>
      <c r="E87" s="23">
        <v>1350000</v>
      </c>
      <c r="F87" s="23">
        <v>470000</v>
      </c>
      <c r="G87" s="23">
        <v>325000</v>
      </c>
      <c r="H87" s="23">
        <v>0</v>
      </c>
    </row>
    <row r="88" ht="27.6" spans="1:10">
      <c r="A88" s="16">
        <f t="shared" si="5"/>
        <v>64</v>
      </c>
      <c r="B88" s="20" t="s">
        <v>1406</v>
      </c>
      <c r="C88" s="18"/>
      <c r="D88" s="18"/>
      <c r="E88" s="23">
        <v>1350000</v>
      </c>
      <c r="F88" s="23">
        <v>470000</v>
      </c>
      <c r="G88" s="23">
        <v>325000</v>
      </c>
      <c r="H88" s="23">
        <v>0</v>
      </c>
    </row>
    <row r="89" spans="1:10">
      <c r="A89" s="16">
        <f t="shared" si="5"/>
        <v>65</v>
      </c>
      <c r="B89" s="20" t="s">
        <v>1407</v>
      </c>
      <c r="C89" s="15"/>
      <c r="D89" s="15"/>
      <c r="E89" s="23" t="s">
        <v>16</v>
      </c>
      <c r="F89" s="23" t="s">
        <v>16</v>
      </c>
      <c r="G89" s="23" t="s">
        <v>16</v>
      </c>
      <c r="H89" s="23" t="s">
        <v>16</v>
      </c>
    </row>
    <row r="90" ht="27.6" spans="1:10">
      <c r="A90" s="16"/>
      <c r="B90" s="20" t="s">
        <v>1408</v>
      </c>
      <c r="C90" s="18"/>
      <c r="D90" s="18"/>
      <c r="E90" s="23">
        <v>850000</v>
      </c>
      <c r="F90" s="23">
        <v>300000</v>
      </c>
      <c r="G90" s="23">
        <v>205000</v>
      </c>
      <c r="H90" s="23">
        <v>0</v>
      </c>
    </row>
    <row r="91" ht="27.6" spans="1:10">
      <c r="A91" s="16"/>
      <c r="B91" s="20" t="s">
        <v>1409</v>
      </c>
      <c r="C91" s="18"/>
      <c r="D91" s="18"/>
      <c r="E91" s="23">
        <v>460000</v>
      </c>
      <c r="F91" s="23">
        <v>250000</v>
      </c>
      <c r="G91" s="23">
        <v>175000</v>
      </c>
      <c r="H91" s="23">
        <v>0</v>
      </c>
    </row>
    <row r="92" ht="27.6" spans="1:10">
      <c r="A92" s="16">
        <f>A89+1</f>
        <v>66</v>
      </c>
      <c r="B92" s="20" t="s">
        <v>1410</v>
      </c>
      <c r="C92" s="18"/>
      <c r="D92" s="18"/>
      <c r="E92" s="23">
        <v>130000</v>
      </c>
      <c r="F92" s="23">
        <v>100000</v>
      </c>
      <c r="G92" s="23">
        <v>90000</v>
      </c>
      <c r="H92" s="23">
        <v>0</v>
      </c>
    </row>
    <row r="93" ht="27.6" spans="1:10">
      <c r="A93" s="16">
        <f>A92+1</f>
        <v>67</v>
      </c>
      <c r="B93" s="20" t="s">
        <v>1411</v>
      </c>
      <c r="C93" s="18"/>
      <c r="D93" s="18"/>
      <c r="E93" s="23">
        <v>120000</v>
      </c>
      <c r="F93" s="23">
        <v>105000</v>
      </c>
      <c r="G93" s="23">
        <v>80000</v>
      </c>
      <c r="H93" s="23">
        <v>0</v>
      </c>
    </row>
    <row r="94" ht="41.4" spans="1:10">
      <c r="A94" s="16">
        <f t="shared" ref="A94:A96" si="6">A93+1</f>
        <v>68</v>
      </c>
      <c r="B94" s="20" t="s">
        <v>1412</v>
      </c>
      <c r="C94" s="18"/>
      <c r="D94" s="18"/>
      <c r="E94" s="23">
        <v>130000</v>
      </c>
      <c r="F94" s="23">
        <v>100000</v>
      </c>
      <c r="G94" s="23">
        <v>90000</v>
      </c>
      <c r="H94" s="23">
        <v>0</v>
      </c>
    </row>
    <row r="95" spans="1:10">
      <c r="A95" s="16">
        <f t="shared" si="6"/>
        <v>69</v>
      </c>
      <c r="B95" s="20" t="s">
        <v>1413</v>
      </c>
      <c r="C95" s="18"/>
      <c r="D95" s="18"/>
      <c r="E95" s="23">
        <v>120000</v>
      </c>
      <c r="F95" s="23">
        <v>105000</v>
      </c>
      <c r="G95" s="23">
        <v>80000</v>
      </c>
      <c r="H95" s="23">
        <v>0</v>
      </c>
    </row>
    <row r="96" ht="41.4" spans="1:10">
      <c r="A96" s="16">
        <f t="shared" si="6"/>
        <v>70</v>
      </c>
      <c r="B96" s="20" t="s">
        <v>1414</v>
      </c>
      <c r="C96" s="15"/>
      <c r="D96" s="15"/>
      <c r="E96" s="23" t="s">
        <v>16</v>
      </c>
      <c r="F96" s="23" t="s">
        <v>16</v>
      </c>
      <c r="G96" s="23" t="s">
        <v>16</v>
      </c>
      <c r="H96" s="23" t="s">
        <v>16</v>
      </c>
    </row>
    <row r="97" ht="27.6" spans="1:11">
      <c r="A97" s="16"/>
      <c r="B97" s="20" t="s">
        <v>1415</v>
      </c>
      <c r="C97" s="18"/>
      <c r="D97" s="18"/>
      <c r="E97" s="23">
        <v>170000</v>
      </c>
      <c r="F97" s="23">
        <v>135000</v>
      </c>
      <c r="G97" s="23">
        <v>100000</v>
      </c>
      <c r="H97" s="23">
        <v>0</v>
      </c>
    </row>
    <row r="98" ht="27.6" spans="1:11">
      <c r="A98" s="16"/>
      <c r="B98" s="20" t="s">
        <v>1416</v>
      </c>
      <c r="C98" s="18"/>
      <c r="D98" s="18"/>
      <c r="E98" s="23">
        <v>120000</v>
      </c>
      <c r="F98" s="23">
        <v>105000</v>
      </c>
      <c r="G98" s="23">
        <v>80000</v>
      </c>
      <c r="H98" s="23">
        <v>0</v>
      </c>
    </row>
    <row r="99" ht="27.6" spans="1:11">
      <c r="A99" s="16">
        <f>A96+1</f>
        <v>71</v>
      </c>
      <c r="B99" s="20" t="s">
        <v>1417</v>
      </c>
      <c r="C99" s="18"/>
      <c r="D99" s="18"/>
      <c r="E99" s="23">
        <v>120000</v>
      </c>
      <c r="F99" s="23">
        <v>105000</v>
      </c>
      <c r="G99" s="23">
        <v>80000</v>
      </c>
      <c r="H99" s="23">
        <v>0</v>
      </c>
    </row>
    <row r="100" ht="41.4" spans="1:11">
      <c r="A100" s="16">
        <f>A99+1</f>
        <v>72</v>
      </c>
      <c r="B100" s="20" t="s">
        <v>1418</v>
      </c>
      <c r="C100" s="18"/>
      <c r="D100" s="18"/>
      <c r="E100" s="23">
        <v>195000</v>
      </c>
      <c r="F100" s="23">
        <v>160000</v>
      </c>
      <c r="G100" s="23">
        <v>135000</v>
      </c>
      <c r="H100" s="23">
        <v>0</v>
      </c>
    </row>
    <row r="101" ht="27.6" spans="1:11">
      <c r="A101" s="16">
        <f t="shared" ref="A101:A102" si="7">A100+1</f>
        <v>73</v>
      </c>
      <c r="B101" s="20" t="s">
        <v>1419</v>
      </c>
      <c r="C101" s="18"/>
      <c r="D101" s="18"/>
      <c r="E101" s="23">
        <v>130000</v>
      </c>
      <c r="F101" s="23">
        <v>100000</v>
      </c>
      <c r="G101" s="23">
        <v>90000</v>
      </c>
      <c r="H101" s="23">
        <v>0</v>
      </c>
    </row>
    <row r="102" ht="27.6" spans="1:11">
      <c r="A102" s="16">
        <f t="shared" si="7"/>
        <v>74</v>
      </c>
      <c r="B102" s="20" t="s">
        <v>1420</v>
      </c>
      <c r="C102" s="18"/>
      <c r="D102" s="18"/>
      <c r="E102" s="23">
        <v>120000</v>
      </c>
      <c r="F102" s="23">
        <v>105000</v>
      </c>
      <c r="G102" s="23">
        <v>80000</v>
      </c>
      <c r="H102" s="23">
        <v>0</v>
      </c>
    </row>
    <row r="103" spans="1:11">
      <c r="A103" s="171" t="s">
        <v>217</v>
      </c>
      <c r="B103" s="172"/>
      <c r="C103" s="173"/>
      <c r="D103" s="18"/>
      <c r="E103" s="23" t="s">
        <v>16</v>
      </c>
      <c r="F103" s="23" t="s">
        <v>16</v>
      </c>
      <c r="G103" s="23" t="s">
        <v>16</v>
      </c>
      <c r="H103" s="23" t="s">
        <v>16</v>
      </c>
      <c r="I103" s="103"/>
      <c r="J103" s="103"/>
    </row>
    <row r="104" ht="55.2" spans="1:11">
      <c r="A104" s="16">
        <f>A102+1</f>
        <v>75</v>
      </c>
      <c r="B104" s="20" t="s">
        <v>1421</v>
      </c>
      <c r="C104" s="18"/>
      <c r="D104" s="18"/>
      <c r="E104" s="23">
        <v>290000</v>
      </c>
      <c r="F104" s="23">
        <v>210000</v>
      </c>
      <c r="G104" s="23">
        <v>0</v>
      </c>
      <c r="H104" s="23">
        <v>0</v>
      </c>
      <c r="I104" s="166"/>
      <c r="J104" s="166"/>
      <c r="K104" s="50"/>
    </row>
    <row r="105" ht="55.2" spans="1:11">
      <c r="A105" s="16">
        <f>A104+1</f>
        <v>76</v>
      </c>
      <c r="B105" s="20" t="s">
        <v>1422</v>
      </c>
      <c r="C105" s="18"/>
      <c r="D105" s="18"/>
      <c r="E105" s="23">
        <v>175000</v>
      </c>
      <c r="F105" s="23">
        <v>165000</v>
      </c>
      <c r="G105" s="23">
        <v>0</v>
      </c>
      <c r="H105" s="23">
        <v>0</v>
      </c>
      <c r="K105" s="50"/>
    </row>
    <row r="106" ht="69" spans="1:11">
      <c r="A106" s="16">
        <f>A105+1</f>
        <v>77</v>
      </c>
      <c r="B106" s="20" t="s">
        <v>1423</v>
      </c>
      <c r="C106" s="18"/>
      <c r="D106" s="18"/>
      <c r="E106" s="23">
        <v>160000</v>
      </c>
      <c r="F106" s="23">
        <v>0</v>
      </c>
      <c r="G106" s="23">
        <v>0</v>
      </c>
      <c r="H106" s="23">
        <v>0</v>
      </c>
      <c r="K106" s="50"/>
    </row>
    <row r="107" spans="1:11">
      <c r="A107" s="27"/>
      <c r="B107" s="27"/>
      <c r="C107" s="28"/>
      <c r="D107" s="28"/>
      <c r="E107" s="23" t="s">
        <v>16</v>
      </c>
      <c r="F107" s="23" t="s">
        <v>16</v>
      </c>
      <c r="G107" s="23" t="s">
        <v>16</v>
      </c>
      <c r="H107" s="23" t="s">
        <v>16</v>
      </c>
    </row>
    <row r="108" spans="1:11">
      <c r="A108" s="27"/>
      <c r="B108" s="27"/>
      <c r="C108" s="28"/>
      <c r="D108" s="28"/>
      <c r="E108" s="23" t="s">
        <v>16</v>
      </c>
      <c r="F108" s="23" t="s">
        <v>16</v>
      </c>
      <c r="G108" s="23" t="s">
        <v>16</v>
      </c>
      <c r="H108" s="23" t="s">
        <v>16</v>
      </c>
    </row>
    <row r="109" spans="1:11">
      <c r="A109" s="27"/>
      <c r="B109" s="27"/>
      <c r="C109" s="28"/>
      <c r="D109" s="28"/>
      <c r="E109" s="23" t="s">
        <v>16</v>
      </c>
      <c r="F109" s="23" t="s">
        <v>16</v>
      </c>
      <c r="G109" s="23" t="s">
        <v>16</v>
      </c>
      <c r="H109" s="23" t="s">
        <v>16</v>
      </c>
    </row>
    <row r="110" spans="1:11">
      <c r="A110" s="27"/>
      <c r="B110" s="27"/>
      <c r="C110" s="28"/>
      <c r="D110" s="28"/>
      <c r="E110" s="23" t="s">
        <v>16</v>
      </c>
      <c r="F110" s="23" t="s">
        <v>16</v>
      </c>
      <c r="G110" s="23" t="s">
        <v>16</v>
      </c>
      <c r="H110" s="23" t="s">
        <v>16</v>
      </c>
      <c r="I110" s="3"/>
      <c r="J110" s="3"/>
    </row>
    <row r="111" spans="1:11">
      <c r="A111" s="27"/>
      <c r="B111" s="27"/>
      <c r="C111" s="28"/>
      <c r="D111" s="28"/>
      <c r="E111" s="23" t="s">
        <v>16</v>
      </c>
      <c r="F111" s="23" t="s">
        <v>16</v>
      </c>
      <c r="G111" s="23" t="s">
        <v>16</v>
      </c>
      <c r="H111" s="23" t="s">
        <v>16</v>
      </c>
      <c r="I111" s="3"/>
      <c r="J111" s="3"/>
    </row>
    <row r="112" spans="1:11">
      <c r="A112" s="27"/>
      <c r="B112" s="27"/>
      <c r="C112" s="28"/>
      <c r="D112" s="28"/>
      <c r="E112" s="23" t="s">
        <v>16</v>
      </c>
      <c r="F112" s="23" t="s">
        <v>16</v>
      </c>
      <c r="G112" s="23" t="s">
        <v>16</v>
      </c>
      <c r="H112" s="23" t="s">
        <v>16</v>
      </c>
      <c r="I112" s="3"/>
      <c r="J112" s="3"/>
    </row>
    <row r="113" spans="1:10">
      <c r="A113" s="27"/>
      <c r="B113" s="27"/>
      <c r="C113" s="28"/>
      <c r="D113" s="28"/>
      <c r="E113" s="23" t="s">
        <v>16</v>
      </c>
      <c r="F113" s="23" t="s">
        <v>16</v>
      </c>
      <c r="G113" s="23" t="s">
        <v>16</v>
      </c>
      <c r="H113" s="23" t="s">
        <v>16</v>
      </c>
      <c r="I113" s="3"/>
      <c r="J113" s="3"/>
    </row>
    <row r="114" spans="1:10">
      <c r="A114" s="27"/>
      <c r="B114" s="27"/>
      <c r="C114" s="28"/>
      <c r="D114" s="28"/>
      <c r="E114" s="23" t="s">
        <v>16</v>
      </c>
      <c r="F114" s="23" t="s">
        <v>16</v>
      </c>
      <c r="G114" s="23" t="s">
        <v>16</v>
      </c>
      <c r="H114" s="23" t="s">
        <v>16</v>
      </c>
      <c r="I114" s="3"/>
      <c r="J114" s="3"/>
    </row>
    <row r="115" spans="1:10">
      <c r="A115" s="27"/>
      <c r="B115" s="27"/>
      <c r="C115" s="28"/>
      <c r="D115" s="28"/>
      <c r="E115" s="23" t="s">
        <v>16</v>
      </c>
      <c r="F115" s="23" t="s">
        <v>16</v>
      </c>
      <c r="G115" s="23" t="s">
        <v>16</v>
      </c>
      <c r="H115" s="23" t="s">
        <v>16</v>
      </c>
      <c r="I115" s="3"/>
      <c r="J115" s="3"/>
    </row>
    <row r="116" spans="1:10">
      <c r="A116" s="27"/>
      <c r="B116" s="27"/>
      <c r="C116" s="28"/>
      <c r="D116" s="28"/>
      <c r="E116" s="23" t="s">
        <v>16</v>
      </c>
      <c r="F116" s="23" t="s">
        <v>16</v>
      </c>
      <c r="G116" s="23" t="s">
        <v>16</v>
      </c>
      <c r="H116" s="23" t="s">
        <v>16</v>
      </c>
      <c r="I116" s="3"/>
      <c r="J116" s="3"/>
    </row>
    <row r="117" spans="1:10">
      <c r="A117" s="27"/>
      <c r="B117" s="27"/>
      <c r="C117" s="28"/>
      <c r="D117" s="28"/>
      <c r="E117" s="23" t="s">
        <v>16</v>
      </c>
      <c r="F117" s="23" t="s">
        <v>16</v>
      </c>
      <c r="G117" s="23" t="s">
        <v>16</v>
      </c>
      <c r="H117" s="23" t="s">
        <v>16</v>
      </c>
      <c r="I117" s="3"/>
      <c r="J117" s="3"/>
    </row>
    <row r="118" spans="1:10">
      <c r="A118" s="27"/>
      <c r="B118" s="27"/>
      <c r="C118" s="28"/>
      <c r="D118" s="28"/>
      <c r="E118" s="23" t="s">
        <v>16</v>
      </c>
      <c r="F118" s="23" t="s">
        <v>16</v>
      </c>
      <c r="G118" s="23" t="s">
        <v>16</v>
      </c>
      <c r="H118" s="23" t="s">
        <v>16</v>
      </c>
      <c r="I118" s="3"/>
      <c r="J118" s="3"/>
    </row>
    <row r="119" spans="1:10">
      <c r="A119" s="27"/>
      <c r="B119" s="27"/>
      <c r="C119" s="28"/>
      <c r="D119" s="28"/>
      <c r="E119" s="23" t="s">
        <v>16</v>
      </c>
      <c r="F119" s="23" t="s">
        <v>16</v>
      </c>
      <c r="G119" s="23" t="s">
        <v>16</v>
      </c>
      <c r="H119" s="23" t="s">
        <v>16</v>
      </c>
      <c r="I119" s="3"/>
      <c r="J119" s="3"/>
    </row>
    <row r="120" spans="1:10">
      <c r="A120" s="27"/>
      <c r="B120" s="27"/>
      <c r="C120" s="28"/>
      <c r="D120" s="28"/>
      <c r="E120" s="23" t="s">
        <v>16</v>
      </c>
      <c r="F120" s="23" t="s">
        <v>16</v>
      </c>
      <c r="G120" s="23" t="s">
        <v>16</v>
      </c>
      <c r="H120" s="23" t="s">
        <v>16</v>
      </c>
      <c r="I120" s="3"/>
      <c r="J120" s="3"/>
    </row>
    <row r="121" spans="1:10">
      <c r="A121" s="27"/>
      <c r="B121" s="27"/>
      <c r="C121" s="28"/>
      <c r="D121" s="28"/>
      <c r="E121" s="23" t="s">
        <v>16</v>
      </c>
      <c r="F121" s="23" t="s">
        <v>16</v>
      </c>
      <c r="G121" s="23" t="s">
        <v>16</v>
      </c>
      <c r="H121" s="23" t="s">
        <v>16</v>
      </c>
      <c r="I121" s="3"/>
      <c r="J121" s="3"/>
    </row>
    <row r="122" spans="1:10">
      <c r="A122" s="27"/>
      <c r="B122" s="27"/>
      <c r="C122" s="28"/>
      <c r="D122" s="28"/>
      <c r="E122" s="23" t="s">
        <v>16</v>
      </c>
      <c r="F122" s="23" t="s">
        <v>16</v>
      </c>
      <c r="G122" s="23" t="s">
        <v>16</v>
      </c>
      <c r="H122" s="23" t="s">
        <v>16</v>
      </c>
      <c r="I122" s="3"/>
      <c r="J122" s="3"/>
    </row>
    <row r="123" spans="1:10">
      <c r="A123" s="27"/>
      <c r="B123" s="27"/>
      <c r="C123" s="28"/>
      <c r="D123" s="28"/>
      <c r="E123" s="23" t="s">
        <v>16</v>
      </c>
      <c r="F123" s="23" t="s">
        <v>16</v>
      </c>
      <c r="G123" s="23" t="s">
        <v>16</v>
      </c>
      <c r="H123" s="23" t="s">
        <v>16</v>
      </c>
      <c r="I123" s="3"/>
      <c r="J123" s="3"/>
    </row>
    <row r="124" spans="1:10">
      <c r="A124" s="27"/>
      <c r="B124" s="27"/>
      <c r="C124" s="28"/>
      <c r="D124" s="28"/>
      <c r="E124" s="23" t="s">
        <v>16</v>
      </c>
      <c r="F124" s="23" t="s">
        <v>16</v>
      </c>
      <c r="G124" s="23" t="s">
        <v>16</v>
      </c>
      <c r="H124" s="23" t="s">
        <v>16</v>
      </c>
      <c r="I124" s="3"/>
      <c r="J124" s="3"/>
    </row>
    <row r="125" spans="1:10">
      <c r="A125" s="27"/>
      <c r="B125" s="27"/>
      <c r="C125" s="28"/>
      <c r="D125" s="28"/>
      <c r="E125" s="23" t="s">
        <v>16</v>
      </c>
      <c r="F125" s="23" t="s">
        <v>16</v>
      </c>
      <c r="G125" s="23" t="s">
        <v>16</v>
      </c>
      <c r="H125" s="23" t="s">
        <v>16</v>
      </c>
      <c r="I125" s="3"/>
      <c r="J125" s="3"/>
    </row>
    <row r="126" spans="1:10">
      <c r="A126" s="27"/>
      <c r="B126" s="27"/>
      <c r="C126" s="28"/>
      <c r="D126" s="28"/>
      <c r="E126" s="23" t="s">
        <v>16</v>
      </c>
      <c r="F126" s="23" t="s">
        <v>16</v>
      </c>
      <c r="G126" s="23" t="s">
        <v>16</v>
      </c>
      <c r="H126" s="23" t="s">
        <v>16</v>
      </c>
      <c r="I126" s="3"/>
      <c r="J126" s="3"/>
    </row>
    <row r="127" spans="1:10">
      <c r="A127" s="27"/>
      <c r="B127" s="27"/>
      <c r="C127" s="28"/>
      <c r="D127" s="28"/>
      <c r="E127" s="23" t="s">
        <v>16</v>
      </c>
      <c r="F127" s="23" t="s">
        <v>16</v>
      </c>
      <c r="G127" s="23" t="s">
        <v>16</v>
      </c>
      <c r="H127" s="23" t="s">
        <v>16</v>
      </c>
      <c r="I127" s="3"/>
      <c r="J127" s="3"/>
    </row>
    <row r="128" spans="1:10">
      <c r="A128" s="27"/>
      <c r="B128" s="27"/>
      <c r="C128" s="28"/>
      <c r="D128" s="28"/>
      <c r="E128" s="23" t="s">
        <v>16</v>
      </c>
      <c r="F128" s="23" t="s">
        <v>16</v>
      </c>
      <c r="G128" s="23" t="s">
        <v>16</v>
      </c>
      <c r="H128" s="23" t="s">
        <v>16</v>
      </c>
      <c r="I128" s="3"/>
      <c r="J128" s="3"/>
    </row>
    <row r="129" spans="1:10">
      <c r="A129" s="27"/>
      <c r="B129" s="27"/>
      <c r="C129" s="28"/>
      <c r="D129" s="28"/>
      <c r="E129" s="23" t="s">
        <v>16</v>
      </c>
      <c r="F129" s="23" t="s">
        <v>16</v>
      </c>
      <c r="G129" s="23" t="s">
        <v>16</v>
      </c>
      <c r="H129" s="23" t="s">
        <v>16</v>
      </c>
      <c r="I129" s="3"/>
      <c r="J129" s="3"/>
    </row>
    <row r="130" spans="1:10">
      <c r="A130" s="27"/>
      <c r="B130" s="27"/>
      <c r="C130" s="28"/>
      <c r="D130" s="28"/>
      <c r="E130" s="23" t="s">
        <v>16</v>
      </c>
      <c r="F130" s="23" t="s">
        <v>16</v>
      </c>
      <c r="G130" s="23" t="s">
        <v>16</v>
      </c>
      <c r="H130" s="23" t="s">
        <v>16</v>
      </c>
      <c r="I130" s="3"/>
      <c r="J130" s="3"/>
    </row>
    <row r="131" spans="1:10">
      <c r="A131" s="27"/>
      <c r="B131" s="27"/>
      <c r="C131" s="28"/>
      <c r="D131" s="28"/>
      <c r="E131" s="23" t="s">
        <v>16</v>
      </c>
      <c r="F131" s="23" t="s">
        <v>16</v>
      </c>
      <c r="G131" s="23" t="s">
        <v>16</v>
      </c>
      <c r="H131" s="23" t="s">
        <v>16</v>
      </c>
      <c r="I131" s="3"/>
      <c r="J131" s="3"/>
    </row>
    <row r="132" spans="1:10">
      <c r="A132" s="27"/>
      <c r="B132" s="27"/>
      <c r="C132" s="28"/>
      <c r="D132" s="28"/>
      <c r="E132" s="23" t="s">
        <v>16</v>
      </c>
      <c r="F132" s="23" t="s">
        <v>16</v>
      </c>
      <c r="G132" s="23" t="s">
        <v>16</v>
      </c>
      <c r="H132" s="23" t="s">
        <v>16</v>
      </c>
      <c r="I132" s="3"/>
      <c r="J132" s="3"/>
    </row>
    <row r="133" spans="1:10">
      <c r="A133" s="27"/>
      <c r="B133" s="27"/>
      <c r="C133" s="28"/>
      <c r="D133" s="28"/>
      <c r="E133" s="23" t="s">
        <v>16</v>
      </c>
      <c r="F133" s="23" t="s">
        <v>16</v>
      </c>
      <c r="G133" s="23" t="s">
        <v>16</v>
      </c>
      <c r="H133" s="23" t="s">
        <v>16</v>
      </c>
      <c r="I133" s="3"/>
      <c r="J133" s="3"/>
    </row>
    <row r="134" spans="1:10">
      <c r="A134" s="27"/>
      <c r="B134" s="27"/>
      <c r="C134" s="28"/>
      <c r="D134" s="28"/>
      <c r="E134" s="23" t="s">
        <v>16</v>
      </c>
      <c r="F134" s="23" t="s">
        <v>16</v>
      </c>
      <c r="G134" s="23" t="s">
        <v>16</v>
      </c>
      <c r="H134" s="23" t="s">
        <v>16</v>
      </c>
      <c r="I134" s="3"/>
      <c r="J134" s="3"/>
    </row>
    <row r="135" spans="1:10">
      <c r="A135" s="27"/>
      <c r="B135" s="27"/>
      <c r="C135" s="28"/>
      <c r="D135" s="28"/>
      <c r="E135" s="23" t="s">
        <v>16</v>
      </c>
      <c r="F135" s="23" t="s">
        <v>16</v>
      </c>
      <c r="G135" s="23" t="s">
        <v>16</v>
      </c>
      <c r="H135" s="23" t="s">
        <v>16</v>
      </c>
      <c r="I135" s="3"/>
      <c r="J135" s="3"/>
    </row>
    <row r="136" spans="1:10">
      <c r="A136" s="27"/>
      <c r="B136" s="27"/>
      <c r="C136" s="28"/>
      <c r="D136" s="28"/>
      <c r="E136" s="23" t="s">
        <v>16</v>
      </c>
      <c r="F136" s="23" t="s">
        <v>16</v>
      </c>
      <c r="G136" s="23" t="s">
        <v>16</v>
      </c>
      <c r="H136" s="23" t="s">
        <v>16</v>
      </c>
      <c r="I136" s="3"/>
      <c r="J136" s="3"/>
    </row>
    <row r="137" spans="1:10">
      <c r="A137" s="27"/>
      <c r="B137" s="27"/>
      <c r="C137" s="28"/>
      <c r="D137" s="28"/>
      <c r="E137" s="23" t="s">
        <v>16</v>
      </c>
      <c r="F137" s="23" t="s">
        <v>16</v>
      </c>
      <c r="G137" s="23" t="s">
        <v>16</v>
      </c>
      <c r="H137" s="23" t="s">
        <v>16</v>
      </c>
      <c r="I137" s="3"/>
      <c r="J137" s="3"/>
    </row>
    <row r="138" spans="1:10">
      <c r="A138" s="27"/>
      <c r="B138" s="27"/>
      <c r="C138" s="28"/>
      <c r="D138" s="28"/>
      <c r="E138" s="23" t="s">
        <v>16</v>
      </c>
      <c r="F138" s="23" t="s">
        <v>16</v>
      </c>
      <c r="G138" s="23" t="s">
        <v>16</v>
      </c>
      <c r="H138" s="23" t="s">
        <v>16</v>
      </c>
      <c r="I138" s="3"/>
      <c r="J138" s="3"/>
    </row>
    <row r="139" spans="1:10">
      <c r="A139" s="27"/>
      <c r="B139" s="27"/>
      <c r="C139" s="28"/>
      <c r="D139" s="28"/>
      <c r="E139" s="23" t="s">
        <v>16</v>
      </c>
      <c r="F139" s="23" t="s">
        <v>16</v>
      </c>
      <c r="G139" s="23" t="s">
        <v>16</v>
      </c>
      <c r="H139" s="23" t="s">
        <v>16</v>
      </c>
      <c r="I139" s="3"/>
      <c r="J139" s="3"/>
    </row>
    <row r="140" spans="1:10">
      <c r="A140" s="27"/>
      <c r="B140" s="27"/>
      <c r="C140" s="28"/>
      <c r="D140" s="28"/>
      <c r="E140" s="23" t="s">
        <v>16</v>
      </c>
      <c r="F140" s="23" t="s">
        <v>16</v>
      </c>
      <c r="G140" s="23" t="s">
        <v>16</v>
      </c>
      <c r="H140" s="23" t="s">
        <v>16</v>
      </c>
      <c r="I140" s="3"/>
      <c r="J140" s="3"/>
    </row>
    <row r="141" spans="1:10">
      <c r="A141" s="27"/>
      <c r="B141" s="27"/>
      <c r="C141" s="28"/>
      <c r="D141" s="28"/>
      <c r="E141" s="23" t="s">
        <v>16</v>
      </c>
      <c r="F141" s="23" t="s">
        <v>16</v>
      </c>
      <c r="G141" s="23" t="s">
        <v>16</v>
      </c>
      <c r="H141" s="23" t="s">
        <v>16</v>
      </c>
      <c r="I141" s="3"/>
      <c r="J141" s="3"/>
    </row>
    <row r="142" spans="1:10">
      <c r="A142" s="27"/>
      <c r="B142" s="27"/>
      <c r="C142" s="28"/>
      <c r="D142" s="28"/>
      <c r="E142" s="23" t="s">
        <v>16</v>
      </c>
      <c r="F142" s="23" t="s">
        <v>16</v>
      </c>
      <c r="G142" s="23" t="s">
        <v>16</v>
      </c>
      <c r="H142" s="23" t="s">
        <v>16</v>
      </c>
      <c r="I142" s="3"/>
      <c r="J142" s="3"/>
    </row>
    <row r="143" spans="1:10">
      <c r="A143" s="27"/>
      <c r="B143" s="27"/>
      <c r="C143" s="28"/>
      <c r="D143" s="28"/>
      <c r="E143" s="23" t="s">
        <v>16</v>
      </c>
      <c r="F143" s="23" t="s">
        <v>16</v>
      </c>
      <c r="G143" s="23" t="s">
        <v>16</v>
      </c>
      <c r="H143" s="23" t="s">
        <v>16</v>
      </c>
      <c r="I143" s="3"/>
      <c r="J143" s="3"/>
    </row>
    <row r="144" spans="1:10">
      <c r="A144" s="27"/>
      <c r="B144" s="27"/>
      <c r="C144" s="28"/>
      <c r="D144" s="28"/>
      <c r="E144" s="23" t="s">
        <v>16</v>
      </c>
      <c r="F144" s="23" t="s">
        <v>16</v>
      </c>
      <c r="G144" s="23" t="s">
        <v>16</v>
      </c>
      <c r="H144" s="23" t="s">
        <v>16</v>
      </c>
      <c r="I144" s="3"/>
      <c r="J144" s="3"/>
    </row>
    <row r="145" spans="1:10">
      <c r="A145" s="27"/>
      <c r="B145" s="27"/>
      <c r="C145" s="28"/>
      <c r="D145" s="28"/>
      <c r="E145" s="23" t="s">
        <v>16</v>
      </c>
      <c r="F145" s="23" t="s">
        <v>16</v>
      </c>
      <c r="G145" s="23" t="s">
        <v>16</v>
      </c>
      <c r="H145" s="23" t="s">
        <v>16</v>
      </c>
      <c r="I145" s="3"/>
      <c r="J145" s="3"/>
    </row>
    <row r="146" spans="1:10">
      <c r="A146" s="27"/>
      <c r="B146" s="27"/>
      <c r="C146" s="28"/>
      <c r="D146" s="28"/>
      <c r="E146" s="23" t="s">
        <v>16</v>
      </c>
      <c r="F146" s="23" t="s">
        <v>16</v>
      </c>
      <c r="G146" s="23" t="s">
        <v>16</v>
      </c>
      <c r="H146" s="23" t="s">
        <v>16</v>
      </c>
      <c r="I146" s="3"/>
      <c r="J146" s="3"/>
    </row>
    <row r="147" spans="1:10">
      <c r="A147" s="27"/>
      <c r="B147" s="27"/>
      <c r="C147" s="28"/>
      <c r="D147" s="28"/>
      <c r="E147" s="23" t="s">
        <v>16</v>
      </c>
      <c r="F147" s="23" t="s">
        <v>16</v>
      </c>
      <c r="G147" s="23" t="s">
        <v>16</v>
      </c>
      <c r="H147" s="23" t="s">
        <v>16</v>
      </c>
      <c r="I147" s="3"/>
      <c r="J147" s="3"/>
    </row>
    <row r="148" spans="1:10">
      <c r="A148" s="27"/>
      <c r="B148" s="27"/>
      <c r="C148" s="28"/>
      <c r="D148" s="28"/>
      <c r="E148" s="23" t="s">
        <v>16</v>
      </c>
      <c r="F148" s="23" t="s">
        <v>16</v>
      </c>
      <c r="G148" s="23" t="s">
        <v>16</v>
      </c>
      <c r="H148" s="23" t="s">
        <v>16</v>
      </c>
      <c r="I148" s="3"/>
      <c r="J148" s="3"/>
    </row>
    <row r="149" spans="1:10">
      <c r="A149" s="27"/>
      <c r="B149" s="27"/>
      <c r="C149" s="28"/>
      <c r="D149" s="28"/>
      <c r="E149" s="23" t="s">
        <v>16</v>
      </c>
      <c r="F149" s="23" t="s">
        <v>16</v>
      </c>
      <c r="G149" s="23" t="s">
        <v>16</v>
      </c>
      <c r="H149" s="23" t="s">
        <v>16</v>
      </c>
      <c r="I149" s="3"/>
      <c r="J149" s="3"/>
    </row>
    <row r="150" spans="1:10">
      <c r="A150" s="27"/>
      <c r="B150" s="27"/>
      <c r="C150" s="28"/>
      <c r="D150" s="28"/>
      <c r="E150" s="23" t="s">
        <v>16</v>
      </c>
      <c r="F150" s="23" t="s">
        <v>16</v>
      </c>
      <c r="G150" s="23" t="s">
        <v>16</v>
      </c>
      <c r="H150" s="23" t="s">
        <v>16</v>
      </c>
      <c r="I150" s="3"/>
      <c r="J150" s="3"/>
    </row>
    <row r="151" spans="1:10">
      <c r="A151" s="27"/>
      <c r="B151" s="27"/>
      <c r="C151" s="28"/>
      <c r="D151" s="28"/>
      <c r="E151" s="23" t="s">
        <v>16</v>
      </c>
      <c r="F151" s="23" t="s">
        <v>16</v>
      </c>
      <c r="G151" s="23" t="s">
        <v>16</v>
      </c>
      <c r="H151" s="23" t="s">
        <v>16</v>
      </c>
      <c r="I151" s="3"/>
      <c r="J151" s="3"/>
    </row>
    <row r="152" spans="1:10">
      <c r="A152" s="27"/>
      <c r="B152" s="27"/>
      <c r="C152" s="28"/>
      <c r="D152" s="28"/>
      <c r="E152" s="23" t="s">
        <v>16</v>
      </c>
      <c r="F152" s="23" t="s">
        <v>16</v>
      </c>
      <c r="G152" s="23" t="s">
        <v>16</v>
      </c>
      <c r="H152" s="23" t="s">
        <v>16</v>
      </c>
      <c r="I152" s="3"/>
      <c r="J152" s="3"/>
    </row>
    <row r="153" spans="1:10">
      <c r="A153" s="27"/>
      <c r="B153" s="27"/>
      <c r="C153" s="28"/>
      <c r="D153" s="28"/>
      <c r="E153" s="23" t="s">
        <v>16</v>
      </c>
      <c r="F153" s="23" t="s">
        <v>16</v>
      </c>
      <c r="G153" s="23" t="s">
        <v>16</v>
      </c>
      <c r="H153" s="23" t="s">
        <v>16</v>
      </c>
      <c r="I153" s="3"/>
      <c r="J153" s="3"/>
    </row>
    <row r="154" spans="1:10">
      <c r="A154" s="27"/>
      <c r="B154" s="27"/>
      <c r="C154" s="28"/>
      <c r="D154" s="28"/>
      <c r="E154" s="23" t="s">
        <v>16</v>
      </c>
      <c r="F154" s="23" t="s">
        <v>16</v>
      </c>
      <c r="G154" s="23" t="s">
        <v>16</v>
      </c>
      <c r="H154" s="23" t="s">
        <v>16</v>
      </c>
      <c r="I154" s="3"/>
      <c r="J154" s="3"/>
    </row>
    <row r="155" spans="1:10">
      <c r="A155" s="27"/>
      <c r="B155" s="27"/>
      <c r="C155" s="28"/>
      <c r="D155" s="28"/>
      <c r="E155" s="23" t="s">
        <v>16</v>
      </c>
      <c r="F155" s="23" t="s">
        <v>16</v>
      </c>
      <c r="G155" s="23" t="s">
        <v>16</v>
      </c>
      <c r="H155" s="23" t="s">
        <v>16</v>
      </c>
      <c r="I155" s="3"/>
      <c r="J155" s="3"/>
    </row>
    <row r="156" spans="1:10">
      <c r="A156" s="27"/>
      <c r="B156" s="27"/>
      <c r="C156" s="28"/>
      <c r="D156" s="28"/>
      <c r="E156" s="23" t="s">
        <v>16</v>
      </c>
      <c r="F156" s="23" t="s">
        <v>16</v>
      </c>
      <c r="G156" s="23" t="s">
        <v>16</v>
      </c>
      <c r="H156" s="23" t="s">
        <v>16</v>
      </c>
      <c r="I156" s="3"/>
      <c r="J156" s="3"/>
    </row>
    <row r="157" spans="1:10">
      <c r="A157" s="27"/>
      <c r="B157" s="27"/>
      <c r="C157" s="28"/>
      <c r="D157" s="28"/>
      <c r="E157" s="23" t="s">
        <v>16</v>
      </c>
      <c r="F157" s="23" t="s">
        <v>16</v>
      </c>
      <c r="G157" s="23" t="s">
        <v>16</v>
      </c>
      <c r="H157" s="23" t="s">
        <v>16</v>
      </c>
      <c r="I157" s="3"/>
      <c r="J157" s="3"/>
    </row>
    <row r="158" spans="1:10">
      <c r="A158" s="27"/>
      <c r="B158" s="27"/>
      <c r="C158" s="28"/>
      <c r="D158" s="28"/>
      <c r="E158" s="23" t="s">
        <v>16</v>
      </c>
      <c r="F158" s="23" t="s">
        <v>16</v>
      </c>
      <c r="G158" s="23" t="s">
        <v>16</v>
      </c>
      <c r="H158" s="23" t="s">
        <v>16</v>
      </c>
      <c r="I158" s="3"/>
      <c r="J158" s="3"/>
    </row>
    <row r="159" spans="1:10">
      <c r="A159" s="27"/>
      <c r="B159" s="27"/>
      <c r="C159" s="28"/>
      <c r="D159" s="28"/>
      <c r="E159" s="23" t="s">
        <v>16</v>
      </c>
      <c r="F159" s="23" t="s">
        <v>16</v>
      </c>
      <c r="G159" s="23" t="s">
        <v>16</v>
      </c>
      <c r="H159" s="23" t="s">
        <v>16</v>
      </c>
      <c r="I159" s="3"/>
      <c r="J159" s="3"/>
    </row>
    <row r="160" spans="1:10">
      <c r="A160" s="27"/>
      <c r="B160" s="27"/>
      <c r="C160" s="28"/>
      <c r="D160" s="28"/>
      <c r="E160" s="23" t="s">
        <v>16</v>
      </c>
      <c r="F160" s="23" t="s">
        <v>16</v>
      </c>
      <c r="G160" s="23" t="s">
        <v>16</v>
      </c>
      <c r="H160" s="23" t="s">
        <v>16</v>
      </c>
      <c r="I160" s="3"/>
      <c r="J160" s="3"/>
    </row>
    <row r="161" spans="1:10">
      <c r="A161" s="27"/>
      <c r="B161" s="27"/>
      <c r="C161" s="28"/>
      <c r="D161" s="28"/>
      <c r="E161" s="23" t="s">
        <v>16</v>
      </c>
      <c r="F161" s="23" t="s">
        <v>16</v>
      </c>
      <c r="G161" s="23" t="s">
        <v>16</v>
      </c>
      <c r="H161" s="23" t="s">
        <v>16</v>
      </c>
      <c r="I161" s="3"/>
      <c r="J161" s="3"/>
    </row>
    <row r="162" spans="1:10">
      <c r="A162" s="27"/>
      <c r="B162" s="27"/>
      <c r="C162" s="28"/>
      <c r="D162" s="28"/>
      <c r="E162" s="23" t="s">
        <v>16</v>
      </c>
      <c r="F162" s="23" t="s">
        <v>16</v>
      </c>
      <c r="G162" s="23" t="s">
        <v>16</v>
      </c>
      <c r="H162" s="23" t="s">
        <v>16</v>
      </c>
      <c r="I162" s="3"/>
      <c r="J162" s="3"/>
    </row>
    <row r="163" spans="1:10">
      <c r="A163" s="27"/>
      <c r="B163" s="27"/>
      <c r="C163" s="28"/>
      <c r="D163" s="28"/>
      <c r="E163" s="23" t="s">
        <v>16</v>
      </c>
      <c r="F163" s="23" t="s">
        <v>16</v>
      </c>
      <c r="G163" s="23" t="s">
        <v>16</v>
      </c>
      <c r="H163" s="23" t="s">
        <v>16</v>
      </c>
      <c r="I163" s="3"/>
      <c r="J163" s="3"/>
    </row>
    <row r="164" spans="1:10">
      <c r="A164" s="27"/>
      <c r="B164" s="27"/>
      <c r="C164" s="28"/>
      <c r="D164" s="28"/>
      <c r="E164" s="23" t="s">
        <v>16</v>
      </c>
      <c r="F164" s="23" t="s">
        <v>16</v>
      </c>
      <c r="G164" s="23" t="s">
        <v>16</v>
      </c>
      <c r="H164" s="23" t="s">
        <v>16</v>
      </c>
      <c r="I164" s="3"/>
      <c r="J164" s="3"/>
    </row>
    <row r="165" spans="1:10">
      <c r="A165" s="27"/>
      <c r="B165" s="27"/>
      <c r="C165" s="28"/>
      <c r="D165" s="28"/>
      <c r="E165" s="23" t="s">
        <v>16</v>
      </c>
      <c r="F165" s="23" t="s">
        <v>16</v>
      </c>
      <c r="G165" s="23" t="s">
        <v>16</v>
      </c>
      <c r="H165" s="23" t="s">
        <v>16</v>
      </c>
      <c r="I165" s="3"/>
      <c r="J165" s="3"/>
    </row>
    <row r="166" spans="1:10">
      <c r="A166" s="27"/>
      <c r="B166" s="27"/>
      <c r="C166" s="28"/>
      <c r="D166" s="28"/>
      <c r="E166" s="23" t="s">
        <v>16</v>
      </c>
      <c r="F166" s="23" t="s">
        <v>16</v>
      </c>
      <c r="G166" s="23" t="s">
        <v>16</v>
      </c>
      <c r="H166" s="23" t="s">
        <v>16</v>
      </c>
      <c r="I166" s="3"/>
      <c r="J166" s="3"/>
    </row>
    <row r="167" spans="1:10">
      <c r="A167" s="27"/>
      <c r="B167" s="27"/>
      <c r="C167" s="28"/>
      <c r="D167" s="28"/>
      <c r="E167" s="23" t="s">
        <v>16</v>
      </c>
      <c r="F167" s="23" t="s">
        <v>16</v>
      </c>
      <c r="G167" s="23" t="s">
        <v>16</v>
      </c>
      <c r="H167" s="23" t="s">
        <v>16</v>
      </c>
      <c r="I167" s="3"/>
      <c r="J167" s="3"/>
    </row>
    <row r="168" spans="1:10">
      <c r="A168" s="27"/>
      <c r="B168" s="27"/>
      <c r="C168" s="28"/>
      <c r="D168" s="28"/>
      <c r="E168" s="23" t="s">
        <v>16</v>
      </c>
      <c r="F168" s="23" t="s">
        <v>16</v>
      </c>
      <c r="G168" s="23" t="s">
        <v>16</v>
      </c>
      <c r="H168" s="23" t="s">
        <v>16</v>
      </c>
      <c r="I168" s="3"/>
      <c r="J168" s="3"/>
    </row>
    <row r="169" spans="1:10">
      <c r="A169" s="27"/>
      <c r="B169" s="27"/>
      <c r="C169" s="28"/>
      <c r="D169" s="28"/>
      <c r="E169" s="23" t="s">
        <v>16</v>
      </c>
      <c r="F169" s="23" t="s">
        <v>16</v>
      </c>
      <c r="G169" s="23" t="s">
        <v>16</v>
      </c>
      <c r="H169" s="23" t="s">
        <v>16</v>
      </c>
      <c r="I169" s="3"/>
      <c r="J169" s="3"/>
    </row>
    <row r="170" spans="1:10">
      <c r="A170" s="27"/>
      <c r="B170" s="27"/>
      <c r="C170" s="28"/>
      <c r="D170" s="28"/>
      <c r="E170" s="23" t="s">
        <v>16</v>
      </c>
      <c r="F170" s="23" t="s">
        <v>16</v>
      </c>
      <c r="G170" s="23" t="s">
        <v>16</v>
      </c>
      <c r="H170" s="23" t="s">
        <v>16</v>
      </c>
      <c r="I170" s="3"/>
      <c r="J170" s="3"/>
    </row>
    <row r="171" spans="1:10">
      <c r="A171" s="27"/>
      <c r="B171" s="27"/>
      <c r="C171" s="28"/>
      <c r="D171" s="28"/>
      <c r="E171" s="23" t="s">
        <v>16</v>
      </c>
      <c r="F171" s="23" t="s">
        <v>16</v>
      </c>
      <c r="G171" s="23" t="s">
        <v>16</v>
      </c>
      <c r="H171" s="23" t="s">
        <v>16</v>
      </c>
      <c r="I171" s="3"/>
      <c r="J171" s="3"/>
    </row>
    <row r="172" spans="1:10">
      <c r="A172" s="27"/>
      <c r="B172" s="27"/>
      <c r="C172" s="28"/>
      <c r="D172" s="28"/>
      <c r="E172" s="23" t="s">
        <v>16</v>
      </c>
      <c r="F172" s="23" t="s">
        <v>16</v>
      </c>
      <c r="G172" s="23" t="s">
        <v>16</v>
      </c>
      <c r="H172" s="23" t="s">
        <v>16</v>
      </c>
      <c r="I172" s="3"/>
      <c r="J172" s="3"/>
    </row>
    <row r="173" spans="1:10">
      <c r="A173" s="27"/>
      <c r="B173" s="27"/>
      <c r="C173" s="28"/>
      <c r="D173" s="28"/>
      <c r="E173" s="23" t="s">
        <v>16</v>
      </c>
      <c r="F173" s="23" t="s">
        <v>16</v>
      </c>
      <c r="G173" s="23" t="s">
        <v>16</v>
      </c>
      <c r="H173" s="23" t="s">
        <v>16</v>
      </c>
      <c r="I173" s="3"/>
      <c r="J173" s="3"/>
    </row>
    <row r="174" spans="1:10">
      <c r="A174" s="27"/>
      <c r="B174" s="27"/>
      <c r="C174" s="28"/>
      <c r="D174" s="28"/>
      <c r="E174" s="23" t="s">
        <v>16</v>
      </c>
      <c r="F174" s="23" t="s">
        <v>16</v>
      </c>
      <c r="G174" s="23" t="s">
        <v>16</v>
      </c>
      <c r="H174" s="23" t="s">
        <v>16</v>
      </c>
      <c r="I174" s="3"/>
      <c r="J174" s="3"/>
    </row>
    <row r="175" spans="1:10">
      <c r="A175" s="27"/>
      <c r="B175" s="27"/>
      <c r="C175" s="28"/>
      <c r="D175" s="28"/>
      <c r="E175" s="23" t="s">
        <v>16</v>
      </c>
      <c r="F175" s="23" t="s">
        <v>16</v>
      </c>
      <c r="G175" s="23" t="s">
        <v>16</v>
      </c>
      <c r="H175" s="23" t="s">
        <v>16</v>
      </c>
      <c r="I175" s="3"/>
      <c r="J175" s="3"/>
    </row>
    <row r="176" spans="1:10">
      <c r="A176" s="27"/>
      <c r="B176" s="27"/>
      <c r="C176" s="28"/>
      <c r="D176" s="28"/>
      <c r="E176" s="23" t="s">
        <v>16</v>
      </c>
      <c r="F176" s="23" t="s">
        <v>16</v>
      </c>
      <c r="G176" s="23" t="s">
        <v>16</v>
      </c>
      <c r="H176" s="23" t="s">
        <v>16</v>
      </c>
      <c r="I176" s="3"/>
      <c r="J176" s="3"/>
    </row>
    <row r="177" spans="1:10">
      <c r="A177" s="27"/>
      <c r="B177" s="27"/>
      <c r="C177" s="28"/>
      <c r="D177" s="28"/>
      <c r="E177" s="23" t="s">
        <v>16</v>
      </c>
      <c r="F177" s="23" t="s">
        <v>16</v>
      </c>
      <c r="G177" s="23" t="s">
        <v>16</v>
      </c>
      <c r="H177" s="23" t="s">
        <v>16</v>
      </c>
      <c r="I177" s="3"/>
      <c r="J177" s="3"/>
    </row>
    <row r="178" spans="1:10">
      <c r="A178" s="27"/>
      <c r="B178" s="27"/>
      <c r="C178" s="28"/>
      <c r="D178" s="28"/>
      <c r="E178" s="23" t="s">
        <v>16</v>
      </c>
      <c r="F178" s="23" t="s">
        <v>16</v>
      </c>
      <c r="G178" s="23" t="s">
        <v>16</v>
      </c>
      <c r="H178" s="23" t="s">
        <v>16</v>
      </c>
      <c r="I178" s="3"/>
      <c r="J178" s="3"/>
    </row>
    <row r="179" spans="1:10">
      <c r="A179" s="27"/>
      <c r="B179" s="27"/>
      <c r="C179" s="28"/>
      <c r="D179" s="28"/>
      <c r="E179" s="23" t="s">
        <v>16</v>
      </c>
      <c r="F179" s="23" t="s">
        <v>16</v>
      </c>
      <c r="G179" s="23" t="s">
        <v>16</v>
      </c>
      <c r="H179" s="23" t="s">
        <v>16</v>
      </c>
      <c r="I179" s="3"/>
      <c r="J179" s="3"/>
    </row>
    <row r="180" spans="1:10">
      <c r="A180" s="27"/>
      <c r="B180" s="27"/>
      <c r="C180" s="28"/>
      <c r="D180" s="28"/>
      <c r="E180" s="23" t="s">
        <v>16</v>
      </c>
      <c r="F180" s="23" t="s">
        <v>16</v>
      </c>
      <c r="G180" s="23" t="s">
        <v>16</v>
      </c>
      <c r="H180" s="23" t="s">
        <v>16</v>
      </c>
      <c r="I180" s="3"/>
      <c r="J180" s="3"/>
    </row>
    <row r="181" spans="1:10">
      <c r="A181" s="27"/>
      <c r="B181" s="27"/>
      <c r="C181" s="28"/>
      <c r="D181" s="28"/>
      <c r="E181" s="23" t="s">
        <v>16</v>
      </c>
      <c r="F181" s="23" t="s">
        <v>16</v>
      </c>
      <c r="G181" s="23" t="s">
        <v>16</v>
      </c>
      <c r="H181" s="23" t="s">
        <v>16</v>
      </c>
      <c r="I181" s="3"/>
      <c r="J181" s="3"/>
    </row>
    <row r="182" spans="1:10">
      <c r="A182" s="27"/>
      <c r="B182" s="27"/>
      <c r="C182" s="28"/>
      <c r="D182" s="28"/>
      <c r="E182" s="23" t="s">
        <v>16</v>
      </c>
      <c r="F182" s="23" t="s">
        <v>16</v>
      </c>
      <c r="G182" s="23" t="s">
        <v>16</v>
      </c>
      <c r="H182" s="23" t="s">
        <v>16</v>
      </c>
      <c r="I182" s="3"/>
      <c r="J182" s="3"/>
    </row>
    <row r="183" spans="1:10">
      <c r="A183" s="27"/>
      <c r="B183" s="27"/>
      <c r="C183" s="28"/>
      <c r="D183" s="28"/>
      <c r="E183" s="23" t="s">
        <v>16</v>
      </c>
      <c r="F183" s="23" t="s">
        <v>16</v>
      </c>
      <c r="G183" s="23" t="s">
        <v>16</v>
      </c>
      <c r="H183" s="23" t="s">
        <v>16</v>
      </c>
      <c r="I183" s="3"/>
      <c r="J183" s="3"/>
    </row>
    <row r="184" spans="1:10">
      <c r="A184" s="27"/>
      <c r="B184" s="27"/>
      <c r="C184" s="28"/>
      <c r="D184" s="28"/>
      <c r="E184" s="23" t="s">
        <v>16</v>
      </c>
      <c r="F184" s="23" t="s">
        <v>16</v>
      </c>
      <c r="G184" s="23" t="s">
        <v>16</v>
      </c>
      <c r="H184" s="23" t="s">
        <v>16</v>
      </c>
      <c r="I184" s="3"/>
      <c r="J184" s="3"/>
    </row>
    <row r="185" spans="1:10">
      <c r="A185" s="27"/>
      <c r="B185" s="27"/>
      <c r="C185" s="28"/>
      <c r="D185" s="28"/>
      <c r="E185" s="23" t="s">
        <v>16</v>
      </c>
      <c r="F185" s="23" t="s">
        <v>16</v>
      </c>
      <c r="G185" s="23" t="s">
        <v>16</v>
      </c>
      <c r="H185" s="23" t="s">
        <v>16</v>
      </c>
      <c r="I185" s="3"/>
      <c r="J185" s="3"/>
    </row>
    <row r="186" spans="1:10">
      <c r="A186" s="27"/>
      <c r="B186" s="27"/>
      <c r="C186" s="28"/>
      <c r="D186" s="28"/>
      <c r="E186" s="23" t="s">
        <v>16</v>
      </c>
      <c r="F186" s="23" t="s">
        <v>16</v>
      </c>
      <c r="G186" s="23" t="s">
        <v>16</v>
      </c>
      <c r="H186" s="23" t="s">
        <v>16</v>
      </c>
      <c r="I186" s="3"/>
      <c r="J186" s="3"/>
    </row>
    <row r="187" spans="1:10">
      <c r="A187" s="27"/>
      <c r="B187" s="27"/>
      <c r="C187" s="28"/>
      <c r="D187" s="28"/>
      <c r="E187" s="23" t="s">
        <v>16</v>
      </c>
      <c r="F187" s="23" t="s">
        <v>16</v>
      </c>
      <c r="G187" s="23" t="s">
        <v>16</v>
      </c>
      <c r="H187" s="23" t="s">
        <v>16</v>
      </c>
      <c r="I187" s="3"/>
      <c r="J187" s="3"/>
    </row>
    <row r="188" spans="1:10">
      <c r="A188" s="27"/>
      <c r="B188" s="27"/>
      <c r="C188" s="28"/>
      <c r="D188" s="28"/>
      <c r="E188" s="23" t="s">
        <v>16</v>
      </c>
      <c r="F188" s="23" t="s">
        <v>16</v>
      </c>
      <c r="G188" s="23" t="s">
        <v>16</v>
      </c>
      <c r="H188" s="23" t="s">
        <v>16</v>
      </c>
      <c r="I188" s="3"/>
      <c r="J188" s="3"/>
    </row>
    <row r="189" spans="1:10">
      <c r="A189" s="27"/>
      <c r="B189" s="27"/>
      <c r="C189" s="28"/>
      <c r="D189" s="28"/>
      <c r="E189" s="23" t="s">
        <v>16</v>
      </c>
      <c r="F189" s="23" t="s">
        <v>16</v>
      </c>
      <c r="G189" s="23" t="s">
        <v>16</v>
      </c>
      <c r="H189" s="23" t="s">
        <v>16</v>
      </c>
      <c r="I189" s="3"/>
      <c r="J189" s="3"/>
    </row>
    <row r="190" spans="1:10">
      <c r="A190" s="27"/>
      <c r="B190" s="27"/>
      <c r="C190" s="28"/>
      <c r="D190" s="28"/>
      <c r="E190" s="23" t="s">
        <v>16</v>
      </c>
      <c r="F190" s="23" t="s">
        <v>16</v>
      </c>
      <c r="G190" s="23" t="s">
        <v>16</v>
      </c>
      <c r="H190" s="23" t="s">
        <v>16</v>
      </c>
      <c r="I190" s="3"/>
      <c r="J190" s="3"/>
    </row>
    <row r="191" spans="1:10">
      <c r="A191" s="27"/>
      <c r="B191" s="27"/>
      <c r="C191" s="28"/>
      <c r="D191" s="28"/>
      <c r="E191" s="23" t="s">
        <v>16</v>
      </c>
      <c r="F191" s="23" t="s">
        <v>16</v>
      </c>
      <c r="G191" s="23" t="s">
        <v>16</v>
      </c>
      <c r="H191" s="23" t="s">
        <v>16</v>
      </c>
      <c r="I191" s="3"/>
      <c r="J191" s="3"/>
    </row>
    <row r="192" spans="1:10">
      <c r="A192" s="27"/>
      <c r="B192" s="27"/>
      <c r="C192" s="28"/>
      <c r="D192" s="28"/>
      <c r="E192" s="23" t="s">
        <v>16</v>
      </c>
      <c r="F192" s="23" t="s">
        <v>16</v>
      </c>
      <c r="G192" s="23" t="s">
        <v>16</v>
      </c>
      <c r="H192" s="23" t="s">
        <v>16</v>
      </c>
      <c r="I192" s="3"/>
      <c r="J192" s="3"/>
    </row>
    <row r="193" spans="1:10">
      <c r="A193" s="27"/>
      <c r="B193" s="27"/>
      <c r="C193" s="28"/>
      <c r="D193" s="28"/>
      <c r="E193" s="23" t="s">
        <v>16</v>
      </c>
      <c r="F193" s="23" t="s">
        <v>16</v>
      </c>
      <c r="G193" s="23" t="s">
        <v>16</v>
      </c>
      <c r="H193" s="23" t="s">
        <v>16</v>
      </c>
      <c r="I193" s="3"/>
      <c r="J193" s="3"/>
    </row>
    <row r="194" spans="1:10">
      <c r="A194" s="27"/>
      <c r="B194" s="27"/>
      <c r="C194" s="28"/>
      <c r="D194" s="28"/>
      <c r="E194" s="23" t="s">
        <v>16</v>
      </c>
      <c r="F194" s="23" t="s">
        <v>16</v>
      </c>
      <c r="G194" s="23" t="s">
        <v>16</v>
      </c>
      <c r="H194" s="23" t="s">
        <v>16</v>
      </c>
      <c r="I194" s="3"/>
      <c r="J194" s="3"/>
    </row>
    <row r="195" spans="1:10">
      <c r="A195" s="27"/>
      <c r="B195" s="27"/>
      <c r="C195" s="28"/>
      <c r="D195" s="28"/>
      <c r="E195" s="23" t="s">
        <v>16</v>
      </c>
      <c r="F195" s="23" t="s">
        <v>16</v>
      </c>
      <c r="G195" s="23" t="s">
        <v>16</v>
      </c>
      <c r="H195" s="23" t="s">
        <v>16</v>
      </c>
      <c r="I195" s="3"/>
      <c r="J195" s="3"/>
    </row>
    <row r="196" spans="1:10">
      <c r="A196" s="27"/>
      <c r="B196" s="27"/>
      <c r="C196" s="28"/>
      <c r="D196" s="28"/>
      <c r="E196" s="23" t="s">
        <v>16</v>
      </c>
      <c r="F196" s="23" t="s">
        <v>16</v>
      </c>
      <c r="G196" s="23" t="s">
        <v>16</v>
      </c>
      <c r="H196" s="23" t="s">
        <v>16</v>
      </c>
      <c r="I196" s="3"/>
      <c r="J196" s="3"/>
    </row>
    <row r="197" spans="1:10">
      <c r="A197" s="27"/>
      <c r="B197" s="27"/>
      <c r="C197" s="28"/>
      <c r="D197" s="28"/>
      <c r="E197" s="23" t="s">
        <v>16</v>
      </c>
      <c r="F197" s="23" t="s">
        <v>16</v>
      </c>
      <c r="G197" s="23" t="s">
        <v>16</v>
      </c>
      <c r="H197" s="23" t="s">
        <v>16</v>
      </c>
      <c r="I197" s="3"/>
      <c r="J197" s="3"/>
    </row>
    <row r="198" spans="1:10">
      <c r="A198" s="27"/>
      <c r="B198" s="27"/>
      <c r="C198" s="28"/>
      <c r="D198" s="28"/>
      <c r="E198" s="23" t="s">
        <v>16</v>
      </c>
      <c r="F198" s="23" t="s">
        <v>16</v>
      </c>
      <c r="G198" s="23" t="s">
        <v>16</v>
      </c>
      <c r="H198" s="23" t="s">
        <v>16</v>
      </c>
      <c r="I198" s="3"/>
      <c r="J198" s="3"/>
    </row>
    <row r="199" spans="1:10">
      <c r="A199" s="27"/>
      <c r="B199" s="27"/>
      <c r="C199" s="28"/>
      <c r="D199" s="28"/>
      <c r="E199" s="23" t="s">
        <v>16</v>
      </c>
      <c r="F199" s="23" t="s">
        <v>16</v>
      </c>
      <c r="G199" s="23" t="s">
        <v>16</v>
      </c>
      <c r="H199" s="23" t="s">
        <v>16</v>
      </c>
      <c r="I199" s="3"/>
      <c r="J199" s="3"/>
    </row>
    <row r="200" spans="1:10">
      <c r="A200" s="27"/>
      <c r="B200" s="27"/>
      <c r="C200" s="28"/>
      <c r="D200" s="28"/>
      <c r="E200" s="23" t="s">
        <v>16</v>
      </c>
      <c r="F200" s="23" t="s">
        <v>16</v>
      </c>
      <c r="G200" s="23" t="s">
        <v>16</v>
      </c>
      <c r="H200" s="23" t="s">
        <v>16</v>
      </c>
      <c r="I200" s="3"/>
      <c r="J200" s="3"/>
    </row>
    <row r="201" spans="1:10">
      <c r="A201" s="27"/>
      <c r="B201" s="27"/>
      <c r="C201" s="28"/>
      <c r="D201" s="28"/>
      <c r="E201" s="23"/>
      <c r="F201" s="23"/>
      <c r="G201" s="23"/>
      <c r="H201" s="23"/>
      <c r="I201" s="3"/>
      <c r="J201" s="3"/>
    </row>
    <row r="202" spans="1:10">
      <c r="A202" s="27"/>
      <c r="B202" s="27"/>
      <c r="C202" s="28"/>
      <c r="D202" s="28"/>
      <c r="E202" s="23"/>
      <c r="F202" s="23"/>
      <c r="G202" s="23"/>
      <c r="H202" s="23"/>
      <c r="I202" s="3"/>
      <c r="J202" s="3"/>
    </row>
    <row r="203" spans="1:10">
      <c r="A203" s="27"/>
      <c r="B203" s="27"/>
      <c r="C203" s="28"/>
      <c r="D203" s="28"/>
      <c r="E203" s="23"/>
      <c r="F203" s="23"/>
      <c r="G203" s="23"/>
      <c r="H203" s="23"/>
      <c r="I203" s="3"/>
      <c r="J203" s="3"/>
    </row>
    <row r="204" spans="1:10">
      <c r="A204" s="27"/>
      <c r="B204" s="27"/>
      <c r="C204" s="28"/>
      <c r="D204" s="28"/>
      <c r="E204" s="23"/>
      <c r="F204" s="23"/>
      <c r="G204" s="23"/>
      <c r="H204" s="23"/>
      <c r="I204" s="3"/>
      <c r="J204" s="3"/>
    </row>
    <row r="205" spans="1:10">
      <c r="A205" s="27"/>
      <c r="B205" s="27"/>
      <c r="C205" s="28"/>
      <c r="D205" s="28"/>
      <c r="E205" s="23"/>
      <c r="F205" s="23"/>
      <c r="G205" s="23"/>
      <c r="H205" s="23"/>
      <c r="I205" s="3"/>
      <c r="J205" s="3"/>
    </row>
    <row r="206" spans="1:10">
      <c r="A206" s="27"/>
      <c r="B206" s="27"/>
      <c r="C206" s="28"/>
      <c r="D206" s="28"/>
      <c r="E206" s="23"/>
      <c r="F206" s="23"/>
      <c r="G206" s="23"/>
      <c r="H206" s="23"/>
      <c r="I206" s="3"/>
      <c r="J206" s="3"/>
    </row>
    <row r="207" spans="1:10">
      <c r="A207" s="27"/>
      <c r="B207" s="27"/>
      <c r="C207" s="28"/>
      <c r="D207" s="28"/>
      <c r="E207" s="23"/>
      <c r="F207" s="23"/>
      <c r="G207" s="23"/>
      <c r="H207" s="23"/>
      <c r="I207" s="3"/>
      <c r="J207" s="3"/>
    </row>
    <row r="208" spans="1:10">
      <c r="A208" s="27"/>
      <c r="B208" s="27"/>
      <c r="C208" s="28"/>
      <c r="D208" s="28"/>
      <c r="E208" s="23"/>
      <c r="F208" s="23"/>
      <c r="G208" s="23"/>
      <c r="H208" s="23"/>
      <c r="I208" s="3"/>
      <c r="J208" s="3"/>
    </row>
    <row r="209" spans="1:10">
      <c r="A209" s="27"/>
      <c r="B209" s="27"/>
      <c r="C209" s="28"/>
      <c r="D209" s="28"/>
      <c r="E209" s="23"/>
      <c r="F209" s="23"/>
      <c r="G209" s="23"/>
      <c r="H209" s="23"/>
      <c r="I209" s="3"/>
      <c r="J209" s="3"/>
    </row>
    <row r="210" spans="1:10">
      <c r="A210" s="27"/>
      <c r="B210" s="27"/>
      <c r="C210" s="28"/>
      <c r="D210" s="28"/>
      <c r="E210" s="23"/>
      <c r="F210" s="23"/>
      <c r="G210" s="23"/>
      <c r="H210" s="23"/>
      <c r="I210" s="3"/>
      <c r="J210" s="3"/>
    </row>
    <row r="211" spans="1:10">
      <c r="A211" s="27"/>
      <c r="B211" s="27"/>
      <c r="C211" s="28"/>
      <c r="D211" s="28"/>
      <c r="E211" s="23"/>
      <c r="F211" s="23"/>
      <c r="G211" s="23"/>
      <c r="H211" s="23"/>
      <c r="I211" s="3"/>
      <c r="J211" s="3"/>
    </row>
    <row r="212" spans="1:10">
      <c r="A212" s="27"/>
      <c r="B212" s="27"/>
      <c r="C212" s="28"/>
      <c r="D212" s="28"/>
      <c r="E212" s="23"/>
      <c r="F212" s="23"/>
      <c r="G212" s="23"/>
      <c r="H212" s="23"/>
      <c r="I212" s="3"/>
      <c r="J212" s="3"/>
    </row>
    <row r="213" spans="1:10">
      <c r="A213" s="27"/>
      <c r="B213" s="27"/>
      <c r="C213" s="28"/>
      <c r="D213" s="28"/>
      <c r="E213" s="23"/>
      <c r="F213" s="23"/>
      <c r="G213" s="23"/>
      <c r="H213" s="23"/>
      <c r="I213" s="3"/>
      <c r="J213" s="3"/>
    </row>
    <row r="214" spans="1:10">
      <c r="A214" s="27"/>
      <c r="B214" s="27"/>
      <c r="C214" s="28"/>
      <c r="D214" s="28"/>
      <c r="E214" s="23"/>
      <c r="F214" s="23"/>
      <c r="G214" s="23"/>
      <c r="H214" s="23"/>
      <c r="I214" s="3"/>
      <c r="J214" s="3"/>
    </row>
    <row r="215" spans="1:10">
      <c r="A215" s="27"/>
      <c r="B215" s="27"/>
      <c r="C215" s="28"/>
      <c r="D215" s="28"/>
      <c r="E215" s="23"/>
      <c r="F215" s="23"/>
      <c r="G215" s="23"/>
      <c r="H215" s="23"/>
      <c r="I215" s="3"/>
      <c r="J215" s="3"/>
    </row>
    <row r="216" spans="1:10">
      <c r="A216" s="27"/>
      <c r="B216" s="27"/>
      <c r="C216" s="28"/>
      <c r="D216" s="28"/>
      <c r="E216" s="23"/>
      <c r="F216" s="23"/>
      <c r="G216" s="23"/>
      <c r="H216" s="23"/>
      <c r="I216" s="3"/>
      <c r="J216" s="3"/>
    </row>
    <row r="217" spans="1:10">
      <c r="A217" s="27"/>
      <c r="B217" s="27"/>
      <c r="C217" s="28"/>
      <c r="D217" s="28"/>
      <c r="E217" s="23"/>
      <c r="F217" s="23"/>
      <c r="G217" s="23"/>
      <c r="H217" s="23"/>
      <c r="I217" s="3"/>
      <c r="J217" s="3"/>
    </row>
    <row r="218" spans="1:10">
      <c r="A218" s="27"/>
      <c r="B218" s="27"/>
      <c r="C218" s="28"/>
      <c r="D218" s="28"/>
      <c r="E218" s="23"/>
      <c r="F218" s="23"/>
      <c r="G218" s="23"/>
      <c r="H218" s="23"/>
      <c r="I218" s="3"/>
      <c r="J218" s="3"/>
    </row>
    <row r="219" spans="1:10">
      <c r="A219" s="27"/>
      <c r="B219" s="27"/>
      <c r="C219" s="28"/>
      <c r="D219" s="28"/>
      <c r="E219" s="23"/>
      <c r="F219" s="23"/>
      <c r="G219" s="23"/>
      <c r="H219" s="23"/>
      <c r="I219" s="3"/>
      <c r="J219" s="3"/>
    </row>
    <row r="220" spans="1:10">
      <c r="A220" s="27"/>
      <c r="B220" s="27"/>
      <c r="C220" s="28"/>
      <c r="D220" s="28"/>
      <c r="E220" s="23"/>
      <c r="F220" s="23"/>
      <c r="G220" s="23"/>
      <c r="H220" s="23"/>
      <c r="I220" s="3"/>
      <c r="J220" s="3"/>
    </row>
    <row r="221" spans="1:10">
      <c r="A221" s="27"/>
      <c r="B221" s="27"/>
      <c r="C221" s="28"/>
      <c r="D221" s="28"/>
      <c r="E221" s="23"/>
      <c r="F221" s="23"/>
      <c r="G221" s="23"/>
      <c r="H221" s="23"/>
      <c r="I221" s="3"/>
      <c r="J221" s="3"/>
    </row>
    <row r="222" spans="1:10">
      <c r="A222" s="27"/>
      <c r="B222" s="27"/>
      <c r="C222" s="28"/>
      <c r="D222" s="28"/>
      <c r="E222" s="174"/>
      <c r="F222" s="27"/>
      <c r="G222" s="27"/>
      <c r="H222" s="27"/>
      <c r="I222" s="3"/>
      <c r="J222" s="3"/>
    </row>
    <row r="223" spans="1:10">
      <c r="A223" s="27"/>
      <c r="B223" s="27"/>
      <c r="C223" s="28"/>
      <c r="D223" s="28"/>
      <c r="E223" s="174"/>
      <c r="F223" s="27"/>
      <c r="G223" s="27"/>
      <c r="H223" s="27"/>
      <c r="I223" s="3"/>
      <c r="J223" s="3"/>
    </row>
    <row r="224" spans="1:10">
      <c r="A224" s="27"/>
      <c r="B224" s="27"/>
      <c r="C224" s="28"/>
      <c r="D224" s="28"/>
      <c r="E224" s="174"/>
      <c r="F224" s="27"/>
      <c r="G224" s="27"/>
      <c r="H224" s="27"/>
      <c r="I224" s="3"/>
      <c r="J224" s="3"/>
    </row>
    <row r="225" spans="1:10">
      <c r="A225" s="27"/>
      <c r="B225" s="27"/>
      <c r="C225" s="28"/>
      <c r="D225" s="28"/>
      <c r="E225" s="174"/>
      <c r="F225" s="27"/>
      <c r="G225" s="27"/>
      <c r="H225" s="27"/>
      <c r="I225" s="3"/>
      <c r="J225" s="3"/>
    </row>
    <row r="226" spans="1:10">
      <c r="A226" s="27"/>
      <c r="B226" s="27"/>
      <c r="C226" s="28"/>
      <c r="D226" s="28"/>
      <c r="E226" s="174"/>
      <c r="F226" s="27"/>
      <c r="G226" s="27"/>
      <c r="H226" s="27"/>
      <c r="I226" s="3"/>
      <c r="J226" s="3"/>
    </row>
    <row r="227" spans="1:10">
      <c r="A227" s="27"/>
      <c r="B227" s="27"/>
      <c r="C227" s="28"/>
      <c r="D227" s="28"/>
      <c r="E227" s="174"/>
      <c r="F227" s="27"/>
      <c r="G227" s="27"/>
      <c r="H227" s="27"/>
      <c r="I227" s="3"/>
      <c r="J227" s="3"/>
    </row>
    <row r="228" spans="1:10">
      <c r="A228" s="27"/>
      <c r="B228" s="27"/>
      <c r="C228" s="28"/>
      <c r="D228" s="28"/>
      <c r="E228" s="174"/>
      <c r="F228" s="27"/>
      <c r="G228" s="27"/>
      <c r="H228" s="27"/>
      <c r="I228" s="3"/>
      <c r="J228" s="3"/>
    </row>
    <row r="229" spans="1:10">
      <c r="A229" s="27"/>
      <c r="B229" s="27"/>
      <c r="C229" s="28"/>
      <c r="D229" s="28"/>
      <c r="E229" s="174"/>
      <c r="F229" s="27"/>
      <c r="G229" s="27"/>
      <c r="H229" s="27"/>
      <c r="I229" s="3"/>
      <c r="J229" s="3"/>
    </row>
    <row r="230" spans="1:10">
      <c r="A230" s="27"/>
      <c r="B230" s="27"/>
      <c r="C230" s="28"/>
      <c r="D230" s="28"/>
      <c r="E230" s="174"/>
      <c r="F230" s="27"/>
      <c r="G230" s="27"/>
      <c r="H230" s="27"/>
      <c r="I230" s="3"/>
      <c r="J230" s="3"/>
    </row>
    <row r="231" spans="1:10">
      <c r="A231" s="27"/>
      <c r="B231" s="27"/>
      <c r="C231" s="28"/>
      <c r="D231" s="28"/>
      <c r="E231" s="174"/>
      <c r="F231" s="27"/>
      <c r="G231" s="27"/>
      <c r="H231" s="27"/>
      <c r="I231" s="3"/>
      <c r="J231" s="3"/>
    </row>
    <row r="232" spans="1:10">
      <c r="A232" s="27"/>
      <c r="B232" s="27"/>
      <c r="C232" s="28"/>
      <c r="D232" s="28"/>
      <c r="E232" s="174"/>
      <c r="F232" s="27"/>
      <c r="G232" s="27"/>
      <c r="H232" s="27"/>
      <c r="I232" s="3"/>
      <c r="J232" s="3"/>
    </row>
    <row r="233" spans="1:10">
      <c r="A233" s="27"/>
      <c r="B233" s="27"/>
      <c r="C233" s="28"/>
      <c r="D233" s="28"/>
      <c r="E233" s="174"/>
      <c r="F233" s="27"/>
      <c r="G233" s="27"/>
      <c r="H233" s="27"/>
      <c r="I233" s="3"/>
      <c r="J233" s="3"/>
    </row>
    <row r="234" spans="1:10">
      <c r="A234" s="27"/>
      <c r="B234" s="27"/>
      <c r="C234" s="28"/>
      <c r="D234" s="28"/>
      <c r="E234" s="174"/>
      <c r="F234" s="27"/>
      <c r="G234" s="27"/>
      <c r="H234" s="27"/>
      <c r="I234" s="3"/>
      <c r="J234" s="3"/>
    </row>
    <row r="235" spans="1:10">
      <c r="A235" s="27"/>
      <c r="B235" s="27"/>
      <c r="C235" s="28"/>
      <c r="D235" s="28"/>
      <c r="E235" s="174"/>
      <c r="F235" s="27"/>
      <c r="G235" s="27"/>
      <c r="H235" s="27"/>
      <c r="I235" s="3"/>
      <c r="J235" s="3"/>
    </row>
    <row r="236" spans="1:10">
      <c r="A236" s="27"/>
      <c r="B236" s="27"/>
      <c r="C236" s="28"/>
      <c r="D236" s="28"/>
      <c r="E236" s="174"/>
      <c r="F236" s="27"/>
      <c r="G236" s="27"/>
      <c r="H236" s="27"/>
      <c r="I236" s="3"/>
      <c r="J236" s="3"/>
    </row>
    <row r="237" spans="1:10">
      <c r="A237" s="27"/>
      <c r="B237" s="27"/>
      <c r="C237" s="28"/>
      <c r="D237" s="28"/>
      <c r="E237" s="174"/>
      <c r="F237" s="27"/>
      <c r="G237" s="27"/>
      <c r="H237" s="27"/>
      <c r="I237" s="3"/>
      <c r="J237" s="3"/>
    </row>
    <row r="238" spans="1:10">
      <c r="A238" s="27"/>
      <c r="B238" s="27"/>
      <c r="C238" s="28"/>
      <c r="D238" s="28"/>
      <c r="E238" s="174"/>
      <c r="F238" s="27"/>
      <c r="G238" s="27"/>
      <c r="H238" s="27"/>
      <c r="I238" s="3"/>
      <c r="J238" s="3"/>
    </row>
    <row r="239" spans="1:10">
      <c r="A239" s="27"/>
      <c r="B239" s="27"/>
      <c r="C239" s="28"/>
      <c r="D239" s="28"/>
      <c r="E239" s="174"/>
      <c r="F239" s="27"/>
      <c r="G239" s="27"/>
      <c r="H239" s="27"/>
      <c r="I239" s="3"/>
      <c r="J239" s="3"/>
    </row>
    <row r="240" spans="1:10">
      <c r="A240" s="27"/>
      <c r="B240" s="27"/>
      <c r="C240" s="28"/>
      <c r="D240" s="28"/>
      <c r="E240" s="174"/>
      <c r="F240" s="27"/>
      <c r="G240" s="27"/>
      <c r="H240" s="27"/>
      <c r="I240" s="3"/>
      <c r="J240" s="3"/>
    </row>
    <row r="241" spans="1:10">
      <c r="A241" s="27"/>
      <c r="B241" s="27"/>
      <c r="C241" s="28"/>
      <c r="D241" s="28"/>
      <c r="E241" s="174"/>
      <c r="F241" s="27"/>
      <c r="G241" s="27"/>
      <c r="H241" s="27"/>
      <c r="I241" s="3"/>
      <c r="J241" s="3"/>
    </row>
    <row r="242" spans="1:10">
      <c r="A242" s="27"/>
      <c r="B242" s="27"/>
      <c r="C242" s="28"/>
      <c r="D242" s="28"/>
      <c r="E242" s="174"/>
      <c r="F242" s="27"/>
      <c r="G242" s="27"/>
      <c r="H242" s="27"/>
      <c r="I242" s="3"/>
      <c r="J242" s="3"/>
    </row>
    <row r="243" spans="1:10">
      <c r="A243" s="27"/>
      <c r="B243" s="27"/>
      <c r="C243" s="28"/>
      <c r="D243" s="28"/>
      <c r="E243" s="174"/>
      <c r="F243" s="27"/>
      <c r="G243" s="27"/>
      <c r="H243" s="27"/>
      <c r="I243" s="3"/>
      <c r="J243" s="3"/>
    </row>
    <row r="244" spans="1:10">
      <c r="A244" s="27"/>
      <c r="B244" s="27"/>
      <c r="C244" s="28"/>
      <c r="D244" s="28"/>
      <c r="E244" s="174"/>
      <c r="F244" s="27"/>
      <c r="G244" s="27"/>
      <c r="H244" s="27"/>
      <c r="I244" s="3"/>
      <c r="J244" s="3"/>
    </row>
    <row r="245" spans="1:10">
      <c r="A245" s="27"/>
      <c r="B245" s="27"/>
      <c r="C245" s="28"/>
      <c r="D245" s="28"/>
      <c r="E245" s="174"/>
      <c r="F245" s="27"/>
      <c r="G245" s="27"/>
      <c r="H245" s="27"/>
      <c r="I245" s="3"/>
      <c r="J245" s="3"/>
    </row>
    <row r="246" spans="1:10">
      <c r="A246" s="27"/>
      <c r="B246" s="27"/>
      <c r="C246" s="28"/>
      <c r="D246" s="28"/>
      <c r="E246" s="174"/>
      <c r="F246" s="27"/>
      <c r="G246" s="27"/>
      <c r="H246" s="27"/>
      <c r="I246" s="3"/>
      <c r="J246" s="3"/>
    </row>
    <row r="247" spans="1:10">
      <c r="A247" s="27"/>
      <c r="B247" s="27"/>
      <c r="C247" s="28"/>
      <c r="D247" s="28"/>
      <c r="E247" s="174"/>
      <c r="F247" s="27"/>
      <c r="G247" s="27"/>
      <c r="H247" s="27"/>
      <c r="I247" s="3"/>
      <c r="J247" s="3"/>
    </row>
    <row r="248" spans="1:10">
      <c r="A248" s="27"/>
      <c r="B248" s="27"/>
      <c r="C248" s="28"/>
      <c r="D248" s="28"/>
      <c r="E248" s="174"/>
      <c r="F248" s="27"/>
      <c r="G248" s="27"/>
      <c r="H248" s="27"/>
      <c r="I248" s="3"/>
      <c r="J248" s="3"/>
    </row>
    <row r="249" spans="1:10">
      <c r="A249" s="27"/>
      <c r="B249" s="27"/>
      <c r="C249" s="28"/>
      <c r="D249" s="28"/>
      <c r="E249" s="174"/>
      <c r="F249" s="27"/>
      <c r="G249" s="27"/>
      <c r="H249" s="27"/>
      <c r="I249" s="3"/>
      <c r="J249" s="3"/>
    </row>
    <row r="250" spans="1:10">
      <c r="A250" s="27"/>
      <c r="B250" s="27"/>
      <c r="C250" s="28"/>
      <c r="D250" s="28"/>
      <c r="E250" s="174"/>
      <c r="F250" s="27"/>
      <c r="G250" s="27"/>
      <c r="H250" s="27"/>
      <c r="I250" s="3"/>
      <c r="J250" s="3"/>
    </row>
    <row r="251" spans="1:10">
      <c r="A251" s="27"/>
      <c r="B251" s="27"/>
      <c r="C251" s="28"/>
      <c r="D251" s="28"/>
      <c r="E251" s="174"/>
      <c r="F251" s="27"/>
      <c r="G251" s="27"/>
      <c r="H251" s="27"/>
      <c r="I251" s="3"/>
      <c r="J251" s="3"/>
    </row>
    <row r="252" spans="1:10">
      <c r="A252" s="27"/>
      <c r="B252" s="27"/>
      <c r="C252" s="28"/>
      <c r="D252" s="28"/>
      <c r="E252" s="174"/>
      <c r="F252" s="27"/>
      <c r="G252" s="27"/>
      <c r="H252" s="27"/>
      <c r="I252" s="3"/>
      <c r="J252" s="3"/>
    </row>
    <row r="253" spans="1:10">
      <c r="A253" s="27"/>
      <c r="B253" s="27"/>
      <c r="C253" s="28"/>
      <c r="D253" s="28"/>
      <c r="E253" s="174"/>
      <c r="F253" s="27"/>
      <c r="G253" s="27"/>
      <c r="H253" s="27"/>
      <c r="I253" s="3"/>
      <c r="J253" s="3"/>
    </row>
    <row r="254" spans="1:10">
      <c r="A254" s="27"/>
      <c r="B254" s="27"/>
      <c r="C254" s="28"/>
      <c r="D254" s="28"/>
      <c r="E254" s="174"/>
      <c r="F254" s="27"/>
      <c r="G254" s="27"/>
      <c r="H254" s="27"/>
      <c r="I254" s="3"/>
      <c r="J254" s="3"/>
    </row>
    <row r="255" spans="1:10">
      <c r="A255" s="27"/>
      <c r="B255" s="27"/>
      <c r="C255" s="28"/>
      <c r="D255" s="28"/>
      <c r="E255" s="174"/>
      <c r="F255" s="27"/>
      <c r="G255" s="27"/>
      <c r="H255" s="27"/>
      <c r="I255" s="3"/>
      <c r="J255" s="3"/>
    </row>
    <row r="256" spans="1:10">
      <c r="A256" s="27"/>
      <c r="B256" s="27"/>
      <c r="C256" s="28"/>
      <c r="D256" s="28"/>
      <c r="E256" s="174"/>
      <c r="F256" s="27"/>
      <c r="G256" s="27"/>
      <c r="H256" s="27"/>
      <c r="I256" s="3"/>
      <c r="J256" s="3"/>
    </row>
    <row r="257" spans="1:10">
      <c r="A257" s="27"/>
      <c r="B257" s="27"/>
      <c r="C257" s="28"/>
      <c r="D257" s="28"/>
      <c r="E257" s="174"/>
      <c r="F257" s="27"/>
      <c r="G257" s="27"/>
      <c r="H257" s="27"/>
      <c r="I257" s="3"/>
      <c r="J257" s="3"/>
    </row>
    <row r="258" spans="1:10">
      <c r="A258" s="27"/>
      <c r="B258" s="27"/>
      <c r="C258" s="28"/>
      <c r="D258" s="28"/>
      <c r="E258" s="174"/>
      <c r="F258" s="27"/>
      <c r="G258" s="27"/>
      <c r="H258" s="27"/>
      <c r="I258" s="3"/>
      <c r="J258" s="3"/>
    </row>
    <row r="259" spans="1:10">
      <c r="A259" s="27"/>
      <c r="B259" s="27"/>
      <c r="C259" s="28"/>
      <c r="D259" s="28"/>
      <c r="E259" s="174"/>
      <c r="F259" s="27"/>
      <c r="G259" s="27"/>
      <c r="H259" s="27"/>
      <c r="I259" s="3"/>
      <c r="J259" s="3"/>
    </row>
    <row r="260" spans="1:10">
      <c r="A260" s="27"/>
      <c r="B260" s="27"/>
      <c r="C260" s="28"/>
      <c r="D260" s="28"/>
      <c r="E260" s="174"/>
      <c r="F260" s="27"/>
      <c r="G260" s="27"/>
      <c r="H260" s="27"/>
      <c r="I260" s="3"/>
      <c r="J260" s="3"/>
    </row>
    <row r="261" spans="1:10">
      <c r="A261" s="27"/>
      <c r="B261" s="27"/>
      <c r="C261" s="28"/>
      <c r="D261" s="28"/>
      <c r="E261" s="174"/>
      <c r="F261" s="27"/>
      <c r="G261" s="27"/>
      <c r="H261" s="27"/>
      <c r="I261" s="3"/>
      <c r="J261" s="3"/>
    </row>
    <row r="262" spans="1:10">
      <c r="A262" s="27"/>
      <c r="B262" s="27"/>
      <c r="C262" s="28"/>
      <c r="D262" s="28"/>
      <c r="E262" s="174"/>
      <c r="F262" s="27"/>
      <c r="G262" s="27"/>
      <c r="H262" s="27"/>
      <c r="I262" s="3"/>
      <c r="J262" s="3"/>
    </row>
    <row r="263" spans="1:10">
      <c r="A263" s="27"/>
      <c r="B263" s="27"/>
      <c r="C263" s="28"/>
      <c r="D263" s="28"/>
      <c r="E263" s="174"/>
      <c r="F263" s="27"/>
      <c r="G263" s="27"/>
      <c r="H263" s="27"/>
      <c r="I263" s="3"/>
      <c r="J263" s="3"/>
    </row>
    <row r="264" spans="1:10">
      <c r="A264" s="27"/>
      <c r="B264" s="27"/>
      <c r="C264" s="28"/>
      <c r="D264" s="28"/>
      <c r="E264" s="174"/>
      <c r="F264" s="27"/>
      <c r="G264" s="27"/>
      <c r="H264" s="27"/>
      <c r="I264" s="3"/>
      <c r="J264" s="3"/>
    </row>
    <row r="265" spans="1:10">
      <c r="A265" s="27"/>
      <c r="B265" s="27"/>
      <c r="C265" s="28"/>
      <c r="D265" s="28"/>
      <c r="E265" s="174"/>
      <c r="F265" s="27"/>
      <c r="G265" s="27"/>
      <c r="H265" s="27"/>
      <c r="I265" s="3"/>
      <c r="J265" s="3"/>
    </row>
    <row r="266" spans="1:10">
      <c r="A266" s="27"/>
      <c r="B266" s="27"/>
      <c r="C266" s="28"/>
      <c r="D266" s="28"/>
      <c r="E266" s="174"/>
      <c r="F266" s="27"/>
      <c r="G266" s="27"/>
      <c r="H266" s="27"/>
      <c r="I266" s="3"/>
      <c r="J266" s="3"/>
    </row>
    <row r="267" spans="1:10">
      <c r="A267" s="27"/>
      <c r="B267" s="27"/>
      <c r="C267" s="28"/>
      <c r="D267" s="28"/>
      <c r="E267" s="174"/>
      <c r="F267" s="27"/>
      <c r="G267" s="27"/>
      <c r="H267" s="27"/>
      <c r="I267" s="3"/>
      <c r="J267" s="3"/>
    </row>
    <row r="268" spans="1:10">
      <c r="A268" s="27"/>
      <c r="B268" s="27"/>
      <c r="C268" s="28"/>
      <c r="D268" s="28"/>
      <c r="E268" s="174"/>
      <c r="F268" s="27"/>
      <c r="G268" s="27"/>
      <c r="H268" s="27"/>
      <c r="I268" s="3"/>
      <c r="J268" s="3"/>
    </row>
    <row r="269" spans="1:10">
      <c r="A269" s="27"/>
      <c r="B269" s="27"/>
      <c r="C269" s="28"/>
      <c r="D269" s="28"/>
      <c r="E269" s="174"/>
      <c r="F269" s="27"/>
      <c r="G269" s="27"/>
      <c r="H269" s="27"/>
      <c r="I269" s="3"/>
      <c r="J269" s="3"/>
    </row>
    <row r="270" spans="1:10">
      <c r="A270" s="27"/>
      <c r="B270" s="27"/>
      <c r="C270" s="28"/>
      <c r="D270" s="28"/>
      <c r="E270" s="174"/>
      <c r="F270" s="27"/>
      <c r="G270" s="27"/>
      <c r="H270" s="27"/>
      <c r="I270" s="3"/>
      <c r="J270" s="3"/>
    </row>
    <row r="271" spans="1:10">
      <c r="A271" s="27"/>
      <c r="B271" s="27"/>
      <c r="C271" s="28"/>
      <c r="D271" s="28"/>
      <c r="E271" s="174"/>
      <c r="F271" s="27"/>
      <c r="G271" s="27"/>
      <c r="H271" s="27"/>
      <c r="I271" s="3"/>
      <c r="J271" s="3"/>
    </row>
    <row r="272" spans="1:10">
      <c r="A272" s="27"/>
      <c r="B272" s="27"/>
      <c r="C272" s="28"/>
      <c r="D272" s="28"/>
      <c r="E272" s="174"/>
      <c r="F272" s="27"/>
      <c r="G272" s="27"/>
      <c r="H272" s="27"/>
      <c r="I272" s="3"/>
      <c r="J272" s="3"/>
    </row>
    <row r="273" spans="1:10">
      <c r="A273" s="27"/>
      <c r="B273" s="27"/>
      <c r="C273" s="28"/>
      <c r="D273" s="28"/>
      <c r="E273" s="174"/>
      <c r="F273" s="27"/>
      <c r="G273" s="27"/>
      <c r="H273" s="27"/>
      <c r="I273" s="3"/>
      <c r="J273" s="3"/>
    </row>
    <row r="274" spans="1:10">
      <c r="A274" s="27"/>
      <c r="B274" s="27"/>
      <c r="C274" s="28"/>
      <c r="D274" s="28"/>
      <c r="E274" s="174"/>
      <c r="F274" s="27"/>
      <c r="G274" s="27"/>
      <c r="H274" s="27"/>
      <c r="I274" s="3"/>
      <c r="J274" s="3"/>
    </row>
    <row r="275" spans="1:10">
      <c r="A275" s="27"/>
      <c r="B275" s="27"/>
      <c r="C275" s="28"/>
      <c r="D275" s="28"/>
      <c r="E275" s="174"/>
      <c r="F275" s="27"/>
      <c r="G275" s="27"/>
      <c r="H275" s="27"/>
      <c r="I275" s="3"/>
      <c r="J275" s="3"/>
    </row>
    <row r="276" spans="1:10">
      <c r="A276" s="27"/>
      <c r="B276" s="27"/>
      <c r="C276" s="28"/>
      <c r="D276" s="28"/>
      <c r="E276" s="174"/>
      <c r="F276" s="27"/>
      <c r="G276" s="27"/>
      <c r="H276" s="27"/>
      <c r="I276" s="3"/>
      <c r="J276" s="3"/>
    </row>
    <row r="277" spans="1:10">
      <c r="A277" s="27"/>
      <c r="B277" s="27"/>
      <c r="C277" s="28"/>
      <c r="D277" s="28"/>
      <c r="E277" s="174"/>
      <c r="F277" s="27"/>
      <c r="G277" s="27"/>
      <c r="H277" s="27"/>
      <c r="I277" s="3"/>
      <c r="J277" s="3"/>
    </row>
    <row r="278" spans="1:10">
      <c r="A278" s="27"/>
      <c r="B278" s="27"/>
      <c r="C278" s="28"/>
      <c r="D278" s="28"/>
      <c r="E278" s="174"/>
      <c r="F278" s="27"/>
      <c r="G278" s="27"/>
      <c r="H278" s="27"/>
      <c r="I278" s="3"/>
      <c r="J278" s="3"/>
    </row>
    <row r="279" spans="1:10">
      <c r="A279" s="27"/>
      <c r="B279" s="27"/>
      <c r="C279" s="28"/>
      <c r="D279" s="28"/>
      <c r="E279" s="174"/>
      <c r="F279" s="27"/>
      <c r="G279" s="27"/>
      <c r="H279" s="27"/>
      <c r="I279" s="3"/>
      <c r="J279" s="3"/>
    </row>
    <row r="280" spans="1:10">
      <c r="A280" s="27"/>
      <c r="B280" s="27"/>
      <c r="C280" s="28"/>
      <c r="D280" s="28"/>
      <c r="E280" s="174"/>
      <c r="F280" s="27"/>
      <c r="G280" s="27"/>
      <c r="H280" s="27"/>
      <c r="I280" s="3"/>
      <c r="J280" s="3"/>
    </row>
    <row r="281" spans="1:10">
      <c r="A281" s="27"/>
      <c r="B281" s="27"/>
      <c r="C281" s="28"/>
      <c r="D281" s="28"/>
      <c r="E281" s="174"/>
      <c r="F281" s="27"/>
      <c r="G281" s="27"/>
      <c r="H281" s="27"/>
      <c r="I281" s="3"/>
      <c r="J281" s="3"/>
    </row>
    <row r="282" spans="1:10">
      <c r="A282" s="27"/>
      <c r="B282" s="27"/>
      <c r="C282" s="28"/>
      <c r="D282" s="28"/>
      <c r="E282" s="174"/>
      <c r="F282" s="27"/>
      <c r="G282" s="27"/>
      <c r="H282" s="27"/>
      <c r="I282" s="3"/>
      <c r="J282" s="3"/>
    </row>
    <row r="283" spans="1:10">
      <c r="A283" s="27"/>
      <c r="B283" s="27"/>
      <c r="C283" s="28"/>
      <c r="D283" s="28"/>
      <c r="E283" s="174"/>
      <c r="F283" s="27"/>
      <c r="G283" s="27"/>
      <c r="H283" s="27"/>
      <c r="I283" s="3"/>
      <c r="J283" s="3"/>
    </row>
    <row r="284" spans="1:10">
      <c r="A284" s="27"/>
      <c r="B284" s="27"/>
      <c r="C284" s="28"/>
      <c r="D284" s="28"/>
      <c r="E284" s="174"/>
      <c r="F284" s="27"/>
      <c r="G284" s="27"/>
      <c r="H284" s="27"/>
      <c r="I284" s="3"/>
      <c r="J284" s="3"/>
    </row>
    <row r="285" spans="1:10">
      <c r="A285" s="27"/>
      <c r="B285" s="27"/>
      <c r="C285" s="28"/>
      <c r="D285" s="28"/>
      <c r="E285" s="174"/>
      <c r="F285" s="27"/>
      <c r="G285" s="27"/>
      <c r="H285" s="27"/>
      <c r="I285" s="3"/>
      <c r="J285" s="3"/>
    </row>
    <row r="286" spans="1:10">
      <c r="A286" s="27"/>
      <c r="B286" s="27"/>
      <c r="C286" s="28"/>
      <c r="D286" s="28"/>
      <c r="E286" s="174"/>
      <c r="F286" s="27"/>
      <c r="G286" s="27"/>
      <c r="H286" s="27"/>
      <c r="I286" s="3"/>
      <c r="J286" s="3"/>
    </row>
    <row r="287" spans="1:10">
      <c r="A287" s="27"/>
      <c r="B287" s="27"/>
      <c r="C287" s="28"/>
      <c r="D287" s="28"/>
      <c r="E287" s="174"/>
      <c r="F287" s="27"/>
      <c r="G287" s="27"/>
      <c r="H287" s="27"/>
      <c r="I287" s="3"/>
      <c r="J287" s="3"/>
    </row>
    <row r="288" spans="1:10">
      <c r="A288" s="27"/>
      <c r="B288" s="27"/>
      <c r="C288" s="28"/>
      <c r="D288" s="28"/>
      <c r="E288" s="174"/>
      <c r="F288" s="27"/>
      <c r="G288" s="27"/>
      <c r="H288" s="27"/>
      <c r="I288" s="3"/>
      <c r="J288" s="3"/>
    </row>
    <row r="289" spans="1:10">
      <c r="A289" s="27"/>
      <c r="B289" s="27"/>
      <c r="C289" s="28"/>
      <c r="D289" s="28"/>
      <c r="E289" s="174"/>
      <c r="F289" s="27"/>
      <c r="G289" s="27"/>
      <c r="H289" s="27"/>
      <c r="I289" s="3"/>
      <c r="J289" s="3"/>
    </row>
    <row r="290" spans="1:10">
      <c r="A290" s="27"/>
      <c r="B290" s="27"/>
      <c r="C290" s="28"/>
      <c r="D290" s="28"/>
      <c r="E290" s="174"/>
      <c r="F290" s="27"/>
      <c r="G290" s="27"/>
      <c r="H290" s="27"/>
      <c r="I290" s="3"/>
      <c r="J290" s="3"/>
    </row>
    <row r="291" spans="1:10">
      <c r="A291" s="27"/>
      <c r="B291" s="27"/>
      <c r="C291" s="28"/>
      <c r="D291" s="28"/>
      <c r="E291" s="174"/>
      <c r="F291" s="27"/>
      <c r="G291" s="27"/>
      <c r="H291" s="27"/>
      <c r="I291" s="3"/>
      <c r="J291" s="3"/>
    </row>
    <row r="292" spans="1:10">
      <c r="A292" s="27"/>
      <c r="B292" s="27"/>
      <c r="C292" s="28"/>
      <c r="D292" s="28"/>
      <c r="E292" s="174"/>
      <c r="F292" s="27"/>
      <c r="G292" s="27"/>
      <c r="H292" s="27"/>
      <c r="I292" s="3"/>
      <c r="J292" s="3"/>
    </row>
    <row r="293" spans="1:10">
      <c r="A293" s="27"/>
      <c r="B293" s="27"/>
      <c r="C293" s="28"/>
      <c r="D293" s="28"/>
      <c r="E293" s="174"/>
      <c r="F293" s="27"/>
      <c r="G293" s="27"/>
      <c r="H293" s="27"/>
      <c r="I293" s="3"/>
      <c r="J293" s="3"/>
    </row>
    <row r="294" spans="1:10">
      <c r="A294" s="27"/>
      <c r="B294" s="27"/>
      <c r="C294" s="28"/>
      <c r="D294" s="28"/>
      <c r="E294" s="174"/>
      <c r="F294" s="27"/>
      <c r="G294" s="27"/>
      <c r="H294" s="27"/>
      <c r="I294" s="3"/>
      <c r="J294" s="3"/>
    </row>
    <row r="295" spans="1:10">
      <c r="A295" s="27"/>
      <c r="B295" s="27"/>
      <c r="C295" s="28"/>
      <c r="D295" s="28"/>
      <c r="E295" s="174"/>
      <c r="F295" s="27"/>
      <c r="G295" s="27"/>
      <c r="H295" s="27"/>
      <c r="I295" s="3"/>
      <c r="J295" s="3"/>
    </row>
    <row r="296" spans="1:10">
      <c r="A296" s="27"/>
      <c r="B296" s="27"/>
      <c r="C296" s="28"/>
      <c r="D296" s="28"/>
      <c r="E296" s="174"/>
      <c r="F296" s="27"/>
      <c r="G296" s="27"/>
      <c r="H296" s="27"/>
      <c r="I296" s="3"/>
      <c r="J296" s="3"/>
    </row>
    <row r="297" spans="1:10">
      <c r="A297" s="27"/>
      <c r="B297" s="27"/>
      <c r="C297" s="28"/>
      <c r="D297" s="28"/>
      <c r="E297" s="174"/>
      <c r="F297" s="27"/>
      <c r="G297" s="27"/>
      <c r="H297" s="27"/>
      <c r="I297" s="3"/>
      <c r="J297" s="3"/>
    </row>
    <row r="298" spans="1:10">
      <c r="A298" s="27"/>
      <c r="B298" s="27"/>
      <c r="C298" s="28"/>
      <c r="D298" s="28"/>
      <c r="E298" s="174"/>
      <c r="F298" s="27"/>
      <c r="G298" s="27"/>
      <c r="H298" s="27"/>
      <c r="I298" s="3"/>
      <c r="J298" s="3"/>
    </row>
    <row r="299" spans="1:10">
      <c r="A299" s="27"/>
      <c r="B299" s="27"/>
      <c r="C299" s="28"/>
      <c r="D299" s="28"/>
      <c r="E299" s="174"/>
      <c r="F299" s="27"/>
      <c r="G299" s="27"/>
      <c r="H299" s="27"/>
      <c r="I299" s="3"/>
      <c r="J299" s="3"/>
    </row>
    <row r="300" spans="1:10">
      <c r="A300" s="27"/>
      <c r="B300" s="27"/>
      <c r="C300" s="28"/>
      <c r="D300" s="28"/>
      <c r="E300" s="174"/>
      <c r="F300" s="27"/>
      <c r="G300" s="27"/>
      <c r="H300" s="27"/>
      <c r="I300" s="3"/>
      <c r="J300" s="3"/>
    </row>
    <row r="301" spans="1:10">
      <c r="A301" s="27"/>
      <c r="B301" s="27"/>
      <c r="C301" s="28"/>
      <c r="D301" s="28"/>
      <c r="E301" s="174"/>
      <c r="F301" s="27"/>
      <c r="G301" s="27"/>
      <c r="H301" s="27"/>
      <c r="I301" s="3"/>
      <c r="J301" s="3"/>
    </row>
    <row r="302" spans="1:10">
      <c r="A302" s="27"/>
      <c r="B302" s="27"/>
      <c r="C302" s="28"/>
      <c r="D302" s="28"/>
      <c r="E302" s="174"/>
      <c r="F302" s="27"/>
      <c r="G302" s="27"/>
      <c r="H302" s="27"/>
      <c r="I302" s="3"/>
      <c r="J302" s="3"/>
    </row>
    <row r="303" spans="1:10">
      <c r="A303" s="27"/>
      <c r="B303" s="27"/>
      <c r="C303" s="28"/>
      <c r="D303" s="28"/>
      <c r="E303" s="174"/>
      <c r="F303" s="27"/>
      <c r="G303" s="27"/>
      <c r="H303" s="27"/>
      <c r="I303" s="3"/>
      <c r="J303" s="3"/>
    </row>
    <row r="304" spans="1:10">
      <c r="A304" s="27"/>
      <c r="B304" s="27"/>
      <c r="C304" s="28"/>
      <c r="D304" s="28"/>
      <c r="E304" s="174"/>
      <c r="F304" s="27"/>
      <c r="G304" s="27"/>
      <c r="H304" s="27"/>
      <c r="I304" s="3"/>
      <c r="J304" s="3"/>
    </row>
    <row r="305" spans="1:10">
      <c r="A305" s="27"/>
      <c r="B305" s="27"/>
      <c r="C305" s="28"/>
      <c r="D305" s="28"/>
      <c r="E305" s="174"/>
      <c r="F305" s="27"/>
      <c r="G305" s="27"/>
      <c r="H305" s="27"/>
      <c r="I305" s="3"/>
      <c r="J305" s="3"/>
    </row>
    <row r="306" spans="1:10">
      <c r="A306" s="27"/>
      <c r="B306" s="27"/>
      <c r="C306" s="28"/>
      <c r="D306" s="28"/>
      <c r="E306" s="174"/>
      <c r="F306" s="27"/>
      <c r="G306" s="27"/>
      <c r="H306" s="27"/>
      <c r="I306" s="3"/>
      <c r="J306" s="3"/>
    </row>
    <row r="307" spans="1:10">
      <c r="A307" s="27"/>
      <c r="B307" s="27"/>
      <c r="C307" s="28"/>
      <c r="D307" s="28"/>
      <c r="E307" s="174"/>
      <c r="F307" s="27"/>
      <c r="G307" s="27"/>
      <c r="H307" s="27"/>
      <c r="I307" s="3"/>
      <c r="J307" s="3"/>
    </row>
    <row r="308" spans="1:10">
      <c r="A308" s="27"/>
      <c r="B308" s="27"/>
      <c r="C308" s="28"/>
      <c r="D308" s="28"/>
      <c r="E308" s="174"/>
      <c r="F308" s="27"/>
      <c r="G308" s="27"/>
      <c r="H308" s="27"/>
      <c r="I308" s="3"/>
      <c r="J308" s="3"/>
    </row>
    <row r="309" spans="1:10">
      <c r="A309" s="27"/>
      <c r="B309" s="27"/>
      <c r="C309" s="28"/>
      <c r="D309" s="28"/>
      <c r="E309" s="174"/>
      <c r="F309" s="27"/>
      <c r="G309" s="27"/>
      <c r="H309" s="27"/>
      <c r="I309" s="3"/>
      <c r="J309" s="3"/>
    </row>
    <row r="310" spans="1:10">
      <c r="A310" s="27"/>
      <c r="B310" s="27"/>
      <c r="C310" s="28"/>
      <c r="D310" s="28"/>
      <c r="E310" s="174"/>
      <c r="F310" s="27"/>
      <c r="G310" s="27"/>
      <c r="H310" s="27"/>
      <c r="I310" s="3"/>
      <c r="J310" s="3"/>
    </row>
    <row r="311" spans="1:10">
      <c r="A311" s="27"/>
      <c r="B311" s="27"/>
      <c r="C311" s="28"/>
      <c r="D311" s="28"/>
      <c r="E311" s="174"/>
      <c r="F311" s="27"/>
      <c r="G311" s="27"/>
      <c r="H311" s="27"/>
      <c r="I311" s="3"/>
      <c r="J311" s="3"/>
    </row>
    <row r="312" spans="1:10">
      <c r="A312" s="27"/>
      <c r="B312" s="27"/>
      <c r="C312" s="28"/>
      <c r="D312" s="28"/>
      <c r="E312" s="174"/>
      <c r="F312" s="27"/>
      <c r="G312" s="27"/>
      <c r="H312" s="27"/>
      <c r="I312" s="3"/>
      <c r="J312" s="3"/>
    </row>
    <row r="313" spans="1:10">
      <c r="A313" s="27"/>
      <c r="B313" s="27"/>
      <c r="C313" s="28"/>
      <c r="D313" s="28"/>
      <c r="E313" s="174"/>
      <c r="F313" s="27"/>
      <c r="G313" s="27"/>
      <c r="H313" s="27"/>
      <c r="I313" s="3"/>
      <c r="J313" s="3"/>
    </row>
    <row r="314" spans="1:10">
      <c r="A314" s="27"/>
      <c r="B314" s="27"/>
      <c r="C314" s="28"/>
      <c r="D314" s="28"/>
      <c r="E314" s="174"/>
      <c r="F314" s="27"/>
      <c r="G314" s="27"/>
      <c r="H314" s="27"/>
      <c r="I314" s="3"/>
      <c r="J314" s="3"/>
    </row>
    <row r="315" spans="1:10">
      <c r="A315" s="27"/>
      <c r="B315" s="27"/>
      <c r="C315" s="28"/>
      <c r="D315" s="28"/>
      <c r="E315" s="174"/>
      <c r="F315" s="27"/>
      <c r="G315" s="27"/>
      <c r="H315" s="27"/>
      <c r="I315" s="3"/>
      <c r="J315" s="3"/>
    </row>
    <row r="316" spans="1:10">
      <c r="A316" s="27"/>
      <c r="B316" s="27"/>
      <c r="C316" s="28"/>
      <c r="D316" s="28"/>
      <c r="E316" s="174"/>
      <c r="F316" s="27"/>
      <c r="G316" s="27"/>
      <c r="H316" s="27"/>
      <c r="I316" s="3"/>
      <c r="J316" s="3"/>
    </row>
    <row r="317" spans="1:10">
      <c r="A317" s="27"/>
      <c r="B317" s="27"/>
      <c r="C317" s="28"/>
      <c r="D317" s="28"/>
      <c r="E317" s="174"/>
      <c r="F317" s="27"/>
      <c r="G317" s="27"/>
      <c r="H317" s="27"/>
      <c r="I317" s="3"/>
      <c r="J317" s="3"/>
    </row>
    <row r="318" spans="1:10">
      <c r="A318" s="27"/>
      <c r="B318" s="27"/>
      <c r="C318" s="28"/>
      <c r="D318" s="28"/>
      <c r="E318" s="174"/>
      <c r="F318" s="27"/>
      <c r="G318" s="27"/>
      <c r="H318" s="27"/>
      <c r="I318" s="3"/>
      <c r="J318" s="3"/>
    </row>
    <row r="319" spans="1:10">
      <c r="A319" s="27"/>
      <c r="B319" s="27"/>
      <c r="C319" s="28"/>
      <c r="D319" s="28"/>
      <c r="E319" s="174"/>
      <c r="F319" s="27"/>
      <c r="G319" s="27"/>
      <c r="H319" s="27"/>
      <c r="I319" s="3"/>
      <c r="J319" s="3"/>
    </row>
    <row r="320" spans="1:10">
      <c r="A320" s="27"/>
      <c r="B320" s="27"/>
      <c r="C320" s="28"/>
      <c r="D320" s="28"/>
      <c r="E320" s="174"/>
      <c r="F320" s="27"/>
      <c r="G320" s="27"/>
      <c r="H320" s="27"/>
      <c r="I320" s="3"/>
      <c r="J320" s="3"/>
    </row>
    <row r="321" spans="1:10">
      <c r="A321" s="27"/>
      <c r="B321" s="27"/>
      <c r="C321" s="28"/>
      <c r="D321" s="28"/>
      <c r="E321" s="174"/>
      <c r="F321" s="27"/>
      <c r="G321" s="27"/>
      <c r="H321" s="27"/>
      <c r="I321" s="3"/>
      <c r="J321" s="3"/>
    </row>
    <row r="322" spans="1:10">
      <c r="A322" s="27"/>
      <c r="B322" s="27"/>
      <c r="C322" s="28"/>
      <c r="D322" s="28"/>
      <c r="E322" s="174"/>
      <c r="F322" s="27"/>
      <c r="G322" s="27"/>
      <c r="H322" s="27"/>
      <c r="I322" s="3"/>
      <c r="J322" s="3"/>
    </row>
    <row r="323" spans="1:10">
      <c r="A323" s="27"/>
      <c r="B323" s="27"/>
      <c r="C323" s="28"/>
      <c r="D323" s="28"/>
      <c r="E323" s="174"/>
      <c r="F323" s="27"/>
      <c r="G323" s="27"/>
      <c r="H323" s="27"/>
      <c r="I323" s="3"/>
      <c r="J323" s="3"/>
    </row>
    <row r="324" spans="1:10">
      <c r="A324" s="27"/>
      <c r="B324" s="27"/>
      <c r="C324" s="28"/>
      <c r="D324" s="28"/>
      <c r="E324" s="174"/>
      <c r="F324" s="27"/>
      <c r="G324" s="27"/>
      <c r="H324" s="27"/>
      <c r="I324" s="3"/>
      <c r="J324" s="3"/>
    </row>
    <row r="325" spans="1:10">
      <c r="A325" s="27"/>
      <c r="B325" s="27"/>
      <c r="C325" s="28"/>
      <c r="D325" s="28"/>
      <c r="E325" s="174"/>
      <c r="F325" s="27"/>
      <c r="G325" s="27"/>
      <c r="H325" s="27"/>
      <c r="I325" s="3"/>
      <c r="J325" s="3"/>
    </row>
    <row r="326" spans="1:10">
      <c r="A326" s="27"/>
      <c r="B326" s="27"/>
      <c r="C326" s="28"/>
      <c r="D326" s="28"/>
      <c r="E326" s="174"/>
      <c r="F326" s="27"/>
      <c r="G326" s="27"/>
      <c r="H326" s="27"/>
      <c r="I326" s="3"/>
      <c r="J326" s="3"/>
    </row>
    <row r="327" spans="1:10">
      <c r="A327" s="27"/>
      <c r="B327" s="27"/>
      <c r="C327" s="28"/>
      <c r="D327" s="28"/>
      <c r="E327" s="174"/>
      <c r="F327" s="27"/>
      <c r="G327" s="27"/>
      <c r="H327" s="27"/>
      <c r="I327" s="3"/>
      <c r="J327" s="3"/>
    </row>
    <row r="328" spans="1:10">
      <c r="A328" s="27"/>
      <c r="B328" s="27"/>
      <c r="C328" s="28"/>
      <c r="D328" s="28"/>
      <c r="E328" s="174"/>
      <c r="F328" s="27"/>
      <c r="G328" s="27"/>
      <c r="H328" s="27"/>
      <c r="I328" s="3"/>
      <c r="J328" s="3"/>
    </row>
    <row r="329" spans="1:10">
      <c r="A329" s="27"/>
      <c r="B329" s="27"/>
      <c r="C329" s="28"/>
      <c r="D329" s="28"/>
      <c r="E329" s="174"/>
      <c r="F329" s="27"/>
      <c r="G329" s="27"/>
      <c r="H329" s="27"/>
      <c r="I329" s="3"/>
      <c r="J329" s="3"/>
    </row>
    <row r="330" spans="1:10">
      <c r="A330" s="27"/>
      <c r="B330" s="27"/>
      <c r="C330" s="28"/>
      <c r="D330" s="28"/>
      <c r="E330" s="174"/>
      <c r="F330" s="27"/>
      <c r="G330" s="27"/>
      <c r="H330" s="27"/>
      <c r="I330" s="3"/>
      <c r="J330" s="3"/>
    </row>
    <row r="331" spans="1:10">
      <c r="A331" s="27"/>
      <c r="B331" s="27"/>
      <c r="C331" s="28"/>
      <c r="D331" s="28"/>
      <c r="E331" s="174"/>
      <c r="F331" s="27"/>
      <c r="G331" s="27"/>
      <c r="H331" s="27"/>
      <c r="I331" s="3"/>
      <c r="J331" s="3"/>
    </row>
    <row r="332" spans="1:10">
      <c r="A332" s="27"/>
      <c r="B332" s="27"/>
      <c r="C332" s="28"/>
      <c r="D332" s="28"/>
      <c r="E332" s="174"/>
      <c r="F332" s="27"/>
      <c r="G332" s="27"/>
      <c r="H332" s="27"/>
      <c r="I332" s="3"/>
      <c r="J332" s="3"/>
    </row>
    <row r="333" spans="1:10">
      <c r="A333" s="27"/>
      <c r="B333" s="27"/>
      <c r="C333" s="28"/>
      <c r="D333" s="28"/>
      <c r="E333" s="174"/>
      <c r="F333" s="27"/>
      <c r="G333" s="27"/>
      <c r="H333" s="27"/>
      <c r="I333" s="3"/>
      <c r="J333" s="3"/>
    </row>
    <row r="334" spans="1:10">
      <c r="A334" s="27"/>
      <c r="B334" s="27"/>
      <c r="C334" s="28"/>
      <c r="D334" s="28"/>
      <c r="E334" s="174"/>
      <c r="F334" s="27"/>
      <c r="G334" s="27"/>
      <c r="H334" s="27"/>
      <c r="I334" s="3"/>
      <c r="J334" s="3"/>
    </row>
    <row r="335" spans="1:10">
      <c r="A335" s="27"/>
      <c r="B335" s="27"/>
      <c r="C335" s="28"/>
      <c r="D335" s="28"/>
      <c r="E335" s="174"/>
      <c r="F335" s="27"/>
      <c r="G335" s="27"/>
      <c r="H335" s="27"/>
      <c r="I335" s="3"/>
      <c r="J335" s="3"/>
    </row>
    <row r="336" spans="1:10">
      <c r="A336" s="27"/>
      <c r="B336" s="27"/>
      <c r="C336" s="28"/>
      <c r="D336" s="28"/>
      <c r="E336" s="174"/>
      <c r="F336" s="27"/>
      <c r="G336" s="27"/>
      <c r="H336" s="27"/>
      <c r="I336" s="3"/>
      <c r="J336" s="3"/>
    </row>
    <row r="337" spans="1:10">
      <c r="A337" s="27"/>
      <c r="B337" s="27"/>
      <c r="C337" s="28"/>
      <c r="D337" s="28"/>
      <c r="E337" s="174"/>
      <c r="F337" s="27"/>
      <c r="G337" s="27"/>
      <c r="H337" s="27"/>
      <c r="I337" s="3"/>
      <c r="J337" s="3"/>
    </row>
    <row r="338" spans="1:10">
      <c r="A338" s="27"/>
      <c r="B338" s="27"/>
      <c r="C338" s="28"/>
      <c r="D338" s="28"/>
      <c r="E338" s="174"/>
      <c r="F338" s="27"/>
      <c r="G338" s="27"/>
      <c r="H338" s="27"/>
      <c r="I338" s="3"/>
      <c r="J338" s="3"/>
    </row>
    <row r="339" spans="1:10">
      <c r="A339" s="27"/>
      <c r="B339" s="27"/>
      <c r="C339" s="28"/>
      <c r="D339" s="28"/>
      <c r="E339" s="174"/>
      <c r="F339" s="27"/>
      <c r="G339" s="27"/>
      <c r="H339" s="27"/>
      <c r="I339" s="3"/>
      <c r="J339" s="3"/>
    </row>
    <row r="340" spans="1:10">
      <c r="A340" s="27"/>
      <c r="B340" s="27"/>
      <c r="C340" s="28"/>
      <c r="D340" s="28"/>
      <c r="E340" s="174"/>
      <c r="F340" s="27"/>
      <c r="G340" s="27"/>
      <c r="H340" s="27"/>
      <c r="I340" s="3"/>
      <c r="J340" s="3"/>
    </row>
    <row r="341" spans="1:10">
      <c r="A341" s="27"/>
      <c r="B341" s="27"/>
      <c r="C341" s="28"/>
      <c r="D341" s="28"/>
      <c r="E341" s="174"/>
      <c r="F341" s="27"/>
      <c r="G341" s="27"/>
      <c r="H341" s="27"/>
      <c r="I341" s="3"/>
      <c r="J341" s="3"/>
    </row>
    <row r="342" spans="1:10">
      <c r="A342" s="27"/>
      <c r="B342" s="27"/>
      <c r="C342" s="28"/>
      <c r="D342" s="28"/>
      <c r="E342" s="174"/>
      <c r="F342" s="27"/>
      <c r="G342" s="27"/>
      <c r="H342" s="27"/>
      <c r="I342" s="3"/>
      <c r="J342" s="3"/>
    </row>
    <row r="343" spans="1:10">
      <c r="A343" s="27"/>
      <c r="B343" s="27"/>
      <c r="C343" s="28"/>
      <c r="D343" s="28"/>
      <c r="E343" s="174"/>
      <c r="F343" s="27"/>
      <c r="G343" s="27"/>
      <c r="H343" s="27"/>
      <c r="I343" s="3"/>
      <c r="J343" s="3"/>
    </row>
    <row r="344" spans="1:10">
      <c r="A344" s="27"/>
      <c r="B344" s="27"/>
      <c r="C344" s="28"/>
      <c r="D344" s="28"/>
      <c r="E344" s="174"/>
      <c r="F344" s="27"/>
      <c r="G344" s="27"/>
      <c r="H344" s="27"/>
      <c r="I344" s="3"/>
      <c r="J344" s="3"/>
    </row>
    <row r="345" spans="1:10">
      <c r="A345" s="27"/>
      <c r="B345" s="27"/>
      <c r="C345" s="28"/>
      <c r="D345" s="28"/>
      <c r="E345" s="174"/>
      <c r="F345" s="27"/>
      <c r="G345" s="27"/>
      <c r="H345" s="27"/>
      <c r="I345" s="3"/>
      <c r="J345" s="3"/>
    </row>
    <row r="346" spans="1:10">
      <c r="A346" s="27"/>
      <c r="B346" s="27"/>
      <c r="C346" s="28"/>
      <c r="D346" s="28"/>
      <c r="E346" s="174"/>
      <c r="F346" s="27"/>
      <c r="G346" s="27"/>
      <c r="H346" s="27"/>
      <c r="I346" s="3"/>
      <c r="J346" s="3"/>
    </row>
    <row r="347" spans="1:10">
      <c r="A347" s="27"/>
      <c r="B347" s="27"/>
      <c r="C347" s="28"/>
      <c r="D347" s="28"/>
      <c r="E347" s="174"/>
      <c r="F347" s="27"/>
      <c r="G347" s="27"/>
      <c r="H347" s="27"/>
      <c r="I347" s="3"/>
      <c r="J347" s="3"/>
    </row>
    <row r="348" spans="1:10">
      <c r="A348" s="27"/>
      <c r="B348" s="27"/>
      <c r="C348" s="28"/>
      <c r="D348" s="28"/>
      <c r="E348" s="174"/>
      <c r="F348" s="27"/>
      <c r="G348" s="27"/>
      <c r="H348" s="27"/>
      <c r="I348" s="3"/>
      <c r="J348" s="3"/>
    </row>
    <row r="349" spans="1:10">
      <c r="A349" s="27"/>
      <c r="B349" s="27"/>
      <c r="C349" s="28"/>
      <c r="D349" s="28"/>
      <c r="E349" s="174"/>
      <c r="F349" s="27"/>
      <c r="G349" s="27"/>
      <c r="H349" s="27"/>
      <c r="I349" s="3"/>
      <c r="J349" s="3"/>
    </row>
    <row r="350" spans="1:10">
      <c r="A350" s="27"/>
      <c r="B350" s="27"/>
      <c r="C350" s="28"/>
      <c r="D350" s="28"/>
      <c r="E350" s="174"/>
      <c r="F350" s="27"/>
      <c r="G350" s="27"/>
      <c r="H350" s="27"/>
      <c r="I350" s="3"/>
      <c r="J350" s="3"/>
    </row>
    <row r="351" spans="1:10">
      <c r="A351" s="27"/>
      <c r="B351" s="27"/>
      <c r="C351" s="28"/>
      <c r="D351" s="28"/>
      <c r="E351" s="174"/>
      <c r="F351" s="27"/>
      <c r="G351" s="27"/>
      <c r="H351" s="27"/>
      <c r="I351" s="3"/>
      <c r="J351" s="3"/>
    </row>
    <row r="352" spans="1:10">
      <c r="A352" s="27"/>
      <c r="B352" s="27"/>
      <c r="C352" s="28"/>
      <c r="D352" s="28"/>
      <c r="E352" s="174"/>
      <c r="F352" s="27"/>
      <c r="G352" s="27"/>
      <c r="H352" s="27"/>
      <c r="I352" s="3"/>
      <c r="J352" s="3"/>
    </row>
    <row r="353" spans="1:10">
      <c r="A353" s="27"/>
      <c r="B353" s="27"/>
      <c r="C353" s="28"/>
      <c r="D353" s="28"/>
      <c r="E353" s="174"/>
      <c r="F353" s="27"/>
      <c r="G353" s="27"/>
      <c r="H353" s="27"/>
      <c r="I353" s="3"/>
      <c r="J353" s="3"/>
    </row>
    <row r="354" spans="1:10">
      <c r="A354" s="27"/>
      <c r="B354" s="27"/>
      <c r="C354" s="28"/>
      <c r="D354" s="28"/>
      <c r="E354" s="174"/>
      <c r="F354" s="27"/>
      <c r="G354" s="27"/>
      <c r="H354" s="27"/>
      <c r="I354" s="3"/>
      <c r="J354" s="3"/>
    </row>
    <row r="355" spans="1:10">
      <c r="A355" s="27"/>
      <c r="B355" s="27"/>
      <c r="C355" s="28"/>
      <c r="D355" s="28"/>
      <c r="E355" s="174"/>
      <c r="F355" s="27"/>
      <c r="G355" s="27"/>
      <c r="H355" s="27"/>
      <c r="I355" s="3"/>
      <c r="J355" s="3"/>
    </row>
    <row r="356" spans="1:10">
      <c r="A356" s="27"/>
      <c r="B356" s="27"/>
      <c r="C356" s="28"/>
      <c r="D356" s="28"/>
      <c r="E356" s="174"/>
      <c r="F356" s="27"/>
      <c r="G356" s="27"/>
      <c r="H356" s="27"/>
      <c r="I356" s="3"/>
      <c r="J356" s="3"/>
    </row>
    <row r="357" spans="1:10">
      <c r="A357" s="27"/>
      <c r="B357" s="27"/>
      <c r="C357" s="28"/>
      <c r="D357" s="28"/>
      <c r="E357" s="174"/>
      <c r="F357" s="27"/>
      <c r="G357" s="27"/>
      <c r="H357" s="27"/>
      <c r="I357" s="3"/>
      <c r="J357" s="3"/>
    </row>
    <row r="358" spans="1:10">
      <c r="A358" s="27"/>
      <c r="B358" s="27"/>
      <c r="C358" s="28"/>
      <c r="D358" s="28"/>
      <c r="E358" s="174"/>
      <c r="F358" s="27"/>
      <c r="G358" s="27"/>
      <c r="H358" s="27"/>
      <c r="I358" s="3"/>
      <c r="J358" s="3"/>
    </row>
    <row r="359" spans="1:10">
      <c r="A359" s="27"/>
      <c r="B359" s="27"/>
      <c r="C359" s="28"/>
      <c r="D359" s="28"/>
      <c r="E359" s="174"/>
      <c r="F359" s="27"/>
      <c r="G359" s="27"/>
      <c r="H359" s="27"/>
      <c r="I359" s="3"/>
      <c r="J359" s="3"/>
    </row>
    <row r="360" spans="1:10">
      <c r="A360" s="27"/>
      <c r="B360" s="27"/>
      <c r="C360" s="28"/>
      <c r="D360" s="28"/>
      <c r="E360" s="174"/>
      <c r="F360" s="27"/>
      <c r="G360" s="27"/>
      <c r="H360" s="27"/>
      <c r="I360" s="3"/>
      <c r="J360" s="3"/>
    </row>
    <row r="361" spans="1:10">
      <c r="A361" s="27"/>
      <c r="B361" s="27"/>
      <c r="C361" s="28"/>
      <c r="D361" s="28"/>
      <c r="E361" s="174"/>
      <c r="F361" s="27"/>
      <c r="G361" s="27"/>
      <c r="H361" s="27"/>
      <c r="I361" s="3"/>
      <c r="J361" s="3"/>
    </row>
    <row r="362" spans="1:10">
      <c r="A362" s="27"/>
      <c r="B362" s="27"/>
      <c r="C362" s="28"/>
      <c r="D362" s="28"/>
      <c r="E362" s="174"/>
      <c r="F362" s="27"/>
      <c r="G362" s="27"/>
      <c r="H362" s="27"/>
      <c r="I362" s="3"/>
      <c r="J362" s="3"/>
    </row>
    <row r="363" spans="1:10">
      <c r="A363" s="27"/>
      <c r="B363" s="27"/>
      <c r="C363" s="28"/>
      <c r="D363" s="28"/>
      <c r="E363" s="174"/>
      <c r="F363" s="27"/>
      <c r="G363" s="27"/>
      <c r="H363" s="27"/>
      <c r="I363" s="3"/>
      <c r="J363" s="3"/>
    </row>
    <row r="364" spans="1:10">
      <c r="A364" s="27"/>
      <c r="B364" s="27"/>
      <c r="C364" s="28"/>
      <c r="D364" s="28"/>
      <c r="E364" s="174"/>
      <c r="F364" s="27"/>
      <c r="G364" s="27"/>
      <c r="H364" s="27"/>
      <c r="I364" s="3"/>
      <c r="J364" s="3"/>
    </row>
    <row r="365" spans="1:10">
      <c r="A365" s="27"/>
      <c r="B365" s="27"/>
      <c r="C365" s="28"/>
      <c r="D365" s="28"/>
      <c r="E365" s="174"/>
      <c r="F365" s="27"/>
      <c r="G365" s="27"/>
      <c r="H365" s="27"/>
      <c r="I365" s="3"/>
      <c r="J365" s="3"/>
    </row>
    <row r="366" spans="1:10">
      <c r="A366" s="27"/>
      <c r="B366" s="27"/>
      <c r="C366" s="28"/>
      <c r="D366" s="28"/>
      <c r="E366" s="174"/>
      <c r="F366" s="27"/>
      <c r="G366" s="27"/>
      <c r="H366" s="27"/>
      <c r="I366" s="3"/>
      <c r="J366" s="3"/>
    </row>
    <row r="367" spans="1:10">
      <c r="A367" s="27"/>
      <c r="B367" s="27"/>
      <c r="C367" s="28"/>
      <c r="D367" s="28"/>
      <c r="E367" s="174"/>
      <c r="F367" s="27"/>
      <c r="G367" s="27"/>
      <c r="H367" s="27"/>
      <c r="I367" s="3"/>
      <c r="J367" s="3"/>
    </row>
    <row r="368" spans="1:10">
      <c r="A368" s="27"/>
      <c r="B368" s="27"/>
      <c r="C368" s="28"/>
      <c r="D368" s="28"/>
      <c r="E368" s="174"/>
      <c r="F368" s="27"/>
      <c r="G368" s="27"/>
      <c r="H368" s="27"/>
      <c r="I368" s="3"/>
      <c r="J368" s="3"/>
    </row>
    <row r="369" spans="1:10">
      <c r="A369" s="27"/>
      <c r="B369" s="27"/>
      <c r="C369" s="28"/>
      <c r="D369" s="28"/>
      <c r="E369" s="174"/>
      <c r="F369" s="27"/>
      <c r="G369" s="27"/>
      <c r="H369" s="27"/>
      <c r="I369" s="3"/>
      <c r="J369" s="3"/>
    </row>
    <row r="370" spans="1:10">
      <c r="A370" s="27"/>
      <c r="B370" s="27"/>
      <c r="C370" s="28"/>
      <c r="D370" s="28"/>
      <c r="E370" s="174"/>
      <c r="F370" s="27"/>
      <c r="G370" s="27"/>
      <c r="H370" s="27"/>
      <c r="I370" s="3"/>
      <c r="J370" s="3"/>
    </row>
    <row r="371" spans="1:10">
      <c r="A371" s="27"/>
      <c r="B371" s="27"/>
      <c r="C371" s="28"/>
      <c r="D371" s="28"/>
      <c r="E371" s="174"/>
      <c r="F371" s="27"/>
      <c r="G371" s="27"/>
      <c r="H371" s="27"/>
      <c r="I371" s="3"/>
      <c r="J371" s="3"/>
    </row>
    <row r="372" spans="1:10">
      <c r="A372" s="27"/>
      <c r="B372" s="27"/>
      <c r="C372" s="28"/>
      <c r="D372" s="28"/>
      <c r="E372" s="174"/>
      <c r="F372" s="27"/>
      <c r="G372" s="27"/>
      <c r="H372" s="27"/>
      <c r="I372" s="3"/>
      <c r="J372" s="3"/>
    </row>
    <row r="373" spans="1:10">
      <c r="A373" s="27"/>
      <c r="B373" s="27"/>
      <c r="C373" s="28"/>
      <c r="D373" s="28"/>
      <c r="E373" s="174"/>
      <c r="F373" s="27"/>
      <c r="G373" s="27"/>
      <c r="H373" s="27"/>
      <c r="I373" s="3"/>
      <c r="J373" s="3"/>
    </row>
    <row r="374" spans="1:10">
      <c r="A374" s="27"/>
      <c r="B374" s="27"/>
      <c r="C374" s="28"/>
      <c r="D374" s="28"/>
      <c r="E374" s="174"/>
      <c r="F374" s="27"/>
      <c r="G374" s="27"/>
      <c r="H374" s="27"/>
      <c r="I374" s="3"/>
      <c r="J374" s="3"/>
    </row>
    <row r="375" spans="1:10">
      <c r="A375" s="27"/>
      <c r="B375" s="27"/>
      <c r="C375" s="28"/>
      <c r="D375" s="28"/>
      <c r="E375" s="174"/>
      <c r="F375" s="27"/>
      <c r="G375" s="27"/>
      <c r="H375" s="27"/>
      <c r="I375" s="3"/>
      <c r="J375" s="3"/>
    </row>
    <row r="376" spans="1:10">
      <c r="A376" s="27"/>
      <c r="B376" s="27"/>
      <c r="C376" s="28"/>
      <c r="D376" s="28"/>
      <c r="E376" s="174"/>
      <c r="F376" s="27"/>
      <c r="G376" s="27"/>
      <c r="H376" s="27"/>
      <c r="I376" s="3"/>
      <c r="J376" s="3"/>
    </row>
    <row r="377" spans="1:10">
      <c r="A377" s="27"/>
      <c r="B377" s="27"/>
      <c r="C377" s="28"/>
      <c r="D377" s="28"/>
      <c r="E377" s="174"/>
      <c r="F377" s="27"/>
      <c r="G377" s="27"/>
      <c r="H377" s="27"/>
      <c r="I377" s="3"/>
      <c r="J377" s="3"/>
    </row>
    <row r="378" spans="1:10">
      <c r="A378" s="27"/>
      <c r="B378" s="27"/>
      <c r="C378" s="28"/>
      <c r="D378" s="28"/>
      <c r="E378" s="174"/>
      <c r="F378" s="27"/>
      <c r="G378" s="27"/>
      <c r="H378" s="27"/>
      <c r="I378" s="3"/>
      <c r="J378" s="3"/>
    </row>
    <row r="379" spans="1:10">
      <c r="A379" s="27"/>
      <c r="B379" s="27"/>
      <c r="C379" s="28"/>
      <c r="D379" s="28"/>
      <c r="E379" s="174"/>
      <c r="F379" s="27"/>
      <c r="G379" s="27"/>
      <c r="H379" s="27"/>
      <c r="I379" s="3"/>
      <c r="J379" s="3"/>
    </row>
    <row r="380" spans="1:10">
      <c r="A380" s="27"/>
      <c r="B380" s="27"/>
      <c r="C380" s="28"/>
      <c r="D380" s="28"/>
      <c r="E380" s="174"/>
      <c r="F380" s="27"/>
      <c r="G380" s="27"/>
      <c r="H380" s="27"/>
      <c r="I380" s="3"/>
      <c r="J380" s="3"/>
    </row>
    <row r="381" spans="1:10">
      <c r="A381" s="27"/>
      <c r="B381" s="27"/>
      <c r="C381" s="28"/>
      <c r="D381" s="28"/>
      <c r="E381" s="174"/>
      <c r="F381" s="27"/>
      <c r="G381" s="27"/>
      <c r="H381" s="27"/>
      <c r="I381" s="3"/>
      <c r="J381" s="3"/>
    </row>
    <row r="382" spans="1:10">
      <c r="A382" s="27"/>
      <c r="B382" s="27"/>
      <c r="C382" s="28"/>
      <c r="D382" s="28"/>
      <c r="E382" s="174"/>
      <c r="F382" s="27"/>
      <c r="G382" s="27"/>
      <c r="H382" s="27"/>
      <c r="I382" s="3"/>
      <c r="J382" s="3"/>
    </row>
    <row r="383" spans="1:10">
      <c r="A383" s="27"/>
      <c r="B383" s="27"/>
      <c r="C383" s="28"/>
      <c r="D383" s="28"/>
      <c r="E383" s="174"/>
      <c r="F383" s="27"/>
      <c r="G383" s="27"/>
      <c r="H383" s="27"/>
      <c r="I383" s="3"/>
      <c r="J383" s="3"/>
    </row>
    <row r="384" spans="1:10">
      <c r="A384" s="27"/>
      <c r="B384" s="27"/>
      <c r="C384" s="28"/>
      <c r="D384" s="28"/>
      <c r="E384" s="174"/>
      <c r="F384" s="27"/>
      <c r="G384" s="27"/>
      <c r="H384" s="27"/>
      <c r="I384" s="3"/>
      <c r="J384" s="3"/>
    </row>
    <row r="385" spans="1:10">
      <c r="A385" s="27"/>
      <c r="B385" s="27"/>
      <c r="C385" s="28"/>
      <c r="D385" s="28"/>
      <c r="E385" s="174"/>
      <c r="F385" s="27"/>
      <c r="G385" s="27"/>
      <c r="H385" s="27"/>
      <c r="I385" s="3"/>
      <c r="J385" s="3"/>
    </row>
    <row r="386" spans="1:10">
      <c r="A386" s="27"/>
      <c r="B386" s="27"/>
      <c r="C386" s="28"/>
      <c r="D386" s="28"/>
      <c r="E386" s="174"/>
      <c r="F386" s="27"/>
      <c r="G386" s="27"/>
      <c r="H386" s="27"/>
      <c r="I386" s="3"/>
      <c r="J386" s="3"/>
    </row>
    <row r="387" spans="1:10">
      <c r="A387" s="27"/>
      <c r="B387" s="27"/>
      <c r="C387" s="28"/>
      <c r="D387" s="28"/>
      <c r="E387" s="174"/>
      <c r="F387" s="27"/>
      <c r="G387" s="27"/>
      <c r="H387" s="27"/>
      <c r="I387" s="3"/>
      <c r="J387" s="3"/>
    </row>
    <row r="388" spans="1:10">
      <c r="A388" s="27"/>
      <c r="B388" s="27"/>
      <c r="C388" s="28"/>
      <c r="D388" s="28"/>
      <c r="E388" s="174"/>
      <c r="F388" s="27"/>
      <c r="G388" s="27"/>
      <c r="H388" s="27"/>
      <c r="I388" s="3"/>
      <c r="J388" s="3"/>
    </row>
    <row r="389" spans="1:10">
      <c r="A389" s="27"/>
      <c r="B389" s="27"/>
      <c r="C389" s="28"/>
      <c r="D389" s="28"/>
      <c r="E389" s="174"/>
      <c r="F389" s="27"/>
      <c r="G389" s="27"/>
      <c r="H389" s="27"/>
      <c r="I389" s="3"/>
      <c r="J389" s="3"/>
    </row>
    <row r="390" spans="1:10">
      <c r="A390" s="27"/>
      <c r="B390" s="27"/>
      <c r="C390" s="28"/>
      <c r="D390" s="28"/>
      <c r="E390" s="174"/>
      <c r="F390" s="27"/>
      <c r="G390" s="27"/>
      <c r="H390" s="27"/>
      <c r="I390" s="3"/>
      <c r="J390" s="3"/>
    </row>
    <row r="391" spans="1:10">
      <c r="A391" s="27"/>
      <c r="B391" s="27"/>
      <c r="C391" s="28"/>
      <c r="D391" s="28"/>
      <c r="E391" s="174"/>
      <c r="F391" s="27"/>
      <c r="G391" s="27"/>
      <c r="H391" s="27"/>
      <c r="I391" s="3"/>
      <c r="J391" s="3"/>
    </row>
    <row r="392" spans="1:10">
      <c r="A392" s="27"/>
      <c r="B392" s="27"/>
      <c r="C392" s="28"/>
      <c r="D392" s="28"/>
      <c r="E392" s="174"/>
      <c r="F392" s="27"/>
      <c r="G392" s="27"/>
      <c r="H392" s="27"/>
      <c r="I392" s="3"/>
      <c r="J392" s="3"/>
    </row>
    <row r="393" spans="1:10">
      <c r="A393" s="27"/>
      <c r="B393" s="27"/>
      <c r="C393" s="28"/>
      <c r="D393" s="28"/>
      <c r="E393" s="174"/>
      <c r="F393" s="27"/>
      <c r="G393" s="27"/>
      <c r="H393" s="27"/>
      <c r="I393" s="3"/>
      <c r="J393" s="3"/>
    </row>
    <row r="394" spans="1:10">
      <c r="A394" s="27"/>
      <c r="B394" s="27"/>
      <c r="C394" s="28"/>
      <c r="D394" s="28"/>
      <c r="E394" s="174"/>
      <c r="F394" s="27"/>
      <c r="G394" s="27"/>
      <c r="H394" s="27"/>
      <c r="I394" s="3"/>
      <c r="J394" s="3"/>
    </row>
    <row r="395" spans="1:10">
      <c r="A395" s="27"/>
      <c r="B395" s="27"/>
      <c r="C395" s="28"/>
      <c r="D395" s="28"/>
      <c r="E395" s="174"/>
      <c r="F395" s="27"/>
      <c r="G395" s="27"/>
      <c r="H395" s="27"/>
      <c r="I395" s="3"/>
      <c r="J395" s="3"/>
    </row>
    <row r="396" spans="1:10">
      <c r="A396" s="27"/>
      <c r="B396" s="27"/>
      <c r="C396" s="28"/>
      <c r="D396" s="28"/>
      <c r="E396" s="174"/>
      <c r="F396" s="27"/>
      <c r="G396" s="27"/>
      <c r="H396" s="27"/>
      <c r="I396" s="3"/>
      <c r="J396" s="3"/>
    </row>
    <row r="397" spans="1:10">
      <c r="A397" s="27"/>
      <c r="B397" s="27"/>
      <c r="C397" s="28"/>
      <c r="D397" s="28"/>
      <c r="E397" s="174"/>
      <c r="F397" s="27"/>
      <c r="G397" s="27"/>
      <c r="H397" s="27"/>
      <c r="I397" s="3"/>
      <c r="J397" s="3"/>
    </row>
    <row r="398" spans="1:10">
      <c r="A398" s="27"/>
      <c r="B398" s="27"/>
      <c r="C398" s="28"/>
      <c r="D398" s="28"/>
      <c r="E398" s="174"/>
      <c r="F398" s="27"/>
      <c r="G398" s="27"/>
      <c r="H398" s="27"/>
      <c r="I398" s="3"/>
      <c r="J398" s="3"/>
    </row>
    <row r="399" spans="1:10">
      <c r="A399" s="27"/>
      <c r="B399" s="27"/>
      <c r="C399" s="28"/>
      <c r="D399" s="28"/>
      <c r="E399" s="174"/>
      <c r="F399" s="27"/>
      <c r="G399" s="27"/>
      <c r="H399" s="27"/>
      <c r="I399" s="3"/>
      <c r="J399" s="3"/>
    </row>
    <row r="400" spans="1:10">
      <c r="A400" s="27"/>
      <c r="B400" s="27"/>
      <c r="C400" s="28"/>
      <c r="D400" s="28"/>
      <c r="E400" s="174"/>
      <c r="F400" s="27"/>
      <c r="G400" s="27"/>
      <c r="H400" s="27"/>
      <c r="I400" s="3"/>
      <c r="J400" s="3"/>
    </row>
    <row r="401" spans="1:10">
      <c r="A401" s="27"/>
      <c r="B401" s="27"/>
      <c r="C401" s="28"/>
      <c r="D401" s="28"/>
      <c r="E401" s="174"/>
      <c r="F401" s="27"/>
      <c r="G401" s="27"/>
      <c r="H401" s="27"/>
      <c r="I401" s="3"/>
      <c r="J401" s="3"/>
    </row>
    <row r="402" spans="1:10">
      <c r="A402" s="27"/>
      <c r="B402" s="27"/>
      <c r="C402" s="28"/>
      <c r="D402" s="28"/>
      <c r="E402" s="174"/>
      <c r="F402" s="27"/>
      <c r="G402" s="27"/>
      <c r="H402" s="27"/>
      <c r="I402" s="3"/>
      <c r="J402" s="3"/>
    </row>
    <row r="403" spans="1:10">
      <c r="A403" s="27"/>
      <c r="B403" s="27"/>
      <c r="C403" s="28"/>
      <c r="D403" s="28"/>
      <c r="E403" s="174"/>
      <c r="F403" s="27"/>
      <c r="G403" s="27"/>
      <c r="H403" s="27"/>
      <c r="I403" s="3"/>
      <c r="J403" s="3"/>
    </row>
    <row r="404" spans="1:10">
      <c r="A404" s="27"/>
      <c r="B404" s="27"/>
      <c r="C404" s="28"/>
      <c r="D404" s="28"/>
      <c r="E404" s="174"/>
      <c r="F404" s="27"/>
      <c r="G404" s="27"/>
      <c r="H404" s="27"/>
      <c r="I404" s="3"/>
      <c r="J404" s="3"/>
    </row>
    <row r="405" spans="1:10">
      <c r="A405" s="27"/>
      <c r="B405" s="27"/>
      <c r="C405" s="28"/>
      <c r="D405" s="28"/>
      <c r="E405" s="174"/>
      <c r="F405" s="27"/>
      <c r="G405" s="27"/>
      <c r="H405" s="27"/>
      <c r="I405" s="3"/>
      <c r="J405" s="3"/>
    </row>
    <row r="406" spans="1:10">
      <c r="A406" s="27"/>
      <c r="B406" s="27"/>
      <c r="C406" s="28"/>
      <c r="D406" s="28"/>
      <c r="E406" s="174"/>
      <c r="F406" s="27"/>
      <c r="G406" s="27"/>
      <c r="H406" s="27"/>
      <c r="I406" s="3"/>
      <c r="J406" s="3"/>
    </row>
    <row r="407" spans="1:10">
      <c r="A407" s="27"/>
      <c r="B407" s="27"/>
      <c r="C407" s="28"/>
      <c r="D407" s="28"/>
      <c r="E407" s="174"/>
      <c r="F407" s="27"/>
      <c r="G407" s="27"/>
      <c r="H407" s="27"/>
      <c r="I407" s="3"/>
      <c r="J407" s="3"/>
    </row>
    <row r="408" spans="1:10">
      <c r="A408" s="27"/>
      <c r="B408" s="27"/>
      <c r="C408" s="28"/>
      <c r="D408" s="28"/>
      <c r="E408" s="174"/>
      <c r="F408" s="27"/>
      <c r="G408" s="27"/>
      <c r="H408" s="27"/>
      <c r="I408" s="3"/>
      <c r="J408" s="3"/>
    </row>
    <row r="409" spans="1:10">
      <c r="A409" s="27"/>
      <c r="B409" s="27"/>
      <c r="C409" s="28"/>
      <c r="D409" s="28"/>
      <c r="E409" s="174"/>
      <c r="F409" s="27"/>
      <c r="G409" s="27"/>
      <c r="H409" s="27"/>
      <c r="I409" s="3"/>
      <c r="J409" s="3"/>
    </row>
    <row r="410" spans="1:10">
      <c r="A410" s="27"/>
      <c r="B410" s="27"/>
      <c r="C410" s="28"/>
      <c r="D410" s="28"/>
      <c r="E410" s="174"/>
      <c r="F410" s="27"/>
      <c r="G410" s="27"/>
      <c r="H410" s="27"/>
      <c r="I410" s="3"/>
      <c r="J410" s="3"/>
    </row>
    <row r="411" spans="1:10">
      <c r="A411" s="27"/>
      <c r="B411" s="27"/>
      <c r="C411" s="28"/>
      <c r="D411" s="28"/>
      <c r="E411" s="174"/>
      <c r="F411" s="27"/>
      <c r="G411" s="27"/>
      <c r="H411" s="27"/>
      <c r="I411" s="3"/>
      <c r="J411" s="3"/>
    </row>
    <row r="412" spans="1:10">
      <c r="A412" s="27"/>
      <c r="B412" s="27"/>
      <c r="C412" s="28"/>
      <c r="D412" s="28"/>
      <c r="E412" s="174"/>
      <c r="F412" s="27"/>
      <c r="G412" s="27"/>
      <c r="H412" s="27"/>
      <c r="I412" s="3"/>
      <c r="J412" s="3"/>
    </row>
    <row r="413" spans="1:10">
      <c r="A413" s="27"/>
      <c r="B413" s="27"/>
      <c r="C413" s="28"/>
      <c r="D413" s="28"/>
      <c r="E413" s="174"/>
      <c r="F413" s="27"/>
      <c r="G413" s="27"/>
      <c r="H413" s="27"/>
      <c r="I413" s="3"/>
      <c r="J413" s="3"/>
    </row>
    <row r="414" spans="1:10">
      <c r="A414" s="27"/>
      <c r="B414" s="27"/>
      <c r="C414" s="28"/>
      <c r="D414" s="28"/>
      <c r="E414" s="174"/>
      <c r="F414" s="27"/>
      <c r="G414" s="27"/>
      <c r="H414" s="27"/>
      <c r="I414" s="3"/>
      <c r="J414" s="3"/>
    </row>
    <row r="415" spans="1:10">
      <c r="A415" s="27"/>
      <c r="B415" s="27"/>
      <c r="C415" s="28"/>
      <c r="D415" s="28"/>
      <c r="E415" s="174"/>
      <c r="F415" s="27"/>
      <c r="G415" s="27"/>
      <c r="H415" s="27"/>
      <c r="I415" s="3"/>
      <c r="J415" s="3"/>
    </row>
    <row r="416" spans="1:10">
      <c r="A416" s="27"/>
      <c r="B416" s="27"/>
      <c r="C416" s="28"/>
      <c r="D416" s="28"/>
      <c r="E416" s="174"/>
      <c r="F416" s="27"/>
      <c r="G416" s="27"/>
      <c r="H416" s="27"/>
      <c r="I416" s="3"/>
      <c r="J416" s="3"/>
    </row>
    <row r="417" spans="1:10">
      <c r="A417" s="27"/>
      <c r="B417" s="27"/>
      <c r="C417" s="28"/>
      <c r="D417" s="28"/>
      <c r="E417" s="174"/>
      <c r="F417" s="27"/>
      <c r="G417" s="27"/>
      <c r="H417" s="27"/>
      <c r="I417" s="3"/>
      <c r="J417" s="3"/>
    </row>
    <row r="418" spans="1:10">
      <c r="A418" s="27"/>
      <c r="B418" s="27"/>
      <c r="C418" s="28"/>
      <c r="D418" s="28"/>
      <c r="E418" s="174"/>
      <c r="F418" s="27"/>
      <c r="G418" s="27"/>
      <c r="H418" s="27"/>
      <c r="I418" s="3"/>
      <c r="J418" s="3"/>
    </row>
    <row r="419" spans="1:10">
      <c r="A419" s="27"/>
      <c r="B419" s="27"/>
      <c r="C419" s="28"/>
      <c r="D419" s="28"/>
      <c r="E419" s="174"/>
      <c r="F419" s="27"/>
      <c r="G419" s="27"/>
      <c r="H419" s="27"/>
      <c r="I419" s="3"/>
      <c r="J419" s="3"/>
    </row>
    <row r="420" spans="1:10">
      <c r="A420" s="27"/>
      <c r="B420" s="27"/>
      <c r="C420" s="28"/>
      <c r="D420" s="28"/>
      <c r="E420" s="174"/>
      <c r="F420" s="27"/>
      <c r="G420" s="27"/>
      <c r="H420" s="27"/>
      <c r="I420" s="3"/>
      <c r="J420" s="3"/>
    </row>
    <row r="421" spans="1:10">
      <c r="A421" s="27"/>
      <c r="B421" s="27"/>
      <c r="C421" s="28"/>
      <c r="D421" s="28"/>
      <c r="E421" s="174"/>
      <c r="F421" s="27"/>
      <c r="G421" s="27"/>
      <c r="H421" s="27"/>
      <c r="I421" s="3"/>
      <c r="J421" s="3"/>
    </row>
    <row r="422" spans="1:10">
      <c r="A422" s="27"/>
      <c r="B422" s="27"/>
      <c r="C422" s="28"/>
      <c r="D422" s="28"/>
      <c r="E422" s="174"/>
      <c r="F422" s="27"/>
      <c r="G422" s="27"/>
      <c r="H422" s="27"/>
      <c r="I422" s="3"/>
      <c r="J422" s="3"/>
    </row>
    <row r="423" spans="1:10">
      <c r="A423" s="27"/>
      <c r="B423" s="27"/>
      <c r="C423" s="28"/>
      <c r="D423" s="28"/>
      <c r="E423" s="174"/>
      <c r="F423" s="27"/>
      <c r="G423" s="27"/>
      <c r="H423" s="27"/>
      <c r="I423" s="3"/>
      <c r="J423" s="3"/>
    </row>
    <row r="424" spans="1:10">
      <c r="A424" s="27"/>
      <c r="B424" s="27"/>
      <c r="C424" s="28"/>
      <c r="D424" s="28"/>
      <c r="E424" s="174"/>
      <c r="F424" s="27"/>
      <c r="G424" s="27"/>
      <c r="H424" s="27"/>
      <c r="I424" s="3"/>
      <c r="J424" s="3"/>
    </row>
    <row r="425" spans="1:10">
      <c r="A425" s="27"/>
      <c r="B425" s="27"/>
      <c r="C425" s="28"/>
      <c r="D425" s="28"/>
      <c r="E425" s="174"/>
      <c r="F425" s="27"/>
      <c r="G425" s="27"/>
      <c r="H425" s="27"/>
      <c r="I425" s="3"/>
      <c r="J425" s="3"/>
    </row>
    <row r="426" spans="1:10">
      <c r="A426" s="27"/>
      <c r="B426" s="27"/>
      <c r="C426" s="28"/>
      <c r="D426" s="28"/>
      <c r="E426" s="174"/>
      <c r="F426" s="27"/>
      <c r="G426" s="27"/>
      <c r="H426" s="27"/>
      <c r="I426" s="3"/>
      <c r="J426" s="3"/>
    </row>
    <row r="427" spans="1:10">
      <c r="A427" s="27"/>
      <c r="B427" s="27"/>
      <c r="C427" s="28"/>
      <c r="D427" s="28"/>
      <c r="E427" s="174"/>
      <c r="F427" s="27"/>
      <c r="G427" s="27"/>
      <c r="H427" s="27"/>
      <c r="I427" s="3"/>
      <c r="J427" s="3"/>
    </row>
    <row r="428" spans="1:10">
      <c r="A428" s="27"/>
      <c r="B428" s="27"/>
      <c r="C428" s="28"/>
      <c r="D428" s="28"/>
      <c r="E428" s="174"/>
      <c r="F428" s="27"/>
      <c r="G428" s="27"/>
      <c r="H428" s="27"/>
      <c r="I428" s="3"/>
      <c r="J428" s="3"/>
    </row>
    <row r="429" spans="1:10">
      <c r="A429" s="27"/>
      <c r="B429" s="27"/>
      <c r="C429" s="28"/>
      <c r="D429" s="28"/>
      <c r="E429" s="174"/>
      <c r="F429" s="27"/>
      <c r="G429" s="27"/>
      <c r="H429" s="27"/>
      <c r="I429" s="3"/>
      <c r="J429" s="3"/>
    </row>
    <row r="430" spans="1:10">
      <c r="A430" s="27"/>
      <c r="B430" s="27"/>
      <c r="C430" s="28"/>
      <c r="D430" s="28"/>
      <c r="E430" s="174"/>
      <c r="F430" s="27"/>
      <c r="G430" s="27"/>
      <c r="H430" s="27"/>
      <c r="I430" s="3"/>
      <c r="J430" s="3"/>
    </row>
    <row r="431" spans="1:10">
      <c r="A431" s="27"/>
      <c r="B431" s="27"/>
      <c r="C431" s="28"/>
      <c r="D431" s="28"/>
      <c r="E431" s="174"/>
      <c r="F431" s="27"/>
      <c r="G431" s="27"/>
      <c r="H431" s="27"/>
      <c r="I431" s="3"/>
      <c r="J431" s="3"/>
    </row>
    <row r="432" spans="1:10">
      <c r="A432" s="27"/>
      <c r="B432" s="27"/>
      <c r="C432" s="28"/>
      <c r="D432" s="28"/>
      <c r="E432" s="174"/>
      <c r="F432" s="27"/>
      <c r="G432" s="27"/>
      <c r="H432" s="27"/>
      <c r="I432" s="3"/>
      <c r="J432" s="3"/>
    </row>
    <row r="433" spans="1:10">
      <c r="A433" s="27"/>
      <c r="B433" s="27"/>
      <c r="C433" s="28"/>
      <c r="D433" s="28"/>
      <c r="E433" s="174"/>
      <c r="F433" s="27"/>
      <c r="G433" s="27"/>
      <c r="H433" s="27"/>
      <c r="I433" s="3"/>
      <c r="J433" s="3"/>
    </row>
    <row r="434" spans="1:10">
      <c r="A434" s="27"/>
      <c r="B434" s="27"/>
      <c r="C434" s="28"/>
      <c r="D434" s="28"/>
      <c r="E434" s="174"/>
      <c r="F434" s="27"/>
      <c r="G434" s="27"/>
      <c r="H434" s="27"/>
      <c r="I434" s="3"/>
      <c r="J434" s="3"/>
    </row>
    <row r="435" spans="1:10">
      <c r="A435" s="27"/>
      <c r="B435" s="27"/>
      <c r="C435" s="28"/>
      <c r="D435" s="28"/>
      <c r="E435" s="174"/>
      <c r="F435" s="27"/>
      <c r="G435" s="27"/>
      <c r="H435" s="27"/>
      <c r="I435" s="3"/>
      <c r="J435" s="3"/>
    </row>
    <row r="436" spans="1:10">
      <c r="A436" s="27"/>
      <c r="B436" s="27"/>
      <c r="C436" s="28"/>
      <c r="D436" s="28"/>
      <c r="E436" s="174"/>
      <c r="F436" s="27"/>
      <c r="G436" s="27"/>
      <c r="H436" s="27"/>
      <c r="I436" s="3"/>
      <c r="J436" s="3"/>
    </row>
    <row r="437" spans="1:10">
      <c r="A437" s="27"/>
      <c r="B437" s="27"/>
      <c r="C437" s="28"/>
      <c r="D437" s="28"/>
      <c r="E437" s="174"/>
      <c r="F437" s="27"/>
      <c r="G437" s="27"/>
      <c r="H437" s="27"/>
      <c r="I437" s="3"/>
      <c r="J437" s="3"/>
    </row>
    <row r="438" spans="1:10">
      <c r="A438" s="27"/>
      <c r="B438" s="27"/>
      <c r="C438" s="28"/>
      <c r="D438" s="28"/>
      <c r="E438" s="174"/>
      <c r="F438" s="27"/>
      <c r="G438" s="27"/>
      <c r="H438" s="27"/>
      <c r="I438" s="3"/>
      <c r="J438" s="3"/>
    </row>
    <row r="439" spans="1:10">
      <c r="A439" s="27"/>
      <c r="B439" s="27"/>
      <c r="C439" s="28"/>
      <c r="D439" s="28"/>
      <c r="E439" s="174"/>
      <c r="F439" s="27"/>
      <c r="G439" s="27"/>
      <c r="H439" s="27"/>
      <c r="I439" s="3"/>
      <c r="J439" s="3"/>
    </row>
    <row r="440" spans="1:10">
      <c r="A440" s="27"/>
      <c r="B440" s="27"/>
      <c r="C440" s="28"/>
      <c r="D440" s="28"/>
      <c r="E440" s="174"/>
      <c r="F440" s="27"/>
      <c r="G440" s="27"/>
      <c r="H440" s="27"/>
      <c r="I440" s="3"/>
      <c r="J440" s="3"/>
    </row>
    <row r="441" spans="1:10">
      <c r="A441" s="27"/>
      <c r="B441" s="27"/>
      <c r="C441" s="28"/>
      <c r="D441" s="28"/>
      <c r="E441" s="174"/>
      <c r="F441" s="27"/>
      <c r="G441" s="27"/>
      <c r="H441" s="27"/>
      <c r="I441" s="3"/>
      <c r="J441" s="3"/>
    </row>
    <row r="442" spans="1:10">
      <c r="A442" s="27"/>
      <c r="B442" s="27"/>
      <c r="C442" s="28"/>
      <c r="D442" s="28"/>
      <c r="E442" s="174"/>
      <c r="F442" s="27"/>
      <c r="G442" s="27"/>
      <c r="H442" s="27"/>
      <c r="I442" s="3"/>
      <c r="J442" s="3"/>
    </row>
    <row r="443" spans="1:10">
      <c r="A443" s="27"/>
      <c r="B443" s="27"/>
      <c r="C443" s="28"/>
      <c r="D443" s="28"/>
      <c r="E443" s="174"/>
      <c r="F443" s="27"/>
      <c r="G443" s="27"/>
      <c r="H443" s="27"/>
      <c r="I443" s="3"/>
      <c r="J443" s="3"/>
    </row>
    <row r="444" spans="1:10">
      <c r="A444" s="27"/>
      <c r="B444" s="27"/>
      <c r="C444" s="28"/>
      <c r="D444" s="28"/>
      <c r="E444" s="174"/>
      <c r="F444" s="27"/>
      <c r="G444" s="27"/>
      <c r="H444" s="27"/>
      <c r="I444" s="3"/>
      <c r="J444" s="3"/>
    </row>
    <row r="445" spans="1:10">
      <c r="A445" s="27"/>
      <c r="B445" s="27"/>
      <c r="C445" s="28"/>
      <c r="D445" s="28"/>
      <c r="E445" s="174"/>
      <c r="F445" s="27"/>
      <c r="G445" s="27"/>
      <c r="H445" s="27"/>
      <c r="I445" s="3"/>
      <c r="J445" s="3"/>
    </row>
    <row r="446" spans="1:10">
      <c r="A446" s="27"/>
      <c r="B446" s="27"/>
      <c r="C446" s="28"/>
      <c r="D446" s="28"/>
      <c r="E446" s="174"/>
      <c r="F446" s="27"/>
      <c r="G446" s="27"/>
      <c r="H446" s="27"/>
      <c r="I446" s="3"/>
      <c r="J446" s="3"/>
    </row>
    <row r="447" spans="1:10">
      <c r="A447" s="27"/>
      <c r="B447" s="27"/>
      <c r="C447" s="28"/>
      <c r="D447" s="28"/>
      <c r="E447" s="174"/>
      <c r="F447" s="27"/>
      <c r="G447" s="27"/>
      <c r="H447" s="27"/>
      <c r="I447" s="3"/>
      <c r="J447" s="3"/>
    </row>
    <row r="448" spans="1:10">
      <c r="A448" s="27"/>
      <c r="B448" s="27"/>
      <c r="C448" s="28"/>
      <c r="D448" s="28"/>
      <c r="E448" s="174"/>
      <c r="F448" s="27"/>
      <c r="G448" s="27"/>
      <c r="H448" s="27"/>
      <c r="I448" s="3"/>
      <c r="J448" s="3"/>
    </row>
    <row r="449" spans="1:10">
      <c r="A449" s="27"/>
      <c r="B449" s="27"/>
      <c r="C449" s="28"/>
      <c r="D449" s="28"/>
      <c r="E449" s="174"/>
      <c r="F449" s="27"/>
      <c r="G449" s="27"/>
      <c r="H449" s="27"/>
      <c r="I449" s="3"/>
      <c r="J449" s="3"/>
    </row>
    <row r="450" spans="1:10">
      <c r="A450" s="27"/>
      <c r="B450" s="27"/>
      <c r="C450" s="28"/>
      <c r="D450" s="28"/>
      <c r="E450" s="174"/>
      <c r="F450" s="27"/>
      <c r="G450" s="27"/>
      <c r="H450" s="27"/>
      <c r="I450" s="3"/>
      <c r="J450" s="3"/>
    </row>
    <row r="451" spans="1:10">
      <c r="A451" s="27"/>
      <c r="B451" s="27"/>
      <c r="C451" s="28"/>
      <c r="D451" s="28"/>
      <c r="E451" s="174"/>
      <c r="F451" s="27"/>
      <c r="G451" s="27"/>
      <c r="H451" s="27"/>
      <c r="I451" s="3"/>
      <c r="J451" s="3"/>
    </row>
    <row r="452" spans="1:10">
      <c r="A452" s="27"/>
      <c r="B452" s="27"/>
      <c r="C452" s="28"/>
      <c r="D452" s="28"/>
      <c r="E452" s="174"/>
      <c r="F452" s="27"/>
      <c r="G452" s="27"/>
      <c r="H452" s="27"/>
      <c r="I452" s="3"/>
      <c r="J452" s="3"/>
    </row>
    <row r="453" spans="1:10">
      <c r="A453" s="27"/>
      <c r="B453" s="27"/>
      <c r="C453" s="28"/>
      <c r="D453" s="28"/>
      <c r="E453" s="174"/>
      <c r="F453" s="27"/>
      <c r="G453" s="27"/>
      <c r="H453" s="27"/>
      <c r="I453" s="3"/>
      <c r="J453" s="3"/>
    </row>
    <row r="454" spans="1:10">
      <c r="A454" s="27"/>
      <c r="B454" s="27"/>
      <c r="C454" s="28"/>
      <c r="D454" s="28"/>
      <c r="E454" s="174"/>
      <c r="F454" s="27"/>
      <c r="G454" s="27"/>
      <c r="H454" s="27"/>
      <c r="I454" s="3"/>
      <c r="J454" s="3"/>
    </row>
    <row r="455" spans="1:10">
      <c r="A455" s="27"/>
      <c r="B455" s="27"/>
      <c r="C455" s="28"/>
      <c r="D455" s="28"/>
      <c r="E455" s="174"/>
      <c r="F455" s="27"/>
      <c r="G455" s="27"/>
      <c r="H455" s="27"/>
      <c r="I455" s="3"/>
      <c r="J455" s="3"/>
    </row>
    <row r="456" spans="1:10">
      <c r="A456" s="27"/>
      <c r="B456" s="27"/>
      <c r="C456" s="28"/>
      <c r="D456" s="28"/>
      <c r="E456" s="174"/>
      <c r="F456" s="27"/>
      <c r="G456" s="27"/>
      <c r="H456" s="27"/>
      <c r="I456" s="3"/>
      <c r="J456" s="3"/>
    </row>
    <row r="457" spans="1:10">
      <c r="A457" s="27"/>
      <c r="B457" s="27"/>
      <c r="C457" s="28"/>
      <c r="D457" s="28"/>
      <c r="E457" s="174"/>
      <c r="F457" s="27"/>
      <c r="G457" s="27"/>
      <c r="H457" s="27"/>
      <c r="I457" s="3"/>
      <c r="J457" s="3"/>
    </row>
    <row r="458" spans="1:10">
      <c r="A458" s="27"/>
      <c r="B458" s="27"/>
      <c r="C458" s="28"/>
      <c r="D458" s="28"/>
      <c r="E458" s="174"/>
      <c r="F458" s="27"/>
      <c r="G458" s="27"/>
      <c r="H458" s="27"/>
      <c r="I458" s="3"/>
      <c r="J458" s="3"/>
    </row>
    <row r="459" spans="1:10">
      <c r="A459" s="27"/>
      <c r="B459" s="27"/>
      <c r="C459" s="28"/>
      <c r="D459" s="28"/>
      <c r="E459" s="174"/>
      <c r="F459" s="27"/>
      <c r="G459" s="27"/>
      <c r="H459" s="27"/>
      <c r="I459" s="3"/>
      <c r="J459" s="3"/>
    </row>
    <row r="460" spans="1:10">
      <c r="A460" s="27"/>
      <c r="B460" s="27"/>
      <c r="C460" s="28"/>
      <c r="D460" s="28"/>
      <c r="E460" s="174"/>
      <c r="F460" s="27"/>
      <c r="G460" s="27"/>
      <c r="H460" s="27"/>
      <c r="I460" s="3"/>
      <c r="J460" s="3"/>
    </row>
    <row r="461" spans="1:10">
      <c r="A461" s="27"/>
      <c r="B461" s="27"/>
      <c r="C461" s="28"/>
      <c r="D461" s="28"/>
      <c r="E461" s="174"/>
      <c r="F461" s="27"/>
      <c r="G461" s="27"/>
      <c r="H461" s="27"/>
      <c r="I461" s="3"/>
      <c r="J461" s="3"/>
    </row>
    <row r="462" spans="1:10">
      <c r="A462" s="27"/>
      <c r="B462" s="27"/>
      <c r="C462" s="28"/>
      <c r="D462" s="28"/>
      <c r="E462" s="174"/>
      <c r="F462" s="27"/>
      <c r="G462" s="27"/>
      <c r="H462" s="27"/>
      <c r="I462" s="3"/>
      <c r="J462" s="3"/>
    </row>
    <row r="463" spans="1:10">
      <c r="A463" s="27"/>
      <c r="B463" s="27"/>
      <c r="C463" s="28"/>
      <c r="D463" s="28"/>
      <c r="E463" s="174"/>
      <c r="F463" s="27"/>
      <c r="G463" s="27"/>
      <c r="H463" s="27"/>
      <c r="I463" s="3"/>
      <c r="J463" s="3"/>
    </row>
    <row r="464" spans="1:10">
      <c r="A464" s="27"/>
      <c r="B464" s="27"/>
      <c r="C464" s="28"/>
      <c r="D464" s="28"/>
      <c r="E464" s="174"/>
      <c r="F464" s="27"/>
      <c r="G464" s="27"/>
      <c r="H464" s="27"/>
      <c r="I464" s="3"/>
      <c r="J464" s="3"/>
    </row>
    <row r="465" spans="1:10">
      <c r="A465" s="27"/>
      <c r="B465" s="27"/>
      <c r="C465" s="28"/>
      <c r="D465" s="28"/>
      <c r="E465" s="174"/>
      <c r="F465" s="27"/>
      <c r="G465" s="27"/>
      <c r="H465" s="27"/>
      <c r="I465" s="3"/>
      <c r="J465" s="3"/>
    </row>
    <row r="466" spans="1:10">
      <c r="A466" s="27"/>
      <c r="B466" s="27"/>
      <c r="C466" s="28"/>
      <c r="D466" s="28"/>
      <c r="E466" s="174"/>
      <c r="F466" s="27"/>
      <c r="G466" s="27"/>
      <c r="H466" s="27"/>
      <c r="I466" s="3"/>
      <c r="J466" s="3"/>
    </row>
    <row r="467" spans="1:10">
      <c r="A467" s="27"/>
      <c r="B467" s="27"/>
      <c r="C467" s="28"/>
      <c r="D467" s="28"/>
      <c r="E467" s="174"/>
      <c r="F467" s="27"/>
      <c r="G467" s="27"/>
      <c r="H467" s="27"/>
      <c r="I467" s="3"/>
      <c r="J467" s="3"/>
    </row>
    <row r="468" spans="1:10">
      <c r="A468" s="27"/>
      <c r="B468" s="27"/>
      <c r="C468" s="28"/>
      <c r="D468" s="28"/>
      <c r="E468" s="174"/>
      <c r="F468" s="27"/>
      <c r="G468" s="27"/>
      <c r="H468" s="27"/>
      <c r="I468" s="3"/>
      <c r="J468" s="3"/>
    </row>
    <row r="469" spans="1:10">
      <c r="A469" s="27"/>
      <c r="B469" s="27"/>
      <c r="C469" s="28"/>
      <c r="D469" s="28"/>
      <c r="E469" s="174"/>
      <c r="F469" s="27"/>
      <c r="G469" s="27"/>
      <c r="H469" s="27"/>
      <c r="I469" s="3"/>
      <c r="J469" s="3"/>
    </row>
    <row r="470" spans="1:10">
      <c r="A470" s="27"/>
      <c r="B470" s="27"/>
      <c r="C470" s="28"/>
      <c r="D470" s="28"/>
      <c r="E470" s="174"/>
      <c r="F470" s="27"/>
      <c r="G470" s="27"/>
      <c r="H470" s="27"/>
      <c r="I470" s="3"/>
      <c r="J470" s="3"/>
    </row>
    <row r="471" spans="1:10">
      <c r="A471" s="27"/>
      <c r="B471" s="27"/>
      <c r="C471" s="28"/>
      <c r="D471" s="28"/>
      <c r="E471" s="174"/>
      <c r="F471" s="27"/>
      <c r="G471" s="27"/>
      <c r="H471" s="27"/>
      <c r="I471" s="3"/>
      <c r="J471" s="3"/>
    </row>
    <row r="472" spans="1:10">
      <c r="A472" s="27"/>
      <c r="B472" s="27"/>
      <c r="C472" s="28"/>
      <c r="D472" s="28"/>
      <c r="E472" s="174"/>
      <c r="F472" s="27"/>
      <c r="G472" s="27"/>
      <c r="H472" s="27"/>
      <c r="I472" s="3"/>
      <c r="J472" s="3"/>
    </row>
    <row r="473" spans="1:10">
      <c r="A473" s="27"/>
      <c r="B473" s="27"/>
      <c r="C473" s="28"/>
      <c r="D473" s="28"/>
      <c r="E473" s="174"/>
      <c r="F473" s="27"/>
      <c r="G473" s="27"/>
      <c r="H473" s="27"/>
      <c r="I473" s="3"/>
      <c r="J473" s="3"/>
    </row>
    <row r="474" spans="1:10">
      <c r="A474" s="27"/>
      <c r="B474" s="27"/>
      <c r="C474" s="28"/>
      <c r="D474" s="28"/>
      <c r="E474" s="174"/>
      <c r="F474" s="27"/>
      <c r="G474" s="27"/>
      <c r="H474" s="27"/>
      <c r="I474" s="3"/>
      <c r="J474" s="3"/>
    </row>
    <row r="475" spans="1:10">
      <c r="A475" s="27"/>
      <c r="B475" s="27"/>
      <c r="C475" s="28"/>
      <c r="D475" s="28"/>
      <c r="E475" s="174"/>
      <c r="F475" s="27"/>
      <c r="G475" s="27"/>
      <c r="H475" s="27"/>
      <c r="I475" s="3"/>
      <c r="J475" s="3"/>
    </row>
    <row r="476" spans="1:10">
      <c r="A476" s="27"/>
      <c r="B476" s="27"/>
      <c r="C476" s="28"/>
      <c r="D476" s="28"/>
      <c r="E476" s="174"/>
      <c r="F476" s="27"/>
      <c r="G476" s="27"/>
      <c r="H476" s="27"/>
      <c r="I476" s="3"/>
      <c r="J476" s="3"/>
    </row>
    <row r="477" spans="1:10">
      <c r="A477" s="27"/>
      <c r="B477" s="27"/>
      <c r="C477" s="28"/>
      <c r="D477" s="28"/>
      <c r="E477" s="174"/>
      <c r="F477" s="27"/>
      <c r="G477" s="27"/>
      <c r="H477" s="27"/>
      <c r="I477" s="3"/>
      <c r="J477" s="3"/>
    </row>
    <row r="478" spans="1:10">
      <c r="A478" s="27"/>
      <c r="B478" s="27"/>
      <c r="C478" s="28"/>
      <c r="D478" s="28"/>
      <c r="E478" s="174"/>
      <c r="F478" s="27"/>
      <c r="G478" s="27"/>
      <c r="H478" s="27"/>
      <c r="I478" s="3"/>
      <c r="J478" s="3"/>
    </row>
    <row r="479" spans="1:10">
      <c r="A479" s="27"/>
      <c r="B479" s="27"/>
      <c r="C479" s="28"/>
      <c r="D479" s="28"/>
      <c r="E479" s="174"/>
      <c r="F479" s="27"/>
      <c r="G479" s="27"/>
      <c r="H479" s="27"/>
      <c r="I479" s="3"/>
      <c r="J479" s="3"/>
    </row>
    <row r="480" spans="1:10">
      <c r="A480" s="27"/>
      <c r="B480" s="27"/>
      <c r="C480" s="28"/>
      <c r="D480" s="28"/>
      <c r="E480" s="174"/>
      <c r="F480" s="27"/>
      <c r="G480" s="27"/>
      <c r="H480" s="27"/>
      <c r="I480" s="3"/>
      <c r="J480" s="3"/>
    </row>
    <row r="481" spans="1:10">
      <c r="A481" s="27"/>
      <c r="B481" s="27"/>
      <c r="C481" s="28"/>
      <c r="D481" s="28"/>
      <c r="E481" s="174"/>
      <c r="F481" s="27"/>
      <c r="G481" s="27"/>
      <c r="H481" s="27"/>
      <c r="I481" s="3"/>
      <c r="J481" s="3"/>
    </row>
    <row r="482" spans="1:10">
      <c r="A482" s="27"/>
      <c r="B482" s="27"/>
      <c r="C482" s="28"/>
      <c r="D482" s="28"/>
      <c r="E482" s="174"/>
      <c r="F482" s="27"/>
      <c r="G482" s="27"/>
      <c r="H482" s="27"/>
      <c r="I482" s="3"/>
      <c r="J482" s="3"/>
    </row>
    <row r="483" spans="1:10">
      <c r="A483" s="27"/>
      <c r="B483" s="27"/>
      <c r="C483" s="28"/>
      <c r="D483" s="28"/>
      <c r="E483" s="174"/>
      <c r="F483" s="27"/>
      <c r="G483" s="27"/>
      <c r="H483" s="27"/>
      <c r="I483" s="3"/>
      <c r="J483" s="3"/>
    </row>
    <row r="484" spans="1:10">
      <c r="A484" s="27"/>
      <c r="B484" s="27"/>
      <c r="C484" s="28"/>
      <c r="D484" s="28"/>
      <c r="E484" s="174"/>
      <c r="F484" s="27"/>
      <c r="G484" s="27"/>
      <c r="H484" s="27"/>
      <c r="I484" s="3"/>
      <c r="J484" s="3"/>
    </row>
    <row r="485" spans="1:10">
      <c r="A485" s="27"/>
      <c r="B485" s="27"/>
      <c r="C485" s="28"/>
      <c r="D485" s="28"/>
      <c r="E485" s="174"/>
      <c r="F485" s="27"/>
      <c r="G485" s="27"/>
      <c r="H485" s="27"/>
      <c r="I485" s="3"/>
      <c r="J485" s="3"/>
    </row>
    <row r="486" spans="1:10">
      <c r="A486" s="27"/>
      <c r="B486" s="27"/>
      <c r="C486" s="28"/>
      <c r="D486" s="28"/>
      <c r="E486" s="174"/>
      <c r="F486" s="27"/>
      <c r="G486" s="27"/>
      <c r="H486" s="27"/>
      <c r="I486" s="3"/>
      <c r="J486" s="3"/>
    </row>
    <row r="487" spans="1:10">
      <c r="A487" s="27"/>
      <c r="B487" s="27"/>
      <c r="C487" s="28"/>
      <c r="D487" s="28"/>
      <c r="E487" s="174"/>
      <c r="F487" s="27"/>
      <c r="G487" s="27"/>
      <c r="H487" s="27"/>
      <c r="I487" s="3"/>
      <c r="J487" s="3"/>
    </row>
    <row r="488" spans="1:10">
      <c r="A488" s="27"/>
      <c r="B488" s="27"/>
      <c r="C488" s="28"/>
      <c r="D488" s="28"/>
      <c r="E488" s="174"/>
      <c r="F488" s="27"/>
      <c r="G488" s="27"/>
      <c r="H488" s="27"/>
      <c r="I488" s="3"/>
      <c r="J488" s="3"/>
    </row>
    <row r="489" spans="1:10">
      <c r="A489" s="27"/>
      <c r="B489" s="27"/>
      <c r="C489" s="28"/>
      <c r="D489" s="28"/>
      <c r="E489" s="174"/>
      <c r="F489" s="27"/>
      <c r="G489" s="27"/>
      <c r="H489" s="27"/>
      <c r="I489" s="3"/>
      <c r="J489" s="3"/>
    </row>
    <row r="490" spans="1:10">
      <c r="A490" s="27"/>
      <c r="B490" s="27"/>
      <c r="C490" s="28"/>
      <c r="D490" s="28"/>
      <c r="E490" s="174"/>
      <c r="F490" s="27"/>
      <c r="G490" s="27"/>
      <c r="H490" s="27"/>
      <c r="I490" s="3"/>
      <c r="J490" s="3"/>
    </row>
    <row r="491" spans="1:10">
      <c r="A491" s="27"/>
      <c r="B491" s="27"/>
      <c r="C491" s="28"/>
      <c r="D491" s="28"/>
      <c r="E491" s="174"/>
      <c r="F491" s="27"/>
      <c r="G491" s="27"/>
      <c r="H491" s="27"/>
      <c r="I491" s="3"/>
      <c r="J491" s="3"/>
    </row>
    <row r="492" spans="1:10">
      <c r="A492" s="27"/>
      <c r="B492" s="27"/>
      <c r="C492" s="28"/>
      <c r="D492" s="28"/>
      <c r="E492" s="174"/>
      <c r="F492" s="27"/>
      <c r="G492" s="27"/>
      <c r="H492" s="27"/>
      <c r="I492" s="3"/>
      <c r="J492" s="3"/>
    </row>
    <row r="493" spans="1:10">
      <c r="A493" s="27"/>
      <c r="B493" s="27"/>
      <c r="C493" s="28"/>
      <c r="D493" s="28"/>
      <c r="E493" s="174"/>
      <c r="F493" s="27"/>
      <c r="G493" s="27"/>
      <c r="H493" s="27"/>
      <c r="I493" s="3"/>
      <c r="J493" s="3"/>
    </row>
    <row r="494" spans="1:10">
      <c r="A494" s="27"/>
      <c r="B494" s="27"/>
      <c r="C494" s="28"/>
      <c r="D494" s="28"/>
      <c r="E494" s="174"/>
      <c r="F494" s="27"/>
      <c r="G494" s="27"/>
      <c r="H494" s="27"/>
      <c r="I494" s="3"/>
      <c r="J494" s="3"/>
    </row>
    <row r="495" spans="1:10">
      <c r="A495" s="27"/>
      <c r="B495" s="27"/>
      <c r="C495" s="28"/>
      <c r="D495" s="28"/>
      <c r="E495" s="174"/>
      <c r="F495" s="27"/>
      <c r="G495" s="27"/>
      <c r="H495" s="27"/>
      <c r="I495" s="3"/>
      <c r="J495" s="3"/>
    </row>
    <row r="496" spans="1:10">
      <c r="A496" s="27"/>
      <c r="B496" s="27"/>
      <c r="C496" s="28"/>
      <c r="D496" s="28"/>
      <c r="E496" s="174"/>
      <c r="F496" s="27"/>
      <c r="G496" s="27"/>
      <c r="H496" s="27"/>
      <c r="I496" s="3"/>
      <c r="J496" s="3"/>
    </row>
    <row r="497" spans="1:10">
      <c r="A497" s="27"/>
      <c r="B497" s="27"/>
      <c r="C497" s="28"/>
      <c r="D497" s="28"/>
      <c r="E497" s="174"/>
      <c r="F497" s="27"/>
      <c r="G497" s="27"/>
      <c r="H497" s="27"/>
      <c r="I497" s="3"/>
      <c r="J497" s="3"/>
    </row>
    <row r="498" spans="1:10">
      <c r="A498" s="27"/>
      <c r="B498" s="27"/>
      <c r="C498" s="28"/>
      <c r="D498" s="28"/>
      <c r="E498" s="174"/>
      <c r="F498" s="27"/>
      <c r="G498" s="27"/>
      <c r="H498" s="27"/>
      <c r="I498" s="3"/>
      <c r="J498" s="3"/>
    </row>
    <row r="499" spans="1:10">
      <c r="A499" s="27"/>
      <c r="B499" s="27"/>
      <c r="C499" s="28"/>
      <c r="D499" s="28"/>
      <c r="E499" s="174"/>
      <c r="F499" s="27"/>
      <c r="G499" s="27"/>
      <c r="H499" s="27"/>
      <c r="I499" s="3"/>
      <c r="J499" s="3"/>
    </row>
    <row r="500" spans="1:10">
      <c r="A500" s="27"/>
      <c r="B500" s="27"/>
      <c r="C500" s="28"/>
      <c r="D500" s="28"/>
      <c r="E500" s="174"/>
      <c r="F500" s="27"/>
      <c r="G500" s="27"/>
      <c r="H500" s="27"/>
      <c r="I500" s="3"/>
      <c r="J500" s="3"/>
    </row>
    <row r="501" spans="1:10">
      <c r="A501" s="27"/>
      <c r="B501" s="27"/>
      <c r="C501" s="28"/>
      <c r="D501" s="28"/>
      <c r="E501" s="174"/>
      <c r="F501" s="27"/>
      <c r="G501" s="27"/>
      <c r="H501" s="27"/>
      <c r="I501" s="3"/>
      <c r="J501" s="3"/>
    </row>
    <row r="502" spans="1:10">
      <c r="A502" s="27"/>
      <c r="B502" s="27"/>
      <c r="C502" s="28"/>
      <c r="D502" s="28"/>
      <c r="E502" s="174"/>
      <c r="F502" s="27"/>
      <c r="G502" s="27"/>
      <c r="H502" s="27"/>
      <c r="I502" s="3"/>
      <c r="J502" s="3"/>
    </row>
    <row r="503" spans="1:10">
      <c r="A503" s="27"/>
      <c r="B503" s="27"/>
      <c r="C503" s="28"/>
      <c r="D503" s="28"/>
      <c r="E503" s="174"/>
      <c r="F503" s="27"/>
      <c r="G503" s="27"/>
      <c r="H503" s="27"/>
      <c r="I503" s="3"/>
      <c r="J503" s="3"/>
    </row>
    <row r="504" spans="1:10">
      <c r="A504" s="27"/>
      <c r="B504" s="27"/>
      <c r="C504" s="28"/>
      <c r="D504" s="28"/>
      <c r="E504" s="174"/>
      <c r="F504" s="27"/>
      <c r="G504" s="27"/>
      <c r="H504" s="27"/>
      <c r="I504" s="3"/>
      <c r="J504" s="3"/>
    </row>
    <row r="505" spans="1:10">
      <c r="A505" s="27"/>
      <c r="B505" s="27"/>
      <c r="C505" s="28"/>
      <c r="D505" s="28"/>
      <c r="E505" s="174"/>
      <c r="F505" s="27"/>
      <c r="G505" s="27"/>
      <c r="H505" s="27"/>
      <c r="I505" s="3"/>
      <c r="J505" s="3"/>
    </row>
    <row r="506" spans="1:10">
      <c r="A506" s="27"/>
      <c r="B506" s="27"/>
      <c r="C506" s="28"/>
      <c r="D506" s="28"/>
      <c r="E506" s="174"/>
      <c r="F506" s="27"/>
      <c r="G506" s="27"/>
      <c r="H506" s="27"/>
      <c r="I506" s="3"/>
      <c r="J506" s="3"/>
    </row>
    <row r="507" spans="1:10">
      <c r="A507" s="27"/>
      <c r="B507" s="27"/>
      <c r="C507" s="28"/>
      <c r="D507" s="28"/>
      <c r="E507" s="174"/>
      <c r="F507" s="27"/>
      <c r="G507" s="27"/>
      <c r="H507" s="27"/>
      <c r="I507" s="3"/>
      <c r="J507" s="3"/>
    </row>
    <row r="508" spans="1:10">
      <c r="A508" s="27"/>
      <c r="B508" s="27"/>
      <c r="C508" s="28"/>
      <c r="D508" s="28"/>
      <c r="E508" s="174"/>
      <c r="F508" s="27"/>
      <c r="G508" s="27"/>
      <c r="H508" s="27"/>
      <c r="I508" s="3"/>
      <c r="J508" s="3"/>
    </row>
    <row r="509" spans="1:10">
      <c r="A509" s="27"/>
      <c r="B509" s="27"/>
      <c r="C509" s="28"/>
      <c r="D509" s="28"/>
      <c r="E509" s="174"/>
      <c r="F509" s="27"/>
      <c r="G509" s="27"/>
      <c r="H509" s="27"/>
      <c r="I509" s="3"/>
      <c r="J509" s="3"/>
    </row>
    <row r="510" spans="1:10">
      <c r="A510" s="27"/>
      <c r="B510" s="27"/>
      <c r="C510" s="28"/>
      <c r="D510" s="28"/>
      <c r="E510" s="174"/>
      <c r="F510" s="27"/>
      <c r="G510" s="27"/>
      <c r="H510" s="27"/>
      <c r="I510" s="3"/>
      <c r="J510" s="3"/>
    </row>
    <row r="511" spans="1:10">
      <c r="A511" s="27"/>
      <c r="B511" s="27"/>
      <c r="C511" s="28"/>
      <c r="D511" s="28"/>
      <c r="E511" s="174"/>
      <c r="F511" s="27"/>
      <c r="G511" s="27"/>
      <c r="H511" s="27"/>
      <c r="I511" s="3"/>
      <c r="J511" s="3"/>
    </row>
    <row r="512" spans="1:10">
      <c r="A512" s="27"/>
      <c r="B512" s="27"/>
      <c r="C512" s="28"/>
      <c r="D512" s="28"/>
      <c r="E512" s="174"/>
      <c r="F512" s="27"/>
      <c r="G512" s="27"/>
      <c r="H512" s="27"/>
      <c r="I512" s="3"/>
      <c r="J512" s="3"/>
    </row>
    <row r="513" spans="1:10">
      <c r="A513" s="27"/>
      <c r="B513" s="27"/>
      <c r="C513" s="28"/>
      <c r="D513" s="28"/>
      <c r="E513" s="174"/>
      <c r="F513" s="27"/>
      <c r="G513" s="27"/>
      <c r="H513" s="27"/>
      <c r="I513" s="3"/>
      <c r="J513" s="3"/>
    </row>
    <row r="514" spans="1:10">
      <c r="A514" s="27"/>
      <c r="B514" s="27"/>
      <c r="C514" s="28"/>
      <c r="D514" s="28"/>
      <c r="E514" s="174"/>
      <c r="F514" s="27"/>
      <c r="G514" s="27"/>
      <c r="H514" s="27"/>
      <c r="I514" s="3"/>
      <c r="J514" s="3"/>
    </row>
    <row r="515" spans="1:10">
      <c r="A515" s="27"/>
      <c r="B515" s="27"/>
      <c r="C515" s="28"/>
      <c r="D515" s="28"/>
      <c r="E515" s="174"/>
      <c r="F515" s="27"/>
      <c r="G515" s="27"/>
      <c r="H515" s="27"/>
      <c r="I515" s="3"/>
      <c r="J515" s="3"/>
    </row>
    <row r="516" spans="1:10">
      <c r="A516" s="27"/>
      <c r="B516" s="27"/>
      <c r="C516" s="28"/>
      <c r="D516" s="28"/>
      <c r="E516" s="174"/>
      <c r="F516" s="27"/>
      <c r="G516" s="27"/>
      <c r="H516" s="27"/>
      <c r="I516" s="3"/>
      <c r="J516" s="3"/>
    </row>
    <row r="517" spans="1:10">
      <c r="A517" s="27"/>
      <c r="B517" s="27"/>
      <c r="C517" s="28"/>
      <c r="D517" s="28"/>
      <c r="E517" s="174"/>
      <c r="F517" s="27"/>
      <c r="G517" s="27"/>
      <c r="H517" s="27"/>
      <c r="I517" s="3"/>
      <c r="J517" s="3"/>
    </row>
    <row r="518" spans="1:10">
      <c r="A518" s="27"/>
      <c r="B518" s="27"/>
      <c r="C518" s="28"/>
      <c r="D518" s="28"/>
      <c r="E518" s="174"/>
      <c r="F518" s="27"/>
      <c r="G518" s="27"/>
      <c r="H518" s="27"/>
      <c r="I518" s="3"/>
      <c r="J518" s="3"/>
    </row>
    <row r="519" spans="1:10">
      <c r="A519" s="27"/>
      <c r="B519" s="27"/>
      <c r="C519" s="28"/>
      <c r="D519" s="28"/>
      <c r="E519" s="174"/>
      <c r="F519" s="27"/>
      <c r="G519" s="27"/>
      <c r="H519" s="27"/>
      <c r="I519" s="3"/>
      <c r="J519" s="3"/>
    </row>
    <row r="520" spans="1:10">
      <c r="A520" s="27"/>
      <c r="B520" s="27"/>
      <c r="C520" s="28"/>
      <c r="D520" s="28"/>
      <c r="E520" s="174"/>
      <c r="F520" s="27"/>
      <c r="G520" s="27"/>
      <c r="H520" s="27"/>
      <c r="I520" s="3"/>
      <c r="J520" s="3"/>
    </row>
    <row r="521" spans="1:10">
      <c r="A521" s="27"/>
      <c r="B521" s="27"/>
      <c r="C521" s="28"/>
      <c r="D521" s="28"/>
      <c r="E521" s="174"/>
      <c r="F521" s="27"/>
      <c r="G521" s="27"/>
      <c r="H521" s="27"/>
      <c r="I521" s="3"/>
      <c r="J521" s="3"/>
    </row>
    <row r="522" spans="1:10">
      <c r="A522" s="27"/>
      <c r="B522" s="27"/>
      <c r="C522" s="28"/>
      <c r="D522" s="28"/>
      <c r="E522" s="174"/>
      <c r="F522" s="27"/>
      <c r="G522" s="27"/>
      <c r="H522" s="27"/>
      <c r="I522" s="3"/>
      <c r="J522" s="3"/>
    </row>
    <row r="523" spans="1:10">
      <c r="A523" s="27"/>
      <c r="B523" s="27"/>
      <c r="C523" s="28"/>
      <c r="D523" s="28"/>
      <c r="E523" s="174"/>
      <c r="F523" s="27"/>
      <c r="G523" s="27"/>
      <c r="H523" s="27"/>
      <c r="I523" s="3"/>
      <c r="J523" s="3"/>
    </row>
    <row r="524" spans="1:10">
      <c r="A524" s="27"/>
      <c r="B524" s="27"/>
      <c r="C524" s="28"/>
      <c r="D524" s="28"/>
      <c r="E524" s="174"/>
      <c r="F524" s="27"/>
      <c r="G524" s="27"/>
      <c r="H524" s="27"/>
      <c r="I524" s="3"/>
      <c r="J524" s="3"/>
    </row>
    <row r="525" spans="1:10">
      <c r="A525" s="27"/>
      <c r="B525" s="27"/>
      <c r="C525" s="28"/>
      <c r="D525" s="28"/>
      <c r="E525" s="174"/>
      <c r="F525" s="27"/>
      <c r="G525" s="27"/>
      <c r="H525" s="27"/>
      <c r="I525" s="3"/>
      <c r="J525" s="3"/>
    </row>
    <row r="526" spans="1:10">
      <c r="A526" s="27"/>
      <c r="B526" s="27"/>
      <c r="C526" s="28"/>
      <c r="D526" s="28"/>
      <c r="E526" s="174"/>
      <c r="F526" s="27"/>
      <c r="G526" s="27"/>
      <c r="H526" s="27"/>
      <c r="I526" s="3"/>
      <c r="J526" s="3"/>
    </row>
    <row r="527" spans="1:10">
      <c r="A527" s="27"/>
      <c r="B527" s="27"/>
      <c r="C527" s="28"/>
      <c r="D527" s="28"/>
      <c r="E527" s="174"/>
      <c r="F527" s="27"/>
      <c r="G527" s="27"/>
      <c r="H527" s="27"/>
      <c r="I527" s="3"/>
      <c r="J527" s="3"/>
    </row>
    <row r="528" spans="1:10">
      <c r="A528" s="27"/>
      <c r="B528" s="27"/>
      <c r="C528" s="28"/>
      <c r="D528" s="28"/>
      <c r="E528" s="174"/>
      <c r="F528" s="27"/>
      <c r="G528" s="27"/>
      <c r="H528" s="27"/>
      <c r="I528" s="3"/>
      <c r="J528" s="3"/>
    </row>
    <row r="529" spans="1:10">
      <c r="A529" s="27"/>
      <c r="B529" s="27"/>
      <c r="C529" s="28"/>
      <c r="D529" s="28"/>
      <c r="E529" s="174"/>
      <c r="F529" s="27"/>
      <c r="G529" s="27"/>
      <c r="H529" s="27"/>
      <c r="I529" s="3"/>
      <c r="J529" s="3"/>
    </row>
    <row r="530" spans="1:10">
      <c r="A530" s="27"/>
      <c r="B530" s="27"/>
      <c r="C530" s="28"/>
      <c r="D530" s="28"/>
      <c r="E530" s="174"/>
      <c r="F530" s="27"/>
      <c r="G530" s="27"/>
      <c r="H530" s="27"/>
      <c r="I530" s="3"/>
      <c r="J530" s="3"/>
    </row>
    <row r="531" spans="1:10">
      <c r="A531" s="27"/>
      <c r="B531" s="27"/>
      <c r="C531" s="28"/>
      <c r="D531" s="28"/>
      <c r="E531" s="174"/>
      <c r="F531" s="27"/>
      <c r="G531" s="27"/>
      <c r="H531" s="27"/>
      <c r="I531" s="3"/>
      <c r="J531" s="3"/>
    </row>
    <row r="532" spans="1:10">
      <c r="A532" s="27"/>
      <c r="B532" s="27"/>
      <c r="C532" s="28"/>
      <c r="D532" s="28"/>
      <c r="E532" s="174"/>
      <c r="F532" s="27"/>
      <c r="G532" s="27"/>
      <c r="H532" s="27"/>
      <c r="I532" s="3"/>
      <c r="J532" s="3"/>
    </row>
    <row r="533" spans="1:10">
      <c r="A533" s="27"/>
      <c r="B533" s="27"/>
      <c r="C533" s="28"/>
      <c r="D533" s="28"/>
      <c r="E533" s="174"/>
      <c r="F533" s="27"/>
      <c r="G533" s="27"/>
      <c r="H533" s="27"/>
      <c r="I533" s="3"/>
      <c r="J533" s="3"/>
    </row>
    <row r="534" spans="1:10">
      <c r="A534" s="27"/>
      <c r="B534" s="27"/>
      <c r="C534" s="28"/>
      <c r="D534" s="28"/>
      <c r="E534" s="174"/>
      <c r="F534" s="27"/>
      <c r="G534" s="27"/>
      <c r="H534" s="27"/>
      <c r="I534" s="3"/>
      <c r="J534" s="3"/>
    </row>
    <row r="535" spans="1:10">
      <c r="A535" s="27"/>
      <c r="B535" s="27"/>
      <c r="C535" s="28"/>
      <c r="D535" s="28"/>
      <c r="E535" s="174"/>
      <c r="F535" s="27"/>
      <c r="G535" s="27"/>
      <c r="H535" s="27"/>
      <c r="I535" s="3"/>
      <c r="J535" s="3"/>
    </row>
    <row r="536" spans="1:10">
      <c r="A536" s="27"/>
      <c r="B536" s="27"/>
      <c r="C536" s="28"/>
      <c r="D536" s="28"/>
      <c r="E536" s="174"/>
      <c r="F536" s="27"/>
      <c r="G536" s="27"/>
      <c r="H536" s="27"/>
      <c r="I536" s="3"/>
      <c r="J536" s="3"/>
    </row>
    <row r="537" spans="1:10">
      <c r="A537" s="27"/>
      <c r="B537" s="27"/>
      <c r="C537" s="28"/>
      <c r="D537" s="28"/>
      <c r="E537" s="174"/>
      <c r="F537" s="27"/>
      <c r="G537" s="27"/>
      <c r="H537" s="27"/>
      <c r="I537" s="3"/>
      <c r="J537" s="3"/>
    </row>
    <row r="538" spans="1:10">
      <c r="A538" s="27"/>
      <c r="B538" s="27"/>
      <c r="C538" s="28"/>
      <c r="D538" s="28"/>
      <c r="E538" s="174"/>
      <c r="F538" s="27"/>
      <c r="G538" s="27"/>
      <c r="H538" s="27"/>
      <c r="I538" s="3"/>
      <c r="J538" s="3"/>
    </row>
    <row r="539" spans="1:10">
      <c r="A539" s="27"/>
      <c r="B539" s="27"/>
      <c r="C539" s="28"/>
      <c r="D539" s="28"/>
      <c r="E539" s="174"/>
      <c r="F539" s="27"/>
      <c r="G539" s="27"/>
      <c r="H539" s="27"/>
      <c r="I539" s="3"/>
      <c r="J539" s="3"/>
    </row>
    <row r="540" spans="1:10">
      <c r="A540" s="27"/>
      <c r="B540" s="27"/>
      <c r="C540" s="28"/>
      <c r="D540" s="28"/>
      <c r="E540" s="174"/>
      <c r="F540" s="27"/>
      <c r="G540" s="27"/>
      <c r="H540" s="27"/>
      <c r="I540" s="3"/>
      <c r="J540" s="3"/>
    </row>
    <row r="541" spans="1:10">
      <c r="A541" s="27"/>
      <c r="B541" s="27"/>
      <c r="C541" s="28"/>
      <c r="D541" s="28"/>
      <c r="E541" s="174"/>
      <c r="F541" s="27"/>
      <c r="G541" s="27"/>
      <c r="H541" s="27"/>
      <c r="I541" s="3"/>
      <c r="J541" s="3"/>
    </row>
    <row r="542" spans="1:10">
      <c r="A542" s="27"/>
      <c r="B542" s="27"/>
      <c r="C542" s="28"/>
      <c r="D542" s="28"/>
      <c r="E542" s="174"/>
      <c r="F542" s="27"/>
      <c r="G542" s="27"/>
      <c r="H542" s="27"/>
      <c r="I542" s="3"/>
      <c r="J542" s="3"/>
    </row>
    <row r="543" spans="1:10">
      <c r="A543" s="27"/>
      <c r="B543" s="27"/>
      <c r="C543" s="28"/>
      <c r="D543" s="28"/>
      <c r="E543" s="174"/>
      <c r="F543" s="27"/>
      <c r="G543" s="27"/>
      <c r="H543" s="27"/>
      <c r="I543" s="3"/>
      <c r="J543" s="3"/>
    </row>
    <row r="544" spans="1:10">
      <c r="A544" s="27"/>
      <c r="B544" s="27"/>
      <c r="C544" s="28"/>
      <c r="D544" s="28"/>
      <c r="E544" s="174"/>
      <c r="F544" s="27"/>
      <c r="G544" s="27"/>
      <c r="H544" s="27"/>
      <c r="I544" s="3"/>
      <c r="J544" s="3"/>
    </row>
    <row r="545" spans="1:10">
      <c r="A545" s="27"/>
      <c r="B545" s="27"/>
      <c r="C545" s="28"/>
      <c r="D545" s="28"/>
      <c r="E545" s="174"/>
      <c r="F545" s="27"/>
      <c r="G545" s="27"/>
      <c r="H545" s="27"/>
      <c r="I545" s="3"/>
      <c r="J545" s="3"/>
    </row>
    <row r="546" spans="1:10">
      <c r="A546" s="27"/>
      <c r="B546" s="27"/>
      <c r="C546" s="28"/>
      <c r="D546" s="28"/>
      <c r="E546" s="174"/>
      <c r="F546" s="27"/>
      <c r="G546" s="27"/>
      <c r="H546" s="27"/>
      <c r="I546" s="3"/>
      <c r="J546" s="3"/>
    </row>
    <row r="547" spans="1:10">
      <c r="A547" s="27"/>
      <c r="B547" s="27"/>
      <c r="C547" s="28"/>
      <c r="D547" s="28"/>
      <c r="E547" s="174"/>
      <c r="F547" s="27"/>
      <c r="G547" s="27"/>
      <c r="H547" s="27"/>
      <c r="I547" s="3"/>
      <c r="J547" s="3"/>
    </row>
    <row r="548" spans="1:10">
      <c r="A548" s="27"/>
      <c r="B548" s="27"/>
      <c r="C548" s="28"/>
      <c r="D548" s="28"/>
      <c r="E548" s="174"/>
      <c r="F548" s="27"/>
      <c r="G548" s="27"/>
      <c r="H548" s="27"/>
      <c r="I548" s="3"/>
      <c r="J548" s="3"/>
    </row>
    <row r="549" spans="1:10">
      <c r="A549" s="27"/>
      <c r="B549" s="27"/>
      <c r="C549" s="28"/>
      <c r="D549" s="28"/>
      <c r="E549" s="174"/>
      <c r="F549" s="27"/>
      <c r="G549" s="27"/>
      <c r="H549" s="27"/>
      <c r="I549" s="3"/>
      <c r="J549" s="3"/>
    </row>
    <row r="550" spans="1:10">
      <c r="A550" s="27"/>
      <c r="B550" s="27"/>
      <c r="C550" s="28"/>
      <c r="D550" s="28"/>
      <c r="E550" s="174"/>
      <c r="F550" s="27"/>
      <c r="G550" s="27"/>
      <c r="H550" s="27"/>
      <c r="I550" s="3"/>
      <c r="J550" s="3"/>
    </row>
    <row r="551" spans="1:10">
      <c r="A551" s="27"/>
      <c r="B551" s="27"/>
      <c r="C551" s="28"/>
      <c r="D551" s="28"/>
      <c r="E551" s="174"/>
      <c r="F551" s="27"/>
      <c r="G551" s="27"/>
      <c r="H551" s="27"/>
      <c r="I551" s="3"/>
      <c r="J551" s="3"/>
    </row>
    <row r="552" spans="1:10">
      <c r="A552" s="27"/>
      <c r="B552" s="27"/>
      <c r="C552" s="28"/>
      <c r="D552" s="28"/>
      <c r="E552" s="174"/>
      <c r="F552" s="27"/>
      <c r="G552" s="27"/>
      <c r="H552" s="27"/>
      <c r="I552" s="3"/>
      <c r="J552" s="3"/>
    </row>
    <row r="553" spans="1:10">
      <c r="A553" s="27"/>
      <c r="B553" s="27"/>
      <c r="C553" s="28"/>
      <c r="D553" s="28"/>
      <c r="E553" s="174"/>
      <c r="F553" s="27"/>
      <c r="G553" s="27"/>
      <c r="H553" s="27"/>
      <c r="I553" s="3"/>
      <c r="J553" s="3"/>
    </row>
    <row r="554" spans="1:10">
      <c r="A554" s="27"/>
      <c r="B554" s="27"/>
      <c r="C554" s="28"/>
      <c r="D554" s="28"/>
      <c r="E554" s="174"/>
      <c r="F554" s="27"/>
      <c r="G554" s="27"/>
      <c r="H554" s="27"/>
      <c r="I554" s="3"/>
      <c r="J554" s="3"/>
    </row>
    <row r="555" spans="1:10">
      <c r="A555" s="27"/>
      <c r="B555" s="27"/>
      <c r="C555" s="28"/>
      <c r="D555" s="28"/>
      <c r="E555" s="174"/>
      <c r="F555" s="27"/>
      <c r="G555" s="27"/>
      <c r="H555" s="27"/>
      <c r="I555" s="3"/>
      <c r="J555" s="3"/>
    </row>
    <row r="556" spans="1:10">
      <c r="A556" s="27"/>
      <c r="B556" s="27"/>
      <c r="C556" s="28"/>
      <c r="D556" s="28"/>
      <c r="E556" s="174"/>
      <c r="F556" s="27"/>
      <c r="G556" s="27"/>
      <c r="H556" s="27"/>
      <c r="I556" s="3"/>
      <c r="J556" s="3"/>
    </row>
    <row r="557" spans="1:10">
      <c r="A557" s="27"/>
      <c r="B557" s="27"/>
      <c r="C557" s="28"/>
      <c r="D557" s="28"/>
      <c r="E557" s="174"/>
      <c r="F557" s="27"/>
      <c r="G557" s="27"/>
      <c r="H557" s="27"/>
      <c r="I557" s="3"/>
      <c r="J557" s="3"/>
    </row>
    <row r="558" spans="1:10">
      <c r="A558" s="27"/>
      <c r="B558" s="27"/>
      <c r="C558" s="28"/>
      <c r="D558" s="28"/>
      <c r="E558" s="174"/>
      <c r="F558" s="27"/>
      <c r="G558" s="27"/>
      <c r="H558" s="27"/>
      <c r="I558" s="3"/>
      <c r="J558" s="3"/>
    </row>
    <row r="559" spans="1:10">
      <c r="A559" s="27"/>
      <c r="B559" s="27"/>
      <c r="C559" s="28"/>
      <c r="D559" s="28"/>
      <c r="E559" s="174"/>
      <c r="F559" s="27"/>
      <c r="G559" s="27"/>
      <c r="H559" s="27"/>
      <c r="I559" s="3"/>
      <c r="J559" s="3"/>
    </row>
    <row r="560" spans="1:10">
      <c r="A560" s="27"/>
      <c r="B560" s="27"/>
      <c r="C560" s="28"/>
      <c r="D560" s="28"/>
      <c r="E560" s="174"/>
      <c r="F560" s="27"/>
      <c r="G560" s="27"/>
      <c r="H560" s="27"/>
      <c r="I560" s="3"/>
      <c r="J560" s="3"/>
    </row>
    <row r="561" spans="1:10">
      <c r="A561" s="27"/>
      <c r="B561" s="27"/>
      <c r="C561" s="28"/>
      <c r="D561" s="28"/>
      <c r="E561" s="174"/>
      <c r="F561" s="27"/>
      <c r="G561" s="27"/>
      <c r="H561" s="27"/>
      <c r="I561" s="3"/>
      <c r="J561" s="3"/>
    </row>
    <row r="562" spans="1:10">
      <c r="A562" s="27"/>
      <c r="B562" s="27"/>
      <c r="C562" s="28"/>
      <c r="D562" s="28"/>
      <c r="E562" s="174"/>
      <c r="F562" s="27"/>
      <c r="G562" s="27"/>
      <c r="H562" s="27"/>
      <c r="I562" s="3"/>
      <c r="J562" s="3"/>
    </row>
    <row r="563" spans="1:10">
      <c r="A563" s="27"/>
      <c r="B563" s="27"/>
      <c r="C563" s="28"/>
      <c r="D563" s="28"/>
      <c r="E563" s="174"/>
      <c r="F563" s="27"/>
      <c r="G563" s="27"/>
      <c r="H563" s="27"/>
      <c r="I563" s="3"/>
      <c r="J563" s="3"/>
    </row>
    <row r="564" spans="1:10">
      <c r="A564" s="27"/>
      <c r="B564" s="27"/>
      <c r="C564" s="28"/>
      <c r="D564" s="28"/>
      <c r="E564" s="174"/>
      <c r="F564" s="27"/>
      <c r="G564" s="27"/>
      <c r="H564" s="27"/>
      <c r="I564" s="3"/>
      <c r="J564" s="3"/>
    </row>
    <row r="565" spans="1:10">
      <c r="A565" s="27"/>
      <c r="B565" s="27"/>
      <c r="C565" s="28"/>
      <c r="D565" s="28"/>
      <c r="E565" s="174"/>
      <c r="F565" s="27"/>
      <c r="G565" s="27"/>
      <c r="H565" s="27"/>
      <c r="I565" s="3"/>
      <c r="J565" s="3"/>
    </row>
    <row r="566" spans="1:10">
      <c r="A566" s="27"/>
      <c r="B566" s="27"/>
      <c r="C566" s="28"/>
      <c r="D566" s="28"/>
      <c r="E566" s="174"/>
      <c r="F566" s="27"/>
      <c r="G566" s="27"/>
      <c r="H566" s="27"/>
      <c r="I566" s="3"/>
      <c r="J566" s="3"/>
    </row>
    <row r="567" spans="1:10">
      <c r="A567" s="27"/>
      <c r="B567" s="27"/>
      <c r="C567" s="28"/>
      <c r="D567" s="28"/>
      <c r="E567" s="174"/>
      <c r="F567" s="27"/>
      <c r="G567" s="27"/>
      <c r="H567" s="27"/>
      <c r="I567" s="3"/>
      <c r="J567" s="3"/>
    </row>
    <row r="568" spans="1:10">
      <c r="A568" s="27"/>
      <c r="B568" s="27"/>
      <c r="C568" s="28"/>
      <c r="D568" s="28"/>
      <c r="E568" s="174"/>
      <c r="F568" s="27"/>
      <c r="G568" s="27"/>
      <c r="H568" s="27"/>
      <c r="I568" s="3"/>
      <c r="J568" s="3"/>
    </row>
    <row r="569" spans="1:10">
      <c r="A569" s="27"/>
      <c r="B569" s="27"/>
      <c r="C569" s="28"/>
      <c r="D569" s="28"/>
      <c r="E569" s="174"/>
      <c r="F569" s="27"/>
      <c r="G569" s="27"/>
      <c r="H569" s="27"/>
      <c r="I569" s="3"/>
      <c r="J569" s="3"/>
    </row>
    <row r="570" spans="1:10">
      <c r="A570" s="27"/>
      <c r="B570" s="27"/>
      <c r="C570" s="28"/>
      <c r="D570" s="28"/>
      <c r="E570" s="174"/>
      <c r="F570" s="27"/>
      <c r="G570" s="27"/>
      <c r="H570" s="27"/>
      <c r="I570" s="3"/>
      <c r="J570" s="3"/>
    </row>
    <row r="571" spans="1:10">
      <c r="A571" s="27"/>
      <c r="B571" s="27"/>
      <c r="C571" s="28"/>
      <c r="D571" s="28"/>
      <c r="E571" s="174"/>
      <c r="F571" s="27"/>
      <c r="G571" s="27"/>
      <c r="H571" s="27"/>
      <c r="I571" s="3"/>
      <c r="J571" s="3"/>
    </row>
    <row r="572" spans="1:10">
      <c r="A572" s="27"/>
      <c r="B572" s="27"/>
      <c r="C572" s="28"/>
      <c r="D572" s="28"/>
      <c r="E572" s="174"/>
      <c r="F572" s="27"/>
      <c r="G572" s="27"/>
      <c r="H572" s="27"/>
      <c r="I572" s="3"/>
      <c r="J572" s="3"/>
    </row>
    <row r="573" spans="1:10">
      <c r="A573" s="27"/>
      <c r="B573" s="27"/>
      <c r="C573" s="28"/>
      <c r="D573" s="28"/>
      <c r="E573" s="174"/>
      <c r="F573" s="27"/>
      <c r="G573" s="27"/>
      <c r="H573" s="27"/>
      <c r="I573" s="3"/>
      <c r="J573" s="3"/>
    </row>
    <row r="574" spans="1:10">
      <c r="A574" s="27"/>
      <c r="B574" s="27"/>
      <c r="C574" s="28"/>
      <c r="D574" s="28"/>
      <c r="E574" s="174"/>
      <c r="F574" s="27"/>
      <c r="G574" s="27"/>
      <c r="H574" s="27"/>
      <c r="I574" s="3"/>
      <c r="J574" s="3"/>
    </row>
    <row r="575" spans="1:10">
      <c r="A575" s="27"/>
      <c r="B575" s="27"/>
      <c r="C575" s="28"/>
      <c r="D575" s="28"/>
      <c r="E575" s="174"/>
      <c r="F575" s="27"/>
      <c r="G575" s="27"/>
      <c r="H575" s="27"/>
      <c r="I575" s="3"/>
      <c r="J575" s="3"/>
    </row>
    <row r="576" spans="1:10">
      <c r="A576" s="27"/>
      <c r="B576" s="27"/>
      <c r="C576" s="28"/>
      <c r="D576" s="28"/>
      <c r="E576" s="174"/>
      <c r="F576" s="27"/>
      <c r="G576" s="27"/>
      <c r="H576" s="27"/>
      <c r="I576" s="3"/>
      <c r="J576" s="3"/>
    </row>
    <row r="577" spans="1:10">
      <c r="A577" s="27"/>
      <c r="B577" s="27"/>
      <c r="C577" s="28"/>
      <c r="D577" s="28"/>
      <c r="E577" s="174"/>
      <c r="F577" s="27"/>
      <c r="G577" s="27"/>
      <c r="H577" s="27"/>
      <c r="I577" s="3"/>
      <c r="J577" s="3"/>
    </row>
    <row r="578" spans="1:10">
      <c r="A578" s="27"/>
      <c r="B578" s="27"/>
      <c r="C578" s="28"/>
      <c r="D578" s="28"/>
      <c r="E578" s="174"/>
      <c r="F578" s="27"/>
      <c r="G578" s="27"/>
      <c r="H578" s="27"/>
      <c r="I578" s="3"/>
      <c r="J578" s="3"/>
    </row>
    <row r="579" spans="1:10">
      <c r="A579" s="27"/>
      <c r="B579" s="27"/>
      <c r="C579" s="28"/>
      <c r="D579" s="28"/>
      <c r="E579" s="174"/>
      <c r="F579" s="27"/>
      <c r="G579" s="27"/>
      <c r="H579" s="27"/>
      <c r="I579" s="3"/>
      <c r="J579" s="3"/>
    </row>
    <row r="580" spans="1:10">
      <c r="A580" s="27"/>
      <c r="B580" s="27"/>
      <c r="C580" s="28"/>
      <c r="D580" s="28"/>
      <c r="E580" s="174"/>
      <c r="F580" s="27"/>
      <c r="G580" s="27"/>
      <c r="H580" s="27"/>
      <c r="I580" s="3"/>
      <c r="J580" s="3"/>
    </row>
    <row r="581" spans="1:10">
      <c r="A581" s="27"/>
      <c r="B581" s="27"/>
      <c r="C581" s="28"/>
      <c r="D581" s="28"/>
      <c r="E581" s="174"/>
      <c r="F581" s="27"/>
      <c r="G581" s="27"/>
      <c r="H581" s="27"/>
      <c r="I581" s="3"/>
      <c r="J581" s="3"/>
    </row>
    <row r="582" spans="1:10">
      <c r="A582" s="27"/>
      <c r="B582" s="27"/>
      <c r="C582" s="28"/>
      <c r="D582" s="28"/>
      <c r="E582" s="174"/>
      <c r="F582" s="27"/>
      <c r="G582" s="27"/>
      <c r="H582" s="27"/>
      <c r="I582" s="3"/>
      <c r="J582" s="3"/>
    </row>
    <row r="583" spans="1:10">
      <c r="A583" s="27"/>
      <c r="B583" s="27"/>
      <c r="C583" s="28"/>
      <c r="D583" s="28"/>
      <c r="E583" s="174"/>
      <c r="F583" s="27"/>
      <c r="G583" s="27"/>
      <c r="H583" s="27"/>
      <c r="I583" s="3"/>
      <c r="J583" s="3"/>
    </row>
    <row r="584" spans="1:10">
      <c r="A584" s="27"/>
      <c r="B584" s="27"/>
      <c r="C584" s="28"/>
      <c r="D584" s="28"/>
      <c r="E584" s="174"/>
      <c r="F584" s="27"/>
      <c r="G584" s="27"/>
      <c r="H584" s="27"/>
      <c r="I584" s="3"/>
      <c r="J584" s="3"/>
    </row>
    <row r="585" spans="1:10">
      <c r="A585" s="27"/>
      <c r="B585" s="27"/>
      <c r="C585" s="28"/>
      <c r="D585" s="28"/>
      <c r="E585" s="174"/>
      <c r="F585" s="27"/>
      <c r="G585" s="27"/>
      <c r="H585" s="27"/>
      <c r="I585" s="3"/>
      <c r="J585" s="3"/>
    </row>
    <row r="586" spans="1:10">
      <c r="A586" s="27"/>
      <c r="B586" s="27"/>
      <c r="C586" s="28"/>
      <c r="D586" s="28"/>
      <c r="E586" s="174"/>
      <c r="F586" s="27"/>
      <c r="G586" s="27"/>
      <c r="H586" s="27"/>
      <c r="I586" s="3"/>
      <c r="J586" s="3"/>
    </row>
    <row r="587" spans="1:10">
      <c r="A587" s="27"/>
      <c r="B587" s="27"/>
      <c r="C587" s="28"/>
      <c r="D587" s="28"/>
      <c r="E587" s="174"/>
      <c r="F587" s="27"/>
      <c r="G587" s="27"/>
      <c r="H587" s="27"/>
      <c r="I587" s="3"/>
      <c r="J587" s="3"/>
    </row>
    <row r="588" spans="1:10">
      <c r="A588" s="27"/>
      <c r="B588" s="27"/>
      <c r="C588" s="28"/>
      <c r="D588" s="28"/>
      <c r="E588" s="174"/>
      <c r="F588" s="27"/>
      <c r="G588" s="27"/>
      <c r="H588" s="27"/>
      <c r="I588" s="3"/>
      <c r="J588" s="3"/>
    </row>
    <row r="589" spans="1:10">
      <c r="A589" s="27"/>
      <c r="B589" s="27"/>
      <c r="C589" s="28"/>
      <c r="D589" s="28"/>
      <c r="E589" s="174"/>
      <c r="F589" s="27"/>
      <c r="G589" s="27"/>
      <c r="H589" s="27"/>
      <c r="I589" s="3"/>
      <c r="J589" s="3"/>
    </row>
    <row r="590" spans="1:10">
      <c r="A590" s="27"/>
      <c r="B590" s="27"/>
      <c r="C590" s="28"/>
      <c r="D590" s="28"/>
      <c r="E590" s="174"/>
      <c r="F590" s="27"/>
      <c r="G590" s="27"/>
      <c r="H590" s="27"/>
      <c r="I590" s="3"/>
      <c r="J590" s="3"/>
    </row>
    <row r="591" spans="1:10">
      <c r="A591" s="27"/>
      <c r="B591" s="27"/>
      <c r="C591" s="28"/>
      <c r="D591" s="28"/>
      <c r="E591" s="174"/>
      <c r="F591" s="27"/>
      <c r="G591" s="27"/>
      <c r="H591" s="27"/>
      <c r="I591" s="3"/>
      <c r="J591" s="3"/>
    </row>
    <row r="592" spans="1:10">
      <c r="A592" s="27"/>
      <c r="B592" s="27"/>
      <c r="C592" s="28"/>
      <c r="D592" s="28"/>
      <c r="E592" s="174"/>
      <c r="F592" s="27"/>
      <c r="G592" s="27"/>
      <c r="H592" s="27"/>
      <c r="I592" s="3"/>
      <c r="J592" s="3"/>
    </row>
    <row r="593" spans="1:10">
      <c r="A593" s="27"/>
      <c r="B593" s="27"/>
      <c r="C593" s="28"/>
      <c r="D593" s="28"/>
      <c r="E593" s="174"/>
      <c r="F593" s="27"/>
      <c r="G593" s="27"/>
      <c r="H593" s="27"/>
      <c r="I593" s="3"/>
      <c r="J593" s="3"/>
    </row>
    <row r="594" spans="1:10">
      <c r="A594" s="27"/>
      <c r="B594" s="27"/>
      <c r="C594" s="28"/>
      <c r="D594" s="28"/>
      <c r="E594" s="174"/>
      <c r="F594" s="27"/>
      <c r="G594" s="27"/>
      <c r="H594" s="27"/>
      <c r="I594" s="3"/>
      <c r="J594" s="3"/>
    </row>
    <row r="595" spans="1:10">
      <c r="A595" s="27"/>
      <c r="B595" s="27"/>
      <c r="C595" s="28"/>
      <c r="D595" s="28"/>
      <c r="E595" s="174"/>
      <c r="F595" s="27"/>
      <c r="G595" s="27"/>
      <c r="H595" s="27"/>
      <c r="I595" s="3"/>
      <c r="J595" s="3"/>
    </row>
    <row r="596" spans="1:10">
      <c r="A596" s="27"/>
      <c r="B596" s="27"/>
      <c r="C596" s="28"/>
      <c r="D596" s="28"/>
      <c r="E596" s="174"/>
      <c r="F596" s="27"/>
      <c r="G596" s="27"/>
      <c r="H596" s="27"/>
      <c r="I596" s="3"/>
      <c r="J596" s="3"/>
    </row>
    <row r="597" spans="1:10">
      <c r="A597" s="27"/>
      <c r="B597" s="27"/>
      <c r="C597" s="28"/>
      <c r="D597" s="28"/>
      <c r="E597" s="174"/>
      <c r="F597" s="27"/>
      <c r="G597" s="27"/>
      <c r="H597" s="27"/>
      <c r="I597" s="3"/>
      <c r="J597" s="3"/>
    </row>
    <row r="598" spans="1:10">
      <c r="A598" s="27"/>
      <c r="B598" s="27"/>
      <c r="C598" s="28"/>
      <c r="D598" s="28"/>
      <c r="E598" s="174"/>
      <c r="F598" s="27"/>
      <c r="G598" s="27"/>
      <c r="H598" s="27"/>
      <c r="I598" s="3"/>
      <c r="J598" s="3"/>
    </row>
    <row r="599" spans="1:10">
      <c r="A599" s="27"/>
      <c r="B599" s="27"/>
      <c r="C599" s="28"/>
      <c r="D599" s="28"/>
      <c r="E599" s="174"/>
      <c r="F599" s="27"/>
      <c r="G599" s="27"/>
      <c r="H599" s="27"/>
      <c r="I599" s="3"/>
      <c r="J599" s="3"/>
    </row>
    <row r="600" spans="1:10">
      <c r="A600" s="27"/>
      <c r="B600" s="27"/>
      <c r="C600" s="28"/>
      <c r="D600" s="28"/>
      <c r="E600" s="174"/>
      <c r="F600" s="27"/>
      <c r="G600" s="27"/>
      <c r="H600" s="27"/>
      <c r="I600" s="3"/>
      <c r="J600" s="3"/>
    </row>
    <row r="601" spans="1:10">
      <c r="A601" s="27"/>
      <c r="B601" s="27"/>
      <c r="C601" s="28"/>
      <c r="D601" s="28"/>
      <c r="E601" s="174"/>
      <c r="F601" s="27"/>
      <c r="G601" s="27"/>
      <c r="H601" s="27"/>
      <c r="I601" s="3"/>
      <c r="J601" s="3"/>
    </row>
    <row r="602" spans="1:10">
      <c r="A602" s="27"/>
      <c r="B602" s="27"/>
      <c r="C602" s="28"/>
      <c r="D602" s="28"/>
      <c r="E602" s="174"/>
      <c r="F602" s="27"/>
      <c r="G602" s="27"/>
      <c r="H602" s="27"/>
      <c r="I602" s="3"/>
      <c r="J602" s="3"/>
    </row>
    <row r="603" spans="1:10">
      <c r="A603" s="27"/>
      <c r="B603" s="27"/>
      <c r="C603" s="28"/>
      <c r="D603" s="28"/>
      <c r="E603" s="174"/>
      <c r="F603" s="27"/>
      <c r="G603" s="27"/>
      <c r="H603" s="27"/>
      <c r="I603" s="3"/>
      <c r="J603" s="3"/>
    </row>
    <row r="604" spans="1:10">
      <c r="A604" s="27"/>
      <c r="B604" s="27"/>
      <c r="C604" s="28"/>
      <c r="D604" s="28"/>
      <c r="E604" s="174"/>
      <c r="F604" s="27"/>
      <c r="G604" s="27"/>
      <c r="H604" s="27"/>
      <c r="I604" s="3"/>
      <c r="J604" s="3"/>
    </row>
    <row r="605" spans="1:10">
      <c r="A605" s="27"/>
      <c r="B605" s="27"/>
      <c r="C605" s="28"/>
      <c r="D605" s="28"/>
      <c r="E605" s="174"/>
      <c r="F605" s="27"/>
      <c r="G605" s="27"/>
      <c r="H605" s="27"/>
      <c r="I605" s="3"/>
      <c r="J605" s="3"/>
    </row>
    <row r="606" spans="1:10">
      <c r="A606" s="27"/>
      <c r="B606" s="27"/>
      <c r="C606" s="28"/>
      <c r="D606" s="28"/>
      <c r="E606" s="174"/>
      <c r="F606" s="27"/>
      <c r="G606" s="27"/>
      <c r="H606" s="27"/>
      <c r="I606" s="3"/>
      <c r="J606" s="3"/>
    </row>
    <row r="607" spans="1:10">
      <c r="A607" s="27"/>
      <c r="B607" s="27"/>
      <c r="C607" s="28"/>
      <c r="D607" s="28"/>
      <c r="E607" s="174"/>
      <c r="F607" s="27"/>
      <c r="G607" s="27"/>
      <c r="H607" s="27"/>
      <c r="I607" s="3"/>
      <c r="J607" s="3"/>
    </row>
    <row r="608" spans="1:10">
      <c r="A608" s="27"/>
      <c r="B608" s="27"/>
      <c r="C608" s="28"/>
      <c r="D608" s="28"/>
      <c r="E608" s="174"/>
      <c r="F608" s="27"/>
      <c r="G608" s="27"/>
      <c r="H608" s="27"/>
      <c r="I608" s="3"/>
      <c r="J608" s="3"/>
    </row>
    <row r="609" spans="1:10">
      <c r="A609" s="27"/>
      <c r="B609" s="27"/>
      <c r="C609" s="28"/>
      <c r="D609" s="28"/>
      <c r="E609" s="174"/>
      <c r="F609" s="27"/>
      <c r="G609" s="27"/>
      <c r="H609" s="27"/>
      <c r="I609" s="3"/>
      <c r="J609" s="3"/>
    </row>
    <row r="610" spans="1:10">
      <c r="A610" s="27"/>
      <c r="B610" s="27"/>
      <c r="C610" s="28"/>
      <c r="D610" s="28"/>
      <c r="E610" s="174"/>
      <c r="F610" s="27"/>
      <c r="G610" s="27"/>
      <c r="H610" s="27"/>
      <c r="I610" s="3"/>
      <c r="J610" s="3"/>
    </row>
    <row r="611" spans="1:10">
      <c r="A611" s="27"/>
      <c r="B611" s="27"/>
      <c r="C611" s="28"/>
      <c r="D611" s="28"/>
      <c r="E611" s="174"/>
      <c r="F611" s="27"/>
      <c r="G611" s="27"/>
      <c r="H611" s="27"/>
      <c r="I611" s="3"/>
      <c r="J611" s="3"/>
    </row>
    <row r="612" spans="1:10">
      <c r="A612" s="27"/>
      <c r="B612" s="27"/>
      <c r="C612" s="28"/>
      <c r="D612" s="28"/>
      <c r="E612" s="174"/>
      <c r="F612" s="27"/>
      <c r="G612" s="27"/>
      <c r="H612" s="27"/>
      <c r="I612" s="3"/>
      <c r="J612" s="3"/>
    </row>
    <row r="613" spans="1:10">
      <c r="A613" s="27"/>
      <c r="B613" s="27"/>
      <c r="C613" s="28"/>
      <c r="D613" s="28"/>
      <c r="E613" s="174"/>
      <c r="F613" s="27"/>
      <c r="G613" s="27"/>
      <c r="H613" s="27"/>
      <c r="I613" s="3"/>
      <c r="J613" s="3"/>
    </row>
    <row r="614" spans="1:10">
      <c r="A614" s="27"/>
      <c r="B614" s="27"/>
      <c r="C614" s="28"/>
      <c r="D614" s="28"/>
      <c r="E614" s="174"/>
      <c r="F614" s="27"/>
      <c r="G614" s="27"/>
      <c r="H614" s="27"/>
      <c r="I614" s="3"/>
      <c r="J614" s="3"/>
    </row>
    <row r="615" spans="1:10">
      <c r="A615" s="27"/>
      <c r="B615" s="27"/>
      <c r="C615" s="28"/>
      <c r="D615" s="28"/>
      <c r="E615" s="174"/>
      <c r="F615" s="27"/>
      <c r="G615" s="27"/>
      <c r="H615" s="27"/>
      <c r="I615" s="3"/>
      <c r="J615" s="3"/>
    </row>
    <row r="616" spans="1:10">
      <c r="A616" s="27"/>
      <c r="B616" s="27"/>
      <c r="C616" s="28"/>
      <c r="D616" s="28"/>
      <c r="E616" s="174"/>
      <c r="F616" s="27"/>
      <c r="G616" s="27"/>
      <c r="H616" s="27"/>
      <c r="I616" s="3"/>
      <c r="J616" s="3"/>
    </row>
    <row r="617" spans="1:10">
      <c r="A617" s="27"/>
      <c r="B617" s="27"/>
      <c r="C617" s="28"/>
      <c r="D617" s="28"/>
      <c r="E617" s="174"/>
      <c r="F617" s="27"/>
      <c r="G617" s="27"/>
      <c r="H617" s="27"/>
      <c r="I617" s="3"/>
      <c r="J617" s="3"/>
    </row>
    <row r="618" spans="1:10">
      <c r="A618" s="27"/>
      <c r="B618" s="27"/>
      <c r="C618" s="28"/>
      <c r="D618" s="28"/>
      <c r="E618" s="174"/>
      <c r="F618" s="27"/>
      <c r="G618" s="27"/>
      <c r="H618" s="27"/>
      <c r="I618" s="3"/>
      <c r="J618" s="3"/>
    </row>
    <row r="619" spans="1:10">
      <c r="A619" s="27"/>
      <c r="B619" s="27"/>
      <c r="C619" s="28"/>
      <c r="D619" s="28"/>
      <c r="E619" s="174"/>
      <c r="F619" s="27"/>
      <c r="G619" s="27"/>
      <c r="H619" s="27"/>
      <c r="I619" s="3"/>
      <c r="J619" s="3"/>
    </row>
    <row r="620" spans="1:10">
      <c r="A620" s="27"/>
      <c r="B620" s="27"/>
      <c r="C620" s="28"/>
      <c r="D620" s="28"/>
      <c r="E620" s="174"/>
      <c r="F620" s="27"/>
      <c r="G620" s="27"/>
      <c r="H620" s="27"/>
      <c r="I620" s="3"/>
      <c r="J620" s="3"/>
    </row>
    <row r="621" spans="1:10">
      <c r="A621" s="27"/>
      <c r="B621" s="27"/>
      <c r="C621" s="28"/>
      <c r="D621" s="28"/>
      <c r="E621" s="174"/>
      <c r="F621" s="27"/>
      <c r="G621" s="27"/>
      <c r="H621" s="27"/>
      <c r="I621" s="3"/>
      <c r="J621" s="3"/>
    </row>
    <row r="622" spans="1:10">
      <c r="A622" s="27"/>
      <c r="B622" s="27"/>
      <c r="C622" s="28"/>
      <c r="D622" s="28"/>
      <c r="E622" s="174"/>
      <c r="F622" s="27"/>
      <c r="G622" s="27"/>
      <c r="H622" s="27"/>
      <c r="I622" s="3"/>
      <c r="J622" s="3"/>
    </row>
    <row r="623" spans="1:10">
      <c r="A623" s="27"/>
      <c r="B623" s="27"/>
      <c r="C623" s="28"/>
      <c r="D623" s="28"/>
      <c r="E623" s="174"/>
      <c r="F623" s="27"/>
      <c r="G623" s="27"/>
      <c r="H623" s="27"/>
      <c r="I623" s="3"/>
      <c r="J623" s="3"/>
    </row>
    <row r="624" spans="1:10">
      <c r="A624" s="27"/>
      <c r="B624" s="27"/>
      <c r="C624" s="28"/>
      <c r="D624" s="28"/>
      <c r="E624" s="174"/>
      <c r="F624" s="27"/>
      <c r="G624" s="27"/>
      <c r="H624" s="27"/>
      <c r="I624" s="3"/>
      <c r="J624" s="3"/>
    </row>
    <row r="625" spans="1:10">
      <c r="A625" s="27"/>
      <c r="B625" s="27"/>
      <c r="C625" s="28"/>
      <c r="D625" s="28"/>
      <c r="E625" s="174"/>
      <c r="F625" s="27"/>
      <c r="G625" s="27"/>
      <c r="H625" s="27"/>
      <c r="I625" s="3"/>
      <c r="J625" s="3"/>
    </row>
    <row r="626" spans="1:10">
      <c r="A626" s="27"/>
      <c r="B626" s="27"/>
      <c r="C626" s="28"/>
      <c r="D626" s="28"/>
      <c r="E626" s="174"/>
      <c r="F626" s="27"/>
      <c r="G626" s="27"/>
      <c r="H626" s="27"/>
      <c r="I626" s="3"/>
      <c r="J626" s="3"/>
    </row>
    <row r="627" spans="1:10">
      <c r="A627" s="27"/>
      <c r="B627" s="27"/>
      <c r="C627" s="28"/>
      <c r="D627" s="28"/>
      <c r="E627" s="174"/>
      <c r="F627" s="27"/>
      <c r="G627" s="27"/>
      <c r="H627" s="27"/>
      <c r="I627" s="3"/>
      <c r="J627" s="3"/>
    </row>
    <row r="628" spans="1:10">
      <c r="A628" s="27"/>
      <c r="B628" s="27"/>
      <c r="C628" s="28"/>
      <c r="D628" s="28"/>
      <c r="E628" s="174"/>
      <c r="F628" s="27"/>
      <c r="G628" s="27"/>
      <c r="H628" s="27"/>
      <c r="I628" s="3"/>
      <c r="J628" s="3"/>
    </row>
    <row r="629" spans="1:10">
      <c r="A629" s="27"/>
      <c r="B629" s="27"/>
      <c r="C629" s="28"/>
      <c r="D629" s="28"/>
      <c r="E629" s="174"/>
      <c r="F629" s="27"/>
      <c r="G629" s="27"/>
      <c r="H629" s="27"/>
      <c r="I629" s="3"/>
      <c r="J629" s="3"/>
    </row>
    <row r="630" spans="1:10">
      <c r="A630" s="27"/>
      <c r="B630" s="27"/>
      <c r="C630" s="28"/>
      <c r="D630" s="28"/>
      <c r="E630" s="174"/>
      <c r="F630" s="27"/>
      <c r="G630" s="27"/>
      <c r="H630" s="27"/>
      <c r="I630" s="3"/>
      <c r="J630" s="3"/>
    </row>
    <row r="631" spans="1:10">
      <c r="A631" s="27"/>
      <c r="B631" s="27"/>
      <c r="C631" s="28"/>
      <c r="D631" s="28"/>
      <c r="E631" s="174"/>
      <c r="F631" s="27"/>
      <c r="G631" s="27"/>
      <c r="H631" s="27"/>
      <c r="I631" s="3"/>
      <c r="J631" s="3"/>
    </row>
    <row r="632" spans="1:10">
      <c r="A632" s="27"/>
      <c r="B632" s="27"/>
      <c r="C632" s="28"/>
      <c r="D632" s="28"/>
      <c r="E632" s="174"/>
      <c r="F632" s="27"/>
      <c r="G632" s="27"/>
      <c r="H632" s="27"/>
      <c r="I632" s="3"/>
      <c r="J632" s="3"/>
    </row>
    <row r="633" spans="1:10">
      <c r="A633" s="27"/>
      <c r="B633" s="27"/>
      <c r="C633" s="28"/>
      <c r="D633" s="28"/>
      <c r="E633" s="174"/>
      <c r="F633" s="27"/>
      <c r="G633" s="27"/>
      <c r="H633" s="27"/>
      <c r="I633" s="3"/>
      <c r="J633" s="3"/>
    </row>
    <row r="634" spans="1:10">
      <c r="A634" s="27"/>
      <c r="B634" s="27"/>
      <c r="C634" s="28"/>
      <c r="D634" s="28"/>
      <c r="E634" s="174"/>
      <c r="F634" s="27"/>
      <c r="G634" s="27"/>
      <c r="H634" s="27"/>
      <c r="I634" s="3"/>
      <c r="J634" s="3"/>
    </row>
    <row r="635" spans="1:10">
      <c r="A635" s="27"/>
      <c r="B635" s="27"/>
      <c r="C635" s="28"/>
      <c r="D635" s="28"/>
      <c r="E635" s="174"/>
      <c r="F635" s="27"/>
      <c r="G635" s="27"/>
      <c r="H635" s="27"/>
      <c r="I635" s="3"/>
      <c r="J635" s="3"/>
    </row>
    <row r="636" spans="1:10">
      <c r="A636" s="27"/>
      <c r="B636" s="27"/>
      <c r="C636" s="28"/>
      <c r="D636" s="28"/>
      <c r="E636" s="174"/>
      <c r="F636" s="27"/>
      <c r="G636" s="27"/>
      <c r="H636" s="27"/>
      <c r="I636" s="3"/>
      <c r="J636" s="3"/>
    </row>
    <row r="637" spans="1:10">
      <c r="A637" s="27"/>
      <c r="B637" s="27"/>
      <c r="C637" s="28"/>
      <c r="D637" s="28"/>
      <c r="E637" s="174"/>
      <c r="F637" s="27"/>
      <c r="G637" s="27"/>
      <c r="H637" s="27"/>
      <c r="I637" s="3"/>
      <c r="J637" s="3"/>
    </row>
    <row r="638" spans="1:10">
      <c r="A638" s="27"/>
      <c r="B638" s="27"/>
      <c r="C638" s="28"/>
      <c r="D638" s="28"/>
      <c r="E638" s="174"/>
      <c r="F638" s="27"/>
      <c r="G638" s="27"/>
      <c r="H638" s="27"/>
      <c r="I638" s="3"/>
      <c r="J638" s="3"/>
    </row>
    <row r="639" spans="1:10">
      <c r="A639" s="27"/>
      <c r="B639" s="27"/>
      <c r="C639" s="28"/>
      <c r="D639" s="28"/>
      <c r="E639" s="174"/>
      <c r="F639" s="27"/>
      <c r="G639" s="27"/>
      <c r="H639" s="27"/>
      <c r="I639" s="3"/>
      <c r="J639" s="3"/>
    </row>
    <row r="640" spans="1:10">
      <c r="A640" s="27"/>
      <c r="B640" s="27"/>
      <c r="C640" s="28"/>
      <c r="D640" s="28"/>
      <c r="E640" s="174"/>
      <c r="F640" s="27"/>
      <c r="G640" s="27"/>
      <c r="H640" s="27"/>
      <c r="I640" s="3"/>
      <c r="J640" s="3"/>
    </row>
    <row r="641" spans="1:10">
      <c r="A641" s="27"/>
      <c r="B641" s="27"/>
      <c r="C641" s="28"/>
      <c r="D641" s="28"/>
      <c r="E641" s="174"/>
      <c r="F641" s="27"/>
      <c r="G641" s="27"/>
      <c r="H641" s="27"/>
      <c r="I641" s="3"/>
      <c r="J641" s="3"/>
    </row>
    <row r="642" spans="1:10">
      <c r="A642" s="27"/>
      <c r="B642" s="27"/>
      <c r="C642" s="28"/>
      <c r="D642" s="28"/>
      <c r="E642" s="174"/>
      <c r="F642" s="27"/>
      <c r="G642" s="27"/>
      <c r="H642" s="27"/>
      <c r="I642" s="3"/>
      <c r="J642" s="3"/>
    </row>
    <row r="643" spans="1:10">
      <c r="A643" s="27"/>
      <c r="B643" s="27"/>
      <c r="C643" s="28"/>
      <c r="D643" s="28"/>
      <c r="E643" s="174"/>
      <c r="F643" s="27"/>
      <c r="G643" s="27"/>
      <c r="H643" s="27"/>
      <c r="I643" s="3"/>
      <c r="J643" s="3"/>
    </row>
    <row r="644" spans="1:10">
      <c r="A644" s="27"/>
      <c r="B644" s="27"/>
      <c r="C644" s="28"/>
      <c r="D644" s="28"/>
      <c r="E644" s="174"/>
      <c r="F644" s="27"/>
      <c r="G644" s="27"/>
      <c r="H644" s="27"/>
      <c r="I644" s="3"/>
      <c r="J644" s="3"/>
    </row>
    <row r="645" spans="1:10">
      <c r="A645" s="27"/>
      <c r="B645" s="27"/>
      <c r="C645" s="28"/>
      <c r="D645" s="28"/>
      <c r="E645" s="174"/>
      <c r="F645" s="27"/>
      <c r="G645" s="27"/>
      <c r="H645" s="27"/>
      <c r="I645" s="3"/>
      <c r="J645" s="3"/>
    </row>
    <row r="646" spans="1:10">
      <c r="A646" s="27"/>
      <c r="B646" s="27"/>
      <c r="C646" s="28"/>
      <c r="D646" s="28"/>
      <c r="E646" s="174"/>
      <c r="F646" s="27"/>
      <c r="G646" s="27"/>
      <c r="H646" s="27"/>
      <c r="I646" s="3"/>
      <c r="J646" s="3"/>
    </row>
    <row r="647" spans="1:10">
      <c r="A647" s="27"/>
      <c r="B647" s="27"/>
      <c r="C647" s="28"/>
      <c r="D647" s="28"/>
      <c r="E647" s="174"/>
      <c r="F647" s="27"/>
      <c r="G647" s="27"/>
      <c r="H647" s="27"/>
      <c r="I647" s="3"/>
      <c r="J647" s="3"/>
    </row>
    <row r="648" spans="1:10">
      <c r="A648" s="27"/>
      <c r="B648" s="27"/>
      <c r="C648" s="28"/>
      <c r="D648" s="28"/>
      <c r="E648" s="174"/>
      <c r="F648" s="27"/>
      <c r="G648" s="27"/>
      <c r="H648" s="27"/>
      <c r="I648" s="3"/>
      <c r="J648" s="3"/>
    </row>
    <row r="649" spans="1:10">
      <c r="A649" s="27"/>
      <c r="B649" s="27"/>
      <c r="C649" s="28"/>
      <c r="D649" s="28"/>
      <c r="E649" s="174"/>
      <c r="F649" s="27"/>
      <c r="G649" s="27"/>
      <c r="H649" s="27"/>
      <c r="I649" s="3"/>
      <c r="J649" s="3"/>
    </row>
    <row r="650" spans="1:10">
      <c r="A650" s="27"/>
      <c r="B650" s="27"/>
      <c r="C650" s="28"/>
      <c r="D650" s="28"/>
      <c r="E650" s="174"/>
      <c r="F650" s="27"/>
      <c r="G650" s="27"/>
      <c r="H650" s="27"/>
      <c r="I650" s="3"/>
      <c r="J650" s="3"/>
    </row>
    <row r="651" spans="1:10">
      <c r="A651" s="27"/>
      <c r="B651" s="27"/>
      <c r="C651" s="28"/>
      <c r="D651" s="28"/>
      <c r="E651" s="174"/>
      <c r="F651" s="27"/>
      <c r="G651" s="27"/>
      <c r="H651" s="27"/>
      <c r="I651" s="3"/>
      <c r="J651" s="3"/>
    </row>
    <row r="652" spans="1:10">
      <c r="A652" s="27"/>
      <c r="B652" s="27"/>
      <c r="C652" s="28"/>
      <c r="D652" s="28"/>
      <c r="E652" s="174"/>
      <c r="F652" s="27"/>
      <c r="G652" s="27"/>
      <c r="H652" s="27"/>
      <c r="I652" s="3"/>
      <c r="J652" s="3"/>
    </row>
    <row r="653" spans="1:10">
      <c r="A653" s="27"/>
      <c r="B653" s="27"/>
      <c r="C653" s="28"/>
      <c r="D653" s="28"/>
      <c r="E653" s="174"/>
      <c r="F653" s="27"/>
      <c r="G653" s="27"/>
      <c r="H653" s="27"/>
      <c r="I653" s="3"/>
      <c r="J653" s="3"/>
    </row>
    <row r="654" spans="1:10">
      <c r="A654" s="27"/>
      <c r="B654" s="27"/>
      <c r="C654" s="28"/>
      <c r="D654" s="28"/>
      <c r="E654" s="174"/>
      <c r="F654" s="27"/>
      <c r="G654" s="27"/>
      <c r="H654" s="27"/>
      <c r="I654" s="3"/>
      <c r="J654" s="3"/>
    </row>
    <row r="655" spans="1:10">
      <c r="A655" s="27"/>
      <c r="B655" s="27"/>
      <c r="C655" s="28"/>
      <c r="D655" s="28"/>
      <c r="E655" s="174"/>
      <c r="F655" s="27"/>
      <c r="G655" s="27"/>
      <c r="H655" s="27"/>
      <c r="I655" s="3"/>
      <c r="J655" s="3"/>
    </row>
    <row r="656" spans="1:10">
      <c r="A656" s="27"/>
      <c r="B656" s="27"/>
      <c r="C656" s="28"/>
      <c r="D656" s="28"/>
      <c r="E656" s="174"/>
      <c r="F656" s="27"/>
      <c r="G656" s="27"/>
      <c r="H656" s="27"/>
      <c r="I656" s="3"/>
      <c r="J656" s="3"/>
    </row>
    <row r="657" spans="1:10">
      <c r="A657" s="27"/>
      <c r="B657" s="27"/>
      <c r="C657" s="28"/>
      <c r="D657" s="28"/>
      <c r="E657" s="174"/>
      <c r="F657" s="27"/>
      <c r="G657" s="27"/>
      <c r="H657" s="27"/>
      <c r="I657" s="3"/>
      <c r="J657" s="3"/>
    </row>
    <row r="658" spans="1:10">
      <c r="A658" s="27"/>
      <c r="B658" s="27"/>
      <c r="C658" s="28"/>
      <c r="D658" s="28"/>
      <c r="E658" s="174"/>
      <c r="F658" s="27"/>
      <c r="G658" s="27"/>
      <c r="H658" s="27"/>
      <c r="I658" s="3"/>
      <c r="J658" s="3"/>
    </row>
    <row r="659" spans="1:10">
      <c r="A659" s="27"/>
      <c r="B659" s="27"/>
      <c r="C659" s="28"/>
      <c r="D659" s="28"/>
      <c r="E659" s="174"/>
      <c r="F659" s="27"/>
      <c r="G659" s="27"/>
      <c r="H659" s="27"/>
      <c r="I659" s="3"/>
      <c r="J659" s="3"/>
    </row>
    <row r="660" spans="1:10">
      <c r="A660" s="27"/>
      <c r="B660" s="27"/>
      <c r="C660" s="28"/>
      <c r="D660" s="28"/>
      <c r="E660" s="174"/>
      <c r="F660" s="27"/>
      <c r="G660" s="27"/>
      <c r="H660" s="27"/>
      <c r="I660" s="3"/>
      <c r="J660" s="3"/>
    </row>
    <row r="661" spans="1:10">
      <c r="A661" s="27"/>
      <c r="B661" s="27"/>
      <c r="C661" s="28"/>
      <c r="D661" s="28"/>
      <c r="E661" s="174"/>
      <c r="F661" s="27"/>
      <c r="G661" s="27"/>
      <c r="H661" s="27"/>
      <c r="I661" s="3"/>
      <c r="J661" s="3"/>
    </row>
    <row r="662" spans="1:10">
      <c r="A662" s="27"/>
      <c r="B662" s="27"/>
      <c r="C662" s="28"/>
      <c r="D662" s="28"/>
      <c r="E662" s="174"/>
      <c r="F662" s="27"/>
      <c r="G662" s="27"/>
      <c r="H662" s="27"/>
      <c r="I662" s="3"/>
      <c r="J662" s="3"/>
    </row>
    <row r="663" spans="1:10">
      <c r="A663" s="27"/>
      <c r="B663" s="27"/>
      <c r="C663" s="28"/>
      <c r="D663" s="28"/>
      <c r="E663" s="174"/>
      <c r="F663" s="27"/>
      <c r="G663" s="27"/>
      <c r="H663" s="27"/>
      <c r="I663" s="3"/>
      <c r="J663" s="3"/>
    </row>
    <row r="664" spans="1:10">
      <c r="A664" s="27"/>
      <c r="B664" s="27"/>
      <c r="C664" s="28"/>
      <c r="D664" s="28"/>
      <c r="E664" s="174"/>
      <c r="F664" s="27"/>
      <c r="G664" s="27"/>
      <c r="H664" s="27"/>
      <c r="I664" s="3"/>
      <c r="J664" s="3"/>
    </row>
    <row r="665" spans="1:10">
      <c r="A665" s="27"/>
      <c r="B665" s="27"/>
      <c r="C665" s="28"/>
      <c r="D665" s="28"/>
      <c r="E665" s="174"/>
      <c r="F665" s="27"/>
      <c r="G665" s="27"/>
      <c r="H665" s="27"/>
      <c r="I665" s="3"/>
      <c r="J665" s="3"/>
    </row>
    <row r="666" spans="1:10">
      <c r="A666" s="27"/>
      <c r="B666" s="27"/>
      <c r="C666" s="28"/>
      <c r="D666" s="28"/>
      <c r="E666" s="174"/>
      <c r="F666" s="27"/>
      <c r="G666" s="27"/>
      <c r="H666" s="27"/>
      <c r="I666" s="3"/>
      <c r="J666" s="3"/>
    </row>
    <row r="667" spans="1:10">
      <c r="A667" s="27"/>
      <c r="B667" s="27"/>
      <c r="C667" s="28"/>
      <c r="D667" s="28"/>
      <c r="E667" s="174"/>
      <c r="F667" s="27"/>
      <c r="G667" s="27"/>
      <c r="H667" s="27"/>
      <c r="I667" s="3"/>
      <c r="J667" s="3"/>
    </row>
    <row r="668" spans="1:10">
      <c r="A668" s="27"/>
      <c r="B668" s="27"/>
      <c r="C668" s="28"/>
      <c r="D668" s="28"/>
      <c r="E668" s="174"/>
      <c r="F668" s="27"/>
      <c r="G668" s="27"/>
      <c r="H668" s="27"/>
      <c r="I668" s="3"/>
      <c r="J668" s="3"/>
    </row>
    <row r="669" spans="1:10">
      <c r="A669" s="27"/>
      <c r="B669" s="27"/>
      <c r="C669" s="28"/>
      <c r="D669" s="28"/>
      <c r="E669" s="174"/>
      <c r="F669" s="27"/>
      <c r="G669" s="27"/>
      <c r="H669" s="27"/>
      <c r="I669" s="3"/>
      <c r="J669" s="3"/>
    </row>
    <row r="670" spans="1:10">
      <c r="A670" s="27"/>
      <c r="B670" s="27"/>
      <c r="C670" s="28"/>
      <c r="D670" s="28"/>
      <c r="E670" s="174"/>
      <c r="F670" s="27"/>
      <c r="G670" s="27"/>
      <c r="H670" s="27"/>
      <c r="I670" s="3"/>
      <c r="J670" s="3"/>
    </row>
    <row r="671" spans="1:10">
      <c r="A671" s="27"/>
      <c r="B671" s="27"/>
      <c r="C671" s="28"/>
      <c r="D671" s="28"/>
      <c r="E671" s="174"/>
      <c r="F671" s="27"/>
      <c r="G671" s="27"/>
      <c r="H671" s="27"/>
      <c r="I671" s="3"/>
      <c r="J671" s="3"/>
    </row>
    <row r="672" spans="1:10">
      <c r="A672" s="27"/>
      <c r="B672" s="27"/>
      <c r="C672" s="28"/>
      <c r="D672" s="28"/>
      <c r="E672" s="174"/>
      <c r="F672" s="27"/>
      <c r="G672" s="27"/>
      <c r="H672" s="27"/>
      <c r="I672" s="3"/>
      <c r="J672" s="3"/>
    </row>
    <row r="673" spans="1:10">
      <c r="A673" s="27"/>
      <c r="B673" s="27"/>
      <c r="C673" s="28"/>
      <c r="D673" s="28"/>
      <c r="E673" s="174"/>
      <c r="F673" s="27"/>
      <c r="G673" s="27"/>
      <c r="H673" s="27"/>
      <c r="I673" s="3"/>
      <c r="J673" s="3"/>
    </row>
    <row r="674" spans="1:10">
      <c r="A674" s="27"/>
      <c r="B674" s="27"/>
      <c r="C674" s="28"/>
      <c r="D674" s="28"/>
      <c r="E674" s="174"/>
      <c r="F674" s="27"/>
      <c r="G674" s="27"/>
      <c r="H674" s="27"/>
      <c r="I674" s="3"/>
      <c r="J674" s="3"/>
    </row>
    <row r="675" spans="1:10">
      <c r="A675" s="27"/>
      <c r="B675" s="27"/>
      <c r="C675" s="28"/>
      <c r="D675" s="28"/>
      <c r="E675" s="174"/>
      <c r="F675" s="27"/>
      <c r="G675" s="27"/>
      <c r="H675" s="27"/>
      <c r="I675" s="3"/>
      <c r="J675" s="3"/>
    </row>
    <row r="676" spans="1:10">
      <c r="A676" s="27"/>
      <c r="B676" s="27"/>
      <c r="C676" s="28"/>
      <c r="D676" s="28"/>
      <c r="E676" s="174"/>
      <c r="F676" s="27"/>
      <c r="G676" s="27"/>
      <c r="H676" s="27"/>
      <c r="I676" s="3"/>
      <c r="J676" s="3"/>
    </row>
    <row r="677" spans="1:10">
      <c r="A677" s="27"/>
      <c r="B677" s="27"/>
      <c r="C677" s="28"/>
      <c r="D677" s="28"/>
      <c r="E677" s="174"/>
      <c r="F677" s="27"/>
      <c r="G677" s="27"/>
      <c r="H677" s="27"/>
      <c r="I677" s="3"/>
      <c r="J677" s="3"/>
    </row>
    <row r="678" spans="1:10">
      <c r="A678" s="27"/>
      <c r="B678" s="27"/>
      <c r="C678" s="28"/>
      <c r="D678" s="28"/>
      <c r="E678" s="174"/>
      <c r="F678" s="27"/>
      <c r="G678" s="27"/>
      <c r="H678" s="27"/>
      <c r="I678" s="3"/>
      <c r="J678" s="3"/>
    </row>
    <row r="679" spans="1:10">
      <c r="A679" s="27"/>
      <c r="B679" s="27"/>
      <c r="C679" s="28"/>
      <c r="D679" s="28"/>
      <c r="E679" s="174"/>
      <c r="F679" s="27"/>
      <c r="G679" s="27"/>
      <c r="H679" s="27"/>
      <c r="I679" s="3"/>
      <c r="J679" s="3"/>
    </row>
    <row r="680" spans="1:10">
      <c r="A680" s="27"/>
      <c r="B680" s="27"/>
      <c r="C680" s="28"/>
      <c r="D680" s="28"/>
      <c r="E680" s="174"/>
      <c r="F680" s="27"/>
      <c r="G680" s="27"/>
      <c r="H680" s="27"/>
      <c r="I680" s="3"/>
      <c r="J680" s="3"/>
    </row>
    <row r="681" spans="1:10">
      <c r="A681" s="27"/>
      <c r="B681" s="27"/>
      <c r="C681" s="28"/>
      <c r="D681" s="28"/>
      <c r="E681" s="174"/>
      <c r="F681" s="27"/>
      <c r="G681" s="27"/>
      <c r="H681" s="27"/>
      <c r="I681" s="3"/>
      <c r="J681" s="3"/>
    </row>
    <row r="682" spans="1:10">
      <c r="A682" s="27"/>
      <c r="B682" s="27"/>
      <c r="C682" s="28"/>
      <c r="D682" s="28"/>
      <c r="E682" s="174"/>
      <c r="F682" s="27"/>
      <c r="G682" s="27"/>
      <c r="H682" s="27"/>
      <c r="I682" s="3"/>
      <c r="J682" s="3"/>
    </row>
    <row r="683" spans="1:10">
      <c r="A683" s="27"/>
      <c r="B683" s="27"/>
      <c r="C683" s="28"/>
      <c r="D683" s="28"/>
      <c r="E683" s="174"/>
      <c r="F683" s="27"/>
      <c r="G683" s="27"/>
      <c r="H683" s="27"/>
      <c r="I683" s="3"/>
      <c r="J683" s="3"/>
    </row>
    <row r="684" spans="1:10">
      <c r="A684" s="27"/>
      <c r="B684" s="27"/>
      <c r="C684" s="28"/>
      <c r="D684" s="28"/>
      <c r="E684" s="174"/>
      <c r="F684" s="27"/>
      <c r="G684" s="27"/>
      <c r="H684" s="27"/>
      <c r="I684" s="3"/>
      <c r="J684" s="3"/>
    </row>
    <row r="685" spans="1:10">
      <c r="A685" s="27"/>
      <c r="B685" s="27"/>
      <c r="C685" s="28"/>
      <c r="D685" s="28"/>
      <c r="E685" s="174"/>
      <c r="F685" s="27"/>
      <c r="G685" s="27"/>
      <c r="H685" s="27"/>
      <c r="I685" s="3"/>
      <c r="J685" s="3"/>
    </row>
    <row r="686" spans="1:10">
      <c r="A686" s="27"/>
      <c r="B686" s="27"/>
      <c r="C686" s="28"/>
      <c r="D686" s="28"/>
      <c r="E686" s="174"/>
      <c r="F686" s="27"/>
      <c r="G686" s="27"/>
      <c r="H686" s="27"/>
      <c r="I686" s="3"/>
      <c r="J686" s="3"/>
    </row>
    <row r="687" spans="1:10">
      <c r="A687" s="27"/>
      <c r="B687" s="27"/>
      <c r="C687" s="28"/>
      <c r="D687" s="28"/>
      <c r="E687" s="174"/>
      <c r="F687" s="27"/>
      <c r="G687" s="27"/>
      <c r="H687" s="27"/>
      <c r="I687" s="3"/>
      <c r="J687" s="3"/>
    </row>
    <row r="688" spans="1:10">
      <c r="A688" s="27"/>
      <c r="B688" s="27"/>
      <c r="C688" s="28"/>
      <c r="D688" s="28"/>
      <c r="E688" s="174"/>
      <c r="F688" s="27"/>
      <c r="G688" s="27"/>
      <c r="H688" s="27"/>
      <c r="I688" s="3"/>
      <c r="J688" s="3"/>
    </row>
    <row r="689" spans="1:10">
      <c r="A689" s="27"/>
      <c r="B689" s="27"/>
      <c r="C689" s="28"/>
      <c r="D689" s="28"/>
      <c r="E689" s="174"/>
      <c r="F689" s="27"/>
      <c r="G689" s="27"/>
      <c r="H689" s="27"/>
      <c r="I689" s="3"/>
      <c r="J689" s="3"/>
    </row>
    <row r="690" spans="1:10">
      <c r="A690" s="27"/>
      <c r="B690" s="27"/>
      <c r="C690" s="28"/>
      <c r="D690" s="28"/>
      <c r="E690" s="174"/>
      <c r="F690" s="27"/>
      <c r="G690" s="27"/>
      <c r="H690" s="27"/>
      <c r="I690" s="3"/>
      <c r="J690" s="3"/>
    </row>
    <row r="691" spans="1:10">
      <c r="A691" s="27"/>
      <c r="B691" s="27"/>
      <c r="C691" s="28"/>
      <c r="D691" s="28"/>
      <c r="E691" s="174"/>
      <c r="F691" s="27"/>
      <c r="G691" s="27"/>
      <c r="H691" s="27"/>
      <c r="I691" s="3"/>
      <c r="J691" s="3"/>
    </row>
    <row r="692" spans="1:10">
      <c r="A692" s="27"/>
      <c r="B692" s="27"/>
      <c r="C692" s="28"/>
      <c r="D692" s="28"/>
      <c r="E692" s="174"/>
      <c r="F692" s="27"/>
      <c r="G692" s="27"/>
      <c r="H692" s="27"/>
      <c r="I692" s="3"/>
      <c r="J692" s="3"/>
    </row>
    <row r="693" spans="1:10">
      <c r="A693" s="27"/>
      <c r="B693" s="27"/>
      <c r="C693" s="28"/>
      <c r="D693" s="28"/>
      <c r="E693" s="174"/>
      <c r="F693" s="27"/>
      <c r="G693" s="27"/>
      <c r="H693" s="27"/>
      <c r="I693" s="3"/>
      <c r="J693" s="3"/>
    </row>
    <row r="694" spans="1:10">
      <c r="A694" s="27"/>
      <c r="B694" s="27"/>
      <c r="C694" s="28"/>
      <c r="D694" s="28"/>
      <c r="E694" s="174"/>
      <c r="F694" s="27"/>
      <c r="G694" s="27"/>
      <c r="H694" s="27"/>
      <c r="I694" s="3"/>
      <c r="J694" s="3"/>
    </row>
    <row r="695" spans="1:10">
      <c r="A695" s="27"/>
      <c r="B695" s="27"/>
      <c r="C695" s="28"/>
      <c r="D695" s="28"/>
      <c r="E695" s="174"/>
      <c r="F695" s="27"/>
      <c r="G695" s="27"/>
      <c r="H695" s="27"/>
      <c r="I695" s="3"/>
      <c r="J695" s="3"/>
    </row>
    <row r="696" spans="1:10">
      <c r="A696" s="27"/>
      <c r="B696" s="27"/>
      <c r="C696" s="28"/>
      <c r="D696" s="28"/>
      <c r="E696" s="174"/>
      <c r="F696" s="27"/>
      <c r="G696" s="27"/>
      <c r="H696" s="27"/>
      <c r="I696" s="3"/>
      <c r="J696" s="3"/>
    </row>
    <row r="697" spans="1:10">
      <c r="A697" s="27"/>
      <c r="B697" s="27"/>
      <c r="C697" s="28"/>
      <c r="D697" s="28"/>
      <c r="E697" s="174"/>
      <c r="F697" s="27"/>
      <c r="G697" s="27"/>
      <c r="H697" s="27"/>
      <c r="I697" s="3"/>
      <c r="J697" s="3"/>
    </row>
    <row r="698" spans="1:10">
      <c r="A698" s="27"/>
      <c r="B698" s="27"/>
      <c r="C698" s="28"/>
      <c r="D698" s="28"/>
      <c r="E698" s="174"/>
      <c r="F698" s="27"/>
      <c r="G698" s="27"/>
      <c r="H698" s="27"/>
      <c r="I698" s="3"/>
      <c r="J698" s="3"/>
    </row>
    <row r="699" spans="1:10">
      <c r="A699" s="27"/>
      <c r="B699" s="27"/>
      <c r="C699" s="28"/>
      <c r="D699" s="28"/>
      <c r="E699" s="174"/>
      <c r="F699" s="27"/>
      <c r="G699" s="27"/>
      <c r="H699" s="27"/>
      <c r="I699" s="3"/>
      <c r="J699" s="3"/>
    </row>
    <row r="700" spans="1:10">
      <c r="A700" s="27"/>
      <c r="B700" s="27"/>
      <c r="C700" s="28"/>
      <c r="D700" s="28"/>
      <c r="E700" s="174"/>
      <c r="F700" s="27"/>
      <c r="G700" s="27"/>
      <c r="H700" s="27"/>
      <c r="I700" s="3"/>
      <c r="J700" s="3"/>
    </row>
    <row r="701" spans="1:10">
      <c r="A701" s="27"/>
      <c r="B701" s="27"/>
      <c r="C701" s="28"/>
      <c r="D701" s="28"/>
      <c r="E701" s="174"/>
      <c r="F701" s="27"/>
      <c r="G701" s="27"/>
      <c r="H701" s="27"/>
      <c r="I701" s="3"/>
      <c r="J701" s="3"/>
    </row>
    <row r="702" spans="1:10">
      <c r="A702" s="27"/>
      <c r="B702" s="27"/>
      <c r="C702" s="28"/>
      <c r="D702" s="28"/>
      <c r="E702" s="174"/>
      <c r="F702" s="27"/>
      <c r="G702" s="27"/>
      <c r="H702" s="27"/>
      <c r="I702" s="3"/>
      <c r="J702" s="3"/>
    </row>
    <row r="703" spans="1:10">
      <c r="A703" s="27"/>
      <c r="B703" s="27"/>
      <c r="C703" s="28"/>
      <c r="D703" s="28"/>
      <c r="E703" s="174"/>
      <c r="F703" s="27"/>
      <c r="G703" s="27"/>
      <c r="H703" s="27"/>
      <c r="I703" s="3"/>
      <c r="J703" s="3"/>
    </row>
    <row r="704" spans="1:10">
      <c r="A704" s="27"/>
      <c r="B704" s="27"/>
      <c r="C704" s="28"/>
      <c r="D704" s="28"/>
      <c r="E704" s="174"/>
      <c r="F704" s="27"/>
      <c r="G704" s="27"/>
      <c r="H704" s="27"/>
      <c r="I704" s="3"/>
      <c r="J704" s="3"/>
    </row>
    <row r="705" spans="1:10">
      <c r="A705" s="27"/>
      <c r="B705" s="27"/>
      <c r="C705" s="28"/>
      <c r="D705" s="28"/>
      <c r="E705" s="174"/>
      <c r="F705" s="27"/>
      <c r="G705" s="27"/>
      <c r="H705" s="27"/>
      <c r="I705" s="3"/>
      <c r="J705" s="3"/>
    </row>
    <row r="706" spans="1:10">
      <c r="A706" s="27"/>
      <c r="B706" s="27"/>
      <c r="C706" s="28"/>
      <c r="D706" s="28"/>
      <c r="E706" s="174"/>
      <c r="F706" s="27"/>
      <c r="G706" s="27"/>
      <c r="H706" s="27"/>
      <c r="I706" s="3"/>
      <c r="J706" s="3"/>
    </row>
    <row r="707" spans="1:10">
      <c r="A707" s="27"/>
      <c r="B707" s="27"/>
      <c r="C707" s="28"/>
      <c r="D707" s="28"/>
      <c r="E707" s="174"/>
      <c r="F707" s="27"/>
      <c r="G707" s="27"/>
      <c r="H707" s="27"/>
      <c r="I707" s="3"/>
      <c r="J707" s="3"/>
    </row>
    <row r="708" spans="1:10">
      <c r="A708" s="27"/>
      <c r="B708" s="27"/>
      <c r="C708" s="28"/>
      <c r="D708" s="28"/>
      <c r="E708" s="174"/>
      <c r="F708" s="27"/>
      <c r="G708" s="27"/>
      <c r="H708" s="27"/>
      <c r="I708" s="3"/>
      <c r="J708" s="3"/>
    </row>
    <row r="709" spans="1:10">
      <c r="A709" s="27"/>
      <c r="B709" s="27"/>
      <c r="C709" s="28"/>
      <c r="D709" s="28"/>
      <c r="E709" s="174"/>
      <c r="F709" s="27"/>
      <c r="G709" s="27"/>
      <c r="H709" s="27"/>
      <c r="I709" s="3"/>
      <c r="J709" s="3"/>
    </row>
    <row r="710" spans="1:10">
      <c r="A710" s="27"/>
      <c r="B710" s="27"/>
      <c r="C710" s="28"/>
      <c r="D710" s="28"/>
      <c r="E710" s="174"/>
      <c r="F710" s="27"/>
      <c r="G710" s="27"/>
      <c r="H710" s="27"/>
      <c r="I710" s="3"/>
      <c r="J710" s="3"/>
    </row>
    <row r="711" spans="1:10">
      <c r="A711" s="27"/>
      <c r="B711" s="27"/>
      <c r="C711" s="28"/>
      <c r="D711" s="28"/>
      <c r="E711" s="174"/>
      <c r="F711" s="27"/>
      <c r="G711" s="27"/>
      <c r="H711" s="27"/>
      <c r="I711" s="3"/>
      <c r="J711" s="3"/>
    </row>
    <row r="712" spans="1:10">
      <c r="A712" s="27"/>
      <c r="B712" s="27"/>
      <c r="C712" s="28"/>
      <c r="D712" s="28"/>
      <c r="E712" s="174"/>
      <c r="F712" s="27"/>
      <c r="G712" s="27"/>
      <c r="H712" s="27"/>
      <c r="I712" s="3"/>
      <c r="J712" s="3"/>
    </row>
    <row r="713" spans="1:10">
      <c r="A713" s="27"/>
      <c r="B713" s="27"/>
      <c r="C713" s="28"/>
      <c r="D713" s="28"/>
      <c r="E713" s="174"/>
      <c r="F713" s="27"/>
      <c r="G713" s="27"/>
      <c r="H713" s="27"/>
      <c r="I713" s="3"/>
      <c r="J713" s="3"/>
    </row>
    <row r="714" spans="1:10">
      <c r="A714" s="27"/>
      <c r="B714" s="27"/>
      <c r="C714" s="28"/>
      <c r="D714" s="28"/>
      <c r="E714" s="174"/>
      <c r="F714" s="27"/>
      <c r="G714" s="27"/>
      <c r="H714" s="27"/>
      <c r="I714" s="3"/>
      <c r="J714" s="3"/>
    </row>
    <row r="715" spans="1:10">
      <c r="A715" s="27"/>
      <c r="B715" s="27"/>
      <c r="C715" s="28"/>
      <c r="D715" s="28"/>
      <c r="E715" s="174"/>
      <c r="F715" s="27"/>
      <c r="G715" s="27"/>
      <c r="H715" s="27"/>
      <c r="I715" s="3"/>
      <c r="J715" s="3"/>
    </row>
    <row r="716" spans="1:10">
      <c r="A716" s="27"/>
      <c r="B716" s="27"/>
      <c r="C716" s="28"/>
      <c r="D716" s="28"/>
      <c r="E716" s="174"/>
      <c r="F716" s="27"/>
      <c r="G716" s="27"/>
      <c r="H716" s="27"/>
      <c r="I716" s="3"/>
      <c r="J716" s="3"/>
    </row>
    <row r="717" spans="1:10">
      <c r="A717" s="27"/>
      <c r="B717" s="27"/>
      <c r="C717" s="28"/>
      <c r="D717" s="28"/>
      <c r="E717" s="174"/>
      <c r="F717" s="27"/>
      <c r="G717" s="27"/>
      <c r="H717" s="27"/>
      <c r="I717" s="3"/>
      <c r="J717" s="3"/>
    </row>
    <row r="718" spans="1:10">
      <c r="A718" s="27"/>
      <c r="B718" s="27"/>
      <c r="C718" s="28"/>
      <c r="D718" s="28"/>
      <c r="E718" s="174"/>
      <c r="F718" s="27"/>
      <c r="G718" s="27"/>
      <c r="H718" s="27"/>
      <c r="I718" s="3"/>
      <c r="J718" s="3"/>
    </row>
    <row r="719" spans="1:10">
      <c r="A719" s="27"/>
      <c r="B719" s="27"/>
      <c r="C719" s="28"/>
      <c r="D719" s="28"/>
      <c r="E719" s="174"/>
      <c r="F719" s="27"/>
      <c r="G719" s="27"/>
      <c r="H719" s="27"/>
      <c r="I719" s="3"/>
      <c r="J719" s="3"/>
    </row>
    <row r="720" spans="1:10">
      <c r="A720" s="27"/>
      <c r="B720" s="27"/>
      <c r="C720" s="28"/>
      <c r="D720" s="28"/>
      <c r="E720" s="174"/>
      <c r="F720" s="27"/>
      <c r="G720" s="27"/>
      <c r="H720" s="27"/>
      <c r="I720" s="3"/>
      <c r="J720" s="3"/>
    </row>
    <row r="721" spans="1:10">
      <c r="A721" s="27"/>
      <c r="B721" s="27"/>
      <c r="C721" s="28"/>
      <c r="D721" s="28"/>
      <c r="E721" s="174"/>
      <c r="F721" s="27"/>
      <c r="G721" s="27"/>
      <c r="H721" s="27"/>
      <c r="I721" s="3"/>
      <c r="J721" s="3"/>
    </row>
    <row r="722" spans="1:10">
      <c r="A722" s="27"/>
      <c r="B722" s="27"/>
      <c r="C722" s="28"/>
      <c r="D722" s="28"/>
      <c r="E722" s="174"/>
      <c r="F722" s="27"/>
      <c r="G722" s="27"/>
      <c r="H722" s="27"/>
      <c r="I722" s="3"/>
      <c r="J722" s="3"/>
    </row>
    <row r="723" spans="1:10">
      <c r="A723" s="27"/>
      <c r="B723" s="27"/>
      <c r="C723" s="28"/>
      <c r="D723" s="28"/>
      <c r="E723" s="174"/>
      <c r="F723" s="27"/>
      <c r="G723" s="27"/>
      <c r="H723" s="27"/>
      <c r="I723" s="3"/>
      <c r="J723" s="3"/>
    </row>
    <row r="724" spans="1:10">
      <c r="A724" s="27"/>
      <c r="B724" s="27"/>
      <c r="C724" s="28"/>
      <c r="D724" s="28"/>
      <c r="E724" s="174"/>
      <c r="F724" s="27"/>
      <c r="G724" s="27"/>
      <c r="H724" s="27"/>
      <c r="I724" s="3"/>
      <c r="J724" s="3"/>
    </row>
    <row r="725" spans="1:10">
      <c r="A725" s="27"/>
      <c r="B725" s="27"/>
      <c r="C725" s="28"/>
      <c r="D725" s="28"/>
      <c r="E725" s="174"/>
      <c r="F725" s="27"/>
      <c r="G725" s="27"/>
      <c r="H725" s="27"/>
      <c r="I725" s="3"/>
      <c r="J725" s="3"/>
    </row>
    <row r="726" spans="1:10">
      <c r="A726" s="27"/>
      <c r="B726" s="27"/>
      <c r="C726" s="28"/>
      <c r="D726" s="28"/>
      <c r="E726" s="174"/>
      <c r="F726" s="27"/>
      <c r="G726" s="27"/>
      <c r="H726" s="27"/>
      <c r="I726" s="3"/>
      <c r="J726" s="3"/>
    </row>
    <row r="727" spans="1:10">
      <c r="A727" s="27"/>
      <c r="B727" s="27"/>
      <c r="C727" s="28"/>
      <c r="D727" s="28"/>
      <c r="E727" s="174"/>
      <c r="F727" s="27"/>
      <c r="G727" s="27"/>
      <c r="H727" s="27"/>
      <c r="I727" s="3"/>
      <c r="J727" s="3"/>
    </row>
    <row r="728" spans="1:10">
      <c r="A728" s="27"/>
      <c r="B728" s="27"/>
      <c r="C728" s="28"/>
      <c r="D728" s="28"/>
      <c r="E728" s="174"/>
      <c r="F728" s="27"/>
      <c r="G728" s="27"/>
      <c r="H728" s="27"/>
      <c r="I728" s="3"/>
      <c r="J728" s="3"/>
    </row>
    <row r="729" spans="1:10">
      <c r="A729" s="27"/>
      <c r="B729" s="27"/>
      <c r="C729" s="28"/>
      <c r="D729" s="28"/>
      <c r="E729" s="174"/>
      <c r="F729" s="27"/>
      <c r="G729" s="27"/>
      <c r="H729" s="27"/>
      <c r="I729" s="3"/>
      <c r="J729" s="3"/>
    </row>
    <row r="730" spans="1:10">
      <c r="A730" s="27"/>
      <c r="B730" s="27"/>
      <c r="C730" s="28"/>
      <c r="D730" s="28"/>
      <c r="E730" s="174"/>
      <c r="F730" s="27"/>
      <c r="G730" s="27"/>
      <c r="H730" s="27"/>
      <c r="I730" s="3"/>
      <c r="J730" s="3"/>
    </row>
    <row r="731" spans="1:10">
      <c r="A731" s="27"/>
      <c r="B731" s="27"/>
      <c r="C731" s="28"/>
      <c r="D731" s="28"/>
      <c r="E731" s="174"/>
      <c r="F731" s="27"/>
      <c r="G731" s="27"/>
      <c r="H731" s="27"/>
      <c r="I731" s="3"/>
      <c r="J731" s="3"/>
    </row>
    <row r="732" spans="1:10">
      <c r="A732" s="27"/>
      <c r="B732" s="27"/>
      <c r="C732" s="28"/>
      <c r="D732" s="28"/>
      <c r="E732" s="174"/>
      <c r="F732" s="27"/>
      <c r="G732" s="27"/>
      <c r="H732" s="27"/>
      <c r="I732" s="3"/>
      <c r="J732" s="3"/>
    </row>
    <row r="733" spans="1:10">
      <c r="A733" s="27"/>
      <c r="B733" s="27"/>
      <c r="C733" s="28"/>
      <c r="D733" s="28"/>
      <c r="E733" s="174"/>
      <c r="F733" s="27"/>
      <c r="G733" s="27"/>
      <c r="H733" s="27"/>
      <c r="I733" s="3"/>
      <c r="J733" s="3"/>
    </row>
    <row r="734" spans="1:10">
      <c r="A734" s="27"/>
      <c r="B734" s="27"/>
      <c r="C734" s="28"/>
      <c r="D734" s="28"/>
      <c r="E734" s="174"/>
      <c r="F734" s="27"/>
      <c r="G734" s="27"/>
      <c r="H734" s="27"/>
      <c r="I734" s="3"/>
      <c r="J734" s="3"/>
    </row>
    <row r="735" spans="1:10">
      <c r="A735" s="27"/>
      <c r="B735" s="27"/>
      <c r="C735" s="28"/>
      <c r="D735" s="28"/>
      <c r="E735" s="174"/>
      <c r="F735" s="27"/>
      <c r="G735" s="27"/>
      <c r="H735" s="27"/>
      <c r="I735" s="3"/>
      <c r="J735" s="3"/>
    </row>
    <row r="736" spans="1:10">
      <c r="A736" s="27"/>
      <c r="B736" s="27"/>
      <c r="C736" s="28"/>
      <c r="D736" s="28"/>
      <c r="E736" s="174"/>
      <c r="F736" s="27"/>
      <c r="G736" s="27"/>
      <c r="H736" s="27"/>
      <c r="I736" s="3"/>
      <c r="J736" s="3"/>
    </row>
    <row r="737" spans="1:10">
      <c r="A737" s="27"/>
      <c r="B737" s="27"/>
      <c r="C737" s="28"/>
      <c r="D737" s="28"/>
      <c r="E737" s="174"/>
      <c r="F737" s="27"/>
      <c r="G737" s="27"/>
      <c r="H737" s="27"/>
      <c r="I737" s="3"/>
      <c r="J737" s="3"/>
    </row>
    <row r="738" spans="1:10">
      <c r="A738" s="27"/>
      <c r="B738" s="27"/>
      <c r="C738" s="28"/>
      <c r="D738" s="28"/>
      <c r="E738" s="174"/>
      <c r="F738" s="27"/>
      <c r="G738" s="27"/>
      <c r="H738" s="27"/>
      <c r="I738" s="3"/>
      <c r="J738" s="3"/>
    </row>
    <row r="739" spans="1:10">
      <c r="A739" s="27"/>
      <c r="B739" s="27"/>
      <c r="C739" s="28"/>
      <c r="D739" s="28"/>
      <c r="E739" s="174"/>
      <c r="F739" s="27"/>
      <c r="G739" s="27"/>
      <c r="H739" s="27"/>
      <c r="I739" s="3"/>
      <c r="J739" s="3"/>
    </row>
    <row r="740" spans="1:10">
      <c r="A740" s="27"/>
      <c r="B740" s="27"/>
      <c r="C740" s="28"/>
      <c r="D740" s="28"/>
      <c r="E740" s="174"/>
      <c r="F740" s="27"/>
      <c r="G740" s="27"/>
      <c r="H740" s="27"/>
      <c r="I740" s="3"/>
      <c r="J740" s="3"/>
    </row>
    <row r="741" spans="1:10">
      <c r="A741" s="27"/>
      <c r="B741" s="27"/>
      <c r="C741" s="28"/>
      <c r="D741" s="28"/>
      <c r="E741" s="174"/>
      <c r="F741" s="27"/>
      <c r="G741" s="27"/>
      <c r="H741" s="27"/>
      <c r="I741" s="3"/>
      <c r="J741" s="3"/>
    </row>
    <row r="742" spans="1:10">
      <c r="A742" s="27"/>
      <c r="B742" s="27"/>
      <c r="C742" s="28"/>
      <c r="D742" s="28"/>
      <c r="E742" s="174"/>
      <c r="F742" s="27"/>
      <c r="G742" s="27"/>
      <c r="H742" s="27"/>
      <c r="I742" s="3"/>
      <c r="J742" s="3"/>
    </row>
    <row r="743" spans="1:10">
      <c r="A743" s="27"/>
      <c r="B743" s="27"/>
      <c r="C743" s="28"/>
      <c r="D743" s="28"/>
      <c r="E743" s="174"/>
      <c r="F743" s="27"/>
      <c r="G743" s="27"/>
      <c r="H743" s="27"/>
      <c r="I743" s="3"/>
      <c r="J743" s="3"/>
    </row>
    <row r="744" spans="1:10">
      <c r="A744" s="27"/>
      <c r="B744" s="27"/>
      <c r="C744" s="28"/>
      <c r="D744" s="28"/>
      <c r="E744" s="174"/>
      <c r="F744" s="27"/>
      <c r="G744" s="27"/>
      <c r="H744" s="27"/>
      <c r="I744" s="3"/>
      <c r="J744" s="3"/>
    </row>
    <row r="745" spans="1:10">
      <c r="A745" s="27"/>
      <c r="B745" s="27"/>
      <c r="C745" s="28"/>
      <c r="D745" s="28"/>
      <c r="E745" s="174"/>
      <c r="F745" s="27"/>
      <c r="G745" s="27"/>
      <c r="H745" s="27"/>
      <c r="I745" s="3"/>
      <c r="J745" s="3"/>
    </row>
    <row r="746" spans="1:10">
      <c r="A746" s="27"/>
      <c r="B746" s="27"/>
      <c r="C746" s="28"/>
      <c r="D746" s="28"/>
      <c r="E746" s="174"/>
      <c r="F746" s="27"/>
      <c r="G746" s="27"/>
      <c r="H746" s="27"/>
      <c r="I746" s="3"/>
      <c r="J746" s="3"/>
    </row>
    <row r="747" spans="1:10">
      <c r="A747" s="27"/>
      <c r="B747" s="27"/>
      <c r="C747" s="28"/>
      <c r="D747" s="28"/>
      <c r="E747" s="174"/>
      <c r="F747" s="27"/>
      <c r="G747" s="27"/>
      <c r="H747" s="27"/>
      <c r="I747" s="3"/>
      <c r="J747" s="3"/>
    </row>
    <row r="748" spans="1:10">
      <c r="A748" s="27"/>
      <c r="B748" s="27"/>
      <c r="C748" s="28"/>
      <c r="D748" s="28"/>
      <c r="E748" s="174"/>
      <c r="F748" s="27"/>
      <c r="G748" s="27"/>
      <c r="H748" s="27"/>
      <c r="I748" s="3"/>
      <c r="J748" s="3"/>
    </row>
    <row r="749" spans="1:10">
      <c r="A749" s="27"/>
      <c r="B749" s="27"/>
      <c r="C749" s="28"/>
      <c r="D749" s="28"/>
      <c r="E749" s="174"/>
      <c r="F749" s="27"/>
      <c r="G749" s="27"/>
      <c r="H749" s="27"/>
      <c r="I749" s="3"/>
      <c r="J749" s="3"/>
    </row>
    <row r="750" spans="1:10">
      <c r="A750" s="27"/>
      <c r="B750" s="27"/>
      <c r="C750" s="28"/>
      <c r="D750" s="28"/>
      <c r="E750" s="174"/>
      <c r="F750" s="27"/>
      <c r="G750" s="27"/>
      <c r="H750" s="27"/>
      <c r="I750" s="3"/>
      <c r="J750" s="3"/>
    </row>
    <row r="751" spans="1:10">
      <c r="A751" s="27"/>
      <c r="B751" s="27"/>
      <c r="C751" s="28"/>
      <c r="D751" s="28"/>
      <c r="E751" s="174"/>
      <c r="F751" s="27"/>
      <c r="G751" s="27"/>
      <c r="H751" s="27"/>
      <c r="I751" s="3"/>
      <c r="J751" s="3"/>
    </row>
    <row r="752" spans="1:10">
      <c r="A752" s="27"/>
      <c r="B752" s="27"/>
      <c r="C752" s="28"/>
      <c r="D752" s="28"/>
      <c r="E752" s="174"/>
      <c r="F752" s="27"/>
      <c r="G752" s="27"/>
      <c r="H752" s="27"/>
      <c r="I752" s="3"/>
      <c r="J752" s="3"/>
    </row>
    <row r="753" spans="1:10">
      <c r="A753" s="27"/>
      <c r="B753" s="27"/>
      <c r="C753" s="28"/>
      <c r="D753" s="28"/>
      <c r="E753" s="174"/>
      <c r="F753" s="27"/>
      <c r="G753" s="27"/>
      <c r="H753" s="27"/>
      <c r="I753" s="3"/>
      <c r="J753" s="3"/>
    </row>
    <row r="754" spans="1:10">
      <c r="A754" s="27"/>
      <c r="B754" s="27"/>
      <c r="C754" s="28"/>
      <c r="D754" s="28"/>
      <c r="E754" s="174"/>
      <c r="F754" s="27"/>
      <c r="G754" s="27"/>
      <c r="H754" s="27"/>
      <c r="I754" s="3"/>
      <c r="J754" s="3"/>
    </row>
    <row r="755" spans="1:10">
      <c r="A755" s="27"/>
      <c r="B755" s="27"/>
      <c r="C755" s="28"/>
      <c r="D755" s="28"/>
      <c r="E755" s="174"/>
      <c r="F755" s="27"/>
      <c r="G755" s="27"/>
      <c r="H755" s="27"/>
      <c r="I755" s="3"/>
      <c r="J755" s="3"/>
    </row>
    <row r="756" spans="1:10">
      <c r="A756" s="27"/>
      <c r="B756" s="27"/>
      <c r="C756" s="28"/>
      <c r="D756" s="28"/>
      <c r="E756" s="174"/>
      <c r="F756" s="27"/>
      <c r="G756" s="27"/>
      <c r="H756" s="27"/>
      <c r="I756" s="3"/>
      <c r="J756" s="3"/>
    </row>
    <row r="757" spans="1:10">
      <c r="A757" s="27"/>
      <c r="B757" s="27"/>
      <c r="C757" s="28"/>
      <c r="D757" s="28"/>
      <c r="E757" s="174"/>
      <c r="F757" s="27"/>
      <c r="G757" s="27"/>
      <c r="H757" s="27"/>
      <c r="I757" s="3"/>
      <c r="J757" s="3"/>
    </row>
    <row r="758" spans="1:10">
      <c r="A758" s="27"/>
      <c r="B758" s="27"/>
      <c r="C758" s="28"/>
      <c r="D758" s="28"/>
      <c r="E758" s="174"/>
      <c r="F758" s="27"/>
      <c r="G758" s="27"/>
      <c r="H758" s="27"/>
      <c r="I758" s="3"/>
      <c r="J758" s="3"/>
    </row>
    <row r="759" spans="1:10">
      <c r="A759" s="27"/>
      <c r="B759" s="27"/>
      <c r="C759" s="28"/>
      <c r="D759" s="28"/>
      <c r="E759" s="174"/>
      <c r="F759" s="27"/>
      <c r="G759" s="27"/>
      <c r="H759" s="27"/>
      <c r="I759" s="3"/>
      <c r="J759" s="3"/>
    </row>
    <row r="760" spans="1:10">
      <c r="A760" s="27"/>
      <c r="B760" s="27"/>
      <c r="C760" s="28"/>
      <c r="D760" s="28"/>
      <c r="E760" s="174"/>
      <c r="F760" s="27"/>
      <c r="G760" s="27"/>
      <c r="H760" s="27"/>
      <c r="I760" s="3"/>
      <c r="J760" s="3"/>
    </row>
    <row r="761" spans="1:10">
      <c r="A761" s="27"/>
      <c r="B761" s="27"/>
      <c r="C761" s="28"/>
      <c r="D761" s="28"/>
      <c r="E761" s="174"/>
      <c r="F761" s="27"/>
      <c r="G761" s="27"/>
      <c r="H761" s="27"/>
      <c r="I761" s="3"/>
      <c r="J761" s="3"/>
    </row>
    <row r="762" spans="1:10">
      <c r="A762" s="27"/>
      <c r="B762" s="27"/>
      <c r="C762" s="28"/>
      <c r="D762" s="28"/>
      <c r="E762" s="174"/>
      <c r="F762" s="27"/>
      <c r="G762" s="27"/>
      <c r="H762" s="27"/>
      <c r="I762" s="3"/>
      <c r="J762" s="3"/>
    </row>
    <row r="763" spans="1:10">
      <c r="A763" s="27"/>
      <c r="B763" s="27"/>
      <c r="C763" s="28"/>
      <c r="D763" s="28"/>
      <c r="E763" s="174"/>
      <c r="F763" s="27"/>
      <c r="G763" s="27"/>
      <c r="H763" s="27"/>
      <c r="I763" s="3"/>
      <c r="J763" s="3"/>
    </row>
    <row r="764" spans="1:10">
      <c r="A764" s="27"/>
      <c r="B764" s="27"/>
      <c r="C764" s="28"/>
      <c r="D764" s="28"/>
      <c r="E764" s="174"/>
      <c r="F764" s="27"/>
      <c r="G764" s="27"/>
      <c r="H764" s="27"/>
      <c r="I764" s="3"/>
      <c r="J764" s="3"/>
    </row>
    <row r="765" spans="1:10">
      <c r="A765" s="27"/>
      <c r="B765" s="27"/>
      <c r="C765" s="28"/>
      <c r="D765" s="28"/>
      <c r="E765" s="174"/>
      <c r="F765" s="27"/>
      <c r="G765" s="27"/>
      <c r="H765" s="27"/>
      <c r="I765" s="3"/>
      <c r="J765" s="3"/>
    </row>
    <row r="766" spans="1:10">
      <c r="A766" s="27"/>
      <c r="B766" s="27"/>
      <c r="C766" s="28"/>
      <c r="D766" s="28"/>
      <c r="E766" s="174"/>
      <c r="F766" s="27"/>
      <c r="G766" s="27"/>
      <c r="H766" s="27"/>
      <c r="I766" s="3"/>
      <c r="J766" s="3"/>
    </row>
    <row r="767" spans="1:10">
      <c r="A767" s="27"/>
      <c r="B767" s="27"/>
      <c r="C767" s="28"/>
      <c r="D767" s="28"/>
      <c r="E767" s="174"/>
      <c r="F767" s="27"/>
      <c r="G767" s="27"/>
      <c r="H767" s="27"/>
      <c r="I767" s="3"/>
      <c r="J767" s="3"/>
    </row>
    <row r="768" spans="1:10">
      <c r="A768" s="27"/>
      <c r="B768" s="27"/>
      <c r="C768" s="28"/>
      <c r="D768" s="28"/>
      <c r="E768" s="174"/>
      <c r="F768" s="27"/>
      <c r="G768" s="27"/>
      <c r="H768" s="27"/>
      <c r="I768" s="3"/>
      <c r="J768" s="3"/>
    </row>
    <row r="769" spans="1:10">
      <c r="A769" s="27"/>
      <c r="B769" s="27"/>
      <c r="C769" s="28"/>
      <c r="D769" s="28"/>
      <c r="E769" s="174"/>
      <c r="F769" s="27"/>
      <c r="G769" s="27"/>
      <c r="H769" s="27"/>
      <c r="I769" s="3"/>
      <c r="J769" s="3"/>
    </row>
    <row r="770" spans="1:10">
      <c r="A770" s="27"/>
      <c r="B770" s="27"/>
      <c r="C770" s="28"/>
      <c r="D770" s="28"/>
      <c r="E770" s="174"/>
      <c r="F770" s="27"/>
      <c r="G770" s="27"/>
      <c r="H770" s="27"/>
      <c r="I770" s="3"/>
      <c r="J770" s="3"/>
    </row>
    <row r="771" spans="1:10">
      <c r="A771" s="27"/>
      <c r="B771" s="27"/>
      <c r="C771" s="28"/>
      <c r="D771" s="28"/>
      <c r="E771" s="174"/>
      <c r="F771" s="27"/>
      <c r="G771" s="27"/>
      <c r="H771" s="27"/>
      <c r="I771" s="3"/>
      <c r="J771" s="3"/>
    </row>
    <row r="772" spans="1:10">
      <c r="A772" s="27"/>
      <c r="B772" s="27"/>
      <c r="C772" s="28"/>
      <c r="D772" s="28"/>
      <c r="E772" s="174"/>
      <c r="F772" s="27"/>
      <c r="G772" s="27"/>
      <c r="H772" s="27"/>
      <c r="I772" s="3"/>
      <c r="J772" s="3"/>
    </row>
    <row r="773" spans="1:10">
      <c r="A773" s="27"/>
      <c r="B773" s="27"/>
      <c r="C773" s="28"/>
      <c r="D773" s="28"/>
      <c r="E773" s="174"/>
      <c r="F773" s="27"/>
      <c r="G773" s="27"/>
      <c r="H773" s="27"/>
      <c r="I773" s="3"/>
      <c r="J773" s="3"/>
    </row>
    <row r="774" spans="1:10">
      <c r="A774" s="27"/>
      <c r="B774" s="27"/>
      <c r="C774" s="28"/>
      <c r="D774" s="28"/>
      <c r="E774" s="174"/>
      <c r="F774" s="27"/>
      <c r="G774" s="27"/>
      <c r="H774" s="27"/>
      <c r="I774" s="3"/>
      <c r="J774" s="3"/>
    </row>
    <row r="775" spans="1:10">
      <c r="A775" s="27"/>
      <c r="B775" s="27"/>
      <c r="C775" s="28"/>
      <c r="D775" s="28"/>
      <c r="E775" s="174"/>
      <c r="F775" s="27"/>
      <c r="G775" s="27"/>
      <c r="H775" s="27"/>
      <c r="I775" s="3"/>
      <c r="J775" s="3"/>
    </row>
    <row r="776" spans="1:10">
      <c r="A776" s="27"/>
      <c r="B776" s="27"/>
      <c r="C776" s="28"/>
      <c r="D776" s="28"/>
      <c r="E776" s="174"/>
      <c r="F776" s="27"/>
      <c r="G776" s="27"/>
      <c r="H776" s="27"/>
      <c r="I776" s="3"/>
      <c r="J776" s="3"/>
    </row>
    <row r="777" spans="1:10">
      <c r="A777" s="27"/>
      <c r="B777" s="27"/>
      <c r="C777" s="28"/>
      <c r="D777" s="28"/>
      <c r="E777" s="174"/>
      <c r="F777" s="27"/>
      <c r="G777" s="27"/>
      <c r="H777" s="27"/>
      <c r="I777" s="3"/>
      <c r="J777" s="3"/>
    </row>
    <row r="778" spans="1:10">
      <c r="A778" s="27"/>
      <c r="B778" s="27"/>
      <c r="C778" s="28"/>
      <c r="D778" s="28"/>
      <c r="E778" s="174"/>
      <c r="F778" s="27"/>
      <c r="G778" s="27"/>
      <c r="H778" s="27"/>
      <c r="I778" s="3"/>
      <c r="J778" s="3"/>
    </row>
    <row r="779" spans="1:10">
      <c r="A779" s="27"/>
      <c r="B779" s="27"/>
      <c r="C779" s="28"/>
      <c r="D779" s="28"/>
      <c r="E779" s="174"/>
      <c r="F779" s="27"/>
      <c r="G779" s="27"/>
      <c r="H779" s="27"/>
      <c r="I779" s="3"/>
      <c r="J779" s="3"/>
    </row>
    <row r="780" spans="1:10">
      <c r="A780" s="27"/>
      <c r="B780" s="27"/>
      <c r="C780" s="28"/>
      <c r="D780" s="28"/>
      <c r="E780" s="174"/>
      <c r="F780" s="27"/>
      <c r="G780" s="27"/>
      <c r="H780" s="27"/>
      <c r="I780" s="3"/>
      <c r="J780" s="3"/>
    </row>
    <row r="781" spans="1:10">
      <c r="A781" s="27"/>
      <c r="B781" s="27"/>
      <c r="C781" s="28"/>
      <c r="D781" s="28"/>
      <c r="E781" s="174"/>
      <c r="F781" s="27"/>
      <c r="G781" s="27"/>
      <c r="H781" s="27"/>
      <c r="I781" s="3"/>
      <c r="J781" s="3"/>
    </row>
    <row r="782" spans="1:10">
      <c r="A782" s="27"/>
      <c r="B782" s="27"/>
      <c r="C782" s="28"/>
      <c r="D782" s="28"/>
      <c r="E782" s="174"/>
      <c r="F782" s="27"/>
      <c r="G782" s="27"/>
      <c r="H782" s="27"/>
      <c r="I782" s="3"/>
      <c r="J782" s="3"/>
    </row>
    <row r="783" spans="1:10">
      <c r="A783" s="27"/>
      <c r="B783" s="27"/>
      <c r="C783" s="28"/>
      <c r="D783" s="28"/>
      <c r="E783" s="174"/>
      <c r="F783" s="27"/>
      <c r="G783" s="27"/>
      <c r="H783" s="27"/>
      <c r="I783" s="3"/>
      <c r="J783" s="3"/>
    </row>
    <row r="784" spans="1:10">
      <c r="A784" s="27"/>
      <c r="B784" s="27"/>
      <c r="C784" s="28"/>
      <c r="D784" s="28"/>
      <c r="E784" s="174"/>
      <c r="F784" s="27"/>
      <c r="G784" s="27"/>
      <c r="H784" s="27"/>
      <c r="I784" s="3"/>
      <c r="J784" s="3"/>
    </row>
    <row r="785" spans="1:10">
      <c r="A785" s="27"/>
      <c r="B785" s="27"/>
      <c r="C785" s="28"/>
      <c r="D785" s="28"/>
      <c r="E785" s="174"/>
      <c r="F785" s="27"/>
      <c r="G785" s="27"/>
      <c r="H785" s="27"/>
      <c r="I785" s="3"/>
      <c r="J785" s="3"/>
    </row>
    <row r="786" spans="1:10">
      <c r="A786" s="27"/>
      <c r="B786" s="27"/>
      <c r="C786" s="28"/>
      <c r="D786" s="28"/>
      <c r="E786" s="174"/>
      <c r="F786" s="27"/>
      <c r="G786" s="27"/>
      <c r="H786" s="27"/>
      <c r="I786" s="3"/>
      <c r="J786" s="3"/>
    </row>
    <row r="787" spans="1:10">
      <c r="A787" s="27"/>
      <c r="B787" s="27"/>
      <c r="C787" s="28"/>
      <c r="D787" s="28"/>
      <c r="E787" s="174"/>
      <c r="F787" s="27"/>
      <c r="G787" s="27"/>
      <c r="H787" s="27"/>
      <c r="I787" s="3"/>
      <c r="J787" s="3"/>
    </row>
    <row r="788" spans="1:10">
      <c r="A788" s="27"/>
      <c r="B788" s="27"/>
      <c r="C788" s="28"/>
      <c r="D788" s="28"/>
      <c r="E788" s="174"/>
      <c r="F788" s="27"/>
      <c r="G788" s="27"/>
      <c r="H788" s="27"/>
      <c r="I788" s="3"/>
      <c r="J788" s="3"/>
    </row>
    <row r="789" spans="1:10">
      <c r="A789" s="27"/>
      <c r="B789" s="27"/>
      <c r="C789" s="28"/>
      <c r="D789" s="28"/>
      <c r="E789" s="174"/>
      <c r="F789" s="27"/>
      <c r="G789" s="27"/>
      <c r="H789" s="27"/>
      <c r="I789" s="3"/>
      <c r="J789" s="3"/>
    </row>
    <row r="790" spans="1:10">
      <c r="A790" s="27"/>
      <c r="B790" s="27"/>
      <c r="C790" s="28"/>
      <c r="D790" s="28"/>
      <c r="E790" s="174"/>
      <c r="F790" s="27"/>
      <c r="G790" s="27"/>
      <c r="H790" s="27"/>
      <c r="I790" s="3"/>
      <c r="J790" s="3"/>
    </row>
    <row r="791" spans="1:10">
      <c r="A791" s="27"/>
      <c r="B791" s="27"/>
      <c r="C791" s="28"/>
      <c r="D791" s="28"/>
      <c r="E791" s="174"/>
      <c r="F791" s="27"/>
      <c r="G791" s="27"/>
      <c r="H791" s="27"/>
      <c r="I791" s="3"/>
      <c r="J791" s="3"/>
    </row>
    <row r="792" spans="1:10">
      <c r="A792" s="27"/>
      <c r="B792" s="27"/>
      <c r="C792" s="28"/>
      <c r="D792" s="28"/>
      <c r="E792" s="174"/>
      <c r="F792" s="27"/>
      <c r="G792" s="27"/>
      <c r="H792" s="27"/>
      <c r="I792" s="3"/>
      <c r="J792" s="3"/>
    </row>
    <row r="793" spans="1:10">
      <c r="A793" s="27"/>
      <c r="B793" s="27"/>
      <c r="C793" s="28"/>
      <c r="D793" s="28"/>
      <c r="E793" s="174"/>
      <c r="F793" s="27"/>
      <c r="G793" s="27"/>
      <c r="H793" s="27"/>
      <c r="I793" s="3"/>
      <c r="J793" s="3"/>
    </row>
    <row r="794" spans="1:10">
      <c r="A794" s="27"/>
      <c r="B794" s="27"/>
      <c r="C794" s="28"/>
      <c r="D794" s="28"/>
      <c r="E794" s="174"/>
      <c r="F794" s="27"/>
      <c r="G794" s="27"/>
      <c r="H794" s="27"/>
      <c r="I794" s="3"/>
      <c r="J794" s="3"/>
    </row>
    <row r="795" spans="1:10">
      <c r="A795" s="27"/>
      <c r="B795" s="27"/>
      <c r="C795" s="28"/>
      <c r="D795" s="28"/>
      <c r="E795" s="174"/>
      <c r="F795" s="27"/>
      <c r="G795" s="27"/>
      <c r="H795" s="27"/>
      <c r="I795" s="3"/>
      <c r="J795" s="3"/>
    </row>
    <row r="796" spans="1:10">
      <c r="A796" s="27"/>
      <c r="B796" s="27"/>
      <c r="C796" s="28"/>
      <c r="D796" s="28"/>
      <c r="E796" s="174"/>
      <c r="F796" s="27"/>
      <c r="G796" s="27"/>
      <c r="H796" s="27"/>
      <c r="I796" s="3"/>
      <c r="J796" s="3"/>
    </row>
    <row r="797" spans="1:10">
      <c r="A797" s="27"/>
      <c r="B797" s="27"/>
      <c r="C797" s="28"/>
      <c r="D797" s="28"/>
      <c r="E797" s="174"/>
      <c r="F797" s="27"/>
      <c r="G797" s="27"/>
      <c r="H797" s="27"/>
      <c r="I797" s="3"/>
      <c r="J797" s="3"/>
    </row>
    <row r="798" spans="1:10">
      <c r="A798" s="27"/>
      <c r="B798" s="27"/>
      <c r="C798" s="28"/>
      <c r="D798" s="28"/>
      <c r="E798" s="174"/>
      <c r="F798" s="27"/>
      <c r="G798" s="27"/>
      <c r="H798" s="27"/>
      <c r="I798" s="3"/>
      <c r="J798" s="3"/>
    </row>
    <row r="799" spans="1:10">
      <c r="A799" s="27"/>
      <c r="B799" s="27"/>
      <c r="C799" s="28"/>
      <c r="D799" s="28"/>
      <c r="E799" s="174"/>
      <c r="F799" s="27"/>
      <c r="G799" s="27"/>
      <c r="H799" s="27"/>
      <c r="I799" s="3"/>
      <c r="J799" s="3"/>
    </row>
    <row r="800" spans="1:10">
      <c r="A800" s="27"/>
      <c r="B800" s="27"/>
      <c r="C800" s="28"/>
      <c r="D800" s="28"/>
      <c r="E800" s="174"/>
      <c r="F800" s="27"/>
      <c r="G800" s="27"/>
      <c r="H800" s="27"/>
      <c r="I800" s="3"/>
      <c r="J800" s="3"/>
    </row>
    <row r="801" spans="1:10">
      <c r="A801" s="27"/>
      <c r="B801" s="27"/>
      <c r="C801" s="28"/>
      <c r="D801" s="28"/>
      <c r="E801" s="174"/>
      <c r="F801" s="27"/>
      <c r="G801" s="27"/>
      <c r="H801" s="27"/>
      <c r="I801" s="3"/>
      <c r="J801" s="3"/>
    </row>
    <row r="802" spans="1:10">
      <c r="A802" s="27"/>
      <c r="B802" s="27"/>
      <c r="C802" s="28"/>
      <c r="D802" s="28"/>
      <c r="E802" s="174"/>
      <c r="F802" s="27"/>
      <c r="G802" s="27"/>
      <c r="H802" s="27"/>
      <c r="I802" s="3"/>
      <c r="J802" s="3"/>
    </row>
    <row r="803" spans="1:10">
      <c r="A803" s="27"/>
      <c r="B803" s="27"/>
      <c r="C803" s="28"/>
      <c r="D803" s="28"/>
      <c r="E803" s="174"/>
      <c r="F803" s="27"/>
      <c r="G803" s="27"/>
      <c r="H803" s="27"/>
      <c r="I803" s="3"/>
      <c r="J803" s="3"/>
    </row>
    <row r="804" spans="1:10">
      <c r="A804" s="27"/>
      <c r="B804" s="27"/>
      <c r="C804" s="28"/>
      <c r="D804" s="28"/>
      <c r="E804" s="174"/>
      <c r="F804" s="27"/>
      <c r="G804" s="27"/>
      <c r="H804" s="27"/>
      <c r="I804" s="3"/>
      <c r="J804" s="3"/>
    </row>
    <row r="805" spans="1:10">
      <c r="A805" s="27"/>
      <c r="B805" s="27"/>
      <c r="C805" s="28"/>
      <c r="D805" s="28"/>
      <c r="E805" s="174"/>
      <c r="F805" s="27"/>
      <c r="G805" s="27"/>
      <c r="H805" s="27"/>
      <c r="I805" s="3"/>
      <c r="J805" s="3"/>
    </row>
    <row r="806" spans="1:10">
      <c r="A806" s="27"/>
      <c r="B806" s="27"/>
      <c r="C806" s="28"/>
      <c r="D806" s="28"/>
      <c r="E806" s="174"/>
      <c r="F806" s="27"/>
      <c r="G806" s="27"/>
      <c r="H806" s="27"/>
      <c r="I806" s="3"/>
      <c r="J806" s="3"/>
    </row>
    <row r="807" spans="1:10">
      <c r="A807" s="27"/>
      <c r="B807" s="27"/>
      <c r="C807" s="28"/>
      <c r="D807" s="28"/>
      <c r="E807" s="174"/>
      <c r="F807" s="27"/>
      <c r="G807" s="27"/>
      <c r="H807" s="27"/>
      <c r="I807" s="3"/>
      <c r="J807" s="3"/>
    </row>
    <row r="808" spans="1:10">
      <c r="A808" s="27"/>
      <c r="B808" s="27"/>
      <c r="C808" s="28"/>
      <c r="D808" s="28"/>
      <c r="E808" s="174"/>
      <c r="F808" s="27"/>
      <c r="G808" s="27"/>
      <c r="H808" s="27"/>
      <c r="I808" s="3"/>
      <c r="J808" s="3"/>
    </row>
    <row r="809" spans="1:10">
      <c r="A809" s="27"/>
      <c r="B809" s="27"/>
      <c r="C809" s="28"/>
      <c r="D809" s="28"/>
      <c r="E809" s="174"/>
      <c r="F809" s="27"/>
      <c r="G809" s="27"/>
      <c r="H809" s="27"/>
      <c r="I809" s="3"/>
      <c r="J809" s="3"/>
    </row>
    <row r="810" spans="1:10">
      <c r="A810" s="27"/>
      <c r="B810" s="27"/>
      <c r="C810" s="28"/>
      <c r="D810" s="28"/>
      <c r="E810" s="174"/>
      <c r="F810" s="27"/>
      <c r="G810" s="27"/>
      <c r="H810" s="27"/>
      <c r="I810" s="3"/>
      <c r="J810" s="3"/>
    </row>
    <row r="811" spans="1:10">
      <c r="A811" s="27"/>
      <c r="B811" s="27"/>
      <c r="C811" s="28"/>
      <c r="D811" s="28"/>
      <c r="E811" s="174"/>
      <c r="F811" s="27"/>
      <c r="G811" s="27"/>
      <c r="H811" s="27"/>
      <c r="I811" s="3"/>
      <c r="J811" s="3"/>
    </row>
    <row r="812" spans="1:10">
      <c r="A812" s="27"/>
      <c r="B812" s="27"/>
      <c r="C812" s="28"/>
      <c r="D812" s="28"/>
      <c r="E812" s="174"/>
      <c r="F812" s="27"/>
      <c r="G812" s="27"/>
      <c r="H812" s="27"/>
      <c r="I812" s="3"/>
      <c r="J812" s="3"/>
    </row>
    <row r="813" spans="1:10">
      <c r="A813" s="27"/>
      <c r="B813" s="27"/>
      <c r="C813" s="28"/>
      <c r="D813" s="28"/>
      <c r="E813" s="174"/>
      <c r="F813" s="27"/>
      <c r="G813" s="27"/>
      <c r="H813" s="27"/>
      <c r="I813" s="3"/>
      <c r="J813" s="3"/>
    </row>
    <row r="814" spans="1:10">
      <c r="A814" s="27"/>
      <c r="B814" s="27"/>
      <c r="C814" s="28"/>
      <c r="D814" s="28"/>
      <c r="E814" s="174"/>
      <c r="F814" s="27"/>
      <c r="G814" s="27"/>
      <c r="H814" s="27"/>
      <c r="I814" s="3"/>
      <c r="J814" s="3"/>
    </row>
    <row r="815" spans="1:10">
      <c r="A815" s="27"/>
      <c r="B815" s="27"/>
      <c r="C815" s="28"/>
      <c r="D815" s="28"/>
      <c r="E815" s="174"/>
      <c r="F815" s="27"/>
      <c r="G815" s="27"/>
      <c r="H815" s="27"/>
      <c r="I815" s="3"/>
      <c r="J815" s="3"/>
    </row>
    <row r="816" spans="1:10">
      <c r="A816" s="27"/>
      <c r="B816" s="27"/>
      <c r="C816" s="28"/>
      <c r="D816" s="28"/>
      <c r="E816" s="174"/>
      <c r="F816" s="27"/>
      <c r="G816" s="27"/>
      <c r="H816" s="27"/>
      <c r="I816" s="3"/>
      <c r="J816" s="3"/>
    </row>
    <row r="817" spans="1:10">
      <c r="A817" s="27"/>
      <c r="B817" s="27"/>
      <c r="C817" s="28"/>
      <c r="D817" s="28"/>
      <c r="E817" s="174"/>
      <c r="F817" s="27"/>
      <c r="G817" s="27"/>
      <c r="H817" s="27"/>
      <c r="I817" s="3"/>
      <c r="J817" s="3"/>
    </row>
    <row r="818" spans="1:10">
      <c r="A818" s="27"/>
      <c r="B818" s="27"/>
      <c r="C818" s="28"/>
      <c r="D818" s="28"/>
      <c r="E818" s="174"/>
      <c r="F818" s="27"/>
      <c r="G818" s="27"/>
      <c r="H818" s="27"/>
      <c r="I818" s="3"/>
      <c r="J818" s="3"/>
    </row>
    <row r="819" spans="1:10">
      <c r="A819" s="27"/>
      <c r="B819" s="27"/>
      <c r="C819" s="28"/>
      <c r="D819" s="28"/>
      <c r="E819" s="174"/>
      <c r="F819" s="27"/>
      <c r="G819" s="27"/>
      <c r="H819" s="27"/>
      <c r="I819" s="3"/>
      <c r="J819" s="3"/>
    </row>
    <row r="820" spans="1:10">
      <c r="A820" s="27"/>
      <c r="B820" s="27"/>
      <c r="C820" s="28"/>
      <c r="D820" s="28"/>
      <c r="E820" s="174"/>
      <c r="F820" s="27"/>
      <c r="G820" s="27"/>
      <c r="H820" s="27"/>
      <c r="I820" s="3"/>
      <c r="J820" s="3"/>
    </row>
    <row r="821" spans="1:10">
      <c r="A821" s="27"/>
      <c r="B821" s="27"/>
      <c r="C821" s="28"/>
      <c r="D821" s="28"/>
      <c r="E821" s="174"/>
      <c r="F821" s="27"/>
      <c r="G821" s="27"/>
      <c r="H821" s="27"/>
      <c r="I821" s="3"/>
      <c r="J821" s="3"/>
    </row>
    <row r="822" spans="1:10">
      <c r="A822" s="27"/>
      <c r="B822" s="27"/>
      <c r="C822" s="28"/>
      <c r="D822" s="28"/>
      <c r="E822" s="174"/>
      <c r="F822" s="27"/>
      <c r="G822" s="27"/>
      <c r="H822" s="27"/>
      <c r="I822" s="3"/>
      <c r="J822" s="3"/>
    </row>
    <row r="823" spans="1:10">
      <c r="A823" s="27"/>
      <c r="B823" s="27"/>
      <c r="C823" s="28"/>
      <c r="D823" s="28"/>
      <c r="E823" s="174"/>
      <c r="F823" s="27"/>
      <c r="G823" s="27"/>
      <c r="H823" s="27"/>
      <c r="I823" s="3"/>
      <c r="J823" s="3"/>
    </row>
    <row r="824" spans="1:10">
      <c r="A824" s="27"/>
      <c r="B824" s="27"/>
      <c r="C824" s="28"/>
      <c r="D824" s="28"/>
      <c r="E824" s="174"/>
      <c r="F824" s="27"/>
      <c r="G824" s="27"/>
      <c r="H824" s="27"/>
      <c r="I824" s="3"/>
      <c r="J824" s="3"/>
    </row>
    <row r="825" spans="1:10">
      <c r="A825" s="27"/>
      <c r="B825" s="27"/>
      <c r="C825" s="28"/>
      <c r="D825" s="28"/>
      <c r="E825" s="174"/>
      <c r="F825" s="27"/>
      <c r="G825" s="27"/>
      <c r="H825" s="27"/>
      <c r="I825" s="3"/>
      <c r="J825" s="3"/>
    </row>
    <row r="826" spans="1:10">
      <c r="A826" s="27"/>
      <c r="B826" s="27"/>
      <c r="C826" s="28"/>
      <c r="D826" s="28"/>
      <c r="E826" s="174"/>
      <c r="F826" s="27"/>
      <c r="G826" s="27"/>
      <c r="H826" s="27"/>
      <c r="I826" s="3"/>
      <c r="J826" s="3"/>
    </row>
    <row r="827" spans="1:10">
      <c r="A827" s="27"/>
      <c r="B827" s="27"/>
      <c r="C827" s="28"/>
      <c r="D827" s="28"/>
      <c r="E827" s="174"/>
      <c r="F827" s="27"/>
      <c r="G827" s="27"/>
      <c r="H827" s="27"/>
      <c r="I827" s="3"/>
      <c r="J827" s="3"/>
    </row>
    <row r="828" spans="1:10">
      <c r="A828" s="27"/>
      <c r="B828" s="27"/>
      <c r="C828" s="28"/>
      <c r="D828" s="28"/>
      <c r="E828" s="174"/>
      <c r="F828" s="27"/>
      <c r="G828" s="27"/>
      <c r="H828" s="27"/>
      <c r="I828" s="3"/>
      <c r="J828" s="3"/>
    </row>
    <row r="829" spans="1:10">
      <c r="A829" s="27"/>
      <c r="B829" s="27"/>
      <c r="C829" s="28"/>
      <c r="D829" s="28"/>
      <c r="E829" s="174"/>
      <c r="F829" s="27"/>
      <c r="G829" s="27"/>
      <c r="H829" s="27"/>
      <c r="I829" s="3"/>
      <c r="J829" s="3"/>
    </row>
    <row r="830" spans="1:10">
      <c r="A830" s="27"/>
      <c r="B830" s="27"/>
      <c r="C830" s="28"/>
      <c r="D830" s="28"/>
      <c r="E830" s="174"/>
      <c r="F830" s="27"/>
      <c r="G830" s="27"/>
      <c r="H830" s="27"/>
      <c r="I830" s="3"/>
      <c r="J830" s="3"/>
    </row>
    <row r="831" spans="1:10">
      <c r="A831" s="27"/>
      <c r="B831" s="27"/>
      <c r="C831" s="28"/>
      <c r="D831" s="28"/>
      <c r="E831" s="174"/>
      <c r="F831" s="27"/>
      <c r="G831" s="27"/>
      <c r="H831" s="27"/>
      <c r="I831" s="3"/>
      <c r="J831" s="3"/>
    </row>
    <row r="832" spans="1:10">
      <c r="A832" s="27"/>
      <c r="B832" s="27"/>
      <c r="C832" s="28"/>
      <c r="D832" s="28"/>
      <c r="E832" s="174"/>
      <c r="F832" s="27"/>
      <c r="G832" s="27"/>
      <c r="H832" s="27"/>
      <c r="I832" s="3"/>
      <c r="J832" s="3"/>
    </row>
    <row r="833" spans="1:10">
      <c r="A833" s="27"/>
      <c r="B833" s="27"/>
      <c r="C833" s="28"/>
      <c r="D833" s="28"/>
      <c r="E833" s="174"/>
      <c r="F833" s="27"/>
      <c r="G833" s="27"/>
      <c r="H833" s="27"/>
      <c r="I833" s="3"/>
      <c r="J833" s="3"/>
    </row>
    <row r="834" spans="1:10">
      <c r="A834" s="27"/>
      <c r="B834" s="27"/>
      <c r="C834" s="28"/>
      <c r="D834" s="28"/>
      <c r="E834" s="174"/>
      <c r="F834" s="27"/>
      <c r="G834" s="27"/>
      <c r="H834" s="27"/>
      <c r="I834" s="3"/>
      <c r="J834" s="3"/>
    </row>
    <row r="835" spans="1:10">
      <c r="A835" s="27"/>
      <c r="B835" s="27"/>
      <c r="C835" s="28"/>
      <c r="D835" s="28"/>
      <c r="E835" s="174"/>
      <c r="F835" s="27"/>
      <c r="G835" s="27"/>
      <c r="H835" s="27"/>
      <c r="I835" s="3"/>
      <c r="J835" s="3"/>
    </row>
    <row r="836" spans="1:10">
      <c r="A836" s="27"/>
      <c r="B836" s="27"/>
      <c r="C836" s="28"/>
      <c r="D836" s="28"/>
      <c r="E836" s="174"/>
      <c r="F836" s="27"/>
      <c r="G836" s="27"/>
      <c r="H836" s="27"/>
      <c r="I836" s="3"/>
      <c r="J836" s="3"/>
    </row>
    <row r="837" spans="1:10">
      <c r="A837" s="27"/>
      <c r="B837" s="27"/>
      <c r="C837" s="28"/>
      <c r="D837" s="28"/>
      <c r="E837" s="174"/>
      <c r="F837" s="27"/>
      <c r="G837" s="27"/>
      <c r="H837" s="27"/>
      <c r="I837" s="3"/>
      <c r="J837" s="3"/>
    </row>
    <row r="838" spans="1:10">
      <c r="A838" s="27"/>
      <c r="B838" s="27"/>
      <c r="C838" s="28"/>
      <c r="D838" s="28"/>
      <c r="E838" s="174"/>
      <c r="F838" s="27"/>
      <c r="G838" s="27"/>
      <c r="H838" s="27"/>
      <c r="I838" s="3"/>
      <c r="J838" s="3"/>
    </row>
    <row r="839" spans="1:10">
      <c r="A839" s="27"/>
      <c r="B839" s="27"/>
      <c r="C839" s="28"/>
      <c r="D839" s="28"/>
      <c r="E839" s="174"/>
      <c r="F839" s="27"/>
      <c r="G839" s="27"/>
      <c r="H839" s="27"/>
      <c r="I839" s="3"/>
      <c r="J839" s="3"/>
    </row>
    <row r="840" spans="1:10">
      <c r="A840" s="27"/>
      <c r="B840" s="27"/>
      <c r="C840" s="28"/>
      <c r="D840" s="28"/>
      <c r="E840" s="174"/>
      <c r="F840" s="27"/>
      <c r="G840" s="27"/>
      <c r="H840" s="27"/>
      <c r="I840" s="3"/>
      <c r="J840" s="3"/>
    </row>
    <row r="841" spans="1:10">
      <c r="A841" s="27"/>
      <c r="B841" s="27"/>
      <c r="C841" s="28"/>
      <c r="D841" s="28"/>
      <c r="E841" s="174"/>
      <c r="F841" s="27"/>
      <c r="G841" s="27"/>
      <c r="H841" s="27"/>
      <c r="I841" s="3"/>
      <c r="J841" s="3"/>
    </row>
    <row r="842" spans="1:10">
      <c r="A842" s="27"/>
      <c r="B842" s="27"/>
      <c r="C842" s="28"/>
      <c r="D842" s="28"/>
      <c r="E842" s="174"/>
      <c r="F842" s="27"/>
      <c r="G842" s="27"/>
      <c r="H842" s="27"/>
      <c r="I842" s="3"/>
      <c r="J842" s="3"/>
    </row>
    <row r="843" spans="1:10">
      <c r="A843" s="27"/>
      <c r="B843" s="27"/>
      <c r="C843" s="28"/>
      <c r="D843" s="28"/>
      <c r="E843" s="174"/>
      <c r="F843" s="27"/>
      <c r="G843" s="27"/>
      <c r="H843" s="27"/>
      <c r="I843" s="3"/>
      <c r="J843" s="3"/>
    </row>
    <row r="844" spans="1:10">
      <c r="A844" s="27"/>
      <c r="B844" s="27"/>
      <c r="C844" s="28"/>
      <c r="D844" s="28"/>
      <c r="E844" s="174"/>
      <c r="F844" s="27"/>
      <c r="G844" s="27"/>
      <c r="H844" s="27"/>
      <c r="I844" s="3"/>
      <c r="J844" s="3"/>
    </row>
    <row r="845" spans="1:10">
      <c r="A845" s="27"/>
      <c r="B845" s="27"/>
      <c r="C845" s="28"/>
      <c r="D845" s="28"/>
      <c r="E845" s="174"/>
      <c r="F845" s="27"/>
      <c r="G845" s="27"/>
      <c r="H845" s="27"/>
      <c r="I845" s="3"/>
      <c r="J845" s="3"/>
    </row>
    <row r="846" spans="1:10">
      <c r="A846" s="27"/>
      <c r="B846" s="27"/>
      <c r="C846" s="28"/>
      <c r="D846" s="28"/>
      <c r="E846" s="174"/>
      <c r="F846" s="27"/>
      <c r="G846" s="27"/>
      <c r="H846" s="27"/>
      <c r="I846" s="3"/>
      <c r="J846" s="3"/>
    </row>
    <row r="847" spans="1:10">
      <c r="A847" s="27"/>
      <c r="B847" s="27"/>
      <c r="C847" s="28"/>
      <c r="D847" s="28"/>
      <c r="E847" s="174"/>
      <c r="F847" s="27"/>
      <c r="G847" s="27"/>
      <c r="H847" s="27"/>
      <c r="I847" s="3"/>
      <c r="J847" s="3"/>
    </row>
    <row r="848" spans="1:10">
      <c r="A848" s="27"/>
      <c r="B848" s="27"/>
      <c r="C848" s="28"/>
      <c r="D848" s="28"/>
      <c r="E848" s="174"/>
      <c r="F848" s="27"/>
      <c r="G848" s="27"/>
      <c r="H848" s="27"/>
      <c r="I848" s="3"/>
      <c r="J848" s="3"/>
    </row>
    <row r="849" spans="1:10">
      <c r="A849" s="27"/>
      <c r="B849" s="27"/>
      <c r="C849" s="28"/>
      <c r="D849" s="28"/>
      <c r="E849" s="174"/>
      <c r="F849" s="27"/>
      <c r="G849" s="27"/>
      <c r="H849" s="27"/>
      <c r="I849" s="3"/>
      <c r="J849" s="3"/>
    </row>
    <row r="850" spans="1:10">
      <c r="A850" s="27"/>
      <c r="B850" s="27"/>
      <c r="C850" s="28"/>
      <c r="D850" s="28"/>
      <c r="E850" s="174"/>
      <c r="F850" s="27"/>
      <c r="G850" s="27"/>
      <c r="H850" s="27"/>
      <c r="I850" s="3"/>
      <c r="J850" s="3"/>
    </row>
    <row r="851" spans="1:10">
      <c r="A851" s="27"/>
      <c r="B851" s="27"/>
      <c r="C851" s="28"/>
      <c r="D851" s="28"/>
      <c r="E851" s="174"/>
      <c r="F851" s="27"/>
      <c r="G851" s="27"/>
      <c r="H851" s="27"/>
      <c r="I851" s="3"/>
      <c r="J851" s="3"/>
    </row>
    <row r="852" spans="1:10">
      <c r="A852" s="27"/>
      <c r="B852" s="27"/>
      <c r="C852" s="28"/>
      <c r="D852" s="28"/>
      <c r="E852" s="174"/>
      <c r="F852" s="27"/>
      <c r="G852" s="27"/>
      <c r="H852" s="27"/>
      <c r="I852" s="3"/>
      <c r="J852" s="3"/>
    </row>
    <row r="853" spans="1:10">
      <c r="A853" s="27"/>
      <c r="B853" s="27"/>
      <c r="C853" s="28"/>
      <c r="D853" s="28"/>
      <c r="E853" s="174"/>
      <c r="F853" s="27"/>
      <c r="G853" s="27"/>
      <c r="H853" s="27"/>
      <c r="I853" s="3"/>
      <c r="J853" s="3"/>
    </row>
    <row r="854" spans="1:10">
      <c r="A854" s="27"/>
      <c r="B854" s="27"/>
      <c r="C854" s="28"/>
      <c r="D854" s="28"/>
      <c r="E854" s="174"/>
      <c r="F854" s="27"/>
      <c r="G854" s="27"/>
      <c r="H854" s="27"/>
      <c r="I854" s="3"/>
      <c r="J854" s="3"/>
    </row>
    <row r="855" spans="1:10">
      <c r="A855" s="27"/>
      <c r="B855" s="27"/>
      <c r="C855" s="28"/>
      <c r="D855" s="28"/>
      <c r="E855" s="174"/>
      <c r="F855" s="27"/>
      <c r="G855" s="27"/>
      <c r="H855" s="27"/>
      <c r="I855" s="3"/>
      <c r="J855" s="3"/>
    </row>
    <row r="856" spans="1:10">
      <c r="A856" s="27"/>
      <c r="B856" s="27"/>
      <c r="C856" s="28"/>
      <c r="D856" s="28"/>
      <c r="E856" s="174"/>
      <c r="F856" s="27"/>
      <c r="G856" s="27"/>
      <c r="H856" s="27"/>
      <c r="I856" s="3"/>
      <c r="J856" s="3"/>
    </row>
    <row r="857" spans="1:10">
      <c r="A857" s="27"/>
      <c r="B857" s="27"/>
      <c r="C857" s="28"/>
      <c r="D857" s="28"/>
      <c r="E857" s="174"/>
      <c r="F857" s="27"/>
      <c r="G857" s="27"/>
      <c r="H857" s="27"/>
      <c r="I857" s="3"/>
      <c r="J857" s="3"/>
    </row>
    <row r="858" spans="1:10">
      <c r="A858" s="27"/>
      <c r="B858" s="27"/>
      <c r="C858" s="28"/>
      <c r="D858" s="28"/>
      <c r="E858" s="174"/>
      <c r="F858" s="27"/>
      <c r="G858" s="27"/>
      <c r="H858" s="27"/>
      <c r="I858" s="3"/>
      <c r="J858" s="3"/>
    </row>
    <row r="859" spans="1:10">
      <c r="A859" s="27"/>
      <c r="B859" s="27"/>
      <c r="C859" s="28"/>
      <c r="D859" s="28"/>
      <c r="E859" s="174"/>
      <c r="F859" s="27"/>
      <c r="G859" s="27"/>
      <c r="H859" s="27"/>
      <c r="I859" s="3"/>
      <c r="J859" s="3"/>
    </row>
    <row r="860" spans="1:10">
      <c r="A860" s="27"/>
      <c r="B860" s="27"/>
      <c r="C860" s="28"/>
      <c r="D860" s="28"/>
      <c r="E860" s="174"/>
      <c r="F860" s="27"/>
      <c r="G860" s="27"/>
      <c r="H860" s="27"/>
      <c r="I860" s="3"/>
      <c r="J860" s="3"/>
    </row>
    <row r="861" spans="1:10">
      <c r="A861" s="27"/>
      <c r="B861" s="27"/>
      <c r="C861" s="28"/>
      <c r="D861" s="28"/>
      <c r="E861" s="174"/>
      <c r="F861" s="27"/>
      <c r="G861" s="27"/>
      <c r="H861" s="27"/>
      <c r="I861" s="3"/>
      <c r="J861" s="3"/>
    </row>
    <row r="862" spans="1:10">
      <c r="A862" s="27"/>
      <c r="B862" s="27"/>
      <c r="C862" s="28"/>
      <c r="D862" s="28"/>
      <c r="E862" s="174"/>
      <c r="F862" s="27"/>
      <c r="G862" s="27"/>
      <c r="H862" s="27"/>
      <c r="I862" s="3"/>
      <c r="J862" s="3"/>
    </row>
    <row r="863" spans="1:10">
      <c r="A863" s="27"/>
      <c r="B863" s="27"/>
      <c r="C863" s="28"/>
      <c r="D863" s="28"/>
      <c r="E863" s="174"/>
      <c r="F863" s="27"/>
      <c r="G863" s="27"/>
      <c r="H863" s="27"/>
      <c r="I863" s="3"/>
      <c r="J863" s="3"/>
    </row>
    <row r="864" spans="1:10">
      <c r="A864" s="27"/>
      <c r="B864" s="27"/>
      <c r="C864" s="28"/>
      <c r="D864" s="28"/>
      <c r="E864" s="174"/>
      <c r="F864" s="27"/>
      <c r="G864" s="27"/>
      <c r="H864" s="27"/>
      <c r="I864" s="3"/>
      <c r="J864" s="3"/>
    </row>
    <row r="865" spans="1:10">
      <c r="A865" s="27"/>
      <c r="B865" s="27"/>
      <c r="C865" s="28"/>
      <c r="D865" s="28"/>
      <c r="E865" s="174"/>
      <c r="F865" s="27"/>
      <c r="G865" s="27"/>
      <c r="H865" s="27"/>
      <c r="I865" s="3"/>
      <c r="J865" s="3"/>
    </row>
    <row r="866" spans="1:10">
      <c r="A866" s="27"/>
      <c r="B866" s="27"/>
      <c r="C866" s="28"/>
      <c r="D866" s="28"/>
      <c r="E866" s="174"/>
      <c r="F866" s="27"/>
      <c r="G866" s="27"/>
      <c r="H866" s="27"/>
      <c r="I866" s="3"/>
      <c r="J866" s="3"/>
    </row>
    <row r="867" spans="1:10">
      <c r="A867" s="27"/>
      <c r="B867" s="27"/>
      <c r="C867" s="28"/>
      <c r="D867" s="28"/>
      <c r="E867" s="174"/>
      <c r="F867" s="27"/>
      <c r="G867" s="27"/>
      <c r="H867" s="27"/>
      <c r="I867" s="3"/>
      <c r="J867" s="3"/>
    </row>
    <row r="868" spans="1:10">
      <c r="A868" s="27"/>
      <c r="B868" s="27"/>
      <c r="C868" s="28"/>
      <c r="D868" s="28"/>
      <c r="E868" s="174"/>
      <c r="F868" s="27"/>
      <c r="G868" s="27"/>
      <c r="H868" s="27"/>
      <c r="I868" s="3"/>
      <c r="J868" s="3"/>
    </row>
    <row r="869" spans="1:10">
      <c r="A869" s="27"/>
      <c r="B869" s="27"/>
      <c r="C869" s="28"/>
      <c r="D869" s="28"/>
      <c r="E869" s="174"/>
      <c r="F869" s="27"/>
      <c r="G869" s="27"/>
      <c r="H869" s="27"/>
      <c r="I869" s="3"/>
      <c r="J869" s="3"/>
    </row>
    <row r="870" spans="1:10">
      <c r="A870" s="27"/>
      <c r="B870" s="27"/>
      <c r="C870" s="28"/>
      <c r="D870" s="28"/>
      <c r="E870" s="174"/>
      <c r="F870" s="27"/>
      <c r="G870" s="27"/>
      <c r="H870" s="27"/>
      <c r="I870" s="3"/>
      <c r="J870" s="3"/>
    </row>
    <row r="871" spans="1:10">
      <c r="A871" s="27"/>
      <c r="B871" s="27"/>
      <c r="C871" s="28"/>
      <c r="D871" s="28"/>
      <c r="E871" s="174"/>
      <c r="F871" s="27"/>
      <c r="G871" s="27"/>
      <c r="H871" s="27"/>
      <c r="I871" s="3"/>
      <c r="J871" s="3"/>
    </row>
    <row r="872" spans="1:10">
      <c r="A872" s="27"/>
      <c r="B872" s="27"/>
      <c r="C872" s="28"/>
      <c r="D872" s="28"/>
      <c r="E872" s="174"/>
      <c r="F872" s="27"/>
      <c r="G872" s="27"/>
      <c r="H872" s="27"/>
      <c r="I872" s="3"/>
      <c r="J872" s="3"/>
    </row>
    <row r="873" spans="1:10">
      <c r="A873" s="27"/>
      <c r="B873" s="27"/>
      <c r="C873" s="28"/>
      <c r="D873" s="28"/>
      <c r="E873" s="174"/>
      <c r="F873" s="27"/>
      <c r="G873" s="27"/>
      <c r="H873" s="27"/>
      <c r="I873" s="3"/>
      <c r="J873" s="3"/>
    </row>
    <row r="874" spans="1:10">
      <c r="A874" s="27"/>
      <c r="B874" s="27"/>
      <c r="C874" s="28"/>
      <c r="D874" s="28"/>
      <c r="E874" s="174"/>
      <c r="F874" s="27"/>
      <c r="G874" s="27"/>
      <c r="H874" s="27"/>
      <c r="I874" s="3"/>
      <c r="J874" s="3"/>
    </row>
    <row r="875" spans="1:10">
      <c r="A875" s="27"/>
      <c r="B875" s="27"/>
      <c r="C875" s="28"/>
      <c r="D875" s="28"/>
      <c r="E875" s="174"/>
      <c r="F875" s="27"/>
      <c r="G875" s="27"/>
      <c r="H875" s="27"/>
      <c r="I875" s="3"/>
      <c r="J875" s="3"/>
    </row>
    <row r="876" spans="1:10">
      <c r="A876" s="27"/>
      <c r="B876" s="27"/>
      <c r="C876" s="28"/>
      <c r="D876" s="28"/>
      <c r="E876" s="174"/>
      <c r="F876" s="27"/>
      <c r="G876" s="27"/>
      <c r="H876" s="27"/>
      <c r="I876" s="3"/>
      <c r="J876" s="3"/>
    </row>
    <row r="877" spans="1:10">
      <c r="A877" s="27"/>
      <c r="B877" s="27"/>
      <c r="C877" s="28"/>
      <c r="D877" s="28"/>
      <c r="E877" s="174"/>
      <c r="F877" s="27"/>
      <c r="G877" s="27"/>
      <c r="H877" s="27"/>
      <c r="I877" s="3"/>
      <c r="J877" s="3"/>
    </row>
    <row r="878" spans="1:10">
      <c r="A878" s="27"/>
      <c r="B878" s="27"/>
      <c r="C878" s="28"/>
      <c r="D878" s="28"/>
      <c r="E878" s="174"/>
      <c r="F878" s="27"/>
      <c r="G878" s="27"/>
      <c r="H878" s="27"/>
      <c r="I878" s="3"/>
      <c r="J878" s="3"/>
    </row>
    <row r="879" spans="1:10">
      <c r="A879" s="27"/>
      <c r="B879" s="27"/>
      <c r="C879" s="28"/>
      <c r="D879" s="28"/>
      <c r="E879" s="174"/>
      <c r="F879" s="27"/>
      <c r="G879" s="27"/>
      <c r="H879" s="27"/>
      <c r="I879" s="3"/>
      <c r="J879" s="3"/>
    </row>
    <row r="880" spans="1:10">
      <c r="A880" s="27"/>
      <c r="B880" s="27"/>
      <c r="C880" s="28"/>
      <c r="D880" s="28"/>
      <c r="E880" s="174"/>
      <c r="F880" s="27"/>
      <c r="G880" s="27"/>
      <c r="H880" s="27"/>
      <c r="I880" s="3"/>
      <c r="J880" s="3"/>
    </row>
    <row r="881" spans="1:10">
      <c r="A881" s="27"/>
      <c r="B881" s="27"/>
      <c r="C881" s="28"/>
      <c r="D881" s="28"/>
      <c r="E881" s="174"/>
      <c r="F881" s="27"/>
      <c r="G881" s="27"/>
      <c r="H881" s="27"/>
      <c r="I881" s="3"/>
      <c r="J881" s="3"/>
    </row>
    <row r="882" spans="1:10">
      <c r="A882" s="27"/>
      <c r="B882" s="27"/>
      <c r="C882" s="28"/>
      <c r="D882" s="28"/>
      <c r="E882" s="174"/>
      <c r="F882" s="27"/>
      <c r="G882" s="27"/>
      <c r="H882" s="27"/>
      <c r="I882" s="3"/>
      <c r="J882" s="3"/>
    </row>
    <row r="883" spans="1:10">
      <c r="A883" s="27"/>
      <c r="B883" s="27"/>
      <c r="C883" s="28"/>
      <c r="D883" s="28"/>
      <c r="E883" s="174"/>
      <c r="F883" s="27"/>
      <c r="G883" s="27"/>
      <c r="H883" s="27"/>
      <c r="I883" s="3"/>
      <c r="J883" s="3"/>
    </row>
    <row r="884" spans="1:10">
      <c r="A884" s="27"/>
      <c r="B884" s="27"/>
      <c r="C884" s="28"/>
      <c r="D884" s="28"/>
      <c r="E884" s="174"/>
      <c r="F884" s="27"/>
      <c r="G884" s="27"/>
      <c r="H884" s="27"/>
      <c r="I884" s="3"/>
      <c r="J884" s="3"/>
    </row>
    <row r="885" spans="1:10">
      <c r="A885" s="27"/>
      <c r="B885" s="27"/>
      <c r="C885" s="28"/>
      <c r="D885" s="28"/>
      <c r="E885" s="174"/>
      <c r="F885" s="27"/>
      <c r="G885" s="27"/>
      <c r="H885" s="27"/>
      <c r="I885" s="3"/>
      <c r="J885" s="3"/>
    </row>
    <row r="886" spans="1:10">
      <c r="A886" s="27"/>
      <c r="B886" s="27"/>
      <c r="C886" s="28"/>
      <c r="D886" s="28"/>
      <c r="E886" s="174"/>
      <c r="F886" s="27"/>
      <c r="G886" s="27"/>
      <c r="H886" s="27"/>
      <c r="I886" s="3"/>
      <c r="J886" s="3"/>
    </row>
    <row r="887" spans="1:10">
      <c r="A887" s="27"/>
      <c r="B887" s="27"/>
      <c r="C887" s="28"/>
      <c r="D887" s="28"/>
      <c r="E887" s="174"/>
      <c r="F887" s="27"/>
      <c r="G887" s="27"/>
      <c r="H887" s="27"/>
      <c r="I887" s="3"/>
      <c r="J887" s="3"/>
    </row>
    <row r="888" spans="1:10">
      <c r="A888" s="27"/>
      <c r="B888" s="27"/>
      <c r="C888" s="28"/>
      <c r="D888" s="28"/>
      <c r="E888" s="174"/>
      <c r="F888" s="27"/>
      <c r="G888" s="27"/>
      <c r="H888" s="27"/>
      <c r="I888" s="3"/>
      <c r="J888" s="3"/>
    </row>
    <row r="889" spans="1:10">
      <c r="A889" s="27"/>
      <c r="B889" s="27"/>
      <c r="C889" s="28"/>
      <c r="D889" s="28"/>
      <c r="E889" s="174"/>
      <c r="F889" s="27"/>
      <c r="G889" s="27"/>
      <c r="H889" s="27"/>
      <c r="I889" s="3"/>
      <c r="J889" s="3"/>
    </row>
    <row r="890" spans="1:10">
      <c r="A890" s="27"/>
      <c r="B890" s="27"/>
      <c r="C890" s="28"/>
      <c r="D890" s="28"/>
      <c r="E890" s="174"/>
      <c r="F890" s="27"/>
      <c r="G890" s="27"/>
      <c r="H890" s="27"/>
      <c r="I890" s="3"/>
      <c r="J890" s="3"/>
    </row>
    <row r="891" spans="1:10">
      <c r="A891" s="27"/>
      <c r="B891" s="27"/>
      <c r="C891" s="28"/>
      <c r="D891" s="28"/>
      <c r="E891" s="174"/>
      <c r="F891" s="27"/>
      <c r="G891" s="27"/>
      <c r="H891" s="27"/>
      <c r="I891" s="3"/>
      <c r="J891" s="3"/>
    </row>
    <row r="892" spans="1:10">
      <c r="A892" s="27"/>
      <c r="B892" s="27"/>
      <c r="C892" s="28"/>
      <c r="D892" s="28"/>
      <c r="E892" s="174"/>
      <c r="F892" s="27"/>
      <c r="G892" s="27"/>
      <c r="H892" s="27"/>
      <c r="I892" s="3"/>
      <c r="J892" s="3"/>
    </row>
    <row r="893" spans="1:10">
      <c r="A893" s="27"/>
      <c r="B893" s="27"/>
      <c r="C893" s="28"/>
      <c r="D893" s="28"/>
      <c r="E893" s="174"/>
      <c r="F893" s="27"/>
      <c r="G893" s="27"/>
      <c r="H893" s="27"/>
      <c r="I893" s="3"/>
      <c r="J893" s="3"/>
    </row>
    <row r="894" spans="1:10">
      <c r="A894" s="27"/>
      <c r="B894" s="27"/>
      <c r="C894" s="28"/>
      <c r="D894" s="28"/>
      <c r="E894" s="174"/>
      <c r="F894" s="27"/>
      <c r="G894" s="27"/>
      <c r="H894" s="27"/>
      <c r="I894" s="3"/>
      <c r="J894" s="3"/>
    </row>
    <row r="895" spans="1:10">
      <c r="A895" s="27"/>
      <c r="B895" s="27"/>
      <c r="C895" s="28"/>
      <c r="D895" s="28"/>
      <c r="E895" s="174"/>
      <c r="F895" s="27"/>
      <c r="G895" s="27"/>
      <c r="H895" s="27"/>
      <c r="I895" s="3"/>
      <c r="J895" s="3"/>
    </row>
    <row r="896" spans="1:10">
      <c r="A896" s="27"/>
      <c r="B896" s="27"/>
      <c r="C896" s="28"/>
      <c r="D896" s="28"/>
      <c r="E896" s="174"/>
      <c r="F896" s="27"/>
      <c r="G896" s="27"/>
      <c r="H896" s="27"/>
      <c r="I896" s="3"/>
      <c r="J896" s="3"/>
    </row>
    <row r="897" spans="1:10">
      <c r="A897" s="27"/>
      <c r="B897" s="27"/>
      <c r="C897" s="28"/>
      <c r="D897" s="28"/>
      <c r="E897" s="174"/>
      <c r="F897" s="27"/>
      <c r="G897" s="27"/>
      <c r="H897" s="27"/>
      <c r="I897" s="3"/>
      <c r="J897" s="3"/>
    </row>
    <row r="898" spans="1:10">
      <c r="A898" s="27"/>
      <c r="B898" s="27"/>
      <c r="C898" s="28"/>
      <c r="D898" s="28"/>
      <c r="E898" s="174"/>
      <c r="F898" s="27"/>
      <c r="G898" s="27"/>
      <c r="H898" s="27"/>
      <c r="I898" s="3"/>
      <c r="J898" s="3"/>
    </row>
    <row r="899" spans="1:10">
      <c r="A899" s="27"/>
      <c r="B899" s="27"/>
      <c r="C899" s="28"/>
      <c r="D899" s="28"/>
      <c r="E899" s="174"/>
      <c r="F899" s="27"/>
      <c r="G899" s="27"/>
      <c r="H899" s="27"/>
      <c r="I899" s="3"/>
      <c r="J899" s="3"/>
    </row>
    <row r="900" spans="1:10">
      <c r="A900" s="27"/>
      <c r="B900" s="27"/>
      <c r="C900" s="28"/>
      <c r="D900" s="28"/>
      <c r="E900" s="174"/>
      <c r="F900" s="27"/>
      <c r="G900" s="27"/>
      <c r="H900" s="27"/>
      <c r="I900" s="3"/>
      <c r="J900" s="3"/>
    </row>
    <row r="901" spans="1:10">
      <c r="A901" s="27"/>
      <c r="B901" s="27"/>
      <c r="C901" s="28"/>
      <c r="D901" s="28"/>
      <c r="E901" s="174"/>
      <c r="F901" s="27"/>
      <c r="G901" s="27"/>
      <c r="H901" s="27"/>
      <c r="I901" s="3"/>
      <c r="J901" s="3"/>
    </row>
    <row r="902" spans="1:10">
      <c r="A902" s="27"/>
      <c r="B902" s="27"/>
      <c r="C902" s="28"/>
      <c r="D902" s="28"/>
      <c r="E902" s="174"/>
      <c r="F902" s="27"/>
      <c r="G902" s="27"/>
      <c r="H902" s="27"/>
      <c r="I902" s="3"/>
      <c r="J902" s="3"/>
    </row>
    <row r="903" spans="1:10">
      <c r="A903" s="27"/>
      <c r="B903" s="27"/>
      <c r="C903" s="28"/>
      <c r="D903" s="28"/>
      <c r="E903" s="174"/>
      <c r="F903" s="27"/>
      <c r="G903" s="27"/>
      <c r="H903" s="27"/>
      <c r="I903" s="3"/>
      <c r="J903" s="3"/>
    </row>
    <row r="904" spans="1:10">
      <c r="A904" s="27"/>
      <c r="B904" s="27"/>
      <c r="C904" s="28"/>
      <c r="D904" s="28"/>
      <c r="E904" s="174"/>
      <c r="F904" s="27"/>
      <c r="G904" s="27"/>
      <c r="H904" s="27"/>
      <c r="I904" s="3"/>
      <c r="J904" s="3"/>
    </row>
    <row r="905" spans="1:10">
      <c r="A905" s="27"/>
      <c r="B905" s="27"/>
      <c r="C905" s="28"/>
      <c r="D905" s="28"/>
      <c r="E905" s="174"/>
      <c r="F905" s="27"/>
      <c r="G905" s="27"/>
      <c r="H905" s="27"/>
      <c r="I905" s="3"/>
      <c r="J905" s="3"/>
    </row>
    <row r="906" spans="1:10">
      <c r="A906" s="27"/>
      <c r="B906" s="27"/>
      <c r="C906" s="28"/>
      <c r="D906" s="28"/>
      <c r="E906" s="174"/>
      <c r="F906" s="27"/>
      <c r="G906" s="27"/>
      <c r="H906" s="27"/>
      <c r="I906" s="3"/>
      <c r="J906" s="3"/>
    </row>
    <row r="907" spans="1:10">
      <c r="A907" s="27"/>
      <c r="B907" s="27"/>
      <c r="C907" s="28"/>
      <c r="D907" s="28"/>
      <c r="E907" s="174"/>
      <c r="F907" s="27"/>
      <c r="G907" s="27"/>
      <c r="H907" s="27"/>
      <c r="I907" s="3"/>
      <c r="J907" s="3"/>
    </row>
    <row r="908" spans="1:10">
      <c r="A908" s="27"/>
      <c r="B908" s="27"/>
      <c r="C908" s="28"/>
      <c r="D908" s="28"/>
      <c r="E908" s="174"/>
      <c r="F908" s="27"/>
      <c r="G908" s="27"/>
      <c r="H908" s="27"/>
      <c r="I908" s="3"/>
      <c r="J908" s="3"/>
    </row>
    <row r="909" spans="1:10">
      <c r="A909" s="27"/>
      <c r="B909" s="27"/>
      <c r="C909" s="28"/>
      <c r="D909" s="28"/>
      <c r="E909" s="174"/>
      <c r="F909" s="27"/>
      <c r="G909" s="27"/>
      <c r="H909" s="27"/>
      <c r="I909" s="3"/>
      <c r="J909" s="3"/>
    </row>
    <row r="910" spans="1:10">
      <c r="A910" s="27"/>
      <c r="B910" s="27"/>
      <c r="C910" s="28"/>
      <c r="D910" s="28"/>
      <c r="E910" s="174"/>
      <c r="F910" s="27"/>
      <c r="G910" s="27"/>
      <c r="H910" s="27"/>
      <c r="I910" s="3"/>
      <c r="J910" s="3"/>
    </row>
    <row r="911" spans="1:10">
      <c r="A911" s="27"/>
      <c r="B911" s="27"/>
      <c r="C911" s="28"/>
      <c r="D911" s="28"/>
      <c r="E911" s="174"/>
      <c r="F911" s="27"/>
      <c r="G911" s="27"/>
      <c r="H911" s="27"/>
      <c r="I911" s="3"/>
      <c r="J911" s="3"/>
    </row>
    <row r="912" spans="1:10">
      <c r="A912" s="27"/>
      <c r="B912" s="27"/>
      <c r="C912" s="28"/>
      <c r="D912" s="28"/>
      <c r="E912" s="174"/>
      <c r="F912" s="27"/>
      <c r="G912" s="27"/>
      <c r="H912" s="27"/>
      <c r="I912" s="3"/>
      <c r="J912" s="3"/>
    </row>
    <row r="913" spans="1:10">
      <c r="A913" s="27"/>
      <c r="B913" s="27"/>
      <c r="C913" s="28"/>
      <c r="D913" s="28"/>
      <c r="E913" s="174"/>
      <c r="F913" s="27"/>
      <c r="G913" s="27"/>
      <c r="H913" s="27"/>
      <c r="I913" s="3"/>
      <c r="J913" s="3"/>
    </row>
    <row r="914" spans="1:10">
      <c r="A914" s="27"/>
      <c r="B914" s="27"/>
      <c r="C914" s="28"/>
      <c r="D914" s="28"/>
      <c r="E914" s="174"/>
      <c r="F914" s="27"/>
      <c r="G914" s="27"/>
      <c r="H914" s="27"/>
      <c r="I914" s="3"/>
      <c r="J914" s="3"/>
    </row>
    <row r="915" spans="1:10">
      <c r="A915" s="27"/>
      <c r="B915" s="27"/>
      <c r="C915" s="28"/>
      <c r="D915" s="28"/>
      <c r="E915" s="174"/>
      <c r="F915" s="27"/>
      <c r="G915" s="27"/>
      <c r="H915" s="27"/>
      <c r="I915" s="3"/>
      <c r="J915" s="3"/>
    </row>
    <row r="916" spans="1:10">
      <c r="A916" s="27"/>
      <c r="B916" s="27"/>
      <c r="C916" s="28"/>
      <c r="D916" s="28"/>
      <c r="E916" s="174"/>
      <c r="F916" s="27"/>
      <c r="G916" s="27"/>
      <c r="H916" s="27"/>
      <c r="I916" s="3"/>
      <c r="J916" s="3"/>
    </row>
    <row r="917" spans="1:10">
      <c r="A917" s="27"/>
      <c r="B917" s="27"/>
      <c r="C917" s="28"/>
      <c r="D917" s="28"/>
      <c r="E917" s="174"/>
      <c r="F917" s="27"/>
      <c r="G917" s="27"/>
      <c r="H917" s="27"/>
      <c r="I917" s="3"/>
      <c r="J917" s="3"/>
    </row>
    <row r="918" spans="1:10">
      <c r="A918" s="27"/>
      <c r="B918" s="27"/>
      <c r="C918" s="28"/>
      <c r="D918" s="28"/>
      <c r="E918" s="174"/>
      <c r="F918" s="27"/>
      <c r="G918" s="27"/>
      <c r="H918" s="27"/>
      <c r="I918" s="3"/>
      <c r="J918" s="3"/>
    </row>
    <row r="919" spans="1:10">
      <c r="A919" s="27"/>
      <c r="B919" s="27"/>
      <c r="C919" s="28"/>
      <c r="D919" s="28"/>
      <c r="E919" s="174"/>
      <c r="F919" s="27"/>
      <c r="G919" s="27"/>
      <c r="H919" s="27"/>
      <c r="I919" s="3"/>
      <c r="J919" s="3"/>
    </row>
    <row r="920" spans="1:10">
      <c r="A920" s="27"/>
      <c r="B920" s="27"/>
      <c r="C920" s="28"/>
      <c r="D920" s="28"/>
      <c r="E920" s="174"/>
      <c r="F920" s="27"/>
      <c r="G920" s="27"/>
      <c r="H920" s="27"/>
      <c r="I920" s="3"/>
      <c r="J920" s="3"/>
    </row>
    <row r="921" spans="1:10">
      <c r="A921" s="27"/>
      <c r="B921" s="27"/>
      <c r="C921" s="28"/>
      <c r="D921" s="28"/>
      <c r="E921" s="174"/>
      <c r="F921" s="27"/>
      <c r="G921" s="27"/>
      <c r="H921" s="27"/>
      <c r="I921" s="3"/>
      <c r="J921" s="3"/>
    </row>
    <row r="922" spans="1:10">
      <c r="A922" s="27"/>
      <c r="B922" s="27"/>
      <c r="C922" s="28"/>
      <c r="D922" s="28"/>
      <c r="E922" s="174"/>
      <c r="F922" s="27"/>
      <c r="G922" s="27"/>
      <c r="H922" s="27"/>
      <c r="I922" s="3"/>
      <c r="J922" s="3"/>
    </row>
    <row r="923" spans="1:10">
      <c r="A923" s="27"/>
      <c r="B923" s="27"/>
      <c r="C923" s="28"/>
      <c r="D923" s="28"/>
      <c r="E923" s="174"/>
      <c r="F923" s="27"/>
      <c r="G923" s="27"/>
      <c r="H923" s="27"/>
      <c r="I923" s="3"/>
      <c r="J923" s="3"/>
    </row>
    <row r="924" spans="1:10">
      <c r="A924" s="27"/>
      <c r="B924" s="27"/>
      <c r="C924" s="28"/>
      <c r="D924" s="28"/>
      <c r="E924" s="174"/>
      <c r="F924" s="27"/>
      <c r="G924" s="27"/>
      <c r="H924" s="27"/>
      <c r="I924" s="3"/>
      <c r="J924" s="3"/>
    </row>
    <row r="925" spans="1:10">
      <c r="A925" s="27"/>
      <c r="B925" s="27"/>
      <c r="C925" s="28"/>
      <c r="D925" s="28"/>
      <c r="E925" s="174"/>
      <c r="F925" s="27"/>
      <c r="G925" s="27"/>
      <c r="H925" s="27"/>
      <c r="I925" s="3"/>
      <c r="J925" s="3"/>
    </row>
    <row r="926" spans="1:10">
      <c r="A926" s="27"/>
      <c r="B926" s="27"/>
      <c r="C926" s="28"/>
      <c r="D926" s="28"/>
      <c r="E926" s="174"/>
      <c r="F926" s="27"/>
      <c r="G926" s="27"/>
      <c r="H926" s="27"/>
      <c r="I926" s="3"/>
      <c r="J926" s="3"/>
    </row>
    <row r="927" spans="1:10">
      <c r="A927" s="27"/>
      <c r="B927" s="27"/>
      <c r="C927" s="28"/>
      <c r="D927" s="28"/>
      <c r="E927" s="174"/>
      <c r="F927" s="27"/>
      <c r="G927" s="27"/>
      <c r="H927" s="27"/>
      <c r="I927" s="3"/>
      <c r="J927" s="3"/>
    </row>
    <row r="928" spans="1:10">
      <c r="A928" s="27"/>
      <c r="B928" s="27"/>
      <c r="C928" s="28"/>
      <c r="D928" s="28"/>
      <c r="E928" s="174"/>
      <c r="F928" s="27"/>
      <c r="G928" s="27"/>
      <c r="H928" s="27"/>
      <c r="I928" s="3"/>
      <c r="J928" s="3"/>
    </row>
    <row r="929" spans="1:10">
      <c r="A929" s="27"/>
      <c r="B929" s="27"/>
      <c r="C929" s="28"/>
      <c r="D929" s="28"/>
      <c r="E929" s="174"/>
      <c r="F929" s="27"/>
      <c r="G929" s="27"/>
      <c r="H929" s="27"/>
      <c r="I929" s="3"/>
      <c r="J929" s="3"/>
    </row>
    <row r="930" spans="1:10">
      <c r="A930" s="27"/>
      <c r="B930" s="27"/>
      <c r="C930" s="28"/>
      <c r="D930" s="28"/>
      <c r="E930" s="174"/>
      <c r="F930" s="27"/>
      <c r="G930" s="27"/>
      <c r="H930" s="27"/>
      <c r="I930" s="3"/>
      <c r="J930" s="3"/>
    </row>
    <row r="931" spans="1:10">
      <c r="A931" s="27"/>
      <c r="B931" s="27"/>
      <c r="C931" s="28"/>
      <c r="D931" s="28"/>
      <c r="E931" s="174"/>
      <c r="F931" s="27"/>
      <c r="G931" s="27"/>
      <c r="H931" s="27"/>
      <c r="I931" s="3"/>
      <c r="J931" s="3"/>
    </row>
    <row r="932" spans="1:10">
      <c r="A932" s="27"/>
      <c r="B932" s="27"/>
      <c r="C932" s="28"/>
      <c r="D932" s="28"/>
      <c r="E932" s="174"/>
      <c r="F932" s="27"/>
      <c r="G932" s="27"/>
      <c r="H932" s="27"/>
      <c r="I932" s="3"/>
      <c r="J932" s="3"/>
    </row>
    <row r="933" spans="1:10">
      <c r="A933" s="27"/>
      <c r="B933" s="27"/>
      <c r="C933" s="28"/>
      <c r="D933" s="28"/>
      <c r="E933" s="174"/>
      <c r="F933" s="27"/>
      <c r="G933" s="27"/>
      <c r="H933" s="27"/>
      <c r="I933" s="3"/>
      <c r="J933" s="3"/>
    </row>
    <row r="934" spans="1:10">
      <c r="A934" s="27"/>
      <c r="B934" s="27"/>
      <c r="C934" s="28"/>
      <c r="D934" s="28"/>
      <c r="E934" s="174"/>
      <c r="F934" s="27"/>
      <c r="G934" s="27"/>
      <c r="H934" s="27"/>
      <c r="I934" s="3"/>
      <c r="J934" s="3"/>
    </row>
    <row r="935" spans="1:10">
      <c r="A935" s="27"/>
      <c r="B935" s="27"/>
      <c r="C935" s="28"/>
      <c r="D935" s="28"/>
      <c r="E935" s="174"/>
      <c r="F935" s="27"/>
      <c r="G935" s="27"/>
      <c r="H935" s="27"/>
      <c r="I935" s="3"/>
      <c r="J935" s="3"/>
    </row>
    <row r="936" spans="1:10">
      <c r="A936" s="27"/>
      <c r="B936" s="27"/>
      <c r="C936" s="28"/>
      <c r="D936" s="28"/>
      <c r="E936" s="174"/>
      <c r="F936" s="27"/>
      <c r="G936" s="27"/>
      <c r="H936" s="27"/>
      <c r="I936" s="3"/>
      <c r="J936" s="3"/>
    </row>
    <row r="937" spans="1:10">
      <c r="A937" s="27"/>
      <c r="B937" s="27"/>
      <c r="C937" s="28"/>
      <c r="D937" s="28"/>
      <c r="E937" s="174"/>
      <c r="F937" s="27"/>
      <c r="G937" s="27"/>
      <c r="H937" s="27"/>
      <c r="I937" s="3"/>
      <c r="J937" s="3"/>
    </row>
    <row r="938" spans="1:10">
      <c r="A938" s="27"/>
      <c r="B938" s="27"/>
      <c r="C938" s="28"/>
      <c r="D938" s="28"/>
      <c r="E938" s="174"/>
      <c r="F938" s="27"/>
      <c r="G938" s="27"/>
      <c r="H938" s="27"/>
      <c r="I938" s="3"/>
      <c r="J938" s="3"/>
    </row>
    <row r="939" spans="1:10">
      <c r="A939" s="27"/>
      <c r="B939" s="27"/>
      <c r="C939" s="28"/>
      <c r="D939" s="28"/>
      <c r="E939" s="174"/>
      <c r="F939" s="27"/>
      <c r="G939" s="27"/>
      <c r="H939" s="27"/>
      <c r="I939" s="3"/>
      <c r="J939" s="3"/>
    </row>
    <row r="940" spans="1:10">
      <c r="A940" s="27"/>
      <c r="B940" s="27"/>
      <c r="C940" s="28"/>
      <c r="D940" s="28"/>
      <c r="E940" s="174"/>
      <c r="F940" s="27"/>
      <c r="G940" s="27"/>
      <c r="H940" s="27"/>
      <c r="I940" s="3"/>
      <c r="J940" s="3"/>
    </row>
    <row r="941" spans="1:10">
      <c r="A941" s="27"/>
      <c r="B941" s="27"/>
      <c r="C941" s="28"/>
      <c r="D941" s="28"/>
      <c r="E941" s="174"/>
      <c r="F941" s="27"/>
      <c r="G941" s="27"/>
      <c r="H941" s="27"/>
      <c r="I941" s="3"/>
      <c r="J941" s="3"/>
    </row>
    <row r="942" spans="1:10">
      <c r="A942" s="27"/>
      <c r="B942" s="27"/>
      <c r="C942" s="28"/>
      <c r="D942" s="28"/>
      <c r="E942" s="174"/>
      <c r="F942" s="27"/>
      <c r="G942" s="27"/>
      <c r="H942" s="27"/>
      <c r="I942" s="3"/>
      <c r="J942" s="3"/>
    </row>
    <row r="943" spans="1:10">
      <c r="A943" s="27"/>
      <c r="B943" s="27"/>
      <c r="C943" s="28"/>
      <c r="D943" s="28"/>
      <c r="E943" s="174"/>
      <c r="F943" s="27"/>
      <c r="G943" s="27"/>
      <c r="H943" s="27"/>
      <c r="I943" s="3"/>
      <c r="J943" s="3"/>
    </row>
    <row r="944" spans="1:10">
      <c r="A944" s="27"/>
      <c r="B944" s="27"/>
      <c r="C944" s="28"/>
      <c r="D944" s="28"/>
      <c r="E944" s="174"/>
      <c r="F944" s="27"/>
      <c r="G944" s="27"/>
      <c r="H944" s="27"/>
      <c r="I944" s="3"/>
      <c r="J944" s="3"/>
    </row>
    <row r="945" spans="1:10">
      <c r="A945" s="27"/>
      <c r="B945" s="27"/>
      <c r="C945" s="28"/>
      <c r="D945" s="28"/>
      <c r="E945" s="174"/>
      <c r="F945" s="27"/>
      <c r="G945" s="27"/>
      <c r="H945" s="27"/>
      <c r="I945" s="3"/>
      <c r="J945" s="3"/>
    </row>
    <row r="946" spans="1:10">
      <c r="A946" s="27"/>
      <c r="B946" s="27"/>
      <c r="C946" s="28"/>
      <c r="D946" s="28"/>
      <c r="E946" s="174"/>
      <c r="F946" s="27"/>
      <c r="G946" s="27"/>
      <c r="H946" s="27"/>
      <c r="I946" s="3"/>
      <c r="J946" s="3"/>
    </row>
    <row r="947" spans="1:10">
      <c r="A947" s="27"/>
      <c r="B947" s="27"/>
      <c r="C947" s="28"/>
      <c r="D947" s="28"/>
      <c r="E947" s="174"/>
      <c r="F947" s="27"/>
      <c r="G947" s="27"/>
      <c r="H947" s="27"/>
      <c r="I947" s="3"/>
      <c r="J947" s="3"/>
    </row>
    <row r="948" spans="1:10">
      <c r="A948" s="27"/>
      <c r="B948" s="27"/>
      <c r="C948" s="28"/>
      <c r="D948" s="28"/>
      <c r="E948" s="174"/>
      <c r="F948" s="27"/>
      <c r="G948" s="27"/>
      <c r="H948" s="27"/>
      <c r="I948" s="3"/>
      <c r="J948" s="3"/>
    </row>
  </sheetData>
  <autoFilter xmlns:etc="http://www.wps.cn/officeDocument/2017/etCustomData" ref="A4:K200"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C00000"/>
    <pageSetUpPr fitToPage="1"/>
  </sheetPr>
  <dimension ref="A1:J971"/>
  <sheetViews>
    <sheetView showGridLines="0" view="pageBreakPreview" zoomScale="60" zoomScaleNormal="100" topLeftCell="A176" workbookViewId="0">
      <selection activeCell="K195" sqref="K195"/>
    </sheetView>
  </sheetViews>
  <sheetFormatPr defaultColWidth="9.12962962962963" defaultRowHeight="13.8"/>
  <cols>
    <col min="1" max="1" width="7.62962962962963" style="31" customWidth="1"/>
    <col min="2" max="2" width="39.5" style="27" customWidth="1"/>
    <col min="3" max="4" width="30.75" style="32" customWidth="1"/>
    <col min="5" max="8" width="13.8796296296296" style="45" customWidth="1"/>
    <col min="9" max="9" width="15.25" style="31" customWidth="1"/>
    <col min="10" max="16384" width="9.12962962962963" style="31"/>
  </cols>
  <sheetData>
    <row r="1" spans="1:9">
      <c r="A1" s="6" t="s">
        <v>1424</v>
      </c>
      <c r="B1" s="6"/>
      <c r="C1" s="7"/>
      <c r="D1" s="7"/>
      <c r="E1" s="6"/>
      <c r="F1" s="6"/>
      <c r="G1" s="6"/>
      <c r="H1" s="6"/>
    </row>
    <row r="2" spans="1:9">
      <c r="A2" s="8" t="s">
        <v>4</v>
      </c>
      <c r="B2" s="8"/>
      <c r="C2" s="8"/>
      <c r="D2" s="8"/>
      <c r="E2" s="34"/>
      <c r="F2" s="34"/>
      <c r="G2" s="34"/>
      <c r="H2" s="34"/>
    </row>
    <row r="3" spans="1:9">
      <c r="A3" s="9" t="s">
        <v>5</v>
      </c>
      <c r="B3" s="9" t="s">
        <v>6</v>
      </c>
      <c r="C3" s="9" t="s">
        <v>7</v>
      </c>
      <c r="D3" s="9"/>
      <c r="E3" s="10" t="s">
        <v>8</v>
      </c>
      <c r="F3" s="10"/>
      <c r="G3" s="10"/>
      <c r="H3" s="10"/>
    </row>
    <row r="4" spans="1:9">
      <c r="A4" s="11"/>
      <c r="B4" s="11"/>
      <c r="C4" s="9" t="s">
        <v>9</v>
      </c>
      <c r="D4" s="9" t="s">
        <v>10</v>
      </c>
      <c r="E4" s="10" t="s">
        <v>11</v>
      </c>
      <c r="F4" s="10" t="s">
        <v>12</v>
      </c>
      <c r="G4" s="10" t="s">
        <v>13</v>
      </c>
      <c r="H4" s="10" t="s">
        <v>14</v>
      </c>
    </row>
    <row r="5" spans="1:9">
      <c r="A5" s="39" t="s">
        <v>15</v>
      </c>
      <c r="B5" s="13"/>
      <c r="C5" s="15"/>
      <c r="D5" s="15"/>
      <c r="E5" s="10" t="s">
        <v>16</v>
      </c>
      <c r="F5" s="10" t="s">
        <v>16</v>
      </c>
      <c r="G5" s="10" t="s">
        <v>16</v>
      </c>
      <c r="H5" s="10" t="s">
        <v>16</v>
      </c>
    </row>
    <row r="6" spans="1:9">
      <c r="A6" s="16">
        <v>1</v>
      </c>
      <c r="B6" s="18" t="s">
        <v>1425</v>
      </c>
      <c r="C6" s="18" t="s">
        <v>1426</v>
      </c>
      <c r="D6" s="18" t="s">
        <v>1427</v>
      </c>
      <c r="E6" s="21">
        <v>23250000</v>
      </c>
      <c r="F6" s="21">
        <v>13000000</v>
      </c>
      <c r="G6" s="21">
        <v>8600000</v>
      </c>
      <c r="H6" s="21">
        <v>5600000</v>
      </c>
    </row>
    <row r="7" spans="1:9">
      <c r="A7" s="16">
        <v>2</v>
      </c>
      <c r="B7" s="18" t="s">
        <v>1428</v>
      </c>
      <c r="C7" s="18" t="s">
        <v>1429</v>
      </c>
      <c r="D7" s="18" t="s">
        <v>1430</v>
      </c>
      <c r="E7" s="21">
        <v>7800000</v>
      </c>
      <c r="F7" s="21">
        <v>4400000</v>
      </c>
      <c r="G7" s="21">
        <v>2900000</v>
      </c>
      <c r="H7" s="21">
        <v>1850000</v>
      </c>
    </row>
    <row r="8" spans="1:9">
      <c r="A8" s="16"/>
      <c r="B8" s="18" t="s">
        <v>1428</v>
      </c>
      <c r="C8" s="18" t="s">
        <v>1430</v>
      </c>
      <c r="D8" s="18" t="s">
        <v>1431</v>
      </c>
      <c r="E8" s="21">
        <v>5300000</v>
      </c>
      <c r="F8" s="21">
        <v>2950000</v>
      </c>
      <c r="G8" s="21">
        <v>1950000</v>
      </c>
      <c r="H8" s="21">
        <v>1250000</v>
      </c>
    </row>
    <row r="9" spans="1:9">
      <c r="A9" s="16"/>
      <c r="B9" s="18" t="s">
        <v>1428</v>
      </c>
      <c r="C9" s="18" t="s">
        <v>1431</v>
      </c>
      <c r="D9" s="18" t="s">
        <v>1432</v>
      </c>
      <c r="E9" s="23">
        <v>3250000</v>
      </c>
      <c r="F9" s="23">
        <v>1800000</v>
      </c>
      <c r="G9" s="23">
        <v>1200000</v>
      </c>
      <c r="H9" s="23">
        <v>800000</v>
      </c>
    </row>
    <row r="10" spans="1:9">
      <c r="A10" s="16">
        <v>3</v>
      </c>
      <c r="B10" s="144" t="s">
        <v>1433</v>
      </c>
      <c r="C10" s="144" t="s">
        <v>1434</v>
      </c>
      <c r="D10" s="144" t="s">
        <v>1435</v>
      </c>
      <c r="E10" s="23">
        <v>3250000</v>
      </c>
      <c r="F10" s="23">
        <v>1800000</v>
      </c>
      <c r="G10" s="23">
        <v>1200000</v>
      </c>
      <c r="H10" s="23">
        <v>800000</v>
      </c>
      <c r="I10" s="163" t="s">
        <v>50</v>
      </c>
    </row>
    <row r="11" spans="1:9">
      <c r="A11" s="16">
        <v>4</v>
      </c>
      <c r="B11" s="18" t="s">
        <v>1436</v>
      </c>
      <c r="C11" s="18" t="s">
        <v>1437</v>
      </c>
      <c r="D11" s="18" t="s">
        <v>1438</v>
      </c>
      <c r="E11" s="23">
        <v>3250000</v>
      </c>
      <c r="F11" s="23">
        <v>1800000</v>
      </c>
      <c r="G11" s="23">
        <v>1200000</v>
      </c>
      <c r="H11" s="23">
        <v>800000</v>
      </c>
    </row>
    <row r="12" spans="1:9">
      <c r="A12" s="16">
        <v>5</v>
      </c>
      <c r="B12" s="18" t="s">
        <v>1439</v>
      </c>
      <c r="C12" s="18" t="s">
        <v>1440</v>
      </c>
      <c r="D12" s="18" t="s">
        <v>749</v>
      </c>
      <c r="E12" s="23">
        <v>6900000</v>
      </c>
      <c r="F12" s="23">
        <v>3850000</v>
      </c>
      <c r="G12" s="23">
        <v>2550000</v>
      </c>
      <c r="H12" s="23">
        <v>1650000</v>
      </c>
    </row>
    <row r="13" spans="1:9">
      <c r="A13" s="16"/>
      <c r="B13" s="18" t="s">
        <v>1439</v>
      </c>
      <c r="C13" s="18" t="s">
        <v>749</v>
      </c>
      <c r="D13" s="18" t="s">
        <v>1437</v>
      </c>
      <c r="E13" s="23">
        <v>5300000</v>
      </c>
      <c r="F13" s="23">
        <v>2950000</v>
      </c>
      <c r="G13" s="23">
        <v>1950000</v>
      </c>
      <c r="H13" s="23">
        <v>1250000</v>
      </c>
    </row>
    <row r="14" spans="1:9">
      <c r="A14" s="16">
        <v>6</v>
      </c>
      <c r="B14" s="18" t="s">
        <v>1440</v>
      </c>
      <c r="C14" s="18" t="s">
        <v>1441</v>
      </c>
      <c r="D14" s="18" t="s">
        <v>1442</v>
      </c>
      <c r="E14" s="23">
        <v>10600000</v>
      </c>
      <c r="F14" s="23">
        <v>5950000</v>
      </c>
      <c r="G14" s="23">
        <v>3900000</v>
      </c>
      <c r="H14" s="23">
        <v>2550000</v>
      </c>
    </row>
    <row r="15" spans="1:9">
      <c r="A15" s="16"/>
      <c r="B15" s="18" t="s">
        <v>1440</v>
      </c>
      <c r="C15" s="18" t="s">
        <v>1442</v>
      </c>
      <c r="D15" s="18" t="s">
        <v>1443</v>
      </c>
      <c r="E15" s="23">
        <v>7800000</v>
      </c>
      <c r="F15" s="23">
        <v>4400000</v>
      </c>
      <c r="G15" s="23">
        <v>2900000</v>
      </c>
      <c r="H15" s="23">
        <v>1850000</v>
      </c>
    </row>
    <row r="16" spans="1:9">
      <c r="A16" s="16"/>
      <c r="B16" s="18" t="s">
        <v>1440</v>
      </c>
      <c r="C16" s="18" t="s">
        <v>1443</v>
      </c>
      <c r="D16" s="18" t="s">
        <v>810</v>
      </c>
      <c r="E16" s="23">
        <v>6900000</v>
      </c>
      <c r="F16" s="23">
        <v>3850000</v>
      </c>
      <c r="G16" s="23">
        <v>2550000</v>
      </c>
      <c r="H16" s="23">
        <v>1650000</v>
      </c>
    </row>
    <row r="17" spans="1:9">
      <c r="A17" s="16"/>
      <c r="B17" s="18" t="s">
        <v>1440</v>
      </c>
      <c r="C17" s="18" t="s">
        <v>810</v>
      </c>
      <c r="D17" s="18" t="s">
        <v>1444</v>
      </c>
      <c r="E17" s="23">
        <v>3250000</v>
      </c>
      <c r="F17" s="23">
        <v>1800000</v>
      </c>
      <c r="G17" s="23">
        <v>1200000</v>
      </c>
      <c r="H17" s="23">
        <v>800000</v>
      </c>
    </row>
    <row r="18" spans="1:9">
      <c r="A18" s="16"/>
      <c r="B18" s="18" t="s">
        <v>1440</v>
      </c>
      <c r="C18" s="18" t="s">
        <v>1444</v>
      </c>
      <c r="D18" s="18" t="s">
        <v>1445</v>
      </c>
      <c r="E18" s="23">
        <v>3250000</v>
      </c>
      <c r="F18" s="23">
        <v>1800000</v>
      </c>
      <c r="G18" s="23">
        <v>1200000</v>
      </c>
      <c r="H18" s="23">
        <v>800000</v>
      </c>
    </row>
    <row r="19" spans="1:9">
      <c r="A19" s="16">
        <v>7</v>
      </c>
      <c r="B19" s="18" t="s">
        <v>1446</v>
      </c>
      <c r="C19" s="18" t="s">
        <v>1447</v>
      </c>
      <c r="D19" s="18" t="s">
        <v>1448</v>
      </c>
      <c r="E19" s="23">
        <v>5300000</v>
      </c>
      <c r="F19" s="23">
        <v>2950000</v>
      </c>
      <c r="G19" s="23">
        <v>1950000</v>
      </c>
      <c r="H19" s="23">
        <v>1250000</v>
      </c>
    </row>
    <row r="20" spans="1:9">
      <c r="A20" s="16">
        <v>8</v>
      </c>
      <c r="B20" s="18" t="s">
        <v>1449</v>
      </c>
      <c r="C20" s="18" t="s">
        <v>1450</v>
      </c>
      <c r="D20" s="18" t="s">
        <v>1451</v>
      </c>
      <c r="E20" s="23">
        <v>6900000</v>
      </c>
      <c r="F20" s="23">
        <v>3850000</v>
      </c>
      <c r="G20" s="23">
        <v>2550000</v>
      </c>
      <c r="H20" s="23">
        <v>1650000</v>
      </c>
    </row>
    <row r="21" spans="1:9">
      <c r="A21" s="16">
        <v>9</v>
      </c>
      <c r="B21" s="144" t="s">
        <v>1452</v>
      </c>
      <c r="C21" s="144" t="s">
        <v>1453</v>
      </c>
      <c r="D21" s="144" t="s">
        <v>1441</v>
      </c>
      <c r="E21" s="23">
        <v>36300000</v>
      </c>
      <c r="F21" s="23">
        <v>20350000</v>
      </c>
      <c r="G21" s="23">
        <v>13450000</v>
      </c>
      <c r="H21" s="23">
        <v>8700000</v>
      </c>
      <c r="I21" s="31" t="s">
        <v>50</v>
      </c>
    </row>
    <row r="22" spans="1:9">
      <c r="A22" s="16">
        <v>10</v>
      </c>
      <c r="B22" s="18" t="s">
        <v>1454</v>
      </c>
      <c r="C22" s="18" t="s">
        <v>1455</v>
      </c>
      <c r="D22" s="18" t="s">
        <v>1425</v>
      </c>
      <c r="E22" s="23">
        <v>26050000</v>
      </c>
      <c r="F22" s="23">
        <v>14600000</v>
      </c>
      <c r="G22" s="23">
        <v>9650000</v>
      </c>
      <c r="H22" s="23">
        <v>6250000</v>
      </c>
    </row>
    <row r="23" spans="1:9">
      <c r="A23" s="16">
        <v>11</v>
      </c>
      <c r="B23" s="18" t="s">
        <v>1456</v>
      </c>
      <c r="C23" s="18" t="s">
        <v>1455</v>
      </c>
      <c r="D23" s="18" t="s">
        <v>1425</v>
      </c>
      <c r="E23" s="23">
        <v>23250000</v>
      </c>
      <c r="F23" s="23">
        <v>13000000</v>
      </c>
      <c r="G23" s="23">
        <v>8600000</v>
      </c>
      <c r="H23" s="23">
        <v>5600000</v>
      </c>
    </row>
    <row r="24" spans="1:9">
      <c r="A24" s="16">
        <v>12</v>
      </c>
      <c r="B24" s="18" t="s">
        <v>1457</v>
      </c>
      <c r="C24" s="18" t="s">
        <v>1458</v>
      </c>
      <c r="D24" s="18" t="s">
        <v>1459</v>
      </c>
      <c r="E24" s="23">
        <v>5300000</v>
      </c>
      <c r="F24" s="23">
        <v>2950000</v>
      </c>
      <c r="G24" s="23">
        <v>1950000</v>
      </c>
      <c r="H24" s="23">
        <v>1250000</v>
      </c>
    </row>
    <row r="25" spans="1:9">
      <c r="A25" s="16">
        <v>13</v>
      </c>
      <c r="B25" s="144" t="s">
        <v>1460</v>
      </c>
      <c r="C25" s="144" t="s">
        <v>1461</v>
      </c>
      <c r="D25" s="144" t="s">
        <v>1462</v>
      </c>
      <c r="E25" s="23">
        <v>6900000</v>
      </c>
      <c r="F25" s="23">
        <v>3850000</v>
      </c>
      <c r="G25" s="23">
        <v>2550000</v>
      </c>
      <c r="H25" s="23">
        <v>1650000</v>
      </c>
      <c r="I25" s="31" t="s">
        <v>50</v>
      </c>
    </row>
    <row r="26" spans="1:9">
      <c r="A26" s="16">
        <v>14</v>
      </c>
      <c r="B26" s="18" t="s">
        <v>1463</v>
      </c>
      <c r="C26" s="18" t="s">
        <v>1464</v>
      </c>
      <c r="D26" s="18" t="s">
        <v>1458</v>
      </c>
      <c r="E26" s="23">
        <v>5300000</v>
      </c>
      <c r="F26" s="23">
        <v>2950000</v>
      </c>
      <c r="G26" s="23">
        <v>1950000</v>
      </c>
      <c r="H26" s="23">
        <v>1250000</v>
      </c>
    </row>
    <row r="27" spans="1:9">
      <c r="A27" s="16">
        <v>15</v>
      </c>
      <c r="B27" s="18" t="s">
        <v>1465</v>
      </c>
      <c r="C27" s="18" t="s">
        <v>1466</v>
      </c>
      <c r="D27" s="18" t="s">
        <v>1458</v>
      </c>
      <c r="E27" s="23">
        <v>10600000</v>
      </c>
      <c r="F27" s="23">
        <v>5950000</v>
      </c>
      <c r="G27" s="23">
        <v>3900000</v>
      </c>
      <c r="H27" s="23">
        <v>2550000</v>
      </c>
    </row>
    <row r="28" spans="1:9">
      <c r="A28" s="16">
        <v>16</v>
      </c>
      <c r="B28" s="18" t="s">
        <v>1467</v>
      </c>
      <c r="C28" s="18" t="s">
        <v>1468</v>
      </c>
      <c r="D28" s="18" t="s">
        <v>1469</v>
      </c>
      <c r="E28" s="23">
        <v>6900000</v>
      </c>
      <c r="F28" s="23">
        <v>3850000</v>
      </c>
      <c r="G28" s="23">
        <v>2550000</v>
      </c>
      <c r="H28" s="23">
        <v>1650000</v>
      </c>
    </row>
    <row r="29" spans="1:9">
      <c r="A29" s="16"/>
      <c r="B29" s="18" t="s">
        <v>1467</v>
      </c>
      <c r="C29" s="18" t="s">
        <v>1469</v>
      </c>
      <c r="D29" s="18" t="s">
        <v>1470</v>
      </c>
      <c r="E29" s="23">
        <v>5300000</v>
      </c>
      <c r="F29" s="23">
        <v>2950000</v>
      </c>
      <c r="G29" s="23">
        <v>1950000</v>
      </c>
      <c r="H29" s="23">
        <v>1250000</v>
      </c>
    </row>
    <row r="30" spans="1:9">
      <c r="A30" s="16">
        <v>17</v>
      </c>
      <c r="B30" s="18" t="s">
        <v>1471</v>
      </c>
      <c r="C30" s="18" t="s">
        <v>1447</v>
      </c>
      <c r="D30" s="18" t="s">
        <v>1472</v>
      </c>
      <c r="E30" s="23">
        <v>5300000</v>
      </c>
      <c r="F30" s="23">
        <v>2950000</v>
      </c>
      <c r="G30" s="23">
        <v>1950000</v>
      </c>
      <c r="H30" s="23">
        <v>1250000</v>
      </c>
    </row>
    <row r="31" spans="1:9">
      <c r="A31" s="16">
        <v>18</v>
      </c>
      <c r="B31" s="18" t="s">
        <v>1473</v>
      </c>
      <c r="C31" s="18" t="s">
        <v>1474</v>
      </c>
      <c r="D31" s="18" t="s">
        <v>1475</v>
      </c>
      <c r="E31" s="23">
        <v>6900000</v>
      </c>
      <c r="F31" s="23">
        <v>3850000</v>
      </c>
      <c r="G31" s="23">
        <v>2550000</v>
      </c>
      <c r="H31" s="23">
        <v>1650000</v>
      </c>
    </row>
    <row r="32" spans="1:9">
      <c r="A32" s="16">
        <v>19</v>
      </c>
      <c r="B32" s="18" t="s">
        <v>1474</v>
      </c>
      <c r="C32" s="18" t="s">
        <v>1426</v>
      </c>
      <c r="D32" s="18" t="s">
        <v>1468</v>
      </c>
      <c r="E32" s="23">
        <v>13250000</v>
      </c>
      <c r="F32" s="23">
        <v>7400000</v>
      </c>
      <c r="G32" s="23">
        <v>4900000</v>
      </c>
      <c r="H32" s="23">
        <v>3200000</v>
      </c>
    </row>
    <row r="33" spans="1:9">
      <c r="A33" s="16">
        <v>20</v>
      </c>
      <c r="B33" s="18" t="s">
        <v>1476</v>
      </c>
      <c r="C33" s="18" t="s">
        <v>1426</v>
      </c>
      <c r="D33" s="18" t="s">
        <v>1477</v>
      </c>
      <c r="E33" s="23">
        <v>6900000</v>
      </c>
      <c r="F33" s="23">
        <v>3850000</v>
      </c>
      <c r="G33" s="23">
        <v>2550000</v>
      </c>
      <c r="H33" s="23">
        <v>1650000</v>
      </c>
    </row>
    <row r="34" spans="1:9">
      <c r="A34" s="16">
        <v>21</v>
      </c>
      <c r="B34" s="18" t="s">
        <v>1478</v>
      </c>
      <c r="C34" s="18" t="s">
        <v>1479</v>
      </c>
      <c r="D34" s="18" t="s">
        <v>1480</v>
      </c>
      <c r="E34" s="23">
        <v>6900000</v>
      </c>
      <c r="F34" s="23">
        <v>3850000</v>
      </c>
      <c r="G34" s="23">
        <v>2550000</v>
      </c>
      <c r="H34" s="23">
        <v>1650000</v>
      </c>
    </row>
    <row r="35" spans="1:9">
      <c r="A35" s="16"/>
      <c r="B35" s="18" t="s">
        <v>1478</v>
      </c>
      <c r="C35" s="18" t="s">
        <v>1480</v>
      </c>
      <c r="D35" s="18" t="s">
        <v>1481</v>
      </c>
      <c r="E35" s="23">
        <v>5300000</v>
      </c>
      <c r="F35" s="23">
        <v>2950000</v>
      </c>
      <c r="G35" s="23">
        <v>1950000</v>
      </c>
      <c r="H35" s="23">
        <v>1250000</v>
      </c>
    </row>
    <row r="36" spans="1:9">
      <c r="A36" s="16">
        <v>22</v>
      </c>
      <c r="B36" s="18" t="s">
        <v>1482</v>
      </c>
      <c r="C36" s="18" t="s">
        <v>1483</v>
      </c>
      <c r="D36" s="18" t="s">
        <v>1484</v>
      </c>
      <c r="E36" s="23">
        <v>10600000</v>
      </c>
      <c r="F36" s="23">
        <v>5950000</v>
      </c>
      <c r="G36" s="23">
        <v>3900000</v>
      </c>
      <c r="H36" s="23">
        <v>2550000</v>
      </c>
    </row>
    <row r="37" spans="1:9">
      <c r="A37" s="16"/>
      <c r="B37" s="18" t="s">
        <v>1482</v>
      </c>
      <c r="C37" s="18" t="s">
        <v>1485</v>
      </c>
      <c r="D37" s="18" t="s">
        <v>1486</v>
      </c>
      <c r="E37" s="23">
        <v>6900000</v>
      </c>
      <c r="F37" s="23">
        <v>3850000</v>
      </c>
      <c r="G37" s="23">
        <v>2550000</v>
      </c>
      <c r="H37" s="23">
        <v>1650000</v>
      </c>
    </row>
    <row r="38" spans="1:9">
      <c r="A38" s="16">
        <v>23</v>
      </c>
      <c r="B38" s="18" t="s">
        <v>1487</v>
      </c>
      <c r="C38" s="18" t="s">
        <v>1468</v>
      </c>
      <c r="D38" s="18" t="s">
        <v>1469</v>
      </c>
      <c r="E38" s="23">
        <v>9850000</v>
      </c>
      <c r="F38" s="23">
        <v>5500000</v>
      </c>
      <c r="G38" s="23">
        <v>3650000</v>
      </c>
      <c r="H38" s="23">
        <v>2350000</v>
      </c>
    </row>
    <row r="39" spans="1:9">
      <c r="A39" s="16"/>
      <c r="B39" s="18" t="s">
        <v>1487</v>
      </c>
      <c r="C39" s="18" t="s">
        <v>1469</v>
      </c>
      <c r="D39" s="18" t="s">
        <v>1488</v>
      </c>
      <c r="E39" s="23">
        <v>5300000</v>
      </c>
      <c r="F39" s="23">
        <v>2950000</v>
      </c>
      <c r="G39" s="23">
        <v>1950000</v>
      </c>
      <c r="H39" s="23">
        <v>1250000</v>
      </c>
    </row>
    <row r="40" spans="1:9">
      <c r="A40" s="16">
        <v>24</v>
      </c>
      <c r="B40" s="18" t="s">
        <v>1427</v>
      </c>
      <c r="C40" s="18" t="s">
        <v>1489</v>
      </c>
      <c r="D40" s="18" t="s">
        <v>1490</v>
      </c>
      <c r="E40" s="23">
        <v>30800000</v>
      </c>
      <c r="F40" s="23">
        <v>17250000</v>
      </c>
      <c r="G40" s="23">
        <v>11400000</v>
      </c>
      <c r="H40" s="23">
        <v>7400000</v>
      </c>
    </row>
    <row r="41" spans="1:9">
      <c r="A41" s="16"/>
      <c r="B41" s="18" t="s">
        <v>1427</v>
      </c>
      <c r="C41" s="18" t="s">
        <v>1490</v>
      </c>
      <c r="D41" s="18" t="s">
        <v>1491</v>
      </c>
      <c r="E41" s="23">
        <v>13250000</v>
      </c>
      <c r="F41" s="23">
        <v>7400000</v>
      </c>
      <c r="G41" s="23">
        <v>4900000</v>
      </c>
      <c r="H41" s="23">
        <v>3200000</v>
      </c>
    </row>
    <row r="42" spans="1:9">
      <c r="A42" s="16"/>
      <c r="B42" s="18" t="s">
        <v>1427</v>
      </c>
      <c r="C42" s="18" t="s">
        <v>1491</v>
      </c>
      <c r="D42" s="18" t="s">
        <v>1492</v>
      </c>
      <c r="E42" s="23">
        <v>7800000</v>
      </c>
      <c r="F42" s="23">
        <v>4400000</v>
      </c>
      <c r="G42" s="23">
        <v>2900000</v>
      </c>
      <c r="H42" s="23">
        <v>1850000</v>
      </c>
    </row>
    <row r="43" ht="27.6" spans="1:9">
      <c r="A43" s="16">
        <v>25</v>
      </c>
      <c r="B43" s="144" t="s">
        <v>1493</v>
      </c>
      <c r="C43" s="144" t="s">
        <v>1434</v>
      </c>
      <c r="D43" s="144" t="s">
        <v>1494</v>
      </c>
      <c r="E43" s="23">
        <v>3250000</v>
      </c>
      <c r="F43" s="23">
        <v>1800000</v>
      </c>
      <c r="G43" s="23">
        <v>1200000</v>
      </c>
      <c r="H43" s="23">
        <v>800000</v>
      </c>
      <c r="I43" s="31" t="s">
        <v>50</v>
      </c>
    </row>
    <row r="44" spans="1:9">
      <c r="A44" s="16">
        <v>26</v>
      </c>
      <c r="B44" s="18" t="s">
        <v>1468</v>
      </c>
      <c r="C44" s="18" t="s">
        <v>1495</v>
      </c>
      <c r="D44" s="18" t="s">
        <v>1474</v>
      </c>
      <c r="E44" s="23">
        <v>10600000</v>
      </c>
      <c r="F44" s="23">
        <v>5950000</v>
      </c>
      <c r="G44" s="23">
        <v>3900000</v>
      </c>
      <c r="H44" s="23">
        <v>2550000</v>
      </c>
    </row>
    <row r="45" spans="1:9">
      <c r="A45" s="16"/>
      <c r="B45" s="18" t="s">
        <v>1468</v>
      </c>
      <c r="C45" s="18" t="s">
        <v>1474</v>
      </c>
      <c r="D45" s="18" t="s">
        <v>1475</v>
      </c>
      <c r="E45" s="23">
        <v>7800000</v>
      </c>
      <c r="F45" s="23">
        <v>4400000</v>
      </c>
      <c r="G45" s="23">
        <v>2900000</v>
      </c>
      <c r="H45" s="23">
        <v>1850000</v>
      </c>
    </row>
    <row r="46" spans="1:9">
      <c r="A46" s="16"/>
      <c r="B46" s="18" t="s">
        <v>1468</v>
      </c>
      <c r="C46" s="18" t="s">
        <v>1475</v>
      </c>
      <c r="D46" s="18" t="s">
        <v>1491</v>
      </c>
      <c r="E46" s="23">
        <v>6900000</v>
      </c>
      <c r="F46" s="23">
        <v>3850000</v>
      </c>
      <c r="G46" s="23">
        <v>2550000</v>
      </c>
      <c r="H46" s="23">
        <v>1650000</v>
      </c>
    </row>
    <row r="47" ht="27.6" spans="1:9">
      <c r="A47" s="16">
        <v>27</v>
      </c>
      <c r="B47" s="144" t="s">
        <v>1496</v>
      </c>
      <c r="C47" s="144" t="s">
        <v>1497</v>
      </c>
      <c r="D47" s="144" t="s">
        <v>1454</v>
      </c>
      <c r="E47" s="23">
        <v>13250000</v>
      </c>
      <c r="F47" s="23">
        <v>7400000</v>
      </c>
      <c r="G47" s="23">
        <v>4900000</v>
      </c>
      <c r="H47" s="23">
        <v>3200000</v>
      </c>
      <c r="I47" s="31" t="s">
        <v>50</v>
      </c>
    </row>
    <row r="48" ht="27.6" spans="1:9">
      <c r="A48" s="16">
        <v>28</v>
      </c>
      <c r="B48" s="18" t="s">
        <v>1498</v>
      </c>
      <c r="C48" s="18" t="s">
        <v>1499</v>
      </c>
      <c r="D48" s="18" t="s">
        <v>1468</v>
      </c>
      <c r="E48" s="23">
        <v>6900000</v>
      </c>
      <c r="F48" s="23">
        <v>3850000</v>
      </c>
      <c r="G48" s="23">
        <v>2550000</v>
      </c>
      <c r="H48" s="23">
        <v>1650000</v>
      </c>
    </row>
    <row r="49" spans="1:9">
      <c r="A49" s="16">
        <v>29</v>
      </c>
      <c r="B49" s="18" t="s">
        <v>1500</v>
      </c>
      <c r="C49" s="18" t="s">
        <v>1468</v>
      </c>
      <c r="D49" s="18" t="s">
        <v>1469</v>
      </c>
      <c r="E49" s="23">
        <v>6900000</v>
      </c>
      <c r="F49" s="23">
        <v>3850000</v>
      </c>
      <c r="G49" s="23">
        <v>2550000</v>
      </c>
      <c r="H49" s="23">
        <v>1650000</v>
      </c>
    </row>
    <row r="50" spans="1:9">
      <c r="A50" s="16"/>
      <c r="B50" s="18" t="s">
        <v>1500</v>
      </c>
      <c r="C50" s="18" t="s">
        <v>1469</v>
      </c>
      <c r="D50" s="18" t="s">
        <v>1488</v>
      </c>
      <c r="E50" s="23">
        <v>5300000</v>
      </c>
      <c r="F50" s="23">
        <v>2950000</v>
      </c>
      <c r="G50" s="23">
        <v>1950000</v>
      </c>
      <c r="H50" s="23">
        <v>1250000</v>
      </c>
    </row>
    <row r="51" spans="1:9">
      <c r="A51" s="16">
        <v>30</v>
      </c>
      <c r="B51" s="18" t="s">
        <v>1501</v>
      </c>
      <c r="C51" s="18" t="s">
        <v>1502</v>
      </c>
      <c r="D51" s="18" t="s">
        <v>1503</v>
      </c>
      <c r="E51" s="23">
        <v>5300000</v>
      </c>
      <c r="F51" s="23">
        <v>2950000</v>
      </c>
      <c r="G51" s="23">
        <v>1950000</v>
      </c>
      <c r="H51" s="23">
        <v>1250000</v>
      </c>
    </row>
    <row r="52" spans="1:9">
      <c r="A52" s="16">
        <v>31</v>
      </c>
      <c r="B52" s="144" t="s">
        <v>1443</v>
      </c>
      <c r="C52" s="144" t="s">
        <v>1504</v>
      </c>
      <c r="D52" s="144" t="s">
        <v>1505</v>
      </c>
      <c r="E52" s="23">
        <v>6900000</v>
      </c>
      <c r="F52" s="23">
        <v>3850000</v>
      </c>
      <c r="G52" s="23">
        <v>2550000</v>
      </c>
      <c r="H52" s="23">
        <v>1650000</v>
      </c>
      <c r="I52" s="31" t="s">
        <v>50</v>
      </c>
    </row>
    <row r="53" spans="1:9">
      <c r="A53" s="16">
        <v>32</v>
      </c>
      <c r="B53" s="18" t="s">
        <v>1506</v>
      </c>
      <c r="C53" s="18" t="s">
        <v>1473</v>
      </c>
      <c r="D53" s="18" t="s">
        <v>1507</v>
      </c>
      <c r="E53" s="23">
        <v>5300000</v>
      </c>
      <c r="F53" s="23">
        <v>2950000</v>
      </c>
      <c r="G53" s="23">
        <v>1950000</v>
      </c>
      <c r="H53" s="23">
        <v>1250000</v>
      </c>
    </row>
    <row r="54" spans="1:9">
      <c r="A54" s="16">
        <v>33</v>
      </c>
      <c r="B54" s="18" t="s">
        <v>1508</v>
      </c>
      <c r="C54" s="18" t="s">
        <v>1464</v>
      </c>
      <c r="D54" s="18" t="s">
        <v>1458</v>
      </c>
      <c r="E54" s="23">
        <v>5300000</v>
      </c>
      <c r="F54" s="23">
        <v>2950000</v>
      </c>
      <c r="G54" s="23">
        <v>1950000</v>
      </c>
      <c r="H54" s="23">
        <v>1250000</v>
      </c>
    </row>
    <row r="55" spans="1:9">
      <c r="A55" s="16">
        <v>34</v>
      </c>
      <c r="B55" s="18" t="s">
        <v>1509</v>
      </c>
      <c r="C55" s="18" t="s">
        <v>1510</v>
      </c>
      <c r="D55" s="18" t="s">
        <v>1511</v>
      </c>
      <c r="E55" s="23">
        <v>2200000</v>
      </c>
      <c r="F55" s="23">
        <v>1250000</v>
      </c>
      <c r="G55" s="23">
        <v>800000</v>
      </c>
      <c r="H55" s="23">
        <v>550000</v>
      </c>
    </row>
    <row r="56" spans="1:9">
      <c r="A56" s="16">
        <v>35</v>
      </c>
      <c r="B56" s="18" t="s">
        <v>1466</v>
      </c>
      <c r="C56" s="18" t="s">
        <v>1512</v>
      </c>
      <c r="D56" s="18" t="s">
        <v>1465</v>
      </c>
      <c r="E56" s="23">
        <v>10600000</v>
      </c>
      <c r="F56" s="23">
        <v>5950000</v>
      </c>
      <c r="G56" s="23">
        <v>3900000</v>
      </c>
      <c r="H56" s="23">
        <v>2550000</v>
      </c>
    </row>
    <row r="57" spans="1:9">
      <c r="A57" s="16"/>
      <c r="B57" s="41" t="s">
        <v>1466</v>
      </c>
      <c r="C57" s="41" t="s">
        <v>1465</v>
      </c>
      <c r="D57" s="41" t="s">
        <v>1513</v>
      </c>
      <c r="E57" s="23">
        <v>7800000</v>
      </c>
      <c r="F57" s="23">
        <v>4400000</v>
      </c>
      <c r="G57" s="23">
        <v>2900000</v>
      </c>
      <c r="H57" s="23">
        <v>1850000</v>
      </c>
    </row>
    <row r="58" spans="1:9">
      <c r="A58" s="16">
        <v>36</v>
      </c>
      <c r="B58" s="144" t="s">
        <v>1514</v>
      </c>
      <c r="C58" s="144" t="s">
        <v>1515</v>
      </c>
      <c r="D58" s="144" t="s">
        <v>243</v>
      </c>
      <c r="E58" s="23">
        <v>3250000</v>
      </c>
      <c r="F58" s="23">
        <v>1800000</v>
      </c>
      <c r="G58" s="23">
        <v>1200000</v>
      </c>
      <c r="H58" s="23">
        <v>800000</v>
      </c>
      <c r="I58" s="31" t="s">
        <v>50</v>
      </c>
    </row>
    <row r="59" spans="1:9">
      <c r="A59" s="16">
        <v>37</v>
      </c>
      <c r="B59" s="18" t="s">
        <v>1516</v>
      </c>
      <c r="C59" s="18" t="s">
        <v>1478</v>
      </c>
      <c r="D59" s="18" t="s">
        <v>1481</v>
      </c>
      <c r="E59" s="23">
        <v>5300000</v>
      </c>
      <c r="F59" s="23">
        <v>2950000</v>
      </c>
      <c r="G59" s="23">
        <v>1950000</v>
      </c>
      <c r="H59" s="23">
        <v>1250000</v>
      </c>
    </row>
    <row r="60" spans="1:9">
      <c r="A60" s="16">
        <v>38</v>
      </c>
      <c r="B60" s="18" t="s">
        <v>1486</v>
      </c>
      <c r="C60" s="18" t="s">
        <v>1489</v>
      </c>
      <c r="D60" s="18" t="s">
        <v>1430</v>
      </c>
      <c r="E60" s="23">
        <v>13250000</v>
      </c>
      <c r="F60" s="23">
        <v>7400000</v>
      </c>
      <c r="G60" s="23">
        <v>4900000</v>
      </c>
      <c r="H60" s="23">
        <v>3200000</v>
      </c>
    </row>
    <row r="61" spans="1:9">
      <c r="A61" s="16"/>
      <c r="B61" s="18" t="s">
        <v>1486</v>
      </c>
      <c r="C61" s="18" t="s">
        <v>1430</v>
      </c>
      <c r="D61" s="18" t="s">
        <v>1479</v>
      </c>
      <c r="E61" s="23">
        <v>10600000</v>
      </c>
      <c r="F61" s="23">
        <v>5950000</v>
      </c>
      <c r="G61" s="23">
        <v>3900000</v>
      </c>
      <c r="H61" s="23">
        <v>2550000</v>
      </c>
    </row>
    <row r="62" spans="1:9">
      <c r="A62" s="16">
        <v>39</v>
      </c>
      <c r="B62" s="18" t="s">
        <v>1517</v>
      </c>
      <c r="C62" s="18" t="s">
        <v>1518</v>
      </c>
      <c r="D62" s="18" t="s">
        <v>1478</v>
      </c>
      <c r="E62" s="23">
        <v>5300000</v>
      </c>
      <c r="F62" s="23">
        <v>2950000</v>
      </c>
      <c r="G62" s="23">
        <v>1950000</v>
      </c>
      <c r="H62" s="23">
        <v>1250000</v>
      </c>
    </row>
    <row r="63" spans="1:9">
      <c r="A63" s="16">
        <v>40</v>
      </c>
      <c r="B63" s="18" t="s">
        <v>1519</v>
      </c>
      <c r="C63" s="18" t="s">
        <v>1520</v>
      </c>
      <c r="D63" s="18" t="s">
        <v>1464</v>
      </c>
      <c r="E63" s="23">
        <v>6900000</v>
      </c>
      <c r="F63" s="23">
        <v>3850000</v>
      </c>
      <c r="G63" s="23">
        <v>2550000</v>
      </c>
      <c r="H63" s="23">
        <v>1650000</v>
      </c>
    </row>
    <row r="64" spans="1:9">
      <c r="A64" s="16">
        <v>41</v>
      </c>
      <c r="B64" s="18" t="s">
        <v>1521</v>
      </c>
      <c r="C64" s="18" t="s">
        <v>1427</v>
      </c>
      <c r="D64" s="18" t="s">
        <v>1522</v>
      </c>
      <c r="E64" s="23">
        <v>13250000</v>
      </c>
      <c r="F64" s="23">
        <v>7400000</v>
      </c>
      <c r="G64" s="23">
        <v>4900000</v>
      </c>
      <c r="H64" s="23">
        <v>3200000</v>
      </c>
    </row>
    <row r="65" spans="1:8">
      <c r="A65" s="16">
        <v>42</v>
      </c>
      <c r="B65" s="18" t="s">
        <v>1458</v>
      </c>
      <c r="C65" s="18" t="s">
        <v>1447</v>
      </c>
      <c r="D65" s="18" t="s">
        <v>1465</v>
      </c>
      <c r="E65" s="23">
        <v>6900000</v>
      </c>
      <c r="F65" s="23">
        <v>3850000</v>
      </c>
      <c r="G65" s="23">
        <v>2550000</v>
      </c>
      <c r="H65" s="23">
        <v>1650000</v>
      </c>
    </row>
    <row r="66" spans="1:8">
      <c r="A66" s="16"/>
      <c r="B66" s="18" t="s">
        <v>1458</v>
      </c>
      <c r="C66" s="18" t="s">
        <v>1465</v>
      </c>
      <c r="D66" s="18" t="s">
        <v>1512</v>
      </c>
      <c r="E66" s="23">
        <v>10600000</v>
      </c>
      <c r="F66" s="23">
        <v>5950000</v>
      </c>
      <c r="G66" s="23">
        <v>3900000</v>
      </c>
      <c r="H66" s="23">
        <v>2550000</v>
      </c>
    </row>
    <row r="67" spans="1:8">
      <c r="A67" s="16"/>
      <c r="B67" s="18" t="s">
        <v>1458</v>
      </c>
      <c r="C67" s="18" t="s">
        <v>1512</v>
      </c>
      <c r="D67" s="18" t="s">
        <v>1523</v>
      </c>
      <c r="E67" s="23">
        <v>6900000</v>
      </c>
      <c r="F67" s="23">
        <v>3850000</v>
      </c>
      <c r="G67" s="23">
        <v>2550000</v>
      </c>
      <c r="H67" s="23">
        <v>1650000</v>
      </c>
    </row>
    <row r="68" spans="1:8">
      <c r="A68" s="16">
        <v>43</v>
      </c>
      <c r="B68" s="18" t="s">
        <v>1431</v>
      </c>
      <c r="C68" s="18" t="s">
        <v>1428</v>
      </c>
      <c r="D68" s="18" t="s">
        <v>1524</v>
      </c>
      <c r="E68" s="23">
        <v>3250000</v>
      </c>
      <c r="F68" s="23">
        <v>1800000</v>
      </c>
      <c r="G68" s="23">
        <v>1200000</v>
      </c>
      <c r="H68" s="23">
        <v>800000</v>
      </c>
    </row>
    <row r="69" spans="1:8">
      <c r="A69" s="16">
        <v>44</v>
      </c>
      <c r="B69" s="18" t="s">
        <v>1455</v>
      </c>
      <c r="C69" s="18" t="s">
        <v>1525</v>
      </c>
      <c r="D69" s="18" t="s">
        <v>649</v>
      </c>
      <c r="E69" s="23">
        <v>36300000</v>
      </c>
      <c r="F69" s="23">
        <v>20350000</v>
      </c>
      <c r="G69" s="23">
        <v>13450000</v>
      </c>
      <c r="H69" s="23">
        <v>8700000</v>
      </c>
    </row>
    <row r="70" spans="1:8">
      <c r="A70" s="16"/>
      <c r="B70" s="18" t="s">
        <v>1455</v>
      </c>
      <c r="C70" s="18" t="s">
        <v>649</v>
      </c>
      <c r="D70" s="18" t="s">
        <v>291</v>
      </c>
      <c r="E70" s="23">
        <v>9850000</v>
      </c>
      <c r="F70" s="23">
        <v>5500000</v>
      </c>
      <c r="G70" s="23">
        <v>3650000</v>
      </c>
      <c r="H70" s="23">
        <v>2350000</v>
      </c>
    </row>
    <row r="71" spans="1:8">
      <c r="A71" s="16"/>
      <c r="B71" s="18" t="s">
        <v>1526</v>
      </c>
      <c r="C71" s="18" t="s">
        <v>648</v>
      </c>
      <c r="D71" s="18" t="s">
        <v>291</v>
      </c>
      <c r="E71" s="23">
        <v>4150000</v>
      </c>
      <c r="F71" s="23">
        <v>2300000</v>
      </c>
      <c r="G71" s="23">
        <v>1550000</v>
      </c>
      <c r="H71" s="23">
        <v>1000000</v>
      </c>
    </row>
    <row r="72" spans="1:8">
      <c r="A72" s="16">
        <v>45</v>
      </c>
      <c r="B72" s="18" t="s">
        <v>1426</v>
      </c>
      <c r="C72" s="18" t="s">
        <v>1495</v>
      </c>
      <c r="D72" s="18" t="s">
        <v>1527</v>
      </c>
      <c r="E72" s="23">
        <v>13250000</v>
      </c>
      <c r="F72" s="23">
        <v>7400000</v>
      </c>
      <c r="G72" s="23">
        <v>4900000</v>
      </c>
      <c r="H72" s="23">
        <v>3200000</v>
      </c>
    </row>
    <row r="73" spans="1:8">
      <c r="A73" s="16">
        <v>46</v>
      </c>
      <c r="B73" s="18" t="s">
        <v>1528</v>
      </c>
      <c r="C73" s="18" t="s">
        <v>1464</v>
      </c>
      <c r="D73" s="18" t="s">
        <v>1529</v>
      </c>
      <c r="E73" s="23">
        <v>3250000</v>
      </c>
      <c r="F73" s="23">
        <v>1800000</v>
      </c>
      <c r="G73" s="23">
        <v>1200000</v>
      </c>
      <c r="H73" s="23">
        <v>800000</v>
      </c>
    </row>
    <row r="74" spans="1:8">
      <c r="A74" s="16">
        <v>47</v>
      </c>
      <c r="B74" s="18" t="s">
        <v>1459</v>
      </c>
      <c r="C74" s="18" t="s">
        <v>1447</v>
      </c>
      <c r="D74" s="18" t="s">
        <v>1512</v>
      </c>
      <c r="E74" s="23">
        <v>6900000</v>
      </c>
      <c r="F74" s="23">
        <v>3850000</v>
      </c>
      <c r="G74" s="23">
        <v>2550000</v>
      </c>
      <c r="H74" s="23">
        <v>1650000</v>
      </c>
    </row>
    <row r="75" spans="1:8">
      <c r="A75" s="16">
        <v>48</v>
      </c>
      <c r="B75" s="18" t="s">
        <v>1469</v>
      </c>
      <c r="C75" s="18" t="s">
        <v>1495</v>
      </c>
      <c r="D75" s="18" t="s">
        <v>1530</v>
      </c>
      <c r="E75" s="23">
        <v>7800000</v>
      </c>
      <c r="F75" s="23">
        <v>4400000</v>
      </c>
      <c r="G75" s="23">
        <v>2900000</v>
      </c>
      <c r="H75" s="23">
        <v>1850000</v>
      </c>
    </row>
    <row r="76" spans="1:8">
      <c r="A76" s="16">
        <v>49</v>
      </c>
      <c r="B76" s="18" t="s">
        <v>1531</v>
      </c>
      <c r="C76" s="18" t="s">
        <v>1468</v>
      </c>
      <c r="D76" s="18" t="s">
        <v>1427</v>
      </c>
      <c r="E76" s="23">
        <v>6900000</v>
      </c>
      <c r="F76" s="23">
        <v>3850000</v>
      </c>
      <c r="G76" s="23">
        <v>2550000</v>
      </c>
      <c r="H76" s="23">
        <v>1650000</v>
      </c>
    </row>
    <row r="77" spans="1:8">
      <c r="A77" s="16">
        <v>50</v>
      </c>
      <c r="B77" s="18" t="s">
        <v>1532</v>
      </c>
      <c r="C77" s="18" t="s">
        <v>1523</v>
      </c>
      <c r="D77" s="18" t="s">
        <v>1533</v>
      </c>
      <c r="E77" s="23">
        <v>5300000</v>
      </c>
      <c r="F77" s="23">
        <v>2950000</v>
      </c>
      <c r="G77" s="23">
        <v>1950000</v>
      </c>
      <c r="H77" s="23">
        <v>1250000</v>
      </c>
    </row>
    <row r="78" spans="1:8">
      <c r="A78" s="16">
        <v>51</v>
      </c>
      <c r="B78" s="18" t="s">
        <v>1530</v>
      </c>
      <c r="C78" s="18" t="s">
        <v>1534</v>
      </c>
      <c r="D78" s="18" t="s">
        <v>1469</v>
      </c>
      <c r="E78" s="23">
        <v>6900000</v>
      </c>
      <c r="F78" s="23">
        <v>3850000</v>
      </c>
      <c r="G78" s="23">
        <v>2550000</v>
      </c>
      <c r="H78" s="23">
        <v>1650000</v>
      </c>
    </row>
    <row r="79" spans="1:8">
      <c r="A79" s="16"/>
      <c r="B79" s="18" t="s">
        <v>1530</v>
      </c>
      <c r="C79" s="18" t="s">
        <v>1469</v>
      </c>
      <c r="D79" s="18" t="s">
        <v>1488</v>
      </c>
      <c r="E79" s="23">
        <v>5300000</v>
      </c>
      <c r="F79" s="23">
        <v>2950000</v>
      </c>
      <c r="G79" s="23">
        <v>1950000</v>
      </c>
      <c r="H79" s="23">
        <v>1250000</v>
      </c>
    </row>
    <row r="80" spans="1:8">
      <c r="A80" s="16">
        <v>52</v>
      </c>
      <c r="B80" s="18" t="s">
        <v>1535</v>
      </c>
      <c r="C80" s="18" t="s">
        <v>1464</v>
      </c>
      <c r="D80" s="18" t="s">
        <v>1536</v>
      </c>
      <c r="E80" s="23">
        <v>4150000</v>
      </c>
      <c r="F80" s="23">
        <v>2300000</v>
      </c>
      <c r="G80" s="23">
        <v>1550000</v>
      </c>
      <c r="H80" s="23">
        <v>1000000</v>
      </c>
    </row>
    <row r="81" spans="1:9">
      <c r="A81" s="16">
        <v>53</v>
      </c>
      <c r="B81" s="144" t="s">
        <v>1537</v>
      </c>
      <c r="C81" s="144" t="s">
        <v>1515</v>
      </c>
      <c r="D81" s="144" t="s">
        <v>1514</v>
      </c>
      <c r="E81" s="23">
        <v>3250000</v>
      </c>
      <c r="F81" s="23">
        <v>1800000</v>
      </c>
      <c r="G81" s="23">
        <v>1200000</v>
      </c>
      <c r="H81" s="23">
        <v>800000</v>
      </c>
      <c r="I81" s="31" t="s">
        <v>50</v>
      </c>
    </row>
    <row r="82" spans="1:9">
      <c r="A82" s="16">
        <v>54</v>
      </c>
      <c r="B82" s="18" t="s">
        <v>1538</v>
      </c>
      <c r="C82" s="18" t="s">
        <v>1513</v>
      </c>
      <c r="D82" s="18" t="s">
        <v>195</v>
      </c>
      <c r="E82" s="23">
        <v>4150000</v>
      </c>
      <c r="F82" s="23">
        <v>2300000</v>
      </c>
      <c r="G82" s="23">
        <v>1550000</v>
      </c>
      <c r="H82" s="23">
        <v>1000000</v>
      </c>
    </row>
    <row r="83" spans="1:9">
      <c r="A83" s="16">
        <v>55</v>
      </c>
      <c r="B83" s="18" t="s">
        <v>1533</v>
      </c>
      <c r="C83" s="18" t="s">
        <v>1532</v>
      </c>
      <c r="D83" s="18" t="s">
        <v>1488</v>
      </c>
      <c r="E83" s="23">
        <v>4150000</v>
      </c>
      <c r="F83" s="23">
        <v>2300000</v>
      </c>
      <c r="G83" s="23">
        <v>1550000</v>
      </c>
      <c r="H83" s="23">
        <v>1000000</v>
      </c>
    </row>
    <row r="84" spans="1:9">
      <c r="A84" s="16">
        <v>56</v>
      </c>
      <c r="B84" s="18" t="s">
        <v>1539</v>
      </c>
      <c r="C84" s="18" t="s">
        <v>1464</v>
      </c>
      <c r="D84" s="18" t="s">
        <v>1536</v>
      </c>
      <c r="E84" s="23">
        <v>3250000</v>
      </c>
      <c r="F84" s="23">
        <v>1800000</v>
      </c>
      <c r="G84" s="23">
        <v>1200000</v>
      </c>
      <c r="H84" s="23">
        <v>800000</v>
      </c>
    </row>
    <row r="85" spans="1:9">
      <c r="A85" s="16">
        <v>57</v>
      </c>
      <c r="B85" s="18" t="s">
        <v>1472</v>
      </c>
      <c r="C85" s="18" t="s">
        <v>1540</v>
      </c>
      <c r="D85" s="18" t="s">
        <v>1541</v>
      </c>
      <c r="E85" s="23">
        <v>6900000</v>
      </c>
      <c r="F85" s="23">
        <v>3850000</v>
      </c>
      <c r="G85" s="23">
        <v>2550000</v>
      </c>
      <c r="H85" s="23">
        <v>1650000</v>
      </c>
    </row>
    <row r="86" spans="1:9">
      <c r="A86" s="16">
        <v>58</v>
      </c>
      <c r="B86" s="18" t="s">
        <v>1483</v>
      </c>
      <c r="C86" s="18" t="s">
        <v>1468</v>
      </c>
      <c r="D86" s="18" t="s">
        <v>1486</v>
      </c>
      <c r="E86" s="23">
        <v>26050000</v>
      </c>
      <c r="F86" s="23">
        <v>14600000</v>
      </c>
      <c r="G86" s="23">
        <v>9650000</v>
      </c>
      <c r="H86" s="23">
        <v>6250000</v>
      </c>
    </row>
    <row r="87" spans="1:9">
      <c r="A87" s="16">
        <v>59</v>
      </c>
      <c r="B87" s="43" t="s">
        <v>1542</v>
      </c>
      <c r="C87" s="43" t="s">
        <v>1532</v>
      </c>
      <c r="D87" s="43" t="s">
        <v>1538</v>
      </c>
      <c r="E87" s="23">
        <v>4150000</v>
      </c>
      <c r="F87" s="23">
        <v>2300000</v>
      </c>
      <c r="G87" s="23">
        <v>1550000</v>
      </c>
      <c r="H87" s="23">
        <v>1000000</v>
      </c>
    </row>
    <row r="88" ht="14.4" spans="1:9">
      <c r="A88" s="16">
        <v>60</v>
      </c>
      <c r="B88" s="144" t="s">
        <v>1543</v>
      </c>
      <c r="C88" s="144" t="s">
        <v>1478</v>
      </c>
      <c r="D88" s="144" t="s">
        <v>1544</v>
      </c>
      <c r="E88" s="23">
        <v>5300000</v>
      </c>
      <c r="F88" s="23">
        <v>2950000</v>
      </c>
      <c r="G88" s="23">
        <v>1950000</v>
      </c>
      <c r="H88" s="23">
        <v>1250000</v>
      </c>
      <c r="I88" s="30" t="s">
        <v>1545</v>
      </c>
    </row>
    <row r="89" spans="1:9">
      <c r="A89" s="16">
        <v>61</v>
      </c>
      <c r="B89" s="144" t="s">
        <v>1546</v>
      </c>
      <c r="C89" s="144" t="s">
        <v>1547</v>
      </c>
      <c r="D89" s="144" t="s">
        <v>1451</v>
      </c>
      <c r="E89" s="23">
        <v>6900000</v>
      </c>
      <c r="F89" s="23">
        <v>3850000</v>
      </c>
      <c r="G89" s="23">
        <v>2550000</v>
      </c>
      <c r="H89" s="23">
        <v>1650000</v>
      </c>
      <c r="I89" s="31" t="s">
        <v>50</v>
      </c>
    </row>
    <row r="90" spans="1:9">
      <c r="A90" s="16">
        <v>62</v>
      </c>
      <c r="B90" s="18" t="s">
        <v>1470</v>
      </c>
      <c r="C90" s="18" t="s">
        <v>1495</v>
      </c>
      <c r="D90" s="18" t="s">
        <v>1530</v>
      </c>
      <c r="E90" s="23">
        <v>6900000</v>
      </c>
      <c r="F90" s="23">
        <v>3850000</v>
      </c>
      <c r="G90" s="23">
        <v>2550000</v>
      </c>
      <c r="H90" s="23">
        <v>1650000</v>
      </c>
    </row>
    <row r="91" ht="27.6" spans="1:9">
      <c r="A91" s="16">
        <v>63</v>
      </c>
      <c r="B91" s="18" t="s">
        <v>1548</v>
      </c>
      <c r="C91" s="18" t="s">
        <v>1549</v>
      </c>
      <c r="D91" s="18" t="s">
        <v>1514</v>
      </c>
      <c r="E91" s="23">
        <v>4150000</v>
      </c>
      <c r="F91" s="23">
        <v>2300000</v>
      </c>
      <c r="G91" s="23">
        <v>1550000</v>
      </c>
      <c r="H91" s="23">
        <v>1000000</v>
      </c>
    </row>
    <row r="92" spans="1:9">
      <c r="A92" s="16">
        <v>64</v>
      </c>
      <c r="B92" s="18" t="s">
        <v>1445</v>
      </c>
      <c r="C92" s="18" t="s">
        <v>1440</v>
      </c>
      <c r="D92" s="18" t="s">
        <v>1514</v>
      </c>
      <c r="E92" s="23">
        <v>3250000</v>
      </c>
      <c r="F92" s="23">
        <v>1800000</v>
      </c>
      <c r="G92" s="23">
        <v>1200000</v>
      </c>
      <c r="H92" s="23">
        <v>800000</v>
      </c>
    </row>
    <row r="93" spans="1:9">
      <c r="A93" s="16">
        <v>65</v>
      </c>
      <c r="B93" s="18" t="s">
        <v>1550</v>
      </c>
      <c r="C93" s="18" t="s">
        <v>1468</v>
      </c>
      <c r="D93" s="18" t="s">
        <v>1427</v>
      </c>
      <c r="E93" s="23">
        <v>6900000</v>
      </c>
      <c r="F93" s="23">
        <v>3850000</v>
      </c>
      <c r="G93" s="23">
        <v>2550000</v>
      </c>
      <c r="H93" s="23">
        <v>1650000</v>
      </c>
    </row>
    <row r="94" spans="1:9">
      <c r="A94" s="16">
        <v>66</v>
      </c>
      <c r="B94" s="18" t="s">
        <v>1520</v>
      </c>
      <c r="C94" s="18" t="s">
        <v>1513</v>
      </c>
      <c r="D94" s="18" t="s">
        <v>1512</v>
      </c>
      <c r="E94" s="23">
        <v>5300000</v>
      </c>
      <c r="F94" s="23">
        <v>2950000</v>
      </c>
      <c r="G94" s="23">
        <v>1950000</v>
      </c>
      <c r="H94" s="23">
        <v>1250000</v>
      </c>
    </row>
    <row r="95" spans="1:9">
      <c r="A95" s="16"/>
      <c r="B95" s="18" t="s">
        <v>1520</v>
      </c>
      <c r="C95" s="18" t="s">
        <v>1512</v>
      </c>
      <c r="D95" s="18" t="s">
        <v>1523</v>
      </c>
      <c r="E95" s="23">
        <v>6900000</v>
      </c>
      <c r="F95" s="23">
        <v>3850000</v>
      </c>
      <c r="G95" s="23">
        <v>2550000</v>
      </c>
      <c r="H95" s="23">
        <v>1650000</v>
      </c>
    </row>
    <row r="96" spans="1:9">
      <c r="A96" s="16">
        <v>67</v>
      </c>
      <c r="B96" s="18" t="s">
        <v>1551</v>
      </c>
      <c r="C96" s="18" t="s">
        <v>1426</v>
      </c>
      <c r="D96" s="18" t="s">
        <v>1477</v>
      </c>
      <c r="E96" s="23">
        <v>6900000</v>
      </c>
      <c r="F96" s="23">
        <v>3850000</v>
      </c>
      <c r="G96" s="23">
        <v>2550000</v>
      </c>
      <c r="H96" s="23">
        <v>1650000</v>
      </c>
    </row>
    <row r="97" spans="1:10">
      <c r="A97" s="16"/>
      <c r="B97" s="18" t="s">
        <v>1551</v>
      </c>
      <c r="C97" s="18" t="s">
        <v>1477</v>
      </c>
      <c r="D97" s="18" t="s">
        <v>1513</v>
      </c>
      <c r="E97" s="23">
        <v>5300000</v>
      </c>
      <c r="F97" s="23">
        <v>2950000</v>
      </c>
      <c r="G97" s="23">
        <v>1950000</v>
      </c>
      <c r="H97" s="23">
        <v>1250000</v>
      </c>
    </row>
    <row r="98" spans="1:10">
      <c r="A98" s="16">
        <v>68</v>
      </c>
      <c r="B98" s="18" t="s">
        <v>1552</v>
      </c>
      <c r="C98" s="18" t="s">
        <v>1530</v>
      </c>
      <c r="D98" s="18" t="s">
        <v>1427</v>
      </c>
      <c r="E98" s="23">
        <v>4150000</v>
      </c>
      <c r="F98" s="23">
        <v>2300000</v>
      </c>
      <c r="G98" s="23">
        <v>1550000</v>
      </c>
      <c r="H98" s="23">
        <v>1000000</v>
      </c>
    </row>
    <row r="99" spans="1:10">
      <c r="A99" s="16">
        <v>69</v>
      </c>
      <c r="B99" s="144" t="s">
        <v>1450</v>
      </c>
      <c r="C99" s="144" t="s">
        <v>1428</v>
      </c>
      <c r="D99" s="144" t="s">
        <v>1553</v>
      </c>
      <c r="E99" s="23">
        <v>6900000</v>
      </c>
      <c r="F99" s="23">
        <v>3850000</v>
      </c>
      <c r="G99" s="23">
        <v>2550000</v>
      </c>
      <c r="H99" s="23">
        <v>1650000</v>
      </c>
      <c r="I99" s="31" t="s">
        <v>50</v>
      </c>
    </row>
    <row r="100" spans="1:10">
      <c r="A100" s="16">
        <v>70</v>
      </c>
      <c r="B100" s="18" t="s">
        <v>1554</v>
      </c>
      <c r="C100" s="18" t="s">
        <v>1468</v>
      </c>
      <c r="D100" s="18" t="s">
        <v>1469</v>
      </c>
      <c r="E100" s="23">
        <v>6900000</v>
      </c>
      <c r="F100" s="23">
        <v>3850000</v>
      </c>
      <c r="G100" s="23">
        <v>2550000</v>
      </c>
      <c r="H100" s="23">
        <v>1650000</v>
      </c>
    </row>
    <row r="101" spans="1:10">
      <c r="A101" s="16"/>
      <c r="B101" s="18" t="s">
        <v>1554</v>
      </c>
      <c r="C101" s="18" t="s">
        <v>1469</v>
      </c>
      <c r="D101" s="18" t="s">
        <v>1470</v>
      </c>
      <c r="E101" s="23">
        <v>5300000</v>
      </c>
      <c r="F101" s="23">
        <v>2950000</v>
      </c>
      <c r="G101" s="23">
        <v>1950000</v>
      </c>
      <c r="H101" s="23">
        <v>1250000</v>
      </c>
    </row>
    <row r="102" spans="1:10">
      <c r="A102" s="16">
        <v>71</v>
      </c>
      <c r="B102" s="144" t="s">
        <v>1442</v>
      </c>
      <c r="C102" s="144" t="s">
        <v>1504</v>
      </c>
      <c r="D102" s="144" t="s">
        <v>749</v>
      </c>
      <c r="E102" s="23">
        <v>6900000</v>
      </c>
      <c r="F102" s="23">
        <v>3850000</v>
      </c>
      <c r="G102" s="23">
        <v>2550000</v>
      </c>
      <c r="H102" s="23">
        <v>1650000</v>
      </c>
      <c r="I102" s="31" t="s">
        <v>50</v>
      </c>
    </row>
    <row r="103" spans="1:10">
      <c r="A103" s="16">
        <v>72</v>
      </c>
      <c r="B103" s="18" t="s">
        <v>1555</v>
      </c>
      <c r="C103" s="18" t="s">
        <v>1468</v>
      </c>
      <c r="D103" s="18" t="s">
        <v>1469</v>
      </c>
      <c r="E103" s="23">
        <v>6900000</v>
      </c>
      <c r="F103" s="23">
        <v>3850000</v>
      </c>
      <c r="G103" s="23">
        <v>2550000</v>
      </c>
      <c r="H103" s="23">
        <v>1650000</v>
      </c>
    </row>
    <row r="104" spans="1:10">
      <c r="A104" s="16"/>
      <c r="B104" s="18" t="s">
        <v>1555</v>
      </c>
      <c r="C104" s="18" t="s">
        <v>1469</v>
      </c>
      <c r="D104" s="18" t="s">
        <v>1488</v>
      </c>
      <c r="E104" s="23">
        <v>5300000</v>
      </c>
      <c r="F104" s="23">
        <v>2950000</v>
      </c>
      <c r="G104" s="23">
        <v>1950000</v>
      </c>
      <c r="H104" s="23">
        <v>1250000</v>
      </c>
    </row>
    <row r="105" spans="1:10">
      <c r="A105" s="16">
        <v>73</v>
      </c>
      <c r="B105" s="18" t="s">
        <v>749</v>
      </c>
      <c r="C105" s="18" t="s">
        <v>1428</v>
      </c>
      <c r="D105" s="18" t="s">
        <v>1443</v>
      </c>
      <c r="E105" s="23">
        <v>6900000</v>
      </c>
      <c r="F105" s="23">
        <v>3850000</v>
      </c>
      <c r="G105" s="23">
        <v>2550000</v>
      </c>
      <c r="H105" s="23">
        <v>1650000</v>
      </c>
    </row>
    <row r="106" spans="1:10">
      <c r="A106" s="16"/>
      <c r="B106" s="18" t="s">
        <v>749</v>
      </c>
      <c r="C106" s="18" t="s">
        <v>1443</v>
      </c>
      <c r="D106" s="18" t="s">
        <v>1502</v>
      </c>
      <c r="E106" s="23">
        <v>5300000</v>
      </c>
      <c r="F106" s="23">
        <v>2950000</v>
      </c>
      <c r="G106" s="23">
        <v>1950000</v>
      </c>
      <c r="H106" s="23">
        <v>1250000</v>
      </c>
    </row>
    <row r="107" spans="1:10">
      <c r="A107" s="16"/>
      <c r="B107" s="18" t="s">
        <v>749</v>
      </c>
      <c r="C107" s="18" t="s">
        <v>1502</v>
      </c>
      <c r="D107" s="18" t="s">
        <v>97</v>
      </c>
      <c r="E107" s="23">
        <v>4150000</v>
      </c>
      <c r="F107" s="23">
        <v>2300000</v>
      </c>
      <c r="G107" s="23">
        <v>1550000</v>
      </c>
      <c r="H107" s="23">
        <v>1000000</v>
      </c>
    </row>
    <row r="108" spans="1:10">
      <c r="A108" s="16">
        <v>74</v>
      </c>
      <c r="B108" s="18" t="s">
        <v>1556</v>
      </c>
      <c r="C108" s="18" t="s">
        <v>1495</v>
      </c>
      <c r="D108" s="18" t="s">
        <v>1527</v>
      </c>
      <c r="E108" s="23">
        <v>6900000</v>
      </c>
      <c r="F108" s="23">
        <v>3850000</v>
      </c>
      <c r="G108" s="23">
        <v>2550000</v>
      </c>
      <c r="H108" s="23">
        <v>1650000</v>
      </c>
    </row>
    <row r="109" spans="1:10">
      <c r="A109" s="16">
        <v>75</v>
      </c>
      <c r="B109" s="144" t="s">
        <v>1557</v>
      </c>
      <c r="C109" s="144" t="s">
        <v>1558</v>
      </c>
      <c r="D109" s="144" t="s">
        <v>1514</v>
      </c>
      <c r="E109" s="23">
        <v>3250000</v>
      </c>
      <c r="F109" s="23">
        <v>1800000</v>
      </c>
      <c r="G109" s="23">
        <v>1200000</v>
      </c>
      <c r="H109" s="23">
        <v>800000</v>
      </c>
      <c r="I109" s="31" t="s">
        <v>50</v>
      </c>
    </row>
    <row r="110" spans="1:10">
      <c r="A110" s="16">
        <v>76</v>
      </c>
      <c r="B110" s="18" t="s">
        <v>1451</v>
      </c>
      <c r="C110" s="18" t="s">
        <v>1440</v>
      </c>
      <c r="D110" s="18" t="s">
        <v>749</v>
      </c>
      <c r="E110" s="23">
        <v>6900000</v>
      </c>
      <c r="F110" s="23">
        <v>3850000</v>
      </c>
      <c r="G110" s="23">
        <v>2550000</v>
      </c>
      <c r="H110" s="23">
        <v>1650000</v>
      </c>
    </row>
    <row r="111" spans="1:10">
      <c r="A111" s="16">
        <v>77</v>
      </c>
      <c r="B111" s="18" t="s">
        <v>1502</v>
      </c>
      <c r="C111" s="18" t="s">
        <v>1559</v>
      </c>
      <c r="D111" s="18" t="s">
        <v>810</v>
      </c>
      <c r="E111" s="23">
        <v>6900000</v>
      </c>
      <c r="F111" s="23">
        <v>3850000</v>
      </c>
      <c r="G111" s="23">
        <v>2550000</v>
      </c>
      <c r="H111" s="23">
        <v>1650000</v>
      </c>
    </row>
    <row r="112" s="30" customFormat="1" ht="27.6" spans="1:10">
      <c r="A112" s="16"/>
      <c r="B112" s="144" t="s">
        <v>1502</v>
      </c>
      <c r="C112" s="144" t="s">
        <v>1560</v>
      </c>
      <c r="D112" s="144" t="s">
        <v>1561</v>
      </c>
      <c r="E112" s="23">
        <v>4150000</v>
      </c>
      <c r="F112" s="23">
        <v>2300000</v>
      </c>
      <c r="G112" s="23">
        <v>1550000</v>
      </c>
      <c r="H112" s="23">
        <v>1000000</v>
      </c>
      <c r="I112" s="163" t="s">
        <v>82</v>
      </c>
      <c r="J112" s="1" t="s">
        <v>123</v>
      </c>
    </row>
    <row r="113" s="30" customFormat="1" ht="14.4" spans="1:10">
      <c r="A113" s="16"/>
      <c r="B113" s="144" t="s">
        <v>1502</v>
      </c>
      <c r="C113" s="144" t="s">
        <v>1562</v>
      </c>
      <c r="D113" s="144" t="s">
        <v>1561</v>
      </c>
      <c r="E113" s="23">
        <v>4150000</v>
      </c>
      <c r="F113" s="23">
        <v>2300000</v>
      </c>
      <c r="G113" s="23">
        <v>1550000</v>
      </c>
      <c r="H113" s="23">
        <v>1000000</v>
      </c>
      <c r="I113" s="163" t="s">
        <v>82</v>
      </c>
      <c r="J113" s="1" t="s">
        <v>123</v>
      </c>
    </row>
    <row r="114" spans="1:10">
      <c r="A114" s="16">
        <v>78</v>
      </c>
      <c r="B114" s="144" t="s">
        <v>1515</v>
      </c>
      <c r="C114" s="144" t="s">
        <v>1514</v>
      </c>
      <c r="D114" s="144" t="s">
        <v>1548</v>
      </c>
      <c r="E114" s="23">
        <v>4150000</v>
      </c>
      <c r="F114" s="23">
        <v>2300000</v>
      </c>
      <c r="G114" s="23">
        <v>1550000</v>
      </c>
      <c r="H114" s="23">
        <v>1000000</v>
      </c>
      <c r="I114" s="31" t="s">
        <v>50</v>
      </c>
    </row>
    <row r="115" spans="1:10">
      <c r="A115" s="16">
        <v>79</v>
      </c>
      <c r="B115" s="18" t="s">
        <v>1563</v>
      </c>
      <c r="C115" s="18" t="s">
        <v>1464</v>
      </c>
      <c r="D115" s="18" t="s">
        <v>1536</v>
      </c>
      <c r="E115" s="23">
        <v>5300000</v>
      </c>
      <c r="F115" s="23">
        <v>2950000</v>
      </c>
      <c r="G115" s="23">
        <v>1950000</v>
      </c>
      <c r="H115" s="23">
        <v>1250000</v>
      </c>
    </row>
    <row r="116" spans="1:10">
      <c r="A116" s="16">
        <v>80</v>
      </c>
      <c r="B116" s="18" t="s">
        <v>1435</v>
      </c>
      <c r="C116" s="18" t="s">
        <v>1493</v>
      </c>
      <c r="D116" s="18" t="s">
        <v>1564</v>
      </c>
      <c r="E116" s="23">
        <v>3250000</v>
      </c>
      <c r="F116" s="23">
        <v>1800000</v>
      </c>
      <c r="G116" s="23">
        <v>1200000</v>
      </c>
      <c r="H116" s="23">
        <v>800000</v>
      </c>
    </row>
    <row r="117" spans="1:10">
      <c r="A117" s="16">
        <v>81</v>
      </c>
      <c r="B117" s="18" t="s">
        <v>1541</v>
      </c>
      <c r="C117" s="18" t="s">
        <v>1447</v>
      </c>
      <c r="D117" s="18" t="s">
        <v>1512</v>
      </c>
      <c r="E117" s="23">
        <v>5300000</v>
      </c>
      <c r="F117" s="23">
        <v>2950000</v>
      </c>
      <c r="G117" s="23">
        <v>1950000</v>
      </c>
      <c r="H117" s="23">
        <v>1250000</v>
      </c>
    </row>
    <row r="118" spans="1:10">
      <c r="A118" s="16">
        <v>82</v>
      </c>
      <c r="B118" s="18" t="s">
        <v>1565</v>
      </c>
      <c r="C118" s="18" t="s">
        <v>1563</v>
      </c>
      <c r="D118" s="18" t="s">
        <v>1566</v>
      </c>
      <c r="E118" s="23">
        <v>3250000</v>
      </c>
      <c r="F118" s="23">
        <v>1800000</v>
      </c>
      <c r="G118" s="23">
        <v>1200000</v>
      </c>
      <c r="H118" s="23">
        <v>800000</v>
      </c>
    </row>
    <row r="119" spans="1:10">
      <c r="A119" s="16">
        <v>83</v>
      </c>
      <c r="B119" s="18" t="s">
        <v>1567</v>
      </c>
      <c r="C119" s="18" t="s">
        <v>1426</v>
      </c>
      <c r="D119" s="18" t="s">
        <v>1477</v>
      </c>
      <c r="E119" s="23">
        <v>7800000</v>
      </c>
      <c r="F119" s="23">
        <v>4400000</v>
      </c>
      <c r="G119" s="23">
        <v>2900000</v>
      </c>
      <c r="H119" s="23">
        <v>1850000</v>
      </c>
    </row>
    <row r="120" spans="1:10">
      <c r="A120" s="16">
        <v>84</v>
      </c>
      <c r="B120" s="18" t="s">
        <v>1568</v>
      </c>
      <c r="C120" s="18" t="s">
        <v>1464</v>
      </c>
      <c r="D120" s="18" t="s">
        <v>1540</v>
      </c>
      <c r="E120" s="23">
        <v>5300000</v>
      </c>
      <c r="F120" s="23">
        <v>2950000</v>
      </c>
      <c r="G120" s="23">
        <v>1950000</v>
      </c>
      <c r="H120" s="23">
        <v>1250000</v>
      </c>
    </row>
    <row r="121" spans="1:10">
      <c r="A121" s="16">
        <v>85</v>
      </c>
      <c r="B121" s="18" t="s">
        <v>1512</v>
      </c>
      <c r="C121" s="18" t="s">
        <v>1455</v>
      </c>
      <c r="D121" s="18" t="s">
        <v>1569</v>
      </c>
      <c r="E121" s="23">
        <v>10600000</v>
      </c>
      <c r="F121" s="23">
        <v>5950000</v>
      </c>
      <c r="G121" s="23">
        <v>3900000</v>
      </c>
      <c r="H121" s="23">
        <v>2550000</v>
      </c>
    </row>
    <row r="122" spans="1:10">
      <c r="A122" s="16"/>
      <c r="B122" s="18" t="s">
        <v>1512</v>
      </c>
      <c r="C122" s="18" t="s">
        <v>1569</v>
      </c>
      <c r="D122" s="18" t="s">
        <v>1459</v>
      </c>
      <c r="E122" s="23">
        <v>13250000</v>
      </c>
      <c r="F122" s="23">
        <v>7400000</v>
      </c>
      <c r="G122" s="23">
        <v>4900000</v>
      </c>
      <c r="H122" s="23">
        <v>3200000</v>
      </c>
    </row>
    <row r="123" spans="1:10">
      <c r="A123" s="16"/>
      <c r="B123" s="18" t="s">
        <v>1512</v>
      </c>
      <c r="C123" s="18" t="s">
        <v>1459</v>
      </c>
      <c r="D123" s="18" t="s">
        <v>1481</v>
      </c>
      <c r="E123" s="23">
        <v>9850000</v>
      </c>
      <c r="F123" s="23">
        <v>5500000</v>
      </c>
      <c r="G123" s="23">
        <v>3650000</v>
      </c>
      <c r="H123" s="23">
        <v>2350000</v>
      </c>
    </row>
    <row r="124" spans="1:10">
      <c r="A124" s="16"/>
      <c r="B124" s="18" t="s">
        <v>1512</v>
      </c>
      <c r="C124" s="18" t="s">
        <v>1481</v>
      </c>
      <c r="D124" s="18" t="s">
        <v>1570</v>
      </c>
      <c r="E124" s="23">
        <v>9850000</v>
      </c>
      <c r="F124" s="23">
        <v>5500000</v>
      </c>
      <c r="G124" s="23">
        <v>3650000</v>
      </c>
      <c r="H124" s="23">
        <v>2350000</v>
      </c>
    </row>
    <row r="125" spans="1:10">
      <c r="A125" s="16">
        <v>86</v>
      </c>
      <c r="B125" s="18" t="s">
        <v>1571</v>
      </c>
      <c r="C125" s="18" t="s">
        <v>1536</v>
      </c>
      <c r="D125" s="18" t="s">
        <v>1572</v>
      </c>
      <c r="E125" s="23">
        <v>3250000</v>
      </c>
      <c r="F125" s="23">
        <v>1800000</v>
      </c>
      <c r="G125" s="23">
        <v>1200000</v>
      </c>
      <c r="H125" s="23">
        <v>800000</v>
      </c>
    </row>
    <row r="126" spans="1:10">
      <c r="A126" s="16">
        <v>87</v>
      </c>
      <c r="B126" s="18" t="s">
        <v>1573</v>
      </c>
      <c r="C126" s="18" t="s">
        <v>1514</v>
      </c>
      <c r="D126" s="18" t="s">
        <v>1574</v>
      </c>
      <c r="E126" s="23">
        <v>3250000</v>
      </c>
      <c r="F126" s="23">
        <v>1800000</v>
      </c>
      <c r="G126" s="23">
        <v>1200000</v>
      </c>
      <c r="H126" s="23">
        <v>800000</v>
      </c>
    </row>
    <row r="127" spans="1:10">
      <c r="A127" s="16">
        <v>88</v>
      </c>
      <c r="B127" s="18" t="s">
        <v>1575</v>
      </c>
      <c r="C127" s="18" t="s">
        <v>1440</v>
      </c>
      <c r="D127" s="18" t="s">
        <v>1502</v>
      </c>
      <c r="E127" s="23">
        <v>4150000</v>
      </c>
      <c r="F127" s="23">
        <v>2300000</v>
      </c>
      <c r="G127" s="23">
        <v>1550000</v>
      </c>
      <c r="H127" s="23">
        <v>1000000</v>
      </c>
    </row>
    <row r="128" spans="1:10">
      <c r="A128" s="16">
        <v>89</v>
      </c>
      <c r="B128" s="18" t="s">
        <v>1576</v>
      </c>
      <c r="C128" s="18" t="s">
        <v>1573</v>
      </c>
      <c r="D128" s="18" t="s">
        <v>243</v>
      </c>
      <c r="E128" s="23">
        <v>3250000</v>
      </c>
      <c r="F128" s="23">
        <v>1800000</v>
      </c>
      <c r="G128" s="23">
        <v>1200000</v>
      </c>
      <c r="H128" s="23">
        <v>800000</v>
      </c>
    </row>
    <row r="129" spans="1:8">
      <c r="A129" s="16">
        <v>90</v>
      </c>
      <c r="B129" s="18" t="s">
        <v>1577</v>
      </c>
      <c r="C129" s="18" t="s">
        <v>1512</v>
      </c>
      <c r="D129" s="18" t="s">
        <v>1519</v>
      </c>
      <c r="E129" s="23">
        <v>5300000</v>
      </c>
      <c r="F129" s="23">
        <v>2950000</v>
      </c>
      <c r="G129" s="23">
        <v>1950000</v>
      </c>
      <c r="H129" s="23">
        <v>1250000</v>
      </c>
    </row>
    <row r="130" spans="1:8">
      <c r="A130" s="16">
        <v>91</v>
      </c>
      <c r="B130" s="18" t="s">
        <v>1578</v>
      </c>
      <c r="C130" s="18" t="s">
        <v>1532</v>
      </c>
      <c r="D130" s="18" t="s">
        <v>1579</v>
      </c>
      <c r="E130" s="23">
        <v>5300000</v>
      </c>
      <c r="F130" s="23">
        <v>2950000</v>
      </c>
      <c r="G130" s="23">
        <v>1950000</v>
      </c>
      <c r="H130" s="23">
        <v>1250000</v>
      </c>
    </row>
    <row r="131" spans="1:8">
      <c r="A131" s="16">
        <v>92</v>
      </c>
      <c r="B131" s="18" t="s">
        <v>1475</v>
      </c>
      <c r="C131" s="18" t="s">
        <v>1580</v>
      </c>
      <c r="D131" s="18" t="s">
        <v>1469</v>
      </c>
      <c r="E131" s="23">
        <v>7800000</v>
      </c>
      <c r="F131" s="23">
        <v>4400000</v>
      </c>
      <c r="G131" s="23">
        <v>2900000</v>
      </c>
      <c r="H131" s="23">
        <v>1850000</v>
      </c>
    </row>
    <row r="132" spans="1:8">
      <c r="A132" s="16"/>
      <c r="B132" s="18" t="s">
        <v>1475</v>
      </c>
      <c r="C132" s="18" t="s">
        <v>1469</v>
      </c>
      <c r="D132" s="18" t="s">
        <v>1488</v>
      </c>
      <c r="E132" s="23">
        <v>5300000</v>
      </c>
      <c r="F132" s="23">
        <v>2950000</v>
      </c>
      <c r="G132" s="23">
        <v>1950000</v>
      </c>
      <c r="H132" s="23">
        <v>1250000</v>
      </c>
    </row>
    <row r="133" spans="1:8">
      <c r="A133" s="16">
        <v>93</v>
      </c>
      <c r="B133" s="18" t="s">
        <v>1495</v>
      </c>
      <c r="C133" s="18" t="s">
        <v>1513</v>
      </c>
      <c r="D133" s="18" t="s">
        <v>1456</v>
      </c>
      <c r="E133" s="23">
        <v>5300000</v>
      </c>
      <c r="F133" s="23">
        <v>2950000</v>
      </c>
      <c r="G133" s="23">
        <v>1950000</v>
      </c>
      <c r="H133" s="23">
        <v>1250000</v>
      </c>
    </row>
    <row r="134" spans="1:8">
      <c r="A134" s="16"/>
      <c r="B134" s="18" t="s">
        <v>1495</v>
      </c>
      <c r="C134" s="18" t="s">
        <v>1454</v>
      </c>
      <c r="D134" s="18" t="s">
        <v>1488</v>
      </c>
      <c r="E134" s="23">
        <v>5300000</v>
      </c>
      <c r="F134" s="23">
        <v>2950000</v>
      </c>
      <c r="G134" s="23">
        <v>1950000</v>
      </c>
      <c r="H134" s="23">
        <v>1250000</v>
      </c>
    </row>
    <row r="135" spans="1:8">
      <c r="A135" s="16">
        <v>94</v>
      </c>
      <c r="B135" s="18" t="s">
        <v>1581</v>
      </c>
      <c r="C135" s="18" t="s">
        <v>1464</v>
      </c>
      <c r="D135" s="18" t="s">
        <v>1582</v>
      </c>
      <c r="E135" s="23">
        <v>5300000</v>
      </c>
      <c r="F135" s="23">
        <v>2950000</v>
      </c>
      <c r="G135" s="23">
        <v>1950000</v>
      </c>
      <c r="H135" s="23">
        <v>1250000</v>
      </c>
    </row>
    <row r="136" ht="27.6" spans="1:8">
      <c r="A136" s="16"/>
      <c r="B136" s="18" t="s">
        <v>1581</v>
      </c>
      <c r="C136" s="18" t="s">
        <v>1582</v>
      </c>
      <c r="D136" s="18" t="s">
        <v>1583</v>
      </c>
      <c r="E136" s="23">
        <v>4150000</v>
      </c>
      <c r="F136" s="23">
        <v>2300000</v>
      </c>
      <c r="G136" s="23">
        <v>1550000</v>
      </c>
      <c r="H136" s="23">
        <v>1000000</v>
      </c>
    </row>
    <row r="137" spans="1:8">
      <c r="A137" s="16"/>
      <c r="B137" s="18" t="s">
        <v>1581</v>
      </c>
      <c r="C137" s="18" t="s">
        <v>1464</v>
      </c>
      <c r="D137" s="18" t="s">
        <v>1532</v>
      </c>
      <c r="E137" s="23">
        <v>3250000</v>
      </c>
      <c r="F137" s="23">
        <v>1800000</v>
      </c>
      <c r="G137" s="23">
        <v>1200000</v>
      </c>
      <c r="H137" s="23">
        <v>800000</v>
      </c>
    </row>
    <row r="138" spans="1:8">
      <c r="A138" s="16">
        <v>95</v>
      </c>
      <c r="B138" s="57" t="s">
        <v>1584</v>
      </c>
      <c r="C138" s="57" t="s">
        <v>1585</v>
      </c>
      <c r="D138" s="57" t="s">
        <v>1445</v>
      </c>
      <c r="E138" s="23">
        <v>3250000</v>
      </c>
      <c r="F138" s="23">
        <v>1800000</v>
      </c>
      <c r="G138" s="23">
        <v>1200000</v>
      </c>
      <c r="H138" s="23">
        <v>800000</v>
      </c>
    </row>
    <row r="139" spans="1:8">
      <c r="A139" s="16">
        <v>96</v>
      </c>
      <c r="B139" s="18" t="s">
        <v>1586</v>
      </c>
      <c r="C139" s="18" t="s">
        <v>1489</v>
      </c>
      <c r="D139" s="18" t="s">
        <v>1483</v>
      </c>
      <c r="E139" s="23">
        <v>36300000</v>
      </c>
      <c r="F139" s="23">
        <v>20350000</v>
      </c>
      <c r="G139" s="23">
        <v>13450000</v>
      </c>
      <c r="H139" s="23">
        <v>8700000</v>
      </c>
    </row>
    <row r="140" spans="1:8">
      <c r="A140" s="16">
        <v>97</v>
      </c>
      <c r="B140" s="18" t="s">
        <v>1566</v>
      </c>
      <c r="C140" s="18" t="s">
        <v>1464</v>
      </c>
      <c r="D140" s="18" t="s">
        <v>1536</v>
      </c>
      <c r="E140" s="23">
        <v>5300000</v>
      </c>
      <c r="F140" s="23">
        <v>2950000</v>
      </c>
      <c r="G140" s="23">
        <v>1950000</v>
      </c>
      <c r="H140" s="23">
        <v>1250000</v>
      </c>
    </row>
    <row r="141" spans="1:8">
      <c r="A141" s="16">
        <v>98</v>
      </c>
      <c r="B141" s="18" t="s">
        <v>1587</v>
      </c>
      <c r="C141" s="18" t="s">
        <v>1464</v>
      </c>
      <c r="D141" s="18" t="s">
        <v>1536</v>
      </c>
      <c r="E141" s="23">
        <v>4150000</v>
      </c>
      <c r="F141" s="23">
        <v>2300000</v>
      </c>
      <c r="G141" s="23">
        <v>1550000</v>
      </c>
      <c r="H141" s="23">
        <v>1000000</v>
      </c>
    </row>
    <row r="142" spans="1:8">
      <c r="A142" s="16">
        <v>99</v>
      </c>
      <c r="B142" s="18" t="s">
        <v>1588</v>
      </c>
      <c r="C142" s="18" t="s">
        <v>1565</v>
      </c>
      <c r="D142" s="18" t="s">
        <v>1536</v>
      </c>
      <c r="E142" s="23">
        <v>4150000</v>
      </c>
      <c r="F142" s="23">
        <v>2300000</v>
      </c>
      <c r="G142" s="23">
        <v>1550000</v>
      </c>
      <c r="H142" s="23">
        <v>1000000</v>
      </c>
    </row>
    <row r="143" spans="1:8">
      <c r="A143" s="16">
        <v>100</v>
      </c>
      <c r="B143" s="18" t="s">
        <v>1580</v>
      </c>
      <c r="C143" s="18" t="s">
        <v>1474</v>
      </c>
      <c r="D143" s="18" t="s">
        <v>1527</v>
      </c>
      <c r="E143" s="23">
        <v>7800000</v>
      </c>
      <c r="F143" s="23">
        <v>4400000</v>
      </c>
      <c r="G143" s="23">
        <v>2900000</v>
      </c>
      <c r="H143" s="23">
        <v>1850000</v>
      </c>
    </row>
    <row r="144" spans="1:8">
      <c r="A144" s="16"/>
      <c r="B144" s="18" t="s">
        <v>1580</v>
      </c>
      <c r="C144" s="18" t="s">
        <v>1527</v>
      </c>
      <c r="D144" s="18" t="s">
        <v>1589</v>
      </c>
      <c r="E144" s="23">
        <v>6900000</v>
      </c>
      <c r="F144" s="23">
        <v>3850000</v>
      </c>
      <c r="G144" s="23">
        <v>2550000</v>
      </c>
      <c r="H144" s="23">
        <v>1650000</v>
      </c>
    </row>
    <row r="145" spans="1:8">
      <c r="A145" s="16">
        <v>101</v>
      </c>
      <c r="B145" s="18" t="s">
        <v>1437</v>
      </c>
      <c r="C145" s="18" t="s">
        <v>1428</v>
      </c>
      <c r="D145" s="18" t="s">
        <v>1590</v>
      </c>
      <c r="E145" s="23">
        <v>3250000</v>
      </c>
      <c r="F145" s="23">
        <v>1800000</v>
      </c>
      <c r="G145" s="23">
        <v>1200000</v>
      </c>
      <c r="H145" s="23">
        <v>800000</v>
      </c>
    </row>
    <row r="146" spans="1:8">
      <c r="A146" s="16"/>
      <c r="B146" s="18" t="s">
        <v>1437</v>
      </c>
      <c r="C146" s="18" t="s">
        <v>1590</v>
      </c>
      <c r="D146" s="18" t="s">
        <v>1502</v>
      </c>
      <c r="E146" s="23">
        <v>4150000</v>
      </c>
      <c r="F146" s="23">
        <v>2300000</v>
      </c>
      <c r="G146" s="23">
        <v>1550000</v>
      </c>
      <c r="H146" s="23">
        <v>1000000</v>
      </c>
    </row>
    <row r="147" spans="1:8">
      <c r="A147" s="16">
        <v>102</v>
      </c>
      <c r="B147" s="18" t="s">
        <v>1591</v>
      </c>
      <c r="C147" s="18" t="s">
        <v>1483</v>
      </c>
      <c r="D147" s="18" t="s">
        <v>1550</v>
      </c>
      <c r="E147" s="23">
        <v>6900000</v>
      </c>
      <c r="F147" s="23">
        <v>3850000</v>
      </c>
      <c r="G147" s="23">
        <v>2550000</v>
      </c>
      <c r="H147" s="23">
        <v>1650000</v>
      </c>
    </row>
    <row r="148" spans="1:8">
      <c r="A148" s="16">
        <v>103</v>
      </c>
      <c r="B148" s="18" t="s">
        <v>1534</v>
      </c>
      <c r="C148" s="18" t="s">
        <v>1592</v>
      </c>
      <c r="D148" s="18" t="s">
        <v>1580</v>
      </c>
      <c r="E148" s="23">
        <v>5300000</v>
      </c>
      <c r="F148" s="23">
        <v>2950000</v>
      </c>
      <c r="G148" s="23">
        <v>1950000</v>
      </c>
      <c r="H148" s="23">
        <v>1250000</v>
      </c>
    </row>
    <row r="149" spans="1:8">
      <c r="A149" s="16">
        <v>104</v>
      </c>
      <c r="B149" s="18" t="s">
        <v>1481</v>
      </c>
      <c r="C149" s="18" t="s">
        <v>1455</v>
      </c>
      <c r="D149" s="18" t="s">
        <v>248</v>
      </c>
      <c r="E149" s="23">
        <v>6900000</v>
      </c>
      <c r="F149" s="23">
        <v>3850000</v>
      </c>
      <c r="G149" s="23">
        <v>2550000</v>
      </c>
      <c r="H149" s="23">
        <v>1650000</v>
      </c>
    </row>
    <row r="150" spans="1:8">
      <c r="A150" s="16"/>
      <c r="B150" s="18" t="s">
        <v>1481</v>
      </c>
      <c r="C150" s="18" t="s">
        <v>248</v>
      </c>
      <c r="D150" s="18" t="s">
        <v>1478</v>
      </c>
      <c r="E150" s="23">
        <v>5300000</v>
      </c>
      <c r="F150" s="23">
        <v>2950000</v>
      </c>
      <c r="G150" s="23">
        <v>1950000</v>
      </c>
      <c r="H150" s="23">
        <v>1250000</v>
      </c>
    </row>
    <row r="151" spans="1:8">
      <c r="A151" s="16">
        <v>105</v>
      </c>
      <c r="B151" s="18" t="s">
        <v>1569</v>
      </c>
      <c r="C151" s="18" t="s">
        <v>1513</v>
      </c>
      <c r="D151" s="18" t="s">
        <v>1477</v>
      </c>
      <c r="E151" s="23">
        <v>6900000</v>
      </c>
      <c r="F151" s="23">
        <v>3850000</v>
      </c>
      <c r="G151" s="23">
        <v>2550000</v>
      </c>
      <c r="H151" s="23">
        <v>1650000</v>
      </c>
    </row>
    <row r="152" spans="1:8">
      <c r="A152" s="16"/>
      <c r="B152" s="18" t="s">
        <v>1569</v>
      </c>
      <c r="C152" s="18" t="s">
        <v>1477</v>
      </c>
      <c r="D152" s="18" t="s">
        <v>1580</v>
      </c>
      <c r="E152" s="23">
        <v>7800000</v>
      </c>
      <c r="F152" s="23">
        <v>4400000</v>
      </c>
      <c r="G152" s="23">
        <v>2900000</v>
      </c>
      <c r="H152" s="23">
        <v>1850000</v>
      </c>
    </row>
    <row r="153" spans="1:8">
      <c r="A153" s="16">
        <v>106</v>
      </c>
      <c r="B153" s="18" t="s">
        <v>1464</v>
      </c>
      <c r="C153" s="18" t="s">
        <v>1593</v>
      </c>
      <c r="D153" s="18" t="s">
        <v>1542</v>
      </c>
      <c r="E153" s="23">
        <v>5300000</v>
      </c>
      <c r="F153" s="23">
        <v>2950000</v>
      </c>
      <c r="G153" s="23">
        <v>1950000</v>
      </c>
      <c r="H153" s="23">
        <v>1250000</v>
      </c>
    </row>
    <row r="154" spans="1:8">
      <c r="A154" s="16"/>
      <c r="B154" s="18" t="s">
        <v>1464</v>
      </c>
      <c r="C154" s="18" t="s">
        <v>1455</v>
      </c>
      <c r="D154" s="18" t="s">
        <v>1448</v>
      </c>
      <c r="E154" s="23">
        <v>6900000</v>
      </c>
      <c r="F154" s="23">
        <v>3850000</v>
      </c>
      <c r="G154" s="23">
        <v>2550000</v>
      </c>
      <c r="H154" s="23">
        <v>1650000</v>
      </c>
    </row>
    <row r="155" spans="1:8">
      <c r="A155" s="16"/>
      <c r="B155" s="18" t="s">
        <v>1464</v>
      </c>
      <c r="C155" s="18" t="s">
        <v>1448</v>
      </c>
      <c r="D155" s="18" t="s">
        <v>1593</v>
      </c>
      <c r="E155" s="23">
        <v>7800000</v>
      </c>
      <c r="F155" s="23">
        <v>4400000</v>
      </c>
      <c r="G155" s="23">
        <v>2900000</v>
      </c>
      <c r="H155" s="23">
        <v>1850000</v>
      </c>
    </row>
    <row r="156" spans="1:8">
      <c r="A156" s="16">
        <v>107</v>
      </c>
      <c r="B156" s="18" t="s">
        <v>1594</v>
      </c>
      <c r="C156" s="18" t="s">
        <v>1512</v>
      </c>
      <c r="D156" s="18" t="s">
        <v>1465</v>
      </c>
      <c r="E156" s="23">
        <v>10600000</v>
      </c>
      <c r="F156" s="23">
        <v>5950000</v>
      </c>
      <c r="G156" s="23">
        <v>3900000</v>
      </c>
      <c r="H156" s="23">
        <v>2550000</v>
      </c>
    </row>
    <row r="157" spans="1:8">
      <c r="A157" s="16">
        <v>108</v>
      </c>
      <c r="B157" s="18" t="s">
        <v>1536</v>
      </c>
      <c r="C157" s="18" t="s">
        <v>1593</v>
      </c>
      <c r="D157" s="18" t="s">
        <v>1595</v>
      </c>
      <c r="E157" s="23">
        <v>4150000</v>
      </c>
      <c r="F157" s="23">
        <v>2300000</v>
      </c>
      <c r="G157" s="23">
        <v>1550000</v>
      </c>
      <c r="H157" s="23">
        <v>1000000</v>
      </c>
    </row>
    <row r="158" spans="1:8">
      <c r="A158" s="16"/>
      <c r="B158" s="18" t="s">
        <v>1536</v>
      </c>
      <c r="C158" s="18" t="s">
        <v>1448</v>
      </c>
      <c r="D158" s="18" t="s">
        <v>1593</v>
      </c>
      <c r="E158" s="23">
        <v>5300000</v>
      </c>
      <c r="F158" s="23">
        <v>2950000</v>
      </c>
      <c r="G158" s="23">
        <v>1950000</v>
      </c>
      <c r="H158" s="23">
        <v>1250000</v>
      </c>
    </row>
    <row r="159" spans="1:8">
      <c r="A159" s="16">
        <v>109</v>
      </c>
      <c r="B159" s="18" t="s">
        <v>1596</v>
      </c>
      <c r="C159" s="18" t="s">
        <v>1597</v>
      </c>
      <c r="D159" s="18" t="s">
        <v>1598</v>
      </c>
      <c r="E159" s="23">
        <v>6900000</v>
      </c>
      <c r="F159" s="23">
        <v>3850000</v>
      </c>
      <c r="G159" s="23">
        <v>2550000</v>
      </c>
      <c r="H159" s="23">
        <v>1650000</v>
      </c>
    </row>
    <row r="160" spans="1:8">
      <c r="A160" s="16">
        <v>110</v>
      </c>
      <c r="B160" s="18" t="s">
        <v>1599</v>
      </c>
      <c r="C160" s="18" t="s">
        <v>1464</v>
      </c>
      <c r="D160" s="18" t="s">
        <v>1458</v>
      </c>
      <c r="E160" s="23">
        <v>5300000</v>
      </c>
      <c r="F160" s="23">
        <v>2950000</v>
      </c>
      <c r="G160" s="23">
        <v>1950000</v>
      </c>
      <c r="H160" s="23">
        <v>1250000</v>
      </c>
    </row>
    <row r="161" spans="1:9">
      <c r="A161" s="16">
        <v>111</v>
      </c>
      <c r="B161" s="18" t="s">
        <v>1600</v>
      </c>
      <c r="C161" s="18" t="s">
        <v>1601</v>
      </c>
      <c r="D161" s="18" t="s">
        <v>1602</v>
      </c>
      <c r="E161" s="23">
        <v>2200000</v>
      </c>
      <c r="F161" s="23">
        <v>1250000</v>
      </c>
      <c r="G161" s="23">
        <v>800000</v>
      </c>
      <c r="H161" s="23">
        <v>550000</v>
      </c>
    </row>
    <row r="162" spans="1:9">
      <c r="A162" s="16">
        <v>112</v>
      </c>
      <c r="B162" s="18" t="s">
        <v>1511</v>
      </c>
      <c r="C162" s="18" t="s">
        <v>1600</v>
      </c>
      <c r="D162" s="18" t="s">
        <v>1510</v>
      </c>
      <c r="E162" s="23">
        <v>2200000</v>
      </c>
      <c r="F162" s="23">
        <v>1250000</v>
      </c>
      <c r="G162" s="23">
        <v>800000</v>
      </c>
      <c r="H162" s="23">
        <v>550000</v>
      </c>
    </row>
    <row r="163" spans="1:9">
      <c r="A163" s="16">
        <v>113</v>
      </c>
      <c r="B163" s="18" t="s">
        <v>1603</v>
      </c>
      <c r="C163" s="18" t="s">
        <v>1536</v>
      </c>
      <c r="D163" s="18" t="s">
        <v>1464</v>
      </c>
      <c r="E163" s="23">
        <v>4150000</v>
      </c>
      <c r="F163" s="23">
        <v>2300000</v>
      </c>
      <c r="G163" s="23">
        <v>1550000</v>
      </c>
      <c r="H163" s="23">
        <v>1000000</v>
      </c>
    </row>
    <row r="164" spans="1:9">
      <c r="A164" s="16">
        <v>114</v>
      </c>
      <c r="B164" s="144" t="s">
        <v>1604</v>
      </c>
      <c r="C164" s="144" t="s">
        <v>1489</v>
      </c>
      <c r="D164" s="144" t="s">
        <v>1452</v>
      </c>
      <c r="E164" s="23">
        <v>30800000</v>
      </c>
      <c r="F164" s="23">
        <v>17250000</v>
      </c>
      <c r="G164" s="23">
        <v>11400000</v>
      </c>
      <c r="H164" s="23">
        <v>7400000</v>
      </c>
      <c r="I164" s="31" t="s">
        <v>50</v>
      </c>
    </row>
    <row r="165" spans="1:9">
      <c r="A165" s="46">
        <v>115</v>
      </c>
      <c r="B165" s="57" t="s">
        <v>1605</v>
      </c>
      <c r="C165" s="18" t="s">
        <v>1468</v>
      </c>
      <c r="D165" s="18" t="s">
        <v>1469</v>
      </c>
      <c r="E165" s="23">
        <v>6900000</v>
      </c>
      <c r="F165" s="23">
        <v>3850000</v>
      </c>
      <c r="G165" s="23">
        <v>2550000</v>
      </c>
      <c r="H165" s="23">
        <v>1650000</v>
      </c>
    </row>
    <row r="166" spans="1:9">
      <c r="A166" s="46"/>
      <c r="B166" s="57" t="s">
        <v>1605</v>
      </c>
      <c r="C166" s="18" t="s">
        <v>1469</v>
      </c>
      <c r="D166" s="18" t="s">
        <v>1488</v>
      </c>
      <c r="E166" s="23">
        <v>5300000</v>
      </c>
      <c r="F166" s="23">
        <v>2950000</v>
      </c>
      <c r="G166" s="23">
        <v>1950000</v>
      </c>
      <c r="H166" s="23">
        <v>1250000</v>
      </c>
    </row>
    <row r="167" spans="1:9">
      <c r="A167" s="16">
        <v>116</v>
      </c>
      <c r="B167" s="18" t="s">
        <v>1553</v>
      </c>
      <c r="C167" s="18" t="s">
        <v>1440</v>
      </c>
      <c r="D167" s="18" t="s">
        <v>1449</v>
      </c>
      <c r="E167" s="23">
        <v>6900000</v>
      </c>
      <c r="F167" s="23">
        <v>3850000</v>
      </c>
      <c r="G167" s="23">
        <v>2550000</v>
      </c>
      <c r="H167" s="23">
        <v>1650000</v>
      </c>
    </row>
    <row r="168" spans="1:9">
      <c r="A168" s="16">
        <v>117</v>
      </c>
      <c r="B168" s="18" t="s">
        <v>1606</v>
      </c>
      <c r="C168" s="18" t="s">
        <v>1530</v>
      </c>
      <c r="D168" s="18" t="s">
        <v>1592</v>
      </c>
      <c r="E168" s="23">
        <v>3250000</v>
      </c>
      <c r="F168" s="23">
        <v>1800000</v>
      </c>
      <c r="G168" s="23">
        <v>1200000</v>
      </c>
      <c r="H168" s="23">
        <v>800000</v>
      </c>
    </row>
    <row r="169" spans="1:9">
      <c r="A169" s="16">
        <v>118</v>
      </c>
      <c r="B169" s="18" t="s">
        <v>1510</v>
      </c>
      <c r="C169" s="18" t="s">
        <v>1600</v>
      </c>
      <c r="D169" s="18" t="s">
        <v>1511</v>
      </c>
      <c r="E169" s="23">
        <v>2200000</v>
      </c>
      <c r="F169" s="23">
        <v>1250000</v>
      </c>
      <c r="G169" s="23">
        <v>800000</v>
      </c>
      <c r="H169" s="23">
        <v>550000</v>
      </c>
    </row>
    <row r="170" spans="1:9">
      <c r="A170" s="16">
        <v>119</v>
      </c>
      <c r="B170" s="18" t="s">
        <v>1513</v>
      </c>
      <c r="C170" s="18" t="s">
        <v>1495</v>
      </c>
      <c r="D170" s="18" t="s">
        <v>1538</v>
      </c>
      <c r="E170" s="23">
        <v>5300000</v>
      </c>
      <c r="F170" s="23">
        <v>2950000</v>
      </c>
      <c r="G170" s="23">
        <v>1950000</v>
      </c>
      <c r="H170" s="23">
        <v>1250000</v>
      </c>
    </row>
    <row r="171" spans="1:9">
      <c r="A171" s="16">
        <v>120</v>
      </c>
      <c r="B171" s="18" t="s">
        <v>1579</v>
      </c>
      <c r="C171" s="18" t="s">
        <v>1607</v>
      </c>
      <c r="D171" s="18" t="s">
        <v>1608</v>
      </c>
      <c r="E171" s="23">
        <v>3250000</v>
      </c>
      <c r="F171" s="23">
        <v>1800000</v>
      </c>
      <c r="G171" s="23">
        <v>1200000</v>
      </c>
      <c r="H171" s="23">
        <v>800000</v>
      </c>
    </row>
    <row r="172" spans="1:9">
      <c r="A172" s="16">
        <v>121</v>
      </c>
      <c r="B172" s="18" t="s">
        <v>1522</v>
      </c>
      <c r="C172" s="18" t="s">
        <v>1427</v>
      </c>
      <c r="D172" s="18" t="s">
        <v>1609</v>
      </c>
      <c r="E172" s="23">
        <v>6900000</v>
      </c>
      <c r="F172" s="23">
        <v>3850000</v>
      </c>
      <c r="G172" s="23">
        <v>2550000</v>
      </c>
      <c r="H172" s="23">
        <v>1650000</v>
      </c>
    </row>
    <row r="173" spans="1:9">
      <c r="A173" s="16">
        <v>122</v>
      </c>
      <c r="B173" s="18" t="s">
        <v>1610</v>
      </c>
      <c r="C173" s="18" t="s">
        <v>1426</v>
      </c>
      <c r="D173" s="18" t="s">
        <v>1512</v>
      </c>
      <c r="E173" s="23">
        <v>6900000</v>
      </c>
      <c r="F173" s="23">
        <v>3850000</v>
      </c>
      <c r="G173" s="23">
        <v>2550000</v>
      </c>
      <c r="H173" s="23">
        <v>1650000</v>
      </c>
    </row>
    <row r="174" spans="1:9">
      <c r="A174" s="16">
        <v>123</v>
      </c>
      <c r="B174" s="18" t="s">
        <v>1489</v>
      </c>
      <c r="C174" s="18" t="s">
        <v>1525</v>
      </c>
      <c r="D174" s="18" t="s">
        <v>1441</v>
      </c>
      <c r="E174" s="23">
        <v>48750000</v>
      </c>
      <c r="F174" s="23">
        <v>27300000</v>
      </c>
      <c r="G174" s="23">
        <v>18050000</v>
      </c>
      <c r="H174" s="23">
        <v>11700000</v>
      </c>
    </row>
    <row r="175" spans="1:9">
      <c r="A175" s="16">
        <v>124</v>
      </c>
      <c r="B175" s="18" t="s">
        <v>1611</v>
      </c>
      <c r="C175" s="18" t="s">
        <v>1454</v>
      </c>
      <c r="D175" s="18" t="s">
        <v>534</v>
      </c>
      <c r="E175" s="23">
        <v>7800000</v>
      </c>
      <c r="F175" s="23">
        <v>4400000</v>
      </c>
      <c r="G175" s="23">
        <v>2900000</v>
      </c>
      <c r="H175" s="23">
        <v>1850000</v>
      </c>
    </row>
    <row r="176" spans="1:9">
      <c r="A176" s="16">
        <v>125</v>
      </c>
      <c r="B176" s="18" t="s">
        <v>1447</v>
      </c>
      <c r="C176" s="18" t="s">
        <v>1458</v>
      </c>
      <c r="D176" s="18" t="s">
        <v>1464</v>
      </c>
      <c r="E176" s="23">
        <v>5300000</v>
      </c>
      <c r="F176" s="23">
        <v>2950000</v>
      </c>
      <c r="G176" s="23">
        <v>1950000</v>
      </c>
      <c r="H176" s="23">
        <v>1250000</v>
      </c>
    </row>
    <row r="177" spans="1:8">
      <c r="A177" s="16">
        <v>126</v>
      </c>
      <c r="B177" s="18" t="s">
        <v>1477</v>
      </c>
      <c r="C177" s="18" t="s">
        <v>1495</v>
      </c>
      <c r="D177" s="18" t="s">
        <v>1527</v>
      </c>
      <c r="E177" s="23">
        <v>6900000</v>
      </c>
      <c r="F177" s="23">
        <v>3850000</v>
      </c>
      <c r="G177" s="23">
        <v>2550000</v>
      </c>
      <c r="H177" s="23">
        <v>1650000</v>
      </c>
    </row>
    <row r="178" spans="1:8">
      <c r="A178" s="16">
        <v>127</v>
      </c>
      <c r="B178" s="18" t="s">
        <v>1612</v>
      </c>
      <c r="C178" s="18" t="s">
        <v>1426</v>
      </c>
      <c r="D178" s="18" t="s">
        <v>1477</v>
      </c>
      <c r="E178" s="23">
        <v>6900000</v>
      </c>
      <c r="F178" s="23">
        <v>3850000</v>
      </c>
      <c r="G178" s="23">
        <v>2550000</v>
      </c>
      <c r="H178" s="23">
        <v>1650000</v>
      </c>
    </row>
    <row r="179" spans="1:8">
      <c r="A179" s="16"/>
      <c r="B179" s="18" t="s">
        <v>1612</v>
      </c>
      <c r="C179" s="18" t="s">
        <v>1477</v>
      </c>
      <c r="D179" s="18" t="s">
        <v>1513</v>
      </c>
      <c r="E179" s="23">
        <v>5300000</v>
      </c>
      <c r="F179" s="23">
        <v>2950000</v>
      </c>
      <c r="G179" s="23">
        <v>1950000</v>
      </c>
      <c r="H179" s="23">
        <v>1250000</v>
      </c>
    </row>
    <row r="180" spans="1:8">
      <c r="A180" s="16">
        <v>128</v>
      </c>
      <c r="B180" s="18" t="s">
        <v>1540</v>
      </c>
      <c r="C180" s="18" t="s">
        <v>1512</v>
      </c>
      <c r="D180" s="18" t="s">
        <v>1519</v>
      </c>
      <c r="E180" s="23">
        <v>5300000</v>
      </c>
      <c r="F180" s="23">
        <v>2950000</v>
      </c>
      <c r="G180" s="23">
        <v>1950000</v>
      </c>
      <c r="H180" s="23">
        <v>1250000</v>
      </c>
    </row>
    <row r="181" spans="1:8">
      <c r="A181" s="16"/>
      <c r="B181" s="18" t="s">
        <v>1540</v>
      </c>
      <c r="C181" s="18" t="s">
        <v>1512</v>
      </c>
      <c r="D181" s="18" t="s">
        <v>1447</v>
      </c>
      <c r="E181" s="23">
        <v>6900000</v>
      </c>
      <c r="F181" s="23">
        <v>3850000</v>
      </c>
      <c r="G181" s="23">
        <v>2550000</v>
      </c>
      <c r="H181" s="23">
        <v>1650000</v>
      </c>
    </row>
    <row r="182" spans="1:8">
      <c r="A182" s="16">
        <v>129</v>
      </c>
      <c r="B182" s="18" t="s">
        <v>1593</v>
      </c>
      <c r="C182" s="18" t="s">
        <v>1532</v>
      </c>
      <c r="D182" s="18" t="s">
        <v>1538</v>
      </c>
      <c r="E182" s="23">
        <v>5300000</v>
      </c>
      <c r="F182" s="23">
        <v>2950000</v>
      </c>
      <c r="G182" s="23">
        <v>1950000</v>
      </c>
      <c r="H182" s="23">
        <v>1250000</v>
      </c>
    </row>
    <row r="183" spans="1:8">
      <c r="A183" s="16">
        <v>130</v>
      </c>
      <c r="B183" s="18" t="s">
        <v>1613</v>
      </c>
      <c r="C183" s="18" t="s">
        <v>1439</v>
      </c>
      <c r="D183" s="18" t="s">
        <v>1614</v>
      </c>
      <c r="E183" s="23">
        <v>3250000</v>
      </c>
      <c r="F183" s="23">
        <v>1800000</v>
      </c>
      <c r="G183" s="23">
        <v>1200000</v>
      </c>
      <c r="H183" s="23">
        <v>800000</v>
      </c>
    </row>
    <row r="184" spans="1:8">
      <c r="A184" s="16">
        <v>131</v>
      </c>
      <c r="B184" s="18" t="s">
        <v>1448</v>
      </c>
      <c r="C184" s="18" t="s">
        <v>1466</v>
      </c>
      <c r="D184" s="18" t="s">
        <v>1458</v>
      </c>
      <c r="E184" s="23">
        <v>7800000</v>
      </c>
      <c r="F184" s="23">
        <v>4400000</v>
      </c>
      <c r="G184" s="23">
        <v>2900000</v>
      </c>
      <c r="H184" s="23">
        <v>1850000</v>
      </c>
    </row>
    <row r="185" spans="1:8">
      <c r="A185" s="16"/>
      <c r="B185" s="18" t="s">
        <v>1448</v>
      </c>
      <c r="C185" s="18" t="s">
        <v>1458</v>
      </c>
      <c r="D185" s="18" t="s">
        <v>1464</v>
      </c>
      <c r="E185" s="23">
        <v>6900000</v>
      </c>
      <c r="F185" s="23">
        <v>3850000</v>
      </c>
      <c r="G185" s="23">
        <v>2550000</v>
      </c>
      <c r="H185" s="23">
        <v>1650000</v>
      </c>
    </row>
    <row r="186" spans="1:8">
      <c r="A186" s="16"/>
      <c r="B186" s="18" t="s">
        <v>1448</v>
      </c>
      <c r="C186" s="18" t="s">
        <v>1464</v>
      </c>
      <c r="D186" s="18" t="s">
        <v>1615</v>
      </c>
      <c r="E186" s="23">
        <v>5300000</v>
      </c>
      <c r="F186" s="23">
        <v>2950000</v>
      </c>
      <c r="G186" s="23">
        <v>1950000</v>
      </c>
      <c r="H186" s="23">
        <v>1250000</v>
      </c>
    </row>
    <row r="187" spans="1:8">
      <c r="A187" s="16">
        <v>132</v>
      </c>
      <c r="B187" s="18" t="s">
        <v>1592</v>
      </c>
      <c r="C187" s="18" t="s">
        <v>1616</v>
      </c>
      <c r="D187" s="18" t="s">
        <v>1534</v>
      </c>
      <c r="E187" s="23">
        <v>4150000</v>
      </c>
      <c r="F187" s="23">
        <v>2300000</v>
      </c>
      <c r="G187" s="23">
        <v>1550000</v>
      </c>
      <c r="H187" s="23">
        <v>1000000</v>
      </c>
    </row>
    <row r="188" spans="1:8">
      <c r="A188" s="16"/>
      <c r="B188" s="18" t="s">
        <v>1592</v>
      </c>
      <c r="C188" s="18" t="s">
        <v>1534</v>
      </c>
      <c r="D188" s="18" t="s">
        <v>1427</v>
      </c>
      <c r="E188" s="23">
        <v>5300000</v>
      </c>
      <c r="F188" s="23">
        <v>2950000</v>
      </c>
      <c r="G188" s="23">
        <v>1950000</v>
      </c>
      <c r="H188" s="23">
        <v>1250000</v>
      </c>
    </row>
    <row r="189" spans="1:8">
      <c r="A189" s="16">
        <v>133</v>
      </c>
      <c r="B189" s="18" t="s">
        <v>1523</v>
      </c>
      <c r="C189" s="18" t="s">
        <v>1617</v>
      </c>
      <c r="D189" s="18" t="s">
        <v>1464</v>
      </c>
      <c r="E189" s="23">
        <v>6900000</v>
      </c>
      <c r="F189" s="23">
        <v>3850000</v>
      </c>
      <c r="G189" s="23">
        <v>2550000</v>
      </c>
      <c r="H189" s="23">
        <v>1650000</v>
      </c>
    </row>
    <row r="190" spans="1:8">
      <c r="A190" s="16">
        <v>134</v>
      </c>
      <c r="B190" s="18" t="s">
        <v>1572</v>
      </c>
      <c r="C190" s="18" t="s">
        <v>1595</v>
      </c>
      <c r="D190" s="18" t="s">
        <v>1603</v>
      </c>
      <c r="E190" s="23">
        <v>4150000</v>
      </c>
      <c r="F190" s="23">
        <v>2300000</v>
      </c>
      <c r="G190" s="23">
        <v>1550000</v>
      </c>
      <c r="H190" s="23">
        <v>1000000</v>
      </c>
    </row>
    <row r="191" spans="1:8">
      <c r="A191" s="16">
        <v>135</v>
      </c>
      <c r="B191" s="18" t="s">
        <v>1527</v>
      </c>
      <c r="C191" s="18" t="s">
        <v>1513</v>
      </c>
      <c r="D191" s="18" t="s">
        <v>1512</v>
      </c>
      <c r="E191" s="23">
        <v>4150000</v>
      </c>
      <c r="F191" s="23">
        <v>2300000</v>
      </c>
      <c r="G191" s="23">
        <v>1550000</v>
      </c>
      <c r="H191" s="23">
        <v>1000000</v>
      </c>
    </row>
    <row r="192" spans="1:8">
      <c r="A192" s="16"/>
      <c r="B192" s="18" t="s">
        <v>1527</v>
      </c>
      <c r="C192" s="18" t="s">
        <v>1512</v>
      </c>
      <c r="D192" s="18" t="s">
        <v>1580</v>
      </c>
      <c r="E192" s="23">
        <v>5300000</v>
      </c>
      <c r="F192" s="23">
        <v>2950000</v>
      </c>
      <c r="G192" s="23">
        <v>1950000</v>
      </c>
      <c r="H192" s="23">
        <v>1250000</v>
      </c>
    </row>
    <row r="193" spans="1:9">
      <c r="A193" s="16">
        <v>136</v>
      </c>
      <c r="B193" s="144" t="s">
        <v>1618</v>
      </c>
      <c r="C193" s="144" t="s">
        <v>1504</v>
      </c>
      <c r="D193" s="144" t="s">
        <v>1547</v>
      </c>
      <c r="E193" s="23">
        <v>6900000</v>
      </c>
      <c r="F193" s="23">
        <v>3850000</v>
      </c>
      <c r="G193" s="23">
        <v>2550000</v>
      </c>
      <c r="H193" s="23">
        <v>1650000</v>
      </c>
      <c r="I193" s="31" t="s">
        <v>50</v>
      </c>
    </row>
    <row r="194" spans="1:9">
      <c r="A194" s="16">
        <v>137</v>
      </c>
      <c r="B194" s="18" t="s">
        <v>1619</v>
      </c>
      <c r="C194" s="18" t="s">
        <v>1515</v>
      </c>
      <c r="D194" s="18" t="s">
        <v>1514</v>
      </c>
      <c r="E194" s="23">
        <v>3250000</v>
      </c>
      <c r="F194" s="23">
        <v>1800000</v>
      </c>
      <c r="G194" s="23">
        <v>1200000</v>
      </c>
      <c r="H194" s="23">
        <v>800000</v>
      </c>
    </row>
    <row r="195" spans="1:9">
      <c r="A195" s="16">
        <v>138</v>
      </c>
      <c r="B195" s="18" t="s">
        <v>1595</v>
      </c>
      <c r="C195" s="18" t="s">
        <v>1536</v>
      </c>
      <c r="D195" s="18" t="s">
        <v>1572</v>
      </c>
      <c r="E195" s="23">
        <v>3250000</v>
      </c>
      <c r="F195" s="23">
        <v>1800000</v>
      </c>
      <c r="G195" s="23">
        <v>1200000</v>
      </c>
      <c r="H195" s="23">
        <v>800000</v>
      </c>
    </row>
    <row r="196" spans="1:9">
      <c r="A196" s="16">
        <v>139</v>
      </c>
      <c r="B196" s="18" t="s">
        <v>1620</v>
      </c>
      <c r="C196" s="18" t="s">
        <v>1448</v>
      </c>
      <c r="D196" s="18" t="s">
        <v>1512</v>
      </c>
      <c r="E196" s="23">
        <v>3250000</v>
      </c>
      <c r="F196" s="23">
        <v>1800000</v>
      </c>
      <c r="G196" s="23">
        <v>1200000</v>
      </c>
      <c r="H196" s="23">
        <v>800000</v>
      </c>
    </row>
    <row r="197" spans="1:9">
      <c r="A197" s="16"/>
      <c r="B197" s="18" t="s">
        <v>1620</v>
      </c>
      <c r="C197" s="18" t="s">
        <v>1512</v>
      </c>
      <c r="D197" s="18" t="s">
        <v>1593</v>
      </c>
      <c r="E197" s="23">
        <v>4150000</v>
      </c>
      <c r="F197" s="23">
        <v>2300000</v>
      </c>
      <c r="G197" s="23">
        <v>1550000</v>
      </c>
      <c r="H197" s="23">
        <v>1000000</v>
      </c>
    </row>
    <row r="198" spans="1:9">
      <c r="A198" s="16">
        <v>140</v>
      </c>
      <c r="B198" s="18" t="s">
        <v>1621</v>
      </c>
      <c r="C198" s="18" t="s">
        <v>1473</v>
      </c>
      <c r="D198" s="18" t="s">
        <v>1622</v>
      </c>
      <c r="E198" s="23">
        <v>6900000</v>
      </c>
      <c r="F198" s="23">
        <v>3850000</v>
      </c>
      <c r="G198" s="23">
        <v>2550000</v>
      </c>
      <c r="H198" s="23">
        <v>1650000</v>
      </c>
    </row>
    <row r="199" spans="1:9">
      <c r="A199" s="16">
        <v>141</v>
      </c>
      <c r="B199" s="18" t="s">
        <v>1623</v>
      </c>
      <c r="C199" s="18" t="s">
        <v>1612</v>
      </c>
      <c r="D199" s="18" t="s">
        <v>1551</v>
      </c>
      <c r="E199" s="23">
        <v>5300000</v>
      </c>
      <c r="F199" s="23">
        <v>2950000</v>
      </c>
      <c r="G199" s="23">
        <v>1950000</v>
      </c>
      <c r="H199" s="23">
        <v>1250000</v>
      </c>
    </row>
    <row r="200" spans="1:9">
      <c r="A200" s="16">
        <v>142</v>
      </c>
      <c r="B200" s="18" t="s">
        <v>1488</v>
      </c>
      <c r="C200" s="18" t="s">
        <v>1495</v>
      </c>
      <c r="D200" s="18" t="s">
        <v>97</v>
      </c>
      <c r="E200" s="23">
        <v>5300000</v>
      </c>
      <c r="F200" s="23">
        <v>2950000</v>
      </c>
      <c r="G200" s="23">
        <v>1950000</v>
      </c>
      <c r="H200" s="23">
        <v>1250000</v>
      </c>
    </row>
    <row r="201" spans="1:9">
      <c r="A201" s="16">
        <v>143</v>
      </c>
      <c r="B201" s="18" t="s">
        <v>1624</v>
      </c>
      <c r="C201" s="18" t="s">
        <v>1455</v>
      </c>
      <c r="D201" s="18" t="s">
        <v>1426</v>
      </c>
      <c r="E201" s="23">
        <v>7800000</v>
      </c>
      <c r="F201" s="23">
        <v>4400000</v>
      </c>
      <c r="G201" s="23">
        <v>2900000</v>
      </c>
      <c r="H201" s="23">
        <v>1850000</v>
      </c>
    </row>
    <row r="202" s="30" customFormat="1" ht="14.4" spans="1:9">
      <c r="A202" s="39" t="s">
        <v>136</v>
      </c>
      <c r="B202" s="18"/>
      <c r="C202" s="18"/>
      <c r="D202" s="18"/>
      <c r="E202" s="23"/>
      <c r="F202" s="23"/>
      <c r="G202" s="23"/>
      <c r="H202" s="23"/>
      <c r="I202" s="31"/>
    </row>
    <row r="203" ht="27.6" spans="1:9">
      <c r="A203" s="16">
        <v>144</v>
      </c>
      <c r="B203" s="18" t="s">
        <v>1625</v>
      </c>
      <c r="C203" s="18"/>
      <c r="D203" s="18"/>
      <c r="E203" s="23">
        <v>5300000</v>
      </c>
      <c r="F203" s="23">
        <v>2950000</v>
      </c>
      <c r="G203" s="23">
        <v>1950000</v>
      </c>
      <c r="H203" s="23">
        <v>1250000</v>
      </c>
      <c r="I203" s="31" t="s">
        <v>1626</v>
      </c>
    </row>
    <row r="204" spans="1:9">
      <c r="A204" s="16">
        <v>145</v>
      </c>
      <c r="B204" s="20" t="s">
        <v>137</v>
      </c>
      <c r="C204" s="18"/>
      <c r="D204" s="18"/>
      <c r="E204" s="23">
        <v>2200000</v>
      </c>
      <c r="F204" s="23">
        <v>1250000</v>
      </c>
      <c r="G204" s="23">
        <v>800000</v>
      </c>
      <c r="H204" s="23">
        <v>550000</v>
      </c>
      <c r="I204" s="31" t="s">
        <v>138</v>
      </c>
    </row>
    <row r="205" spans="1:9">
      <c r="A205" s="27"/>
      <c r="C205" s="28"/>
      <c r="D205" s="28"/>
      <c r="E205" s="23" t="s">
        <v>16</v>
      </c>
      <c r="F205" s="23" t="s">
        <v>16</v>
      </c>
      <c r="G205" s="23" t="s">
        <v>16</v>
      </c>
      <c r="H205" s="23" t="s">
        <v>16</v>
      </c>
    </row>
    <row r="206" spans="1:9">
      <c r="A206" s="27"/>
      <c r="C206" s="28"/>
      <c r="D206" s="28"/>
      <c r="E206" s="23" t="s">
        <v>16</v>
      </c>
      <c r="F206" s="23" t="s">
        <v>16</v>
      </c>
      <c r="G206" s="23" t="s">
        <v>16</v>
      </c>
      <c r="H206" s="23" t="s">
        <v>16</v>
      </c>
    </row>
    <row r="207" spans="1:9">
      <c r="A207" s="27"/>
      <c r="C207" s="28"/>
      <c r="D207" s="28"/>
      <c r="E207" s="23" t="s">
        <v>16</v>
      </c>
      <c r="F207" s="23" t="s">
        <v>16</v>
      </c>
      <c r="G207" s="23" t="s">
        <v>16</v>
      </c>
      <c r="H207" s="23" t="s">
        <v>16</v>
      </c>
    </row>
    <row r="208" spans="1:9">
      <c r="A208" s="27"/>
      <c r="C208" s="28"/>
      <c r="D208" s="28"/>
      <c r="E208" s="23" t="s">
        <v>16</v>
      </c>
      <c r="F208" s="23" t="s">
        <v>16</v>
      </c>
      <c r="G208" s="23" t="s">
        <v>16</v>
      </c>
      <c r="H208" s="23" t="s">
        <v>16</v>
      </c>
    </row>
    <row r="209" spans="1:8">
      <c r="A209" s="27"/>
      <c r="C209" s="28"/>
      <c r="D209" s="28"/>
      <c r="E209" s="23" t="s">
        <v>16</v>
      </c>
      <c r="F209" s="23" t="s">
        <v>16</v>
      </c>
      <c r="G209" s="23" t="s">
        <v>16</v>
      </c>
      <c r="H209" s="23" t="s">
        <v>16</v>
      </c>
    </row>
    <row r="210" spans="1:8">
      <c r="A210" s="27"/>
      <c r="C210" s="28"/>
      <c r="D210" s="28"/>
      <c r="E210" s="23" t="s">
        <v>16</v>
      </c>
      <c r="F210" s="23" t="s">
        <v>16</v>
      </c>
      <c r="G210" s="23" t="s">
        <v>16</v>
      </c>
      <c r="H210" s="23" t="s">
        <v>16</v>
      </c>
    </row>
    <row r="211" spans="1:8">
      <c r="A211" s="27"/>
      <c r="C211" s="28"/>
      <c r="D211" s="28"/>
      <c r="E211" s="23" t="s">
        <v>16</v>
      </c>
      <c r="F211" s="23" t="s">
        <v>16</v>
      </c>
      <c r="G211" s="23" t="s">
        <v>16</v>
      </c>
      <c r="H211" s="23" t="s">
        <v>16</v>
      </c>
    </row>
    <row r="212" spans="1:8">
      <c r="A212" s="27"/>
      <c r="C212" s="28"/>
      <c r="D212" s="28"/>
      <c r="E212" s="23" t="s">
        <v>16</v>
      </c>
      <c r="F212" s="23" t="s">
        <v>16</v>
      </c>
      <c r="G212" s="23" t="s">
        <v>16</v>
      </c>
      <c r="H212" s="23" t="s">
        <v>16</v>
      </c>
    </row>
    <row r="213" spans="1:8">
      <c r="A213" s="27"/>
      <c r="C213" s="28"/>
      <c r="D213" s="28"/>
      <c r="E213" s="23" t="s">
        <v>16</v>
      </c>
      <c r="F213" s="23" t="s">
        <v>16</v>
      </c>
      <c r="G213" s="23" t="s">
        <v>16</v>
      </c>
      <c r="H213" s="23" t="s">
        <v>16</v>
      </c>
    </row>
    <row r="214" spans="1:8">
      <c r="A214" s="27"/>
      <c r="C214" s="28"/>
      <c r="D214" s="28"/>
      <c r="E214" s="23" t="s">
        <v>16</v>
      </c>
      <c r="F214" s="23" t="s">
        <v>16</v>
      </c>
      <c r="G214" s="23" t="s">
        <v>16</v>
      </c>
      <c r="H214" s="23" t="s">
        <v>16</v>
      </c>
    </row>
    <row r="215" spans="1:8">
      <c r="A215" s="27"/>
      <c r="C215" s="28"/>
      <c r="D215" s="28"/>
      <c r="E215" s="23" t="s">
        <v>16</v>
      </c>
      <c r="F215" s="23" t="s">
        <v>16</v>
      </c>
      <c r="G215" s="23" t="s">
        <v>16</v>
      </c>
      <c r="H215" s="23" t="s">
        <v>16</v>
      </c>
    </row>
    <row r="216" spans="1:8">
      <c r="A216" s="27"/>
      <c r="C216" s="28"/>
      <c r="D216" s="28"/>
      <c r="E216" s="23" t="s">
        <v>16</v>
      </c>
      <c r="F216" s="23" t="s">
        <v>16</v>
      </c>
      <c r="G216" s="23" t="s">
        <v>16</v>
      </c>
      <c r="H216" s="23" t="s">
        <v>16</v>
      </c>
    </row>
    <row r="217" spans="1:8">
      <c r="A217" s="27"/>
      <c r="C217" s="28"/>
      <c r="D217" s="28"/>
      <c r="E217" s="23" t="s">
        <v>16</v>
      </c>
      <c r="F217" s="23" t="s">
        <v>16</v>
      </c>
      <c r="G217" s="23" t="s">
        <v>16</v>
      </c>
      <c r="H217" s="23" t="s">
        <v>16</v>
      </c>
    </row>
    <row r="218" spans="1:8">
      <c r="A218" s="27"/>
      <c r="C218" s="28"/>
      <c r="D218" s="28"/>
      <c r="E218" s="23" t="s">
        <v>16</v>
      </c>
      <c r="F218" s="23" t="s">
        <v>16</v>
      </c>
      <c r="G218" s="23" t="s">
        <v>16</v>
      </c>
      <c r="H218" s="23" t="s">
        <v>16</v>
      </c>
    </row>
    <row r="219" spans="1:8">
      <c r="A219" s="27"/>
      <c r="C219" s="28"/>
      <c r="D219" s="28"/>
      <c r="E219" s="23" t="s">
        <v>16</v>
      </c>
      <c r="F219" s="23" t="s">
        <v>16</v>
      </c>
      <c r="G219" s="23" t="s">
        <v>16</v>
      </c>
      <c r="H219" s="23" t="s">
        <v>16</v>
      </c>
    </row>
    <row r="220" spans="1:8">
      <c r="A220" s="27"/>
      <c r="C220" s="28"/>
      <c r="D220" s="28"/>
      <c r="E220" s="23" t="s">
        <v>16</v>
      </c>
      <c r="F220" s="23" t="s">
        <v>16</v>
      </c>
      <c r="G220" s="23" t="s">
        <v>16</v>
      </c>
      <c r="H220" s="23" t="s">
        <v>16</v>
      </c>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row r="860" spans="1:8">
      <c r="A860" s="27"/>
      <c r="C860" s="28"/>
      <c r="D860" s="28"/>
      <c r="E860" s="50"/>
      <c r="F860" s="50"/>
      <c r="G860" s="50"/>
      <c r="H860" s="50"/>
    </row>
    <row r="861" spans="1:8">
      <c r="A861" s="27"/>
      <c r="C861" s="28"/>
      <c r="D861" s="28"/>
      <c r="E861" s="50"/>
      <c r="F861" s="50"/>
      <c r="G861" s="50"/>
      <c r="H861" s="50"/>
    </row>
    <row r="862" spans="1:8">
      <c r="A862" s="27"/>
      <c r="C862" s="28"/>
      <c r="D862" s="28"/>
      <c r="E862" s="50"/>
      <c r="F862" s="50"/>
      <c r="G862" s="50"/>
      <c r="H862" s="50"/>
    </row>
    <row r="863" spans="1:8">
      <c r="A863" s="27"/>
      <c r="C863" s="28"/>
      <c r="D863" s="28"/>
      <c r="E863" s="50"/>
      <c r="F863" s="50"/>
      <c r="G863" s="50"/>
      <c r="H863" s="50"/>
    </row>
    <row r="864" spans="1:8">
      <c r="A864" s="27"/>
      <c r="C864" s="28"/>
      <c r="D864" s="28"/>
      <c r="E864" s="50"/>
      <c r="F864" s="50"/>
      <c r="G864" s="50"/>
      <c r="H864" s="50"/>
    </row>
    <row r="865" spans="1:8">
      <c r="A865" s="27"/>
      <c r="C865" s="28"/>
      <c r="D865" s="28"/>
      <c r="E865" s="50"/>
      <c r="F865" s="50"/>
      <c r="G865" s="50"/>
      <c r="H865" s="50"/>
    </row>
    <row r="866" spans="1:8">
      <c r="A866" s="27"/>
      <c r="C866" s="28"/>
      <c r="D866" s="28"/>
      <c r="E866" s="50"/>
      <c r="F866" s="50"/>
      <c r="G866" s="50"/>
      <c r="H866" s="50"/>
    </row>
    <row r="867" spans="1:8">
      <c r="A867" s="27"/>
      <c r="C867" s="28"/>
      <c r="D867" s="28"/>
      <c r="E867" s="50"/>
      <c r="F867" s="50"/>
      <c r="G867" s="50"/>
      <c r="H867" s="50"/>
    </row>
    <row r="868" spans="1:8">
      <c r="A868" s="27"/>
      <c r="C868" s="28"/>
      <c r="D868" s="28"/>
      <c r="E868" s="50"/>
      <c r="F868" s="50"/>
      <c r="G868" s="50"/>
      <c r="H868" s="50"/>
    </row>
    <row r="869" spans="1:8">
      <c r="A869" s="27"/>
      <c r="C869" s="28"/>
      <c r="D869" s="28"/>
      <c r="E869" s="50"/>
      <c r="F869" s="50"/>
      <c r="G869" s="50"/>
      <c r="H869" s="50"/>
    </row>
    <row r="870" spans="1:8">
      <c r="A870" s="27"/>
      <c r="C870" s="28"/>
      <c r="D870" s="28"/>
      <c r="E870" s="50"/>
      <c r="F870" s="50"/>
      <c r="G870" s="50"/>
      <c r="H870" s="50"/>
    </row>
    <row r="871" spans="1:8">
      <c r="A871" s="27"/>
      <c r="C871" s="28"/>
      <c r="D871" s="28"/>
      <c r="E871" s="50"/>
      <c r="F871" s="50"/>
      <c r="G871" s="50"/>
      <c r="H871" s="50"/>
    </row>
    <row r="872" spans="1:8">
      <c r="A872" s="27"/>
      <c r="C872" s="28"/>
      <c r="D872" s="28"/>
      <c r="E872" s="50"/>
      <c r="F872" s="50"/>
      <c r="G872" s="50"/>
      <c r="H872" s="50"/>
    </row>
    <row r="873" spans="1:8">
      <c r="A873" s="27"/>
      <c r="C873" s="28"/>
      <c r="D873" s="28"/>
      <c r="E873" s="50"/>
      <c r="F873" s="50"/>
      <c r="G873" s="50"/>
      <c r="H873" s="50"/>
    </row>
    <row r="874" spans="1:8">
      <c r="A874" s="27"/>
      <c r="C874" s="28"/>
      <c r="D874" s="28"/>
      <c r="E874" s="50"/>
      <c r="F874" s="50"/>
      <c r="G874" s="50"/>
      <c r="H874" s="50"/>
    </row>
    <row r="875" spans="1:8">
      <c r="A875" s="27"/>
      <c r="C875" s="28"/>
      <c r="D875" s="28"/>
      <c r="E875" s="50"/>
      <c r="F875" s="50"/>
      <c r="G875" s="50"/>
      <c r="H875" s="50"/>
    </row>
    <row r="876" spans="1:8">
      <c r="A876" s="27"/>
      <c r="C876" s="28"/>
      <c r="D876" s="28"/>
      <c r="E876" s="50"/>
      <c r="F876" s="50"/>
      <c r="G876" s="50"/>
      <c r="H876" s="50"/>
    </row>
    <row r="877" spans="1:8">
      <c r="A877" s="27"/>
      <c r="C877" s="28"/>
      <c r="D877" s="28"/>
      <c r="E877" s="50"/>
      <c r="F877" s="50"/>
      <c r="G877" s="50"/>
      <c r="H877" s="50"/>
    </row>
    <row r="878" spans="1:8">
      <c r="A878" s="27"/>
      <c r="C878" s="28"/>
      <c r="D878" s="28"/>
      <c r="E878" s="50"/>
      <c r="F878" s="50"/>
      <c r="G878" s="50"/>
      <c r="H878" s="50"/>
    </row>
    <row r="879" spans="1:8">
      <c r="A879" s="27"/>
      <c r="C879" s="28"/>
      <c r="D879" s="28"/>
      <c r="E879" s="50"/>
      <c r="F879" s="50"/>
      <c r="G879" s="50"/>
      <c r="H879" s="50"/>
    </row>
    <row r="880" spans="1:8">
      <c r="A880" s="27"/>
      <c r="C880" s="28"/>
      <c r="D880" s="28"/>
      <c r="E880" s="50"/>
      <c r="F880" s="50"/>
      <c r="G880" s="50"/>
      <c r="H880" s="50"/>
    </row>
    <row r="881" spans="1:8">
      <c r="A881" s="27"/>
      <c r="C881" s="28"/>
      <c r="D881" s="28"/>
      <c r="E881" s="50"/>
      <c r="F881" s="50"/>
      <c r="G881" s="50"/>
      <c r="H881" s="50"/>
    </row>
    <row r="882" spans="1:8">
      <c r="A882" s="27"/>
      <c r="C882" s="28"/>
      <c r="D882" s="28"/>
      <c r="E882" s="50"/>
      <c r="F882" s="50"/>
      <c r="G882" s="50"/>
      <c r="H882" s="50"/>
    </row>
    <row r="883" spans="1:8">
      <c r="A883" s="27"/>
      <c r="C883" s="28"/>
      <c r="D883" s="28"/>
      <c r="E883" s="50"/>
      <c r="F883" s="50"/>
      <c r="G883" s="50"/>
      <c r="H883" s="50"/>
    </row>
    <row r="884" spans="1:8">
      <c r="A884" s="27"/>
      <c r="C884" s="28"/>
      <c r="D884" s="28"/>
      <c r="E884" s="50"/>
      <c r="F884" s="50"/>
      <c r="G884" s="50"/>
      <c r="H884" s="50"/>
    </row>
    <row r="885" spans="1:8">
      <c r="A885" s="27"/>
      <c r="C885" s="28"/>
      <c r="D885" s="28"/>
      <c r="E885" s="50"/>
      <c r="F885" s="50"/>
      <c r="G885" s="50"/>
      <c r="H885" s="50"/>
    </row>
    <row r="886" spans="1:8">
      <c r="A886" s="27"/>
      <c r="C886" s="28"/>
      <c r="D886" s="28"/>
      <c r="E886" s="50"/>
      <c r="F886" s="50"/>
      <c r="G886" s="50"/>
      <c r="H886" s="50"/>
    </row>
    <row r="887" spans="1:8">
      <c r="A887" s="27"/>
      <c r="C887" s="28"/>
      <c r="D887" s="28"/>
      <c r="E887" s="50"/>
      <c r="F887" s="50"/>
      <c r="G887" s="50"/>
      <c r="H887" s="50"/>
    </row>
    <row r="888" spans="1:8">
      <c r="A888" s="27"/>
      <c r="C888" s="28"/>
      <c r="D888" s="28"/>
      <c r="E888" s="50"/>
      <c r="F888" s="50"/>
      <c r="G888" s="50"/>
      <c r="H888" s="50"/>
    </row>
    <row r="889" spans="1:8">
      <c r="A889" s="27"/>
      <c r="C889" s="28"/>
      <c r="D889" s="28"/>
      <c r="E889" s="50"/>
      <c r="F889" s="50"/>
      <c r="G889" s="50"/>
      <c r="H889" s="50"/>
    </row>
    <row r="890" spans="1:8">
      <c r="A890" s="27"/>
      <c r="C890" s="28"/>
      <c r="D890" s="28"/>
      <c r="E890" s="50"/>
      <c r="F890" s="50"/>
      <c r="G890" s="50"/>
      <c r="H890" s="50"/>
    </row>
    <row r="891" spans="1:8">
      <c r="A891" s="27"/>
      <c r="C891" s="28"/>
      <c r="D891" s="28"/>
      <c r="E891" s="50"/>
      <c r="F891" s="50"/>
      <c r="G891" s="50"/>
      <c r="H891" s="50"/>
    </row>
    <row r="892" spans="1:8">
      <c r="A892" s="27"/>
      <c r="C892" s="28"/>
      <c r="D892" s="28"/>
      <c r="E892" s="50"/>
      <c r="F892" s="50"/>
      <c r="G892" s="50"/>
      <c r="H892" s="50"/>
    </row>
    <row r="893" spans="1:8">
      <c r="A893" s="27"/>
      <c r="C893" s="28"/>
      <c r="D893" s="28"/>
      <c r="E893" s="50"/>
      <c r="F893" s="50"/>
      <c r="G893" s="50"/>
      <c r="H893" s="50"/>
    </row>
    <row r="894" spans="1:8">
      <c r="A894" s="27"/>
      <c r="C894" s="28"/>
      <c r="D894" s="28"/>
      <c r="E894" s="50"/>
      <c r="F894" s="50"/>
      <c r="G894" s="50"/>
      <c r="H894" s="50"/>
    </row>
    <row r="895" spans="1:8">
      <c r="A895" s="27"/>
      <c r="C895" s="28"/>
      <c r="D895" s="28"/>
      <c r="E895" s="50"/>
      <c r="F895" s="50"/>
      <c r="G895" s="50"/>
      <c r="H895" s="50"/>
    </row>
    <row r="896" spans="1:8">
      <c r="A896" s="27"/>
      <c r="C896" s="28"/>
      <c r="D896" s="28"/>
      <c r="E896" s="50"/>
      <c r="F896" s="50"/>
      <c r="G896" s="50"/>
      <c r="H896" s="50"/>
    </row>
    <row r="897" spans="1:8">
      <c r="A897" s="27"/>
      <c r="C897" s="28"/>
      <c r="D897" s="28"/>
      <c r="E897" s="50"/>
      <c r="F897" s="50"/>
      <c r="G897" s="50"/>
      <c r="H897" s="50"/>
    </row>
    <row r="898" spans="1:8">
      <c r="A898" s="27"/>
      <c r="C898" s="28"/>
      <c r="D898" s="28"/>
      <c r="E898" s="50"/>
      <c r="F898" s="50"/>
      <c r="G898" s="50"/>
      <c r="H898" s="50"/>
    </row>
    <row r="899" spans="1:8">
      <c r="A899" s="27"/>
      <c r="C899" s="28"/>
      <c r="D899" s="28"/>
      <c r="E899" s="50"/>
      <c r="F899" s="50"/>
      <c r="G899" s="50"/>
      <c r="H899" s="50"/>
    </row>
    <row r="900" spans="1:8">
      <c r="A900" s="27"/>
      <c r="C900" s="28"/>
      <c r="D900" s="28"/>
      <c r="E900" s="50"/>
      <c r="F900" s="50"/>
      <c r="G900" s="50"/>
      <c r="H900" s="50"/>
    </row>
    <row r="901" spans="1:8">
      <c r="A901" s="27"/>
      <c r="C901" s="28"/>
      <c r="D901" s="28"/>
      <c r="E901" s="50"/>
      <c r="F901" s="50"/>
      <c r="G901" s="50"/>
      <c r="H901" s="50"/>
    </row>
    <row r="902" spans="1:8">
      <c r="A902" s="27"/>
      <c r="C902" s="28"/>
      <c r="D902" s="28"/>
      <c r="E902" s="50"/>
      <c r="F902" s="50"/>
      <c r="G902" s="50"/>
      <c r="H902" s="50"/>
    </row>
    <row r="903" spans="1:8">
      <c r="A903" s="27"/>
      <c r="C903" s="28"/>
      <c r="D903" s="28"/>
      <c r="E903" s="50"/>
      <c r="F903" s="50"/>
      <c r="G903" s="50"/>
      <c r="H903" s="50"/>
    </row>
    <row r="904" spans="1:8">
      <c r="A904" s="27"/>
      <c r="C904" s="28"/>
      <c r="D904" s="28"/>
      <c r="E904" s="50"/>
      <c r="F904" s="50"/>
      <c r="G904" s="50"/>
      <c r="H904" s="50"/>
    </row>
    <row r="905" spans="1:8">
      <c r="A905" s="27"/>
      <c r="C905" s="28"/>
      <c r="D905" s="28"/>
      <c r="E905" s="50"/>
      <c r="F905" s="50"/>
      <c r="G905" s="50"/>
      <c r="H905" s="50"/>
    </row>
    <row r="906" spans="1:8">
      <c r="A906" s="27"/>
      <c r="C906" s="28"/>
      <c r="D906" s="28"/>
      <c r="E906" s="50"/>
      <c r="F906" s="50"/>
      <c r="G906" s="50"/>
      <c r="H906" s="50"/>
    </row>
    <row r="907" spans="1:8">
      <c r="A907" s="27"/>
      <c r="C907" s="28"/>
      <c r="D907" s="28"/>
      <c r="E907" s="50"/>
      <c r="F907" s="50"/>
      <c r="G907" s="50"/>
      <c r="H907" s="50"/>
    </row>
    <row r="908" spans="1:8">
      <c r="A908" s="27"/>
      <c r="C908" s="28"/>
      <c r="D908" s="28"/>
      <c r="E908" s="50"/>
      <c r="F908" s="50"/>
      <c r="G908" s="50"/>
      <c r="H908" s="50"/>
    </row>
    <row r="909" spans="1:8">
      <c r="A909" s="27"/>
      <c r="C909" s="28"/>
      <c r="D909" s="28"/>
      <c r="E909" s="50"/>
      <c r="F909" s="50"/>
      <c r="G909" s="50"/>
      <c r="H909" s="50"/>
    </row>
    <row r="910" spans="1:8">
      <c r="A910" s="27"/>
      <c r="C910" s="28"/>
      <c r="D910" s="28"/>
      <c r="E910" s="50"/>
      <c r="F910" s="50"/>
      <c r="G910" s="50"/>
      <c r="H910" s="50"/>
    </row>
    <row r="911" spans="1:8">
      <c r="A911" s="27"/>
      <c r="C911" s="28"/>
      <c r="D911" s="28"/>
      <c r="E911" s="50"/>
      <c r="F911" s="50"/>
      <c r="G911" s="50"/>
      <c r="H911" s="50"/>
    </row>
    <row r="912" spans="1:8">
      <c r="A912" s="27"/>
      <c r="C912" s="28"/>
      <c r="D912" s="28"/>
      <c r="E912" s="50"/>
      <c r="F912" s="50"/>
      <c r="G912" s="50"/>
      <c r="H912" s="50"/>
    </row>
    <row r="913" spans="1:8">
      <c r="A913" s="27"/>
      <c r="C913" s="28"/>
      <c r="D913" s="28"/>
      <c r="E913" s="50"/>
      <c r="F913" s="50"/>
      <c r="G913" s="50"/>
      <c r="H913" s="50"/>
    </row>
    <row r="914" spans="1:8">
      <c r="A914" s="27"/>
      <c r="C914" s="28"/>
      <c r="D914" s="28"/>
      <c r="E914" s="50"/>
      <c r="F914" s="50"/>
      <c r="G914" s="50"/>
      <c r="H914" s="50"/>
    </row>
    <row r="915" spans="1:8">
      <c r="A915" s="27"/>
      <c r="C915" s="28"/>
      <c r="D915" s="28"/>
      <c r="E915" s="50"/>
      <c r="F915" s="50"/>
      <c r="G915" s="50"/>
      <c r="H915" s="50"/>
    </row>
    <row r="916" spans="1:8">
      <c r="A916" s="27"/>
      <c r="C916" s="28"/>
      <c r="D916" s="28"/>
      <c r="E916" s="50"/>
      <c r="F916" s="50"/>
      <c r="G916" s="50"/>
      <c r="H916" s="50"/>
    </row>
    <row r="917" spans="1:8">
      <c r="A917" s="27"/>
      <c r="C917" s="28"/>
      <c r="D917" s="28"/>
      <c r="E917" s="50"/>
      <c r="F917" s="50"/>
      <c r="G917" s="50"/>
      <c r="H917" s="50"/>
    </row>
    <row r="918" spans="1:8">
      <c r="A918" s="27"/>
      <c r="C918" s="28"/>
      <c r="D918" s="28"/>
      <c r="E918" s="50"/>
      <c r="F918" s="50"/>
      <c r="G918" s="50"/>
      <c r="H918" s="50"/>
    </row>
    <row r="919" spans="1:8">
      <c r="A919" s="27"/>
      <c r="C919" s="28"/>
      <c r="D919" s="28"/>
      <c r="E919" s="50"/>
      <c r="F919" s="50"/>
      <c r="G919" s="50"/>
      <c r="H919" s="50"/>
    </row>
    <row r="920" spans="1:8">
      <c r="A920" s="27"/>
      <c r="C920" s="28"/>
      <c r="D920" s="28"/>
      <c r="E920" s="50"/>
      <c r="F920" s="50"/>
      <c r="G920" s="50"/>
      <c r="H920" s="50"/>
    </row>
    <row r="921" spans="1:8">
      <c r="A921" s="27"/>
      <c r="C921" s="28"/>
      <c r="D921" s="28"/>
      <c r="E921" s="50"/>
      <c r="F921" s="50"/>
      <c r="G921" s="50"/>
      <c r="H921" s="50"/>
    </row>
    <row r="922" spans="1:8">
      <c r="A922" s="27"/>
      <c r="C922" s="28"/>
      <c r="D922" s="28"/>
      <c r="E922" s="50"/>
      <c r="F922" s="50"/>
      <c r="G922" s="50"/>
      <c r="H922" s="50"/>
    </row>
    <row r="923" spans="1:8">
      <c r="A923" s="27"/>
      <c r="C923" s="28"/>
      <c r="D923" s="28"/>
      <c r="E923" s="50"/>
      <c r="F923" s="50"/>
      <c r="G923" s="50"/>
      <c r="H923" s="50"/>
    </row>
    <row r="924" spans="1:8">
      <c r="A924" s="27"/>
      <c r="C924" s="28"/>
      <c r="D924" s="28"/>
      <c r="E924" s="50"/>
      <c r="F924" s="50"/>
      <c r="G924" s="50"/>
      <c r="H924" s="50"/>
    </row>
    <row r="925" spans="1:8">
      <c r="A925" s="27"/>
      <c r="C925" s="28"/>
      <c r="D925" s="28"/>
      <c r="E925" s="50"/>
      <c r="F925" s="50"/>
      <c r="G925" s="50"/>
      <c r="H925" s="50"/>
    </row>
    <row r="926" spans="1:8">
      <c r="A926" s="27"/>
      <c r="C926" s="28"/>
      <c r="D926" s="28"/>
      <c r="E926" s="50"/>
      <c r="F926" s="50"/>
      <c r="G926" s="50"/>
      <c r="H926" s="50"/>
    </row>
    <row r="927" spans="1:8">
      <c r="A927" s="27"/>
      <c r="C927" s="28"/>
      <c r="D927" s="28"/>
      <c r="E927" s="50"/>
      <c r="F927" s="50"/>
      <c r="G927" s="50"/>
      <c r="H927" s="50"/>
    </row>
    <row r="928" spans="1:8">
      <c r="A928" s="27"/>
      <c r="C928" s="28"/>
      <c r="D928" s="28"/>
      <c r="E928" s="50"/>
      <c r="F928" s="50"/>
      <c r="G928" s="50"/>
      <c r="H928" s="50"/>
    </row>
    <row r="929" spans="1:8">
      <c r="A929" s="27"/>
      <c r="C929" s="28"/>
      <c r="D929" s="28"/>
      <c r="E929" s="50"/>
      <c r="F929" s="50"/>
      <c r="G929" s="50"/>
      <c r="H929" s="50"/>
    </row>
    <row r="930" spans="1:8">
      <c r="A930" s="27"/>
      <c r="C930" s="28"/>
      <c r="D930" s="28"/>
      <c r="E930" s="50"/>
      <c r="F930" s="50"/>
      <c r="G930" s="50"/>
      <c r="H930" s="50"/>
    </row>
    <row r="931" spans="1:8">
      <c r="A931" s="27"/>
      <c r="C931" s="28"/>
      <c r="D931" s="28"/>
      <c r="E931" s="50"/>
      <c r="F931" s="50"/>
      <c r="G931" s="50"/>
      <c r="H931" s="50"/>
    </row>
    <row r="932" spans="1:8">
      <c r="A932" s="27"/>
      <c r="C932" s="28"/>
      <c r="D932" s="28"/>
      <c r="E932" s="50"/>
      <c r="F932" s="50"/>
      <c r="G932" s="50"/>
      <c r="H932" s="50"/>
    </row>
    <row r="933" spans="1:8">
      <c r="A933" s="27"/>
      <c r="C933" s="28"/>
      <c r="D933" s="28"/>
      <c r="E933" s="50"/>
      <c r="F933" s="50"/>
      <c r="G933" s="50"/>
      <c r="H933" s="50"/>
    </row>
    <row r="934" spans="1:8">
      <c r="A934" s="27"/>
      <c r="C934" s="28"/>
      <c r="D934" s="28"/>
      <c r="E934" s="50"/>
      <c r="F934" s="50"/>
      <c r="G934" s="50"/>
      <c r="H934" s="50"/>
    </row>
    <row r="935" spans="1:8">
      <c r="A935" s="27"/>
      <c r="C935" s="28"/>
      <c r="D935" s="28"/>
      <c r="E935" s="50"/>
      <c r="F935" s="50"/>
      <c r="G935" s="50"/>
      <c r="H935" s="50"/>
    </row>
    <row r="936" spans="1:8">
      <c r="A936" s="27"/>
      <c r="C936" s="28"/>
      <c r="D936" s="28"/>
      <c r="E936" s="50"/>
      <c r="F936" s="50"/>
      <c r="G936" s="50"/>
      <c r="H936" s="50"/>
    </row>
    <row r="937" spans="1:8">
      <c r="A937" s="27"/>
      <c r="C937" s="28"/>
      <c r="D937" s="28"/>
      <c r="E937" s="50"/>
      <c r="F937" s="50"/>
      <c r="G937" s="50"/>
      <c r="H937" s="50"/>
    </row>
    <row r="938" spans="1:8">
      <c r="A938" s="27"/>
      <c r="C938" s="28"/>
      <c r="D938" s="28"/>
      <c r="E938" s="50"/>
      <c r="F938" s="50"/>
      <c r="G938" s="50"/>
      <c r="H938" s="50"/>
    </row>
    <row r="939" spans="1:8">
      <c r="A939" s="27"/>
      <c r="C939" s="28"/>
      <c r="D939" s="28"/>
      <c r="E939" s="50"/>
      <c r="F939" s="50"/>
      <c r="G939" s="50"/>
      <c r="H939" s="50"/>
    </row>
    <row r="940" spans="1:8">
      <c r="A940" s="27"/>
      <c r="C940" s="28"/>
      <c r="D940" s="28"/>
      <c r="E940" s="50"/>
      <c r="F940" s="50"/>
      <c r="G940" s="50"/>
      <c r="H940" s="50"/>
    </row>
    <row r="941" spans="1:8">
      <c r="A941" s="27"/>
      <c r="C941" s="28"/>
      <c r="D941" s="28"/>
      <c r="E941" s="50"/>
      <c r="F941" s="50"/>
      <c r="G941" s="50"/>
      <c r="H941" s="50"/>
    </row>
    <row r="942" spans="1:8">
      <c r="A942" s="27"/>
      <c r="C942" s="28"/>
      <c r="D942" s="28"/>
      <c r="E942" s="50"/>
      <c r="F942" s="50"/>
      <c r="G942" s="50"/>
      <c r="H942" s="50"/>
    </row>
    <row r="943" spans="1:8">
      <c r="A943" s="27"/>
      <c r="C943" s="28"/>
      <c r="D943" s="28"/>
      <c r="E943" s="50"/>
      <c r="F943" s="50"/>
      <c r="G943" s="50"/>
      <c r="H943" s="50"/>
    </row>
    <row r="944" spans="1:8">
      <c r="A944" s="27"/>
      <c r="C944" s="28"/>
      <c r="D944" s="28"/>
      <c r="E944" s="50"/>
      <c r="F944" s="50"/>
      <c r="G944" s="50"/>
      <c r="H944" s="50"/>
    </row>
    <row r="945" spans="1:8">
      <c r="A945" s="27"/>
      <c r="C945" s="28"/>
      <c r="D945" s="28"/>
      <c r="E945" s="50"/>
      <c r="F945" s="50"/>
      <c r="G945" s="50"/>
      <c r="H945" s="50"/>
    </row>
    <row r="946" spans="1:8">
      <c r="A946" s="27"/>
      <c r="C946" s="28"/>
      <c r="D946" s="28"/>
      <c r="E946" s="50"/>
      <c r="F946" s="50"/>
      <c r="G946" s="50"/>
      <c r="H946" s="50"/>
    </row>
    <row r="947" spans="1:8">
      <c r="A947" s="27"/>
      <c r="C947" s="28"/>
      <c r="D947" s="28"/>
      <c r="E947" s="50"/>
      <c r="F947" s="50"/>
      <c r="G947" s="50"/>
      <c r="H947" s="50"/>
    </row>
    <row r="948" spans="1:8">
      <c r="A948" s="27"/>
      <c r="C948" s="28"/>
      <c r="D948" s="28"/>
      <c r="E948" s="50"/>
      <c r="F948" s="50"/>
      <c r="G948" s="50"/>
      <c r="H948" s="50"/>
    </row>
    <row r="949" spans="1:8">
      <c r="A949" s="27"/>
      <c r="C949" s="28"/>
      <c r="D949" s="28"/>
      <c r="E949" s="50"/>
      <c r="F949" s="50"/>
      <c r="G949" s="50"/>
      <c r="H949" s="50"/>
    </row>
    <row r="950" spans="1:8">
      <c r="A950" s="27"/>
      <c r="C950" s="28"/>
      <c r="D950" s="28"/>
      <c r="E950" s="50"/>
      <c r="F950" s="50"/>
      <c r="G950" s="50"/>
      <c r="H950" s="50"/>
    </row>
    <row r="951" spans="1:8">
      <c r="A951" s="27"/>
      <c r="C951" s="28"/>
      <c r="D951" s="28"/>
      <c r="E951" s="50"/>
      <c r="F951" s="50"/>
      <c r="G951" s="50"/>
      <c r="H951" s="50"/>
    </row>
    <row r="952" spans="1:8">
      <c r="A952" s="27"/>
      <c r="C952" s="28"/>
      <c r="D952" s="28"/>
      <c r="E952" s="50"/>
      <c r="F952" s="50"/>
      <c r="G952" s="50"/>
      <c r="H952" s="50"/>
    </row>
    <row r="953" spans="1:8">
      <c r="A953" s="27"/>
      <c r="C953" s="28"/>
      <c r="D953" s="28"/>
      <c r="E953" s="50"/>
      <c r="F953" s="50"/>
      <c r="G953" s="50"/>
      <c r="H953" s="50"/>
    </row>
    <row r="954" spans="1:8">
      <c r="A954" s="27"/>
      <c r="C954" s="28"/>
      <c r="D954" s="28"/>
      <c r="E954" s="50"/>
      <c r="F954" s="50"/>
      <c r="G954" s="50"/>
      <c r="H954" s="50"/>
    </row>
    <row r="955" spans="1:8">
      <c r="A955" s="27"/>
      <c r="C955" s="28"/>
      <c r="D955" s="28"/>
      <c r="E955" s="50"/>
      <c r="F955" s="50"/>
      <c r="G955" s="50"/>
      <c r="H955" s="50"/>
    </row>
    <row r="956" spans="1:8">
      <c r="A956" s="27"/>
      <c r="C956" s="28"/>
      <c r="D956" s="28"/>
      <c r="E956" s="50"/>
      <c r="F956" s="50"/>
      <c r="G956" s="50"/>
      <c r="H956" s="50"/>
    </row>
    <row r="957" spans="1:8">
      <c r="A957" s="27"/>
      <c r="C957" s="28"/>
      <c r="D957" s="28"/>
      <c r="E957" s="50"/>
      <c r="F957" s="50"/>
      <c r="G957" s="50"/>
      <c r="H957" s="50"/>
    </row>
    <row r="958" spans="1:8">
      <c r="A958" s="27"/>
      <c r="C958" s="28"/>
      <c r="D958" s="28"/>
      <c r="E958" s="50"/>
      <c r="F958" s="50"/>
      <c r="G958" s="50"/>
      <c r="H958" s="50"/>
    </row>
    <row r="959" spans="1:8">
      <c r="A959" s="27"/>
      <c r="C959" s="28"/>
      <c r="D959" s="28"/>
      <c r="E959" s="50"/>
      <c r="F959" s="50"/>
      <c r="G959" s="50"/>
      <c r="H959" s="50"/>
    </row>
    <row r="960" spans="1:8">
      <c r="A960" s="27"/>
      <c r="C960" s="28"/>
      <c r="D960" s="28"/>
      <c r="E960" s="50"/>
      <c r="F960" s="50"/>
      <c r="G960" s="50"/>
      <c r="H960" s="50"/>
    </row>
    <row r="961" spans="1:8">
      <c r="A961" s="27"/>
      <c r="C961" s="28"/>
      <c r="D961" s="28"/>
      <c r="E961" s="50"/>
      <c r="F961" s="50"/>
      <c r="G961" s="50"/>
      <c r="H961" s="50"/>
    </row>
    <row r="962" spans="1:8">
      <c r="A962" s="27"/>
      <c r="C962" s="28"/>
      <c r="D962" s="28"/>
      <c r="E962" s="50"/>
      <c r="F962" s="50"/>
      <c r="G962" s="50"/>
      <c r="H962" s="50"/>
    </row>
    <row r="963" spans="1:8">
      <c r="A963" s="27"/>
      <c r="C963" s="28"/>
      <c r="D963" s="28"/>
      <c r="E963" s="50"/>
      <c r="F963" s="50"/>
      <c r="G963" s="50"/>
      <c r="H963" s="50"/>
    </row>
    <row r="964" spans="1:8">
      <c r="A964" s="27"/>
      <c r="C964" s="28"/>
      <c r="D964" s="28"/>
      <c r="E964" s="50"/>
      <c r="F964" s="50"/>
      <c r="G964" s="50"/>
      <c r="H964" s="50"/>
    </row>
    <row r="965" spans="1:8">
      <c r="A965" s="27"/>
      <c r="C965" s="28"/>
      <c r="D965" s="28"/>
      <c r="E965" s="50"/>
      <c r="F965" s="50"/>
      <c r="G965" s="50"/>
      <c r="H965" s="50"/>
    </row>
    <row r="966" spans="1:8">
      <c r="A966" s="27"/>
      <c r="C966" s="28"/>
      <c r="D966" s="28"/>
      <c r="E966" s="50"/>
      <c r="F966" s="50"/>
      <c r="G966" s="50"/>
      <c r="H966" s="50"/>
    </row>
    <row r="967" spans="1:8">
      <c r="A967" s="27"/>
      <c r="C967" s="28"/>
      <c r="D967" s="28"/>
      <c r="E967" s="50"/>
      <c r="F967" s="50"/>
      <c r="G967" s="50"/>
      <c r="H967" s="50"/>
    </row>
    <row r="968" spans="1:8">
      <c r="A968" s="27"/>
      <c r="C968" s="28"/>
      <c r="D968" s="28"/>
      <c r="E968" s="50"/>
      <c r="F968" s="50"/>
      <c r="G968" s="50"/>
      <c r="H968" s="50"/>
    </row>
    <row r="969" spans="1:8">
      <c r="A969" s="27"/>
      <c r="C969" s="28"/>
      <c r="D969" s="28"/>
      <c r="E969" s="50"/>
      <c r="F969" s="50"/>
      <c r="G969" s="50"/>
      <c r="H969" s="50"/>
    </row>
    <row r="970" spans="1:8">
      <c r="A970" s="27"/>
      <c r="C970" s="28"/>
      <c r="D970" s="28"/>
      <c r="E970" s="50"/>
      <c r="F970" s="50"/>
      <c r="G970" s="50"/>
      <c r="H970" s="50"/>
    </row>
    <row r="971" spans="1:8">
      <c r="A971" s="27"/>
      <c r="C971" s="28"/>
      <c r="D971" s="28"/>
      <c r="E971" s="50"/>
      <c r="F971" s="50"/>
      <c r="G971" s="50"/>
      <c r="H971" s="50"/>
    </row>
  </sheetData>
  <autoFilter xmlns:etc="http://www.wps.cn/officeDocument/2017/etCustomData" ref="A5:I220"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FFFF00"/>
    <outlinePr summaryBelow="0" summaryRight="0"/>
    <pageSetUpPr fitToPage="1"/>
  </sheetPr>
  <dimension ref="A1:L221"/>
  <sheetViews>
    <sheetView view="pageBreakPreview" zoomScaleNormal="55" topLeftCell="A119" workbookViewId="0">
      <selection activeCell="E27" sqref="E27"/>
    </sheetView>
  </sheetViews>
  <sheetFormatPr defaultColWidth="12.6296296296296" defaultRowHeight="13.8"/>
  <cols>
    <col min="1" max="1" width="7.62962962962963" style="147" customWidth="1"/>
    <col min="2" max="2" width="39.5" style="147" customWidth="1"/>
    <col min="3" max="4" width="30.75" style="148" customWidth="1"/>
    <col min="5" max="8" width="13.8796296296296" style="33" customWidth="1"/>
    <col min="9" max="16384" width="12.6296296296296" style="147"/>
  </cols>
  <sheetData>
    <row r="1" spans="1:8">
      <c r="A1" s="222" t="s">
        <v>1627</v>
      </c>
      <c r="B1" s="149"/>
      <c r="C1" s="150"/>
      <c r="D1" s="150"/>
      <c r="E1" s="149"/>
      <c r="F1" s="149"/>
      <c r="G1" s="149"/>
      <c r="H1" s="149"/>
    </row>
    <row r="2" spans="1:8">
      <c r="A2" s="151" t="s">
        <v>4</v>
      </c>
      <c r="B2" s="151"/>
      <c r="C2" s="151"/>
      <c r="D2" s="151"/>
      <c r="E2" s="151"/>
      <c r="F2" s="151"/>
      <c r="G2" s="151"/>
      <c r="H2" s="151"/>
    </row>
    <row r="3" spans="1:8">
      <c r="A3" s="152" t="s">
        <v>5</v>
      </c>
      <c r="B3" s="153" t="s">
        <v>6</v>
      </c>
      <c r="C3" s="153" t="s">
        <v>7</v>
      </c>
      <c r="D3" s="153"/>
      <c r="E3" s="35" t="s">
        <v>1628</v>
      </c>
      <c r="F3" s="35"/>
      <c r="G3" s="35"/>
      <c r="H3" s="35"/>
    </row>
    <row r="4" spans="1:8">
      <c r="A4" s="154"/>
      <c r="B4" s="155"/>
      <c r="C4" s="153" t="s">
        <v>9</v>
      </c>
      <c r="D4" s="153" t="s">
        <v>10</v>
      </c>
      <c r="E4" s="71" t="s">
        <v>11</v>
      </c>
      <c r="F4" s="71" t="s">
        <v>12</v>
      </c>
      <c r="G4" s="71" t="s">
        <v>13</v>
      </c>
      <c r="H4" s="71" t="s">
        <v>14</v>
      </c>
    </row>
    <row r="5" spans="1:8">
      <c r="A5" s="146" t="s">
        <v>15</v>
      </c>
      <c r="B5" s="156"/>
      <c r="C5" s="146"/>
      <c r="D5" s="146"/>
      <c r="E5" s="37" t="s">
        <v>16</v>
      </c>
      <c r="F5" s="37" t="s">
        <v>16</v>
      </c>
      <c r="G5" s="37" t="s">
        <v>16</v>
      </c>
      <c r="H5" s="37" t="s">
        <v>16</v>
      </c>
    </row>
    <row r="6" spans="1:8">
      <c r="A6" s="157">
        <v>1</v>
      </c>
      <c r="B6" s="158" t="s">
        <v>1629</v>
      </c>
      <c r="C6" s="158" t="s">
        <v>358</v>
      </c>
      <c r="D6" s="158" t="s">
        <v>1630</v>
      </c>
      <c r="E6" s="37">
        <v>2400000</v>
      </c>
      <c r="F6" s="37">
        <v>1350000</v>
      </c>
      <c r="G6" s="37">
        <v>900000</v>
      </c>
      <c r="H6" s="37">
        <v>500000</v>
      </c>
    </row>
    <row r="7" spans="1:8">
      <c r="A7" s="157">
        <f t="shared" ref="A7:A15" si="0">A6+1</f>
        <v>2</v>
      </c>
      <c r="B7" s="158" t="s">
        <v>1631</v>
      </c>
      <c r="C7" s="158" t="s">
        <v>54</v>
      </c>
      <c r="D7" s="158" t="s">
        <v>1632</v>
      </c>
      <c r="E7" s="37">
        <v>2600000</v>
      </c>
      <c r="F7" s="37">
        <v>1500000</v>
      </c>
      <c r="G7" s="37">
        <v>950000</v>
      </c>
      <c r="H7" s="37">
        <v>550000</v>
      </c>
    </row>
    <row r="8" ht="27.6" spans="1:8">
      <c r="A8" s="157">
        <f t="shared" si="0"/>
        <v>3</v>
      </c>
      <c r="B8" s="158" t="s">
        <v>1633</v>
      </c>
      <c r="C8" s="158" t="s">
        <v>358</v>
      </c>
      <c r="D8" s="158" t="s">
        <v>90</v>
      </c>
      <c r="E8" s="37">
        <v>1000000</v>
      </c>
      <c r="F8" s="37">
        <v>550000</v>
      </c>
      <c r="G8" s="37">
        <v>370000</v>
      </c>
      <c r="H8" s="37">
        <v>210000</v>
      </c>
    </row>
    <row r="9" ht="55.2" spans="1:8">
      <c r="A9" s="157">
        <f t="shared" si="0"/>
        <v>4</v>
      </c>
      <c r="B9" s="158" t="s">
        <v>1634</v>
      </c>
      <c r="C9" s="158" t="s">
        <v>358</v>
      </c>
      <c r="D9" s="158" t="s">
        <v>1630</v>
      </c>
      <c r="E9" s="23">
        <v>1800000</v>
      </c>
      <c r="F9" s="23">
        <v>1050000</v>
      </c>
      <c r="G9" s="23">
        <v>650000</v>
      </c>
      <c r="H9" s="23">
        <v>380000</v>
      </c>
    </row>
    <row r="10" spans="1:8">
      <c r="A10" s="157">
        <f t="shared" si="0"/>
        <v>5</v>
      </c>
      <c r="B10" s="159" t="s">
        <v>1635</v>
      </c>
      <c r="C10" s="158"/>
      <c r="D10" s="158"/>
      <c r="E10" s="23">
        <v>750000</v>
      </c>
      <c r="F10" s="23">
        <v>425000</v>
      </c>
      <c r="G10" s="23">
        <v>275000</v>
      </c>
      <c r="H10" s="23">
        <v>160000</v>
      </c>
    </row>
    <row r="11" spans="1:8">
      <c r="A11" s="157">
        <f t="shared" si="0"/>
        <v>6</v>
      </c>
      <c r="B11" s="159" t="s">
        <v>1636</v>
      </c>
      <c r="C11" s="158"/>
      <c r="D11" s="158"/>
      <c r="E11" s="23">
        <v>600000</v>
      </c>
      <c r="F11" s="23">
        <v>340000</v>
      </c>
      <c r="G11" s="23">
        <v>220000</v>
      </c>
      <c r="H11" s="23">
        <v>125000</v>
      </c>
    </row>
    <row r="12" ht="55.2" spans="1:8">
      <c r="A12" s="157">
        <f t="shared" si="0"/>
        <v>7</v>
      </c>
      <c r="B12" s="158" t="s">
        <v>1637</v>
      </c>
      <c r="C12" s="158" t="s">
        <v>358</v>
      </c>
      <c r="D12" s="158" t="s">
        <v>534</v>
      </c>
      <c r="E12" s="23">
        <v>1350000</v>
      </c>
      <c r="F12" s="23">
        <v>750000</v>
      </c>
      <c r="G12" s="23">
        <v>500000</v>
      </c>
      <c r="H12" s="23">
        <v>285000</v>
      </c>
    </row>
    <row r="13" spans="1:8">
      <c r="A13" s="157">
        <f t="shared" si="0"/>
        <v>8</v>
      </c>
      <c r="B13" s="158" t="s">
        <v>1638</v>
      </c>
      <c r="C13" s="158" t="s">
        <v>1639</v>
      </c>
      <c r="D13" s="158" t="s">
        <v>1640</v>
      </c>
      <c r="E13" s="23">
        <v>750000</v>
      </c>
      <c r="F13" s="23">
        <v>425000</v>
      </c>
      <c r="G13" s="23">
        <v>275000</v>
      </c>
      <c r="H13" s="23">
        <v>160000</v>
      </c>
    </row>
    <row r="14" spans="1:8">
      <c r="A14" s="157">
        <f t="shared" si="0"/>
        <v>9</v>
      </c>
      <c r="B14" s="158" t="s">
        <v>1641</v>
      </c>
      <c r="C14" s="158" t="s">
        <v>358</v>
      </c>
      <c r="D14" s="158" t="s">
        <v>1630</v>
      </c>
      <c r="E14" s="23">
        <v>2600000</v>
      </c>
      <c r="F14" s="23">
        <v>1500000</v>
      </c>
      <c r="G14" s="23">
        <v>950000</v>
      </c>
      <c r="H14" s="23">
        <v>550000</v>
      </c>
    </row>
    <row r="15" spans="1:8">
      <c r="A15" s="157">
        <f t="shared" si="0"/>
        <v>10</v>
      </c>
      <c r="B15" s="158" t="s">
        <v>1642</v>
      </c>
      <c r="C15" s="158" t="s">
        <v>358</v>
      </c>
      <c r="D15" s="158" t="s">
        <v>1643</v>
      </c>
      <c r="E15" s="23">
        <v>2600000</v>
      </c>
      <c r="F15" s="23">
        <v>1500000</v>
      </c>
      <c r="G15" s="23">
        <v>950000</v>
      </c>
      <c r="H15" s="23">
        <v>550000</v>
      </c>
    </row>
    <row r="16" spans="1:8">
      <c r="A16" s="157"/>
      <c r="B16" s="158" t="s">
        <v>1642</v>
      </c>
      <c r="C16" s="158" t="s">
        <v>1643</v>
      </c>
      <c r="D16" s="158" t="s">
        <v>1644</v>
      </c>
      <c r="E16" s="23">
        <v>1350000</v>
      </c>
      <c r="F16" s="23">
        <v>750000</v>
      </c>
      <c r="G16" s="23">
        <v>500000</v>
      </c>
      <c r="H16" s="23">
        <v>285000</v>
      </c>
    </row>
    <row r="17" spans="1:8">
      <c r="A17" s="157"/>
      <c r="B17" s="158" t="s">
        <v>1642</v>
      </c>
      <c r="C17" s="158" t="s">
        <v>1644</v>
      </c>
      <c r="D17" s="158" t="s">
        <v>1645</v>
      </c>
      <c r="E17" s="23">
        <v>750000</v>
      </c>
      <c r="F17" s="23">
        <v>425000</v>
      </c>
      <c r="G17" s="23">
        <v>275000</v>
      </c>
      <c r="H17" s="23">
        <v>160000</v>
      </c>
    </row>
    <row r="18" spans="1:8">
      <c r="A18" s="157">
        <v>11</v>
      </c>
      <c r="B18" s="158" t="s">
        <v>1646</v>
      </c>
      <c r="C18" s="158" t="s">
        <v>1647</v>
      </c>
      <c r="D18" s="158" t="s">
        <v>412</v>
      </c>
      <c r="E18" s="23">
        <v>1000000</v>
      </c>
      <c r="F18" s="23">
        <v>550000</v>
      </c>
      <c r="G18" s="23">
        <v>370000</v>
      </c>
      <c r="H18" s="23">
        <v>210000</v>
      </c>
    </row>
    <row r="19" spans="1:8">
      <c r="A19" s="157">
        <v>12</v>
      </c>
      <c r="B19" s="158" t="s">
        <v>1648</v>
      </c>
      <c r="C19" s="158" t="s">
        <v>1649</v>
      </c>
      <c r="D19" s="158" t="s">
        <v>1650</v>
      </c>
      <c r="E19" s="23">
        <v>2400000</v>
      </c>
      <c r="F19" s="23">
        <v>1350000</v>
      </c>
      <c r="G19" s="23">
        <v>900000</v>
      </c>
      <c r="H19" s="23">
        <v>500000</v>
      </c>
    </row>
    <row r="20" spans="1:8">
      <c r="A20" s="157"/>
      <c r="B20" s="158" t="s">
        <v>1648</v>
      </c>
      <c r="C20" s="158" t="s">
        <v>1650</v>
      </c>
      <c r="D20" s="158" t="s">
        <v>1651</v>
      </c>
      <c r="E20" s="23">
        <v>3150000</v>
      </c>
      <c r="F20" s="23">
        <v>1800000</v>
      </c>
      <c r="G20" s="23">
        <v>1150000</v>
      </c>
      <c r="H20" s="23">
        <v>650000</v>
      </c>
    </row>
    <row r="21" spans="1:8">
      <c r="A21" s="157"/>
      <c r="B21" s="158" t="s">
        <v>1648</v>
      </c>
      <c r="C21" s="158" t="s">
        <v>1652</v>
      </c>
      <c r="D21" s="158" t="s">
        <v>412</v>
      </c>
      <c r="E21" s="23">
        <v>2400000</v>
      </c>
      <c r="F21" s="23">
        <v>1350000</v>
      </c>
      <c r="G21" s="23">
        <v>900000</v>
      </c>
      <c r="H21" s="23">
        <v>500000</v>
      </c>
    </row>
    <row r="22" spans="1:8">
      <c r="A22" s="157">
        <v>13</v>
      </c>
      <c r="B22" s="158" t="s">
        <v>361</v>
      </c>
      <c r="C22" s="158" t="s">
        <v>113</v>
      </c>
      <c r="D22" s="158" t="s">
        <v>1653</v>
      </c>
      <c r="E22" s="23">
        <v>2400000</v>
      </c>
      <c r="F22" s="23">
        <v>1350000</v>
      </c>
      <c r="G22" s="23">
        <v>900000</v>
      </c>
      <c r="H22" s="23">
        <v>500000</v>
      </c>
    </row>
    <row r="23" spans="1:8">
      <c r="A23" s="157"/>
      <c r="B23" s="158" t="s">
        <v>361</v>
      </c>
      <c r="C23" s="158" t="s">
        <v>1654</v>
      </c>
      <c r="D23" s="158" t="s">
        <v>355</v>
      </c>
      <c r="E23" s="23">
        <v>600000</v>
      </c>
      <c r="F23" s="23">
        <v>340000</v>
      </c>
      <c r="G23" s="23">
        <v>220000</v>
      </c>
      <c r="H23" s="23">
        <v>125000</v>
      </c>
    </row>
    <row r="24" spans="1:8">
      <c r="A24" s="157">
        <f>A22+1</f>
        <v>14</v>
      </c>
      <c r="B24" s="158" t="s">
        <v>1655</v>
      </c>
      <c r="C24" s="158" t="s">
        <v>1656</v>
      </c>
      <c r="D24" s="158" t="s">
        <v>1657</v>
      </c>
      <c r="E24" s="23">
        <v>5000000</v>
      </c>
      <c r="F24" s="23">
        <v>2850000</v>
      </c>
      <c r="G24" s="23">
        <v>1850000</v>
      </c>
      <c r="H24" s="23">
        <v>1050000</v>
      </c>
    </row>
    <row r="25" ht="27.6" spans="1:8">
      <c r="A25" s="157">
        <f t="shared" ref="A25:A43" si="1">A24+1</f>
        <v>15</v>
      </c>
      <c r="B25" s="158" t="s">
        <v>1658</v>
      </c>
      <c r="C25" s="158" t="s">
        <v>1659</v>
      </c>
      <c r="D25" s="158" t="s">
        <v>100</v>
      </c>
      <c r="E25" s="23">
        <v>2400000</v>
      </c>
      <c r="F25" s="23">
        <v>1350000</v>
      </c>
      <c r="G25" s="23">
        <v>900000</v>
      </c>
      <c r="H25" s="23">
        <v>500000</v>
      </c>
    </row>
    <row r="26" ht="27.6" spans="1:8">
      <c r="A26" s="157">
        <f t="shared" si="1"/>
        <v>16</v>
      </c>
      <c r="B26" s="158" t="s">
        <v>1660</v>
      </c>
      <c r="C26" s="158" t="s">
        <v>1661</v>
      </c>
      <c r="D26" s="158" t="s">
        <v>1662</v>
      </c>
      <c r="E26" s="23">
        <v>1450000</v>
      </c>
      <c r="F26" s="23">
        <v>850000</v>
      </c>
      <c r="G26" s="23">
        <v>550000</v>
      </c>
      <c r="H26" s="23">
        <v>305000</v>
      </c>
    </row>
    <row r="27" ht="27.6" spans="1:8">
      <c r="A27" s="157">
        <f t="shared" si="1"/>
        <v>17</v>
      </c>
      <c r="B27" s="158" t="s">
        <v>1663</v>
      </c>
      <c r="C27" s="158" t="s">
        <v>1630</v>
      </c>
      <c r="D27" s="158" t="s">
        <v>1664</v>
      </c>
      <c r="E27" s="23">
        <v>1350000</v>
      </c>
      <c r="F27" s="23">
        <v>750000</v>
      </c>
      <c r="G27" s="23">
        <v>500000</v>
      </c>
      <c r="H27" s="23">
        <v>285000</v>
      </c>
    </row>
    <row r="28" ht="27.6" spans="1:8">
      <c r="A28" s="157">
        <f t="shared" si="1"/>
        <v>18</v>
      </c>
      <c r="B28" s="158" t="s">
        <v>1665</v>
      </c>
      <c r="C28" s="158" t="s">
        <v>1630</v>
      </c>
      <c r="D28" s="158" t="s">
        <v>1666</v>
      </c>
      <c r="E28" s="23">
        <v>1350000</v>
      </c>
      <c r="F28" s="23">
        <v>750000</v>
      </c>
      <c r="G28" s="23">
        <v>500000</v>
      </c>
      <c r="H28" s="23">
        <v>285000</v>
      </c>
    </row>
    <row r="29" spans="1:8">
      <c r="A29" s="157">
        <f t="shared" si="1"/>
        <v>19</v>
      </c>
      <c r="B29" s="158" t="s">
        <v>1667</v>
      </c>
      <c r="C29" s="158" t="s">
        <v>100</v>
      </c>
      <c r="D29" s="158" t="s">
        <v>54</v>
      </c>
      <c r="E29" s="23">
        <v>2400000</v>
      </c>
      <c r="F29" s="23">
        <v>1350000</v>
      </c>
      <c r="G29" s="23">
        <v>900000</v>
      </c>
      <c r="H29" s="23">
        <v>500000</v>
      </c>
    </row>
    <row r="30" ht="27.6" spans="1:8">
      <c r="A30" s="157">
        <f t="shared" si="1"/>
        <v>20</v>
      </c>
      <c r="B30" s="158" t="s">
        <v>1668</v>
      </c>
      <c r="C30" s="158" t="s">
        <v>358</v>
      </c>
      <c r="D30" s="158" t="s">
        <v>1630</v>
      </c>
      <c r="E30" s="23">
        <v>2600000</v>
      </c>
      <c r="F30" s="23">
        <v>1500000</v>
      </c>
      <c r="G30" s="23">
        <v>950000</v>
      </c>
      <c r="H30" s="23">
        <v>550000</v>
      </c>
    </row>
    <row r="31" ht="27.6" spans="1:8">
      <c r="A31" s="157">
        <f t="shared" si="1"/>
        <v>21</v>
      </c>
      <c r="B31" s="158" t="s">
        <v>1669</v>
      </c>
      <c r="C31" s="158" t="s">
        <v>358</v>
      </c>
      <c r="D31" s="158" t="s">
        <v>1670</v>
      </c>
      <c r="E31" s="23">
        <v>3150000</v>
      </c>
      <c r="F31" s="23">
        <v>1800000</v>
      </c>
      <c r="G31" s="23">
        <v>1150000</v>
      </c>
      <c r="H31" s="23">
        <v>650000</v>
      </c>
    </row>
    <row r="32" ht="27.6" spans="1:8">
      <c r="A32" s="157">
        <f t="shared" si="1"/>
        <v>22</v>
      </c>
      <c r="B32" s="158" t="s">
        <v>1671</v>
      </c>
      <c r="C32" s="158" t="s">
        <v>358</v>
      </c>
      <c r="D32" s="158" t="s">
        <v>1630</v>
      </c>
      <c r="E32" s="23">
        <v>2400000</v>
      </c>
      <c r="F32" s="23">
        <v>1350000</v>
      </c>
      <c r="G32" s="23">
        <v>900000</v>
      </c>
      <c r="H32" s="23">
        <v>500000</v>
      </c>
    </row>
    <row r="33" ht="27.6" spans="1:9">
      <c r="A33" s="157">
        <f t="shared" si="1"/>
        <v>23</v>
      </c>
      <c r="B33" s="158" t="s">
        <v>1672</v>
      </c>
      <c r="C33" s="158" t="s">
        <v>358</v>
      </c>
      <c r="D33" s="158" t="s">
        <v>1630</v>
      </c>
      <c r="E33" s="23">
        <v>2400000</v>
      </c>
      <c r="F33" s="23">
        <v>1350000</v>
      </c>
      <c r="G33" s="23">
        <v>900000</v>
      </c>
      <c r="H33" s="23">
        <v>500000</v>
      </c>
    </row>
    <row r="34" ht="27.6" spans="1:9">
      <c r="A34" s="157">
        <f t="shared" si="1"/>
        <v>24</v>
      </c>
      <c r="B34" s="158" t="s">
        <v>1673</v>
      </c>
      <c r="C34" s="158" t="s">
        <v>358</v>
      </c>
      <c r="D34" s="158" t="s">
        <v>1674</v>
      </c>
      <c r="E34" s="23">
        <v>1800000</v>
      </c>
      <c r="F34" s="23">
        <v>1050000</v>
      </c>
      <c r="G34" s="23">
        <v>650000</v>
      </c>
      <c r="H34" s="23">
        <v>380000</v>
      </c>
    </row>
    <row r="35" ht="27.6" spans="1:9">
      <c r="A35" s="157">
        <f t="shared" si="1"/>
        <v>25</v>
      </c>
      <c r="B35" s="158" t="s">
        <v>1675</v>
      </c>
      <c r="C35" s="158" t="s">
        <v>1676</v>
      </c>
      <c r="D35" s="158" t="s">
        <v>412</v>
      </c>
      <c r="E35" s="23">
        <v>1350000</v>
      </c>
      <c r="F35" s="23">
        <v>750000</v>
      </c>
      <c r="G35" s="23">
        <v>500000</v>
      </c>
      <c r="H35" s="23">
        <v>285000</v>
      </c>
    </row>
    <row r="36" ht="27.6" spans="1:9">
      <c r="A36" s="157">
        <f t="shared" si="1"/>
        <v>26</v>
      </c>
      <c r="B36" s="158" t="s">
        <v>1677</v>
      </c>
      <c r="C36" s="158" t="s">
        <v>358</v>
      </c>
      <c r="D36" s="158" t="s">
        <v>1678</v>
      </c>
      <c r="E36" s="23">
        <v>5000000</v>
      </c>
      <c r="F36" s="23">
        <v>2850000</v>
      </c>
      <c r="G36" s="23">
        <v>1850000</v>
      </c>
      <c r="H36" s="23">
        <v>1050000</v>
      </c>
    </row>
    <row r="37" ht="27.6" spans="1:9">
      <c r="A37" s="157">
        <f t="shared" si="1"/>
        <v>27</v>
      </c>
      <c r="B37" s="158" t="s">
        <v>1679</v>
      </c>
      <c r="C37" s="158" t="s">
        <v>358</v>
      </c>
      <c r="D37" s="158" t="s">
        <v>1680</v>
      </c>
      <c r="E37" s="23">
        <v>4200000</v>
      </c>
      <c r="F37" s="23">
        <v>2400000</v>
      </c>
      <c r="G37" s="23">
        <v>1550000</v>
      </c>
      <c r="H37" s="23">
        <v>900000</v>
      </c>
    </row>
    <row r="38" ht="27.6" spans="1:9">
      <c r="A38" s="157">
        <f t="shared" si="1"/>
        <v>28</v>
      </c>
      <c r="B38" s="158" t="s">
        <v>382</v>
      </c>
      <c r="C38" s="158" t="s">
        <v>1681</v>
      </c>
      <c r="D38" s="158" t="s">
        <v>1682</v>
      </c>
      <c r="E38" s="23">
        <v>1350000</v>
      </c>
      <c r="F38" s="23">
        <v>750000</v>
      </c>
      <c r="G38" s="23">
        <v>500000</v>
      </c>
      <c r="H38" s="23">
        <v>285000</v>
      </c>
    </row>
    <row r="39" ht="27.6" spans="1:9">
      <c r="A39" s="157">
        <f t="shared" si="1"/>
        <v>29</v>
      </c>
      <c r="B39" s="158" t="s">
        <v>1683</v>
      </c>
      <c r="C39" s="158" t="s">
        <v>113</v>
      </c>
      <c r="D39" s="158" t="s">
        <v>1684</v>
      </c>
      <c r="E39" s="23">
        <v>2400000</v>
      </c>
      <c r="F39" s="23">
        <v>1350000</v>
      </c>
      <c r="G39" s="23">
        <v>900000</v>
      </c>
      <c r="H39" s="23">
        <v>500000</v>
      </c>
    </row>
    <row r="40" spans="1:9">
      <c r="A40" s="157">
        <f t="shared" si="1"/>
        <v>30</v>
      </c>
      <c r="B40" s="158" t="s">
        <v>1685</v>
      </c>
      <c r="C40" s="158" t="s">
        <v>412</v>
      </c>
      <c r="D40" s="158" t="s">
        <v>1640</v>
      </c>
      <c r="E40" s="23">
        <v>750000</v>
      </c>
      <c r="F40" s="23">
        <v>425000</v>
      </c>
      <c r="G40" s="23">
        <v>275000</v>
      </c>
      <c r="H40" s="23">
        <v>160000</v>
      </c>
    </row>
    <row r="41" spans="1:9">
      <c r="A41" s="157">
        <f t="shared" si="1"/>
        <v>31</v>
      </c>
      <c r="B41" s="158" t="s">
        <v>1686</v>
      </c>
      <c r="C41" s="158" t="s">
        <v>358</v>
      </c>
      <c r="D41" s="158" t="s">
        <v>1630</v>
      </c>
      <c r="E41" s="23">
        <v>2600000</v>
      </c>
      <c r="F41" s="23">
        <v>1500000</v>
      </c>
      <c r="G41" s="23">
        <v>950000</v>
      </c>
      <c r="H41" s="23">
        <v>550000</v>
      </c>
    </row>
    <row r="42" ht="27.6" spans="1:9">
      <c r="A42" s="157">
        <f t="shared" si="1"/>
        <v>32</v>
      </c>
      <c r="B42" s="158" t="s">
        <v>1687</v>
      </c>
      <c r="C42" s="158" t="s">
        <v>1640</v>
      </c>
      <c r="D42" s="158" t="s">
        <v>382</v>
      </c>
      <c r="E42" s="23">
        <v>750000</v>
      </c>
      <c r="F42" s="23">
        <v>425000</v>
      </c>
      <c r="G42" s="23">
        <v>275000</v>
      </c>
      <c r="H42" s="23">
        <v>160000</v>
      </c>
    </row>
    <row r="43" spans="1:9">
      <c r="A43" s="157">
        <f t="shared" si="1"/>
        <v>33</v>
      </c>
      <c r="B43" s="158" t="s">
        <v>1688</v>
      </c>
      <c r="C43" s="158" t="s">
        <v>358</v>
      </c>
      <c r="D43" s="158" t="s">
        <v>412</v>
      </c>
      <c r="E43" s="23">
        <v>1350000</v>
      </c>
      <c r="F43" s="23">
        <v>750000</v>
      </c>
      <c r="G43" s="23">
        <v>500000</v>
      </c>
      <c r="H43" s="23">
        <v>285000</v>
      </c>
    </row>
    <row r="44" spans="1:9">
      <c r="A44" s="157">
        <v>34</v>
      </c>
      <c r="B44" s="158" t="s">
        <v>58</v>
      </c>
      <c r="C44" s="158" t="s">
        <v>1689</v>
      </c>
      <c r="D44" s="158" t="s">
        <v>113</v>
      </c>
      <c r="E44" s="23">
        <v>10250000</v>
      </c>
      <c r="F44" s="23">
        <v>5750000</v>
      </c>
      <c r="G44" s="23">
        <v>3800000</v>
      </c>
      <c r="H44" s="23">
        <v>2450000</v>
      </c>
      <c r="I44" s="147" t="s">
        <v>147</v>
      </c>
    </row>
    <row r="45" spans="1:9">
      <c r="A45" s="157">
        <v>35</v>
      </c>
      <c r="B45" s="158" t="s">
        <v>1630</v>
      </c>
      <c r="C45" s="158" t="s">
        <v>1690</v>
      </c>
      <c r="D45" s="158" t="s">
        <v>1686</v>
      </c>
      <c r="E45" s="23">
        <v>2600000</v>
      </c>
      <c r="F45" s="23">
        <v>1500000</v>
      </c>
      <c r="G45" s="23">
        <v>950000</v>
      </c>
      <c r="H45" s="23">
        <v>550000</v>
      </c>
    </row>
    <row r="46" spans="1:9">
      <c r="A46" s="157"/>
      <c r="B46" s="158" t="s">
        <v>1630</v>
      </c>
      <c r="C46" s="158" t="s">
        <v>1686</v>
      </c>
      <c r="D46" s="158" t="s">
        <v>1691</v>
      </c>
      <c r="E46" s="23">
        <v>1800000</v>
      </c>
      <c r="F46" s="23">
        <v>1050000</v>
      </c>
      <c r="G46" s="23">
        <v>650000</v>
      </c>
      <c r="H46" s="23">
        <v>380000</v>
      </c>
    </row>
    <row r="47" spans="1:9">
      <c r="A47" s="157">
        <f>A45+1</f>
        <v>36</v>
      </c>
      <c r="B47" s="158" t="s">
        <v>1692</v>
      </c>
      <c r="C47" s="158" t="s">
        <v>1693</v>
      </c>
      <c r="D47" s="158" t="s">
        <v>1694</v>
      </c>
      <c r="E47" s="23">
        <v>5000000</v>
      </c>
      <c r="F47" s="23">
        <v>2850000</v>
      </c>
      <c r="G47" s="23">
        <v>1850000</v>
      </c>
      <c r="H47" s="23">
        <v>1050000</v>
      </c>
    </row>
    <row r="48" spans="1:9">
      <c r="A48" s="157">
        <f t="shared" ref="A48:A57" si="2">A47+1</f>
        <v>37</v>
      </c>
      <c r="B48" s="158" t="s">
        <v>36</v>
      </c>
      <c r="C48" s="158" t="s">
        <v>1695</v>
      </c>
      <c r="D48" s="158" t="s">
        <v>1696</v>
      </c>
      <c r="E48" s="23">
        <v>5750000</v>
      </c>
      <c r="F48" s="23">
        <v>3300000</v>
      </c>
      <c r="G48" s="23">
        <v>2150000</v>
      </c>
      <c r="H48" s="23">
        <v>1200000</v>
      </c>
    </row>
    <row r="49" spans="1:8">
      <c r="A49" s="157">
        <f t="shared" si="2"/>
        <v>38</v>
      </c>
      <c r="B49" s="158" t="s">
        <v>418</v>
      </c>
      <c r="C49" s="158" t="s">
        <v>1654</v>
      </c>
      <c r="D49" s="158" t="s">
        <v>355</v>
      </c>
      <c r="E49" s="23">
        <v>600000</v>
      </c>
      <c r="F49" s="23">
        <v>340000</v>
      </c>
      <c r="G49" s="23">
        <v>220000</v>
      </c>
      <c r="H49" s="23">
        <v>125000</v>
      </c>
    </row>
    <row r="50" ht="27.6" spans="1:8">
      <c r="A50" s="157">
        <f t="shared" si="2"/>
        <v>39</v>
      </c>
      <c r="B50" s="158" t="s">
        <v>1697</v>
      </c>
      <c r="C50" s="158" t="s">
        <v>1656</v>
      </c>
      <c r="D50" s="158" t="s">
        <v>1698</v>
      </c>
      <c r="E50" s="23">
        <v>5000000</v>
      </c>
      <c r="F50" s="23">
        <v>2850000</v>
      </c>
      <c r="G50" s="23">
        <v>1850000</v>
      </c>
      <c r="H50" s="23">
        <v>1050000</v>
      </c>
    </row>
    <row r="51" spans="1:8">
      <c r="A51" s="157">
        <f t="shared" si="2"/>
        <v>40</v>
      </c>
      <c r="B51" s="158" t="s">
        <v>1699</v>
      </c>
      <c r="C51" s="158" t="s">
        <v>1694</v>
      </c>
      <c r="D51" s="158" t="s">
        <v>1630</v>
      </c>
      <c r="E51" s="23">
        <v>5000000</v>
      </c>
      <c r="F51" s="23">
        <v>2850000</v>
      </c>
      <c r="G51" s="23">
        <v>1850000</v>
      </c>
      <c r="H51" s="23">
        <v>1050000</v>
      </c>
    </row>
    <row r="52" spans="1:8">
      <c r="A52" s="157">
        <f t="shared" si="2"/>
        <v>41</v>
      </c>
      <c r="B52" s="160" t="s">
        <v>1700</v>
      </c>
      <c r="C52" s="160" t="s">
        <v>1701</v>
      </c>
      <c r="D52" s="160" t="s">
        <v>1640</v>
      </c>
      <c r="E52" s="23">
        <v>1800000</v>
      </c>
      <c r="F52" s="23">
        <v>1050000</v>
      </c>
      <c r="G52" s="23">
        <v>650000</v>
      </c>
      <c r="H52" s="23">
        <v>380000</v>
      </c>
    </row>
    <row r="53" spans="1:8">
      <c r="A53" s="157">
        <f t="shared" si="2"/>
        <v>42</v>
      </c>
      <c r="B53" s="158" t="s">
        <v>1647</v>
      </c>
      <c r="C53" s="158" t="s">
        <v>358</v>
      </c>
      <c r="D53" s="158" t="s">
        <v>1639</v>
      </c>
      <c r="E53" s="23">
        <v>1350000</v>
      </c>
      <c r="F53" s="23">
        <v>750000</v>
      </c>
      <c r="G53" s="23">
        <v>500000</v>
      </c>
      <c r="H53" s="23">
        <v>285000</v>
      </c>
    </row>
    <row r="54" ht="41.4" spans="1:8">
      <c r="A54" s="157">
        <f t="shared" si="2"/>
        <v>43</v>
      </c>
      <c r="B54" s="158" t="s">
        <v>1702</v>
      </c>
      <c r="C54" s="158" t="s">
        <v>1703</v>
      </c>
      <c r="D54" s="158" t="s">
        <v>1704</v>
      </c>
      <c r="E54" s="23">
        <v>5000000</v>
      </c>
      <c r="F54" s="23">
        <v>2850000</v>
      </c>
      <c r="G54" s="23">
        <v>1850000</v>
      </c>
      <c r="H54" s="23">
        <v>1050000</v>
      </c>
    </row>
    <row r="55" spans="1:8">
      <c r="A55" s="157">
        <f t="shared" si="2"/>
        <v>44</v>
      </c>
      <c r="B55" s="158" t="s">
        <v>1705</v>
      </c>
      <c r="C55" s="158" t="s">
        <v>1640</v>
      </c>
      <c r="D55" s="158" t="s">
        <v>1706</v>
      </c>
      <c r="E55" s="23">
        <v>1800000</v>
      </c>
      <c r="F55" s="23">
        <v>1050000</v>
      </c>
      <c r="G55" s="23">
        <v>650000</v>
      </c>
      <c r="H55" s="23">
        <v>380000</v>
      </c>
    </row>
    <row r="56" spans="1:8">
      <c r="A56" s="157">
        <f t="shared" si="2"/>
        <v>45</v>
      </c>
      <c r="B56" s="158" t="s">
        <v>1657</v>
      </c>
      <c r="C56" s="158" t="s">
        <v>1655</v>
      </c>
      <c r="D56" s="158" t="s">
        <v>1656</v>
      </c>
      <c r="E56" s="23">
        <v>7800000</v>
      </c>
      <c r="F56" s="23">
        <v>4450000</v>
      </c>
      <c r="G56" s="23">
        <v>2900000</v>
      </c>
      <c r="H56" s="23">
        <v>1650000</v>
      </c>
    </row>
    <row r="57" spans="1:8">
      <c r="A57" s="157">
        <f t="shared" si="2"/>
        <v>46</v>
      </c>
      <c r="B57" s="158" t="s">
        <v>1707</v>
      </c>
      <c r="C57" s="158" t="s">
        <v>358</v>
      </c>
      <c r="D57" s="158" t="s">
        <v>412</v>
      </c>
      <c r="E57" s="23">
        <v>1350000</v>
      </c>
      <c r="F57" s="23">
        <v>750000</v>
      </c>
      <c r="G57" s="23">
        <v>500000</v>
      </c>
      <c r="H57" s="23">
        <v>285000</v>
      </c>
    </row>
    <row r="58" spans="1:8">
      <c r="A58" s="157"/>
      <c r="B58" s="158" t="s">
        <v>1707</v>
      </c>
      <c r="C58" s="158" t="s">
        <v>412</v>
      </c>
      <c r="D58" s="158" t="s">
        <v>1708</v>
      </c>
      <c r="E58" s="23">
        <v>1000000</v>
      </c>
      <c r="F58" s="23">
        <v>550000</v>
      </c>
      <c r="G58" s="23">
        <v>370000</v>
      </c>
      <c r="H58" s="23">
        <v>210000</v>
      </c>
    </row>
    <row r="59" ht="41.4" spans="1:8">
      <c r="A59" s="157">
        <f>A57+1</f>
        <v>47</v>
      </c>
      <c r="B59" s="158" t="s">
        <v>1709</v>
      </c>
      <c r="C59" s="158" t="s">
        <v>1697</v>
      </c>
      <c r="D59" s="158" t="s">
        <v>1710</v>
      </c>
      <c r="E59" s="23">
        <v>5000000</v>
      </c>
      <c r="F59" s="23">
        <v>2850000</v>
      </c>
      <c r="G59" s="23">
        <v>1850000</v>
      </c>
      <c r="H59" s="23">
        <v>1050000</v>
      </c>
    </row>
    <row r="60" spans="1:8">
      <c r="A60" s="157">
        <f t="shared" ref="A60:A64" si="3">A59+1</f>
        <v>48</v>
      </c>
      <c r="B60" s="158" t="s">
        <v>100</v>
      </c>
      <c r="C60" s="158" t="s">
        <v>1662</v>
      </c>
      <c r="D60" s="158" t="s">
        <v>54</v>
      </c>
      <c r="E60" s="23">
        <v>2400000</v>
      </c>
      <c r="F60" s="23">
        <v>1350000</v>
      </c>
      <c r="G60" s="23">
        <v>900000</v>
      </c>
      <c r="H60" s="23">
        <v>500000</v>
      </c>
    </row>
    <row r="61" spans="1:8">
      <c r="A61" s="157">
        <f t="shared" si="3"/>
        <v>49</v>
      </c>
      <c r="B61" s="158" t="s">
        <v>1711</v>
      </c>
      <c r="C61" s="158" t="s">
        <v>1712</v>
      </c>
      <c r="D61" s="158" t="s">
        <v>1713</v>
      </c>
      <c r="E61" s="23">
        <v>750000</v>
      </c>
      <c r="F61" s="23">
        <v>425000</v>
      </c>
      <c r="G61" s="23">
        <v>275000</v>
      </c>
      <c r="H61" s="23">
        <v>160000</v>
      </c>
    </row>
    <row r="62" ht="27.6" spans="1:8">
      <c r="A62" s="157">
        <f t="shared" si="3"/>
        <v>50</v>
      </c>
      <c r="B62" s="158" t="s">
        <v>1714</v>
      </c>
      <c r="C62" s="158" t="s">
        <v>1715</v>
      </c>
      <c r="D62" s="158" t="s">
        <v>1694</v>
      </c>
      <c r="E62" s="23">
        <v>5000000</v>
      </c>
      <c r="F62" s="23">
        <v>2850000</v>
      </c>
      <c r="G62" s="23">
        <v>1850000</v>
      </c>
      <c r="H62" s="23">
        <v>1050000</v>
      </c>
    </row>
    <row r="63" spans="1:8">
      <c r="A63" s="157">
        <f t="shared" si="3"/>
        <v>51</v>
      </c>
      <c r="B63" s="158" t="s">
        <v>1656</v>
      </c>
      <c r="C63" s="158" t="s">
        <v>1655</v>
      </c>
      <c r="D63" s="158" t="s">
        <v>1702</v>
      </c>
      <c r="E63" s="23">
        <v>5000000</v>
      </c>
      <c r="F63" s="23">
        <v>2850000</v>
      </c>
      <c r="G63" s="23">
        <v>1850000</v>
      </c>
      <c r="H63" s="23">
        <v>1050000</v>
      </c>
    </row>
    <row r="64" spans="1:8">
      <c r="A64" s="157">
        <f t="shared" si="3"/>
        <v>52</v>
      </c>
      <c r="B64" s="158" t="s">
        <v>358</v>
      </c>
      <c r="C64" s="158" t="s">
        <v>1649</v>
      </c>
      <c r="D64" s="158" t="s">
        <v>1716</v>
      </c>
      <c r="E64" s="23">
        <v>10050000</v>
      </c>
      <c r="F64" s="23">
        <v>5750000</v>
      </c>
      <c r="G64" s="23">
        <v>3700000</v>
      </c>
      <c r="H64" s="23">
        <v>2100000</v>
      </c>
    </row>
    <row r="65" spans="1:8">
      <c r="A65" s="157"/>
      <c r="B65" s="158" t="s">
        <v>358</v>
      </c>
      <c r="C65" s="158" t="s">
        <v>1717</v>
      </c>
      <c r="D65" s="158" t="s">
        <v>1718</v>
      </c>
      <c r="E65" s="23">
        <v>7800000</v>
      </c>
      <c r="F65" s="23">
        <v>4450000</v>
      </c>
      <c r="G65" s="23">
        <v>2900000</v>
      </c>
      <c r="H65" s="23">
        <v>1650000</v>
      </c>
    </row>
    <row r="66" spans="1:8">
      <c r="A66" s="157"/>
      <c r="B66" s="158" t="s">
        <v>358</v>
      </c>
      <c r="C66" s="158" t="s">
        <v>1718</v>
      </c>
      <c r="D66" s="158" t="s">
        <v>1719</v>
      </c>
      <c r="E66" s="23">
        <v>5750000</v>
      </c>
      <c r="F66" s="23">
        <v>3300000</v>
      </c>
      <c r="G66" s="23">
        <v>2150000</v>
      </c>
      <c r="H66" s="23">
        <v>1200000</v>
      </c>
    </row>
    <row r="67" spans="1:8">
      <c r="A67" s="157">
        <f>A64+1</f>
        <v>53</v>
      </c>
      <c r="B67" s="158" t="s">
        <v>1701</v>
      </c>
      <c r="C67" s="158" t="s">
        <v>1706</v>
      </c>
      <c r="D67" s="158" t="s">
        <v>1647</v>
      </c>
      <c r="E67" s="23">
        <v>3150000</v>
      </c>
      <c r="F67" s="23">
        <v>1800000</v>
      </c>
      <c r="G67" s="23">
        <v>1150000</v>
      </c>
      <c r="H67" s="23">
        <v>650000</v>
      </c>
    </row>
    <row r="68" spans="1:8">
      <c r="A68" s="157"/>
      <c r="B68" s="158" t="s">
        <v>1701</v>
      </c>
      <c r="C68" s="158" t="s">
        <v>1647</v>
      </c>
      <c r="D68" s="158" t="s">
        <v>1687</v>
      </c>
      <c r="E68" s="23">
        <v>1350000</v>
      </c>
      <c r="F68" s="23">
        <v>750000</v>
      </c>
      <c r="G68" s="23">
        <v>500000</v>
      </c>
      <c r="H68" s="23">
        <v>285000</v>
      </c>
    </row>
    <row r="69" spans="1:8">
      <c r="A69" s="157">
        <f>A67+1</f>
        <v>54</v>
      </c>
      <c r="B69" s="158" t="s">
        <v>1720</v>
      </c>
      <c r="C69" s="158" t="s">
        <v>1707</v>
      </c>
      <c r="D69" s="158" t="s">
        <v>1640</v>
      </c>
      <c r="E69" s="23">
        <v>1350000</v>
      </c>
      <c r="F69" s="23">
        <v>750000</v>
      </c>
      <c r="G69" s="23">
        <v>500000</v>
      </c>
      <c r="H69" s="23">
        <v>285000</v>
      </c>
    </row>
    <row r="70" spans="1:8">
      <c r="A70" s="157">
        <f t="shared" ref="A70:A77" si="4">A69+1</f>
        <v>55</v>
      </c>
      <c r="B70" s="158" t="s">
        <v>1721</v>
      </c>
      <c r="C70" s="158" t="s">
        <v>358</v>
      </c>
      <c r="D70" s="158" t="s">
        <v>1630</v>
      </c>
      <c r="E70" s="23">
        <v>2600000</v>
      </c>
      <c r="F70" s="23">
        <v>1500000</v>
      </c>
      <c r="G70" s="23">
        <v>950000</v>
      </c>
      <c r="H70" s="23">
        <v>550000</v>
      </c>
    </row>
    <row r="71" spans="1:8">
      <c r="A71" s="157">
        <f t="shared" si="4"/>
        <v>56</v>
      </c>
      <c r="B71" s="158" t="s">
        <v>1640</v>
      </c>
      <c r="C71" s="158" t="s">
        <v>1706</v>
      </c>
      <c r="D71" s="158" t="s">
        <v>1647</v>
      </c>
      <c r="E71" s="23">
        <v>2600000</v>
      </c>
      <c r="F71" s="23">
        <v>1500000</v>
      </c>
      <c r="G71" s="23">
        <v>950000</v>
      </c>
      <c r="H71" s="23">
        <v>550000</v>
      </c>
    </row>
    <row r="72" spans="1:8">
      <c r="A72" s="157"/>
      <c r="B72" s="158" t="s">
        <v>1640</v>
      </c>
      <c r="C72" s="158" t="s">
        <v>1647</v>
      </c>
      <c r="D72" s="158" t="s">
        <v>412</v>
      </c>
      <c r="E72" s="23">
        <v>1350000</v>
      </c>
      <c r="F72" s="23">
        <v>750000</v>
      </c>
      <c r="G72" s="23">
        <v>500000</v>
      </c>
      <c r="H72" s="23">
        <v>285000</v>
      </c>
    </row>
    <row r="73" spans="1:8">
      <c r="A73" s="157"/>
      <c r="B73" s="158" t="s">
        <v>1640</v>
      </c>
      <c r="C73" s="158" t="s">
        <v>412</v>
      </c>
      <c r="D73" s="158" t="s">
        <v>1639</v>
      </c>
      <c r="E73" s="23">
        <v>750000</v>
      </c>
      <c r="F73" s="23">
        <v>425000</v>
      </c>
      <c r="G73" s="23">
        <v>275000</v>
      </c>
      <c r="H73" s="23">
        <v>160000</v>
      </c>
    </row>
    <row r="74" spans="1:8">
      <c r="A74" s="157">
        <f>A71+1</f>
        <v>57</v>
      </c>
      <c r="B74" s="158" t="s">
        <v>1722</v>
      </c>
      <c r="C74" s="158" t="s">
        <v>1723</v>
      </c>
      <c r="D74" s="158" t="s">
        <v>412</v>
      </c>
      <c r="E74" s="23">
        <v>1350000</v>
      </c>
      <c r="F74" s="23">
        <v>750000</v>
      </c>
      <c r="G74" s="23">
        <v>500000</v>
      </c>
      <c r="H74" s="23">
        <v>285000</v>
      </c>
    </row>
    <row r="75" spans="1:8">
      <c r="A75" s="157">
        <f t="shared" si="4"/>
        <v>58</v>
      </c>
      <c r="B75" s="158" t="s">
        <v>1724</v>
      </c>
      <c r="C75" s="158" t="s">
        <v>1648</v>
      </c>
      <c r="D75" s="158" t="s">
        <v>1631</v>
      </c>
      <c r="E75" s="23">
        <v>2400000</v>
      </c>
      <c r="F75" s="23">
        <v>1350000</v>
      </c>
      <c r="G75" s="23">
        <v>900000</v>
      </c>
      <c r="H75" s="23">
        <v>500000</v>
      </c>
    </row>
    <row r="76" spans="1:8">
      <c r="A76" s="157">
        <f t="shared" si="4"/>
        <v>59</v>
      </c>
      <c r="B76" s="158" t="s">
        <v>1690</v>
      </c>
      <c r="C76" s="158" t="s">
        <v>358</v>
      </c>
      <c r="D76" s="158" t="s">
        <v>1694</v>
      </c>
      <c r="E76" s="23">
        <v>5000000</v>
      </c>
      <c r="F76" s="23">
        <v>2850000</v>
      </c>
      <c r="G76" s="23">
        <v>1850000</v>
      </c>
      <c r="H76" s="23">
        <v>1050000</v>
      </c>
    </row>
    <row r="77" spans="1:8">
      <c r="A77" s="157">
        <f t="shared" si="4"/>
        <v>60</v>
      </c>
      <c r="B77" s="158" t="s">
        <v>1725</v>
      </c>
      <c r="C77" s="158" t="s">
        <v>1648</v>
      </c>
      <c r="D77" s="158" t="s">
        <v>412</v>
      </c>
      <c r="E77" s="23">
        <v>2600000</v>
      </c>
      <c r="F77" s="23">
        <v>1500000</v>
      </c>
      <c r="G77" s="23">
        <v>950000</v>
      </c>
      <c r="H77" s="23">
        <v>550000</v>
      </c>
    </row>
    <row r="78" spans="1:8">
      <c r="A78" s="157"/>
      <c r="B78" s="158" t="s">
        <v>1725</v>
      </c>
      <c r="C78" s="158" t="s">
        <v>412</v>
      </c>
      <c r="D78" s="158" t="s">
        <v>1726</v>
      </c>
      <c r="E78" s="23">
        <v>1450000</v>
      </c>
      <c r="F78" s="23">
        <v>850000</v>
      </c>
      <c r="G78" s="23">
        <v>550000</v>
      </c>
      <c r="H78" s="23">
        <v>305000</v>
      </c>
    </row>
    <row r="79" spans="1:8">
      <c r="A79" s="157"/>
      <c r="B79" s="158" t="s">
        <v>1725</v>
      </c>
      <c r="C79" s="158" t="s">
        <v>1726</v>
      </c>
      <c r="D79" s="158" t="s">
        <v>1727</v>
      </c>
      <c r="E79" s="23">
        <v>750000</v>
      </c>
      <c r="F79" s="23">
        <v>425000</v>
      </c>
      <c r="G79" s="23">
        <v>275000</v>
      </c>
      <c r="H79" s="23">
        <v>160000</v>
      </c>
    </row>
    <row r="80" spans="1:8">
      <c r="A80" s="157">
        <f>A77+1</f>
        <v>61</v>
      </c>
      <c r="B80" s="161" t="s">
        <v>1728</v>
      </c>
      <c r="C80" s="161" t="s">
        <v>358</v>
      </c>
      <c r="D80" s="161" t="s">
        <v>412</v>
      </c>
      <c r="E80" s="23">
        <v>2600000</v>
      </c>
      <c r="F80" s="23">
        <v>1500000</v>
      </c>
      <c r="G80" s="23">
        <v>950000</v>
      </c>
      <c r="H80" s="23">
        <v>550000</v>
      </c>
    </row>
    <row r="81" spans="1:12">
      <c r="A81" s="157"/>
      <c r="B81" s="158" t="s">
        <v>1728</v>
      </c>
      <c r="C81" s="158" t="s">
        <v>412</v>
      </c>
      <c r="D81" s="158" t="s">
        <v>1729</v>
      </c>
      <c r="E81" s="23">
        <v>1350000</v>
      </c>
      <c r="F81" s="23">
        <v>750000</v>
      </c>
      <c r="G81" s="23">
        <v>500000</v>
      </c>
      <c r="H81" s="23">
        <v>285000</v>
      </c>
    </row>
    <row r="82" ht="27.6" spans="1:12">
      <c r="A82" s="157"/>
      <c r="B82" s="158" t="s">
        <v>1728</v>
      </c>
      <c r="C82" s="158" t="s">
        <v>1729</v>
      </c>
      <c r="D82" s="158" t="s">
        <v>382</v>
      </c>
      <c r="E82" s="23">
        <v>750000</v>
      </c>
      <c r="F82" s="23">
        <v>425000</v>
      </c>
      <c r="G82" s="23">
        <v>275000</v>
      </c>
      <c r="H82" s="23">
        <v>160000</v>
      </c>
    </row>
    <row r="83" ht="27.6" spans="1:12">
      <c r="A83" s="157">
        <f>A80+1</f>
        <v>62</v>
      </c>
      <c r="B83" s="158" t="s">
        <v>1730</v>
      </c>
      <c r="C83" s="158" t="s">
        <v>1640</v>
      </c>
      <c r="D83" s="158" t="s">
        <v>1731</v>
      </c>
      <c r="E83" s="23">
        <v>1800000</v>
      </c>
      <c r="F83" s="23">
        <v>1050000</v>
      </c>
      <c r="G83" s="23">
        <v>650000</v>
      </c>
      <c r="H83" s="23">
        <v>380000</v>
      </c>
    </row>
    <row r="84" spans="1:12">
      <c r="A84" s="157">
        <f>A83+1</f>
        <v>63</v>
      </c>
      <c r="B84" s="158" t="s">
        <v>355</v>
      </c>
      <c r="C84" s="158" t="s">
        <v>358</v>
      </c>
      <c r="D84" s="158" t="s">
        <v>1732</v>
      </c>
      <c r="E84" s="23">
        <v>1000000</v>
      </c>
      <c r="F84" s="23">
        <v>550000</v>
      </c>
      <c r="G84" s="23">
        <v>370000</v>
      </c>
      <c r="H84" s="23">
        <v>210000</v>
      </c>
    </row>
    <row r="85" spans="1:12">
      <c r="A85" s="157"/>
      <c r="B85" s="158" t="s">
        <v>355</v>
      </c>
      <c r="C85" s="158" t="s">
        <v>1733</v>
      </c>
      <c r="D85" s="158" t="s">
        <v>1734</v>
      </c>
      <c r="E85" s="23">
        <v>750000</v>
      </c>
      <c r="F85" s="23">
        <v>425000</v>
      </c>
      <c r="G85" s="23">
        <v>275000</v>
      </c>
      <c r="H85" s="23">
        <v>160000</v>
      </c>
    </row>
    <row r="86" spans="1:12">
      <c r="A86" s="157">
        <f>A84+1</f>
        <v>64</v>
      </c>
      <c r="B86" s="158" t="s">
        <v>1639</v>
      </c>
      <c r="C86" s="158" t="s">
        <v>358</v>
      </c>
      <c r="D86" s="158" t="s">
        <v>412</v>
      </c>
      <c r="E86" s="23">
        <v>1800000</v>
      </c>
      <c r="F86" s="23">
        <v>1050000</v>
      </c>
      <c r="G86" s="23">
        <v>650000</v>
      </c>
      <c r="H86" s="23">
        <v>380000</v>
      </c>
    </row>
    <row r="87" ht="27.6" spans="1:12">
      <c r="A87" s="157"/>
      <c r="B87" s="158" t="s">
        <v>1639</v>
      </c>
      <c r="C87" s="158" t="s">
        <v>412</v>
      </c>
      <c r="D87" s="158" t="s">
        <v>382</v>
      </c>
      <c r="E87" s="23">
        <v>1350000</v>
      </c>
      <c r="F87" s="23">
        <v>750000</v>
      </c>
      <c r="G87" s="23">
        <v>500000</v>
      </c>
      <c r="H87" s="23">
        <v>285000</v>
      </c>
    </row>
    <row r="88" ht="27.6" spans="1:12">
      <c r="A88" s="157">
        <f>A86+1</f>
        <v>65</v>
      </c>
      <c r="B88" s="158" t="s">
        <v>1735</v>
      </c>
      <c r="C88" s="158" t="s">
        <v>1736</v>
      </c>
      <c r="D88" s="158" t="s">
        <v>1737</v>
      </c>
      <c r="E88" s="23">
        <v>1350000</v>
      </c>
      <c r="F88" s="23">
        <v>750000</v>
      </c>
      <c r="G88" s="23">
        <v>500000</v>
      </c>
      <c r="H88" s="23">
        <v>285000</v>
      </c>
    </row>
    <row r="89" ht="27.6" spans="1:12">
      <c r="A89" s="157">
        <f t="shared" ref="A89:A95" si="5">A88+1</f>
        <v>66</v>
      </c>
      <c r="B89" s="158" t="s">
        <v>1738</v>
      </c>
      <c r="C89" s="158" t="s">
        <v>1656</v>
      </c>
      <c r="D89" s="158" t="s">
        <v>1739</v>
      </c>
      <c r="E89" s="23">
        <v>5000000</v>
      </c>
      <c r="F89" s="23">
        <v>2850000</v>
      </c>
      <c r="G89" s="23">
        <v>1850000</v>
      </c>
      <c r="H89" s="23">
        <v>1050000</v>
      </c>
    </row>
    <row r="90" ht="27.6" spans="1:12">
      <c r="A90" s="157">
        <f t="shared" si="5"/>
        <v>67</v>
      </c>
      <c r="B90" s="158" t="s">
        <v>1740</v>
      </c>
      <c r="C90" s="158" t="s">
        <v>1715</v>
      </c>
      <c r="D90" s="158" t="s">
        <v>1741</v>
      </c>
      <c r="E90" s="23">
        <v>5000000</v>
      </c>
      <c r="F90" s="23">
        <v>2850000</v>
      </c>
      <c r="G90" s="23">
        <v>1850000</v>
      </c>
      <c r="H90" s="23">
        <v>1050000</v>
      </c>
    </row>
    <row r="91" spans="1:12">
      <c r="A91" s="157">
        <f t="shared" si="5"/>
        <v>68</v>
      </c>
      <c r="B91" s="158" t="s">
        <v>1706</v>
      </c>
      <c r="C91" s="158" t="s">
        <v>1639</v>
      </c>
      <c r="D91" s="158" t="s">
        <v>1647</v>
      </c>
      <c r="E91" s="23">
        <v>3150000</v>
      </c>
      <c r="F91" s="23">
        <v>1800000</v>
      </c>
      <c r="G91" s="23">
        <v>1150000</v>
      </c>
      <c r="H91" s="23">
        <v>650000</v>
      </c>
    </row>
    <row r="92" spans="1:12">
      <c r="A92" s="157">
        <f t="shared" si="5"/>
        <v>69</v>
      </c>
      <c r="B92" s="158" t="s">
        <v>1674</v>
      </c>
      <c r="C92" s="158" t="s">
        <v>1742</v>
      </c>
      <c r="D92" s="158" t="s">
        <v>1629</v>
      </c>
      <c r="E92" s="23">
        <v>1800000</v>
      </c>
      <c r="F92" s="23">
        <v>1050000</v>
      </c>
      <c r="G92" s="23">
        <v>650000</v>
      </c>
      <c r="H92" s="23">
        <v>380000</v>
      </c>
    </row>
    <row r="93" spans="1:12">
      <c r="A93" s="157">
        <f t="shared" si="5"/>
        <v>70</v>
      </c>
      <c r="B93" s="158" t="s">
        <v>1674</v>
      </c>
      <c r="C93" s="158" t="s">
        <v>1629</v>
      </c>
      <c r="D93" s="158" t="s">
        <v>1721</v>
      </c>
      <c r="E93" s="23">
        <v>1800000</v>
      </c>
      <c r="F93" s="23">
        <v>1050000</v>
      </c>
      <c r="G93" s="23">
        <v>650000</v>
      </c>
      <c r="H93" s="23">
        <v>380000</v>
      </c>
    </row>
    <row r="94" spans="1:12">
      <c r="A94" s="157">
        <f t="shared" si="5"/>
        <v>71</v>
      </c>
      <c r="B94" s="158" t="s">
        <v>1696</v>
      </c>
      <c r="C94" s="158" t="s">
        <v>1694</v>
      </c>
      <c r="D94" s="158" t="s">
        <v>1630</v>
      </c>
      <c r="E94" s="23">
        <v>5000000</v>
      </c>
      <c r="F94" s="23">
        <v>2850000</v>
      </c>
      <c r="G94" s="23">
        <v>1850000</v>
      </c>
      <c r="H94" s="23">
        <v>1050000</v>
      </c>
    </row>
    <row r="95" spans="1:12">
      <c r="A95" s="157">
        <f t="shared" si="5"/>
        <v>72</v>
      </c>
      <c r="B95" s="158" t="s">
        <v>412</v>
      </c>
      <c r="C95" s="158" t="s">
        <v>54</v>
      </c>
      <c r="D95" s="158" t="s">
        <v>1743</v>
      </c>
      <c r="E95" s="23">
        <v>2400000</v>
      </c>
      <c r="F95" s="23">
        <v>1350000</v>
      </c>
      <c r="G95" s="23">
        <v>900000</v>
      </c>
      <c r="H95" s="23">
        <v>500000</v>
      </c>
    </row>
    <row r="96" spans="1:12">
      <c r="A96" s="157"/>
      <c r="B96" s="158" t="s">
        <v>412</v>
      </c>
      <c r="C96" s="158" t="s">
        <v>1743</v>
      </c>
      <c r="D96" s="158" t="s">
        <v>1639</v>
      </c>
      <c r="E96" s="23">
        <v>1800000</v>
      </c>
      <c r="F96" s="23">
        <v>1050000</v>
      </c>
      <c r="G96" s="23">
        <v>650000</v>
      </c>
      <c r="H96" s="23">
        <v>380000</v>
      </c>
      <c r="I96" s="162"/>
      <c r="J96" s="162"/>
      <c r="K96" s="162"/>
      <c r="L96" s="162"/>
    </row>
    <row r="97" spans="1:9">
      <c r="A97" s="157"/>
      <c r="B97" s="158" t="s">
        <v>412</v>
      </c>
      <c r="C97" s="158" t="s">
        <v>1639</v>
      </c>
      <c r="D97" s="158" t="s">
        <v>1340</v>
      </c>
      <c r="E97" s="23">
        <v>1450000</v>
      </c>
      <c r="F97" s="23">
        <v>850000</v>
      </c>
      <c r="G97" s="23">
        <v>550000</v>
      </c>
      <c r="H97" s="23">
        <v>305000</v>
      </c>
    </row>
    <row r="98" spans="1:9">
      <c r="A98" s="157">
        <f>A95+1</f>
        <v>73</v>
      </c>
      <c r="B98" s="158" t="s">
        <v>1744</v>
      </c>
      <c r="C98" s="158" t="s">
        <v>1745</v>
      </c>
      <c r="D98" s="158" t="s">
        <v>1728</v>
      </c>
      <c r="E98" s="23">
        <v>1000000</v>
      </c>
      <c r="F98" s="23">
        <v>550000</v>
      </c>
      <c r="G98" s="23">
        <v>370000</v>
      </c>
      <c r="H98" s="23">
        <v>210000</v>
      </c>
    </row>
    <row r="99" spans="1:9">
      <c r="A99" s="157">
        <f>A98+1</f>
        <v>74</v>
      </c>
      <c r="B99" s="158" t="s">
        <v>113</v>
      </c>
      <c r="C99" s="158" t="s">
        <v>1746</v>
      </c>
      <c r="D99" s="158" t="s">
        <v>1747</v>
      </c>
      <c r="E99" s="23">
        <v>5750000</v>
      </c>
      <c r="F99" s="23">
        <v>3300000</v>
      </c>
      <c r="G99" s="23">
        <v>2150000</v>
      </c>
      <c r="H99" s="23">
        <v>1200000</v>
      </c>
      <c r="I99" s="31" t="s">
        <v>156</v>
      </c>
    </row>
    <row r="100" spans="1:9">
      <c r="A100" s="157"/>
      <c r="B100" s="158" t="s">
        <v>113</v>
      </c>
      <c r="C100" s="158" t="s">
        <v>1748</v>
      </c>
      <c r="D100" s="158" t="s">
        <v>57</v>
      </c>
      <c r="E100" s="23">
        <v>7800000</v>
      </c>
      <c r="F100" s="23">
        <v>4450000</v>
      </c>
      <c r="G100" s="23">
        <v>2900000</v>
      </c>
      <c r="H100" s="23">
        <v>1650000</v>
      </c>
      <c r="I100" s="147" t="s">
        <v>147</v>
      </c>
    </row>
    <row r="101" spans="1:9">
      <c r="A101" s="157">
        <f t="shared" ref="A101:A105" si="6">A99+1</f>
        <v>75</v>
      </c>
      <c r="B101" s="158" t="s">
        <v>1632</v>
      </c>
      <c r="C101" s="158" t="s">
        <v>1725</v>
      </c>
      <c r="D101" s="158" t="s">
        <v>1749</v>
      </c>
      <c r="E101" s="23">
        <v>3450000</v>
      </c>
      <c r="F101" s="23">
        <v>1950000</v>
      </c>
      <c r="G101" s="23">
        <v>1300000</v>
      </c>
      <c r="H101" s="23">
        <v>700000</v>
      </c>
    </row>
    <row r="102" spans="1:9">
      <c r="A102" s="157"/>
      <c r="B102" s="158" t="s">
        <v>1632</v>
      </c>
      <c r="C102" s="158" t="s">
        <v>1749</v>
      </c>
      <c r="D102" s="158" t="s">
        <v>1728</v>
      </c>
      <c r="E102" s="23">
        <v>2600000</v>
      </c>
      <c r="F102" s="23">
        <v>1500000</v>
      </c>
      <c r="G102" s="23">
        <v>950000</v>
      </c>
      <c r="H102" s="23">
        <v>550000</v>
      </c>
    </row>
    <row r="103" spans="1:9">
      <c r="A103" s="157">
        <f t="shared" si="6"/>
        <v>76</v>
      </c>
      <c r="B103" s="158" t="s">
        <v>1691</v>
      </c>
      <c r="C103" s="158" t="s">
        <v>358</v>
      </c>
      <c r="D103" s="158" t="s">
        <v>1630</v>
      </c>
      <c r="E103" s="23">
        <v>1000000</v>
      </c>
      <c r="F103" s="23">
        <v>550000</v>
      </c>
      <c r="G103" s="23">
        <v>370000</v>
      </c>
      <c r="H103" s="23">
        <v>210000</v>
      </c>
    </row>
    <row r="104" spans="1:9">
      <c r="A104" s="157"/>
      <c r="B104" s="158" t="s">
        <v>1691</v>
      </c>
      <c r="C104" s="158" t="s">
        <v>1630</v>
      </c>
      <c r="D104" s="158" t="s">
        <v>418</v>
      </c>
      <c r="E104" s="23">
        <v>750000</v>
      </c>
      <c r="F104" s="23">
        <v>425000</v>
      </c>
      <c r="G104" s="23">
        <v>275000</v>
      </c>
      <c r="H104" s="23">
        <v>160000</v>
      </c>
    </row>
    <row r="105" spans="1:9">
      <c r="A105" s="157">
        <f t="shared" si="6"/>
        <v>77</v>
      </c>
      <c r="B105" s="158" t="s">
        <v>54</v>
      </c>
      <c r="C105" s="158" t="s">
        <v>1750</v>
      </c>
      <c r="D105" s="158" t="s">
        <v>1751</v>
      </c>
      <c r="E105" s="23">
        <v>5750000</v>
      </c>
      <c r="F105" s="23">
        <v>3300000</v>
      </c>
      <c r="G105" s="23">
        <v>2150000</v>
      </c>
      <c r="H105" s="23">
        <v>1200000</v>
      </c>
    </row>
    <row r="106" spans="1:9">
      <c r="A106" s="157">
        <f>A105+1</f>
        <v>78</v>
      </c>
      <c r="B106" s="158" t="s">
        <v>1752</v>
      </c>
      <c r="C106" s="158" t="s">
        <v>1647</v>
      </c>
      <c r="D106" s="158" t="s">
        <v>412</v>
      </c>
      <c r="E106" s="23">
        <v>750000</v>
      </c>
      <c r="F106" s="23">
        <v>425000</v>
      </c>
      <c r="G106" s="23">
        <v>275000</v>
      </c>
      <c r="H106" s="23">
        <v>160000</v>
      </c>
    </row>
    <row r="107" s="30" customFormat="1" ht="14.4" spans="1:9">
      <c r="A107" s="39" t="s">
        <v>136</v>
      </c>
      <c r="B107" s="158"/>
      <c r="C107" s="158"/>
      <c r="D107" s="158"/>
      <c r="E107" s="23"/>
      <c r="F107" s="23"/>
      <c r="G107" s="23"/>
      <c r="H107" s="23"/>
    </row>
    <row r="108" spans="1:9">
      <c r="A108" s="157">
        <v>79</v>
      </c>
      <c r="B108" s="159" t="s">
        <v>137</v>
      </c>
      <c r="C108" s="158"/>
      <c r="D108" s="158"/>
      <c r="E108" s="23">
        <v>600000</v>
      </c>
      <c r="F108" s="23">
        <v>340000</v>
      </c>
      <c r="G108" s="23">
        <v>220000</v>
      </c>
      <c r="H108" s="23">
        <v>125000</v>
      </c>
    </row>
    <row r="109" spans="1:9">
      <c r="A109" s="146" t="s">
        <v>205</v>
      </c>
      <c r="B109" s="156"/>
      <c r="C109" s="156"/>
      <c r="D109" s="156"/>
      <c r="E109" s="23" t="s">
        <v>16</v>
      </c>
      <c r="F109" s="23" t="s">
        <v>16</v>
      </c>
      <c r="G109" s="23" t="s">
        <v>16</v>
      </c>
      <c r="H109" s="23" t="s">
        <v>16</v>
      </c>
    </row>
    <row r="110" spans="1:9">
      <c r="A110" s="157">
        <v>80</v>
      </c>
      <c r="B110" s="158" t="s">
        <v>1753</v>
      </c>
      <c r="C110" s="156"/>
      <c r="D110" s="156"/>
      <c r="E110" s="23" t="s">
        <v>16</v>
      </c>
      <c r="F110" s="23" t="s">
        <v>16</v>
      </c>
      <c r="G110" s="23" t="s">
        <v>16</v>
      </c>
      <c r="H110" s="23" t="s">
        <v>16</v>
      </c>
    </row>
    <row r="111" spans="1:9">
      <c r="A111" s="157"/>
      <c r="B111" s="158" t="s">
        <v>1754</v>
      </c>
      <c r="C111" s="158"/>
      <c r="D111" s="158"/>
      <c r="E111" s="23">
        <v>2600000</v>
      </c>
      <c r="F111" s="23">
        <v>1650000</v>
      </c>
      <c r="G111" s="23">
        <v>1100000</v>
      </c>
      <c r="H111" s="23">
        <v>0</v>
      </c>
    </row>
    <row r="112" ht="27.6" spans="1:9">
      <c r="A112" s="157"/>
      <c r="B112" s="158" t="s">
        <v>1755</v>
      </c>
      <c r="C112" s="158"/>
      <c r="D112" s="158"/>
      <c r="E112" s="23">
        <v>1800000</v>
      </c>
      <c r="F112" s="23">
        <v>1150000</v>
      </c>
      <c r="G112" s="23">
        <v>800000</v>
      </c>
      <c r="H112" s="23">
        <v>0</v>
      </c>
    </row>
    <row r="113" ht="27.6" spans="1:8">
      <c r="A113" s="157"/>
      <c r="B113" s="159" t="s">
        <v>1756</v>
      </c>
      <c r="C113" s="158"/>
      <c r="D113" s="158"/>
      <c r="E113" s="23">
        <v>1150000</v>
      </c>
      <c r="F113" s="23">
        <v>750000</v>
      </c>
      <c r="G113" s="23">
        <v>500000</v>
      </c>
      <c r="H113" s="23">
        <v>0</v>
      </c>
    </row>
    <row r="114" spans="1:8">
      <c r="A114" s="157">
        <v>81</v>
      </c>
      <c r="B114" s="158" t="s">
        <v>1757</v>
      </c>
      <c r="C114" s="156"/>
      <c r="D114" s="156"/>
      <c r="E114" s="23">
        <v>5400000</v>
      </c>
      <c r="F114" s="23">
        <v>2250000</v>
      </c>
      <c r="G114" s="23">
        <v>1350000</v>
      </c>
      <c r="H114" s="23">
        <v>0</v>
      </c>
    </row>
    <row r="115" spans="1:8">
      <c r="A115" s="157">
        <v>82</v>
      </c>
      <c r="B115" s="158" t="s">
        <v>1758</v>
      </c>
      <c r="C115" s="156"/>
      <c r="D115" s="156"/>
      <c r="E115" s="23" t="s">
        <v>16</v>
      </c>
      <c r="F115" s="23" t="s">
        <v>16</v>
      </c>
      <c r="G115" s="23" t="s">
        <v>16</v>
      </c>
      <c r="H115" s="23" t="s">
        <v>16</v>
      </c>
    </row>
    <row r="116" spans="1:8">
      <c r="A116" s="157"/>
      <c r="B116" s="159" t="s">
        <v>1759</v>
      </c>
      <c r="C116" s="158"/>
      <c r="D116" s="158"/>
      <c r="E116" s="23">
        <v>1450000</v>
      </c>
      <c r="F116" s="23">
        <v>950000</v>
      </c>
      <c r="G116" s="23">
        <v>650000</v>
      </c>
      <c r="H116" s="23">
        <v>0</v>
      </c>
    </row>
    <row r="117" spans="1:8">
      <c r="A117" s="157"/>
      <c r="B117" s="159" t="s">
        <v>1760</v>
      </c>
      <c r="C117" s="158"/>
      <c r="D117" s="158"/>
      <c r="E117" s="23">
        <v>950000</v>
      </c>
      <c r="F117" s="23">
        <v>600000</v>
      </c>
      <c r="G117" s="23">
        <v>420000</v>
      </c>
      <c r="H117" s="23">
        <v>0</v>
      </c>
    </row>
    <row r="118" ht="27.6" spans="1:8">
      <c r="A118" s="157"/>
      <c r="B118" s="159" t="s">
        <v>1761</v>
      </c>
      <c r="C118" s="158"/>
      <c r="D118" s="158"/>
      <c r="E118" s="23">
        <v>1450000</v>
      </c>
      <c r="F118" s="23">
        <v>950000</v>
      </c>
      <c r="G118" s="23">
        <v>650000</v>
      </c>
      <c r="H118" s="23">
        <v>0</v>
      </c>
    </row>
    <row r="119" spans="1:8">
      <c r="A119" s="157">
        <v>83</v>
      </c>
      <c r="B119" s="158" t="s">
        <v>1762</v>
      </c>
      <c r="C119" s="156"/>
      <c r="D119" s="156"/>
      <c r="E119" s="23" t="s">
        <v>16</v>
      </c>
      <c r="F119" s="23" t="s">
        <v>16</v>
      </c>
      <c r="G119" s="23" t="s">
        <v>16</v>
      </c>
      <c r="H119" s="23" t="s">
        <v>16</v>
      </c>
    </row>
    <row r="120" ht="69" spans="1:8">
      <c r="A120" s="157"/>
      <c r="B120" s="159" t="s">
        <v>1763</v>
      </c>
      <c r="C120" s="158"/>
      <c r="D120" s="158"/>
      <c r="E120" s="23">
        <v>1550000</v>
      </c>
      <c r="F120" s="23">
        <v>1000000</v>
      </c>
      <c r="G120" s="23">
        <v>700000</v>
      </c>
      <c r="H120" s="23">
        <v>0</v>
      </c>
    </row>
    <row r="121" ht="41.4" spans="1:8">
      <c r="A121" s="157"/>
      <c r="B121" s="159" t="s">
        <v>1764</v>
      </c>
      <c r="C121" s="158"/>
      <c r="D121" s="158"/>
      <c r="E121" s="23">
        <v>1800000</v>
      </c>
      <c r="F121" s="23">
        <v>1150000</v>
      </c>
      <c r="G121" s="23">
        <v>800000</v>
      </c>
      <c r="H121" s="23">
        <v>0</v>
      </c>
    </row>
    <row r="122" ht="55.2" spans="1:8">
      <c r="A122" s="157"/>
      <c r="B122" s="159" t="s">
        <v>1765</v>
      </c>
      <c r="C122" s="158"/>
      <c r="D122" s="158"/>
      <c r="E122" s="23">
        <v>1800000</v>
      </c>
      <c r="F122" s="23">
        <v>1150000</v>
      </c>
      <c r="G122" s="23">
        <v>800000</v>
      </c>
      <c r="H122" s="23">
        <v>0</v>
      </c>
    </row>
    <row r="123" ht="41.4" spans="1:8">
      <c r="A123" s="157"/>
      <c r="B123" s="159" t="s">
        <v>1766</v>
      </c>
      <c r="C123" s="158"/>
      <c r="D123" s="158"/>
      <c r="E123" s="23">
        <v>5450000</v>
      </c>
      <c r="F123" s="23">
        <v>3450000</v>
      </c>
      <c r="G123" s="23">
        <v>2400000</v>
      </c>
      <c r="H123" s="23">
        <v>0</v>
      </c>
    </row>
    <row r="124" ht="27.6" spans="1:8">
      <c r="A124" s="157">
        <v>84</v>
      </c>
      <c r="B124" s="159" t="s">
        <v>1767</v>
      </c>
      <c r="C124" s="158"/>
      <c r="D124" s="158"/>
      <c r="E124" s="23">
        <v>1800000</v>
      </c>
      <c r="F124" s="23">
        <v>1150000</v>
      </c>
      <c r="G124" s="23">
        <v>800000</v>
      </c>
      <c r="H124" s="23">
        <v>0</v>
      </c>
    </row>
    <row r="125" spans="1:8">
      <c r="A125" s="146" t="s">
        <v>217</v>
      </c>
      <c r="B125" s="154"/>
      <c r="C125" s="156"/>
      <c r="D125" s="156"/>
      <c r="E125" s="23" t="s">
        <v>16</v>
      </c>
      <c r="F125" s="23" t="s">
        <v>16</v>
      </c>
      <c r="G125" s="23" t="s">
        <v>16</v>
      </c>
      <c r="H125" s="23" t="s">
        <v>16</v>
      </c>
    </row>
    <row r="126" ht="27.6" spans="1:8">
      <c r="A126" s="157">
        <f>A124+1</f>
        <v>85</v>
      </c>
      <c r="B126" s="159" t="s">
        <v>1768</v>
      </c>
      <c r="C126" s="158"/>
      <c r="D126" s="158"/>
      <c r="E126" s="23">
        <v>1350000</v>
      </c>
      <c r="F126" s="23">
        <v>1150000</v>
      </c>
      <c r="G126" s="23">
        <v>0</v>
      </c>
      <c r="H126" s="23">
        <v>0</v>
      </c>
    </row>
    <row r="127" ht="55.2" spans="1:8">
      <c r="A127" s="157">
        <f>A126+1</f>
        <v>86</v>
      </c>
      <c r="B127" s="159" t="s">
        <v>1769</v>
      </c>
      <c r="C127" s="158"/>
      <c r="D127" s="158"/>
      <c r="E127" s="23">
        <v>650000</v>
      </c>
      <c r="F127" s="23">
        <v>550000</v>
      </c>
      <c r="G127" s="23">
        <v>0</v>
      </c>
      <c r="H127" s="23">
        <v>0</v>
      </c>
    </row>
    <row r="128" ht="41.4" spans="1:8">
      <c r="A128" s="157">
        <f>A127+1</f>
        <v>87</v>
      </c>
      <c r="B128" s="159" t="s">
        <v>1770</v>
      </c>
      <c r="C128" s="158"/>
      <c r="D128" s="158"/>
      <c r="E128" s="23">
        <v>400000</v>
      </c>
      <c r="F128" s="23">
        <v>0</v>
      </c>
      <c r="G128" s="23">
        <v>0</v>
      </c>
      <c r="H128" s="23">
        <v>0</v>
      </c>
    </row>
    <row r="129" spans="5:8">
      <c r="E129" s="23" t="s">
        <v>16</v>
      </c>
      <c r="F129" s="23" t="s">
        <v>16</v>
      </c>
      <c r="G129" s="23" t="s">
        <v>16</v>
      </c>
      <c r="H129" s="23" t="s">
        <v>16</v>
      </c>
    </row>
    <row r="130" spans="5:8">
      <c r="E130" s="23" t="s">
        <v>16</v>
      </c>
      <c r="F130" s="23" t="s">
        <v>16</v>
      </c>
      <c r="G130" s="23" t="s">
        <v>16</v>
      </c>
      <c r="H130" s="23" t="s">
        <v>16</v>
      </c>
    </row>
    <row r="131" spans="5:8">
      <c r="E131" s="23" t="s">
        <v>16</v>
      </c>
      <c r="F131" s="23" t="s">
        <v>16</v>
      </c>
      <c r="G131" s="23" t="s">
        <v>16</v>
      </c>
      <c r="H131" s="23" t="s">
        <v>16</v>
      </c>
    </row>
    <row r="132" spans="5:8">
      <c r="E132" s="23" t="s">
        <v>16</v>
      </c>
      <c r="F132" s="23" t="s">
        <v>16</v>
      </c>
      <c r="G132" s="23" t="s">
        <v>16</v>
      </c>
      <c r="H132" s="23" t="s">
        <v>16</v>
      </c>
    </row>
    <row r="133" spans="5:8">
      <c r="E133" s="23" t="s">
        <v>16</v>
      </c>
      <c r="F133" s="23" t="s">
        <v>16</v>
      </c>
      <c r="G133" s="23" t="s">
        <v>16</v>
      </c>
      <c r="H133" s="23" t="s">
        <v>16</v>
      </c>
    </row>
    <row r="134" spans="5:8">
      <c r="E134" s="23" t="s">
        <v>16</v>
      </c>
      <c r="F134" s="23" t="s">
        <v>16</v>
      </c>
      <c r="G134" s="23" t="s">
        <v>16</v>
      </c>
      <c r="H134" s="23" t="s">
        <v>16</v>
      </c>
    </row>
    <row r="135" spans="5:8">
      <c r="E135" s="23" t="s">
        <v>16</v>
      </c>
      <c r="F135" s="23" t="s">
        <v>16</v>
      </c>
      <c r="G135" s="23" t="s">
        <v>16</v>
      </c>
      <c r="H135" s="23" t="s">
        <v>16</v>
      </c>
    </row>
    <row r="136" spans="5:8">
      <c r="E136" s="23" t="s">
        <v>16</v>
      </c>
      <c r="F136" s="23" t="s">
        <v>16</v>
      </c>
      <c r="G136" s="23" t="s">
        <v>16</v>
      </c>
      <c r="H136" s="23" t="s">
        <v>16</v>
      </c>
    </row>
    <row r="137" spans="5:8">
      <c r="E137" s="23" t="s">
        <v>16</v>
      </c>
      <c r="F137" s="23" t="s">
        <v>16</v>
      </c>
      <c r="G137" s="23" t="s">
        <v>16</v>
      </c>
      <c r="H137" s="23" t="s">
        <v>16</v>
      </c>
    </row>
    <row r="138" spans="5:8">
      <c r="E138" s="23" t="s">
        <v>16</v>
      </c>
      <c r="F138" s="23" t="s">
        <v>16</v>
      </c>
      <c r="G138" s="23" t="s">
        <v>16</v>
      </c>
      <c r="H138" s="23" t="s">
        <v>16</v>
      </c>
    </row>
    <row r="139" spans="5:8">
      <c r="E139" s="23" t="s">
        <v>16</v>
      </c>
      <c r="F139" s="23" t="s">
        <v>16</v>
      </c>
      <c r="G139" s="23" t="s">
        <v>16</v>
      </c>
      <c r="H139" s="23" t="s">
        <v>16</v>
      </c>
    </row>
    <row r="140" spans="5:8">
      <c r="E140" s="23" t="s">
        <v>16</v>
      </c>
      <c r="F140" s="23" t="s">
        <v>16</v>
      </c>
      <c r="G140" s="23" t="s">
        <v>16</v>
      </c>
      <c r="H140" s="23" t="s">
        <v>16</v>
      </c>
    </row>
    <row r="141" spans="5:8">
      <c r="E141" s="23" t="s">
        <v>16</v>
      </c>
      <c r="F141" s="23" t="s">
        <v>16</v>
      </c>
      <c r="G141" s="23" t="s">
        <v>16</v>
      </c>
      <c r="H141" s="23" t="s">
        <v>16</v>
      </c>
    </row>
    <row r="142" spans="5:8">
      <c r="E142" s="23" t="s">
        <v>16</v>
      </c>
      <c r="F142" s="23" t="s">
        <v>16</v>
      </c>
      <c r="G142" s="23" t="s">
        <v>16</v>
      </c>
      <c r="H142" s="23" t="s">
        <v>16</v>
      </c>
    </row>
    <row r="143" spans="5:8">
      <c r="E143" s="23" t="s">
        <v>16</v>
      </c>
      <c r="F143" s="23" t="s">
        <v>16</v>
      </c>
      <c r="G143" s="23" t="s">
        <v>16</v>
      </c>
      <c r="H143" s="23" t="s">
        <v>16</v>
      </c>
    </row>
    <row r="144" spans="5:8">
      <c r="E144" s="23" t="s">
        <v>16</v>
      </c>
      <c r="F144" s="23" t="s">
        <v>16</v>
      </c>
      <c r="G144" s="23" t="s">
        <v>16</v>
      </c>
      <c r="H144" s="23" t="s">
        <v>16</v>
      </c>
    </row>
    <row r="145" spans="5:8">
      <c r="E145" s="23" t="s">
        <v>16</v>
      </c>
      <c r="F145" s="23" t="s">
        <v>16</v>
      </c>
      <c r="G145" s="23" t="s">
        <v>16</v>
      </c>
      <c r="H145" s="23" t="s">
        <v>16</v>
      </c>
    </row>
    <row r="146" spans="5:8">
      <c r="E146" s="23" t="s">
        <v>16</v>
      </c>
      <c r="F146" s="23" t="s">
        <v>16</v>
      </c>
      <c r="G146" s="23" t="s">
        <v>16</v>
      </c>
      <c r="H146" s="23" t="s">
        <v>16</v>
      </c>
    </row>
    <row r="147" spans="5:8">
      <c r="E147" s="23" t="s">
        <v>16</v>
      </c>
      <c r="F147" s="23" t="s">
        <v>16</v>
      </c>
      <c r="G147" s="23" t="s">
        <v>16</v>
      </c>
      <c r="H147" s="23" t="s">
        <v>16</v>
      </c>
    </row>
    <row r="148" spans="5:8">
      <c r="E148" s="23" t="s">
        <v>16</v>
      </c>
      <c r="F148" s="23" t="s">
        <v>16</v>
      </c>
      <c r="G148" s="23" t="s">
        <v>16</v>
      </c>
      <c r="H148" s="23" t="s">
        <v>16</v>
      </c>
    </row>
    <row r="149" spans="5:8">
      <c r="E149" s="23" t="s">
        <v>16</v>
      </c>
      <c r="F149" s="23" t="s">
        <v>16</v>
      </c>
      <c r="G149" s="23" t="s">
        <v>16</v>
      </c>
      <c r="H149" s="23" t="s">
        <v>16</v>
      </c>
    </row>
    <row r="150" spans="5:8">
      <c r="E150" s="23" t="s">
        <v>16</v>
      </c>
      <c r="F150" s="23" t="s">
        <v>16</v>
      </c>
      <c r="G150" s="23" t="s">
        <v>16</v>
      </c>
      <c r="H150" s="23" t="s">
        <v>16</v>
      </c>
    </row>
    <row r="151" spans="5:8">
      <c r="E151" s="23" t="s">
        <v>16</v>
      </c>
      <c r="F151" s="23" t="s">
        <v>16</v>
      </c>
      <c r="G151" s="23" t="s">
        <v>16</v>
      </c>
      <c r="H151" s="23" t="s">
        <v>16</v>
      </c>
    </row>
    <row r="152" spans="5:8">
      <c r="E152" s="23" t="s">
        <v>16</v>
      </c>
      <c r="F152" s="23" t="s">
        <v>16</v>
      </c>
      <c r="G152" s="23" t="s">
        <v>16</v>
      </c>
      <c r="H152" s="23" t="s">
        <v>16</v>
      </c>
    </row>
    <row r="153" spans="5:8">
      <c r="E153" s="23" t="s">
        <v>16</v>
      </c>
      <c r="F153" s="23" t="s">
        <v>16</v>
      </c>
      <c r="G153" s="23" t="s">
        <v>16</v>
      </c>
      <c r="H153" s="23" t="s">
        <v>16</v>
      </c>
    </row>
    <row r="154" spans="5:8">
      <c r="E154" s="23" t="s">
        <v>16</v>
      </c>
      <c r="F154" s="23" t="s">
        <v>16</v>
      </c>
      <c r="G154" s="23" t="s">
        <v>16</v>
      </c>
      <c r="H154" s="23" t="s">
        <v>16</v>
      </c>
    </row>
    <row r="155" spans="5:8">
      <c r="E155" s="23" t="s">
        <v>16</v>
      </c>
      <c r="F155" s="23" t="s">
        <v>16</v>
      </c>
      <c r="G155" s="23" t="s">
        <v>16</v>
      </c>
      <c r="H155" s="23" t="s">
        <v>16</v>
      </c>
    </row>
    <row r="156" spans="5:8">
      <c r="E156" s="23" t="s">
        <v>16</v>
      </c>
      <c r="F156" s="23" t="s">
        <v>16</v>
      </c>
      <c r="G156" s="23" t="s">
        <v>16</v>
      </c>
      <c r="H156" s="23" t="s">
        <v>16</v>
      </c>
    </row>
    <row r="157" spans="5:8">
      <c r="E157" s="23" t="s">
        <v>16</v>
      </c>
      <c r="F157" s="23" t="s">
        <v>16</v>
      </c>
      <c r="G157" s="23" t="s">
        <v>16</v>
      </c>
      <c r="H157" s="23" t="s">
        <v>16</v>
      </c>
    </row>
    <row r="158" spans="5:8">
      <c r="E158" s="23" t="s">
        <v>16</v>
      </c>
      <c r="F158" s="23" t="s">
        <v>16</v>
      </c>
      <c r="G158" s="23" t="s">
        <v>16</v>
      </c>
      <c r="H158" s="23" t="s">
        <v>16</v>
      </c>
    </row>
    <row r="159" spans="5:8">
      <c r="E159" s="23" t="s">
        <v>16</v>
      </c>
      <c r="F159" s="23" t="s">
        <v>16</v>
      </c>
      <c r="G159" s="23" t="s">
        <v>16</v>
      </c>
      <c r="H159" s="23" t="s">
        <v>16</v>
      </c>
    </row>
    <row r="160" spans="5:8">
      <c r="E160" s="23" t="s">
        <v>16</v>
      </c>
      <c r="F160" s="23" t="s">
        <v>16</v>
      </c>
      <c r="G160" s="23" t="s">
        <v>16</v>
      </c>
      <c r="H160" s="23" t="s">
        <v>16</v>
      </c>
    </row>
    <row r="161" spans="5:8">
      <c r="E161" s="23" t="s">
        <v>16</v>
      </c>
      <c r="F161" s="23" t="s">
        <v>16</v>
      </c>
      <c r="G161" s="23" t="s">
        <v>16</v>
      </c>
      <c r="H161" s="23" t="s">
        <v>16</v>
      </c>
    </row>
    <row r="162" spans="5:8">
      <c r="E162" s="23" t="s">
        <v>16</v>
      </c>
      <c r="F162" s="23" t="s">
        <v>16</v>
      </c>
      <c r="G162" s="23" t="s">
        <v>16</v>
      </c>
      <c r="H162" s="23" t="s">
        <v>16</v>
      </c>
    </row>
    <row r="163" spans="5:8">
      <c r="E163" s="23" t="s">
        <v>16</v>
      </c>
      <c r="F163" s="23" t="s">
        <v>16</v>
      </c>
      <c r="G163" s="23" t="s">
        <v>16</v>
      </c>
      <c r="H163" s="23" t="s">
        <v>16</v>
      </c>
    </row>
    <row r="164" spans="5:8">
      <c r="E164" s="23" t="s">
        <v>16</v>
      </c>
      <c r="F164" s="23" t="s">
        <v>16</v>
      </c>
      <c r="G164" s="23" t="s">
        <v>16</v>
      </c>
      <c r="H164" s="23" t="s">
        <v>16</v>
      </c>
    </row>
    <row r="165" spans="5:8">
      <c r="E165" s="23" t="s">
        <v>16</v>
      </c>
      <c r="F165" s="23" t="s">
        <v>16</v>
      </c>
      <c r="G165" s="23" t="s">
        <v>16</v>
      </c>
      <c r="H165" s="23" t="s">
        <v>16</v>
      </c>
    </row>
    <row r="166" spans="5:8">
      <c r="E166" s="23" t="s">
        <v>16</v>
      </c>
      <c r="F166" s="23" t="s">
        <v>16</v>
      </c>
      <c r="G166" s="23" t="s">
        <v>16</v>
      </c>
      <c r="H166" s="23" t="s">
        <v>16</v>
      </c>
    </row>
    <row r="167" spans="5:8">
      <c r="E167" s="23" t="s">
        <v>16</v>
      </c>
      <c r="F167" s="23" t="s">
        <v>16</v>
      </c>
      <c r="G167" s="23" t="s">
        <v>16</v>
      </c>
      <c r="H167" s="23" t="s">
        <v>16</v>
      </c>
    </row>
    <row r="168" spans="5:8">
      <c r="E168" s="23" t="s">
        <v>16</v>
      </c>
      <c r="F168" s="23" t="s">
        <v>16</v>
      </c>
      <c r="G168" s="23" t="s">
        <v>16</v>
      </c>
      <c r="H168" s="23" t="s">
        <v>16</v>
      </c>
    </row>
    <row r="169" spans="5:8">
      <c r="E169" s="23" t="s">
        <v>16</v>
      </c>
      <c r="F169" s="23" t="s">
        <v>16</v>
      </c>
      <c r="G169" s="23" t="s">
        <v>16</v>
      </c>
      <c r="H169" s="23" t="s">
        <v>16</v>
      </c>
    </row>
    <row r="170" spans="5:8">
      <c r="E170" s="23" t="s">
        <v>16</v>
      </c>
      <c r="F170" s="23" t="s">
        <v>16</v>
      </c>
      <c r="G170" s="23" t="s">
        <v>16</v>
      </c>
      <c r="H170" s="23" t="s">
        <v>16</v>
      </c>
    </row>
    <row r="171" spans="5:8">
      <c r="E171" s="23" t="s">
        <v>16</v>
      </c>
      <c r="F171" s="23" t="s">
        <v>16</v>
      </c>
      <c r="G171" s="23" t="s">
        <v>16</v>
      </c>
      <c r="H171" s="23" t="s">
        <v>16</v>
      </c>
    </row>
    <row r="172" spans="5:8">
      <c r="E172" s="23" t="s">
        <v>16</v>
      </c>
      <c r="F172" s="23" t="s">
        <v>16</v>
      </c>
      <c r="G172" s="23" t="s">
        <v>16</v>
      </c>
      <c r="H172" s="23" t="s">
        <v>16</v>
      </c>
    </row>
    <row r="173" spans="5:8">
      <c r="E173" s="23" t="s">
        <v>16</v>
      </c>
      <c r="F173" s="23" t="s">
        <v>16</v>
      </c>
      <c r="G173" s="23" t="s">
        <v>16</v>
      </c>
      <c r="H173" s="23" t="s">
        <v>16</v>
      </c>
    </row>
    <row r="174" spans="5:8">
      <c r="E174" s="23" t="s">
        <v>16</v>
      </c>
      <c r="F174" s="23" t="s">
        <v>16</v>
      </c>
      <c r="G174" s="23" t="s">
        <v>16</v>
      </c>
      <c r="H174" s="23" t="s">
        <v>16</v>
      </c>
    </row>
    <row r="175" spans="5:8">
      <c r="E175" s="23" t="s">
        <v>16</v>
      </c>
      <c r="F175" s="23" t="s">
        <v>16</v>
      </c>
      <c r="G175" s="23" t="s">
        <v>16</v>
      </c>
      <c r="H175" s="23" t="s">
        <v>16</v>
      </c>
    </row>
    <row r="176" spans="5:8">
      <c r="E176" s="23" t="s">
        <v>16</v>
      </c>
      <c r="F176" s="23" t="s">
        <v>16</v>
      </c>
      <c r="G176" s="23" t="s">
        <v>16</v>
      </c>
      <c r="H176" s="23" t="s">
        <v>16</v>
      </c>
    </row>
    <row r="177" spans="5:8">
      <c r="E177" s="23" t="s">
        <v>16</v>
      </c>
      <c r="F177" s="23" t="s">
        <v>16</v>
      </c>
      <c r="G177" s="23" t="s">
        <v>16</v>
      </c>
      <c r="H177" s="23" t="s">
        <v>16</v>
      </c>
    </row>
    <row r="178" spans="5:8">
      <c r="E178" s="23" t="s">
        <v>16</v>
      </c>
      <c r="F178" s="23" t="s">
        <v>16</v>
      </c>
      <c r="G178" s="23" t="s">
        <v>16</v>
      </c>
      <c r="H178" s="23" t="s">
        <v>16</v>
      </c>
    </row>
    <row r="179" spans="5:8">
      <c r="E179" s="23" t="s">
        <v>16</v>
      </c>
      <c r="F179" s="23" t="s">
        <v>16</v>
      </c>
      <c r="G179" s="23" t="s">
        <v>16</v>
      </c>
      <c r="H179" s="23" t="s">
        <v>16</v>
      </c>
    </row>
    <row r="180" spans="5:8">
      <c r="E180" s="23" t="s">
        <v>16</v>
      </c>
      <c r="F180" s="23" t="s">
        <v>16</v>
      </c>
      <c r="G180" s="23" t="s">
        <v>16</v>
      </c>
      <c r="H180" s="23" t="s">
        <v>16</v>
      </c>
    </row>
    <row r="181" spans="5:8">
      <c r="E181" s="23" t="s">
        <v>16</v>
      </c>
      <c r="F181" s="23" t="s">
        <v>16</v>
      </c>
      <c r="G181" s="23" t="s">
        <v>16</v>
      </c>
      <c r="H181" s="23" t="s">
        <v>16</v>
      </c>
    </row>
    <row r="182" spans="5:8">
      <c r="E182" s="23" t="s">
        <v>16</v>
      </c>
      <c r="F182" s="23" t="s">
        <v>16</v>
      </c>
      <c r="G182" s="23" t="s">
        <v>16</v>
      </c>
      <c r="H182" s="23" t="s">
        <v>16</v>
      </c>
    </row>
    <row r="183" spans="5:8">
      <c r="E183" s="23" t="s">
        <v>16</v>
      </c>
      <c r="F183" s="23" t="s">
        <v>16</v>
      </c>
      <c r="G183" s="23" t="s">
        <v>16</v>
      </c>
      <c r="H183" s="23" t="s">
        <v>16</v>
      </c>
    </row>
    <row r="184" spans="5:8">
      <c r="E184" s="23" t="s">
        <v>16</v>
      </c>
      <c r="F184" s="23" t="s">
        <v>16</v>
      </c>
      <c r="G184" s="23" t="s">
        <v>16</v>
      </c>
      <c r="H184" s="23" t="s">
        <v>16</v>
      </c>
    </row>
    <row r="185" spans="5:8">
      <c r="E185" s="23" t="s">
        <v>16</v>
      </c>
      <c r="F185" s="23" t="s">
        <v>16</v>
      </c>
      <c r="G185" s="23" t="s">
        <v>16</v>
      </c>
      <c r="H185" s="23" t="s">
        <v>16</v>
      </c>
    </row>
    <row r="186" spans="5:8">
      <c r="E186" s="23" t="s">
        <v>16</v>
      </c>
      <c r="F186" s="23" t="s">
        <v>16</v>
      </c>
      <c r="G186" s="23" t="s">
        <v>16</v>
      </c>
      <c r="H186" s="23" t="s">
        <v>16</v>
      </c>
    </row>
    <row r="187" spans="5:8">
      <c r="E187" s="23" t="s">
        <v>16</v>
      </c>
      <c r="F187" s="23" t="s">
        <v>16</v>
      </c>
      <c r="G187" s="23" t="s">
        <v>16</v>
      </c>
      <c r="H187" s="23" t="s">
        <v>16</v>
      </c>
    </row>
    <row r="188" spans="5:8">
      <c r="E188" s="23" t="s">
        <v>16</v>
      </c>
      <c r="F188" s="23" t="s">
        <v>16</v>
      </c>
      <c r="G188" s="23" t="s">
        <v>16</v>
      </c>
      <c r="H188" s="23" t="s">
        <v>16</v>
      </c>
    </row>
    <row r="189" spans="5:8">
      <c r="E189" s="23" t="s">
        <v>16</v>
      </c>
      <c r="F189" s="23" t="s">
        <v>16</v>
      </c>
      <c r="G189" s="23" t="s">
        <v>16</v>
      </c>
      <c r="H189" s="23" t="s">
        <v>16</v>
      </c>
    </row>
    <row r="190" spans="5:8">
      <c r="E190" s="23" t="s">
        <v>16</v>
      </c>
      <c r="F190" s="23" t="s">
        <v>16</v>
      </c>
      <c r="G190" s="23" t="s">
        <v>16</v>
      </c>
      <c r="H190" s="23" t="s">
        <v>16</v>
      </c>
    </row>
    <row r="191" spans="5:8">
      <c r="E191" s="23" t="s">
        <v>16</v>
      </c>
      <c r="F191" s="23" t="s">
        <v>16</v>
      </c>
      <c r="G191" s="23" t="s">
        <v>16</v>
      </c>
      <c r="H191" s="23" t="s">
        <v>16</v>
      </c>
    </row>
    <row r="192" spans="5:8">
      <c r="E192" s="23" t="s">
        <v>16</v>
      </c>
      <c r="F192" s="23" t="s">
        <v>16</v>
      </c>
      <c r="G192" s="23" t="s">
        <v>16</v>
      </c>
      <c r="H192" s="23" t="s">
        <v>16</v>
      </c>
    </row>
    <row r="193" spans="5:8">
      <c r="E193" s="23" t="s">
        <v>16</v>
      </c>
      <c r="F193" s="23" t="s">
        <v>16</v>
      </c>
      <c r="G193" s="23" t="s">
        <v>16</v>
      </c>
      <c r="H193" s="23" t="s">
        <v>16</v>
      </c>
    </row>
    <row r="194" spans="5:8">
      <c r="E194" s="23" t="s">
        <v>16</v>
      </c>
      <c r="F194" s="23" t="s">
        <v>16</v>
      </c>
      <c r="G194" s="23" t="s">
        <v>16</v>
      </c>
      <c r="H194" s="23" t="s">
        <v>16</v>
      </c>
    </row>
    <row r="195" spans="5:8">
      <c r="E195" s="23" t="s">
        <v>16</v>
      </c>
      <c r="F195" s="23" t="s">
        <v>16</v>
      </c>
      <c r="G195" s="23" t="s">
        <v>16</v>
      </c>
      <c r="H195" s="23" t="s">
        <v>16</v>
      </c>
    </row>
    <row r="196" spans="5:8">
      <c r="E196" s="23" t="s">
        <v>16</v>
      </c>
      <c r="F196" s="23" t="s">
        <v>16</v>
      </c>
      <c r="G196" s="23" t="s">
        <v>16</v>
      </c>
      <c r="H196" s="23" t="s">
        <v>16</v>
      </c>
    </row>
    <row r="197" spans="5:8">
      <c r="E197" s="23" t="s">
        <v>16</v>
      </c>
      <c r="F197" s="23" t="s">
        <v>16</v>
      </c>
      <c r="G197" s="23" t="s">
        <v>16</v>
      </c>
      <c r="H197" s="23" t="s">
        <v>16</v>
      </c>
    </row>
    <row r="198" spans="5:8">
      <c r="E198" s="23" t="s">
        <v>16</v>
      </c>
      <c r="F198" s="23" t="s">
        <v>16</v>
      </c>
      <c r="G198" s="23" t="s">
        <v>16</v>
      </c>
      <c r="H198" s="23" t="s">
        <v>16</v>
      </c>
    </row>
    <row r="199" spans="5:8">
      <c r="E199" s="23" t="s">
        <v>16</v>
      </c>
      <c r="F199" s="23" t="s">
        <v>16</v>
      </c>
      <c r="G199" s="23" t="s">
        <v>16</v>
      </c>
      <c r="H199" s="23" t="s">
        <v>16</v>
      </c>
    </row>
    <row r="200" spans="5:8">
      <c r="E200" s="23" t="s">
        <v>16</v>
      </c>
      <c r="F200" s="23" t="s">
        <v>16</v>
      </c>
      <c r="G200" s="23" t="s">
        <v>16</v>
      </c>
      <c r="H200" s="23" t="s">
        <v>16</v>
      </c>
    </row>
    <row r="201" spans="5:8">
      <c r="E201" s="23" t="s">
        <v>16</v>
      </c>
      <c r="F201" s="23" t="s">
        <v>16</v>
      </c>
      <c r="G201" s="23" t="s">
        <v>16</v>
      </c>
      <c r="H201" s="23" t="s">
        <v>16</v>
      </c>
    </row>
    <row r="202" spans="5:8">
      <c r="E202" s="23" t="s">
        <v>16</v>
      </c>
      <c r="F202" s="23" t="s">
        <v>16</v>
      </c>
      <c r="G202" s="23" t="s">
        <v>16</v>
      </c>
      <c r="H202" s="23" t="s">
        <v>16</v>
      </c>
    </row>
    <row r="203" spans="5:8">
      <c r="E203" s="23" t="s">
        <v>16</v>
      </c>
      <c r="F203" s="23" t="s">
        <v>16</v>
      </c>
      <c r="G203" s="23" t="s">
        <v>16</v>
      </c>
      <c r="H203" s="23" t="s">
        <v>16</v>
      </c>
    </row>
    <row r="204" spans="5:8">
      <c r="E204" s="23"/>
      <c r="F204" s="23"/>
      <c r="G204" s="23"/>
      <c r="H204" s="23"/>
    </row>
    <row r="205" spans="5:8">
      <c r="E205" s="23"/>
      <c r="F205" s="23"/>
      <c r="G205" s="23"/>
      <c r="H205" s="23"/>
    </row>
    <row r="206" spans="5:8">
      <c r="E206" s="23"/>
      <c r="F206" s="23"/>
      <c r="G206" s="23"/>
      <c r="H206" s="23"/>
    </row>
    <row r="207" spans="5:8">
      <c r="E207" s="23"/>
      <c r="F207" s="23"/>
      <c r="G207" s="23"/>
      <c r="H207" s="23"/>
    </row>
    <row r="208" spans="5:8">
      <c r="E208" s="23"/>
      <c r="F208" s="23"/>
      <c r="G208" s="23"/>
      <c r="H208" s="23"/>
    </row>
    <row r="209" spans="5:8">
      <c r="E209" s="23"/>
      <c r="F209" s="23"/>
      <c r="G209" s="23"/>
      <c r="H209" s="23"/>
    </row>
    <row r="210" spans="5:8">
      <c r="E210" s="23"/>
      <c r="F210" s="23"/>
      <c r="G210" s="23"/>
      <c r="H210" s="23"/>
    </row>
    <row r="211" spans="5:8">
      <c r="E211" s="23"/>
      <c r="F211" s="23"/>
      <c r="G211" s="23"/>
      <c r="H211" s="23"/>
    </row>
    <row r="212" spans="5:8">
      <c r="E212" s="23"/>
      <c r="F212" s="23"/>
      <c r="G212" s="23"/>
      <c r="H212" s="23"/>
    </row>
    <row r="213" spans="5:8">
      <c r="E213" s="23"/>
      <c r="F213" s="23"/>
      <c r="G213" s="23"/>
      <c r="H213" s="23"/>
    </row>
    <row r="214" spans="5:8">
      <c r="E214" s="23"/>
      <c r="F214" s="23"/>
      <c r="G214" s="23"/>
      <c r="H214" s="23"/>
    </row>
    <row r="215" spans="5:8">
      <c r="E215" s="23"/>
      <c r="F215" s="23"/>
      <c r="G215" s="23"/>
      <c r="H215" s="23"/>
    </row>
    <row r="216" spans="5:8">
      <c r="E216" s="23"/>
      <c r="F216" s="23"/>
      <c r="G216" s="23"/>
      <c r="H216" s="23"/>
    </row>
    <row r="217" spans="5:8">
      <c r="E217" s="23"/>
      <c r="F217" s="23"/>
      <c r="G217" s="23"/>
      <c r="H217" s="23"/>
    </row>
    <row r="218" spans="5:8">
      <c r="E218" s="23"/>
      <c r="F218" s="23"/>
      <c r="G218" s="23"/>
      <c r="H218" s="23"/>
    </row>
    <row r="219" spans="5:8">
      <c r="E219" s="23"/>
      <c r="F219" s="23"/>
      <c r="G219" s="23"/>
      <c r="H219" s="23"/>
    </row>
    <row r="220" spans="5:8">
      <c r="E220" s="23"/>
      <c r="F220" s="23"/>
      <c r="G220" s="23"/>
      <c r="H220" s="23"/>
    </row>
    <row r="221" spans="5:8">
      <c r="E221" s="23"/>
      <c r="F221" s="23"/>
      <c r="G221" s="23"/>
      <c r="H221" s="23"/>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rgb="FFFFFF00"/>
    <pageSetUpPr fitToPage="1"/>
  </sheetPr>
  <dimension ref="A1:J612"/>
  <sheetViews>
    <sheetView showGridLines="0" view="pageBreakPreview" zoomScale="85" zoomScaleNormal="100" topLeftCell="A71" workbookViewId="0">
      <selection activeCell="E27" sqref="E27"/>
    </sheetView>
  </sheetViews>
  <sheetFormatPr defaultColWidth="9.12962962962963" defaultRowHeight="13.8"/>
  <cols>
    <col min="1" max="1" width="7.62962962962963" style="1" customWidth="1"/>
    <col min="2" max="2" width="39.5" style="27" customWidth="1"/>
    <col min="3" max="4" width="30.75" style="32" customWidth="1"/>
    <col min="5" max="8" width="13.8796296296296" style="33" customWidth="1"/>
    <col min="9" max="16384" width="9.12962962962963" style="31"/>
  </cols>
  <sheetData>
    <row r="1" spans="1:9">
      <c r="A1" s="6" t="s">
        <v>1771</v>
      </c>
      <c r="B1" s="6"/>
      <c r="C1" s="7"/>
      <c r="D1" s="7"/>
      <c r="E1" s="6"/>
      <c r="F1" s="6"/>
      <c r="G1" s="6"/>
      <c r="H1" s="6"/>
    </row>
    <row r="2" spans="1:9">
      <c r="A2" s="8" t="s">
        <v>4</v>
      </c>
      <c r="B2" s="8"/>
      <c r="C2" s="8"/>
      <c r="D2" s="8"/>
      <c r="E2" s="34"/>
      <c r="F2" s="34"/>
      <c r="G2" s="34"/>
      <c r="H2" s="34"/>
    </row>
    <row r="3" spans="1:9">
      <c r="A3" s="9" t="s">
        <v>5</v>
      </c>
      <c r="B3" s="9" t="s">
        <v>6</v>
      </c>
      <c r="C3" s="9" t="s">
        <v>7</v>
      </c>
      <c r="D3" s="9"/>
      <c r="E3" s="35" t="s">
        <v>8</v>
      </c>
      <c r="F3" s="35"/>
      <c r="G3" s="35"/>
      <c r="H3" s="35"/>
    </row>
    <row r="4" spans="1:9">
      <c r="A4" s="11"/>
      <c r="B4" s="11"/>
      <c r="C4" s="9" t="s">
        <v>9</v>
      </c>
      <c r="D4" s="9" t="s">
        <v>10</v>
      </c>
      <c r="E4" s="35" t="s">
        <v>11</v>
      </c>
      <c r="F4" s="35" t="s">
        <v>12</v>
      </c>
      <c r="G4" s="35" t="s">
        <v>13</v>
      </c>
      <c r="H4" s="35" t="s">
        <v>14</v>
      </c>
    </row>
    <row r="5" spans="1:9">
      <c r="A5" s="15" t="s">
        <v>15</v>
      </c>
      <c r="B5" s="15"/>
      <c r="C5" s="15"/>
      <c r="D5" s="15"/>
      <c r="E5" s="35" t="s">
        <v>16</v>
      </c>
      <c r="F5" s="35" t="s">
        <v>16</v>
      </c>
      <c r="G5" s="35" t="s">
        <v>16</v>
      </c>
      <c r="H5" s="35" t="s">
        <v>16</v>
      </c>
      <c r="I5" s="31">
        <v>65</v>
      </c>
    </row>
    <row r="6" spans="1:9">
      <c r="A6" s="16">
        <v>1</v>
      </c>
      <c r="B6" s="20" t="s">
        <v>1772</v>
      </c>
      <c r="C6" s="64" t="s">
        <v>1773</v>
      </c>
      <c r="D6" s="64" t="s">
        <v>1774</v>
      </c>
      <c r="E6" s="51">
        <v>700000</v>
      </c>
      <c r="F6" s="52">
        <v>380000</v>
      </c>
      <c r="G6" s="52">
        <v>275000</v>
      </c>
      <c r="H6" s="52">
        <v>220000</v>
      </c>
    </row>
    <row r="7" spans="1:9">
      <c r="A7" s="16"/>
      <c r="B7" s="20" t="s">
        <v>1772</v>
      </c>
      <c r="C7" s="18" t="s">
        <v>1774</v>
      </c>
      <c r="D7" s="18" t="s">
        <v>1775</v>
      </c>
      <c r="E7" s="37">
        <v>500000</v>
      </c>
      <c r="F7" s="38">
        <v>280000</v>
      </c>
      <c r="G7" s="38">
        <v>195000</v>
      </c>
      <c r="H7" s="52">
        <v>155000</v>
      </c>
    </row>
    <row r="8" ht="27.6" spans="1:9">
      <c r="A8" s="16">
        <v>2</v>
      </c>
      <c r="B8" s="20" t="s">
        <v>1776</v>
      </c>
      <c r="C8" s="64" t="s">
        <v>1777</v>
      </c>
      <c r="D8" s="64" t="s">
        <v>1778</v>
      </c>
      <c r="E8" s="37">
        <v>500000</v>
      </c>
      <c r="F8" s="38">
        <v>280000</v>
      </c>
      <c r="G8" s="38">
        <v>195000</v>
      </c>
      <c r="H8" s="52">
        <v>155000</v>
      </c>
    </row>
    <row r="9" spans="1:9">
      <c r="A9" s="16">
        <v>3</v>
      </c>
      <c r="B9" s="20" t="s">
        <v>1779</v>
      </c>
      <c r="C9" s="18" t="s">
        <v>1773</v>
      </c>
      <c r="D9" s="18" t="s">
        <v>1780</v>
      </c>
      <c r="E9" s="23">
        <v>1150000</v>
      </c>
      <c r="F9" s="23">
        <v>650000</v>
      </c>
      <c r="G9" s="23">
        <v>440000</v>
      </c>
      <c r="H9" s="23">
        <v>355000</v>
      </c>
      <c r="I9" s="31" t="s">
        <v>156</v>
      </c>
    </row>
    <row r="10" spans="1:9">
      <c r="A10" s="16">
        <v>4</v>
      </c>
      <c r="B10" s="20" t="s">
        <v>1781</v>
      </c>
      <c r="C10" s="221" t="s">
        <v>1782</v>
      </c>
      <c r="D10" s="18" t="s">
        <v>1783</v>
      </c>
      <c r="E10" s="23">
        <v>1250000</v>
      </c>
      <c r="F10" s="23">
        <v>700000</v>
      </c>
      <c r="G10" s="23">
        <v>495000</v>
      </c>
      <c r="H10" s="23">
        <v>390000</v>
      </c>
    </row>
    <row r="11" spans="1:9">
      <c r="A11" s="16">
        <v>5</v>
      </c>
      <c r="B11" s="20" t="s">
        <v>1784</v>
      </c>
      <c r="C11" s="221" t="s">
        <v>1785</v>
      </c>
      <c r="D11" s="18" t="s">
        <v>1786</v>
      </c>
      <c r="E11" s="23">
        <v>950000</v>
      </c>
      <c r="F11" s="23">
        <v>550000</v>
      </c>
      <c r="G11" s="23">
        <v>375000</v>
      </c>
      <c r="H11" s="23">
        <v>295000</v>
      </c>
      <c r="I11" s="31" t="s">
        <v>156</v>
      </c>
    </row>
    <row r="12" ht="27.6" spans="1:9">
      <c r="A12" s="16">
        <v>6</v>
      </c>
      <c r="B12" s="20" t="s">
        <v>1787</v>
      </c>
      <c r="C12" s="18" t="s">
        <v>1788</v>
      </c>
      <c r="D12" s="18" t="s">
        <v>1789</v>
      </c>
      <c r="E12" s="23">
        <v>1150000</v>
      </c>
      <c r="F12" s="23">
        <v>650000</v>
      </c>
      <c r="G12" s="23">
        <v>440000</v>
      </c>
      <c r="H12" s="23">
        <v>355000</v>
      </c>
    </row>
    <row r="13" spans="1:9">
      <c r="A13" s="16">
        <v>7</v>
      </c>
      <c r="B13" s="20" t="s">
        <v>1790</v>
      </c>
      <c r="C13" s="18" t="s">
        <v>1791</v>
      </c>
      <c r="D13" s="18" t="s">
        <v>1792</v>
      </c>
      <c r="E13" s="23">
        <v>1750000</v>
      </c>
      <c r="F13" s="23">
        <v>950000</v>
      </c>
      <c r="G13" s="23">
        <v>650000</v>
      </c>
      <c r="H13" s="23">
        <v>550000</v>
      </c>
    </row>
    <row r="14" spans="1:9">
      <c r="A14" s="16"/>
      <c r="B14" s="20" t="s">
        <v>1790</v>
      </c>
      <c r="C14" s="18" t="s">
        <v>1792</v>
      </c>
      <c r="D14" s="18" t="s">
        <v>1793</v>
      </c>
      <c r="E14" s="23">
        <v>1450000</v>
      </c>
      <c r="F14" s="23">
        <v>800000</v>
      </c>
      <c r="G14" s="23">
        <v>550000</v>
      </c>
      <c r="H14" s="23">
        <v>445000</v>
      </c>
    </row>
    <row r="15" spans="1:9">
      <c r="A15" s="16">
        <v>8</v>
      </c>
      <c r="B15" s="20" t="s">
        <v>1794</v>
      </c>
      <c r="C15" s="18" t="s">
        <v>1795</v>
      </c>
      <c r="D15" s="18" t="s">
        <v>1796</v>
      </c>
      <c r="E15" s="23">
        <v>1050000</v>
      </c>
      <c r="F15" s="23">
        <v>600000</v>
      </c>
      <c r="G15" s="23">
        <v>415000</v>
      </c>
      <c r="H15" s="23">
        <v>325000</v>
      </c>
    </row>
    <row r="16" spans="1:9">
      <c r="A16" s="16"/>
      <c r="B16" s="20" t="s">
        <v>1797</v>
      </c>
      <c r="C16" s="18" t="s">
        <v>1798</v>
      </c>
      <c r="D16" s="18" t="s">
        <v>1799</v>
      </c>
      <c r="E16" s="23">
        <v>1150000</v>
      </c>
      <c r="F16" s="23">
        <v>650000</v>
      </c>
      <c r="G16" s="23">
        <v>440000</v>
      </c>
      <c r="H16" s="23">
        <v>355000</v>
      </c>
    </row>
    <row r="17" ht="27.6" spans="1:9">
      <c r="A17" s="16">
        <v>9</v>
      </c>
      <c r="B17" s="20" t="s">
        <v>1782</v>
      </c>
      <c r="C17" s="18" t="s">
        <v>1800</v>
      </c>
      <c r="D17" s="18" t="s">
        <v>1801</v>
      </c>
      <c r="E17" s="23">
        <v>500000</v>
      </c>
      <c r="F17" s="23">
        <v>280000</v>
      </c>
      <c r="G17" s="23">
        <v>195000</v>
      </c>
      <c r="H17" s="23">
        <v>155000</v>
      </c>
    </row>
    <row r="18" spans="1:9">
      <c r="A18" s="16">
        <v>10</v>
      </c>
      <c r="B18" s="20" t="s">
        <v>1802</v>
      </c>
      <c r="C18" s="18" t="s">
        <v>1803</v>
      </c>
      <c r="D18" s="18" t="s">
        <v>1804</v>
      </c>
      <c r="E18" s="23">
        <v>1050000</v>
      </c>
      <c r="F18" s="23">
        <v>600000</v>
      </c>
      <c r="G18" s="23">
        <v>415000</v>
      </c>
      <c r="H18" s="23">
        <v>325000</v>
      </c>
    </row>
    <row r="19" spans="1:9">
      <c r="A19" s="16">
        <v>11</v>
      </c>
      <c r="B19" s="20" t="s">
        <v>1805</v>
      </c>
      <c r="C19" s="18" t="s">
        <v>1806</v>
      </c>
      <c r="D19" s="18" t="s">
        <v>1807</v>
      </c>
      <c r="E19" s="23">
        <v>1450000</v>
      </c>
      <c r="F19" s="23">
        <v>800000</v>
      </c>
      <c r="G19" s="23">
        <v>550000</v>
      </c>
      <c r="H19" s="23">
        <v>445000</v>
      </c>
    </row>
    <row r="20" spans="1:9">
      <c r="A20" s="16"/>
      <c r="B20" s="20" t="s">
        <v>1805</v>
      </c>
      <c r="C20" s="18" t="s">
        <v>1807</v>
      </c>
      <c r="D20" s="18" t="s">
        <v>1808</v>
      </c>
      <c r="E20" s="23">
        <v>1900000</v>
      </c>
      <c r="F20" s="23">
        <v>1050000</v>
      </c>
      <c r="G20" s="23">
        <v>750000</v>
      </c>
      <c r="H20" s="23">
        <v>600000</v>
      </c>
    </row>
    <row r="21" spans="1:9">
      <c r="A21" s="16">
        <v>12</v>
      </c>
      <c r="B21" s="20" t="s">
        <v>1809</v>
      </c>
      <c r="C21" s="221" t="s">
        <v>1773</v>
      </c>
      <c r="D21" s="18" t="s">
        <v>1810</v>
      </c>
      <c r="E21" s="23">
        <v>700000</v>
      </c>
      <c r="F21" s="23">
        <v>380000</v>
      </c>
      <c r="G21" s="23">
        <v>275000</v>
      </c>
      <c r="H21" s="23">
        <v>220000</v>
      </c>
    </row>
    <row r="22" spans="1:9">
      <c r="A22" s="16"/>
      <c r="B22" s="20" t="s">
        <v>1809</v>
      </c>
      <c r="C22" s="221" t="s">
        <v>1810</v>
      </c>
      <c r="D22" s="18" t="s">
        <v>1811</v>
      </c>
      <c r="E22" s="23">
        <v>500000</v>
      </c>
      <c r="F22" s="23">
        <v>280000</v>
      </c>
      <c r="G22" s="23">
        <v>195000</v>
      </c>
      <c r="H22" s="23">
        <v>155000</v>
      </c>
      <c r="I22" s="145" t="s">
        <v>156</v>
      </c>
    </row>
    <row r="23" spans="1:9">
      <c r="A23" s="16">
        <v>13</v>
      </c>
      <c r="B23" s="20" t="s">
        <v>1812</v>
      </c>
      <c r="C23" s="18" t="s">
        <v>1813</v>
      </c>
      <c r="D23" s="18" t="s">
        <v>1814</v>
      </c>
      <c r="E23" s="23">
        <v>600000</v>
      </c>
      <c r="F23" s="23">
        <v>325000</v>
      </c>
      <c r="G23" s="23">
        <v>240000</v>
      </c>
      <c r="H23" s="23">
        <v>190000</v>
      </c>
    </row>
    <row r="24" spans="1:9">
      <c r="A24" s="16">
        <v>14</v>
      </c>
      <c r="B24" s="20" t="s">
        <v>1783</v>
      </c>
      <c r="C24" s="18" t="s">
        <v>1773</v>
      </c>
      <c r="D24" s="18" t="s">
        <v>1815</v>
      </c>
      <c r="E24" s="23">
        <v>750000</v>
      </c>
      <c r="F24" s="23">
        <v>410000</v>
      </c>
      <c r="G24" s="23">
        <v>285000</v>
      </c>
      <c r="H24" s="23">
        <v>225000</v>
      </c>
    </row>
    <row r="25" spans="1:9">
      <c r="A25" s="16">
        <v>15</v>
      </c>
      <c r="B25" s="20" t="s">
        <v>1816</v>
      </c>
      <c r="C25" s="18" t="s">
        <v>1817</v>
      </c>
      <c r="D25" s="18" t="s">
        <v>1818</v>
      </c>
      <c r="E25" s="23">
        <v>1750000</v>
      </c>
      <c r="F25" s="23">
        <v>950000</v>
      </c>
      <c r="G25" s="23">
        <v>650000</v>
      </c>
      <c r="H25" s="23">
        <v>550000</v>
      </c>
    </row>
    <row r="26" spans="1:9">
      <c r="A26" s="16">
        <v>16</v>
      </c>
      <c r="B26" s="20" t="s">
        <v>1785</v>
      </c>
      <c r="C26" s="18" t="s">
        <v>1773</v>
      </c>
      <c r="D26" s="18" t="s">
        <v>1819</v>
      </c>
      <c r="E26" s="23">
        <v>750000</v>
      </c>
      <c r="F26" s="23">
        <v>410000</v>
      </c>
      <c r="G26" s="23">
        <v>285000</v>
      </c>
      <c r="H26" s="23">
        <v>225000</v>
      </c>
    </row>
    <row r="27" spans="1:9">
      <c r="A27" s="16"/>
      <c r="B27" s="20" t="s">
        <v>1785</v>
      </c>
      <c r="C27" s="18" t="s">
        <v>1819</v>
      </c>
      <c r="D27" s="18" t="s">
        <v>1820</v>
      </c>
      <c r="E27" s="23">
        <v>550000</v>
      </c>
      <c r="F27" s="23">
        <v>310000</v>
      </c>
      <c r="G27" s="23">
        <v>210000</v>
      </c>
      <c r="H27" s="23">
        <v>165000</v>
      </c>
    </row>
    <row r="28" ht="27.6" spans="1:9">
      <c r="A28" s="16">
        <v>17</v>
      </c>
      <c r="B28" s="20" t="s">
        <v>1817</v>
      </c>
      <c r="C28" s="18" t="s">
        <v>1808</v>
      </c>
      <c r="D28" s="18" t="s">
        <v>1821</v>
      </c>
      <c r="E28" s="23">
        <v>1900000</v>
      </c>
      <c r="F28" s="23">
        <v>1050000</v>
      </c>
      <c r="G28" s="23">
        <v>750000</v>
      </c>
      <c r="H28" s="23">
        <v>600000</v>
      </c>
    </row>
    <row r="29" spans="1:9">
      <c r="A29" s="16">
        <v>18</v>
      </c>
      <c r="B29" s="20" t="s">
        <v>1822</v>
      </c>
      <c r="C29" s="18" t="s">
        <v>1823</v>
      </c>
      <c r="D29" s="18" t="s">
        <v>1824</v>
      </c>
      <c r="E29" s="23">
        <v>1605500</v>
      </c>
      <c r="F29" s="23">
        <v>900000</v>
      </c>
      <c r="G29" s="23">
        <v>600000</v>
      </c>
      <c r="H29" s="23">
        <v>490000</v>
      </c>
    </row>
    <row r="30" ht="27.6" spans="1:9">
      <c r="A30" s="16">
        <v>19</v>
      </c>
      <c r="B30" s="20" t="s">
        <v>1818</v>
      </c>
      <c r="C30" s="18" t="s">
        <v>1825</v>
      </c>
      <c r="D30" s="18" t="s">
        <v>1826</v>
      </c>
      <c r="E30" s="23">
        <v>1750000</v>
      </c>
      <c r="F30" s="23">
        <v>950000</v>
      </c>
      <c r="G30" s="23">
        <v>650000</v>
      </c>
      <c r="H30" s="23">
        <v>550000</v>
      </c>
    </row>
    <row r="31" spans="1:9">
      <c r="A31" s="16">
        <v>20</v>
      </c>
      <c r="B31" s="20" t="s">
        <v>1803</v>
      </c>
      <c r="C31" s="18" t="s">
        <v>1827</v>
      </c>
      <c r="D31" s="18" t="s">
        <v>1828</v>
      </c>
      <c r="E31" s="23">
        <v>1450000</v>
      </c>
      <c r="F31" s="23">
        <v>800000</v>
      </c>
      <c r="G31" s="23">
        <v>550000</v>
      </c>
      <c r="H31" s="23">
        <v>445000</v>
      </c>
    </row>
    <row r="32" spans="1:9">
      <c r="A32" s="16">
        <v>21</v>
      </c>
      <c r="B32" s="20" t="s">
        <v>1829</v>
      </c>
      <c r="C32" s="18" t="s">
        <v>1773</v>
      </c>
      <c r="D32" s="18" t="s">
        <v>1830</v>
      </c>
      <c r="E32" s="23">
        <v>1050000</v>
      </c>
      <c r="F32" s="23">
        <v>600000</v>
      </c>
      <c r="G32" s="23">
        <v>415000</v>
      </c>
      <c r="H32" s="23">
        <v>325000</v>
      </c>
    </row>
    <row r="33" spans="1:9">
      <c r="A33" s="16"/>
      <c r="B33" s="20" t="s">
        <v>1829</v>
      </c>
      <c r="C33" s="18" t="s">
        <v>1830</v>
      </c>
      <c r="D33" s="18" t="s">
        <v>1831</v>
      </c>
      <c r="E33" s="23">
        <v>700000</v>
      </c>
      <c r="F33" s="23">
        <v>380000</v>
      </c>
      <c r="G33" s="23">
        <v>275000</v>
      </c>
      <c r="H33" s="23">
        <v>220000</v>
      </c>
    </row>
    <row r="34" ht="27.6" spans="1:9">
      <c r="A34" s="16"/>
      <c r="B34" s="20" t="s">
        <v>1832</v>
      </c>
      <c r="C34" s="18" t="s">
        <v>1831</v>
      </c>
      <c r="D34" s="18" t="s">
        <v>1833</v>
      </c>
      <c r="E34" s="23">
        <v>500000</v>
      </c>
      <c r="F34" s="23">
        <v>280000</v>
      </c>
      <c r="G34" s="23">
        <v>195000</v>
      </c>
      <c r="H34" s="23">
        <v>155000</v>
      </c>
    </row>
    <row r="35" ht="27.6" spans="1:9">
      <c r="A35" s="16">
        <v>22</v>
      </c>
      <c r="B35" s="20" t="s">
        <v>1834</v>
      </c>
      <c r="C35" s="18" t="s">
        <v>1835</v>
      </c>
      <c r="D35" s="18" t="s">
        <v>1836</v>
      </c>
      <c r="E35" s="23">
        <v>1750000</v>
      </c>
      <c r="F35" s="23">
        <v>950000</v>
      </c>
      <c r="G35" s="23">
        <v>650000</v>
      </c>
      <c r="H35" s="23">
        <v>550000</v>
      </c>
    </row>
    <row r="36" spans="1:9">
      <c r="A36" s="16">
        <v>23</v>
      </c>
      <c r="B36" s="20" t="s">
        <v>1837</v>
      </c>
      <c r="C36" s="18" t="s">
        <v>1773</v>
      </c>
      <c r="D36" s="18" t="s">
        <v>1838</v>
      </c>
      <c r="E36" s="23">
        <v>750000</v>
      </c>
      <c r="F36" s="23">
        <v>410000</v>
      </c>
      <c r="G36" s="23">
        <v>285000</v>
      </c>
      <c r="H36" s="23">
        <v>225000</v>
      </c>
    </row>
    <row r="37" spans="1:9">
      <c r="A37" s="16"/>
      <c r="B37" s="20" t="s">
        <v>1837</v>
      </c>
      <c r="C37" s="18" t="s">
        <v>1838</v>
      </c>
      <c r="D37" s="18" t="s">
        <v>1839</v>
      </c>
      <c r="E37" s="23">
        <v>550000</v>
      </c>
      <c r="F37" s="23">
        <v>310000</v>
      </c>
      <c r="G37" s="23">
        <v>210000</v>
      </c>
      <c r="H37" s="23">
        <v>165000</v>
      </c>
    </row>
    <row r="38" spans="1:9">
      <c r="A38" s="16">
        <v>24</v>
      </c>
      <c r="B38" s="20" t="s">
        <v>1840</v>
      </c>
      <c r="C38" s="18" t="s">
        <v>1791</v>
      </c>
      <c r="D38" s="18" t="s">
        <v>1841</v>
      </c>
      <c r="E38" s="23">
        <v>1750000</v>
      </c>
      <c r="F38" s="23">
        <v>950000</v>
      </c>
      <c r="G38" s="23">
        <v>650000</v>
      </c>
      <c r="H38" s="23">
        <v>550000</v>
      </c>
    </row>
    <row r="39" spans="1:9">
      <c r="A39" s="16">
        <v>25</v>
      </c>
      <c r="B39" s="20" t="s">
        <v>1804</v>
      </c>
      <c r="C39" s="18" t="s">
        <v>1840</v>
      </c>
      <c r="D39" s="18" t="s">
        <v>1842</v>
      </c>
      <c r="E39" s="23">
        <v>1050000</v>
      </c>
      <c r="F39" s="23">
        <v>600000</v>
      </c>
      <c r="G39" s="23">
        <v>415000</v>
      </c>
      <c r="H39" s="23">
        <v>325000</v>
      </c>
    </row>
    <row r="40" spans="1:9">
      <c r="A40" s="16"/>
      <c r="B40" s="20" t="s">
        <v>1804</v>
      </c>
      <c r="C40" s="18" t="s">
        <v>1842</v>
      </c>
      <c r="D40" s="18" t="s">
        <v>1843</v>
      </c>
      <c r="E40" s="23">
        <v>700000</v>
      </c>
      <c r="F40" s="23">
        <v>380000</v>
      </c>
      <c r="G40" s="23">
        <v>275000</v>
      </c>
      <c r="H40" s="23">
        <v>220000</v>
      </c>
    </row>
    <row r="41" spans="1:9">
      <c r="A41" s="16"/>
      <c r="B41" s="20" t="s">
        <v>1804</v>
      </c>
      <c r="C41" s="18" t="s">
        <v>1844</v>
      </c>
      <c r="D41" s="18" t="s">
        <v>1845</v>
      </c>
      <c r="E41" s="23">
        <v>1050000</v>
      </c>
      <c r="F41" s="23">
        <v>600000</v>
      </c>
      <c r="G41" s="23">
        <v>415000</v>
      </c>
      <c r="H41" s="23">
        <v>325000</v>
      </c>
    </row>
    <row r="42" spans="1:9">
      <c r="A42" s="16"/>
      <c r="B42" s="20" t="s">
        <v>1804</v>
      </c>
      <c r="C42" s="18" t="s">
        <v>1845</v>
      </c>
      <c r="D42" s="18" t="s">
        <v>1846</v>
      </c>
      <c r="E42" s="23">
        <v>700000</v>
      </c>
      <c r="F42" s="23">
        <v>380000</v>
      </c>
      <c r="G42" s="23">
        <v>275000</v>
      </c>
      <c r="H42" s="23">
        <v>220000</v>
      </c>
    </row>
    <row r="43" spans="1:9">
      <c r="A43" s="16"/>
      <c r="B43" s="20" t="s">
        <v>1804</v>
      </c>
      <c r="C43" s="18" t="s">
        <v>1843</v>
      </c>
      <c r="D43" s="18" t="s">
        <v>1796</v>
      </c>
      <c r="E43" s="23">
        <v>1050000</v>
      </c>
      <c r="F43" s="23">
        <v>600000</v>
      </c>
      <c r="G43" s="23">
        <v>415000</v>
      </c>
      <c r="H43" s="23">
        <v>325000</v>
      </c>
    </row>
    <row r="44" spans="1:9">
      <c r="A44" s="16">
        <v>26</v>
      </c>
      <c r="B44" s="20" t="s">
        <v>1847</v>
      </c>
      <c r="C44" s="18" t="s">
        <v>1773</v>
      </c>
      <c r="D44" s="18" t="s">
        <v>1848</v>
      </c>
      <c r="E44" s="23">
        <v>500000</v>
      </c>
      <c r="F44" s="23">
        <v>280000</v>
      </c>
      <c r="G44" s="23">
        <v>195000</v>
      </c>
      <c r="H44" s="23">
        <v>155000</v>
      </c>
    </row>
    <row r="45" spans="1:9">
      <c r="A45" s="16">
        <v>27</v>
      </c>
      <c r="B45" s="20" t="s">
        <v>1849</v>
      </c>
      <c r="C45" s="18" t="s">
        <v>1773</v>
      </c>
      <c r="D45" s="18" t="s">
        <v>1850</v>
      </c>
      <c r="E45" s="23">
        <v>1050000</v>
      </c>
      <c r="F45" s="23">
        <v>600000</v>
      </c>
      <c r="G45" s="23">
        <v>415000</v>
      </c>
      <c r="H45" s="23">
        <v>325000</v>
      </c>
    </row>
    <row r="46" spans="1:9">
      <c r="A46" s="16">
        <v>28</v>
      </c>
      <c r="B46" s="20" t="s">
        <v>1851</v>
      </c>
      <c r="C46" s="20" t="s">
        <v>1852</v>
      </c>
      <c r="D46" s="20" t="s">
        <v>1853</v>
      </c>
      <c r="E46" s="23">
        <v>500000</v>
      </c>
      <c r="F46" s="23">
        <v>280000</v>
      </c>
      <c r="G46" s="23">
        <v>195000</v>
      </c>
      <c r="H46" s="23">
        <v>155000</v>
      </c>
      <c r="I46" s="145" t="s">
        <v>1854</v>
      </c>
    </row>
    <row r="47" spans="1:9">
      <c r="A47" s="16">
        <v>29</v>
      </c>
      <c r="B47" s="20" t="s">
        <v>1855</v>
      </c>
      <c r="C47" s="18" t="s">
        <v>1856</v>
      </c>
      <c r="D47" s="18" t="s">
        <v>1857</v>
      </c>
      <c r="E47" s="23">
        <v>1450000</v>
      </c>
      <c r="F47" s="23">
        <v>800000</v>
      </c>
      <c r="G47" s="23">
        <v>550000</v>
      </c>
      <c r="H47" s="23">
        <v>445000</v>
      </c>
    </row>
    <row r="48" spans="1:9">
      <c r="A48" s="16">
        <v>30</v>
      </c>
      <c r="B48" s="20" t="s">
        <v>1858</v>
      </c>
      <c r="C48" s="18" t="s">
        <v>1850</v>
      </c>
      <c r="D48" s="18" t="s">
        <v>1859</v>
      </c>
      <c r="E48" s="23">
        <v>500000</v>
      </c>
      <c r="F48" s="23">
        <v>280000</v>
      </c>
      <c r="G48" s="23">
        <v>195000</v>
      </c>
      <c r="H48" s="23">
        <v>155000</v>
      </c>
    </row>
    <row r="49" spans="1:10">
      <c r="A49" s="16">
        <v>31</v>
      </c>
      <c r="B49" s="20" t="s">
        <v>1860</v>
      </c>
      <c r="C49" s="18" t="s">
        <v>1773</v>
      </c>
      <c r="D49" s="18" t="s">
        <v>1861</v>
      </c>
      <c r="E49" s="23">
        <v>700000</v>
      </c>
      <c r="F49" s="23">
        <v>380000</v>
      </c>
      <c r="G49" s="23">
        <v>275000</v>
      </c>
      <c r="H49" s="23">
        <v>220000</v>
      </c>
    </row>
    <row r="50" spans="1:10">
      <c r="A50" s="16"/>
      <c r="B50" s="20" t="s">
        <v>1860</v>
      </c>
      <c r="C50" s="18" t="s">
        <v>1861</v>
      </c>
      <c r="D50" s="18" t="s">
        <v>1862</v>
      </c>
      <c r="E50" s="23">
        <v>500000</v>
      </c>
      <c r="F50" s="23">
        <v>280000</v>
      </c>
      <c r="G50" s="23">
        <v>195000</v>
      </c>
      <c r="H50" s="23">
        <v>155000</v>
      </c>
    </row>
    <row r="51" spans="1:10">
      <c r="A51" s="16">
        <v>32</v>
      </c>
      <c r="B51" s="49" t="s">
        <v>1863</v>
      </c>
      <c r="C51" s="41" t="s">
        <v>1773</v>
      </c>
      <c r="D51" s="41" t="s">
        <v>1864</v>
      </c>
      <c r="E51" s="23">
        <v>500000</v>
      </c>
      <c r="F51" s="23">
        <v>280000</v>
      </c>
      <c r="G51" s="23">
        <v>195000</v>
      </c>
      <c r="H51" s="23">
        <v>155000</v>
      </c>
    </row>
    <row r="52" ht="27.6" spans="1:10">
      <c r="A52" s="16">
        <v>33</v>
      </c>
      <c r="B52" s="49" t="s">
        <v>1865</v>
      </c>
      <c r="C52" s="49" t="s">
        <v>1866</v>
      </c>
      <c r="D52" s="49" t="s">
        <v>1867</v>
      </c>
      <c r="E52" s="23">
        <v>2100000</v>
      </c>
      <c r="F52" s="23">
        <v>1175000</v>
      </c>
      <c r="G52" s="23">
        <v>800000</v>
      </c>
      <c r="H52" s="23">
        <v>600000</v>
      </c>
      <c r="I52" s="31" t="s">
        <v>147</v>
      </c>
    </row>
    <row r="53" spans="1:10">
      <c r="A53" s="16"/>
      <c r="B53" s="49" t="s">
        <v>1865</v>
      </c>
      <c r="C53" s="49" t="s">
        <v>1867</v>
      </c>
      <c r="D53" s="49" t="s">
        <v>1868</v>
      </c>
      <c r="E53" s="23">
        <v>1150000</v>
      </c>
      <c r="F53" s="23">
        <v>650000</v>
      </c>
      <c r="G53" s="23">
        <v>440000</v>
      </c>
      <c r="H53" s="23">
        <v>355000</v>
      </c>
      <c r="I53" s="31" t="s">
        <v>147</v>
      </c>
    </row>
    <row r="54" spans="1:10">
      <c r="A54" s="39" t="s">
        <v>136</v>
      </c>
      <c r="B54" s="49"/>
      <c r="C54" s="49"/>
      <c r="D54" s="49"/>
      <c r="E54" s="23"/>
      <c r="F54" s="23"/>
      <c r="G54" s="23"/>
      <c r="H54" s="23"/>
    </row>
    <row r="55" spans="1:10">
      <c r="A55" s="16">
        <v>34</v>
      </c>
      <c r="B55" s="49" t="s">
        <v>137</v>
      </c>
      <c r="C55" s="49"/>
      <c r="D55" s="49"/>
      <c r="E55" s="23">
        <v>500000</v>
      </c>
      <c r="F55" s="23">
        <v>280000</v>
      </c>
      <c r="G55" s="23">
        <v>195000</v>
      </c>
      <c r="H55" s="23">
        <v>155000</v>
      </c>
      <c r="I55" s="31" t="s">
        <v>147</v>
      </c>
    </row>
    <row r="56" spans="1:10">
      <c r="A56" s="146" t="s">
        <v>205</v>
      </c>
      <c r="B56" s="20"/>
      <c r="C56" s="15"/>
      <c r="D56" s="15"/>
      <c r="E56" s="23" t="s">
        <v>16</v>
      </c>
      <c r="F56" s="23" t="s">
        <v>16</v>
      </c>
      <c r="G56" s="23" t="s">
        <v>16</v>
      </c>
      <c r="H56" s="23" t="s">
        <v>16</v>
      </c>
    </row>
    <row r="57" spans="1:10">
      <c r="A57" s="16">
        <v>35</v>
      </c>
      <c r="B57" s="20" t="s">
        <v>1869</v>
      </c>
      <c r="C57" s="18"/>
      <c r="D57" s="18"/>
      <c r="E57" s="23">
        <v>550000</v>
      </c>
      <c r="F57" s="23">
        <v>385000</v>
      </c>
      <c r="G57" s="23">
        <v>275000</v>
      </c>
      <c r="H57" s="23">
        <v>0</v>
      </c>
    </row>
    <row r="58" spans="1:10">
      <c r="A58" s="16">
        <v>36</v>
      </c>
      <c r="B58" s="20" t="s">
        <v>1870</v>
      </c>
      <c r="C58" s="15"/>
      <c r="D58" s="15"/>
      <c r="E58" s="23" t="s">
        <v>16</v>
      </c>
      <c r="F58" s="23" t="s">
        <v>16</v>
      </c>
      <c r="G58" s="23" t="s">
        <v>16</v>
      </c>
      <c r="H58" s="23" t="s">
        <v>16</v>
      </c>
    </row>
    <row r="59" ht="27.6" spans="1:10">
      <c r="A59" s="16"/>
      <c r="B59" s="20" t="s">
        <v>1871</v>
      </c>
      <c r="C59" s="18"/>
      <c r="D59" s="18"/>
      <c r="E59" s="23">
        <v>1300000</v>
      </c>
      <c r="F59" s="23">
        <v>900000</v>
      </c>
      <c r="G59" s="23">
        <v>650000</v>
      </c>
      <c r="H59" s="23">
        <v>0</v>
      </c>
    </row>
    <row r="60" ht="27.6" spans="1:10">
      <c r="A60" s="16"/>
      <c r="B60" s="20" t="s">
        <v>1872</v>
      </c>
      <c r="C60" s="18"/>
      <c r="D60" s="18"/>
      <c r="E60" s="23">
        <v>900000</v>
      </c>
      <c r="F60" s="23">
        <v>650000</v>
      </c>
      <c r="G60" s="23">
        <v>440000</v>
      </c>
      <c r="H60" s="23">
        <v>0</v>
      </c>
      <c r="I60" s="31" t="s">
        <v>1873</v>
      </c>
      <c r="J60" s="31" t="s">
        <v>1874</v>
      </c>
    </row>
    <row r="61" spans="1:10">
      <c r="A61" s="16">
        <v>37</v>
      </c>
      <c r="B61" s="20" t="s">
        <v>1875</v>
      </c>
      <c r="C61" s="15"/>
      <c r="D61" s="15"/>
      <c r="E61" s="23" t="s">
        <v>16</v>
      </c>
      <c r="F61" s="23" t="s">
        <v>16</v>
      </c>
      <c r="G61" s="23" t="s">
        <v>16</v>
      </c>
      <c r="H61" s="23" t="s">
        <v>16</v>
      </c>
    </row>
    <row r="62" ht="27.6" spans="1:10">
      <c r="A62" s="16"/>
      <c r="B62" s="20" t="s">
        <v>1876</v>
      </c>
      <c r="C62" s="18"/>
      <c r="D62" s="18"/>
      <c r="E62" s="23">
        <v>405000</v>
      </c>
      <c r="F62" s="23">
        <v>240000</v>
      </c>
      <c r="G62" s="23">
        <v>195000</v>
      </c>
      <c r="H62" s="23">
        <v>0</v>
      </c>
    </row>
    <row r="63" spans="1:10">
      <c r="A63" s="16"/>
      <c r="B63" s="20" t="s">
        <v>1877</v>
      </c>
      <c r="C63" s="18"/>
      <c r="D63" s="18"/>
      <c r="E63" s="23">
        <v>405000</v>
      </c>
      <c r="F63" s="23">
        <v>240000</v>
      </c>
      <c r="G63" s="23">
        <v>195000</v>
      </c>
      <c r="H63" s="23">
        <v>0</v>
      </c>
    </row>
    <row r="64" ht="27.6" spans="1:10">
      <c r="A64" s="16">
        <v>38</v>
      </c>
      <c r="B64" s="20" t="s">
        <v>1878</v>
      </c>
      <c r="C64" s="15"/>
      <c r="D64" s="15"/>
      <c r="E64" s="23" t="s">
        <v>16</v>
      </c>
      <c r="F64" s="23" t="s">
        <v>16</v>
      </c>
      <c r="G64" s="23" t="s">
        <v>16</v>
      </c>
      <c r="H64" s="23" t="s">
        <v>16</v>
      </c>
    </row>
    <row r="65" ht="27.6" spans="1:10">
      <c r="A65" s="16"/>
      <c r="B65" s="20" t="s">
        <v>1879</v>
      </c>
      <c r="C65" s="18"/>
      <c r="D65" s="18"/>
      <c r="E65" s="23">
        <v>600000</v>
      </c>
      <c r="F65" s="23">
        <v>420000</v>
      </c>
      <c r="G65" s="23">
        <v>295000</v>
      </c>
      <c r="H65" s="23">
        <v>0</v>
      </c>
    </row>
    <row r="66" ht="27.6" spans="1:10">
      <c r="A66" s="16"/>
      <c r="B66" s="20" t="s">
        <v>1880</v>
      </c>
      <c r="C66" s="18"/>
      <c r="D66" s="18"/>
      <c r="E66" s="23">
        <v>550000</v>
      </c>
      <c r="F66" s="23">
        <v>385000</v>
      </c>
      <c r="G66" s="23">
        <v>275000</v>
      </c>
      <c r="H66" s="23">
        <v>0</v>
      </c>
    </row>
    <row r="67" ht="27.6" spans="1:10">
      <c r="A67" s="16"/>
      <c r="B67" s="20" t="s">
        <v>1881</v>
      </c>
      <c r="C67" s="18"/>
      <c r="D67" s="18"/>
      <c r="E67" s="23">
        <v>395000</v>
      </c>
      <c r="F67" s="23">
        <v>280000</v>
      </c>
      <c r="G67" s="23">
        <v>200000</v>
      </c>
      <c r="H67" s="23">
        <v>0</v>
      </c>
    </row>
    <row r="68" ht="55.2" spans="1:10">
      <c r="A68" s="16">
        <v>39</v>
      </c>
      <c r="B68" s="20" t="s">
        <v>1882</v>
      </c>
      <c r="C68" s="18"/>
      <c r="D68" s="18"/>
      <c r="E68" s="23">
        <v>550000</v>
      </c>
      <c r="F68" s="23">
        <v>385000</v>
      </c>
      <c r="G68" s="23">
        <v>275000</v>
      </c>
      <c r="H68" s="23">
        <v>0</v>
      </c>
    </row>
    <row r="69" spans="1:10">
      <c r="A69" s="39" t="s">
        <v>217</v>
      </c>
      <c r="B69" s="17"/>
      <c r="C69" s="39"/>
      <c r="D69" s="39"/>
      <c r="E69" s="23" t="s">
        <v>16</v>
      </c>
      <c r="F69" s="23" t="s">
        <v>16</v>
      </c>
      <c r="G69" s="23" t="s">
        <v>16</v>
      </c>
      <c r="H69" s="23" t="s">
        <v>16</v>
      </c>
    </row>
    <row r="70" spans="1:10">
      <c r="A70" s="46"/>
      <c r="B70" s="39" t="s">
        <v>1883</v>
      </c>
      <c r="C70" s="15"/>
      <c r="D70" s="15"/>
      <c r="E70" s="23" t="s">
        <v>16</v>
      </c>
      <c r="F70" s="23" t="s">
        <v>16</v>
      </c>
      <c r="G70" s="23" t="s">
        <v>16</v>
      </c>
      <c r="H70" s="23" t="s">
        <v>16</v>
      </c>
    </row>
    <row r="71" ht="220.8" spans="1:10">
      <c r="A71" s="16">
        <v>40</v>
      </c>
      <c r="B71" s="20" t="s">
        <v>1884</v>
      </c>
      <c r="C71" s="18"/>
      <c r="D71" s="18"/>
      <c r="E71" s="23">
        <v>250000</v>
      </c>
      <c r="F71" s="23">
        <v>170000</v>
      </c>
      <c r="G71" s="23">
        <v>0</v>
      </c>
      <c r="H71" s="23">
        <v>0</v>
      </c>
      <c r="I71" s="31" t="s">
        <v>1873</v>
      </c>
      <c r="J71" s="31" t="s">
        <v>1874</v>
      </c>
    </row>
    <row r="72" ht="41.4" spans="1:10">
      <c r="A72" s="16">
        <v>41</v>
      </c>
      <c r="B72" s="20" t="s">
        <v>1885</v>
      </c>
      <c r="C72" s="18"/>
      <c r="D72" s="18"/>
      <c r="E72" s="23">
        <v>210000</v>
      </c>
      <c r="F72" s="23">
        <v>140000</v>
      </c>
      <c r="G72" s="23">
        <v>0</v>
      </c>
      <c r="H72" s="23">
        <v>0</v>
      </c>
    </row>
    <row r="73" spans="1:10">
      <c r="A73" s="16">
        <v>42</v>
      </c>
      <c r="B73" s="20" t="s">
        <v>843</v>
      </c>
      <c r="C73" s="18"/>
      <c r="D73" s="18"/>
      <c r="E73" s="23">
        <v>120000</v>
      </c>
      <c r="F73" s="23">
        <v>0</v>
      </c>
      <c r="G73" s="23">
        <v>0</v>
      </c>
      <c r="H73" s="23">
        <v>0</v>
      </c>
    </row>
    <row r="74" spans="1:10">
      <c r="B74" s="39" t="s">
        <v>1886</v>
      </c>
      <c r="C74" s="15"/>
      <c r="D74" s="15"/>
      <c r="E74" s="23" t="s">
        <v>16</v>
      </c>
      <c r="F74" s="23" t="s">
        <v>16</v>
      </c>
      <c r="G74" s="23" t="s">
        <v>16</v>
      </c>
      <c r="H74" s="23" t="s">
        <v>16</v>
      </c>
    </row>
    <row r="75" ht="55.2" spans="1:10">
      <c r="A75" s="16">
        <v>43</v>
      </c>
      <c r="B75" s="20" t="s">
        <v>1887</v>
      </c>
      <c r="C75" s="18"/>
      <c r="D75" s="18"/>
      <c r="E75" s="23">
        <v>250000</v>
      </c>
      <c r="F75" s="23">
        <v>170000</v>
      </c>
      <c r="G75" s="23">
        <v>0</v>
      </c>
      <c r="H75" s="23">
        <v>0</v>
      </c>
    </row>
    <row r="76" ht="69" spans="1:10">
      <c r="A76" s="16">
        <v>44</v>
      </c>
      <c r="B76" s="20" t="s">
        <v>1888</v>
      </c>
      <c r="C76" s="18"/>
      <c r="D76" s="18"/>
      <c r="E76" s="23">
        <v>210000</v>
      </c>
      <c r="F76" s="23">
        <v>140000</v>
      </c>
      <c r="G76" s="23">
        <v>0</v>
      </c>
      <c r="H76" s="23">
        <v>0</v>
      </c>
    </row>
    <row r="77" spans="1:10">
      <c r="A77" s="16">
        <v>45</v>
      </c>
      <c r="B77" s="20" t="s">
        <v>843</v>
      </c>
      <c r="C77" s="18"/>
      <c r="D77" s="18"/>
      <c r="E77" s="23">
        <v>120000</v>
      </c>
      <c r="F77" s="23">
        <v>0</v>
      </c>
      <c r="G77" s="23">
        <v>0</v>
      </c>
      <c r="H77" s="23">
        <v>0</v>
      </c>
    </row>
    <row r="78" spans="1:10">
      <c r="B78" s="39" t="s">
        <v>1889</v>
      </c>
      <c r="C78" s="39"/>
      <c r="D78" s="39"/>
      <c r="E78" s="23" t="s">
        <v>16</v>
      </c>
      <c r="F78" s="23" t="s">
        <v>16</v>
      </c>
      <c r="G78" s="23" t="s">
        <v>16</v>
      </c>
      <c r="H78" s="23" t="s">
        <v>16</v>
      </c>
    </row>
    <row r="79" ht="55.2" spans="1:10">
      <c r="A79" s="16">
        <v>46</v>
      </c>
      <c r="B79" s="20" t="s">
        <v>1890</v>
      </c>
      <c r="C79" s="18"/>
      <c r="D79" s="18"/>
      <c r="E79" s="23">
        <v>190000</v>
      </c>
      <c r="F79" s="23">
        <v>145000</v>
      </c>
      <c r="G79" s="23">
        <v>0</v>
      </c>
      <c r="H79" s="23">
        <v>0</v>
      </c>
    </row>
    <row r="80" ht="110.4" spans="1:10">
      <c r="A80" s="16">
        <v>47</v>
      </c>
      <c r="B80" s="20" t="s">
        <v>1891</v>
      </c>
      <c r="C80" s="18"/>
      <c r="D80" s="18"/>
      <c r="E80" s="23">
        <v>125000</v>
      </c>
      <c r="F80" s="23">
        <v>105000</v>
      </c>
      <c r="G80" s="23">
        <v>0</v>
      </c>
      <c r="H80" s="23">
        <v>0</v>
      </c>
      <c r="I80" s="145" t="s">
        <v>156</v>
      </c>
      <c r="J80" s="31" t="s">
        <v>1874</v>
      </c>
    </row>
    <row r="81" ht="110.4" spans="1:10">
      <c r="A81" s="16">
        <v>48</v>
      </c>
      <c r="B81" s="20" t="s">
        <v>1892</v>
      </c>
      <c r="C81" s="18"/>
      <c r="D81" s="18"/>
      <c r="E81" s="23">
        <v>95000</v>
      </c>
      <c r="F81" s="23">
        <v>0</v>
      </c>
      <c r="G81" s="23">
        <v>0</v>
      </c>
      <c r="H81" s="23">
        <v>0</v>
      </c>
      <c r="I81" s="145" t="s">
        <v>156</v>
      </c>
      <c r="J81" s="31" t="s">
        <v>1874</v>
      </c>
    </row>
    <row r="82" spans="1:10">
      <c r="A82" s="53"/>
      <c r="C82" s="28"/>
      <c r="D82" s="28"/>
      <c r="E82" s="23" t="s">
        <v>16</v>
      </c>
      <c r="F82" s="23" t="s">
        <v>16</v>
      </c>
      <c r="G82" s="23" t="s">
        <v>16</v>
      </c>
      <c r="H82" s="23" t="s">
        <v>16</v>
      </c>
    </row>
    <row r="83" spans="1:10">
      <c r="A83" s="53"/>
      <c r="C83" s="28"/>
      <c r="D83" s="28"/>
      <c r="E83" s="23" t="s">
        <v>16</v>
      </c>
      <c r="F83" s="23" t="s">
        <v>16</v>
      </c>
      <c r="G83" s="23" t="s">
        <v>16</v>
      </c>
      <c r="H83" s="23" t="s">
        <v>16</v>
      </c>
    </row>
    <row r="84" spans="1:10">
      <c r="A84" s="53"/>
      <c r="C84" s="28"/>
      <c r="D84" s="28"/>
      <c r="E84" s="23" t="s">
        <v>16</v>
      </c>
      <c r="F84" s="23" t="s">
        <v>16</v>
      </c>
      <c r="G84" s="23" t="s">
        <v>16</v>
      </c>
      <c r="H84" s="23" t="s">
        <v>16</v>
      </c>
    </row>
    <row r="85" spans="1:10">
      <c r="A85" s="53"/>
      <c r="C85" s="28"/>
      <c r="D85" s="28"/>
      <c r="E85" s="23" t="s">
        <v>16</v>
      </c>
      <c r="F85" s="23" t="s">
        <v>16</v>
      </c>
      <c r="G85" s="23" t="s">
        <v>16</v>
      </c>
      <c r="H85" s="23" t="s">
        <v>16</v>
      </c>
    </row>
    <row r="86" spans="1:10">
      <c r="A86" s="53"/>
      <c r="C86" s="28"/>
      <c r="D86" s="28"/>
      <c r="E86" s="23" t="s">
        <v>16</v>
      </c>
      <c r="F86" s="23" t="s">
        <v>16</v>
      </c>
      <c r="G86" s="23" t="s">
        <v>16</v>
      </c>
      <c r="H86" s="23" t="s">
        <v>16</v>
      </c>
    </row>
    <row r="87" spans="1:10">
      <c r="A87" s="53"/>
      <c r="C87" s="28"/>
      <c r="D87" s="28"/>
      <c r="E87" s="23" t="s">
        <v>16</v>
      </c>
      <c r="F87" s="23" t="s">
        <v>16</v>
      </c>
      <c r="G87" s="23" t="s">
        <v>16</v>
      </c>
      <c r="H87" s="23" t="s">
        <v>16</v>
      </c>
    </row>
    <row r="88" spans="1:10">
      <c r="A88" s="53"/>
      <c r="C88" s="28"/>
      <c r="D88" s="28"/>
      <c r="E88" s="23" t="s">
        <v>16</v>
      </c>
      <c r="F88" s="23" t="s">
        <v>16</v>
      </c>
      <c r="G88" s="23" t="s">
        <v>16</v>
      </c>
      <c r="H88" s="23" t="s">
        <v>16</v>
      </c>
    </row>
    <row r="89" spans="1:10">
      <c r="A89" s="53"/>
      <c r="C89" s="28"/>
      <c r="D89" s="28"/>
      <c r="E89" s="23" t="s">
        <v>16</v>
      </c>
      <c r="F89" s="23" t="s">
        <v>16</v>
      </c>
      <c r="G89" s="23" t="s">
        <v>16</v>
      </c>
      <c r="H89" s="23" t="s">
        <v>16</v>
      </c>
    </row>
    <row r="90" spans="1:10">
      <c r="A90" s="53"/>
      <c r="C90" s="28"/>
      <c r="D90" s="28"/>
      <c r="E90" s="23" t="s">
        <v>16</v>
      </c>
      <c r="F90" s="23" t="s">
        <v>16</v>
      </c>
      <c r="G90" s="23" t="s">
        <v>16</v>
      </c>
      <c r="H90" s="23" t="s">
        <v>16</v>
      </c>
    </row>
    <row r="91" spans="1:10">
      <c r="A91" s="53"/>
      <c r="C91" s="28"/>
      <c r="D91" s="28"/>
      <c r="E91" s="23" t="s">
        <v>16</v>
      </c>
      <c r="F91" s="23" t="s">
        <v>16</v>
      </c>
      <c r="G91" s="23" t="s">
        <v>16</v>
      </c>
      <c r="H91" s="23" t="s">
        <v>16</v>
      </c>
    </row>
    <row r="92" spans="1:10">
      <c r="A92" s="53"/>
      <c r="C92" s="28"/>
      <c r="D92" s="28"/>
      <c r="E92" s="23" t="s">
        <v>16</v>
      </c>
      <c r="F92" s="23" t="s">
        <v>16</v>
      </c>
      <c r="G92" s="23" t="s">
        <v>16</v>
      </c>
      <c r="H92" s="23" t="s">
        <v>16</v>
      </c>
    </row>
    <row r="93" spans="1:10">
      <c r="A93" s="53"/>
      <c r="C93" s="28"/>
      <c r="D93" s="28"/>
      <c r="E93" s="23" t="s">
        <v>16</v>
      </c>
      <c r="F93" s="23" t="s">
        <v>16</v>
      </c>
      <c r="G93" s="23" t="s">
        <v>16</v>
      </c>
      <c r="H93" s="23" t="s">
        <v>16</v>
      </c>
    </row>
    <row r="94" spans="1:10">
      <c r="A94" s="53"/>
      <c r="C94" s="28"/>
      <c r="D94" s="28"/>
      <c r="E94" s="23" t="s">
        <v>16</v>
      </c>
      <c r="F94" s="23" t="s">
        <v>16</v>
      </c>
      <c r="G94" s="23" t="s">
        <v>16</v>
      </c>
      <c r="H94" s="23" t="s">
        <v>16</v>
      </c>
    </row>
    <row r="95" spans="1:10">
      <c r="A95" s="53"/>
      <c r="C95" s="28"/>
      <c r="D95" s="28"/>
      <c r="E95" s="23" t="s">
        <v>16</v>
      </c>
      <c r="F95" s="23" t="s">
        <v>16</v>
      </c>
      <c r="G95" s="23" t="s">
        <v>16</v>
      </c>
      <c r="H95" s="23" t="s">
        <v>16</v>
      </c>
    </row>
    <row r="96" spans="1:10">
      <c r="A96" s="53"/>
      <c r="C96" s="28"/>
      <c r="D96" s="28"/>
      <c r="E96" s="23" t="s">
        <v>16</v>
      </c>
      <c r="F96" s="23" t="s">
        <v>16</v>
      </c>
      <c r="G96" s="23" t="s">
        <v>16</v>
      </c>
      <c r="H96" s="23" t="s">
        <v>16</v>
      </c>
    </row>
    <row r="97" spans="1:8">
      <c r="A97" s="53"/>
      <c r="C97" s="28"/>
      <c r="D97" s="28"/>
      <c r="E97" s="23" t="s">
        <v>16</v>
      </c>
      <c r="F97" s="23" t="s">
        <v>16</v>
      </c>
      <c r="G97" s="23" t="s">
        <v>16</v>
      </c>
      <c r="H97" s="23" t="s">
        <v>16</v>
      </c>
    </row>
    <row r="98" spans="1:8">
      <c r="A98" s="53"/>
      <c r="C98" s="28"/>
      <c r="D98" s="28"/>
      <c r="E98" s="23" t="s">
        <v>16</v>
      </c>
      <c r="F98" s="23" t="s">
        <v>16</v>
      </c>
      <c r="G98" s="23" t="s">
        <v>16</v>
      </c>
      <c r="H98" s="23" t="s">
        <v>16</v>
      </c>
    </row>
    <row r="99" spans="1:8">
      <c r="A99" s="53"/>
      <c r="C99" s="28"/>
      <c r="D99" s="28"/>
      <c r="E99" s="23" t="s">
        <v>16</v>
      </c>
      <c r="F99" s="23" t="s">
        <v>16</v>
      </c>
      <c r="G99" s="23" t="s">
        <v>16</v>
      </c>
      <c r="H99" s="23" t="s">
        <v>16</v>
      </c>
    </row>
    <row r="100" spans="1:8">
      <c r="A100" s="53"/>
      <c r="C100" s="28"/>
      <c r="D100" s="28"/>
      <c r="E100" s="23" t="s">
        <v>16</v>
      </c>
      <c r="F100" s="23" t="s">
        <v>16</v>
      </c>
      <c r="G100" s="23" t="s">
        <v>16</v>
      </c>
      <c r="H100" s="23" t="s">
        <v>16</v>
      </c>
    </row>
    <row r="101" spans="1:8">
      <c r="A101" s="53"/>
      <c r="C101" s="28"/>
      <c r="D101" s="28"/>
      <c r="E101" s="23" t="s">
        <v>16</v>
      </c>
      <c r="F101" s="23" t="s">
        <v>16</v>
      </c>
      <c r="G101" s="23" t="s">
        <v>16</v>
      </c>
      <c r="H101" s="23" t="s">
        <v>16</v>
      </c>
    </row>
    <row r="102" spans="1:8">
      <c r="A102" s="53"/>
      <c r="C102" s="28"/>
      <c r="D102" s="28"/>
      <c r="E102" s="23" t="s">
        <v>16</v>
      </c>
      <c r="F102" s="23" t="s">
        <v>16</v>
      </c>
      <c r="G102" s="23" t="s">
        <v>16</v>
      </c>
      <c r="H102" s="23" t="s">
        <v>16</v>
      </c>
    </row>
    <row r="103" spans="1:8">
      <c r="A103" s="53"/>
      <c r="C103" s="28"/>
      <c r="D103" s="28"/>
      <c r="E103" s="23" t="s">
        <v>16</v>
      </c>
      <c r="F103" s="23" t="s">
        <v>16</v>
      </c>
      <c r="G103" s="23" t="s">
        <v>16</v>
      </c>
      <c r="H103" s="23" t="s">
        <v>16</v>
      </c>
    </row>
    <row r="104" spans="1:8">
      <c r="A104" s="53"/>
      <c r="C104" s="28"/>
      <c r="D104" s="28"/>
      <c r="E104" s="23" t="s">
        <v>16</v>
      </c>
      <c r="F104" s="23" t="s">
        <v>16</v>
      </c>
      <c r="G104" s="23" t="s">
        <v>16</v>
      </c>
      <c r="H104" s="23" t="s">
        <v>16</v>
      </c>
    </row>
    <row r="105" spans="1:8">
      <c r="A105" s="53"/>
      <c r="C105" s="28"/>
      <c r="D105" s="28"/>
      <c r="E105" s="23" t="s">
        <v>16</v>
      </c>
      <c r="F105" s="23" t="s">
        <v>16</v>
      </c>
      <c r="G105" s="23" t="s">
        <v>16</v>
      </c>
      <c r="H105" s="23" t="s">
        <v>16</v>
      </c>
    </row>
    <row r="106" spans="1:8">
      <c r="A106" s="53"/>
      <c r="C106" s="28"/>
      <c r="D106" s="28"/>
      <c r="E106" s="23" t="s">
        <v>16</v>
      </c>
      <c r="F106" s="23" t="s">
        <v>16</v>
      </c>
      <c r="G106" s="23" t="s">
        <v>16</v>
      </c>
      <c r="H106" s="23" t="s">
        <v>16</v>
      </c>
    </row>
    <row r="107" spans="1:8">
      <c r="A107" s="53"/>
      <c r="C107" s="28"/>
      <c r="D107" s="28"/>
      <c r="E107" s="23" t="s">
        <v>16</v>
      </c>
      <c r="F107" s="23" t="s">
        <v>16</v>
      </c>
      <c r="G107" s="23" t="s">
        <v>16</v>
      </c>
      <c r="H107" s="23" t="s">
        <v>16</v>
      </c>
    </row>
    <row r="108" spans="1:8">
      <c r="A108" s="53"/>
      <c r="C108" s="28"/>
      <c r="D108" s="28"/>
      <c r="E108" s="23" t="s">
        <v>16</v>
      </c>
      <c r="F108" s="23" t="s">
        <v>16</v>
      </c>
      <c r="G108" s="23" t="s">
        <v>16</v>
      </c>
      <c r="H108" s="23" t="s">
        <v>16</v>
      </c>
    </row>
    <row r="109" spans="1:8">
      <c r="A109" s="53"/>
      <c r="C109" s="28"/>
      <c r="D109" s="28"/>
      <c r="E109" s="23" t="s">
        <v>16</v>
      </c>
      <c r="F109" s="23" t="s">
        <v>16</v>
      </c>
      <c r="G109" s="23" t="s">
        <v>16</v>
      </c>
      <c r="H109" s="23" t="s">
        <v>16</v>
      </c>
    </row>
    <row r="110" spans="1:8">
      <c r="A110" s="53"/>
      <c r="C110" s="28"/>
      <c r="D110" s="28"/>
      <c r="E110" s="23" t="s">
        <v>16</v>
      </c>
      <c r="F110" s="23" t="s">
        <v>16</v>
      </c>
      <c r="G110" s="23" t="s">
        <v>16</v>
      </c>
      <c r="H110" s="23" t="s">
        <v>16</v>
      </c>
    </row>
    <row r="111" spans="1:8">
      <c r="A111" s="53"/>
      <c r="C111" s="28"/>
      <c r="D111" s="28"/>
      <c r="E111" s="23" t="s">
        <v>16</v>
      </c>
      <c r="F111" s="23" t="s">
        <v>16</v>
      </c>
      <c r="G111" s="23" t="s">
        <v>16</v>
      </c>
      <c r="H111" s="23" t="s">
        <v>16</v>
      </c>
    </row>
    <row r="112" spans="1:8">
      <c r="A112" s="53"/>
      <c r="C112" s="28"/>
      <c r="D112" s="28"/>
      <c r="E112" s="23" t="s">
        <v>16</v>
      </c>
      <c r="F112" s="23" t="s">
        <v>16</v>
      </c>
      <c r="G112" s="23" t="s">
        <v>16</v>
      </c>
      <c r="H112" s="23" t="s">
        <v>16</v>
      </c>
    </row>
    <row r="113" spans="1:8">
      <c r="A113" s="53"/>
      <c r="C113" s="28"/>
      <c r="D113" s="28"/>
      <c r="E113" s="23" t="s">
        <v>16</v>
      </c>
      <c r="F113" s="23" t="s">
        <v>16</v>
      </c>
      <c r="G113" s="23" t="s">
        <v>16</v>
      </c>
      <c r="H113" s="23" t="s">
        <v>16</v>
      </c>
    </row>
    <row r="114" spans="1:8">
      <c r="A114" s="53"/>
      <c r="C114" s="28"/>
      <c r="D114" s="28"/>
      <c r="E114" s="23" t="s">
        <v>16</v>
      </c>
      <c r="F114" s="23" t="s">
        <v>16</v>
      </c>
      <c r="G114" s="23" t="s">
        <v>16</v>
      </c>
      <c r="H114" s="23" t="s">
        <v>16</v>
      </c>
    </row>
    <row r="115" spans="1:8">
      <c r="A115" s="53"/>
      <c r="C115" s="28"/>
      <c r="D115" s="28"/>
      <c r="E115" s="23" t="s">
        <v>16</v>
      </c>
      <c r="F115" s="23" t="s">
        <v>16</v>
      </c>
      <c r="G115" s="23" t="s">
        <v>16</v>
      </c>
      <c r="H115" s="23" t="s">
        <v>16</v>
      </c>
    </row>
    <row r="116" spans="1:8">
      <c r="A116" s="53"/>
      <c r="C116" s="28"/>
      <c r="D116" s="28"/>
      <c r="E116" s="23" t="s">
        <v>16</v>
      </c>
      <c r="F116" s="23" t="s">
        <v>16</v>
      </c>
      <c r="G116" s="23" t="s">
        <v>16</v>
      </c>
      <c r="H116" s="23" t="s">
        <v>16</v>
      </c>
    </row>
    <row r="117" spans="1:8">
      <c r="A117" s="53"/>
      <c r="C117" s="28"/>
      <c r="D117" s="28"/>
      <c r="E117" s="23" t="s">
        <v>16</v>
      </c>
      <c r="F117" s="23" t="s">
        <v>16</v>
      </c>
      <c r="G117" s="23" t="s">
        <v>16</v>
      </c>
      <c r="H117" s="23" t="s">
        <v>16</v>
      </c>
    </row>
    <row r="118" spans="1:8">
      <c r="A118" s="53"/>
      <c r="C118" s="28"/>
      <c r="D118" s="28"/>
      <c r="E118" s="23" t="s">
        <v>16</v>
      </c>
      <c r="F118" s="23" t="s">
        <v>16</v>
      </c>
      <c r="G118" s="23" t="s">
        <v>16</v>
      </c>
      <c r="H118" s="23" t="s">
        <v>16</v>
      </c>
    </row>
    <row r="119" spans="1:8">
      <c r="A119" s="53"/>
      <c r="C119" s="28"/>
      <c r="D119" s="28"/>
      <c r="E119" s="23" t="s">
        <v>16</v>
      </c>
      <c r="F119" s="23" t="s">
        <v>16</v>
      </c>
      <c r="G119" s="23" t="s">
        <v>16</v>
      </c>
      <c r="H119" s="23" t="s">
        <v>16</v>
      </c>
    </row>
    <row r="120" spans="1:8">
      <c r="A120" s="53"/>
      <c r="C120" s="28"/>
      <c r="D120" s="28"/>
      <c r="E120" s="23" t="s">
        <v>16</v>
      </c>
      <c r="F120" s="23" t="s">
        <v>16</v>
      </c>
      <c r="G120" s="23" t="s">
        <v>16</v>
      </c>
      <c r="H120" s="23" t="s">
        <v>16</v>
      </c>
    </row>
    <row r="121" spans="1:8">
      <c r="A121" s="53"/>
      <c r="C121" s="28"/>
      <c r="D121" s="28"/>
      <c r="E121" s="23" t="s">
        <v>16</v>
      </c>
      <c r="F121" s="23" t="s">
        <v>16</v>
      </c>
      <c r="G121" s="23" t="s">
        <v>16</v>
      </c>
      <c r="H121" s="23" t="s">
        <v>16</v>
      </c>
    </row>
    <row r="122" spans="1:8">
      <c r="A122" s="53"/>
      <c r="C122" s="28"/>
      <c r="D122" s="28"/>
      <c r="E122" s="23" t="s">
        <v>16</v>
      </c>
      <c r="F122" s="23" t="s">
        <v>16</v>
      </c>
      <c r="G122" s="23" t="s">
        <v>16</v>
      </c>
      <c r="H122" s="23" t="s">
        <v>16</v>
      </c>
    </row>
    <row r="123" spans="1:8">
      <c r="A123" s="53"/>
      <c r="C123" s="28"/>
      <c r="D123" s="28"/>
      <c r="E123" s="23" t="s">
        <v>16</v>
      </c>
      <c r="F123" s="23" t="s">
        <v>16</v>
      </c>
      <c r="G123" s="23" t="s">
        <v>16</v>
      </c>
      <c r="H123" s="23" t="s">
        <v>16</v>
      </c>
    </row>
    <row r="124" spans="1:8">
      <c r="A124" s="53"/>
      <c r="C124" s="28"/>
      <c r="D124" s="28"/>
      <c r="E124" s="23" t="s">
        <v>16</v>
      </c>
      <c r="F124" s="23" t="s">
        <v>16</v>
      </c>
      <c r="G124" s="23" t="s">
        <v>16</v>
      </c>
      <c r="H124" s="23" t="s">
        <v>16</v>
      </c>
    </row>
    <row r="125" spans="1:8">
      <c r="A125" s="53"/>
      <c r="C125" s="28"/>
      <c r="D125" s="28"/>
      <c r="E125" s="23" t="s">
        <v>16</v>
      </c>
      <c r="F125" s="23" t="s">
        <v>16</v>
      </c>
      <c r="G125" s="23" t="s">
        <v>16</v>
      </c>
      <c r="H125" s="23" t="s">
        <v>16</v>
      </c>
    </row>
    <row r="126" spans="1:8">
      <c r="A126" s="53"/>
      <c r="C126" s="28"/>
      <c r="D126" s="28"/>
      <c r="E126" s="23" t="s">
        <v>16</v>
      </c>
      <c r="F126" s="23" t="s">
        <v>16</v>
      </c>
      <c r="G126" s="23" t="s">
        <v>16</v>
      </c>
      <c r="H126" s="23" t="s">
        <v>16</v>
      </c>
    </row>
    <row r="127" spans="1:8">
      <c r="A127" s="53"/>
      <c r="C127" s="28"/>
      <c r="D127" s="28"/>
      <c r="E127" s="23" t="s">
        <v>16</v>
      </c>
      <c r="F127" s="23" t="s">
        <v>16</v>
      </c>
      <c r="G127" s="23" t="s">
        <v>16</v>
      </c>
      <c r="H127" s="23" t="s">
        <v>16</v>
      </c>
    </row>
    <row r="128" spans="1:8">
      <c r="A128" s="53"/>
      <c r="C128" s="28"/>
      <c r="D128" s="28"/>
      <c r="E128" s="23" t="s">
        <v>16</v>
      </c>
      <c r="F128" s="23" t="s">
        <v>16</v>
      </c>
      <c r="G128" s="23" t="s">
        <v>16</v>
      </c>
      <c r="H128" s="23" t="s">
        <v>16</v>
      </c>
    </row>
    <row r="129" spans="1:8">
      <c r="A129" s="53"/>
      <c r="C129" s="28"/>
      <c r="D129" s="28"/>
      <c r="E129" s="23" t="s">
        <v>16</v>
      </c>
      <c r="F129" s="23" t="s">
        <v>16</v>
      </c>
      <c r="G129" s="23" t="s">
        <v>16</v>
      </c>
      <c r="H129" s="23" t="s">
        <v>16</v>
      </c>
    </row>
    <row r="130" spans="1:8">
      <c r="A130" s="53"/>
      <c r="C130" s="28"/>
      <c r="D130" s="28"/>
      <c r="E130" s="23" t="s">
        <v>16</v>
      </c>
      <c r="F130" s="23" t="s">
        <v>16</v>
      </c>
      <c r="G130" s="23" t="s">
        <v>16</v>
      </c>
      <c r="H130" s="23" t="s">
        <v>16</v>
      </c>
    </row>
    <row r="131" spans="1:8">
      <c r="A131" s="53"/>
      <c r="C131" s="28"/>
      <c r="D131" s="28"/>
      <c r="E131" s="23" t="s">
        <v>16</v>
      </c>
      <c r="F131" s="23" t="s">
        <v>16</v>
      </c>
      <c r="G131" s="23" t="s">
        <v>16</v>
      </c>
      <c r="H131" s="23" t="s">
        <v>16</v>
      </c>
    </row>
    <row r="132" spans="1:8">
      <c r="A132" s="53"/>
      <c r="C132" s="28"/>
      <c r="D132" s="28"/>
      <c r="E132" s="23" t="s">
        <v>16</v>
      </c>
      <c r="F132" s="23" t="s">
        <v>16</v>
      </c>
      <c r="G132" s="23" t="s">
        <v>16</v>
      </c>
      <c r="H132" s="23" t="s">
        <v>16</v>
      </c>
    </row>
    <row r="133" spans="1:8">
      <c r="A133" s="53"/>
      <c r="C133" s="28"/>
      <c r="D133" s="28"/>
      <c r="E133" s="23" t="s">
        <v>16</v>
      </c>
      <c r="F133" s="23" t="s">
        <v>16</v>
      </c>
      <c r="G133" s="23" t="s">
        <v>16</v>
      </c>
      <c r="H133" s="23" t="s">
        <v>16</v>
      </c>
    </row>
    <row r="134" spans="1:8">
      <c r="A134" s="53"/>
      <c r="C134" s="28"/>
      <c r="D134" s="28"/>
      <c r="E134" s="23" t="s">
        <v>16</v>
      </c>
      <c r="F134" s="23" t="s">
        <v>16</v>
      </c>
      <c r="G134" s="23" t="s">
        <v>16</v>
      </c>
      <c r="H134" s="23" t="s">
        <v>16</v>
      </c>
    </row>
    <row r="135" spans="1:8">
      <c r="A135" s="53"/>
      <c r="C135" s="28"/>
      <c r="D135" s="28"/>
      <c r="E135" s="23" t="s">
        <v>16</v>
      </c>
      <c r="F135" s="23" t="s">
        <v>16</v>
      </c>
      <c r="G135" s="23" t="s">
        <v>16</v>
      </c>
      <c r="H135" s="23" t="s">
        <v>16</v>
      </c>
    </row>
    <row r="136" spans="1:8">
      <c r="A136" s="53"/>
      <c r="C136" s="28"/>
      <c r="D136" s="28"/>
      <c r="E136" s="23" t="s">
        <v>16</v>
      </c>
      <c r="F136" s="23" t="s">
        <v>16</v>
      </c>
      <c r="G136" s="23" t="s">
        <v>16</v>
      </c>
      <c r="H136" s="23" t="s">
        <v>16</v>
      </c>
    </row>
    <row r="137" spans="1:8">
      <c r="A137" s="53"/>
      <c r="C137" s="28"/>
      <c r="D137" s="28"/>
      <c r="E137" s="23" t="s">
        <v>16</v>
      </c>
      <c r="F137" s="23" t="s">
        <v>16</v>
      </c>
      <c r="G137" s="23" t="s">
        <v>16</v>
      </c>
      <c r="H137" s="23" t="s">
        <v>16</v>
      </c>
    </row>
    <row r="138" spans="1:8">
      <c r="A138" s="53"/>
      <c r="C138" s="28"/>
      <c r="D138" s="28"/>
      <c r="E138" s="23" t="s">
        <v>16</v>
      </c>
      <c r="F138" s="23" t="s">
        <v>16</v>
      </c>
      <c r="G138" s="23" t="s">
        <v>16</v>
      </c>
      <c r="H138" s="23" t="s">
        <v>16</v>
      </c>
    </row>
    <row r="139" spans="1:8">
      <c r="A139" s="53"/>
      <c r="C139" s="28"/>
      <c r="D139" s="28"/>
      <c r="E139" s="23" t="s">
        <v>16</v>
      </c>
      <c r="F139" s="23" t="s">
        <v>16</v>
      </c>
      <c r="G139" s="23" t="s">
        <v>16</v>
      </c>
      <c r="H139" s="23" t="s">
        <v>16</v>
      </c>
    </row>
    <row r="140" spans="1:8">
      <c r="A140" s="53"/>
      <c r="C140" s="28"/>
      <c r="D140" s="28"/>
      <c r="E140" s="23" t="s">
        <v>16</v>
      </c>
      <c r="F140" s="23" t="s">
        <v>16</v>
      </c>
      <c r="G140" s="23" t="s">
        <v>16</v>
      </c>
      <c r="H140" s="23" t="s">
        <v>16</v>
      </c>
    </row>
    <row r="141" spans="1:8">
      <c r="A141" s="53"/>
      <c r="C141" s="28"/>
      <c r="D141" s="28"/>
      <c r="E141" s="23" t="s">
        <v>16</v>
      </c>
      <c r="F141" s="23" t="s">
        <v>16</v>
      </c>
      <c r="G141" s="23" t="s">
        <v>16</v>
      </c>
      <c r="H141" s="23" t="s">
        <v>16</v>
      </c>
    </row>
    <row r="142" spans="1:8">
      <c r="A142" s="53"/>
      <c r="C142" s="28"/>
      <c r="D142" s="28"/>
      <c r="E142" s="23" t="s">
        <v>16</v>
      </c>
      <c r="F142" s="23" t="s">
        <v>16</v>
      </c>
      <c r="G142" s="23" t="s">
        <v>16</v>
      </c>
      <c r="H142" s="23" t="s">
        <v>16</v>
      </c>
    </row>
    <row r="143" spans="1:8">
      <c r="A143" s="53"/>
      <c r="C143" s="28"/>
      <c r="D143" s="28"/>
      <c r="E143" s="23" t="s">
        <v>16</v>
      </c>
      <c r="F143" s="23" t="s">
        <v>16</v>
      </c>
      <c r="G143" s="23" t="s">
        <v>16</v>
      </c>
      <c r="H143" s="23" t="s">
        <v>16</v>
      </c>
    </row>
    <row r="144" spans="1:8">
      <c r="A144" s="53"/>
      <c r="C144" s="28"/>
      <c r="D144" s="28"/>
      <c r="E144" s="23" t="s">
        <v>16</v>
      </c>
      <c r="F144" s="23" t="s">
        <v>16</v>
      </c>
      <c r="G144" s="23" t="s">
        <v>16</v>
      </c>
      <c r="H144" s="23" t="s">
        <v>16</v>
      </c>
    </row>
    <row r="145" spans="1:8">
      <c r="A145" s="53"/>
      <c r="C145" s="28"/>
      <c r="D145" s="28"/>
      <c r="E145" s="23" t="s">
        <v>16</v>
      </c>
      <c r="F145" s="23" t="s">
        <v>16</v>
      </c>
      <c r="G145" s="23" t="s">
        <v>16</v>
      </c>
      <c r="H145" s="23" t="s">
        <v>16</v>
      </c>
    </row>
    <row r="146" spans="1:8">
      <c r="A146" s="53"/>
      <c r="C146" s="28"/>
      <c r="D146" s="28"/>
      <c r="E146" s="23" t="s">
        <v>16</v>
      </c>
      <c r="F146" s="23" t="s">
        <v>16</v>
      </c>
      <c r="G146" s="23" t="s">
        <v>16</v>
      </c>
      <c r="H146" s="23" t="s">
        <v>16</v>
      </c>
    </row>
    <row r="147" spans="1:8">
      <c r="A147" s="53"/>
      <c r="C147" s="28"/>
      <c r="D147" s="28"/>
      <c r="E147" s="23" t="s">
        <v>16</v>
      </c>
      <c r="F147" s="23" t="s">
        <v>16</v>
      </c>
      <c r="G147" s="23" t="s">
        <v>16</v>
      </c>
      <c r="H147" s="23" t="s">
        <v>16</v>
      </c>
    </row>
    <row r="148" spans="1:8">
      <c r="A148" s="53"/>
      <c r="C148" s="28"/>
      <c r="D148" s="28"/>
      <c r="E148" s="23" t="s">
        <v>16</v>
      </c>
      <c r="F148" s="23" t="s">
        <v>16</v>
      </c>
      <c r="G148" s="23" t="s">
        <v>16</v>
      </c>
      <c r="H148" s="23" t="s">
        <v>16</v>
      </c>
    </row>
    <row r="149" spans="1:8">
      <c r="A149" s="53"/>
      <c r="C149" s="28"/>
      <c r="D149" s="28"/>
      <c r="E149" s="23" t="s">
        <v>16</v>
      </c>
      <c r="F149" s="23" t="s">
        <v>16</v>
      </c>
      <c r="G149" s="23" t="s">
        <v>16</v>
      </c>
      <c r="H149" s="23" t="s">
        <v>16</v>
      </c>
    </row>
    <row r="150" spans="1:8">
      <c r="A150" s="53"/>
      <c r="C150" s="28"/>
      <c r="D150" s="28"/>
      <c r="E150" s="23" t="s">
        <v>16</v>
      </c>
      <c r="F150" s="23" t="s">
        <v>16</v>
      </c>
      <c r="G150" s="23" t="s">
        <v>16</v>
      </c>
      <c r="H150" s="23" t="s">
        <v>16</v>
      </c>
    </row>
    <row r="151" spans="1:8">
      <c r="A151" s="53"/>
      <c r="C151" s="28"/>
      <c r="D151" s="28"/>
      <c r="E151" s="23" t="s">
        <v>16</v>
      </c>
      <c r="F151" s="23" t="s">
        <v>16</v>
      </c>
      <c r="G151" s="23" t="s">
        <v>16</v>
      </c>
      <c r="H151" s="23" t="s">
        <v>16</v>
      </c>
    </row>
    <row r="152" spans="1:8">
      <c r="A152" s="53"/>
      <c r="C152" s="28"/>
      <c r="D152" s="28"/>
      <c r="E152" s="23" t="s">
        <v>16</v>
      </c>
      <c r="F152" s="23" t="s">
        <v>16</v>
      </c>
      <c r="G152" s="23" t="s">
        <v>16</v>
      </c>
      <c r="H152" s="23" t="s">
        <v>16</v>
      </c>
    </row>
    <row r="153" spans="1:8">
      <c r="A153" s="53"/>
      <c r="C153" s="28"/>
      <c r="D153" s="28"/>
      <c r="E153" s="23" t="s">
        <v>16</v>
      </c>
      <c r="F153" s="23" t="s">
        <v>16</v>
      </c>
      <c r="G153" s="23" t="s">
        <v>16</v>
      </c>
      <c r="H153" s="23" t="s">
        <v>16</v>
      </c>
    </row>
    <row r="154" spans="1:8">
      <c r="A154" s="53"/>
      <c r="C154" s="28"/>
      <c r="D154" s="28"/>
      <c r="E154" s="23" t="s">
        <v>16</v>
      </c>
      <c r="F154" s="23" t="s">
        <v>16</v>
      </c>
      <c r="G154" s="23" t="s">
        <v>16</v>
      </c>
      <c r="H154" s="23" t="s">
        <v>16</v>
      </c>
    </row>
    <row r="155" spans="1:8">
      <c r="A155" s="53"/>
      <c r="C155" s="28"/>
      <c r="D155" s="28"/>
      <c r="E155" s="23" t="s">
        <v>16</v>
      </c>
      <c r="F155" s="23" t="s">
        <v>16</v>
      </c>
      <c r="G155" s="23" t="s">
        <v>16</v>
      </c>
      <c r="H155" s="23" t="s">
        <v>16</v>
      </c>
    </row>
    <row r="156" spans="1:8">
      <c r="A156" s="53"/>
      <c r="C156" s="28"/>
      <c r="D156" s="28"/>
      <c r="E156" s="23" t="s">
        <v>16</v>
      </c>
      <c r="F156" s="23" t="s">
        <v>16</v>
      </c>
      <c r="G156" s="23" t="s">
        <v>16</v>
      </c>
      <c r="H156" s="23" t="s">
        <v>16</v>
      </c>
    </row>
    <row r="157" spans="1:8">
      <c r="A157" s="53"/>
      <c r="C157" s="28"/>
      <c r="D157" s="28"/>
      <c r="E157" s="23" t="s">
        <v>16</v>
      </c>
      <c r="F157" s="23" t="s">
        <v>16</v>
      </c>
      <c r="G157" s="23" t="s">
        <v>16</v>
      </c>
      <c r="H157" s="23" t="s">
        <v>16</v>
      </c>
    </row>
    <row r="158" spans="1:8">
      <c r="A158" s="53"/>
      <c r="C158" s="28"/>
      <c r="D158" s="28"/>
      <c r="E158" s="23" t="s">
        <v>16</v>
      </c>
      <c r="F158" s="23" t="s">
        <v>16</v>
      </c>
      <c r="G158" s="23" t="s">
        <v>16</v>
      </c>
      <c r="H158" s="23" t="s">
        <v>16</v>
      </c>
    </row>
    <row r="159" spans="1:8">
      <c r="A159" s="53"/>
      <c r="C159" s="28"/>
      <c r="D159" s="28"/>
      <c r="E159" s="23" t="s">
        <v>16</v>
      </c>
      <c r="F159" s="23" t="s">
        <v>16</v>
      </c>
      <c r="G159" s="23" t="s">
        <v>16</v>
      </c>
      <c r="H159" s="23" t="s">
        <v>16</v>
      </c>
    </row>
    <row r="160" spans="1:8">
      <c r="A160" s="53"/>
      <c r="C160" s="28"/>
      <c r="D160" s="28"/>
      <c r="E160" s="23" t="s">
        <v>16</v>
      </c>
      <c r="F160" s="23" t="s">
        <v>16</v>
      </c>
      <c r="G160" s="23" t="s">
        <v>16</v>
      </c>
      <c r="H160" s="23" t="s">
        <v>16</v>
      </c>
    </row>
    <row r="161" spans="1:8">
      <c r="A161" s="53"/>
      <c r="C161" s="28"/>
      <c r="D161" s="28"/>
      <c r="E161" s="23" t="s">
        <v>16</v>
      </c>
      <c r="F161" s="23" t="s">
        <v>16</v>
      </c>
      <c r="G161" s="23" t="s">
        <v>16</v>
      </c>
      <c r="H161" s="23" t="s">
        <v>16</v>
      </c>
    </row>
    <row r="162" spans="1:8">
      <c r="A162" s="53"/>
      <c r="C162" s="28"/>
      <c r="D162" s="28"/>
      <c r="E162" s="23" t="s">
        <v>16</v>
      </c>
      <c r="F162" s="23" t="s">
        <v>16</v>
      </c>
      <c r="G162" s="23" t="s">
        <v>16</v>
      </c>
      <c r="H162" s="23" t="s">
        <v>16</v>
      </c>
    </row>
    <row r="163" spans="1:8">
      <c r="A163" s="53"/>
      <c r="C163" s="28"/>
      <c r="D163" s="28"/>
      <c r="E163" s="23" t="s">
        <v>16</v>
      </c>
      <c r="F163" s="23" t="s">
        <v>16</v>
      </c>
      <c r="G163" s="23" t="s">
        <v>16</v>
      </c>
      <c r="H163" s="23" t="s">
        <v>16</v>
      </c>
    </row>
    <row r="164" spans="1:8">
      <c r="A164" s="53"/>
      <c r="C164" s="28"/>
      <c r="D164" s="28"/>
      <c r="E164" s="23" t="s">
        <v>16</v>
      </c>
      <c r="F164" s="23" t="s">
        <v>16</v>
      </c>
      <c r="G164" s="23" t="s">
        <v>16</v>
      </c>
      <c r="H164" s="23" t="s">
        <v>16</v>
      </c>
    </row>
    <row r="165" spans="1:8">
      <c r="A165" s="53"/>
      <c r="C165" s="28"/>
      <c r="D165" s="28"/>
      <c r="E165" s="23" t="s">
        <v>16</v>
      </c>
      <c r="F165" s="23" t="s">
        <v>16</v>
      </c>
      <c r="G165" s="23" t="s">
        <v>16</v>
      </c>
      <c r="H165" s="23" t="s">
        <v>16</v>
      </c>
    </row>
    <row r="166" spans="1:8">
      <c r="A166" s="53"/>
      <c r="C166" s="28"/>
      <c r="D166" s="28"/>
      <c r="E166" s="23" t="s">
        <v>16</v>
      </c>
      <c r="F166" s="23" t="s">
        <v>16</v>
      </c>
      <c r="G166" s="23" t="s">
        <v>16</v>
      </c>
      <c r="H166" s="23" t="s">
        <v>16</v>
      </c>
    </row>
    <row r="167" spans="1:8">
      <c r="A167" s="53"/>
      <c r="C167" s="28"/>
      <c r="D167" s="28"/>
      <c r="E167" s="23" t="s">
        <v>16</v>
      </c>
      <c r="F167" s="23" t="s">
        <v>16</v>
      </c>
      <c r="G167" s="23" t="s">
        <v>16</v>
      </c>
      <c r="H167" s="23" t="s">
        <v>16</v>
      </c>
    </row>
    <row r="168" spans="1:8">
      <c r="A168" s="53"/>
      <c r="C168" s="28"/>
      <c r="D168" s="28"/>
      <c r="E168" s="23" t="s">
        <v>16</v>
      </c>
      <c r="F168" s="23" t="s">
        <v>16</v>
      </c>
      <c r="G168" s="23" t="s">
        <v>16</v>
      </c>
      <c r="H168" s="23" t="s">
        <v>16</v>
      </c>
    </row>
    <row r="169" spans="1:8">
      <c r="A169" s="53"/>
      <c r="C169" s="28"/>
      <c r="D169" s="28"/>
      <c r="E169" s="23" t="s">
        <v>16</v>
      </c>
      <c r="F169" s="23" t="s">
        <v>16</v>
      </c>
      <c r="G169" s="23" t="s">
        <v>16</v>
      </c>
      <c r="H169" s="23" t="s">
        <v>16</v>
      </c>
    </row>
    <row r="170" spans="1:8">
      <c r="A170" s="53"/>
      <c r="C170" s="28"/>
      <c r="D170" s="28"/>
      <c r="E170" s="23" t="s">
        <v>16</v>
      </c>
      <c r="F170" s="23" t="s">
        <v>16</v>
      </c>
      <c r="G170" s="23" t="s">
        <v>16</v>
      </c>
      <c r="H170" s="23" t="s">
        <v>16</v>
      </c>
    </row>
    <row r="171" spans="1:8">
      <c r="A171" s="53"/>
      <c r="C171" s="28"/>
      <c r="D171" s="28"/>
      <c r="E171" s="23" t="s">
        <v>16</v>
      </c>
      <c r="F171" s="23" t="s">
        <v>16</v>
      </c>
      <c r="G171" s="23" t="s">
        <v>16</v>
      </c>
      <c r="H171" s="23" t="s">
        <v>16</v>
      </c>
    </row>
    <row r="172" spans="1:8">
      <c r="A172" s="53"/>
      <c r="C172" s="28"/>
      <c r="D172" s="28"/>
      <c r="E172" s="23" t="s">
        <v>16</v>
      </c>
      <c r="F172" s="23" t="s">
        <v>16</v>
      </c>
      <c r="G172" s="23" t="s">
        <v>16</v>
      </c>
      <c r="H172" s="23" t="s">
        <v>16</v>
      </c>
    </row>
    <row r="173" spans="1:8">
      <c r="A173" s="53"/>
      <c r="C173" s="28"/>
      <c r="D173" s="28"/>
      <c r="E173" s="23" t="s">
        <v>16</v>
      </c>
      <c r="F173" s="23" t="s">
        <v>16</v>
      </c>
      <c r="G173" s="23" t="s">
        <v>16</v>
      </c>
      <c r="H173" s="23" t="s">
        <v>16</v>
      </c>
    </row>
    <row r="174" spans="1:8">
      <c r="A174" s="53"/>
      <c r="C174" s="28"/>
      <c r="D174" s="28"/>
      <c r="E174" s="23" t="s">
        <v>16</v>
      </c>
      <c r="F174" s="23" t="s">
        <v>16</v>
      </c>
      <c r="G174" s="23" t="s">
        <v>16</v>
      </c>
      <c r="H174" s="23" t="s">
        <v>16</v>
      </c>
    </row>
    <row r="175" spans="1:8">
      <c r="A175" s="53"/>
      <c r="C175" s="28"/>
      <c r="D175" s="28"/>
      <c r="E175" s="23" t="s">
        <v>16</v>
      </c>
      <c r="F175" s="23" t="s">
        <v>16</v>
      </c>
      <c r="G175" s="23" t="s">
        <v>16</v>
      </c>
      <c r="H175" s="23" t="s">
        <v>16</v>
      </c>
    </row>
    <row r="176" spans="1:8">
      <c r="A176" s="53"/>
      <c r="C176" s="28"/>
      <c r="D176" s="28"/>
      <c r="E176" s="23" t="s">
        <v>16</v>
      </c>
      <c r="F176" s="23" t="s">
        <v>16</v>
      </c>
      <c r="G176" s="23" t="s">
        <v>16</v>
      </c>
      <c r="H176" s="23" t="s">
        <v>16</v>
      </c>
    </row>
    <row r="177" spans="1:8">
      <c r="A177" s="53"/>
      <c r="C177" s="28"/>
      <c r="D177" s="28"/>
      <c r="E177" s="23" t="s">
        <v>16</v>
      </c>
      <c r="F177" s="23" t="s">
        <v>16</v>
      </c>
      <c r="G177" s="23" t="s">
        <v>16</v>
      </c>
      <c r="H177" s="23" t="s">
        <v>16</v>
      </c>
    </row>
    <row r="178" spans="1:8">
      <c r="A178" s="53"/>
      <c r="C178" s="28"/>
      <c r="D178" s="28"/>
      <c r="E178" s="23" t="s">
        <v>16</v>
      </c>
      <c r="F178" s="23" t="s">
        <v>16</v>
      </c>
      <c r="G178" s="23" t="s">
        <v>16</v>
      </c>
      <c r="H178" s="23" t="s">
        <v>16</v>
      </c>
    </row>
    <row r="179" spans="1:8">
      <c r="A179" s="53"/>
      <c r="C179" s="28"/>
      <c r="D179" s="28"/>
      <c r="E179" s="23" t="s">
        <v>16</v>
      </c>
      <c r="F179" s="23" t="s">
        <v>16</v>
      </c>
      <c r="G179" s="23" t="s">
        <v>16</v>
      </c>
      <c r="H179" s="23" t="s">
        <v>16</v>
      </c>
    </row>
    <row r="180" spans="1:8">
      <c r="A180" s="53"/>
      <c r="C180" s="28"/>
      <c r="D180" s="28"/>
      <c r="E180" s="23" t="s">
        <v>16</v>
      </c>
      <c r="F180" s="23" t="s">
        <v>16</v>
      </c>
      <c r="G180" s="23" t="s">
        <v>16</v>
      </c>
      <c r="H180" s="23" t="s">
        <v>16</v>
      </c>
    </row>
    <row r="181" spans="1:8">
      <c r="A181" s="53"/>
      <c r="C181" s="28"/>
      <c r="D181" s="28"/>
      <c r="E181" s="23" t="s">
        <v>16</v>
      </c>
      <c r="F181" s="23" t="s">
        <v>16</v>
      </c>
      <c r="G181" s="23" t="s">
        <v>16</v>
      </c>
      <c r="H181" s="23" t="s">
        <v>16</v>
      </c>
    </row>
    <row r="182" spans="1:8">
      <c r="A182" s="53"/>
      <c r="C182" s="28"/>
      <c r="D182" s="28"/>
      <c r="E182" s="23" t="s">
        <v>16</v>
      </c>
      <c r="F182" s="23" t="s">
        <v>16</v>
      </c>
      <c r="G182" s="23" t="s">
        <v>16</v>
      </c>
      <c r="H182" s="23" t="s">
        <v>16</v>
      </c>
    </row>
    <row r="183" spans="1:8">
      <c r="A183" s="53"/>
      <c r="C183" s="28"/>
      <c r="D183" s="28"/>
      <c r="E183" s="23"/>
      <c r="F183" s="23"/>
      <c r="G183" s="23"/>
      <c r="H183" s="23"/>
    </row>
    <row r="184" spans="1:8">
      <c r="A184" s="53"/>
      <c r="C184" s="28"/>
      <c r="D184" s="28"/>
      <c r="E184" s="23"/>
      <c r="F184" s="23"/>
      <c r="G184" s="23"/>
      <c r="H184" s="23"/>
    </row>
    <row r="185" spans="1:8">
      <c r="A185" s="53"/>
      <c r="C185" s="28"/>
      <c r="D185" s="28"/>
      <c r="E185" s="23"/>
      <c r="F185" s="23"/>
      <c r="G185" s="23"/>
      <c r="H185" s="23"/>
    </row>
    <row r="186" spans="1:8">
      <c r="A186" s="53"/>
      <c r="C186" s="28"/>
      <c r="D186" s="28"/>
      <c r="E186" s="23"/>
      <c r="F186" s="23"/>
      <c r="G186" s="23"/>
      <c r="H186" s="23"/>
    </row>
    <row r="187" spans="1:8">
      <c r="A187" s="53"/>
      <c r="C187" s="28"/>
      <c r="D187" s="28"/>
      <c r="E187" s="23"/>
      <c r="F187" s="23"/>
      <c r="G187" s="23"/>
      <c r="H187" s="23"/>
    </row>
    <row r="188" spans="1:8">
      <c r="A188" s="53"/>
      <c r="C188" s="28"/>
      <c r="D188" s="28"/>
      <c r="E188" s="23"/>
      <c r="F188" s="23"/>
      <c r="G188" s="23"/>
      <c r="H188" s="23"/>
    </row>
    <row r="189" spans="1:8">
      <c r="A189" s="53"/>
      <c r="C189" s="28"/>
      <c r="D189" s="28"/>
      <c r="E189" s="23"/>
      <c r="F189" s="23"/>
      <c r="G189" s="23"/>
      <c r="H189" s="23"/>
    </row>
    <row r="190" spans="1:8">
      <c r="A190" s="53"/>
      <c r="C190" s="28"/>
      <c r="D190" s="28"/>
      <c r="E190" s="23"/>
      <c r="F190" s="23"/>
      <c r="G190" s="23"/>
      <c r="H190" s="23"/>
    </row>
    <row r="191" spans="1:8">
      <c r="A191" s="53"/>
      <c r="C191" s="28"/>
      <c r="D191" s="28"/>
      <c r="E191" s="23"/>
      <c r="F191" s="23"/>
      <c r="G191" s="23"/>
      <c r="H191" s="23"/>
    </row>
    <row r="192" spans="1:8">
      <c r="A192" s="53"/>
      <c r="C192" s="28"/>
      <c r="D192" s="28"/>
      <c r="E192" s="23"/>
      <c r="F192" s="23"/>
      <c r="G192" s="23"/>
      <c r="H192" s="23"/>
    </row>
    <row r="193" spans="1:8">
      <c r="A193" s="53"/>
      <c r="C193" s="28"/>
      <c r="D193" s="28"/>
      <c r="E193" s="23"/>
      <c r="F193" s="23"/>
      <c r="G193" s="23"/>
      <c r="H193" s="23"/>
    </row>
    <row r="194" spans="1:8">
      <c r="A194" s="53"/>
      <c r="C194" s="28"/>
      <c r="D194" s="28"/>
      <c r="E194" s="23"/>
      <c r="F194" s="23"/>
      <c r="G194" s="23"/>
      <c r="H194" s="23"/>
    </row>
    <row r="195" spans="1:8">
      <c r="A195" s="53"/>
      <c r="C195" s="28"/>
      <c r="D195" s="28"/>
      <c r="E195" s="23"/>
      <c r="F195" s="23"/>
      <c r="G195" s="23"/>
      <c r="H195" s="23"/>
    </row>
    <row r="196" spans="1:8">
      <c r="A196" s="53"/>
      <c r="C196" s="28"/>
      <c r="D196" s="28"/>
      <c r="E196" s="23"/>
      <c r="F196" s="23"/>
      <c r="G196" s="23"/>
      <c r="H196" s="23"/>
    </row>
    <row r="197" spans="1:8">
      <c r="A197" s="53"/>
      <c r="C197" s="28"/>
      <c r="D197" s="28"/>
      <c r="E197" s="23"/>
      <c r="F197" s="23"/>
      <c r="G197" s="23"/>
      <c r="H197" s="23"/>
    </row>
    <row r="198" spans="1:8">
      <c r="A198" s="53"/>
      <c r="C198" s="28"/>
      <c r="D198" s="28"/>
      <c r="E198" s="23"/>
      <c r="F198" s="23"/>
      <c r="G198" s="23"/>
      <c r="H198" s="23"/>
    </row>
    <row r="199" spans="1:8">
      <c r="A199" s="53"/>
      <c r="C199" s="28"/>
      <c r="D199" s="28"/>
      <c r="E199" s="23"/>
      <c r="F199" s="23"/>
      <c r="G199" s="23"/>
      <c r="H199" s="23"/>
    </row>
    <row r="200" spans="1:8">
      <c r="A200" s="53"/>
      <c r="C200" s="28"/>
      <c r="D200" s="28"/>
      <c r="E200" s="23"/>
      <c r="F200" s="23"/>
      <c r="G200" s="23"/>
      <c r="H200" s="23"/>
    </row>
    <row r="201" spans="1:8">
      <c r="A201" s="53"/>
      <c r="C201" s="28"/>
      <c r="D201" s="28"/>
      <c r="E201" s="23"/>
      <c r="F201" s="23"/>
      <c r="G201" s="23"/>
      <c r="H201" s="23"/>
    </row>
    <row r="202" spans="1:8">
      <c r="A202" s="53"/>
      <c r="C202" s="28"/>
      <c r="D202" s="28"/>
      <c r="E202" s="23"/>
      <c r="F202" s="23"/>
      <c r="G202" s="23"/>
      <c r="H202" s="23"/>
    </row>
    <row r="203" spans="1:8">
      <c r="A203" s="53"/>
      <c r="C203" s="28"/>
      <c r="D203" s="28"/>
      <c r="E203" s="23"/>
      <c r="F203" s="23"/>
      <c r="G203" s="23"/>
      <c r="H203" s="23"/>
    </row>
    <row r="204" spans="1:8">
      <c r="A204" s="53"/>
      <c r="C204" s="28"/>
      <c r="D204" s="28"/>
      <c r="E204" s="23"/>
      <c r="F204" s="23"/>
      <c r="G204" s="23"/>
      <c r="H204" s="23"/>
    </row>
    <row r="205" spans="1:8">
      <c r="A205" s="53"/>
      <c r="C205" s="28"/>
      <c r="D205" s="28"/>
      <c r="E205" s="23"/>
      <c r="F205" s="23"/>
      <c r="G205" s="23"/>
      <c r="H205" s="23"/>
    </row>
    <row r="206" spans="1:8">
      <c r="A206" s="53"/>
      <c r="C206" s="28"/>
      <c r="D206" s="28"/>
      <c r="E206" s="23"/>
      <c r="F206" s="23"/>
      <c r="G206" s="23"/>
      <c r="H206" s="23"/>
    </row>
    <row r="207" spans="1:8">
      <c r="A207" s="53"/>
      <c r="C207" s="28"/>
      <c r="D207" s="28"/>
      <c r="E207" s="23"/>
      <c r="F207" s="23"/>
      <c r="G207" s="23"/>
      <c r="H207" s="23"/>
    </row>
    <row r="208" spans="1:8">
      <c r="A208" s="53"/>
      <c r="C208" s="28"/>
      <c r="D208" s="28"/>
      <c r="E208" s="23"/>
      <c r="F208" s="23"/>
      <c r="G208" s="23"/>
      <c r="H208" s="23"/>
    </row>
    <row r="209" spans="1:8">
      <c r="A209" s="53"/>
      <c r="C209" s="28"/>
      <c r="D209" s="28"/>
      <c r="E209" s="23"/>
      <c r="F209" s="23"/>
      <c r="G209" s="23"/>
      <c r="H209" s="23"/>
    </row>
    <row r="210" spans="1:8">
      <c r="A210" s="53"/>
      <c r="C210" s="28"/>
      <c r="D210" s="28"/>
      <c r="E210" s="23"/>
      <c r="F210" s="23"/>
      <c r="G210" s="23"/>
      <c r="H210" s="23"/>
    </row>
    <row r="211" spans="1:8">
      <c r="A211" s="53"/>
      <c r="C211" s="28"/>
      <c r="D211" s="28"/>
      <c r="E211" s="23"/>
      <c r="F211" s="23"/>
      <c r="G211" s="23"/>
      <c r="H211" s="23"/>
    </row>
    <row r="212" spans="1:8">
      <c r="A212" s="53"/>
      <c r="C212" s="28"/>
      <c r="D212" s="28"/>
      <c r="E212" s="23"/>
      <c r="F212" s="23"/>
      <c r="G212" s="23"/>
      <c r="H212" s="23"/>
    </row>
    <row r="213" spans="1:8">
      <c r="A213" s="53"/>
      <c r="C213" s="28"/>
      <c r="D213" s="28"/>
      <c r="E213" s="23"/>
      <c r="F213" s="23"/>
      <c r="G213" s="23"/>
      <c r="H213" s="23"/>
    </row>
    <row r="214" spans="1:8">
      <c r="A214" s="53"/>
      <c r="C214" s="28"/>
      <c r="D214" s="28"/>
      <c r="E214" s="23"/>
      <c r="F214" s="23"/>
      <c r="G214" s="23"/>
      <c r="H214" s="23"/>
    </row>
    <row r="215" spans="1:8">
      <c r="A215" s="53"/>
      <c r="C215" s="28"/>
      <c r="D215" s="28"/>
      <c r="E215" s="23"/>
      <c r="F215" s="23"/>
      <c r="G215" s="23"/>
      <c r="H215" s="23"/>
    </row>
    <row r="216" spans="1:8">
      <c r="A216" s="53"/>
      <c r="C216" s="28"/>
      <c r="D216" s="28"/>
      <c r="E216" s="23"/>
      <c r="F216" s="23"/>
      <c r="G216" s="23"/>
      <c r="H216" s="23"/>
    </row>
    <row r="217" spans="1:8">
      <c r="A217" s="53"/>
      <c r="C217" s="28"/>
      <c r="D217" s="28"/>
      <c r="E217" s="23"/>
      <c r="F217" s="23"/>
      <c r="G217" s="23"/>
      <c r="H217" s="23"/>
    </row>
    <row r="218" spans="1:8">
      <c r="A218" s="53"/>
      <c r="C218" s="28"/>
      <c r="D218" s="28"/>
      <c r="E218" s="23"/>
      <c r="F218" s="23"/>
      <c r="G218" s="23"/>
      <c r="H218" s="23"/>
    </row>
    <row r="219" spans="1:8">
      <c r="A219" s="53"/>
      <c r="C219" s="28"/>
      <c r="D219" s="28"/>
      <c r="E219" s="23"/>
      <c r="F219" s="23"/>
      <c r="G219" s="23"/>
      <c r="H219" s="23"/>
    </row>
    <row r="220" spans="1:8">
      <c r="A220" s="53"/>
      <c r="C220" s="28"/>
      <c r="D220" s="28"/>
      <c r="E220" s="23"/>
      <c r="F220" s="23"/>
      <c r="G220" s="23"/>
      <c r="H220" s="23"/>
    </row>
    <row r="221" spans="1:8">
      <c r="A221" s="53"/>
      <c r="C221" s="28"/>
      <c r="D221" s="28"/>
      <c r="E221" s="23"/>
      <c r="F221" s="23"/>
      <c r="G221" s="23"/>
      <c r="H221" s="23"/>
    </row>
    <row r="222" spans="1:8">
      <c r="A222" s="53"/>
      <c r="C222" s="28"/>
      <c r="D222" s="28"/>
      <c r="E222" s="44"/>
      <c r="F222" s="44"/>
      <c r="G222" s="44"/>
      <c r="H222" s="44"/>
    </row>
    <row r="223" spans="1:8">
      <c r="A223" s="53"/>
      <c r="C223" s="28"/>
      <c r="D223" s="28"/>
      <c r="E223" s="44"/>
      <c r="F223" s="44"/>
      <c r="G223" s="44"/>
      <c r="H223" s="44"/>
    </row>
    <row r="224" spans="1:8">
      <c r="A224" s="53"/>
      <c r="C224" s="28"/>
      <c r="D224" s="28"/>
      <c r="E224" s="44"/>
      <c r="F224" s="44"/>
      <c r="G224" s="44"/>
      <c r="H224" s="44"/>
    </row>
    <row r="225" spans="1:8">
      <c r="A225" s="53"/>
      <c r="C225" s="28"/>
      <c r="D225" s="28"/>
      <c r="E225" s="44"/>
      <c r="F225" s="44"/>
      <c r="G225" s="44"/>
      <c r="H225" s="44"/>
    </row>
    <row r="226" spans="1:8">
      <c r="A226" s="53"/>
      <c r="C226" s="28"/>
      <c r="D226" s="28"/>
      <c r="E226" s="44"/>
      <c r="F226" s="44"/>
      <c r="G226" s="44"/>
      <c r="H226" s="44"/>
    </row>
    <row r="227" spans="1:8">
      <c r="A227" s="53"/>
      <c r="C227" s="28"/>
      <c r="D227" s="28"/>
      <c r="E227" s="44"/>
      <c r="F227" s="44"/>
      <c r="G227" s="44"/>
      <c r="H227" s="44"/>
    </row>
    <row r="228" spans="1:8">
      <c r="A228" s="53"/>
      <c r="C228" s="28"/>
      <c r="D228" s="28"/>
      <c r="E228" s="44"/>
      <c r="F228" s="44"/>
      <c r="G228" s="44"/>
      <c r="H228" s="44"/>
    </row>
    <row r="229" spans="1:8">
      <c r="A229" s="53"/>
      <c r="C229" s="28"/>
      <c r="D229" s="28"/>
      <c r="E229" s="44"/>
      <c r="F229" s="44"/>
      <c r="G229" s="44"/>
      <c r="H229" s="44"/>
    </row>
    <row r="230" spans="1:8">
      <c r="A230" s="53"/>
      <c r="C230" s="28"/>
      <c r="D230" s="28"/>
      <c r="E230" s="44"/>
      <c r="F230" s="44"/>
      <c r="G230" s="44"/>
      <c r="H230" s="44"/>
    </row>
    <row r="231" spans="1:8">
      <c r="A231" s="53"/>
      <c r="C231" s="28"/>
      <c r="D231" s="28"/>
      <c r="E231" s="44"/>
      <c r="F231" s="44"/>
      <c r="G231" s="44"/>
      <c r="H231" s="44"/>
    </row>
    <row r="232" spans="1:8">
      <c r="A232" s="53"/>
      <c r="C232" s="28"/>
      <c r="D232" s="28"/>
      <c r="E232" s="44"/>
      <c r="F232" s="44"/>
      <c r="G232" s="44"/>
      <c r="H232" s="44"/>
    </row>
    <row r="233" spans="1:8">
      <c r="A233" s="53"/>
      <c r="C233" s="28"/>
      <c r="D233" s="28"/>
      <c r="E233" s="44"/>
      <c r="F233" s="44"/>
      <c r="G233" s="44"/>
      <c r="H233" s="44"/>
    </row>
    <row r="234" spans="1:8">
      <c r="A234" s="53"/>
      <c r="C234" s="28"/>
      <c r="D234" s="28"/>
      <c r="E234" s="44"/>
      <c r="F234" s="44"/>
      <c r="G234" s="44"/>
      <c r="H234" s="44"/>
    </row>
    <row r="235" spans="1:8">
      <c r="A235" s="53"/>
      <c r="C235" s="28"/>
      <c r="D235" s="28"/>
      <c r="E235" s="44"/>
      <c r="F235" s="44"/>
      <c r="G235" s="44"/>
      <c r="H235" s="44"/>
    </row>
    <row r="236" spans="1:8">
      <c r="A236" s="53"/>
      <c r="C236" s="28"/>
      <c r="D236" s="28"/>
      <c r="E236" s="44"/>
      <c r="F236" s="44"/>
      <c r="G236" s="44"/>
      <c r="H236" s="44"/>
    </row>
    <row r="237" spans="1:8">
      <c r="A237" s="53"/>
      <c r="C237" s="28"/>
      <c r="D237" s="28"/>
      <c r="E237" s="44"/>
      <c r="F237" s="44"/>
      <c r="G237" s="44"/>
      <c r="H237" s="44"/>
    </row>
    <row r="238" spans="1:8">
      <c r="A238" s="53"/>
      <c r="C238" s="28"/>
      <c r="D238" s="28"/>
      <c r="E238" s="44"/>
      <c r="F238" s="44"/>
      <c r="G238" s="44"/>
      <c r="H238" s="44"/>
    </row>
    <row r="239" spans="1:8">
      <c r="A239" s="53"/>
      <c r="C239" s="28"/>
      <c r="D239" s="28"/>
      <c r="E239" s="44"/>
      <c r="F239" s="44"/>
      <c r="G239" s="44"/>
      <c r="H239" s="44"/>
    </row>
    <row r="240" spans="1:8">
      <c r="A240" s="53"/>
      <c r="C240" s="28"/>
      <c r="D240" s="28"/>
      <c r="E240" s="44"/>
      <c r="F240" s="44"/>
      <c r="G240" s="44"/>
      <c r="H240" s="44"/>
    </row>
    <row r="241" spans="1:8">
      <c r="A241" s="53"/>
      <c r="C241" s="28"/>
      <c r="D241" s="28"/>
      <c r="E241" s="44"/>
      <c r="F241" s="44"/>
      <c r="G241" s="44"/>
      <c r="H241" s="44"/>
    </row>
    <row r="242" spans="1:8">
      <c r="A242" s="53"/>
      <c r="C242" s="28"/>
      <c r="D242" s="28"/>
      <c r="E242" s="44"/>
      <c r="F242" s="44"/>
      <c r="G242" s="44"/>
      <c r="H242" s="44"/>
    </row>
    <row r="243" spans="1:8">
      <c r="A243" s="53"/>
      <c r="C243" s="28"/>
      <c r="D243" s="28"/>
      <c r="E243" s="44"/>
      <c r="F243" s="44"/>
      <c r="G243" s="44"/>
      <c r="H243" s="44"/>
    </row>
    <row r="244" spans="1:8">
      <c r="A244" s="53"/>
      <c r="C244" s="28"/>
      <c r="D244" s="28"/>
      <c r="E244" s="44"/>
      <c r="F244" s="44"/>
      <c r="G244" s="44"/>
      <c r="H244" s="44"/>
    </row>
    <row r="245" spans="1:8">
      <c r="A245" s="53"/>
      <c r="C245" s="28"/>
      <c r="D245" s="28"/>
      <c r="E245" s="44"/>
      <c r="F245" s="44"/>
      <c r="G245" s="44"/>
      <c r="H245" s="44"/>
    </row>
    <row r="246" spans="1:8">
      <c r="A246" s="53"/>
      <c r="C246" s="28"/>
      <c r="D246" s="28"/>
      <c r="E246" s="44"/>
      <c r="F246" s="44"/>
      <c r="G246" s="44"/>
      <c r="H246" s="44"/>
    </row>
    <row r="247" spans="1:8">
      <c r="A247" s="53"/>
      <c r="C247" s="28"/>
      <c r="D247" s="28"/>
      <c r="E247" s="44"/>
      <c r="F247" s="44"/>
      <c r="G247" s="44"/>
      <c r="H247" s="44"/>
    </row>
    <row r="248" spans="1:8">
      <c r="A248" s="53"/>
      <c r="C248" s="28"/>
      <c r="D248" s="28"/>
      <c r="E248" s="44"/>
      <c r="F248" s="44"/>
      <c r="G248" s="44"/>
      <c r="H248" s="44"/>
    </row>
    <row r="249" spans="1:8">
      <c r="A249" s="53"/>
      <c r="C249" s="28"/>
      <c r="D249" s="28"/>
      <c r="E249" s="44"/>
      <c r="F249" s="44"/>
      <c r="G249" s="44"/>
      <c r="H249" s="44"/>
    </row>
    <row r="250" spans="1:8">
      <c r="A250" s="53"/>
      <c r="C250" s="28"/>
      <c r="D250" s="28"/>
      <c r="E250" s="44"/>
      <c r="F250" s="44"/>
      <c r="G250" s="44"/>
      <c r="H250" s="44"/>
    </row>
    <row r="251" spans="1:8">
      <c r="A251" s="53"/>
      <c r="C251" s="28"/>
      <c r="D251" s="28"/>
      <c r="E251" s="44"/>
      <c r="F251" s="44"/>
      <c r="G251" s="44"/>
      <c r="H251" s="44"/>
    </row>
    <row r="252" spans="1:8">
      <c r="A252" s="53"/>
      <c r="C252" s="28"/>
      <c r="D252" s="28"/>
      <c r="E252" s="44"/>
      <c r="F252" s="44"/>
      <c r="G252" s="44"/>
      <c r="H252" s="44"/>
    </row>
    <row r="253" spans="1:8">
      <c r="A253" s="53"/>
      <c r="C253" s="28"/>
      <c r="D253" s="28"/>
      <c r="E253" s="44"/>
      <c r="F253" s="44"/>
      <c r="G253" s="44"/>
      <c r="H253" s="44"/>
    </row>
    <row r="254" spans="1:8">
      <c r="A254" s="53"/>
      <c r="C254" s="28"/>
      <c r="D254" s="28"/>
      <c r="E254" s="44"/>
      <c r="F254" s="44"/>
      <c r="G254" s="44"/>
      <c r="H254" s="44"/>
    </row>
    <row r="255" spans="1:8">
      <c r="A255" s="53"/>
      <c r="C255" s="28"/>
      <c r="D255" s="28"/>
      <c r="E255" s="44"/>
      <c r="F255" s="44"/>
      <c r="G255" s="44"/>
      <c r="H255" s="44"/>
    </row>
    <row r="256" spans="1:8">
      <c r="A256" s="53"/>
      <c r="C256" s="28"/>
      <c r="D256" s="28"/>
      <c r="E256" s="44"/>
      <c r="F256" s="44"/>
      <c r="G256" s="44"/>
      <c r="H256" s="44"/>
    </row>
    <row r="257" spans="1:8">
      <c r="A257" s="53"/>
      <c r="C257" s="28"/>
      <c r="D257" s="28"/>
      <c r="E257" s="44"/>
      <c r="F257" s="44"/>
      <c r="G257" s="44"/>
      <c r="H257" s="44"/>
    </row>
    <row r="258" spans="1:8">
      <c r="A258" s="53"/>
      <c r="C258" s="28"/>
      <c r="D258" s="28"/>
      <c r="E258" s="44"/>
      <c r="F258" s="44"/>
      <c r="G258" s="44"/>
      <c r="H258" s="44"/>
    </row>
    <row r="259" spans="1:8">
      <c r="A259" s="53"/>
      <c r="C259" s="28"/>
      <c r="D259" s="28"/>
      <c r="E259" s="44"/>
      <c r="F259" s="44"/>
      <c r="G259" s="44"/>
      <c r="H259" s="44"/>
    </row>
    <row r="260" spans="1:8">
      <c r="A260" s="53"/>
      <c r="C260" s="28"/>
      <c r="D260" s="28"/>
      <c r="E260" s="44"/>
      <c r="F260" s="44"/>
      <c r="G260" s="44"/>
      <c r="H260" s="44"/>
    </row>
    <row r="261" spans="1:8">
      <c r="A261" s="53"/>
      <c r="C261" s="28"/>
      <c r="D261" s="28"/>
      <c r="E261" s="44"/>
      <c r="F261" s="44"/>
      <c r="G261" s="44"/>
      <c r="H261" s="44"/>
    </row>
    <row r="262" spans="1:8">
      <c r="A262" s="53"/>
      <c r="C262" s="28"/>
      <c r="D262" s="28"/>
      <c r="E262" s="44"/>
      <c r="F262" s="44"/>
      <c r="G262" s="44"/>
      <c r="H262" s="44"/>
    </row>
    <row r="263" spans="1:8">
      <c r="A263" s="53"/>
      <c r="C263" s="28"/>
      <c r="D263" s="28"/>
      <c r="E263" s="44"/>
      <c r="F263" s="44"/>
      <c r="G263" s="44"/>
      <c r="H263" s="44"/>
    </row>
    <row r="264" spans="1:8">
      <c r="A264" s="53"/>
      <c r="C264" s="28"/>
      <c r="D264" s="28"/>
      <c r="E264" s="44"/>
      <c r="F264" s="44"/>
      <c r="G264" s="44"/>
      <c r="H264" s="44"/>
    </row>
    <row r="265" spans="1:8">
      <c r="A265" s="53"/>
      <c r="C265" s="28"/>
      <c r="D265" s="28"/>
      <c r="E265" s="44"/>
      <c r="F265" s="44"/>
      <c r="G265" s="44"/>
      <c r="H265" s="44"/>
    </row>
    <row r="266" spans="1:8">
      <c r="A266" s="53"/>
      <c r="C266" s="28"/>
      <c r="D266" s="28"/>
      <c r="E266" s="44"/>
      <c r="F266" s="44"/>
      <c r="G266" s="44"/>
      <c r="H266" s="44"/>
    </row>
    <row r="267" spans="1:8">
      <c r="A267" s="53"/>
      <c r="C267" s="28"/>
      <c r="D267" s="28"/>
      <c r="E267" s="44"/>
      <c r="F267" s="44"/>
      <c r="G267" s="44"/>
      <c r="H267" s="44"/>
    </row>
    <row r="268" spans="1:8">
      <c r="A268" s="53"/>
      <c r="C268" s="28"/>
      <c r="D268" s="28"/>
      <c r="E268" s="44"/>
      <c r="F268" s="44"/>
      <c r="G268" s="44"/>
      <c r="H268" s="44"/>
    </row>
    <row r="269" spans="1:8">
      <c r="A269" s="53"/>
      <c r="C269" s="28"/>
      <c r="D269" s="28"/>
      <c r="E269" s="44"/>
      <c r="F269" s="44"/>
      <c r="G269" s="44"/>
      <c r="H269" s="44"/>
    </row>
    <row r="270" spans="1:8">
      <c r="A270" s="53"/>
      <c r="C270" s="28"/>
      <c r="D270" s="28"/>
      <c r="E270" s="44"/>
      <c r="F270" s="44"/>
      <c r="G270" s="44"/>
      <c r="H270" s="44"/>
    </row>
    <row r="271" spans="1:8">
      <c r="A271" s="53"/>
      <c r="C271" s="28"/>
      <c r="D271" s="28"/>
      <c r="E271" s="44"/>
      <c r="F271" s="44"/>
      <c r="G271" s="44"/>
      <c r="H271" s="44"/>
    </row>
    <row r="272" spans="1:8">
      <c r="A272" s="53"/>
      <c r="C272" s="28"/>
      <c r="D272" s="28"/>
      <c r="E272" s="44"/>
      <c r="F272" s="44"/>
      <c r="G272" s="44"/>
      <c r="H272" s="44"/>
    </row>
    <row r="273" spans="1:8">
      <c r="A273" s="53"/>
      <c r="C273" s="28"/>
      <c r="D273" s="28"/>
      <c r="E273" s="44"/>
      <c r="F273" s="44"/>
      <c r="G273" s="44"/>
      <c r="H273" s="44"/>
    </row>
    <row r="274" spans="1:8">
      <c r="A274" s="53"/>
      <c r="C274" s="28"/>
      <c r="D274" s="28"/>
      <c r="E274" s="44"/>
      <c r="F274" s="44"/>
      <c r="G274" s="44"/>
      <c r="H274" s="44"/>
    </row>
    <row r="275" spans="1:8">
      <c r="A275" s="53"/>
      <c r="C275" s="28"/>
      <c r="D275" s="28"/>
      <c r="E275" s="44"/>
      <c r="F275" s="44"/>
      <c r="G275" s="44"/>
      <c r="H275" s="44"/>
    </row>
    <row r="276" spans="1:8">
      <c r="A276" s="53"/>
      <c r="C276" s="28"/>
      <c r="D276" s="28"/>
      <c r="E276" s="44"/>
      <c r="F276" s="44"/>
      <c r="G276" s="44"/>
      <c r="H276" s="44"/>
    </row>
    <row r="277" spans="1:8">
      <c r="A277" s="53"/>
      <c r="C277" s="28"/>
      <c r="D277" s="28"/>
      <c r="E277" s="44"/>
      <c r="F277" s="44"/>
      <c r="G277" s="44"/>
      <c r="H277" s="44"/>
    </row>
    <row r="278" spans="1:8">
      <c r="A278" s="53"/>
      <c r="C278" s="28"/>
      <c r="D278" s="28"/>
      <c r="E278" s="44"/>
      <c r="F278" s="44"/>
      <c r="G278" s="44"/>
      <c r="H278" s="44"/>
    </row>
    <row r="279" spans="1:8">
      <c r="A279" s="53"/>
      <c r="C279" s="28"/>
      <c r="D279" s="28"/>
      <c r="E279" s="44"/>
      <c r="F279" s="44"/>
      <c r="G279" s="44"/>
      <c r="H279" s="44"/>
    </row>
    <row r="280" spans="1:8">
      <c r="A280" s="53"/>
      <c r="C280" s="28"/>
      <c r="D280" s="28"/>
      <c r="E280" s="44"/>
      <c r="F280" s="44"/>
      <c r="G280" s="44"/>
      <c r="H280" s="44"/>
    </row>
    <row r="281" spans="1:8">
      <c r="A281" s="53"/>
      <c r="C281" s="28"/>
      <c r="D281" s="28"/>
      <c r="E281" s="44"/>
      <c r="F281" s="44"/>
      <c r="G281" s="44"/>
      <c r="H281" s="44"/>
    </row>
    <row r="282" spans="1:8">
      <c r="A282" s="53"/>
      <c r="C282" s="28"/>
      <c r="D282" s="28"/>
      <c r="E282" s="44"/>
      <c r="F282" s="44"/>
      <c r="G282" s="44"/>
      <c r="H282" s="44"/>
    </row>
    <row r="283" spans="1:8">
      <c r="A283" s="53"/>
      <c r="C283" s="28"/>
      <c r="D283" s="28"/>
      <c r="E283" s="44"/>
      <c r="F283" s="44"/>
      <c r="G283" s="44"/>
      <c r="H283" s="44"/>
    </row>
    <row r="284" spans="1:8">
      <c r="A284" s="53"/>
      <c r="C284" s="28"/>
      <c r="D284" s="28"/>
      <c r="E284" s="44"/>
      <c r="F284" s="44"/>
      <c r="G284" s="44"/>
      <c r="H284" s="44"/>
    </row>
    <row r="285" spans="1:8">
      <c r="A285" s="53"/>
      <c r="C285" s="28"/>
      <c r="D285" s="28"/>
      <c r="E285" s="44"/>
      <c r="F285" s="44"/>
      <c r="G285" s="44"/>
      <c r="H285" s="44"/>
    </row>
    <row r="286" spans="1:8">
      <c r="A286" s="53"/>
      <c r="C286" s="28"/>
      <c r="D286" s="28"/>
      <c r="E286" s="44"/>
      <c r="F286" s="44"/>
      <c r="G286" s="44"/>
      <c r="H286" s="44"/>
    </row>
    <row r="287" spans="1:8">
      <c r="A287" s="53"/>
      <c r="C287" s="28"/>
      <c r="D287" s="28"/>
      <c r="E287" s="44"/>
      <c r="F287" s="44"/>
      <c r="G287" s="44"/>
      <c r="H287" s="44"/>
    </row>
    <row r="288" spans="1:8">
      <c r="A288" s="53"/>
      <c r="C288" s="28"/>
      <c r="D288" s="28"/>
      <c r="E288" s="44"/>
      <c r="F288" s="44"/>
      <c r="G288" s="44"/>
      <c r="H288" s="44"/>
    </row>
    <row r="289" spans="1:8">
      <c r="A289" s="53"/>
      <c r="C289" s="28"/>
      <c r="D289" s="28"/>
      <c r="E289" s="44"/>
      <c r="F289" s="44"/>
      <c r="G289" s="44"/>
      <c r="H289" s="44"/>
    </row>
    <row r="290" spans="1:8">
      <c r="A290" s="53"/>
      <c r="C290" s="28"/>
      <c r="D290" s="28"/>
      <c r="E290" s="44"/>
      <c r="F290" s="44"/>
      <c r="G290" s="44"/>
      <c r="H290" s="44"/>
    </row>
    <row r="291" spans="1:8">
      <c r="A291" s="53"/>
      <c r="C291" s="28"/>
      <c r="D291" s="28"/>
      <c r="E291" s="44"/>
      <c r="F291" s="44"/>
      <c r="G291" s="44"/>
      <c r="H291" s="44"/>
    </row>
    <row r="292" spans="1:8">
      <c r="A292" s="53"/>
      <c r="C292" s="28"/>
      <c r="D292" s="28"/>
      <c r="E292" s="44"/>
      <c r="F292" s="44"/>
      <c r="G292" s="44"/>
      <c r="H292" s="44"/>
    </row>
    <row r="293" spans="1:8">
      <c r="A293" s="53"/>
      <c r="C293" s="28"/>
      <c r="D293" s="28"/>
      <c r="E293" s="44"/>
      <c r="F293" s="44"/>
      <c r="G293" s="44"/>
      <c r="H293" s="44"/>
    </row>
    <row r="294" spans="1:8">
      <c r="A294" s="53"/>
      <c r="C294" s="28"/>
      <c r="D294" s="28"/>
      <c r="E294" s="44"/>
      <c r="F294" s="44"/>
      <c r="G294" s="44"/>
      <c r="H294" s="44"/>
    </row>
    <row r="295" spans="1:8">
      <c r="A295" s="53"/>
      <c r="C295" s="28"/>
      <c r="D295" s="28"/>
      <c r="E295" s="44"/>
      <c r="F295" s="44"/>
      <c r="G295" s="44"/>
      <c r="H295" s="44"/>
    </row>
    <row r="296" spans="1:8">
      <c r="A296" s="53"/>
      <c r="C296" s="28"/>
      <c r="D296" s="28"/>
      <c r="E296" s="44"/>
      <c r="F296" s="44"/>
      <c r="G296" s="44"/>
      <c r="H296" s="44"/>
    </row>
    <row r="297" spans="1:8">
      <c r="A297" s="53"/>
      <c r="C297" s="28"/>
      <c r="D297" s="28"/>
      <c r="E297" s="44"/>
      <c r="F297" s="44"/>
      <c r="G297" s="44"/>
      <c r="H297" s="44"/>
    </row>
    <row r="298" spans="1:8">
      <c r="A298" s="53"/>
      <c r="C298" s="28"/>
      <c r="D298" s="28"/>
      <c r="E298" s="44"/>
      <c r="F298" s="44"/>
      <c r="G298" s="44"/>
      <c r="H298" s="44"/>
    </row>
    <row r="299" spans="1:8">
      <c r="A299" s="53"/>
      <c r="C299" s="28"/>
      <c r="D299" s="28"/>
      <c r="E299" s="44"/>
      <c r="F299" s="44"/>
      <c r="G299" s="44"/>
      <c r="H299" s="44"/>
    </row>
    <row r="300" spans="1:8">
      <c r="A300" s="53"/>
      <c r="C300" s="28"/>
      <c r="D300" s="28"/>
      <c r="E300" s="44"/>
      <c r="F300" s="44"/>
      <c r="G300" s="44"/>
      <c r="H300" s="44"/>
    </row>
    <row r="301" spans="1:8">
      <c r="A301" s="53"/>
      <c r="C301" s="28"/>
      <c r="D301" s="28"/>
      <c r="E301" s="44"/>
      <c r="F301" s="44"/>
      <c r="G301" s="44"/>
      <c r="H301" s="44"/>
    </row>
    <row r="302" spans="1:8">
      <c r="A302" s="53"/>
      <c r="C302" s="28"/>
      <c r="D302" s="28"/>
      <c r="E302" s="44"/>
      <c r="F302" s="44"/>
      <c r="G302" s="44"/>
      <c r="H302" s="44"/>
    </row>
    <row r="303" spans="1:8">
      <c r="A303" s="53"/>
      <c r="C303" s="28"/>
      <c r="D303" s="28"/>
      <c r="E303" s="44"/>
      <c r="F303" s="44"/>
      <c r="G303" s="44"/>
      <c r="H303" s="44"/>
    </row>
    <row r="304" spans="1:8">
      <c r="A304" s="53"/>
      <c r="C304" s="28"/>
      <c r="D304" s="28"/>
      <c r="E304" s="44"/>
      <c r="F304" s="44"/>
      <c r="G304" s="44"/>
      <c r="H304" s="44"/>
    </row>
    <row r="305" spans="1:8">
      <c r="A305" s="53"/>
      <c r="C305" s="28"/>
      <c r="D305" s="28"/>
      <c r="E305" s="44"/>
      <c r="F305" s="44"/>
      <c r="G305" s="44"/>
      <c r="H305" s="44"/>
    </row>
    <row r="306" spans="1:8">
      <c r="A306" s="53"/>
      <c r="C306" s="28"/>
      <c r="D306" s="28"/>
      <c r="E306" s="44"/>
      <c r="F306" s="44"/>
      <c r="G306" s="44"/>
      <c r="H306" s="44"/>
    </row>
    <row r="307" spans="1:8">
      <c r="A307" s="53"/>
      <c r="C307" s="28"/>
      <c r="D307" s="28"/>
      <c r="E307" s="44"/>
      <c r="F307" s="44"/>
      <c r="G307" s="44"/>
      <c r="H307" s="44"/>
    </row>
    <row r="308" spans="1:8">
      <c r="A308" s="53"/>
      <c r="C308" s="28"/>
      <c r="D308" s="28"/>
      <c r="E308" s="44"/>
      <c r="F308" s="44"/>
      <c r="G308" s="44"/>
      <c r="H308" s="44"/>
    </row>
    <row r="309" spans="1:8">
      <c r="A309" s="53"/>
      <c r="C309" s="28"/>
      <c r="D309" s="28"/>
      <c r="E309" s="44"/>
      <c r="F309" s="44"/>
      <c r="G309" s="44"/>
      <c r="H309" s="44"/>
    </row>
    <row r="310" spans="1:8">
      <c r="A310" s="53"/>
      <c r="C310" s="28"/>
      <c r="D310" s="28"/>
      <c r="E310" s="44"/>
      <c r="F310" s="44"/>
      <c r="G310" s="44"/>
      <c r="H310" s="44"/>
    </row>
    <row r="311" spans="1:8">
      <c r="A311" s="53"/>
      <c r="C311" s="28"/>
      <c r="D311" s="28"/>
      <c r="E311" s="44"/>
      <c r="F311" s="44"/>
      <c r="G311" s="44"/>
      <c r="H311" s="44"/>
    </row>
    <row r="312" spans="1:8">
      <c r="A312" s="53"/>
      <c r="C312" s="28"/>
      <c r="D312" s="28"/>
      <c r="E312" s="44"/>
      <c r="F312" s="44"/>
      <c r="G312" s="44"/>
      <c r="H312" s="44"/>
    </row>
    <row r="313" spans="1:8">
      <c r="A313" s="53"/>
      <c r="C313" s="28"/>
      <c r="D313" s="28"/>
      <c r="E313" s="44"/>
      <c r="F313" s="44"/>
      <c r="G313" s="44"/>
      <c r="H313" s="44"/>
    </row>
    <row r="314" spans="1:8">
      <c r="A314" s="53"/>
      <c r="C314" s="28"/>
      <c r="D314" s="28"/>
      <c r="E314" s="44"/>
      <c r="F314" s="44"/>
      <c r="G314" s="44"/>
      <c r="H314" s="44"/>
    </row>
    <row r="315" spans="1:8">
      <c r="A315" s="53"/>
      <c r="C315" s="28"/>
      <c r="D315" s="28"/>
      <c r="E315" s="44"/>
      <c r="F315" s="44"/>
      <c r="G315" s="44"/>
      <c r="H315" s="44"/>
    </row>
    <row r="316" spans="1:8">
      <c r="A316" s="53"/>
      <c r="C316" s="28"/>
      <c r="D316" s="28"/>
      <c r="E316" s="44"/>
      <c r="F316" s="44"/>
      <c r="G316" s="44"/>
      <c r="H316" s="44"/>
    </row>
    <row r="317" spans="1:8">
      <c r="A317" s="53"/>
      <c r="C317" s="28"/>
      <c r="D317" s="28"/>
      <c r="E317" s="44"/>
      <c r="F317" s="44"/>
      <c r="G317" s="44"/>
      <c r="H317" s="44"/>
    </row>
    <row r="318" spans="1:8">
      <c r="A318" s="53"/>
      <c r="C318" s="28"/>
      <c r="D318" s="28"/>
      <c r="E318" s="44"/>
      <c r="F318" s="44"/>
      <c r="G318" s="44"/>
      <c r="H318" s="44"/>
    </row>
    <row r="319" spans="1:8">
      <c r="A319" s="53"/>
      <c r="C319" s="28"/>
      <c r="D319" s="28"/>
      <c r="E319" s="44"/>
      <c r="F319" s="44"/>
      <c r="G319" s="44"/>
      <c r="H319" s="44"/>
    </row>
    <row r="320" spans="1:8">
      <c r="A320" s="53"/>
      <c r="C320" s="28"/>
      <c r="D320" s="28"/>
      <c r="E320" s="44"/>
      <c r="F320" s="44"/>
      <c r="G320" s="44"/>
      <c r="H320" s="44"/>
    </row>
    <row r="321" spans="1:8">
      <c r="A321" s="53"/>
      <c r="C321" s="28"/>
      <c r="D321" s="28"/>
      <c r="E321" s="44"/>
      <c r="F321" s="44"/>
      <c r="G321" s="44"/>
      <c r="H321" s="44"/>
    </row>
    <row r="322" spans="1:8">
      <c r="A322" s="53"/>
      <c r="C322" s="28"/>
      <c r="D322" s="28"/>
      <c r="E322" s="44"/>
      <c r="F322" s="44"/>
      <c r="G322" s="44"/>
      <c r="H322" s="44"/>
    </row>
    <row r="323" spans="1:8">
      <c r="A323" s="53"/>
      <c r="C323" s="28"/>
      <c r="D323" s="28"/>
      <c r="E323" s="44"/>
      <c r="F323" s="44"/>
      <c r="G323" s="44"/>
      <c r="H323" s="44"/>
    </row>
    <row r="324" spans="1:8">
      <c r="A324" s="53"/>
      <c r="C324" s="28"/>
      <c r="D324" s="28"/>
      <c r="E324" s="44"/>
      <c r="F324" s="44"/>
      <c r="G324" s="44"/>
      <c r="H324" s="44"/>
    </row>
    <row r="325" spans="1:8">
      <c r="A325" s="53"/>
      <c r="C325" s="28"/>
      <c r="D325" s="28"/>
      <c r="E325" s="44"/>
      <c r="F325" s="44"/>
      <c r="G325" s="44"/>
      <c r="H325" s="44"/>
    </row>
    <row r="326" spans="1:8">
      <c r="A326" s="53"/>
      <c r="C326" s="28"/>
      <c r="D326" s="28"/>
      <c r="E326" s="44"/>
      <c r="F326" s="44"/>
      <c r="G326" s="44"/>
      <c r="H326" s="44"/>
    </row>
    <row r="327" spans="1:8">
      <c r="A327" s="53"/>
      <c r="C327" s="28"/>
      <c r="D327" s="28"/>
      <c r="E327" s="44"/>
      <c r="F327" s="44"/>
      <c r="G327" s="44"/>
      <c r="H327" s="44"/>
    </row>
    <row r="328" spans="1:8">
      <c r="A328" s="53"/>
      <c r="C328" s="28"/>
      <c r="D328" s="28"/>
      <c r="E328" s="44"/>
      <c r="F328" s="44"/>
      <c r="G328" s="44"/>
      <c r="H328" s="44"/>
    </row>
    <row r="329" spans="1:8">
      <c r="A329" s="53"/>
      <c r="C329" s="28"/>
      <c r="D329" s="28"/>
      <c r="E329" s="44"/>
      <c r="F329" s="44"/>
      <c r="G329" s="44"/>
      <c r="H329" s="44"/>
    </row>
    <row r="330" spans="1:8">
      <c r="A330" s="53"/>
      <c r="C330" s="28"/>
      <c r="D330" s="28"/>
      <c r="E330" s="44"/>
      <c r="F330" s="44"/>
      <c r="G330" s="44"/>
      <c r="H330" s="44"/>
    </row>
    <row r="331" spans="1:8">
      <c r="A331" s="53"/>
      <c r="C331" s="28"/>
      <c r="D331" s="28"/>
      <c r="E331" s="44"/>
      <c r="F331" s="44"/>
      <c r="G331" s="44"/>
      <c r="H331" s="44"/>
    </row>
    <row r="332" spans="1:8">
      <c r="A332" s="53"/>
      <c r="C332" s="28"/>
      <c r="D332" s="28"/>
      <c r="E332" s="44"/>
      <c r="F332" s="44"/>
      <c r="G332" s="44"/>
      <c r="H332" s="44"/>
    </row>
    <row r="333" spans="1:8">
      <c r="A333" s="53"/>
      <c r="C333" s="28"/>
      <c r="D333" s="28"/>
      <c r="E333" s="44"/>
      <c r="F333" s="44"/>
      <c r="G333" s="44"/>
      <c r="H333" s="44"/>
    </row>
    <row r="334" spans="1:8">
      <c r="A334" s="53"/>
      <c r="C334" s="28"/>
      <c r="D334" s="28"/>
      <c r="E334" s="44"/>
      <c r="F334" s="44"/>
      <c r="G334" s="44"/>
      <c r="H334" s="44"/>
    </row>
    <row r="335" spans="1:8">
      <c r="A335" s="53"/>
      <c r="C335" s="28"/>
      <c r="D335" s="28"/>
      <c r="E335" s="44"/>
      <c r="F335" s="44"/>
      <c r="G335" s="44"/>
      <c r="H335" s="44"/>
    </row>
    <row r="336" spans="1:8">
      <c r="A336" s="53"/>
      <c r="C336" s="28"/>
      <c r="D336" s="28"/>
      <c r="E336" s="44"/>
      <c r="F336" s="44"/>
      <c r="G336" s="44"/>
      <c r="H336" s="44"/>
    </row>
    <row r="337" spans="1:8">
      <c r="A337" s="53"/>
      <c r="C337" s="28"/>
      <c r="D337" s="28"/>
      <c r="E337" s="44"/>
      <c r="F337" s="44"/>
      <c r="G337" s="44"/>
      <c r="H337" s="44"/>
    </row>
    <row r="338" spans="1:8">
      <c r="A338" s="53"/>
      <c r="C338" s="28"/>
      <c r="D338" s="28"/>
      <c r="E338" s="44"/>
      <c r="F338" s="44"/>
      <c r="G338" s="44"/>
      <c r="H338" s="44"/>
    </row>
    <row r="339" spans="1:8">
      <c r="A339" s="53"/>
      <c r="C339" s="28"/>
      <c r="D339" s="28"/>
      <c r="E339" s="44"/>
      <c r="F339" s="44"/>
      <c r="G339" s="44"/>
      <c r="H339" s="44"/>
    </row>
    <row r="340" spans="1:8">
      <c r="A340" s="53"/>
      <c r="C340" s="28"/>
      <c r="D340" s="28"/>
      <c r="E340" s="44"/>
      <c r="F340" s="44"/>
      <c r="G340" s="44"/>
      <c r="H340" s="44"/>
    </row>
    <row r="341" spans="1:8">
      <c r="A341" s="53"/>
      <c r="C341" s="28"/>
      <c r="D341" s="28"/>
      <c r="E341" s="44"/>
      <c r="F341" s="44"/>
      <c r="G341" s="44"/>
      <c r="H341" s="44"/>
    </row>
    <row r="342" spans="1:8">
      <c r="A342" s="53"/>
      <c r="C342" s="28"/>
      <c r="D342" s="28"/>
      <c r="E342" s="44"/>
      <c r="F342" s="44"/>
      <c r="G342" s="44"/>
      <c r="H342" s="44"/>
    </row>
    <row r="343" spans="1:8">
      <c r="A343" s="53"/>
      <c r="C343" s="28"/>
      <c r="D343" s="28"/>
      <c r="E343" s="44"/>
      <c r="F343" s="44"/>
      <c r="G343" s="44"/>
      <c r="H343" s="44"/>
    </row>
    <row r="344" spans="1:8">
      <c r="A344" s="53"/>
      <c r="C344" s="28"/>
      <c r="D344" s="28"/>
      <c r="E344" s="44"/>
      <c r="F344" s="44"/>
      <c r="G344" s="44"/>
      <c r="H344" s="44"/>
    </row>
    <row r="345" spans="1:8">
      <c r="A345" s="53"/>
      <c r="C345" s="28"/>
      <c r="D345" s="28"/>
      <c r="E345" s="44"/>
      <c r="F345" s="44"/>
      <c r="G345" s="44"/>
      <c r="H345" s="44"/>
    </row>
    <row r="346" spans="1:8">
      <c r="A346" s="53"/>
      <c r="C346" s="28"/>
      <c r="D346" s="28"/>
      <c r="E346" s="44"/>
      <c r="F346" s="44"/>
      <c r="G346" s="44"/>
      <c r="H346" s="44"/>
    </row>
    <row r="347" spans="1:8">
      <c r="A347" s="53"/>
      <c r="C347" s="28"/>
      <c r="D347" s="28"/>
      <c r="E347" s="44"/>
      <c r="F347" s="44"/>
      <c r="G347" s="44"/>
      <c r="H347" s="44"/>
    </row>
    <row r="348" spans="1:8">
      <c r="A348" s="53"/>
      <c r="C348" s="28"/>
      <c r="D348" s="28"/>
      <c r="E348" s="44"/>
      <c r="F348" s="44"/>
      <c r="G348" s="44"/>
      <c r="H348" s="44"/>
    </row>
    <row r="349" spans="1:8">
      <c r="A349" s="53"/>
      <c r="C349" s="28"/>
      <c r="D349" s="28"/>
      <c r="E349" s="44"/>
      <c r="F349" s="44"/>
      <c r="G349" s="44"/>
      <c r="H349" s="44"/>
    </row>
    <row r="350" spans="1:8">
      <c r="A350" s="53"/>
      <c r="C350" s="28"/>
      <c r="D350" s="28"/>
      <c r="E350" s="44"/>
      <c r="F350" s="44"/>
      <c r="G350" s="44"/>
      <c r="H350" s="44"/>
    </row>
    <row r="351" spans="1:8">
      <c r="A351" s="53"/>
      <c r="C351" s="28"/>
      <c r="D351" s="28"/>
      <c r="E351" s="44"/>
      <c r="F351" s="44"/>
      <c r="G351" s="44"/>
      <c r="H351" s="44"/>
    </row>
    <row r="352" spans="1:8">
      <c r="A352" s="53"/>
      <c r="C352" s="28"/>
      <c r="D352" s="28"/>
      <c r="E352" s="44"/>
      <c r="F352" s="44"/>
      <c r="G352" s="44"/>
      <c r="H352" s="44"/>
    </row>
    <row r="353" spans="1:8">
      <c r="A353" s="53"/>
      <c r="C353" s="28"/>
      <c r="D353" s="28"/>
      <c r="E353" s="44"/>
      <c r="F353" s="44"/>
      <c r="G353" s="44"/>
      <c r="H353" s="44"/>
    </row>
    <row r="354" spans="1:8">
      <c r="A354" s="53"/>
      <c r="C354" s="28"/>
      <c r="D354" s="28"/>
      <c r="E354" s="44"/>
      <c r="F354" s="44"/>
      <c r="G354" s="44"/>
      <c r="H354" s="44"/>
    </row>
    <row r="355" spans="1:8">
      <c r="A355" s="53"/>
      <c r="C355" s="28"/>
      <c r="D355" s="28"/>
      <c r="E355" s="44"/>
      <c r="F355" s="44"/>
      <c r="G355" s="44"/>
      <c r="H355" s="44"/>
    </row>
    <row r="356" spans="1:8">
      <c r="A356" s="53"/>
      <c r="C356" s="28"/>
      <c r="D356" s="28"/>
      <c r="E356" s="44"/>
      <c r="F356" s="44"/>
      <c r="G356" s="44"/>
      <c r="H356" s="44"/>
    </row>
    <row r="357" spans="1:8">
      <c r="A357" s="53"/>
      <c r="C357" s="28"/>
      <c r="D357" s="28"/>
      <c r="E357" s="44"/>
      <c r="F357" s="44"/>
      <c r="G357" s="44"/>
      <c r="H357" s="44"/>
    </row>
    <row r="358" spans="1:8">
      <c r="A358" s="53"/>
      <c r="C358" s="28"/>
      <c r="D358" s="28"/>
      <c r="E358" s="44"/>
      <c r="F358" s="44"/>
      <c r="G358" s="44"/>
      <c r="H358" s="44"/>
    </row>
    <row r="359" spans="1:8">
      <c r="A359" s="53"/>
      <c r="C359" s="28"/>
      <c r="D359" s="28"/>
      <c r="E359" s="44"/>
      <c r="F359" s="44"/>
      <c r="G359" s="44"/>
      <c r="H359" s="44"/>
    </row>
    <row r="360" spans="1:8">
      <c r="A360" s="53"/>
      <c r="C360" s="28"/>
      <c r="D360" s="28"/>
      <c r="E360" s="44"/>
      <c r="F360" s="44"/>
      <c r="G360" s="44"/>
      <c r="H360" s="44"/>
    </row>
    <row r="361" spans="1:8">
      <c r="A361" s="53"/>
      <c r="C361" s="28"/>
      <c r="D361" s="28"/>
      <c r="E361" s="44"/>
      <c r="F361" s="44"/>
      <c r="G361" s="44"/>
      <c r="H361" s="44"/>
    </row>
    <row r="362" spans="1:8">
      <c r="A362" s="53"/>
      <c r="C362" s="28"/>
      <c r="D362" s="28"/>
      <c r="E362" s="44"/>
      <c r="F362" s="44"/>
      <c r="G362" s="44"/>
      <c r="H362" s="44"/>
    </row>
    <row r="363" spans="1:8">
      <c r="A363" s="53"/>
      <c r="C363" s="28"/>
      <c r="D363" s="28"/>
      <c r="E363" s="44"/>
      <c r="F363" s="44"/>
      <c r="G363" s="44"/>
      <c r="H363" s="44"/>
    </row>
    <row r="364" spans="1:8">
      <c r="A364" s="53"/>
      <c r="C364" s="28"/>
      <c r="D364" s="28"/>
      <c r="E364" s="44"/>
      <c r="F364" s="44"/>
      <c r="G364" s="44"/>
      <c r="H364" s="44"/>
    </row>
    <row r="365" spans="1:8">
      <c r="A365" s="53"/>
      <c r="C365" s="28"/>
      <c r="D365" s="28"/>
      <c r="E365" s="44"/>
      <c r="F365" s="44"/>
      <c r="G365" s="44"/>
      <c r="H365" s="44"/>
    </row>
    <row r="366" spans="1:8">
      <c r="A366" s="53"/>
      <c r="C366" s="28"/>
      <c r="D366" s="28"/>
      <c r="E366" s="44"/>
      <c r="F366" s="44"/>
      <c r="G366" s="44"/>
      <c r="H366" s="44"/>
    </row>
    <row r="367" spans="1:8">
      <c r="A367" s="53"/>
      <c r="C367" s="28"/>
      <c r="D367" s="28"/>
      <c r="E367" s="44"/>
      <c r="F367" s="44"/>
      <c r="G367" s="44"/>
      <c r="H367" s="44"/>
    </row>
    <row r="368" spans="1:8">
      <c r="A368" s="53"/>
      <c r="C368" s="28"/>
      <c r="D368" s="28"/>
      <c r="E368" s="44"/>
      <c r="F368" s="44"/>
      <c r="G368" s="44"/>
      <c r="H368" s="44"/>
    </row>
    <row r="369" spans="1:8">
      <c r="A369" s="53"/>
      <c r="C369" s="28"/>
      <c r="D369" s="28"/>
      <c r="E369" s="44"/>
      <c r="F369" s="44"/>
      <c r="G369" s="44"/>
      <c r="H369" s="44"/>
    </row>
    <row r="370" spans="1:8">
      <c r="A370" s="53"/>
      <c r="C370" s="28"/>
      <c r="D370" s="28"/>
      <c r="E370" s="44"/>
      <c r="F370" s="44"/>
      <c r="G370" s="44"/>
      <c r="H370" s="44"/>
    </row>
    <row r="371" spans="1:8">
      <c r="A371" s="53"/>
      <c r="C371" s="28"/>
      <c r="D371" s="28"/>
      <c r="E371" s="44"/>
      <c r="F371" s="44"/>
      <c r="G371" s="44"/>
      <c r="H371" s="44"/>
    </row>
    <row r="372" spans="1:8">
      <c r="A372" s="53"/>
      <c r="C372" s="28"/>
      <c r="D372" s="28"/>
      <c r="E372" s="44"/>
      <c r="F372" s="44"/>
      <c r="G372" s="44"/>
      <c r="H372" s="44"/>
    </row>
    <row r="373" spans="1:8">
      <c r="A373" s="53"/>
      <c r="C373" s="28"/>
      <c r="D373" s="28"/>
      <c r="E373" s="44"/>
      <c r="F373" s="44"/>
      <c r="G373" s="44"/>
      <c r="H373" s="44"/>
    </row>
    <row r="374" spans="1:8">
      <c r="A374" s="53"/>
      <c r="C374" s="28"/>
      <c r="D374" s="28"/>
      <c r="E374" s="44"/>
      <c r="F374" s="44"/>
      <c r="G374" s="44"/>
      <c r="H374" s="44"/>
    </row>
    <row r="375" spans="1:8">
      <c r="A375" s="53"/>
      <c r="C375" s="28"/>
      <c r="D375" s="28"/>
      <c r="E375" s="44"/>
      <c r="F375" s="44"/>
      <c r="G375" s="44"/>
      <c r="H375" s="44"/>
    </row>
    <row r="376" spans="1:8">
      <c r="A376" s="53"/>
      <c r="C376" s="28"/>
      <c r="D376" s="28"/>
      <c r="E376" s="44"/>
      <c r="F376" s="44"/>
      <c r="G376" s="44"/>
      <c r="H376" s="44"/>
    </row>
    <row r="377" spans="1:8">
      <c r="A377" s="53"/>
      <c r="C377" s="28"/>
      <c r="D377" s="28"/>
      <c r="E377" s="44"/>
      <c r="F377" s="44"/>
      <c r="G377" s="44"/>
      <c r="H377" s="44"/>
    </row>
    <row r="378" spans="1:8">
      <c r="A378" s="53"/>
      <c r="C378" s="28"/>
      <c r="D378" s="28"/>
      <c r="E378" s="44"/>
      <c r="F378" s="44"/>
      <c r="G378" s="44"/>
      <c r="H378" s="44"/>
    </row>
    <row r="379" spans="1:8">
      <c r="A379" s="53"/>
      <c r="C379" s="28"/>
      <c r="D379" s="28"/>
      <c r="E379" s="44"/>
      <c r="F379" s="44"/>
      <c r="G379" s="44"/>
      <c r="H379" s="44"/>
    </row>
    <row r="380" spans="1:8">
      <c r="A380" s="53"/>
      <c r="C380" s="28"/>
      <c r="D380" s="28"/>
      <c r="E380" s="44"/>
      <c r="F380" s="44"/>
      <c r="G380" s="44"/>
      <c r="H380" s="44"/>
    </row>
    <row r="381" spans="1:8">
      <c r="A381" s="53"/>
      <c r="C381" s="28"/>
      <c r="D381" s="28"/>
      <c r="E381" s="44"/>
      <c r="F381" s="44"/>
      <c r="G381" s="44"/>
      <c r="H381" s="44"/>
    </row>
    <row r="382" spans="1:8">
      <c r="A382" s="53"/>
      <c r="C382" s="28"/>
      <c r="D382" s="28"/>
      <c r="E382" s="44"/>
      <c r="F382" s="44"/>
      <c r="G382" s="44"/>
      <c r="H382" s="44"/>
    </row>
    <row r="383" spans="1:8">
      <c r="A383" s="53"/>
      <c r="C383" s="28"/>
      <c r="D383" s="28"/>
      <c r="E383" s="44"/>
      <c r="F383" s="44"/>
      <c r="G383" s="44"/>
      <c r="H383" s="44"/>
    </row>
    <row r="384" spans="1:8">
      <c r="A384" s="53"/>
      <c r="C384" s="28"/>
      <c r="D384" s="28"/>
      <c r="E384" s="44"/>
      <c r="F384" s="44"/>
      <c r="G384" s="44"/>
      <c r="H384" s="44"/>
    </row>
    <row r="385" spans="1:8">
      <c r="A385" s="53"/>
      <c r="C385" s="28"/>
      <c r="D385" s="28"/>
      <c r="E385" s="44"/>
      <c r="F385" s="44"/>
      <c r="G385" s="44"/>
      <c r="H385" s="44"/>
    </row>
    <row r="386" spans="1:8">
      <c r="A386" s="53"/>
      <c r="C386" s="28"/>
      <c r="D386" s="28"/>
      <c r="E386" s="44"/>
      <c r="F386" s="44"/>
      <c r="G386" s="44"/>
      <c r="H386" s="44"/>
    </row>
    <row r="387" spans="1:8">
      <c r="A387" s="53"/>
      <c r="C387" s="28"/>
      <c r="D387" s="28"/>
      <c r="E387" s="44"/>
      <c r="F387" s="44"/>
      <c r="G387" s="44"/>
      <c r="H387" s="44"/>
    </row>
    <row r="388" spans="1:8">
      <c r="A388" s="53"/>
      <c r="C388" s="28"/>
      <c r="D388" s="28"/>
      <c r="E388" s="44"/>
      <c r="F388" s="44"/>
      <c r="G388" s="44"/>
      <c r="H388" s="44"/>
    </row>
    <row r="389" spans="1:8">
      <c r="A389" s="53"/>
      <c r="C389" s="28"/>
      <c r="D389" s="28"/>
      <c r="E389" s="44"/>
      <c r="F389" s="44"/>
      <c r="G389" s="44"/>
      <c r="H389" s="44"/>
    </row>
    <row r="390" spans="1:8">
      <c r="A390" s="53"/>
      <c r="C390" s="28"/>
      <c r="D390" s="28"/>
      <c r="E390" s="44"/>
      <c r="F390" s="44"/>
      <c r="G390" s="44"/>
      <c r="H390" s="44"/>
    </row>
    <row r="391" spans="1:8">
      <c r="A391" s="53"/>
      <c r="C391" s="28"/>
      <c r="D391" s="28"/>
      <c r="E391" s="44"/>
      <c r="F391" s="44"/>
      <c r="G391" s="44"/>
      <c r="H391" s="44"/>
    </row>
    <row r="392" spans="1:8">
      <c r="A392" s="53"/>
      <c r="C392" s="28"/>
      <c r="D392" s="28"/>
      <c r="E392" s="44"/>
      <c r="F392" s="44"/>
      <c r="G392" s="44"/>
      <c r="H392" s="44"/>
    </row>
    <row r="393" spans="1:8">
      <c r="A393" s="53"/>
      <c r="C393" s="28"/>
      <c r="D393" s="28"/>
      <c r="E393" s="44"/>
      <c r="F393" s="44"/>
      <c r="G393" s="44"/>
      <c r="H393" s="44"/>
    </row>
    <row r="394" spans="1:8">
      <c r="A394" s="53"/>
      <c r="C394" s="28"/>
      <c r="D394" s="28"/>
      <c r="E394" s="44"/>
      <c r="F394" s="44"/>
      <c r="G394" s="44"/>
      <c r="H394" s="44"/>
    </row>
    <row r="395" spans="1:8">
      <c r="A395" s="53"/>
      <c r="C395" s="28"/>
      <c r="D395" s="28"/>
      <c r="E395" s="44"/>
      <c r="F395" s="44"/>
      <c r="G395" s="44"/>
      <c r="H395" s="44"/>
    </row>
    <row r="396" spans="1:8">
      <c r="A396" s="53"/>
      <c r="C396" s="28"/>
      <c r="D396" s="28"/>
      <c r="E396" s="44"/>
      <c r="F396" s="44"/>
      <c r="G396" s="44"/>
      <c r="H396" s="44"/>
    </row>
    <row r="397" spans="1:8">
      <c r="A397" s="53"/>
      <c r="C397" s="28"/>
      <c r="D397" s="28"/>
      <c r="E397" s="44"/>
      <c r="F397" s="44"/>
      <c r="G397" s="44"/>
      <c r="H397" s="44"/>
    </row>
    <row r="398" spans="1:8">
      <c r="A398" s="53"/>
      <c r="C398" s="28"/>
      <c r="D398" s="28"/>
      <c r="E398" s="44"/>
      <c r="F398" s="44"/>
      <c r="G398" s="44"/>
      <c r="H398" s="44"/>
    </row>
    <row r="399" spans="1:8">
      <c r="A399" s="53"/>
      <c r="C399" s="28"/>
      <c r="D399" s="28"/>
      <c r="E399" s="44"/>
      <c r="F399" s="44"/>
      <c r="G399" s="44"/>
      <c r="H399" s="44"/>
    </row>
    <row r="400" spans="1:8">
      <c r="A400" s="53"/>
      <c r="C400" s="28"/>
      <c r="D400" s="28"/>
      <c r="E400" s="44"/>
      <c r="F400" s="44"/>
      <c r="G400" s="44"/>
      <c r="H400" s="44"/>
    </row>
    <row r="401" spans="1:8">
      <c r="A401" s="53"/>
      <c r="C401" s="28"/>
      <c r="D401" s="28"/>
      <c r="E401" s="44"/>
      <c r="F401" s="44"/>
      <c r="G401" s="44"/>
      <c r="H401" s="44"/>
    </row>
    <row r="402" spans="1:8">
      <c r="A402" s="53"/>
      <c r="C402" s="28"/>
      <c r="D402" s="28"/>
      <c r="E402" s="44"/>
      <c r="F402" s="44"/>
      <c r="G402" s="44"/>
      <c r="H402" s="44"/>
    </row>
    <row r="403" spans="1:8">
      <c r="A403" s="53"/>
      <c r="C403" s="28"/>
      <c r="D403" s="28"/>
      <c r="E403" s="44"/>
      <c r="F403" s="44"/>
      <c r="G403" s="44"/>
      <c r="H403" s="44"/>
    </row>
    <row r="404" spans="1:8">
      <c r="A404" s="53"/>
      <c r="C404" s="28"/>
      <c r="D404" s="28"/>
      <c r="E404" s="44"/>
      <c r="F404" s="44"/>
      <c r="G404" s="44"/>
      <c r="H404" s="44"/>
    </row>
    <row r="405" spans="1:8">
      <c r="A405" s="53"/>
      <c r="C405" s="28"/>
      <c r="D405" s="28"/>
      <c r="E405" s="44"/>
      <c r="F405" s="44"/>
      <c r="G405" s="44"/>
      <c r="H405" s="44"/>
    </row>
    <row r="406" spans="1:8">
      <c r="A406" s="53"/>
      <c r="C406" s="28"/>
      <c r="D406" s="28"/>
      <c r="E406" s="44"/>
      <c r="F406" s="44"/>
      <c r="G406" s="44"/>
      <c r="H406" s="44"/>
    </row>
    <row r="407" spans="1:8">
      <c r="A407" s="53"/>
      <c r="C407" s="28"/>
      <c r="D407" s="28"/>
      <c r="E407" s="44"/>
      <c r="F407" s="44"/>
      <c r="G407" s="44"/>
      <c r="H407" s="44"/>
    </row>
    <row r="408" spans="1:8">
      <c r="A408" s="53"/>
      <c r="C408" s="28"/>
      <c r="D408" s="28"/>
      <c r="E408" s="44"/>
      <c r="F408" s="44"/>
      <c r="G408" s="44"/>
      <c r="H408" s="44"/>
    </row>
    <row r="409" spans="1:8">
      <c r="A409" s="53"/>
      <c r="C409" s="28"/>
      <c r="D409" s="28"/>
      <c r="E409" s="44"/>
      <c r="F409" s="44"/>
      <c r="G409" s="44"/>
      <c r="H409" s="44"/>
    </row>
    <row r="410" spans="1:8">
      <c r="A410" s="53"/>
      <c r="C410" s="28"/>
      <c r="D410" s="28"/>
      <c r="E410" s="44"/>
      <c r="F410" s="44"/>
      <c r="G410" s="44"/>
      <c r="H410" s="44"/>
    </row>
    <row r="411" spans="1:8">
      <c r="A411" s="53"/>
      <c r="C411" s="28"/>
      <c r="D411" s="28"/>
      <c r="E411" s="44"/>
      <c r="F411" s="44"/>
      <c r="G411" s="44"/>
      <c r="H411" s="44"/>
    </row>
    <row r="412" spans="1:8">
      <c r="A412" s="53"/>
      <c r="C412" s="28"/>
      <c r="D412" s="28"/>
      <c r="E412" s="44"/>
      <c r="F412" s="44"/>
      <c r="G412" s="44"/>
      <c r="H412" s="44"/>
    </row>
    <row r="413" spans="1:8">
      <c r="A413" s="53"/>
      <c r="C413" s="28"/>
      <c r="D413" s="28"/>
      <c r="E413" s="44"/>
      <c r="F413" s="44"/>
      <c r="G413" s="44"/>
      <c r="H413" s="44"/>
    </row>
    <row r="414" spans="1:8">
      <c r="A414" s="53"/>
      <c r="C414" s="28"/>
      <c r="D414" s="28"/>
      <c r="E414" s="44"/>
      <c r="F414" s="44"/>
      <c r="G414" s="44"/>
      <c r="H414" s="44"/>
    </row>
    <row r="415" spans="1:8">
      <c r="A415" s="53"/>
      <c r="C415" s="28"/>
      <c r="D415" s="28"/>
      <c r="E415" s="44"/>
      <c r="F415" s="44"/>
      <c r="G415" s="44"/>
      <c r="H415" s="44"/>
    </row>
    <row r="416" spans="1:8">
      <c r="A416" s="53"/>
      <c r="C416" s="28"/>
      <c r="D416" s="28"/>
      <c r="E416" s="44"/>
      <c r="F416" s="44"/>
      <c r="G416" s="44"/>
      <c r="H416" s="44"/>
    </row>
    <row r="417" spans="1:8">
      <c r="A417" s="53"/>
      <c r="C417" s="28"/>
      <c r="D417" s="28"/>
      <c r="E417" s="44"/>
      <c r="F417" s="44"/>
      <c r="G417" s="44"/>
      <c r="H417" s="44"/>
    </row>
    <row r="418" spans="1:8">
      <c r="A418" s="53"/>
      <c r="C418" s="28"/>
      <c r="D418" s="28"/>
      <c r="E418" s="44"/>
      <c r="F418" s="44"/>
      <c r="G418" s="44"/>
      <c r="H418" s="44"/>
    </row>
    <row r="419" spans="1:8">
      <c r="A419" s="53"/>
      <c r="C419" s="28"/>
      <c r="D419" s="28"/>
      <c r="E419" s="44"/>
      <c r="F419" s="44"/>
      <c r="G419" s="44"/>
      <c r="H419" s="44"/>
    </row>
    <row r="420" spans="1:8">
      <c r="A420" s="53"/>
      <c r="C420" s="28"/>
      <c r="D420" s="28"/>
      <c r="E420" s="44"/>
      <c r="F420" s="44"/>
      <c r="G420" s="44"/>
      <c r="H420" s="44"/>
    </row>
    <row r="421" spans="1:8">
      <c r="A421" s="53"/>
      <c r="C421" s="28"/>
      <c r="D421" s="28"/>
      <c r="E421" s="44"/>
      <c r="F421" s="44"/>
      <c r="G421" s="44"/>
      <c r="H421" s="44"/>
    </row>
    <row r="422" spans="1:8">
      <c r="A422" s="53"/>
      <c r="C422" s="28"/>
      <c r="D422" s="28"/>
      <c r="E422" s="44"/>
      <c r="F422" s="44"/>
      <c r="G422" s="44"/>
      <c r="H422" s="44"/>
    </row>
    <row r="423" spans="1:8">
      <c r="A423" s="53"/>
      <c r="C423" s="28"/>
      <c r="D423" s="28"/>
      <c r="E423" s="44"/>
      <c r="F423" s="44"/>
      <c r="G423" s="44"/>
      <c r="H423" s="44"/>
    </row>
    <row r="424" spans="1:8">
      <c r="A424" s="53"/>
      <c r="C424" s="28"/>
      <c r="D424" s="28"/>
      <c r="E424" s="44"/>
      <c r="F424" s="44"/>
      <c r="G424" s="44"/>
      <c r="H424" s="44"/>
    </row>
    <row r="425" spans="1:8">
      <c r="A425" s="53"/>
      <c r="C425" s="28"/>
      <c r="D425" s="28"/>
      <c r="E425" s="44"/>
      <c r="F425" s="44"/>
      <c r="G425" s="44"/>
      <c r="H425" s="44"/>
    </row>
    <row r="426" spans="1:8">
      <c r="A426" s="53"/>
      <c r="C426" s="28"/>
      <c r="D426" s="28"/>
      <c r="E426" s="44"/>
      <c r="F426" s="44"/>
      <c r="G426" s="44"/>
      <c r="H426" s="44"/>
    </row>
    <row r="427" spans="1:8">
      <c r="A427" s="53"/>
      <c r="C427" s="28"/>
      <c r="D427" s="28"/>
      <c r="E427" s="44"/>
      <c r="F427" s="44"/>
      <c r="G427" s="44"/>
      <c r="H427" s="44"/>
    </row>
    <row r="428" spans="1:8">
      <c r="A428" s="53"/>
      <c r="C428" s="28"/>
      <c r="D428" s="28"/>
      <c r="E428" s="44"/>
      <c r="F428" s="44"/>
      <c r="G428" s="44"/>
      <c r="H428" s="44"/>
    </row>
    <row r="429" spans="1:8">
      <c r="A429" s="53"/>
      <c r="C429" s="28"/>
      <c r="D429" s="28"/>
      <c r="E429" s="44"/>
      <c r="F429" s="44"/>
      <c r="G429" s="44"/>
      <c r="H429" s="44"/>
    </row>
    <row r="430" spans="1:8">
      <c r="A430" s="53"/>
      <c r="C430" s="28"/>
      <c r="D430" s="28"/>
      <c r="E430" s="44"/>
      <c r="F430" s="44"/>
      <c r="G430" s="44"/>
      <c r="H430" s="44"/>
    </row>
    <row r="431" spans="1:8">
      <c r="A431" s="53"/>
      <c r="C431" s="28"/>
      <c r="D431" s="28"/>
      <c r="E431" s="44"/>
      <c r="F431" s="44"/>
      <c r="G431" s="44"/>
      <c r="H431" s="44"/>
    </row>
    <row r="432" spans="1:8">
      <c r="A432" s="53"/>
      <c r="C432" s="28"/>
      <c r="D432" s="28"/>
      <c r="E432" s="44"/>
      <c r="F432" s="44"/>
      <c r="G432" s="44"/>
      <c r="H432" s="44"/>
    </row>
    <row r="433" spans="1:8">
      <c r="A433" s="53"/>
      <c r="C433" s="28"/>
      <c r="D433" s="28"/>
      <c r="E433" s="44"/>
      <c r="F433" s="44"/>
      <c r="G433" s="44"/>
      <c r="H433" s="44"/>
    </row>
    <row r="434" spans="1:8">
      <c r="A434" s="53"/>
      <c r="C434" s="28"/>
      <c r="D434" s="28"/>
      <c r="E434" s="44"/>
      <c r="F434" s="44"/>
      <c r="G434" s="44"/>
      <c r="H434" s="44"/>
    </row>
    <row r="435" spans="1:8">
      <c r="A435" s="53"/>
      <c r="C435" s="28"/>
      <c r="D435" s="28"/>
      <c r="E435" s="44"/>
      <c r="F435" s="44"/>
      <c r="G435" s="44"/>
      <c r="H435" s="44"/>
    </row>
    <row r="436" spans="1:8">
      <c r="A436" s="53"/>
      <c r="C436" s="28"/>
      <c r="D436" s="28"/>
      <c r="E436" s="44"/>
      <c r="F436" s="44"/>
      <c r="G436" s="44"/>
      <c r="H436" s="44"/>
    </row>
    <row r="437" spans="1:8">
      <c r="A437" s="53"/>
      <c r="C437" s="28"/>
      <c r="D437" s="28"/>
      <c r="E437" s="44"/>
      <c r="F437" s="44"/>
      <c r="G437" s="44"/>
      <c r="H437" s="44"/>
    </row>
    <row r="438" spans="1:8">
      <c r="A438" s="53"/>
      <c r="C438" s="28"/>
      <c r="D438" s="28"/>
      <c r="E438" s="44"/>
      <c r="F438" s="44"/>
      <c r="G438" s="44"/>
      <c r="H438" s="44"/>
    </row>
    <row r="439" spans="1:8">
      <c r="A439" s="53"/>
      <c r="C439" s="28"/>
      <c r="D439" s="28"/>
      <c r="E439" s="44"/>
      <c r="F439" s="44"/>
      <c r="G439" s="44"/>
      <c r="H439" s="44"/>
    </row>
    <row r="440" spans="1:8">
      <c r="A440" s="53"/>
      <c r="C440" s="28"/>
      <c r="D440" s="28"/>
      <c r="E440" s="44"/>
      <c r="F440" s="44"/>
      <c r="G440" s="44"/>
      <c r="H440" s="44"/>
    </row>
    <row r="441" spans="1:8">
      <c r="A441" s="53"/>
      <c r="C441" s="28"/>
      <c r="D441" s="28"/>
      <c r="E441" s="44"/>
      <c r="F441" s="44"/>
      <c r="G441" s="44"/>
      <c r="H441" s="44"/>
    </row>
    <row r="442" spans="1:8">
      <c r="A442" s="53"/>
      <c r="C442" s="28"/>
      <c r="D442" s="28"/>
      <c r="E442" s="44"/>
      <c r="F442" s="44"/>
      <c r="G442" s="44"/>
      <c r="H442" s="44"/>
    </row>
    <row r="443" spans="1:8">
      <c r="A443" s="53"/>
      <c r="C443" s="28"/>
      <c r="D443" s="28"/>
      <c r="E443" s="44"/>
      <c r="F443" s="44"/>
      <c r="G443" s="44"/>
      <c r="H443" s="44"/>
    </row>
    <row r="444" spans="1:8">
      <c r="A444" s="53"/>
      <c r="C444" s="28"/>
      <c r="D444" s="28"/>
      <c r="E444" s="44"/>
      <c r="F444" s="44"/>
      <c r="G444" s="44"/>
      <c r="H444" s="44"/>
    </row>
    <row r="445" spans="1:8">
      <c r="A445" s="53"/>
      <c r="C445" s="28"/>
      <c r="D445" s="28"/>
      <c r="E445" s="44"/>
      <c r="F445" s="44"/>
      <c r="G445" s="44"/>
      <c r="H445" s="44"/>
    </row>
    <row r="446" spans="1:8">
      <c r="A446" s="53"/>
      <c r="C446" s="28"/>
      <c r="D446" s="28"/>
      <c r="E446" s="44"/>
      <c r="F446" s="44"/>
      <c r="G446" s="44"/>
      <c r="H446" s="44"/>
    </row>
    <row r="447" spans="1:8">
      <c r="A447" s="53"/>
      <c r="C447" s="28"/>
      <c r="D447" s="28"/>
      <c r="E447" s="44"/>
      <c r="F447" s="44"/>
      <c r="G447" s="44"/>
      <c r="H447" s="44"/>
    </row>
    <row r="448" spans="1:8">
      <c r="A448" s="53"/>
      <c r="C448" s="28"/>
      <c r="D448" s="28"/>
      <c r="E448" s="44"/>
      <c r="F448" s="44"/>
      <c r="G448" s="44"/>
      <c r="H448" s="44"/>
    </row>
    <row r="449" spans="1:8">
      <c r="A449" s="53"/>
      <c r="C449" s="28"/>
      <c r="D449" s="28"/>
      <c r="E449" s="44"/>
      <c r="F449" s="44"/>
      <c r="G449" s="44"/>
      <c r="H449" s="44"/>
    </row>
    <row r="450" spans="1:8">
      <c r="A450" s="53"/>
      <c r="C450" s="28"/>
      <c r="D450" s="28"/>
      <c r="E450" s="44"/>
      <c r="F450" s="44"/>
      <c r="G450" s="44"/>
      <c r="H450" s="44"/>
    </row>
    <row r="451" spans="1:8">
      <c r="A451" s="53"/>
      <c r="C451" s="28"/>
      <c r="D451" s="28"/>
      <c r="E451" s="44"/>
      <c r="F451" s="44"/>
      <c r="G451" s="44"/>
      <c r="H451" s="44"/>
    </row>
    <row r="452" spans="1:8">
      <c r="A452" s="53"/>
      <c r="C452" s="28"/>
      <c r="D452" s="28"/>
      <c r="E452" s="44"/>
      <c r="F452" s="44"/>
      <c r="G452" s="44"/>
      <c r="H452" s="44"/>
    </row>
    <row r="453" spans="1:8">
      <c r="A453" s="53"/>
      <c r="C453" s="28"/>
      <c r="D453" s="28"/>
      <c r="E453" s="44"/>
      <c r="F453" s="44"/>
      <c r="G453" s="44"/>
      <c r="H453" s="44"/>
    </row>
    <row r="454" spans="1:8">
      <c r="A454" s="53"/>
      <c r="C454" s="28"/>
      <c r="D454" s="28"/>
      <c r="E454" s="44"/>
      <c r="F454" s="44"/>
      <c r="G454" s="44"/>
      <c r="H454" s="44"/>
    </row>
    <row r="455" spans="1:8">
      <c r="A455" s="53"/>
      <c r="C455" s="28"/>
      <c r="D455" s="28"/>
      <c r="E455" s="44"/>
      <c r="F455" s="44"/>
      <c r="G455" s="44"/>
      <c r="H455" s="44"/>
    </row>
    <row r="456" spans="1:8">
      <c r="A456" s="53"/>
      <c r="C456" s="28"/>
      <c r="D456" s="28"/>
      <c r="E456" s="44"/>
      <c r="F456" s="44"/>
      <c r="G456" s="44"/>
      <c r="H456" s="44"/>
    </row>
    <row r="457" spans="1:8">
      <c r="A457" s="53"/>
      <c r="C457" s="28"/>
      <c r="D457" s="28"/>
      <c r="E457" s="44"/>
      <c r="F457" s="44"/>
      <c r="G457" s="44"/>
      <c r="H457" s="44"/>
    </row>
    <row r="458" spans="1:8">
      <c r="A458" s="53"/>
      <c r="C458" s="28"/>
      <c r="D458" s="28"/>
      <c r="E458" s="44"/>
      <c r="F458" s="44"/>
      <c r="G458" s="44"/>
      <c r="H458" s="44"/>
    </row>
    <row r="459" spans="1:8">
      <c r="A459" s="53"/>
      <c r="C459" s="28"/>
      <c r="D459" s="28"/>
      <c r="E459" s="44"/>
      <c r="F459" s="44"/>
      <c r="G459" s="44"/>
      <c r="H459" s="44"/>
    </row>
    <row r="460" spans="1:8">
      <c r="A460" s="53"/>
      <c r="C460" s="28"/>
      <c r="D460" s="28"/>
      <c r="E460" s="44"/>
      <c r="F460" s="44"/>
      <c r="G460" s="44"/>
      <c r="H460" s="44"/>
    </row>
    <row r="461" spans="1:8">
      <c r="A461" s="53"/>
      <c r="C461" s="28"/>
      <c r="D461" s="28"/>
      <c r="E461" s="44"/>
      <c r="F461" s="44"/>
      <c r="G461" s="44"/>
      <c r="H461" s="44"/>
    </row>
    <row r="462" spans="1:8">
      <c r="A462" s="53"/>
      <c r="C462" s="28"/>
      <c r="D462" s="28"/>
      <c r="E462" s="44"/>
      <c r="F462" s="44"/>
      <c r="G462" s="44"/>
      <c r="H462" s="44"/>
    </row>
    <row r="463" spans="1:8">
      <c r="A463" s="53"/>
      <c r="C463" s="28"/>
      <c r="D463" s="28"/>
      <c r="E463" s="44"/>
      <c r="F463" s="44"/>
      <c r="G463" s="44"/>
      <c r="H463" s="44"/>
    </row>
    <row r="464" spans="1:8">
      <c r="A464" s="53"/>
      <c r="C464" s="28"/>
      <c r="D464" s="28"/>
      <c r="E464" s="44"/>
      <c r="F464" s="44"/>
      <c r="G464" s="44"/>
      <c r="H464" s="44"/>
    </row>
    <row r="465" spans="1:8">
      <c r="A465" s="53"/>
      <c r="C465" s="28"/>
      <c r="D465" s="28"/>
      <c r="E465" s="44"/>
      <c r="F465" s="44"/>
      <c r="G465" s="44"/>
      <c r="H465" s="44"/>
    </row>
    <row r="466" spans="1:8">
      <c r="A466" s="53"/>
      <c r="C466" s="28"/>
      <c r="D466" s="28"/>
      <c r="E466" s="44"/>
      <c r="F466" s="44"/>
      <c r="G466" s="44"/>
      <c r="H466" s="44"/>
    </row>
    <row r="467" spans="1:8">
      <c r="A467" s="53"/>
      <c r="C467" s="28"/>
      <c r="D467" s="28"/>
      <c r="E467" s="44"/>
      <c r="F467" s="44"/>
      <c r="G467" s="44"/>
      <c r="H467" s="44"/>
    </row>
    <row r="468" spans="1:8">
      <c r="A468" s="53"/>
      <c r="C468" s="28"/>
      <c r="D468" s="28"/>
      <c r="E468" s="44"/>
      <c r="F468" s="44"/>
      <c r="G468" s="44"/>
      <c r="H468" s="44"/>
    </row>
    <row r="469" spans="1:8">
      <c r="A469" s="53"/>
      <c r="C469" s="28"/>
      <c r="D469" s="28"/>
      <c r="E469" s="44"/>
      <c r="F469" s="44"/>
      <c r="G469" s="44"/>
      <c r="H469" s="44"/>
    </row>
    <row r="470" spans="1:8">
      <c r="A470" s="53"/>
      <c r="C470" s="28"/>
      <c r="D470" s="28"/>
      <c r="E470" s="44"/>
      <c r="F470" s="44"/>
      <c r="G470" s="44"/>
      <c r="H470" s="44"/>
    </row>
    <row r="471" spans="1:8">
      <c r="A471" s="53"/>
      <c r="C471" s="28"/>
      <c r="D471" s="28"/>
      <c r="E471" s="44"/>
      <c r="F471" s="44"/>
      <c r="G471" s="44"/>
      <c r="H471" s="44"/>
    </row>
    <row r="472" spans="1:8">
      <c r="A472" s="53"/>
      <c r="C472" s="28"/>
      <c r="D472" s="28"/>
      <c r="E472" s="44"/>
      <c r="F472" s="44"/>
      <c r="G472" s="44"/>
      <c r="H472" s="44"/>
    </row>
    <row r="473" spans="1:8">
      <c r="A473" s="53"/>
      <c r="C473" s="28"/>
      <c r="D473" s="28"/>
      <c r="E473" s="44"/>
      <c r="F473" s="44"/>
      <c r="G473" s="44"/>
      <c r="H473" s="44"/>
    </row>
    <row r="474" spans="1:8">
      <c r="A474" s="53"/>
      <c r="C474" s="28"/>
      <c r="D474" s="28"/>
      <c r="E474" s="44"/>
      <c r="F474" s="44"/>
      <c r="G474" s="44"/>
      <c r="H474" s="44"/>
    </row>
    <row r="475" spans="1:8">
      <c r="A475" s="53"/>
      <c r="C475" s="28"/>
      <c r="D475" s="28"/>
      <c r="E475" s="44"/>
      <c r="F475" s="44"/>
      <c r="G475" s="44"/>
      <c r="H475" s="44"/>
    </row>
    <row r="476" spans="1:8">
      <c r="A476" s="53"/>
      <c r="C476" s="28"/>
      <c r="D476" s="28"/>
      <c r="E476" s="44"/>
      <c r="F476" s="44"/>
      <c r="G476" s="44"/>
      <c r="H476" s="44"/>
    </row>
    <row r="477" spans="1:8">
      <c r="A477" s="53"/>
      <c r="C477" s="28"/>
      <c r="D477" s="28"/>
      <c r="E477" s="44"/>
      <c r="F477" s="44"/>
      <c r="G477" s="44"/>
      <c r="H477" s="44"/>
    </row>
    <row r="478" spans="1:8">
      <c r="A478" s="53"/>
      <c r="C478" s="28"/>
      <c r="D478" s="28"/>
      <c r="E478" s="44"/>
      <c r="F478" s="44"/>
      <c r="G478" s="44"/>
      <c r="H478" s="44"/>
    </row>
    <row r="479" spans="1:8">
      <c r="A479" s="53"/>
      <c r="C479" s="28"/>
      <c r="D479" s="28"/>
      <c r="E479" s="44"/>
      <c r="F479" s="44"/>
      <c r="G479" s="44"/>
      <c r="H479" s="44"/>
    </row>
    <row r="480" spans="1:8">
      <c r="A480" s="53"/>
      <c r="C480" s="28"/>
      <c r="D480" s="28"/>
      <c r="E480" s="44"/>
      <c r="F480" s="44"/>
      <c r="G480" s="44"/>
      <c r="H480" s="44"/>
    </row>
    <row r="481" spans="1:8">
      <c r="A481" s="53"/>
      <c r="C481" s="28"/>
      <c r="D481" s="28"/>
      <c r="E481" s="44"/>
      <c r="F481" s="44"/>
      <c r="G481" s="44"/>
      <c r="H481" s="44"/>
    </row>
    <row r="482" spans="1:8">
      <c r="A482" s="53"/>
      <c r="C482" s="28"/>
      <c r="D482" s="28"/>
      <c r="E482" s="44"/>
      <c r="F482" s="44"/>
      <c r="G482" s="44"/>
      <c r="H482" s="44"/>
    </row>
    <row r="483" spans="1:8">
      <c r="A483" s="53"/>
      <c r="C483" s="28"/>
      <c r="D483" s="28"/>
      <c r="E483" s="44"/>
      <c r="F483" s="44"/>
      <c r="G483" s="44"/>
      <c r="H483" s="44"/>
    </row>
    <row r="484" spans="1:8">
      <c r="A484" s="53"/>
      <c r="C484" s="28"/>
      <c r="D484" s="28"/>
      <c r="E484" s="44"/>
      <c r="F484" s="44"/>
      <c r="G484" s="44"/>
      <c r="H484" s="44"/>
    </row>
    <row r="485" spans="1:8">
      <c r="A485" s="53"/>
      <c r="C485" s="28"/>
      <c r="D485" s="28"/>
      <c r="E485" s="44"/>
      <c r="F485" s="44"/>
      <c r="G485" s="44"/>
      <c r="H485" s="44"/>
    </row>
    <row r="486" spans="1:8">
      <c r="A486" s="53"/>
      <c r="C486" s="28"/>
      <c r="D486" s="28"/>
      <c r="E486" s="44"/>
      <c r="F486" s="44"/>
      <c r="G486" s="44"/>
      <c r="H486" s="44"/>
    </row>
    <row r="487" spans="1:8">
      <c r="A487" s="53"/>
      <c r="C487" s="28"/>
      <c r="D487" s="28"/>
      <c r="E487" s="44"/>
      <c r="F487" s="44"/>
      <c r="G487" s="44"/>
      <c r="H487" s="44"/>
    </row>
    <row r="488" spans="1:8">
      <c r="A488" s="53"/>
      <c r="C488" s="28"/>
      <c r="D488" s="28"/>
      <c r="E488" s="44"/>
      <c r="F488" s="44"/>
      <c r="G488" s="44"/>
      <c r="H488" s="44"/>
    </row>
    <row r="489" spans="1:8">
      <c r="A489" s="53"/>
      <c r="C489" s="28"/>
      <c r="D489" s="28"/>
      <c r="E489" s="44"/>
      <c r="F489" s="44"/>
      <c r="G489" s="44"/>
      <c r="H489" s="44"/>
    </row>
    <row r="490" spans="1:8">
      <c r="A490" s="53"/>
      <c r="C490" s="28"/>
      <c r="D490" s="28"/>
      <c r="E490" s="44"/>
      <c r="F490" s="44"/>
      <c r="G490" s="44"/>
      <c r="H490" s="44"/>
    </row>
    <row r="491" spans="1:8">
      <c r="A491" s="53"/>
      <c r="C491" s="28"/>
      <c r="D491" s="28"/>
      <c r="E491" s="44"/>
      <c r="F491" s="44"/>
      <c r="G491" s="44"/>
      <c r="H491" s="44"/>
    </row>
    <row r="492" spans="1:8">
      <c r="A492" s="53"/>
      <c r="C492" s="28"/>
      <c r="D492" s="28"/>
      <c r="E492" s="44"/>
      <c r="F492" s="44"/>
      <c r="G492" s="44"/>
      <c r="H492" s="44"/>
    </row>
    <row r="493" spans="1:8">
      <c r="A493" s="53"/>
      <c r="C493" s="28"/>
      <c r="D493" s="28"/>
      <c r="E493" s="44"/>
      <c r="F493" s="44"/>
      <c r="G493" s="44"/>
      <c r="H493" s="44"/>
    </row>
    <row r="494" spans="1:8">
      <c r="A494" s="53"/>
      <c r="C494" s="28"/>
      <c r="D494" s="28"/>
      <c r="E494" s="44"/>
      <c r="F494" s="44"/>
      <c r="G494" s="44"/>
      <c r="H494" s="44"/>
    </row>
    <row r="495" spans="1:8">
      <c r="A495" s="53"/>
      <c r="C495" s="28"/>
      <c r="D495" s="28"/>
      <c r="E495" s="44"/>
      <c r="F495" s="44"/>
      <c r="G495" s="44"/>
      <c r="H495" s="44"/>
    </row>
    <row r="496" spans="1:8">
      <c r="A496" s="53"/>
      <c r="C496" s="28"/>
      <c r="D496" s="28"/>
      <c r="E496" s="44"/>
      <c r="F496" s="44"/>
      <c r="G496" s="44"/>
      <c r="H496" s="44"/>
    </row>
    <row r="497" spans="1:8">
      <c r="A497" s="53"/>
      <c r="C497" s="28"/>
      <c r="D497" s="28"/>
      <c r="E497" s="44"/>
      <c r="F497" s="44"/>
      <c r="G497" s="44"/>
      <c r="H497" s="44"/>
    </row>
    <row r="498" spans="1:8">
      <c r="A498" s="53"/>
      <c r="C498" s="28"/>
      <c r="D498" s="28"/>
      <c r="E498" s="44"/>
      <c r="F498" s="44"/>
      <c r="G498" s="44"/>
      <c r="H498" s="44"/>
    </row>
    <row r="499" spans="1:8">
      <c r="A499" s="53"/>
      <c r="C499" s="28"/>
      <c r="D499" s="28"/>
      <c r="E499" s="44"/>
      <c r="F499" s="44"/>
      <c r="G499" s="44"/>
      <c r="H499" s="44"/>
    </row>
    <row r="500" spans="1:8">
      <c r="A500" s="53"/>
      <c r="C500" s="28"/>
      <c r="D500" s="28"/>
      <c r="E500" s="44"/>
      <c r="F500" s="44"/>
      <c r="G500" s="44"/>
      <c r="H500" s="44"/>
    </row>
    <row r="501" spans="1:8">
      <c r="A501" s="53"/>
      <c r="C501" s="28"/>
      <c r="D501" s="28"/>
      <c r="E501" s="44"/>
      <c r="F501" s="44"/>
      <c r="G501" s="44"/>
      <c r="H501" s="44"/>
    </row>
    <row r="502" spans="1:8">
      <c r="A502" s="53"/>
      <c r="C502" s="28"/>
      <c r="D502" s="28"/>
      <c r="E502" s="44"/>
      <c r="F502" s="44"/>
      <c r="G502" s="44"/>
      <c r="H502" s="44"/>
    </row>
    <row r="503" spans="1:8">
      <c r="A503" s="53"/>
      <c r="C503" s="28"/>
      <c r="D503" s="28"/>
      <c r="E503" s="44"/>
      <c r="F503" s="44"/>
      <c r="G503" s="44"/>
      <c r="H503" s="44"/>
    </row>
    <row r="504" spans="1:8">
      <c r="A504" s="53"/>
      <c r="C504" s="28"/>
      <c r="D504" s="28"/>
      <c r="E504" s="44"/>
      <c r="F504" s="44"/>
      <c r="G504" s="44"/>
      <c r="H504" s="44"/>
    </row>
    <row r="505" spans="1:8">
      <c r="A505" s="53"/>
      <c r="C505" s="28"/>
      <c r="D505" s="28"/>
      <c r="E505" s="44"/>
      <c r="F505" s="44"/>
      <c r="G505" s="44"/>
      <c r="H505" s="44"/>
    </row>
    <row r="506" spans="1:8">
      <c r="A506" s="53"/>
      <c r="C506" s="28"/>
      <c r="D506" s="28"/>
      <c r="E506" s="44"/>
      <c r="F506" s="44"/>
      <c r="G506" s="44"/>
      <c r="H506" s="44"/>
    </row>
    <row r="507" spans="1:8">
      <c r="A507" s="53"/>
      <c r="C507" s="28"/>
      <c r="D507" s="28"/>
      <c r="E507" s="44"/>
      <c r="F507" s="44"/>
      <c r="G507" s="44"/>
      <c r="H507" s="44"/>
    </row>
    <row r="508" spans="1:8">
      <c r="A508" s="53"/>
      <c r="C508" s="28"/>
      <c r="D508" s="28"/>
      <c r="E508" s="44"/>
      <c r="F508" s="44"/>
      <c r="G508" s="44"/>
      <c r="H508" s="44"/>
    </row>
    <row r="509" spans="1:8">
      <c r="A509" s="53"/>
      <c r="C509" s="28"/>
      <c r="D509" s="28"/>
      <c r="E509" s="44"/>
      <c r="F509" s="44"/>
      <c r="G509" s="44"/>
      <c r="H509" s="44"/>
    </row>
    <row r="510" spans="1:8">
      <c r="A510" s="53"/>
      <c r="C510" s="28"/>
      <c r="D510" s="28"/>
      <c r="E510" s="44"/>
      <c r="F510" s="44"/>
      <c r="G510" s="44"/>
      <c r="H510" s="44"/>
    </row>
    <row r="511" spans="1:8">
      <c r="A511" s="53"/>
      <c r="C511" s="28"/>
      <c r="D511" s="28"/>
      <c r="E511" s="44"/>
      <c r="F511" s="44"/>
      <c r="G511" s="44"/>
      <c r="H511" s="44"/>
    </row>
    <row r="512" spans="1:8">
      <c r="A512" s="53"/>
      <c r="C512" s="28"/>
      <c r="D512" s="28"/>
      <c r="E512" s="44"/>
      <c r="F512" s="44"/>
      <c r="G512" s="44"/>
      <c r="H512" s="44"/>
    </row>
    <row r="513" spans="1:8">
      <c r="A513" s="53"/>
      <c r="C513" s="28"/>
      <c r="D513" s="28"/>
      <c r="E513" s="44"/>
      <c r="F513" s="44"/>
      <c r="G513" s="44"/>
      <c r="H513" s="44"/>
    </row>
    <row r="514" spans="1:8">
      <c r="A514" s="53"/>
      <c r="C514" s="28"/>
      <c r="D514" s="28"/>
      <c r="E514" s="44"/>
      <c r="F514" s="44"/>
      <c r="G514" s="44"/>
      <c r="H514" s="44"/>
    </row>
    <row r="515" spans="1:8">
      <c r="A515" s="53"/>
      <c r="C515" s="28"/>
      <c r="D515" s="28"/>
      <c r="E515" s="44"/>
      <c r="F515" s="44"/>
      <c r="G515" s="44"/>
      <c r="H515" s="44"/>
    </row>
    <row r="516" spans="1:8">
      <c r="A516" s="53"/>
      <c r="C516" s="28"/>
      <c r="D516" s="28"/>
      <c r="E516" s="44"/>
      <c r="F516" s="44"/>
      <c r="G516" s="44"/>
      <c r="H516" s="44"/>
    </row>
    <row r="517" spans="1:8">
      <c r="A517" s="53"/>
      <c r="C517" s="28"/>
      <c r="D517" s="28"/>
      <c r="E517" s="44"/>
      <c r="F517" s="44"/>
      <c r="G517" s="44"/>
      <c r="H517" s="44"/>
    </row>
    <row r="518" spans="1:8">
      <c r="A518" s="53"/>
      <c r="C518" s="28"/>
      <c r="D518" s="28"/>
      <c r="E518" s="44"/>
      <c r="F518" s="44"/>
      <c r="G518" s="44"/>
      <c r="H518" s="44"/>
    </row>
    <row r="519" spans="1:8">
      <c r="A519" s="53"/>
      <c r="C519" s="28"/>
      <c r="D519" s="28"/>
      <c r="E519" s="44"/>
      <c r="F519" s="44"/>
      <c r="G519" s="44"/>
      <c r="H519" s="44"/>
    </row>
    <row r="520" spans="1:8">
      <c r="A520" s="53"/>
      <c r="C520" s="28"/>
      <c r="D520" s="28"/>
      <c r="E520" s="44"/>
      <c r="F520" s="44"/>
      <c r="G520" s="44"/>
      <c r="H520" s="44"/>
    </row>
    <row r="521" spans="1:8">
      <c r="A521" s="53"/>
      <c r="C521" s="28"/>
      <c r="D521" s="28"/>
      <c r="E521" s="44"/>
      <c r="F521" s="44"/>
      <c r="G521" s="44"/>
      <c r="H521" s="44"/>
    </row>
    <row r="522" spans="1:8">
      <c r="A522" s="53"/>
      <c r="C522" s="28"/>
      <c r="D522" s="28"/>
      <c r="E522" s="44"/>
      <c r="F522" s="44"/>
      <c r="G522" s="44"/>
      <c r="H522" s="44"/>
    </row>
    <row r="523" spans="1:8">
      <c r="A523" s="53"/>
      <c r="C523" s="28"/>
      <c r="D523" s="28"/>
      <c r="E523" s="44"/>
      <c r="F523" s="44"/>
      <c r="G523" s="44"/>
      <c r="H523" s="44"/>
    </row>
    <row r="524" spans="1:8">
      <c r="A524" s="53"/>
      <c r="C524" s="28"/>
      <c r="D524" s="28"/>
      <c r="E524" s="44"/>
      <c r="F524" s="44"/>
      <c r="G524" s="44"/>
      <c r="H524" s="44"/>
    </row>
    <row r="525" spans="1:8">
      <c r="A525" s="53"/>
      <c r="C525" s="28"/>
      <c r="D525" s="28"/>
      <c r="E525" s="44"/>
      <c r="F525" s="44"/>
      <c r="G525" s="44"/>
      <c r="H525" s="44"/>
    </row>
    <row r="526" spans="1:8">
      <c r="A526" s="53"/>
      <c r="C526" s="28"/>
      <c r="D526" s="28"/>
      <c r="E526" s="44"/>
      <c r="F526" s="44"/>
      <c r="G526" s="44"/>
      <c r="H526" s="44"/>
    </row>
    <row r="527" spans="1:8">
      <c r="A527" s="53"/>
      <c r="C527" s="28"/>
      <c r="D527" s="28"/>
      <c r="E527" s="44"/>
      <c r="F527" s="44"/>
      <c r="G527" s="44"/>
      <c r="H527" s="44"/>
    </row>
    <row r="528" spans="1:8">
      <c r="A528" s="53"/>
      <c r="C528" s="28"/>
      <c r="D528" s="28"/>
      <c r="E528" s="44"/>
      <c r="F528" s="44"/>
      <c r="G528" s="44"/>
      <c r="H528" s="44"/>
    </row>
    <row r="529" spans="1:8">
      <c r="A529" s="53"/>
      <c r="C529" s="28"/>
      <c r="D529" s="28"/>
      <c r="E529" s="44"/>
      <c r="F529" s="44"/>
      <c r="G529" s="44"/>
      <c r="H529" s="44"/>
    </row>
    <row r="530" spans="1:8">
      <c r="A530" s="53"/>
      <c r="C530" s="28"/>
      <c r="D530" s="28"/>
      <c r="E530" s="44"/>
      <c r="F530" s="44"/>
      <c r="G530" s="44"/>
      <c r="H530" s="44"/>
    </row>
    <row r="531" spans="1:8">
      <c r="A531" s="53"/>
      <c r="C531" s="28"/>
      <c r="D531" s="28"/>
      <c r="E531" s="44"/>
      <c r="F531" s="44"/>
      <c r="G531" s="44"/>
      <c r="H531" s="44"/>
    </row>
    <row r="532" spans="1:8">
      <c r="A532" s="53"/>
      <c r="C532" s="28"/>
      <c r="D532" s="28"/>
      <c r="E532" s="44"/>
      <c r="F532" s="44"/>
      <c r="G532" s="44"/>
      <c r="H532" s="44"/>
    </row>
    <row r="533" spans="1:8">
      <c r="A533" s="53"/>
      <c r="C533" s="28"/>
      <c r="D533" s="28"/>
      <c r="E533" s="44"/>
      <c r="F533" s="44"/>
      <c r="G533" s="44"/>
      <c r="H533" s="44"/>
    </row>
    <row r="534" spans="1:8">
      <c r="A534" s="53"/>
      <c r="C534" s="28"/>
      <c r="D534" s="28"/>
      <c r="E534" s="44"/>
      <c r="F534" s="44"/>
      <c r="G534" s="44"/>
      <c r="H534" s="44"/>
    </row>
    <row r="535" spans="1:8">
      <c r="A535" s="53"/>
      <c r="C535" s="28"/>
      <c r="D535" s="28"/>
      <c r="E535" s="44"/>
      <c r="F535" s="44"/>
      <c r="G535" s="44"/>
      <c r="H535" s="44"/>
    </row>
    <row r="536" spans="1:8">
      <c r="A536" s="53"/>
      <c r="C536" s="28"/>
      <c r="D536" s="28"/>
      <c r="E536" s="44"/>
      <c r="F536" s="44"/>
      <c r="G536" s="44"/>
      <c r="H536" s="44"/>
    </row>
    <row r="537" spans="1:8">
      <c r="A537" s="53"/>
      <c r="C537" s="28"/>
      <c r="D537" s="28"/>
      <c r="E537" s="44"/>
      <c r="F537" s="44"/>
      <c r="G537" s="44"/>
      <c r="H537" s="44"/>
    </row>
    <row r="538" spans="1:8">
      <c r="A538" s="53"/>
      <c r="C538" s="28"/>
      <c r="D538" s="28"/>
      <c r="E538" s="44"/>
      <c r="F538" s="44"/>
      <c r="G538" s="44"/>
      <c r="H538" s="44"/>
    </row>
    <row r="539" spans="1:8">
      <c r="A539" s="53"/>
      <c r="C539" s="28"/>
      <c r="D539" s="28"/>
      <c r="E539" s="44"/>
      <c r="F539" s="44"/>
      <c r="G539" s="44"/>
      <c r="H539" s="44"/>
    </row>
    <row r="540" spans="1:8">
      <c r="A540" s="53"/>
      <c r="C540" s="28"/>
      <c r="D540" s="28"/>
      <c r="E540" s="44"/>
      <c r="F540" s="44"/>
      <c r="G540" s="44"/>
      <c r="H540" s="44"/>
    </row>
    <row r="541" spans="1:8">
      <c r="A541" s="53"/>
      <c r="C541" s="28"/>
      <c r="D541" s="28"/>
      <c r="E541" s="44"/>
      <c r="F541" s="44"/>
      <c r="G541" s="44"/>
      <c r="H541" s="44"/>
    </row>
    <row r="542" spans="1:8">
      <c r="A542" s="53"/>
      <c r="C542" s="28"/>
      <c r="D542" s="28"/>
      <c r="E542" s="44"/>
      <c r="F542" s="44"/>
      <c r="G542" s="44"/>
      <c r="H542" s="44"/>
    </row>
    <row r="543" spans="1:8">
      <c r="A543" s="53"/>
      <c r="C543" s="28"/>
      <c r="D543" s="28"/>
      <c r="E543" s="44"/>
      <c r="F543" s="44"/>
      <c r="G543" s="44"/>
      <c r="H543" s="44"/>
    </row>
    <row r="544" spans="1:8">
      <c r="A544" s="53"/>
      <c r="C544" s="28"/>
      <c r="D544" s="28"/>
      <c r="E544" s="44"/>
      <c r="F544" s="44"/>
      <c r="G544" s="44"/>
      <c r="H544" s="44"/>
    </row>
    <row r="545" spans="1:8">
      <c r="A545" s="53"/>
      <c r="C545" s="28"/>
      <c r="D545" s="28"/>
      <c r="E545" s="44"/>
      <c r="F545" s="44"/>
      <c r="G545" s="44"/>
      <c r="H545" s="44"/>
    </row>
    <row r="546" spans="1:8">
      <c r="A546" s="53"/>
      <c r="C546" s="28"/>
      <c r="D546" s="28"/>
      <c r="E546" s="44"/>
      <c r="F546" s="44"/>
      <c r="G546" s="44"/>
      <c r="H546" s="44"/>
    </row>
    <row r="547" spans="1:8">
      <c r="A547" s="53"/>
      <c r="C547" s="28"/>
      <c r="D547" s="28"/>
      <c r="E547" s="44"/>
      <c r="F547" s="44"/>
      <c r="G547" s="44"/>
      <c r="H547" s="44"/>
    </row>
    <row r="548" spans="1:8">
      <c r="A548" s="53"/>
      <c r="C548" s="28"/>
      <c r="D548" s="28"/>
      <c r="E548" s="44"/>
      <c r="F548" s="44"/>
      <c r="G548" s="44"/>
      <c r="H548" s="44"/>
    </row>
    <row r="549" spans="1:8">
      <c r="A549" s="53"/>
      <c r="C549" s="28"/>
      <c r="D549" s="28"/>
      <c r="E549" s="44"/>
      <c r="F549" s="44"/>
      <c r="G549" s="44"/>
      <c r="H549" s="44"/>
    </row>
    <row r="550" spans="1:8">
      <c r="A550" s="53"/>
      <c r="C550" s="28"/>
      <c r="D550" s="28"/>
      <c r="E550" s="44"/>
      <c r="F550" s="44"/>
      <c r="G550" s="44"/>
      <c r="H550" s="44"/>
    </row>
    <row r="551" spans="1:8">
      <c r="A551" s="53"/>
      <c r="C551" s="28"/>
      <c r="D551" s="28"/>
      <c r="E551" s="44"/>
      <c r="F551" s="44"/>
      <c r="G551" s="44"/>
      <c r="H551" s="44"/>
    </row>
    <row r="552" spans="1:8">
      <c r="A552" s="53"/>
      <c r="C552" s="28"/>
      <c r="D552" s="28"/>
      <c r="E552" s="44"/>
      <c r="F552" s="44"/>
      <c r="G552" s="44"/>
      <c r="H552" s="44"/>
    </row>
    <row r="553" spans="1:8">
      <c r="A553" s="53"/>
      <c r="C553" s="28"/>
      <c r="D553" s="28"/>
      <c r="E553" s="44"/>
      <c r="F553" s="44"/>
      <c r="G553" s="44"/>
      <c r="H553" s="44"/>
    </row>
    <row r="554" spans="1:8">
      <c r="A554" s="53"/>
      <c r="C554" s="28"/>
      <c r="D554" s="28"/>
      <c r="E554" s="44"/>
      <c r="F554" s="44"/>
      <c r="G554" s="44"/>
      <c r="H554" s="44"/>
    </row>
    <row r="555" spans="1:8">
      <c r="A555" s="53"/>
      <c r="C555" s="28"/>
      <c r="D555" s="28"/>
      <c r="E555" s="44"/>
      <c r="F555" s="44"/>
      <c r="G555" s="44"/>
      <c r="H555" s="44"/>
    </row>
    <row r="556" spans="1:8">
      <c r="A556" s="53"/>
      <c r="C556" s="28"/>
      <c r="D556" s="28"/>
      <c r="E556" s="44"/>
      <c r="F556" s="44"/>
      <c r="G556" s="44"/>
      <c r="H556" s="44"/>
    </row>
    <row r="557" spans="1:8">
      <c r="A557" s="53"/>
      <c r="C557" s="28"/>
      <c r="D557" s="28"/>
      <c r="E557" s="44"/>
      <c r="F557" s="44"/>
      <c r="G557" s="44"/>
      <c r="H557" s="44"/>
    </row>
    <row r="558" spans="1:8">
      <c r="A558" s="53"/>
      <c r="C558" s="28"/>
      <c r="D558" s="28"/>
      <c r="E558" s="44"/>
      <c r="F558" s="44"/>
      <c r="G558" s="44"/>
      <c r="H558" s="44"/>
    </row>
    <row r="559" spans="1:8">
      <c r="A559" s="53"/>
      <c r="C559" s="28"/>
      <c r="D559" s="28"/>
      <c r="E559" s="44"/>
      <c r="F559" s="44"/>
      <c r="G559" s="44"/>
      <c r="H559" s="44"/>
    </row>
    <row r="560" spans="1:8">
      <c r="A560" s="53"/>
      <c r="C560" s="28"/>
      <c r="D560" s="28"/>
      <c r="E560" s="44"/>
      <c r="F560" s="44"/>
      <c r="G560" s="44"/>
      <c r="H560" s="44"/>
    </row>
    <row r="561" spans="1:8">
      <c r="A561" s="53"/>
      <c r="C561" s="28"/>
      <c r="D561" s="28"/>
      <c r="E561" s="44"/>
      <c r="F561" s="44"/>
      <c r="G561" s="44"/>
      <c r="H561" s="44"/>
    </row>
    <row r="562" spans="1:8">
      <c r="A562" s="53"/>
      <c r="C562" s="28"/>
      <c r="D562" s="28"/>
      <c r="E562" s="44"/>
      <c r="F562" s="44"/>
      <c r="G562" s="44"/>
      <c r="H562" s="44"/>
    </row>
    <row r="563" spans="1:8">
      <c r="A563" s="53"/>
      <c r="C563" s="28"/>
      <c r="D563" s="28"/>
      <c r="E563" s="44"/>
      <c r="F563" s="44"/>
      <c r="G563" s="44"/>
      <c r="H563" s="44"/>
    </row>
    <row r="564" spans="1:8">
      <c r="A564" s="53"/>
      <c r="C564" s="28"/>
      <c r="D564" s="28"/>
      <c r="E564" s="44"/>
      <c r="F564" s="44"/>
      <c r="G564" s="44"/>
      <c r="H564" s="44"/>
    </row>
    <row r="565" spans="1:8">
      <c r="A565" s="53"/>
      <c r="C565" s="28"/>
      <c r="D565" s="28"/>
      <c r="E565" s="44"/>
      <c r="F565" s="44"/>
      <c r="G565" s="44"/>
      <c r="H565" s="44"/>
    </row>
    <row r="566" spans="1:8">
      <c r="A566" s="53"/>
      <c r="C566" s="28"/>
      <c r="D566" s="28"/>
      <c r="E566" s="44"/>
      <c r="F566" s="44"/>
      <c r="G566" s="44"/>
      <c r="H566" s="44"/>
    </row>
    <row r="567" spans="1:8">
      <c r="A567" s="53"/>
      <c r="C567" s="28"/>
      <c r="D567" s="28"/>
      <c r="E567" s="44"/>
      <c r="F567" s="44"/>
      <c r="G567" s="44"/>
      <c r="H567" s="44"/>
    </row>
    <row r="568" spans="1:8">
      <c r="A568" s="53"/>
      <c r="C568" s="28"/>
      <c r="D568" s="28"/>
      <c r="E568" s="44"/>
      <c r="F568" s="44"/>
      <c r="G568" s="44"/>
      <c r="H568" s="44"/>
    </row>
    <row r="569" spans="1:8">
      <c r="A569" s="53"/>
      <c r="C569" s="28"/>
      <c r="D569" s="28"/>
      <c r="E569" s="44"/>
      <c r="F569" s="44"/>
      <c r="G569" s="44"/>
      <c r="H569" s="44"/>
    </row>
    <row r="570" spans="1:8">
      <c r="A570" s="53"/>
      <c r="C570" s="28"/>
      <c r="D570" s="28"/>
      <c r="E570" s="44"/>
      <c r="F570" s="44"/>
      <c r="G570" s="44"/>
      <c r="H570" s="44"/>
    </row>
    <row r="571" spans="1:8">
      <c r="A571" s="53"/>
      <c r="C571" s="28"/>
      <c r="D571" s="28"/>
      <c r="E571" s="44"/>
      <c r="F571" s="44"/>
      <c r="G571" s="44"/>
      <c r="H571" s="44"/>
    </row>
    <row r="572" spans="1:8">
      <c r="A572" s="53"/>
      <c r="C572" s="28"/>
      <c r="D572" s="28"/>
      <c r="E572" s="44"/>
      <c r="F572" s="44"/>
      <c r="G572" s="44"/>
      <c r="H572" s="44"/>
    </row>
    <row r="573" spans="1:8">
      <c r="A573" s="53"/>
      <c r="C573" s="28"/>
      <c r="D573" s="28"/>
      <c r="E573" s="44"/>
      <c r="F573" s="44"/>
      <c r="G573" s="44"/>
      <c r="H573" s="44"/>
    </row>
    <row r="574" spans="1:8">
      <c r="A574" s="53"/>
      <c r="C574" s="28"/>
      <c r="D574" s="28"/>
      <c r="E574" s="44"/>
      <c r="F574" s="44"/>
      <c r="G574" s="44"/>
      <c r="H574" s="44"/>
    </row>
    <row r="575" spans="1:8">
      <c r="A575" s="53"/>
      <c r="C575" s="28"/>
      <c r="D575" s="28"/>
      <c r="E575" s="44"/>
      <c r="F575" s="44"/>
      <c r="G575" s="44"/>
      <c r="H575" s="44"/>
    </row>
    <row r="576" spans="1:8">
      <c r="A576" s="53"/>
      <c r="C576" s="28"/>
      <c r="D576" s="28"/>
      <c r="E576" s="44"/>
      <c r="F576" s="44"/>
      <c r="G576" s="44"/>
      <c r="H576" s="44"/>
    </row>
    <row r="577" spans="1:8">
      <c r="A577" s="53"/>
      <c r="C577" s="28"/>
      <c r="D577" s="28"/>
      <c r="E577" s="44"/>
      <c r="F577" s="44"/>
      <c r="G577" s="44"/>
      <c r="H577" s="44"/>
    </row>
    <row r="578" spans="1:8">
      <c r="A578" s="53"/>
      <c r="C578" s="28"/>
      <c r="D578" s="28"/>
      <c r="E578" s="44"/>
      <c r="F578" s="44"/>
      <c r="G578" s="44"/>
      <c r="H578" s="44"/>
    </row>
    <row r="579" spans="1:8">
      <c r="A579" s="53"/>
      <c r="C579" s="28"/>
      <c r="D579" s="28"/>
      <c r="E579" s="44"/>
      <c r="F579" s="44"/>
      <c r="G579" s="44"/>
      <c r="H579" s="44"/>
    </row>
    <row r="580" spans="1:8">
      <c r="A580" s="53"/>
      <c r="C580" s="28"/>
      <c r="D580" s="28"/>
      <c r="E580" s="44"/>
      <c r="F580" s="44"/>
      <c r="G580" s="44"/>
      <c r="H580" s="44"/>
    </row>
    <row r="581" spans="1:8">
      <c r="A581" s="53"/>
      <c r="C581" s="28"/>
      <c r="D581" s="28"/>
      <c r="E581" s="44"/>
      <c r="F581" s="44"/>
      <c r="G581" s="44"/>
      <c r="H581" s="44"/>
    </row>
    <row r="582" spans="1:8">
      <c r="A582" s="53"/>
      <c r="C582" s="28"/>
      <c r="D582" s="28"/>
      <c r="E582" s="44"/>
      <c r="F582" s="44"/>
      <c r="G582" s="44"/>
      <c r="H582" s="44"/>
    </row>
    <row r="583" spans="1:8">
      <c r="A583" s="53"/>
      <c r="C583" s="28"/>
      <c r="D583" s="28"/>
      <c r="E583" s="44"/>
      <c r="F583" s="44"/>
      <c r="G583" s="44"/>
      <c r="H583" s="44"/>
    </row>
    <row r="584" spans="1:8">
      <c r="A584" s="53"/>
      <c r="C584" s="28"/>
      <c r="D584" s="28"/>
      <c r="E584" s="44"/>
      <c r="F584" s="44"/>
      <c r="G584" s="44"/>
      <c r="H584" s="44"/>
    </row>
    <row r="585" spans="1:8">
      <c r="A585" s="53"/>
      <c r="C585" s="28"/>
      <c r="D585" s="28"/>
      <c r="E585" s="44"/>
      <c r="F585" s="44"/>
      <c r="G585" s="44"/>
      <c r="H585" s="44"/>
    </row>
    <row r="586" spans="1:8">
      <c r="A586" s="53"/>
      <c r="C586" s="28"/>
      <c r="D586" s="28"/>
      <c r="E586" s="44"/>
      <c r="F586" s="44"/>
      <c r="G586" s="44"/>
      <c r="H586" s="44"/>
    </row>
    <row r="587" spans="1:8">
      <c r="A587" s="53"/>
      <c r="C587" s="28"/>
      <c r="D587" s="28"/>
      <c r="E587" s="44"/>
      <c r="F587" s="44"/>
      <c r="G587" s="44"/>
      <c r="H587" s="44"/>
    </row>
    <row r="588" spans="1:8">
      <c r="A588" s="53"/>
      <c r="C588" s="28"/>
      <c r="D588" s="28"/>
      <c r="E588" s="44"/>
      <c r="F588" s="44"/>
      <c r="G588" s="44"/>
      <c r="H588" s="44"/>
    </row>
    <row r="589" spans="1:8">
      <c r="A589" s="53"/>
      <c r="C589" s="28"/>
      <c r="D589" s="28"/>
      <c r="E589" s="44"/>
      <c r="F589" s="44"/>
      <c r="G589" s="44"/>
      <c r="H589" s="44"/>
    </row>
    <row r="590" spans="1:8">
      <c r="A590" s="53"/>
      <c r="C590" s="28"/>
      <c r="D590" s="28"/>
      <c r="E590" s="44"/>
      <c r="F590" s="44"/>
      <c r="G590" s="44"/>
      <c r="H590" s="44"/>
    </row>
    <row r="591" spans="1:8">
      <c r="A591" s="53"/>
      <c r="C591" s="28"/>
      <c r="D591" s="28"/>
      <c r="E591" s="44"/>
      <c r="F591" s="44"/>
      <c r="G591" s="44"/>
      <c r="H591" s="44"/>
    </row>
    <row r="592" spans="1:8">
      <c r="A592" s="53"/>
      <c r="C592" s="28"/>
      <c r="D592" s="28"/>
      <c r="E592" s="44"/>
      <c r="F592" s="44"/>
      <c r="G592" s="44"/>
      <c r="H592" s="44"/>
    </row>
    <row r="593" spans="1:8">
      <c r="A593" s="53"/>
      <c r="C593" s="28"/>
      <c r="D593" s="28"/>
      <c r="E593" s="44"/>
      <c r="F593" s="44"/>
      <c r="G593" s="44"/>
      <c r="H593" s="44"/>
    </row>
    <row r="594" spans="1:8">
      <c r="A594" s="53"/>
      <c r="C594" s="28"/>
      <c r="D594" s="28"/>
      <c r="E594" s="44"/>
      <c r="F594" s="44"/>
      <c r="G594" s="44"/>
      <c r="H594" s="44"/>
    </row>
    <row r="595" spans="1:8">
      <c r="A595" s="53"/>
      <c r="C595" s="28"/>
      <c r="D595" s="28"/>
      <c r="E595" s="44"/>
      <c r="F595" s="44"/>
      <c r="G595" s="44"/>
      <c r="H595" s="44"/>
    </row>
    <row r="596" spans="1:8">
      <c r="A596" s="53"/>
      <c r="C596" s="28"/>
      <c r="D596" s="28"/>
      <c r="E596" s="44"/>
      <c r="F596" s="44"/>
      <c r="G596" s="44"/>
      <c r="H596" s="44"/>
    </row>
    <row r="597" spans="1:8">
      <c r="A597" s="53"/>
      <c r="C597" s="28"/>
      <c r="D597" s="28"/>
      <c r="E597" s="44"/>
      <c r="F597" s="44"/>
      <c r="G597" s="44"/>
      <c r="H597" s="44"/>
    </row>
    <row r="598" spans="1:8">
      <c r="A598" s="53"/>
      <c r="C598" s="28"/>
      <c r="D598" s="28"/>
      <c r="E598" s="44"/>
      <c r="F598" s="44"/>
      <c r="G598" s="44"/>
      <c r="H598" s="44"/>
    </row>
    <row r="599" spans="1:8">
      <c r="A599" s="53"/>
      <c r="C599" s="28"/>
      <c r="D599" s="28"/>
      <c r="E599" s="44"/>
      <c r="F599" s="44"/>
      <c r="G599" s="44"/>
      <c r="H599" s="44"/>
    </row>
    <row r="600" spans="1:8">
      <c r="A600" s="53"/>
      <c r="C600" s="28"/>
      <c r="D600" s="28"/>
      <c r="E600" s="44"/>
      <c r="F600" s="44"/>
      <c r="G600" s="44"/>
      <c r="H600" s="44"/>
    </row>
    <row r="601" spans="1:8">
      <c r="A601" s="53"/>
      <c r="C601" s="28"/>
      <c r="D601" s="28"/>
      <c r="E601" s="44"/>
      <c r="F601" s="44"/>
      <c r="G601" s="44"/>
      <c r="H601" s="44"/>
    </row>
    <row r="602" spans="1:8">
      <c r="A602" s="53"/>
      <c r="C602" s="28"/>
      <c r="D602" s="28"/>
      <c r="E602" s="44"/>
      <c r="F602" s="44"/>
      <c r="G602" s="44"/>
      <c r="H602" s="44"/>
    </row>
    <row r="603" spans="1:8">
      <c r="A603" s="53"/>
      <c r="C603" s="28"/>
      <c r="D603" s="28"/>
      <c r="E603" s="44"/>
      <c r="F603" s="44"/>
      <c r="G603" s="44"/>
      <c r="H603" s="44"/>
    </row>
    <row r="604" spans="1:8">
      <c r="A604" s="53"/>
      <c r="C604" s="28"/>
      <c r="D604" s="28"/>
      <c r="E604" s="44"/>
      <c r="F604" s="44"/>
      <c r="G604" s="44"/>
      <c r="H604" s="44"/>
    </row>
    <row r="605" spans="1:8">
      <c r="A605" s="53"/>
      <c r="C605" s="28"/>
      <c r="D605" s="28"/>
      <c r="E605" s="44"/>
      <c r="F605" s="44"/>
      <c r="G605" s="44"/>
      <c r="H605" s="44"/>
    </row>
    <row r="606" spans="1:8">
      <c r="A606" s="53"/>
      <c r="C606" s="28"/>
      <c r="D606" s="28"/>
      <c r="E606" s="44"/>
      <c r="F606" s="44"/>
      <c r="G606" s="44"/>
      <c r="H606" s="44"/>
    </row>
    <row r="607" spans="1:8">
      <c r="A607" s="53"/>
      <c r="C607" s="28"/>
      <c r="D607" s="28"/>
      <c r="E607" s="44"/>
      <c r="F607" s="44"/>
      <c r="G607" s="44"/>
      <c r="H607" s="44"/>
    </row>
    <row r="608" spans="1:8">
      <c r="A608" s="53"/>
      <c r="C608" s="28"/>
      <c r="D608" s="28"/>
      <c r="E608" s="44"/>
      <c r="F608" s="44"/>
      <c r="G608" s="44"/>
      <c r="H608" s="44"/>
    </row>
    <row r="609" spans="1:8">
      <c r="A609" s="53"/>
      <c r="C609" s="28"/>
      <c r="D609" s="28"/>
      <c r="E609" s="44"/>
      <c r="F609" s="44"/>
      <c r="G609" s="44"/>
      <c r="H609" s="44"/>
    </row>
    <row r="610" spans="1:8">
      <c r="A610" s="53"/>
      <c r="C610" s="28"/>
      <c r="D610" s="28"/>
      <c r="E610" s="44"/>
      <c r="F610" s="44"/>
      <c r="G610" s="44"/>
      <c r="H610" s="44"/>
    </row>
    <row r="611" spans="1:8">
      <c r="A611" s="53"/>
      <c r="C611" s="28"/>
      <c r="D611" s="28"/>
      <c r="E611" s="44"/>
      <c r="F611" s="44"/>
      <c r="G611" s="44"/>
      <c r="H611" s="44"/>
    </row>
    <row r="612" spans="1:8">
      <c r="A612" s="53"/>
      <c r="C612" s="28"/>
      <c r="D612" s="28"/>
      <c r="E612" s="44"/>
      <c r="F612" s="44"/>
      <c r="G612" s="44"/>
      <c r="H612" s="44"/>
    </row>
  </sheetData>
  <autoFilter xmlns:etc="http://www.wps.cn/officeDocument/2017/etCustomData" ref="A4:H182" etc:filterBottomFollowUsedRange="0">
    <extLst/>
  </autoFilter>
  <mergeCells count="6">
    <mergeCell ref="A2:H2"/>
    <mergeCell ref="C3:D3"/>
    <mergeCell ref="E3:H3"/>
    <mergeCell ref="A5:B5"/>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rgb="FFFFFF00"/>
    <pageSetUpPr fitToPage="1"/>
  </sheetPr>
  <dimension ref="A1:O943"/>
  <sheetViews>
    <sheetView showGridLines="0" view="pageBreakPreview" zoomScale="90" zoomScaleNormal="100" topLeftCell="A91" workbookViewId="0">
      <selection activeCell="E27" sqref="E27"/>
    </sheetView>
  </sheetViews>
  <sheetFormatPr defaultColWidth="9.12962962962963" defaultRowHeight="13.8"/>
  <cols>
    <col min="1" max="1" width="7.62962962962963" style="31" customWidth="1"/>
    <col min="2" max="2" width="39.5" style="27" customWidth="1"/>
    <col min="3" max="4" width="30.75" style="32" customWidth="1"/>
    <col min="5" max="8" width="13.8796296296296" style="33" customWidth="1"/>
    <col min="9" max="16384" width="9.12962962962963" style="31"/>
  </cols>
  <sheetData>
    <row r="1" spans="1:8">
      <c r="A1" s="6" t="s">
        <v>1893</v>
      </c>
      <c r="B1" s="6"/>
      <c r="C1" s="7"/>
      <c r="D1" s="7"/>
      <c r="E1" s="6"/>
      <c r="F1" s="6"/>
      <c r="G1" s="6"/>
      <c r="H1" s="6"/>
    </row>
    <row r="2" spans="1:8">
      <c r="A2" s="8" t="s">
        <v>4</v>
      </c>
      <c r="B2" s="8"/>
      <c r="C2" s="8"/>
      <c r="D2" s="8"/>
      <c r="E2" s="34"/>
      <c r="F2" s="34"/>
      <c r="G2" s="34"/>
      <c r="H2" s="34"/>
    </row>
    <row r="3" spans="1:8">
      <c r="A3" s="9" t="s">
        <v>5</v>
      </c>
      <c r="B3" s="9" t="s">
        <v>6</v>
      </c>
      <c r="C3" s="9" t="s">
        <v>7</v>
      </c>
      <c r="D3" s="9"/>
      <c r="E3" s="35" t="s">
        <v>8</v>
      </c>
      <c r="F3" s="35"/>
      <c r="G3" s="35"/>
      <c r="H3" s="35"/>
    </row>
    <row r="4" spans="1:8">
      <c r="A4" s="11"/>
      <c r="B4" s="11"/>
      <c r="C4" s="9" t="s">
        <v>9</v>
      </c>
      <c r="D4" s="9" t="s">
        <v>10</v>
      </c>
      <c r="E4" s="35" t="s">
        <v>11</v>
      </c>
      <c r="F4" s="35" t="s">
        <v>12</v>
      </c>
      <c r="G4" s="35" t="s">
        <v>13</v>
      </c>
      <c r="H4" s="35" t="s">
        <v>14</v>
      </c>
    </row>
    <row r="5" spans="1:8">
      <c r="A5" s="39" t="s">
        <v>15</v>
      </c>
      <c r="B5" s="39"/>
      <c r="C5" s="15"/>
      <c r="D5" s="15"/>
      <c r="E5" s="35" t="s">
        <v>16</v>
      </c>
      <c r="F5" s="35" t="s">
        <v>16</v>
      </c>
      <c r="G5" s="35" t="s">
        <v>16</v>
      </c>
      <c r="H5" s="35" t="s">
        <v>16</v>
      </c>
    </row>
    <row r="6" spans="1:8">
      <c r="A6" s="16">
        <v>1</v>
      </c>
      <c r="B6" s="18" t="s">
        <v>1894</v>
      </c>
      <c r="C6" s="64" t="s">
        <v>111</v>
      </c>
      <c r="D6" s="64" t="s">
        <v>32</v>
      </c>
      <c r="E6" s="38">
        <v>5200000</v>
      </c>
      <c r="F6" s="38">
        <v>2900000</v>
      </c>
      <c r="G6" s="38">
        <v>1900000</v>
      </c>
      <c r="H6" s="38">
        <v>1250000</v>
      </c>
    </row>
    <row r="7" spans="1:8">
      <c r="A7" s="16">
        <v>2</v>
      </c>
      <c r="B7" s="18" t="s">
        <v>1895</v>
      </c>
      <c r="C7" s="18" t="s">
        <v>1896</v>
      </c>
      <c r="D7" s="18" t="s">
        <v>1897</v>
      </c>
      <c r="E7" s="38">
        <v>36400000</v>
      </c>
      <c r="F7" s="38">
        <v>20400000</v>
      </c>
      <c r="G7" s="38">
        <v>13450000</v>
      </c>
      <c r="H7" s="38">
        <v>8750000</v>
      </c>
    </row>
    <row r="8" spans="1:8">
      <c r="A8" s="16">
        <v>3</v>
      </c>
      <c r="B8" s="18" t="s">
        <v>128</v>
      </c>
      <c r="C8" s="64" t="s">
        <v>1898</v>
      </c>
      <c r="D8" s="64" t="s">
        <v>1899</v>
      </c>
      <c r="E8" s="38">
        <v>30150000</v>
      </c>
      <c r="F8" s="38">
        <v>16900000</v>
      </c>
      <c r="G8" s="38">
        <v>11150000</v>
      </c>
      <c r="H8" s="38">
        <v>7250000</v>
      </c>
    </row>
    <row r="9" spans="1:8">
      <c r="A9" s="16"/>
      <c r="B9" s="18" t="s">
        <v>128</v>
      </c>
      <c r="C9" s="18" t="s">
        <v>1899</v>
      </c>
      <c r="D9" s="18" t="s">
        <v>1900</v>
      </c>
      <c r="E9" s="23">
        <v>25900000</v>
      </c>
      <c r="F9" s="23">
        <v>14500000</v>
      </c>
      <c r="G9" s="23">
        <v>9600000</v>
      </c>
      <c r="H9" s="23">
        <v>6200000</v>
      </c>
    </row>
    <row r="10" spans="1:8">
      <c r="A10" s="16">
        <v>4</v>
      </c>
      <c r="B10" s="18" t="s">
        <v>1901</v>
      </c>
      <c r="C10" s="221" t="s">
        <v>92</v>
      </c>
      <c r="D10" s="18" t="s">
        <v>1902</v>
      </c>
      <c r="E10" s="23">
        <v>6900000</v>
      </c>
      <c r="F10" s="23">
        <v>3850000</v>
      </c>
      <c r="G10" s="23">
        <v>2550000</v>
      </c>
      <c r="H10" s="23">
        <v>1650000</v>
      </c>
    </row>
    <row r="11" spans="1:8">
      <c r="A11" s="16">
        <v>5</v>
      </c>
      <c r="B11" s="18" t="s">
        <v>1903</v>
      </c>
      <c r="C11" s="221" t="s">
        <v>1904</v>
      </c>
      <c r="D11" s="18" t="s">
        <v>1905</v>
      </c>
      <c r="E11" s="23">
        <v>40500000</v>
      </c>
      <c r="F11" s="23">
        <v>22700000</v>
      </c>
      <c r="G11" s="23">
        <v>15000000</v>
      </c>
      <c r="H11" s="23">
        <v>9700000</v>
      </c>
    </row>
    <row r="12" spans="1:8">
      <c r="A12" s="16">
        <v>6</v>
      </c>
      <c r="B12" s="18" t="s">
        <v>1906</v>
      </c>
      <c r="C12" s="18" t="s">
        <v>1907</v>
      </c>
      <c r="D12" s="18" t="s">
        <v>92</v>
      </c>
      <c r="E12" s="23">
        <v>3300000</v>
      </c>
      <c r="F12" s="23">
        <v>1850000</v>
      </c>
      <c r="G12" s="23">
        <v>1200000</v>
      </c>
      <c r="H12" s="23">
        <v>800000</v>
      </c>
    </row>
    <row r="13" spans="1:8">
      <c r="A13" s="16">
        <v>7</v>
      </c>
      <c r="B13" s="18" t="s">
        <v>1908</v>
      </c>
      <c r="C13" s="18" t="s">
        <v>1909</v>
      </c>
      <c r="D13" s="18" t="s">
        <v>103</v>
      </c>
      <c r="E13" s="23">
        <v>4200000</v>
      </c>
      <c r="F13" s="23">
        <v>2350000</v>
      </c>
      <c r="G13" s="23">
        <v>1550000</v>
      </c>
      <c r="H13" s="23">
        <v>1000000</v>
      </c>
    </row>
    <row r="14" spans="1:8">
      <c r="A14" s="16">
        <v>8</v>
      </c>
      <c r="B14" s="18" t="s">
        <v>1910</v>
      </c>
      <c r="C14" s="18" t="s">
        <v>1911</v>
      </c>
      <c r="D14" s="18" t="s">
        <v>1912</v>
      </c>
      <c r="E14" s="23">
        <v>19450000</v>
      </c>
      <c r="F14" s="23">
        <v>10900000</v>
      </c>
      <c r="G14" s="23">
        <v>7200000</v>
      </c>
      <c r="H14" s="23">
        <v>4650000</v>
      </c>
    </row>
    <row r="15" spans="1:8">
      <c r="A15" s="16"/>
      <c r="B15" s="18" t="s">
        <v>1910</v>
      </c>
      <c r="C15" s="18" t="s">
        <v>1912</v>
      </c>
      <c r="D15" s="18" t="s">
        <v>1913</v>
      </c>
      <c r="E15" s="23">
        <v>7800000</v>
      </c>
      <c r="F15" s="23">
        <v>4400000</v>
      </c>
      <c r="G15" s="23">
        <v>2900000</v>
      </c>
      <c r="H15" s="23">
        <v>1850000</v>
      </c>
    </row>
    <row r="16" spans="1:8">
      <c r="A16" s="16"/>
      <c r="B16" s="18" t="s">
        <v>1910</v>
      </c>
      <c r="C16" s="18" t="s">
        <v>1913</v>
      </c>
      <c r="D16" s="18" t="s">
        <v>1914</v>
      </c>
      <c r="E16" s="23">
        <v>5200000</v>
      </c>
      <c r="F16" s="23">
        <v>2900000</v>
      </c>
      <c r="G16" s="23">
        <v>1900000</v>
      </c>
      <c r="H16" s="23">
        <v>1250000</v>
      </c>
    </row>
    <row r="17" spans="1:15">
      <c r="A17" s="16">
        <v>9</v>
      </c>
      <c r="B17" s="18" t="s">
        <v>1915</v>
      </c>
      <c r="C17" s="18" t="s">
        <v>1916</v>
      </c>
      <c r="D17" s="18" t="s">
        <v>46</v>
      </c>
      <c r="E17" s="23">
        <v>5200000</v>
      </c>
      <c r="F17" s="23">
        <v>2900000</v>
      </c>
      <c r="G17" s="23">
        <v>1900000</v>
      </c>
      <c r="H17" s="23">
        <v>1250000</v>
      </c>
      <c r="L17" s="21">
        <v>6600000</v>
      </c>
      <c r="M17" s="21">
        <v>0</v>
      </c>
      <c r="N17" s="21">
        <v>0</v>
      </c>
      <c r="O17" s="21">
        <v>0</v>
      </c>
    </row>
    <row r="18" spans="1:15">
      <c r="A18" s="16">
        <v>10</v>
      </c>
      <c r="B18" s="18" t="s">
        <v>1917</v>
      </c>
      <c r="C18" s="18" t="s">
        <v>1918</v>
      </c>
      <c r="D18" s="18" t="s">
        <v>1916</v>
      </c>
      <c r="E18" s="23">
        <v>6900000</v>
      </c>
      <c r="F18" s="23">
        <v>3850000</v>
      </c>
      <c r="G18" s="23">
        <v>2550000</v>
      </c>
      <c r="H18" s="23">
        <v>1650000</v>
      </c>
    </row>
    <row r="19" spans="1:15">
      <c r="A19" s="16">
        <v>11</v>
      </c>
      <c r="B19" s="18" t="s">
        <v>1919</v>
      </c>
      <c r="C19" s="18" t="s">
        <v>1896</v>
      </c>
      <c r="D19" s="18" t="s">
        <v>1920</v>
      </c>
      <c r="E19" s="23">
        <v>40500000</v>
      </c>
      <c r="F19" s="23">
        <v>22700000</v>
      </c>
      <c r="G19" s="23">
        <v>15000000</v>
      </c>
      <c r="H19" s="23">
        <v>9700000</v>
      </c>
    </row>
    <row r="20" spans="1:15">
      <c r="A20" s="16">
        <v>12</v>
      </c>
      <c r="B20" s="18" t="s">
        <v>1921</v>
      </c>
      <c r="C20" s="18" t="s">
        <v>1922</v>
      </c>
      <c r="D20" s="18" t="s">
        <v>1923</v>
      </c>
      <c r="E20" s="23">
        <v>5200000</v>
      </c>
      <c r="F20" s="23">
        <v>2900000</v>
      </c>
      <c r="G20" s="23">
        <v>1900000</v>
      </c>
      <c r="H20" s="23">
        <v>1250000</v>
      </c>
    </row>
    <row r="21" spans="1:15">
      <c r="A21" s="16">
        <v>13</v>
      </c>
      <c r="B21" s="18" t="s">
        <v>31</v>
      </c>
      <c r="C21" s="18" t="s">
        <v>32</v>
      </c>
      <c r="D21" s="18" t="s">
        <v>33</v>
      </c>
      <c r="E21" s="23">
        <v>5200000</v>
      </c>
      <c r="F21" s="23">
        <v>2900000</v>
      </c>
      <c r="G21" s="23">
        <v>1900000</v>
      </c>
      <c r="H21" s="23">
        <v>1250000</v>
      </c>
    </row>
    <row r="22" spans="1:15">
      <c r="A22" s="16">
        <v>14</v>
      </c>
      <c r="B22" s="18" t="s">
        <v>46</v>
      </c>
      <c r="C22" s="18" t="s">
        <v>1924</v>
      </c>
      <c r="D22" s="18" t="s">
        <v>1925</v>
      </c>
      <c r="E22" s="23">
        <v>12850000</v>
      </c>
      <c r="F22" s="23">
        <v>7200000</v>
      </c>
      <c r="G22" s="23">
        <v>4750000</v>
      </c>
      <c r="H22" s="23">
        <v>3100000</v>
      </c>
    </row>
    <row r="23" spans="1:15">
      <c r="A23" s="16"/>
      <c r="B23" s="18" t="s">
        <v>46</v>
      </c>
      <c r="C23" s="18" t="s">
        <v>1925</v>
      </c>
      <c r="D23" s="18" t="s">
        <v>33</v>
      </c>
      <c r="E23" s="23">
        <v>10250000</v>
      </c>
      <c r="F23" s="23">
        <v>5750000</v>
      </c>
      <c r="G23" s="23">
        <v>3800000</v>
      </c>
      <c r="H23" s="23">
        <v>2450000</v>
      </c>
    </row>
    <row r="24" spans="1:15">
      <c r="A24" s="16"/>
      <c r="B24" s="18" t="s">
        <v>46</v>
      </c>
      <c r="C24" s="221" t="s">
        <v>33</v>
      </c>
      <c r="D24" s="18" t="s">
        <v>65</v>
      </c>
      <c r="E24" s="23">
        <v>2100000</v>
      </c>
      <c r="F24" s="23">
        <v>1200000</v>
      </c>
      <c r="G24" s="23">
        <v>800000</v>
      </c>
      <c r="H24" s="23">
        <v>500000</v>
      </c>
    </row>
    <row r="25" spans="1:15">
      <c r="A25" s="16">
        <v>15</v>
      </c>
      <c r="B25" s="18" t="s">
        <v>42</v>
      </c>
      <c r="C25" s="18" t="s">
        <v>51</v>
      </c>
      <c r="D25" s="18" t="s">
        <v>114</v>
      </c>
      <c r="E25" s="23">
        <v>6900000</v>
      </c>
      <c r="F25" s="23">
        <v>3850000</v>
      </c>
      <c r="G25" s="23">
        <v>2550000</v>
      </c>
      <c r="H25" s="23">
        <v>1650000</v>
      </c>
      <c r="I25" s="31" t="s">
        <v>147</v>
      </c>
    </row>
    <row r="26" spans="1:15">
      <c r="A26" s="16">
        <v>16</v>
      </c>
      <c r="B26" s="18" t="s">
        <v>1925</v>
      </c>
      <c r="C26" s="18" t="s">
        <v>1926</v>
      </c>
      <c r="D26" s="18" t="s">
        <v>1927</v>
      </c>
      <c r="E26" s="23">
        <v>12850000</v>
      </c>
      <c r="F26" s="23">
        <v>7200000</v>
      </c>
      <c r="G26" s="23">
        <v>4750000</v>
      </c>
      <c r="H26" s="23">
        <v>3100000</v>
      </c>
    </row>
    <row r="27" spans="1:15">
      <c r="A27" s="16">
        <v>17</v>
      </c>
      <c r="B27" s="18" t="s">
        <v>92</v>
      </c>
      <c r="C27" s="221" t="s">
        <v>1896</v>
      </c>
      <c r="D27" s="18" t="s">
        <v>1928</v>
      </c>
      <c r="E27" s="23">
        <v>12850000</v>
      </c>
      <c r="F27" s="23">
        <v>7200000</v>
      </c>
      <c r="G27" s="23">
        <v>4750000</v>
      </c>
      <c r="H27" s="23">
        <v>3100000</v>
      </c>
    </row>
    <row r="28" spans="1:15">
      <c r="A28" s="16"/>
      <c r="B28" s="18" t="s">
        <v>92</v>
      </c>
      <c r="C28" s="221" t="s">
        <v>1896</v>
      </c>
      <c r="D28" s="18" t="s">
        <v>1929</v>
      </c>
      <c r="E28" s="23">
        <v>30150000</v>
      </c>
      <c r="F28" s="23">
        <v>16900000</v>
      </c>
      <c r="G28" s="23">
        <v>11150000</v>
      </c>
      <c r="H28" s="23">
        <v>7250000</v>
      </c>
    </row>
    <row r="29" spans="1:15">
      <c r="A29" s="16"/>
      <c r="B29" s="18" t="s">
        <v>92</v>
      </c>
      <c r="C29" s="18" t="s">
        <v>89</v>
      </c>
      <c r="D29" s="18" t="s">
        <v>1930</v>
      </c>
      <c r="E29" s="23">
        <v>19450000</v>
      </c>
      <c r="F29" s="23">
        <v>10900000</v>
      </c>
      <c r="G29" s="23">
        <v>7200000</v>
      </c>
      <c r="H29" s="23">
        <v>4650000</v>
      </c>
    </row>
    <row r="30" spans="1:15">
      <c r="A30" s="16"/>
      <c r="B30" s="18" t="s">
        <v>92</v>
      </c>
      <c r="C30" s="18" t="s">
        <v>1930</v>
      </c>
      <c r="D30" s="18" t="s">
        <v>1931</v>
      </c>
      <c r="E30" s="23">
        <v>12850000</v>
      </c>
      <c r="F30" s="23">
        <v>7200000</v>
      </c>
      <c r="G30" s="23">
        <v>4750000</v>
      </c>
      <c r="H30" s="23">
        <v>3100000</v>
      </c>
    </row>
    <row r="31" spans="1:15">
      <c r="A31" s="16">
        <v>18</v>
      </c>
      <c r="B31" s="18" t="s">
        <v>1932</v>
      </c>
      <c r="C31" s="18" t="s">
        <v>1933</v>
      </c>
      <c r="D31" s="18" t="s">
        <v>1907</v>
      </c>
      <c r="E31" s="23">
        <v>5200000</v>
      </c>
      <c r="F31" s="23">
        <v>2900000</v>
      </c>
      <c r="G31" s="23">
        <v>1900000</v>
      </c>
      <c r="H31" s="23">
        <v>1250000</v>
      </c>
    </row>
    <row r="32" spans="1:15">
      <c r="A32" s="16">
        <v>19</v>
      </c>
      <c r="B32" s="18" t="s">
        <v>1934</v>
      </c>
      <c r="C32" s="18" t="s">
        <v>1935</v>
      </c>
      <c r="D32" s="18" t="s">
        <v>32</v>
      </c>
      <c r="E32" s="23">
        <v>9650000</v>
      </c>
      <c r="F32" s="23">
        <v>5400000</v>
      </c>
      <c r="G32" s="23">
        <v>3550000</v>
      </c>
      <c r="H32" s="23">
        <v>2300000</v>
      </c>
    </row>
    <row r="33" spans="1:9">
      <c r="A33" s="16">
        <v>20</v>
      </c>
      <c r="B33" s="18" t="s">
        <v>1904</v>
      </c>
      <c r="C33" s="18" t="s">
        <v>1896</v>
      </c>
      <c r="D33" s="18" t="s">
        <v>1936</v>
      </c>
      <c r="E33" s="23">
        <v>40500000</v>
      </c>
      <c r="F33" s="23">
        <v>22700000</v>
      </c>
      <c r="G33" s="23">
        <v>15000000</v>
      </c>
      <c r="H33" s="23">
        <v>9700000</v>
      </c>
    </row>
    <row r="34" spans="1:9">
      <c r="A34" s="16">
        <v>21</v>
      </c>
      <c r="B34" s="18" t="s">
        <v>1937</v>
      </c>
      <c r="C34" s="18" t="s">
        <v>1938</v>
      </c>
      <c r="D34" s="18" t="s">
        <v>1939</v>
      </c>
      <c r="E34" s="23">
        <v>40500000</v>
      </c>
      <c r="F34" s="23">
        <v>22700000</v>
      </c>
      <c r="G34" s="23">
        <v>15000000</v>
      </c>
      <c r="H34" s="23">
        <v>9700000</v>
      </c>
    </row>
    <row r="35" spans="1:9">
      <c r="A35" s="16">
        <v>22</v>
      </c>
      <c r="B35" s="18" t="s">
        <v>1907</v>
      </c>
      <c r="C35" s="18" t="s">
        <v>1910</v>
      </c>
      <c r="D35" s="18" t="s">
        <v>1926</v>
      </c>
      <c r="E35" s="23">
        <v>9650000</v>
      </c>
      <c r="F35" s="23">
        <v>5400000</v>
      </c>
      <c r="G35" s="23">
        <v>3550000</v>
      </c>
      <c r="H35" s="23">
        <v>2300000</v>
      </c>
    </row>
    <row r="36" spans="1:9">
      <c r="A36" s="16">
        <v>23</v>
      </c>
      <c r="B36" s="18" t="s">
        <v>1940</v>
      </c>
      <c r="C36" s="18" t="s">
        <v>1896</v>
      </c>
      <c r="D36" s="18" t="s">
        <v>1939</v>
      </c>
      <c r="E36" s="23">
        <v>48400000</v>
      </c>
      <c r="F36" s="23">
        <v>27100000</v>
      </c>
      <c r="G36" s="23">
        <v>17900000</v>
      </c>
      <c r="H36" s="23">
        <v>11600000</v>
      </c>
    </row>
    <row r="37" spans="1:9">
      <c r="A37" s="16">
        <v>24</v>
      </c>
      <c r="B37" s="18" t="s">
        <v>1941</v>
      </c>
      <c r="C37" s="18" t="s">
        <v>1940</v>
      </c>
      <c r="D37" s="18" t="s">
        <v>1929</v>
      </c>
      <c r="E37" s="23">
        <v>30150000</v>
      </c>
      <c r="F37" s="23">
        <v>16900000</v>
      </c>
      <c r="G37" s="23">
        <v>11150000</v>
      </c>
      <c r="H37" s="23">
        <v>7250000</v>
      </c>
    </row>
    <row r="38" spans="1:9">
      <c r="A38" s="16">
        <v>25</v>
      </c>
      <c r="B38" s="18" t="s">
        <v>1942</v>
      </c>
      <c r="C38" s="18" t="s">
        <v>1935</v>
      </c>
      <c r="D38" s="18" t="s">
        <v>32</v>
      </c>
      <c r="E38" s="23">
        <v>7800000</v>
      </c>
      <c r="F38" s="23">
        <v>4400000</v>
      </c>
      <c r="G38" s="23">
        <v>2900000</v>
      </c>
      <c r="H38" s="23">
        <v>1850000</v>
      </c>
    </row>
    <row r="39" spans="1:9">
      <c r="A39" s="16">
        <v>26</v>
      </c>
      <c r="B39" s="18" t="s">
        <v>1943</v>
      </c>
      <c r="C39" s="18" t="s">
        <v>1944</v>
      </c>
      <c r="D39" s="18" t="s">
        <v>1932</v>
      </c>
      <c r="E39" s="23">
        <v>4200000</v>
      </c>
      <c r="F39" s="23">
        <v>2350000</v>
      </c>
      <c r="G39" s="23">
        <v>1550000</v>
      </c>
      <c r="H39" s="23">
        <v>1000000</v>
      </c>
    </row>
    <row r="40" spans="1:9">
      <c r="A40" s="16">
        <v>27</v>
      </c>
      <c r="B40" s="18" t="s">
        <v>1945</v>
      </c>
      <c r="C40" s="18" t="s">
        <v>1896</v>
      </c>
      <c r="D40" s="18" t="s">
        <v>1940</v>
      </c>
      <c r="E40" s="23">
        <v>48400000</v>
      </c>
      <c r="F40" s="23">
        <v>27100000</v>
      </c>
      <c r="G40" s="23">
        <v>17900000</v>
      </c>
      <c r="H40" s="23">
        <v>11600000</v>
      </c>
    </row>
    <row r="41" spans="1:9">
      <c r="A41" s="16">
        <v>28</v>
      </c>
      <c r="B41" s="18" t="s">
        <v>70</v>
      </c>
      <c r="C41" s="18" t="s">
        <v>1946</v>
      </c>
      <c r="D41" s="18" t="s">
        <v>1939</v>
      </c>
      <c r="E41" s="23">
        <v>48400000</v>
      </c>
      <c r="F41" s="23">
        <v>27100000</v>
      </c>
      <c r="G41" s="23">
        <v>17900000</v>
      </c>
      <c r="H41" s="23">
        <v>11600000</v>
      </c>
    </row>
    <row r="42" spans="1:9">
      <c r="A42" s="16"/>
      <c r="B42" s="18" t="s">
        <v>70</v>
      </c>
      <c r="C42" s="18" t="s">
        <v>1939</v>
      </c>
      <c r="D42" s="18" t="s">
        <v>51</v>
      </c>
      <c r="E42" s="23">
        <v>40500000</v>
      </c>
      <c r="F42" s="23">
        <v>22700000</v>
      </c>
      <c r="G42" s="23">
        <v>15000000</v>
      </c>
      <c r="H42" s="23">
        <v>9700000</v>
      </c>
    </row>
    <row r="43" spans="1:9">
      <c r="A43" s="16">
        <v>29</v>
      </c>
      <c r="B43" s="18" t="s">
        <v>1913</v>
      </c>
      <c r="C43" s="18" t="s">
        <v>1910</v>
      </c>
      <c r="D43" s="18" t="s">
        <v>1947</v>
      </c>
      <c r="E43" s="23">
        <v>4200000</v>
      </c>
      <c r="F43" s="23">
        <v>2350000</v>
      </c>
      <c r="G43" s="23">
        <v>1550000</v>
      </c>
      <c r="H43" s="23">
        <v>1000000</v>
      </c>
      <c r="I43" s="31" t="s">
        <v>156</v>
      </c>
    </row>
    <row r="44" spans="1:9">
      <c r="A44" s="16">
        <v>30</v>
      </c>
      <c r="B44" s="18" t="s">
        <v>1923</v>
      </c>
      <c r="C44" s="18" t="s">
        <v>92</v>
      </c>
      <c r="D44" s="18" t="s">
        <v>1948</v>
      </c>
      <c r="E44" s="23">
        <v>5200000</v>
      </c>
      <c r="F44" s="23">
        <v>2900000</v>
      </c>
      <c r="G44" s="23">
        <v>1900000</v>
      </c>
      <c r="H44" s="23">
        <v>1250000</v>
      </c>
    </row>
    <row r="45" spans="1:9">
      <c r="A45" s="16">
        <v>31</v>
      </c>
      <c r="B45" s="18" t="s">
        <v>1949</v>
      </c>
      <c r="C45" s="18" t="s">
        <v>1937</v>
      </c>
      <c r="D45" s="18" t="s">
        <v>1950</v>
      </c>
      <c r="E45" s="23">
        <v>25900000</v>
      </c>
      <c r="F45" s="23">
        <v>14500000</v>
      </c>
      <c r="G45" s="23">
        <v>9600000</v>
      </c>
      <c r="H45" s="23">
        <v>6200000</v>
      </c>
    </row>
    <row r="46" spans="1:9">
      <c r="A46" s="16">
        <v>32</v>
      </c>
      <c r="B46" s="18" t="s">
        <v>1951</v>
      </c>
      <c r="C46" s="18" t="s">
        <v>1896</v>
      </c>
      <c r="D46" s="18" t="s">
        <v>1952</v>
      </c>
      <c r="E46" s="23">
        <v>25900000</v>
      </c>
      <c r="F46" s="23">
        <v>14500000</v>
      </c>
      <c r="G46" s="23">
        <v>9600000</v>
      </c>
      <c r="H46" s="23">
        <v>6200000</v>
      </c>
    </row>
    <row r="47" spans="1:9">
      <c r="A47" s="16">
        <v>33</v>
      </c>
      <c r="B47" s="18" t="s">
        <v>1896</v>
      </c>
      <c r="C47" s="18" t="s">
        <v>1953</v>
      </c>
      <c r="D47" s="18" t="s">
        <v>1940</v>
      </c>
      <c r="E47" s="23">
        <v>40500000</v>
      </c>
      <c r="F47" s="23">
        <v>22700000</v>
      </c>
      <c r="G47" s="23">
        <v>15000000</v>
      </c>
      <c r="H47" s="23">
        <v>9700000</v>
      </c>
    </row>
    <row r="48" spans="1:9">
      <c r="A48" s="16"/>
      <c r="B48" s="18" t="s">
        <v>1896</v>
      </c>
      <c r="C48" s="18" t="s">
        <v>1940</v>
      </c>
      <c r="D48" s="18" t="s">
        <v>1954</v>
      </c>
      <c r="E48" s="23">
        <v>48400000</v>
      </c>
      <c r="F48" s="23">
        <v>27100000</v>
      </c>
      <c r="G48" s="23">
        <v>17900000</v>
      </c>
      <c r="H48" s="23">
        <v>11600000</v>
      </c>
    </row>
    <row r="49" spans="1:9">
      <c r="A49" s="16">
        <v>34</v>
      </c>
      <c r="B49" s="18" t="s">
        <v>1955</v>
      </c>
      <c r="C49" s="18" t="s">
        <v>92</v>
      </c>
      <c r="D49" s="18" t="s">
        <v>1947</v>
      </c>
      <c r="E49" s="23">
        <v>5200000</v>
      </c>
      <c r="F49" s="23">
        <v>2900000</v>
      </c>
      <c r="G49" s="23">
        <v>1900000</v>
      </c>
      <c r="H49" s="23">
        <v>1250000</v>
      </c>
      <c r="I49" s="31" t="s">
        <v>1956</v>
      </c>
    </row>
    <row r="50" spans="1:9">
      <c r="A50" s="16">
        <v>35</v>
      </c>
      <c r="B50" s="18" t="s">
        <v>1944</v>
      </c>
      <c r="C50" s="18" t="s">
        <v>1933</v>
      </c>
      <c r="D50" s="18" t="s">
        <v>1907</v>
      </c>
      <c r="E50" s="23">
        <v>5200000</v>
      </c>
      <c r="F50" s="23">
        <v>2900000</v>
      </c>
      <c r="G50" s="23">
        <v>1900000</v>
      </c>
      <c r="H50" s="23">
        <v>1250000</v>
      </c>
    </row>
    <row r="51" spans="1:9">
      <c r="A51" s="16">
        <v>36</v>
      </c>
      <c r="B51" s="18" t="s">
        <v>1957</v>
      </c>
      <c r="C51" s="18" t="s">
        <v>70</v>
      </c>
      <c r="D51" s="18" t="s">
        <v>128</v>
      </c>
      <c r="E51" s="23">
        <v>36400000</v>
      </c>
      <c r="F51" s="23">
        <v>20400000</v>
      </c>
      <c r="G51" s="23">
        <v>13450000</v>
      </c>
      <c r="H51" s="23">
        <v>8750000</v>
      </c>
    </row>
    <row r="52" spans="1:9">
      <c r="A52" s="16">
        <v>37</v>
      </c>
      <c r="B52" s="18" t="s">
        <v>1902</v>
      </c>
      <c r="C52" s="18" t="s">
        <v>1901</v>
      </c>
      <c r="D52" s="18" t="s">
        <v>1958</v>
      </c>
      <c r="E52" s="23">
        <v>4200000</v>
      </c>
      <c r="F52" s="23">
        <v>2350000</v>
      </c>
      <c r="G52" s="23">
        <v>1550000</v>
      </c>
      <c r="H52" s="23">
        <v>1000000</v>
      </c>
    </row>
    <row r="53" spans="1:9">
      <c r="A53" s="16">
        <v>38</v>
      </c>
      <c r="B53" s="41" t="s">
        <v>1959</v>
      </c>
      <c r="C53" s="41" t="s">
        <v>70</v>
      </c>
      <c r="D53" s="41" t="s">
        <v>1945</v>
      </c>
      <c r="E53" s="23">
        <v>30150000</v>
      </c>
      <c r="F53" s="23">
        <v>16900000</v>
      </c>
      <c r="G53" s="23">
        <v>11150000</v>
      </c>
      <c r="H53" s="23">
        <v>7250000</v>
      </c>
    </row>
    <row r="54" spans="1:9">
      <c r="A54" s="16">
        <v>39</v>
      </c>
      <c r="B54" s="18" t="s">
        <v>1960</v>
      </c>
      <c r="C54" s="18" t="s">
        <v>1940</v>
      </c>
      <c r="D54" s="18" t="s">
        <v>1929</v>
      </c>
      <c r="E54" s="23">
        <v>40500000</v>
      </c>
      <c r="F54" s="23">
        <v>22700000</v>
      </c>
      <c r="G54" s="23">
        <v>15000000</v>
      </c>
      <c r="H54" s="23">
        <v>9700000</v>
      </c>
    </row>
    <row r="55" spans="1:9">
      <c r="A55" s="16">
        <v>40</v>
      </c>
      <c r="B55" s="18" t="s">
        <v>1961</v>
      </c>
      <c r="C55" s="18" t="s">
        <v>1909</v>
      </c>
      <c r="D55" s="18" t="s">
        <v>1962</v>
      </c>
      <c r="E55" s="23">
        <v>5200000</v>
      </c>
      <c r="F55" s="23">
        <v>2900000</v>
      </c>
      <c r="G55" s="23">
        <v>1900000</v>
      </c>
      <c r="H55" s="23">
        <v>1250000</v>
      </c>
    </row>
    <row r="56" spans="1:9">
      <c r="A56" s="16">
        <f t="shared" ref="A56:A79" si="0">A55+1</f>
        <v>41</v>
      </c>
      <c r="B56" s="18" t="s">
        <v>41</v>
      </c>
      <c r="C56" s="18" t="s">
        <v>1955</v>
      </c>
      <c r="D56" s="18" t="s">
        <v>1963</v>
      </c>
      <c r="E56" s="23">
        <v>7800000</v>
      </c>
      <c r="F56" s="23">
        <v>4400000</v>
      </c>
      <c r="G56" s="23">
        <v>2900000</v>
      </c>
      <c r="H56" s="23">
        <v>1850000</v>
      </c>
    </row>
    <row r="57" spans="1:9">
      <c r="A57" s="16">
        <f t="shared" si="0"/>
        <v>42</v>
      </c>
      <c r="B57" s="18" t="s">
        <v>1963</v>
      </c>
      <c r="C57" s="18" t="s">
        <v>41</v>
      </c>
      <c r="D57" s="18" t="s">
        <v>66</v>
      </c>
      <c r="E57" s="23">
        <v>3300000</v>
      </c>
      <c r="F57" s="23">
        <v>1850000</v>
      </c>
      <c r="G57" s="23">
        <v>1200000</v>
      </c>
      <c r="H57" s="23">
        <v>800000</v>
      </c>
    </row>
    <row r="58" spans="1:9">
      <c r="A58" s="16">
        <f t="shared" si="0"/>
        <v>43</v>
      </c>
      <c r="B58" s="18" t="s">
        <v>1964</v>
      </c>
      <c r="C58" s="18" t="s">
        <v>1965</v>
      </c>
      <c r="D58" s="18" t="s">
        <v>1937</v>
      </c>
      <c r="E58" s="23">
        <v>9650000</v>
      </c>
      <c r="F58" s="23">
        <v>5400000</v>
      </c>
      <c r="G58" s="23">
        <v>3550000</v>
      </c>
      <c r="H58" s="23">
        <v>2300000</v>
      </c>
    </row>
    <row r="59" spans="1:9">
      <c r="A59" s="16">
        <f t="shared" si="0"/>
        <v>44</v>
      </c>
      <c r="B59" s="18" t="s">
        <v>1952</v>
      </c>
      <c r="C59" s="18" t="s">
        <v>1966</v>
      </c>
      <c r="D59" s="18" t="s">
        <v>111</v>
      </c>
      <c r="E59" s="23">
        <v>30150000</v>
      </c>
      <c r="F59" s="23">
        <v>16900000</v>
      </c>
      <c r="G59" s="23">
        <v>11150000</v>
      </c>
      <c r="H59" s="23">
        <v>7250000</v>
      </c>
    </row>
    <row r="60" spans="1:9">
      <c r="A60" s="16">
        <f t="shared" si="0"/>
        <v>45</v>
      </c>
      <c r="B60" s="18" t="s">
        <v>33</v>
      </c>
      <c r="C60" s="18" t="s">
        <v>91</v>
      </c>
      <c r="D60" s="18" t="s">
        <v>92</v>
      </c>
      <c r="E60" s="23">
        <v>5200000</v>
      </c>
      <c r="F60" s="23">
        <v>2900000</v>
      </c>
      <c r="G60" s="23">
        <v>1900000</v>
      </c>
      <c r="H60" s="23">
        <v>1250000</v>
      </c>
    </row>
    <row r="61" spans="1:9">
      <c r="A61" s="16">
        <f t="shared" si="0"/>
        <v>46</v>
      </c>
      <c r="B61" s="18" t="s">
        <v>1900</v>
      </c>
      <c r="C61" s="18" t="s">
        <v>1896</v>
      </c>
      <c r="D61" s="18" t="s">
        <v>1967</v>
      </c>
      <c r="E61" s="23">
        <v>25900000</v>
      </c>
      <c r="F61" s="23">
        <v>14500000</v>
      </c>
      <c r="G61" s="23">
        <v>9600000</v>
      </c>
      <c r="H61" s="23">
        <v>6200000</v>
      </c>
    </row>
    <row r="62" spans="1:9">
      <c r="A62" s="16">
        <f t="shared" si="0"/>
        <v>47</v>
      </c>
      <c r="B62" s="18" t="s">
        <v>1968</v>
      </c>
      <c r="C62" s="18" t="s">
        <v>1969</v>
      </c>
      <c r="D62" s="18" t="s">
        <v>1896</v>
      </c>
      <c r="E62" s="23">
        <v>30150000</v>
      </c>
      <c r="F62" s="23">
        <v>16900000</v>
      </c>
      <c r="G62" s="23">
        <v>11150000</v>
      </c>
      <c r="H62" s="23">
        <v>7250000</v>
      </c>
    </row>
    <row r="63" spans="1:9">
      <c r="A63" s="16">
        <f t="shared" si="0"/>
        <v>48</v>
      </c>
      <c r="B63" s="18" t="s">
        <v>1950</v>
      </c>
      <c r="C63" s="18" t="s">
        <v>1896</v>
      </c>
      <c r="D63" s="18" t="s">
        <v>70</v>
      </c>
      <c r="E63" s="23">
        <v>36400000</v>
      </c>
      <c r="F63" s="23">
        <v>20400000</v>
      </c>
      <c r="G63" s="23">
        <v>13450000</v>
      </c>
      <c r="H63" s="23">
        <v>8750000</v>
      </c>
    </row>
    <row r="64" spans="1:9">
      <c r="A64" s="16">
        <f t="shared" si="0"/>
        <v>49</v>
      </c>
      <c r="B64" s="18" t="s">
        <v>1970</v>
      </c>
      <c r="C64" s="18" t="s">
        <v>1896</v>
      </c>
      <c r="D64" s="18" t="s">
        <v>1952</v>
      </c>
      <c r="E64" s="23">
        <v>25900000</v>
      </c>
      <c r="F64" s="23">
        <v>14500000</v>
      </c>
      <c r="G64" s="23">
        <v>9600000</v>
      </c>
      <c r="H64" s="23">
        <v>6200000</v>
      </c>
    </row>
    <row r="65" spans="1:8">
      <c r="A65" s="16">
        <f t="shared" si="0"/>
        <v>50</v>
      </c>
      <c r="B65" s="18" t="s">
        <v>1971</v>
      </c>
      <c r="C65" s="18" t="s">
        <v>1929</v>
      </c>
      <c r="D65" s="18" t="s">
        <v>1950</v>
      </c>
      <c r="E65" s="23">
        <v>12850000</v>
      </c>
      <c r="F65" s="23">
        <v>7200000</v>
      </c>
      <c r="G65" s="23">
        <v>4750000</v>
      </c>
      <c r="H65" s="23">
        <v>3100000</v>
      </c>
    </row>
    <row r="66" spans="1:8">
      <c r="A66" s="16">
        <f t="shared" si="0"/>
        <v>51</v>
      </c>
      <c r="B66" s="18" t="s">
        <v>1972</v>
      </c>
      <c r="C66" s="18" t="s">
        <v>1973</v>
      </c>
      <c r="D66" s="18" t="s">
        <v>1974</v>
      </c>
      <c r="E66" s="23">
        <v>12850000</v>
      </c>
      <c r="F66" s="23">
        <v>7200000</v>
      </c>
      <c r="G66" s="23">
        <v>4750000</v>
      </c>
      <c r="H66" s="23">
        <v>3100000</v>
      </c>
    </row>
    <row r="67" spans="1:8">
      <c r="A67" s="16">
        <f t="shared" si="0"/>
        <v>52</v>
      </c>
      <c r="B67" s="18" t="s">
        <v>1920</v>
      </c>
      <c r="C67" s="18" t="s">
        <v>1975</v>
      </c>
      <c r="D67" s="18" t="s">
        <v>128</v>
      </c>
      <c r="E67" s="23">
        <v>40500000</v>
      </c>
      <c r="F67" s="23">
        <v>22700000</v>
      </c>
      <c r="G67" s="23">
        <v>15000000</v>
      </c>
      <c r="H67" s="23">
        <v>9700000</v>
      </c>
    </row>
    <row r="68" spans="1:8">
      <c r="A68" s="16">
        <f t="shared" si="0"/>
        <v>53</v>
      </c>
      <c r="B68" s="18" t="s">
        <v>1909</v>
      </c>
      <c r="C68" s="18" t="s">
        <v>1933</v>
      </c>
      <c r="D68" s="18" t="s">
        <v>1962</v>
      </c>
      <c r="E68" s="23">
        <v>7800000</v>
      </c>
      <c r="F68" s="23">
        <v>4400000</v>
      </c>
      <c r="G68" s="23">
        <v>2900000</v>
      </c>
      <c r="H68" s="23">
        <v>1850000</v>
      </c>
    </row>
    <row r="69" spans="1:8">
      <c r="A69" s="16">
        <f t="shared" si="0"/>
        <v>54</v>
      </c>
      <c r="B69" s="18" t="s">
        <v>1976</v>
      </c>
      <c r="C69" s="18" t="s">
        <v>1949</v>
      </c>
      <c r="D69" s="18" t="s">
        <v>1973</v>
      </c>
      <c r="E69" s="23">
        <v>30150000</v>
      </c>
      <c r="F69" s="23">
        <v>16900000</v>
      </c>
      <c r="G69" s="23">
        <v>11150000</v>
      </c>
      <c r="H69" s="23">
        <v>7250000</v>
      </c>
    </row>
    <row r="70" spans="1:8">
      <c r="A70" s="16">
        <f t="shared" si="0"/>
        <v>55</v>
      </c>
      <c r="B70" s="18" t="s">
        <v>1977</v>
      </c>
      <c r="C70" s="18" t="s">
        <v>1950</v>
      </c>
      <c r="D70" s="18" t="s">
        <v>1978</v>
      </c>
      <c r="E70" s="23">
        <v>19450000</v>
      </c>
      <c r="F70" s="23">
        <v>10900000</v>
      </c>
      <c r="G70" s="23">
        <v>7200000</v>
      </c>
      <c r="H70" s="23">
        <v>4650000</v>
      </c>
    </row>
    <row r="71" spans="1:8">
      <c r="A71" s="16">
        <f t="shared" si="0"/>
        <v>56</v>
      </c>
      <c r="B71" s="18" t="s">
        <v>1979</v>
      </c>
      <c r="C71" s="18" t="s">
        <v>1945</v>
      </c>
      <c r="D71" s="18" t="s">
        <v>1903</v>
      </c>
      <c r="E71" s="23">
        <v>36400000</v>
      </c>
      <c r="F71" s="23">
        <v>20400000</v>
      </c>
      <c r="G71" s="23">
        <v>13450000</v>
      </c>
      <c r="H71" s="23">
        <v>8750000</v>
      </c>
    </row>
    <row r="72" spans="1:8">
      <c r="A72" s="16">
        <f t="shared" si="0"/>
        <v>57</v>
      </c>
      <c r="B72" s="18" t="s">
        <v>1935</v>
      </c>
      <c r="C72" s="18" t="s">
        <v>1896</v>
      </c>
      <c r="D72" s="18" t="s">
        <v>1942</v>
      </c>
      <c r="E72" s="23">
        <v>12850000</v>
      </c>
      <c r="F72" s="23">
        <v>7200000</v>
      </c>
      <c r="G72" s="23">
        <v>4750000</v>
      </c>
      <c r="H72" s="23">
        <v>3100000</v>
      </c>
    </row>
    <row r="73" spans="1:8">
      <c r="A73" s="16">
        <f t="shared" si="0"/>
        <v>58</v>
      </c>
      <c r="B73" s="18" t="s">
        <v>1965</v>
      </c>
      <c r="C73" s="18" t="s">
        <v>1941</v>
      </c>
      <c r="D73" s="18" t="s">
        <v>1960</v>
      </c>
      <c r="E73" s="23">
        <v>12850000</v>
      </c>
      <c r="F73" s="23">
        <v>7200000</v>
      </c>
      <c r="G73" s="23">
        <v>4750000</v>
      </c>
      <c r="H73" s="23">
        <v>3100000</v>
      </c>
    </row>
    <row r="74" spans="1:8">
      <c r="A74" s="16">
        <f t="shared" si="0"/>
        <v>59</v>
      </c>
      <c r="B74" s="18" t="s">
        <v>1980</v>
      </c>
      <c r="C74" s="18" t="s">
        <v>1910</v>
      </c>
      <c r="D74" s="18" t="s">
        <v>243</v>
      </c>
      <c r="E74" s="23">
        <v>6900000</v>
      </c>
      <c r="F74" s="23">
        <v>3850000</v>
      </c>
      <c r="G74" s="23">
        <v>2550000</v>
      </c>
      <c r="H74" s="23">
        <v>1650000</v>
      </c>
    </row>
    <row r="75" spans="1:8">
      <c r="A75" s="16">
        <f t="shared" si="0"/>
        <v>60</v>
      </c>
      <c r="B75" s="18" t="s">
        <v>1981</v>
      </c>
      <c r="C75" s="18" t="s">
        <v>1973</v>
      </c>
      <c r="D75" s="18" t="s">
        <v>1976</v>
      </c>
      <c r="E75" s="23">
        <v>12850000</v>
      </c>
      <c r="F75" s="23">
        <v>7200000</v>
      </c>
      <c r="G75" s="23">
        <v>4750000</v>
      </c>
      <c r="H75" s="23">
        <v>3100000</v>
      </c>
    </row>
    <row r="76" spans="1:8">
      <c r="A76" s="16">
        <f t="shared" si="0"/>
        <v>61</v>
      </c>
      <c r="B76" s="18" t="s">
        <v>1982</v>
      </c>
      <c r="C76" s="18" t="s">
        <v>1944</v>
      </c>
      <c r="D76" s="18" t="s">
        <v>1943</v>
      </c>
      <c r="E76" s="23">
        <v>4200000</v>
      </c>
      <c r="F76" s="23">
        <v>2350000</v>
      </c>
      <c r="G76" s="23">
        <v>1550000</v>
      </c>
      <c r="H76" s="23">
        <v>1000000</v>
      </c>
    </row>
    <row r="77" spans="1:8">
      <c r="A77" s="16">
        <f t="shared" si="0"/>
        <v>62</v>
      </c>
      <c r="B77" s="18" t="s">
        <v>1983</v>
      </c>
      <c r="C77" s="18" t="s">
        <v>1952</v>
      </c>
      <c r="D77" s="18" t="s">
        <v>1968</v>
      </c>
      <c r="E77" s="23">
        <v>30150000</v>
      </c>
      <c r="F77" s="23">
        <v>16900000</v>
      </c>
      <c r="G77" s="23">
        <v>11150000</v>
      </c>
      <c r="H77" s="23">
        <v>7250000</v>
      </c>
    </row>
    <row r="78" spans="1:8">
      <c r="A78" s="16">
        <f t="shared" si="0"/>
        <v>63</v>
      </c>
      <c r="B78" s="18" t="s">
        <v>1984</v>
      </c>
      <c r="C78" s="18" t="s">
        <v>1896</v>
      </c>
      <c r="D78" s="18" t="s">
        <v>1985</v>
      </c>
      <c r="E78" s="23">
        <v>40500000</v>
      </c>
      <c r="F78" s="23">
        <v>22700000</v>
      </c>
      <c r="G78" s="23">
        <v>15000000</v>
      </c>
      <c r="H78" s="23">
        <v>9700000</v>
      </c>
    </row>
    <row r="79" spans="1:8">
      <c r="A79" s="16">
        <f t="shared" si="0"/>
        <v>64</v>
      </c>
      <c r="B79" s="18" t="s">
        <v>111</v>
      </c>
      <c r="C79" s="18" t="s">
        <v>1896</v>
      </c>
      <c r="D79" s="18" t="s">
        <v>1929</v>
      </c>
      <c r="E79" s="23">
        <v>30150000</v>
      </c>
      <c r="F79" s="23">
        <v>16900000</v>
      </c>
      <c r="G79" s="23">
        <v>11150000</v>
      </c>
      <c r="H79" s="23">
        <v>7250000</v>
      </c>
    </row>
    <row r="80" spans="1:8">
      <c r="A80" s="16"/>
      <c r="B80" s="18" t="s">
        <v>111</v>
      </c>
      <c r="C80" s="18" t="s">
        <v>89</v>
      </c>
      <c r="D80" s="18" t="s">
        <v>1925</v>
      </c>
      <c r="E80" s="23">
        <v>12850000</v>
      </c>
      <c r="F80" s="23">
        <v>7200000</v>
      </c>
      <c r="G80" s="23">
        <v>4750000</v>
      </c>
      <c r="H80" s="23">
        <v>3100000</v>
      </c>
    </row>
    <row r="81" spans="1:9">
      <c r="A81" s="16"/>
      <c r="B81" s="43" t="s">
        <v>111</v>
      </c>
      <c r="C81" s="43" t="s">
        <v>1925</v>
      </c>
      <c r="D81" s="43" t="s">
        <v>33</v>
      </c>
      <c r="E81" s="23">
        <v>9650000</v>
      </c>
      <c r="F81" s="23">
        <v>5400000</v>
      </c>
      <c r="G81" s="23">
        <v>3550000</v>
      </c>
      <c r="H81" s="23">
        <v>2300000</v>
      </c>
    </row>
    <row r="82" spans="1:9">
      <c r="A82" s="16">
        <f>A79+1</f>
        <v>65</v>
      </c>
      <c r="B82" s="18" t="s">
        <v>89</v>
      </c>
      <c r="C82" s="18" t="s">
        <v>1986</v>
      </c>
      <c r="D82" s="18" t="s">
        <v>51</v>
      </c>
      <c r="E82" s="23">
        <v>10250000</v>
      </c>
      <c r="F82" s="23">
        <v>5750000</v>
      </c>
      <c r="G82" s="23">
        <v>3800000</v>
      </c>
      <c r="H82" s="23">
        <v>2450000</v>
      </c>
    </row>
    <row r="83" spans="1:9">
      <c r="A83" s="16">
        <f t="shared" ref="A83:A91" si="1">A82+1</f>
        <v>66</v>
      </c>
      <c r="B83" s="18" t="s">
        <v>1929</v>
      </c>
      <c r="C83" s="18" t="s">
        <v>92</v>
      </c>
      <c r="D83" s="18" t="s">
        <v>1987</v>
      </c>
      <c r="E83" s="23">
        <v>10250000</v>
      </c>
      <c r="F83" s="23">
        <v>5750000</v>
      </c>
      <c r="G83" s="23">
        <v>3800000</v>
      </c>
      <c r="H83" s="23">
        <v>2450000</v>
      </c>
    </row>
    <row r="84" spans="1:9">
      <c r="A84" s="16">
        <f t="shared" si="1"/>
        <v>67</v>
      </c>
      <c r="B84" s="18" t="s">
        <v>1988</v>
      </c>
      <c r="C84" s="18" t="s">
        <v>1903</v>
      </c>
      <c r="D84" s="18" t="s">
        <v>1989</v>
      </c>
      <c r="E84" s="23">
        <v>30150000</v>
      </c>
      <c r="F84" s="23">
        <v>16900000</v>
      </c>
      <c r="G84" s="23">
        <v>11150000</v>
      </c>
      <c r="H84" s="23">
        <v>7250000</v>
      </c>
    </row>
    <row r="85" spans="1:9">
      <c r="A85" s="16">
        <f t="shared" si="1"/>
        <v>68</v>
      </c>
      <c r="B85" s="18" t="s">
        <v>1990</v>
      </c>
      <c r="C85" s="18" t="s">
        <v>70</v>
      </c>
      <c r="D85" s="18" t="s">
        <v>1973</v>
      </c>
      <c r="E85" s="23">
        <v>23150000</v>
      </c>
      <c r="F85" s="23">
        <v>12950000</v>
      </c>
      <c r="G85" s="23">
        <v>8550000</v>
      </c>
      <c r="H85" s="23">
        <v>5550000</v>
      </c>
    </row>
    <row r="86" spans="1:9">
      <c r="A86" s="16">
        <f t="shared" si="1"/>
        <v>69</v>
      </c>
      <c r="B86" s="18" t="s">
        <v>1991</v>
      </c>
      <c r="C86" s="18" t="s">
        <v>92</v>
      </c>
      <c r="D86" s="18" t="s">
        <v>1992</v>
      </c>
      <c r="E86" s="23">
        <v>3300000</v>
      </c>
      <c r="F86" s="23">
        <v>1850000</v>
      </c>
      <c r="G86" s="23">
        <v>1200000</v>
      </c>
      <c r="H86" s="23">
        <v>800000</v>
      </c>
    </row>
    <row r="87" spans="1:9">
      <c r="A87" s="16">
        <f t="shared" si="1"/>
        <v>70</v>
      </c>
      <c r="B87" s="18" t="s">
        <v>1993</v>
      </c>
      <c r="C87" s="18" t="s">
        <v>1980</v>
      </c>
      <c r="D87" s="18" t="s">
        <v>1994</v>
      </c>
      <c r="E87" s="23">
        <v>5200000</v>
      </c>
      <c r="F87" s="23">
        <v>2900000</v>
      </c>
      <c r="G87" s="23">
        <v>1900000</v>
      </c>
      <c r="H87" s="23">
        <v>1250000</v>
      </c>
    </row>
    <row r="88" spans="1:9">
      <c r="A88" s="16">
        <f t="shared" si="1"/>
        <v>71</v>
      </c>
      <c r="B88" s="18" t="s">
        <v>1930</v>
      </c>
      <c r="C88" s="18" t="s">
        <v>111</v>
      </c>
      <c r="D88" s="18" t="s">
        <v>1995</v>
      </c>
      <c r="E88" s="23">
        <v>7800000</v>
      </c>
      <c r="F88" s="23">
        <v>4400000</v>
      </c>
      <c r="G88" s="23">
        <v>2900000</v>
      </c>
      <c r="H88" s="23">
        <v>1850000</v>
      </c>
      <c r="I88" s="31" t="s">
        <v>1956</v>
      </c>
    </row>
    <row r="89" spans="1:9">
      <c r="A89" s="16">
        <f t="shared" si="1"/>
        <v>72</v>
      </c>
      <c r="B89" s="18" t="s">
        <v>66</v>
      </c>
      <c r="C89" s="18" t="s">
        <v>111</v>
      </c>
      <c r="D89" s="18" t="s">
        <v>65</v>
      </c>
      <c r="E89" s="23">
        <v>4200000</v>
      </c>
      <c r="F89" s="23">
        <v>2350000</v>
      </c>
      <c r="G89" s="23">
        <v>1550000</v>
      </c>
      <c r="H89" s="23">
        <v>1000000</v>
      </c>
    </row>
    <row r="90" spans="1:9">
      <c r="A90" s="16">
        <f t="shared" si="1"/>
        <v>73</v>
      </c>
      <c r="B90" s="18" t="s">
        <v>1996</v>
      </c>
      <c r="C90" s="18" t="s">
        <v>1922</v>
      </c>
      <c r="D90" s="18" t="s">
        <v>1948</v>
      </c>
      <c r="E90" s="23">
        <v>5200000</v>
      </c>
      <c r="F90" s="23">
        <v>2900000</v>
      </c>
      <c r="G90" s="23">
        <v>1900000</v>
      </c>
      <c r="H90" s="23">
        <v>1250000</v>
      </c>
    </row>
    <row r="91" spans="1:9">
      <c r="A91" s="16">
        <f t="shared" si="1"/>
        <v>74</v>
      </c>
      <c r="B91" s="18" t="s">
        <v>1992</v>
      </c>
      <c r="C91" s="18" t="s">
        <v>92</v>
      </c>
      <c r="D91" s="18" t="s">
        <v>1926</v>
      </c>
      <c r="E91" s="23">
        <v>5200000</v>
      </c>
      <c r="F91" s="23">
        <v>2900000</v>
      </c>
      <c r="G91" s="23">
        <v>1900000</v>
      </c>
      <c r="H91" s="23">
        <v>1250000</v>
      </c>
    </row>
    <row r="92" spans="1:9">
      <c r="A92" s="16">
        <v>75</v>
      </c>
      <c r="B92" s="18" t="s">
        <v>1997</v>
      </c>
      <c r="C92" s="18" t="s">
        <v>1948</v>
      </c>
      <c r="D92" s="18" t="s">
        <v>1925</v>
      </c>
      <c r="E92" s="23">
        <v>5200000</v>
      </c>
      <c r="F92" s="23">
        <v>2900000</v>
      </c>
      <c r="G92" s="23">
        <v>1900000</v>
      </c>
      <c r="H92" s="23">
        <v>1250000</v>
      </c>
      <c r="I92" s="31" t="s">
        <v>1956</v>
      </c>
    </row>
    <row r="93" spans="1:9">
      <c r="A93" s="16">
        <v>76</v>
      </c>
      <c r="B93" s="18" t="s">
        <v>1948</v>
      </c>
      <c r="C93" s="18" t="s">
        <v>92</v>
      </c>
      <c r="D93" s="18" t="s">
        <v>1926</v>
      </c>
      <c r="E93" s="23">
        <v>5200000</v>
      </c>
      <c r="F93" s="23">
        <v>2900000</v>
      </c>
      <c r="G93" s="23">
        <v>1900000</v>
      </c>
      <c r="H93" s="23">
        <v>1250000</v>
      </c>
    </row>
    <row r="94" spans="1:9">
      <c r="A94" s="16">
        <f t="shared" ref="A94:A96" si="2">A93+1</f>
        <v>77</v>
      </c>
      <c r="B94" s="18" t="s">
        <v>83</v>
      </c>
      <c r="C94" s="18" t="s">
        <v>1998</v>
      </c>
      <c r="D94" s="18" t="s">
        <v>128</v>
      </c>
      <c r="E94" s="23">
        <v>23150000</v>
      </c>
      <c r="F94" s="23">
        <v>12950000</v>
      </c>
      <c r="G94" s="23">
        <v>8550000</v>
      </c>
      <c r="H94" s="23">
        <v>5550000</v>
      </c>
    </row>
    <row r="95" spans="1:9">
      <c r="A95" s="16">
        <f t="shared" si="2"/>
        <v>78</v>
      </c>
      <c r="B95" s="18" t="s">
        <v>1973</v>
      </c>
      <c r="C95" s="18" t="s">
        <v>1957</v>
      </c>
      <c r="D95" s="18" t="s">
        <v>128</v>
      </c>
      <c r="E95" s="23">
        <v>25900000</v>
      </c>
      <c r="F95" s="23">
        <v>14500000</v>
      </c>
      <c r="G95" s="23">
        <v>9600000</v>
      </c>
      <c r="H95" s="23">
        <v>6200000</v>
      </c>
    </row>
    <row r="96" ht="27.6" spans="1:9">
      <c r="A96" s="16">
        <f t="shared" si="2"/>
        <v>79</v>
      </c>
      <c r="B96" s="18" t="s">
        <v>1958</v>
      </c>
      <c r="C96" s="18" t="s">
        <v>1999</v>
      </c>
      <c r="D96" s="18" t="s">
        <v>1932</v>
      </c>
      <c r="E96" s="23">
        <v>6900000</v>
      </c>
      <c r="F96" s="23">
        <v>3850000</v>
      </c>
      <c r="G96" s="23">
        <v>2550000</v>
      </c>
      <c r="H96" s="23">
        <v>1650000</v>
      </c>
      <c r="I96" s="31" t="s">
        <v>2000</v>
      </c>
    </row>
    <row r="97" spans="1:9">
      <c r="A97" s="16"/>
      <c r="B97" s="18" t="s">
        <v>1958</v>
      </c>
      <c r="C97" s="18" t="s">
        <v>1932</v>
      </c>
      <c r="D97" s="18" t="s">
        <v>2001</v>
      </c>
      <c r="E97" s="23">
        <v>5200000</v>
      </c>
      <c r="F97" s="23">
        <v>2900000</v>
      </c>
      <c r="G97" s="23">
        <v>1900000</v>
      </c>
      <c r="H97" s="23">
        <v>1250000</v>
      </c>
      <c r="I97" s="31" t="s">
        <v>2000</v>
      </c>
    </row>
    <row r="98" spans="1:9">
      <c r="A98" s="16">
        <v>80</v>
      </c>
      <c r="B98" s="18" t="s">
        <v>2002</v>
      </c>
      <c r="C98" s="18" t="s">
        <v>46</v>
      </c>
      <c r="D98" s="18" t="s">
        <v>111</v>
      </c>
      <c r="E98" s="23">
        <v>6900000</v>
      </c>
      <c r="F98" s="23">
        <v>3850000</v>
      </c>
      <c r="G98" s="23">
        <v>2550000</v>
      </c>
      <c r="H98" s="23">
        <v>1650000</v>
      </c>
    </row>
    <row r="99" spans="1:9">
      <c r="A99" s="16">
        <f t="shared" ref="A99:A101" si="3">A98+1</f>
        <v>81</v>
      </c>
      <c r="B99" s="18" t="s">
        <v>1936</v>
      </c>
      <c r="C99" s="18" t="s">
        <v>1941</v>
      </c>
      <c r="D99" s="18" t="s">
        <v>1903</v>
      </c>
      <c r="E99" s="23">
        <v>30150000</v>
      </c>
      <c r="F99" s="23">
        <v>16900000</v>
      </c>
      <c r="G99" s="23">
        <v>11150000</v>
      </c>
      <c r="H99" s="23">
        <v>7250000</v>
      </c>
    </row>
    <row r="100" spans="1:9">
      <c r="A100" s="16">
        <f t="shared" si="3"/>
        <v>82</v>
      </c>
      <c r="B100" s="18" t="s">
        <v>1916</v>
      </c>
      <c r="C100" s="18" t="s">
        <v>111</v>
      </c>
      <c r="D100" s="18" t="s">
        <v>2003</v>
      </c>
      <c r="E100" s="23">
        <v>5200000</v>
      </c>
      <c r="F100" s="23">
        <v>2900000</v>
      </c>
      <c r="G100" s="23">
        <v>1900000</v>
      </c>
      <c r="H100" s="23">
        <v>1250000</v>
      </c>
    </row>
    <row r="101" spans="1:9">
      <c r="A101" s="16">
        <f t="shared" si="3"/>
        <v>83</v>
      </c>
      <c r="B101" s="18" t="s">
        <v>32</v>
      </c>
      <c r="C101" s="18" t="s">
        <v>89</v>
      </c>
      <c r="D101" s="18" t="s">
        <v>46</v>
      </c>
      <c r="E101" s="23">
        <v>12850000</v>
      </c>
      <c r="F101" s="23">
        <v>7200000</v>
      </c>
      <c r="G101" s="23">
        <v>4750000</v>
      </c>
      <c r="H101" s="23">
        <v>3100000</v>
      </c>
    </row>
    <row r="102" spans="1:9">
      <c r="A102" s="16"/>
      <c r="B102" s="18" t="s">
        <v>32</v>
      </c>
      <c r="C102" s="18" t="s">
        <v>46</v>
      </c>
      <c r="D102" s="18" t="s">
        <v>111</v>
      </c>
      <c r="E102" s="23">
        <v>6900000</v>
      </c>
      <c r="F102" s="23">
        <v>3850000</v>
      </c>
      <c r="G102" s="23">
        <v>2550000</v>
      </c>
      <c r="H102" s="23">
        <v>1650000</v>
      </c>
    </row>
    <row r="103" spans="1:9">
      <c r="A103" s="16">
        <f>A101+1</f>
        <v>84</v>
      </c>
      <c r="B103" s="18" t="s">
        <v>1989</v>
      </c>
      <c r="C103" s="18" t="s">
        <v>1920</v>
      </c>
      <c r="D103" s="18" t="s">
        <v>1903</v>
      </c>
      <c r="E103" s="23">
        <v>23150000</v>
      </c>
      <c r="F103" s="23">
        <v>12950000</v>
      </c>
      <c r="G103" s="23">
        <v>8550000</v>
      </c>
      <c r="H103" s="23">
        <v>5550000</v>
      </c>
    </row>
    <row r="104" spans="1:9">
      <c r="A104" s="16">
        <f t="shared" ref="A104:A108" si="4">A103+1</f>
        <v>85</v>
      </c>
      <c r="B104" s="18" t="s">
        <v>1926</v>
      </c>
      <c r="C104" s="18" t="s">
        <v>1955</v>
      </c>
      <c r="D104" s="18" t="s">
        <v>1948</v>
      </c>
      <c r="E104" s="23">
        <v>4200000</v>
      </c>
      <c r="F104" s="23">
        <v>2350000</v>
      </c>
      <c r="G104" s="23">
        <v>1550000</v>
      </c>
      <c r="H104" s="23">
        <v>1000000</v>
      </c>
    </row>
    <row r="105" spans="1:9">
      <c r="A105" s="16">
        <f t="shared" si="4"/>
        <v>86</v>
      </c>
      <c r="B105" s="18" t="s">
        <v>2004</v>
      </c>
      <c r="C105" s="18" t="s">
        <v>1896</v>
      </c>
      <c r="D105" s="18" t="s">
        <v>111</v>
      </c>
      <c r="E105" s="23">
        <v>23150000</v>
      </c>
      <c r="F105" s="23">
        <v>12950000</v>
      </c>
      <c r="G105" s="23">
        <v>8550000</v>
      </c>
      <c r="H105" s="23">
        <v>5550000</v>
      </c>
    </row>
    <row r="106" spans="1:9">
      <c r="A106" s="16">
        <f t="shared" si="4"/>
        <v>87</v>
      </c>
      <c r="B106" s="18" t="s">
        <v>1897</v>
      </c>
      <c r="C106" s="18" t="s">
        <v>1940</v>
      </c>
      <c r="D106" s="18" t="s">
        <v>70</v>
      </c>
      <c r="E106" s="23">
        <v>30150000</v>
      </c>
      <c r="F106" s="23">
        <v>16900000</v>
      </c>
      <c r="G106" s="23">
        <v>11150000</v>
      </c>
      <c r="H106" s="23">
        <v>7250000</v>
      </c>
    </row>
    <row r="107" spans="1:9">
      <c r="A107" s="16">
        <f t="shared" si="4"/>
        <v>88</v>
      </c>
      <c r="B107" s="18" t="s">
        <v>2005</v>
      </c>
      <c r="C107" s="18" t="s">
        <v>1944</v>
      </c>
      <c r="D107" s="18" t="s">
        <v>1932</v>
      </c>
      <c r="E107" s="23">
        <v>4200000</v>
      </c>
      <c r="F107" s="23">
        <v>2350000</v>
      </c>
      <c r="G107" s="23">
        <v>1550000</v>
      </c>
      <c r="H107" s="23">
        <v>1000000</v>
      </c>
    </row>
    <row r="108" spans="1:9">
      <c r="A108" s="16">
        <f t="shared" si="4"/>
        <v>89</v>
      </c>
      <c r="B108" s="18" t="s">
        <v>1933</v>
      </c>
      <c r="C108" s="18" t="s">
        <v>1902</v>
      </c>
      <c r="D108" s="18" t="s">
        <v>103</v>
      </c>
      <c r="E108" s="23">
        <v>6900000</v>
      </c>
      <c r="F108" s="23">
        <v>3850000</v>
      </c>
      <c r="G108" s="23">
        <v>2550000</v>
      </c>
      <c r="H108" s="23">
        <v>1650000</v>
      </c>
    </row>
    <row r="109" spans="1:9">
      <c r="A109" s="16">
        <v>90</v>
      </c>
      <c r="B109" s="18" t="s">
        <v>1962</v>
      </c>
      <c r="C109" s="18" t="s">
        <v>1933</v>
      </c>
      <c r="D109" s="18" t="s">
        <v>1909</v>
      </c>
      <c r="E109" s="23">
        <v>7800000</v>
      </c>
      <c r="F109" s="23">
        <v>4400000</v>
      </c>
      <c r="G109" s="23">
        <v>2900000</v>
      </c>
      <c r="H109" s="23">
        <v>1850000</v>
      </c>
    </row>
    <row r="110" spans="1:9">
      <c r="A110" s="16">
        <f t="shared" ref="A110:A113" si="5">A109+1</f>
        <v>91</v>
      </c>
      <c r="B110" s="18" t="s">
        <v>2003</v>
      </c>
      <c r="C110" s="18" t="s">
        <v>46</v>
      </c>
      <c r="D110" s="18" t="s">
        <v>111</v>
      </c>
      <c r="E110" s="23">
        <v>6900000</v>
      </c>
      <c r="F110" s="23">
        <v>3850000</v>
      </c>
      <c r="G110" s="23">
        <v>2550000</v>
      </c>
      <c r="H110" s="23">
        <v>1650000</v>
      </c>
    </row>
    <row r="111" spans="1:9">
      <c r="A111" s="16">
        <f t="shared" si="5"/>
        <v>92</v>
      </c>
      <c r="B111" s="18" t="s">
        <v>1985</v>
      </c>
      <c r="C111" s="18" t="s">
        <v>2006</v>
      </c>
      <c r="D111" s="18" t="s">
        <v>1900</v>
      </c>
      <c r="E111" s="23">
        <v>36400000</v>
      </c>
      <c r="F111" s="23">
        <v>20400000</v>
      </c>
      <c r="G111" s="23">
        <v>13450000</v>
      </c>
      <c r="H111" s="23">
        <v>8750000</v>
      </c>
    </row>
    <row r="112" spans="1:9">
      <c r="A112" s="16">
        <f t="shared" si="5"/>
        <v>93</v>
      </c>
      <c r="B112" s="18" t="s">
        <v>2007</v>
      </c>
      <c r="C112" s="18" t="s">
        <v>1976</v>
      </c>
      <c r="D112" s="18" t="s">
        <v>1937</v>
      </c>
      <c r="E112" s="23">
        <v>12850000</v>
      </c>
      <c r="F112" s="23">
        <v>7200000</v>
      </c>
      <c r="G112" s="23">
        <v>4750000</v>
      </c>
      <c r="H112" s="23">
        <v>3100000</v>
      </c>
    </row>
    <row r="113" spans="1:9">
      <c r="A113" s="16">
        <f t="shared" si="5"/>
        <v>94</v>
      </c>
      <c r="B113" s="18" t="s">
        <v>1918</v>
      </c>
      <c r="C113" s="18" t="s">
        <v>111</v>
      </c>
      <c r="D113" s="18" t="s">
        <v>1974</v>
      </c>
      <c r="E113" s="23">
        <v>6900000</v>
      </c>
      <c r="F113" s="23">
        <v>3850000</v>
      </c>
      <c r="G113" s="23">
        <v>2550000</v>
      </c>
      <c r="H113" s="23">
        <v>1650000</v>
      </c>
    </row>
    <row r="114" spans="1:9">
      <c r="A114" s="39" t="s">
        <v>136</v>
      </c>
      <c r="B114" s="15"/>
      <c r="C114" s="15"/>
      <c r="D114" s="15"/>
      <c r="E114" s="23" t="s">
        <v>16</v>
      </c>
      <c r="F114" s="23" t="s">
        <v>16</v>
      </c>
      <c r="G114" s="23" t="s">
        <v>16</v>
      </c>
      <c r="H114" s="23" t="s">
        <v>16</v>
      </c>
    </row>
    <row r="115" spans="1:9">
      <c r="A115" s="16">
        <f>A113+1</f>
        <v>95</v>
      </c>
      <c r="B115" s="221" t="s">
        <v>2008</v>
      </c>
      <c r="C115" s="18"/>
      <c r="D115" s="18"/>
      <c r="E115" s="23">
        <v>12850000</v>
      </c>
      <c r="F115" s="23">
        <v>7200000</v>
      </c>
      <c r="G115" s="23">
        <v>4750000</v>
      </c>
      <c r="H115" s="23">
        <v>3100000</v>
      </c>
    </row>
    <row r="116" ht="27.6" spans="1:9">
      <c r="A116" s="16">
        <f>A115+1</f>
        <v>96</v>
      </c>
      <c r="B116" s="221" t="s">
        <v>2009</v>
      </c>
      <c r="C116" s="18"/>
      <c r="D116" s="18"/>
      <c r="E116" s="23">
        <v>3300000</v>
      </c>
      <c r="F116" s="23">
        <v>1850000</v>
      </c>
      <c r="G116" s="23">
        <v>1200000</v>
      </c>
      <c r="H116" s="23">
        <v>800000</v>
      </c>
    </row>
    <row r="117" spans="1:9">
      <c r="A117" s="16">
        <v>97</v>
      </c>
      <c r="B117" s="221" t="s">
        <v>137</v>
      </c>
      <c r="C117" s="18"/>
      <c r="D117" s="18"/>
      <c r="E117" s="23">
        <v>2100000</v>
      </c>
      <c r="F117" s="23">
        <v>1200000</v>
      </c>
      <c r="G117" s="23">
        <v>800000</v>
      </c>
      <c r="H117" s="23">
        <v>500000</v>
      </c>
      <c r="I117" s="31" t="s">
        <v>1956</v>
      </c>
    </row>
    <row r="118" spans="1:9">
      <c r="A118" s="27"/>
      <c r="C118" s="28"/>
      <c r="D118" s="28"/>
      <c r="E118" s="23" t="s">
        <v>16</v>
      </c>
      <c r="F118" s="23" t="s">
        <v>16</v>
      </c>
      <c r="G118" s="23" t="s">
        <v>16</v>
      </c>
      <c r="H118" s="23" t="s">
        <v>16</v>
      </c>
    </row>
    <row r="119" spans="1:9">
      <c r="A119" s="27"/>
      <c r="C119" s="28"/>
      <c r="D119" s="28"/>
      <c r="E119" s="23" t="s">
        <v>16</v>
      </c>
      <c r="F119" s="23" t="s">
        <v>16</v>
      </c>
      <c r="G119" s="23" t="s">
        <v>16</v>
      </c>
      <c r="H119" s="23" t="s">
        <v>16</v>
      </c>
    </row>
    <row r="120" spans="1:9">
      <c r="A120" s="27"/>
      <c r="C120" s="28"/>
      <c r="D120" s="28"/>
      <c r="E120" s="23" t="s">
        <v>16</v>
      </c>
      <c r="F120" s="23" t="s">
        <v>16</v>
      </c>
      <c r="G120" s="23" t="s">
        <v>16</v>
      </c>
      <c r="H120" s="23" t="s">
        <v>16</v>
      </c>
    </row>
    <row r="121" spans="1:9">
      <c r="A121" s="27"/>
      <c r="C121" s="28"/>
      <c r="D121" s="28"/>
      <c r="E121" s="23" t="s">
        <v>16</v>
      </c>
      <c r="F121" s="23" t="s">
        <v>16</v>
      </c>
      <c r="G121" s="23" t="s">
        <v>16</v>
      </c>
      <c r="H121" s="23" t="s">
        <v>16</v>
      </c>
    </row>
    <row r="122" spans="1:9">
      <c r="A122" s="27"/>
      <c r="C122" s="28"/>
      <c r="D122" s="28"/>
      <c r="E122" s="23" t="s">
        <v>16</v>
      </c>
      <c r="F122" s="23" t="s">
        <v>16</v>
      </c>
      <c r="G122" s="23" t="s">
        <v>16</v>
      </c>
      <c r="H122" s="23" t="s">
        <v>16</v>
      </c>
    </row>
    <row r="123" spans="1:9">
      <c r="A123" s="27"/>
      <c r="C123" s="28"/>
      <c r="D123" s="28"/>
      <c r="E123" s="23" t="s">
        <v>16</v>
      </c>
      <c r="F123" s="23" t="s">
        <v>16</v>
      </c>
      <c r="G123" s="23" t="s">
        <v>16</v>
      </c>
      <c r="H123" s="23" t="s">
        <v>16</v>
      </c>
    </row>
    <row r="124" spans="1:9">
      <c r="A124" s="27"/>
      <c r="C124" s="28"/>
      <c r="D124" s="28"/>
      <c r="E124" s="23" t="s">
        <v>16</v>
      </c>
      <c r="F124" s="23" t="s">
        <v>16</v>
      </c>
      <c r="G124" s="23" t="s">
        <v>16</v>
      </c>
      <c r="H124" s="23" t="s">
        <v>16</v>
      </c>
    </row>
    <row r="125" spans="1:9">
      <c r="A125" s="27"/>
      <c r="C125" s="28"/>
      <c r="D125" s="28"/>
      <c r="E125" s="23" t="s">
        <v>16</v>
      </c>
      <c r="F125" s="23" t="s">
        <v>16</v>
      </c>
      <c r="G125" s="23" t="s">
        <v>16</v>
      </c>
      <c r="H125" s="23" t="s">
        <v>16</v>
      </c>
    </row>
    <row r="126" spans="1:9">
      <c r="A126" s="27"/>
      <c r="C126" s="28"/>
      <c r="D126" s="28"/>
      <c r="E126" s="23" t="s">
        <v>16</v>
      </c>
      <c r="F126" s="23" t="s">
        <v>16</v>
      </c>
      <c r="G126" s="23" t="s">
        <v>16</v>
      </c>
      <c r="H126" s="23" t="s">
        <v>16</v>
      </c>
    </row>
    <row r="127" spans="1:9">
      <c r="A127" s="27"/>
      <c r="C127" s="28"/>
      <c r="D127" s="28"/>
      <c r="E127" s="23" t="s">
        <v>16</v>
      </c>
      <c r="F127" s="23" t="s">
        <v>16</v>
      </c>
      <c r="G127" s="23" t="s">
        <v>16</v>
      </c>
      <c r="H127" s="23" t="s">
        <v>16</v>
      </c>
    </row>
    <row r="128" spans="1:9">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t="s">
        <v>16</v>
      </c>
      <c r="F201" s="23" t="s">
        <v>16</v>
      </c>
      <c r="G201" s="23" t="s">
        <v>16</v>
      </c>
      <c r="H201" s="23" t="s">
        <v>16</v>
      </c>
    </row>
    <row r="202" spans="1:8">
      <c r="A202" s="27"/>
      <c r="C202" s="28"/>
      <c r="D202" s="28"/>
      <c r="E202" s="23" t="s">
        <v>16</v>
      </c>
      <c r="F202" s="23" t="s">
        <v>16</v>
      </c>
      <c r="G202" s="23" t="s">
        <v>16</v>
      </c>
      <c r="H202" s="23" t="s">
        <v>16</v>
      </c>
    </row>
    <row r="203" spans="1:8">
      <c r="A203" s="27"/>
      <c r="C203" s="28"/>
      <c r="D203" s="28"/>
      <c r="E203" s="23" t="s">
        <v>16</v>
      </c>
      <c r="F203" s="23" t="s">
        <v>16</v>
      </c>
      <c r="G203" s="23" t="s">
        <v>16</v>
      </c>
      <c r="H203" s="23" t="s">
        <v>16</v>
      </c>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44"/>
      <c r="F222" s="44"/>
      <c r="G222" s="44"/>
      <c r="H222" s="44"/>
    </row>
    <row r="223" spans="1:8">
      <c r="A223" s="27"/>
      <c r="C223" s="28"/>
      <c r="D223" s="28"/>
      <c r="E223" s="44"/>
      <c r="F223" s="44"/>
      <c r="G223" s="44"/>
      <c r="H223" s="44"/>
    </row>
    <row r="224" spans="1:8">
      <c r="A224" s="27"/>
      <c r="C224" s="28"/>
      <c r="D224" s="28"/>
      <c r="E224" s="44"/>
      <c r="F224" s="44"/>
      <c r="G224" s="44"/>
      <c r="H224" s="44"/>
    </row>
    <row r="225" spans="1:8">
      <c r="A225" s="27"/>
      <c r="C225" s="28"/>
      <c r="D225" s="28"/>
      <c r="E225" s="44"/>
      <c r="F225" s="44"/>
      <c r="G225" s="44"/>
      <c r="H225" s="44"/>
    </row>
    <row r="226" spans="1:8">
      <c r="A226" s="27"/>
      <c r="C226" s="28"/>
      <c r="D226" s="28"/>
      <c r="E226" s="44"/>
      <c r="F226" s="44"/>
      <c r="G226" s="44"/>
      <c r="H226" s="44"/>
    </row>
    <row r="227" spans="1:8">
      <c r="A227" s="27"/>
      <c r="C227" s="28"/>
      <c r="D227" s="28"/>
      <c r="E227" s="44"/>
      <c r="F227" s="44"/>
      <c r="G227" s="44"/>
      <c r="H227" s="44"/>
    </row>
    <row r="228" spans="1:8">
      <c r="A228" s="27"/>
      <c r="C228" s="28"/>
      <c r="D228" s="28"/>
      <c r="E228" s="44"/>
      <c r="F228" s="44"/>
      <c r="G228" s="44"/>
      <c r="H228" s="44"/>
    </row>
    <row r="229" spans="1:8">
      <c r="A229" s="27"/>
      <c r="C229" s="28"/>
      <c r="D229" s="28"/>
      <c r="E229" s="44"/>
      <c r="F229" s="44"/>
      <c r="G229" s="44"/>
      <c r="H229" s="44"/>
    </row>
    <row r="230" spans="1:8">
      <c r="A230" s="27"/>
      <c r="C230" s="28"/>
      <c r="D230" s="28"/>
      <c r="E230" s="44"/>
      <c r="F230" s="44"/>
      <c r="G230" s="44"/>
      <c r="H230" s="44"/>
    </row>
    <row r="231" spans="1:8">
      <c r="A231" s="27"/>
      <c r="C231" s="28"/>
      <c r="D231" s="28"/>
      <c r="E231" s="44"/>
      <c r="F231" s="44"/>
      <c r="G231" s="44"/>
      <c r="H231" s="44"/>
    </row>
    <row r="232" spans="1:8">
      <c r="A232" s="27"/>
      <c r="C232" s="28"/>
      <c r="D232" s="28"/>
      <c r="E232" s="44"/>
      <c r="F232" s="44"/>
      <c r="G232" s="44"/>
      <c r="H232" s="44"/>
    </row>
    <row r="233" spans="1:8">
      <c r="A233" s="27"/>
      <c r="C233" s="28"/>
      <c r="D233" s="28"/>
      <c r="E233" s="44"/>
      <c r="F233" s="44"/>
      <c r="G233" s="44"/>
      <c r="H233" s="44"/>
    </row>
    <row r="234" spans="1:8">
      <c r="A234" s="27"/>
      <c r="C234" s="28"/>
      <c r="D234" s="28"/>
      <c r="E234" s="44"/>
      <c r="F234" s="44"/>
      <c r="G234" s="44"/>
      <c r="H234" s="44"/>
    </row>
    <row r="235" spans="1:8">
      <c r="A235" s="27"/>
      <c r="C235" s="28"/>
      <c r="D235" s="28"/>
      <c r="E235" s="44"/>
      <c r="F235" s="44"/>
      <c r="G235" s="44"/>
      <c r="H235" s="44"/>
    </row>
    <row r="236" spans="1:8">
      <c r="A236" s="27"/>
      <c r="C236" s="28"/>
      <c r="D236" s="28"/>
      <c r="E236" s="44"/>
      <c r="F236" s="44"/>
      <c r="G236" s="44"/>
      <c r="H236" s="44"/>
    </row>
    <row r="237" spans="1:8">
      <c r="A237" s="27"/>
      <c r="C237" s="28"/>
      <c r="D237" s="28"/>
      <c r="E237" s="44"/>
      <c r="F237" s="44"/>
      <c r="G237" s="44"/>
      <c r="H237" s="44"/>
    </row>
    <row r="238" spans="1:8">
      <c r="A238" s="27"/>
      <c r="C238" s="28"/>
      <c r="D238" s="28"/>
      <c r="E238" s="44"/>
      <c r="F238" s="44"/>
      <c r="G238" s="44"/>
      <c r="H238" s="44"/>
    </row>
    <row r="239" spans="1:8">
      <c r="A239" s="27"/>
      <c r="C239" s="28"/>
      <c r="D239" s="28"/>
      <c r="E239" s="44"/>
      <c r="F239" s="44"/>
      <c r="G239" s="44"/>
      <c r="H239" s="44"/>
    </row>
    <row r="240" spans="1:8">
      <c r="A240" s="27"/>
      <c r="C240" s="28"/>
      <c r="D240" s="28"/>
      <c r="E240" s="44"/>
      <c r="F240" s="44"/>
      <c r="G240" s="44"/>
      <c r="H240" s="44"/>
    </row>
    <row r="241" spans="1:8">
      <c r="A241" s="27"/>
      <c r="C241" s="28"/>
      <c r="D241" s="28"/>
      <c r="E241" s="44"/>
      <c r="F241" s="44"/>
      <c r="G241" s="44"/>
      <c r="H241" s="44"/>
    </row>
    <row r="242" spans="1:8">
      <c r="A242" s="27"/>
      <c r="C242" s="28"/>
      <c r="D242" s="28"/>
      <c r="E242" s="44"/>
      <c r="F242" s="44"/>
      <c r="G242" s="44"/>
      <c r="H242" s="44"/>
    </row>
    <row r="243" spans="1:8">
      <c r="A243" s="27"/>
      <c r="C243" s="28"/>
      <c r="D243" s="28"/>
      <c r="E243" s="44"/>
      <c r="F243" s="44"/>
      <c r="G243" s="44"/>
      <c r="H243" s="44"/>
    </row>
    <row r="244" spans="1:8">
      <c r="A244" s="27"/>
      <c r="C244" s="28"/>
      <c r="D244" s="28"/>
      <c r="E244" s="44"/>
      <c r="F244" s="44"/>
      <c r="G244" s="44"/>
      <c r="H244" s="44"/>
    </row>
    <row r="245" spans="1:8">
      <c r="A245" s="27"/>
      <c r="C245" s="28"/>
      <c r="D245" s="28"/>
      <c r="E245" s="44"/>
      <c r="F245" s="44"/>
      <c r="G245" s="44"/>
      <c r="H245" s="44"/>
    </row>
    <row r="246" spans="1:8">
      <c r="A246" s="27"/>
      <c r="C246" s="28"/>
      <c r="D246" s="28"/>
      <c r="E246" s="44"/>
      <c r="F246" s="44"/>
      <c r="G246" s="44"/>
      <c r="H246" s="44"/>
    </row>
    <row r="247" spans="1:8">
      <c r="A247" s="27"/>
      <c r="C247" s="28"/>
      <c r="D247" s="28"/>
      <c r="E247" s="44"/>
      <c r="F247" s="44"/>
      <c r="G247" s="44"/>
      <c r="H247" s="44"/>
    </row>
    <row r="248" spans="1:8">
      <c r="A248" s="27"/>
      <c r="C248" s="28"/>
      <c r="D248" s="28"/>
      <c r="E248" s="44"/>
      <c r="F248" s="44"/>
      <c r="G248" s="44"/>
      <c r="H248" s="44"/>
    </row>
    <row r="249" spans="1:8">
      <c r="A249" s="27"/>
      <c r="C249" s="28"/>
      <c r="D249" s="28"/>
      <c r="E249" s="44"/>
      <c r="F249" s="44"/>
      <c r="G249" s="44"/>
      <c r="H249" s="44"/>
    </row>
    <row r="250" spans="1:8">
      <c r="A250" s="27"/>
      <c r="C250" s="28"/>
      <c r="D250" s="28"/>
      <c r="E250" s="44"/>
      <c r="F250" s="44"/>
      <c r="G250" s="44"/>
      <c r="H250" s="44"/>
    </row>
    <row r="251" spans="1:8">
      <c r="A251" s="27"/>
      <c r="C251" s="28"/>
      <c r="D251" s="28"/>
      <c r="E251" s="44"/>
      <c r="F251" s="44"/>
      <c r="G251" s="44"/>
      <c r="H251" s="44"/>
    </row>
    <row r="252" spans="1:8">
      <c r="A252" s="27"/>
      <c r="C252" s="28"/>
      <c r="D252" s="28"/>
      <c r="E252" s="44"/>
      <c r="F252" s="44"/>
      <c r="G252" s="44"/>
      <c r="H252" s="44"/>
    </row>
    <row r="253" spans="1:8">
      <c r="A253" s="27"/>
      <c r="C253" s="28"/>
      <c r="D253" s="28"/>
      <c r="E253" s="44"/>
      <c r="F253" s="44"/>
      <c r="G253" s="44"/>
      <c r="H253" s="44"/>
    </row>
    <row r="254" spans="1:8">
      <c r="A254" s="27"/>
      <c r="C254" s="28"/>
      <c r="D254" s="28"/>
      <c r="E254" s="44"/>
      <c r="F254" s="44"/>
      <c r="G254" s="44"/>
      <c r="H254" s="44"/>
    </row>
    <row r="255" spans="1:8">
      <c r="A255" s="27"/>
      <c r="C255" s="28"/>
      <c r="D255" s="28"/>
      <c r="E255" s="44"/>
      <c r="F255" s="44"/>
      <c r="G255" s="44"/>
      <c r="H255" s="44"/>
    </row>
    <row r="256" spans="1:8">
      <c r="A256" s="27"/>
      <c r="C256" s="28"/>
      <c r="D256" s="28"/>
      <c r="E256" s="44"/>
      <c r="F256" s="44"/>
      <c r="G256" s="44"/>
      <c r="H256" s="44"/>
    </row>
    <row r="257" spans="1:8">
      <c r="A257" s="27"/>
      <c r="C257" s="28"/>
      <c r="D257" s="28"/>
      <c r="E257" s="44"/>
      <c r="F257" s="44"/>
      <c r="G257" s="44"/>
      <c r="H257" s="44"/>
    </row>
    <row r="258" spans="1:8">
      <c r="A258" s="27"/>
      <c r="C258" s="28"/>
      <c r="D258" s="28"/>
      <c r="E258" s="44"/>
      <c r="F258" s="44"/>
      <c r="G258" s="44"/>
      <c r="H258" s="44"/>
    </row>
    <row r="259" spans="1:8">
      <c r="A259" s="27"/>
      <c r="C259" s="28"/>
      <c r="D259" s="28"/>
      <c r="E259" s="44"/>
      <c r="F259" s="44"/>
      <c r="G259" s="44"/>
      <c r="H259" s="44"/>
    </row>
    <row r="260" spans="1:8">
      <c r="A260" s="27"/>
      <c r="C260" s="28"/>
      <c r="D260" s="28"/>
      <c r="E260" s="44"/>
      <c r="F260" s="44"/>
      <c r="G260" s="44"/>
      <c r="H260" s="44"/>
    </row>
    <row r="261" spans="1:8">
      <c r="A261" s="27"/>
      <c r="C261" s="28"/>
      <c r="D261" s="28"/>
      <c r="E261" s="44"/>
      <c r="F261" s="44"/>
      <c r="G261" s="44"/>
      <c r="H261" s="44"/>
    </row>
    <row r="262" spans="1:8">
      <c r="A262" s="27"/>
      <c r="C262" s="28"/>
      <c r="D262" s="28"/>
      <c r="E262" s="44"/>
      <c r="F262" s="44"/>
      <c r="G262" s="44"/>
      <c r="H262" s="44"/>
    </row>
    <row r="263" spans="1:8">
      <c r="A263" s="27"/>
      <c r="C263" s="28"/>
      <c r="D263" s="28"/>
      <c r="E263" s="44"/>
      <c r="F263" s="44"/>
      <c r="G263" s="44"/>
      <c r="H263" s="44"/>
    </row>
    <row r="264" spans="1:8">
      <c r="A264" s="27"/>
      <c r="C264" s="28"/>
      <c r="D264" s="28"/>
      <c r="E264" s="44"/>
      <c r="F264" s="44"/>
      <c r="G264" s="44"/>
      <c r="H264" s="44"/>
    </row>
    <row r="265" spans="1:8">
      <c r="A265" s="27"/>
      <c r="C265" s="28"/>
      <c r="D265" s="28"/>
      <c r="E265" s="44"/>
      <c r="F265" s="44"/>
      <c r="G265" s="44"/>
      <c r="H265" s="44"/>
    </row>
    <row r="266" spans="1:8">
      <c r="A266" s="27"/>
      <c r="C266" s="28"/>
      <c r="D266" s="28"/>
      <c r="E266" s="44"/>
      <c r="F266" s="44"/>
      <c r="G266" s="44"/>
      <c r="H266" s="44"/>
    </row>
    <row r="267" spans="1:8">
      <c r="A267" s="27"/>
      <c r="C267" s="28"/>
      <c r="D267" s="28"/>
      <c r="E267" s="44"/>
      <c r="F267" s="44"/>
      <c r="G267" s="44"/>
      <c r="H267" s="44"/>
    </row>
    <row r="268" spans="1:8">
      <c r="A268" s="27"/>
      <c r="C268" s="28"/>
      <c r="D268" s="28"/>
      <c r="E268" s="44"/>
      <c r="F268" s="44"/>
      <c r="G268" s="44"/>
      <c r="H268" s="44"/>
    </row>
    <row r="269" spans="1:8">
      <c r="A269" s="27"/>
      <c r="C269" s="28"/>
      <c r="D269" s="28"/>
      <c r="E269" s="44"/>
      <c r="F269" s="44"/>
      <c r="G269" s="44"/>
      <c r="H269" s="44"/>
    </row>
    <row r="270" spans="1:8">
      <c r="A270" s="27"/>
      <c r="C270" s="28"/>
      <c r="D270" s="28"/>
      <c r="E270" s="44"/>
      <c r="F270" s="44"/>
      <c r="G270" s="44"/>
      <c r="H270" s="44"/>
    </row>
    <row r="271" spans="1:8">
      <c r="A271" s="27"/>
      <c r="C271" s="28"/>
      <c r="D271" s="28"/>
      <c r="E271" s="44"/>
      <c r="F271" s="44"/>
      <c r="G271" s="44"/>
      <c r="H271" s="44"/>
    </row>
    <row r="272" spans="1:8">
      <c r="A272" s="27"/>
      <c r="C272" s="28"/>
      <c r="D272" s="28"/>
      <c r="E272" s="44"/>
      <c r="F272" s="44"/>
      <c r="G272" s="44"/>
      <c r="H272" s="44"/>
    </row>
    <row r="273" spans="1:8">
      <c r="A273" s="27"/>
      <c r="C273" s="28"/>
      <c r="D273" s="28"/>
      <c r="E273" s="44"/>
      <c r="F273" s="44"/>
      <c r="G273" s="44"/>
      <c r="H273" s="44"/>
    </row>
    <row r="274" spans="1:8">
      <c r="A274" s="27"/>
      <c r="C274" s="28"/>
      <c r="D274" s="28"/>
      <c r="E274" s="44"/>
      <c r="F274" s="44"/>
      <c r="G274" s="44"/>
      <c r="H274" s="44"/>
    </row>
    <row r="275" spans="1:8">
      <c r="A275" s="27"/>
      <c r="C275" s="28"/>
      <c r="D275" s="28"/>
      <c r="E275" s="44"/>
      <c r="F275" s="44"/>
      <c r="G275" s="44"/>
      <c r="H275" s="44"/>
    </row>
    <row r="276" spans="1:8">
      <c r="A276" s="27"/>
      <c r="C276" s="28"/>
      <c r="D276" s="28"/>
      <c r="E276" s="44"/>
      <c r="F276" s="44"/>
      <c r="G276" s="44"/>
      <c r="H276" s="44"/>
    </row>
    <row r="277" spans="1:8">
      <c r="A277" s="27"/>
      <c r="C277" s="28"/>
      <c r="D277" s="28"/>
      <c r="E277" s="44"/>
      <c r="F277" s="44"/>
      <c r="G277" s="44"/>
      <c r="H277" s="44"/>
    </row>
    <row r="278" spans="1:8">
      <c r="A278" s="27"/>
      <c r="C278" s="28"/>
      <c r="D278" s="28"/>
      <c r="E278" s="44"/>
      <c r="F278" s="44"/>
      <c r="G278" s="44"/>
      <c r="H278" s="44"/>
    </row>
    <row r="279" spans="1:8">
      <c r="A279" s="27"/>
      <c r="C279" s="28"/>
      <c r="D279" s="28"/>
      <c r="E279" s="44"/>
      <c r="F279" s="44"/>
      <c r="G279" s="44"/>
      <c r="H279" s="44"/>
    </row>
    <row r="280" spans="1:8">
      <c r="A280" s="27"/>
      <c r="C280" s="28"/>
      <c r="D280" s="28"/>
      <c r="E280" s="44"/>
      <c r="F280" s="44"/>
      <c r="G280" s="44"/>
      <c r="H280" s="44"/>
    </row>
    <row r="281" spans="1:8">
      <c r="A281" s="27"/>
      <c r="C281" s="28"/>
      <c r="D281" s="28"/>
      <c r="E281" s="44"/>
      <c r="F281" s="44"/>
      <c r="G281" s="44"/>
      <c r="H281" s="44"/>
    </row>
    <row r="282" spans="1:8">
      <c r="A282" s="27"/>
      <c r="C282" s="28"/>
      <c r="D282" s="28"/>
      <c r="E282" s="44"/>
      <c r="F282" s="44"/>
      <c r="G282" s="44"/>
      <c r="H282" s="44"/>
    </row>
    <row r="283" spans="1:8">
      <c r="A283" s="27"/>
      <c r="C283" s="28"/>
      <c r="D283" s="28"/>
      <c r="E283" s="44"/>
      <c r="F283" s="44"/>
      <c r="G283" s="44"/>
      <c r="H283" s="44"/>
    </row>
    <row r="284" spans="1:8">
      <c r="A284" s="27"/>
      <c r="C284" s="28"/>
      <c r="D284" s="28"/>
      <c r="E284" s="44"/>
      <c r="F284" s="44"/>
      <c r="G284" s="44"/>
      <c r="H284" s="44"/>
    </row>
    <row r="285" spans="1:8">
      <c r="A285" s="27"/>
      <c r="C285" s="28"/>
      <c r="D285" s="28"/>
      <c r="E285" s="44"/>
      <c r="F285" s="44"/>
      <c r="G285" s="44"/>
      <c r="H285" s="44"/>
    </row>
    <row r="286" spans="1:8">
      <c r="A286" s="27"/>
      <c r="C286" s="28"/>
      <c r="D286" s="28"/>
      <c r="E286" s="44"/>
      <c r="F286" s="44"/>
      <c r="G286" s="44"/>
      <c r="H286" s="44"/>
    </row>
    <row r="287" spans="1:8">
      <c r="A287" s="27"/>
      <c r="C287" s="28"/>
      <c r="D287" s="28"/>
      <c r="E287" s="44"/>
      <c r="F287" s="44"/>
      <c r="G287" s="44"/>
      <c r="H287" s="44"/>
    </row>
    <row r="288" spans="1:8">
      <c r="A288" s="27"/>
      <c r="C288" s="28"/>
      <c r="D288" s="28"/>
      <c r="E288" s="44"/>
      <c r="F288" s="44"/>
      <c r="G288" s="44"/>
      <c r="H288" s="44"/>
    </row>
    <row r="289" spans="1:8">
      <c r="A289" s="27"/>
      <c r="C289" s="28"/>
      <c r="D289" s="28"/>
      <c r="E289" s="44"/>
      <c r="F289" s="44"/>
      <c r="G289" s="44"/>
      <c r="H289" s="44"/>
    </row>
    <row r="290" spans="1:8">
      <c r="A290" s="27"/>
      <c r="C290" s="28"/>
      <c r="D290" s="28"/>
      <c r="E290" s="44"/>
      <c r="F290" s="44"/>
      <c r="G290" s="44"/>
      <c r="H290" s="44"/>
    </row>
    <row r="291" spans="1:8">
      <c r="A291" s="27"/>
      <c r="C291" s="28"/>
      <c r="D291" s="28"/>
      <c r="E291" s="44"/>
      <c r="F291" s="44"/>
      <c r="G291" s="44"/>
      <c r="H291" s="44"/>
    </row>
    <row r="292" spans="1:8">
      <c r="A292" s="27"/>
      <c r="C292" s="28"/>
      <c r="D292" s="28"/>
      <c r="E292" s="44"/>
      <c r="F292" s="44"/>
      <c r="G292" s="44"/>
      <c r="H292" s="44"/>
    </row>
    <row r="293" spans="1:8">
      <c r="A293" s="27"/>
      <c r="C293" s="28"/>
      <c r="D293" s="28"/>
      <c r="E293" s="44"/>
      <c r="F293" s="44"/>
      <c r="G293" s="44"/>
      <c r="H293" s="44"/>
    </row>
    <row r="294" spans="1:8">
      <c r="A294" s="27"/>
      <c r="C294" s="28"/>
      <c r="D294" s="28"/>
      <c r="E294" s="44"/>
      <c r="F294" s="44"/>
      <c r="G294" s="44"/>
      <c r="H294" s="44"/>
    </row>
    <row r="295" spans="1:8">
      <c r="A295" s="27"/>
      <c r="C295" s="28"/>
      <c r="D295" s="28"/>
      <c r="E295" s="44"/>
      <c r="F295" s="44"/>
      <c r="G295" s="44"/>
      <c r="H295" s="44"/>
    </row>
    <row r="296" spans="1:8">
      <c r="A296" s="27"/>
      <c r="C296" s="28"/>
      <c r="D296" s="28"/>
      <c r="E296" s="44"/>
      <c r="F296" s="44"/>
      <c r="G296" s="44"/>
      <c r="H296" s="44"/>
    </row>
    <row r="297" spans="1:8">
      <c r="A297" s="27"/>
      <c r="C297" s="28"/>
      <c r="D297" s="28"/>
      <c r="E297" s="44"/>
      <c r="F297" s="44"/>
      <c r="G297" s="44"/>
      <c r="H297" s="44"/>
    </row>
    <row r="298" spans="1:8">
      <c r="A298" s="27"/>
      <c r="C298" s="28"/>
      <c r="D298" s="28"/>
      <c r="E298" s="44"/>
      <c r="F298" s="44"/>
      <c r="G298" s="44"/>
      <c r="H298" s="44"/>
    </row>
    <row r="299" spans="1:8">
      <c r="A299" s="27"/>
      <c r="C299" s="28"/>
      <c r="D299" s="28"/>
      <c r="E299" s="44"/>
      <c r="F299" s="44"/>
      <c r="G299" s="44"/>
      <c r="H299" s="44"/>
    </row>
    <row r="300" spans="1:8">
      <c r="A300" s="27"/>
      <c r="C300" s="28"/>
      <c r="D300" s="28"/>
      <c r="E300" s="44"/>
      <c r="F300" s="44"/>
      <c r="G300" s="44"/>
      <c r="H300" s="44"/>
    </row>
    <row r="301" spans="1:8">
      <c r="A301" s="27"/>
      <c r="C301" s="28"/>
      <c r="D301" s="28"/>
      <c r="E301" s="44"/>
      <c r="F301" s="44"/>
      <c r="G301" s="44"/>
      <c r="H301" s="44"/>
    </row>
    <row r="302" spans="1:8">
      <c r="A302" s="27"/>
      <c r="C302" s="28"/>
      <c r="D302" s="28"/>
      <c r="E302" s="44"/>
      <c r="F302" s="44"/>
      <c r="G302" s="44"/>
      <c r="H302" s="44"/>
    </row>
    <row r="303" spans="1:8">
      <c r="A303" s="27"/>
      <c r="C303" s="28"/>
      <c r="D303" s="28"/>
      <c r="E303" s="44"/>
      <c r="F303" s="44"/>
      <c r="G303" s="44"/>
      <c r="H303" s="44"/>
    </row>
    <row r="304" spans="1:8">
      <c r="A304" s="27"/>
      <c r="C304" s="28"/>
      <c r="D304" s="28"/>
      <c r="E304" s="44"/>
      <c r="F304" s="44"/>
      <c r="G304" s="44"/>
      <c r="H304" s="44"/>
    </row>
    <row r="305" spans="1:8">
      <c r="A305" s="27"/>
      <c r="C305" s="28"/>
      <c r="D305" s="28"/>
      <c r="E305" s="44"/>
      <c r="F305" s="44"/>
      <c r="G305" s="44"/>
      <c r="H305" s="44"/>
    </row>
    <row r="306" spans="1:8">
      <c r="A306" s="27"/>
      <c r="C306" s="28"/>
      <c r="D306" s="28"/>
      <c r="E306" s="44"/>
      <c r="F306" s="44"/>
      <c r="G306" s="44"/>
      <c r="H306" s="44"/>
    </row>
    <row r="307" spans="1:8">
      <c r="A307" s="27"/>
      <c r="C307" s="28"/>
      <c r="D307" s="28"/>
      <c r="E307" s="44"/>
      <c r="F307" s="44"/>
      <c r="G307" s="44"/>
      <c r="H307" s="44"/>
    </row>
    <row r="308" spans="1:8">
      <c r="A308" s="27"/>
      <c r="C308" s="28"/>
      <c r="D308" s="28"/>
      <c r="E308" s="44"/>
      <c r="F308" s="44"/>
      <c r="G308" s="44"/>
      <c r="H308" s="44"/>
    </row>
    <row r="309" spans="1:8">
      <c r="A309" s="27"/>
      <c r="C309" s="28"/>
      <c r="D309" s="28"/>
      <c r="E309" s="44"/>
      <c r="F309" s="44"/>
      <c r="G309" s="44"/>
      <c r="H309" s="44"/>
    </row>
    <row r="310" spans="1:8">
      <c r="A310" s="27"/>
      <c r="C310" s="28"/>
      <c r="D310" s="28"/>
      <c r="E310" s="44"/>
      <c r="F310" s="44"/>
      <c r="G310" s="44"/>
      <c r="H310" s="44"/>
    </row>
    <row r="311" spans="1:8">
      <c r="A311" s="27"/>
      <c r="C311" s="28"/>
      <c r="D311" s="28"/>
      <c r="E311" s="44"/>
      <c r="F311" s="44"/>
      <c r="G311" s="44"/>
      <c r="H311" s="44"/>
    </row>
    <row r="312" spans="1:8">
      <c r="A312" s="27"/>
      <c r="C312" s="28"/>
      <c r="D312" s="28"/>
      <c r="E312" s="44"/>
      <c r="F312" s="44"/>
      <c r="G312" s="44"/>
      <c r="H312" s="44"/>
    </row>
    <row r="313" spans="1:8">
      <c r="A313" s="27"/>
      <c r="C313" s="28"/>
      <c r="D313" s="28"/>
      <c r="E313" s="44"/>
      <c r="F313" s="44"/>
      <c r="G313" s="44"/>
      <c r="H313" s="44"/>
    </row>
    <row r="314" spans="1:8">
      <c r="A314" s="27"/>
      <c r="C314" s="28"/>
      <c r="D314" s="28"/>
      <c r="E314" s="44"/>
      <c r="F314" s="44"/>
      <c r="G314" s="44"/>
      <c r="H314" s="44"/>
    </row>
    <row r="315" spans="1:8">
      <c r="A315" s="27"/>
      <c r="C315" s="28"/>
      <c r="D315" s="28"/>
      <c r="E315" s="44"/>
      <c r="F315" s="44"/>
      <c r="G315" s="44"/>
      <c r="H315" s="44"/>
    </row>
    <row r="316" spans="1:8">
      <c r="A316" s="27"/>
      <c r="C316" s="28"/>
      <c r="D316" s="28"/>
      <c r="E316" s="44"/>
      <c r="F316" s="44"/>
      <c r="G316" s="44"/>
      <c r="H316" s="44"/>
    </row>
    <row r="317" spans="1:8">
      <c r="A317" s="27"/>
      <c r="C317" s="28"/>
      <c r="D317" s="28"/>
      <c r="E317" s="44"/>
      <c r="F317" s="44"/>
      <c r="G317" s="44"/>
      <c r="H317" s="44"/>
    </row>
    <row r="318" spans="1:8">
      <c r="A318" s="27"/>
      <c r="C318" s="28"/>
      <c r="D318" s="28"/>
      <c r="E318" s="44"/>
      <c r="F318" s="44"/>
      <c r="G318" s="44"/>
      <c r="H318" s="44"/>
    </row>
    <row r="319" spans="1:8">
      <c r="A319" s="27"/>
      <c r="C319" s="28"/>
      <c r="D319" s="28"/>
      <c r="E319" s="44"/>
      <c r="F319" s="44"/>
      <c r="G319" s="44"/>
      <c r="H319" s="44"/>
    </row>
    <row r="320" spans="1:8">
      <c r="A320" s="27"/>
      <c r="C320" s="28"/>
      <c r="D320" s="28"/>
      <c r="E320" s="44"/>
      <c r="F320" s="44"/>
      <c r="G320" s="44"/>
      <c r="H320" s="44"/>
    </row>
    <row r="321" spans="1:8">
      <c r="A321" s="27"/>
      <c r="C321" s="28"/>
      <c r="D321" s="28"/>
      <c r="E321" s="44"/>
      <c r="F321" s="44"/>
      <c r="G321" s="44"/>
      <c r="H321" s="44"/>
    </row>
    <row r="322" spans="1:8">
      <c r="A322" s="27"/>
      <c r="C322" s="28"/>
      <c r="D322" s="28"/>
      <c r="E322" s="44"/>
      <c r="F322" s="44"/>
      <c r="G322" s="44"/>
      <c r="H322" s="44"/>
    </row>
    <row r="323" spans="1:8">
      <c r="A323" s="27"/>
      <c r="C323" s="28"/>
      <c r="D323" s="28"/>
      <c r="E323" s="44"/>
      <c r="F323" s="44"/>
      <c r="G323" s="44"/>
      <c r="H323" s="44"/>
    </row>
    <row r="324" spans="1:8">
      <c r="A324" s="27"/>
      <c r="C324" s="28"/>
      <c r="D324" s="28"/>
      <c r="E324" s="44"/>
      <c r="F324" s="44"/>
      <c r="G324" s="44"/>
      <c r="H324" s="44"/>
    </row>
    <row r="325" spans="1:8">
      <c r="A325" s="27"/>
      <c r="C325" s="28"/>
      <c r="D325" s="28"/>
      <c r="E325" s="44"/>
      <c r="F325" s="44"/>
      <c r="G325" s="44"/>
      <c r="H325" s="44"/>
    </row>
    <row r="326" spans="1:8">
      <c r="A326" s="27"/>
      <c r="C326" s="28"/>
      <c r="D326" s="28"/>
      <c r="E326" s="44"/>
      <c r="F326" s="44"/>
      <c r="G326" s="44"/>
      <c r="H326" s="44"/>
    </row>
    <row r="327" spans="1:8">
      <c r="A327" s="27"/>
      <c r="C327" s="28"/>
      <c r="D327" s="28"/>
      <c r="E327" s="44"/>
      <c r="F327" s="44"/>
      <c r="G327" s="44"/>
      <c r="H327" s="44"/>
    </row>
    <row r="328" spans="1:8">
      <c r="A328" s="27"/>
      <c r="C328" s="28"/>
      <c r="D328" s="28"/>
      <c r="E328" s="44"/>
      <c r="F328" s="44"/>
      <c r="G328" s="44"/>
      <c r="H328" s="44"/>
    </row>
    <row r="329" spans="1:8">
      <c r="A329" s="27"/>
      <c r="C329" s="28"/>
      <c r="D329" s="28"/>
      <c r="E329" s="44"/>
      <c r="F329" s="44"/>
      <c r="G329" s="44"/>
      <c r="H329" s="44"/>
    </row>
    <row r="330" spans="1:8">
      <c r="A330" s="27"/>
      <c r="C330" s="28"/>
      <c r="D330" s="28"/>
      <c r="E330" s="44"/>
      <c r="F330" s="44"/>
      <c r="G330" s="44"/>
      <c r="H330" s="44"/>
    </row>
    <row r="331" spans="1:8">
      <c r="A331" s="27"/>
      <c r="C331" s="28"/>
      <c r="D331" s="28"/>
      <c r="E331" s="44"/>
      <c r="F331" s="44"/>
      <c r="G331" s="44"/>
      <c r="H331" s="44"/>
    </row>
    <row r="332" spans="1:8">
      <c r="A332" s="27"/>
      <c r="C332" s="28"/>
      <c r="D332" s="28"/>
      <c r="E332" s="44"/>
      <c r="F332" s="44"/>
      <c r="G332" s="44"/>
      <c r="H332" s="44"/>
    </row>
    <row r="333" spans="1:8">
      <c r="A333" s="27"/>
      <c r="C333" s="28"/>
      <c r="D333" s="28"/>
      <c r="E333" s="44"/>
      <c r="F333" s="44"/>
      <c r="G333" s="44"/>
      <c r="H333" s="44"/>
    </row>
    <row r="334" spans="1:8">
      <c r="A334" s="27"/>
      <c r="C334" s="28"/>
      <c r="D334" s="28"/>
      <c r="E334" s="44"/>
      <c r="F334" s="44"/>
      <c r="G334" s="44"/>
      <c r="H334" s="44"/>
    </row>
    <row r="335" spans="1:8">
      <c r="A335" s="27"/>
      <c r="C335" s="28"/>
      <c r="D335" s="28"/>
      <c r="E335" s="44"/>
      <c r="F335" s="44"/>
      <c r="G335" s="44"/>
      <c r="H335" s="44"/>
    </row>
    <row r="336" spans="1:8">
      <c r="A336" s="27"/>
      <c r="C336" s="28"/>
      <c r="D336" s="28"/>
      <c r="E336" s="44"/>
      <c r="F336" s="44"/>
      <c r="G336" s="44"/>
      <c r="H336" s="44"/>
    </row>
    <row r="337" spans="1:8">
      <c r="A337" s="27"/>
      <c r="C337" s="28"/>
      <c r="D337" s="28"/>
      <c r="E337" s="44"/>
      <c r="F337" s="44"/>
      <c r="G337" s="44"/>
      <c r="H337" s="44"/>
    </row>
    <row r="338" spans="1:8">
      <c r="A338" s="27"/>
      <c r="C338" s="28"/>
      <c r="D338" s="28"/>
      <c r="E338" s="44"/>
      <c r="F338" s="44"/>
      <c r="G338" s="44"/>
      <c r="H338" s="44"/>
    </row>
    <row r="339" spans="1:8">
      <c r="A339" s="27"/>
      <c r="C339" s="28"/>
      <c r="D339" s="28"/>
      <c r="E339" s="44"/>
      <c r="F339" s="44"/>
      <c r="G339" s="44"/>
      <c r="H339" s="44"/>
    </row>
    <row r="340" spans="1:8">
      <c r="A340" s="27"/>
      <c r="C340" s="28"/>
      <c r="D340" s="28"/>
      <c r="E340" s="44"/>
      <c r="F340" s="44"/>
      <c r="G340" s="44"/>
      <c r="H340" s="44"/>
    </row>
    <row r="341" spans="1:8">
      <c r="A341" s="27"/>
      <c r="C341" s="28"/>
      <c r="D341" s="28"/>
      <c r="E341" s="44"/>
      <c r="F341" s="44"/>
      <c r="G341" s="44"/>
      <c r="H341" s="44"/>
    </row>
    <row r="342" spans="1:8">
      <c r="A342" s="27"/>
      <c r="C342" s="28"/>
      <c r="D342" s="28"/>
      <c r="E342" s="44"/>
      <c r="F342" s="44"/>
      <c r="G342" s="44"/>
      <c r="H342" s="44"/>
    </row>
    <row r="343" spans="1:8">
      <c r="A343" s="27"/>
      <c r="C343" s="28"/>
      <c r="D343" s="28"/>
      <c r="E343" s="44"/>
      <c r="F343" s="44"/>
      <c r="G343" s="44"/>
      <c r="H343" s="44"/>
    </row>
    <row r="344" spans="1:8">
      <c r="A344" s="27"/>
      <c r="C344" s="28"/>
      <c r="D344" s="28"/>
      <c r="E344" s="44"/>
      <c r="F344" s="44"/>
      <c r="G344" s="44"/>
      <c r="H344" s="44"/>
    </row>
    <row r="345" spans="1:8">
      <c r="A345" s="27"/>
      <c r="C345" s="28"/>
      <c r="D345" s="28"/>
      <c r="E345" s="44"/>
      <c r="F345" s="44"/>
      <c r="G345" s="44"/>
      <c r="H345" s="44"/>
    </row>
    <row r="346" spans="1:8">
      <c r="A346" s="27"/>
      <c r="C346" s="28"/>
      <c r="D346" s="28"/>
      <c r="E346" s="44"/>
      <c r="F346" s="44"/>
      <c r="G346" s="44"/>
      <c r="H346" s="44"/>
    </row>
    <row r="347" spans="1:8">
      <c r="A347" s="27"/>
      <c r="C347" s="28"/>
      <c r="D347" s="28"/>
      <c r="E347" s="44"/>
      <c r="F347" s="44"/>
      <c r="G347" s="44"/>
      <c r="H347" s="44"/>
    </row>
    <row r="348" spans="1:8">
      <c r="A348" s="27"/>
      <c r="C348" s="28"/>
      <c r="D348" s="28"/>
      <c r="E348" s="44"/>
      <c r="F348" s="44"/>
      <c r="G348" s="44"/>
      <c r="H348" s="44"/>
    </row>
    <row r="349" spans="1:8">
      <c r="A349" s="27"/>
      <c r="C349" s="28"/>
      <c r="D349" s="28"/>
      <c r="E349" s="44"/>
      <c r="F349" s="44"/>
      <c r="G349" s="44"/>
      <c r="H349" s="44"/>
    </row>
    <row r="350" spans="1:8">
      <c r="A350" s="27"/>
      <c r="C350" s="28"/>
      <c r="D350" s="28"/>
      <c r="E350" s="44"/>
      <c r="F350" s="44"/>
      <c r="G350" s="44"/>
      <c r="H350" s="44"/>
    </row>
    <row r="351" spans="1:8">
      <c r="A351" s="27"/>
      <c r="C351" s="28"/>
      <c r="D351" s="28"/>
      <c r="E351" s="44"/>
      <c r="F351" s="44"/>
      <c r="G351" s="44"/>
      <c r="H351" s="44"/>
    </row>
    <row r="352" spans="1:8">
      <c r="A352" s="27"/>
      <c r="C352" s="28"/>
      <c r="D352" s="28"/>
      <c r="E352" s="44"/>
      <c r="F352" s="44"/>
      <c r="G352" s="44"/>
      <c r="H352" s="44"/>
    </row>
    <row r="353" spans="1:8">
      <c r="A353" s="27"/>
      <c r="C353" s="28"/>
      <c r="D353" s="28"/>
      <c r="E353" s="44"/>
      <c r="F353" s="44"/>
      <c r="G353" s="44"/>
      <c r="H353" s="44"/>
    </row>
    <row r="354" spans="1:8">
      <c r="A354" s="27"/>
      <c r="C354" s="28"/>
      <c r="D354" s="28"/>
      <c r="E354" s="44"/>
      <c r="F354" s="44"/>
      <c r="G354" s="44"/>
      <c r="H354" s="44"/>
    </row>
    <row r="355" spans="1:8">
      <c r="A355" s="27"/>
      <c r="C355" s="28"/>
      <c r="D355" s="28"/>
      <c r="E355" s="44"/>
      <c r="F355" s="44"/>
      <c r="G355" s="44"/>
      <c r="H355" s="44"/>
    </row>
    <row r="356" spans="1:8">
      <c r="A356" s="27"/>
      <c r="C356" s="28"/>
      <c r="D356" s="28"/>
      <c r="E356" s="44"/>
      <c r="F356" s="44"/>
      <c r="G356" s="44"/>
      <c r="H356" s="44"/>
    </row>
    <row r="357" spans="1:8">
      <c r="A357" s="27"/>
      <c r="C357" s="28"/>
      <c r="D357" s="28"/>
      <c r="E357" s="44"/>
      <c r="F357" s="44"/>
      <c r="G357" s="44"/>
      <c r="H357" s="44"/>
    </row>
    <row r="358" spans="1:8">
      <c r="A358" s="27"/>
      <c r="C358" s="28"/>
      <c r="D358" s="28"/>
      <c r="E358" s="44"/>
      <c r="F358" s="44"/>
      <c r="G358" s="44"/>
      <c r="H358" s="44"/>
    </row>
    <row r="359" spans="1:8">
      <c r="A359" s="27"/>
      <c r="C359" s="28"/>
      <c r="D359" s="28"/>
      <c r="E359" s="44"/>
      <c r="F359" s="44"/>
      <c r="G359" s="44"/>
      <c r="H359" s="44"/>
    </row>
    <row r="360" spans="1:8">
      <c r="A360" s="27"/>
      <c r="C360" s="28"/>
      <c r="D360" s="28"/>
      <c r="E360" s="44"/>
      <c r="F360" s="44"/>
      <c r="G360" s="44"/>
      <c r="H360" s="44"/>
    </row>
    <row r="361" spans="1:8">
      <c r="A361" s="27"/>
      <c r="C361" s="28"/>
      <c r="D361" s="28"/>
      <c r="E361" s="44"/>
      <c r="F361" s="44"/>
      <c r="G361" s="44"/>
      <c r="H361" s="44"/>
    </row>
    <row r="362" spans="1:8">
      <c r="A362" s="27"/>
      <c r="C362" s="28"/>
      <c r="D362" s="28"/>
      <c r="E362" s="44"/>
      <c r="F362" s="44"/>
      <c r="G362" s="44"/>
      <c r="H362" s="44"/>
    </row>
    <row r="363" spans="1:8">
      <c r="A363" s="27"/>
      <c r="C363" s="28"/>
      <c r="D363" s="28"/>
      <c r="E363" s="44"/>
      <c r="F363" s="44"/>
      <c r="G363" s="44"/>
      <c r="H363" s="44"/>
    </row>
    <row r="364" spans="1:8">
      <c r="A364" s="27"/>
      <c r="C364" s="28"/>
      <c r="D364" s="28"/>
      <c r="E364" s="44"/>
      <c r="F364" s="44"/>
      <c r="G364" s="44"/>
      <c r="H364" s="44"/>
    </row>
    <row r="365" spans="1:8">
      <c r="A365" s="27"/>
      <c r="C365" s="28"/>
      <c r="D365" s="28"/>
      <c r="E365" s="44"/>
      <c r="F365" s="44"/>
      <c r="G365" s="44"/>
      <c r="H365" s="44"/>
    </row>
    <row r="366" spans="1:8">
      <c r="A366" s="27"/>
      <c r="C366" s="28"/>
      <c r="D366" s="28"/>
      <c r="E366" s="44"/>
      <c r="F366" s="44"/>
      <c r="G366" s="44"/>
      <c r="H366" s="44"/>
    </row>
    <row r="367" spans="1:8">
      <c r="A367" s="27"/>
      <c r="C367" s="28"/>
      <c r="D367" s="28"/>
      <c r="E367" s="44"/>
      <c r="F367" s="44"/>
      <c r="G367" s="44"/>
      <c r="H367" s="44"/>
    </row>
    <row r="368" spans="1:8">
      <c r="A368" s="27"/>
      <c r="C368" s="28"/>
      <c r="D368" s="28"/>
      <c r="E368" s="44"/>
      <c r="F368" s="44"/>
      <c r="G368" s="44"/>
      <c r="H368" s="44"/>
    </row>
    <row r="369" spans="1:8">
      <c r="A369" s="27"/>
      <c r="C369" s="28"/>
      <c r="D369" s="28"/>
      <c r="E369" s="44"/>
      <c r="F369" s="44"/>
      <c r="G369" s="44"/>
      <c r="H369" s="44"/>
    </row>
    <row r="370" spans="1:8">
      <c r="A370" s="27"/>
      <c r="C370" s="28"/>
      <c r="D370" s="28"/>
      <c r="E370" s="44"/>
      <c r="F370" s="44"/>
      <c r="G370" s="44"/>
      <c r="H370" s="44"/>
    </row>
    <row r="371" spans="1:8">
      <c r="A371" s="27"/>
      <c r="C371" s="28"/>
      <c r="D371" s="28"/>
      <c r="E371" s="44"/>
      <c r="F371" s="44"/>
      <c r="G371" s="44"/>
      <c r="H371" s="44"/>
    </row>
    <row r="372" spans="1:8">
      <c r="A372" s="27"/>
      <c r="C372" s="28"/>
      <c r="D372" s="28"/>
      <c r="E372" s="44"/>
      <c r="F372" s="44"/>
      <c r="G372" s="44"/>
      <c r="H372" s="44"/>
    </row>
    <row r="373" spans="1:8">
      <c r="A373" s="27"/>
      <c r="C373" s="28"/>
      <c r="D373" s="28"/>
      <c r="E373" s="44"/>
      <c r="F373" s="44"/>
      <c r="G373" s="44"/>
      <c r="H373" s="44"/>
    </row>
    <row r="374" spans="1:8">
      <c r="A374" s="27"/>
      <c r="C374" s="28"/>
      <c r="D374" s="28"/>
      <c r="E374" s="44"/>
      <c r="F374" s="44"/>
      <c r="G374" s="44"/>
      <c r="H374" s="44"/>
    </row>
    <row r="375" spans="1:8">
      <c r="A375" s="27"/>
      <c r="C375" s="28"/>
      <c r="D375" s="28"/>
      <c r="E375" s="44"/>
      <c r="F375" s="44"/>
      <c r="G375" s="44"/>
      <c r="H375" s="44"/>
    </row>
    <row r="376" spans="1:8">
      <c r="A376" s="27"/>
      <c r="C376" s="28"/>
      <c r="D376" s="28"/>
      <c r="E376" s="44"/>
      <c r="F376" s="44"/>
      <c r="G376" s="44"/>
      <c r="H376" s="44"/>
    </row>
    <row r="377" spans="1:8">
      <c r="A377" s="27"/>
      <c r="C377" s="28"/>
      <c r="D377" s="28"/>
      <c r="E377" s="44"/>
      <c r="F377" s="44"/>
      <c r="G377" s="44"/>
      <c r="H377" s="44"/>
    </row>
    <row r="378" spans="1:8">
      <c r="A378" s="27"/>
      <c r="C378" s="28"/>
      <c r="D378" s="28"/>
      <c r="E378" s="44"/>
      <c r="F378" s="44"/>
      <c r="G378" s="44"/>
      <c r="H378" s="44"/>
    </row>
    <row r="379" spans="1:8">
      <c r="A379" s="27"/>
      <c r="C379" s="28"/>
      <c r="D379" s="28"/>
      <c r="E379" s="44"/>
      <c r="F379" s="44"/>
      <c r="G379" s="44"/>
      <c r="H379" s="44"/>
    </row>
    <row r="380" spans="1:8">
      <c r="A380" s="27"/>
      <c r="C380" s="28"/>
      <c r="D380" s="28"/>
      <c r="E380" s="44"/>
      <c r="F380" s="44"/>
      <c r="G380" s="44"/>
      <c r="H380" s="44"/>
    </row>
    <row r="381" spans="1:8">
      <c r="A381" s="27"/>
      <c r="C381" s="28"/>
      <c r="D381" s="28"/>
      <c r="E381" s="44"/>
      <c r="F381" s="44"/>
      <c r="G381" s="44"/>
      <c r="H381" s="44"/>
    </row>
    <row r="382" spans="1:8">
      <c r="A382" s="27"/>
      <c r="C382" s="28"/>
      <c r="D382" s="28"/>
      <c r="E382" s="44"/>
      <c r="F382" s="44"/>
      <c r="G382" s="44"/>
      <c r="H382" s="44"/>
    </row>
    <row r="383" spans="1:8">
      <c r="A383" s="27"/>
      <c r="C383" s="28"/>
      <c r="D383" s="28"/>
      <c r="E383" s="44"/>
      <c r="F383" s="44"/>
      <c r="G383" s="44"/>
      <c r="H383" s="44"/>
    </row>
    <row r="384" spans="1:8">
      <c r="A384" s="27"/>
      <c r="C384" s="28"/>
      <c r="D384" s="28"/>
      <c r="E384" s="44"/>
      <c r="F384" s="44"/>
      <c r="G384" s="44"/>
      <c r="H384" s="44"/>
    </row>
    <row r="385" spans="1:8">
      <c r="A385" s="27"/>
      <c r="C385" s="28"/>
      <c r="D385" s="28"/>
      <c r="E385" s="44"/>
      <c r="F385" s="44"/>
      <c r="G385" s="44"/>
      <c r="H385" s="44"/>
    </row>
    <row r="386" spans="1:8">
      <c r="A386" s="27"/>
      <c r="C386" s="28"/>
      <c r="D386" s="28"/>
      <c r="E386" s="44"/>
      <c r="F386" s="44"/>
      <c r="G386" s="44"/>
      <c r="H386" s="44"/>
    </row>
    <row r="387" spans="1:8">
      <c r="A387" s="27"/>
      <c r="C387" s="28"/>
      <c r="D387" s="28"/>
      <c r="E387" s="44"/>
      <c r="F387" s="44"/>
      <c r="G387" s="44"/>
      <c r="H387" s="44"/>
    </row>
    <row r="388" spans="1:8">
      <c r="A388" s="27"/>
      <c r="C388" s="28"/>
      <c r="D388" s="28"/>
      <c r="E388" s="44"/>
      <c r="F388" s="44"/>
      <c r="G388" s="44"/>
      <c r="H388" s="44"/>
    </row>
    <row r="389" spans="1:8">
      <c r="A389" s="27"/>
      <c r="C389" s="28"/>
      <c r="D389" s="28"/>
      <c r="E389" s="44"/>
      <c r="F389" s="44"/>
      <c r="G389" s="44"/>
      <c r="H389" s="44"/>
    </row>
    <row r="390" spans="1:8">
      <c r="A390" s="27"/>
      <c r="C390" s="28"/>
      <c r="D390" s="28"/>
      <c r="E390" s="44"/>
      <c r="F390" s="44"/>
      <c r="G390" s="44"/>
      <c r="H390" s="44"/>
    </row>
    <row r="391" spans="1:8">
      <c r="A391" s="27"/>
      <c r="C391" s="28"/>
      <c r="D391" s="28"/>
      <c r="E391" s="44"/>
      <c r="F391" s="44"/>
      <c r="G391" s="44"/>
      <c r="H391" s="44"/>
    </row>
    <row r="392" spans="1:8">
      <c r="A392" s="27"/>
      <c r="C392" s="28"/>
      <c r="D392" s="28"/>
      <c r="E392" s="44"/>
      <c r="F392" s="44"/>
      <c r="G392" s="44"/>
      <c r="H392" s="44"/>
    </row>
    <row r="393" spans="1:8">
      <c r="A393" s="27"/>
      <c r="C393" s="28"/>
      <c r="D393" s="28"/>
      <c r="E393" s="44"/>
      <c r="F393" s="44"/>
      <c r="G393" s="44"/>
      <c r="H393" s="44"/>
    </row>
    <row r="394" spans="1:8">
      <c r="A394" s="27"/>
      <c r="C394" s="28"/>
      <c r="D394" s="28"/>
      <c r="E394" s="44"/>
      <c r="F394" s="44"/>
      <c r="G394" s="44"/>
      <c r="H394" s="44"/>
    </row>
    <row r="395" spans="1:8">
      <c r="A395" s="27"/>
      <c r="C395" s="28"/>
      <c r="D395" s="28"/>
      <c r="E395" s="44"/>
      <c r="F395" s="44"/>
      <c r="G395" s="44"/>
      <c r="H395" s="44"/>
    </row>
    <row r="396" spans="1:8">
      <c r="A396" s="27"/>
      <c r="C396" s="28"/>
      <c r="D396" s="28"/>
      <c r="E396" s="44"/>
      <c r="F396" s="44"/>
      <c r="G396" s="44"/>
      <c r="H396" s="44"/>
    </row>
    <row r="397" spans="1:8">
      <c r="A397" s="27"/>
      <c r="C397" s="28"/>
      <c r="D397" s="28"/>
      <c r="E397" s="44"/>
      <c r="F397" s="44"/>
      <c r="G397" s="44"/>
      <c r="H397" s="44"/>
    </row>
    <row r="398" spans="1:8">
      <c r="A398" s="27"/>
      <c r="C398" s="28"/>
      <c r="D398" s="28"/>
      <c r="E398" s="44"/>
      <c r="F398" s="44"/>
      <c r="G398" s="44"/>
      <c r="H398" s="44"/>
    </row>
    <row r="399" spans="1:8">
      <c r="A399" s="27"/>
      <c r="C399" s="28"/>
      <c r="D399" s="28"/>
      <c r="E399" s="44"/>
      <c r="F399" s="44"/>
      <c r="G399" s="44"/>
      <c r="H399" s="44"/>
    </row>
    <row r="400" spans="1:8">
      <c r="A400" s="27"/>
      <c r="C400" s="28"/>
      <c r="D400" s="28"/>
      <c r="E400" s="44"/>
      <c r="F400" s="44"/>
      <c r="G400" s="44"/>
      <c r="H400" s="44"/>
    </row>
    <row r="401" spans="1:8">
      <c r="A401" s="27"/>
      <c r="C401" s="28"/>
      <c r="D401" s="28"/>
      <c r="E401" s="44"/>
      <c r="F401" s="44"/>
      <c r="G401" s="44"/>
      <c r="H401" s="44"/>
    </row>
    <row r="402" spans="1:8">
      <c r="A402" s="27"/>
      <c r="C402" s="28"/>
      <c r="D402" s="28"/>
      <c r="E402" s="44"/>
      <c r="F402" s="44"/>
      <c r="G402" s="44"/>
      <c r="H402" s="44"/>
    </row>
    <row r="403" spans="1:8">
      <c r="A403" s="27"/>
      <c r="C403" s="28"/>
      <c r="D403" s="28"/>
      <c r="E403" s="44"/>
      <c r="F403" s="44"/>
      <c r="G403" s="44"/>
      <c r="H403" s="44"/>
    </row>
    <row r="404" spans="1:8">
      <c r="A404" s="27"/>
      <c r="C404" s="28"/>
      <c r="D404" s="28"/>
      <c r="E404" s="44"/>
      <c r="F404" s="44"/>
      <c r="G404" s="44"/>
      <c r="H404" s="44"/>
    </row>
    <row r="405" spans="1:8">
      <c r="A405" s="27"/>
      <c r="C405" s="28"/>
      <c r="D405" s="28"/>
      <c r="E405" s="44"/>
      <c r="F405" s="44"/>
      <c r="G405" s="44"/>
      <c r="H405" s="44"/>
    </row>
    <row r="406" spans="1:8">
      <c r="A406" s="27"/>
      <c r="C406" s="28"/>
      <c r="D406" s="28"/>
      <c r="E406" s="44"/>
      <c r="F406" s="44"/>
      <c r="G406" s="44"/>
      <c r="H406" s="44"/>
    </row>
    <row r="407" spans="1:8">
      <c r="A407" s="27"/>
      <c r="C407" s="28"/>
      <c r="D407" s="28"/>
      <c r="E407" s="44"/>
      <c r="F407" s="44"/>
      <c r="G407" s="44"/>
      <c r="H407" s="44"/>
    </row>
    <row r="408" spans="1:8">
      <c r="A408" s="27"/>
      <c r="C408" s="28"/>
      <c r="D408" s="28"/>
      <c r="E408" s="44"/>
      <c r="F408" s="44"/>
      <c r="G408" s="44"/>
      <c r="H408" s="44"/>
    </row>
    <row r="409" spans="1:8">
      <c r="A409" s="27"/>
      <c r="C409" s="28"/>
      <c r="D409" s="28"/>
      <c r="E409" s="44"/>
      <c r="F409" s="44"/>
      <c r="G409" s="44"/>
      <c r="H409" s="44"/>
    </row>
    <row r="410" spans="1:8">
      <c r="A410" s="27"/>
      <c r="C410" s="28"/>
      <c r="D410" s="28"/>
      <c r="E410" s="44"/>
      <c r="F410" s="44"/>
      <c r="G410" s="44"/>
      <c r="H410" s="44"/>
    </row>
    <row r="411" spans="1:8">
      <c r="A411" s="27"/>
      <c r="C411" s="28"/>
      <c r="D411" s="28"/>
      <c r="E411" s="44"/>
      <c r="F411" s="44"/>
      <c r="G411" s="44"/>
      <c r="H411" s="44"/>
    </row>
    <row r="412" spans="1:8">
      <c r="A412" s="27"/>
      <c r="C412" s="28"/>
      <c r="D412" s="28"/>
      <c r="E412" s="44"/>
      <c r="F412" s="44"/>
      <c r="G412" s="44"/>
      <c r="H412" s="44"/>
    </row>
    <row r="413" spans="1:8">
      <c r="A413" s="27"/>
      <c r="C413" s="28"/>
      <c r="D413" s="28"/>
      <c r="E413" s="44"/>
      <c r="F413" s="44"/>
      <c r="G413" s="44"/>
      <c r="H413" s="44"/>
    </row>
    <row r="414" spans="1:8">
      <c r="A414" s="27"/>
      <c r="C414" s="28"/>
      <c r="D414" s="28"/>
      <c r="E414" s="44"/>
      <c r="F414" s="44"/>
      <c r="G414" s="44"/>
      <c r="H414" s="44"/>
    </row>
    <row r="415" spans="1:8">
      <c r="A415" s="27"/>
      <c r="C415" s="28"/>
      <c r="D415" s="28"/>
      <c r="E415" s="44"/>
      <c r="F415" s="44"/>
      <c r="G415" s="44"/>
      <c r="H415" s="44"/>
    </row>
    <row r="416" spans="1:8">
      <c r="A416" s="27"/>
      <c r="C416" s="28"/>
      <c r="D416" s="28"/>
      <c r="E416" s="44"/>
      <c r="F416" s="44"/>
      <c r="G416" s="44"/>
      <c r="H416" s="44"/>
    </row>
    <row r="417" spans="1:8">
      <c r="A417" s="27"/>
      <c r="C417" s="28"/>
      <c r="D417" s="28"/>
      <c r="E417" s="44"/>
      <c r="F417" s="44"/>
      <c r="G417" s="44"/>
      <c r="H417" s="44"/>
    </row>
    <row r="418" spans="1:8">
      <c r="A418" s="27"/>
      <c r="C418" s="28"/>
      <c r="D418" s="28"/>
      <c r="E418" s="44"/>
      <c r="F418" s="44"/>
      <c r="G418" s="44"/>
      <c r="H418" s="44"/>
    </row>
    <row r="419" spans="1:8">
      <c r="A419" s="27"/>
      <c r="C419" s="28"/>
      <c r="D419" s="28"/>
      <c r="E419" s="44"/>
      <c r="F419" s="44"/>
      <c r="G419" s="44"/>
      <c r="H419" s="44"/>
    </row>
    <row r="420" spans="1:8">
      <c r="A420" s="27"/>
      <c r="C420" s="28"/>
      <c r="D420" s="28"/>
      <c r="E420" s="44"/>
      <c r="F420" s="44"/>
      <c r="G420" s="44"/>
      <c r="H420" s="44"/>
    </row>
    <row r="421" spans="1:8">
      <c r="A421" s="27"/>
      <c r="C421" s="28"/>
      <c r="D421" s="28"/>
      <c r="E421" s="44"/>
      <c r="F421" s="44"/>
      <c r="G421" s="44"/>
      <c r="H421" s="44"/>
    </row>
    <row r="422" spans="1:8">
      <c r="A422" s="27"/>
      <c r="C422" s="28"/>
      <c r="D422" s="28"/>
      <c r="E422" s="44"/>
      <c r="F422" s="44"/>
      <c r="G422" s="44"/>
      <c r="H422" s="44"/>
    </row>
    <row r="423" spans="1:8">
      <c r="A423" s="27"/>
      <c r="C423" s="28"/>
      <c r="D423" s="28"/>
      <c r="E423" s="44"/>
      <c r="F423" s="44"/>
      <c r="G423" s="44"/>
      <c r="H423" s="44"/>
    </row>
    <row r="424" spans="1:8">
      <c r="A424" s="27"/>
      <c r="C424" s="28"/>
      <c r="D424" s="28"/>
      <c r="E424" s="44"/>
      <c r="F424" s="44"/>
      <c r="G424" s="44"/>
      <c r="H424" s="44"/>
    </row>
    <row r="425" spans="1:8">
      <c r="A425" s="27"/>
      <c r="C425" s="28"/>
      <c r="D425" s="28"/>
      <c r="E425" s="44"/>
      <c r="F425" s="44"/>
      <c r="G425" s="44"/>
      <c r="H425" s="44"/>
    </row>
    <row r="426" spans="1:8">
      <c r="A426" s="27"/>
      <c r="C426" s="28"/>
      <c r="D426" s="28"/>
      <c r="E426" s="44"/>
      <c r="F426" s="44"/>
      <c r="G426" s="44"/>
      <c r="H426" s="44"/>
    </row>
    <row r="427" spans="1:8">
      <c r="A427" s="27"/>
      <c r="C427" s="28"/>
      <c r="D427" s="28"/>
      <c r="E427" s="44"/>
      <c r="F427" s="44"/>
      <c r="G427" s="44"/>
      <c r="H427" s="44"/>
    </row>
    <row r="428" spans="1:8">
      <c r="A428" s="27"/>
      <c r="C428" s="28"/>
      <c r="D428" s="28"/>
      <c r="E428" s="44"/>
      <c r="F428" s="44"/>
      <c r="G428" s="44"/>
      <c r="H428" s="44"/>
    </row>
    <row r="429" spans="1:8">
      <c r="A429" s="27"/>
      <c r="C429" s="28"/>
      <c r="D429" s="28"/>
      <c r="E429" s="44"/>
      <c r="F429" s="44"/>
      <c r="G429" s="44"/>
      <c r="H429" s="44"/>
    </row>
    <row r="430" spans="1:8">
      <c r="A430" s="27"/>
      <c r="C430" s="28"/>
      <c r="D430" s="28"/>
      <c r="E430" s="44"/>
      <c r="F430" s="44"/>
      <c r="G430" s="44"/>
      <c r="H430" s="44"/>
    </row>
    <row r="431" spans="1:8">
      <c r="A431" s="27"/>
      <c r="C431" s="28"/>
      <c r="D431" s="28"/>
      <c r="E431" s="44"/>
      <c r="F431" s="44"/>
      <c r="G431" s="44"/>
      <c r="H431" s="44"/>
    </row>
    <row r="432" spans="1:8">
      <c r="A432" s="27"/>
      <c r="C432" s="28"/>
      <c r="D432" s="28"/>
      <c r="E432" s="44"/>
      <c r="F432" s="44"/>
      <c r="G432" s="44"/>
      <c r="H432" s="44"/>
    </row>
    <row r="433" spans="1:8">
      <c r="A433" s="27"/>
      <c r="C433" s="28"/>
      <c r="D433" s="28"/>
      <c r="E433" s="44"/>
      <c r="F433" s="44"/>
      <c r="G433" s="44"/>
      <c r="H433" s="44"/>
    </row>
    <row r="434" spans="1:8">
      <c r="A434" s="27"/>
      <c r="C434" s="28"/>
      <c r="D434" s="28"/>
      <c r="E434" s="44"/>
      <c r="F434" s="44"/>
      <c r="G434" s="44"/>
      <c r="H434" s="44"/>
    </row>
    <row r="435" spans="1:8">
      <c r="A435" s="27"/>
      <c r="C435" s="28"/>
      <c r="D435" s="28"/>
      <c r="E435" s="44"/>
      <c r="F435" s="44"/>
      <c r="G435" s="44"/>
      <c r="H435" s="44"/>
    </row>
    <row r="436" spans="1:8">
      <c r="A436" s="27"/>
      <c r="C436" s="28"/>
      <c r="D436" s="28"/>
      <c r="E436" s="44"/>
      <c r="F436" s="44"/>
      <c r="G436" s="44"/>
      <c r="H436" s="44"/>
    </row>
    <row r="437" spans="1:8">
      <c r="A437" s="27"/>
      <c r="C437" s="28"/>
      <c r="D437" s="28"/>
      <c r="E437" s="44"/>
      <c r="F437" s="44"/>
      <c r="G437" s="44"/>
      <c r="H437" s="44"/>
    </row>
    <row r="438" spans="1:8">
      <c r="A438" s="27"/>
      <c r="C438" s="28"/>
      <c r="D438" s="28"/>
      <c r="E438" s="44"/>
      <c r="F438" s="44"/>
      <c r="G438" s="44"/>
      <c r="H438" s="44"/>
    </row>
    <row r="439" spans="1:8">
      <c r="A439" s="27"/>
      <c r="C439" s="28"/>
      <c r="D439" s="28"/>
      <c r="E439" s="44"/>
      <c r="F439" s="44"/>
      <c r="G439" s="44"/>
      <c r="H439" s="44"/>
    </row>
    <row r="440" spans="1:8">
      <c r="A440" s="27"/>
      <c r="C440" s="28"/>
      <c r="D440" s="28"/>
      <c r="E440" s="44"/>
      <c r="F440" s="44"/>
      <c r="G440" s="44"/>
      <c r="H440" s="44"/>
    </row>
    <row r="441" spans="1:8">
      <c r="A441" s="27"/>
      <c r="C441" s="28"/>
      <c r="D441" s="28"/>
      <c r="E441" s="44"/>
      <c r="F441" s="44"/>
      <c r="G441" s="44"/>
      <c r="H441" s="44"/>
    </row>
    <row r="442" spans="1:8">
      <c r="A442" s="27"/>
      <c r="C442" s="28"/>
      <c r="D442" s="28"/>
      <c r="E442" s="44"/>
      <c r="F442" s="44"/>
      <c r="G442" s="44"/>
      <c r="H442" s="44"/>
    </row>
    <row r="443" spans="1:8">
      <c r="A443" s="27"/>
      <c r="C443" s="28"/>
      <c r="D443" s="28"/>
      <c r="E443" s="44"/>
      <c r="F443" s="44"/>
      <c r="G443" s="44"/>
      <c r="H443" s="44"/>
    </row>
    <row r="444" spans="1:8">
      <c r="A444" s="27"/>
      <c r="C444" s="28"/>
      <c r="D444" s="28"/>
      <c r="E444" s="44"/>
      <c r="F444" s="44"/>
      <c r="G444" s="44"/>
      <c r="H444" s="44"/>
    </row>
    <row r="445" spans="1:8">
      <c r="A445" s="27"/>
      <c r="C445" s="28"/>
      <c r="D445" s="28"/>
      <c r="E445" s="44"/>
      <c r="F445" s="44"/>
      <c r="G445" s="44"/>
      <c r="H445" s="44"/>
    </row>
    <row r="446" spans="1:8">
      <c r="A446" s="27"/>
      <c r="C446" s="28"/>
      <c r="D446" s="28"/>
      <c r="E446" s="44"/>
      <c r="F446" s="44"/>
      <c r="G446" s="44"/>
      <c r="H446" s="44"/>
    </row>
    <row r="447" spans="1:8">
      <c r="A447" s="27"/>
      <c r="C447" s="28"/>
      <c r="D447" s="28"/>
      <c r="E447" s="44"/>
      <c r="F447" s="44"/>
      <c r="G447" s="44"/>
      <c r="H447" s="44"/>
    </row>
    <row r="448" spans="1:8">
      <c r="A448" s="27"/>
      <c r="C448" s="28"/>
      <c r="D448" s="28"/>
      <c r="E448" s="44"/>
      <c r="F448" s="44"/>
      <c r="G448" s="44"/>
      <c r="H448" s="44"/>
    </row>
    <row r="449" spans="1:8">
      <c r="A449" s="27"/>
      <c r="C449" s="28"/>
      <c r="D449" s="28"/>
      <c r="E449" s="44"/>
      <c r="F449" s="44"/>
      <c r="G449" s="44"/>
      <c r="H449" s="44"/>
    </row>
    <row r="450" spans="1:8">
      <c r="A450" s="27"/>
      <c r="C450" s="28"/>
      <c r="D450" s="28"/>
      <c r="E450" s="44"/>
      <c r="F450" s="44"/>
      <c r="G450" s="44"/>
      <c r="H450" s="44"/>
    </row>
    <row r="451" spans="1:8">
      <c r="A451" s="27"/>
      <c r="C451" s="28"/>
      <c r="D451" s="28"/>
      <c r="E451" s="44"/>
      <c r="F451" s="44"/>
      <c r="G451" s="44"/>
      <c r="H451" s="44"/>
    </row>
    <row r="452" spans="1:8">
      <c r="A452" s="27"/>
      <c r="C452" s="28"/>
      <c r="D452" s="28"/>
      <c r="E452" s="44"/>
      <c r="F452" s="44"/>
      <c r="G452" s="44"/>
      <c r="H452" s="44"/>
    </row>
    <row r="453" spans="1:8">
      <c r="A453" s="27"/>
      <c r="C453" s="28"/>
      <c r="D453" s="28"/>
      <c r="E453" s="44"/>
      <c r="F453" s="44"/>
      <c r="G453" s="44"/>
      <c r="H453" s="44"/>
    </row>
    <row r="454" spans="1:8">
      <c r="A454" s="27"/>
      <c r="C454" s="28"/>
      <c r="D454" s="28"/>
      <c r="E454" s="44"/>
      <c r="F454" s="44"/>
      <c r="G454" s="44"/>
      <c r="H454" s="44"/>
    </row>
    <row r="455" spans="1:8">
      <c r="A455" s="27"/>
      <c r="C455" s="28"/>
      <c r="D455" s="28"/>
      <c r="E455" s="44"/>
      <c r="F455" s="44"/>
      <c r="G455" s="44"/>
      <c r="H455" s="44"/>
    </row>
    <row r="456" spans="1:8">
      <c r="A456" s="27"/>
      <c r="C456" s="28"/>
      <c r="D456" s="28"/>
      <c r="E456" s="44"/>
      <c r="F456" s="44"/>
      <c r="G456" s="44"/>
      <c r="H456" s="44"/>
    </row>
    <row r="457" spans="1:8">
      <c r="A457" s="27"/>
      <c r="C457" s="28"/>
      <c r="D457" s="28"/>
      <c r="E457" s="44"/>
      <c r="F457" s="44"/>
      <c r="G457" s="44"/>
      <c r="H457" s="44"/>
    </row>
    <row r="458" spans="1:8">
      <c r="A458" s="27"/>
      <c r="C458" s="28"/>
      <c r="D458" s="28"/>
      <c r="E458" s="44"/>
      <c r="F458" s="44"/>
      <c r="G458" s="44"/>
      <c r="H458" s="44"/>
    </row>
    <row r="459" spans="1:8">
      <c r="A459" s="27"/>
      <c r="C459" s="28"/>
      <c r="D459" s="28"/>
      <c r="E459" s="44"/>
      <c r="F459" s="44"/>
      <c r="G459" s="44"/>
      <c r="H459" s="44"/>
    </row>
    <row r="460" spans="1:8">
      <c r="A460" s="27"/>
      <c r="C460" s="28"/>
      <c r="D460" s="28"/>
      <c r="E460" s="44"/>
      <c r="F460" s="44"/>
      <c r="G460" s="44"/>
      <c r="H460" s="44"/>
    </row>
    <row r="461" spans="1:8">
      <c r="A461" s="27"/>
      <c r="C461" s="28"/>
      <c r="D461" s="28"/>
      <c r="E461" s="44"/>
      <c r="F461" s="44"/>
      <c r="G461" s="44"/>
      <c r="H461" s="44"/>
    </row>
    <row r="462" spans="1:8">
      <c r="A462" s="27"/>
      <c r="C462" s="28"/>
      <c r="D462" s="28"/>
      <c r="E462" s="44"/>
      <c r="F462" s="44"/>
      <c r="G462" s="44"/>
      <c r="H462" s="44"/>
    </row>
    <row r="463" spans="1:8">
      <c r="A463" s="27"/>
      <c r="C463" s="28"/>
      <c r="D463" s="28"/>
      <c r="E463" s="44"/>
      <c r="F463" s="44"/>
      <c r="G463" s="44"/>
      <c r="H463" s="44"/>
    </row>
    <row r="464" spans="1:8">
      <c r="A464" s="27"/>
      <c r="C464" s="28"/>
      <c r="D464" s="28"/>
      <c r="E464" s="44"/>
      <c r="F464" s="44"/>
      <c r="G464" s="44"/>
      <c r="H464" s="44"/>
    </row>
    <row r="465" spans="1:8">
      <c r="A465" s="27"/>
      <c r="C465" s="28"/>
      <c r="D465" s="28"/>
      <c r="E465" s="44"/>
      <c r="F465" s="44"/>
      <c r="G465" s="44"/>
      <c r="H465" s="44"/>
    </row>
    <row r="466" spans="1:8">
      <c r="A466" s="27"/>
      <c r="C466" s="28"/>
      <c r="D466" s="28"/>
      <c r="E466" s="44"/>
      <c r="F466" s="44"/>
      <c r="G466" s="44"/>
      <c r="H466" s="44"/>
    </row>
    <row r="467" spans="1:8">
      <c r="A467" s="27"/>
      <c r="C467" s="28"/>
      <c r="D467" s="28"/>
      <c r="E467" s="44"/>
      <c r="F467" s="44"/>
      <c r="G467" s="44"/>
      <c r="H467" s="44"/>
    </row>
    <row r="468" spans="1:8">
      <c r="A468" s="27"/>
      <c r="C468" s="28"/>
      <c r="D468" s="28"/>
      <c r="E468" s="44"/>
      <c r="F468" s="44"/>
      <c r="G468" s="44"/>
      <c r="H468" s="44"/>
    </row>
    <row r="469" spans="1:8">
      <c r="A469" s="27"/>
      <c r="C469" s="28"/>
      <c r="D469" s="28"/>
      <c r="E469" s="44"/>
      <c r="F469" s="44"/>
      <c r="G469" s="44"/>
      <c r="H469" s="44"/>
    </row>
    <row r="470" spans="1:8">
      <c r="A470" s="27"/>
      <c r="C470" s="28"/>
      <c r="D470" s="28"/>
      <c r="E470" s="44"/>
      <c r="F470" s="44"/>
      <c r="G470" s="44"/>
      <c r="H470" s="44"/>
    </row>
    <row r="471" spans="1:8">
      <c r="A471" s="27"/>
      <c r="C471" s="28"/>
      <c r="D471" s="28"/>
      <c r="E471" s="44"/>
      <c r="F471" s="44"/>
      <c r="G471" s="44"/>
      <c r="H471" s="44"/>
    </row>
    <row r="472" spans="1:8">
      <c r="A472" s="27"/>
      <c r="C472" s="28"/>
      <c r="D472" s="28"/>
      <c r="E472" s="44"/>
      <c r="F472" s="44"/>
      <c r="G472" s="44"/>
      <c r="H472" s="44"/>
    </row>
    <row r="473" spans="1:8">
      <c r="A473" s="27"/>
      <c r="C473" s="28"/>
      <c r="D473" s="28"/>
      <c r="E473" s="44"/>
      <c r="F473" s="44"/>
      <c r="G473" s="44"/>
      <c r="H473" s="44"/>
    </row>
    <row r="474" spans="1:8">
      <c r="A474" s="27"/>
      <c r="C474" s="28"/>
      <c r="D474" s="28"/>
      <c r="E474" s="44"/>
      <c r="F474" s="44"/>
      <c r="G474" s="44"/>
      <c r="H474" s="44"/>
    </row>
    <row r="475" spans="1:8">
      <c r="A475" s="27"/>
      <c r="C475" s="28"/>
      <c r="D475" s="28"/>
      <c r="E475" s="44"/>
      <c r="F475" s="44"/>
      <c r="G475" s="44"/>
      <c r="H475" s="44"/>
    </row>
    <row r="476" spans="1:8">
      <c r="A476" s="27"/>
      <c r="C476" s="28"/>
      <c r="D476" s="28"/>
      <c r="E476" s="44"/>
      <c r="F476" s="44"/>
      <c r="G476" s="44"/>
      <c r="H476" s="44"/>
    </row>
    <row r="477" spans="1:8">
      <c r="A477" s="27"/>
      <c r="C477" s="28"/>
      <c r="D477" s="28"/>
      <c r="E477" s="44"/>
      <c r="F477" s="44"/>
      <c r="G477" s="44"/>
      <c r="H477" s="44"/>
    </row>
    <row r="478" spans="1:8">
      <c r="A478" s="27"/>
      <c r="C478" s="28"/>
      <c r="D478" s="28"/>
      <c r="E478" s="44"/>
      <c r="F478" s="44"/>
      <c r="G478" s="44"/>
      <c r="H478" s="44"/>
    </row>
    <row r="479" spans="1:8">
      <c r="A479" s="27"/>
      <c r="C479" s="28"/>
      <c r="D479" s="28"/>
      <c r="E479" s="44"/>
      <c r="F479" s="44"/>
      <c r="G479" s="44"/>
      <c r="H479" s="44"/>
    </row>
    <row r="480" spans="1:8">
      <c r="A480" s="27"/>
      <c r="C480" s="28"/>
      <c r="D480" s="28"/>
      <c r="E480" s="44"/>
      <c r="F480" s="44"/>
      <c r="G480" s="44"/>
      <c r="H480" s="44"/>
    </row>
    <row r="481" spans="1:8">
      <c r="A481" s="27"/>
      <c r="C481" s="28"/>
      <c r="D481" s="28"/>
      <c r="E481" s="44"/>
      <c r="F481" s="44"/>
      <c r="G481" s="44"/>
      <c r="H481" s="44"/>
    </row>
    <row r="482" spans="1:8">
      <c r="A482" s="27"/>
      <c r="C482" s="28"/>
      <c r="D482" s="28"/>
      <c r="E482" s="44"/>
      <c r="F482" s="44"/>
      <c r="G482" s="44"/>
      <c r="H482" s="44"/>
    </row>
    <row r="483" spans="1:8">
      <c r="A483" s="27"/>
      <c r="C483" s="28"/>
      <c r="D483" s="28"/>
      <c r="E483" s="44"/>
      <c r="F483" s="44"/>
      <c r="G483" s="44"/>
      <c r="H483" s="44"/>
    </row>
    <row r="484" spans="1:8">
      <c r="A484" s="27"/>
      <c r="C484" s="28"/>
      <c r="D484" s="28"/>
      <c r="E484" s="44"/>
      <c r="F484" s="44"/>
      <c r="G484" s="44"/>
      <c r="H484" s="44"/>
    </row>
    <row r="485" spans="1:8">
      <c r="A485" s="27"/>
      <c r="C485" s="28"/>
      <c r="D485" s="28"/>
      <c r="E485" s="44"/>
      <c r="F485" s="44"/>
      <c r="G485" s="44"/>
      <c r="H485" s="44"/>
    </row>
    <row r="486" spans="1:8">
      <c r="A486" s="27"/>
      <c r="C486" s="28"/>
      <c r="D486" s="28"/>
      <c r="E486" s="44"/>
      <c r="F486" s="44"/>
      <c r="G486" s="44"/>
      <c r="H486" s="44"/>
    </row>
    <row r="487" spans="1:8">
      <c r="A487" s="27"/>
      <c r="C487" s="28"/>
      <c r="D487" s="28"/>
      <c r="E487" s="44"/>
      <c r="F487" s="44"/>
      <c r="G487" s="44"/>
      <c r="H487" s="44"/>
    </row>
    <row r="488" spans="1:8">
      <c r="A488" s="27"/>
      <c r="C488" s="28"/>
      <c r="D488" s="28"/>
      <c r="E488" s="44"/>
      <c r="F488" s="44"/>
      <c r="G488" s="44"/>
      <c r="H488" s="44"/>
    </row>
    <row r="489" spans="1:8">
      <c r="A489" s="27"/>
      <c r="C489" s="28"/>
      <c r="D489" s="28"/>
      <c r="E489" s="44"/>
      <c r="F489" s="44"/>
      <c r="G489" s="44"/>
      <c r="H489" s="44"/>
    </row>
    <row r="490" spans="1:8">
      <c r="A490" s="27"/>
      <c r="C490" s="28"/>
      <c r="D490" s="28"/>
      <c r="E490" s="44"/>
      <c r="F490" s="44"/>
      <c r="G490" s="44"/>
      <c r="H490" s="44"/>
    </row>
    <row r="491" spans="1:8">
      <c r="A491" s="27"/>
      <c r="C491" s="28"/>
      <c r="D491" s="28"/>
      <c r="E491" s="44"/>
      <c r="F491" s="44"/>
      <c r="G491" s="44"/>
      <c r="H491" s="44"/>
    </row>
    <row r="492" spans="1:8">
      <c r="A492" s="27"/>
      <c r="C492" s="28"/>
      <c r="D492" s="28"/>
      <c r="E492" s="44"/>
      <c r="F492" s="44"/>
      <c r="G492" s="44"/>
      <c r="H492" s="44"/>
    </row>
    <row r="493" spans="1:8">
      <c r="A493" s="27"/>
      <c r="C493" s="28"/>
      <c r="D493" s="28"/>
      <c r="E493" s="44"/>
      <c r="F493" s="44"/>
      <c r="G493" s="44"/>
      <c r="H493" s="44"/>
    </row>
    <row r="494" spans="1:8">
      <c r="A494" s="27"/>
      <c r="C494" s="28"/>
      <c r="D494" s="28"/>
      <c r="E494" s="44"/>
      <c r="F494" s="44"/>
      <c r="G494" s="44"/>
      <c r="H494" s="44"/>
    </row>
    <row r="495" spans="1:8">
      <c r="A495" s="27"/>
      <c r="C495" s="28"/>
      <c r="D495" s="28"/>
      <c r="E495" s="44"/>
      <c r="F495" s="44"/>
      <c r="G495" s="44"/>
      <c r="H495" s="44"/>
    </row>
    <row r="496" spans="1:8">
      <c r="A496" s="27"/>
      <c r="C496" s="28"/>
      <c r="D496" s="28"/>
      <c r="E496" s="44"/>
      <c r="F496" s="44"/>
      <c r="G496" s="44"/>
      <c r="H496" s="44"/>
    </row>
    <row r="497" spans="1:8">
      <c r="A497" s="27"/>
      <c r="C497" s="28"/>
      <c r="D497" s="28"/>
      <c r="E497" s="44"/>
      <c r="F497" s="44"/>
      <c r="G497" s="44"/>
      <c r="H497" s="44"/>
    </row>
    <row r="498" spans="1:8">
      <c r="A498" s="27"/>
      <c r="C498" s="28"/>
      <c r="D498" s="28"/>
      <c r="E498" s="44"/>
      <c r="F498" s="44"/>
      <c r="G498" s="44"/>
      <c r="H498" s="44"/>
    </row>
    <row r="499" spans="1:8">
      <c r="A499" s="27"/>
      <c r="C499" s="28"/>
      <c r="D499" s="28"/>
      <c r="E499" s="44"/>
      <c r="F499" s="44"/>
      <c r="G499" s="44"/>
      <c r="H499" s="44"/>
    </row>
    <row r="500" spans="1:8">
      <c r="A500" s="27"/>
      <c r="C500" s="28"/>
      <c r="D500" s="28"/>
      <c r="E500" s="44"/>
      <c r="F500" s="44"/>
      <c r="G500" s="44"/>
      <c r="H500" s="44"/>
    </row>
    <row r="501" spans="1:8">
      <c r="A501" s="27"/>
      <c r="C501" s="28"/>
      <c r="D501" s="28"/>
      <c r="E501" s="44"/>
      <c r="F501" s="44"/>
      <c r="G501" s="44"/>
      <c r="H501" s="44"/>
    </row>
    <row r="502" spans="1:8">
      <c r="A502" s="27"/>
      <c r="C502" s="28"/>
      <c r="D502" s="28"/>
      <c r="E502" s="44"/>
      <c r="F502" s="44"/>
      <c r="G502" s="44"/>
      <c r="H502" s="44"/>
    </row>
    <row r="503" spans="1:8">
      <c r="A503" s="27"/>
      <c r="C503" s="28"/>
      <c r="D503" s="28"/>
      <c r="E503" s="44"/>
      <c r="F503" s="44"/>
      <c r="G503" s="44"/>
      <c r="H503" s="44"/>
    </row>
    <row r="504" spans="1:8">
      <c r="A504" s="27"/>
      <c r="C504" s="28"/>
      <c r="D504" s="28"/>
      <c r="E504" s="44"/>
      <c r="F504" s="44"/>
      <c r="G504" s="44"/>
      <c r="H504" s="44"/>
    </row>
    <row r="505" spans="1:8">
      <c r="A505" s="27"/>
      <c r="C505" s="28"/>
      <c r="D505" s="28"/>
      <c r="E505" s="44"/>
      <c r="F505" s="44"/>
      <c r="G505" s="44"/>
      <c r="H505" s="44"/>
    </row>
    <row r="506" spans="1:8">
      <c r="A506" s="27"/>
      <c r="C506" s="28"/>
      <c r="D506" s="28"/>
      <c r="E506" s="44"/>
      <c r="F506" s="44"/>
      <c r="G506" s="44"/>
      <c r="H506" s="44"/>
    </row>
    <row r="507" spans="1:8">
      <c r="A507" s="27"/>
      <c r="C507" s="28"/>
      <c r="D507" s="28"/>
      <c r="E507" s="44"/>
      <c r="F507" s="44"/>
      <c r="G507" s="44"/>
      <c r="H507" s="44"/>
    </row>
    <row r="508" spans="1:8">
      <c r="A508" s="27"/>
      <c r="C508" s="28"/>
      <c r="D508" s="28"/>
      <c r="E508" s="44"/>
      <c r="F508" s="44"/>
      <c r="G508" s="44"/>
      <c r="H508" s="44"/>
    </row>
    <row r="509" spans="1:8">
      <c r="A509" s="27"/>
      <c r="C509" s="28"/>
      <c r="D509" s="28"/>
      <c r="E509" s="44"/>
      <c r="F509" s="44"/>
      <c r="G509" s="44"/>
      <c r="H509" s="44"/>
    </row>
    <row r="510" spans="1:8">
      <c r="A510" s="27"/>
      <c r="C510" s="28"/>
      <c r="D510" s="28"/>
      <c r="E510" s="44"/>
      <c r="F510" s="44"/>
      <c r="G510" s="44"/>
      <c r="H510" s="44"/>
    </row>
    <row r="511" spans="1:8">
      <c r="A511" s="27"/>
      <c r="C511" s="28"/>
      <c r="D511" s="28"/>
      <c r="E511" s="44"/>
      <c r="F511" s="44"/>
      <c r="G511" s="44"/>
      <c r="H511" s="44"/>
    </row>
    <row r="512" spans="1:8">
      <c r="A512" s="27"/>
      <c r="C512" s="28"/>
      <c r="D512" s="28"/>
      <c r="E512" s="44"/>
      <c r="F512" s="44"/>
      <c r="G512" s="44"/>
      <c r="H512" s="44"/>
    </row>
    <row r="513" spans="1:8">
      <c r="A513" s="27"/>
      <c r="C513" s="28"/>
      <c r="D513" s="28"/>
      <c r="E513" s="44"/>
      <c r="F513" s="44"/>
      <c r="G513" s="44"/>
      <c r="H513" s="44"/>
    </row>
    <row r="514" spans="1:8">
      <c r="A514" s="27"/>
      <c r="C514" s="28"/>
      <c r="D514" s="28"/>
      <c r="E514" s="44"/>
      <c r="F514" s="44"/>
      <c r="G514" s="44"/>
      <c r="H514" s="44"/>
    </row>
    <row r="515" spans="1:8">
      <c r="A515" s="27"/>
      <c r="C515" s="28"/>
      <c r="D515" s="28"/>
      <c r="E515" s="44"/>
      <c r="F515" s="44"/>
      <c r="G515" s="44"/>
      <c r="H515" s="44"/>
    </row>
    <row r="516" spans="1:8">
      <c r="A516" s="27"/>
      <c r="C516" s="28"/>
      <c r="D516" s="28"/>
      <c r="E516" s="44"/>
      <c r="F516" s="44"/>
      <c r="G516" s="44"/>
      <c r="H516" s="44"/>
    </row>
    <row r="517" spans="1:8">
      <c r="A517" s="27"/>
      <c r="C517" s="28"/>
      <c r="D517" s="28"/>
      <c r="E517" s="44"/>
      <c r="F517" s="44"/>
      <c r="G517" s="44"/>
      <c r="H517" s="44"/>
    </row>
    <row r="518" spans="1:8">
      <c r="A518" s="27"/>
      <c r="C518" s="28"/>
      <c r="D518" s="28"/>
      <c r="E518" s="44"/>
      <c r="F518" s="44"/>
      <c r="G518" s="44"/>
      <c r="H518" s="44"/>
    </row>
    <row r="519" spans="1:8">
      <c r="A519" s="27"/>
      <c r="C519" s="28"/>
      <c r="D519" s="28"/>
      <c r="E519" s="44"/>
      <c r="F519" s="44"/>
      <c r="G519" s="44"/>
      <c r="H519" s="44"/>
    </row>
    <row r="520" spans="1:8">
      <c r="A520" s="27"/>
      <c r="C520" s="28"/>
      <c r="D520" s="28"/>
      <c r="E520" s="44"/>
      <c r="F520" s="44"/>
      <c r="G520" s="44"/>
      <c r="H520" s="44"/>
    </row>
    <row r="521" spans="1:8">
      <c r="A521" s="27"/>
      <c r="C521" s="28"/>
      <c r="D521" s="28"/>
      <c r="E521" s="44"/>
      <c r="F521" s="44"/>
      <c r="G521" s="44"/>
      <c r="H521" s="44"/>
    </row>
    <row r="522" spans="1:8">
      <c r="A522" s="27"/>
      <c r="C522" s="28"/>
      <c r="D522" s="28"/>
      <c r="E522" s="44"/>
      <c r="F522" s="44"/>
      <c r="G522" s="44"/>
      <c r="H522" s="44"/>
    </row>
    <row r="523" spans="1:8">
      <c r="A523" s="27"/>
      <c r="C523" s="28"/>
      <c r="D523" s="28"/>
      <c r="E523" s="44"/>
      <c r="F523" s="44"/>
      <c r="G523" s="44"/>
      <c r="H523" s="44"/>
    </row>
    <row r="524" spans="1:8">
      <c r="A524" s="27"/>
      <c r="C524" s="28"/>
      <c r="D524" s="28"/>
      <c r="E524" s="44"/>
      <c r="F524" s="44"/>
      <c r="G524" s="44"/>
      <c r="H524" s="44"/>
    </row>
    <row r="525" spans="1:8">
      <c r="A525" s="27"/>
      <c r="C525" s="28"/>
      <c r="D525" s="28"/>
      <c r="E525" s="44"/>
      <c r="F525" s="44"/>
      <c r="G525" s="44"/>
      <c r="H525" s="44"/>
    </row>
    <row r="526" spans="1:8">
      <c r="A526" s="27"/>
      <c r="C526" s="28"/>
      <c r="D526" s="28"/>
      <c r="E526" s="44"/>
      <c r="F526" s="44"/>
      <c r="G526" s="44"/>
      <c r="H526" s="44"/>
    </row>
    <row r="527" spans="1:8">
      <c r="A527" s="27"/>
      <c r="C527" s="28"/>
      <c r="D527" s="28"/>
      <c r="E527" s="44"/>
      <c r="F527" s="44"/>
      <c r="G527" s="44"/>
      <c r="H527" s="44"/>
    </row>
    <row r="528" spans="1:8">
      <c r="A528" s="27"/>
      <c r="C528" s="28"/>
      <c r="D528" s="28"/>
      <c r="E528" s="44"/>
      <c r="F528" s="44"/>
      <c r="G528" s="44"/>
      <c r="H528" s="44"/>
    </row>
    <row r="529" spans="1:8">
      <c r="A529" s="27"/>
      <c r="C529" s="28"/>
      <c r="D529" s="28"/>
      <c r="E529" s="44"/>
      <c r="F529" s="44"/>
      <c r="G529" s="44"/>
      <c r="H529" s="44"/>
    </row>
    <row r="530" spans="1:8">
      <c r="A530" s="27"/>
      <c r="C530" s="28"/>
      <c r="D530" s="28"/>
      <c r="E530" s="44"/>
      <c r="F530" s="44"/>
      <c r="G530" s="44"/>
      <c r="H530" s="44"/>
    </row>
    <row r="531" spans="1:8">
      <c r="A531" s="27"/>
      <c r="C531" s="28"/>
      <c r="D531" s="28"/>
      <c r="E531" s="44"/>
      <c r="F531" s="44"/>
      <c r="G531" s="44"/>
      <c r="H531" s="44"/>
    </row>
    <row r="532" spans="1:8">
      <c r="A532" s="27"/>
      <c r="C532" s="28"/>
      <c r="D532" s="28"/>
      <c r="E532" s="44"/>
      <c r="F532" s="44"/>
      <c r="G532" s="44"/>
      <c r="H532" s="44"/>
    </row>
    <row r="533" spans="1:8">
      <c r="A533" s="27"/>
      <c r="C533" s="28"/>
      <c r="D533" s="28"/>
      <c r="E533" s="44"/>
      <c r="F533" s="44"/>
      <c r="G533" s="44"/>
      <c r="H533" s="44"/>
    </row>
    <row r="534" spans="1:8">
      <c r="A534" s="27"/>
      <c r="C534" s="28"/>
      <c r="D534" s="28"/>
      <c r="E534" s="44"/>
      <c r="F534" s="44"/>
      <c r="G534" s="44"/>
      <c r="H534" s="44"/>
    </row>
    <row r="535" spans="1:8">
      <c r="A535" s="27"/>
      <c r="C535" s="28"/>
      <c r="D535" s="28"/>
      <c r="E535" s="44"/>
      <c r="F535" s="44"/>
      <c r="G535" s="44"/>
      <c r="H535" s="44"/>
    </row>
    <row r="536" spans="1:8">
      <c r="A536" s="27"/>
      <c r="C536" s="28"/>
      <c r="D536" s="28"/>
      <c r="E536" s="44"/>
      <c r="F536" s="44"/>
      <c r="G536" s="44"/>
      <c r="H536" s="44"/>
    </row>
    <row r="537" spans="1:8">
      <c r="A537" s="27"/>
      <c r="C537" s="28"/>
      <c r="D537" s="28"/>
      <c r="E537" s="44"/>
      <c r="F537" s="44"/>
      <c r="G537" s="44"/>
      <c r="H537" s="44"/>
    </row>
    <row r="538" spans="1:8">
      <c r="A538" s="27"/>
      <c r="C538" s="28"/>
      <c r="D538" s="28"/>
      <c r="E538" s="44"/>
      <c r="F538" s="44"/>
      <c r="G538" s="44"/>
      <c r="H538" s="44"/>
    </row>
    <row r="539" spans="1:8">
      <c r="A539" s="27"/>
      <c r="C539" s="28"/>
      <c r="D539" s="28"/>
      <c r="E539" s="44"/>
      <c r="F539" s="44"/>
      <c r="G539" s="44"/>
      <c r="H539" s="44"/>
    </row>
    <row r="540" spans="1:8">
      <c r="A540" s="27"/>
      <c r="C540" s="28"/>
      <c r="D540" s="28"/>
      <c r="E540" s="44"/>
      <c r="F540" s="44"/>
      <c r="G540" s="44"/>
      <c r="H540" s="44"/>
    </row>
    <row r="541" spans="1:8">
      <c r="A541" s="27"/>
      <c r="C541" s="28"/>
      <c r="D541" s="28"/>
      <c r="E541" s="44"/>
      <c r="F541" s="44"/>
      <c r="G541" s="44"/>
      <c r="H541" s="44"/>
    </row>
    <row r="542" spans="1:8">
      <c r="A542" s="27"/>
      <c r="C542" s="28"/>
      <c r="D542" s="28"/>
      <c r="E542" s="44"/>
      <c r="F542" s="44"/>
      <c r="G542" s="44"/>
      <c r="H542" s="44"/>
    </row>
    <row r="543" spans="1:8">
      <c r="A543" s="27"/>
      <c r="C543" s="28"/>
      <c r="D543" s="28"/>
      <c r="E543" s="44"/>
      <c r="F543" s="44"/>
      <c r="G543" s="44"/>
      <c r="H543" s="44"/>
    </row>
    <row r="544" spans="1:8">
      <c r="A544" s="27"/>
      <c r="C544" s="28"/>
      <c r="D544" s="28"/>
      <c r="E544" s="44"/>
      <c r="F544" s="44"/>
      <c r="G544" s="44"/>
      <c r="H544" s="44"/>
    </row>
    <row r="545" spans="1:8">
      <c r="A545" s="27"/>
      <c r="C545" s="28"/>
      <c r="D545" s="28"/>
      <c r="E545" s="44"/>
      <c r="F545" s="44"/>
      <c r="G545" s="44"/>
      <c r="H545" s="44"/>
    </row>
    <row r="546" spans="1:8">
      <c r="A546" s="27"/>
      <c r="C546" s="28"/>
      <c r="D546" s="28"/>
      <c r="E546" s="44"/>
      <c r="F546" s="44"/>
      <c r="G546" s="44"/>
      <c r="H546" s="44"/>
    </row>
    <row r="547" spans="1:8">
      <c r="A547" s="27"/>
      <c r="C547" s="28"/>
      <c r="D547" s="28"/>
      <c r="E547" s="44"/>
      <c r="F547" s="44"/>
      <c r="G547" s="44"/>
      <c r="H547" s="44"/>
    </row>
    <row r="548" spans="1:8">
      <c r="A548" s="27"/>
      <c r="C548" s="28"/>
      <c r="D548" s="28"/>
      <c r="E548" s="44"/>
      <c r="F548" s="44"/>
      <c r="G548" s="44"/>
      <c r="H548" s="44"/>
    </row>
    <row r="549" spans="1:8">
      <c r="A549" s="27"/>
      <c r="C549" s="28"/>
      <c r="D549" s="28"/>
      <c r="E549" s="44"/>
      <c r="F549" s="44"/>
      <c r="G549" s="44"/>
      <c r="H549" s="44"/>
    </row>
    <row r="550" spans="1:8">
      <c r="A550" s="27"/>
      <c r="C550" s="28"/>
      <c r="D550" s="28"/>
      <c r="E550" s="44"/>
      <c r="F550" s="44"/>
      <c r="G550" s="44"/>
      <c r="H550" s="44"/>
    </row>
    <row r="551" spans="1:8">
      <c r="A551" s="27"/>
      <c r="C551" s="28"/>
      <c r="D551" s="28"/>
      <c r="E551" s="44"/>
      <c r="F551" s="44"/>
      <c r="G551" s="44"/>
      <c r="H551" s="44"/>
    </row>
    <row r="552" spans="1:8">
      <c r="A552" s="27"/>
      <c r="C552" s="28"/>
      <c r="D552" s="28"/>
      <c r="E552" s="44"/>
      <c r="F552" s="44"/>
      <c r="G552" s="44"/>
      <c r="H552" s="44"/>
    </row>
    <row r="553" spans="1:8">
      <c r="A553" s="27"/>
      <c r="C553" s="28"/>
      <c r="D553" s="28"/>
      <c r="E553" s="44"/>
      <c r="F553" s="44"/>
      <c r="G553" s="44"/>
      <c r="H553" s="44"/>
    </row>
    <row r="554" spans="1:8">
      <c r="A554" s="27"/>
      <c r="C554" s="28"/>
      <c r="D554" s="28"/>
      <c r="E554" s="44"/>
      <c r="F554" s="44"/>
      <c r="G554" s="44"/>
      <c r="H554" s="44"/>
    </row>
    <row r="555" spans="1:8">
      <c r="A555" s="27"/>
      <c r="C555" s="28"/>
      <c r="D555" s="28"/>
      <c r="E555" s="44"/>
      <c r="F555" s="44"/>
      <c r="G555" s="44"/>
      <c r="H555" s="44"/>
    </row>
    <row r="556" spans="1:8">
      <c r="A556" s="27"/>
      <c r="C556" s="28"/>
      <c r="D556" s="28"/>
      <c r="E556" s="44"/>
      <c r="F556" s="44"/>
      <c r="G556" s="44"/>
      <c r="H556" s="44"/>
    </row>
    <row r="557" spans="1:8">
      <c r="A557" s="27"/>
      <c r="C557" s="28"/>
      <c r="D557" s="28"/>
      <c r="E557" s="44"/>
      <c r="F557" s="44"/>
      <c r="G557" s="44"/>
      <c r="H557" s="44"/>
    </row>
    <row r="558" spans="1:8">
      <c r="A558" s="27"/>
      <c r="C558" s="28"/>
      <c r="D558" s="28"/>
      <c r="E558" s="44"/>
      <c r="F558" s="44"/>
      <c r="G558" s="44"/>
      <c r="H558" s="44"/>
    </row>
    <row r="559" spans="1:8">
      <c r="A559" s="27"/>
      <c r="C559" s="28"/>
      <c r="D559" s="28"/>
      <c r="E559" s="44"/>
      <c r="F559" s="44"/>
      <c r="G559" s="44"/>
      <c r="H559" s="44"/>
    </row>
    <row r="560" spans="1:8">
      <c r="A560" s="27"/>
      <c r="C560" s="28"/>
      <c r="D560" s="28"/>
      <c r="E560" s="44"/>
      <c r="F560" s="44"/>
      <c r="G560" s="44"/>
      <c r="H560" s="44"/>
    </row>
    <row r="561" spans="1:8">
      <c r="A561" s="27"/>
      <c r="C561" s="28"/>
      <c r="D561" s="28"/>
      <c r="E561" s="44"/>
      <c r="F561" s="44"/>
      <c r="G561" s="44"/>
      <c r="H561" s="44"/>
    </row>
    <row r="562" spans="1:8">
      <c r="A562" s="27"/>
      <c r="C562" s="28"/>
      <c r="D562" s="28"/>
      <c r="E562" s="44"/>
      <c r="F562" s="44"/>
      <c r="G562" s="44"/>
      <c r="H562" s="44"/>
    </row>
    <row r="563" spans="1:8">
      <c r="A563" s="27"/>
      <c r="C563" s="28"/>
      <c r="D563" s="28"/>
      <c r="E563" s="44"/>
      <c r="F563" s="44"/>
      <c r="G563" s="44"/>
      <c r="H563" s="44"/>
    </row>
    <row r="564" spans="1:8">
      <c r="A564" s="27"/>
      <c r="C564" s="28"/>
      <c r="D564" s="28"/>
      <c r="E564" s="44"/>
      <c r="F564" s="44"/>
      <c r="G564" s="44"/>
      <c r="H564" s="44"/>
    </row>
    <row r="565" spans="1:8">
      <c r="A565" s="27"/>
      <c r="C565" s="28"/>
      <c r="D565" s="28"/>
      <c r="E565" s="44"/>
      <c r="F565" s="44"/>
      <c r="G565" s="44"/>
      <c r="H565" s="44"/>
    </row>
    <row r="566" spans="1:8">
      <c r="A566" s="27"/>
      <c r="C566" s="28"/>
      <c r="D566" s="28"/>
      <c r="E566" s="44"/>
      <c r="F566" s="44"/>
      <c r="G566" s="44"/>
      <c r="H566" s="44"/>
    </row>
    <row r="567" spans="1:8">
      <c r="A567" s="27"/>
      <c r="C567" s="28"/>
      <c r="D567" s="28"/>
      <c r="E567" s="44"/>
      <c r="F567" s="44"/>
      <c r="G567" s="44"/>
      <c r="H567" s="44"/>
    </row>
    <row r="568" spans="1:8">
      <c r="A568" s="27"/>
      <c r="C568" s="28"/>
      <c r="D568" s="28"/>
      <c r="E568" s="44"/>
      <c r="F568" s="44"/>
      <c r="G568" s="44"/>
      <c r="H568" s="44"/>
    </row>
    <row r="569" spans="1:8">
      <c r="A569" s="27"/>
      <c r="C569" s="28"/>
      <c r="D569" s="28"/>
      <c r="E569" s="44"/>
      <c r="F569" s="44"/>
      <c r="G569" s="44"/>
      <c r="H569" s="44"/>
    </row>
    <row r="570" spans="1:8">
      <c r="A570" s="27"/>
      <c r="C570" s="28"/>
      <c r="D570" s="28"/>
      <c r="E570" s="44"/>
      <c r="F570" s="44"/>
      <c r="G570" s="44"/>
      <c r="H570" s="44"/>
    </row>
    <row r="571" spans="1:8">
      <c r="A571" s="27"/>
      <c r="C571" s="28"/>
      <c r="D571" s="28"/>
      <c r="E571" s="44"/>
      <c r="F571" s="44"/>
      <c r="G571" s="44"/>
      <c r="H571" s="44"/>
    </row>
    <row r="572" spans="1:8">
      <c r="A572" s="27"/>
      <c r="C572" s="28"/>
      <c r="D572" s="28"/>
      <c r="E572" s="44"/>
      <c r="F572" s="44"/>
      <c r="G572" s="44"/>
      <c r="H572" s="44"/>
    </row>
    <row r="573" spans="1:8">
      <c r="A573" s="27"/>
      <c r="C573" s="28"/>
      <c r="D573" s="28"/>
      <c r="E573" s="44"/>
      <c r="F573" s="44"/>
      <c r="G573" s="44"/>
      <c r="H573" s="44"/>
    </row>
    <row r="574" spans="1:8">
      <c r="A574" s="27"/>
      <c r="C574" s="28"/>
      <c r="D574" s="28"/>
      <c r="E574" s="44"/>
      <c r="F574" s="44"/>
      <c r="G574" s="44"/>
      <c r="H574" s="44"/>
    </row>
    <row r="575" spans="1:8">
      <c r="A575" s="27"/>
      <c r="C575" s="28"/>
      <c r="D575" s="28"/>
      <c r="E575" s="44"/>
      <c r="F575" s="44"/>
      <c r="G575" s="44"/>
      <c r="H575" s="44"/>
    </row>
    <row r="576" spans="1:8">
      <c r="A576" s="27"/>
      <c r="C576" s="28"/>
      <c r="D576" s="28"/>
      <c r="E576" s="44"/>
      <c r="F576" s="44"/>
      <c r="G576" s="44"/>
      <c r="H576" s="44"/>
    </row>
    <row r="577" spans="1:8">
      <c r="A577" s="27"/>
      <c r="C577" s="28"/>
      <c r="D577" s="28"/>
      <c r="E577" s="44"/>
      <c r="F577" s="44"/>
      <c r="G577" s="44"/>
      <c r="H577" s="44"/>
    </row>
    <row r="578" spans="1:8">
      <c r="A578" s="27"/>
      <c r="C578" s="28"/>
      <c r="D578" s="28"/>
      <c r="E578" s="44"/>
      <c r="F578" s="44"/>
      <c r="G578" s="44"/>
      <c r="H578" s="44"/>
    </row>
    <row r="579" spans="1:8">
      <c r="A579" s="27"/>
      <c r="C579" s="28"/>
      <c r="D579" s="28"/>
      <c r="E579" s="44"/>
      <c r="F579" s="44"/>
      <c r="G579" s="44"/>
      <c r="H579" s="44"/>
    </row>
    <row r="580" spans="1:8">
      <c r="A580" s="27"/>
      <c r="C580" s="28"/>
      <c r="D580" s="28"/>
      <c r="E580" s="44"/>
      <c r="F580" s="44"/>
      <c r="G580" s="44"/>
      <c r="H580" s="44"/>
    </row>
    <row r="581" spans="1:8">
      <c r="A581" s="27"/>
      <c r="C581" s="28"/>
      <c r="D581" s="28"/>
      <c r="E581" s="44"/>
      <c r="F581" s="44"/>
      <c r="G581" s="44"/>
      <c r="H581" s="44"/>
    </row>
    <row r="582" spans="1:8">
      <c r="A582" s="27"/>
      <c r="C582" s="28"/>
      <c r="D582" s="28"/>
      <c r="E582" s="44"/>
      <c r="F582" s="44"/>
      <c r="G582" s="44"/>
      <c r="H582" s="44"/>
    </row>
    <row r="583" spans="1:8">
      <c r="A583" s="27"/>
      <c r="C583" s="28"/>
      <c r="D583" s="28"/>
      <c r="E583" s="44"/>
      <c r="F583" s="44"/>
      <c r="G583" s="44"/>
      <c r="H583" s="44"/>
    </row>
    <row r="584" spans="1:8">
      <c r="A584" s="27"/>
      <c r="C584" s="28"/>
      <c r="D584" s="28"/>
      <c r="E584" s="44"/>
      <c r="F584" s="44"/>
      <c r="G584" s="44"/>
      <c r="H584" s="44"/>
    </row>
    <row r="585" spans="1:8">
      <c r="A585" s="27"/>
      <c r="C585" s="28"/>
      <c r="D585" s="28"/>
      <c r="E585" s="44"/>
      <c r="F585" s="44"/>
      <c r="G585" s="44"/>
      <c r="H585" s="44"/>
    </row>
    <row r="586" spans="1:8">
      <c r="A586" s="27"/>
      <c r="C586" s="28"/>
      <c r="D586" s="28"/>
      <c r="E586" s="44"/>
      <c r="F586" s="44"/>
      <c r="G586" s="44"/>
      <c r="H586" s="44"/>
    </row>
    <row r="587" spans="1:8">
      <c r="A587" s="27"/>
      <c r="C587" s="28"/>
      <c r="D587" s="28"/>
      <c r="E587" s="44"/>
      <c r="F587" s="44"/>
      <c r="G587" s="44"/>
      <c r="H587" s="44"/>
    </row>
    <row r="588" spans="1:8">
      <c r="A588" s="27"/>
      <c r="C588" s="28"/>
      <c r="D588" s="28"/>
      <c r="E588" s="44"/>
      <c r="F588" s="44"/>
      <c r="G588" s="44"/>
      <c r="H588" s="44"/>
    </row>
    <row r="589" spans="1:8">
      <c r="A589" s="27"/>
      <c r="C589" s="28"/>
      <c r="D589" s="28"/>
      <c r="E589" s="44"/>
      <c r="F589" s="44"/>
      <c r="G589" s="44"/>
      <c r="H589" s="44"/>
    </row>
    <row r="590" spans="1:8">
      <c r="A590" s="27"/>
      <c r="C590" s="28"/>
      <c r="D590" s="28"/>
      <c r="E590" s="44"/>
      <c r="F590" s="44"/>
      <c r="G590" s="44"/>
      <c r="H590" s="44"/>
    </row>
    <row r="591" spans="1:8">
      <c r="A591" s="27"/>
      <c r="C591" s="28"/>
      <c r="D591" s="28"/>
      <c r="E591" s="44"/>
      <c r="F591" s="44"/>
      <c r="G591" s="44"/>
      <c r="H591" s="44"/>
    </row>
    <row r="592" spans="1:8">
      <c r="A592" s="27"/>
      <c r="C592" s="28"/>
      <c r="D592" s="28"/>
      <c r="E592" s="44"/>
      <c r="F592" s="44"/>
      <c r="G592" s="44"/>
      <c r="H592" s="44"/>
    </row>
    <row r="593" spans="1:8">
      <c r="A593" s="27"/>
      <c r="C593" s="28"/>
      <c r="D593" s="28"/>
      <c r="E593" s="44"/>
      <c r="F593" s="44"/>
      <c r="G593" s="44"/>
      <c r="H593" s="44"/>
    </row>
    <row r="594" spans="1:8">
      <c r="A594" s="27"/>
      <c r="C594" s="28"/>
      <c r="D594" s="28"/>
      <c r="E594" s="44"/>
      <c r="F594" s="44"/>
      <c r="G594" s="44"/>
      <c r="H594" s="44"/>
    </row>
    <row r="595" spans="1:8">
      <c r="A595" s="27"/>
      <c r="C595" s="28"/>
      <c r="D595" s="28"/>
      <c r="E595" s="44"/>
      <c r="F595" s="44"/>
      <c r="G595" s="44"/>
      <c r="H595" s="44"/>
    </row>
    <row r="596" spans="1:8">
      <c r="A596" s="27"/>
      <c r="C596" s="28"/>
      <c r="D596" s="28"/>
      <c r="E596" s="44"/>
      <c r="F596" s="44"/>
      <c r="G596" s="44"/>
      <c r="H596" s="44"/>
    </row>
    <row r="597" spans="1:8">
      <c r="A597" s="27"/>
      <c r="C597" s="28"/>
      <c r="D597" s="28"/>
      <c r="E597" s="44"/>
      <c r="F597" s="44"/>
      <c r="G597" s="44"/>
      <c r="H597" s="44"/>
    </row>
    <row r="598" spans="1:8">
      <c r="A598" s="27"/>
      <c r="C598" s="28"/>
      <c r="D598" s="28"/>
      <c r="E598" s="44"/>
      <c r="F598" s="44"/>
      <c r="G598" s="44"/>
      <c r="H598" s="44"/>
    </row>
    <row r="599" spans="1:8">
      <c r="A599" s="27"/>
      <c r="C599" s="28"/>
      <c r="D599" s="28"/>
      <c r="E599" s="44"/>
      <c r="F599" s="44"/>
      <c r="G599" s="44"/>
      <c r="H599" s="44"/>
    </row>
    <row r="600" spans="1:8">
      <c r="A600" s="27"/>
      <c r="C600" s="28"/>
      <c r="D600" s="28"/>
      <c r="E600" s="44"/>
      <c r="F600" s="44"/>
      <c r="G600" s="44"/>
      <c r="H600" s="44"/>
    </row>
    <row r="601" spans="1:8">
      <c r="A601" s="27"/>
      <c r="C601" s="28"/>
      <c r="D601" s="28"/>
      <c r="E601" s="44"/>
      <c r="F601" s="44"/>
      <c r="G601" s="44"/>
      <c r="H601" s="44"/>
    </row>
    <row r="602" spans="1:8">
      <c r="A602" s="27"/>
      <c r="C602" s="28"/>
      <c r="D602" s="28"/>
      <c r="E602" s="44"/>
      <c r="F602" s="44"/>
      <c r="G602" s="44"/>
      <c r="H602" s="44"/>
    </row>
    <row r="603" spans="1:8">
      <c r="A603" s="27"/>
      <c r="C603" s="28"/>
      <c r="D603" s="28"/>
      <c r="E603" s="44"/>
      <c r="F603" s="44"/>
      <c r="G603" s="44"/>
      <c r="H603" s="44"/>
    </row>
    <row r="604" spans="1:8">
      <c r="A604" s="27"/>
      <c r="C604" s="28"/>
      <c r="D604" s="28"/>
      <c r="E604" s="44"/>
      <c r="F604" s="44"/>
      <c r="G604" s="44"/>
      <c r="H604" s="44"/>
    </row>
    <row r="605" spans="1:8">
      <c r="A605" s="27"/>
      <c r="C605" s="28"/>
      <c r="D605" s="28"/>
      <c r="E605" s="44"/>
      <c r="F605" s="44"/>
      <c r="G605" s="44"/>
      <c r="H605" s="44"/>
    </row>
    <row r="606" spans="1:8">
      <c r="A606" s="27"/>
      <c r="C606" s="28"/>
      <c r="D606" s="28"/>
      <c r="E606" s="44"/>
      <c r="F606" s="44"/>
      <c r="G606" s="44"/>
      <c r="H606" s="44"/>
    </row>
    <row r="607" spans="1:8">
      <c r="A607" s="27"/>
      <c r="C607" s="28"/>
      <c r="D607" s="28"/>
      <c r="E607" s="44"/>
      <c r="F607" s="44"/>
      <c r="G607" s="44"/>
      <c r="H607" s="44"/>
    </row>
    <row r="608" spans="1:8">
      <c r="A608" s="27"/>
      <c r="C608" s="28"/>
      <c r="D608" s="28"/>
      <c r="E608" s="44"/>
      <c r="F608" s="44"/>
      <c r="G608" s="44"/>
      <c r="H608" s="44"/>
    </row>
    <row r="609" spans="1:8">
      <c r="A609" s="27"/>
      <c r="C609" s="28"/>
      <c r="D609" s="28"/>
      <c r="E609" s="44"/>
      <c r="F609" s="44"/>
      <c r="G609" s="44"/>
      <c r="H609" s="44"/>
    </row>
    <row r="610" spans="1:8">
      <c r="A610" s="27"/>
      <c r="C610" s="28"/>
      <c r="D610" s="28"/>
      <c r="E610" s="44"/>
      <c r="F610" s="44"/>
      <c r="G610" s="44"/>
      <c r="H610" s="44"/>
    </row>
    <row r="611" spans="1:8">
      <c r="A611" s="27"/>
      <c r="C611" s="28"/>
      <c r="D611" s="28"/>
      <c r="E611" s="44"/>
      <c r="F611" s="44"/>
      <c r="G611" s="44"/>
      <c r="H611" s="44"/>
    </row>
    <row r="612" spans="1:8">
      <c r="A612" s="27"/>
      <c r="C612" s="28"/>
      <c r="D612" s="28"/>
      <c r="E612" s="44"/>
      <c r="F612" s="44"/>
      <c r="G612" s="44"/>
      <c r="H612" s="44"/>
    </row>
    <row r="613" spans="1:8">
      <c r="A613" s="27"/>
      <c r="C613" s="28"/>
      <c r="D613" s="28"/>
      <c r="E613" s="44"/>
      <c r="F613" s="44"/>
      <c r="G613" s="44"/>
      <c r="H613" s="44"/>
    </row>
    <row r="614" spans="1:8">
      <c r="A614" s="27"/>
      <c r="C614" s="28"/>
      <c r="D614" s="28"/>
      <c r="E614" s="44"/>
      <c r="F614" s="44"/>
      <c r="G614" s="44"/>
      <c r="H614" s="44"/>
    </row>
    <row r="615" spans="1:8">
      <c r="A615" s="27"/>
      <c r="C615" s="28"/>
      <c r="D615" s="28"/>
      <c r="E615" s="44"/>
      <c r="F615" s="44"/>
      <c r="G615" s="44"/>
      <c r="H615" s="44"/>
    </row>
    <row r="616" spans="1:8">
      <c r="A616" s="27"/>
      <c r="C616" s="28"/>
      <c r="D616" s="28"/>
      <c r="E616" s="44"/>
      <c r="F616" s="44"/>
      <c r="G616" s="44"/>
      <c r="H616" s="44"/>
    </row>
    <row r="617" spans="1:8">
      <c r="A617" s="27"/>
      <c r="C617" s="28"/>
      <c r="D617" s="28"/>
      <c r="E617" s="44"/>
      <c r="F617" s="44"/>
      <c r="G617" s="44"/>
      <c r="H617" s="44"/>
    </row>
    <row r="618" spans="1:8">
      <c r="A618" s="27"/>
      <c r="C618" s="28"/>
      <c r="D618" s="28"/>
      <c r="E618" s="44"/>
      <c r="F618" s="44"/>
      <c r="G618" s="44"/>
      <c r="H618" s="44"/>
    </row>
    <row r="619" spans="1:8">
      <c r="A619" s="27"/>
      <c r="C619" s="28"/>
      <c r="D619" s="28"/>
      <c r="E619" s="44"/>
      <c r="F619" s="44"/>
      <c r="G619" s="44"/>
      <c r="H619" s="44"/>
    </row>
    <row r="620" spans="1:8">
      <c r="A620" s="27"/>
      <c r="C620" s="28"/>
      <c r="D620" s="28"/>
      <c r="E620" s="44"/>
      <c r="F620" s="44"/>
      <c r="G620" s="44"/>
      <c r="H620" s="44"/>
    </row>
    <row r="621" spans="1:8">
      <c r="A621" s="27"/>
      <c r="C621" s="28"/>
      <c r="D621" s="28"/>
      <c r="E621" s="44"/>
      <c r="F621" s="44"/>
      <c r="G621" s="44"/>
      <c r="H621" s="44"/>
    </row>
    <row r="622" spans="1:8">
      <c r="A622" s="27"/>
      <c r="C622" s="28"/>
      <c r="D622" s="28"/>
      <c r="E622" s="44"/>
      <c r="F622" s="44"/>
      <c r="G622" s="44"/>
      <c r="H622" s="44"/>
    </row>
    <row r="623" spans="1:8">
      <c r="A623" s="27"/>
      <c r="C623" s="28"/>
      <c r="D623" s="28"/>
      <c r="E623" s="44"/>
      <c r="F623" s="44"/>
      <c r="G623" s="44"/>
      <c r="H623" s="44"/>
    </row>
    <row r="624" spans="1:8">
      <c r="A624" s="27"/>
      <c r="C624" s="28"/>
      <c r="D624" s="28"/>
      <c r="E624" s="44"/>
      <c r="F624" s="44"/>
      <c r="G624" s="44"/>
      <c r="H624" s="44"/>
    </row>
    <row r="625" spans="1:8">
      <c r="A625" s="27"/>
      <c r="C625" s="28"/>
      <c r="D625" s="28"/>
      <c r="E625" s="44"/>
      <c r="F625" s="44"/>
      <c r="G625" s="44"/>
      <c r="H625" s="44"/>
    </row>
    <row r="626" spans="1:8">
      <c r="A626" s="27"/>
      <c r="C626" s="28"/>
      <c r="D626" s="28"/>
      <c r="E626" s="44"/>
      <c r="F626" s="44"/>
      <c r="G626" s="44"/>
      <c r="H626" s="44"/>
    </row>
    <row r="627" spans="1:8">
      <c r="A627" s="27"/>
      <c r="C627" s="28"/>
      <c r="D627" s="28"/>
      <c r="E627" s="44"/>
      <c r="F627" s="44"/>
      <c r="G627" s="44"/>
      <c r="H627" s="44"/>
    </row>
    <row r="628" spans="1:8">
      <c r="A628" s="27"/>
      <c r="C628" s="28"/>
      <c r="D628" s="28"/>
      <c r="E628" s="44"/>
      <c r="F628" s="44"/>
      <c r="G628" s="44"/>
      <c r="H628" s="44"/>
    </row>
    <row r="629" spans="1:8">
      <c r="A629" s="27"/>
      <c r="C629" s="28"/>
      <c r="D629" s="28"/>
      <c r="E629" s="44"/>
      <c r="F629" s="44"/>
      <c r="G629" s="44"/>
      <c r="H629" s="44"/>
    </row>
    <row r="630" spans="1:8">
      <c r="A630" s="27"/>
      <c r="C630" s="28"/>
      <c r="D630" s="28"/>
      <c r="E630" s="44"/>
      <c r="F630" s="44"/>
      <c r="G630" s="44"/>
      <c r="H630" s="44"/>
    </row>
    <row r="631" spans="1:8">
      <c r="A631" s="27"/>
      <c r="C631" s="28"/>
      <c r="D631" s="28"/>
      <c r="E631" s="44"/>
      <c r="F631" s="44"/>
      <c r="G631" s="44"/>
      <c r="H631" s="44"/>
    </row>
    <row r="632" spans="1:8">
      <c r="A632" s="27"/>
      <c r="C632" s="28"/>
      <c r="D632" s="28"/>
      <c r="E632" s="44"/>
      <c r="F632" s="44"/>
      <c r="G632" s="44"/>
      <c r="H632" s="44"/>
    </row>
    <row r="633" spans="1:8">
      <c r="A633" s="27"/>
      <c r="C633" s="28"/>
      <c r="D633" s="28"/>
      <c r="E633" s="44"/>
      <c r="F633" s="44"/>
      <c r="G633" s="44"/>
      <c r="H633" s="44"/>
    </row>
    <row r="634" spans="1:8">
      <c r="A634" s="27"/>
      <c r="C634" s="28"/>
      <c r="D634" s="28"/>
      <c r="E634" s="44"/>
      <c r="F634" s="44"/>
      <c r="G634" s="44"/>
      <c r="H634" s="44"/>
    </row>
    <row r="635" spans="1:8">
      <c r="A635" s="27"/>
      <c r="C635" s="28"/>
      <c r="D635" s="28"/>
      <c r="E635" s="44"/>
      <c r="F635" s="44"/>
      <c r="G635" s="44"/>
      <c r="H635" s="44"/>
    </row>
    <row r="636" spans="1:8">
      <c r="A636" s="27"/>
      <c r="C636" s="28"/>
      <c r="D636" s="28"/>
      <c r="E636" s="44"/>
      <c r="F636" s="44"/>
      <c r="G636" s="44"/>
      <c r="H636" s="44"/>
    </row>
    <row r="637" spans="1:8">
      <c r="A637" s="27"/>
      <c r="C637" s="28"/>
      <c r="D637" s="28"/>
      <c r="E637" s="44"/>
      <c r="F637" s="44"/>
      <c r="G637" s="44"/>
      <c r="H637" s="44"/>
    </row>
    <row r="638" spans="1:8">
      <c r="A638" s="27"/>
      <c r="C638" s="28"/>
      <c r="D638" s="28"/>
      <c r="E638" s="44"/>
      <c r="F638" s="44"/>
      <c r="G638" s="44"/>
      <c r="H638" s="44"/>
    </row>
    <row r="639" spans="1:8">
      <c r="A639" s="27"/>
      <c r="C639" s="28"/>
      <c r="D639" s="28"/>
      <c r="E639" s="44"/>
      <c r="F639" s="44"/>
      <c r="G639" s="44"/>
      <c r="H639" s="44"/>
    </row>
    <row r="640" spans="1:8">
      <c r="A640" s="27"/>
      <c r="C640" s="28"/>
      <c r="D640" s="28"/>
      <c r="E640" s="44"/>
      <c r="F640" s="44"/>
      <c r="G640" s="44"/>
      <c r="H640" s="44"/>
    </row>
    <row r="641" spans="1:8">
      <c r="A641" s="27"/>
      <c r="C641" s="28"/>
      <c r="D641" s="28"/>
      <c r="E641" s="44"/>
      <c r="F641" s="44"/>
      <c r="G641" s="44"/>
      <c r="H641" s="44"/>
    </row>
    <row r="642" spans="1:8">
      <c r="A642" s="27"/>
      <c r="C642" s="28"/>
      <c r="D642" s="28"/>
      <c r="E642" s="44"/>
      <c r="F642" s="44"/>
      <c r="G642" s="44"/>
      <c r="H642" s="44"/>
    </row>
    <row r="643" spans="1:8">
      <c r="A643" s="27"/>
      <c r="C643" s="28"/>
      <c r="D643" s="28"/>
      <c r="E643" s="44"/>
      <c r="F643" s="44"/>
      <c r="G643" s="44"/>
      <c r="H643" s="44"/>
    </row>
    <row r="644" spans="1:8">
      <c r="A644" s="27"/>
      <c r="C644" s="28"/>
      <c r="D644" s="28"/>
      <c r="E644" s="44"/>
      <c r="F644" s="44"/>
      <c r="G644" s="44"/>
      <c r="H644" s="44"/>
    </row>
    <row r="645" spans="1:8">
      <c r="A645" s="27"/>
      <c r="C645" s="28"/>
      <c r="D645" s="28"/>
      <c r="E645" s="44"/>
      <c r="F645" s="44"/>
      <c r="G645" s="44"/>
      <c r="H645" s="44"/>
    </row>
    <row r="646" spans="1:8">
      <c r="A646" s="27"/>
      <c r="C646" s="28"/>
      <c r="D646" s="28"/>
      <c r="E646" s="44"/>
      <c r="F646" s="44"/>
      <c r="G646" s="44"/>
      <c r="H646" s="44"/>
    </row>
    <row r="647" spans="1:8">
      <c r="A647" s="27"/>
      <c r="C647" s="28"/>
      <c r="D647" s="28"/>
      <c r="E647" s="44"/>
      <c r="F647" s="44"/>
      <c r="G647" s="44"/>
      <c r="H647" s="44"/>
    </row>
    <row r="648" spans="1:8">
      <c r="A648" s="27"/>
      <c r="C648" s="28"/>
      <c r="D648" s="28"/>
      <c r="E648" s="44"/>
      <c r="F648" s="44"/>
      <c r="G648" s="44"/>
      <c r="H648" s="44"/>
    </row>
    <row r="649" spans="1:8">
      <c r="A649" s="27"/>
      <c r="C649" s="28"/>
      <c r="D649" s="28"/>
      <c r="E649" s="44"/>
      <c r="F649" s="44"/>
      <c r="G649" s="44"/>
      <c r="H649" s="44"/>
    </row>
    <row r="650" spans="1:8">
      <c r="A650" s="27"/>
      <c r="C650" s="28"/>
      <c r="D650" s="28"/>
      <c r="E650" s="44"/>
      <c r="F650" s="44"/>
      <c r="G650" s="44"/>
      <c r="H650" s="44"/>
    </row>
    <row r="651" spans="1:8">
      <c r="A651" s="27"/>
      <c r="C651" s="28"/>
      <c r="D651" s="28"/>
      <c r="E651" s="44"/>
      <c r="F651" s="44"/>
      <c r="G651" s="44"/>
      <c r="H651" s="44"/>
    </row>
    <row r="652" spans="1:8">
      <c r="A652" s="27"/>
      <c r="C652" s="28"/>
      <c r="D652" s="28"/>
      <c r="E652" s="44"/>
      <c r="F652" s="44"/>
      <c r="G652" s="44"/>
      <c r="H652" s="44"/>
    </row>
    <row r="653" spans="1:8">
      <c r="A653" s="27"/>
      <c r="C653" s="28"/>
      <c r="D653" s="28"/>
      <c r="E653" s="44"/>
      <c r="F653" s="44"/>
      <c r="G653" s="44"/>
      <c r="H653" s="44"/>
    </row>
    <row r="654" spans="1:8">
      <c r="A654" s="27"/>
      <c r="C654" s="28"/>
      <c r="D654" s="28"/>
      <c r="E654" s="44"/>
      <c r="F654" s="44"/>
      <c r="G654" s="44"/>
      <c r="H654" s="44"/>
    </row>
    <row r="655" spans="1:8">
      <c r="A655" s="27"/>
      <c r="C655" s="28"/>
      <c r="D655" s="28"/>
      <c r="E655" s="44"/>
      <c r="F655" s="44"/>
      <c r="G655" s="44"/>
      <c r="H655" s="44"/>
    </row>
    <row r="656" spans="1:8">
      <c r="A656" s="27"/>
      <c r="C656" s="28"/>
      <c r="D656" s="28"/>
      <c r="E656" s="44"/>
      <c r="F656" s="44"/>
      <c r="G656" s="44"/>
      <c r="H656" s="44"/>
    </row>
    <row r="657" spans="1:8">
      <c r="A657" s="27"/>
      <c r="C657" s="28"/>
      <c r="D657" s="28"/>
      <c r="E657" s="44"/>
      <c r="F657" s="44"/>
      <c r="G657" s="44"/>
      <c r="H657" s="44"/>
    </row>
    <row r="658" spans="1:8">
      <c r="A658" s="27"/>
      <c r="C658" s="28"/>
      <c r="D658" s="28"/>
      <c r="E658" s="44"/>
      <c r="F658" s="44"/>
      <c r="G658" s="44"/>
      <c r="H658" s="44"/>
    </row>
    <row r="659" spans="1:8">
      <c r="A659" s="27"/>
      <c r="C659" s="28"/>
      <c r="D659" s="28"/>
      <c r="E659" s="44"/>
      <c r="F659" s="44"/>
      <c r="G659" s="44"/>
      <c r="H659" s="44"/>
    </row>
    <row r="660" spans="1:8">
      <c r="A660" s="27"/>
      <c r="C660" s="28"/>
      <c r="D660" s="28"/>
      <c r="E660" s="44"/>
      <c r="F660" s="44"/>
      <c r="G660" s="44"/>
      <c r="H660" s="44"/>
    </row>
    <row r="661" spans="1:8">
      <c r="A661" s="27"/>
      <c r="C661" s="28"/>
      <c r="D661" s="28"/>
      <c r="E661" s="44"/>
      <c r="F661" s="44"/>
      <c r="G661" s="44"/>
      <c r="H661" s="44"/>
    </row>
    <row r="662" spans="1:8">
      <c r="A662" s="27"/>
      <c r="C662" s="28"/>
      <c r="D662" s="28"/>
      <c r="E662" s="44"/>
      <c r="F662" s="44"/>
      <c r="G662" s="44"/>
      <c r="H662" s="44"/>
    </row>
    <row r="663" spans="1:8">
      <c r="A663" s="27"/>
      <c r="C663" s="28"/>
      <c r="D663" s="28"/>
      <c r="E663" s="44"/>
      <c r="F663" s="44"/>
      <c r="G663" s="44"/>
      <c r="H663" s="44"/>
    </row>
    <row r="664" spans="1:8">
      <c r="A664" s="27"/>
      <c r="C664" s="28"/>
      <c r="D664" s="28"/>
      <c r="E664" s="44"/>
      <c r="F664" s="44"/>
      <c r="G664" s="44"/>
      <c r="H664" s="44"/>
    </row>
    <row r="665" spans="1:8">
      <c r="A665" s="27"/>
      <c r="C665" s="28"/>
      <c r="D665" s="28"/>
      <c r="E665" s="44"/>
      <c r="F665" s="44"/>
      <c r="G665" s="44"/>
      <c r="H665" s="44"/>
    </row>
    <row r="666" spans="1:8">
      <c r="A666" s="27"/>
      <c r="C666" s="28"/>
      <c r="D666" s="28"/>
      <c r="E666" s="44"/>
      <c r="F666" s="44"/>
      <c r="G666" s="44"/>
      <c r="H666" s="44"/>
    </row>
    <row r="667" spans="1:8">
      <c r="A667" s="27"/>
      <c r="C667" s="28"/>
      <c r="D667" s="28"/>
      <c r="E667" s="44"/>
      <c r="F667" s="44"/>
      <c r="G667" s="44"/>
      <c r="H667" s="44"/>
    </row>
    <row r="668" spans="1:8">
      <c r="A668" s="27"/>
      <c r="C668" s="28"/>
      <c r="D668" s="28"/>
      <c r="E668" s="44"/>
      <c r="F668" s="44"/>
      <c r="G668" s="44"/>
      <c r="H668" s="44"/>
    </row>
    <row r="669" spans="1:8">
      <c r="A669" s="27"/>
      <c r="C669" s="28"/>
      <c r="D669" s="28"/>
      <c r="E669" s="44"/>
      <c r="F669" s="44"/>
      <c r="G669" s="44"/>
      <c r="H669" s="44"/>
    </row>
    <row r="670" spans="1:8">
      <c r="A670" s="27"/>
      <c r="C670" s="28"/>
      <c r="D670" s="28"/>
      <c r="E670" s="44"/>
      <c r="F670" s="44"/>
      <c r="G670" s="44"/>
      <c r="H670" s="44"/>
    </row>
    <row r="671" spans="1:8">
      <c r="A671" s="27"/>
      <c r="C671" s="28"/>
      <c r="D671" s="28"/>
      <c r="E671" s="44"/>
      <c r="F671" s="44"/>
      <c r="G671" s="44"/>
      <c r="H671" s="44"/>
    </row>
    <row r="672" spans="1:8">
      <c r="A672" s="27"/>
      <c r="C672" s="28"/>
      <c r="D672" s="28"/>
      <c r="E672" s="44"/>
      <c r="F672" s="44"/>
      <c r="G672" s="44"/>
      <c r="H672" s="44"/>
    </row>
    <row r="673" spans="1:8">
      <c r="A673" s="27"/>
      <c r="C673" s="28"/>
      <c r="D673" s="28"/>
      <c r="E673" s="44"/>
      <c r="F673" s="44"/>
      <c r="G673" s="44"/>
      <c r="H673" s="44"/>
    </row>
    <row r="674" spans="1:8">
      <c r="A674" s="27"/>
      <c r="C674" s="28"/>
      <c r="D674" s="28"/>
      <c r="E674" s="44"/>
      <c r="F674" s="44"/>
      <c r="G674" s="44"/>
      <c r="H674" s="44"/>
    </row>
    <row r="675" spans="1:8">
      <c r="A675" s="27"/>
      <c r="C675" s="28"/>
      <c r="D675" s="28"/>
      <c r="E675" s="44"/>
      <c r="F675" s="44"/>
      <c r="G675" s="44"/>
      <c r="H675" s="44"/>
    </row>
    <row r="676" spans="1:8">
      <c r="A676" s="27"/>
      <c r="C676" s="28"/>
      <c r="D676" s="28"/>
      <c r="E676" s="44"/>
      <c r="F676" s="44"/>
      <c r="G676" s="44"/>
      <c r="H676" s="44"/>
    </row>
    <row r="677" spans="1:8">
      <c r="A677" s="27"/>
      <c r="C677" s="28"/>
      <c r="D677" s="28"/>
      <c r="E677" s="44"/>
      <c r="F677" s="44"/>
      <c r="G677" s="44"/>
      <c r="H677" s="44"/>
    </row>
    <row r="678" spans="1:8">
      <c r="A678" s="27"/>
      <c r="C678" s="28"/>
      <c r="D678" s="28"/>
      <c r="E678" s="44"/>
      <c r="F678" s="44"/>
      <c r="G678" s="44"/>
      <c r="H678" s="44"/>
    </row>
    <row r="679" spans="1:8">
      <c r="A679" s="27"/>
      <c r="C679" s="28"/>
      <c r="D679" s="28"/>
      <c r="E679" s="44"/>
      <c r="F679" s="44"/>
      <c r="G679" s="44"/>
      <c r="H679" s="44"/>
    </row>
    <row r="680" spans="1:8">
      <c r="A680" s="27"/>
      <c r="C680" s="28"/>
      <c r="D680" s="28"/>
      <c r="E680" s="44"/>
      <c r="F680" s="44"/>
      <c r="G680" s="44"/>
      <c r="H680" s="44"/>
    </row>
    <row r="681" spans="1:8">
      <c r="A681" s="27"/>
      <c r="C681" s="28"/>
      <c r="D681" s="28"/>
      <c r="E681" s="44"/>
      <c r="F681" s="44"/>
      <c r="G681" s="44"/>
      <c r="H681" s="44"/>
    </row>
    <row r="682" spans="1:8">
      <c r="A682" s="27"/>
      <c r="C682" s="28"/>
      <c r="D682" s="28"/>
      <c r="E682" s="44"/>
      <c r="F682" s="44"/>
      <c r="G682" s="44"/>
      <c r="H682" s="44"/>
    </row>
    <row r="683" spans="1:8">
      <c r="A683" s="27"/>
      <c r="C683" s="28"/>
      <c r="D683" s="28"/>
      <c r="E683" s="44"/>
      <c r="F683" s="44"/>
      <c r="G683" s="44"/>
      <c r="H683" s="44"/>
    </row>
    <row r="684" spans="1:8">
      <c r="A684" s="27"/>
      <c r="C684" s="28"/>
      <c r="D684" s="28"/>
      <c r="E684" s="44"/>
      <c r="F684" s="44"/>
      <c r="G684" s="44"/>
      <c r="H684" s="44"/>
    </row>
    <row r="685" spans="1:8">
      <c r="A685" s="27"/>
      <c r="C685" s="28"/>
      <c r="D685" s="28"/>
      <c r="E685" s="44"/>
      <c r="F685" s="44"/>
      <c r="G685" s="44"/>
      <c r="H685" s="44"/>
    </row>
    <row r="686" spans="1:8">
      <c r="A686" s="27"/>
      <c r="C686" s="28"/>
      <c r="D686" s="28"/>
      <c r="E686" s="44"/>
      <c r="F686" s="44"/>
      <c r="G686" s="44"/>
      <c r="H686" s="44"/>
    </row>
    <row r="687" spans="1:8">
      <c r="A687" s="27"/>
      <c r="C687" s="28"/>
      <c r="D687" s="28"/>
      <c r="E687" s="44"/>
      <c r="F687" s="44"/>
      <c r="G687" s="44"/>
      <c r="H687" s="44"/>
    </row>
    <row r="688" spans="1:8">
      <c r="A688" s="27"/>
      <c r="C688" s="28"/>
      <c r="D688" s="28"/>
      <c r="E688" s="44"/>
      <c r="F688" s="44"/>
      <c r="G688" s="44"/>
      <c r="H688" s="44"/>
    </row>
    <row r="689" spans="1:8">
      <c r="A689" s="27"/>
      <c r="C689" s="28"/>
      <c r="D689" s="28"/>
      <c r="E689" s="44"/>
      <c r="F689" s="44"/>
      <c r="G689" s="44"/>
      <c r="H689" s="44"/>
    </row>
    <row r="690" spans="1:8">
      <c r="A690" s="27"/>
      <c r="C690" s="28"/>
      <c r="D690" s="28"/>
      <c r="E690" s="44"/>
      <c r="F690" s="44"/>
      <c r="G690" s="44"/>
      <c r="H690" s="44"/>
    </row>
    <row r="691" spans="1:8">
      <c r="A691" s="27"/>
      <c r="C691" s="28"/>
      <c r="D691" s="28"/>
      <c r="E691" s="44"/>
      <c r="F691" s="44"/>
      <c r="G691" s="44"/>
      <c r="H691" s="44"/>
    </row>
    <row r="692" spans="1:8">
      <c r="A692" s="27"/>
      <c r="C692" s="28"/>
      <c r="D692" s="28"/>
      <c r="E692" s="44"/>
      <c r="F692" s="44"/>
      <c r="G692" s="44"/>
      <c r="H692" s="44"/>
    </row>
    <row r="693" spans="1:8">
      <c r="A693" s="27"/>
      <c r="C693" s="28"/>
      <c r="D693" s="28"/>
      <c r="E693" s="44"/>
      <c r="F693" s="44"/>
      <c r="G693" s="44"/>
      <c r="H693" s="44"/>
    </row>
    <row r="694" spans="1:8">
      <c r="A694" s="27"/>
      <c r="C694" s="28"/>
      <c r="D694" s="28"/>
      <c r="E694" s="44"/>
      <c r="F694" s="44"/>
      <c r="G694" s="44"/>
      <c r="H694" s="44"/>
    </row>
    <row r="695" spans="1:8">
      <c r="A695" s="27"/>
      <c r="C695" s="28"/>
      <c r="D695" s="28"/>
      <c r="E695" s="44"/>
      <c r="F695" s="44"/>
      <c r="G695" s="44"/>
      <c r="H695" s="44"/>
    </row>
    <row r="696" spans="1:8">
      <c r="A696" s="27"/>
      <c r="C696" s="28"/>
      <c r="D696" s="28"/>
      <c r="E696" s="44"/>
      <c r="F696" s="44"/>
      <c r="G696" s="44"/>
      <c r="H696" s="44"/>
    </row>
    <row r="697" spans="1:8">
      <c r="A697" s="27"/>
      <c r="C697" s="28"/>
      <c r="D697" s="28"/>
      <c r="E697" s="44"/>
      <c r="F697" s="44"/>
      <c r="G697" s="44"/>
      <c r="H697" s="44"/>
    </row>
    <row r="698" spans="1:8">
      <c r="A698" s="27"/>
      <c r="C698" s="28"/>
      <c r="D698" s="28"/>
      <c r="E698" s="44"/>
      <c r="F698" s="44"/>
      <c r="G698" s="44"/>
      <c r="H698" s="44"/>
    </row>
    <row r="699" spans="1:8">
      <c r="A699" s="27"/>
      <c r="C699" s="28"/>
      <c r="D699" s="28"/>
      <c r="E699" s="44"/>
      <c r="F699" s="44"/>
      <c r="G699" s="44"/>
      <c r="H699" s="44"/>
    </row>
    <row r="700" spans="1:8">
      <c r="A700" s="27"/>
      <c r="C700" s="28"/>
      <c r="D700" s="28"/>
      <c r="E700" s="44"/>
      <c r="F700" s="44"/>
      <c r="G700" s="44"/>
      <c r="H700" s="44"/>
    </row>
    <row r="701" spans="1:8">
      <c r="A701" s="27"/>
      <c r="C701" s="28"/>
      <c r="D701" s="28"/>
      <c r="E701" s="44"/>
      <c r="F701" s="44"/>
      <c r="G701" s="44"/>
      <c r="H701" s="44"/>
    </row>
    <row r="702" spans="1:8">
      <c r="A702" s="27"/>
      <c r="C702" s="28"/>
      <c r="D702" s="28"/>
      <c r="E702" s="44"/>
      <c r="F702" s="44"/>
      <c r="G702" s="44"/>
      <c r="H702" s="44"/>
    </row>
    <row r="703" spans="1:8">
      <c r="A703" s="27"/>
      <c r="C703" s="28"/>
      <c r="D703" s="28"/>
      <c r="E703" s="44"/>
      <c r="F703" s="44"/>
      <c r="G703" s="44"/>
      <c r="H703" s="44"/>
    </row>
    <row r="704" spans="1:8">
      <c r="A704" s="27"/>
      <c r="C704" s="28"/>
      <c r="D704" s="28"/>
      <c r="E704" s="44"/>
      <c r="F704" s="44"/>
      <c r="G704" s="44"/>
      <c r="H704" s="44"/>
    </row>
    <row r="705" spans="1:8">
      <c r="A705" s="27"/>
      <c r="C705" s="28"/>
      <c r="D705" s="28"/>
      <c r="E705" s="44"/>
      <c r="F705" s="44"/>
      <c r="G705" s="44"/>
      <c r="H705" s="44"/>
    </row>
    <row r="706" spans="1:8">
      <c r="A706" s="27"/>
      <c r="C706" s="28"/>
      <c r="D706" s="28"/>
      <c r="E706" s="44"/>
      <c r="F706" s="44"/>
      <c r="G706" s="44"/>
      <c r="H706" s="44"/>
    </row>
    <row r="707" spans="1:8">
      <c r="A707" s="27"/>
      <c r="C707" s="28"/>
      <c r="D707" s="28"/>
      <c r="E707" s="44"/>
      <c r="F707" s="44"/>
      <c r="G707" s="44"/>
      <c r="H707" s="44"/>
    </row>
    <row r="708" spans="1:8">
      <c r="A708" s="27"/>
      <c r="C708" s="28"/>
      <c r="D708" s="28"/>
      <c r="E708" s="44"/>
      <c r="F708" s="44"/>
      <c r="G708" s="44"/>
      <c r="H708" s="44"/>
    </row>
    <row r="709" spans="1:8">
      <c r="A709" s="27"/>
      <c r="C709" s="28"/>
      <c r="D709" s="28"/>
      <c r="E709" s="44"/>
      <c r="F709" s="44"/>
      <c r="G709" s="44"/>
      <c r="H709" s="44"/>
    </row>
    <row r="710" spans="1:8">
      <c r="A710" s="27"/>
      <c r="C710" s="28"/>
      <c r="D710" s="28"/>
      <c r="E710" s="44"/>
      <c r="F710" s="44"/>
      <c r="G710" s="44"/>
      <c r="H710" s="44"/>
    </row>
    <row r="711" spans="1:8">
      <c r="A711" s="27"/>
      <c r="C711" s="28"/>
      <c r="D711" s="28"/>
      <c r="E711" s="44"/>
      <c r="F711" s="44"/>
      <c r="G711" s="44"/>
      <c r="H711" s="44"/>
    </row>
    <row r="712" spans="1:8">
      <c r="A712" s="27"/>
      <c r="C712" s="28"/>
      <c r="D712" s="28"/>
      <c r="E712" s="44"/>
      <c r="F712" s="44"/>
      <c r="G712" s="44"/>
      <c r="H712" s="44"/>
    </row>
    <row r="713" spans="1:8">
      <c r="A713" s="27"/>
      <c r="C713" s="28"/>
      <c r="D713" s="28"/>
      <c r="E713" s="44"/>
      <c r="F713" s="44"/>
      <c r="G713" s="44"/>
      <c r="H713" s="44"/>
    </row>
    <row r="714" spans="1:8">
      <c r="A714" s="27"/>
      <c r="C714" s="28"/>
      <c r="D714" s="28"/>
      <c r="E714" s="44"/>
      <c r="F714" s="44"/>
      <c r="G714" s="44"/>
      <c r="H714" s="44"/>
    </row>
    <row r="715" spans="1:8">
      <c r="A715" s="27"/>
      <c r="C715" s="28"/>
      <c r="D715" s="28"/>
      <c r="E715" s="44"/>
      <c r="F715" s="44"/>
      <c r="G715" s="44"/>
      <c r="H715" s="44"/>
    </row>
    <row r="716" spans="1:8">
      <c r="A716" s="27"/>
      <c r="C716" s="28"/>
      <c r="D716" s="28"/>
      <c r="E716" s="44"/>
      <c r="F716" s="44"/>
      <c r="G716" s="44"/>
      <c r="H716" s="44"/>
    </row>
    <row r="717" spans="1:8">
      <c r="A717" s="27"/>
      <c r="C717" s="28"/>
      <c r="D717" s="28"/>
      <c r="E717" s="44"/>
      <c r="F717" s="44"/>
      <c r="G717" s="44"/>
      <c r="H717" s="44"/>
    </row>
    <row r="718" spans="1:8">
      <c r="A718" s="27"/>
      <c r="C718" s="28"/>
      <c r="D718" s="28"/>
      <c r="E718" s="44"/>
      <c r="F718" s="44"/>
      <c r="G718" s="44"/>
      <c r="H718" s="44"/>
    </row>
    <row r="719" spans="1:8">
      <c r="A719" s="27"/>
      <c r="C719" s="28"/>
      <c r="D719" s="28"/>
      <c r="E719" s="44"/>
      <c r="F719" s="44"/>
      <c r="G719" s="44"/>
      <c r="H719" s="44"/>
    </row>
    <row r="720" spans="1:8">
      <c r="A720" s="27"/>
      <c r="C720" s="28"/>
      <c r="D720" s="28"/>
      <c r="E720" s="44"/>
      <c r="F720" s="44"/>
      <c r="G720" s="44"/>
      <c r="H720" s="44"/>
    </row>
    <row r="721" spans="1:8">
      <c r="A721" s="27"/>
      <c r="C721" s="28"/>
      <c r="D721" s="28"/>
      <c r="E721" s="44"/>
      <c r="F721" s="44"/>
      <c r="G721" s="44"/>
      <c r="H721" s="44"/>
    </row>
    <row r="722" spans="1:8">
      <c r="A722" s="27"/>
      <c r="C722" s="28"/>
      <c r="D722" s="28"/>
      <c r="E722" s="44"/>
      <c r="F722" s="44"/>
      <c r="G722" s="44"/>
      <c r="H722" s="44"/>
    </row>
    <row r="723" spans="1:8">
      <c r="A723" s="27"/>
      <c r="C723" s="28"/>
      <c r="D723" s="28"/>
      <c r="E723" s="44"/>
      <c r="F723" s="44"/>
      <c r="G723" s="44"/>
      <c r="H723" s="44"/>
    </row>
    <row r="724" spans="1:8">
      <c r="A724" s="27"/>
      <c r="C724" s="28"/>
      <c r="D724" s="28"/>
      <c r="E724" s="44"/>
      <c r="F724" s="44"/>
      <c r="G724" s="44"/>
      <c r="H724" s="44"/>
    </row>
    <row r="725" spans="1:8">
      <c r="A725" s="27"/>
      <c r="C725" s="28"/>
      <c r="D725" s="28"/>
      <c r="E725" s="44"/>
      <c r="F725" s="44"/>
      <c r="G725" s="44"/>
      <c r="H725" s="44"/>
    </row>
    <row r="726" spans="1:8">
      <c r="A726" s="27"/>
      <c r="C726" s="28"/>
      <c r="D726" s="28"/>
      <c r="E726" s="44"/>
      <c r="F726" s="44"/>
      <c r="G726" s="44"/>
      <c r="H726" s="44"/>
    </row>
    <row r="727" spans="1:8">
      <c r="A727" s="27"/>
      <c r="C727" s="28"/>
      <c r="D727" s="28"/>
      <c r="E727" s="44"/>
      <c r="F727" s="44"/>
      <c r="G727" s="44"/>
      <c r="H727" s="44"/>
    </row>
    <row r="728" spans="1:8">
      <c r="A728" s="27"/>
      <c r="C728" s="28"/>
      <c r="D728" s="28"/>
      <c r="E728" s="44"/>
      <c r="F728" s="44"/>
      <c r="G728" s="44"/>
      <c r="H728" s="44"/>
    </row>
    <row r="729" spans="1:8">
      <c r="A729" s="27"/>
      <c r="C729" s="28"/>
      <c r="D729" s="28"/>
      <c r="E729" s="44"/>
      <c r="F729" s="44"/>
      <c r="G729" s="44"/>
      <c r="H729" s="44"/>
    </row>
    <row r="730" spans="1:8">
      <c r="A730" s="27"/>
      <c r="C730" s="28"/>
      <c r="D730" s="28"/>
      <c r="E730" s="44"/>
      <c r="F730" s="44"/>
      <c r="G730" s="44"/>
      <c r="H730" s="44"/>
    </row>
    <row r="731" spans="1:8">
      <c r="A731" s="27"/>
      <c r="C731" s="28"/>
      <c r="D731" s="28"/>
      <c r="E731" s="44"/>
      <c r="F731" s="44"/>
      <c r="G731" s="44"/>
      <c r="H731" s="44"/>
    </row>
    <row r="732" spans="1:8">
      <c r="A732" s="27"/>
      <c r="C732" s="28"/>
      <c r="D732" s="28"/>
      <c r="E732" s="44"/>
      <c r="F732" s="44"/>
      <c r="G732" s="44"/>
      <c r="H732" s="44"/>
    </row>
    <row r="733" spans="1:8">
      <c r="A733" s="27"/>
      <c r="C733" s="28"/>
      <c r="D733" s="28"/>
      <c r="E733" s="44"/>
      <c r="F733" s="44"/>
      <c r="G733" s="44"/>
      <c r="H733" s="44"/>
    </row>
    <row r="734" spans="1:8">
      <c r="A734" s="27"/>
      <c r="C734" s="28"/>
      <c r="D734" s="28"/>
      <c r="E734" s="44"/>
      <c r="F734" s="44"/>
      <c r="G734" s="44"/>
      <c r="H734" s="44"/>
    </row>
    <row r="735" spans="1:8">
      <c r="A735" s="27"/>
      <c r="C735" s="28"/>
      <c r="D735" s="28"/>
      <c r="E735" s="44"/>
      <c r="F735" s="44"/>
      <c r="G735" s="44"/>
      <c r="H735" s="44"/>
    </row>
    <row r="736" spans="1:8">
      <c r="A736" s="27"/>
      <c r="C736" s="28"/>
      <c r="D736" s="28"/>
      <c r="E736" s="44"/>
      <c r="F736" s="44"/>
      <c r="G736" s="44"/>
      <c r="H736" s="44"/>
    </row>
    <row r="737" spans="1:8">
      <c r="A737" s="27"/>
      <c r="C737" s="28"/>
      <c r="D737" s="28"/>
      <c r="E737" s="44"/>
      <c r="F737" s="44"/>
      <c r="G737" s="44"/>
      <c r="H737" s="44"/>
    </row>
    <row r="738" spans="1:8">
      <c r="A738" s="27"/>
      <c r="C738" s="28"/>
      <c r="D738" s="28"/>
      <c r="E738" s="44"/>
      <c r="F738" s="44"/>
      <c r="G738" s="44"/>
      <c r="H738" s="44"/>
    </row>
    <row r="739" spans="1:8">
      <c r="A739" s="27"/>
      <c r="C739" s="28"/>
      <c r="D739" s="28"/>
      <c r="E739" s="44"/>
      <c r="F739" s="44"/>
      <c r="G739" s="44"/>
      <c r="H739" s="44"/>
    </row>
    <row r="740" spans="1:8">
      <c r="A740" s="27"/>
      <c r="C740" s="28"/>
      <c r="D740" s="28"/>
      <c r="E740" s="44"/>
      <c r="F740" s="44"/>
      <c r="G740" s="44"/>
      <c r="H740" s="44"/>
    </row>
    <row r="741" spans="1:8">
      <c r="A741" s="27"/>
      <c r="C741" s="28"/>
      <c r="D741" s="28"/>
      <c r="E741" s="44"/>
      <c r="F741" s="44"/>
      <c r="G741" s="44"/>
      <c r="H741" s="44"/>
    </row>
    <row r="742" spans="1:8">
      <c r="A742" s="27"/>
      <c r="C742" s="28"/>
      <c r="D742" s="28"/>
      <c r="E742" s="44"/>
      <c r="F742" s="44"/>
      <c r="G742" s="44"/>
      <c r="H742" s="44"/>
    </row>
    <row r="743" spans="1:8">
      <c r="A743" s="27"/>
      <c r="C743" s="28"/>
      <c r="D743" s="28"/>
      <c r="E743" s="44"/>
      <c r="F743" s="44"/>
      <c r="G743" s="44"/>
      <c r="H743" s="44"/>
    </row>
    <row r="744" spans="1:8">
      <c r="A744" s="27"/>
      <c r="C744" s="28"/>
      <c r="D744" s="28"/>
      <c r="E744" s="44"/>
      <c r="F744" s="44"/>
      <c r="G744" s="44"/>
      <c r="H744" s="44"/>
    </row>
    <row r="745" spans="1:8">
      <c r="A745" s="27"/>
      <c r="C745" s="28"/>
      <c r="D745" s="28"/>
      <c r="E745" s="44"/>
      <c r="F745" s="44"/>
      <c r="G745" s="44"/>
      <c r="H745" s="44"/>
    </row>
    <row r="746" spans="1:8">
      <c r="A746" s="27"/>
      <c r="C746" s="28"/>
      <c r="D746" s="28"/>
      <c r="E746" s="44"/>
      <c r="F746" s="44"/>
      <c r="G746" s="44"/>
      <c r="H746" s="44"/>
    </row>
    <row r="747" spans="1:8">
      <c r="A747" s="27"/>
      <c r="C747" s="28"/>
      <c r="D747" s="28"/>
      <c r="E747" s="44"/>
      <c r="F747" s="44"/>
      <c r="G747" s="44"/>
      <c r="H747" s="44"/>
    </row>
    <row r="748" spans="1:8">
      <c r="A748" s="27"/>
      <c r="C748" s="28"/>
      <c r="D748" s="28"/>
      <c r="E748" s="44"/>
      <c r="F748" s="44"/>
      <c r="G748" s="44"/>
      <c r="H748" s="44"/>
    </row>
    <row r="749" spans="1:8">
      <c r="A749" s="27"/>
      <c r="C749" s="28"/>
      <c r="D749" s="28"/>
      <c r="E749" s="44"/>
      <c r="F749" s="44"/>
      <c r="G749" s="44"/>
      <c r="H749" s="44"/>
    </row>
    <row r="750" spans="1:8">
      <c r="A750" s="27"/>
      <c r="C750" s="28"/>
      <c r="D750" s="28"/>
      <c r="E750" s="44"/>
      <c r="F750" s="44"/>
      <c r="G750" s="44"/>
      <c r="H750" s="44"/>
    </row>
    <row r="751" spans="1:8">
      <c r="A751" s="27"/>
      <c r="C751" s="28"/>
      <c r="D751" s="28"/>
      <c r="E751" s="44"/>
      <c r="F751" s="44"/>
      <c r="G751" s="44"/>
      <c r="H751" s="44"/>
    </row>
    <row r="752" spans="1:8">
      <c r="A752" s="27"/>
      <c r="C752" s="28"/>
      <c r="D752" s="28"/>
      <c r="E752" s="44"/>
      <c r="F752" s="44"/>
      <c r="G752" s="44"/>
      <c r="H752" s="44"/>
    </row>
    <row r="753" spans="1:8">
      <c r="A753" s="27"/>
      <c r="C753" s="28"/>
      <c r="D753" s="28"/>
      <c r="E753" s="44"/>
      <c r="F753" s="44"/>
      <c r="G753" s="44"/>
      <c r="H753" s="44"/>
    </row>
    <row r="754" spans="1:8">
      <c r="A754" s="27"/>
      <c r="C754" s="28"/>
      <c r="D754" s="28"/>
      <c r="E754" s="44"/>
      <c r="F754" s="44"/>
      <c r="G754" s="44"/>
      <c r="H754" s="44"/>
    </row>
    <row r="755" spans="1:8">
      <c r="A755" s="27"/>
      <c r="C755" s="28"/>
      <c r="D755" s="28"/>
      <c r="E755" s="44"/>
      <c r="F755" s="44"/>
      <c r="G755" s="44"/>
      <c r="H755" s="44"/>
    </row>
    <row r="756" spans="1:8">
      <c r="A756" s="27"/>
      <c r="C756" s="28"/>
      <c r="D756" s="28"/>
      <c r="E756" s="44"/>
      <c r="F756" s="44"/>
      <c r="G756" s="44"/>
      <c r="H756" s="44"/>
    </row>
    <row r="757" spans="1:8">
      <c r="A757" s="27"/>
      <c r="C757" s="28"/>
      <c r="D757" s="28"/>
      <c r="E757" s="44"/>
      <c r="F757" s="44"/>
      <c r="G757" s="44"/>
      <c r="H757" s="44"/>
    </row>
    <row r="758" spans="1:8">
      <c r="A758" s="27"/>
      <c r="C758" s="28"/>
      <c r="D758" s="28"/>
      <c r="E758" s="44"/>
      <c r="F758" s="44"/>
      <c r="G758" s="44"/>
      <c r="H758" s="44"/>
    </row>
    <row r="759" spans="1:8">
      <c r="A759" s="27"/>
      <c r="C759" s="28"/>
      <c r="D759" s="28"/>
      <c r="E759" s="44"/>
      <c r="F759" s="44"/>
      <c r="G759" s="44"/>
      <c r="H759" s="44"/>
    </row>
    <row r="760" spans="1:8">
      <c r="A760" s="27"/>
      <c r="C760" s="28"/>
      <c r="D760" s="28"/>
      <c r="E760" s="44"/>
      <c r="F760" s="44"/>
      <c r="G760" s="44"/>
      <c r="H760" s="44"/>
    </row>
    <row r="761" spans="1:8">
      <c r="A761" s="27"/>
      <c r="C761" s="28"/>
      <c r="D761" s="28"/>
      <c r="E761" s="44"/>
      <c r="F761" s="44"/>
      <c r="G761" s="44"/>
      <c r="H761" s="44"/>
    </row>
    <row r="762" spans="1:8">
      <c r="A762" s="27"/>
      <c r="C762" s="28"/>
      <c r="D762" s="28"/>
      <c r="E762" s="44"/>
      <c r="F762" s="44"/>
      <c r="G762" s="44"/>
      <c r="H762" s="44"/>
    </row>
    <row r="763" spans="1:8">
      <c r="A763" s="27"/>
      <c r="C763" s="28"/>
      <c r="D763" s="28"/>
      <c r="E763" s="44"/>
      <c r="F763" s="44"/>
      <c r="G763" s="44"/>
      <c r="H763" s="44"/>
    </row>
    <row r="764" spans="1:8">
      <c r="A764" s="27"/>
      <c r="C764" s="28"/>
      <c r="D764" s="28"/>
      <c r="E764" s="44"/>
      <c r="F764" s="44"/>
      <c r="G764" s="44"/>
      <c r="H764" s="44"/>
    </row>
    <row r="765" spans="1:8">
      <c r="A765" s="27"/>
      <c r="C765" s="28"/>
      <c r="D765" s="28"/>
      <c r="E765" s="44"/>
      <c r="F765" s="44"/>
      <c r="G765" s="44"/>
      <c r="H765" s="44"/>
    </row>
    <row r="766" spans="1:8">
      <c r="A766" s="27"/>
      <c r="C766" s="28"/>
      <c r="D766" s="28"/>
      <c r="E766" s="44"/>
      <c r="F766" s="44"/>
      <c r="G766" s="44"/>
      <c r="H766" s="44"/>
    </row>
    <row r="767" spans="1:8">
      <c r="A767" s="27"/>
      <c r="C767" s="28"/>
      <c r="D767" s="28"/>
      <c r="E767" s="44"/>
      <c r="F767" s="44"/>
      <c r="G767" s="44"/>
      <c r="H767" s="44"/>
    </row>
    <row r="768" spans="1:8">
      <c r="A768" s="27"/>
      <c r="C768" s="28"/>
      <c r="D768" s="28"/>
      <c r="E768" s="44"/>
      <c r="F768" s="44"/>
      <c r="G768" s="44"/>
      <c r="H768" s="44"/>
    </row>
    <row r="769" spans="1:8">
      <c r="A769" s="27"/>
      <c r="C769" s="28"/>
      <c r="D769" s="28"/>
      <c r="E769" s="44"/>
      <c r="F769" s="44"/>
      <c r="G769" s="44"/>
      <c r="H769" s="44"/>
    </row>
    <row r="770" spans="1:8">
      <c r="A770" s="27"/>
      <c r="C770" s="28"/>
      <c r="D770" s="28"/>
      <c r="E770" s="44"/>
      <c r="F770" s="44"/>
      <c r="G770" s="44"/>
      <c r="H770" s="44"/>
    </row>
    <row r="771" spans="1:8">
      <c r="A771" s="27"/>
      <c r="C771" s="28"/>
      <c r="D771" s="28"/>
      <c r="E771" s="44"/>
      <c r="F771" s="44"/>
      <c r="G771" s="44"/>
      <c r="H771" s="44"/>
    </row>
    <row r="772" spans="1:8">
      <c r="A772" s="27"/>
      <c r="C772" s="28"/>
      <c r="D772" s="28"/>
      <c r="E772" s="44"/>
      <c r="F772" s="44"/>
      <c r="G772" s="44"/>
      <c r="H772" s="44"/>
    </row>
    <row r="773" spans="1:8">
      <c r="A773" s="27"/>
      <c r="C773" s="28"/>
      <c r="D773" s="28"/>
      <c r="E773" s="44"/>
      <c r="F773" s="44"/>
      <c r="G773" s="44"/>
      <c r="H773" s="44"/>
    </row>
    <row r="774" spans="1:8">
      <c r="A774" s="27"/>
      <c r="C774" s="28"/>
      <c r="D774" s="28"/>
      <c r="E774" s="44"/>
      <c r="F774" s="44"/>
      <c r="G774" s="44"/>
      <c r="H774" s="44"/>
    </row>
    <row r="775" spans="1:8">
      <c r="A775" s="27"/>
      <c r="C775" s="28"/>
      <c r="D775" s="28"/>
      <c r="E775" s="44"/>
      <c r="F775" s="44"/>
      <c r="G775" s="44"/>
      <c r="H775" s="44"/>
    </row>
    <row r="776" spans="1:8">
      <c r="A776" s="27"/>
      <c r="C776" s="28"/>
      <c r="D776" s="28"/>
      <c r="E776" s="44"/>
      <c r="F776" s="44"/>
      <c r="G776" s="44"/>
      <c r="H776" s="44"/>
    </row>
    <row r="777" spans="1:8">
      <c r="A777" s="27"/>
      <c r="C777" s="28"/>
      <c r="D777" s="28"/>
      <c r="E777" s="44"/>
      <c r="F777" s="44"/>
      <c r="G777" s="44"/>
      <c r="H777" s="44"/>
    </row>
    <row r="778" spans="1:8">
      <c r="A778" s="27"/>
      <c r="C778" s="28"/>
      <c r="D778" s="28"/>
      <c r="E778" s="44"/>
      <c r="F778" s="44"/>
      <c r="G778" s="44"/>
      <c r="H778" s="44"/>
    </row>
    <row r="779" spans="1:8">
      <c r="A779" s="27"/>
      <c r="C779" s="28"/>
      <c r="D779" s="28"/>
      <c r="E779" s="44"/>
      <c r="F779" s="44"/>
      <c r="G779" s="44"/>
      <c r="H779" s="44"/>
    </row>
    <row r="780" spans="1:8">
      <c r="A780" s="27"/>
      <c r="C780" s="28"/>
      <c r="D780" s="28"/>
      <c r="E780" s="44"/>
      <c r="F780" s="44"/>
      <c r="G780" s="44"/>
      <c r="H780" s="44"/>
    </row>
    <row r="781" spans="1:8">
      <c r="A781" s="27"/>
      <c r="C781" s="28"/>
      <c r="D781" s="28"/>
      <c r="E781" s="44"/>
      <c r="F781" s="44"/>
      <c r="G781" s="44"/>
      <c r="H781" s="44"/>
    </row>
    <row r="782" spans="1:8">
      <c r="A782" s="27"/>
      <c r="C782" s="28"/>
      <c r="D782" s="28"/>
      <c r="E782" s="44"/>
      <c r="F782" s="44"/>
      <c r="G782" s="44"/>
      <c r="H782" s="44"/>
    </row>
    <row r="783" spans="1:8">
      <c r="A783" s="27"/>
      <c r="C783" s="28"/>
      <c r="D783" s="28"/>
      <c r="E783" s="44"/>
      <c r="F783" s="44"/>
      <c r="G783" s="44"/>
      <c r="H783" s="44"/>
    </row>
    <row r="784" spans="1:8">
      <c r="A784" s="27"/>
      <c r="C784" s="28"/>
      <c r="D784" s="28"/>
      <c r="E784" s="44"/>
      <c r="F784" s="44"/>
      <c r="G784" s="44"/>
      <c r="H784" s="44"/>
    </row>
    <row r="785" spans="1:8">
      <c r="A785" s="27"/>
      <c r="C785" s="28"/>
      <c r="D785" s="28"/>
      <c r="E785" s="44"/>
      <c r="F785" s="44"/>
      <c r="G785" s="44"/>
      <c r="H785" s="44"/>
    </row>
    <row r="786" spans="1:8">
      <c r="A786" s="27"/>
      <c r="C786" s="28"/>
      <c r="D786" s="28"/>
      <c r="E786" s="44"/>
      <c r="F786" s="44"/>
      <c r="G786" s="44"/>
      <c r="H786" s="44"/>
    </row>
    <row r="787" spans="1:8">
      <c r="A787" s="27"/>
      <c r="C787" s="28"/>
      <c r="D787" s="28"/>
      <c r="E787" s="44"/>
      <c r="F787" s="44"/>
      <c r="G787" s="44"/>
      <c r="H787" s="44"/>
    </row>
    <row r="788" spans="1:8">
      <c r="A788" s="27"/>
      <c r="C788" s="28"/>
      <c r="D788" s="28"/>
      <c r="E788" s="44"/>
      <c r="F788" s="44"/>
      <c r="G788" s="44"/>
      <c r="H788" s="44"/>
    </row>
    <row r="789" spans="1:8">
      <c r="A789" s="27"/>
      <c r="C789" s="28"/>
      <c r="D789" s="28"/>
      <c r="E789" s="44"/>
      <c r="F789" s="44"/>
      <c r="G789" s="44"/>
      <c r="H789" s="44"/>
    </row>
    <row r="790" spans="1:8">
      <c r="A790" s="27"/>
      <c r="C790" s="28"/>
      <c r="D790" s="28"/>
      <c r="E790" s="44"/>
      <c r="F790" s="44"/>
      <c r="G790" s="44"/>
      <c r="H790" s="44"/>
    </row>
    <row r="791" spans="1:8">
      <c r="A791" s="27"/>
      <c r="C791" s="28"/>
      <c r="D791" s="28"/>
      <c r="E791" s="44"/>
      <c r="F791" s="44"/>
      <c r="G791" s="44"/>
      <c r="H791" s="44"/>
    </row>
    <row r="792" spans="1:8">
      <c r="A792" s="27"/>
      <c r="C792" s="28"/>
      <c r="D792" s="28"/>
      <c r="E792" s="44"/>
      <c r="F792" s="44"/>
      <c r="G792" s="44"/>
      <c r="H792" s="44"/>
    </row>
    <row r="793" spans="1:8">
      <c r="A793" s="27"/>
      <c r="C793" s="28"/>
      <c r="D793" s="28"/>
      <c r="E793" s="44"/>
      <c r="F793" s="44"/>
      <c r="G793" s="44"/>
      <c r="H793" s="44"/>
    </row>
    <row r="794" spans="1:8">
      <c r="A794" s="27"/>
      <c r="C794" s="28"/>
      <c r="D794" s="28"/>
      <c r="E794" s="44"/>
      <c r="F794" s="44"/>
      <c r="G794" s="44"/>
      <c r="H794" s="44"/>
    </row>
    <row r="795" spans="1:8">
      <c r="A795" s="27"/>
      <c r="C795" s="28"/>
      <c r="D795" s="28"/>
      <c r="E795" s="44"/>
      <c r="F795" s="44"/>
      <c r="G795" s="44"/>
      <c r="H795" s="44"/>
    </row>
    <row r="796" spans="1:8">
      <c r="A796" s="27"/>
      <c r="C796" s="28"/>
      <c r="D796" s="28"/>
      <c r="E796" s="44"/>
      <c r="F796" s="44"/>
      <c r="G796" s="44"/>
      <c r="H796" s="44"/>
    </row>
    <row r="797" spans="1:8">
      <c r="A797" s="27"/>
      <c r="C797" s="28"/>
      <c r="D797" s="28"/>
      <c r="E797" s="44"/>
      <c r="F797" s="44"/>
      <c r="G797" s="44"/>
      <c r="H797" s="44"/>
    </row>
    <row r="798" spans="1:8">
      <c r="A798" s="27"/>
      <c r="C798" s="28"/>
      <c r="D798" s="28"/>
      <c r="E798" s="44"/>
      <c r="F798" s="44"/>
      <c r="G798" s="44"/>
      <c r="H798" s="44"/>
    </row>
    <row r="799" spans="1:8">
      <c r="A799" s="27"/>
      <c r="C799" s="28"/>
      <c r="D799" s="28"/>
      <c r="E799" s="44"/>
      <c r="F799" s="44"/>
      <c r="G799" s="44"/>
      <c r="H799" s="44"/>
    </row>
    <row r="800" spans="1:8">
      <c r="A800" s="27"/>
      <c r="C800" s="28"/>
      <c r="D800" s="28"/>
      <c r="E800" s="44"/>
      <c r="F800" s="44"/>
      <c r="G800" s="44"/>
      <c r="H800" s="44"/>
    </row>
    <row r="801" spans="1:8">
      <c r="A801" s="27"/>
      <c r="C801" s="28"/>
      <c r="D801" s="28"/>
      <c r="E801" s="44"/>
      <c r="F801" s="44"/>
      <c r="G801" s="44"/>
      <c r="H801" s="44"/>
    </row>
    <row r="802" spans="1:8">
      <c r="A802" s="27"/>
      <c r="C802" s="28"/>
      <c r="D802" s="28"/>
      <c r="E802" s="44"/>
      <c r="F802" s="44"/>
      <c r="G802" s="44"/>
      <c r="H802" s="44"/>
    </row>
    <row r="803" spans="1:8">
      <c r="A803" s="27"/>
      <c r="C803" s="28"/>
      <c r="D803" s="28"/>
      <c r="E803" s="44"/>
      <c r="F803" s="44"/>
      <c r="G803" s="44"/>
      <c r="H803" s="44"/>
    </row>
    <row r="804" spans="1:8">
      <c r="A804" s="27"/>
      <c r="C804" s="28"/>
      <c r="D804" s="28"/>
      <c r="E804" s="44"/>
      <c r="F804" s="44"/>
      <c r="G804" s="44"/>
      <c r="H804" s="44"/>
    </row>
    <row r="805" spans="1:8">
      <c r="A805" s="27"/>
      <c r="C805" s="28"/>
      <c r="D805" s="28"/>
      <c r="E805" s="44"/>
      <c r="F805" s="44"/>
      <c r="G805" s="44"/>
      <c r="H805" s="44"/>
    </row>
    <row r="806" spans="1:8">
      <c r="A806" s="27"/>
      <c r="C806" s="28"/>
      <c r="D806" s="28"/>
      <c r="E806" s="44"/>
      <c r="F806" s="44"/>
      <c r="G806" s="44"/>
      <c r="H806" s="44"/>
    </row>
    <row r="807" spans="1:8">
      <c r="A807" s="27"/>
      <c r="C807" s="28"/>
      <c r="D807" s="28"/>
      <c r="E807" s="44"/>
      <c r="F807" s="44"/>
      <c r="G807" s="44"/>
      <c r="H807" s="44"/>
    </row>
    <row r="808" spans="1:8">
      <c r="A808" s="27"/>
      <c r="C808" s="28"/>
      <c r="D808" s="28"/>
      <c r="E808" s="44"/>
      <c r="F808" s="44"/>
      <c r="G808" s="44"/>
      <c r="H808" s="44"/>
    </row>
    <row r="809" spans="1:8">
      <c r="A809" s="27"/>
      <c r="C809" s="28"/>
      <c r="D809" s="28"/>
      <c r="E809" s="44"/>
      <c r="F809" s="44"/>
      <c r="G809" s="44"/>
      <c r="H809" s="44"/>
    </row>
    <row r="810" spans="1:8">
      <c r="A810" s="27"/>
      <c r="C810" s="28"/>
      <c r="D810" s="28"/>
      <c r="E810" s="44"/>
      <c r="F810" s="44"/>
      <c r="G810" s="44"/>
      <c r="H810" s="44"/>
    </row>
    <row r="811" spans="1:8">
      <c r="A811" s="27"/>
      <c r="C811" s="28"/>
      <c r="D811" s="28"/>
      <c r="E811" s="44"/>
      <c r="F811" s="44"/>
      <c r="G811" s="44"/>
      <c r="H811" s="44"/>
    </row>
    <row r="812" spans="1:8">
      <c r="A812" s="27"/>
      <c r="C812" s="28"/>
      <c r="D812" s="28"/>
      <c r="E812" s="44"/>
      <c r="F812" s="44"/>
      <c r="G812" s="44"/>
      <c r="H812" s="44"/>
    </row>
    <row r="813" spans="1:8">
      <c r="A813" s="27"/>
      <c r="C813" s="28"/>
      <c r="D813" s="28"/>
      <c r="E813" s="44"/>
      <c r="F813" s="44"/>
      <c r="G813" s="44"/>
      <c r="H813" s="44"/>
    </row>
    <row r="814" spans="1:8">
      <c r="A814" s="27"/>
      <c r="C814" s="28"/>
      <c r="D814" s="28"/>
      <c r="E814" s="44"/>
      <c r="F814" s="44"/>
      <c r="G814" s="44"/>
      <c r="H814" s="44"/>
    </row>
    <row r="815" spans="1:8">
      <c r="A815" s="27"/>
      <c r="C815" s="28"/>
      <c r="D815" s="28"/>
      <c r="E815" s="44"/>
      <c r="F815" s="44"/>
      <c r="G815" s="44"/>
      <c r="H815" s="44"/>
    </row>
    <row r="816" spans="1:8">
      <c r="A816" s="27"/>
      <c r="C816" s="28"/>
      <c r="D816" s="28"/>
      <c r="E816" s="44"/>
      <c r="F816" s="44"/>
      <c r="G816" s="44"/>
      <c r="H816" s="44"/>
    </row>
    <row r="817" spans="1:8">
      <c r="A817" s="27"/>
      <c r="C817" s="28"/>
      <c r="D817" s="28"/>
      <c r="E817" s="44"/>
      <c r="F817" s="44"/>
      <c r="G817" s="44"/>
      <c r="H817" s="44"/>
    </row>
    <row r="818" spans="1:8">
      <c r="A818" s="27"/>
      <c r="C818" s="28"/>
      <c r="D818" s="28"/>
      <c r="E818" s="44"/>
      <c r="F818" s="44"/>
      <c r="G818" s="44"/>
      <c r="H818" s="44"/>
    </row>
    <row r="819" spans="1:8">
      <c r="A819" s="27"/>
      <c r="C819" s="28"/>
      <c r="D819" s="28"/>
      <c r="E819" s="44"/>
      <c r="F819" s="44"/>
      <c r="G819" s="44"/>
      <c r="H819" s="44"/>
    </row>
    <row r="820" spans="1:8">
      <c r="A820" s="27"/>
      <c r="C820" s="28"/>
      <c r="D820" s="28"/>
      <c r="E820" s="44"/>
      <c r="F820" s="44"/>
      <c r="G820" s="44"/>
      <c r="H820" s="44"/>
    </row>
    <row r="821" spans="1:8">
      <c r="A821" s="27"/>
      <c r="C821" s="28"/>
      <c r="D821" s="28"/>
      <c r="E821" s="44"/>
      <c r="F821" s="44"/>
      <c r="G821" s="44"/>
      <c r="H821" s="44"/>
    </row>
    <row r="822" spans="1:8">
      <c r="A822" s="27"/>
      <c r="C822" s="28"/>
      <c r="D822" s="28"/>
      <c r="E822" s="44"/>
      <c r="F822" s="44"/>
      <c r="G822" s="44"/>
      <c r="H822" s="44"/>
    </row>
    <row r="823" spans="1:8">
      <c r="A823" s="27"/>
      <c r="C823" s="28"/>
      <c r="D823" s="28"/>
      <c r="E823" s="44"/>
      <c r="F823" s="44"/>
      <c r="G823" s="44"/>
      <c r="H823" s="44"/>
    </row>
    <row r="824" spans="1:8">
      <c r="A824" s="27"/>
      <c r="C824" s="28"/>
      <c r="D824" s="28"/>
      <c r="E824" s="44"/>
      <c r="F824" s="44"/>
      <c r="G824" s="44"/>
      <c r="H824" s="44"/>
    </row>
    <row r="825" spans="1:8">
      <c r="A825" s="27"/>
      <c r="C825" s="28"/>
      <c r="D825" s="28"/>
      <c r="E825" s="44"/>
      <c r="F825" s="44"/>
      <c r="G825" s="44"/>
      <c r="H825" s="44"/>
    </row>
    <row r="826" spans="1:8">
      <c r="A826" s="27"/>
      <c r="C826" s="28"/>
      <c r="D826" s="28"/>
      <c r="E826" s="44"/>
      <c r="F826" s="44"/>
      <c r="G826" s="44"/>
      <c r="H826" s="44"/>
    </row>
    <row r="827" spans="1:8">
      <c r="A827" s="27"/>
      <c r="C827" s="28"/>
      <c r="D827" s="28"/>
      <c r="E827" s="44"/>
      <c r="F827" s="44"/>
      <c r="G827" s="44"/>
      <c r="H827" s="44"/>
    </row>
    <row r="828" spans="1:8">
      <c r="A828" s="27"/>
      <c r="C828" s="28"/>
      <c r="D828" s="28"/>
      <c r="E828" s="44"/>
      <c r="F828" s="44"/>
      <c r="G828" s="44"/>
      <c r="H828" s="44"/>
    </row>
    <row r="829" spans="1:8">
      <c r="A829" s="27"/>
      <c r="C829" s="28"/>
      <c r="D829" s="28"/>
      <c r="E829" s="44"/>
      <c r="F829" s="44"/>
      <c r="G829" s="44"/>
      <c r="H829" s="44"/>
    </row>
    <row r="830" spans="1:8">
      <c r="A830" s="27"/>
      <c r="C830" s="28"/>
      <c r="D830" s="28"/>
      <c r="E830" s="44"/>
      <c r="F830" s="44"/>
      <c r="G830" s="44"/>
      <c r="H830" s="44"/>
    </row>
    <row r="831" spans="1:8">
      <c r="A831" s="27"/>
      <c r="C831" s="28"/>
      <c r="D831" s="28"/>
      <c r="E831" s="44"/>
      <c r="F831" s="44"/>
      <c r="G831" s="44"/>
      <c r="H831" s="44"/>
    </row>
    <row r="832" spans="1:8">
      <c r="A832" s="27"/>
      <c r="C832" s="28"/>
      <c r="D832" s="28"/>
      <c r="E832" s="44"/>
      <c r="F832" s="44"/>
      <c r="G832" s="44"/>
      <c r="H832" s="44"/>
    </row>
    <row r="833" spans="1:8">
      <c r="A833" s="27"/>
      <c r="C833" s="28"/>
      <c r="D833" s="28"/>
      <c r="E833" s="44"/>
      <c r="F833" s="44"/>
      <c r="G833" s="44"/>
      <c r="H833" s="44"/>
    </row>
    <row r="834" spans="1:8">
      <c r="A834" s="27"/>
      <c r="C834" s="28"/>
      <c r="D834" s="28"/>
      <c r="E834" s="44"/>
      <c r="F834" s="44"/>
      <c r="G834" s="44"/>
      <c r="H834" s="44"/>
    </row>
    <row r="835" spans="1:8">
      <c r="A835" s="27"/>
      <c r="C835" s="28"/>
      <c r="D835" s="28"/>
      <c r="E835" s="44"/>
      <c r="F835" s="44"/>
      <c r="G835" s="44"/>
      <c r="H835" s="44"/>
    </row>
    <row r="836" spans="1:8">
      <c r="A836" s="27"/>
      <c r="C836" s="28"/>
      <c r="D836" s="28"/>
      <c r="E836" s="44"/>
      <c r="F836" s="44"/>
      <c r="G836" s="44"/>
      <c r="H836" s="44"/>
    </row>
    <row r="837" spans="1:8">
      <c r="A837" s="27"/>
      <c r="C837" s="28"/>
      <c r="D837" s="28"/>
      <c r="E837" s="44"/>
      <c r="F837" s="44"/>
      <c r="G837" s="44"/>
      <c r="H837" s="44"/>
    </row>
    <row r="838" spans="1:8">
      <c r="A838" s="27"/>
      <c r="C838" s="28"/>
      <c r="D838" s="28"/>
      <c r="E838" s="44"/>
      <c r="F838" s="44"/>
      <c r="G838" s="44"/>
      <c r="H838" s="44"/>
    </row>
    <row r="839" spans="1:8">
      <c r="A839" s="27"/>
      <c r="C839" s="28"/>
      <c r="D839" s="28"/>
      <c r="E839" s="44"/>
      <c r="F839" s="44"/>
      <c r="G839" s="44"/>
      <c r="H839" s="44"/>
    </row>
    <row r="840" spans="1:8">
      <c r="A840" s="27"/>
      <c r="C840" s="28"/>
      <c r="D840" s="28"/>
      <c r="E840" s="44"/>
      <c r="F840" s="44"/>
      <c r="G840" s="44"/>
      <c r="H840" s="44"/>
    </row>
    <row r="841" spans="1:8">
      <c r="A841" s="27"/>
      <c r="C841" s="28"/>
      <c r="D841" s="28"/>
      <c r="E841" s="44"/>
      <c r="F841" s="44"/>
      <c r="G841" s="44"/>
      <c r="H841" s="44"/>
    </row>
    <row r="842" spans="1:8">
      <c r="A842" s="27"/>
      <c r="C842" s="28"/>
      <c r="D842" s="28"/>
      <c r="E842" s="44"/>
      <c r="F842" s="44"/>
      <c r="G842" s="44"/>
      <c r="H842" s="44"/>
    </row>
    <row r="843" spans="1:8">
      <c r="A843" s="27"/>
      <c r="C843" s="28"/>
      <c r="D843" s="28"/>
      <c r="E843" s="44"/>
      <c r="F843" s="44"/>
      <c r="G843" s="44"/>
      <c r="H843" s="44"/>
    </row>
    <row r="844" spans="1:8">
      <c r="A844" s="27"/>
      <c r="C844" s="28"/>
      <c r="D844" s="28"/>
      <c r="E844" s="44"/>
      <c r="F844" s="44"/>
      <c r="G844" s="44"/>
      <c r="H844" s="44"/>
    </row>
    <row r="845" spans="1:8">
      <c r="A845" s="27"/>
      <c r="C845" s="28"/>
      <c r="D845" s="28"/>
      <c r="E845" s="44"/>
      <c r="F845" s="44"/>
      <c r="G845" s="44"/>
      <c r="H845" s="44"/>
    </row>
    <row r="846" spans="1:8">
      <c r="A846" s="27"/>
      <c r="C846" s="28"/>
      <c r="D846" s="28"/>
      <c r="E846" s="44"/>
      <c r="F846" s="44"/>
      <c r="G846" s="44"/>
      <c r="H846" s="44"/>
    </row>
    <row r="847" spans="1:8">
      <c r="A847" s="27"/>
      <c r="C847" s="28"/>
      <c r="D847" s="28"/>
      <c r="E847" s="44"/>
      <c r="F847" s="44"/>
      <c r="G847" s="44"/>
      <c r="H847" s="44"/>
    </row>
    <row r="848" spans="1:8">
      <c r="A848" s="27"/>
      <c r="C848" s="28"/>
      <c r="D848" s="28"/>
      <c r="E848" s="44"/>
      <c r="F848" s="44"/>
      <c r="G848" s="44"/>
      <c r="H848" s="44"/>
    </row>
    <row r="849" spans="1:8">
      <c r="A849" s="27"/>
      <c r="C849" s="28"/>
      <c r="D849" s="28"/>
      <c r="E849" s="44"/>
      <c r="F849" s="44"/>
      <c r="G849" s="44"/>
      <c r="H849" s="44"/>
    </row>
    <row r="850" spans="1:8">
      <c r="A850" s="27"/>
      <c r="C850" s="28"/>
      <c r="D850" s="28"/>
      <c r="E850" s="44"/>
      <c r="F850" s="44"/>
      <c r="G850" s="44"/>
      <c r="H850" s="44"/>
    </row>
    <row r="851" spans="1:8">
      <c r="A851" s="27"/>
      <c r="C851" s="28"/>
      <c r="D851" s="28"/>
      <c r="E851" s="44"/>
      <c r="F851" s="44"/>
      <c r="G851" s="44"/>
      <c r="H851" s="44"/>
    </row>
    <row r="852" spans="1:8">
      <c r="A852" s="27"/>
      <c r="C852" s="28"/>
      <c r="D852" s="28"/>
      <c r="E852" s="44"/>
      <c r="F852" s="44"/>
      <c r="G852" s="44"/>
      <c r="H852" s="44"/>
    </row>
    <row r="853" spans="1:8">
      <c r="A853" s="27"/>
      <c r="C853" s="28"/>
      <c r="D853" s="28"/>
      <c r="E853" s="44"/>
      <c r="F853" s="44"/>
      <c r="G853" s="44"/>
      <c r="H853" s="44"/>
    </row>
    <row r="854" spans="1:8">
      <c r="A854" s="27"/>
      <c r="C854" s="28"/>
      <c r="D854" s="28"/>
      <c r="E854" s="44"/>
      <c r="F854" s="44"/>
      <c r="G854" s="44"/>
      <c r="H854" s="44"/>
    </row>
    <row r="855" spans="1:8">
      <c r="A855" s="27"/>
      <c r="C855" s="28"/>
      <c r="D855" s="28"/>
      <c r="E855" s="44"/>
      <c r="F855" s="44"/>
      <c r="G855" s="44"/>
      <c r="H855" s="44"/>
    </row>
    <row r="856" spans="1:8">
      <c r="A856" s="27"/>
      <c r="C856" s="28"/>
      <c r="D856" s="28"/>
      <c r="E856" s="44"/>
      <c r="F856" s="44"/>
      <c r="G856" s="44"/>
      <c r="H856" s="44"/>
    </row>
    <row r="857" spans="1:8">
      <c r="A857" s="27"/>
      <c r="C857" s="28"/>
      <c r="D857" s="28"/>
      <c r="E857" s="44"/>
      <c r="F857" s="44"/>
      <c r="G857" s="44"/>
      <c r="H857" s="44"/>
    </row>
    <row r="858" spans="1:8">
      <c r="A858" s="27"/>
      <c r="C858" s="28"/>
      <c r="D858" s="28"/>
      <c r="E858" s="44"/>
      <c r="F858" s="44"/>
      <c r="G858" s="44"/>
      <c r="H858" s="44"/>
    </row>
    <row r="859" spans="1:8">
      <c r="A859" s="27"/>
      <c r="C859" s="28"/>
      <c r="D859" s="28"/>
      <c r="E859" s="44"/>
      <c r="F859" s="44"/>
      <c r="G859" s="44"/>
      <c r="H859" s="44"/>
    </row>
    <row r="860" spans="1:8">
      <c r="A860" s="27"/>
      <c r="C860" s="28"/>
      <c r="D860" s="28"/>
      <c r="E860" s="44"/>
      <c r="F860" s="44"/>
      <c r="G860" s="44"/>
      <c r="H860" s="44"/>
    </row>
    <row r="861" spans="1:8">
      <c r="A861" s="27"/>
      <c r="C861" s="28"/>
      <c r="D861" s="28"/>
      <c r="E861" s="44"/>
      <c r="F861" s="44"/>
      <c r="G861" s="44"/>
      <c r="H861" s="44"/>
    </row>
    <row r="862" spans="1:8">
      <c r="A862" s="27"/>
      <c r="C862" s="28"/>
      <c r="D862" s="28"/>
      <c r="E862" s="44"/>
      <c r="F862" s="44"/>
      <c r="G862" s="44"/>
      <c r="H862" s="44"/>
    </row>
    <row r="863" spans="1:8">
      <c r="A863" s="27"/>
      <c r="C863" s="28"/>
      <c r="D863" s="28"/>
      <c r="E863" s="44"/>
      <c r="F863" s="44"/>
      <c r="G863" s="44"/>
      <c r="H863" s="44"/>
    </row>
    <row r="864" spans="1:8">
      <c r="A864" s="27"/>
      <c r="C864" s="28"/>
      <c r="D864" s="28"/>
      <c r="E864" s="44"/>
      <c r="F864" s="44"/>
      <c r="G864" s="44"/>
      <c r="H864" s="44"/>
    </row>
    <row r="865" spans="1:8">
      <c r="A865" s="27"/>
      <c r="C865" s="28"/>
      <c r="D865" s="28"/>
      <c r="E865" s="44"/>
      <c r="F865" s="44"/>
      <c r="G865" s="44"/>
      <c r="H865" s="44"/>
    </row>
    <row r="866" spans="1:8">
      <c r="A866" s="27"/>
      <c r="C866" s="28"/>
      <c r="D866" s="28"/>
      <c r="E866" s="44"/>
      <c r="F866" s="44"/>
      <c r="G866" s="44"/>
      <c r="H866" s="44"/>
    </row>
    <row r="867" spans="1:8">
      <c r="A867" s="27"/>
      <c r="C867" s="28"/>
      <c r="D867" s="28"/>
      <c r="E867" s="44"/>
      <c r="F867" s="44"/>
      <c r="G867" s="44"/>
      <c r="H867" s="44"/>
    </row>
    <row r="868" spans="1:8">
      <c r="A868" s="27"/>
      <c r="C868" s="28"/>
      <c r="D868" s="28"/>
      <c r="E868" s="44"/>
      <c r="F868" s="44"/>
      <c r="G868" s="44"/>
      <c r="H868" s="44"/>
    </row>
    <row r="869" spans="1:8">
      <c r="A869" s="27"/>
      <c r="C869" s="28"/>
      <c r="D869" s="28"/>
      <c r="E869" s="44"/>
      <c r="F869" s="44"/>
      <c r="G869" s="44"/>
      <c r="H869" s="44"/>
    </row>
    <row r="870" spans="1:8">
      <c r="A870" s="27"/>
      <c r="C870" s="28"/>
      <c r="D870" s="28"/>
      <c r="E870" s="44"/>
      <c r="F870" s="44"/>
      <c r="G870" s="44"/>
      <c r="H870" s="44"/>
    </row>
    <row r="871" spans="1:8">
      <c r="A871" s="27"/>
      <c r="C871" s="28"/>
      <c r="D871" s="28"/>
      <c r="E871" s="44"/>
      <c r="F871" s="44"/>
      <c r="G871" s="44"/>
      <c r="H871" s="44"/>
    </row>
    <row r="872" spans="1:8">
      <c r="A872" s="27"/>
      <c r="C872" s="28"/>
      <c r="D872" s="28"/>
      <c r="E872" s="44"/>
      <c r="F872" s="44"/>
      <c r="G872" s="44"/>
      <c r="H872" s="44"/>
    </row>
    <row r="873" spans="1:8">
      <c r="A873" s="27"/>
      <c r="C873" s="28"/>
      <c r="D873" s="28"/>
      <c r="E873" s="44"/>
      <c r="F873" s="44"/>
      <c r="G873" s="44"/>
      <c r="H873" s="44"/>
    </row>
    <row r="874" spans="1:8">
      <c r="A874" s="27"/>
      <c r="C874" s="28"/>
      <c r="D874" s="28"/>
      <c r="E874" s="44"/>
      <c r="F874" s="44"/>
      <c r="G874" s="44"/>
      <c r="H874" s="44"/>
    </row>
    <row r="875" spans="1:8">
      <c r="A875" s="27"/>
      <c r="C875" s="28"/>
      <c r="D875" s="28"/>
      <c r="E875" s="44"/>
      <c r="F875" s="44"/>
      <c r="G875" s="44"/>
      <c r="H875" s="44"/>
    </row>
    <row r="876" spans="1:8">
      <c r="A876" s="27"/>
      <c r="C876" s="28"/>
      <c r="D876" s="28"/>
      <c r="E876" s="44"/>
      <c r="F876" s="44"/>
      <c r="G876" s="44"/>
      <c r="H876" s="44"/>
    </row>
    <row r="877" spans="1:8">
      <c r="A877" s="27"/>
      <c r="C877" s="28"/>
      <c r="D877" s="28"/>
      <c r="E877" s="44"/>
      <c r="F877" s="44"/>
      <c r="G877" s="44"/>
      <c r="H877" s="44"/>
    </row>
    <row r="878" spans="1:8">
      <c r="A878" s="27"/>
      <c r="C878" s="28"/>
      <c r="D878" s="28"/>
      <c r="E878" s="44"/>
      <c r="F878" s="44"/>
      <c r="G878" s="44"/>
      <c r="H878" s="44"/>
    </row>
    <row r="879" spans="1:8">
      <c r="A879" s="27"/>
      <c r="C879" s="28"/>
      <c r="D879" s="28"/>
      <c r="E879" s="44"/>
      <c r="F879" s="44"/>
      <c r="G879" s="44"/>
      <c r="H879" s="44"/>
    </row>
    <row r="880" spans="1:8">
      <c r="A880" s="27"/>
      <c r="C880" s="28"/>
      <c r="D880" s="28"/>
      <c r="E880" s="44"/>
      <c r="F880" s="44"/>
      <c r="G880" s="44"/>
      <c r="H880" s="44"/>
    </row>
    <row r="881" spans="1:8">
      <c r="A881" s="27"/>
      <c r="C881" s="28"/>
      <c r="D881" s="28"/>
      <c r="E881" s="44"/>
      <c r="F881" s="44"/>
      <c r="G881" s="44"/>
      <c r="H881" s="44"/>
    </row>
    <row r="882" spans="1:8">
      <c r="A882" s="27"/>
      <c r="C882" s="28"/>
      <c r="D882" s="28"/>
      <c r="E882" s="44"/>
      <c r="F882" s="44"/>
      <c r="G882" s="44"/>
      <c r="H882" s="44"/>
    </row>
    <row r="883" spans="1:8">
      <c r="A883" s="27"/>
      <c r="C883" s="28"/>
      <c r="D883" s="28"/>
      <c r="E883" s="44"/>
      <c r="F883" s="44"/>
      <c r="G883" s="44"/>
      <c r="H883" s="44"/>
    </row>
    <row r="884" spans="1:8">
      <c r="A884" s="27"/>
      <c r="C884" s="28"/>
      <c r="D884" s="28"/>
      <c r="E884" s="44"/>
      <c r="F884" s="44"/>
      <c r="G884" s="44"/>
      <c r="H884" s="44"/>
    </row>
    <row r="885" spans="1:8">
      <c r="A885" s="27"/>
      <c r="C885" s="28"/>
      <c r="D885" s="28"/>
      <c r="E885" s="44"/>
      <c r="F885" s="44"/>
      <c r="G885" s="44"/>
      <c r="H885" s="44"/>
    </row>
    <row r="886" spans="1:8">
      <c r="A886" s="27"/>
      <c r="C886" s="28"/>
      <c r="D886" s="28"/>
      <c r="E886" s="44"/>
      <c r="F886" s="44"/>
      <c r="G886" s="44"/>
      <c r="H886" s="44"/>
    </row>
    <row r="887" spans="1:8">
      <c r="A887" s="27"/>
      <c r="C887" s="28"/>
      <c r="D887" s="28"/>
      <c r="E887" s="44"/>
      <c r="F887" s="44"/>
      <c r="G887" s="44"/>
      <c r="H887" s="44"/>
    </row>
    <row r="888" spans="1:8">
      <c r="A888" s="27"/>
      <c r="C888" s="28"/>
      <c r="D888" s="28"/>
      <c r="E888" s="44"/>
      <c r="F888" s="44"/>
      <c r="G888" s="44"/>
      <c r="H888" s="44"/>
    </row>
    <row r="889" spans="1:8">
      <c r="A889" s="27"/>
      <c r="C889" s="28"/>
      <c r="D889" s="28"/>
      <c r="E889" s="44"/>
      <c r="F889" s="44"/>
      <c r="G889" s="44"/>
      <c r="H889" s="44"/>
    </row>
    <row r="890" spans="1:8">
      <c r="A890" s="27"/>
      <c r="C890" s="28"/>
      <c r="D890" s="28"/>
      <c r="E890" s="44"/>
      <c r="F890" s="44"/>
      <c r="G890" s="44"/>
      <c r="H890" s="44"/>
    </row>
    <row r="891" spans="1:8">
      <c r="A891" s="27"/>
      <c r="C891" s="28"/>
      <c r="D891" s="28"/>
      <c r="E891" s="44"/>
      <c r="F891" s="44"/>
      <c r="G891" s="44"/>
      <c r="H891" s="44"/>
    </row>
    <row r="892" spans="1:8">
      <c r="A892" s="27"/>
      <c r="C892" s="28"/>
      <c r="D892" s="28"/>
      <c r="E892" s="44"/>
      <c r="F892" s="44"/>
      <c r="G892" s="44"/>
      <c r="H892" s="44"/>
    </row>
    <row r="893" spans="1:8">
      <c r="A893" s="27"/>
      <c r="C893" s="28"/>
      <c r="D893" s="28"/>
      <c r="E893" s="44"/>
      <c r="F893" s="44"/>
      <c r="G893" s="44"/>
      <c r="H893" s="44"/>
    </row>
    <row r="894" spans="1:8">
      <c r="A894" s="27"/>
      <c r="C894" s="28"/>
      <c r="D894" s="28"/>
      <c r="E894" s="44"/>
      <c r="F894" s="44"/>
      <c r="G894" s="44"/>
      <c r="H894" s="44"/>
    </row>
    <row r="895" spans="1:8">
      <c r="A895" s="27"/>
      <c r="C895" s="28"/>
      <c r="D895" s="28"/>
      <c r="E895" s="44"/>
      <c r="F895" s="44"/>
      <c r="G895" s="44"/>
      <c r="H895" s="44"/>
    </row>
    <row r="896" spans="1:8">
      <c r="A896" s="27"/>
      <c r="C896" s="28"/>
      <c r="D896" s="28"/>
      <c r="E896" s="44"/>
      <c r="F896" s="44"/>
      <c r="G896" s="44"/>
      <c r="H896" s="44"/>
    </row>
    <row r="897" spans="1:8">
      <c r="A897" s="27"/>
      <c r="C897" s="28"/>
      <c r="D897" s="28"/>
      <c r="E897" s="44"/>
      <c r="F897" s="44"/>
      <c r="G897" s="44"/>
      <c r="H897" s="44"/>
    </row>
    <row r="898" spans="1:8">
      <c r="A898" s="27"/>
      <c r="C898" s="28"/>
      <c r="D898" s="28"/>
      <c r="E898" s="44"/>
      <c r="F898" s="44"/>
      <c r="G898" s="44"/>
      <c r="H898" s="44"/>
    </row>
    <row r="899" spans="1:8">
      <c r="A899" s="27"/>
      <c r="C899" s="28"/>
      <c r="D899" s="28"/>
      <c r="E899" s="44"/>
      <c r="F899" s="44"/>
      <c r="G899" s="44"/>
      <c r="H899" s="44"/>
    </row>
    <row r="900" spans="1:8">
      <c r="A900" s="27"/>
      <c r="C900" s="28"/>
      <c r="D900" s="28"/>
      <c r="E900" s="44"/>
      <c r="F900" s="44"/>
      <c r="G900" s="44"/>
      <c r="H900" s="44"/>
    </row>
    <row r="901" spans="1:8">
      <c r="A901" s="27"/>
      <c r="C901" s="28"/>
      <c r="D901" s="28"/>
      <c r="E901" s="44"/>
      <c r="F901" s="44"/>
      <c r="G901" s="44"/>
      <c r="H901" s="44"/>
    </row>
    <row r="902" spans="1:8">
      <c r="A902" s="27"/>
      <c r="C902" s="28"/>
      <c r="D902" s="28"/>
      <c r="E902" s="44"/>
      <c r="F902" s="44"/>
      <c r="G902" s="44"/>
      <c r="H902" s="44"/>
    </row>
    <row r="903" spans="1:8">
      <c r="A903" s="27"/>
      <c r="C903" s="28"/>
      <c r="D903" s="28"/>
      <c r="E903" s="44"/>
      <c r="F903" s="44"/>
      <c r="G903" s="44"/>
      <c r="H903" s="44"/>
    </row>
    <row r="904" spans="1:8">
      <c r="A904" s="27"/>
      <c r="C904" s="28"/>
      <c r="D904" s="28"/>
      <c r="E904" s="44"/>
      <c r="F904" s="44"/>
      <c r="G904" s="44"/>
      <c r="H904" s="44"/>
    </row>
    <row r="905" spans="1:8">
      <c r="A905" s="27"/>
      <c r="C905" s="28"/>
      <c r="D905" s="28"/>
      <c r="E905" s="44"/>
      <c r="F905" s="44"/>
      <c r="G905" s="44"/>
      <c r="H905" s="44"/>
    </row>
    <row r="906" spans="1:8">
      <c r="A906" s="27"/>
      <c r="C906" s="28"/>
      <c r="D906" s="28"/>
      <c r="E906" s="44"/>
      <c r="F906" s="44"/>
      <c r="G906" s="44"/>
      <c r="H906" s="44"/>
    </row>
    <row r="907" spans="1:8">
      <c r="A907" s="27"/>
      <c r="C907" s="28"/>
      <c r="D907" s="28"/>
      <c r="E907" s="44"/>
      <c r="F907" s="44"/>
      <c r="G907" s="44"/>
      <c r="H907" s="44"/>
    </row>
    <row r="908" spans="1:8">
      <c r="A908" s="27"/>
      <c r="C908" s="28"/>
      <c r="D908" s="28"/>
      <c r="E908" s="44"/>
      <c r="F908" s="44"/>
      <c r="G908" s="44"/>
      <c r="H908" s="44"/>
    </row>
    <row r="909" spans="1:8">
      <c r="A909" s="27"/>
      <c r="C909" s="28"/>
      <c r="D909" s="28"/>
      <c r="E909" s="44"/>
      <c r="F909" s="44"/>
      <c r="G909" s="44"/>
      <c r="H909" s="44"/>
    </row>
    <row r="910" spans="1:8">
      <c r="A910" s="27"/>
      <c r="C910" s="28"/>
      <c r="D910" s="28"/>
      <c r="E910" s="44"/>
      <c r="F910" s="44"/>
      <c r="G910" s="44"/>
      <c r="H910" s="44"/>
    </row>
    <row r="911" spans="1:8">
      <c r="A911" s="27"/>
      <c r="C911" s="28"/>
      <c r="D911" s="28"/>
      <c r="E911" s="44"/>
      <c r="F911" s="44"/>
      <c r="G911" s="44"/>
      <c r="H911" s="44"/>
    </row>
    <row r="912" spans="1:8">
      <c r="A912" s="27"/>
      <c r="C912" s="28"/>
      <c r="D912" s="28"/>
      <c r="E912" s="44"/>
      <c r="F912" s="44"/>
      <c r="G912" s="44"/>
      <c r="H912" s="44"/>
    </row>
    <row r="913" spans="1:8">
      <c r="A913" s="27"/>
      <c r="C913" s="28"/>
      <c r="D913" s="28"/>
      <c r="E913" s="44"/>
      <c r="F913" s="44"/>
      <c r="G913" s="44"/>
      <c r="H913" s="44"/>
    </row>
    <row r="914" spans="1:8">
      <c r="A914" s="27"/>
      <c r="C914" s="28"/>
      <c r="D914" s="28"/>
      <c r="E914" s="44"/>
      <c r="F914" s="44"/>
      <c r="G914" s="44"/>
      <c r="H914" s="44"/>
    </row>
    <row r="915" spans="1:8">
      <c r="A915" s="27"/>
      <c r="C915" s="28"/>
      <c r="D915" s="28"/>
      <c r="E915" s="44"/>
      <c r="F915" s="44"/>
      <c r="G915" s="44"/>
      <c r="H915" s="44"/>
    </row>
    <row r="916" spans="1:8">
      <c r="A916" s="27"/>
      <c r="C916" s="28"/>
      <c r="D916" s="28"/>
      <c r="E916" s="44"/>
      <c r="F916" s="44"/>
      <c r="G916" s="44"/>
      <c r="H916" s="44"/>
    </row>
    <row r="917" spans="1:8">
      <c r="A917" s="27"/>
      <c r="C917" s="28"/>
      <c r="D917" s="28"/>
      <c r="E917" s="44"/>
      <c r="F917" s="44"/>
      <c r="G917" s="44"/>
      <c r="H917" s="44"/>
    </row>
    <row r="918" spans="1:8">
      <c r="A918" s="27"/>
      <c r="C918" s="28"/>
      <c r="D918" s="28"/>
      <c r="E918" s="44"/>
      <c r="F918" s="44"/>
      <c r="G918" s="44"/>
      <c r="H918" s="44"/>
    </row>
    <row r="919" spans="1:8">
      <c r="A919" s="27"/>
      <c r="C919" s="28"/>
      <c r="D919" s="28"/>
      <c r="E919" s="44"/>
      <c r="F919" s="44"/>
      <c r="G919" s="44"/>
      <c r="H919" s="44"/>
    </row>
    <row r="920" spans="1:8">
      <c r="A920" s="27"/>
      <c r="C920" s="28"/>
      <c r="D920" s="28"/>
      <c r="E920" s="44"/>
      <c r="F920" s="44"/>
      <c r="G920" s="44"/>
      <c r="H920" s="44"/>
    </row>
    <row r="921" spans="1:8">
      <c r="A921" s="27"/>
      <c r="C921" s="28"/>
      <c r="D921" s="28"/>
      <c r="E921" s="44"/>
      <c r="F921" s="44"/>
      <c r="G921" s="44"/>
      <c r="H921" s="44"/>
    </row>
    <row r="922" spans="1:8">
      <c r="A922" s="27"/>
      <c r="C922" s="28"/>
      <c r="D922" s="28"/>
      <c r="E922" s="44"/>
      <c r="F922" s="44"/>
      <c r="G922" s="44"/>
      <c r="H922" s="44"/>
    </row>
    <row r="923" spans="1:8">
      <c r="A923" s="27"/>
      <c r="C923" s="28"/>
      <c r="D923" s="28"/>
      <c r="E923" s="44"/>
      <c r="F923" s="44"/>
      <c r="G923" s="44"/>
      <c r="H923" s="44"/>
    </row>
    <row r="924" spans="1:8">
      <c r="A924" s="27"/>
      <c r="C924" s="28"/>
      <c r="D924" s="28"/>
      <c r="E924" s="44"/>
      <c r="F924" s="44"/>
      <c r="G924" s="44"/>
      <c r="H924" s="44"/>
    </row>
    <row r="925" spans="1:8">
      <c r="A925" s="27"/>
      <c r="C925" s="28"/>
      <c r="D925" s="28"/>
      <c r="E925" s="44"/>
      <c r="F925" s="44"/>
      <c r="G925" s="44"/>
      <c r="H925" s="44"/>
    </row>
    <row r="926" spans="1:8">
      <c r="A926" s="27"/>
      <c r="C926" s="28"/>
      <c r="D926" s="28"/>
      <c r="E926" s="44"/>
      <c r="F926" s="44"/>
      <c r="G926" s="44"/>
      <c r="H926" s="44"/>
    </row>
    <row r="927" spans="1:8">
      <c r="A927" s="27"/>
      <c r="C927" s="28"/>
      <c r="D927" s="28"/>
      <c r="E927" s="44"/>
      <c r="F927" s="44"/>
      <c r="G927" s="44"/>
      <c r="H927" s="44"/>
    </row>
    <row r="928" spans="1:8">
      <c r="A928" s="27"/>
      <c r="C928" s="28"/>
      <c r="D928" s="28"/>
      <c r="E928" s="44"/>
      <c r="F928" s="44"/>
      <c r="G928" s="44"/>
      <c r="H928" s="44"/>
    </row>
    <row r="929" spans="1:8">
      <c r="A929" s="27"/>
      <c r="C929" s="28"/>
      <c r="D929" s="28"/>
      <c r="E929" s="44"/>
      <c r="F929" s="44"/>
      <c r="G929" s="44"/>
      <c r="H929" s="44"/>
    </row>
    <row r="930" spans="1:8">
      <c r="A930" s="27"/>
      <c r="C930" s="28"/>
      <c r="D930" s="28"/>
      <c r="E930" s="44"/>
      <c r="F930" s="44"/>
      <c r="G930" s="44"/>
      <c r="H930" s="44"/>
    </row>
    <row r="931" spans="1:8">
      <c r="A931" s="27"/>
      <c r="C931" s="28"/>
      <c r="D931" s="28"/>
      <c r="E931" s="44"/>
      <c r="F931" s="44"/>
      <c r="G931" s="44"/>
      <c r="H931" s="44"/>
    </row>
    <row r="932" spans="1:8">
      <c r="A932" s="27"/>
      <c r="C932" s="28"/>
      <c r="D932" s="28"/>
      <c r="E932" s="44"/>
      <c r="F932" s="44"/>
      <c r="G932" s="44"/>
      <c r="H932" s="44"/>
    </row>
    <row r="933" spans="1:8">
      <c r="A933" s="27"/>
      <c r="C933" s="28"/>
      <c r="D933" s="28"/>
      <c r="E933" s="44"/>
      <c r="F933" s="44"/>
      <c r="G933" s="44"/>
      <c r="H933" s="44"/>
    </row>
    <row r="934" spans="1:8">
      <c r="A934" s="27"/>
      <c r="C934" s="28"/>
      <c r="D934" s="28"/>
      <c r="E934" s="44"/>
      <c r="F934" s="44"/>
      <c r="G934" s="44"/>
      <c r="H934" s="44"/>
    </row>
    <row r="935" spans="1:8">
      <c r="A935" s="27"/>
      <c r="C935" s="28"/>
      <c r="D935" s="28"/>
      <c r="E935" s="44"/>
      <c r="F935" s="44"/>
      <c r="G935" s="44"/>
      <c r="H935" s="44"/>
    </row>
    <row r="936" spans="1:8">
      <c r="A936" s="27"/>
      <c r="C936" s="28"/>
      <c r="D936" s="28"/>
      <c r="E936" s="44"/>
      <c r="F936" s="44"/>
      <c r="G936" s="44"/>
      <c r="H936" s="44"/>
    </row>
    <row r="937" spans="1:8">
      <c r="A937" s="27"/>
      <c r="C937" s="28"/>
      <c r="D937" s="28"/>
      <c r="E937" s="44"/>
      <c r="F937" s="44"/>
      <c r="G937" s="44"/>
      <c r="H937" s="44"/>
    </row>
    <row r="938" spans="1:8">
      <c r="A938" s="27"/>
      <c r="C938" s="28"/>
      <c r="D938" s="28"/>
      <c r="E938" s="44"/>
      <c r="F938" s="44"/>
      <c r="G938" s="44"/>
      <c r="H938" s="44"/>
    </row>
    <row r="939" spans="1:8">
      <c r="A939" s="27"/>
      <c r="C939" s="28"/>
      <c r="D939" s="28"/>
      <c r="E939" s="44"/>
      <c r="F939" s="44"/>
      <c r="G939" s="44"/>
      <c r="H939" s="44"/>
    </row>
    <row r="940" spans="1:8">
      <c r="A940" s="27"/>
      <c r="C940" s="28"/>
      <c r="D940" s="28"/>
      <c r="E940" s="44"/>
      <c r="F940" s="44"/>
      <c r="G940" s="44"/>
      <c r="H940" s="44"/>
    </row>
    <row r="941" spans="1:8">
      <c r="A941" s="27"/>
      <c r="C941" s="28"/>
      <c r="D941" s="28"/>
      <c r="E941" s="44"/>
      <c r="F941" s="44"/>
      <c r="G941" s="44"/>
      <c r="H941" s="44"/>
    </row>
    <row r="942" spans="1:8">
      <c r="A942" s="27"/>
      <c r="C942" s="28"/>
      <c r="D942" s="28"/>
      <c r="E942" s="44"/>
      <c r="F942" s="44"/>
      <c r="G942" s="44"/>
      <c r="H942" s="44"/>
    </row>
    <row r="943" spans="1:8">
      <c r="A943" s="27"/>
      <c r="C943" s="28"/>
      <c r="D943" s="28"/>
      <c r="E943" s="44"/>
      <c r="F943" s="44"/>
      <c r="G943" s="44"/>
      <c r="H943" s="44"/>
    </row>
  </sheetData>
  <autoFilter xmlns:etc="http://www.wps.cn/officeDocument/2017/etCustomData" ref="A5:H203" etc:filterBottomFollowUsedRange="0">
    <sortState ref="A5:H203">
      <sortCondition ref="B5:B204"/>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rgb="FFFFFF00"/>
    <pageSetUpPr fitToPage="1"/>
  </sheetPr>
  <dimension ref="A1:J958"/>
  <sheetViews>
    <sheetView showGridLines="0" zoomScale="90" zoomScaleNormal="90" zoomScaleSheetLayoutView="85" topLeftCell="A93" workbookViewId="0">
      <selection activeCell="E27" sqref="E27"/>
    </sheetView>
  </sheetViews>
  <sheetFormatPr defaultColWidth="9.12962962962963" defaultRowHeight="13.8"/>
  <cols>
    <col min="1" max="1" width="7.62962962962963" style="31" customWidth="1"/>
    <col min="2" max="2" width="39.5" style="27" customWidth="1"/>
    <col min="3" max="4" width="30.75" style="32" customWidth="1"/>
    <col min="5" max="8" width="13.8796296296296" style="45" customWidth="1"/>
    <col min="9" max="16384" width="9.12962962962963" style="31"/>
  </cols>
  <sheetData>
    <row r="1" spans="1:9">
      <c r="A1" s="6" t="s">
        <v>2010</v>
      </c>
      <c r="B1" s="6"/>
      <c r="C1" s="7"/>
      <c r="D1" s="7"/>
      <c r="E1" s="6"/>
      <c r="F1" s="6"/>
      <c r="G1" s="6"/>
      <c r="H1" s="6"/>
    </row>
    <row r="2" spans="1:9">
      <c r="A2" s="8" t="s">
        <v>2011</v>
      </c>
      <c r="B2" s="8"/>
      <c r="C2" s="8"/>
      <c r="D2" s="8"/>
      <c r="E2" s="34"/>
      <c r="F2" s="34"/>
      <c r="G2" s="34"/>
      <c r="H2" s="34"/>
    </row>
    <row r="3" spans="1:9">
      <c r="A3" s="9" t="s">
        <v>5</v>
      </c>
      <c r="B3" s="9" t="s">
        <v>6</v>
      </c>
      <c r="C3" s="9" t="s">
        <v>7</v>
      </c>
      <c r="D3" s="9"/>
      <c r="E3" s="10" t="s">
        <v>8</v>
      </c>
      <c r="F3" s="10"/>
      <c r="G3" s="10"/>
      <c r="H3" s="10"/>
    </row>
    <row r="4" spans="1:9">
      <c r="A4" s="11"/>
      <c r="B4" s="11"/>
      <c r="C4" s="9" t="s">
        <v>9</v>
      </c>
      <c r="D4" s="9" t="s">
        <v>10</v>
      </c>
      <c r="E4" s="10" t="s">
        <v>11</v>
      </c>
      <c r="F4" s="10" t="s">
        <v>12</v>
      </c>
      <c r="G4" s="10" t="s">
        <v>13</v>
      </c>
      <c r="H4" s="10" t="s">
        <v>14</v>
      </c>
    </row>
    <row r="5" spans="1:9">
      <c r="A5" s="39" t="s">
        <v>15</v>
      </c>
      <c r="B5" s="13"/>
      <c r="C5" s="15"/>
      <c r="D5" s="15"/>
      <c r="E5" s="10" t="s">
        <v>16</v>
      </c>
      <c r="F5" s="10" t="s">
        <v>16</v>
      </c>
      <c r="G5" s="10" t="s">
        <v>16</v>
      </c>
      <c r="H5" s="10" t="s">
        <v>16</v>
      </c>
    </row>
    <row r="6" spans="1:9">
      <c r="A6" s="36">
        <v>1</v>
      </c>
      <c r="B6" s="18" t="s">
        <v>2012</v>
      </c>
      <c r="C6" s="18" t="s">
        <v>1980</v>
      </c>
      <c r="D6" s="18" t="s">
        <v>1993</v>
      </c>
      <c r="E6" s="21">
        <v>5200000</v>
      </c>
      <c r="F6" s="21">
        <v>2900000</v>
      </c>
      <c r="G6" s="21">
        <v>1900000</v>
      </c>
      <c r="H6" s="21">
        <v>1250000</v>
      </c>
    </row>
    <row r="7" spans="1:9">
      <c r="A7" s="36">
        <f t="shared" ref="A7:A11" si="0">A6+1</f>
        <v>2</v>
      </c>
      <c r="B7" s="18" t="s">
        <v>2013</v>
      </c>
      <c r="C7" s="18" t="s">
        <v>2012</v>
      </c>
      <c r="D7" s="18" t="s">
        <v>2014</v>
      </c>
      <c r="E7" s="21">
        <v>4200000</v>
      </c>
      <c r="F7" s="21">
        <v>2350000</v>
      </c>
      <c r="G7" s="21">
        <v>1550000</v>
      </c>
      <c r="H7" s="21">
        <v>1000000</v>
      </c>
    </row>
    <row r="8" spans="1:9">
      <c r="A8" s="36">
        <f t="shared" si="0"/>
        <v>3</v>
      </c>
      <c r="B8" s="18" t="s">
        <v>2015</v>
      </c>
      <c r="C8" s="18" t="s">
        <v>1909</v>
      </c>
      <c r="D8" s="18" t="s">
        <v>2016</v>
      </c>
      <c r="E8" s="21">
        <v>4200000</v>
      </c>
      <c r="F8" s="21">
        <v>2350000</v>
      </c>
      <c r="G8" s="21">
        <v>1550000</v>
      </c>
      <c r="H8" s="21">
        <v>1000000</v>
      </c>
    </row>
    <row r="9" ht="27.6" spans="1:9">
      <c r="A9" s="36">
        <f t="shared" si="0"/>
        <v>4</v>
      </c>
      <c r="B9" s="18" t="s">
        <v>1906</v>
      </c>
      <c r="C9" s="20" t="s">
        <v>1907</v>
      </c>
      <c r="D9" s="20" t="s">
        <v>2017</v>
      </c>
      <c r="E9" s="23">
        <v>4200000</v>
      </c>
      <c r="F9" s="23">
        <v>2350000</v>
      </c>
      <c r="G9" s="23">
        <v>1550000</v>
      </c>
      <c r="H9" s="23">
        <v>1000000</v>
      </c>
      <c r="I9" s="31" t="s">
        <v>147</v>
      </c>
    </row>
    <row r="10" spans="1:9">
      <c r="A10" s="36">
        <f t="shared" si="0"/>
        <v>5</v>
      </c>
      <c r="B10" s="20" t="s">
        <v>1908</v>
      </c>
      <c r="C10" s="144" t="s">
        <v>1909</v>
      </c>
      <c r="D10" s="144" t="s">
        <v>2018</v>
      </c>
      <c r="E10" s="23">
        <v>4200000</v>
      </c>
      <c r="F10" s="23">
        <v>2350000</v>
      </c>
      <c r="G10" s="23">
        <v>1550000</v>
      </c>
      <c r="H10" s="23">
        <v>1000000</v>
      </c>
    </row>
    <row r="11" spans="1:9">
      <c r="A11" s="36">
        <f t="shared" si="0"/>
        <v>6</v>
      </c>
      <c r="B11" s="18" t="s">
        <v>1910</v>
      </c>
      <c r="C11" s="18" t="s">
        <v>1912</v>
      </c>
      <c r="D11" s="18" t="s">
        <v>1913</v>
      </c>
      <c r="E11" s="23">
        <v>7800000</v>
      </c>
      <c r="F11" s="23">
        <v>4400000</v>
      </c>
      <c r="G11" s="23">
        <v>2900000</v>
      </c>
      <c r="H11" s="23">
        <v>1850000</v>
      </c>
    </row>
    <row r="12" spans="1:9">
      <c r="A12" s="36"/>
      <c r="B12" s="18" t="s">
        <v>1910</v>
      </c>
      <c r="C12" s="18" t="s">
        <v>1913</v>
      </c>
      <c r="D12" s="18" t="s">
        <v>1914</v>
      </c>
      <c r="E12" s="23">
        <v>5200000</v>
      </c>
      <c r="F12" s="23">
        <v>2900000</v>
      </c>
      <c r="G12" s="23">
        <v>1900000</v>
      </c>
      <c r="H12" s="23">
        <v>1250000</v>
      </c>
    </row>
    <row r="13" ht="41.4" spans="1:9">
      <c r="A13" s="36"/>
      <c r="B13" s="18" t="s">
        <v>1910</v>
      </c>
      <c r="C13" s="18" t="s">
        <v>1914</v>
      </c>
      <c r="D13" s="18" t="s">
        <v>2019</v>
      </c>
      <c r="E13" s="23">
        <v>4200000</v>
      </c>
      <c r="F13" s="23">
        <v>2350000</v>
      </c>
      <c r="G13" s="23">
        <v>1550000</v>
      </c>
      <c r="H13" s="23">
        <v>1000000</v>
      </c>
    </row>
    <row r="14" spans="1:9">
      <c r="A14" s="36">
        <v>7</v>
      </c>
      <c r="B14" s="20" t="s">
        <v>2020</v>
      </c>
      <c r="C14" s="18" t="s">
        <v>41</v>
      </c>
      <c r="D14" s="18" t="s">
        <v>2021</v>
      </c>
      <c r="E14" s="23">
        <v>3300000</v>
      </c>
      <c r="F14" s="23">
        <v>1850000</v>
      </c>
      <c r="G14" s="23">
        <v>1200000</v>
      </c>
      <c r="H14" s="23">
        <v>800000</v>
      </c>
    </row>
    <row r="15" spans="1:9">
      <c r="A15" s="36">
        <f t="shared" ref="A15:A19" si="1">A14+1</f>
        <v>8</v>
      </c>
      <c r="B15" s="18" t="s">
        <v>2022</v>
      </c>
      <c r="C15" s="18" t="s">
        <v>1909</v>
      </c>
      <c r="D15" s="18" t="s">
        <v>1962</v>
      </c>
      <c r="E15" s="23">
        <v>5200000</v>
      </c>
      <c r="F15" s="23">
        <v>2900000</v>
      </c>
      <c r="G15" s="23">
        <v>1900000</v>
      </c>
      <c r="H15" s="23">
        <v>1250000</v>
      </c>
    </row>
    <row r="16" ht="27.6" spans="1:9">
      <c r="A16" s="36">
        <f t="shared" si="1"/>
        <v>9</v>
      </c>
      <c r="B16" s="18" t="s">
        <v>28</v>
      </c>
      <c r="C16" s="20" t="s">
        <v>40</v>
      </c>
      <c r="D16" s="20" t="s">
        <v>2017</v>
      </c>
      <c r="E16" s="23">
        <v>2100000</v>
      </c>
      <c r="F16" s="23">
        <v>1200000</v>
      </c>
      <c r="G16" s="23">
        <v>800000</v>
      </c>
      <c r="H16" s="23">
        <v>500000</v>
      </c>
      <c r="I16" s="31" t="s">
        <v>156</v>
      </c>
    </row>
    <row r="17" spans="1:9">
      <c r="A17" s="36">
        <f t="shared" si="1"/>
        <v>10</v>
      </c>
      <c r="B17" s="18" t="s">
        <v>2023</v>
      </c>
      <c r="C17" s="18" t="s">
        <v>2024</v>
      </c>
      <c r="D17" s="18" t="s">
        <v>2025</v>
      </c>
      <c r="E17" s="23">
        <v>4200000</v>
      </c>
      <c r="F17" s="23">
        <v>2350000</v>
      </c>
      <c r="G17" s="23">
        <v>1550000</v>
      </c>
      <c r="H17" s="23">
        <v>1000000</v>
      </c>
    </row>
    <row r="18" spans="1:9">
      <c r="A18" s="36">
        <f t="shared" si="1"/>
        <v>11</v>
      </c>
      <c r="B18" s="18" t="s">
        <v>2026</v>
      </c>
      <c r="C18" s="18" t="s">
        <v>1909</v>
      </c>
      <c r="D18" s="18" t="s">
        <v>1962</v>
      </c>
      <c r="E18" s="23">
        <v>5200000</v>
      </c>
      <c r="F18" s="23">
        <v>2900000</v>
      </c>
      <c r="G18" s="23">
        <v>1900000</v>
      </c>
      <c r="H18" s="23">
        <v>1250000</v>
      </c>
    </row>
    <row r="19" spans="1:9">
      <c r="A19" s="36">
        <f t="shared" si="1"/>
        <v>12</v>
      </c>
      <c r="B19" s="20" t="s">
        <v>40</v>
      </c>
      <c r="C19" s="18" t="s">
        <v>41</v>
      </c>
      <c r="D19" s="18" t="s">
        <v>28</v>
      </c>
      <c r="E19" s="23">
        <v>5200000</v>
      </c>
      <c r="F19" s="23">
        <v>2900000</v>
      </c>
      <c r="G19" s="23">
        <v>1900000</v>
      </c>
      <c r="H19" s="23">
        <v>1250000</v>
      </c>
    </row>
    <row r="20" spans="1:9">
      <c r="A20" s="36"/>
      <c r="B20" s="20" t="s">
        <v>40</v>
      </c>
      <c r="C20" s="20" t="s">
        <v>28</v>
      </c>
      <c r="D20" s="20" t="s">
        <v>2027</v>
      </c>
      <c r="E20" s="23">
        <v>2100000</v>
      </c>
      <c r="F20" s="23">
        <v>1200000</v>
      </c>
      <c r="G20" s="23">
        <v>800000</v>
      </c>
      <c r="H20" s="23">
        <v>500000</v>
      </c>
      <c r="I20" s="31" t="s">
        <v>156</v>
      </c>
    </row>
    <row r="21" spans="1:9">
      <c r="A21" s="36">
        <v>13</v>
      </c>
      <c r="B21" s="18" t="s">
        <v>2016</v>
      </c>
      <c r="C21" s="18" t="s">
        <v>2028</v>
      </c>
      <c r="D21" s="18" t="s">
        <v>1906</v>
      </c>
      <c r="E21" s="23">
        <v>3300000</v>
      </c>
      <c r="F21" s="23">
        <v>1850000</v>
      </c>
      <c r="G21" s="23">
        <v>1200000</v>
      </c>
      <c r="H21" s="23">
        <v>800000</v>
      </c>
    </row>
    <row r="22" spans="1:9">
      <c r="A22" s="36">
        <f t="shared" ref="A22:A29" si="2">A21+1</f>
        <v>14</v>
      </c>
      <c r="B22" s="18" t="s">
        <v>2029</v>
      </c>
      <c r="C22" s="18" t="s">
        <v>2016</v>
      </c>
      <c r="D22" s="18" t="s">
        <v>2028</v>
      </c>
      <c r="E22" s="23">
        <v>3300000</v>
      </c>
      <c r="F22" s="23">
        <v>1850000</v>
      </c>
      <c r="G22" s="23">
        <v>1200000</v>
      </c>
      <c r="H22" s="23">
        <v>800000</v>
      </c>
    </row>
    <row r="23" spans="1:9">
      <c r="A23" s="36">
        <f t="shared" si="2"/>
        <v>15</v>
      </c>
      <c r="B23" s="18" t="s">
        <v>2030</v>
      </c>
      <c r="C23" s="18" t="s">
        <v>2016</v>
      </c>
      <c r="D23" s="18" t="s">
        <v>2028</v>
      </c>
      <c r="E23" s="23">
        <v>3300000</v>
      </c>
      <c r="F23" s="23">
        <v>1850000</v>
      </c>
      <c r="G23" s="23">
        <v>1200000</v>
      </c>
      <c r="H23" s="23">
        <v>800000</v>
      </c>
    </row>
    <row r="24" spans="1:9">
      <c r="A24" s="36">
        <f t="shared" si="2"/>
        <v>16</v>
      </c>
      <c r="B24" s="18" t="s">
        <v>2031</v>
      </c>
      <c r="C24" s="18" t="s">
        <v>2032</v>
      </c>
      <c r="D24" s="18" t="s">
        <v>2033</v>
      </c>
      <c r="E24" s="23">
        <v>2100000</v>
      </c>
      <c r="F24" s="23">
        <v>1200000</v>
      </c>
      <c r="G24" s="23">
        <v>800000</v>
      </c>
      <c r="H24" s="23">
        <v>500000</v>
      </c>
    </row>
    <row r="25" spans="1:9">
      <c r="A25" s="36">
        <f t="shared" si="2"/>
        <v>17</v>
      </c>
      <c r="B25" s="18" t="s">
        <v>1932</v>
      </c>
      <c r="C25" s="18" t="s">
        <v>1933</v>
      </c>
      <c r="D25" s="18" t="s">
        <v>1907</v>
      </c>
      <c r="E25" s="23">
        <v>5200000</v>
      </c>
      <c r="F25" s="23">
        <v>2900000</v>
      </c>
      <c r="G25" s="23">
        <v>1900000</v>
      </c>
      <c r="H25" s="23">
        <v>1250000</v>
      </c>
    </row>
    <row r="26" spans="1:9">
      <c r="A26" s="36">
        <f t="shared" si="2"/>
        <v>18</v>
      </c>
      <c r="B26" s="18" t="s">
        <v>2034</v>
      </c>
      <c r="C26" s="18" t="s">
        <v>1913</v>
      </c>
      <c r="D26" s="18" t="s">
        <v>2035</v>
      </c>
      <c r="E26" s="23">
        <v>3300000</v>
      </c>
      <c r="F26" s="23">
        <v>1850000</v>
      </c>
      <c r="G26" s="23">
        <v>1200000</v>
      </c>
      <c r="H26" s="23">
        <v>800000</v>
      </c>
    </row>
    <row r="27" spans="1:9">
      <c r="A27" s="36">
        <f t="shared" si="2"/>
        <v>19</v>
      </c>
      <c r="B27" s="18" t="s">
        <v>1907</v>
      </c>
      <c r="C27" s="18" t="s">
        <v>1910</v>
      </c>
      <c r="D27" s="18" t="s">
        <v>1926</v>
      </c>
      <c r="E27" s="23">
        <v>9650000</v>
      </c>
      <c r="F27" s="23">
        <v>5400000</v>
      </c>
      <c r="G27" s="23">
        <v>3550000</v>
      </c>
      <c r="H27" s="23">
        <v>2300000</v>
      </c>
    </row>
    <row r="28" spans="1:9">
      <c r="A28" s="36">
        <f t="shared" si="2"/>
        <v>20</v>
      </c>
      <c r="B28" s="18" t="s">
        <v>2028</v>
      </c>
      <c r="C28" s="18" t="s">
        <v>1909</v>
      </c>
      <c r="D28" s="18" t="s">
        <v>103</v>
      </c>
      <c r="E28" s="23">
        <v>4200000</v>
      </c>
      <c r="F28" s="23">
        <v>2350000</v>
      </c>
      <c r="G28" s="23">
        <v>1550000</v>
      </c>
      <c r="H28" s="23">
        <v>1000000</v>
      </c>
    </row>
    <row r="29" spans="1:9">
      <c r="A29" s="36">
        <f t="shared" si="2"/>
        <v>21</v>
      </c>
      <c r="B29" s="18" t="s">
        <v>2036</v>
      </c>
      <c r="C29" s="18" t="s">
        <v>1955</v>
      </c>
      <c r="D29" s="18" t="s">
        <v>2037</v>
      </c>
      <c r="E29" s="23">
        <v>3300000</v>
      </c>
      <c r="F29" s="23">
        <v>1850000</v>
      </c>
      <c r="G29" s="23">
        <v>1200000</v>
      </c>
      <c r="H29" s="23">
        <v>800000</v>
      </c>
    </row>
    <row r="30" spans="1:9">
      <c r="A30" s="36"/>
      <c r="B30" s="18" t="s">
        <v>2036</v>
      </c>
      <c r="C30" s="18" t="s">
        <v>2037</v>
      </c>
      <c r="D30" s="18" t="s">
        <v>2038</v>
      </c>
      <c r="E30" s="23">
        <v>2100000</v>
      </c>
      <c r="F30" s="23">
        <v>1200000</v>
      </c>
      <c r="G30" s="23">
        <v>800000</v>
      </c>
      <c r="H30" s="23">
        <v>500000</v>
      </c>
    </row>
    <row r="31" spans="1:9">
      <c r="A31" s="36">
        <v>22</v>
      </c>
      <c r="B31" s="18" t="s">
        <v>1943</v>
      </c>
      <c r="C31" s="18" t="s">
        <v>1944</v>
      </c>
      <c r="D31" s="18" t="s">
        <v>1932</v>
      </c>
      <c r="E31" s="23">
        <v>4200000</v>
      </c>
      <c r="F31" s="23">
        <v>2350000</v>
      </c>
      <c r="G31" s="23">
        <v>1550000</v>
      </c>
      <c r="H31" s="23">
        <v>1000000</v>
      </c>
    </row>
    <row r="32" spans="1:9">
      <c r="A32" s="36">
        <f t="shared" ref="A32:A40" si="3">A31+1</f>
        <v>23</v>
      </c>
      <c r="B32" s="20" t="s">
        <v>2039</v>
      </c>
      <c r="C32" s="18" t="s">
        <v>2040</v>
      </c>
      <c r="D32" s="18" t="s">
        <v>2020</v>
      </c>
      <c r="E32" s="23">
        <v>3300000</v>
      </c>
      <c r="F32" s="23">
        <v>1850000</v>
      </c>
      <c r="G32" s="23">
        <v>1200000</v>
      </c>
      <c r="H32" s="23">
        <v>800000</v>
      </c>
    </row>
    <row r="33" spans="1:9">
      <c r="A33" s="36">
        <f t="shared" si="3"/>
        <v>24</v>
      </c>
      <c r="B33" s="18" t="s">
        <v>1913</v>
      </c>
      <c r="C33" s="18" t="s">
        <v>2041</v>
      </c>
      <c r="D33" s="18" t="s">
        <v>2034</v>
      </c>
      <c r="E33" s="23">
        <v>4200000</v>
      </c>
      <c r="F33" s="23">
        <v>2350000</v>
      </c>
      <c r="G33" s="23">
        <v>1550000</v>
      </c>
      <c r="H33" s="23">
        <v>1000000</v>
      </c>
    </row>
    <row r="34" ht="27.6" spans="1:9">
      <c r="A34" s="36"/>
      <c r="B34" s="18" t="s">
        <v>1913</v>
      </c>
      <c r="C34" s="20" t="s">
        <v>2034</v>
      </c>
      <c r="D34" s="20" t="s">
        <v>2042</v>
      </c>
      <c r="E34" s="23">
        <v>3300000</v>
      </c>
      <c r="F34" s="23">
        <v>1800000</v>
      </c>
      <c r="G34" s="23">
        <v>1200000</v>
      </c>
      <c r="H34" s="23">
        <v>750000</v>
      </c>
      <c r="I34" s="31" t="s">
        <v>156</v>
      </c>
    </row>
    <row r="35" spans="1:9">
      <c r="A35" s="36">
        <f>A33+1</f>
        <v>25</v>
      </c>
      <c r="B35" s="18" t="s">
        <v>2043</v>
      </c>
      <c r="C35" s="18" t="s">
        <v>1980</v>
      </c>
      <c r="D35" s="18" t="s">
        <v>1993</v>
      </c>
      <c r="E35" s="23">
        <v>4200000</v>
      </c>
      <c r="F35" s="23">
        <v>2350000</v>
      </c>
      <c r="G35" s="23">
        <v>1550000</v>
      </c>
      <c r="H35" s="23">
        <v>1000000</v>
      </c>
    </row>
    <row r="36" spans="1:9">
      <c r="A36" s="36">
        <f t="shared" si="3"/>
        <v>26</v>
      </c>
      <c r="B36" s="20" t="s">
        <v>2044</v>
      </c>
      <c r="C36" s="18" t="s">
        <v>2020</v>
      </c>
      <c r="D36" s="18" t="s">
        <v>2045</v>
      </c>
      <c r="E36" s="23">
        <v>3300000</v>
      </c>
      <c r="F36" s="23">
        <v>1850000</v>
      </c>
      <c r="G36" s="23">
        <v>1200000</v>
      </c>
      <c r="H36" s="23">
        <v>800000</v>
      </c>
    </row>
    <row r="37" spans="1:9">
      <c r="A37" s="36">
        <f t="shared" si="3"/>
        <v>27</v>
      </c>
      <c r="B37" s="18" t="s">
        <v>2014</v>
      </c>
      <c r="C37" s="18" t="s">
        <v>1980</v>
      </c>
      <c r="D37" s="18" t="s">
        <v>2046</v>
      </c>
      <c r="E37" s="23">
        <v>3300000</v>
      </c>
      <c r="F37" s="23">
        <v>1850000</v>
      </c>
      <c r="G37" s="23">
        <v>1200000</v>
      </c>
      <c r="H37" s="23">
        <v>800000</v>
      </c>
    </row>
    <row r="38" spans="1:9">
      <c r="A38" s="36">
        <f t="shared" si="3"/>
        <v>28</v>
      </c>
      <c r="B38" s="18" t="s">
        <v>2047</v>
      </c>
      <c r="C38" s="18" t="s">
        <v>1909</v>
      </c>
      <c r="D38" s="18" t="s">
        <v>1962</v>
      </c>
      <c r="E38" s="23">
        <v>5200000</v>
      </c>
      <c r="F38" s="23">
        <v>2900000</v>
      </c>
      <c r="G38" s="23">
        <v>1900000</v>
      </c>
      <c r="H38" s="23">
        <v>1250000</v>
      </c>
    </row>
    <row r="39" ht="27.6" spans="1:9">
      <c r="A39" s="36">
        <f t="shared" si="3"/>
        <v>29</v>
      </c>
      <c r="B39" s="18" t="s">
        <v>1955</v>
      </c>
      <c r="C39" s="20" t="s">
        <v>2048</v>
      </c>
      <c r="D39" s="20" t="s">
        <v>1913</v>
      </c>
      <c r="E39" s="23">
        <v>5200000</v>
      </c>
      <c r="F39" s="23">
        <v>2900000</v>
      </c>
      <c r="G39" s="23">
        <v>1900000</v>
      </c>
      <c r="H39" s="23">
        <v>1250000</v>
      </c>
      <c r="I39" s="31" t="s">
        <v>156</v>
      </c>
    </row>
    <row r="40" spans="1:9">
      <c r="A40" s="36">
        <f t="shared" si="3"/>
        <v>30</v>
      </c>
      <c r="B40" s="18" t="s">
        <v>1944</v>
      </c>
      <c r="C40" s="18" t="s">
        <v>1933</v>
      </c>
      <c r="D40" s="18" t="s">
        <v>1907</v>
      </c>
      <c r="E40" s="23">
        <v>5200000</v>
      </c>
      <c r="F40" s="23">
        <v>2900000</v>
      </c>
      <c r="G40" s="23">
        <v>1900000</v>
      </c>
      <c r="H40" s="23">
        <v>1250000</v>
      </c>
    </row>
    <row r="41" ht="27.6" spans="1:9">
      <c r="A41" s="36"/>
      <c r="B41" s="18" t="s">
        <v>1944</v>
      </c>
      <c r="C41" s="20" t="s">
        <v>1907</v>
      </c>
      <c r="D41" s="20" t="s">
        <v>2017</v>
      </c>
      <c r="E41" s="23">
        <v>5200000</v>
      </c>
      <c r="F41" s="23">
        <v>2900000</v>
      </c>
      <c r="G41" s="23">
        <v>1900000</v>
      </c>
      <c r="H41" s="23">
        <v>1250000</v>
      </c>
      <c r="I41" s="31" t="s">
        <v>147</v>
      </c>
    </row>
    <row r="42" spans="1:9">
      <c r="A42" s="36">
        <v>31</v>
      </c>
      <c r="B42" s="18" t="s">
        <v>2049</v>
      </c>
      <c r="C42" s="18" t="s">
        <v>2050</v>
      </c>
      <c r="D42" s="18" t="s">
        <v>2051</v>
      </c>
      <c r="E42" s="23">
        <v>2100000</v>
      </c>
      <c r="F42" s="23">
        <v>1200000</v>
      </c>
      <c r="G42" s="23">
        <v>800000</v>
      </c>
      <c r="H42" s="23">
        <v>500000</v>
      </c>
    </row>
    <row r="43" spans="1:9">
      <c r="A43" s="36">
        <f>A42+1</f>
        <v>32</v>
      </c>
      <c r="B43" s="18" t="s">
        <v>2052</v>
      </c>
      <c r="C43" s="18" t="s">
        <v>1910</v>
      </c>
      <c r="D43" s="18" t="s">
        <v>2053</v>
      </c>
      <c r="E43" s="23">
        <v>2100000</v>
      </c>
      <c r="F43" s="23">
        <v>1200000</v>
      </c>
      <c r="G43" s="23">
        <v>800000</v>
      </c>
      <c r="H43" s="23">
        <v>500000</v>
      </c>
    </row>
    <row r="44" ht="27.6" spans="1:9">
      <c r="A44" s="36"/>
      <c r="B44" s="18" t="s">
        <v>2052</v>
      </c>
      <c r="C44" s="18" t="s">
        <v>2053</v>
      </c>
      <c r="D44" s="18" t="s">
        <v>2054</v>
      </c>
      <c r="E44" s="23">
        <v>3300000</v>
      </c>
      <c r="F44" s="23">
        <v>1850000</v>
      </c>
      <c r="G44" s="23">
        <v>1200000</v>
      </c>
      <c r="H44" s="23">
        <v>800000</v>
      </c>
    </row>
    <row r="45" spans="1:9">
      <c r="A45" s="36">
        <f>A43+1</f>
        <v>33</v>
      </c>
      <c r="B45" s="18" t="s">
        <v>1961</v>
      </c>
      <c r="C45" s="18" t="s">
        <v>1909</v>
      </c>
      <c r="D45" s="18" t="s">
        <v>1962</v>
      </c>
      <c r="E45" s="23">
        <v>5200000</v>
      </c>
      <c r="F45" s="23">
        <v>2900000</v>
      </c>
      <c r="G45" s="23">
        <v>1900000</v>
      </c>
      <c r="H45" s="23">
        <v>1250000</v>
      </c>
    </row>
    <row r="46" spans="1:9">
      <c r="A46" s="36">
        <f t="shared" ref="A46:A54" si="4">A45+1</f>
        <v>34</v>
      </c>
      <c r="B46" s="18" t="s">
        <v>41</v>
      </c>
      <c r="C46" s="18" t="s">
        <v>1955</v>
      </c>
      <c r="D46" s="18" t="s">
        <v>2055</v>
      </c>
      <c r="E46" s="23">
        <v>7800000</v>
      </c>
      <c r="F46" s="23">
        <v>4400000</v>
      </c>
      <c r="G46" s="23">
        <v>2900000</v>
      </c>
      <c r="H46" s="23">
        <v>1850000</v>
      </c>
    </row>
    <row r="47" spans="1:9">
      <c r="A47" s="36"/>
      <c r="B47" s="18" t="s">
        <v>41</v>
      </c>
      <c r="C47" s="18" t="s">
        <v>2055</v>
      </c>
      <c r="D47" s="18" t="s">
        <v>40</v>
      </c>
      <c r="E47" s="23">
        <v>5200000</v>
      </c>
      <c r="F47" s="23">
        <v>2900000</v>
      </c>
      <c r="G47" s="23">
        <v>1900000</v>
      </c>
      <c r="H47" s="23">
        <v>1250000</v>
      </c>
    </row>
    <row r="48" ht="41.4" spans="1:9">
      <c r="A48" s="36"/>
      <c r="B48" s="20" t="s">
        <v>41</v>
      </c>
      <c r="C48" s="18" t="s">
        <v>40</v>
      </c>
      <c r="D48" s="18" t="s">
        <v>2056</v>
      </c>
      <c r="E48" s="23">
        <v>4200000</v>
      </c>
      <c r="F48" s="23">
        <v>2350000</v>
      </c>
      <c r="G48" s="23">
        <v>1550000</v>
      </c>
      <c r="H48" s="23">
        <v>1000000</v>
      </c>
    </row>
    <row r="49" spans="1:9">
      <c r="A49" s="36">
        <f>A46+1</f>
        <v>35</v>
      </c>
      <c r="B49" s="18" t="s">
        <v>1963</v>
      </c>
      <c r="C49" s="18" t="s">
        <v>41</v>
      </c>
      <c r="D49" s="18" t="s">
        <v>1682</v>
      </c>
      <c r="E49" s="23">
        <v>3300000</v>
      </c>
      <c r="F49" s="23">
        <v>1850000</v>
      </c>
      <c r="G49" s="23">
        <v>1200000</v>
      </c>
      <c r="H49" s="23">
        <v>800000</v>
      </c>
    </row>
    <row r="50" spans="1:9">
      <c r="A50" s="36">
        <f t="shared" si="4"/>
        <v>36</v>
      </c>
      <c r="B50" s="18" t="s">
        <v>2032</v>
      </c>
      <c r="C50" s="18" t="s">
        <v>1910</v>
      </c>
      <c r="D50" s="18" t="s">
        <v>2057</v>
      </c>
      <c r="E50" s="23">
        <v>3300000</v>
      </c>
      <c r="F50" s="23">
        <v>1850000</v>
      </c>
      <c r="G50" s="23">
        <v>1200000</v>
      </c>
      <c r="H50" s="23">
        <v>800000</v>
      </c>
    </row>
    <row r="51" spans="1:9">
      <c r="A51" s="36">
        <f t="shared" si="4"/>
        <v>37</v>
      </c>
      <c r="B51" s="20" t="s">
        <v>2045</v>
      </c>
      <c r="C51" s="18" t="s">
        <v>2020</v>
      </c>
      <c r="D51" s="18" t="s">
        <v>243</v>
      </c>
      <c r="E51" s="23">
        <v>3300000</v>
      </c>
      <c r="F51" s="23">
        <v>1850000</v>
      </c>
      <c r="G51" s="23">
        <v>1200000</v>
      </c>
      <c r="H51" s="23">
        <v>800000</v>
      </c>
    </row>
    <row r="52" spans="1:9">
      <c r="A52" s="36">
        <f t="shared" si="4"/>
        <v>38</v>
      </c>
      <c r="B52" s="18" t="s">
        <v>1909</v>
      </c>
      <c r="C52" s="18" t="s">
        <v>1933</v>
      </c>
      <c r="D52" s="18" t="s">
        <v>1962</v>
      </c>
      <c r="E52" s="23">
        <v>7800000</v>
      </c>
      <c r="F52" s="23">
        <v>4400000</v>
      </c>
      <c r="G52" s="23">
        <v>2900000</v>
      </c>
      <c r="H52" s="23">
        <v>1850000</v>
      </c>
    </row>
    <row r="53" spans="1:9">
      <c r="A53" s="36">
        <f t="shared" si="4"/>
        <v>39</v>
      </c>
      <c r="B53" s="41" t="s">
        <v>2058</v>
      </c>
      <c r="C53" s="41" t="s">
        <v>2036</v>
      </c>
      <c r="D53" s="41" t="s">
        <v>1913</v>
      </c>
      <c r="E53" s="23">
        <v>3300000</v>
      </c>
      <c r="F53" s="23">
        <v>1850000</v>
      </c>
      <c r="G53" s="23">
        <v>1200000</v>
      </c>
      <c r="H53" s="23">
        <v>800000</v>
      </c>
    </row>
    <row r="54" ht="27.6" spans="1:9">
      <c r="A54" s="36">
        <f t="shared" si="4"/>
        <v>40</v>
      </c>
      <c r="B54" s="18" t="s">
        <v>1980</v>
      </c>
      <c r="C54" s="20" t="s">
        <v>2048</v>
      </c>
      <c r="D54" s="20" t="s">
        <v>2059</v>
      </c>
      <c r="E54" s="23">
        <v>6900000</v>
      </c>
      <c r="F54" s="23">
        <v>3850000</v>
      </c>
      <c r="G54" s="23">
        <v>2550000</v>
      </c>
      <c r="H54" s="23">
        <v>1650000</v>
      </c>
      <c r="I54" s="31" t="s">
        <v>156</v>
      </c>
    </row>
    <row r="55" ht="27.6" spans="1:9">
      <c r="A55" s="36">
        <v>41</v>
      </c>
      <c r="B55" s="18" t="s">
        <v>1982</v>
      </c>
      <c r="C55" s="20" t="s">
        <v>1943</v>
      </c>
      <c r="D55" s="20" t="s">
        <v>2017</v>
      </c>
      <c r="E55" s="23">
        <v>4200000</v>
      </c>
      <c r="F55" s="23">
        <v>2350000</v>
      </c>
      <c r="G55" s="23">
        <v>1550000</v>
      </c>
      <c r="H55" s="23">
        <v>1000000</v>
      </c>
      <c r="I55" s="31" t="s">
        <v>147</v>
      </c>
    </row>
    <row r="56" spans="1:9">
      <c r="A56" s="36">
        <v>42</v>
      </c>
      <c r="B56" s="18" t="s">
        <v>2060</v>
      </c>
      <c r="C56" s="18" t="s">
        <v>1910</v>
      </c>
      <c r="D56" s="18" t="s">
        <v>2061</v>
      </c>
      <c r="E56" s="23">
        <v>2100000</v>
      </c>
      <c r="F56" s="23">
        <v>1200000</v>
      </c>
      <c r="G56" s="23">
        <v>800000</v>
      </c>
      <c r="H56" s="23">
        <v>500000</v>
      </c>
    </row>
    <row r="57" ht="27.6" spans="1:9">
      <c r="A57" s="36">
        <f t="shared" ref="A57:A66" si="5">A56+1</f>
        <v>43</v>
      </c>
      <c r="B57" s="18" t="s">
        <v>2062</v>
      </c>
      <c r="C57" s="18" t="s">
        <v>1992</v>
      </c>
      <c r="D57" s="18" t="s">
        <v>2063</v>
      </c>
      <c r="E57" s="23">
        <v>3300000</v>
      </c>
      <c r="F57" s="23">
        <v>1850000</v>
      </c>
      <c r="G57" s="23">
        <v>1200000</v>
      </c>
      <c r="H57" s="23">
        <v>800000</v>
      </c>
    </row>
    <row r="58" spans="1:9">
      <c r="A58" s="36">
        <f t="shared" si="5"/>
        <v>44</v>
      </c>
      <c r="B58" s="18" t="s">
        <v>2064</v>
      </c>
      <c r="C58" s="18" t="s">
        <v>1913</v>
      </c>
      <c r="D58" s="18" t="s">
        <v>2036</v>
      </c>
      <c r="E58" s="23">
        <v>3300000</v>
      </c>
      <c r="F58" s="23">
        <v>1850000</v>
      </c>
      <c r="G58" s="23">
        <v>1200000</v>
      </c>
      <c r="H58" s="23">
        <v>800000</v>
      </c>
    </row>
    <row r="59" spans="1:9">
      <c r="A59" s="36">
        <f t="shared" si="5"/>
        <v>45</v>
      </c>
      <c r="B59" s="20" t="s">
        <v>2065</v>
      </c>
      <c r="C59" s="18" t="s">
        <v>41</v>
      </c>
      <c r="D59" s="18" t="s">
        <v>2045</v>
      </c>
      <c r="E59" s="23">
        <v>3300000</v>
      </c>
      <c r="F59" s="23">
        <v>1850000</v>
      </c>
      <c r="G59" s="23">
        <v>1200000</v>
      </c>
      <c r="H59" s="23">
        <v>800000</v>
      </c>
    </row>
    <row r="60" spans="1:9">
      <c r="A60" s="36">
        <f t="shared" si="5"/>
        <v>46</v>
      </c>
      <c r="B60" s="18" t="s">
        <v>2066</v>
      </c>
      <c r="C60" s="20" t="s">
        <v>2028</v>
      </c>
      <c r="D60" s="20" t="s">
        <v>1962</v>
      </c>
      <c r="E60" s="23">
        <v>6900000</v>
      </c>
      <c r="F60" s="23">
        <v>3850000</v>
      </c>
      <c r="G60" s="23">
        <v>2550000</v>
      </c>
      <c r="H60" s="23">
        <v>1650000</v>
      </c>
      <c r="I60" s="31" t="s">
        <v>156</v>
      </c>
    </row>
    <row r="61" spans="1:9">
      <c r="A61" s="36">
        <f t="shared" si="5"/>
        <v>47</v>
      </c>
      <c r="B61" s="18" t="s">
        <v>2024</v>
      </c>
      <c r="C61" s="18" t="s">
        <v>2036</v>
      </c>
      <c r="D61" s="18" t="s">
        <v>1564</v>
      </c>
      <c r="E61" s="23">
        <v>3300000</v>
      </c>
      <c r="F61" s="23">
        <v>1850000</v>
      </c>
      <c r="G61" s="23">
        <v>1200000</v>
      </c>
      <c r="H61" s="23">
        <v>800000</v>
      </c>
    </row>
    <row r="62" spans="1:9">
      <c r="A62" s="36">
        <f t="shared" si="5"/>
        <v>48</v>
      </c>
      <c r="B62" s="18" t="s">
        <v>1991</v>
      </c>
      <c r="C62" s="18" t="s">
        <v>1926</v>
      </c>
      <c r="D62" s="18" t="s">
        <v>1992</v>
      </c>
      <c r="E62" s="23">
        <v>3300000</v>
      </c>
      <c r="F62" s="23">
        <v>1850000</v>
      </c>
      <c r="G62" s="23">
        <v>1200000</v>
      </c>
      <c r="H62" s="23">
        <v>800000</v>
      </c>
    </row>
    <row r="63" spans="1:9">
      <c r="A63" s="36">
        <f t="shared" si="5"/>
        <v>49</v>
      </c>
      <c r="B63" s="18" t="s">
        <v>1993</v>
      </c>
      <c r="C63" s="18" t="s">
        <v>1980</v>
      </c>
      <c r="D63" s="18" t="s">
        <v>2043</v>
      </c>
      <c r="E63" s="23">
        <v>5200000</v>
      </c>
      <c r="F63" s="23">
        <v>2900000</v>
      </c>
      <c r="G63" s="23">
        <v>1900000</v>
      </c>
      <c r="H63" s="23">
        <v>1250000</v>
      </c>
    </row>
    <row r="64" spans="1:9">
      <c r="A64" s="36">
        <f t="shared" si="5"/>
        <v>50</v>
      </c>
      <c r="B64" s="18" t="s">
        <v>2067</v>
      </c>
      <c r="C64" s="18" t="s">
        <v>1955</v>
      </c>
      <c r="D64" s="18" t="s">
        <v>2034</v>
      </c>
      <c r="E64" s="23">
        <v>3300000</v>
      </c>
      <c r="F64" s="23">
        <v>1850000</v>
      </c>
      <c r="G64" s="23">
        <v>1200000</v>
      </c>
      <c r="H64" s="23">
        <v>800000</v>
      </c>
    </row>
    <row r="65" spans="1:10">
      <c r="A65" s="36">
        <f t="shared" si="5"/>
        <v>51</v>
      </c>
      <c r="B65" s="18" t="s">
        <v>66</v>
      </c>
      <c r="C65" s="18" t="s">
        <v>111</v>
      </c>
      <c r="D65" s="18" t="s">
        <v>1682</v>
      </c>
      <c r="E65" s="23">
        <v>4200000</v>
      </c>
      <c r="F65" s="23">
        <v>2350000</v>
      </c>
      <c r="G65" s="23">
        <v>1550000</v>
      </c>
      <c r="H65" s="23">
        <v>1000000</v>
      </c>
    </row>
    <row r="66" spans="1:10">
      <c r="A66" s="36">
        <f t="shared" si="5"/>
        <v>52</v>
      </c>
      <c r="B66" s="18" t="s">
        <v>1992</v>
      </c>
      <c r="C66" s="18" t="s">
        <v>1926</v>
      </c>
      <c r="D66" s="18" t="s">
        <v>1991</v>
      </c>
      <c r="E66" s="23">
        <v>5200000</v>
      </c>
      <c r="F66" s="23">
        <v>2900000</v>
      </c>
      <c r="G66" s="23">
        <v>1900000</v>
      </c>
      <c r="H66" s="23">
        <v>1250000</v>
      </c>
    </row>
    <row r="67" spans="1:10">
      <c r="A67" s="36"/>
      <c r="B67" s="18" t="s">
        <v>1992</v>
      </c>
      <c r="C67" s="18" t="s">
        <v>1991</v>
      </c>
      <c r="D67" s="18" t="s">
        <v>2068</v>
      </c>
      <c r="E67" s="23">
        <v>3300000</v>
      </c>
      <c r="F67" s="23">
        <v>1850000</v>
      </c>
      <c r="G67" s="23">
        <v>1200000</v>
      </c>
      <c r="H67" s="23">
        <v>800000</v>
      </c>
    </row>
    <row r="68" spans="1:10">
      <c r="A68" s="36"/>
      <c r="B68" s="18" t="s">
        <v>1992</v>
      </c>
      <c r="C68" s="18" t="s">
        <v>2068</v>
      </c>
      <c r="D68" s="18" t="s">
        <v>2069</v>
      </c>
      <c r="E68" s="23">
        <v>2100000</v>
      </c>
      <c r="F68" s="23">
        <v>1200000</v>
      </c>
      <c r="G68" s="23">
        <v>800000</v>
      </c>
      <c r="H68" s="23">
        <v>500000</v>
      </c>
    </row>
    <row r="69" spans="1:10">
      <c r="A69" s="36">
        <f>A66+1</f>
        <v>53</v>
      </c>
      <c r="B69" s="18" t="s">
        <v>2070</v>
      </c>
      <c r="C69" s="18" t="s">
        <v>1910</v>
      </c>
      <c r="D69" s="18" t="s">
        <v>2071</v>
      </c>
      <c r="E69" s="23">
        <v>2100000</v>
      </c>
      <c r="F69" s="23">
        <v>1200000</v>
      </c>
      <c r="G69" s="23">
        <v>800000</v>
      </c>
      <c r="H69" s="23">
        <v>500000</v>
      </c>
    </row>
    <row r="70" spans="1:10">
      <c r="A70" s="36">
        <f t="shared" ref="A70:A77" si="6">A69+1</f>
        <v>54</v>
      </c>
      <c r="B70" s="18" t="s">
        <v>2072</v>
      </c>
      <c r="C70" s="18" t="s">
        <v>2052</v>
      </c>
      <c r="D70" s="18" t="s">
        <v>2073</v>
      </c>
      <c r="E70" s="23">
        <v>2100000</v>
      </c>
      <c r="F70" s="23">
        <v>1200000</v>
      </c>
      <c r="G70" s="23">
        <v>800000</v>
      </c>
      <c r="H70" s="23">
        <v>500000</v>
      </c>
    </row>
    <row r="71" spans="1:10">
      <c r="A71" s="36">
        <f t="shared" si="6"/>
        <v>55</v>
      </c>
      <c r="B71" s="18" t="s">
        <v>2053</v>
      </c>
      <c r="C71" s="18" t="s">
        <v>1910</v>
      </c>
      <c r="D71" s="18" t="s">
        <v>2074</v>
      </c>
      <c r="E71" s="23">
        <v>2100000</v>
      </c>
      <c r="F71" s="23">
        <v>1200000</v>
      </c>
      <c r="G71" s="23">
        <v>800000</v>
      </c>
      <c r="H71" s="23">
        <v>500000</v>
      </c>
    </row>
    <row r="72" spans="1:10">
      <c r="A72" s="36">
        <f t="shared" si="6"/>
        <v>56</v>
      </c>
      <c r="B72" s="18" t="s">
        <v>1948</v>
      </c>
      <c r="C72" s="18" t="s">
        <v>1926</v>
      </c>
      <c r="D72" s="18" t="s">
        <v>1962</v>
      </c>
      <c r="E72" s="23">
        <v>3300000</v>
      </c>
      <c r="F72" s="23">
        <v>1850000</v>
      </c>
      <c r="G72" s="23">
        <v>1200000</v>
      </c>
      <c r="H72" s="23">
        <v>800000</v>
      </c>
    </row>
    <row r="73" spans="1:10">
      <c r="A73" s="36">
        <f t="shared" si="6"/>
        <v>57</v>
      </c>
      <c r="B73" s="18" t="s">
        <v>29</v>
      </c>
      <c r="C73" s="18" t="s">
        <v>54</v>
      </c>
      <c r="D73" s="18" t="s">
        <v>2075</v>
      </c>
      <c r="E73" s="23">
        <v>3300000</v>
      </c>
      <c r="F73" s="23">
        <v>1850000</v>
      </c>
      <c r="G73" s="23">
        <v>1200000</v>
      </c>
      <c r="H73" s="23">
        <v>800000</v>
      </c>
    </row>
    <row r="74" spans="1:10">
      <c r="A74" s="36">
        <f t="shared" si="6"/>
        <v>58</v>
      </c>
      <c r="B74" s="18" t="s">
        <v>2046</v>
      </c>
      <c r="C74" s="18" t="s">
        <v>1992</v>
      </c>
      <c r="D74" s="18" t="s">
        <v>2076</v>
      </c>
      <c r="E74" s="23">
        <v>2100000</v>
      </c>
      <c r="F74" s="23">
        <v>1200000</v>
      </c>
      <c r="G74" s="23">
        <v>800000</v>
      </c>
      <c r="H74" s="23">
        <v>500000</v>
      </c>
    </row>
    <row r="75" spans="1:10">
      <c r="A75" s="36">
        <f t="shared" si="6"/>
        <v>59</v>
      </c>
      <c r="B75" s="18" t="s">
        <v>1926</v>
      </c>
      <c r="C75" s="18" t="s">
        <v>1955</v>
      </c>
      <c r="D75" s="18" t="s">
        <v>1948</v>
      </c>
      <c r="E75" s="23">
        <v>4200000</v>
      </c>
      <c r="F75" s="23">
        <v>2350000</v>
      </c>
      <c r="G75" s="23">
        <v>1550000</v>
      </c>
      <c r="H75" s="23">
        <v>1000000</v>
      </c>
    </row>
    <row r="76" spans="1:10">
      <c r="A76" s="36">
        <f t="shared" si="6"/>
        <v>60</v>
      </c>
      <c r="B76" s="18" t="s">
        <v>2077</v>
      </c>
      <c r="C76" s="20" t="s">
        <v>1909</v>
      </c>
      <c r="D76" s="20" t="s">
        <v>1962</v>
      </c>
      <c r="E76" s="23">
        <v>5200000</v>
      </c>
      <c r="F76" s="23">
        <v>2900000</v>
      </c>
      <c r="G76" s="23">
        <v>1900000</v>
      </c>
      <c r="H76" s="23">
        <v>1250000</v>
      </c>
    </row>
    <row r="77" spans="1:10">
      <c r="A77" s="36">
        <f t="shared" si="6"/>
        <v>61</v>
      </c>
      <c r="B77" s="18" t="s">
        <v>2005</v>
      </c>
      <c r="C77" s="18" t="s">
        <v>1944</v>
      </c>
      <c r="D77" s="18" t="s">
        <v>1932</v>
      </c>
      <c r="E77" s="23">
        <v>4200000</v>
      </c>
      <c r="F77" s="23">
        <v>2350000</v>
      </c>
      <c r="G77" s="23">
        <v>1550000</v>
      </c>
      <c r="H77" s="23">
        <v>1000000</v>
      </c>
    </row>
    <row r="78" ht="27.6" spans="1:10">
      <c r="A78" s="36">
        <v>62</v>
      </c>
      <c r="B78" s="18" t="s">
        <v>1933</v>
      </c>
      <c r="C78" s="20" t="s">
        <v>1932</v>
      </c>
      <c r="D78" s="20" t="s">
        <v>2017</v>
      </c>
      <c r="E78" s="23">
        <v>6900000</v>
      </c>
      <c r="F78" s="23">
        <v>3850000</v>
      </c>
      <c r="G78" s="23">
        <v>2550000</v>
      </c>
      <c r="H78" s="23">
        <v>1650000</v>
      </c>
      <c r="I78" s="31" t="s">
        <v>147</v>
      </c>
    </row>
    <row r="79" spans="1:10">
      <c r="A79" s="36">
        <v>63</v>
      </c>
      <c r="B79" s="18" t="s">
        <v>1962</v>
      </c>
      <c r="C79" s="18" t="s">
        <v>1933</v>
      </c>
      <c r="D79" s="18" t="s">
        <v>1909</v>
      </c>
      <c r="E79" s="23">
        <v>7800000</v>
      </c>
      <c r="F79" s="23">
        <v>4400000</v>
      </c>
      <c r="G79" s="23">
        <v>2900000</v>
      </c>
      <c r="H79" s="23">
        <v>1850000</v>
      </c>
    </row>
    <row r="80" ht="27.6" spans="1:10">
      <c r="A80" s="36">
        <f>A79+1</f>
        <v>64</v>
      </c>
      <c r="B80" s="18" t="s">
        <v>2059</v>
      </c>
      <c r="C80" s="20" t="s">
        <v>1993</v>
      </c>
      <c r="D80" s="20" t="s">
        <v>2078</v>
      </c>
      <c r="E80" s="23">
        <v>5200000</v>
      </c>
      <c r="F80" s="23">
        <v>2900000</v>
      </c>
      <c r="G80" s="23">
        <v>1900000</v>
      </c>
      <c r="H80" s="23">
        <v>1250000</v>
      </c>
      <c r="I80" s="31" t="s">
        <v>156</v>
      </c>
      <c r="J80" s="31" t="s">
        <v>2079</v>
      </c>
    </row>
    <row r="81" spans="1:9">
      <c r="A81" s="36">
        <f>A80+1</f>
        <v>65</v>
      </c>
      <c r="B81" s="18" t="s">
        <v>54</v>
      </c>
      <c r="C81" s="18" t="s">
        <v>1682</v>
      </c>
      <c r="D81" s="18" t="s">
        <v>135</v>
      </c>
      <c r="E81" s="23">
        <v>6900000</v>
      </c>
      <c r="F81" s="23">
        <v>3850000</v>
      </c>
      <c r="G81" s="23">
        <v>2550000</v>
      </c>
      <c r="H81" s="23">
        <v>1650000</v>
      </c>
    </row>
    <row r="82" spans="1:9">
      <c r="A82" s="36">
        <f>A81+1</f>
        <v>66</v>
      </c>
      <c r="B82" s="18" t="s">
        <v>2080</v>
      </c>
      <c r="C82" s="18" t="s">
        <v>2036</v>
      </c>
      <c r="D82" s="18" t="s">
        <v>2046</v>
      </c>
      <c r="E82" s="23">
        <v>3300000</v>
      </c>
      <c r="F82" s="23">
        <v>1850000</v>
      </c>
      <c r="G82" s="23">
        <v>1200000</v>
      </c>
      <c r="H82" s="23">
        <v>800000</v>
      </c>
    </row>
    <row r="83" spans="1:9">
      <c r="A83" s="36">
        <f>A82+1</f>
        <v>67</v>
      </c>
      <c r="B83" s="43" t="s">
        <v>2081</v>
      </c>
      <c r="C83" s="43" t="s">
        <v>1955</v>
      </c>
      <c r="D83" s="43" t="s">
        <v>2082</v>
      </c>
      <c r="E83" s="23">
        <v>2100000</v>
      </c>
      <c r="F83" s="23">
        <v>1200000</v>
      </c>
      <c r="G83" s="23">
        <v>800000</v>
      </c>
      <c r="H83" s="23">
        <v>500000</v>
      </c>
    </row>
    <row r="84" s="30" customFormat="1" ht="14.4" spans="1:9">
      <c r="A84" s="39" t="s">
        <v>136</v>
      </c>
      <c r="B84" s="43"/>
      <c r="C84" s="43"/>
      <c r="D84" s="43"/>
      <c r="E84" s="23"/>
      <c r="F84" s="23"/>
      <c r="G84" s="23"/>
      <c r="H84" s="23"/>
      <c r="I84" s="31"/>
    </row>
    <row r="85" spans="1:9">
      <c r="A85" s="36">
        <v>68</v>
      </c>
      <c r="B85" s="43" t="s">
        <v>137</v>
      </c>
      <c r="C85" s="42"/>
      <c r="D85" s="42"/>
      <c r="E85" s="23">
        <v>2100000</v>
      </c>
      <c r="F85" s="23">
        <v>1200000</v>
      </c>
      <c r="G85" s="23">
        <v>800000</v>
      </c>
      <c r="H85" s="23">
        <v>500000</v>
      </c>
      <c r="I85" s="31" t="s">
        <v>2083</v>
      </c>
    </row>
    <row r="86" spans="1:9">
      <c r="A86" s="40" t="s">
        <v>205</v>
      </c>
      <c r="B86" s="39"/>
      <c r="C86" s="143"/>
      <c r="D86" s="143"/>
      <c r="E86" s="23" t="s">
        <v>16</v>
      </c>
      <c r="F86" s="23" t="s">
        <v>16</v>
      </c>
      <c r="G86" s="23" t="s">
        <v>16</v>
      </c>
      <c r="H86" s="23" t="s">
        <v>16</v>
      </c>
    </row>
    <row r="87" spans="1:9">
      <c r="A87" s="36">
        <v>69</v>
      </c>
      <c r="B87" s="20" t="s">
        <v>2084</v>
      </c>
      <c r="C87" s="18"/>
      <c r="D87" s="18"/>
      <c r="E87" s="23" t="s">
        <v>16</v>
      </c>
      <c r="F87" s="23" t="s">
        <v>16</v>
      </c>
      <c r="G87" s="23" t="s">
        <v>16</v>
      </c>
      <c r="H87" s="23" t="s">
        <v>16</v>
      </c>
    </row>
    <row r="88" ht="41.4" spans="1:9">
      <c r="A88" s="36"/>
      <c r="B88" s="20" t="s">
        <v>2085</v>
      </c>
      <c r="C88" s="18"/>
      <c r="D88" s="18"/>
      <c r="E88" s="23">
        <v>1100000</v>
      </c>
      <c r="F88" s="23">
        <v>385000</v>
      </c>
      <c r="G88" s="23">
        <v>230000</v>
      </c>
      <c r="H88" s="23">
        <v>0</v>
      </c>
      <c r="I88" s="31" t="s">
        <v>156</v>
      </c>
    </row>
    <row r="89" ht="41.4" spans="1:9">
      <c r="A89" s="36"/>
      <c r="B89" s="20" t="s">
        <v>2086</v>
      </c>
      <c r="C89" s="18"/>
      <c r="D89" s="18"/>
      <c r="E89" s="23">
        <v>550000</v>
      </c>
      <c r="F89" s="23">
        <v>195000</v>
      </c>
      <c r="G89" s="23">
        <v>125000</v>
      </c>
      <c r="H89" s="23">
        <v>0</v>
      </c>
      <c r="I89" s="31" t="s">
        <v>156</v>
      </c>
    </row>
    <row r="90" ht="41.4" spans="1:9">
      <c r="A90" s="36"/>
      <c r="B90" s="20" t="s">
        <v>2087</v>
      </c>
      <c r="C90" s="20"/>
      <c r="D90" s="20"/>
      <c r="E90" s="23">
        <v>465000</v>
      </c>
      <c r="F90" s="23">
        <v>165000</v>
      </c>
      <c r="G90" s="23">
        <v>95000</v>
      </c>
      <c r="H90" s="23">
        <v>0</v>
      </c>
      <c r="I90" s="31" t="s">
        <v>147</v>
      </c>
    </row>
    <row r="91" spans="1:9">
      <c r="A91" s="36">
        <f>A87+1</f>
        <v>70</v>
      </c>
      <c r="B91" s="20" t="s">
        <v>2088</v>
      </c>
      <c r="C91" s="18"/>
      <c r="D91" s="18"/>
      <c r="E91" s="23" t="s">
        <v>16</v>
      </c>
      <c r="F91" s="23" t="s">
        <v>16</v>
      </c>
      <c r="G91" s="23" t="s">
        <v>16</v>
      </c>
      <c r="H91" s="23" t="s">
        <v>16</v>
      </c>
    </row>
    <row r="92" ht="41.4" spans="1:9">
      <c r="A92" s="36"/>
      <c r="B92" s="20" t="s">
        <v>2089</v>
      </c>
      <c r="C92" s="18"/>
      <c r="D92" s="18"/>
      <c r="E92" s="23">
        <v>3500000</v>
      </c>
      <c r="F92" s="23">
        <v>1400000</v>
      </c>
      <c r="G92" s="23">
        <v>900000</v>
      </c>
      <c r="H92" s="23">
        <v>0</v>
      </c>
      <c r="I92" s="31" t="s">
        <v>156</v>
      </c>
    </row>
    <row r="93" ht="41.4" spans="1:9">
      <c r="A93" s="36"/>
      <c r="B93" s="20" t="s">
        <v>2090</v>
      </c>
      <c r="C93" s="18"/>
      <c r="D93" s="18"/>
      <c r="E93" s="23">
        <v>1850000</v>
      </c>
      <c r="F93" s="23">
        <v>650000</v>
      </c>
      <c r="G93" s="23">
        <v>390000</v>
      </c>
      <c r="H93" s="23">
        <v>0</v>
      </c>
    </row>
    <row r="94" ht="41.4" spans="1:9">
      <c r="A94" s="36"/>
      <c r="B94" s="20" t="s">
        <v>2091</v>
      </c>
      <c r="C94" s="18"/>
      <c r="D94" s="18"/>
      <c r="E94" s="23">
        <v>900000</v>
      </c>
      <c r="F94" s="23">
        <v>315000</v>
      </c>
      <c r="G94" s="23">
        <v>205000</v>
      </c>
      <c r="H94" s="23">
        <v>0</v>
      </c>
      <c r="I94" s="31" t="s">
        <v>156</v>
      </c>
    </row>
    <row r="95" spans="1:9">
      <c r="A95" s="36">
        <f>A91+1</f>
        <v>71</v>
      </c>
      <c r="B95" s="20" t="s">
        <v>1403</v>
      </c>
      <c r="C95" s="18"/>
      <c r="D95" s="18"/>
      <c r="E95" s="23">
        <v>1100000</v>
      </c>
      <c r="F95" s="23">
        <v>385000</v>
      </c>
      <c r="G95" s="23">
        <v>230000</v>
      </c>
      <c r="H95" s="23">
        <v>0</v>
      </c>
    </row>
    <row r="96" spans="1:9">
      <c r="A96" s="36">
        <f>A95+1</f>
        <v>72</v>
      </c>
      <c r="B96" s="20" t="s">
        <v>2092</v>
      </c>
      <c r="C96" s="18"/>
      <c r="D96" s="18"/>
      <c r="E96" s="23" t="s">
        <v>16</v>
      </c>
      <c r="F96" s="23" t="s">
        <v>16</v>
      </c>
      <c r="G96" s="23" t="s">
        <v>16</v>
      </c>
      <c r="H96" s="23" t="s">
        <v>16</v>
      </c>
    </row>
    <row r="97" ht="27.6" spans="1:10">
      <c r="A97" s="36"/>
      <c r="B97" s="20" t="s">
        <v>2093</v>
      </c>
      <c r="C97" s="18"/>
      <c r="D97" s="18"/>
      <c r="E97" s="23">
        <v>1300000</v>
      </c>
      <c r="F97" s="23">
        <v>450000</v>
      </c>
      <c r="G97" s="23">
        <v>270000</v>
      </c>
      <c r="H97" s="23">
        <v>0</v>
      </c>
      <c r="I97" s="31" t="s">
        <v>156</v>
      </c>
    </row>
    <row r="98" ht="41.4" spans="1:10">
      <c r="A98" s="36"/>
      <c r="B98" s="20" t="s">
        <v>2094</v>
      </c>
      <c r="C98" s="20"/>
      <c r="D98" s="20"/>
      <c r="E98" s="23">
        <v>900000</v>
      </c>
      <c r="F98" s="23">
        <v>315000</v>
      </c>
      <c r="G98" s="23">
        <v>205000</v>
      </c>
      <c r="H98" s="23">
        <v>0</v>
      </c>
      <c r="I98" s="31" t="s">
        <v>147</v>
      </c>
    </row>
    <row r="99" ht="27.6" spans="1:10">
      <c r="A99" s="36"/>
      <c r="B99" s="20" t="s">
        <v>2095</v>
      </c>
      <c r="C99" s="18"/>
      <c r="D99" s="18"/>
      <c r="E99" s="23">
        <v>700000</v>
      </c>
      <c r="F99" s="23">
        <v>250000</v>
      </c>
      <c r="G99" s="23">
        <v>150000</v>
      </c>
      <c r="H99" s="23">
        <v>0</v>
      </c>
    </row>
    <row r="100" spans="1:10">
      <c r="A100" s="36">
        <v>73</v>
      </c>
      <c r="B100" s="20" t="s">
        <v>2096</v>
      </c>
      <c r="C100" s="18"/>
      <c r="D100" s="18"/>
      <c r="E100" s="23" t="s">
        <v>16</v>
      </c>
      <c r="F100" s="23" t="s">
        <v>16</v>
      </c>
      <c r="G100" s="23" t="s">
        <v>16</v>
      </c>
      <c r="H100" s="23" t="s">
        <v>16</v>
      </c>
    </row>
    <row r="101" ht="27.6" spans="1:10">
      <c r="A101" s="36"/>
      <c r="B101" s="20" t="s">
        <v>2097</v>
      </c>
      <c r="C101" s="18"/>
      <c r="D101" s="18"/>
      <c r="E101" s="23">
        <v>1100000</v>
      </c>
      <c r="F101" s="23">
        <v>385000</v>
      </c>
      <c r="G101" s="23">
        <v>230000</v>
      </c>
      <c r="H101" s="23">
        <v>0</v>
      </c>
      <c r="I101" s="31" t="s">
        <v>156</v>
      </c>
      <c r="J101" s="31" t="s">
        <v>2079</v>
      </c>
    </row>
    <row r="102" ht="27.6" spans="1:10">
      <c r="A102" s="36"/>
      <c r="B102" s="20" t="s">
        <v>2098</v>
      </c>
      <c r="C102" s="18"/>
      <c r="D102" s="18"/>
      <c r="E102" s="23">
        <v>700000</v>
      </c>
      <c r="F102" s="23">
        <v>250000</v>
      </c>
      <c r="G102" s="23">
        <v>150000</v>
      </c>
      <c r="H102" s="23">
        <v>0</v>
      </c>
    </row>
    <row r="103" ht="41.4" spans="1:10">
      <c r="A103" s="36"/>
      <c r="B103" s="20" t="s">
        <v>2099</v>
      </c>
      <c r="C103" s="18"/>
      <c r="D103" s="18"/>
      <c r="E103" s="23">
        <v>465000</v>
      </c>
      <c r="F103" s="23">
        <v>165000</v>
      </c>
      <c r="G103" s="23">
        <v>95000</v>
      </c>
      <c r="H103" s="23">
        <v>0</v>
      </c>
      <c r="I103" s="31" t="s">
        <v>156</v>
      </c>
    </row>
    <row r="104" spans="1:10">
      <c r="A104" s="27"/>
      <c r="C104" s="28"/>
      <c r="D104" s="28"/>
      <c r="E104" s="23" t="s">
        <v>16</v>
      </c>
      <c r="F104" s="23" t="s">
        <v>16</v>
      </c>
      <c r="G104" s="23" t="s">
        <v>16</v>
      </c>
      <c r="H104" s="23" t="s">
        <v>16</v>
      </c>
    </row>
    <row r="105" spans="1:10">
      <c r="A105" s="27"/>
      <c r="C105" s="28"/>
      <c r="D105" s="28"/>
      <c r="E105" s="23" t="s">
        <v>16</v>
      </c>
      <c r="F105" s="23" t="s">
        <v>16</v>
      </c>
      <c r="G105" s="23" t="s">
        <v>16</v>
      </c>
      <c r="H105" s="23" t="s">
        <v>16</v>
      </c>
    </row>
    <row r="106" spans="1:10">
      <c r="A106" s="27"/>
      <c r="C106" s="28"/>
      <c r="D106" s="28"/>
      <c r="E106" s="23" t="s">
        <v>16</v>
      </c>
      <c r="F106" s="23" t="s">
        <v>16</v>
      </c>
      <c r="G106" s="23" t="s">
        <v>16</v>
      </c>
      <c r="H106" s="23" t="s">
        <v>16</v>
      </c>
    </row>
    <row r="107" spans="1:10">
      <c r="A107" s="27"/>
      <c r="C107" s="28"/>
      <c r="D107" s="28"/>
      <c r="E107" s="23" t="s">
        <v>16</v>
      </c>
      <c r="F107" s="23" t="s">
        <v>16</v>
      </c>
      <c r="G107" s="23" t="s">
        <v>16</v>
      </c>
      <c r="H107" s="23" t="s">
        <v>16</v>
      </c>
    </row>
    <row r="108" spans="1:10">
      <c r="A108" s="27"/>
      <c r="C108" s="28"/>
      <c r="D108" s="28"/>
      <c r="E108" s="23" t="s">
        <v>16</v>
      </c>
      <c r="F108" s="23" t="s">
        <v>16</v>
      </c>
      <c r="G108" s="23" t="s">
        <v>16</v>
      </c>
      <c r="H108" s="23" t="s">
        <v>16</v>
      </c>
    </row>
    <row r="109" spans="1:10">
      <c r="A109" s="27"/>
      <c r="C109" s="28"/>
      <c r="D109" s="28"/>
      <c r="E109" s="23" t="s">
        <v>16</v>
      </c>
      <c r="F109" s="23" t="s">
        <v>16</v>
      </c>
      <c r="G109" s="23" t="s">
        <v>16</v>
      </c>
      <c r="H109" s="23" t="s">
        <v>16</v>
      </c>
    </row>
    <row r="110" spans="1:10">
      <c r="A110" s="27"/>
      <c r="C110" s="28"/>
      <c r="D110" s="48">
        <v>1</v>
      </c>
      <c r="E110" s="23" t="s">
        <v>16</v>
      </c>
      <c r="F110" s="23" t="s">
        <v>16</v>
      </c>
      <c r="G110" s="23" t="s">
        <v>16</v>
      </c>
      <c r="H110" s="23" t="s">
        <v>16</v>
      </c>
    </row>
    <row r="111" spans="1:10">
      <c r="A111" s="27"/>
      <c r="C111" s="28"/>
      <c r="D111" s="48">
        <v>2</v>
      </c>
      <c r="E111" s="23" t="s">
        <v>16</v>
      </c>
      <c r="F111" s="23" t="s">
        <v>16</v>
      </c>
      <c r="G111" s="23" t="s">
        <v>16</v>
      </c>
      <c r="H111" s="23" t="s">
        <v>16</v>
      </c>
    </row>
    <row r="112" spans="1:10">
      <c r="A112" s="27"/>
      <c r="C112" s="28"/>
      <c r="D112" s="48">
        <v>3</v>
      </c>
      <c r="E112" s="23" t="s">
        <v>16</v>
      </c>
      <c r="F112" s="23" t="s">
        <v>16</v>
      </c>
      <c r="G112" s="23" t="s">
        <v>16</v>
      </c>
      <c r="H112" s="23" t="s">
        <v>16</v>
      </c>
    </row>
    <row r="113" spans="1:8">
      <c r="A113" s="27"/>
      <c r="C113" s="28"/>
      <c r="D113" s="48">
        <v>4</v>
      </c>
      <c r="E113" s="23" t="s">
        <v>16</v>
      </c>
      <c r="F113" s="23" t="s">
        <v>16</v>
      </c>
      <c r="G113" s="23" t="s">
        <v>16</v>
      </c>
      <c r="H113" s="23" t="s">
        <v>16</v>
      </c>
    </row>
    <row r="114" spans="1:8">
      <c r="A114" s="27"/>
      <c r="C114" s="28"/>
      <c r="D114" s="48">
        <v>5</v>
      </c>
      <c r="E114" s="23" t="s">
        <v>16</v>
      </c>
      <c r="F114" s="23" t="s">
        <v>16</v>
      </c>
      <c r="G114" s="23" t="s">
        <v>16</v>
      </c>
      <c r="H114" s="23" t="s">
        <v>16</v>
      </c>
    </row>
    <row r="115" spans="1:8">
      <c r="A115" s="27"/>
      <c r="C115" s="28"/>
      <c r="D115" s="48"/>
      <c r="E115" s="23" t="s">
        <v>16</v>
      </c>
      <c r="F115" s="23" t="s">
        <v>16</v>
      </c>
      <c r="G115" s="23" t="s">
        <v>16</v>
      </c>
      <c r="H115" s="23" t="s">
        <v>16</v>
      </c>
    </row>
    <row r="116" spans="1:8">
      <c r="A116" s="27"/>
      <c r="C116" s="28"/>
      <c r="D116" s="48"/>
      <c r="E116" s="23" t="s">
        <v>16</v>
      </c>
      <c r="F116" s="23" t="s">
        <v>16</v>
      </c>
      <c r="G116" s="23" t="s">
        <v>16</v>
      </c>
      <c r="H116" s="23" t="s">
        <v>16</v>
      </c>
    </row>
    <row r="117" spans="1:8">
      <c r="A117" s="27"/>
      <c r="C117" s="28"/>
      <c r="D117" s="48">
        <v>6</v>
      </c>
      <c r="E117" s="23" t="s">
        <v>16</v>
      </c>
      <c r="F117" s="23" t="s">
        <v>16</v>
      </c>
      <c r="G117" s="23" t="s">
        <v>16</v>
      </c>
      <c r="H117" s="23" t="s">
        <v>16</v>
      </c>
    </row>
    <row r="118" spans="1:8">
      <c r="A118" s="27"/>
      <c r="C118" s="28"/>
      <c r="D118" s="48">
        <v>7</v>
      </c>
      <c r="E118" s="23" t="s">
        <v>16</v>
      </c>
      <c r="F118" s="23" t="s">
        <v>16</v>
      </c>
      <c r="G118" s="23" t="s">
        <v>16</v>
      </c>
      <c r="H118" s="23" t="s">
        <v>16</v>
      </c>
    </row>
    <row r="119" spans="1:8">
      <c r="A119" s="27"/>
      <c r="C119" s="28"/>
      <c r="D119" s="48">
        <v>8</v>
      </c>
      <c r="E119" s="23" t="s">
        <v>16</v>
      </c>
      <c r="F119" s="23" t="s">
        <v>16</v>
      </c>
      <c r="G119" s="23" t="s">
        <v>16</v>
      </c>
      <c r="H119" s="23" t="s">
        <v>16</v>
      </c>
    </row>
    <row r="120" spans="1:8">
      <c r="A120" s="27"/>
      <c r="C120" s="28"/>
      <c r="D120" s="48">
        <v>9</v>
      </c>
      <c r="E120" s="23" t="s">
        <v>16</v>
      </c>
      <c r="F120" s="23" t="s">
        <v>16</v>
      </c>
      <c r="G120" s="23" t="s">
        <v>16</v>
      </c>
      <c r="H120" s="23" t="s">
        <v>16</v>
      </c>
    </row>
    <row r="121" spans="1:8">
      <c r="A121" s="27"/>
      <c r="C121" s="28"/>
      <c r="D121" s="48">
        <v>10</v>
      </c>
      <c r="E121" s="23" t="s">
        <v>16</v>
      </c>
      <c r="F121" s="23" t="s">
        <v>16</v>
      </c>
      <c r="G121" s="23" t="s">
        <v>16</v>
      </c>
      <c r="H121" s="23" t="s">
        <v>16</v>
      </c>
    </row>
    <row r="122" spans="1:8">
      <c r="A122" s="27"/>
      <c r="C122" s="28"/>
      <c r="D122" s="48">
        <v>11</v>
      </c>
      <c r="E122" s="23" t="s">
        <v>16</v>
      </c>
      <c r="F122" s="23" t="s">
        <v>16</v>
      </c>
      <c r="G122" s="23" t="s">
        <v>16</v>
      </c>
      <c r="H122" s="23" t="s">
        <v>16</v>
      </c>
    </row>
    <row r="123" spans="1:8">
      <c r="A123" s="27"/>
      <c r="C123" s="28"/>
      <c r="D123" s="48">
        <v>12</v>
      </c>
      <c r="E123" s="23" t="s">
        <v>16</v>
      </c>
      <c r="F123" s="23" t="s">
        <v>16</v>
      </c>
      <c r="G123" s="23" t="s">
        <v>16</v>
      </c>
      <c r="H123" s="23" t="s">
        <v>16</v>
      </c>
    </row>
    <row r="124" spans="1:8">
      <c r="A124" s="27"/>
      <c r="C124" s="28"/>
      <c r="D124" s="48">
        <v>13</v>
      </c>
      <c r="E124" s="23" t="s">
        <v>16</v>
      </c>
      <c r="F124" s="23" t="s">
        <v>16</v>
      </c>
      <c r="G124" s="23" t="s">
        <v>16</v>
      </c>
      <c r="H124" s="23" t="s">
        <v>16</v>
      </c>
    </row>
    <row r="125" spans="1:8">
      <c r="A125" s="27"/>
      <c r="C125" s="28"/>
      <c r="D125" s="48">
        <v>14</v>
      </c>
      <c r="E125" s="23" t="s">
        <v>16</v>
      </c>
      <c r="F125" s="23" t="s">
        <v>16</v>
      </c>
      <c r="G125" s="23" t="s">
        <v>16</v>
      </c>
      <c r="H125" s="23" t="s">
        <v>16</v>
      </c>
    </row>
    <row r="126" spans="1:8">
      <c r="A126" s="27"/>
      <c r="C126" s="28"/>
      <c r="D126" s="48">
        <v>15</v>
      </c>
      <c r="E126" s="23" t="s">
        <v>16</v>
      </c>
      <c r="F126" s="23" t="s">
        <v>16</v>
      </c>
      <c r="G126" s="23" t="s">
        <v>16</v>
      </c>
      <c r="H126" s="23" t="s">
        <v>16</v>
      </c>
    </row>
    <row r="127" spans="1:8">
      <c r="A127" s="27"/>
      <c r="C127" s="28"/>
      <c r="D127" s="48">
        <v>16</v>
      </c>
      <c r="E127" s="23" t="s">
        <v>16</v>
      </c>
      <c r="F127" s="23" t="s">
        <v>16</v>
      </c>
      <c r="G127" s="23" t="s">
        <v>16</v>
      </c>
      <c r="H127" s="23" t="s">
        <v>16</v>
      </c>
    </row>
    <row r="128" spans="1:8">
      <c r="A128" s="27"/>
      <c r="C128" s="28"/>
      <c r="D128" s="48">
        <v>17</v>
      </c>
      <c r="E128" s="23" t="s">
        <v>16</v>
      </c>
      <c r="F128" s="23" t="s">
        <v>16</v>
      </c>
      <c r="G128" s="23" t="s">
        <v>16</v>
      </c>
      <c r="H128" s="23" t="s">
        <v>16</v>
      </c>
    </row>
    <row r="129" spans="1:8">
      <c r="A129" s="27"/>
      <c r="C129" s="28"/>
      <c r="D129" s="48">
        <v>18</v>
      </c>
      <c r="E129" s="23" t="s">
        <v>16</v>
      </c>
      <c r="F129" s="23" t="s">
        <v>16</v>
      </c>
      <c r="G129" s="23" t="s">
        <v>16</v>
      </c>
      <c r="H129" s="23" t="s">
        <v>16</v>
      </c>
    </row>
    <row r="130" spans="1:8">
      <c r="A130" s="27"/>
      <c r="C130" s="28"/>
      <c r="D130" s="48"/>
      <c r="E130" s="23" t="s">
        <v>16</v>
      </c>
      <c r="F130" s="23" t="s">
        <v>16</v>
      </c>
      <c r="G130" s="23" t="s">
        <v>16</v>
      </c>
      <c r="H130" s="23" t="s">
        <v>16</v>
      </c>
    </row>
    <row r="131" spans="1:8">
      <c r="A131" s="27"/>
      <c r="C131" s="28"/>
      <c r="D131" s="48">
        <v>19</v>
      </c>
      <c r="E131" s="23" t="s">
        <v>16</v>
      </c>
      <c r="F131" s="23" t="s">
        <v>16</v>
      </c>
      <c r="G131" s="23" t="s">
        <v>16</v>
      </c>
      <c r="H131" s="23" t="s">
        <v>16</v>
      </c>
    </row>
    <row r="132" spans="1:8">
      <c r="A132" s="27"/>
      <c r="C132" s="28"/>
      <c r="D132" s="48">
        <v>20</v>
      </c>
      <c r="E132" s="23" t="s">
        <v>16</v>
      </c>
      <c r="F132" s="23" t="s">
        <v>16</v>
      </c>
      <c r="G132" s="23" t="s">
        <v>16</v>
      </c>
      <c r="H132" s="23" t="s">
        <v>16</v>
      </c>
    </row>
    <row r="133" spans="1:8">
      <c r="A133" s="27"/>
      <c r="C133" s="28"/>
      <c r="D133" s="48">
        <v>21</v>
      </c>
      <c r="E133" s="23" t="s">
        <v>16</v>
      </c>
      <c r="F133" s="23" t="s">
        <v>16</v>
      </c>
      <c r="G133" s="23" t="s">
        <v>16</v>
      </c>
      <c r="H133" s="23" t="s">
        <v>16</v>
      </c>
    </row>
    <row r="134" spans="1:8">
      <c r="A134" s="27"/>
      <c r="C134" s="28"/>
      <c r="D134" s="48"/>
      <c r="E134" s="23" t="s">
        <v>16</v>
      </c>
      <c r="F134" s="23" t="s">
        <v>16</v>
      </c>
      <c r="G134" s="23" t="s">
        <v>16</v>
      </c>
      <c r="H134" s="23" t="s">
        <v>16</v>
      </c>
    </row>
    <row r="135" spans="1:8">
      <c r="A135" s="27"/>
      <c r="C135" s="28"/>
      <c r="D135" s="48">
        <v>22</v>
      </c>
      <c r="E135" s="23" t="s">
        <v>16</v>
      </c>
      <c r="F135" s="23" t="s">
        <v>16</v>
      </c>
      <c r="G135" s="23" t="s">
        <v>16</v>
      </c>
      <c r="H135" s="23" t="s">
        <v>16</v>
      </c>
    </row>
    <row r="136" spans="1:8">
      <c r="A136" s="27"/>
      <c r="C136" s="28"/>
      <c r="D136" s="48">
        <v>23</v>
      </c>
      <c r="E136" s="23" t="s">
        <v>16</v>
      </c>
      <c r="F136" s="23" t="s">
        <v>16</v>
      </c>
      <c r="G136" s="23" t="s">
        <v>16</v>
      </c>
      <c r="H136" s="23" t="s">
        <v>16</v>
      </c>
    </row>
    <row r="137" spans="1:8">
      <c r="A137" s="27"/>
      <c r="C137" s="28"/>
      <c r="D137" s="48">
        <v>24</v>
      </c>
      <c r="E137" s="23" t="s">
        <v>16</v>
      </c>
      <c r="F137" s="23" t="s">
        <v>16</v>
      </c>
      <c r="G137" s="23" t="s">
        <v>16</v>
      </c>
      <c r="H137" s="23" t="s">
        <v>16</v>
      </c>
    </row>
    <row r="138" spans="1:8">
      <c r="A138" s="27"/>
      <c r="C138" s="28"/>
      <c r="D138" s="48">
        <v>25</v>
      </c>
      <c r="E138" s="23" t="s">
        <v>16</v>
      </c>
      <c r="F138" s="23" t="s">
        <v>16</v>
      </c>
      <c r="G138" s="23" t="s">
        <v>16</v>
      </c>
      <c r="H138" s="23" t="s">
        <v>16</v>
      </c>
    </row>
    <row r="139" spans="1:8">
      <c r="A139" s="27"/>
      <c r="C139" s="28"/>
      <c r="D139" s="48">
        <v>26</v>
      </c>
      <c r="E139" s="23" t="s">
        <v>16</v>
      </c>
      <c r="F139" s="23" t="s">
        <v>16</v>
      </c>
      <c r="G139" s="23" t="s">
        <v>16</v>
      </c>
      <c r="H139" s="23" t="s">
        <v>16</v>
      </c>
    </row>
    <row r="140" spans="1:8">
      <c r="A140" s="27"/>
      <c r="C140" s="28"/>
      <c r="D140" s="48">
        <v>27</v>
      </c>
      <c r="E140" s="23" t="s">
        <v>16</v>
      </c>
      <c r="F140" s="23" t="s">
        <v>16</v>
      </c>
      <c r="G140" s="23" t="s">
        <v>16</v>
      </c>
      <c r="H140" s="23" t="s">
        <v>16</v>
      </c>
    </row>
    <row r="141" spans="1:8">
      <c r="A141" s="27"/>
      <c r="C141" s="28"/>
      <c r="D141" s="48">
        <v>28</v>
      </c>
      <c r="E141" s="23" t="s">
        <v>16</v>
      </c>
      <c r="F141" s="23" t="s">
        <v>16</v>
      </c>
      <c r="G141" s="23" t="s">
        <v>16</v>
      </c>
      <c r="H141" s="23" t="s">
        <v>16</v>
      </c>
    </row>
    <row r="142" spans="1:8">
      <c r="A142" s="27"/>
      <c r="C142" s="28"/>
      <c r="D142" s="48">
        <v>29</v>
      </c>
      <c r="E142" s="23" t="s">
        <v>16</v>
      </c>
      <c r="F142" s="23" t="s">
        <v>16</v>
      </c>
      <c r="G142" s="23" t="s">
        <v>16</v>
      </c>
      <c r="H142" s="23" t="s">
        <v>16</v>
      </c>
    </row>
    <row r="143" spans="1:8">
      <c r="A143" s="27"/>
      <c r="C143" s="28"/>
      <c r="D143" s="48"/>
      <c r="E143" s="23" t="s">
        <v>16</v>
      </c>
      <c r="F143" s="23" t="s">
        <v>16</v>
      </c>
      <c r="G143" s="23" t="s">
        <v>16</v>
      </c>
      <c r="H143" s="23" t="s">
        <v>16</v>
      </c>
    </row>
    <row r="144" spans="1:8">
      <c r="A144" s="27"/>
      <c r="C144" s="28"/>
      <c r="D144" s="48">
        <v>30</v>
      </c>
      <c r="E144" s="23" t="s">
        <v>16</v>
      </c>
      <c r="F144" s="23" t="s">
        <v>16</v>
      </c>
      <c r="G144" s="23" t="s">
        <v>16</v>
      </c>
      <c r="H144" s="23" t="s">
        <v>16</v>
      </c>
    </row>
    <row r="145" spans="1:8">
      <c r="A145" s="27"/>
      <c r="C145" s="28"/>
      <c r="D145" s="48">
        <v>31</v>
      </c>
      <c r="E145" s="23" t="s">
        <v>16</v>
      </c>
      <c r="F145" s="23" t="s">
        <v>16</v>
      </c>
      <c r="G145" s="23" t="s">
        <v>16</v>
      </c>
      <c r="H145" s="23" t="s">
        <v>16</v>
      </c>
    </row>
    <row r="146" spans="1:8">
      <c r="A146" s="27"/>
      <c r="C146" s="28"/>
      <c r="D146" s="48"/>
      <c r="E146" s="23" t="s">
        <v>16</v>
      </c>
      <c r="F146" s="23" t="s">
        <v>16</v>
      </c>
      <c r="G146" s="23" t="s">
        <v>16</v>
      </c>
      <c r="H146" s="23" t="s">
        <v>16</v>
      </c>
    </row>
    <row r="147" spans="1:8">
      <c r="A147" s="27"/>
      <c r="C147" s="28"/>
      <c r="D147" s="48"/>
      <c r="E147" s="23" t="s">
        <v>16</v>
      </c>
      <c r="F147" s="23" t="s">
        <v>16</v>
      </c>
      <c r="G147" s="23" t="s">
        <v>16</v>
      </c>
      <c r="H147" s="23" t="s">
        <v>16</v>
      </c>
    </row>
    <row r="148" spans="1:8">
      <c r="A148" s="27"/>
      <c r="C148" s="28"/>
      <c r="D148" s="48">
        <v>32</v>
      </c>
      <c r="E148" s="23" t="s">
        <v>16</v>
      </c>
      <c r="F148" s="23" t="s">
        <v>16</v>
      </c>
      <c r="G148" s="23" t="s">
        <v>16</v>
      </c>
      <c r="H148" s="23" t="s">
        <v>16</v>
      </c>
    </row>
    <row r="149" spans="1:8">
      <c r="A149" s="27"/>
      <c r="C149" s="28"/>
      <c r="D149" s="48">
        <v>33</v>
      </c>
      <c r="E149" s="23" t="s">
        <v>16</v>
      </c>
      <c r="F149" s="23" t="s">
        <v>16</v>
      </c>
      <c r="G149" s="23" t="s">
        <v>16</v>
      </c>
      <c r="H149" s="23" t="s">
        <v>16</v>
      </c>
    </row>
    <row r="150" spans="1:8">
      <c r="A150" s="27"/>
      <c r="C150" s="28"/>
      <c r="D150" s="48">
        <v>34</v>
      </c>
      <c r="E150" s="23" t="s">
        <v>16</v>
      </c>
      <c r="F150" s="23" t="s">
        <v>16</v>
      </c>
      <c r="G150" s="23" t="s">
        <v>16</v>
      </c>
      <c r="H150" s="23" t="s">
        <v>16</v>
      </c>
    </row>
    <row r="151" spans="1:8">
      <c r="A151" s="27"/>
      <c r="C151" s="28"/>
      <c r="D151" s="48">
        <v>35</v>
      </c>
      <c r="E151" s="23" t="s">
        <v>16</v>
      </c>
      <c r="F151" s="23" t="s">
        <v>16</v>
      </c>
      <c r="G151" s="23" t="s">
        <v>16</v>
      </c>
      <c r="H151" s="23" t="s">
        <v>16</v>
      </c>
    </row>
    <row r="152" spans="1:8">
      <c r="A152" s="27"/>
      <c r="C152" s="28"/>
      <c r="D152" s="48">
        <v>36</v>
      </c>
      <c r="E152" s="23" t="s">
        <v>16</v>
      </c>
      <c r="F152" s="23" t="s">
        <v>16</v>
      </c>
      <c r="G152" s="23" t="s">
        <v>16</v>
      </c>
      <c r="H152" s="23" t="s">
        <v>16</v>
      </c>
    </row>
    <row r="153" spans="1:8">
      <c r="A153" s="27"/>
      <c r="C153" s="28"/>
      <c r="D153" s="48">
        <v>37</v>
      </c>
      <c r="E153" s="23" t="s">
        <v>16</v>
      </c>
      <c r="F153" s="23" t="s">
        <v>16</v>
      </c>
      <c r="G153" s="23" t="s">
        <v>16</v>
      </c>
      <c r="H153" s="23" t="s">
        <v>16</v>
      </c>
    </row>
    <row r="154" spans="1:8">
      <c r="A154" s="27"/>
      <c r="C154" s="28"/>
      <c r="D154" s="48">
        <v>38</v>
      </c>
      <c r="E154" s="23" t="s">
        <v>16</v>
      </c>
      <c r="F154" s="23" t="s">
        <v>16</v>
      </c>
      <c r="G154" s="23" t="s">
        <v>16</v>
      </c>
      <c r="H154" s="23" t="s">
        <v>16</v>
      </c>
    </row>
    <row r="155" spans="1:8">
      <c r="A155" s="27"/>
      <c r="C155" s="28"/>
      <c r="D155" s="48">
        <v>39</v>
      </c>
      <c r="E155" s="23" t="s">
        <v>16</v>
      </c>
      <c r="F155" s="23" t="s">
        <v>16</v>
      </c>
      <c r="G155" s="23" t="s">
        <v>16</v>
      </c>
      <c r="H155" s="23" t="s">
        <v>16</v>
      </c>
    </row>
    <row r="156" spans="1:8">
      <c r="A156" s="27"/>
      <c r="C156" s="28"/>
      <c r="D156" s="48">
        <v>40</v>
      </c>
      <c r="E156" s="23" t="s">
        <v>16</v>
      </c>
      <c r="F156" s="23" t="s">
        <v>16</v>
      </c>
      <c r="G156" s="23" t="s">
        <v>16</v>
      </c>
      <c r="H156" s="23" t="s">
        <v>16</v>
      </c>
    </row>
    <row r="157" spans="1:8">
      <c r="A157" s="27"/>
      <c r="C157" s="28"/>
      <c r="D157" s="48">
        <v>41</v>
      </c>
      <c r="E157" s="23" t="s">
        <v>16</v>
      </c>
      <c r="F157" s="23" t="s">
        <v>16</v>
      </c>
      <c r="G157" s="23" t="s">
        <v>16</v>
      </c>
      <c r="H157" s="23" t="s">
        <v>16</v>
      </c>
    </row>
    <row r="158" spans="1:8">
      <c r="A158" s="27"/>
      <c r="C158" s="28"/>
      <c r="D158" s="48">
        <v>42</v>
      </c>
      <c r="E158" s="23" t="s">
        <v>16</v>
      </c>
      <c r="F158" s="23" t="s">
        <v>16</v>
      </c>
      <c r="G158" s="23" t="s">
        <v>16</v>
      </c>
      <c r="H158" s="23" t="s">
        <v>16</v>
      </c>
    </row>
    <row r="159" spans="1:8">
      <c r="A159" s="27"/>
      <c r="C159" s="28"/>
      <c r="D159" s="48">
        <v>43</v>
      </c>
      <c r="E159" s="23" t="s">
        <v>16</v>
      </c>
      <c r="F159" s="23" t="s">
        <v>16</v>
      </c>
      <c r="G159" s="23" t="s">
        <v>16</v>
      </c>
      <c r="H159" s="23" t="s">
        <v>16</v>
      </c>
    </row>
    <row r="160" spans="1:8">
      <c r="A160" s="27"/>
      <c r="C160" s="28"/>
      <c r="D160" s="48">
        <v>44</v>
      </c>
      <c r="E160" s="23" t="s">
        <v>16</v>
      </c>
      <c r="F160" s="23" t="s">
        <v>16</v>
      </c>
      <c r="G160" s="23" t="s">
        <v>16</v>
      </c>
      <c r="H160" s="23" t="s">
        <v>16</v>
      </c>
    </row>
    <row r="161" spans="1:8">
      <c r="A161" s="27"/>
      <c r="C161" s="28"/>
      <c r="D161" s="48">
        <v>45</v>
      </c>
      <c r="E161" s="23" t="s">
        <v>16</v>
      </c>
      <c r="F161" s="23" t="s">
        <v>16</v>
      </c>
      <c r="G161" s="23" t="s">
        <v>16</v>
      </c>
      <c r="H161" s="23" t="s">
        <v>16</v>
      </c>
    </row>
    <row r="162" spans="1:8">
      <c r="A162" s="27"/>
      <c r="C162" s="28"/>
      <c r="D162" s="48">
        <v>46</v>
      </c>
      <c r="E162" s="23" t="s">
        <v>16</v>
      </c>
      <c r="F162" s="23" t="s">
        <v>16</v>
      </c>
      <c r="G162" s="23" t="s">
        <v>16</v>
      </c>
      <c r="H162" s="23" t="s">
        <v>16</v>
      </c>
    </row>
    <row r="163" spans="1:8">
      <c r="A163" s="27"/>
      <c r="C163" s="28"/>
      <c r="D163" s="48">
        <v>47</v>
      </c>
      <c r="E163" s="23" t="s">
        <v>16</v>
      </c>
      <c r="F163" s="23" t="s">
        <v>16</v>
      </c>
      <c r="G163" s="23" t="s">
        <v>16</v>
      </c>
      <c r="H163" s="23" t="s">
        <v>16</v>
      </c>
    </row>
    <row r="164" spans="1:8">
      <c r="A164" s="27"/>
      <c r="C164" s="28"/>
      <c r="D164" s="48">
        <v>48</v>
      </c>
      <c r="E164" s="23" t="s">
        <v>16</v>
      </c>
      <c r="F164" s="23" t="s">
        <v>16</v>
      </c>
      <c r="G164" s="23" t="s">
        <v>16</v>
      </c>
      <c r="H164" s="23" t="s">
        <v>16</v>
      </c>
    </row>
    <row r="165" spans="1:8">
      <c r="A165" s="27"/>
      <c r="C165" s="28"/>
      <c r="D165" s="48"/>
      <c r="E165" s="23" t="s">
        <v>16</v>
      </c>
      <c r="F165" s="23" t="s">
        <v>16</v>
      </c>
      <c r="G165" s="23" t="s">
        <v>16</v>
      </c>
      <c r="H165" s="23" t="s">
        <v>16</v>
      </c>
    </row>
    <row r="166" spans="1:8">
      <c r="A166" s="27"/>
      <c r="C166" s="28"/>
      <c r="D166" s="48"/>
      <c r="E166" s="23" t="s">
        <v>16</v>
      </c>
      <c r="F166" s="23" t="s">
        <v>16</v>
      </c>
      <c r="G166" s="23" t="s">
        <v>16</v>
      </c>
      <c r="H166" s="23" t="s">
        <v>16</v>
      </c>
    </row>
    <row r="167" spans="1:8">
      <c r="A167" s="27"/>
      <c r="C167" s="28"/>
      <c r="D167" s="48">
        <v>49</v>
      </c>
      <c r="E167" s="23" t="s">
        <v>16</v>
      </c>
      <c r="F167" s="23" t="s">
        <v>16</v>
      </c>
      <c r="G167" s="23" t="s">
        <v>16</v>
      </c>
      <c r="H167" s="23" t="s">
        <v>16</v>
      </c>
    </row>
    <row r="168" spans="1:8">
      <c r="A168" s="27"/>
      <c r="C168" s="28"/>
      <c r="D168" s="48">
        <v>50</v>
      </c>
      <c r="E168" s="23" t="s">
        <v>16</v>
      </c>
      <c r="F168" s="23" t="s">
        <v>16</v>
      </c>
      <c r="G168" s="23" t="s">
        <v>16</v>
      </c>
      <c r="H168" s="23" t="s">
        <v>16</v>
      </c>
    </row>
    <row r="169" spans="1:8">
      <c r="A169" s="27"/>
      <c r="C169" s="28"/>
      <c r="D169" s="48">
        <v>51</v>
      </c>
      <c r="E169" s="23" t="s">
        <v>16</v>
      </c>
      <c r="F169" s="23" t="s">
        <v>16</v>
      </c>
      <c r="G169" s="23" t="s">
        <v>16</v>
      </c>
      <c r="H169" s="23" t="s">
        <v>16</v>
      </c>
    </row>
    <row r="170" spans="1:8">
      <c r="A170" s="27"/>
      <c r="C170" s="28"/>
      <c r="D170" s="48">
        <v>52</v>
      </c>
      <c r="E170" s="23" t="s">
        <v>16</v>
      </c>
      <c r="F170" s="23" t="s">
        <v>16</v>
      </c>
      <c r="G170" s="23" t="s">
        <v>16</v>
      </c>
      <c r="H170" s="23" t="s">
        <v>16</v>
      </c>
    </row>
    <row r="171" spans="1:8">
      <c r="A171" s="27"/>
      <c r="C171" s="28"/>
      <c r="D171" s="48">
        <v>53</v>
      </c>
      <c r="E171" s="23" t="s">
        <v>16</v>
      </c>
      <c r="F171" s="23" t="s">
        <v>16</v>
      </c>
      <c r="G171" s="23" t="s">
        <v>16</v>
      </c>
      <c r="H171" s="23" t="s">
        <v>16</v>
      </c>
    </row>
    <row r="172" spans="1:8">
      <c r="A172" s="27"/>
      <c r="C172" s="28"/>
      <c r="D172" s="48">
        <v>54</v>
      </c>
      <c r="E172" s="23" t="s">
        <v>16</v>
      </c>
      <c r="F172" s="23" t="s">
        <v>16</v>
      </c>
      <c r="G172" s="23" t="s">
        <v>16</v>
      </c>
      <c r="H172" s="23" t="s">
        <v>16</v>
      </c>
    </row>
    <row r="173" spans="1:8">
      <c r="A173" s="27"/>
      <c r="C173" s="28"/>
      <c r="D173" s="48">
        <v>55</v>
      </c>
      <c r="E173" s="23" t="s">
        <v>16</v>
      </c>
      <c r="F173" s="23" t="s">
        <v>16</v>
      </c>
      <c r="G173" s="23" t="s">
        <v>16</v>
      </c>
      <c r="H173" s="23" t="s">
        <v>16</v>
      </c>
    </row>
    <row r="174" spans="1:8">
      <c r="A174" s="27"/>
      <c r="C174" s="28"/>
      <c r="D174" s="48">
        <v>56</v>
      </c>
      <c r="E174" s="23" t="s">
        <v>16</v>
      </c>
      <c r="F174" s="23" t="s">
        <v>16</v>
      </c>
      <c r="G174" s="23" t="s">
        <v>16</v>
      </c>
      <c r="H174" s="23" t="s">
        <v>16</v>
      </c>
    </row>
    <row r="175" spans="1:8">
      <c r="A175" s="27"/>
      <c r="C175" s="28"/>
      <c r="D175" s="48">
        <v>57</v>
      </c>
      <c r="E175" s="23" t="s">
        <v>16</v>
      </c>
      <c r="F175" s="23" t="s">
        <v>16</v>
      </c>
      <c r="G175" s="23" t="s">
        <v>16</v>
      </c>
      <c r="H175" s="23" t="s">
        <v>16</v>
      </c>
    </row>
    <row r="176" spans="1:8">
      <c r="A176" s="27"/>
      <c r="C176" s="28"/>
      <c r="D176" s="48">
        <v>58</v>
      </c>
      <c r="E176" s="23" t="s">
        <v>16</v>
      </c>
      <c r="F176" s="23" t="s">
        <v>16</v>
      </c>
      <c r="G176" s="23" t="s">
        <v>16</v>
      </c>
      <c r="H176" s="23" t="s">
        <v>16</v>
      </c>
    </row>
    <row r="177" spans="1:8">
      <c r="A177" s="27"/>
      <c r="C177" s="28"/>
      <c r="D177" s="48">
        <v>59</v>
      </c>
      <c r="E177" s="23" t="s">
        <v>16</v>
      </c>
      <c r="F177" s="23" t="s">
        <v>16</v>
      </c>
      <c r="G177" s="23" t="s">
        <v>16</v>
      </c>
      <c r="H177" s="23" t="s">
        <v>16</v>
      </c>
    </row>
    <row r="178" spans="1:8">
      <c r="A178" s="27"/>
      <c r="C178" s="28"/>
      <c r="D178" s="48">
        <v>60</v>
      </c>
      <c r="E178" s="23" t="s">
        <v>16</v>
      </c>
      <c r="F178" s="23" t="s">
        <v>16</v>
      </c>
      <c r="G178" s="23" t="s">
        <v>16</v>
      </c>
      <c r="H178" s="23" t="s">
        <v>16</v>
      </c>
    </row>
    <row r="179" spans="1:8">
      <c r="A179" s="27"/>
      <c r="C179" s="28"/>
      <c r="D179" s="48">
        <v>61</v>
      </c>
      <c r="E179" s="23" t="s">
        <v>16</v>
      </c>
      <c r="F179" s="23" t="s">
        <v>16</v>
      </c>
      <c r="G179" s="23" t="s">
        <v>16</v>
      </c>
      <c r="H179" s="23" t="s">
        <v>16</v>
      </c>
    </row>
    <row r="180" spans="1:8">
      <c r="A180" s="27"/>
      <c r="C180" s="28"/>
      <c r="D180" s="48">
        <v>62</v>
      </c>
      <c r="E180" s="23" t="s">
        <v>16</v>
      </c>
      <c r="F180" s="23" t="s">
        <v>16</v>
      </c>
      <c r="G180" s="23" t="s">
        <v>16</v>
      </c>
      <c r="H180" s="23" t="s">
        <v>16</v>
      </c>
    </row>
    <row r="181" spans="1:8">
      <c r="A181" s="27"/>
      <c r="C181" s="28"/>
      <c r="D181" s="59" t="s">
        <v>2100</v>
      </c>
      <c r="E181" s="23" t="s">
        <v>16</v>
      </c>
      <c r="F181" s="23" t="s">
        <v>16</v>
      </c>
      <c r="G181" s="23" t="s">
        <v>16</v>
      </c>
      <c r="H181" s="23" t="s">
        <v>16</v>
      </c>
    </row>
    <row r="182" spans="1:8">
      <c r="A182" s="27"/>
      <c r="C182" s="28"/>
      <c r="D182" s="48">
        <v>63</v>
      </c>
      <c r="E182" s="23" t="s">
        <v>16</v>
      </c>
      <c r="F182" s="23" t="s">
        <v>16</v>
      </c>
      <c r="G182" s="23" t="s">
        <v>16</v>
      </c>
      <c r="H182" s="23" t="s">
        <v>16</v>
      </c>
    </row>
    <row r="183" spans="1:8">
      <c r="A183" s="27"/>
      <c r="C183" s="28"/>
      <c r="D183" s="48"/>
      <c r="E183" s="23" t="s">
        <v>16</v>
      </c>
      <c r="F183" s="23" t="s">
        <v>16</v>
      </c>
      <c r="G183" s="23" t="s">
        <v>16</v>
      </c>
      <c r="H183" s="23" t="s">
        <v>16</v>
      </c>
    </row>
    <row r="184" spans="1:8">
      <c r="A184" s="27"/>
      <c r="C184" s="28"/>
      <c r="D184" s="48"/>
      <c r="E184" s="23" t="s">
        <v>16</v>
      </c>
      <c r="F184" s="23" t="s">
        <v>16</v>
      </c>
      <c r="G184" s="23" t="s">
        <v>16</v>
      </c>
      <c r="H184" s="23" t="s">
        <v>16</v>
      </c>
    </row>
    <row r="185" spans="1:8">
      <c r="A185" s="27"/>
      <c r="C185" s="28"/>
      <c r="D185" s="48">
        <v>64</v>
      </c>
      <c r="E185" s="23" t="s">
        <v>16</v>
      </c>
      <c r="F185" s="23" t="s">
        <v>16</v>
      </c>
      <c r="G185" s="23" t="s">
        <v>16</v>
      </c>
      <c r="H185" s="23" t="s">
        <v>16</v>
      </c>
    </row>
    <row r="186" spans="1:8">
      <c r="A186" s="27"/>
      <c r="C186" s="28"/>
      <c r="D186" s="48">
        <v>65</v>
      </c>
      <c r="E186" s="23" t="s">
        <v>16</v>
      </c>
      <c r="F186" s="23" t="s">
        <v>16</v>
      </c>
      <c r="G186" s="23" t="s">
        <v>16</v>
      </c>
      <c r="H186" s="23" t="s">
        <v>16</v>
      </c>
    </row>
    <row r="187" spans="1:8">
      <c r="A187" s="27"/>
      <c r="C187" s="28"/>
      <c r="D187" s="48"/>
      <c r="E187" s="23" t="s">
        <v>16</v>
      </c>
      <c r="F187" s="23" t="s">
        <v>16</v>
      </c>
      <c r="G187" s="23" t="s">
        <v>16</v>
      </c>
      <c r="H187" s="23" t="s">
        <v>16</v>
      </c>
    </row>
    <row r="188" spans="1:8">
      <c r="A188" s="27"/>
      <c r="C188" s="28"/>
      <c r="D188" s="48">
        <v>66</v>
      </c>
      <c r="E188" s="23" t="s">
        <v>16</v>
      </c>
      <c r="F188" s="23" t="s">
        <v>16</v>
      </c>
      <c r="G188" s="23" t="s">
        <v>16</v>
      </c>
      <c r="H188" s="23" t="s">
        <v>16</v>
      </c>
    </row>
    <row r="189" spans="1:8">
      <c r="A189" s="27"/>
      <c r="C189" s="28"/>
      <c r="D189" s="48">
        <v>67</v>
      </c>
      <c r="E189" s="23" t="s">
        <v>16</v>
      </c>
      <c r="F189" s="23" t="s">
        <v>16</v>
      </c>
      <c r="G189" s="23" t="s">
        <v>16</v>
      </c>
      <c r="H189" s="23" t="s">
        <v>16</v>
      </c>
    </row>
    <row r="190" spans="1:8">
      <c r="A190" s="27"/>
      <c r="C190" s="28"/>
      <c r="D190" s="48">
        <v>68</v>
      </c>
      <c r="E190" s="23" t="s">
        <v>16</v>
      </c>
      <c r="F190" s="23" t="s">
        <v>16</v>
      </c>
      <c r="G190" s="23" t="s">
        <v>16</v>
      </c>
      <c r="H190" s="23" t="s">
        <v>16</v>
      </c>
    </row>
    <row r="191" spans="1:8">
      <c r="A191" s="27"/>
      <c r="C191" s="28"/>
      <c r="D191" s="48">
        <v>69</v>
      </c>
      <c r="E191" s="23" t="s">
        <v>16</v>
      </c>
      <c r="F191" s="23" t="s">
        <v>16</v>
      </c>
      <c r="G191" s="23" t="s">
        <v>16</v>
      </c>
      <c r="H191" s="23" t="s">
        <v>16</v>
      </c>
    </row>
    <row r="192" spans="1:8">
      <c r="A192" s="27"/>
      <c r="C192" s="28"/>
      <c r="D192" s="48"/>
      <c r="E192" s="23" t="s">
        <v>16</v>
      </c>
      <c r="F192" s="23" t="s">
        <v>16</v>
      </c>
      <c r="G192" s="23" t="s">
        <v>16</v>
      </c>
      <c r="H192" s="23" t="s">
        <v>16</v>
      </c>
    </row>
    <row r="193" spans="1:8">
      <c r="A193" s="27"/>
      <c r="C193" s="28"/>
      <c r="D193" s="48">
        <v>70</v>
      </c>
      <c r="E193" s="23" t="s">
        <v>16</v>
      </c>
      <c r="F193" s="23" t="s">
        <v>16</v>
      </c>
      <c r="G193" s="23" t="s">
        <v>16</v>
      </c>
      <c r="H193" s="23" t="s">
        <v>16</v>
      </c>
    </row>
    <row r="194" spans="1:8">
      <c r="A194" s="27"/>
      <c r="C194" s="28"/>
      <c r="D194" s="48">
        <v>71</v>
      </c>
      <c r="E194" s="23" t="s">
        <v>16</v>
      </c>
      <c r="F194" s="23" t="s">
        <v>16</v>
      </c>
      <c r="G194" s="23" t="s">
        <v>16</v>
      </c>
      <c r="H194" s="23" t="s">
        <v>16</v>
      </c>
    </row>
    <row r="195" spans="1:8">
      <c r="A195" s="27"/>
      <c r="C195" s="28"/>
      <c r="D195" s="48"/>
      <c r="E195" s="23" t="s">
        <v>16</v>
      </c>
      <c r="F195" s="23" t="s">
        <v>16</v>
      </c>
      <c r="G195" s="23" t="s">
        <v>16</v>
      </c>
      <c r="H195" s="23" t="s">
        <v>16</v>
      </c>
    </row>
    <row r="196" spans="1:8">
      <c r="A196" s="27"/>
      <c r="C196" s="28"/>
      <c r="D196" s="48">
        <v>72</v>
      </c>
      <c r="E196" s="23" t="s">
        <v>16</v>
      </c>
      <c r="F196" s="23" t="s">
        <v>16</v>
      </c>
      <c r="G196" s="23" t="s">
        <v>16</v>
      </c>
      <c r="H196" s="23" t="s">
        <v>16</v>
      </c>
    </row>
    <row r="197" spans="1:8">
      <c r="A197" s="27"/>
      <c r="C197" s="28"/>
      <c r="D197" s="48">
        <v>73</v>
      </c>
      <c r="E197" s="23" t="s">
        <v>16</v>
      </c>
      <c r="F197" s="23" t="s">
        <v>16</v>
      </c>
      <c r="G197" s="23" t="s">
        <v>16</v>
      </c>
      <c r="H197" s="23" t="s">
        <v>16</v>
      </c>
    </row>
    <row r="198" spans="1:8">
      <c r="A198" s="27"/>
      <c r="C198" s="28"/>
      <c r="D198" s="48">
        <v>74</v>
      </c>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t="s">
        <v>16</v>
      </c>
      <c r="F201" s="23" t="s">
        <v>16</v>
      </c>
      <c r="G201" s="23" t="s">
        <v>16</v>
      </c>
      <c r="H201" s="23" t="s">
        <v>16</v>
      </c>
    </row>
    <row r="202" spans="1:8">
      <c r="A202" s="27"/>
      <c r="C202" s="28"/>
      <c r="D202" s="28"/>
      <c r="E202" s="23" t="s">
        <v>16</v>
      </c>
      <c r="F202" s="23" t="s">
        <v>16</v>
      </c>
      <c r="G202" s="23" t="s">
        <v>16</v>
      </c>
      <c r="H202" s="23" t="s">
        <v>16</v>
      </c>
    </row>
    <row r="203" spans="1:8">
      <c r="A203" s="27"/>
      <c r="C203" s="28"/>
      <c r="D203" s="28"/>
      <c r="E203" s="23" t="s">
        <v>16</v>
      </c>
      <c r="F203" s="23" t="s">
        <v>16</v>
      </c>
      <c r="G203" s="23" t="s">
        <v>16</v>
      </c>
      <c r="H203" s="23" t="s">
        <v>16</v>
      </c>
    </row>
    <row r="204" spans="1:8">
      <c r="A204" s="27"/>
      <c r="C204" s="28"/>
      <c r="D204" s="28"/>
      <c r="E204" s="23" t="s">
        <v>16</v>
      </c>
      <c r="F204" s="23" t="s">
        <v>16</v>
      </c>
      <c r="G204" s="23" t="s">
        <v>16</v>
      </c>
      <c r="H204" s="23" t="s">
        <v>16</v>
      </c>
    </row>
    <row r="205" spans="1:8">
      <c r="A205" s="27"/>
      <c r="C205" s="28"/>
      <c r="D205" s="28"/>
      <c r="E205" s="23" t="s">
        <v>16</v>
      </c>
      <c r="F205" s="23" t="s">
        <v>16</v>
      </c>
      <c r="G205" s="23" t="s">
        <v>16</v>
      </c>
      <c r="H205" s="23" t="s">
        <v>16</v>
      </c>
    </row>
    <row r="206" spans="1:8">
      <c r="A206" s="27"/>
      <c r="C206" s="28"/>
      <c r="D206" s="28"/>
      <c r="E206" s="23" t="s">
        <v>16</v>
      </c>
      <c r="F206" s="23" t="s">
        <v>16</v>
      </c>
      <c r="G206" s="23" t="s">
        <v>16</v>
      </c>
      <c r="H206" s="23" t="s">
        <v>16</v>
      </c>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row r="860" spans="1:8">
      <c r="A860" s="27"/>
      <c r="C860" s="28"/>
      <c r="D860" s="28"/>
      <c r="E860" s="50"/>
      <c r="F860" s="50"/>
      <c r="G860" s="50"/>
      <c r="H860" s="50"/>
    </row>
    <row r="861" spans="1:8">
      <c r="A861" s="27"/>
      <c r="C861" s="28"/>
      <c r="D861" s="28"/>
      <c r="E861" s="50"/>
      <c r="F861" s="50"/>
      <c r="G861" s="50"/>
      <c r="H861" s="50"/>
    </row>
    <row r="862" spans="1:8">
      <c r="A862" s="27"/>
      <c r="C862" s="28"/>
      <c r="D862" s="28"/>
      <c r="E862" s="50"/>
      <c r="F862" s="50"/>
      <c r="G862" s="50"/>
      <c r="H862" s="50"/>
    </row>
    <row r="863" spans="1:8">
      <c r="A863" s="27"/>
      <c r="C863" s="28"/>
      <c r="D863" s="28"/>
      <c r="E863" s="50"/>
      <c r="F863" s="50"/>
      <c r="G863" s="50"/>
      <c r="H863" s="50"/>
    </row>
    <row r="864" spans="1:8">
      <c r="A864" s="27"/>
      <c r="C864" s="28"/>
      <c r="D864" s="28"/>
      <c r="E864" s="50"/>
      <c r="F864" s="50"/>
      <c r="G864" s="50"/>
      <c r="H864" s="50"/>
    </row>
    <row r="865" spans="1:8">
      <c r="A865" s="27"/>
      <c r="C865" s="28"/>
      <c r="D865" s="28"/>
      <c r="E865" s="50"/>
      <c r="F865" s="50"/>
      <c r="G865" s="50"/>
      <c r="H865" s="50"/>
    </row>
    <row r="866" spans="1:8">
      <c r="A866" s="27"/>
      <c r="C866" s="28"/>
      <c r="D866" s="28"/>
      <c r="E866" s="50"/>
      <c r="F866" s="50"/>
      <c r="G866" s="50"/>
      <c r="H866" s="50"/>
    </row>
    <row r="867" spans="1:8">
      <c r="A867" s="27"/>
      <c r="C867" s="28"/>
      <c r="D867" s="28"/>
      <c r="E867" s="50"/>
      <c r="F867" s="50"/>
      <c r="G867" s="50"/>
      <c r="H867" s="50"/>
    </row>
    <row r="868" spans="1:8">
      <c r="A868" s="27"/>
      <c r="C868" s="28"/>
      <c r="D868" s="28"/>
      <c r="E868" s="50"/>
      <c r="F868" s="50"/>
      <c r="G868" s="50"/>
      <c r="H868" s="50"/>
    </row>
    <row r="869" spans="1:8">
      <c r="A869" s="27"/>
      <c r="C869" s="28"/>
      <c r="D869" s="28"/>
      <c r="E869" s="50"/>
      <c r="F869" s="50"/>
      <c r="G869" s="50"/>
      <c r="H869" s="50"/>
    </row>
    <row r="870" spans="1:8">
      <c r="A870" s="27"/>
      <c r="C870" s="28"/>
      <c r="D870" s="28"/>
      <c r="E870" s="50"/>
      <c r="F870" s="50"/>
      <c r="G870" s="50"/>
      <c r="H870" s="50"/>
    </row>
    <row r="871" spans="1:8">
      <c r="A871" s="27"/>
      <c r="C871" s="28"/>
      <c r="D871" s="28"/>
      <c r="E871" s="50"/>
      <c r="F871" s="50"/>
      <c r="G871" s="50"/>
      <c r="H871" s="50"/>
    </row>
    <row r="872" spans="1:8">
      <c r="A872" s="27"/>
      <c r="C872" s="28"/>
      <c r="D872" s="28"/>
      <c r="E872" s="50"/>
      <c r="F872" s="50"/>
      <c r="G872" s="50"/>
      <c r="H872" s="50"/>
    </row>
    <row r="873" spans="1:8">
      <c r="A873" s="27"/>
      <c r="C873" s="28"/>
      <c r="D873" s="28"/>
      <c r="E873" s="50"/>
      <c r="F873" s="50"/>
      <c r="G873" s="50"/>
      <c r="H873" s="50"/>
    </row>
    <row r="874" spans="1:8">
      <c r="A874" s="27"/>
      <c r="C874" s="28"/>
      <c r="D874" s="28"/>
      <c r="E874" s="50"/>
      <c r="F874" s="50"/>
      <c r="G874" s="50"/>
      <c r="H874" s="50"/>
    </row>
    <row r="875" spans="1:8">
      <c r="A875" s="27"/>
      <c r="C875" s="28"/>
      <c r="D875" s="28"/>
      <c r="E875" s="50"/>
      <c r="F875" s="50"/>
      <c r="G875" s="50"/>
      <c r="H875" s="50"/>
    </row>
    <row r="876" spans="1:8">
      <c r="A876" s="27"/>
      <c r="C876" s="28"/>
      <c r="D876" s="28"/>
      <c r="E876" s="50"/>
      <c r="F876" s="50"/>
      <c r="G876" s="50"/>
      <c r="H876" s="50"/>
    </row>
    <row r="877" spans="1:8">
      <c r="A877" s="27"/>
      <c r="C877" s="28"/>
      <c r="D877" s="28"/>
      <c r="E877" s="50"/>
      <c r="F877" s="50"/>
      <c r="G877" s="50"/>
      <c r="H877" s="50"/>
    </row>
    <row r="878" spans="1:8">
      <c r="A878" s="27"/>
      <c r="C878" s="28"/>
      <c r="D878" s="28"/>
      <c r="E878" s="50"/>
      <c r="F878" s="50"/>
      <c r="G878" s="50"/>
      <c r="H878" s="50"/>
    </row>
    <row r="879" spans="1:8">
      <c r="A879" s="27"/>
      <c r="C879" s="28"/>
      <c r="D879" s="28"/>
      <c r="E879" s="50"/>
      <c r="F879" s="50"/>
      <c r="G879" s="50"/>
      <c r="H879" s="50"/>
    </row>
    <row r="880" spans="1:8">
      <c r="A880" s="27"/>
      <c r="C880" s="28"/>
      <c r="D880" s="28"/>
      <c r="E880" s="50"/>
      <c r="F880" s="50"/>
      <c r="G880" s="50"/>
      <c r="H880" s="50"/>
    </row>
    <row r="881" spans="1:8">
      <c r="A881" s="27"/>
      <c r="C881" s="28"/>
      <c r="D881" s="28"/>
      <c r="E881" s="50"/>
      <c r="F881" s="50"/>
      <c r="G881" s="50"/>
      <c r="H881" s="50"/>
    </row>
    <row r="882" spans="1:8">
      <c r="A882" s="27"/>
      <c r="C882" s="28"/>
      <c r="D882" s="28"/>
      <c r="E882" s="50"/>
      <c r="F882" s="50"/>
      <c r="G882" s="50"/>
      <c r="H882" s="50"/>
    </row>
    <row r="883" spans="1:8">
      <c r="A883" s="27"/>
      <c r="C883" s="28"/>
      <c r="D883" s="28"/>
      <c r="E883" s="50"/>
      <c r="F883" s="50"/>
      <c r="G883" s="50"/>
      <c r="H883" s="50"/>
    </row>
    <row r="884" spans="1:8">
      <c r="A884" s="27"/>
      <c r="C884" s="28"/>
      <c r="D884" s="28"/>
      <c r="E884" s="50"/>
      <c r="F884" s="50"/>
      <c r="G884" s="50"/>
      <c r="H884" s="50"/>
    </row>
    <row r="885" spans="1:8">
      <c r="A885" s="27"/>
      <c r="C885" s="28"/>
      <c r="D885" s="28"/>
      <c r="E885" s="50"/>
      <c r="F885" s="50"/>
      <c r="G885" s="50"/>
      <c r="H885" s="50"/>
    </row>
    <row r="886" spans="1:8">
      <c r="A886" s="27"/>
      <c r="C886" s="28"/>
      <c r="D886" s="28"/>
      <c r="E886" s="50"/>
      <c r="F886" s="50"/>
      <c r="G886" s="50"/>
      <c r="H886" s="50"/>
    </row>
    <row r="887" spans="1:8">
      <c r="A887" s="27"/>
      <c r="C887" s="28"/>
      <c r="D887" s="28"/>
      <c r="E887" s="50"/>
      <c r="F887" s="50"/>
      <c r="G887" s="50"/>
      <c r="H887" s="50"/>
    </row>
    <row r="888" spans="1:8">
      <c r="A888" s="27"/>
      <c r="C888" s="28"/>
      <c r="D888" s="28"/>
      <c r="E888" s="50"/>
      <c r="F888" s="50"/>
      <c r="G888" s="50"/>
      <c r="H888" s="50"/>
    </row>
    <row r="889" spans="1:8">
      <c r="A889" s="27"/>
      <c r="C889" s="28"/>
      <c r="D889" s="28"/>
      <c r="E889" s="50"/>
      <c r="F889" s="50"/>
      <c r="G889" s="50"/>
      <c r="H889" s="50"/>
    </row>
    <row r="890" spans="1:8">
      <c r="A890" s="27"/>
      <c r="C890" s="28"/>
      <c r="D890" s="28"/>
      <c r="E890" s="50"/>
      <c r="F890" s="50"/>
      <c r="G890" s="50"/>
      <c r="H890" s="50"/>
    </row>
    <row r="891" spans="1:8">
      <c r="A891" s="27"/>
      <c r="C891" s="28"/>
      <c r="D891" s="28"/>
      <c r="E891" s="50"/>
      <c r="F891" s="50"/>
      <c r="G891" s="50"/>
      <c r="H891" s="50"/>
    </row>
    <row r="892" spans="1:8">
      <c r="A892" s="27"/>
      <c r="C892" s="28"/>
      <c r="D892" s="28"/>
      <c r="E892" s="50"/>
      <c r="F892" s="50"/>
      <c r="G892" s="50"/>
      <c r="H892" s="50"/>
    </row>
    <row r="893" spans="1:8">
      <c r="A893" s="27"/>
      <c r="C893" s="28"/>
      <c r="D893" s="28"/>
      <c r="E893" s="50"/>
      <c r="F893" s="50"/>
      <c r="G893" s="50"/>
      <c r="H893" s="50"/>
    </row>
    <row r="894" spans="1:8">
      <c r="A894" s="27"/>
      <c r="C894" s="28"/>
      <c r="D894" s="28"/>
      <c r="E894" s="50"/>
      <c r="F894" s="50"/>
      <c r="G894" s="50"/>
      <c r="H894" s="50"/>
    </row>
    <row r="895" spans="1:8">
      <c r="A895" s="27"/>
      <c r="C895" s="28"/>
      <c r="D895" s="28"/>
      <c r="E895" s="50"/>
      <c r="F895" s="50"/>
      <c r="G895" s="50"/>
      <c r="H895" s="50"/>
    </row>
    <row r="896" spans="1:8">
      <c r="A896" s="27"/>
      <c r="C896" s="28"/>
      <c r="D896" s="28"/>
      <c r="E896" s="50"/>
      <c r="F896" s="50"/>
      <c r="G896" s="50"/>
      <c r="H896" s="50"/>
    </row>
    <row r="897" spans="1:8">
      <c r="A897" s="27"/>
      <c r="C897" s="28"/>
      <c r="D897" s="28"/>
      <c r="E897" s="50"/>
      <c r="F897" s="50"/>
      <c r="G897" s="50"/>
      <c r="H897" s="50"/>
    </row>
    <row r="898" spans="1:8">
      <c r="A898" s="27"/>
      <c r="C898" s="28"/>
      <c r="D898" s="28"/>
      <c r="E898" s="50"/>
      <c r="F898" s="50"/>
      <c r="G898" s="50"/>
      <c r="H898" s="50"/>
    </row>
    <row r="899" spans="1:8">
      <c r="A899" s="27"/>
      <c r="C899" s="28"/>
      <c r="D899" s="28"/>
      <c r="E899" s="50"/>
      <c r="F899" s="50"/>
      <c r="G899" s="50"/>
      <c r="H899" s="50"/>
    </row>
    <row r="900" spans="1:8">
      <c r="A900" s="27"/>
      <c r="C900" s="28"/>
      <c r="D900" s="28"/>
      <c r="E900" s="50"/>
      <c r="F900" s="50"/>
      <c r="G900" s="50"/>
      <c r="H900" s="50"/>
    </row>
    <row r="901" spans="1:8">
      <c r="A901" s="27"/>
      <c r="C901" s="28"/>
      <c r="D901" s="28"/>
      <c r="E901" s="50"/>
      <c r="F901" s="50"/>
      <c r="G901" s="50"/>
      <c r="H901" s="50"/>
    </row>
    <row r="902" spans="1:8">
      <c r="A902" s="27"/>
      <c r="C902" s="28"/>
      <c r="D902" s="28"/>
      <c r="E902" s="50"/>
      <c r="F902" s="50"/>
      <c r="G902" s="50"/>
      <c r="H902" s="50"/>
    </row>
    <row r="903" spans="1:8">
      <c r="A903" s="27"/>
      <c r="C903" s="28"/>
      <c r="D903" s="28"/>
      <c r="E903" s="50"/>
      <c r="F903" s="50"/>
      <c r="G903" s="50"/>
      <c r="H903" s="50"/>
    </row>
    <row r="904" spans="1:8">
      <c r="A904" s="27"/>
      <c r="C904" s="28"/>
      <c r="D904" s="28"/>
      <c r="E904" s="50"/>
      <c r="F904" s="50"/>
      <c r="G904" s="50"/>
      <c r="H904" s="50"/>
    </row>
    <row r="905" spans="1:8">
      <c r="A905" s="27"/>
      <c r="C905" s="28"/>
      <c r="D905" s="28"/>
      <c r="E905" s="50"/>
      <c r="F905" s="50"/>
      <c r="G905" s="50"/>
      <c r="H905" s="50"/>
    </row>
    <row r="906" spans="1:8">
      <c r="A906" s="27"/>
      <c r="C906" s="28"/>
      <c r="D906" s="28"/>
      <c r="E906" s="50"/>
      <c r="F906" s="50"/>
      <c r="G906" s="50"/>
      <c r="H906" s="50"/>
    </row>
    <row r="907" spans="1:8">
      <c r="A907" s="27"/>
      <c r="C907" s="28"/>
      <c r="D907" s="28"/>
      <c r="E907" s="50"/>
      <c r="F907" s="50"/>
      <c r="G907" s="50"/>
      <c r="H907" s="50"/>
    </row>
    <row r="908" spans="1:8">
      <c r="A908" s="27"/>
      <c r="C908" s="28"/>
      <c r="D908" s="28"/>
      <c r="E908" s="50"/>
      <c r="F908" s="50"/>
      <c r="G908" s="50"/>
      <c r="H908" s="50"/>
    </row>
    <row r="909" spans="1:8">
      <c r="A909" s="27"/>
      <c r="C909" s="28"/>
      <c r="D909" s="28"/>
      <c r="E909" s="50"/>
      <c r="F909" s="50"/>
      <c r="G909" s="50"/>
      <c r="H909" s="50"/>
    </row>
    <row r="910" spans="1:8">
      <c r="A910" s="27"/>
      <c r="C910" s="28"/>
      <c r="D910" s="28"/>
      <c r="E910" s="50"/>
      <c r="F910" s="50"/>
      <c r="G910" s="50"/>
      <c r="H910" s="50"/>
    </row>
    <row r="911" spans="1:8">
      <c r="A911" s="27"/>
      <c r="C911" s="28"/>
      <c r="D911" s="28"/>
      <c r="E911" s="50"/>
      <c r="F911" s="50"/>
      <c r="G911" s="50"/>
      <c r="H911" s="50"/>
    </row>
    <row r="912" spans="1:8">
      <c r="A912" s="27"/>
      <c r="C912" s="28"/>
      <c r="D912" s="28"/>
      <c r="E912" s="50"/>
      <c r="F912" s="50"/>
      <c r="G912" s="50"/>
      <c r="H912" s="50"/>
    </row>
    <row r="913" spans="1:8">
      <c r="A913" s="27"/>
      <c r="C913" s="28"/>
      <c r="D913" s="28"/>
      <c r="E913" s="50"/>
      <c r="F913" s="50"/>
      <c r="G913" s="50"/>
      <c r="H913" s="50"/>
    </row>
    <row r="914" spans="1:8">
      <c r="A914" s="27"/>
      <c r="C914" s="28"/>
      <c r="D914" s="28"/>
      <c r="E914" s="50"/>
      <c r="F914" s="50"/>
      <c r="G914" s="50"/>
      <c r="H914" s="50"/>
    </row>
    <row r="915" spans="1:8">
      <c r="A915" s="27"/>
      <c r="C915" s="28"/>
      <c r="D915" s="28"/>
      <c r="E915" s="50"/>
      <c r="F915" s="50"/>
      <c r="G915" s="50"/>
      <c r="H915" s="50"/>
    </row>
    <row r="916" spans="1:8">
      <c r="A916" s="27"/>
      <c r="C916" s="28"/>
      <c r="D916" s="28"/>
      <c r="E916" s="50"/>
      <c r="F916" s="50"/>
      <c r="G916" s="50"/>
      <c r="H916" s="50"/>
    </row>
    <row r="917" spans="1:8">
      <c r="A917" s="27"/>
      <c r="C917" s="28"/>
      <c r="D917" s="28"/>
      <c r="E917" s="50"/>
      <c r="F917" s="50"/>
      <c r="G917" s="50"/>
      <c r="H917" s="50"/>
    </row>
    <row r="918" spans="1:8">
      <c r="A918" s="27"/>
      <c r="C918" s="28"/>
      <c r="D918" s="28"/>
      <c r="E918" s="50"/>
      <c r="F918" s="50"/>
      <c r="G918" s="50"/>
      <c r="H918" s="50"/>
    </row>
    <row r="919" spans="1:8">
      <c r="A919" s="27"/>
      <c r="C919" s="28"/>
      <c r="D919" s="28"/>
      <c r="E919" s="50"/>
      <c r="F919" s="50"/>
      <c r="G919" s="50"/>
      <c r="H919" s="50"/>
    </row>
    <row r="920" spans="1:8">
      <c r="A920" s="27"/>
      <c r="C920" s="28"/>
      <c r="D920" s="28"/>
      <c r="E920" s="50"/>
      <c r="F920" s="50"/>
      <c r="G920" s="50"/>
      <c r="H920" s="50"/>
    </row>
    <row r="921" spans="1:8">
      <c r="A921" s="27"/>
      <c r="C921" s="28"/>
      <c r="D921" s="28"/>
      <c r="E921" s="50"/>
      <c r="F921" s="50"/>
      <c r="G921" s="50"/>
      <c r="H921" s="50"/>
    </row>
    <row r="922" spans="1:8">
      <c r="A922" s="27"/>
      <c r="C922" s="28"/>
      <c r="D922" s="28"/>
      <c r="E922" s="50"/>
      <c r="F922" s="50"/>
      <c r="G922" s="50"/>
      <c r="H922" s="50"/>
    </row>
    <row r="923" spans="1:8">
      <c r="A923" s="27"/>
      <c r="C923" s="28"/>
      <c r="D923" s="28"/>
      <c r="E923" s="50"/>
      <c r="F923" s="50"/>
      <c r="G923" s="50"/>
      <c r="H923" s="50"/>
    </row>
    <row r="924" spans="1:8">
      <c r="A924" s="27"/>
      <c r="C924" s="28"/>
      <c r="D924" s="28"/>
      <c r="E924" s="50"/>
      <c r="F924" s="50"/>
      <c r="G924" s="50"/>
      <c r="H924" s="50"/>
    </row>
    <row r="925" spans="1:8">
      <c r="A925" s="27"/>
      <c r="C925" s="28"/>
      <c r="D925" s="28"/>
      <c r="E925" s="50"/>
      <c r="F925" s="50"/>
      <c r="G925" s="50"/>
      <c r="H925" s="50"/>
    </row>
    <row r="926" spans="1:8">
      <c r="A926" s="27"/>
      <c r="C926" s="28"/>
      <c r="D926" s="28"/>
      <c r="E926" s="50"/>
      <c r="F926" s="50"/>
      <c r="G926" s="50"/>
      <c r="H926" s="50"/>
    </row>
    <row r="927" spans="1:8">
      <c r="A927" s="27"/>
      <c r="C927" s="28"/>
      <c r="D927" s="28"/>
      <c r="E927" s="50"/>
      <c r="F927" s="50"/>
      <c r="G927" s="50"/>
      <c r="H927" s="50"/>
    </row>
    <row r="928" spans="1:8">
      <c r="A928" s="27"/>
      <c r="C928" s="28"/>
      <c r="D928" s="28"/>
      <c r="E928" s="50"/>
      <c r="F928" s="50"/>
      <c r="G928" s="50"/>
      <c r="H928" s="50"/>
    </row>
    <row r="929" spans="1:8">
      <c r="A929" s="27"/>
      <c r="C929" s="28"/>
      <c r="D929" s="28"/>
      <c r="E929" s="50"/>
      <c r="F929" s="50"/>
      <c r="G929" s="50"/>
      <c r="H929" s="50"/>
    </row>
    <row r="930" spans="1:8">
      <c r="A930" s="27"/>
      <c r="C930" s="28"/>
      <c r="D930" s="28"/>
      <c r="E930" s="50"/>
      <c r="F930" s="50"/>
      <c r="G930" s="50"/>
      <c r="H930" s="50"/>
    </row>
    <row r="931" spans="1:8">
      <c r="A931" s="27"/>
      <c r="C931" s="28"/>
      <c r="D931" s="28"/>
      <c r="E931" s="50"/>
      <c r="F931" s="50"/>
      <c r="G931" s="50"/>
      <c r="H931" s="50"/>
    </row>
    <row r="932" spans="1:8">
      <c r="A932" s="27"/>
      <c r="C932" s="28"/>
      <c r="D932" s="28"/>
      <c r="E932" s="50"/>
      <c r="F932" s="50"/>
      <c r="G932" s="50"/>
      <c r="H932" s="50"/>
    </row>
    <row r="933" spans="1:8">
      <c r="A933" s="27"/>
      <c r="C933" s="28"/>
      <c r="D933" s="28"/>
      <c r="E933" s="50"/>
      <c r="F933" s="50"/>
      <c r="G933" s="50"/>
      <c r="H933" s="50"/>
    </row>
    <row r="934" spans="1:8">
      <c r="A934" s="27"/>
      <c r="C934" s="28"/>
      <c r="D934" s="28"/>
      <c r="E934" s="50"/>
      <c r="F934" s="50"/>
      <c r="G934" s="50"/>
      <c r="H934" s="50"/>
    </row>
    <row r="935" spans="1:8">
      <c r="A935" s="27"/>
      <c r="C935" s="28"/>
      <c r="D935" s="28"/>
      <c r="E935" s="50"/>
      <c r="F935" s="50"/>
      <c r="G935" s="50"/>
      <c r="H935" s="50"/>
    </row>
    <row r="936" spans="1:8">
      <c r="A936" s="27"/>
      <c r="C936" s="28"/>
      <c r="D936" s="28"/>
      <c r="E936" s="50"/>
      <c r="F936" s="50"/>
      <c r="G936" s="50"/>
      <c r="H936" s="50"/>
    </row>
    <row r="937" spans="1:8">
      <c r="A937" s="27"/>
      <c r="C937" s="28"/>
      <c r="D937" s="28"/>
      <c r="E937" s="50"/>
      <c r="F937" s="50"/>
      <c r="G937" s="50"/>
      <c r="H937" s="50"/>
    </row>
    <row r="938" spans="1:8">
      <c r="A938" s="27"/>
      <c r="C938" s="28"/>
      <c r="D938" s="28"/>
      <c r="E938" s="50"/>
      <c r="F938" s="50"/>
      <c r="G938" s="50"/>
      <c r="H938" s="50"/>
    </row>
    <row r="939" spans="1:8">
      <c r="A939" s="27"/>
      <c r="C939" s="28"/>
      <c r="D939" s="28"/>
      <c r="E939" s="50"/>
      <c r="F939" s="50"/>
      <c r="G939" s="50"/>
      <c r="H939" s="50"/>
    </row>
    <row r="940" spans="1:8">
      <c r="A940" s="27"/>
      <c r="C940" s="28"/>
      <c r="D940" s="28"/>
      <c r="E940" s="50"/>
      <c r="F940" s="50"/>
      <c r="G940" s="50"/>
      <c r="H940" s="50"/>
    </row>
    <row r="941" spans="1:8">
      <c r="A941" s="27"/>
      <c r="C941" s="28"/>
      <c r="D941" s="28"/>
      <c r="E941" s="50"/>
      <c r="F941" s="50"/>
      <c r="G941" s="50"/>
      <c r="H941" s="50"/>
    </row>
    <row r="942" spans="1:8">
      <c r="A942" s="27"/>
      <c r="C942" s="28"/>
      <c r="D942" s="28"/>
      <c r="E942" s="50"/>
      <c r="F942" s="50"/>
      <c r="G942" s="50"/>
      <c r="H942" s="50"/>
    </row>
    <row r="943" spans="1:8">
      <c r="A943" s="27"/>
      <c r="C943" s="28"/>
      <c r="D943" s="28"/>
      <c r="E943" s="50"/>
      <c r="F943" s="50"/>
      <c r="G943" s="50"/>
      <c r="H943" s="50"/>
    </row>
    <row r="944" spans="1:8">
      <c r="A944" s="27"/>
      <c r="C944" s="28"/>
      <c r="D944" s="28"/>
      <c r="E944" s="50"/>
      <c r="F944" s="50"/>
      <c r="G944" s="50"/>
      <c r="H944" s="50"/>
    </row>
    <row r="945" spans="1:8">
      <c r="A945" s="27"/>
      <c r="C945" s="28"/>
      <c r="D945" s="28"/>
      <c r="E945" s="50"/>
      <c r="F945" s="50"/>
      <c r="G945" s="50"/>
      <c r="H945" s="50"/>
    </row>
    <row r="946" spans="1:8">
      <c r="A946" s="27"/>
      <c r="C946" s="28"/>
      <c r="D946" s="28"/>
      <c r="E946" s="50"/>
      <c r="F946" s="50"/>
      <c r="G946" s="50"/>
      <c r="H946" s="50"/>
    </row>
    <row r="947" spans="1:8">
      <c r="A947" s="27"/>
      <c r="C947" s="28"/>
      <c r="D947" s="28"/>
      <c r="E947" s="50"/>
      <c r="F947" s="50"/>
      <c r="G947" s="50"/>
      <c r="H947" s="50"/>
    </row>
    <row r="948" spans="1:8">
      <c r="A948" s="27"/>
      <c r="C948" s="28"/>
      <c r="D948" s="28"/>
      <c r="E948" s="50"/>
      <c r="F948" s="50"/>
      <c r="G948" s="50"/>
      <c r="H948" s="50"/>
    </row>
    <row r="949" spans="1:8">
      <c r="A949" s="27"/>
      <c r="C949" s="28"/>
      <c r="D949" s="28"/>
      <c r="E949" s="50"/>
      <c r="F949" s="50"/>
      <c r="G949" s="50"/>
      <c r="H949" s="50"/>
    </row>
    <row r="950" spans="1:8">
      <c r="A950" s="27"/>
      <c r="C950" s="28"/>
      <c r="D950" s="28"/>
      <c r="E950" s="50"/>
      <c r="F950" s="50"/>
      <c r="G950" s="50"/>
      <c r="H950" s="50"/>
    </row>
    <row r="951" spans="1:8">
      <c r="A951" s="27"/>
      <c r="C951" s="28"/>
      <c r="D951" s="28"/>
      <c r="E951" s="50"/>
      <c r="F951" s="50"/>
      <c r="G951" s="50"/>
      <c r="H951" s="50"/>
    </row>
    <row r="952" spans="1:8">
      <c r="A952" s="27"/>
      <c r="C952" s="28"/>
      <c r="D952" s="28"/>
      <c r="E952" s="50"/>
      <c r="F952" s="50"/>
      <c r="G952" s="50"/>
      <c r="H952" s="50"/>
    </row>
    <row r="953" spans="1:8">
      <c r="A953" s="27"/>
      <c r="C953" s="28"/>
      <c r="D953" s="28"/>
      <c r="E953" s="50"/>
      <c r="F953" s="50"/>
      <c r="G953" s="50"/>
      <c r="H953" s="50"/>
    </row>
    <row r="954" spans="1:8">
      <c r="A954" s="27"/>
      <c r="C954" s="28"/>
      <c r="D954" s="28"/>
      <c r="E954" s="50"/>
      <c r="F954" s="50"/>
      <c r="G954" s="50"/>
      <c r="H954" s="50"/>
    </row>
    <row r="955" spans="1:8">
      <c r="A955" s="27"/>
      <c r="C955" s="28"/>
      <c r="D955" s="28"/>
      <c r="E955" s="50"/>
      <c r="F955" s="50"/>
      <c r="G955" s="50"/>
      <c r="H955" s="50"/>
    </row>
    <row r="956" spans="1:8">
      <c r="A956" s="27"/>
      <c r="C956" s="28"/>
      <c r="D956" s="28"/>
      <c r="E956" s="50"/>
      <c r="F956" s="50"/>
      <c r="G956" s="50"/>
      <c r="H956" s="50"/>
    </row>
    <row r="957" spans="1:8">
      <c r="A957" s="27"/>
      <c r="C957" s="28"/>
      <c r="D957" s="28"/>
      <c r="E957" s="50"/>
      <c r="F957" s="50"/>
      <c r="G957" s="50"/>
      <c r="H957" s="50"/>
    </row>
    <row r="958" spans="1:8">
      <c r="A958" s="27"/>
      <c r="C958" s="28"/>
      <c r="D958" s="28"/>
      <c r="E958" s="50"/>
      <c r="F958" s="50"/>
      <c r="G958" s="50"/>
      <c r="H958" s="50"/>
    </row>
  </sheetData>
  <autoFilter xmlns:etc="http://www.wps.cn/officeDocument/2017/etCustomData" ref="A4:H206" etc:filterBottomFollowUsedRange="0">
    <sortState ref="A4:H206">
      <sortCondition ref="B4:B207"/>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rgb="FFFFFF00"/>
    <pageSetUpPr fitToPage="1"/>
  </sheetPr>
  <dimension ref="A1:I955"/>
  <sheetViews>
    <sheetView showGridLines="0" zoomScale="86" zoomScaleNormal="86" zoomScaleSheetLayoutView="96" topLeftCell="A81" workbookViewId="0">
      <selection activeCell="H100" sqref="A1:H100"/>
    </sheetView>
  </sheetViews>
  <sheetFormatPr defaultColWidth="9.12962962962963" defaultRowHeight="13.8"/>
  <cols>
    <col min="1" max="1" width="7.62962962962963" style="31" customWidth="1"/>
    <col min="2" max="2" width="39.5" style="27" customWidth="1"/>
    <col min="3" max="4" width="30.75" style="32" customWidth="1"/>
    <col min="5" max="8" width="13.8796296296296" style="45" customWidth="1"/>
    <col min="9" max="9" width="15.6296296296296" style="31" customWidth="1"/>
    <col min="10" max="16384" width="9.12962962962963" style="31"/>
  </cols>
  <sheetData>
    <row r="1" spans="1:9">
      <c r="A1" s="6" t="s">
        <v>2101</v>
      </c>
      <c r="B1" s="6"/>
      <c r="C1" s="7"/>
      <c r="D1" s="7"/>
      <c r="E1" s="6"/>
      <c r="F1" s="6"/>
      <c r="G1" s="6"/>
      <c r="H1" s="6"/>
    </row>
    <row r="2" spans="1:9">
      <c r="A2" s="8" t="s">
        <v>4</v>
      </c>
      <c r="B2" s="8"/>
      <c r="C2" s="8"/>
      <c r="D2" s="8"/>
      <c r="E2" s="34"/>
      <c r="F2" s="34"/>
      <c r="G2" s="34"/>
      <c r="H2" s="34"/>
    </row>
    <row r="3" spans="1:9">
      <c r="A3" s="9" t="s">
        <v>5</v>
      </c>
      <c r="B3" s="9" t="s">
        <v>6</v>
      </c>
      <c r="C3" s="9" t="s">
        <v>7</v>
      </c>
      <c r="D3" s="9"/>
      <c r="E3" s="10" t="s">
        <v>8</v>
      </c>
      <c r="F3" s="10"/>
      <c r="G3" s="10"/>
      <c r="H3" s="10"/>
    </row>
    <row r="4" spans="1:9">
      <c r="A4" s="11"/>
      <c r="B4" s="11"/>
      <c r="C4" s="9" t="s">
        <v>9</v>
      </c>
      <c r="D4" s="9" t="s">
        <v>10</v>
      </c>
      <c r="E4" s="10" t="s">
        <v>11</v>
      </c>
      <c r="F4" s="10" t="s">
        <v>12</v>
      </c>
      <c r="G4" s="10" t="s">
        <v>13</v>
      </c>
      <c r="H4" s="10" t="s">
        <v>14</v>
      </c>
    </row>
    <row r="5" spans="1:9">
      <c r="A5" s="13" t="s">
        <v>15</v>
      </c>
      <c r="B5" s="13"/>
      <c r="C5" s="15"/>
      <c r="D5" s="15"/>
      <c r="E5" s="10" t="s">
        <v>16</v>
      </c>
      <c r="F5" s="10" t="s">
        <v>16</v>
      </c>
      <c r="G5" s="10" t="s">
        <v>16</v>
      </c>
      <c r="H5" s="10" t="s">
        <v>16</v>
      </c>
    </row>
    <row r="6" s="1" customFormat="1" spans="1:9">
      <c r="A6" s="36">
        <v>1</v>
      </c>
      <c r="B6" s="18" t="s">
        <v>128</v>
      </c>
      <c r="C6" s="18" t="s">
        <v>1898</v>
      </c>
      <c r="D6" s="18" t="s">
        <v>1899</v>
      </c>
      <c r="E6" s="21">
        <v>30150000</v>
      </c>
      <c r="F6" s="21">
        <v>16900000</v>
      </c>
      <c r="G6" s="21">
        <v>11150000</v>
      </c>
      <c r="H6" s="21">
        <v>7250000</v>
      </c>
    </row>
    <row r="7" s="1" customFormat="1" spans="1:9">
      <c r="A7" s="36"/>
      <c r="B7" s="18" t="s">
        <v>128</v>
      </c>
      <c r="C7" s="18" t="s">
        <v>1899</v>
      </c>
      <c r="D7" s="18" t="s">
        <v>1900</v>
      </c>
      <c r="E7" s="21">
        <v>25900000</v>
      </c>
      <c r="F7" s="21">
        <v>14500000</v>
      </c>
      <c r="G7" s="21">
        <v>9600000</v>
      </c>
      <c r="H7" s="21">
        <v>6200000</v>
      </c>
    </row>
    <row r="8" s="1" customFormat="1" spans="1:9">
      <c r="A8" s="36">
        <v>2</v>
      </c>
      <c r="B8" s="18" t="s">
        <v>2102</v>
      </c>
      <c r="C8" s="18" t="s">
        <v>85</v>
      </c>
      <c r="D8" s="18" t="s">
        <v>2103</v>
      </c>
      <c r="E8" s="21">
        <v>10250000</v>
      </c>
      <c r="F8" s="21">
        <v>5750000</v>
      </c>
      <c r="G8" s="21">
        <v>3800000</v>
      </c>
      <c r="H8" s="21">
        <v>2450000</v>
      </c>
    </row>
    <row r="9" s="1" customFormat="1" spans="1:9">
      <c r="A9" s="36">
        <v>3</v>
      </c>
      <c r="B9" s="18" t="s">
        <v>2104</v>
      </c>
      <c r="C9" s="18" t="s">
        <v>805</v>
      </c>
      <c r="D9" s="18" t="s">
        <v>2105</v>
      </c>
      <c r="E9" s="23">
        <v>7800000</v>
      </c>
      <c r="F9" s="23">
        <v>4400000</v>
      </c>
      <c r="G9" s="23">
        <v>2900000</v>
      </c>
      <c r="H9" s="23">
        <v>1850000</v>
      </c>
      <c r="I9" s="142"/>
    </row>
    <row r="10" s="1" customFormat="1" spans="1:9">
      <c r="A10" s="36">
        <v>4</v>
      </c>
      <c r="B10" s="18" t="s">
        <v>2106</v>
      </c>
      <c r="C10" s="18" t="s">
        <v>2107</v>
      </c>
      <c r="D10" s="18" t="s">
        <v>2108</v>
      </c>
      <c r="E10" s="23">
        <v>5200000</v>
      </c>
      <c r="F10" s="23">
        <v>2900000</v>
      </c>
      <c r="G10" s="23">
        <v>1900000</v>
      </c>
      <c r="H10" s="23">
        <v>1250000</v>
      </c>
    </row>
    <row r="11" s="1" customFormat="1" spans="1:9">
      <c r="A11" s="36">
        <v>5</v>
      </c>
      <c r="B11" s="18" t="s">
        <v>2109</v>
      </c>
      <c r="C11" s="18" t="s">
        <v>113</v>
      </c>
      <c r="D11" s="18" t="s">
        <v>2110</v>
      </c>
      <c r="E11" s="23">
        <v>1850000</v>
      </c>
      <c r="F11" s="23">
        <v>1100000</v>
      </c>
      <c r="G11" s="23">
        <v>800000</v>
      </c>
      <c r="H11" s="23">
        <v>405000</v>
      </c>
    </row>
    <row r="12" s="1" customFormat="1" spans="1:9">
      <c r="A12" s="36">
        <v>6</v>
      </c>
      <c r="B12" s="18" t="s">
        <v>2111</v>
      </c>
      <c r="C12" s="18" t="s">
        <v>2112</v>
      </c>
      <c r="D12" s="18" t="s">
        <v>2113</v>
      </c>
      <c r="E12" s="23">
        <v>7800000</v>
      </c>
      <c r="F12" s="23">
        <v>4400000</v>
      </c>
      <c r="G12" s="23">
        <v>2900000</v>
      </c>
      <c r="H12" s="23">
        <v>1850000</v>
      </c>
    </row>
    <row r="13" s="1" customFormat="1" spans="1:9">
      <c r="A13" s="36">
        <v>7</v>
      </c>
      <c r="B13" s="18" t="s">
        <v>2114</v>
      </c>
      <c r="C13" s="18" t="s">
        <v>2105</v>
      </c>
      <c r="D13" s="18" t="s">
        <v>2115</v>
      </c>
      <c r="E13" s="23">
        <v>6900000</v>
      </c>
      <c r="F13" s="23">
        <v>3850000</v>
      </c>
      <c r="G13" s="23">
        <v>2550000</v>
      </c>
      <c r="H13" s="23">
        <v>1650000</v>
      </c>
      <c r="I13" s="78"/>
    </row>
    <row r="14" s="1" customFormat="1" ht="27.6" spans="1:9">
      <c r="A14" s="36"/>
      <c r="B14" s="18" t="s">
        <v>2114</v>
      </c>
      <c r="C14" s="18" t="s">
        <v>2116</v>
      </c>
      <c r="D14" s="18" t="s">
        <v>2117</v>
      </c>
      <c r="E14" s="23">
        <v>6900000</v>
      </c>
      <c r="F14" s="23">
        <v>3850000</v>
      </c>
      <c r="G14" s="23">
        <v>2550000</v>
      </c>
      <c r="H14" s="23">
        <v>1650000</v>
      </c>
      <c r="I14" s="78" t="s">
        <v>2118</v>
      </c>
    </row>
    <row r="15" s="1" customFormat="1" spans="1:9">
      <c r="A15" s="36">
        <v>8</v>
      </c>
      <c r="B15" s="18" t="s">
        <v>369</v>
      </c>
      <c r="C15" s="18" t="s">
        <v>2119</v>
      </c>
      <c r="D15" s="18" t="s">
        <v>109</v>
      </c>
      <c r="E15" s="23">
        <v>9650000</v>
      </c>
      <c r="F15" s="23">
        <v>5400000</v>
      </c>
      <c r="G15" s="23">
        <v>3550000</v>
      </c>
      <c r="H15" s="23">
        <v>2300000</v>
      </c>
      <c r="I15" s="78"/>
    </row>
    <row r="16" s="1" customFormat="1" spans="1:9">
      <c r="A16" s="36">
        <v>9</v>
      </c>
      <c r="B16" s="18" t="s">
        <v>2120</v>
      </c>
      <c r="C16" s="18" t="s">
        <v>113</v>
      </c>
      <c r="D16" s="18" t="s">
        <v>2121</v>
      </c>
      <c r="E16" s="23">
        <v>3050000</v>
      </c>
      <c r="F16" s="23">
        <v>1950000</v>
      </c>
      <c r="G16" s="23">
        <v>1300000</v>
      </c>
      <c r="H16" s="23">
        <v>650000</v>
      </c>
    </row>
    <row r="17" s="1" customFormat="1" spans="1:8">
      <c r="A17" s="36">
        <v>10</v>
      </c>
      <c r="B17" s="18" t="s">
        <v>1899</v>
      </c>
      <c r="C17" s="18" t="s">
        <v>128</v>
      </c>
      <c r="D17" s="18" t="s">
        <v>2122</v>
      </c>
      <c r="E17" s="23">
        <v>12850000</v>
      </c>
      <c r="F17" s="23">
        <v>7200000</v>
      </c>
      <c r="G17" s="23">
        <v>4750000</v>
      </c>
      <c r="H17" s="23">
        <v>3100000</v>
      </c>
    </row>
    <row r="18" s="1" customFormat="1" spans="1:8">
      <c r="A18" s="36"/>
      <c r="B18" s="18" t="s">
        <v>1899</v>
      </c>
      <c r="C18" s="18" t="s">
        <v>2122</v>
      </c>
      <c r="D18" s="18" t="s">
        <v>2123</v>
      </c>
      <c r="E18" s="23">
        <v>5200000</v>
      </c>
      <c r="F18" s="23">
        <v>2900000</v>
      </c>
      <c r="G18" s="23">
        <v>1900000</v>
      </c>
      <c r="H18" s="23">
        <v>1250000</v>
      </c>
    </row>
    <row r="19" s="1" customFormat="1" spans="1:8">
      <c r="A19" s="36">
        <v>11</v>
      </c>
      <c r="B19" s="18" t="s">
        <v>2124</v>
      </c>
      <c r="C19" s="18" t="s">
        <v>2125</v>
      </c>
      <c r="D19" s="18" t="s">
        <v>2126</v>
      </c>
      <c r="E19" s="23">
        <v>7800000</v>
      </c>
      <c r="F19" s="23">
        <v>4400000</v>
      </c>
      <c r="G19" s="23">
        <v>2900000</v>
      </c>
      <c r="H19" s="23">
        <v>1850000</v>
      </c>
    </row>
    <row r="20" s="1" customFormat="1" spans="1:8">
      <c r="A20" s="36">
        <v>12</v>
      </c>
      <c r="B20" s="18" t="s">
        <v>2127</v>
      </c>
      <c r="C20" s="18" t="s">
        <v>2128</v>
      </c>
      <c r="D20" s="18" t="s">
        <v>2112</v>
      </c>
      <c r="E20" s="23">
        <v>7800000</v>
      </c>
      <c r="F20" s="23">
        <v>4350000</v>
      </c>
      <c r="G20" s="23">
        <v>2900000</v>
      </c>
      <c r="H20" s="23">
        <v>1850000</v>
      </c>
    </row>
    <row r="21" s="1" customFormat="1" spans="1:8">
      <c r="A21" s="36">
        <v>13</v>
      </c>
      <c r="B21" s="18" t="s">
        <v>2129</v>
      </c>
      <c r="C21" s="18" t="s">
        <v>805</v>
      </c>
      <c r="D21" s="18" t="s">
        <v>2130</v>
      </c>
      <c r="E21" s="23">
        <v>10250000</v>
      </c>
      <c r="F21" s="23">
        <v>5750000</v>
      </c>
      <c r="G21" s="23">
        <v>3800000</v>
      </c>
      <c r="H21" s="23">
        <v>2450000</v>
      </c>
    </row>
    <row r="22" s="1" customFormat="1" spans="1:8">
      <c r="A22" s="36">
        <v>14</v>
      </c>
      <c r="B22" s="18" t="s">
        <v>2131</v>
      </c>
      <c r="C22" s="18" t="s">
        <v>2104</v>
      </c>
      <c r="D22" s="18" t="s">
        <v>2132</v>
      </c>
      <c r="E22" s="23">
        <v>7800000</v>
      </c>
      <c r="F22" s="23">
        <v>4400000</v>
      </c>
      <c r="G22" s="23">
        <v>2900000</v>
      </c>
      <c r="H22" s="23">
        <v>1850000</v>
      </c>
    </row>
    <row r="23" s="1" customFormat="1" spans="1:8">
      <c r="A23" s="36">
        <v>15</v>
      </c>
      <c r="B23" s="18" t="s">
        <v>85</v>
      </c>
      <c r="C23" s="18" t="s">
        <v>1899</v>
      </c>
      <c r="D23" s="18" t="s">
        <v>59</v>
      </c>
      <c r="E23" s="23">
        <v>12850000</v>
      </c>
      <c r="F23" s="23">
        <v>7200000</v>
      </c>
      <c r="G23" s="23">
        <v>4750000</v>
      </c>
      <c r="H23" s="23">
        <v>3100000</v>
      </c>
    </row>
    <row r="24" s="1" customFormat="1" spans="1:8">
      <c r="A24" s="36">
        <v>16</v>
      </c>
      <c r="B24" s="18" t="s">
        <v>2133</v>
      </c>
      <c r="C24" s="18" t="s">
        <v>2134</v>
      </c>
      <c r="D24" s="18" t="s">
        <v>2135</v>
      </c>
      <c r="E24" s="23">
        <v>7800000</v>
      </c>
      <c r="F24" s="23">
        <v>4400000</v>
      </c>
      <c r="G24" s="23">
        <v>2900000</v>
      </c>
      <c r="H24" s="23">
        <v>1850000</v>
      </c>
    </row>
    <row r="25" s="1" customFormat="1" spans="1:8">
      <c r="A25" s="36"/>
      <c r="B25" s="18" t="s">
        <v>2133</v>
      </c>
      <c r="C25" s="18" t="s">
        <v>2135</v>
      </c>
      <c r="D25" s="18" t="s">
        <v>2112</v>
      </c>
      <c r="E25" s="23">
        <v>5200000</v>
      </c>
      <c r="F25" s="23">
        <v>2900000</v>
      </c>
      <c r="G25" s="23">
        <v>1900000</v>
      </c>
      <c r="H25" s="23">
        <v>1250000</v>
      </c>
    </row>
    <row r="26" s="1" customFormat="1" spans="1:8">
      <c r="A26" s="36">
        <v>17</v>
      </c>
      <c r="B26" s="18" t="s">
        <v>95</v>
      </c>
      <c r="C26" s="18" t="s">
        <v>73</v>
      </c>
      <c r="D26" s="18" t="s">
        <v>80</v>
      </c>
      <c r="E26" s="23">
        <v>9650000</v>
      </c>
      <c r="F26" s="23">
        <v>5400000</v>
      </c>
      <c r="G26" s="23">
        <v>3550000</v>
      </c>
      <c r="H26" s="23">
        <v>2300000</v>
      </c>
    </row>
    <row r="27" s="1" customFormat="1" spans="1:8">
      <c r="A27" s="36">
        <v>18</v>
      </c>
      <c r="B27" s="18" t="s">
        <v>55</v>
      </c>
      <c r="C27" s="18" t="s">
        <v>56</v>
      </c>
      <c r="D27" s="18" t="s">
        <v>1974</v>
      </c>
      <c r="E27" s="23">
        <v>9650000</v>
      </c>
      <c r="F27" s="23">
        <v>5400000</v>
      </c>
      <c r="G27" s="23">
        <v>3550000</v>
      </c>
      <c r="H27" s="23">
        <v>2300000</v>
      </c>
    </row>
    <row r="28" s="1" customFormat="1" spans="1:8">
      <c r="A28" s="36">
        <v>19</v>
      </c>
      <c r="B28" s="18" t="s">
        <v>2136</v>
      </c>
      <c r="C28" s="18" t="s">
        <v>2137</v>
      </c>
      <c r="D28" s="18" t="s">
        <v>2138</v>
      </c>
      <c r="E28" s="23">
        <v>6900000</v>
      </c>
      <c r="F28" s="23">
        <v>3850000</v>
      </c>
      <c r="G28" s="23">
        <v>2550000</v>
      </c>
      <c r="H28" s="23">
        <v>1650000</v>
      </c>
    </row>
    <row r="29" s="1" customFormat="1" spans="1:8">
      <c r="A29" s="36">
        <v>20</v>
      </c>
      <c r="B29" s="18" t="s">
        <v>2115</v>
      </c>
      <c r="C29" s="18" t="s">
        <v>2139</v>
      </c>
      <c r="D29" s="18" t="s">
        <v>2132</v>
      </c>
      <c r="E29" s="23">
        <v>6900000</v>
      </c>
      <c r="F29" s="23">
        <v>3850000</v>
      </c>
      <c r="G29" s="23">
        <v>2550000</v>
      </c>
      <c r="H29" s="23">
        <v>1650000</v>
      </c>
    </row>
    <row r="30" s="1" customFormat="1" spans="1:8">
      <c r="A30" s="36">
        <v>21</v>
      </c>
      <c r="B30" s="18" t="s">
        <v>2140</v>
      </c>
      <c r="C30" s="18" t="s">
        <v>49</v>
      </c>
      <c r="D30" s="18" t="s">
        <v>68</v>
      </c>
      <c r="E30" s="23">
        <v>9650000</v>
      </c>
      <c r="F30" s="23">
        <v>5400000</v>
      </c>
      <c r="G30" s="23">
        <v>3550000</v>
      </c>
      <c r="H30" s="23">
        <v>2300000</v>
      </c>
    </row>
    <row r="31" s="1" customFormat="1" spans="1:8">
      <c r="A31" s="36">
        <v>22</v>
      </c>
      <c r="B31" s="18" t="s">
        <v>2141</v>
      </c>
      <c r="C31" s="18" t="s">
        <v>805</v>
      </c>
      <c r="D31" s="18" t="s">
        <v>2107</v>
      </c>
      <c r="E31" s="23">
        <v>7800000</v>
      </c>
      <c r="F31" s="23">
        <v>4350000</v>
      </c>
      <c r="G31" s="23">
        <v>2900000</v>
      </c>
      <c r="H31" s="23">
        <v>1850000</v>
      </c>
    </row>
    <row r="32" s="1" customFormat="1" spans="1:8">
      <c r="A32" s="36">
        <v>23</v>
      </c>
      <c r="B32" s="18" t="s">
        <v>2142</v>
      </c>
      <c r="C32" s="18" t="s">
        <v>2113</v>
      </c>
      <c r="D32" s="18" t="s">
        <v>2130</v>
      </c>
      <c r="E32" s="23">
        <v>6900000</v>
      </c>
      <c r="F32" s="23">
        <v>3850000</v>
      </c>
      <c r="G32" s="23">
        <v>2550000</v>
      </c>
      <c r="H32" s="23">
        <v>1650000</v>
      </c>
    </row>
    <row r="33" s="1" customFormat="1" spans="1:8">
      <c r="A33" s="36">
        <v>24</v>
      </c>
      <c r="B33" s="18" t="s">
        <v>72</v>
      </c>
      <c r="C33" s="18" t="s">
        <v>73</v>
      </c>
      <c r="D33" s="18" t="s">
        <v>2143</v>
      </c>
      <c r="E33" s="23">
        <v>7800000</v>
      </c>
      <c r="F33" s="23">
        <v>4400000</v>
      </c>
      <c r="G33" s="23">
        <v>2900000</v>
      </c>
      <c r="H33" s="23">
        <v>1850000</v>
      </c>
    </row>
    <row r="34" s="1" customFormat="1" spans="1:8">
      <c r="A34" s="36">
        <v>25</v>
      </c>
      <c r="B34" s="18" t="s">
        <v>2130</v>
      </c>
      <c r="C34" s="18" t="s">
        <v>2112</v>
      </c>
      <c r="D34" s="18" t="s">
        <v>2129</v>
      </c>
      <c r="E34" s="23">
        <v>7800000</v>
      </c>
      <c r="F34" s="23">
        <v>4400000</v>
      </c>
      <c r="G34" s="23">
        <v>2900000</v>
      </c>
      <c r="H34" s="23">
        <v>1850000</v>
      </c>
    </row>
    <row r="35" s="1" customFormat="1" spans="1:8">
      <c r="A35" s="36">
        <v>26</v>
      </c>
      <c r="B35" s="18" t="s">
        <v>2132</v>
      </c>
      <c r="C35" s="18" t="s">
        <v>2134</v>
      </c>
      <c r="D35" s="18" t="s">
        <v>805</v>
      </c>
      <c r="E35" s="23">
        <v>9650000</v>
      </c>
      <c r="F35" s="23">
        <v>5400000</v>
      </c>
      <c r="G35" s="23">
        <v>3550000</v>
      </c>
      <c r="H35" s="23">
        <v>2300000</v>
      </c>
    </row>
    <row r="36" s="1" customFormat="1" spans="1:8">
      <c r="A36" s="36">
        <v>27</v>
      </c>
      <c r="B36" s="18" t="s">
        <v>2144</v>
      </c>
      <c r="C36" s="18" t="s">
        <v>113</v>
      </c>
      <c r="D36" s="18" t="s">
        <v>2145</v>
      </c>
      <c r="E36" s="23">
        <v>5850000</v>
      </c>
      <c r="F36" s="23">
        <v>3700000</v>
      </c>
      <c r="G36" s="23">
        <v>2550000</v>
      </c>
      <c r="H36" s="23">
        <v>1300000</v>
      </c>
    </row>
    <row r="37" s="1" customFormat="1" spans="1:8">
      <c r="A37" s="36">
        <v>28</v>
      </c>
      <c r="B37" s="18" t="s">
        <v>2146</v>
      </c>
      <c r="C37" s="18" t="s">
        <v>80</v>
      </c>
      <c r="D37" s="18" t="s">
        <v>68</v>
      </c>
      <c r="E37" s="23">
        <v>6900000</v>
      </c>
      <c r="F37" s="23">
        <v>3850000</v>
      </c>
      <c r="G37" s="23">
        <v>2550000</v>
      </c>
      <c r="H37" s="23">
        <v>1650000</v>
      </c>
    </row>
    <row r="38" s="1" customFormat="1" spans="1:8">
      <c r="A38" s="36">
        <v>29</v>
      </c>
      <c r="B38" s="18" t="s">
        <v>80</v>
      </c>
      <c r="C38" s="18" t="s">
        <v>83</v>
      </c>
      <c r="D38" s="18" t="s">
        <v>2143</v>
      </c>
      <c r="E38" s="23">
        <v>12850000</v>
      </c>
      <c r="F38" s="23">
        <v>7200000</v>
      </c>
      <c r="G38" s="23">
        <v>4750000</v>
      </c>
      <c r="H38" s="23">
        <v>3100000</v>
      </c>
    </row>
    <row r="39" s="1" customFormat="1" spans="1:8">
      <c r="A39" s="36">
        <v>30</v>
      </c>
      <c r="B39" s="18" t="s">
        <v>2147</v>
      </c>
      <c r="C39" s="18" t="s">
        <v>113</v>
      </c>
      <c r="D39" s="18" t="s">
        <v>103</v>
      </c>
      <c r="E39" s="23">
        <v>3050000</v>
      </c>
      <c r="F39" s="23">
        <v>1950000</v>
      </c>
      <c r="G39" s="23">
        <v>1300000</v>
      </c>
      <c r="H39" s="23">
        <v>650000</v>
      </c>
    </row>
    <row r="40" s="1" customFormat="1" spans="1:8">
      <c r="A40" s="36">
        <v>31</v>
      </c>
      <c r="B40" s="18" t="s">
        <v>84</v>
      </c>
      <c r="C40" s="18" t="s">
        <v>85</v>
      </c>
      <c r="D40" s="18" t="s">
        <v>2143</v>
      </c>
      <c r="E40" s="23">
        <v>9650000</v>
      </c>
      <c r="F40" s="23">
        <v>5400000</v>
      </c>
      <c r="G40" s="23">
        <v>3550000</v>
      </c>
      <c r="H40" s="23">
        <v>2300000</v>
      </c>
    </row>
    <row r="41" s="1" customFormat="1" spans="1:8">
      <c r="A41" s="36"/>
      <c r="B41" s="18" t="s">
        <v>84</v>
      </c>
      <c r="C41" s="18" t="s">
        <v>2148</v>
      </c>
      <c r="D41" s="18"/>
      <c r="E41" s="23">
        <v>9650000</v>
      </c>
      <c r="F41" s="23">
        <v>5400000</v>
      </c>
      <c r="G41" s="23">
        <v>3550000</v>
      </c>
      <c r="H41" s="23">
        <v>2300000</v>
      </c>
    </row>
    <row r="42" s="1" customFormat="1" spans="1:8">
      <c r="A42" s="36">
        <v>32</v>
      </c>
      <c r="B42" s="18" t="s">
        <v>2128</v>
      </c>
      <c r="C42" s="18" t="s">
        <v>805</v>
      </c>
      <c r="D42" s="18" t="s">
        <v>2130</v>
      </c>
      <c r="E42" s="23">
        <v>7800000</v>
      </c>
      <c r="F42" s="23">
        <v>4400000</v>
      </c>
      <c r="G42" s="23">
        <v>2900000</v>
      </c>
      <c r="H42" s="23">
        <v>1850000</v>
      </c>
    </row>
    <row r="43" s="1" customFormat="1" spans="1:8">
      <c r="A43" s="36">
        <v>33</v>
      </c>
      <c r="B43" s="18" t="s">
        <v>2126</v>
      </c>
      <c r="C43" s="18" t="s">
        <v>83</v>
      </c>
      <c r="D43" s="18" t="s">
        <v>2102</v>
      </c>
      <c r="E43" s="23">
        <v>9650000</v>
      </c>
      <c r="F43" s="23">
        <v>5400000</v>
      </c>
      <c r="G43" s="23">
        <v>3550000</v>
      </c>
      <c r="H43" s="23">
        <v>2300000</v>
      </c>
    </row>
    <row r="44" s="1" customFormat="1" spans="1:8">
      <c r="A44" s="36">
        <v>34</v>
      </c>
      <c r="B44" s="18" t="s">
        <v>2149</v>
      </c>
      <c r="C44" s="18" t="s">
        <v>2150</v>
      </c>
      <c r="D44" s="18" t="s">
        <v>2151</v>
      </c>
      <c r="E44" s="23">
        <v>4200000</v>
      </c>
      <c r="F44" s="23">
        <v>2350000</v>
      </c>
      <c r="G44" s="23">
        <v>1550000</v>
      </c>
      <c r="H44" s="23">
        <v>1000000</v>
      </c>
    </row>
    <row r="45" s="1" customFormat="1" spans="1:8">
      <c r="A45" s="36">
        <v>35</v>
      </c>
      <c r="B45" s="18" t="s">
        <v>2105</v>
      </c>
      <c r="C45" s="18" t="s">
        <v>2115</v>
      </c>
      <c r="D45" s="18" t="s">
        <v>2104</v>
      </c>
      <c r="E45" s="23">
        <v>6900000</v>
      </c>
      <c r="F45" s="23">
        <v>3850000</v>
      </c>
      <c r="G45" s="23">
        <v>2550000</v>
      </c>
      <c r="H45" s="23">
        <v>1650000</v>
      </c>
    </row>
    <row r="46" s="1" customFormat="1" spans="1:8">
      <c r="A46" s="36">
        <v>36</v>
      </c>
      <c r="B46" s="18" t="s">
        <v>2122</v>
      </c>
      <c r="C46" s="18" t="s">
        <v>1899</v>
      </c>
      <c r="D46" s="18" t="s">
        <v>2150</v>
      </c>
      <c r="E46" s="23">
        <v>6900000</v>
      </c>
      <c r="F46" s="23">
        <v>3850000</v>
      </c>
      <c r="G46" s="23">
        <v>2550000</v>
      </c>
      <c r="H46" s="23">
        <v>1650000</v>
      </c>
    </row>
    <row r="47" s="1" customFormat="1" spans="1:8">
      <c r="A47" s="36">
        <v>37</v>
      </c>
      <c r="B47" s="18" t="s">
        <v>2152</v>
      </c>
      <c r="C47" s="18" t="s">
        <v>2153</v>
      </c>
      <c r="D47" s="18" t="s">
        <v>2154</v>
      </c>
      <c r="E47" s="23">
        <v>3100000</v>
      </c>
      <c r="F47" s="23">
        <v>1850000</v>
      </c>
      <c r="G47" s="23">
        <v>1250000</v>
      </c>
      <c r="H47" s="23">
        <v>700000</v>
      </c>
    </row>
    <row r="48" s="1" customFormat="1" spans="1:8">
      <c r="A48" s="36">
        <v>38</v>
      </c>
      <c r="B48" s="18" t="s">
        <v>2155</v>
      </c>
      <c r="C48" s="18" t="s">
        <v>1899</v>
      </c>
      <c r="D48" s="18" t="s">
        <v>2150</v>
      </c>
      <c r="E48" s="23">
        <v>5200000</v>
      </c>
      <c r="F48" s="23">
        <v>2900000</v>
      </c>
      <c r="G48" s="23">
        <v>1900000</v>
      </c>
      <c r="H48" s="23">
        <v>1250000</v>
      </c>
    </row>
    <row r="49" s="1" customFormat="1" spans="1:8">
      <c r="A49" s="36">
        <v>39</v>
      </c>
      <c r="B49" s="18" t="s">
        <v>94</v>
      </c>
      <c r="C49" s="18" t="s">
        <v>95</v>
      </c>
      <c r="D49" s="18" t="s">
        <v>2143</v>
      </c>
      <c r="E49" s="23">
        <v>7800000</v>
      </c>
      <c r="F49" s="23">
        <v>4400000</v>
      </c>
      <c r="G49" s="23">
        <v>2900000</v>
      </c>
      <c r="H49" s="23">
        <v>1850000</v>
      </c>
    </row>
    <row r="50" s="1" customFormat="1" spans="1:8">
      <c r="A50" s="36">
        <v>40</v>
      </c>
      <c r="B50" s="18" t="s">
        <v>96</v>
      </c>
      <c r="C50" s="18" t="s">
        <v>73</v>
      </c>
      <c r="D50" s="18" t="s">
        <v>2143</v>
      </c>
      <c r="E50" s="23">
        <v>7800000</v>
      </c>
      <c r="F50" s="23">
        <v>4400000</v>
      </c>
      <c r="G50" s="23">
        <v>2900000</v>
      </c>
      <c r="H50" s="23">
        <v>1850000</v>
      </c>
    </row>
    <row r="51" s="1" customFormat="1" spans="1:8">
      <c r="A51" s="36">
        <v>41</v>
      </c>
      <c r="B51" s="18" t="s">
        <v>2156</v>
      </c>
      <c r="C51" s="18" t="s">
        <v>2154</v>
      </c>
      <c r="D51" s="18" t="s">
        <v>113</v>
      </c>
      <c r="E51" s="23">
        <v>3100000</v>
      </c>
      <c r="F51" s="23">
        <v>1850000</v>
      </c>
      <c r="G51" s="23">
        <v>1250000</v>
      </c>
      <c r="H51" s="23">
        <v>700000</v>
      </c>
    </row>
    <row r="52" s="1" customFormat="1" spans="1:8">
      <c r="A52" s="36">
        <v>42</v>
      </c>
      <c r="B52" s="18" t="s">
        <v>73</v>
      </c>
      <c r="C52" s="18" t="s">
        <v>2157</v>
      </c>
      <c r="D52" s="18" t="s">
        <v>83</v>
      </c>
      <c r="E52" s="23">
        <v>9650000</v>
      </c>
      <c r="F52" s="23">
        <v>5400000</v>
      </c>
      <c r="G52" s="23">
        <v>3550000</v>
      </c>
      <c r="H52" s="23">
        <v>2300000</v>
      </c>
    </row>
    <row r="53" s="1" customFormat="1" spans="1:8">
      <c r="A53" s="36">
        <v>43</v>
      </c>
      <c r="B53" s="18" t="s">
        <v>2158</v>
      </c>
      <c r="C53" s="18" t="s">
        <v>2132</v>
      </c>
      <c r="D53" s="18" t="s">
        <v>2108</v>
      </c>
      <c r="E53" s="23">
        <v>3300000</v>
      </c>
      <c r="F53" s="23">
        <v>1850000</v>
      </c>
      <c r="G53" s="23">
        <v>1200000</v>
      </c>
      <c r="H53" s="23">
        <v>800000</v>
      </c>
    </row>
    <row r="54" s="1" customFormat="1" spans="1:8">
      <c r="A54" s="36">
        <v>44</v>
      </c>
      <c r="B54" s="41" t="s">
        <v>2159</v>
      </c>
      <c r="C54" s="41" t="s">
        <v>2144</v>
      </c>
      <c r="D54" s="41" t="s">
        <v>2160</v>
      </c>
      <c r="E54" s="23">
        <v>3050000</v>
      </c>
      <c r="F54" s="23">
        <v>1950000</v>
      </c>
      <c r="G54" s="23">
        <v>1300000</v>
      </c>
      <c r="H54" s="23">
        <v>650000</v>
      </c>
    </row>
    <row r="55" s="1" customFormat="1" spans="1:8">
      <c r="A55" s="36">
        <v>45</v>
      </c>
      <c r="B55" s="18" t="s">
        <v>2150</v>
      </c>
      <c r="C55" s="18" t="s">
        <v>128</v>
      </c>
      <c r="D55" s="18" t="s">
        <v>1899</v>
      </c>
      <c r="E55" s="23">
        <v>5200000</v>
      </c>
      <c r="F55" s="23">
        <v>2900000</v>
      </c>
      <c r="G55" s="23">
        <v>1900000</v>
      </c>
      <c r="H55" s="23">
        <v>1250000</v>
      </c>
    </row>
    <row r="56" s="1" customFormat="1" spans="1:8">
      <c r="A56" s="36"/>
      <c r="B56" s="18" t="s">
        <v>2150</v>
      </c>
      <c r="C56" s="18" t="s">
        <v>1899</v>
      </c>
      <c r="D56" s="18" t="s">
        <v>2161</v>
      </c>
      <c r="E56" s="23">
        <v>4200000</v>
      </c>
      <c r="F56" s="23">
        <v>2350000</v>
      </c>
      <c r="G56" s="23">
        <v>1550000</v>
      </c>
      <c r="H56" s="23">
        <v>1000000</v>
      </c>
    </row>
    <row r="57" s="1" customFormat="1" spans="1:8">
      <c r="A57" s="36"/>
      <c r="B57" s="18" t="s">
        <v>2150</v>
      </c>
      <c r="C57" s="18" t="s">
        <v>2161</v>
      </c>
      <c r="D57" s="18" t="s">
        <v>2143</v>
      </c>
      <c r="E57" s="23">
        <v>3300000</v>
      </c>
      <c r="F57" s="23">
        <v>1850000</v>
      </c>
      <c r="G57" s="23">
        <v>1200000</v>
      </c>
      <c r="H57" s="23">
        <v>800000</v>
      </c>
    </row>
    <row r="58" s="1" customFormat="1" spans="1:8">
      <c r="A58" s="36">
        <v>46</v>
      </c>
      <c r="B58" s="18" t="s">
        <v>2108</v>
      </c>
      <c r="C58" s="18" t="s">
        <v>805</v>
      </c>
      <c r="D58" s="18" t="s">
        <v>243</v>
      </c>
      <c r="E58" s="23">
        <v>4200000</v>
      </c>
      <c r="F58" s="23">
        <v>2350000</v>
      </c>
      <c r="G58" s="23">
        <v>1550000</v>
      </c>
      <c r="H58" s="23">
        <v>1000000</v>
      </c>
    </row>
    <row r="59" s="1" customFormat="1" spans="1:8">
      <c r="A59" s="36">
        <v>47</v>
      </c>
      <c r="B59" s="18" t="s">
        <v>2162</v>
      </c>
      <c r="C59" s="18" t="s">
        <v>2113</v>
      </c>
      <c r="D59" s="18" t="s">
        <v>2130</v>
      </c>
      <c r="E59" s="23">
        <v>5200000</v>
      </c>
      <c r="F59" s="23">
        <v>2900000</v>
      </c>
      <c r="G59" s="23">
        <v>1900000</v>
      </c>
      <c r="H59" s="23">
        <v>1250000</v>
      </c>
    </row>
    <row r="60" s="1" customFormat="1" spans="1:8">
      <c r="A60" s="36">
        <v>48</v>
      </c>
      <c r="B60" s="18" t="s">
        <v>2157</v>
      </c>
      <c r="C60" s="18" t="s">
        <v>59</v>
      </c>
      <c r="D60" s="18" t="s">
        <v>73</v>
      </c>
      <c r="E60" s="23">
        <v>6900000</v>
      </c>
      <c r="F60" s="23">
        <v>3850000</v>
      </c>
      <c r="G60" s="23">
        <v>2550000</v>
      </c>
      <c r="H60" s="23">
        <v>1650000</v>
      </c>
    </row>
    <row r="61" s="1" customFormat="1" spans="1:8">
      <c r="A61" s="36">
        <v>49</v>
      </c>
      <c r="B61" s="18" t="s">
        <v>2163</v>
      </c>
      <c r="C61" s="18" t="s">
        <v>2112</v>
      </c>
      <c r="D61" s="18" t="s">
        <v>2104</v>
      </c>
      <c r="E61" s="23">
        <v>6900000</v>
      </c>
      <c r="F61" s="23">
        <v>3850000</v>
      </c>
      <c r="G61" s="23">
        <v>2550000</v>
      </c>
      <c r="H61" s="23">
        <v>1650000</v>
      </c>
    </row>
    <row r="62" s="1" customFormat="1" spans="1:8">
      <c r="A62" s="36">
        <v>50</v>
      </c>
      <c r="B62" s="18" t="s">
        <v>2134</v>
      </c>
      <c r="C62" s="18" t="s">
        <v>2164</v>
      </c>
      <c r="D62" s="18" t="s">
        <v>2107</v>
      </c>
      <c r="E62" s="23">
        <v>12850000</v>
      </c>
      <c r="F62" s="23">
        <v>7200000</v>
      </c>
      <c r="G62" s="23">
        <v>4750000</v>
      </c>
      <c r="H62" s="23">
        <v>3100000</v>
      </c>
    </row>
    <row r="63" s="1" customFormat="1" spans="1:8">
      <c r="A63" s="36"/>
      <c r="B63" s="18" t="s">
        <v>2134</v>
      </c>
      <c r="C63" s="18" t="s">
        <v>2107</v>
      </c>
      <c r="D63" s="18" t="s">
        <v>2143</v>
      </c>
      <c r="E63" s="23">
        <v>10250000</v>
      </c>
      <c r="F63" s="23">
        <v>5750000</v>
      </c>
      <c r="G63" s="23">
        <v>3800000</v>
      </c>
      <c r="H63" s="23">
        <v>2450000</v>
      </c>
    </row>
    <row r="64" s="1" customFormat="1" spans="1:8">
      <c r="A64" s="36">
        <v>51</v>
      </c>
      <c r="B64" s="18" t="s">
        <v>2165</v>
      </c>
      <c r="C64" s="18" t="s">
        <v>2104</v>
      </c>
      <c r="D64" s="18" t="s">
        <v>2166</v>
      </c>
      <c r="E64" s="23">
        <v>6900000</v>
      </c>
      <c r="F64" s="23">
        <v>3850000</v>
      </c>
      <c r="G64" s="23">
        <v>2550000</v>
      </c>
      <c r="H64" s="23">
        <v>1650000</v>
      </c>
    </row>
    <row r="65" s="1" customFormat="1" spans="1:8">
      <c r="A65" s="36">
        <v>52</v>
      </c>
      <c r="B65" s="18" t="s">
        <v>2112</v>
      </c>
      <c r="C65" s="18" t="s">
        <v>2104</v>
      </c>
      <c r="D65" s="18" t="s">
        <v>2133</v>
      </c>
      <c r="E65" s="23">
        <v>7800000</v>
      </c>
      <c r="F65" s="23">
        <v>4400000</v>
      </c>
      <c r="G65" s="23">
        <v>2900000</v>
      </c>
      <c r="H65" s="23">
        <v>1850000</v>
      </c>
    </row>
    <row r="66" s="1" customFormat="1" spans="1:8">
      <c r="A66" s="36">
        <v>53</v>
      </c>
      <c r="B66" s="18" t="s">
        <v>2167</v>
      </c>
      <c r="C66" s="18" t="s">
        <v>2168</v>
      </c>
      <c r="D66" s="18" t="s">
        <v>2169</v>
      </c>
      <c r="E66" s="23">
        <v>1850000</v>
      </c>
      <c r="F66" s="23">
        <v>1100000</v>
      </c>
      <c r="G66" s="23">
        <v>800000</v>
      </c>
      <c r="H66" s="23">
        <v>405000</v>
      </c>
    </row>
    <row r="67" s="1" customFormat="1" spans="1:8">
      <c r="A67" s="36">
        <v>54</v>
      </c>
      <c r="B67" s="18" t="s">
        <v>2170</v>
      </c>
      <c r="C67" s="18" t="s">
        <v>2171</v>
      </c>
      <c r="D67" s="18" t="s">
        <v>243</v>
      </c>
      <c r="E67" s="23">
        <v>6900000</v>
      </c>
      <c r="F67" s="23">
        <v>3850000</v>
      </c>
      <c r="G67" s="23">
        <v>2550000</v>
      </c>
      <c r="H67" s="23">
        <v>1650000</v>
      </c>
    </row>
    <row r="68" s="1" customFormat="1" spans="1:8">
      <c r="A68" s="36">
        <v>55</v>
      </c>
      <c r="B68" s="18" t="s">
        <v>2172</v>
      </c>
      <c r="C68" s="18" t="s">
        <v>1899</v>
      </c>
      <c r="D68" s="18" t="s">
        <v>2150</v>
      </c>
      <c r="E68" s="23">
        <v>5200000</v>
      </c>
      <c r="F68" s="23">
        <v>2900000</v>
      </c>
      <c r="G68" s="23">
        <v>1900000</v>
      </c>
      <c r="H68" s="23">
        <v>1250000</v>
      </c>
    </row>
    <row r="69" s="1" customFormat="1" spans="1:8">
      <c r="A69" s="36">
        <v>56</v>
      </c>
      <c r="B69" s="18" t="s">
        <v>2173</v>
      </c>
      <c r="C69" s="18" t="s">
        <v>2144</v>
      </c>
      <c r="D69" s="18" t="s">
        <v>2174</v>
      </c>
      <c r="E69" s="23">
        <v>1850000</v>
      </c>
      <c r="F69" s="23">
        <v>1100000</v>
      </c>
      <c r="G69" s="23">
        <v>800000</v>
      </c>
      <c r="H69" s="23">
        <v>405000</v>
      </c>
    </row>
    <row r="70" s="1" customFormat="1" spans="1:8">
      <c r="A70" s="36">
        <v>57</v>
      </c>
      <c r="B70" s="18" t="s">
        <v>2175</v>
      </c>
      <c r="C70" s="18" t="s">
        <v>2171</v>
      </c>
      <c r="D70" s="18" t="s">
        <v>243</v>
      </c>
      <c r="E70" s="23">
        <v>6900000</v>
      </c>
      <c r="F70" s="23">
        <v>3850000</v>
      </c>
      <c r="G70" s="23">
        <v>2550000</v>
      </c>
      <c r="H70" s="23">
        <v>1650000</v>
      </c>
    </row>
    <row r="71" s="1" customFormat="1" spans="1:8">
      <c r="A71" s="36">
        <v>58</v>
      </c>
      <c r="B71" s="18" t="s">
        <v>2176</v>
      </c>
      <c r="C71" s="18" t="s">
        <v>805</v>
      </c>
      <c r="D71" s="18" t="s">
        <v>2177</v>
      </c>
      <c r="E71" s="23">
        <v>6900000</v>
      </c>
      <c r="F71" s="23">
        <v>3850000</v>
      </c>
      <c r="G71" s="23">
        <v>2550000</v>
      </c>
      <c r="H71" s="23">
        <v>1650000</v>
      </c>
    </row>
    <row r="72" s="1" customFormat="1" spans="1:8">
      <c r="A72" s="36">
        <v>59</v>
      </c>
      <c r="B72" s="18" t="s">
        <v>805</v>
      </c>
      <c r="C72" s="18" t="s">
        <v>2135</v>
      </c>
      <c r="D72" s="18" t="s">
        <v>2143</v>
      </c>
      <c r="E72" s="23">
        <v>19450000</v>
      </c>
      <c r="F72" s="23">
        <v>10900000</v>
      </c>
      <c r="G72" s="23">
        <v>7200000</v>
      </c>
      <c r="H72" s="23">
        <v>4650000</v>
      </c>
    </row>
    <row r="73" s="1" customFormat="1" ht="27.6" spans="1:8">
      <c r="A73" s="36">
        <v>60</v>
      </c>
      <c r="B73" s="18" t="s">
        <v>2178</v>
      </c>
      <c r="C73" s="18" t="s">
        <v>2179</v>
      </c>
      <c r="D73" s="18" t="s">
        <v>2104</v>
      </c>
      <c r="E73" s="23">
        <v>6900000</v>
      </c>
      <c r="F73" s="23">
        <v>3850000</v>
      </c>
      <c r="G73" s="23">
        <v>2550000</v>
      </c>
      <c r="H73" s="23">
        <v>1650000</v>
      </c>
    </row>
    <row r="74" s="1" customFormat="1" spans="1:8">
      <c r="A74" s="36"/>
      <c r="B74" s="18" t="s">
        <v>2178</v>
      </c>
      <c r="C74" s="18" t="s">
        <v>2104</v>
      </c>
      <c r="D74" s="18" t="s">
        <v>2144</v>
      </c>
      <c r="E74" s="23">
        <v>7800000</v>
      </c>
      <c r="F74" s="23">
        <v>4400000</v>
      </c>
      <c r="G74" s="23">
        <v>2900000</v>
      </c>
      <c r="H74" s="23">
        <v>1850000</v>
      </c>
    </row>
    <row r="75" s="1" customFormat="1" spans="1:8">
      <c r="A75" s="36">
        <v>61</v>
      </c>
      <c r="B75" s="18" t="s">
        <v>107</v>
      </c>
      <c r="C75" s="18" t="s">
        <v>73</v>
      </c>
      <c r="D75" s="18" t="s">
        <v>2143</v>
      </c>
      <c r="E75" s="23">
        <v>6900000</v>
      </c>
      <c r="F75" s="23">
        <v>3850000</v>
      </c>
      <c r="G75" s="23">
        <v>2550000</v>
      </c>
      <c r="H75" s="23">
        <v>1650000</v>
      </c>
    </row>
    <row r="76" s="1" customFormat="1" spans="1:8">
      <c r="A76" s="36">
        <v>62</v>
      </c>
      <c r="B76" s="18" t="s">
        <v>109</v>
      </c>
      <c r="C76" s="18" t="s">
        <v>56</v>
      </c>
      <c r="D76" s="18" t="s">
        <v>2180</v>
      </c>
      <c r="E76" s="23">
        <v>4200000</v>
      </c>
      <c r="F76" s="23">
        <v>2350000</v>
      </c>
      <c r="G76" s="23">
        <v>1550000</v>
      </c>
      <c r="H76" s="23">
        <v>1000000</v>
      </c>
    </row>
    <row r="77" s="1" customFormat="1" spans="1:8">
      <c r="A77" s="36">
        <v>63</v>
      </c>
      <c r="B77" s="18" t="s">
        <v>2181</v>
      </c>
      <c r="C77" s="18" t="s">
        <v>2182</v>
      </c>
      <c r="D77" s="18" t="s">
        <v>2107</v>
      </c>
      <c r="E77" s="23">
        <v>4200000</v>
      </c>
      <c r="F77" s="23">
        <v>2350000</v>
      </c>
      <c r="G77" s="23">
        <v>1550000</v>
      </c>
      <c r="H77" s="23">
        <v>1000000</v>
      </c>
    </row>
    <row r="78" s="1" customFormat="1" spans="1:8">
      <c r="A78" s="36"/>
      <c r="B78" s="18" t="s">
        <v>2181</v>
      </c>
      <c r="C78" s="18" t="s">
        <v>2107</v>
      </c>
      <c r="D78" s="18" t="s">
        <v>2183</v>
      </c>
      <c r="E78" s="23">
        <v>5200000</v>
      </c>
      <c r="F78" s="23">
        <v>2900000</v>
      </c>
      <c r="G78" s="23">
        <v>1900000</v>
      </c>
      <c r="H78" s="23">
        <v>1250000</v>
      </c>
    </row>
    <row r="79" s="1" customFormat="1" spans="1:8">
      <c r="A79" s="36">
        <v>64</v>
      </c>
      <c r="B79" s="18" t="s">
        <v>83</v>
      </c>
      <c r="C79" s="18" t="s">
        <v>128</v>
      </c>
      <c r="D79" s="18" t="s">
        <v>2184</v>
      </c>
      <c r="E79" s="23">
        <v>19450000</v>
      </c>
      <c r="F79" s="23">
        <v>10900000</v>
      </c>
      <c r="G79" s="23">
        <v>7200000</v>
      </c>
      <c r="H79" s="23">
        <v>4650000</v>
      </c>
    </row>
    <row r="80" s="1" customFormat="1" spans="1:8">
      <c r="A80" s="36">
        <v>65</v>
      </c>
      <c r="B80" s="18" t="s">
        <v>120</v>
      </c>
      <c r="C80" s="18" t="s">
        <v>73</v>
      </c>
      <c r="D80" s="18" t="s">
        <v>2143</v>
      </c>
      <c r="E80" s="23">
        <v>6900000</v>
      </c>
      <c r="F80" s="23">
        <v>3850000</v>
      </c>
      <c r="G80" s="23">
        <v>2550000</v>
      </c>
      <c r="H80" s="23">
        <v>1650000</v>
      </c>
    </row>
    <row r="81" s="1" customFormat="1" spans="1:8">
      <c r="A81" s="36">
        <v>66</v>
      </c>
      <c r="B81" s="18" t="s">
        <v>68</v>
      </c>
      <c r="C81" s="18" t="s">
        <v>83</v>
      </c>
      <c r="D81" s="18" t="s">
        <v>2143</v>
      </c>
      <c r="E81" s="23">
        <v>7800000</v>
      </c>
      <c r="F81" s="23">
        <v>4400000</v>
      </c>
      <c r="G81" s="23">
        <v>2900000</v>
      </c>
      <c r="H81" s="23">
        <v>1850000</v>
      </c>
    </row>
    <row r="82" s="1" customFormat="1" spans="1:8">
      <c r="A82" s="36">
        <v>67</v>
      </c>
      <c r="B82" s="43" t="s">
        <v>2185</v>
      </c>
      <c r="C82" s="43" t="s">
        <v>2136</v>
      </c>
      <c r="D82" s="43" t="s">
        <v>243</v>
      </c>
      <c r="E82" s="23">
        <v>6900000</v>
      </c>
      <c r="F82" s="23">
        <v>3850000</v>
      </c>
      <c r="G82" s="23">
        <v>2550000</v>
      </c>
      <c r="H82" s="23">
        <v>1650000</v>
      </c>
    </row>
    <row r="83" s="1" customFormat="1" spans="1:8">
      <c r="A83" s="36">
        <v>68</v>
      </c>
      <c r="B83" s="18" t="s">
        <v>2186</v>
      </c>
      <c r="C83" s="18" t="s">
        <v>2168</v>
      </c>
      <c r="D83" s="18" t="s">
        <v>2109</v>
      </c>
      <c r="E83" s="23">
        <v>2300000</v>
      </c>
      <c r="F83" s="23">
        <v>1450000</v>
      </c>
      <c r="G83" s="23">
        <v>1000000</v>
      </c>
      <c r="H83" s="23">
        <v>500000</v>
      </c>
    </row>
    <row r="84" s="1" customFormat="1" spans="1:8">
      <c r="A84" s="36">
        <v>69</v>
      </c>
      <c r="B84" s="18" t="s">
        <v>2103</v>
      </c>
      <c r="C84" s="18" t="s">
        <v>83</v>
      </c>
      <c r="D84" s="18" t="s">
        <v>2102</v>
      </c>
      <c r="E84" s="23">
        <v>9650000</v>
      </c>
      <c r="F84" s="23">
        <v>5400000</v>
      </c>
      <c r="G84" s="23">
        <v>3550000</v>
      </c>
      <c r="H84" s="23">
        <v>2300000</v>
      </c>
    </row>
    <row r="85" s="1" customFormat="1" spans="1:8">
      <c r="A85" s="36">
        <v>70</v>
      </c>
      <c r="B85" s="18" t="s">
        <v>59</v>
      </c>
      <c r="C85" s="18" t="s">
        <v>128</v>
      </c>
      <c r="D85" s="18" t="s">
        <v>67</v>
      </c>
      <c r="E85" s="23">
        <v>23150000</v>
      </c>
      <c r="F85" s="23">
        <v>12950000</v>
      </c>
      <c r="G85" s="23">
        <v>8550000</v>
      </c>
      <c r="H85" s="23">
        <v>5550000</v>
      </c>
    </row>
    <row r="86" s="1" customFormat="1" spans="1:8">
      <c r="A86" s="36">
        <v>71</v>
      </c>
      <c r="B86" s="18" t="s">
        <v>2177</v>
      </c>
      <c r="C86" s="18" t="s">
        <v>2187</v>
      </c>
      <c r="D86" s="18" t="s">
        <v>2108</v>
      </c>
      <c r="E86" s="23">
        <v>7800000</v>
      </c>
      <c r="F86" s="23">
        <v>4400000</v>
      </c>
      <c r="G86" s="23">
        <v>2900000</v>
      </c>
      <c r="H86" s="23">
        <v>1850000</v>
      </c>
    </row>
    <row r="87" s="1" customFormat="1" spans="1:8">
      <c r="A87" s="36">
        <v>72</v>
      </c>
      <c r="B87" s="18" t="s">
        <v>2168</v>
      </c>
      <c r="C87" s="18" t="s">
        <v>113</v>
      </c>
      <c r="D87" s="18" t="s">
        <v>2188</v>
      </c>
      <c r="E87" s="23">
        <v>1850000</v>
      </c>
      <c r="F87" s="23">
        <v>1100000</v>
      </c>
      <c r="G87" s="23">
        <v>800000</v>
      </c>
      <c r="H87" s="23">
        <v>405000</v>
      </c>
    </row>
    <row r="88" s="1" customFormat="1" spans="1:8">
      <c r="A88" s="36">
        <v>73</v>
      </c>
      <c r="B88" s="18" t="s">
        <v>2107</v>
      </c>
      <c r="C88" s="18" t="s">
        <v>2134</v>
      </c>
      <c r="D88" s="18" t="s">
        <v>2189</v>
      </c>
      <c r="E88" s="23">
        <v>6900000</v>
      </c>
      <c r="F88" s="23">
        <v>3850000</v>
      </c>
      <c r="G88" s="23">
        <v>2550000</v>
      </c>
      <c r="H88" s="23">
        <v>1650000</v>
      </c>
    </row>
    <row r="89" s="1" customFormat="1" spans="1:8">
      <c r="A89" s="36">
        <v>74</v>
      </c>
      <c r="B89" s="18" t="s">
        <v>2182</v>
      </c>
      <c r="C89" s="18" t="s">
        <v>2134</v>
      </c>
      <c r="D89" s="18" t="s">
        <v>2177</v>
      </c>
      <c r="E89" s="23">
        <v>5200000</v>
      </c>
      <c r="F89" s="23">
        <v>2900000</v>
      </c>
      <c r="G89" s="23">
        <v>1900000</v>
      </c>
      <c r="H89" s="23">
        <v>1250000</v>
      </c>
    </row>
    <row r="90" s="1" customFormat="1" spans="1:8">
      <c r="A90" s="36">
        <v>75</v>
      </c>
      <c r="B90" s="18" t="s">
        <v>2190</v>
      </c>
      <c r="C90" s="18" t="s">
        <v>2134</v>
      </c>
      <c r="D90" s="18" t="s">
        <v>2191</v>
      </c>
      <c r="E90" s="23">
        <v>5200000</v>
      </c>
      <c r="F90" s="23">
        <v>2900000</v>
      </c>
      <c r="G90" s="23">
        <v>1900000</v>
      </c>
      <c r="H90" s="23">
        <v>1250000</v>
      </c>
    </row>
    <row r="91" s="1" customFormat="1" spans="1:8">
      <c r="A91" s="36">
        <v>76</v>
      </c>
      <c r="B91" s="18" t="s">
        <v>2192</v>
      </c>
      <c r="C91" s="18" t="s">
        <v>2182</v>
      </c>
      <c r="D91" s="18" t="s">
        <v>2108</v>
      </c>
      <c r="E91" s="23">
        <v>5200000</v>
      </c>
      <c r="F91" s="23">
        <v>2900000</v>
      </c>
      <c r="G91" s="23">
        <v>1900000</v>
      </c>
      <c r="H91" s="23">
        <v>1250000</v>
      </c>
    </row>
    <row r="92" s="1" customFormat="1" spans="1:8">
      <c r="A92" s="36">
        <v>77</v>
      </c>
      <c r="B92" s="18" t="s">
        <v>2193</v>
      </c>
      <c r="C92" s="18" t="s">
        <v>1899</v>
      </c>
      <c r="D92" s="18" t="s">
        <v>2150</v>
      </c>
      <c r="E92" s="23">
        <v>6900000</v>
      </c>
      <c r="F92" s="23">
        <v>3850000</v>
      </c>
      <c r="G92" s="23">
        <v>2550000</v>
      </c>
      <c r="H92" s="23">
        <v>1650000</v>
      </c>
    </row>
    <row r="93" s="1" customFormat="1" spans="1:8">
      <c r="A93" s="36">
        <v>78</v>
      </c>
      <c r="B93" s="18" t="s">
        <v>2194</v>
      </c>
      <c r="C93" s="18" t="s">
        <v>805</v>
      </c>
      <c r="D93" s="18" t="s">
        <v>2165</v>
      </c>
      <c r="E93" s="23">
        <v>6900000</v>
      </c>
      <c r="F93" s="23">
        <v>3850000</v>
      </c>
      <c r="G93" s="23">
        <v>2550000</v>
      </c>
      <c r="H93" s="23">
        <v>1650000</v>
      </c>
    </row>
    <row r="94" s="1" customFormat="1" ht="27.6" spans="1:8">
      <c r="A94" s="36">
        <v>79</v>
      </c>
      <c r="B94" s="18" t="s">
        <v>113</v>
      </c>
      <c r="C94" s="18" t="s">
        <v>2195</v>
      </c>
      <c r="D94" s="18" t="s">
        <v>2196</v>
      </c>
      <c r="E94" s="23">
        <v>4700000</v>
      </c>
      <c r="F94" s="23">
        <v>1950000</v>
      </c>
      <c r="G94" s="23">
        <v>1200000</v>
      </c>
      <c r="H94" s="23">
        <v>1050000</v>
      </c>
    </row>
    <row r="95" s="1" customFormat="1" spans="1:8">
      <c r="A95" s="36">
        <v>80</v>
      </c>
      <c r="B95" s="143" t="s">
        <v>56</v>
      </c>
      <c r="C95" s="143" t="s">
        <v>2197</v>
      </c>
      <c r="D95" s="143" t="s">
        <v>2143</v>
      </c>
      <c r="E95" s="23">
        <v>12850000</v>
      </c>
      <c r="F95" s="23">
        <v>7200000</v>
      </c>
      <c r="G95" s="23">
        <v>4750000</v>
      </c>
      <c r="H95" s="23">
        <v>3100000</v>
      </c>
    </row>
    <row r="96" s="1" customFormat="1" spans="1:8">
      <c r="A96" s="36">
        <v>81</v>
      </c>
      <c r="B96" s="18" t="s">
        <v>2171</v>
      </c>
      <c r="C96" s="18" t="s">
        <v>83</v>
      </c>
      <c r="D96" s="18" t="s">
        <v>2150</v>
      </c>
      <c r="E96" s="23">
        <v>7800000</v>
      </c>
      <c r="F96" s="23">
        <v>4400000</v>
      </c>
      <c r="G96" s="23">
        <v>2900000</v>
      </c>
      <c r="H96" s="23">
        <v>1850000</v>
      </c>
    </row>
    <row r="97" s="1" customFormat="1" spans="1:8">
      <c r="A97" s="36">
        <v>82</v>
      </c>
      <c r="B97" s="18" t="s">
        <v>2137</v>
      </c>
      <c r="C97" s="18" t="s">
        <v>83</v>
      </c>
      <c r="D97" s="18" t="s">
        <v>2171</v>
      </c>
      <c r="E97" s="23">
        <v>7800000</v>
      </c>
      <c r="F97" s="23">
        <v>4400000</v>
      </c>
      <c r="G97" s="23">
        <v>2900000</v>
      </c>
      <c r="H97" s="23">
        <v>1850000</v>
      </c>
    </row>
    <row r="98" s="1" customFormat="1" spans="1:8">
      <c r="A98" s="36">
        <v>83</v>
      </c>
      <c r="B98" s="18" t="s">
        <v>2113</v>
      </c>
      <c r="C98" s="18" t="s">
        <v>805</v>
      </c>
      <c r="D98" s="18" t="s">
        <v>2129</v>
      </c>
      <c r="E98" s="23">
        <v>7800000</v>
      </c>
      <c r="F98" s="23">
        <v>4400000</v>
      </c>
      <c r="G98" s="23">
        <v>2900000</v>
      </c>
      <c r="H98" s="23">
        <v>1850000</v>
      </c>
    </row>
    <row r="99" s="1" customFormat="1" spans="1:8">
      <c r="A99" s="39" t="s">
        <v>136</v>
      </c>
      <c r="B99" s="18"/>
      <c r="C99" s="18"/>
      <c r="D99" s="18"/>
      <c r="E99" s="23"/>
      <c r="F99" s="23"/>
      <c r="G99" s="23"/>
      <c r="H99" s="23"/>
    </row>
    <row r="100" spans="1:8">
      <c r="A100" s="16">
        <v>84</v>
      </c>
      <c r="B100" s="20" t="s">
        <v>137</v>
      </c>
      <c r="C100" s="20"/>
      <c r="D100" s="20"/>
      <c r="E100" s="23">
        <v>1850000</v>
      </c>
      <c r="F100" s="23">
        <v>1100000</v>
      </c>
      <c r="G100" s="23">
        <v>800000</v>
      </c>
      <c r="H100" s="23">
        <v>405000</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t="s">
        <v>16</v>
      </c>
      <c r="F201" s="23" t="s">
        <v>16</v>
      </c>
      <c r="G201" s="23" t="s">
        <v>16</v>
      </c>
      <c r="H201" s="23" t="s">
        <v>16</v>
      </c>
    </row>
    <row r="202" spans="1:8">
      <c r="A202" s="27"/>
      <c r="C202" s="28"/>
      <c r="D202" s="28"/>
      <c r="E202" s="23" t="s">
        <v>16</v>
      </c>
      <c r="F202" s="23" t="s">
        <v>16</v>
      </c>
      <c r="G202" s="23" t="s">
        <v>16</v>
      </c>
      <c r="H202" s="23" t="s">
        <v>16</v>
      </c>
    </row>
    <row r="203" spans="1:8">
      <c r="A203" s="27"/>
      <c r="C203" s="28"/>
      <c r="D203" s="28"/>
      <c r="E203" s="23" t="s">
        <v>16</v>
      </c>
      <c r="F203" s="23" t="s">
        <v>16</v>
      </c>
      <c r="G203" s="23" t="s">
        <v>16</v>
      </c>
      <c r="H203" s="23" t="s">
        <v>16</v>
      </c>
    </row>
    <row r="204" spans="1:8">
      <c r="A204" s="27"/>
      <c r="C204" s="28"/>
      <c r="D204" s="28"/>
      <c r="E204" s="23" t="s">
        <v>16</v>
      </c>
      <c r="F204" s="23" t="s">
        <v>16</v>
      </c>
      <c r="G204" s="23" t="s">
        <v>16</v>
      </c>
      <c r="H204" s="23" t="s">
        <v>16</v>
      </c>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row r="860" spans="1:8">
      <c r="A860" s="27"/>
      <c r="C860" s="28"/>
      <c r="D860" s="28"/>
      <c r="E860" s="50"/>
      <c r="F860" s="50"/>
      <c r="G860" s="50"/>
      <c r="H860" s="50"/>
    </row>
    <row r="861" spans="1:8">
      <c r="A861" s="27"/>
      <c r="C861" s="28"/>
      <c r="D861" s="28"/>
      <c r="E861" s="50"/>
      <c r="F861" s="50"/>
      <c r="G861" s="50"/>
      <c r="H861" s="50"/>
    </row>
    <row r="862" spans="1:8">
      <c r="A862" s="27"/>
      <c r="C862" s="28"/>
      <c r="D862" s="28"/>
      <c r="E862" s="50"/>
      <c r="F862" s="50"/>
      <c r="G862" s="50"/>
      <c r="H862" s="50"/>
    </row>
    <row r="863" spans="1:8">
      <c r="A863" s="27"/>
      <c r="C863" s="28"/>
      <c r="D863" s="28"/>
      <c r="E863" s="50"/>
      <c r="F863" s="50"/>
      <c r="G863" s="50"/>
      <c r="H863" s="50"/>
    </row>
    <row r="864" spans="1:8">
      <c r="A864" s="27"/>
      <c r="C864" s="28"/>
      <c r="D864" s="28"/>
      <c r="E864" s="50"/>
      <c r="F864" s="50"/>
      <c r="G864" s="50"/>
      <c r="H864" s="50"/>
    </row>
    <row r="865" spans="1:8">
      <c r="A865" s="27"/>
      <c r="C865" s="28"/>
      <c r="D865" s="28"/>
      <c r="E865" s="50"/>
      <c r="F865" s="50"/>
      <c r="G865" s="50"/>
      <c r="H865" s="50"/>
    </row>
    <row r="866" spans="1:8">
      <c r="A866" s="27"/>
      <c r="C866" s="28"/>
      <c r="D866" s="28"/>
      <c r="E866" s="50"/>
      <c r="F866" s="50"/>
      <c r="G866" s="50"/>
      <c r="H866" s="50"/>
    </row>
    <row r="867" spans="1:8">
      <c r="A867" s="27"/>
      <c r="C867" s="28"/>
      <c r="D867" s="28"/>
      <c r="E867" s="50"/>
      <c r="F867" s="50"/>
      <c r="G867" s="50"/>
      <c r="H867" s="50"/>
    </row>
    <row r="868" spans="1:8">
      <c r="A868" s="27"/>
      <c r="C868" s="28"/>
      <c r="D868" s="28"/>
      <c r="E868" s="50"/>
      <c r="F868" s="50"/>
      <c r="G868" s="50"/>
      <c r="H868" s="50"/>
    </row>
    <row r="869" spans="1:8">
      <c r="A869" s="27"/>
      <c r="C869" s="28"/>
      <c r="D869" s="28"/>
      <c r="E869" s="50"/>
      <c r="F869" s="50"/>
      <c r="G869" s="50"/>
      <c r="H869" s="50"/>
    </row>
    <row r="870" spans="1:8">
      <c r="A870" s="27"/>
      <c r="C870" s="28"/>
      <c r="D870" s="28"/>
      <c r="E870" s="50"/>
      <c r="F870" s="50"/>
      <c r="G870" s="50"/>
      <c r="H870" s="50"/>
    </row>
    <row r="871" spans="1:8">
      <c r="A871" s="27"/>
      <c r="C871" s="28"/>
      <c r="D871" s="28"/>
      <c r="E871" s="50"/>
      <c r="F871" s="50"/>
      <c r="G871" s="50"/>
      <c r="H871" s="50"/>
    </row>
    <row r="872" spans="1:8">
      <c r="A872" s="27"/>
      <c r="C872" s="28"/>
      <c r="D872" s="28"/>
      <c r="E872" s="50"/>
      <c r="F872" s="50"/>
      <c r="G872" s="50"/>
      <c r="H872" s="50"/>
    </row>
    <row r="873" spans="1:8">
      <c r="A873" s="27"/>
      <c r="C873" s="28"/>
      <c r="D873" s="28"/>
      <c r="E873" s="50"/>
      <c r="F873" s="50"/>
      <c r="G873" s="50"/>
      <c r="H873" s="50"/>
    </row>
    <row r="874" spans="1:8">
      <c r="A874" s="27"/>
      <c r="C874" s="28"/>
      <c r="D874" s="28"/>
      <c r="E874" s="50"/>
      <c r="F874" s="50"/>
      <c r="G874" s="50"/>
      <c r="H874" s="50"/>
    </row>
    <row r="875" spans="1:8">
      <c r="A875" s="27"/>
      <c r="C875" s="28"/>
      <c r="D875" s="28"/>
      <c r="E875" s="50"/>
      <c r="F875" s="50"/>
      <c r="G875" s="50"/>
      <c r="H875" s="50"/>
    </row>
    <row r="876" spans="1:8">
      <c r="A876" s="27"/>
      <c r="C876" s="28"/>
      <c r="D876" s="28"/>
      <c r="E876" s="50"/>
      <c r="F876" s="50"/>
      <c r="G876" s="50"/>
      <c r="H876" s="50"/>
    </row>
    <row r="877" spans="1:8">
      <c r="A877" s="27"/>
      <c r="C877" s="28"/>
      <c r="D877" s="28"/>
      <c r="E877" s="50"/>
      <c r="F877" s="50"/>
      <c r="G877" s="50"/>
      <c r="H877" s="50"/>
    </row>
    <row r="878" spans="1:8">
      <c r="A878" s="27"/>
      <c r="C878" s="28"/>
      <c r="D878" s="28"/>
      <c r="E878" s="50"/>
      <c r="F878" s="50"/>
      <c r="G878" s="50"/>
      <c r="H878" s="50"/>
    </row>
    <row r="879" spans="1:8">
      <c r="A879" s="27"/>
      <c r="C879" s="28"/>
      <c r="D879" s="28"/>
      <c r="E879" s="50"/>
      <c r="F879" s="50"/>
      <c r="G879" s="50"/>
      <c r="H879" s="50"/>
    </row>
    <row r="880" spans="1:8">
      <c r="A880" s="27"/>
      <c r="C880" s="28"/>
      <c r="D880" s="28"/>
      <c r="E880" s="50"/>
      <c r="F880" s="50"/>
      <c r="G880" s="50"/>
      <c r="H880" s="50"/>
    </row>
    <row r="881" spans="1:8">
      <c r="A881" s="27"/>
      <c r="C881" s="28"/>
      <c r="D881" s="28"/>
      <c r="E881" s="50"/>
      <c r="F881" s="50"/>
      <c r="G881" s="50"/>
      <c r="H881" s="50"/>
    </row>
    <row r="882" spans="1:8">
      <c r="A882" s="27"/>
      <c r="C882" s="28"/>
      <c r="D882" s="28"/>
      <c r="E882" s="50"/>
      <c r="F882" s="50"/>
      <c r="G882" s="50"/>
      <c r="H882" s="50"/>
    </row>
    <row r="883" spans="1:8">
      <c r="A883" s="27"/>
      <c r="C883" s="28"/>
      <c r="D883" s="28"/>
      <c r="E883" s="50"/>
      <c r="F883" s="50"/>
      <c r="G883" s="50"/>
      <c r="H883" s="50"/>
    </row>
    <row r="884" spans="1:8">
      <c r="A884" s="27"/>
      <c r="C884" s="28"/>
      <c r="D884" s="28"/>
      <c r="E884" s="50"/>
      <c r="F884" s="50"/>
      <c r="G884" s="50"/>
      <c r="H884" s="50"/>
    </row>
    <row r="885" spans="1:8">
      <c r="A885" s="27"/>
      <c r="C885" s="28"/>
      <c r="D885" s="28"/>
      <c r="E885" s="50"/>
      <c r="F885" s="50"/>
      <c r="G885" s="50"/>
      <c r="H885" s="50"/>
    </row>
    <row r="886" spans="1:8">
      <c r="A886" s="27"/>
      <c r="C886" s="28"/>
      <c r="D886" s="28"/>
      <c r="E886" s="50"/>
      <c r="F886" s="50"/>
      <c r="G886" s="50"/>
      <c r="H886" s="50"/>
    </row>
    <row r="887" spans="1:8">
      <c r="A887" s="27"/>
      <c r="C887" s="28"/>
      <c r="D887" s="28"/>
      <c r="E887" s="50"/>
      <c r="F887" s="50"/>
      <c r="G887" s="50"/>
      <c r="H887" s="50"/>
    </row>
    <row r="888" spans="1:8">
      <c r="A888" s="27"/>
      <c r="C888" s="28"/>
      <c r="D888" s="28"/>
      <c r="E888" s="50"/>
      <c r="F888" s="50"/>
      <c r="G888" s="50"/>
      <c r="H888" s="50"/>
    </row>
    <row r="889" spans="1:8">
      <c r="A889" s="27"/>
      <c r="C889" s="28"/>
      <c r="D889" s="28"/>
      <c r="E889" s="50"/>
      <c r="F889" s="50"/>
      <c r="G889" s="50"/>
      <c r="H889" s="50"/>
    </row>
    <row r="890" spans="1:8">
      <c r="A890" s="27"/>
      <c r="C890" s="28"/>
      <c r="D890" s="28"/>
      <c r="E890" s="50"/>
      <c r="F890" s="50"/>
      <c r="G890" s="50"/>
      <c r="H890" s="50"/>
    </row>
    <row r="891" spans="1:8">
      <c r="A891" s="27"/>
      <c r="C891" s="28"/>
      <c r="D891" s="28"/>
      <c r="E891" s="50"/>
      <c r="F891" s="50"/>
      <c r="G891" s="50"/>
      <c r="H891" s="50"/>
    </row>
    <row r="892" spans="1:8">
      <c r="A892" s="27"/>
      <c r="C892" s="28"/>
      <c r="D892" s="28"/>
      <c r="E892" s="50"/>
      <c r="F892" s="50"/>
      <c r="G892" s="50"/>
      <c r="H892" s="50"/>
    </row>
    <row r="893" spans="1:8">
      <c r="A893" s="27"/>
      <c r="C893" s="28"/>
      <c r="D893" s="28"/>
      <c r="E893" s="50"/>
      <c r="F893" s="50"/>
      <c r="G893" s="50"/>
      <c r="H893" s="50"/>
    </row>
    <row r="894" spans="1:8">
      <c r="A894" s="27"/>
      <c r="C894" s="28"/>
      <c r="D894" s="28"/>
      <c r="E894" s="50"/>
      <c r="F894" s="50"/>
      <c r="G894" s="50"/>
      <c r="H894" s="50"/>
    </row>
    <row r="895" spans="1:8">
      <c r="A895" s="27"/>
      <c r="C895" s="28"/>
      <c r="D895" s="28"/>
      <c r="E895" s="50"/>
      <c r="F895" s="50"/>
      <c r="G895" s="50"/>
      <c r="H895" s="50"/>
    </row>
    <row r="896" spans="1:8">
      <c r="A896" s="27"/>
      <c r="C896" s="28"/>
      <c r="D896" s="28"/>
      <c r="E896" s="50"/>
      <c r="F896" s="50"/>
      <c r="G896" s="50"/>
      <c r="H896" s="50"/>
    </row>
    <row r="897" spans="1:8">
      <c r="A897" s="27"/>
      <c r="C897" s="28"/>
      <c r="D897" s="28"/>
      <c r="E897" s="50"/>
      <c r="F897" s="50"/>
      <c r="G897" s="50"/>
      <c r="H897" s="50"/>
    </row>
    <row r="898" spans="1:8">
      <c r="A898" s="27"/>
      <c r="C898" s="28"/>
      <c r="D898" s="28"/>
      <c r="E898" s="50"/>
      <c r="F898" s="50"/>
      <c r="G898" s="50"/>
      <c r="H898" s="50"/>
    </row>
    <row r="899" spans="1:8">
      <c r="A899" s="27"/>
      <c r="C899" s="28"/>
      <c r="D899" s="28"/>
      <c r="E899" s="50"/>
      <c r="F899" s="50"/>
      <c r="G899" s="50"/>
      <c r="H899" s="50"/>
    </row>
    <row r="900" spans="1:8">
      <c r="A900" s="27"/>
      <c r="C900" s="28"/>
      <c r="D900" s="28"/>
      <c r="E900" s="50"/>
      <c r="F900" s="50"/>
      <c r="G900" s="50"/>
      <c r="H900" s="50"/>
    </row>
    <row r="901" spans="1:8">
      <c r="A901" s="27"/>
      <c r="C901" s="28"/>
      <c r="D901" s="28"/>
      <c r="E901" s="50"/>
      <c r="F901" s="50"/>
      <c r="G901" s="50"/>
      <c r="H901" s="50"/>
    </row>
    <row r="902" spans="1:8">
      <c r="A902" s="27"/>
      <c r="C902" s="28"/>
      <c r="D902" s="28"/>
      <c r="E902" s="50"/>
      <c r="F902" s="50"/>
      <c r="G902" s="50"/>
      <c r="H902" s="50"/>
    </row>
    <row r="903" spans="1:8">
      <c r="A903" s="27"/>
      <c r="C903" s="28"/>
      <c r="D903" s="28"/>
      <c r="E903" s="50"/>
      <c r="F903" s="50"/>
      <c r="G903" s="50"/>
      <c r="H903" s="50"/>
    </row>
    <row r="904" spans="1:8">
      <c r="A904" s="27"/>
      <c r="C904" s="28"/>
      <c r="D904" s="28"/>
      <c r="E904" s="50"/>
      <c r="F904" s="50"/>
      <c r="G904" s="50"/>
      <c r="H904" s="50"/>
    </row>
    <row r="905" spans="1:8">
      <c r="A905" s="27"/>
      <c r="C905" s="28"/>
      <c r="D905" s="28"/>
      <c r="E905" s="50"/>
      <c r="F905" s="50"/>
      <c r="G905" s="50"/>
      <c r="H905" s="50"/>
    </row>
    <row r="906" spans="1:8">
      <c r="A906" s="27"/>
      <c r="C906" s="28"/>
      <c r="D906" s="28"/>
      <c r="E906" s="50"/>
      <c r="F906" s="50"/>
      <c r="G906" s="50"/>
      <c r="H906" s="50"/>
    </row>
    <row r="907" spans="1:8">
      <c r="A907" s="27"/>
      <c r="C907" s="28"/>
      <c r="D907" s="28"/>
      <c r="E907" s="50"/>
      <c r="F907" s="50"/>
      <c r="G907" s="50"/>
      <c r="H907" s="50"/>
    </row>
    <row r="908" spans="1:8">
      <c r="A908" s="27"/>
      <c r="C908" s="28"/>
      <c r="D908" s="28"/>
      <c r="E908" s="50"/>
      <c r="F908" s="50"/>
      <c r="G908" s="50"/>
      <c r="H908" s="50"/>
    </row>
    <row r="909" spans="1:8">
      <c r="A909" s="27"/>
      <c r="C909" s="28"/>
      <c r="D909" s="28"/>
      <c r="E909" s="50"/>
      <c r="F909" s="50"/>
      <c r="G909" s="50"/>
      <c r="H909" s="50"/>
    </row>
    <row r="910" spans="1:8">
      <c r="A910" s="27"/>
      <c r="C910" s="28"/>
      <c r="D910" s="28"/>
      <c r="E910" s="50"/>
      <c r="F910" s="50"/>
      <c r="G910" s="50"/>
      <c r="H910" s="50"/>
    </row>
    <row r="911" spans="1:8">
      <c r="A911" s="27"/>
      <c r="C911" s="28"/>
      <c r="D911" s="28"/>
      <c r="E911" s="50"/>
      <c r="F911" s="50"/>
      <c r="G911" s="50"/>
      <c r="H911" s="50"/>
    </row>
    <row r="912" spans="1:8">
      <c r="A912" s="27"/>
      <c r="C912" s="28"/>
      <c r="D912" s="28"/>
      <c r="E912" s="50"/>
      <c r="F912" s="50"/>
      <c r="G912" s="50"/>
      <c r="H912" s="50"/>
    </row>
    <row r="913" spans="1:8">
      <c r="A913" s="27"/>
      <c r="C913" s="28"/>
      <c r="D913" s="28"/>
      <c r="E913" s="50"/>
      <c r="F913" s="50"/>
      <c r="G913" s="50"/>
      <c r="H913" s="50"/>
    </row>
    <row r="914" spans="1:8">
      <c r="A914" s="27"/>
      <c r="C914" s="28"/>
      <c r="D914" s="28"/>
      <c r="E914" s="50"/>
      <c r="F914" s="50"/>
      <c r="G914" s="50"/>
      <c r="H914" s="50"/>
    </row>
    <row r="915" spans="1:8">
      <c r="A915" s="27"/>
      <c r="C915" s="28"/>
      <c r="D915" s="28"/>
      <c r="E915" s="50"/>
      <c r="F915" s="50"/>
      <c r="G915" s="50"/>
      <c r="H915" s="50"/>
    </row>
    <row r="916" spans="1:8">
      <c r="A916" s="27"/>
      <c r="C916" s="28"/>
      <c r="D916" s="28"/>
      <c r="E916" s="50"/>
      <c r="F916" s="50"/>
      <c r="G916" s="50"/>
      <c r="H916" s="50"/>
    </row>
    <row r="917" spans="1:8">
      <c r="A917" s="27"/>
      <c r="C917" s="28"/>
      <c r="D917" s="28"/>
      <c r="E917" s="50"/>
      <c r="F917" s="50"/>
      <c r="G917" s="50"/>
      <c r="H917" s="50"/>
    </row>
    <row r="918" spans="1:8">
      <c r="A918" s="27"/>
      <c r="C918" s="28"/>
      <c r="D918" s="28"/>
      <c r="E918" s="50"/>
      <c r="F918" s="50"/>
      <c r="G918" s="50"/>
      <c r="H918" s="50"/>
    </row>
    <row r="919" spans="1:8">
      <c r="A919" s="27"/>
      <c r="C919" s="28"/>
      <c r="D919" s="28"/>
      <c r="E919" s="50"/>
      <c r="F919" s="50"/>
      <c r="G919" s="50"/>
      <c r="H919" s="50"/>
    </row>
    <row r="920" spans="1:8">
      <c r="A920" s="27"/>
      <c r="C920" s="28"/>
      <c r="D920" s="28"/>
      <c r="E920" s="50"/>
      <c r="F920" s="50"/>
      <c r="G920" s="50"/>
      <c r="H920" s="50"/>
    </row>
    <row r="921" spans="1:8">
      <c r="A921" s="27"/>
      <c r="C921" s="28"/>
      <c r="D921" s="28"/>
      <c r="E921" s="50"/>
      <c r="F921" s="50"/>
      <c r="G921" s="50"/>
      <c r="H921" s="50"/>
    </row>
    <row r="922" spans="1:8">
      <c r="A922" s="27"/>
      <c r="C922" s="28"/>
      <c r="D922" s="28"/>
      <c r="E922" s="50"/>
      <c r="F922" s="50"/>
      <c r="G922" s="50"/>
      <c r="H922" s="50"/>
    </row>
    <row r="923" spans="1:8">
      <c r="A923" s="27"/>
      <c r="C923" s="28"/>
      <c r="D923" s="28"/>
      <c r="E923" s="50"/>
      <c r="F923" s="50"/>
      <c r="G923" s="50"/>
      <c r="H923" s="50"/>
    </row>
    <row r="924" spans="1:8">
      <c r="A924" s="27"/>
      <c r="C924" s="28"/>
      <c r="D924" s="28"/>
      <c r="E924" s="50"/>
      <c r="F924" s="50"/>
      <c r="G924" s="50"/>
      <c r="H924" s="50"/>
    </row>
    <row r="925" spans="1:8">
      <c r="A925" s="27"/>
      <c r="C925" s="28"/>
      <c r="D925" s="28"/>
      <c r="E925" s="50"/>
      <c r="F925" s="50"/>
      <c r="G925" s="50"/>
      <c r="H925" s="50"/>
    </row>
    <row r="926" spans="1:8">
      <c r="A926" s="27"/>
      <c r="C926" s="28"/>
      <c r="D926" s="28"/>
      <c r="E926" s="50"/>
      <c r="F926" s="50"/>
      <c r="G926" s="50"/>
      <c r="H926" s="50"/>
    </row>
    <row r="927" spans="1:8">
      <c r="A927" s="27"/>
      <c r="C927" s="28"/>
      <c r="D927" s="28"/>
      <c r="E927" s="50"/>
      <c r="F927" s="50"/>
      <c r="G927" s="50"/>
      <c r="H927" s="50"/>
    </row>
    <row r="928" spans="1:8">
      <c r="A928" s="27"/>
      <c r="C928" s="28"/>
      <c r="D928" s="28"/>
      <c r="E928" s="50"/>
      <c r="F928" s="50"/>
      <c r="G928" s="50"/>
      <c r="H928" s="50"/>
    </row>
    <row r="929" spans="1:8">
      <c r="A929" s="27"/>
      <c r="C929" s="28"/>
      <c r="D929" s="28"/>
      <c r="E929" s="50"/>
      <c r="F929" s="50"/>
      <c r="G929" s="50"/>
      <c r="H929" s="50"/>
    </row>
    <row r="930" spans="1:8">
      <c r="A930" s="27"/>
      <c r="C930" s="28"/>
      <c r="D930" s="28"/>
      <c r="E930" s="50"/>
      <c r="F930" s="50"/>
      <c r="G930" s="50"/>
      <c r="H930" s="50"/>
    </row>
    <row r="931" spans="1:8">
      <c r="A931" s="27"/>
      <c r="C931" s="28"/>
      <c r="D931" s="28"/>
      <c r="E931" s="50"/>
      <c r="F931" s="50"/>
      <c r="G931" s="50"/>
      <c r="H931" s="50"/>
    </row>
    <row r="932" spans="1:8">
      <c r="A932" s="27"/>
      <c r="C932" s="28"/>
      <c r="D932" s="28"/>
      <c r="E932" s="50"/>
      <c r="F932" s="50"/>
      <c r="G932" s="50"/>
      <c r="H932" s="50"/>
    </row>
    <row r="933" spans="1:8">
      <c r="A933" s="27"/>
      <c r="C933" s="28"/>
      <c r="D933" s="28"/>
      <c r="E933" s="50"/>
      <c r="F933" s="50"/>
      <c r="G933" s="50"/>
      <c r="H933" s="50"/>
    </row>
    <row r="934" spans="1:8">
      <c r="A934" s="27"/>
      <c r="C934" s="28"/>
      <c r="D934" s="28"/>
      <c r="E934" s="50"/>
      <c r="F934" s="50"/>
      <c r="G934" s="50"/>
      <c r="H934" s="50"/>
    </row>
    <row r="935" spans="1:8">
      <c r="A935" s="27"/>
      <c r="C935" s="28"/>
      <c r="D935" s="28"/>
      <c r="E935" s="50"/>
      <c r="F935" s="50"/>
      <c r="G935" s="50"/>
      <c r="H935" s="50"/>
    </row>
    <row r="936" spans="1:8">
      <c r="A936" s="27"/>
      <c r="C936" s="28"/>
      <c r="D936" s="28"/>
      <c r="E936" s="50"/>
      <c r="F936" s="50"/>
      <c r="G936" s="50"/>
      <c r="H936" s="50"/>
    </row>
    <row r="937" spans="1:8">
      <c r="A937" s="27"/>
      <c r="C937" s="28"/>
      <c r="D937" s="28"/>
      <c r="E937" s="50"/>
      <c r="F937" s="50"/>
      <c r="G937" s="50"/>
      <c r="H937" s="50"/>
    </row>
    <row r="938" spans="1:8">
      <c r="A938" s="27"/>
      <c r="C938" s="28"/>
      <c r="D938" s="28"/>
      <c r="E938" s="50"/>
      <c r="F938" s="50"/>
      <c r="G938" s="50"/>
      <c r="H938" s="50"/>
    </row>
    <row r="939" spans="1:8">
      <c r="A939" s="27"/>
      <c r="C939" s="28"/>
      <c r="D939" s="28"/>
      <c r="E939" s="50"/>
      <c r="F939" s="50"/>
      <c r="G939" s="50"/>
      <c r="H939" s="50"/>
    </row>
    <row r="940" spans="1:8">
      <c r="A940" s="27"/>
      <c r="C940" s="28"/>
      <c r="D940" s="28"/>
      <c r="E940" s="50"/>
      <c r="F940" s="50"/>
      <c r="G940" s="50"/>
      <c r="H940" s="50"/>
    </row>
    <row r="941" spans="1:8">
      <c r="A941" s="27"/>
      <c r="C941" s="28"/>
      <c r="D941" s="28"/>
      <c r="E941" s="50"/>
      <c r="F941" s="50"/>
      <c r="G941" s="50"/>
      <c r="H941" s="50"/>
    </row>
    <row r="942" spans="1:8">
      <c r="A942" s="27"/>
      <c r="C942" s="28"/>
      <c r="D942" s="28"/>
      <c r="E942" s="50"/>
      <c r="F942" s="50"/>
      <c r="G942" s="50"/>
      <c r="H942" s="50"/>
    </row>
    <row r="943" spans="1:8">
      <c r="A943" s="27"/>
      <c r="C943" s="28"/>
      <c r="D943" s="28"/>
      <c r="E943" s="50"/>
      <c r="F943" s="50"/>
      <c r="G943" s="50"/>
      <c r="H943" s="50"/>
    </row>
    <row r="944" spans="1:8">
      <c r="A944" s="27"/>
      <c r="C944" s="28"/>
      <c r="D944" s="28"/>
      <c r="E944" s="50"/>
      <c r="F944" s="50"/>
      <c r="G944" s="50"/>
      <c r="H944" s="50"/>
    </row>
    <row r="945" spans="1:8">
      <c r="A945" s="27"/>
      <c r="C945" s="28"/>
      <c r="D945" s="28"/>
      <c r="E945" s="50"/>
      <c r="F945" s="50"/>
      <c r="G945" s="50"/>
      <c r="H945" s="50"/>
    </row>
    <row r="946" spans="1:8">
      <c r="A946" s="27"/>
      <c r="C946" s="28"/>
      <c r="D946" s="28"/>
      <c r="E946" s="50"/>
      <c r="F946" s="50"/>
      <c r="G946" s="50"/>
      <c r="H946" s="50"/>
    </row>
    <row r="947" spans="1:8">
      <c r="A947" s="27"/>
      <c r="C947" s="28"/>
      <c r="D947" s="28"/>
      <c r="E947" s="50"/>
      <c r="F947" s="50"/>
      <c r="G947" s="50"/>
      <c r="H947" s="50"/>
    </row>
    <row r="948" spans="1:8">
      <c r="A948" s="27"/>
      <c r="C948" s="28"/>
      <c r="D948" s="28"/>
      <c r="E948" s="50"/>
      <c r="F948" s="50"/>
      <c r="G948" s="50"/>
      <c r="H948" s="50"/>
    </row>
    <row r="949" spans="1:8">
      <c r="A949" s="27"/>
      <c r="C949" s="28"/>
      <c r="D949" s="28"/>
      <c r="E949" s="50"/>
      <c r="F949" s="50"/>
      <c r="G949" s="50"/>
      <c r="H949" s="50"/>
    </row>
    <row r="950" spans="1:8">
      <c r="A950" s="27"/>
      <c r="C950" s="28"/>
      <c r="D950" s="28"/>
      <c r="E950" s="50"/>
      <c r="F950" s="50"/>
      <c r="G950" s="50"/>
      <c r="H950" s="50"/>
    </row>
    <row r="951" spans="1:8">
      <c r="A951" s="27"/>
      <c r="C951" s="28"/>
      <c r="D951" s="28"/>
      <c r="E951" s="50"/>
      <c r="F951" s="50"/>
      <c r="G951" s="50"/>
      <c r="H951" s="50"/>
    </row>
    <row r="952" spans="1:8">
      <c r="A952" s="27"/>
      <c r="C952" s="28"/>
      <c r="D952" s="28"/>
      <c r="E952" s="50"/>
      <c r="F952" s="50"/>
      <c r="G952" s="50"/>
      <c r="H952" s="50"/>
    </row>
    <row r="953" spans="1:8">
      <c r="A953" s="27"/>
      <c r="C953" s="28"/>
      <c r="D953" s="28"/>
      <c r="E953" s="50"/>
      <c r="F953" s="50"/>
      <c r="G953" s="50"/>
      <c r="H953" s="50"/>
    </row>
    <row r="954" spans="1:8">
      <c r="A954" s="27"/>
      <c r="C954" s="28"/>
      <c r="D954" s="28"/>
      <c r="E954" s="50"/>
      <c r="F954" s="50"/>
      <c r="G954" s="50"/>
      <c r="H954" s="50"/>
    </row>
    <row r="955" spans="1:8">
      <c r="A955" s="27"/>
      <c r="C955" s="28"/>
      <c r="D955" s="28"/>
      <c r="E955" s="50"/>
      <c r="F955" s="50"/>
      <c r="G955" s="50"/>
      <c r="H955" s="50"/>
    </row>
  </sheetData>
  <autoFilter xmlns:etc="http://www.wps.cn/officeDocument/2017/etCustomData" ref="A5:I204" etc:filterBottomFollowUsedRange="0">
    <sortState ref="A5:I204">
      <sortCondition ref="B5:B202"/>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pageSetUpPr fitToPage="1"/>
  </sheetPr>
  <dimension ref="A1:I892"/>
  <sheetViews>
    <sheetView view="pageBreakPreview" zoomScaleNormal="85" workbookViewId="0">
      <selection activeCell="E27" sqref="E27"/>
    </sheetView>
  </sheetViews>
  <sheetFormatPr defaultColWidth="9.37962962962963" defaultRowHeight="13.8"/>
  <cols>
    <col min="1" max="1" width="7.62962962962963" style="121" customWidth="1"/>
    <col min="2" max="2" width="39.5" style="121" customWidth="1"/>
    <col min="3" max="4" width="30.75" style="122" customWidth="1"/>
    <col min="5" max="8" width="13.8796296296296" style="120" customWidth="1"/>
    <col min="9" max="16384" width="9.37962962962963" style="121"/>
  </cols>
  <sheetData>
    <row r="1" spans="1:9">
      <c r="A1" s="123" t="s">
        <v>2198</v>
      </c>
      <c r="B1" s="123"/>
      <c r="C1" s="124"/>
      <c r="D1" s="124"/>
      <c r="E1" s="123"/>
      <c r="F1" s="123"/>
      <c r="G1" s="123"/>
      <c r="H1" s="123"/>
    </row>
    <row r="2" spans="1:9">
      <c r="A2" s="125" t="s">
        <v>460</v>
      </c>
      <c r="B2" s="125"/>
      <c r="C2" s="125"/>
      <c r="D2" s="125"/>
      <c r="E2" s="125"/>
      <c r="F2" s="125"/>
      <c r="G2" s="125"/>
      <c r="H2" s="125"/>
    </row>
    <row r="3" s="120" customFormat="1" spans="1:9">
      <c r="A3" s="126" t="s">
        <v>5</v>
      </c>
      <c r="B3" s="126" t="s">
        <v>6</v>
      </c>
      <c r="C3" s="126" t="s">
        <v>7</v>
      </c>
      <c r="D3" s="126"/>
      <c r="E3" s="126" t="s">
        <v>8</v>
      </c>
      <c r="F3" s="126"/>
      <c r="G3" s="126"/>
      <c r="H3" s="126"/>
    </row>
    <row r="4" spans="1:9">
      <c r="A4" s="127"/>
      <c r="B4" s="127"/>
      <c r="C4" s="126" t="s">
        <v>9</v>
      </c>
      <c r="D4" s="126" t="s">
        <v>10</v>
      </c>
      <c r="E4" s="128" t="s">
        <v>11</v>
      </c>
      <c r="F4" s="128" t="s">
        <v>12</v>
      </c>
      <c r="G4" s="128" t="s">
        <v>13</v>
      </c>
      <c r="H4" s="128" t="s">
        <v>14</v>
      </c>
    </row>
    <row r="5" spans="1:9">
      <c r="A5" s="47" t="s">
        <v>140</v>
      </c>
      <c r="B5" s="47"/>
      <c r="C5" s="40"/>
      <c r="D5" s="40"/>
      <c r="E5" s="47" t="s">
        <v>16</v>
      </c>
      <c r="F5" s="47" t="s">
        <v>16</v>
      </c>
      <c r="G5" s="47" t="s">
        <v>16</v>
      </c>
      <c r="H5" s="47" t="s">
        <v>16</v>
      </c>
    </row>
    <row r="6" spans="1:9">
      <c r="A6" s="54">
        <v>1</v>
      </c>
      <c r="B6" s="129" t="s">
        <v>2199</v>
      </c>
      <c r="C6" s="40"/>
      <c r="D6" s="40"/>
      <c r="E6" s="47" t="s">
        <v>16</v>
      </c>
      <c r="F6" s="47" t="s">
        <v>16</v>
      </c>
      <c r="G6" s="47" t="s">
        <v>16</v>
      </c>
      <c r="H6" s="47" t="s">
        <v>16</v>
      </c>
      <c r="I6" s="130"/>
    </row>
    <row r="7" ht="27.6" spans="1:9">
      <c r="A7" s="131"/>
      <c r="B7" s="132" t="s">
        <v>2200</v>
      </c>
      <c r="C7" s="64"/>
      <c r="D7" s="64"/>
      <c r="E7" s="133">
        <v>215000</v>
      </c>
      <c r="F7" s="133">
        <v>150000</v>
      </c>
      <c r="G7" s="133">
        <v>105000</v>
      </c>
      <c r="H7" s="22">
        <v>0</v>
      </c>
      <c r="I7" s="134"/>
    </row>
    <row r="8" ht="27.6" spans="1:9">
      <c r="A8" s="131"/>
      <c r="B8" s="129" t="s">
        <v>2201</v>
      </c>
      <c r="C8" s="129"/>
      <c r="D8" s="129"/>
      <c r="E8" s="133">
        <v>175000</v>
      </c>
      <c r="F8" s="133">
        <v>125000</v>
      </c>
      <c r="G8" s="133">
        <v>90000</v>
      </c>
      <c r="H8" s="22">
        <v>0</v>
      </c>
      <c r="I8" s="134"/>
    </row>
    <row r="9" ht="27.6" spans="1:9">
      <c r="A9" s="131"/>
      <c r="B9" s="48" t="s">
        <v>2202</v>
      </c>
      <c r="C9" s="129"/>
      <c r="D9" s="129"/>
      <c r="E9" s="23">
        <v>175000</v>
      </c>
      <c r="F9" s="23">
        <v>125000</v>
      </c>
      <c r="G9" s="23">
        <v>90000</v>
      </c>
      <c r="H9" s="23">
        <v>0</v>
      </c>
      <c r="I9" s="134" t="s">
        <v>1068</v>
      </c>
    </row>
    <row r="10" ht="27.6" spans="1:9">
      <c r="A10" s="131"/>
      <c r="B10" s="129" t="s">
        <v>2203</v>
      </c>
      <c r="C10" s="64"/>
      <c r="D10" s="64"/>
      <c r="E10" s="23">
        <v>145000</v>
      </c>
      <c r="F10" s="23">
        <v>90000</v>
      </c>
      <c r="G10" s="23">
        <v>70000</v>
      </c>
      <c r="H10" s="23">
        <v>0</v>
      </c>
    </row>
    <row r="11" ht="27.6" spans="1:9">
      <c r="A11" s="131"/>
      <c r="B11" s="129" t="s">
        <v>2204</v>
      </c>
      <c r="C11" s="129"/>
      <c r="D11" s="129"/>
      <c r="E11" s="23">
        <v>145000</v>
      </c>
      <c r="F11" s="23">
        <v>90000</v>
      </c>
      <c r="G11" s="23">
        <v>70000</v>
      </c>
      <c r="H11" s="23">
        <v>0</v>
      </c>
    </row>
    <row r="12" spans="1:9">
      <c r="A12" s="47" t="s">
        <v>167</v>
      </c>
      <c r="B12" s="47"/>
      <c r="C12" s="40"/>
      <c r="D12" s="40"/>
      <c r="E12" s="23" t="s">
        <v>16</v>
      </c>
      <c r="F12" s="23" t="s">
        <v>16</v>
      </c>
      <c r="G12" s="23" t="s">
        <v>16</v>
      </c>
      <c r="H12" s="23" t="s">
        <v>16</v>
      </c>
    </row>
    <row r="13" ht="41.4" spans="1:9">
      <c r="A13" s="131">
        <v>2</v>
      </c>
      <c r="B13" s="129" t="s">
        <v>2205</v>
      </c>
      <c r="C13" s="129"/>
      <c r="D13" s="129"/>
      <c r="E13" s="23">
        <v>60000</v>
      </c>
      <c r="F13" s="23">
        <v>55000</v>
      </c>
      <c r="G13" s="23">
        <v>0</v>
      </c>
      <c r="H13" s="23">
        <v>0</v>
      </c>
    </row>
    <row r="14" ht="55.2" spans="1:9">
      <c r="A14" s="131">
        <f>+A13+1</f>
        <v>3</v>
      </c>
      <c r="B14" s="129" t="s">
        <v>2206</v>
      </c>
      <c r="C14" s="129"/>
      <c r="D14" s="129"/>
      <c r="E14" s="23">
        <v>55000</v>
      </c>
      <c r="F14" s="23">
        <v>45000</v>
      </c>
      <c r="G14" s="23">
        <v>0</v>
      </c>
      <c r="H14" s="23">
        <v>0</v>
      </c>
    </row>
    <row r="15" spans="1:9">
      <c r="A15" s="132"/>
      <c r="B15" s="132"/>
      <c r="C15" s="129"/>
      <c r="D15" s="129"/>
      <c r="E15" s="23" t="s">
        <v>16</v>
      </c>
      <c r="F15" s="23" t="s">
        <v>16</v>
      </c>
      <c r="G15" s="23" t="s">
        <v>16</v>
      </c>
      <c r="H15" s="23" t="s">
        <v>16</v>
      </c>
    </row>
    <row r="16" spans="1:9">
      <c r="A16" s="132"/>
      <c r="B16" s="132"/>
      <c r="C16" s="129"/>
      <c r="D16" s="129"/>
      <c r="E16" s="23" t="s">
        <v>16</v>
      </c>
      <c r="F16" s="23" t="s">
        <v>16</v>
      </c>
      <c r="G16" s="23" t="s">
        <v>16</v>
      </c>
      <c r="H16" s="23" t="s">
        <v>16</v>
      </c>
    </row>
    <row r="17" spans="1:8">
      <c r="A17" s="132"/>
      <c r="B17" s="132"/>
      <c r="C17" s="129"/>
      <c r="D17" s="129"/>
      <c r="E17" s="23" t="s">
        <v>16</v>
      </c>
      <c r="F17" s="23" t="s">
        <v>16</v>
      </c>
      <c r="G17" s="23" t="s">
        <v>16</v>
      </c>
      <c r="H17" s="23" t="s">
        <v>16</v>
      </c>
    </row>
    <row r="18" spans="1:8">
      <c r="A18" s="132"/>
      <c r="B18" s="132"/>
      <c r="C18" s="129"/>
      <c r="D18" s="129"/>
      <c r="E18" s="23" t="s">
        <v>16</v>
      </c>
      <c r="F18" s="23" t="s">
        <v>16</v>
      </c>
      <c r="G18" s="23" t="s">
        <v>16</v>
      </c>
      <c r="H18" s="23" t="s">
        <v>16</v>
      </c>
    </row>
    <row r="19" spans="1:8">
      <c r="A19" s="132"/>
      <c r="B19" s="132"/>
      <c r="C19" s="129"/>
      <c r="D19" s="129"/>
      <c r="E19" s="23" t="s">
        <v>16</v>
      </c>
      <c r="F19" s="23" t="s">
        <v>16</v>
      </c>
      <c r="G19" s="23" t="s">
        <v>16</v>
      </c>
      <c r="H19" s="23" t="s">
        <v>16</v>
      </c>
    </row>
    <row r="20" spans="1:8">
      <c r="A20" s="132"/>
      <c r="B20" s="132"/>
      <c r="C20" s="129"/>
      <c r="D20" s="129"/>
      <c r="E20" s="23" t="s">
        <v>16</v>
      </c>
      <c r="F20" s="23" t="s">
        <v>16</v>
      </c>
      <c r="G20" s="23" t="s">
        <v>16</v>
      </c>
      <c r="H20" s="23" t="s">
        <v>16</v>
      </c>
    </row>
    <row r="21" spans="1:8">
      <c r="A21" s="132"/>
      <c r="B21" s="132"/>
      <c r="C21" s="129"/>
      <c r="D21" s="129"/>
      <c r="E21" s="23" t="s">
        <v>16</v>
      </c>
      <c r="F21" s="23" t="s">
        <v>16</v>
      </c>
      <c r="G21" s="23" t="s">
        <v>16</v>
      </c>
      <c r="H21" s="23" t="s">
        <v>16</v>
      </c>
    </row>
    <row r="22" spans="1:8">
      <c r="A22" s="132"/>
      <c r="B22" s="132"/>
      <c r="C22" s="129"/>
      <c r="D22" s="129"/>
      <c r="E22" s="23" t="s">
        <v>16</v>
      </c>
      <c r="F22" s="23" t="s">
        <v>16</v>
      </c>
      <c r="G22" s="23" t="s">
        <v>16</v>
      </c>
      <c r="H22" s="23" t="s">
        <v>16</v>
      </c>
    </row>
    <row r="23" spans="1:8">
      <c r="A23" s="132"/>
      <c r="B23" s="132"/>
      <c r="C23" s="129"/>
      <c r="D23" s="129"/>
      <c r="E23" s="23" t="s">
        <v>16</v>
      </c>
      <c r="F23" s="23" t="s">
        <v>16</v>
      </c>
      <c r="G23" s="23" t="s">
        <v>16</v>
      </c>
      <c r="H23" s="23" t="s">
        <v>16</v>
      </c>
    </row>
    <row r="24" spans="1:8">
      <c r="A24" s="132"/>
      <c r="B24" s="132"/>
      <c r="C24" s="129"/>
      <c r="D24" s="129"/>
      <c r="E24" s="23" t="s">
        <v>16</v>
      </c>
      <c r="F24" s="23" t="s">
        <v>16</v>
      </c>
      <c r="G24" s="23" t="s">
        <v>16</v>
      </c>
      <c r="H24" s="23" t="s">
        <v>16</v>
      </c>
    </row>
    <row r="25" spans="1:8">
      <c r="A25" s="132"/>
      <c r="B25" s="132"/>
      <c r="C25" s="129"/>
      <c r="D25" s="129"/>
      <c r="E25" s="23" t="s">
        <v>16</v>
      </c>
      <c r="F25" s="23" t="s">
        <v>16</v>
      </c>
      <c r="G25" s="23" t="s">
        <v>16</v>
      </c>
      <c r="H25" s="23" t="s">
        <v>16</v>
      </c>
    </row>
    <row r="26" spans="1:8">
      <c r="A26" s="132"/>
      <c r="B26" s="132"/>
      <c r="C26" s="129"/>
      <c r="D26" s="129"/>
      <c r="E26" s="23" t="s">
        <v>16</v>
      </c>
      <c r="F26" s="23" t="s">
        <v>16</v>
      </c>
      <c r="G26" s="23" t="s">
        <v>16</v>
      </c>
      <c r="H26" s="23" t="s">
        <v>16</v>
      </c>
    </row>
    <row r="27" spans="1:8">
      <c r="A27" s="132"/>
      <c r="B27" s="132"/>
      <c r="C27" s="129"/>
      <c r="D27" s="129"/>
      <c r="E27" s="23" t="s">
        <v>16</v>
      </c>
      <c r="F27" s="23" t="s">
        <v>16</v>
      </c>
      <c r="G27" s="23" t="s">
        <v>16</v>
      </c>
      <c r="H27" s="23" t="s">
        <v>16</v>
      </c>
    </row>
    <row r="28" spans="1:8">
      <c r="A28" s="132"/>
      <c r="B28" s="132"/>
      <c r="C28" s="129"/>
      <c r="D28" s="129"/>
      <c r="E28" s="23" t="s">
        <v>16</v>
      </c>
      <c r="F28" s="23" t="s">
        <v>16</v>
      </c>
      <c r="G28" s="23" t="s">
        <v>16</v>
      </c>
      <c r="H28" s="23" t="s">
        <v>16</v>
      </c>
    </row>
    <row r="29" spans="1:8">
      <c r="A29" s="132"/>
      <c r="B29" s="132"/>
      <c r="C29" s="129"/>
      <c r="D29" s="129"/>
      <c r="E29" s="23" t="s">
        <v>16</v>
      </c>
      <c r="F29" s="23" t="s">
        <v>16</v>
      </c>
      <c r="G29" s="23" t="s">
        <v>16</v>
      </c>
      <c r="H29" s="23" t="s">
        <v>16</v>
      </c>
    </row>
    <row r="30" spans="1:8">
      <c r="A30" s="132"/>
      <c r="B30" s="132"/>
      <c r="C30" s="129"/>
      <c r="D30" s="129"/>
      <c r="E30" s="23" t="s">
        <v>16</v>
      </c>
      <c r="F30" s="23" t="s">
        <v>16</v>
      </c>
      <c r="G30" s="23" t="s">
        <v>16</v>
      </c>
      <c r="H30" s="23" t="s">
        <v>16</v>
      </c>
    </row>
    <row r="31" spans="1:8">
      <c r="A31" s="131"/>
      <c r="B31" s="132"/>
      <c r="C31" s="129"/>
      <c r="D31" s="129"/>
      <c r="E31" s="23" t="s">
        <v>16</v>
      </c>
      <c r="F31" s="23" t="s">
        <v>16</v>
      </c>
      <c r="G31" s="23" t="s">
        <v>16</v>
      </c>
      <c r="H31" s="23" t="s">
        <v>16</v>
      </c>
    </row>
    <row r="32" spans="1:8">
      <c r="A32" s="132"/>
      <c r="B32" s="132"/>
      <c r="C32" s="129"/>
      <c r="D32" s="129"/>
      <c r="E32" s="23" t="s">
        <v>16</v>
      </c>
      <c r="F32" s="23" t="s">
        <v>16</v>
      </c>
      <c r="G32" s="23" t="s">
        <v>16</v>
      </c>
      <c r="H32" s="23" t="s">
        <v>16</v>
      </c>
    </row>
    <row r="33" spans="1:8">
      <c r="A33" s="132"/>
      <c r="B33" s="132"/>
      <c r="C33" s="129"/>
      <c r="D33" s="129"/>
      <c r="E33" s="23" t="s">
        <v>16</v>
      </c>
      <c r="F33" s="23" t="s">
        <v>16</v>
      </c>
      <c r="G33" s="23" t="s">
        <v>16</v>
      </c>
      <c r="H33" s="23" t="s">
        <v>16</v>
      </c>
    </row>
    <row r="34" spans="1:8">
      <c r="A34" s="132"/>
      <c r="B34" s="132"/>
      <c r="C34" s="129"/>
      <c r="D34" s="129"/>
      <c r="E34" s="23" t="s">
        <v>16</v>
      </c>
      <c r="F34" s="23" t="s">
        <v>16</v>
      </c>
      <c r="G34" s="23" t="s">
        <v>16</v>
      </c>
      <c r="H34" s="23" t="s">
        <v>16</v>
      </c>
    </row>
    <row r="35" spans="1:8">
      <c r="A35" s="132"/>
      <c r="B35" s="132"/>
      <c r="C35" s="129"/>
      <c r="D35" s="129"/>
      <c r="E35" s="23" t="s">
        <v>16</v>
      </c>
      <c r="F35" s="23" t="s">
        <v>16</v>
      </c>
      <c r="G35" s="23" t="s">
        <v>16</v>
      </c>
      <c r="H35" s="23" t="s">
        <v>16</v>
      </c>
    </row>
    <row r="36" spans="1:8">
      <c r="A36" s="132"/>
      <c r="B36" s="132"/>
      <c r="C36" s="129"/>
      <c r="D36" s="129"/>
      <c r="E36" s="23" t="s">
        <v>16</v>
      </c>
      <c r="F36" s="23" t="s">
        <v>16</v>
      </c>
      <c r="G36" s="23" t="s">
        <v>16</v>
      </c>
      <c r="H36" s="23" t="s">
        <v>16</v>
      </c>
    </row>
    <row r="37" spans="1:8">
      <c r="A37" s="132"/>
      <c r="B37" s="132"/>
      <c r="C37" s="129"/>
      <c r="D37" s="129"/>
      <c r="E37" s="23" t="s">
        <v>16</v>
      </c>
      <c r="F37" s="23" t="s">
        <v>16</v>
      </c>
      <c r="G37" s="23" t="s">
        <v>16</v>
      </c>
      <c r="H37" s="23" t="s">
        <v>16</v>
      </c>
    </row>
    <row r="38" spans="1:8">
      <c r="A38" s="132"/>
      <c r="B38" s="132"/>
      <c r="C38" s="129"/>
      <c r="D38" s="129"/>
      <c r="E38" s="23" t="s">
        <v>16</v>
      </c>
      <c r="F38" s="23" t="s">
        <v>16</v>
      </c>
      <c r="G38" s="23" t="s">
        <v>16</v>
      </c>
      <c r="H38" s="23" t="s">
        <v>16</v>
      </c>
    </row>
    <row r="39" spans="1:8">
      <c r="A39" s="132"/>
      <c r="B39" s="132"/>
      <c r="C39" s="129"/>
      <c r="D39" s="129"/>
      <c r="E39" s="23" t="s">
        <v>16</v>
      </c>
      <c r="F39" s="23" t="s">
        <v>16</v>
      </c>
      <c r="G39" s="23" t="s">
        <v>16</v>
      </c>
      <c r="H39" s="23" t="s">
        <v>16</v>
      </c>
    </row>
    <row r="40" spans="1:8">
      <c r="A40" s="132"/>
      <c r="B40" s="132"/>
      <c r="C40" s="129"/>
      <c r="D40" s="129"/>
      <c r="E40" s="23" t="s">
        <v>16</v>
      </c>
      <c r="F40" s="23" t="s">
        <v>16</v>
      </c>
      <c r="G40" s="23" t="s">
        <v>16</v>
      </c>
      <c r="H40" s="23" t="s">
        <v>16</v>
      </c>
    </row>
    <row r="41" spans="1:8">
      <c r="A41" s="132"/>
      <c r="B41" s="132"/>
      <c r="C41" s="129"/>
      <c r="D41" s="129"/>
      <c r="E41" s="23" t="s">
        <v>16</v>
      </c>
      <c r="F41" s="23" t="s">
        <v>16</v>
      </c>
      <c r="G41" s="23" t="s">
        <v>16</v>
      </c>
      <c r="H41" s="23" t="s">
        <v>16</v>
      </c>
    </row>
    <row r="42" spans="1:8">
      <c r="A42" s="132"/>
      <c r="B42" s="132"/>
      <c r="C42" s="129"/>
      <c r="D42" s="129"/>
      <c r="E42" s="23" t="s">
        <v>16</v>
      </c>
      <c r="F42" s="23" t="s">
        <v>16</v>
      </c>
      <c r="G42" s="23" t="s">
        <v>16</v>
      </c>
      <c r="H42" s="23" t="s">
        <v>16</v>
      </c>
    </row>
    <row r="43" spans="1:8">
      <c r="A43" s="132"/>
      <c r="B43" s="132"/>
      <c r="C43" s="129"/>
      <c r="D43" s="129"/>
      <c r="E43" s="23" t="s">
        <v>16</v>
      </c>
      <c r="F43" s="23" t="s">
        <v>16</v>
      </c>
      <c r="G43" s="23" t="s">
        <v>16</v>
      </c>
      <c r="H43" s="23" t="s">
        <v>16</v>
      </c>
    </row>
    <row r="44" spans="1:8">
      <c r="A44" s="132"/>
      <c r="B44" s="132"/>
      <c r="C44" s="129"/>
      <c r="D44" s="129"/>
      <c r="E44" s="23" t="s">
        <v>16</v>
      </c>
      <c r="F44" s="23" t="s">
        <v>16</v>
      </c>
      <c r="G44" s="23" t="s">
        <v>16</v>
      </c>
      <c r="H44" s="23" t="s">
        <v>16</v>
      </c>
    </row>
    <row r="45" spans="1:8">
      <c r="A45" s="132"/>
      <c r="B45" s="132"/>
      <c r="C45" s="129"/>
      <c r="D45" s="129"/>
      <c r="E45" s="23" t="s">
        <v>16</v>
      </c>
      <c r="F45" s="23" t="s">
        <v>16</v>
      </c>
      <c r="G45" s="23" t="s">
        <v>16</v>
      </c>
      <c r="H45" s="23" t="s">
        <v>16</v>
      </c>
    </row>
    <row r="46" spans="1:8">
      <c r="A46" s="132"/>
      <c r="B46" s="132"/>
      <c r="C46" s="129"/>
      <c r="D46" s="129"/>
      <c r="E46" s="23" t="s">
        <v>16</v>
      </c>
      <c r="F46" s="23" t="s">
        <v>16</v>
      </c>
      <c r="G46" s="23" t="s">
        <v>16</v>
      </c>
      <c r="H46" s="23" t="s">
        <v>16</v>
      </c>
    </row>
    <row r="47" spans="1:8">
      <c r="A47" s="132"/>
      <c r="B47" s="132"/>
      <c r="C47" s="129"/>
      <c r="D47" s="129"/>
      <c r="E47" s="23" t="s">
        <v>16</v>
      </c>
      <c r="F47" s="23" t="s">
        <v>16</v>
      </c>
      <c r="G47" s="23" t="s">
        <v>16</v>
      </c>
      <c r="H47" s="23" t="s">
        <v>16</v>
      </c>
    </row>
    <row r="48" spans="1:8">
      <c r="A48" s="132"/>
      <c r="B48" s="132"/>
      <c r="C48" s="129"/>
      <c r="D48" s="129"/>
      <c r="E48" s="23" t="s">
        <v>16</v>
      </c>
      <c r="F48" s="23" t="s">
        <v>16</v>
      </c>
      <c r="G48" s="23" t="s">
        <v>16</v>
      </c>
      <c r="H48" s="23" t="s">
        <v>16</v>
      </c>
    </row>
    <row r="49" spans="1:8">
      <c r="A49" s="132"/>
      <c r="B49" s="132"/>
      <c r="C49" s="129"/>
      <c r="D49" s="129"/>
      <c r="E49" s="23" t="s">
        <v>16</v>
      </c>
      <c r="F49" s="23" t="s">
        <v>16</v>
      </c>
      <c r="G49" s="23" t="s">
        <v>16</v>
      </c>
      <c r="H49" s="23" t="s">
        <v>16</v>
      </c>
    </row>
    <row r="50" spans="1:8">
      <c r="A50" s="132"/>
      <c r="B50" s="132"/>
      <c r="C50" s="129"/>
      <c r="D50" s="129"/>
      <c r="E50" s="23" t="s">
        <v>16</v>
      </c>
      <c r="F50" s="23" t="s">
        <v>16</v>
      </c>
      <c r="G50" s="23" t="s">
        <v>16</v>
      </c>
      <c r="H50" s="23" t="s">
        <v>16</v>
      </c>
    </row>
    <row r="51" spans="1:8">
      <c r="A51" s="132"/>
      <c r="B51" s="132"/>
      <c r="C51" s="129"/>
      <c r="D51" s="129"/>
      <c r="E51" s="23" t="s">
        <v>16</v>
      </c>
      <c r="F51" s="23" t="s">
        <v>16</v>
      </c>
      <c r="G51" s="23" t="s">
        <v>16</v>
      </c>
      <c r="H51" s="23" t="s">
        <v>16</v>
      </c>
    </row>
    <row r="52" spans="1:8">
      <c r="A52" s="132"/>
      <c r="B52" s="135"/>
      <c r="C52" s="136"/>
      <c r="D52" s="136"/>
      <c r="E52" s="23" t="s">
        <v>16</v>
      </c>
      <c r="F52" s="23" t="s">
        <v>16</v>
      </c>
      <c r="G52" s="23" t="s">
        <v>16</v>
      </c>
      <c r="H52" s="23" t="s">
        <v>16</v>
      </c>
    </row>
    <row r="53" spans="1:8">
      <c r="A53" s="132"/>
      <c r="B53" s="132"/>
      <c r="C53" s="129"/>
      <c r="D53" s="129"/>
      <c r="E53" s="23" t="s">
        <v>16</v>
      </c>
      <c r="F53" s="23" t="s">
        <v>16</v>
      </c>
      <c r="G53" s="23" t="s">
        <v>16</v>
      </c>
      <c r="H53" s="23" t="s">
        <v>16</v>
      </c>
    </row>
    <row r="54" spans="1:8">
      <c r="A54" s="132"/>
      <c r="B54" s="132"/>
      <c r="C54" s="129"/>
      <c r="D54" s="129"/>
      <c r="E54" s="23" t="s">
        <v>16</v>
      </c>
      <c r="F54" s="23" t="s">
        <v>16</v>
      </c>
      <c r="G54" s="23" t="s">
        <v>16</v>
      </c>
      <c r="H54" s="23" t="s">
        <v>16</v>
      </c>
    </row>
    <row r="55" spans="1:8">
      <c r="A55" s="132"/>
      <c r="B55" s="132"/>
      <c r="C55" s="129"/>
      <c r="D55" s="129"/>
      <c r="E55" s="23" t="s">
        <v>16</v>
      </c>
      <c r="F55" s="23" t="s">
        <v>16</v>
      </c>
      <c r="G55" s="23" t="s">
        <v>16</v>
      </c>
      <c r="H55" s="23" t="s">
        <v>16</v>
      </c>
    </row>
    <row r="56" spans="1:8">
      <c r="A56" s="132"/>
      <c r="B56" s="132"/>
      <c r="C56" s="129"/>
      <c r="D56" s="129"/>
      <c r="E56" s="23" t="s">
        <v>16</v>
      </c>
      <c r="F56" s="23" t="s">
        <v>16</v>
      </c>
      <c r="G56" s="23" t="s">
        <v>16</v>
      </c>
      <c r="H56" s="23" t="s">
        <v>16</v>
      </c>
    </row>
    <row r="57" spans="1:8">
      <c r="A57" s="132"/>
      <c r="B57" s="132"/>
      <c r="C57" s="129"/>
      <c r="D57" s="129"/>
      <c r="E57" s="23" t="s">
        <v>16</v>
      </c>
      <c r="F57" s="23" t="s">
        <v>16</v>
      </c>
      <c r="G57" s="23" t="s">
        <v>16</v>
      </c>
      <c r="H57" s="23" t="s">
        <v>16</v>
      </c>
    </row>
    <row r="58" spans="1:8">
      <c r="A58" s="132"/>
      <c r="B58" s="132"/>
      <c r="C58" s="129"/>
      <c r="D58" s="129"/>
      <c r="E58" s="23" t="s">
        <v>16</v>
      </c>
      <c r="F58" s="23" t="s">
        <v>16</v>
      </c>
      <c r="G58" s="23" t="s">
        <v>16</v>
      </c>
      <c r="H58" s="23" t="s">
        <v>16</v>
      </c>
    </row>
    <row r="59" spans="1:8">
      <c r="A59" s="132"/>
      <c r="B59" s="132"/>
      <c r="C59" s="129"/>
      <c r="D59" s="129"/>
      <c r="E59" s="23" t="s">
        <v>16</v>
      </c>
      <c r="F59" s="23" t="s">
        <v>16</v>
      </c>
      <c r="G59" s="23" t="s">
        <v>16</v>
      </c>
      <c r="H59" s="23" t="s">
        <v>16</v>
      </c>
    </row>
    <row r="60" spans="1:8">
      <c r="A60" s="132"/>
      <c r="B60" s="132"/>
      <c r="C60" s="129"/>
      <c r="D60" s="129"/>
      <c r="E60" s="23" t="s">
        <v>16</v>
      </c>
      <c r="F60" s="23" t="s">
        <v>16</v>
      </c>
      <c r="G60" s="23" t="s">
        <v>16</v>
      </c>
      <c r="H60" s="23" t="s">
        <v>16</v>
      </c>
    </row>
    <row r="61" spans="1:8">
      <c r="A61" s="132"/>
      <c r="B61" s="132"/>
      <c r="C61" s="129"/>
      <c r="D61" s="129"/>
      <c r="E61" s="23" t="s">
        <v>16</v>
      </c>
      <c r="F61" s="23" t="s">
        <v>16</v>
      </c>
      <c r="G61" s="23" t="s">
        <v>16</v>
      </c>
      <c r="H61" s="23" t="s">
        <v>16</v>
      </c>
    </row>
    <row r="62" spans="1:8">
      <c r="A62" s="132"/>
      <c r="B62" s="132"/>
      <c r="C62" s="129"/>
      <c r="D62" s="129"/>
      <c r="E62" s="23" t="s">
        <v>16</v>
      </c>
      <c r="F62" s="23" t="s">
        <v>16</v>
      </c>
      <c r="G62" s="23" t="s">
        <v>16</v>
      </c>
      <c r="H62" s="23" t="s">
        <v>16</v>
      </c>
    </row>
    <row r="63" spans="1:8">
      <c r="A63" s="132"/>
      <c r="B63" s="132"/>
      <c r="C63" s="129"/>
      <c r="D63" s="129"/>
      <c r="E63" s="23" t="s">
        <v>16</v>
      </c>
      <c r="F63" s="23" t="s">
        <v>16</v>
      </c>
      <c r="G63" s="23" t="s">
        <v>16</v>
      </c>
      <c r="H63" s="23" t="s">
        <v>16</v>
      </c>
    </row>
    <row r="64" spans="1:8">
      <c r="A64" s="132"/>
      <c r="B64" s="132"/>
      <c r="C64" s="129"/>
      <c r="D64" s="129"/>
      <c r="E64" s="23" t="s">
        <v>16</v>
      </c>
      <c r="F64" s="23" t="s">
        <v>16</v>
      </c>
      <c r="G64" s="23" t="s">
        <v>16</v>
      </c>
      <c r="H64" s="23" t="s">
        <v>16</v>
      </c>
    </row>
    <row r="65" spans="1:8">
      <c r="A65" s="132"/>
      <c r="B65" s="132"/>
      <c r="C65" s="129"/>
      <c r="D65" s="129"/>
      <c r="E65" s="23" t="s">
        <v>16</v>
      </c>
      <c r="F65" s="23" t="s">
        <v>16</v>
      </c>
      <c r="G65" s="23" t="s">
        <v>16</v>
      </c>
      <c r="H65" s="23" t="s">
        <v>16</v>
      </c>
    </row>
    <row r="66" spans="1:8">
      <c r="A66" s="132"/>
      <c r="B66" s="132"/>
      <c r="C66" s="129"/>
      <c r="D66" s="129"/>
      <c r="E66" s="23" t="s">
        <v>16</v>
      </c>
      <c r="F66" s="23" t="s">
        <v>16</v>
      </c>
      <c r="G66" s="23" t="s">
        <v>16</v>
      </c>
      <c r="H66" s="23" t="s">
        <v>16</v>
      </c>
    </row>
    <row r="67" spans="1:8">
      <c r="A67" s="132"/>
      <c r="B67" s="132"/>
      <c r="C67" s="129"/>
      <c r="D67" s="129"/>
      <c r="E67" s="23" t="s">
        <v>16</v>
      </c>
      <c r="F67" s="23" t="s">
        <v>16</v>
      </c>
      <c r="G67" s="23" t="s">
        <v>16</v>
      </c>
      <c r="H67" s="23" t="s">
        <v>16</v>
      </c>
    </row>
    <row r="68" spans="1:8">
      <c r="A68" s="132"/>
      <c r="B68" s="132"/>
      <c r="C68" s="129"/>
      <c r="D68" s="129"/>
      <c r="E68" s="23" t="s">
        <v>16</v>
      </c>
      <c r="F68" s="23" t="s">
        <v>16</v>
      </c>
      <c r="G68" s="23" t="s">
        <v>16</v>
      </c>
      <c r="H68" s="23" t="s">
        <v>16</v>
      </c>
    </row>
    <row r="69" spans="1:8">
      <c r="A69" s="132"/>
      <c r="B69" s="132"/>
      <c r="C69" s="129"/>
      <c r="D69" s="129"/>
      <c r="E69" s="23" t="s">
        <v>16</v>
      </c>
      <c r="F69" s="23" t="s">
        <v>16</v>
      </c>
      <c r="G69" s="23" t="s">
        <v>16</v>
      </c>
      <c r="H69" s="23" t="s">
        <v>16</v>
      </c>
    </row>
    <row r="70" spans="1:8">
      <c r="A70" s="132"/>
      <c r="B70" s="132"/>
      <c r="C70" s="129"/>
      <c r="D70" s="129"/>
      <c r="E70" s="23" t="s">
        <v>16</v>
      </c>
      <c r="F70" s="23" t="s">
        <v>16</v>
      </c>
      <c r="G70" s="23" t="s">
        <v>16</v>
      </c>
      <c r="H70" s="23" t="s">
        <v>16</v>
      </c>
    </row>
    <row r="71" spans="1:8">
      <c r="A71" s="132"/>
      <c r="B71" s="132"/>
      <c r="C71" s="129"/>
      <c r="D71" s="129"/>
      <c r="E71" s="23" t="s">
        <v>16</v>
      </c>
      <c r="F71" s="23" t="s">
        <v>16</v>
      </c>
      <c r="G71" s="23" t="s">
        <v>16</v>
      </c>
      <c r="H71" s="23" t="s">
        <v>16</v>
      </c>
    </row>
    <row r="72" spans="1:8">
      <c r="A72" s="132"/>
      <c r="B72" s="132"/>
      <c r="C72" s="129"/>
      <c r="D72" s="129"/>
      <c r="E72" s="23" t="s">
        <v>16</v>
      </c>
      <c r="F72" s="23" t="s">
        <v>16</v>
      </c>
      <c r="G72" s="23" t="s">
        <v>16</v>
      </c>
      <c r="H72" s="23" t="s">
        <v>16</v>
      </c>
    </row>
    <row r="73" spans="1:8">
      <c r="A73" s="132"/>
      <c r="B73" s="132"/>
      <c r="C73" s="129"/>
      <c r="D73" s="129"/>
      <c r="E73" s="23" t="s">
        <v>16</v>
      </c>
      <c r="F73" s="23" t="s">
        <v>16</v>
      </c>
      <c r="G73" s="23" t="s">
        <v>16</v>
      </c>
      <c r="H73" s="23" t="s">
        <v>16</v>
      </c>
    </row>
    <row r="74" spans="1:8">
      <c r="A74" s="132"/>
      <c r="B74" s="132"/>
      <c r="C74" s="129"/>
      <c r="D74" s="129"/>
      <c r="E74" s="23" t="s">
        <v>16</v>
      </c>
      <c r="F74" s="23" t="s">
        <v>16</v>
      </c>
      <c r="G74" s="23" t="s">
        <v>16</v>
      </c>
      <c r="H74" s="23" t="s">
        <v>16</v>
      </c>
    </row>
    <row r="75" spans="1:8">
      <c r="A75" s="132"/>
      <c r="B75" s="132"/>
      <c r="C75" s="129"/>
      <c r="D75" s="129"/>
      <c r="E75" s="23" t="s">
        <v>16</v>
      </c>
      <c r="F75" s="23" t="s">
        <v>16</v>
      </c>
      <c r="G75" s="23" t="s">
        <v>16</v>
      </c>
      <c r="H75" s="23" t="s">
        <v>16</v>
      </c>
    </row>
    <row r="76" spans="1:8">
      <c r="A76" s="132"/>
      <c r="B76" s="132"/>
      <c r="C76" s="129"/>
      <c r="D76" s="129"/>
      <c r="E76" s="23" t="s">
        <v>16</v>
      </c>
      <c r="F76" s="23" t="s">
        <v>16</v>
      </c>
      <c r="G76" s="23" t="s">
        <v>16</v>
      </c>
      <c r="H76" s="23" t="s">
        <v>16</v>
      </c>
    </row>
    <row r="77" spans="1:8">
      <c r="A77" s="132"/>
      <c r="B77" s="132"/>
      <c r="C77" s="129"/>
      <c r="D77" s="129"/>
      <c r="E77" s="23" t="s">
        <v>16</v>
      </c>
      <c r="F77" s="23" t="s">
        <v>16</v>
      </c>
      <c r="G77" s="23" t="s">
        <v>16</v>
      </c>
      <c r="H77" s="23" t="s">
        <v>16</v>
      </c>
    </row>
    <row r="78" spans="1:8">
      <c r="A78" s="132"/>
      <c r="B78" s="132"/>
      <c r="C78" s="129"/>
      <c r="D78" s="129"/>
      <c r="E78" s="23" t="s">
        <v>16</v>
      </c>
      <c r="F78" s="23" t="s">
        <v>16</v>
      </c>
      <c r="G78" s="23" t="s">
        <v>16</v>
      </c>
      <c r="H78" s="23" t="s">
        <v>16</v>
      </c>
    </row>
    <row r="79" spans="1:8">
      <c r="A79" s="132"/>
      <c r="B79" s="132"/>
      <c r="C79" s="129"/>
      <c r="D79" s="129"/>
      <c r="E79" s="23" t="s">
        <v>16</v>
      </c>
      <c r="F79" s="23" t="s">
        <v>16</v>
      </c>
      <c r="G79" s="23" t="s">
        <v>16</v>
      </c>
      <c r="H79" s="23" t="s">
        <v>16</v>
      </c>
    </row>
    <row r="80" spans="1:8">
      <c r="A80" s="132"/>
      <c r="B80" s="137"/>
      <c r="C80" s="138"/>
      <c r="D80" s="138"/>
      <c r="E80" s="23" t="s">
        <v>16</v>
      </c>
      <c r="F80" s="23" t="s">
        <v>16</v>
      </c>
      <c r="G80" s="23" t="s">
        <v>16</v>
      </c>
      <c r="H80" s="23" t="s">
        <v>16</v>
      </c>
    </row>
    <row r="81" spans="1:8">
      <c r="A81" s="132"/>
      <c r="B81" s="132"/>
      <c r="C81" s="129"/>
      <c r="D81" s="129"/>
      <c r="E81" s="23" t="s">
        <v>16</v>
      </c>
      <c r="F81" s="23" t="s">
        <v>16</v>
      </c>
      <c r="G81" s="23" t="s">
        <v>16</v>
      </c>
      <c r="H81" s="23" t="s">
        <v>16</v>
      </c>
    </row>
    <row r="82" spans="1:8">
      <c r="A82" s="132"/>
      <c r="B82" s="132"/>
      <c r="C82" s="129"/>
      <c r="D82" s="129"/>
      <c r="E82" s="23" t="s">
        <v>16</v>
      </c>
      <c r="F82" s="23" t="s">
        <v>16</v>
      </c>
      <c r="G82" s="23" t="s">
        <v>16</v>
      </c>
      <c r="H82" s="23" t="s">
        <v>16</v>
      </c>
    </row>
    <row r="83" spans="1:8">
      <c r="A83" s="132"/>
      <c r="B83" s="132"/>
      <c r="C83" s="129"/>
      <c r="D83" s="129"/>
      <c r="E83" s="23" t="s">
        <v>16</v>
      </c>
      <c r="F83" s="23" t="s">
        <v>16</v>
      </c>
      <c r="G83" s="23" t="s">
        <v>16</v>
      </c>
      <c r="H83" s="23" t="s">
        <v>16</v>
      </c>
    </row>
    <row r="84" spans="1:8">
      <c r="A84" s="139"/>
      <c r="B84" s="139"/>
      <c r="C84" s="140"/>
      <c r="D84" s="140"/>
      <c r="E84" s="23" t="s">
        <v>16</v>
      </c>
      <c r="F84" s="23" t="s">
        <v>16</v>
      </c>
      <c r="G84" s="23" t="s">
        <v>16</v>
      </c>
      <c r="H84" s="23" t="s">
        <v>16</v>
      </c>
    </row>
    <row r="85" spans="1:8">
      <c r="A85" s="139"/>
      <c r="B85" s="139"/>
      <c r="C85" s="140"/>
      <c r="D85" s="140"/>
      <c r="E85" s="23" t="s">
        <v>16</v>
      </c>
      <c r="F85" s="23" t="s">
        <v>16</v>
      </c>
      <c r="G85" s="23" t="s">
        <v>16</v>
      </c>
      <c r="H85" s="23" t="s">
        <v>16</v>
      </c>
    </row>
    <row r="86" spans="1:8">
      <c r="A86" s="139"/>
      <c r="B86" s="139"/>
      <c r="C86" s="140"/>
      <c r="D86" s="140"/>
      <c r="E86" s="23" t="s">
        <v>16</v>
      </c>
      <c r="F86" s="23" t="s">
        <v>16</v>
      </c>
      <c r="G86" s="23" t="s">
        <v>16</v>
      </c>
      <c r="H86" s="23" t="s">
        <v>16</v>
      </c>
    </row>
    <row r="87" spans="1:8">
      <c r="A87" s="139"/>
      <c r="B87" s="139"/>
      <c r="C87" s="140"/>
      <c r="D87" s="140"/>
      <c r="E87" s="23" t="s">
        <v>16</v>
      </c>
      <c r="F87" s="23" t="s">
        <v>16</v>
      </c>
      <c r="G87" s="23" t="s">
        <v>16</v>
      </c>
      <c r="H87" s="23" t="s">
        <v>16</v>
      </c>
    </row>
    <row r="88" spans="1:8">
      <c r="A88" s="139"/>
      <c r="B88" s="139"/>
      <c r="C88" s="140"/>
      <c r="D88" s="140"/>
      <c r="E88" s="23" t="s">
        <v>16</v>
      </c>
      <c r="F88" s="23" t="s">
        <v>16</v>
      </c>
      <c r="G88" s="23" t="s">
        <v>16</v>
      </c>
      <c r="H88" s="23" t="s">
        <v>16</v>
      </c>
    </row>
    <row r="89" spans="1:8">
      <c r="A89" s="139"/>
      <c r="B89" s="139"/>
      <c r="C89" s="140"/>
      <c r="D89" s="140"/>
      <c r="E89" s="23" t="s">
        <v>16</v>
      </c>
      <c r="F89" s="23" t="s">
        <v>16</v>
      </c>
      <c r="G89" s="23" t="s">
        <v>16</v>
      </c>
      <c r="H89" s="23" t="s">
        <v>16</v>
      </c>
    </row>
    <row r="90" spans="1:8">
      <c r="A90" s="139"/>
      <c r="B90" s="139"/>
      <c r="C90" s="140"/>
      <c r="D90" s="140"/>
      <c r="E90" s="23" t="s">
        <v>16</v>
      </c>
      <c r="F90" s="23" t="s">
        <v>16</v>
      </c>
      <c r="G90" s="23" t="s">
        <v>16</v>
      </c>
      <c r="H90" s="23" t="s">
        <v>16</v>
      </c>
    </row>
    <row r="91" spans="1:8">
      <c r="A91" s="139"/>
      <c r="B91" s="139"/>
      <c r="C91" s="140"/>
      <c r="D91" s="140"/>
      <c r="E91" s="23" t="s">
        <v>16</v>
      </c>
      <c r="F91" s="23" t="s">
        <v>16</v>
      </c>
      <c r="G91" s="23" t="s">
        <v>16</v>
      </c>
      <c r="H91" s="23" t="s">
        <v>16</v>
      </c>
    </row>
    <row r="92" spans="1:8">
      <c r="A92" s="139"/>
      <c r="B92" s="139"/>
      <c r="C92" s="140"/>
      <c r="D92" s="140"/>
      <c r="E92" s="23" t="s">
        <v>16</v>
      </c>
      <c r="F92" s="23" t="s">
        <v>16</v>
      </c>
      <c r="G92" s="23" t="s">
        <v>16</v>
      </c>
      <c r="H92" s="23" t="s">
        <v>16</v>
      </c>
    </row>
    <row r="93" spans="1:8">
      <c r="A93" s="139"/>
      <c r="B93" s="139"/>
      <c r="C93" s="140"/>
      <c r="D93" s="140"/>
      <c r="E93" s="23" t="s">
        <v>16</v>
      </c>
      <c r="F93" s="23" t="s">
        <v>16</v>
      </c>
      <c r="G93" s="23" t="s">
        <v>16</v>
      </c>
      <c r="H93" s="23" t="s">
        <v>16</v>
      </c>
    </row>
    <row r="94" spans="1:8">
      <c r="A94" s="139"/>
      <c r="B94" s="139"/>
      <c r="C94" s="140"/>
      <c r="D94" s="140"/>
      <c r="E94" s="23" t="s">
        <v>16</v>
      </c>
      <c r="F94" s="23" t="s">
        <v>16</v>
      </c>
      <c r="G94" s="23" t="s">
        <v>16</v>
      </c>
      <c r="H94" s="23" t="s">
        <v>16</v>
      </c>
    </row>
    <row r="95" spans="1:8">
      <c r="A95" s="139"/>
      <c r="B95" s="139"/>
      <c r="C95" s="140"/>
      <c r="D95" s="140"/>
      <c r="E95" s="23" t="s">
        <v>16</v>
      </c>
      <c r="F95" s="23" t="s">
        <v>16</v>
      </c>
      <c r="G95" s="23" t="s">
        <v>16</v>
      </c>
      <c r="H95" s="23" t="s">
        <v>16</v>
      </c>
    </row>
    <row r="96" spans="1:8">
      <c r="A96" s="139"/>
      <c r="B96" s="139"/>
      <c r="C96" s="140"/>
      <c r="D96" s="140"/>
      <c r="E96" s="23" t="s">
        <v>16</v>
      </c>
      <c r="F96" s="23" t="s">
        <v>16</v>
      </c>
      <c r="G96" s="23" t="s">
        <v>16</v>
      </c>
      <c r="H96" s="23" t="s">
        <v>16</v>
      </c>
    </row>
    <row r="97" spans="1:8">
      <c r="A97" s="139"/>
      <c r="B97" s="139"/>
      <c r="C97" s="140"/>
      <c r="D97" s="140"/>
      <c r="E97" s="23" t="s">
        <v>16</v>
      </c>
      <c r="F97" s="23" t="s">
        <v>16</v>
      </c>
      <c r="G97" s="23" t="s">
        <v>16</v>
      </c>
      <c r="H97" s="23" t="s">
        <v>16</v>
      </c>
    </row>
    <row r="98" spans="1:8">
      <c r="A98" s="139"/>
      <c r="B98" s="139"/>
      <c r="C98" s="140"/>
      <c r="D98" s="140"/>
      <c r="E98" s="23" t="s">
        <v>16</v>
      </c>
      <c r="F98" s="23" t="s">
        <v>16</v>
      </c>
      <c r="G98" s="23" t="s">
        <v>16</v>
      </c>
      <c r="H98" s="23" t="s">
        <v>16</v>
      </c>
    </row>
    <row r="99" spans="1:8">
      <c r="A99" s="139"/>
      <c r="B99" s="139"/>
      <c r="C99" s="140"/>
      <c r="D99" s="140"/>
      <c r="E99" s="23" t="s">
        <v>16</v>
      </c>
      <c r="F99" s="23" t="s">
        <v>16</v>
      </c>
      <c r="G99" s="23" t="s">
        <v>16</v>
      </c>
      <c r="H99" s="23" t="s">
        <v>16</v>
      </c>
    </row>
    <row r="100" spans="1:8">
      <c r="A100" s="139"/>
      <c r="B100" s="139"/>
      <c r="C100" s="140"/>
      <c r="D100" s="140"/>
      <c r="E100" s="23" t="s">
        <v>16</v>
      </c>
      <c r="F100" s="23" t="s">
        <v>16</v>
      </c>
      <c r="G100" s="23" t="s">
        <v>16</v>
      </c>
      <c r="H100" s="23" t="s">
        <v>16</v>
      </c>
    </row>
    <row r="101" spans="1:8">
      <c r="A101" s="139"/>
      <c r="B101" s="139"/>
      <c r="C101" s="140"/>
      <c r="D101" s="140"/>
      <c r="E101" s="23" t="s">
        <v>16</v>
      </c>
      <c r="F101" s="23" t="s">
        <v>16</v>
      </c>
      <c r="G101" s="23" t="s">
        <v>16</v>
      </c>
      <c r="H101" s="23" t="s">
        <v>16</v>
      </c>
    </row>
    <row r="102" spans="1:8">
      <c r="A102" s="139"/>
      <c r="B102" s="139"/>
      <c r="C102" s="140"/>
      <c r="D102" s="140"/>
      <c r="E102" s="23" t="s">
        <v>16</v>
      </c>
      <c r="F102" s="23" t="s">
        <v>16</v>
      </c>
      <c r="G102" s="23" t="s">
        <v>16</v>
      </c>
      <c r="H102" s="23" t="s">
        <v>16</v>
      </c>
    </row>
    <row r="103" spans="1:8">
      <c r="A103" s="139"/>
      <c r="B103" s="139"/>
      <c r="C103" s="140"/>
      <c r="D103" s="140"/>
      <c r="E103" s="23" t="s">
        <v>16</v>
      </c>
      <c r="F103" s="23" t="s">
        <v>16</v>
      </c>
      <c r="G103" s="23" t="s">
        <v>16</v>
      </c>
      <c r="H103" s="23" t="s">
        <v>16</v>
      </c>
    </row>
    <row r="104" spans="1:8">
      <c r="A104" s="139"/>
      <c r="B104" s="139"/>
      <c r="C104" s="140"/>
      <c r="D104" s="140"/>
      <c r="E104" s="23" t="s">
        <v>16</v>
      </c>
      <c r="F104" s="23" t="s">
        <v>16</v>
      </c>
      <c r="G104" s="23" t="s">
        <v>16</v>
      </c>
      <c r="H104" s="23" t="s">
        <v>16</v>
      </c>
    </row>
    <row r="105" spans="1:8">
      <c r="A105" s="139"/>
      <c r="B105" s="139"/>
      <c r="C105" s="140"/>
      <c r="D105" s="140"/>
      <c r="E105" s="23" t="s">
        <v>16</v>
      </c>
      <c r="F105" s="23" t="s">
        <v>16</v>
      </c>
      <c r="G105" s="23" t="s">
        <v>16</v>
      </c>
      <c r="H105" s="23" t="s">
        <v>16</v>
      </c>
    </row>
    <row r="106" spans="1:8">
      <c r="A106" s="139"/>
      <c r="B106" s="139"/>
      <c r="C106" s="140"/>
      <c r="D106" s="140"/>
      <c r="E106" s="23" t="s">
        <v>16</v>
      </c>
      <c r="F106" s="23" t="s">
        <v>16</v>
      </c>
      <c r="G106" s="23" t="s">
        <v>16</v>
      </c>
      <c r="H106" s="23" t="s">
        <v>16</v>
      </c>
    </row>
    <row r="107" spans="1:8">
      <c r="A107" s="139"/>
      <c r="B107" s="139"/>
      <c r="C107" s="140"/>
      <c r="D107" s="140"/>
      <c r="E107" s="23" t="s">
        <v>16</v>
      </c>
      <c r="F107" s="23" t="s">
        <v>16</v>
      </c>
      <c r="G107" s="23" t="s">
        <v>16</v>
      </c>
      <c r="H107" s="23" t="s">
        <v>16</v>
      </c>
    </row>
    <row r="108" spans="1:8">
      <c r="A108" s="139"/>
      <c r="B108" s="139"/>
      <c r="C108" s="140"/>
      <c r="D108" s="140"/>
      <c r="E108" s="23" t="s">
        <v>16</v>
      </c>
      <c r="F108" s="23" t="s">
        <v>16</v>
      </c>
      <c r="G108" s="23" t="s">
        <v>16</v>
      </c>
      <c r="H108" s="23" t="s">
        <v>16</v>
      </c>
    </row>
    <row r="109" spans="1:8">
      <c r="A109" s="139"/>
      <c r="B109" s="139"/>
      <c r="C109" s="140"/>
      <c r="D109" s="140"/>
      <c r="E109" s="23" t="s">
        <v>16</v>
      </c>
      <c r="F109" s="23" t="s">
        <v>16</v>
      </c>
      <c r="G109" s="23" t="s">
        <v>16</v>
      </c>
      <c r="H109" s="23" t="s">
        <v>16</v>
      </c>
    </row>
    <row r="110" spans="1:8">
      <c r="A110" s="139"/>
      <c r="B110" s="139"/>
      <c r="C110" s="140"/>
      <c r="D110" s="140"/>
      <c r="E110" s="23" t="s">
        <v>16</v>
      </c>
      <c r="F110" s="23" t="s">
        <v>16</v>
      </c>
      <c r="G110" s="23" t="s">
        <v>16</v>
      </c>
      <c r="H110" s="23" t="s">
        <v>16</v>
      </c>
    </row>
    <row r="111" spans="1:8">
      <c r="A111" s="139"/>
      <c r="B111" s="139"/>
      <c r="C111" s="140"/>
      <c r="D111" s="140"/>
      <c r="E111" s="23" t="s">
        <v>16</v>
      </c>
      <c r="F111" s="23" t="s">
        <v>16</v>
      </c>
      <c r="G111" s="23" t="s">
        <v>16</v>
      </c>
      <c r="H111" s="23" t="s">
        <v>16</v>
      </c>
    </row>
    <row r="112" spans="1:8">
      <c r="A112" s="139"/>
      <c r="B112" s="139"/>
      <c r="C112" s="140"/>
      <c r="D112" s="140"/>
      <c r="E112" s="23" t="s">
        <v>16</v>
      </c>
      <c r="F112" s="23" t="s">
        <v>16</v>
      </c>
      <c r="G112" s="23" t="s">
        <v>16</v>
      </c>
      <c r="H112" s="23" t="s">
        <v>16</v>
      </c>
    </row>
    <row r="113" spans="1:8">
      <c r="A113" s="139"/>
      <c r="B113" s="139"/>
      <c r="C113" s="140"/>
      <c r="D113" s="140"/>
      <c r="E113" s="23" t="s">
        <v>16</v>
      </c>
      <c r="F113" s="23" t="s">
        <v>16</v>
      </c>
      <c r="G113" s="23" t="s">
        <v>16</v>
      </c>
      <c r="H113" s="23" t="s">
        <v>16</v>
      </c>
    </row>
    <row r="114" spans="1:8">
      <c r="A114" s="139"/>
      <c r="B114" s="139"/>
      <c r="C114" s="140"/>
      <c r="D114" s="140"/>
      <c r="E114" s="23" t="s">
        <v>16</v>
      </c>
      <c r="F114" s="23" t="s">
        <v>16</v>
      </c>
      <c r="G114" s="23" t="s">
        <v>16</v>
      </c>
      <c r="H114" s="23" t="s">
        <v>16</v>
      </c>
    </row>
    <row r="115" spans="1:8">
      <c r="A115" s="139"/>
      <c r="B115" s="139"/>
      <c r="C115" s="140"/>
      <c r="D115" s="140"/>
      <c r="E115" s="23" t="s">
        <v>16</v>
      </c>
      <c r="F115" s="23" t="s">
        <v>16</v>
      </c>
      <c r="G115" s="23" t="s">
        <v>16</v>
      </c>
      <c r="H115" s="23" t="s">
        <v>16</v>
      </c>
    </row>
    <row r="116" spans="1:8">
      <c r="A116" s="139"/>
      <c r="B116" s="139"/>
      <c r="C116" s="140"/>
      <c r="D116" s="140"/>
      <c r="E116" s="23" t="s">
        <v>16</v>
      </c>
      <c r="F116" s="23" t="s">
        <v>16</v>
      </c>
      <c r="G116" s="23" t="s">
        <v>16</v>
      </c>
      <c r="H116" s="23" t="s">
        <v>16</v>
      </c>
    </row>
    <row r="117" spans="1:8">
      <c r="A117" s="139"/>
      <c r="B117" s="139"/>
      <c r="C117" s="140"/>
      <c r="D117" s="140"/>
      <c r="E117" s="23" t="s">
        <v>16</v>
      </c>
      <c r="F117" s="23" t="s">
        <v>16</v>
      </c>
      <c r="G117" s="23" t="s">
        <v>16</v>
      </c>
      <c r="H117" s="23" t="s">
        <v>16</v>
      </c>
    </row>
    <row r="118" spans="1:8">
      <c r="A118" s="139"/>
      <c r="B118" s="139"/>
      <c r="C118" s="140"/>
      <c r="D118" s="140"/>
      <c r="E118" s="23" t="s">
        <v>16</v>
      </c>
      <c r="F118" s="23" t="s">
        <v>16</v>
      </c>
      <c r="G118" s="23" t="s">
        <v>16</v>
      </c>
      <c r="H118" s="23" t="s">
        <v>16</v>
      </c>
    </row>
    <row r="119" spans="1:8">
      <c r="A119" s="139"/>
      <c r="B119" s="139"/>
      <c r="C119" s="140"/>
      <c r="D119" s="140"/>
      <c r="E119" s="23" t="s">
        <v>16</v>
      </c>
      <c r="F119" s="23" t="s">
        <v>16</v>
      </c>
      <c r="G119" s="23" t="s">
        <v>16</v>
      </c>
      <c r="H119" s="23" t="s">
        <v>16</v>
      </c>
    </row>
    <row r="120" spans="1:8">
      <c r="A120" s="139"/>
      <c r="B120" s="139"/>
      <c r="C120" s="140"/>
      <c r="D120" s="140"/>
      <c r="E120" s="23" t="s">
        <v>16</v>
      </c>
      <c r="F120" s="23" t="s">
        <v>16</v>
      </c>
      <c r="G120" s="23" t="s">
        <v>16</v>
      </c>
      <c r="H120" s="23" t="s">
        <v>16</v>
      </c>
    </row>
    <row r="121" spans="1:8">
      <c r="A121" s="139"/>
      <c r="B121" s="139"/>
      <c r="C121" s="140"/>
      <c r="D121" s="140"/>
      <c r="E121" s="23" t="s">
        <v>16</v>
      </c>
      <c r="F121" s="23" t="s">
        <v>16</v>
      </c>
      <c r="G121" s="23" t="s">
        <v>16</v>
      </c>
      <c r="H121" s="23" t="s">
        <v>16</v>
      </c>
    </row>
    <row r="122" spans="1:8">
      <c r="A122" s="139"/>
      <c r="B122" s="139"/>
      <c r="C122" s="140"/>
      <c r="D122" s="140"/>
      <c r="E122" s="23" t="s">
        <v>16</v>
      </c>
      <c r="F122" s="23" t="s">
        <v>16</v>
      </c>
      <c r="G122" s="23" t="s">
        <v>16</v>
      </c>
      <c r="H122" s="23" t="s">
        <v>16</v>
      </c>
    </row>
    <row r="123" spans="1:8">
      <c r="A123" s="139"/>
      <c r="B123" s="139"/>
      <c r="C123" s="140"/>
      <c r="D123" s="140"/>
      <c r="E123" s="23" t="s">
        <v>16</v>
      </c>
      <c r="F123" s="23" t="s">
        <v>16</v>
      </c>
      <c r="G123" s="23" t="s">
        <v>16</v>
      </c>
      <c r="H123" s="23" t="s">
        <v>16</v>
      </c>
    </row>
    <row r="124" spans="1:8">
      <c r="A124" s="139"/>
      <c r="B124" s="139"/>
      <c r="C124" s="140"/>
      <c r="D124" s="140"/>
      <c r="E124" s="23" t="s">
        <v>16</v>
      </c>
      <c r="F124" s="23" t="s">
        <v>16</v>
      </c>
      <c r="G124" s="23" t="s">
        <v>16</v>
      </c>
      <c r="H124" s="23" t="s">
        <v>16</v>
      </c>
    </row>
    <row r="125" spans="1:8">
      <c r="A125" s="139"/>
      <c r="B125" s="139"/>
      <c r="C125" s="140"/>
      <c r="D125" s="140"/>
      <c r="E125" s="23" t="s">
        <v>16</v>
      </c>
      <c r="F125" s="23" t="s">
        <v>16</v>
      </c>
      <c r="G125" s="23" t="s">
        <v>16</v>
      </c>
      <c r="H125" s="23" t="s">
        <v>16</v>
      </c>
    </row>
    <row r="126" spans="1:8">
      <c r="A126" s="139"/>
      <c r="B126" s="139"/>
      <c r="C126" s="140"/>
      <c r="D126" s="140"/>
      <c r="E126" s="23" t="s">
        <v>16</v>
      </c>
      <c r="F126" s="23" t="s">
        <v>16</v>
      </c>
      <c r="G126" s="23" t="s">
        <v>16</v>
      </c>
      <c r="H126" s="23" t="s">
        <v>16</v>
      </c>
    </row>
    <row r="127" spans="1:8">
      <c r="A127" s="139"/>
      <c r="B127" s="139"/>
      <c r="C127" s="140"/>
      <c r="D127" s="140"/>
      <c r="E127" s="23" t="s">
        <v>16</v>
      </c>
      <c r="F127" s="23" t="s">
        <v>16</v>
      </c>
      <c r="G127" s="23" t="s">
        <v>16</v>
      </c>
      <c r="H127" s="23" t="s">
        <v>16</v>
      </c>
    </row>
    <row r="128" spans="1:8">
      <c r="A128" s="139"/>
      <c r="B128" s="139"/>
      <c r="C128" s="140"/>
      <c r="D128" s="140"/>
      <c r="E128" s="23" t="s">
        <v>16</v>
      </c>
      <c r="F128" s="23" t="s">
        <v>16</v>
      </c>
      <c r="G128" s="23" t="s">
        <v>16</v>
      </c>
      <c r="H128" s="23" t="s">
        <v>16</v>
      </c>
    </row>
    <row r="129" spans="1:8">
      <c r="A129" s="139"/>
      <c r="B129" s="139"/>
      <c r="C129" s="140"/>
      <c r="D129" s="140"/>
      <c r="E129" s="23" t="s">
        <v>16</v>
      </c>
      <c r="F129" s="23" t="s">
        <v>16</v>
      </c>
      <c r="G129" s="23" t="s">
        <v>16</v>
      </c>
      <c r="H129" s="23" t="s">
        <v>16</v>
      </c>
    </row>
    <row r="130" spans="1:8">
      <c r="A130" s="139"/>
      <c r="B130" s="139"/>
      <c r="C130" s="140"/>
      <c r="D130" s="140"/>
      <c r="E130" s="23" t="s">
        <v>16</v>
      </c>
      <c r="F130" s="23" t="s">
        <v>16</v>
      </c>
      <c r="G130" s="23" t="s">
        <v>16</v>
      </c>
      <c r="H130" s="23" t="s">
        <v>16</v>
      </c>
    </row>
    <row r="131" spans="1:8">
      <c r="A131" s="139"/>
      <c r="B131" s="139"/>
      <c r="C131" s="140"/>
      <c r="D131" s="140"/>
      <c r="E131" s="23" t="s">
        <v>16</v>
      </c>
      <c r="F131" s="23" t="s">
        <v>16</v>
      </c>
      <c r="G131" s="23" t="s">
        <v>16</v>
      </c>
      <c r="H131" s="23" t="s">
        <v>16</v>
      </c>
    </row>
    <row r="132" spans="1:8">
      <c r="A132" s="139"/>
      <c r="B132" s="139"/>
      <c r="C132" s="140"/>
      <c r="D132" s="140"/>
      <c r="E132" s="23" t="s">
        <v>16</v>
      </c>
      <c r="F132" s="23" t="s">
        <v>16</v>
      </c>
      <c r="G132" s="23" t="s">
        <v>16</v>
      </c>
      <c r="H132" s="23" t="s">
        <v>16</v>
      </c>
    </row>
    <row r="133" spans="1:8">
      <c r="A133" s="139"/>
      <c r="B133" s="139"/>
      <c r="C133" s="140"/>
      <c r="D133" s="140"/>
      <c r="E133" s="23" t="s">
        <v>16</v>
      </c>
      <c r="F133" s="23" t="s">
        <v>16</v>
      </c>
      <c r="G133" s="23" t="s">
        <v>16</v>
      </c>
      <c r="H133" s="23" t="s">
        <v>16</v>
      </c>
    </row>
    <row r="134" spans="1:8">
      <c r="A134" s="139"/>
      <c r="B134" s="139"/>
      <c r="C134" s="140"/>
      <c r="D134" s="140"/>
      <c r="E134" s="23" t="s">
        <v>16</v>
      </c>
      <c r="F134" s="23" t="s">
        <v>16</v>
      </c>
      <c r="G134" s="23" t="s">
        <v>16</v>
      </c>
      <c r="H134" s="23" t="s">
        <v>16</v>
      </c>
    </row>
    <row r="135" spans="1:8">
      <c r="A135" s="139"/>
      <c r="B135" s="139"/>
      <c r="C135" s="140"/>
      <c r="D135" s="140"/>
      <c r="E135" s="23" t="s">
        <v>16</v>
      </c>
      <c r="F135" s="23" t="s">
        <v>16</v>
      </c>
      <c r="G135" s="23" t="s">
        <v>16</v>
      </c>
      <c r="H135" s="23" t="s">
        <v>16</v>
      </c>
    </row>
    <row r="136" spans="1:8">
      <c r="A136" s="139"/>
      <c r="B136" s="139"/>
      <c r="C136" s="140"/>
      <c r="D136" s="140"/>
      <c r="E136" s="23" t="s">
        <v>16</v>
      </c>
      <c r="F136" s="23" t="s">
        <v>16</v>
      </c>
      <c r="G136" s="23" t="s">
        <v>16</v>
      </c>
      <c r="H136" s="23" t="s">
        <v>16</v>
      </c>
    </row>
    <row r="137" spans="1:8">
      <c r="A137" s="139"/>
      <c r="B137" s="139"/>
      <c r="C137" s="140"/>
      <c r="D137" s="140"/>
      <c r="E137" s="23" t="s">
        <v>16</v>
      </c>
      <c r="F137" s="23" t="s">
        <v>16</v>
      </c>
      <c r="G137" s="23" t="s">
        <v>16</v>
      </c>
      <c r="H137" s="23" t="s">
        <v>16</v>
      </c>
    </row>
    <row r="138" spans="1:8">
      <c r="A138" s="139"/>
      <c r="B138" s="139"/>
      <c r="C138" s="140"/>
      <c r="D138" s="140"/>
      <c r="E138" s="23" t="s">
        <v>16</v>
      </c>
      <c r="F138" s="23" t="s">
        <v>16</v>
      </c>
      <c r="G138" s="23" t="s">
        <v>16</v>
      </c>
      <c r="H138" s="23" t="s">
        <v>16</v>
      </c>
    </row>
    <row r="139" spans="1:8">
      <c r="A139" s="139"/>
      <c r="B139" s="139"/>
      <c r="C139" s="140"/>
      <c r="D139" s="140"/>
      <c r="E139" s="23" t="s">
        <v>16</v>
      </c>
      <c r="F139" s="23" t="s">
        <v>16</v>
      </c>
      <c r="G139" s="23" t="s">
        <v>16</v>
      </c>
      <c r="H139" s="23" t="s">
        <v>16</v>
      </c>
    </row>
    <row r="140" spans="1:8">
      <c r="A140" s="139"/>
      <c r="B140" s="139"/>
      <c r="C140" s="140"/>
      <c r="D140" s="140"/>
      <c r="E140" s="23" t="s">
        <v>16</v>
      </c>
      <c r="F140" s="23" t="s">
        <v>16</v>
      </c>
      <c r="G140" s="23" t="s">
        <v>16</v>
      </c>
      <c r="H140" s="23" t="s">
        <v>16</v>
      </c>
    </row>
    <row r="141" spans="1:8">
      <c r="A141" s="139"/>
      <c r="B141" s="139"/>
      <c r="C141" s="140"/>
      <c r="D141" s="140"/>
      <c r="E141" s="23" t="s">
        <v>16</v>
      </c>
      <c r="F141" s="23" t="s">
        <v>16</v>
      </c>
      <c r="G141" s="23" t="s">
        <v>16</v>
      </c>
      <c r="H141" s="23" t="s">
        <v>16</v>
      </c>
    </row>
    <row r="142" spans="1:8">
      <c r="A142" s="139"/>
      <c r="B142" s="139"/>
      <c r="C142" s="140"/>
      <c r="D142" s="140"/>
      <c r="E142" s="23" t="s">
        <v>16</v>
      </c>
      <c r="F142" s="23" t="s">
        <v>16</v>
      </c>
      <c r="G142" s="23" t="s">
        <v>16</v>
      </c>
      <c r="H142" s="23" t="s">
        <v>16</v>
      </c>
    </row>
    <row r="143" spans="1:8">
      <c r="A143" s="139"/>
      <c r="B143" s="139"/>
      <c r="C143" s="140"/>
      <c r="D143" s="140"/>
      <c r="E143" s="23" t="s">
        <v>16</v>
      </c>
      <c r="F143" s="23" t="s">
        <v>16</v>
      </c>
      <c r="G143" s="23" t="s">
        <v>16</v>
      </c>
      <c r="H143" s="23" t="s">
        <v>16</v>
      </c>
    </row>
    <row r="144" spans="1:8">
      <c r="A144" s="139"/>
      <c r="B144" s="139"/>
      <c r="C144" s="140"/>
      <c r="D144" s="140"/>
      <c r="E144" s="23" t="s">
        <v>16</v>
      </c>
      <c r="F144" s="23" t="s">
        <v>16</v>
      </c>
      <c r="G144" s="23" t="s">
        <v>16</v>
      </c>
      <c r="H144" s="23" t="s">
        <v>16</v>
      </c>
    </row>
    <row r="145" spans="1:8">
      <c r="A145" s="139"/>
      <c r="B145" s="139"/>
      <c r="C145" s="140"/>
      <c r="D145" s="140"/>
      <c r="E145" s="23" t="s">
        <v>16</v>
      </c>
      <c r="F145" s="23" t="s">
        <v>16</v>
      </c>
      <c r="G145" s="23" t="s">
        <v>16</v>
      </c>
      <c r="H145" s="23" t="s">
        <v>16</v>
      </c>
    </row>
    <row r="146" spans="1:8">
      <c r="A146" s="139"/>
      <c r="B146" s="139"/>
      <c r="C146" s="140"/>
      <c r="D146" s="140"/>
      <c r="E146" s="23" t="s">
        <v>16</v>
      </c>
      <c r="F146" s="23" t="s">
        <v>16</v>
      </c>
      <c r="G146" s="23" t="s">
        <v>16</v>
      </c>
      <c r="H146" s="23" t="s">
        <v>16</v>
      </c>
    </row>
    <row r="147" spans="1:8">
      <c r="A147" s="139"/>
      <c r="B147" s="139"/>
      <c r="C147" s="140"/>
      <c r="D147" s="140"/>
      <c r="E147" s="23" t="s">
        <v>16</v>
      </c>
      <c r="F147" s="23" t="s">
        <v>16</v>
      </c>
      <c r="G147" s="23" t="s">
        <v>16</v>
      </c>
      <c r="H147" s="23" t="s">
        <v>16</v>
      </c>
    </row>
    <row r="148" spans="1:8">
      <c r="A148" s="139"/>
      <c r="B148" s="139"/>
      <c r="C148" s="140"/>
      <c r="D148" s="140"/>
      <c r="E148" s="23" t="s">
        <v>16</v>
      </c>
      <c r="F148" s="23" t="s">
        <v>16</v>
      </c>
      <c r="G148" s="23" t="s">
        <v>16</v>
      </c>
      <c r="H148" s="23" t="s">
        <v>16</v>
      </c>
    </row>
    <row r="149" spans="1:8">
      <c r="A149" s="139"/>
      <c r="B149" s="139"/>
      <c r="C149" s="140"/>
      <c r="D149" s="140"/>
      <c r="E149" s="23" t="s">
        <v>16</v>
      </c>
      <c r="F149" s="23" t="s">
        <v>16</v>
      </c>
      <c r="G149" s="23" t="s">
        <v>16</v>
      </c>
      <c r="H149" s="23" t="s">
        <v>16</v>
      </c>
    </row>
    <row r="150" spans="1:8">
      <c r="A150" s="139"/>
      <c r="B150" s="139"/>
      <c r="C150" s="140"/>
      <c r="D150" s="140"/>
      <c r="E150" s="23" t="s">
        <v>16</v>
      </c>
      <c r="F150" s="23" t="s">
        <v>16</v>
      </c>
      <c r="G150" s="23" t="s">
        <v>16</v>
      </c>
      <c r="H150" s="23" t="s">
        <v>16</v>
      </c>
    </row>
    <row r="151" spans="1:8">
      <c r="A151" s="139"/>
      <c r="B151" s="139"/>
      <c r="C151" s="140"/>
      <c r="D151" s="140"/>
      <c r="E151" s="23" t="s">
        <v>16</v>
      </c>
      <c r="F151" s="23" t="s">
        <v>16</v>
      </c>
      <c r="G151" s="23" t="s">
        <v>16</v>
      </c>
      <c r="H151" s="23" t="s">
        <v>16</v>
      </c>
    </row>
    <row r="152" spans="1:8">
      <c r="A152" s="139"/>
      <c r="B152" s="139"/>
      <c r="C152" s="140"/>
      <c r="D152" s="140"/>
      <c r="E152" s="23" t="s">
        <v>16</v>
      </c>
      <c r="F152" s="23" t="s">
        <v>16</v>
      </c>
      <c r="G152" s="23" t="s">
        <v>16</v>
      </c>
      <c r="H152" s="23" t="s">
        <v>16</v>
      </c>
    </row>
    <row r="153" spans="1:8">
      <c r="A153" s="139"/>
      <c r="B153" s="139"/>
      <c r="C153" s="140"/>
      <c r="D153" s="140"/>
      <c r="E153" s="23" t="s">
        <v>16</v>
      </c>
      <c r="F153" s="23" t="s">
        <v>16</v>
      </c>
      <c r="G153" s="23" t="s">
        <v>16</v>
      </c>
      <c r="H153" s="23" t="s">
        <v>16</v>
      </c>
    </row>
    <row r="154" spans="1:8">
      <c r="A154" s="139"/>
      <c r="B154" s="139"/>
      <c r="C154" s="140"/>
      <c r="D154" s="140"/>
      <c r="E154" s="23" t="s">
        <v>16</v>
      </c>
      <c r="F154" s="23" t="s">
        <v>16</v>
      </c>
      <c r="G154" s="23" t="s">
        <v>16</v>
      </c>
      <c r="H154" s="23" t="s">
        <v>16</v>
      </c>
    </row>
    <row r="155" spans="1:8">
      <c r="A155" s="139"/>
      <c r="B155" s="139"/>
      <c r="C155" s="140"/>
      <c r="D155" s="140"/>
      <c r="E155" s="23" t="s">
        <v>16</v>
      </c>
      <c r="F155" s="23" t="s">
        <v>16</v>
      </c>
      <c r="G155" s="23" t="s">
        <v>16</v>
      </c>
      <c r="H155" s="23" t="s">
        <v>16</v>
      </c>
    </row>
    <row r="156" spans="1:8">
      <c r="A156" s="139"/>
      <c r="B156" s="139"/>
      <c r="C156" s="140"/>
      <c r="D156" s="140"/>
      <c r="E156" s="23" t="s">
        <v>16</v>
      </c>
      <c r="F156" s="23" t="s">
        <v>16</v>
      </c>
      <c r="G156" s="23" t="s">
        <v>16</v>
      </c>
      <c r="H156" s="23" t="s">
        <v>16</v>
      </c>
    </row>
    <row r="157" spans="1:8">
      <c r="A157" s="139"/>
      <c r="B157" s="139"/>
      <c r="C157" s="140"/>
      <c r="D157" s="140"/>
      <c r="E157" s="23" t="s">
        <v>16</v>
      </c>
      <c r="F157" s="23" t="s">
        <v>16</v>
      </c>
      <c r="G157" s="23" t="s">
        <v>16</v>
      </c>
      <c r="H157" s="23" t="s">
        <v>16</v>
      </c>
    </row>
    <row r="158" spans="1:8">
      <c r="A158" s="139"/>
      <c r="B158" s="139"/>
      <c r="C158" s="140"/>
      <c r="D158" s="140"/>
      <c r="E158" s="23" t="s">
        <v>16</v>
      </c>
      <c r="F158" s="23" t="s">
        <v>16</v>
      </c>
      <c r="G158" s="23" t="s">
        <v>16</v>
      </c>
      <c r="H158" s="23" t="s">
        <v>16</v>
      </c>
    </row>
    <row r="159" spans="1:8">
      <c r="A159" s="139"/>
      <c r="B159" s="139"/>
      <c r="C159" s="140"/>
      <c r="D159" s="140"/>
      <c r="E159" s="23" t="s">
        <v>16</v>
      </c>
      <c r="F159" s="23" t="s">
        <v>16</v>
      </c>
      <c r="G159" s="23" t="s">
        <v>16</v>
      </c>
      <c r="H159" s="23" t="s">
        <v>16</v>
      </c>
    </row>
    <row r="160" spans="1:8">
      <c r="A160" s="139"/>
      <c r="B160" s="139"/>
      <c r="C160" s="140"/>
      <c r="D160" s="140"/>
      <c r="E160" s="23" t="s">
        <v>16</v>
      </c>
      <c r="F160" s="23" t="s">
        <v>16</v>
      </c>
      <c r="G160" s="23" t="s">
        <v>16</v>
      </c>
      <c r="H160" s="23" t="s">
        <v>16</v>
      </c>
    </row>
    <row r="161" spans="1:8">
      <c r="A161" s="139"/>
      <c r="B161" s="139"/>
      <c r="C161" s="140"/>
      <c r="D161" s="140"/>
      <c r="E161" s="23" t="s">
        <v>16</v>
      </c>
      <c r="F161" s="23" t="s">
        <v>16</v>
      </c>
      <c r="G161" s="23" t="s">
        <v>16</v>
      </c>
      <c r="H161" s="23" t="s">
        <v>16</v>
      </c>
    </row>
    <row r="162" spans="1:8">
      <c r="A162" s="139"/>
      <c r="B162" s="139"/>
      <c r="C162" s="140"/>
      <c r="D162" s="140"/>
      <c r="E162" s="23" t="s">
        <v>16</v>
      </c>
      <c r="F162" s="23" t="s">
        <v>16</v>
      </c>
      <c r="G162" s="23" t="s">
        <v>16</v>
      </c>
      <c r="H162" s="23" t="s">
        <v>16</v>
      </c>
    </row>
    <row r="163" spans="1:8">
      <c r="A163" s="139"/>
      <c r="B163" s="139"/>
      <c r="C163" s="140"/>
      <c r="D163" s="140"/>
      <c r="E163" s="23" t="s">
        <v>16</v>
      </c>
      <c r="F163" s="23" t="s">
        <v>16</v>
      </c>
      <c r="G163" s="23" t="s">
        <v>16</v>
      </c>
      <c r="H163" s="23" t="s">
        <v>16</v>
      </c>
    </row>
    <row r="164" spans="1:8">
      <c r="A164" s="139"/>
      <c r="B164" s="139"/>
      <c r="C164" s="140"/>
      <c r="D164" s="140"/>
      <c r="E164" s="23" t="s">
        <v>16</v>
      </c>
      <c r="F164" s="23" t="s">
        <v>16</v>
      </c>
      <c r="G164" s="23" t="s">
        <v>16</v>
      </c>
      <c r="H164" s="23" t="s">
        <v>16</v>
      </c>
    </row>
    <row r="165" spans="1:8">
      <c r="A165" s="139"/>
      <c r="B165" s="139"/>
      <c r="C165" s="140"/>
      <c r="D165" s="140"/>
      <c r="E165" s="23" t="s">
        <v>16</v>
      </c>
      <c r="F165" s="23" t="s">
        <v>16</v>
      </c>
      <c r="G165" s="23" t="s">
        <v>16</v>
      </c>
      <c r="H165" s="23" t="s">
        <v>16</v>
      </c>
    </row>
    <row r="166" spans="1:8">
      <c r="A166" s="139"/>
      <c r="B166" s="139"/>
      <c r="C166" s="140"/>
      <c r="D166" s="140"/>
      <c r="E166" s="23" t="s">
        <v>16</v>
      </c>
      <c r="F166" s="23" t="s">
        <v>16</v>
      </c>
      <c r="G166" s="23" t="s">
        <v>16</v>
      </c>
      <c r="H166" s="23" t="s">
        <v>16</v>
      </c>
    </row>
    <row r="167" spans="1:8">
      <c r="A167" s="139"/>
      <c r="B167" s="139"/>
      <c r="C167" s="140"/>
      <c r="D167" s="140"/>
      <c r="E167" s="23" t="s">
        <v>16</v>
      </c>
      <c r="F167" s="23" t="s">
        <v>16</v>
      </c>
      <c r="G167" s="23" t="s">
        <v>16</v>
      </c>
      <c r="H167" s="23" t="s">
        <v>16</v>
      </c>
    </row>
    <row r="168" spans="1:8">
      <c r="A168" s="139"/>
      <c r="B168" s="139"/>
      <c r="C168" s="140"/>
      <c r="D168" s="140"/>
      <c r="E168" s="23" t="s">
        <v>16</v>
      </c>
      <c r="F168" s="23" t="s">
        <v>16</v>
      </c>
      <c r="G168" s="23" t="s">
        <v>16</v>
      </c>
      <c r="H168" s="23" t="s">
        <v>16</v>
      </c>
    </row>
    <row r="169" spans="1:8">
      <c r="A169" s="139"/>
      <c r="B169" s="139"/>
      <c r="C169" s="140"/>
      <c r="D169" s="140"/>
      <c r="E169" s="23" t="s">
        <v>16</v>
      </c>
      <c r="F169" s="23" t="s">
        <v>16</v>
      </c>
      <c r="G169" s="23" t="s">
        <v>16</v>
      </c>
      <c r="H169" s="23" t="s">
        <v>16</v>
      </c>
    </row>
    <row r="170" spans="1:8">
      <c r="A170" s="139"/>
      <c r="B170" s="139"/>
      <c r="C170" s="140"/>
      <c r="D170" s="140"/>
      <c r="E170" s="23" t="s">
        <v>16</v>
      </c>
      <c r="F170" s="23" t="s">
        <v>16</v>
      </c>
      <c r="G170" s="23" t="s">
        <v>16</v>
      </c>
      <c r="H170" s="23" t="s">
        <v>16</v>
      </c>
    </row>
    <row r="171" spans="1:8">
      <c r="A171" s="139"/>
      <c r="B171" s="139"/>
      <c r="C171" s="140"/>
      <c r="D171" s="140"/>
      <c r="E171" s="23" t="s">
        <v>16</v>
      </c>
      <c r="F171" s="23" t="s">
        <v>16</v>
      </c>
      <c r="G171" s="23" t="s">
        <v>16</v>
      </c>
      <c r="H171" s="23" t="s">
        <v>16</v>
      </c>
    </row>
    <row r="172" spans="1:8">
      <c r="A172" s="139"/>
      <c r="B172" s="139"/>
      <c r="C172" s="140"/>
      <c r="D172" s="140"/>
      <c r="E172" s="23" t="s">
        <v>16</v>
      </c>
      <c r="F172" s="23" t="s">
        <v>16</v>
      </c>
      <c r="G172" s="23" t="s">
        <v>16</v>
      </c>
      <c r="H172" s="23" t="s">
        <v>16</v>
      </c>
    </row>
    <row r="173" spans="1:8">
      <c r="A173" s="139"/>
      <c r="B173" s="139"/>
      <c r="C173" s="140"/>
      <c r="D173" s="140"/>
      <c r="E173" s="23" t="s">
        <v>16</v>
      </c>
      <c r="F173" s="23" t="s">
        <v>16</v>
      </c>
      <c r="G173" s="23" t="s">
        <v>16</v>
      </c>
      <c r="H173" s="23" t="s">
        <v>16</v>
      </c>
    </row>
    <row r="174" spans="1:8">
      <c r="A174" s="139"/>
      <c r="B174" s="139"/>
      <c r="C174" s="140"/>
      <c r="D174" s="140"/>
      <c r="E174" s="23" t="s">
        <v>16</v>
      </c>
      <c r="F174" s="23" t="s">
        <v>16</v>
      </c>
      <c r="G174" s="23" t="s">
        <v>16</v>
      </c>
      <c r="H174" s="23" t="s">
        <v>16</v>
      </c>
    </row>
    <row r="175" spans="1:8">
      <c r="A175" s="139"/>
      <c r="B175" s="139"/>
      <c r="C175" s="140"/>
      <c r="D175" s="140"/>
      <c r="E175" s="23" t="s">
        <v>16</v>
      </c>
      <c r="F175" s="23" t="s">
        <v>16</v>
      </c>
      <c r="G175" s="23" t="s">
        <v>16</v>
      </c>
      <c r="H175" s="23" t="s">
        <v>16</v>
      </c>
    </row>
    <row r="176" spans="1:8">
      <c r="A176" s="139"/>
      <c r="B176" s="139"/>
      <c r="C176" s="140"/>
      <c r="D176" s="140"/>
      <c r="E176" s="23" t="s">
        <v>16</v>
      </c>
      <c r="F176" s="23" t="s">
        <v>16</v>
      </c>
      <c r="G176" s="23" t="s">
        <v>16</v>
      </c>
      <c r="H176" s="23" t="s">
        <v>16</v>
      </c>
    </row>
    <row r="177" spans="1:8">
      <c r="A177" s="139"/>
      <c r="B177" s="139"/>
      <c r="C177" s="140"/>
      <c r="D177" s="140"/>
      <c r="E177" s="23" t="s">
        <v>16</v>
      </c>
      <c r="F177" s="23" t="s">
        <v>16</v>
      </c>
      <c r="G177" s="23" t="s">
        <v>16</v>
      </c>
      <c r="H177" s="23" t="s">
        <v>16</v>
      </c>
    </row>
    <row r="178" spans="1:8">
      <c r="A178" s="139"/>
      <c r="B178" s="139"/>
      <c r="C178" s="140"/>
      <c r="D178" s="140"/>
      <c r="E178" s="23" t="s">
        <v>16</v>
      </c>
      <c r="F178" s="23" t="s">
        <v>16</v>
      </c>
      <c r="G178" s="23" t="s">
        <v>16</v>
      </c>
      <c r="H178" s="23" t="s">
        <v>16</v>
      </c>
    </row>
    <row r="179" spans="1:8">
      <c r="A179" s="139"/>
      <c r="B179" s="139"/>
      <c r="C179" s="140"/>
      <c r="D179" s="140"/>
      <c r="E179" s="23" t="s">
        <v>16</v>
      </c>
      <c r="F179" s="23" t="s">
        <v>16</v>
      </c>
      <c r="G179" s="23" t="s">
        <v>16</v>
      </c>
      <c r="H179" s="23" t="s">
        <v>16</v>
      </c>
    </row>
    <row r="180" spans="1:8">
      <c r="A180" s="139"/>
      <c r="B180" s="139"/>
      <c r="C180" s="140"/>
      <c r="D180" s="140"/>
      <c r="E180" s="23" t="s">
        <v>16</v>
      </c>
      <c r="F180" s="23" t="s">
        <v>16</v>
      </c>
      <c r="G180" s="23" t="s">
        <v>16</v>
      </c>
      <c r="H180" s="23" t="s">
        <v>16</v>
      </c>
    </row>
    <row r="181" spans="1:8">
      <c r="A181" s="139"/>
      <c r="B181" s="139"/>
      <c r="C181" s="140"/>
      <c r="D181" s="140"/>
      <c r="E181" s="23" t="s">
        <v>16</v>
      </c>
      <c r="F181" s="23" t="s">
        <v>16</v>
      </c>
      <c r="G181" s="23" t="s">
        <v>16</v>
      </c>
      <c r="H181" s="23" t="s">
        <v>16</v>
      </c>
    </row>
    <row r="182" spans="1:8">
      <c r="A182" s="139"/>
      <c r="B182" s="139"/>
      <c r="C182" s="140"/>
      <c r="D182" s="140"/>
      <c r="E182" s="23" t="s">
        <v>16</v>
      </c>
      <c r="F182" s="23" t="s">
        <v>16</v>
      </c>
      <c r="G182" s="23" t="s">
        <v>16</v>
      </c>
      <c r="H182" s="23" t="s">
        <v>16</v>
      </c>
    </row>
    <row r="183" spans="1:8">
      <c r="A183" s="139"/>
      <c r="B183" s="139"/>
      <c r="C183" s="140"/>
      <c r="D183" s="140"/>
      <c r="E183" s="23" t="s">
        <v>16</v>
      </c>
      <c r="F183" s="23" t="s">
        <v>16</v>
      </c>
      <c r="G183" s="23" t="s">
        <v>16</v>
      </c>
      <c r="H183" s="23" t="s">
        <v>16</v>
      </c>
    </row>
    <row r="184" spans="1:8">
      <c r="A184" s="139"/>
      <c r="B184" s="139"/>
      <c r="C184" s="140"/>
      <c r="D184" s="140"/>
      <c r="E184" s="23" t="s">
        <v>16</v>
      </c>
      <c r="F184" s="23" t="s">
        <v>16</v>
      </c>
      <c r="G184" s="23" t="s">
        <v>16</v>
      </c>
      <c r="H184" s="23" t="s">
        <v>16</v>
      </c>
    </row>
    <row r="185" spans="1:8">
      <c r="A185" s="139"/>
      <c r="B185" s="139"/>
      <c r="C185" s="140"/>
      <c r="D185" s="140"/>
      <c r="E185" s="23" t="s">
        <v>16</v>
      </c>
      <c r="F185" s="23" t="s">
        <v>16</v>
      </c>
      <c r="G185" s="23" t="s">
        <v>16</v>
      </c>
      <c r="H185" s="23" t="s">
        <v>16</v>
      </c>
    </row>
    <row r="186" spans="1:8">
      <c r="A186" s="139"/>
      <c r="B186" s="139"/>
      <c r="C186" s="140"/>
      <c r="D186" s="140"/>
      <c r="E186" s="23" t="s">
        <v>16</v>
      </c>
      <c r="F186" s="23" t="s">
        <v>16</v>
      </c>
      <c r="G186" s="23" t="s">
        <v>16</v>
      </c>
      <c r="H186" s="23" t="s">
        <v>16</v>
      </c>
    </row>
    <row r="187" spans="1:8">
      <c r="A187" s="139"/>
      <c r="B187" s="139"/>
      <c r="C187" s="140"/>
      <c r="D187" s="140"/>
      <c r="E187" s="23" t="s">
        <v>16</v>
      </c>
      <c r="F187" s="23" t="s">
        <v>16</v>
      </c>
      <c r="G187" s="23" t="s">
        <v>16</v>
      </c>
      <c r="H187" s="23" t="s">
        <v>16</v>
      </c>
    </row>
    <row r="188" spans="1:8">
      <c r="A188" s="139"/>
      <c r="B188" s="139"/>
      <c r="C188" s="140"/>
      <c r="D188" s="140"/>
      <c r="E188" s="23" t="s">
        <v>16</v>
      </c>
      <c r="F188" s="23" t="s">
        <v>16</v>
      </c>
      <c r="G188" s="23" t="s">
        <v>16</v>
      </c>
      <c r="H188" s="23" t="s">
        <v>16</v>
      </c>
    </row>
    <row r="189" spans="1:8">
      <c r="A189" s="139"/>
      <c r="B189" s="139"/>
      <c r="C189" s="140"/>
      <c r="D189" s="140"/>
      <c r="E189" s="23" t="s">
        <v>16</v>
      </c>
      <c r="F189" s="23" t="s">
        <v>16</v>
      </c>
      <c r="G189" s="23" t="s">
        <v>16</v>
      </c>
      <c r="H189" s="23" t="s">
        <v>16</v>
      </c>
    </row>
    <row r="190" spans="1:8">
      <c r="A190" s="139"/>
      <c r="B190" s="139"/>
      <c r="C190" s="140"/>
      <c r="D190" s="140"/>
      <c r="E190" s="23" t="s">
        <v>16</v>
      </c>
      <c r="F190" s="23" t="s">
        <v>16</v>
      </c>
      <c r="G190" s="23" t="s">
        <v>16</v>
      </c>
      <c r="H190" s="23" t="s">
        <v>16</v>
      </c>
    </row>
    <row r="191" spans="1:8">
      <c r="A191" s="139"/>
      <c r="B191" s="139"/>
      <c r="C191" s="140"/>
      <c r="D191" s="140"/>
      <c r="E191" s="23" t="s">
        <v>16</v>
      </c>
      <c r="F191" s="23" t="s">
        <v>16</v>
      </c>
      <c r="G191" s="23" t="s">
        <v>16</v>
      </c>
      <c r="H191" s="23" t="s">
        <v>16</v>
      </c>
    </row>
    <row r="192" spans="1:8">
      <c r="A192" s="139"/>
      <c r="B192" s="139"/>
      <c r="C192" s="140"/>
      <c r="D192" s="140"/>
      <c r="E192" s="23" t="s">
        <v>16</v>
      </c>
      <c r="F192" s="23" t="s">
        <v>16</v>
      </c>
      <c r="G192" s="23" t="s">
        <v>16</v>
      </c>
      <c r="H192" s="23" t="s">
        <v>16</v>
      </c>
    </row>
    <row r="193" spans="1:8">
      <c r="A193" s="139"/>
      <c r="B193" s="139"/>
      <c r="C193" s="140"/>
      <c r="D193" s="140"/>
      <c r="E193" s="23" t="s">
        <v>16</v>
      </c>
      <c r="F193" s="23" t="s">
        <v>16</v>
      </c>
      <c r="G193" s="23" t="s">
        <v>16</v>
      </c>
      <c r="H193" s="23" t="s">
        <v>16</v>
      </c>
    </row>
    <row r="194" spans="1:8">
      <c r="A194" s="139"/>
      <c r="B194" s="139"/>
      <c r="C194" s="140"/>
      <c r="D194" s="140"/>
      <c r="E194" s="23" t="s">
        <v>16</v>
      </c>
      <c r="F194" s="23" t="s">
        <v>16</v>
      </c>
      <c r="G194" s="23" t="s">
        <v>16</v>
      </c>
      <c r="H194" s="23" t="s">
        <v>16</v>
      </c>
    </row>
    <row r="195" spans="1:8">
      <c r="A195" s="139"/>
      <c r="B195" s="139"/>
      <c r="C195" s="140"/>
      <c r="D195" s="140"/>
      <c r="E195" s="23" t="s">
        <v>16</v>
      </c>
      <c r="F195" s="23" t="s">
        <v>16</v>
      </c>
      <c r="G195" s="23" t="s">
        <v>16</v>
      </c>
      <c r="H195" s="23" t="s">
        <v>16</v>
      </c>
    </row>
    <row r="196" spans="1:8">
      <c r="A196" s="139"/>
      <c r="B196" s="139"/>
      <c r="C196" s="140"/>
      <c r="D196" s="140"/>
      <c r="E196" s="23" t="s">
        <v>16</v>
      </c>
      <c r="F196" s="23" t="s">
        <v>16</v>
      </c>
      <c r="G196" s="23" t="s">
        <v>16</v>
      </c>
      <c r="H196" s="23" t="s">
        <v>16</v>
      </c>
    </row>
    <row r="197" spans="1:8">
      <c r="A197" s="139"/>
      <c r="B197" s="139"/>
      <c r="C197" s="140"/>
      <c r="D197" s="140"/>
      <c r="E197" s="23" t="s">
        <v>16</v>
      </c>
      <c r="F197" s="23" t="s">
        <v>16</v>
      </c>
      <c r="G197" s="23" t="s">
        <v>16</v>
      </c>
      <c r="H197" s="23" t="s">
        <v>16</v>
      </c>
    </row>
    <row r="198" spans="1:8">
      <c r="A198" s="139"/>
      <c r="B198" s="139"/>
      <c r="C198" s="140"/>
      <c r="D198" s="140"/>
      <c r="E198" s="23" t="s">
        <v>16</v>
      </c>
      <c r="F198" s="23" t="s">
        <v>16</v>
      </c>
      <c r="G198" s="23" t="s">
        <v>16</v>
      </c>
      <c r="H198" s="23" t="s">
        <v>16</v>
      </c>
    </row>
    <row r="199" spans="1:8">
      <c r="A199" s="139"/>
      <c r="B199" s="139"/>
      <c r="C199" s="140"/>
      <c r="D199" s="140"/>
      <c r="E199" s="23" t="s">
        <v>16</v>
      </c>
      <c r="F199" s="23" t="s">
        <v>16</v>
      </c>
      <c r="G199" s="23" t="s">
        <v>16</v>
      </c>
      <c r="H199" s="23" t="s">
        <v>16</v>
      </c>
    </row>
    <row r="200" spans="1:8">
      <c r="A200" s="139"/>
      <c r="B200" s="139"/>
      <c r="C200" s="140"/>
      <c r="D200" s="140"/>
      <c r="E200" s="23" t="s">
        <v>16</v>
      </c>
      <c r="F200" s="23" t="s">
        <v>16</v>
      </c>
      <c r="G200" s="23" t="s">
        <v>16</v>
      </c>
      <c r="H200" s="23" t="s">
        <v>16</v>
      </c>
    </row>
    <row r="201" spans="1:8">
      <c r="A201" s="139"/>
      <c r="B201" s="139"/>
      <c r="C201" s="140"/>
      <c r="D201" s="140"/>
      <c r="E201" s="23" t="s">
        <v>16</v>
      </c>
      <c r="F201" s="23" t="s">
        <v>16</v>
      </c>
      <c r="G201" s="23" t="s">
        <v>16</v>
      </c>
      <c r="H201" s="23" t="s">
        <v>16</v>
      </c>
    </row>
    <row r="202" spans="1:8">
      <c r="A202" s="139"/>
      <c r="B202" s="139"/>
      <c r="C202" s="140"/>
      <c r="D202" s="140"/>
      <c r="E202" s="23"/>
      <c r="F202" s="23"/>
      <c r="G202" s="23"/>
      <c r="H202" s="23"/>
    </row>
    <row r="203" spans="1:8">
      <c r="A203" s="139"/>
      <c r="B203" s="139"/>
      <c r="C203" s="140"/>
      <c r="D203" s="140"/>
      <c r="E203" s="23"/>
      <c r="F203" s="23"/>
      <c r="G203" s="23"/>
      <c r="H203" s="23"/>
    </row>
    <row r="204" spans="1:8">
      <c r="A204" s="139"/>
      <c r="B204" s="139"/>
      <c r="C204" s="140"/>
      <c r="D204" s="140"/>
      <c r="E204" s="23"/>
      <c r="F204" s="23"/>
      <c r="G204" s="23"/>
      <c r="H204" s="23"/>
    </row>
    <row r="205" spans="1:8">
      <c r="A205" s="139"/>
      <c r="B205" s="139"/>
      <c r="C205" s="140"/>
      <c r="D205" s="140"/>
      <c r="E205" s="23"/>
      <c r="F205" s="23"/>
      <c r="G205" s="23"/>
      <c r="H205" s="23"/>
    </row>
    <row r="206" spans="1:8">
      <c r="A206" s="139"/>
      <c r="B206" s="139"/>
      <c r="C206" s="140"/>
      <c r="D206" s="140"/>
      <c r="E206" s="23"/>
      <c r="F206" s="23"/>
      <c r="G206" s="23"/>
      <c r="H206" s="23"/>
    </row>
    <row r="207" spans="1:8">
      <c r="A207" s="139"/>
      <c r="B207" s="139"/>
      <c r="C207" s="140"/>
      <c r="D207" s="140"/>
      <c r="E207" s="23"/>
      <c r="F207" s="23"/>
      <c r="G207" s="23"/>
      <c r="H207" s="23"/>
    </row>
    <row r="208" spans="1:8">
      <c r="A208" s="139"/>
      <c r="B208" s="139"/>
      <c r="C208" s="140"/>
      <c r="D208" s="140"/>
      <c r="E208" s="23"/>
      <c r="F208" s="23"/>
      <c r="G208" s="23"/>
      <c r="H208" s="23"/>
    </row>
    <row r="209" spans="1:8">
      <c r="A209" s="139"/>
      <c r="B209" s="139"/>
      <c r="C209" s="140"/>
      <c r="D209" s="140"/>
      <c r="E209" s="23"/>
      <c r="F209" s="23"/>
      <c r="G209" s="23"/>
      <c r="H209" s="23"/>
    </row>
    <row r="210" spans="1:8">
      <c r="A210" s="139"/>
      <c r="B210" s="139"/>
      <c r="C210" s="140"/>
      <c r="D210" s="140"/>
      <c r="E210" s="23"/>
      <c r="F210" s="23"/>
      <c r="G210" s="23"/>
      <c r="H210" s="23"/>
    </row>
    <row r="211" spans="1:8">
      <c r="A211" s="139"/>
      <c r="B211" s="139"/>
      <c r="C211" s="140"/>
      <c r="D211" s="140"/>
      <c r="E211" s="23"/>
      <c r="F211" s="23"/>
      <c r="G211" s="23"/>
      <c r="H211" s="23"/>
    </row>
    <row r="212" spans="1:8">
      <c r="A212" s="139"/>
      <c r="B212" s="139"/>
      <c r="C212" s="140"/>
      <c r="D212" s="140"/>
      <c r="E212" s="23"/>
      <c r="F212" s="23"/>
      <c r="G212" s="23"/>
      <c r="H212" s="23"/>
    </row>
    <row r="213" spans="1:8">
      <c r="A213" s="139"/>
      <c r="B213" s="139"/>
      <c r="C213" s="140"/>
      <c r="D213" s="140"/>
      <c r="E213" s="23"/>
      <c r="F213" s="23"/>
      <c r="G213" s="23"/>
      <c r="H213" s="23"/>
    </row>
    <row r="214" spans="1:8">
      <c r="A214" s="139"/>
      <c r="B214" s="139"/>
      <c r="C214" s="140"/>
      <c r="D214" s="140"/>
      <c r="E214" s="23"/>
      <c r="F214" s="23"/>
      <c r="G214" s="23"/>
      <c r="H214" s="23"/>
    </row>
    <row r="215" spans="1:8">
      <c r="A215" s="139"/>
      <c r="B215" s="139"/>
      <c r="C215" s="140"/>
      <c r="D215" s="140"/>
      <c r="E215" s="23"/>
      <c r="F215" s="23"/>
      <c r="G215" s="23"/>
      <c r="H215" s="23"/>
    </row>
    <row r="216" spans="1:8">
      <c r="A216" s="139"/>
      <c r="B216" s="139"/>
      <c r="C216" s="140"/>
      <c r="D216" s="140"/>
      <c r="E216" s="23"/>
      <c r="F216" s="23"/>
      <c r="G216" s="23"/>
      <c r="H216" s="23"/>
    </row>
    <row r="217" spans="1:8">
      <c r="A217" s="139"/>
      <c r="B217" s="139"/>
      <c r="C217" s="140"/>
      <c r="D217" s="140"/>
      <c r="E217" s="23"/>
      <c r="F217" s="23"/>
      <c r="G217" s="23"/>
      <c r="H217" s="23"/>
    </row>
    <row r="218" spans="1:8">
      <c r="A218" s="139"/>
      <c r="B218" s="139"/>
      <c r="C218" s="140"/>
      <c r="D218" s="140"/>
      <c r="E218" s="23"/>
      <c r="F218" s="23"/>
      <c r="G218" s="23"/>
      <c r="H218" s="23"/>
    </row>
    <row r="219" spans="1:8">
      <c r="A219" s="139"/>
      <c r="B219" s="139"/>
      <c r="C219" s="140"/>
      <c r="D219" s="140"/>
      <c r="E219" s="23"/>
      <c r="F219" s="23"/>
      <c r="G219" s="23"/>
      <c r="H219" s="23"/>
    </row>
    <row r="220" spans="1:8">
      <c r="A220" s="139"/>
      <c r="B220" s="139"/>
      <c r="C220" s="140"/>
      <c r="D220" s="140"/>
      <c r="E220" s="23"/>
      <c r="F220" s="23"/>
      <c r="G220" s="23"/>
      <c r="H220" s="23"/>
    </row>
    <row r="221" spans="1:8">
      <c r="A221" s="139"/>
      <c r="B221" s="139"/>
      <c r="C221" s="140"/>
      <c r="D221" s="140"/>
      <c r="E221" s="23"/>
      <c r="F221" s="23"/>
      <c r="G221" s="23"/>
      <c r="H221" s="23"/>
    </row>
    <row r="222" spans="1:8">
      <c r="A222" s="139"/>
      <c r="B222" s="139"/>
      <c r="C222" s="140"/>
      <c r="D222" s="140"/>
      <c r="E222" s="141"/>
      <c r="F222" s="141"/>
      <c r="G222" s="141"/>
      <c r="H222" s="141"/>
    </row>
    <row r="223" spans="1:8">
      <c r="A223" s="139"/>
      <c r="B223" s="139"/>
      <c r="C223" s="140"/>
      <c r="D223" s="140"/>
      <c r="E223" s="141"/>
      <c r="F223" s="141"/>
      <c r="G223" s="141"/>
      <c r="H223" s="141"/>
    </row>
    <row r="224" spans="1:8">
      <c r="A224" s="139"/>
      <c r="B224" s="139"/>
      <c r="C224" s="140"/>
      <c r="D224" s="140"/>
      <c r="E224" s="141"/>
      <c r="F224" s="141"/>
      <c r="G224" s="141"/>
      <c r="H224" s="141"/>
    </row>
    <row r="225" spans="1:8">
      <c r="A225" s="139"/>
      <c r="B225" s="139"/>
      <c r="C225" s="140"/>
      <c r="D225" s="140"/>
      <c r="E225" s="141"/>
      <c r="F225" s="141"/>
      <c r="G225" s="141"/>
      <c r="H225" s="141"/>
    </row>
    <row r="226" spans="1:8">
      <c r="A226" s="139"/>
      <c r="B226" s="139"/>
      <c r="C226" s="140"/>
      <c r="D226" s="140"/>
      <c r="E226" s="141"/>
      <c r="F226" s="141"/>
      <c r="G226" s="141"/>
      <c r="H226" s="141"/>
    </row>
    <row r="227" spans="1:8">
      <c r="A227" s="139"/>
      <c r="B227" s="139"/>
      <c r="C227" s="140"/>
      <c r="D227" s="140"/>
      <c r="E227" s="141"/>
      <c r="F227" s="141"/>
      <c r="G227" s="141"/>
      <c r="H227" s="141"/>
    </row>
    <row r="228" spans="1:8">
      <c r="A228" s="139"/>
      <c r="B228" s="139"/>
      <c r="C228" s="140"/>
      <c r="D228" s="140"/>
      <c r="E228" s="141"/>
      <c r="F228" s="141"/>
      <c r="G228" s="141"/>
      <c r="H228" s="141"/>
    </row>
    <row r="229" spans="1:8">
      <c r="A229" s="139"/>
      <c r="B229" s="139"/>
      <c r="C229" s="140"/>
      <c r="D229" s="140"/>
      <c r="E229" s="141"/>
      <c r="F229" s="141"/>
      <c r="G229" s="141"/>
      <c r="H229" s="141"/>
    </row>
    <row r="230" spans="1:8">
      <c r="A230" s="139"/>
      <c r="B230" s="139"/>
      <c r="C230" s="140"/>
      <c r="D230" s="140"/>
      <c r="E230" s="141"/>
      <c r="F230" s="141"/>
      <c r="G230" s="141"/>
      <c r="H230" s="141"/>
    </row>
    <row r="231" spans="1:8">
      <c r="A231" s="139"/>
      <c r="B231" s="139"/>
      <c r="C231" s="140"/>
      <c r="D231" s="140"/>
      <c r="E231" s="141"/>
      <c r="F231" s="141"/>
      <c r="G231" s="141"/>
      <c r="H231" s="141"/>
    </row>
    <row r="232" spans="1:8">
      <c r="A232" s="139"/>
      <c r="B232" s="139"/>
      <c r="C232" s="140"/>
      <c r="D232" s="140"/>
      <c r="E232" s="141"/>
      <c r="F232" s="141"/>
      <c r="G232" s="141"/>
      <c r="H232" s="141"/>
    </row>
    <row r="233" spans="1:8">
      <c r="A233" s="139"/>
      <c r="B233" s="139"/>
      <c r="C233" s="140"/>
      <c r="D233" s="140"/>
      <c r="E233" s="141"/>
      <c r="F233" s="141"/>
      <c r="G233" s="141"/>
      <c r="H233" s="141"/>
    </row>
    <row r="234" spans="1:8">
      <c r="A234" s="139"/>
      <c r="B234" s="139"/>
      <c r="C234" s="140"/>
      <c r="D234" s="140"/>
      <c r="E234" s="141"/>
      <c r="F234" s="141"/>
      <c r="G234" s="141"/>
      <c r="H234" s="141"/>
    </row>
    <row r="235" spans="1:8">
      <c r="A235" s="139"/>
      <c r="B235" s="139"/>
      <c r="C235" s="140"/>
      <c r="D235" s="140"/>
      <c r="E235" s="141"/>
      <c r="F235" s="141"/>
      <c r="G235" s="141"/>
      <c r="H235" s="141"/>
    </row>
    <row r="236" spans="1:8">
      <c r="A236" s="139"/>
      <c r="B236" s="139"/>
      <c r="C236" s="140"/>
      <c r="D236" s="140"/>
      <c r="E236" s="141"/>
      <c r="F236" s="141"/>
      <c r="G236" s="141"/>
      <c r="H236" s="141"/>
    </row>
    <row r="237" spans="1:8">
      <c r="A237" s="139"/>
      <c r="B237" s="139"/>
      <c r="C237" s="140"/>
      <c r="D237" s="140"/>
      <c r="E237" s="141"/>
      <c r="F237" s="141"/>
      <c r="G237" s="141"/>
      <c r="H237" s="141"/>
    </row>
    <row r="238" spans="1:8">
      <c r="A238" s="139"/>
      <c r="B238" s="139"/>
      <c r="C238" s="140"/>
      <c r="D238" s="140"/>
      <c r="E238" s="141"/>
      <c r="F238" s="141"/>
      <c r="G238" s="141"/>
      <c r="H238" s="141"/>
    </row>
    <row r="239" spans="1:8">
      <c r="A239" s="139"/>
      <c r="B239" s="139"/>
      <c r="C239" s="140"/>
      <c r="D239" s="140"/>
      <c r="E239" s="141"/>
      <c r="F239" s="141"/>
      <c r="G239" s="141"/>
      <c r="H239" s="141"/>
    </row>
    <row r="240" spans="1:8">
      <c r="A240" s="139"/>
      <c r="B240" s="139"/>
      <c r="C240" s="140"/>
      <c r="D240" s="140"/>
      <c r="E240" s="141"/>
      <c r="F240" s="141"/>
      <c r="G240" s="141"/>
      <c r="H240" s="141"/>
    </row>
    <row r="241" spans="1:8">
      <c r="A241" s="139"/>
      <c r="B241" s="139"/>
      <c r="C241" s="140"/>
      <c r="D241" s="140"/>
      <c r="E241" s="141"/>
      <c r="F241" s="141"/>
      <c r="G241" s="141"/>
      <c r="H241" s="141"/>
    </row>
    <row r="242" spans="1:8">
      <c r="A242" s="139"/>
      <c r="B242" s="139"/>
      <c r="C242" s="140"/>
      <c r="D242" s="140"/>
      <c r="E242" s="141"/>
      <c r="F242" s="141"/>
      <c r="G242" s="141"/>
      <c r="H242" s="141"/>
    </row>
    <row r="243" spans="1:8">
      <c r="A243" s="139"/>
      <c r="B243" s="139"/>
      <c r="C243" s="140"/>
      <c r="D243" s="140"/>
      <c r="E243" s="141"/>
      <c r="F243" s="141"/>
      <c r="G243" s="141"/>
      <c r="H243" s="141"/>
    </row>
    <row r="244" spans="1:8">
      <c r="A244" s="139"/>
      <c r="B244" s="139"/>
      <c r="C244" s="140"/>
      <c r="D244" s="140"/>
      <c r="E244" s="141"/>
      <c r="F244" s="141"/>
      <c r="G244" s="141"/>
      <c r="H244" s="141"/>
    </row>
    <row r="245" spans="1:8">
      <c r="A245" s="139"/>
      <c r="B245" s="139"/>
      <c r="C245" s="140"/>
      <c r="D245" s="140"/>
      <c r="E245" s="141"/>
      <c r="F245" s="141"/>
      <c r="G245" s="141"/>
      <c r="H245" s="141"/>
    </row>
    <row r="246" spans="1:8">
      <c r="A246" s="139"/>
      <c r="B246" s="139"/>
      <c r="C246" s="140"/>
      <c r="D246" s="140"/>
      <c r="E246" s="141"/>
      <c r="F246" s="141"/>
      <c r="G246" s="141"/>
      <c r="H246" s="141"/>
    </row>
    <row r="247" spans="1:8">
      <c r="A247" s="139"/>
      <c r="B247" s="139"/>
      <c r="C247" s="140"/>
      <c r="D247" s="140"/>
      <c r="E247" s="141"/>
      <c r="F247" s="141"/>
      <c r="G247" s="141"/>
      <c r="H247" s="141"/>
    </row>
    <row r="248" spans="1:8">
      <c r="A248" s="139"/>
      <c r="B248" s="139"/>
      <c r="C248" s="140"/>
      <c r="D248" s="140"/>
      <c r="E248" s="141"/>
      <c r="F248" s="141"/>
      <c r="G248" s="141"/>
      <c r="H248" s="141"/>
    </row>
    <row r="249" spans="1:8">
      <c r="A249" s="139"/>
      <c r="B249" s="139"/>
      <c r="C249" s="140"/>
      <c r="D249" s="140"/>
      <c r="E249" s="141"/>
      <c r="F249" s="141"/>
      <c r="G249" s="141"/>
      <c r="H249" s="141"/>
    </row>
    <row r="250" spans="1:8">
      <c r="A250" s="139"/>
      <c r="B250" s="139"/>
      <c r="C250" s="140"/>
      <c r="D250" s="140"/>
      <c r="E250" s="141"/>
      <c r="F250" s="141"/>
      <c r="G250" s="141"/>
      <c r="H250" s="141"/>
    </row>
    <row r="251" spans="1:8">
      <c r="A251" s="139"/>
      <c r="B251" s="139"/>
      <c r="C251" s="140"/>
      <c r="D251" s="140"/>
      <c r="E251" s="141"/>
      <c r="F251" s="141"/>
      <c r="G251" s="141"/>
      <c r="H251" s="141"/>
    </row>
    <row r="252" spans="1:8">
      <c r="A252" s="139"/>
      <c r="B252" s="139"/>
      <c r="C252" s="140"/>
      <c r="D252" s="140"/>
      <c r="E252" s="141"/>
      <c r="F252" s="141"/>
      <c r="G252" s="141"/>
      <c r="H252" s="141"/>
    </row>
    <row r="253" spans="1:8">
      <c r="A253" s="139"/>
      <c r="B253" s="139"/>
      <c r="C253" s="140"/>
      <c r="D253" s="140"/>
      <c r="E253" s="141"/>
      <c r="F253" s="141"/>
      <c r="G253" s="141"/>
      <c r="H253" s="141"/>
    </row>
    <row r="254" spans="1:8">
      <c r="A254" s="139"/>
      <c r="B254" s="139"/>
      <c r="C254" s="140"/>
      <c r="D254" s="140"/>
      <c r="E254" s="141"/>
      <c r="F254" s="141"/>
      <c r="G254" s="141"/>
      <c r="H254" s="141"/>
    </row>
    <row r="255" spans="1:8">
      <c r="A255" s="139"/>
      <c r="B255" s="139"/>
      <c r="C255" s="140"/>
      <c r="D255" s="140"/>
      <c r="E255" s="141"/>
      <c r="F255" s="141"/>
      <c r="G255" s="141"/>
      <c r="H255" s="141"/>
    </row>
    <row r="256" spans="1:8">
      <c r="A256" s="139"/>
      <c r="B256" s="139"/>
      <c r="C256" s="140"/>
      <c r="D256" s="140"/>
      <c r="E256" s="141"/>
      <c r="F256" s="141"/>
      <c r="G256" s="141"/>
      <c r="H256" s="141"/>
    </row>
    <row r="257" spans="1:8">
      <c r="A257" s="139"/>
      <c r="B257" s="139"/>
      <c r="C257" s="140"/>
      <c r="D257" s="140"/>
      <c r="E257" s="141"/>
      <c r="F257" s="141"/>
      <c r="G257" s="141"/>
      <c r="H257" s="141"/>
    </row>
    <row r="258" spans="1:8">
      <c r="A258" s="139"/>
      <c r="B258" s="139"/>
      <c r="C258" s="140"/>
      <c r="D258" s="140"/>
      <c r="E258" s="141"/>
      <c r="F258" s="141"/>
      <c r="G258" s="141"/>
      <c r="H258" s="141"/>
    </row>
    <row r="259" spans="1:8">
      <c r="A259" s="139"/>
      <c r="B259" s="139"/>
      <c r="C259" s="140"/>
      <c r="D259" s="140"/>
      <c r="E259" s="141"/>
      <c r="F259" s="141"/>
      <c r="G259" s="141"/>
      <c r="H259" s="141"/>
    </row>
    <row r="260" spans="1:8">
      <c r="A260" s="139"/>
      <c r="B260" s="139"/>
      <c r="C260" s="140"/>
      <c r="D260" s="140"/>
      <c r="E260" s="141"/>
      <c r="F260" s="141"/>
      <c r="G260" s="141"/>
      <c r="H260" s="141"/>
    </row>
    <row r="261" spans="1:8">
      <c r="A261" s="139"/>
      <c r="B261" s="139"/>
      <c r="C261" s="140"/>
      <c r="D261" s="140"/>
      <c r="E261" s="141"/>
      <c r="F261" s="141"/>
      <c r="G261" s="141"/>
      <c r="H261" s="141"/>
    </row>
    <row r="262" spans="1:8">
      <c r="A262" s="139"/>
      <c r="B262" s="139"/>
      <c r="C262" s="140"/>
      <c r="D262" s="140"/>
      <c r="E262" s="141"/>
      <c r="F262" s="141"/>
      <c r="G262" s="141"/>
      <c r="H262" s="141"/>
    </row>
    <row r="263" spans="1:8">
      <c r="A263" s="139"/>
      <c r="B263" s="139"/>
      <c r="C263" s="140"/>
      <c r="D263" s="140"/>
      <c r="E263" s="141"/>
      <c r="F263" s="141"/>
      <c r="G263" s="141"/>
      <c r="H263" s="141"/>
    </row>
    <row r="264" spans="1:8">
      <c r="A264" s="139"/>
      <c r="B264" s="139"/>
      <c r="C264" s="140"/>
      <c r="D264" s="140"/>
      <c r="E264" s="141"/>
      <c r="F264" s="141"/>
      <c r="G264" s="141"/>
      <c r="H264" s="141"/>
    </row>
    <row r="265" spans="1:8">
      <c r="A265" s="139"/>
      <c r="B265" s="139"/>
      <c r="C265" s="140"/>
      <c r="D265" s="140"/>
      <c r="E265" s="141"/>
      <c r="F265" s="141"/>
      <c r="G265" s="141"/>
      <c r="H265" s="141"/>
    </row>
    <row r="266" spans="1:8">
      <c r="A266" s="139"/>
      <c r="B266" s="139"/>
      <c r="C266" s="140"/>
      <c r="D266" s="140"/>
      <c r="E266" s="141"/>
      <c r="F266" s="141"/>
      <c r="G266" s="141"/>
      <c r="H266" s="141"/>
    </row>
    <row r="267" spans="1:8">
      <c r="A267" s="139"/>
      <c r="B267" s="139"/>
      <c r="C267" s="140"/>
      <c r="D267" s="140"/>
      <c r="E267" s="141"/>
      <c r="F267" s="141"/>
      <c r="G267" s="141"/>
      <c r="H267" s="141"/>
    </row>
    <row r="268" spans="1:8">
      <c r="A268" s="139"/>
      <c r="B268" s="139"/>
      <c r="C268" s="140"/>
      <c r="D268" s="140"/>
      <c r="E268" s="141"/>
      <c r="F268" s="141"/>
      <c r="G268" s="141"/>
      <c r="H268" s="141"/>
    </row>
    <row r="269" spans="1:8">
      <c r="A269" s="139"/>
      <c r="B269" s="139"/>
      <c r="C269" s="140"/>
      <c r="D269" s="140"/>
      <c r="E269" s="141"/>
      <c r="F269" s="141"/>
      <c r="G269" s="141"/>
      <c r="H269" s="141"/>
    </row>
    <row r="270" spans="1:8">
      <c r="A270" s="139"/>
      <c r="B270" s="139"/>
      <c r="C270" s="140"/>
      <c r="D270" s="140"/>
      <c r="E270" s="141"/>
      <c r="F270" s="141"/>
      <c r="G270" s="141"/>
      <c r="H270" s="141"/>
    </row>
    <row r="271" spans="1:8">
      <c r="A271" s="139"/>
      <c r="B271" s="139"/>
      <c r="C271" s="140"/>
      <c r="D271" s="140"/>
      <c r="E271" s="141"/>
      <c r="F271" s="141"/>
      <c r="G271" s="141"/>
      <c r="H271" s="141"/>
    </row>
    <row r="272" spans="1:8">
      <c r="A272" s="139"/>
      <c r="B272" s="139"/>
      <c r="C272" s="140"/>
      <c r="D272" s="140"/>
      <c r="E272" s="141"/>
      <c r="F272" s="141"/>
      <c r="G272" s="141"/>
      <c r="H272" s="141"/>
    </row>
    <row r="273" spans="1:8">
      <c r="A273" s="139"/>
      <c r="B273" s="139"/>
      <c r="C273" s="140"/>
      <c r="D273" s="140"/>
      <c r="E273" s="141"/>
      <c r="F273" s="141"/>
      <c r="G273" s="141"/>
      <c r="H273" s="141"/>
    </row>
    <row r="274" spans="1:8">
      <c r="A274" s="139"/>
      <c r="B274" s="139"/>
      <c r="C274" s="140"/>
      <c r="D274" s="140"/>
      <c r="E274" s="141"/>
      <c r="F274" s="141"/>
      <c r="G274" s="141"/>
      <c r="H274" s="141"/>
    </row>
    <row r="275" spans="1:8">
      <c r="A275" s="139"/>
      <c r="B275" s="139"/>
      <c r="C275" s="140"/>
      <c r="D275" s="140"/>
      <c r="E275" s="141"/>
      <c r="F275" s="141"/>
      <c r="G275" s="141"/>
      <c r="H275" s="141"/>
    </row>
    <row r="276" spans="1:8">
      <c r="A276" s="139"/>
      <c r="B276" s="139"/>
      <c r="C276" s="140"/>
      <c r="D276" s="140"/>
      <c r="E276" s="141"/>
      <c r="F276" s="141"/>
      <c r="G276" s="141"/>
      <c r="H276" s="141"/>
    </row>
    <row r="277" spans="1:8">
      <c r="A277" s="139"/>
      <c r="B277" s="139"/>
      <c r="C277" s="140"/>
      <c r="D277" s="140"/>
      <c r="E277" s="141"/>
      <c r="F277" s="141"/>
      <c r="G277" s="141"/>
      <c r="H277" s="141"/>
    </row>
    <row r="278" spans="1:8">
      <c r="A278" s="139"/>
      <c r="B278" s="139"/>
      <c r="C278" s="140"/>
      <c r="D278" s="140"/>
      <c r="E278" s="141"/>
      <c r="F278" s="141"/>
      <c r="G278" s="141"/>
      <c r="H278" s="141"/>
    </row>
    <row r="279" spans="1:8">
      <c r="A279" s="139"/>
      <c r="B279" s="139"/>
      <c r="C279" s="140"/>
      <c r="D279" s="140"/>
      <c r="E279" s="141"/>
      <c r="F279" s="141"/>
      <c r="G279" s="141"/>
      <c r="H279" s="141"/>
    </row>
    <row r="280" spans="1:8">
      <c r="A280" s="139"/>
      <c r="B280" s="139"/>
      <c r="C280" s="140"/>
      <c r="D280" s="140"/>
      <c r="E280" s="141"/>
      <c r="F280" s="141"/>
      <c r="G280" s="141"/>
      <c r="H280" s="141"/>
    </row>
    <row r="281" spans="1:8">
      <c r="A281" s="139"/>
      <c r="B281" s="139"/>
      <c r="C281" s="140"/>
      <c r="D281" s="140"/>
      <c r="E281" s="141"/>
      <c r="F281" s="141"/>
      <c r="G281" s="141"/>
      <c r="H281" s="141"/>
    </row>
    <row r="282" spans="1:8">
      <c r="A282" s="139"/>
      <c r="B282" s="139"/>
      <c r="C282" s="140"/>
      <c r="D282" s="140"/>
      <c r="E282" s="141"/>
      <c r="F282" s="141"/>
      <c r="G282" s="141"/>
      <c r="H282" s="141"/>
    </row>
    <row r="283" spans="1:8">
      <c r="A283" s="139"/>
      <c r="B283" s="139"/>
      <c r="C283" s="140"/>
      <c r="D283" s="140"/>
      <c r="E283" s="141"/>
      <c r="F283" s="141"/>
      <c r="G283" s="141"/>
      <c r="H283" s="141"/>
    </row>
    <row r="284" spans="1:8">
      <c r="A284" s="139"/>
      <c r="B284" s="139"/>
      <c r="C284" s="140"/>
      <c r="D284" s="140"/>
      <c r="E284" s="141"/>
      <c r="F284" s="141"/>
      <c r="G284" s="141"/>
      <c r="H284" s="141"/>
    </row>
    <row r="285" spans="1:8">
      <c r="A285" s="139"/>
      <c r="B285" s="139"/>
      <c r="C285" s="140"/>
      <c r="D285" s="140"/>
      <c r="E285" s="141"/>
      <c r="F285" s="141"/>
      <c r="G285" s="141"/>
      <c r="H285" s="141"/>
    </row>
    <row r="286" spans="1:8">
      <c r="A286" s="139"/>
      <c r="B286" s="139"/>
      <c r="C286" s="140"/>
      <c r="D286" s="140"/>
      <c r="E286" s="141"/>
      <c r="F286" s="141"/>
      <c r="G286" s="141"/>
      <c r="H286" s="141"/>
    </row>
    <row r="287" spans="1:8">
      <c r="A287" s="139"/>
      <c r="B287" s="139"/>
      <c r="C287" s="140"/>
      <c r="D287" s="140"/>
      <c r="E287" s="141"/>
      <c r="F287" s="141"/>
      <c r="G287" s="141"/>
      <c r="H287" s="141"/>
    </row>
    <row r="288" spans="1:8">
      <c r="A288" s="139"/>
      <c r="B288" s="139"/>
      <c r="C288" s="140"/>
      <c r="D288" s="140"/>
      <c r="E288" s="141"/>
      <c r="F288" s="141"/>
      <c r="G288" s="141"/>
      <c r="H288" s="141"/>
    </row>
    <row r="289" spans="1:8">
      <c r="A289" s="139"/>
      <c r="B289" s="139"/>
      <c r="C289" s="140"/>
      <c r="D289" s="140"/>
      <c r="E289" s="141"/>
      <c r="F289" s="141"/>
      <c r="G289" s="141"/>
      <c r="H289" s="141"/>
    </row>
    <row r="290" spans="1:8">
      <c r="A290" s="139"/>
      <c r="B290" s="139"/>
      <c r="C290" s="140"/>
      <c r="D290" s="140"/>
      <c r="E290" s="141"/>
      <c r="F290" s="141"/>
      <c r="G290" s="141"/>
      <c r="H290" s="141"/>
    </row>
    <row r="291" spans="1:8">
      <c r="A291" s="139"/>
      <c r="B291" s="139"/>
      <c r="C291" s="140"/>
      <c r="D291" s="140"/>
      <c r="E291" s="141"/>
      <c r="F291" s="141"/>
      <c r="G291" s="141"/>
      <c r="H291" s="141"/>
    </row>
    <row r="292" spans="1:8">
      <c r="A292" s="139"/>
      <c r="B292" s="139"/>
      <c r="C292" s="140"/>
      <c r="D292" s="140"/>
      <c r="E292" s="141"/>
      <c r="F292" s="141"/>
      <c r="G292" s="141"/>
      <c r="H292" s="141"/>
    </row>
    <row r="293" spans="1:8">
      <c r="A293" s="139"/>
      <c r="B293" s="139"/>
      <c r="C293" s="140"/>
      <c r="D293" s="140"/>
      <c r="E293" s="141"/>
      <c r="F293" s="141"/>
      <c r="G293" s="141"/>
      <c r="H293" s="141"/>
    </row>
    <row r="294" spans="1:8">
      <c r="A294" s="139"/>
      <c r="B294" s="139"/>
      <c r="C294" s="140"/>
      <c r="D294" s="140"/>
      <c r="E294" s="141"/>
      <c r="F294" s="141"/>
      <c r="G294" s="141"/>
      <c r="H294" s="141"/>
    </row>
    <row r="295" spans="1:8">
      <c r="A295" s="139"/>
      <c r="B295" s="139"/>
      <c r="C295" s="140"/>
      <c r="D295" s="140"/>
      <c r="E295" s="141"/>
      <c r="F295" s="141"/>
      <c r="G295" s="141"/>
      <c r="H295" s="141"/>
    </row>
    <row r="296" spans="1:8">
      <c r="A296" s="139"/>
      <c r="B296" s="139"/>
      <c r="C296" s="140"/>
      <c r="D296" s="140"/>
      <c r="E296" s="141"/>
      <c r="F296" s="141"/>
      <c r="G296" s="141"/>
      <c r="H296" s="141"/>
    </row>
    <row r="297" spans="1:8">
      <c r="A297" s="139"/>
      <c r="B297" s="139"/>
      <c r="C297" s="140"/>
      <c r="D297" s="140"/>
      <c r="E297" s="141"/>
      <c r="F297" s="141"/>
      <c r="G297" s="141"/>
      <c r="H297" s="141"/>
    </row>
    <row r="298" spans="1:8">
      <c r="A298" s="139"/>
      <c r="B298" s="139"/>
      <c r="C298" s="140"/>
      <c r="D298" s="140"/>
      <c r="E298" s="141"/>
      <c r="F298" s="141"/>
      <c r="G298" s="141"/>
      <c r="H298" s="141"/>
    </row>
    <row r="299" spans="1:8">
      <c r="A299" s="139"/>
      <c r="B299" s="139"/>
      <c r="C299" s="140"/>
      <c r="D299" s="140"/>
      <c r="E299" s="141"/>
      <c r="F299" s="141"/>
      <c r="G299" s="141"/>
      <c r="H299" s="141"/>
    </row>
    <row r="300" spans="1:8">
      <c r="A300" s="139"/>
      <c r="B300" s="139"/>
      <c r="C300" s="140"/>
      <c r="D300" s="140"/>
      <c r="E300" s="141"/>
      <c r="F300" s="141"/>
      <c r="G300" s="141"/>
      <c r="H300" s="141"/>
    </row>
    <row r="301" spans="1:8">
      <c r="A301" s="139"/>
      <c r="B301" s="139"/>
      <c r="C301" s="140"/>
      <c r="D301" s="140"/>
      <c r="E301" s="141"/>
      <c r="F301" s="141"/>
      <c r="G301" s="141"/>
      <c r="H301" s="141"/>
    </row>
    <row r="302" spans="1:8">
      <c r="A302" s="139"/>
      <c r="B302" s="139"/>
      <c r="C302" s="140"/>
      <c r="D302" s="140"/>
      <c r="E302" s="141"/>
      <c r="F302" s="141"/>
      <c r="G302" s="141"/>
      <c r="H302" s="141"/>
    </row>
    <row r="303" spans="1:8">
      <c r="A303" s="139"/>
      <c r="B303" s="139"/>
      <c r="C303" s="140"/>
      <c r="D303" s="140"/>
      <c r="E303" s="141"/>
      <c r="F303" s="141"/>
      <c r="G303" s="141"/>
      <c r="H303" s="141"/>
    </row>
    <row r="304" spans="1:8">
      <c r="A304" s="139"/>
      <c r="B304" s="139"/>
      <c r="C304" s="140"/>
      <c r="D304" s="140"/>
      <c r="E304" s="141"/>
      <c r="F304" s="141"/>
      <c r="G304" s="141"/>
      <c r="H304" s="141"/>
    </row>
    <row r="305" spans="1:8">
      <c r="A305" s="139"/>
      <c r="B305" s="139"/>
      <c r="C305" s="140"/>
      <c r="D305" s="140"/>
      <c r="E305" s="141"/>
      <c r="F305" s="141"/>
      <c r="G305" s="141"/>
      <c r="H305" s="141"/>
    </row>
    <row r="306" spans="1:8">
      <c r="A306" s="139"/>
      <c r="B306" s="139"/>
      <c r="C306" s="140"/>
      <c r="D306" s="140"/>
      <c r="E306" s="141"/>
      <c r="F306" s="141"/>
      <c r="G306" s="141"/>
      <c r="H306" s="141"/>
    </row>
    <row r="307" spans="1:8">
      <c r="A307" s="139"/>
      <c r="B307" s="139"/>
      <c r="C307" s="140"/>
      <c r="D307" s="140"/>
      <c r="E307" s="141"/>
      <c r="F307" s="141"/>
      <c r="G307" s="141"/>
      <c r="H307" s="141"/>
    </row>
    <row r="308" spans="1:8">
      <c r="A308" s="139"/>
      <c r="B308" s="139"/>
      <c r="C308" s="140"/>
      <c r="D308" s="140"/>
      <c r="E308" s="141"/>
      <c r="F308" s="141"/>
      <c r="G308" s="141"/>
      <c r="H308" s="141"/>
    </row>
    <row r="309" spans="1:8">
      <c r="A309" s="139"/>
      <c r="B309" s="139"/>
      <c r="C309" s="140"/>
      <c r="D309" s="140"/>
      <c r="E309" s="141"/>
      <c r="F309" s="141"/>
      <c r="G309" s="141"/>
      <c r="H309" s="141"/>
    </row>
    <row r="310" spans="1:8">
      <c r="A310" s="139"/>
      <c r="B310" s="139"/>
      <c r="C310" s="140"/>
      <c r="D310" s="140"/>
      <c r="E310" s="141"/>
      <c r="F310" s="141"/>
      <c r="G310" s="141"/>
      <c r="H310" s="141"/>
    </row>
    <row r="311" spans="1:8">
      <c r="A311" s="139"/>
      <c r="B311" s="139"/>
      <c r="C311" s="140"/>
      <c r="D311" s="140"/>
      <c r="E311" s="141"/>
      <c r="F311" s="141"/>
      <c r="G311" s="141"/>
      <c r="H311" s="141"/>
    </row>
    <row r="312" spans="1:8">
      <c r="A312" s="139"/>
      <c r="B312" s="139"/>
      <c r="C312" s="140"/>
      <c r="D312" s="140"/>
      <c r="E312" s="141"/>
      <c r="F312" s="141"/>
      <c r="G312" s="141"/>
      <c r="H312" s="141"/>
    </row>
    <row r="313" spans="1:8">
      <c r="A313" s="139"/>
      <c r="B313" s="139"/>
      <c r="C313" s="140"/>
      <c r="D313" s="140"/>
      <c r="E313" s="141"/>
      <c r="F313" s="141"/>
      <c r="G313" s="141"/>
      <c r="H313" s="141"/>
    </row>
    <row r="314" spans="1:8">
      <c r="A314" s="139"/>
      <c r="B314" s="139"/>
      <c r="C314" s="140"/>
      <c r="D314" s="140"/>
      <c r="E314" s="141"/>
      <c r="F314" s="141"/>
      <c r="G314" s="141"/>
      <c r="H314" s="141"/>
    </row>
    <row r="315" spans="1:8">
      <c r="A315" s="139"/>
      <c r="B315" s="139"/>
      <c r="C315" s="140"/>
      <c r="D315" s="140"/>
      <c r="E315" s="141"/>
      <c r="F315" s="141"/>
      <c r="G315" s="141"/>
      <c r="H315" s="141"/>
    </row>
    <row r="316" spans="1:8">
      <c r="A316" s="139"/>
      <c r="B316" s="139"/>
      <c r="C316" s="140"/>
      <c r="D316" s="140"/>
      <c r="E316" s="141"/>
      <c r="F316" s="141"/>
      <c r="G316" s="141"/>
      <c r="H316" s="141"/>
    </row>
    <row r="317" spans="1:8">
      <c r="A317" s="139"/>
      <c r="B317" s="139"/>
      <c r="C317" s="140"/>
      <c r="D317" s="140"/>
      <c r="E317" s="141"/>
      <c r="F317" s="141"/>
      <c r="G317" s="141"/>
      <c r="H317" s="141"/>
    </row>
    <row r="318" spans="1:8">
      <c r="A318" s="139"/>
      <c r="B318" s="139"/>
      <c r="C318" s="140"/>
      <c r="D318" s="140"/>
      <c r="E318" s="141"/>
      <c r="F318" s="141"/>
      <c r="G318" s="141"/>
      <c r="H318" s="141"/>
    </row>
    <row r="319" spans="1:8">
      <c r="A319" s="139"/>
      <c r="B319" s="139"/>
      <c r="C319" s="140"/>
      <c r="D319" s="140"/>
      <c r="E319" s="141"/>
      <c r="F319" s="141"/>
      <c r="G319" s="141"/>
      <c r="H319" s="141"/>
    </row>
    <row r="320" spans="1:8">
      <c r="A320" s="139"/>
      <c r="B320" s="139"/>
      <c r="C320" s="140"/>
      <c r="D320" s="140"/>
      <c r="E320" s="141"/>
      <c r="F320" s="141"/>
      <c r="G320" s="141"/>
      <c r="H320" s="141"/>
    </row>
    <row r="321" spans="1:8">
      <c r="A321" s="139"/>
      <c r="B321" s="139"/>
      <c r="C321" s="140"/>
      <c r="D321" s="140"/>
      <c r="E321" s="141"/>
      <c r="F321" s="141"/>
      <c r="G321" s="141"/>
      <c r="H321" s="141"/>
    </row>
    <row r="322" spans="1:8">
      <c r="A322" s="139"/>
      <c r="B322" s="139"/>
      <c r="C322" s="140"/>
      <c r="D322" s="140"/>
      <c r="E322" s="141"/>
      <c r="F322" s="141"/>
      <c r="G322" s="141"/>
      <c r="H322" s="141"/>
    </row>
    <row r="323" spans="1:8">
      <c r="A323" s="139"/>
      <c r="B323" s="139"/>
      <c r="C323" s="140"/>
      <c r="D323" s="140"/>
      <c r="E323" s="141"/>
      <c r="F323" s="141"/>
      <c r="G323" s="141"/>
      <c r="H323" s="141"/>
    </row>
    <row r="324" spans="1:8">
      <c r="A324" s="139"/>
      <c r="B324" s="139"/>
      <c r="C324" s="140"/>
      <c r="D324" s="140"/>
      <c r="E324" s="141"/>
      <c r="F324" s="141"/>
      <c r="G324" s="141"/>
      <c r="H324" s="141"/>
    </row>
    <row r="325" spans="1:8">
      <c r="A325" s="139"/>
      <c r="B325" s="139"/>
      <c r="C325" s="140"/>
      <c r="D325" s="140"/>
      <c r="E325" s="141"/>
      <c r="F325" s="141"/>
      <c r="G325" s="141"/>
      <c r="H325" s="141"/>
    </row>
    <row r="326" spans="1:8">
      <c r="A326" s="139"/>
      <c r="B326" s="139"/>
      <c r="C326" s="140"/>
      <c r="D326" s="140"/>
      <c r="E326" s="141"/>
      <c r="F326" s="141"/>
      <c r="G326" s="141"/>
      <c r="H326" s="141"/>
    </row>
    <row r="327" spans="1:8">
      <c r="A327" s="139"/>
      <c r="B327" s="139"/>
      <c r="C327" s="140"/>
      <c r="D327" s="140"/>
      <c r="E327" s="141"/>
      <c r="F327" s="141"/>
      <c r="G327" s="141"/>
      <c r="H327" s="141"/>
    </row>
    <row r="328" spans="1:8">
      <c r="A328" s="139"/>
      <c r="B328" s="139"/>
      <c r="C328" s="140"/>
      <c r="D328" s="140"/>
      <c r="E328" s="141"/>
      <c r="F328" s="141"/>
      <c r="G328" s="141"/>
      <c r="H328" s="141"/>
    </row>
    <row r="329" spans="1:8">
      <c r="A329" s="139"/>
      <c r="B329" s="139"/>
      <c r="C329" s="140"/>
      <c r="D329" s="140"/>
      <c r="E329" s="141"/>
      <c r="F329" s="141"/>
      <c r="G329" s="141"/>
      <c r="H329" s="141"/>
    </row>
    <row r="330" spans="1:8">
      <c r="A330" s="139"/>
      <c r="B330" s="139"/>
      <c r="C330" s="140"/>
      <c r="D330" s="140"/>
      <c r="E330" s="141"/>
      <c r="F330" s="141"/>
      <c r="G330" s="141"/>
      <c r="H330" s="141"/>
    </row>
    <row r="331" spans="1:8">
      <c r="A331" s="139"/>
      <c r="B331" s="139"/>
      <c r="C331" s="140"/>
      <c r="D331" s="140"/>
      <c r="E331" s="141"/>
      <c r="F331" s="141"/>
      <c r="G331" s="141"/>
      <c r="H331" s="141"/>
    </row>
    <row r="332" spans="1:8">
      <c r="A332" s="139"/>
      <c r="B332" s="139"/>
      <c r="C332" s="140"/>
      <c r="D332" s="140"/>
      <c r="E332" s="141"/>
      <c r="F332" s="141"/>
      <c r="G332" s="141"/>
      <c r="H332" s="141"/>
    </row>
    <row r="333" spans="1:8">
      <c r="A333" s="139"/>
      <c r="B333" s="139"/>
      <c r="C333" s="140"/>
      <c r="D333" s="140"/>
      <c r="E333" s="141"/>
      <c r="F333" s="141"/>
      <c r="G333" s="141"/>
      <c r="H333" s="141"/>
    </row>
    <row r="334" spans="1:8">
      <c r="A334" s="139"/>
      <c r="B334" s="139"/>
      <c r="C334" s="140"/>
      <c r="D334" s="140"/>
      <c r="E334" s="141"/>
      <c r="F334" s="141"/>
      <c r="G334" s="141"/>
      <c r="H334" s="141"/>
    </row>
    <row r="335" spans="1:8">
      <c r="A335" s="139"/>
      <c r="B335" s="139"/>
      <c r="C335" s="140"/>
      <c r="D335" s="140"/>
      <c r="E335" s="141"/>
      <c r="F335" s="141"/>
      <c r="G335" s="141"/>
      <c r="H335" s="141"/>
    </row>
    <row r="336" spans="1:8">
      <c r="A336" s="139"/>
      <c r="B336" s="139"/>
      <c r="C336" s="140"/>
      <c r="D336" s="140"/>
      <c r="E336" s="141"/>
      <c r="F336" s="141"/>
      <c r="G336" s="141"/>
      <c r="H336" s="141"/>
    </row>
    <row r="337" spans="1:8">
      <c r="A337" s="139"/>
      <c r="B337" s="139"/>
      <c r="C337" s="140"/>
      <c r="D337" s="140"/>
      <c r="E337" s="141"/>
      <c r="F337" s="141"/>
      <c r="G337" s="141"/>
      <c r="H337" s="141"/>
    </row>
    <row r="338" spans="1:8">
      <c r="A338" s="139"/>
      <c r="B338" s="139"/>
      <c r="C338" s="140"/>
      <c r="D338" s="140"/>
      <c r="E338" s="141"/>
      <c r="F338" s="141"/>
      <c r="G338" s="141"/>
      <c r="H338" s="141"/>
    </row>
    <row r="339" spans="1:8">
      <c r="A339" s="139"/>
      <c r="B339" s="139"/>
      <c r="C339" s="140"/>
      <c r="D339" s="140"/>
      <c r="E339" s="141"/>
      <c r="F339" s="141"/>
      <c r="G339" s="141"/>
      <c r="H339" s="141"/>
    </row>
    <row r="340" spans="1:8">
      <c r="A340" s="139"/>
      <c r="B340" s="139"/>
      <c r="C340" s="140"/>
      <c r="D340" s="140"/>
      <c r="E340" s="141"/>
      <c r="F340" s="141"/>
      <c r="G340" s="141"/>
      <c r="H340" s="141"/>
    </row>
    <row r="341" spans="1:8">
      <c r="A341" s="139"/>
      <c r="B341" s="139"/>
      <c r="C341" s="140"/>
      <c r="D341" s="140"/>
      <c r="E341" s="141"/>
      <c r="F341" s="141"/>
      <c r="G341" s="141"/>
      <c r="H341" s="141"/>
    </row>
    <row r="342" spans="1:8">
      <c r="A342" s="139"/>
      <c r="B342" s="139"/>
      <c r="C342" s="140"/>
      <c r="D342" s="140"/>
      <c r="E342" s="141"/>
      <c r="F342" s="141"/>
      <c r="G342" s="141"/>
      <c r="H342" s="141"/>
    </row>
    <row r="343" spans="1:8">
      <c r="A343" s="139"/>
      <c r="B343" s="139"/>
      <c r="C343" s="140"/>
      <c r="D343" s="140"/>
      <c r="E343" s="141"/>
      <c r="F343" s="141"/>
      <c r="G343" s="141"/>
      <c r="H343" s="141"/>
    </row>
    <row r="344" spans="1:8">
      <c r="A344" s="139"/>
      <c r="B344" s="139"/>
      <c r="C344" s="140"/>
      <c r="D344" s="140"/>
      <c r="E344" s="141"/>
      <c r="F344" s="141"/>
      <c r="G344" s="141"/>
      <c r="H344" s="141"/>
    </row>
    <row r="345" spans="1:8">
      <c r="A345" s="139"/>
      <c r="B345" s="139"/>
      <c r="C345" s="140"/>
      <c r="D345" s="140"/>
      <c r="E345" s="141"/>
      <c r="F345" s="141"/>
      <c r="G345" s="141"/>
      <c r="H345" s="141"/>
    </row>
    <row r="346" spans="1:8">
      <c r="A346" s="139"/>
      <c r="B346" s="139"/>
      <c r="C346" s="140"/>
      <c r="D346" s="140"/>
      <c r="E346" s="141"/>
      <c r="F346" s="141"/>
      <c r="G346" s="141"/>
      <c r="H346" s="141"/>
    </row>
    <row r="347" spans="1:8">
      <c r="A347" s="139"/>
      <c r="B347" s="139"/>
      <c r="C347" s="140"/>
      <c r="D347" s="140"/>
      <c r="E347" s="141"/>
      <c r="F347" s="141"/>
      <c r="G347" s="141"/>
      <c r="H347" s="141"/>
    </row>
    <row r="348" spans="1:8">
      <c r="A348" s="139"/>
      <c r="B348" s="139"/>
      <c r="C348" s="140"/>
      <c r="D348" s="140"/>
      <c r="E348" s="141"/>
      <c r="F348" s="141"/>
      <c r="G348" s="141"/>
      <c r="H348" s="141"/>
    </row>
    <row r="349" spans="1:8">
      <c r="A349" s="139"/>
      <c r="B349" s="139"/>
      <c r="C349" s="140"/>
      <c r="D349" s="140"/>
      <c r="E349" s="141"/>
      <c r="F349" s="141"/>
      <c r="G349" s="141"/>
      <c r="H349" s="141"/>
    </row>
    <row r="350" spans="1:8">
      <c r="A350" s="139"/>
      <c r="B350" s="139"/>
      <c r="C350" s="140"/>
      <c r="D350" s="140"/>
      <c r="E350" s="141"/>
      <c r="F350" s="141"/>
      <c r="G350" s="141"/>
      <c r="H350" s="141"/>
    </row>
    <row r="351" spans="1:8">
      <c r="A351" s="139"/>
      <c r="B351" s="139"/>
      <c r="C351" s="140"/>
      <c r="D351" s="140"/>
      <c r="E351" s="141"/>
      <c r="F351" s="141"/>
      <c r="G351" s="141"/>
      <c r="H351" s="141"/>
    </row>
    <row r="352" spans="1:8">
      <c r="A352" s="139"/>
      <c r="B352" s="139"/>
      <c r="C352" s="140"/>
      <c r="D352" s="140"/>
      <c r="E352" s="141"/>
      <c r="F352" s="141"/>
      <c r="G352" s="141"/>
      <c r="H352" s="141"/>
    </row>
    <row r="353" spans="1:8">
      <c r="A353" s="139"/>
      <c r="B353" s="139"/>
      <c r="C353" s="140"/>
      <c r="D353" s="140"/>
      <c r="E353" s="141"/>
      <c r="F353" s="141"/>
      <c r="G353" s="141"/>
      <c r="H353" s="141"/>
    </row>
    <row r="354" spans="1:8">
      <c r="A354" s="139"/>
      <c r="B354" s="139"/>
      <c r="C354" s="140"/>
      <c r="D354" s="140"/>
      <c r="E354" s="141"/>
      <c r="F354" s="141"/>
      <c r="G354" s="141"/>
      <c r="H354" s="141"/>
    </row>
    <row r="355" spans="1:8">
      <c r="A355" s="139"/>
      <c r="B355" s="139"/>
      <c r="C355" s="140"/>
      <c r="D355" s="140"/>
      <c r="E355" s="141"/>
      <c r="F355" s="141"/>
      <c r="G355" s="141"/>
      <c r="H355" s="141"/>
    </row>
    <row r="356" spans="1:8">
      <c r="A356" s="139"/>
      <c r="B356" s="139"/>
      <c r="C356" s="140"/>
      <c r="D356" s="140"/>
      <c r="E356" s="141"/>
      <c r="F356" s="141"/>
      <c r="G356" s="141"/>
      <c r="H356" s="141"/>
    </row>
    <row r="357" spans="1:8">
      <c r="A357" s="139"/>
      <c r="B357" s="139"/>
      <c r="C357" s="140"/>
      <c r="D357" s="140"/>
      <c r="E357" s="141"/>
      <c r="F357" s="141"/>
      <c r="G357" s="141"/>
      <c r="H357" s="141"/>
    </row>
    <row r="358" spans="1:8">
      <c r="A358" s="139"/>
      <c r="B358" s="139"/>
      <c r="C358" s="140"/>
      <c r="D358" s="140"/>
      <c r="E358" s="141"/>
      <c r="F358" s="141"/>
      <c r="G358" s="141"/>
      <c r="H358" s="141"/>
    </row>
    <row r="359" spans="1:8">
      <c r="A359" s="139"/>
      <c r="B359" s="139"/>
      <c r="C359" s="140"/>
      <c r="D359" s="140"/>
      <c r="E359" s="141"/>
      <c r="F359" s="141"/>
      <c r="G359" s="141"/>
      <c r="H359" s="141"/>
    </row>
    <row r="360" spans="1:8">
      <c r="A360" s="139"/>
      <c r="B360" s="139"/>
      <c r="C360" s="140"/>
      <c r="D360" s="140"/>
      <c r="E360" s="141"/>
      <c r="F360" s="141"/>
      <c r="G360" s="141"/>
      <c r="H360" s="141"/>
    </row>
    <row r="361" spans="1:8">
      <c r="A361" s="139"/>
      <c r="B361" s="139"/>
      <c r="C361" s="140"/>
      <c r="D361" s="140"/>
      <c r="E361" s="141"/>
      <c r="F361" s="141"/>
      <c r="G361" s="141"/>
      <c r="H361" s="141"/>
    </row>
    <row r="362" spans="1:8">
      <c r="A362" s="139"/>
      <c r="B362" s="139"/>
      <c r="C362" s="140"/>
      <c r="D362" s="140"/>
      <c r="E362" s="141"/>
      <c r="F362" s="141"/>
      <c r="G362" s="141"/>
      <c r="H362" s="141"/>
    </row>
    <row r="363" spans="1:8">
      <c r="A363" s="139"/>
      <c r="B363" s="139"/>
      <c r="C363" s="140"/>
      <c r="D363" s="140"/>
      <c r="E363" s="141"/>
      <c r="F363" s="141"/>
      <c r="G363" s="141"/>
      <c r="H363" s="141"/>
    </row>
    <row r="364" spans="1:8">
      <c r="A364" s="139"/>
      <c r="B364" s="139"/>
      <c r="C364" s="140"/>
      <c r="D364" s="140"/>
      <c r="E364" s="141"/>
      <c r="F364" s="141"/>
      <c r="G364" s="141"/>
      <c r="H364" s="141"/>
    </row>
    <row r="365" spans="1:8">
      <c r="A365" s="139"/>
      <c r="B365" s="139"/>
      <c r="C365" s="140"/>
      <c r="D365" s="140"/>
      <c r="E365" s="141"/>
      <c r="F365" s="141"/>
      <c r="G365" s="141"/>
      <c r="H365" s="141"/>
    </row>
    <row r="366" spans="1:8">
      <c r="A366" s="139"/>
      <c r="B366" s="139"/>
      <c r="C366" s="140"/>
      <c r="D366" s="140"/>
      <c r="E366" s="141"/>
      <c r="F366" s="141"/>
      <c r="G366" s="141"/>
      <c r="H366" s="141"/>
    </row>
    <row r="367" spans="1:8">
      <c r="A367" s="139"/>
      <c r="B367" s="139"/>
      <c r="C367" s="140"/>
      <c r="D367" s="140"/>
      <c r="E367" s="141"/>
      <c r="F367" s="141"/>
      <c r="G367" s="141"/>
      <c r="H367" s="141"/>
    </row>
    <row r="368" spans="1:8">
      <c r="A368" s="139"/>
      <c r="B368" s="139"/>
      <c r="C368" s="140"/>
      <c r="D368" s="140"/>
      <c r="E368" s="141"/>
      <c r="F368" s="141"/>
      <c r="G368" s="141"/>
      <c r="H368" s="141"/>
    </row>
    <row r="369" spans="1:8">
      <c r="A369" s="139"/>
      <c r="B369" s="139"/>
      <c r="C369" s="140"/>
      <c r="D369" s="140"/>
      <c r="E369" s="141"/>
      <c r="F369" s="141"/>
      <c r="G369" s="141"/>
      <c r="H369" s="141"/>
    </row>
    <row r="370" spans="1:8">
      <c r="A370" s="139"/>
      <c r="B370" s="139"/>
      <c r="C370" s="140"/>
      <c r="D370" s="140"/>
      <c r="E370" s="141"/>
      <c r="F370" s="141"/>
      <c r="G370" s="141"/>
      <c r="H370" s="141"/>
    </row>
    <row r="371" spans="1:8">
      <c r="A371" s="139"/>
      <c r="B371" s="139"/>
      <c r="C371" s="140"/>
      <c r="D371" s="140"/>
      <c r="E371" s="141"/>
      <c r="F371" s="141"/>
      <c r="G371" s="141"/>
      <c r="H371" s="141"/>
    </row>
    <row r="372" spans="1:8">
      <c r="A372" s="139"/>
      <c r="B372" s="139"/>
      <c r="C372" s="140"/>
      <c r="D372" s="140"/>
      <c r="E372" s="141"/>
      <c r="F372" s="141"/>
      <c r="G372" s="141"/>
      <c r="H372" s="141"/>
    </row>
    <row r="373" spans="1:8">
      <c r="A373" s="139"/>
      <c r="B373" s="139"/>
      <c r="C373" s="140"/>
      <c r="D373" s="140"/>
      <c r="E373" s="141"/>
      <c r="F373" s="141"/>
      <c r="G373" s="141"/>
      <c r="H373" s="141"/>
    </row>
    <row r="374" spans="1:8">
      <c r="A374" s="139"/>
      <c r="B374" s="139"/>
      <c r="C374" s="140"/>
      <c r="D374" s="140"/>
      <c r="E374" s="141"/>
      <c r="F374" s="141"/>
      <c r="G374" s="141"/>
      <c r="H374" s="141"/>
    </row>
    <row r="375" spans="1:8">
      <c r="A375" s="139"/>
      <c r="B375" s="139"/>
      <c r="C375" s="140"/>
      <c r="D375" s="140"/>
      <c r="E375" s="141"/>
      <c r="F375" s="141"/>
      <c r="G375" s="141"/>
      <c r="H375" s="141"/>
    </row>
    <row r="376" spans="1:8">
      <c r="A376" s="139"/>
      <c r="B376" s="139"/>
      <c r="C376" s="140"/>
      <c r="D376" s="140"/>
      <c r="E376" s="141"/>
      <c r="F376" s="141"/>
      <c r="G376" s="141"/>
      <c r="H376" s="141"/>
    </row>
    <row r="377" spans="1:8">
      <c r="A377" s="139"/>
      <c r="B377" s="139"/>
      <c r="C377" s="140"/>
      <c r="D377" s="140"/>
      <c r="E377" s="141"/>
      <c r="F377" s="141"/>
      <c r="G377" s="141"/>
      <c r="H377" s="141"/>
    </row>
    <row r="378" spans="1:8">
      <c r="A378" s="139"/>
      <c r="B378" s="139"/>
      <c r="C378" s="140"/>
      <c r="D378" s="140"/>
      <c r="E378" s="141"/>
      <c r="F378" s="141"/>
      <c r="G378" s="141"/>
      <c r="H378" s="141"/>
    </row>
    <row r="379" spans="1:8">
      <c r="A379" s="139"/>
      <c r="B379" s="139"/>
      <c r="C379" s="140"/>
      <c r="D379" s="140"/>
      <c r="E379" s="141"/>
      <c r="F379" s="141"/>
      <c r="G379" s="141"/>
      <c r="H379" s="141"/>
    </row>
    <row r="380" spans="1:8">
      <c r="A380" s="139"/>
      <c r="B380" s="139"/>
      <c r="C380" s="140"/>
      <c r="D380" s="140"/>
      <c r="E380" s="141"/>
      <c r="F380" s="141"/>
      <c r="G380" s="141"/>
      <c r="H380" s="141"/>
    </row>
    <row r="381" spans="1:8">
      <c r="A381" s="139"/>
      <c r="B381" s="139"/>
      <c r="C381" s="140"/>
      <c r="D381" s="140"/>
      <c r="E381" s="141"/>
      <c r="F381" s="141"/>
      <c r="G381" s="141"/>
      <c r="H381" s="141"/>
    </row>
    <row r="382" spans="1:8">
      <c r="A382" s="139"/>
      <c r="B382" s="139"/>
      <c r="C382" s="140"/>
      <c r="D382" s="140"/>
      <c r="E382" s="141"/>
      <c r="F382" s="141"/>
      <c r="G382" s="141"/>
      <c r="H382" s="141"/>
    </row>
    <row r="383" spans="1:8">
      <c r="A383" s="139"/>
      <c r="B383" s="139"/>
      <c r="C383" s="140"/>
      <c r="D383" s="140"/>
      <c r="E383" s="141"/>
      <c r="F383" s="141"/>
      <c r="G383" s="141"/>
      <c r="H383" s="141"/>
    </row>
    <row r="384" spans="1:8">
      <c r="A384" s="139"/>
      <c r="B384" s="139"/>
      <c r="C384" s="140"/>
      <c r="D384" s="140"/>
      <c r="E384" s="141"/>
      <c r="F384" s="141"/>
      <c r="G384" s="141"/>
      <c r="H384" s="141"/>
    </row>
    <row r="385" spans="1:8">
      <c r="A385" s="139"/>
      <c r="B385" s="139"/>
      <c r="C385" s="140"/>
      <c r="D385" s="140"/>
      <c r="E385" s="141"/>
      <c r="F385" s="141"/>
      <c r="G385" s="141"/>
      <c r="H385" s="141"/>
    </row>
    <row r="386" spans="1:8">
      <c r="A386" s="139"/>
      <c r="B386" s="139"/>
      <c r="C386" s="140"/>
      <c r="D386" s="140"/>
      <c r="E386" s="141"/>
      <c r="F386" s="141"/>
      <c r="G386" s="141"/>
      <c r="H386" s="141"/>
    </row>
    <row r="387" spans="1:8">
      <c r="A387" s="139"/>
      <c r="B387" s="139"/>
      <c r="C387" s="140"/>
      <c r="D387" s="140"/>
      <c r="E387" s="141"/>
      <c r="F387" s="141"/>
      <c r="G387" s="141"/>
      <c r="H387" s="141"/>
    </row>
    <row r="388" spans="1:8">
      <c r="A388" s="139"/>
      <c r="B388" s="139"/>
      <c r="C388" s="140"/>
      <c r="D388" s="140"/>
      <c r="E388" s="141"/>
      <c r="F388" s="141"/>
      <c r="G388" s="141"/>
      <c r="H388" s="141"/>
    </row>
    <row r="389" spans="1:8">
      <c r="A389" s="139"/>
      <c r="B389" s="139"/>
      <c r="C389" s="140"/>
      <c r="D389" s="140"/>
      <c r="E389" s="141"/>
      <c r="F389" s="141"/>
      <c r="G389" s="141"/>
      <c r="H389" s="141"/>
    </row>
    <row r="390" spans="1:8">
      <c r="A390" s="139"/>
      <c r="B390" s="139"/>
      <c r="C390" s="140"/>
      <c r="D390" s="140"/>
      <c r="E390" s="141"/>
      <c r="F390" s="141"/>
      <c r="G390" s="141"/>
      <c r="H390" s="141"/>
    </row>
    <row r="391" spans="1:8">
      <c r="A391" s="139"/>
      <c r="B391" s="139"/>
      <c r="C391" s="140"/>
      <c r="D391" s="140"/>
      <c r="E391" s="141"/>
      <c r="F391" s="141"/>
      <c r="G391" s="141"/>
      <c r="H391" s="141"/>
    </row>
    <row r="392" spans="1:8">
      <c r="A392" s="139"/>
      <c r="B392" s="139"/>
      <c r="C392" s="140"/>
      <c r="D392" s="140"/>
      <c r="E392" s="141"/>
      <c r="F392" s="141"/>
      <c r="G392" s="141"/>
      <c r="H392" s="141"/>
    </row>
    <row r="393" spans="1:8">
      <c r="A393" s="139"/>
      <c r="B393" s="139"/>
      <c r="C393" s="140"/>
      <c r="D393" s="140"/>
      <c r="E393" s="141"/>
      <c r="F393" s="141"/>
      <c r="G393" s="141"/>
      <c r="H393" s="141"/>
    </row>
    <row r="394" spans="1:8">
      <c r="A394" s="139"/>
      <c r="B394" s="139"/>
      <c r="C394" s="140"/>
      <c r="D394" s="140"/>
      <c r="E394" s="141"/>
      <c r="F394" s="141"/>
      <c r="G394" s="141"/>
      <c r="H394" s="141"/>
    </row>
    <row r="395" spans="1:8">
      <c r="A395" s="139"/>
      <c r="B395" s="139"/>
      <c r="C395" s="140"/>
      <c r="D395" s="140"/>
      <c r="E395" s="141"/>
      <c r="F395" s="141"/>
      <c r="G395" s="141"/>
      <c r="H395" s="141"/>
    </row>
    <row r="396" spans="1:8">
      <c r="A396" s="139"/>
      <c r="B396" s="139"/>
      <c r="C396" s="140"/>
      <c r="D396" s="140"/>
      <c r="E396" s="141"/>
      <c r="F396" s="141"/>
      <c r="G396" s="141"/>
      <c r="H396" s="141"/>
    </row>
    <row r="397" spans="1:8">
      <c r="A397" s="139"/>
      <c r="B397" s="139"/>
      <c r="C397" s="140"/>
      <c r="D397" s="140"/>
      <c r="E397" s="141"/>
      <c r="F397" s="141"/>
      <c r="G397" s="141"/>
      <c r="H397" s="141"/>
    </row>
    <row r="398" spans="1:8">
      <c r="A398" s="139"/>
      <c r="B398" s="139"/>
      <c r="C398" s="140"/>
      <c r="D398" s="140"/>
      <c r="E398" s="141"/>
      <c r="F398" s="141"/>
      <c r="G398" s="141"/>
      <c r="H398" s="141"/>
    </row>
    <row r="399" spans="1:8">
      <c r="A399" s="139"/>
      <c r="B399" s="139"/>
      <c r="C399" s="140"/>
      <c r="D399" s="140"/>
      <c r="E399" s="141"/>
      <c r="F399" s="141"/>
      <c r="G399" s="141"/>
      <c r="H399" s="141"/>
    </row>
    <row r="400" spans="1:8">
      <c r="A400" s="139"/>
      <c r="B400" s="139"/>
      <c r="C400" s="140"/>
      <c r="D400" s="140"/>
      <c r="E400" s="141"/>
      <c r="F400" s="141"/>
      <c r="G400" s="141"/>
      <c r="H400" s="141"/>
    </row>
    <row r="401" spans="1:8">
      <c r="A401" s="139"/>
      <c r="B401" s="139"/>
      <c r="C401" s="140"/>
      <c r="D401" s="140"/>
      <c r="E401" s="141"/>
      <c r="F401" s="141"/>
      <c r="G401" s="141"/>
      <c r="H401" s="141"/>
    </row>
    <row r="402" spans="1:8">
      <c r="A402" s="139"/>
      <c r="B402" s="139"/>
      <c r="C402" s="140"/>
      <c r="D402" s="140"/>
      <c r="E402" s="141"/>
      <c r="F402" s="141"/>
      <c r="G402" s="141"/>
      <c r="H402" s="141"/>
    </row>
    <row r="403" spans="1:8">
      <c r="A403" s="139"/>
      <c r="B403" s="139"/>
      <c r="C403" s="140"/>
      <c r="D403" s="140"/>
      <c r="E403" s="141"/>
      <c r="F403" s="141"/>
      <c r="G403" s="141"/>
      <c r="H403" s="141"/>
    </row>
    <row r="404" spans="1:8">
      <c r="A404" s="139"/>
      <c r="B404" s="139"/>
      <c r="C404" s="140"/>
      <c r="D404" s="140"/>
      <c r="E404" s="141"/>
      <c r="F404" s="141"/>
      <c r="G404" s="141"/>
      <c r="H404" s="141"/>
    </row>
    <row r="405" spans="1:8">
      <c r="A405" s="139"/>
      <c r="B405" s="139"/>
      <c r="C405" s="140"/>
      <c r="D405" s="140"/>
      <c r="E405" s="141"/>
      <c r="F405" s="141"/>
      <c r="G405" s="141"/>
      <c r="H405" s="141"/>
    </row>
    <row r="406" spans="1:8">
      <c r="A406" s="139"/>
      <c r="B406" s="139"/>
      <c r="C406" s="140"/>
      <c r="D406" s="140"/>
      <c r="E406" s="141"/>
      <c r="F406" s="141"/>
      <c r="G406" s="141"/>
      <c r="H406" s="141"/>
    </row>
    <row r="407" spans="1:8">
      <c r="A407" s="139"/>
      <c r="B407" s="139"/>
      <c r="C407" s="140"/>
      <c r="D407" s="140"/>
      <c r="E407" s="141"/>
      <c r="F407" s="141"/>
      <c r="G407" s="141"/>
      <c r="H407" s="141"/>
    </row>
    <row r="408" spans="1:8">
      <c r="A408" s="139"/>
      <c r="B408" s="139"/>
      <c r="C408" s="140"/>
      <c r="D408" s="140"/>
      <c r="E408" s="141"/>
      <c r="F408" s="141"/>
      <c r="G408" s="141"/>
      <c r="H408" s="141"/>
    </row>
    <row r="409" spans="1:8">
      <c r="A409" s="139"/>
      <c r="B409" s="139"/>
      <c r="C409" s="140"/>
      <c r="D409" s="140"/>
      <c r="E409" s="141"/>
      <c r="F409" s="141"/>
      <c r="G409" s="141"/>
      <c r="H409" s="141"/>
    </row>
    <row r="410" spans="1:8">
      <c r="A410" s="139"/>
      <c r="B410" s="139"/>
      <c r="C410" s="140"/>
      <c r="D410" s="140"/>
      <c r="E410" s="141"/>
      <c r="F410" s="141"/>
      <c r="G410" s="141"/>
      <c r="H410" s="141"/>
    </row>
    <row r="411" spans="1:8">
      <c r="A411" s="139"/>
      <c r="B411" s="139"/>
      <c r="C411" s="140"/>
      <c r="D411" s="140"/>
      <c r="E411" s="141"/>
      <c r="F411" s="141"/>
      <c r="G411" s="141"/>
      <c r="H411" s="141"/>
    </row>
    <row r="412" spans="1:8">
      <c r="A412" s="139"/>
      <c r="B412" s="139"/>
      <c r="C412" s="140"/>
      <c r="D412" s="140"/>
      <c r="E412" s="141"/>
      <c r="F412" s="141"/>
      <c r="G412" s="141"/>
      <c r="H412" s="141"/>
    </row>
    <row r="413" spans="1:8">
      <c r="A413" s="139"/>
      <c r="B413" s="139"/>
      <c r="C413" s="140"/>
      <c r="D413" s="140"/>
      <c r="E413" s="141"/>
      <c r="F413" s="141"/>
      <c r="G413" s="141"/>
      <c r="H413" s="141"/>
    </row>
    <row r="414" spans="1:8">
      <c r="A414" s="139"/>
      <c r="B414" s="139"/>
      <c r="C414" s="140"/>
      <c r="D414" s="140"/>
      <c r="E414" s="141"/>
      <c r="F414" s="141"/>
      <c r="G414" s="141"/>
      <c r="H414" s="141"/>
    </row>
    <row r="415" spans="1:8">
      <c r="A415" s="139"/>
      <c r="B415" s="139"/>
      <c r="C415" s="140"/>
      <c r="D415" s="140"/>
      <c r="E415" s="141"/>
      <c r="F415" s="141"/>
      <c r="G415" s="141"/>
      <c r="H415" s="141"/>
    </row>
    <row r="416" spans="1:8">
      <c r="A416" s="139"/>
      <c r="B416" s="139"/>
      <c r="C416" s="140"/>
      <c r="D416" s="140"/>
      <c r="E416" s="141"/>
      <c r="F416" s="141"/>
      <c r="G416" s="141"/>
      <c r="H416" s="141"/>
    </row>
    <row r="417" spans="1:8">
      <c r="A417" s="139"/>
      <c r="B417" s="139"/>
      <c r="C417" s="140"/>
      <c r="D417" s="140"/>
      <c r="E417" s="141"/>
      <c r="F417" s="141"/>
      <c r="G417" s="141"/>
      <c r="H417" s="141"/>
    </row>
    <row r="418" spans="1:8">
      <c r="A418" s="139"/>
      <c r="B418" s="139"/>
      <c r="C418" s="140"/>
      <c r="D418" s="140"/>
      <c r="E418" s="141"/>
      <c r="F418" s="141"/>
      <c r="G418" s="141"/>
      <c r="H418" s="141"/>
    </row>
    <row r="419" spans="1:8">
      <c r="A419" s="139"/>
      <c r="B419" s="139"/>
      <c r="C419" s="140"/>
      <c r="D419" s="140"/>
      <c r="E419" s="141"/>
      <c r="F419" s="141"/>
      <c r="G419" s="141"/>
      <c r="H419" s="141"/>
    </row>
    <row r="420" spans="1:8">
      <c r="A420" s="139"/>
      <c r="B420" s="139"/>
      <c r="C420" s="140"/>
      <c r="D420" s="140"/>
      <c r="E420" s="141"/>
      <c r="F420" s="141"/>
      <c r="G420" s="141"/>
      <c r="H420" s="141"/>
    </row>
    <row r="421" spans="1:8">
      <c r="A421" s="139"/>
      <c r="B421" s="139"/>
      <c r="C421" s="140"/>
      <c r="D421" s="140"/>
      <c r="E421" s="141"/>
      <c r="F421" s="141"/>
      <c r="G421" s="141"/>
      <c r="H421" s="141"/>
    </row>
    <row r="422" spans="1:8">
      <c r="A422" s="139"/>
      <c r="B422" s="139"/>
      <c r="C422" s="140"/>
      <c r="D422" s="140"/>
      <c r="E422" s="141"/>
      <c r="F422" s="141"/>
      <c r="G422" s="141"/>
      <c r="H422" s="141"/>
    </row>
    <row r="423" spans="1:8">
      <c r="A423" s="139"/>
      <c r="B423" s="139"/>
      <c r="C423" s="140"/>
      <c r="D423" s="140"/>
      <c r="E423" s="141"/>
      <c r="F423" s="141"/>
      <c r="G423" s="141"/>
      <c r="H423" s="141"/>
    </row>
    <row r="424" spans="1:8">
      <c r="A424" s="139"/>
      <c r="B424" s="139"/>
      <c r="C424" s="140"/>
      <c r="D424" s="140"/>
      <c r="E424" s="141"/>
      <c r="F424" s="141"/>
      <c r="G424" s="141"/>
      <c r="H424" s="141"/>
    </row>
    <row r="425" spans="1:8">
      <c r="A425" s="139"/>
      <c r="B425" s="139"/>
      <c r="C425" s="140"/>
      <c r="D425" s="140"/>
      <c r="E425" s="141"/>
      <c r="F425" s="141"/>
      <c r="G425" s="141"/>
      <c r="H425" s="141"/>
    </row>
    <row r="426" spans="1:8">
      <c r="A426" s="139"/>
      <c r="B426" s="139"/>
      <c r="C426" s="140"/>
      <c r="D426" s="140"/>
      <c r="E426" s="141"/>
      <c r="F426" s="141"/>
      <c r="G426" s="141"/>
      <c r="H426" s="141"/>
    </row>
    <row r="427" spans="1:8">
      <c r="A427" s="139"/>
      <c r="B427" s="139"/>
      <c r="C427" s="140"/>
      <c r="D427" s="140"/>
      <c r="E427" s="141"/>
      <c r="F427" s="141"/>
      <c r="G427" s="141"/>
      <c r="H427" s="141"/>
    </row>
    <row r="428" spans="1:8">
      <c r="A428" s="139"/>
      <c r="B428" s="139"/>
      <c r="C428" s="140"/>
      <c r="D428" s="140"/>
      <c r="E428" s="141"/>
      <c r="F428" s="141"/>
      <c r="G428" s="141"/>
      <c r="H428" s="141"/>
    </row>
    <row r="429" spans="1:8">
      <c r="A429" s="139"/>
      <c r="B429" s="139"/>
      <c r="C429" s="140"/>
      <c r="D429" s="140"/>
      <c r="E429" s="141"/>
      <c r="F429" s="141"/>
      <c r="G429" s="141"/>
      <c r="H429" s="141"/>
    </row>
    <row r="430" spans="1:8">
      <c r="A430" s="139"/>
      <c r="B430" s="139"/>
      <c r="C430" s="140"/>
      <c r="D430" s="140"/>
      <c r="E430" s="141"/>
      <c r="F430" s="141"/>
      <c r="G430" s="141"/>
      <c r="H430" s="141"/>
    </row>
    <row r="431" spans="1:8">
      <c r="A431" s="139"/>
      <c r="B431" s="139"/>
      <c r="C431" s="140"/>
      <c r="D431" s="140"/>
      <c r="E431" s="141"/>
      <c r="F431" s="141"/>
      <c r="G431" s="141"/>
      <c r="H431" s="141"/>
    </row>
    <row r="432" spans="1:8">
      <c r="A432" s="139"/>
      <c r="B432" s="139"/>
      <c r="C432" s="140"/>
      <c r="D432" s="140"/>
      <c r="E432" s="141"/>
      <c r="F432" s="141"/>
      <c r="G432" s="141"/>
      <c r="H432" s="141"/>
    </row>
    <row r="433" spans="1:8">
      <c r="A433" s="139"/>
      <c r="B433" s="139"/>
      <c r="C433" s="140"/>
      <c r="D433" s="140"/>
      <c r="E433" s="141"/>
      <c r="F433" s="141"/>
      <c r="G433" s="141"/>
      <c r="H433" s="141"/>
    </row>
    <row r="434" spans="1:8">
      <c r="A434" s="139"/>
      <c r="B434" s="139"/>
      <c r="C434" s="140"/>
      <c r="D434" s="140"/>
      <c r="E434" s="141"/>
      <c r="F434" s="141"/>
      <c r="G434" s="141"/>
      <c r="H434" s="141"/>
    </row>
    <row r="435" spans="1:8">
      <c r="A435" s="139"/>
      <c r="B435" s="139"/>
      <c r="C435" s="140"/>
      <c r="D435" s="140"/>
      <c r="E435" s="141"/>
      <c r="F435" s="141"/>
      <c r="G435" s="141"/>
      <c r="H435" s="141"/>
    </row>
    <row r="436" spans="1:8">
      <c r="A436" s="139"/>
      <c r="B436" s="139"/>
      <c r="C436" s="140"/>
      <c r="D436" s="140"/>
      <c r="E436" s="141"/>
      <c r="F436" s="141"/>
      <c r="G436" s="141"/>
      <c r="H436" s="141"/>
    </row>
    <row r="437" spans="1:8">
      <c r="A437" s="139"/>
      <c r="B437" s="139"/>
      <c r="C437" s="140"/>
      <c r="D437" s="140"/>
      <c r="E437" s="141"/>
      <c r="F437" s="141"/>
      <c r="G437" s="141"/>
      <c r="H437" s="141"/>
    </row>
    <row r="438" spans="1:8">
      <c r="A438" s="139"/>
      <c r="B438" s="139"/>
      <c r="C438" s="140"/>
      <c r="D438" s="140"/>
      <c r="E438" s="141"/>
      <c r="F438" s="141"/>
      <c r="G438" s="141"/>
      <c r="H438" s="141"/>
    </row>
    <row r="439" spans="1:8">
      <c r="A439" s="139"/>
      <c r="B439" s="139"/>
      <c r="C439" s="140"/>
      <c r="D439" s="140"/>
      <c r="E439" s="141"/>
      <c r="F439" s="141"/>
      <c r="G439" s="141"/>
      <c r="H439" s="141"/>
    </row>
    <row r="440" spans="1:8">
      <c r="A440" s="139"/>
      <c r="B440" s="139"/>
      <c r="C440" s="140"/>
      <c r="D440" s="140"/>
      <c r="E440" s="141"/>
      <c r="F440" s="141"/>
      <c r="G440" s="141"/>
      <c r="H440" s="141"/>
    </row>
    <row r="441" spans="1:8">
      <c r="A441" s="139"/>
      <c r="B441" s="139"/>
      <c r="C441" s="140"/>
      <c r="D441" s="140"/>
      <c r="E441" s="141"/>
      <c r="F441" s="141"/>
      <c r="G441" s="141"/>
      <c r="H441" s="141"/>
    </row>
    <row r="442" spans="1:8">
      <c r="A442" s="139"/>
      <c r="B442" s="139"/>
      <c r="C442" s="140"/>
      <c r="D442" s="140"/>
      <c r="E442" s="141"/>
      <c r="F442" s="141"/>
      <c r="G442" s="141"/>
      <c r="H442" s="141"/>
    </row>
    <row r="443" spans="1:8">
      <c r="A443" s="139"/>
      <c r="B443" s="139"/>
      <c r="C443" s="140"/>
      <c r="D443" s="140"/>
      <c r="E443" s="141"/>
      <c r="F443" s="141"/>
      <c r="G443" s="141"/>
      <c r="H443" s="141"/>
    </row>
    <row r="444" spans="1:8">
      <c r="A444" s="139"/>
      <c r="B444" s="139"/>
      <c r="C444" s="140"/>
      <c r="D444" s="140"/>
      <c r="E444" s="141"/>
      <c r="F444" s="141"/>
      <c r="G444" s="141"/>
      <c r="H444" s="141"/>
    </row>
    <row r="445" spans="1:8">
      <c r="A445" s="139"/>
      <c r="B445" s="139"/>
      <c r="C445" s="140"/>
      <c r="D445" s="140"/>
      <c r="E445" s="141"/>
      <c r="F445" s="141"/>
      <c r="G445" s="141"/>
      <c r="H445" s="141"/>
    </row>
    <row r="446" spans="1:8">
      <c r="A446" s="139"/>
      <c r="B446" s="139"/>
      <c r="C446" s="140"/>
      <c r="D446" s="140"/>
      <c r="E446" s="141"/>
      <c r="F446" s="141"/>
      <c r="G446" s="141"/>
      <c r="H446" s="141"/>
    </row>
    <row r="447" spans="1:8">
      <c r="A447" s="139"/>
      <c r="B447" s="139"/>
      <c r="C447" s="140"/>
      <c r="D447" s="140"/>
      <c r="E447" s="141"/>
      <c r="F447" s="141"/>
      <c r="G447" s="141"/>
      <c r="H447" s="141"/>
    </row>
    <row r="448" spans="1:8">
      <c r="A448" s="139"/>
      <c r="B448" s="139"/>
      <c r="C448" s="140"/>
      <c r="D448" s="140"/>
      <c r="E448" s="141"/>
      <c r="F448" s="141"/>
      <c r="G448" s="141"/>
      <c r="H448" s="141"/>
    </row>
    <row r="449" spans="1:8">
      <c r="A449" s="139"/>
      <c r="B449" s="139"/>
      <c r="C449" s="140"/>
      <c r="D449" s="140"/>
      <c r="E449" s="141"/>
      <c r="F449" s="141"/>
      <c r="G449" s="141"/>
      <c r="H449" s="141"/>
    </row>
    <row r="450" spans="1:8">
      <c r="A450" s="139"/>
      <c r="B450" s="139"/>
      <c r="C450" s="140"/>
      <c r="D450" s="140"/>
      <c r="E450" s="141"/>
      <c r="F450" s="141"/>
      <c r="G450" s="141"/>
      <c r="H450" s="141"/>
    </row>
    <row r="451" spans="1:8">
      <c r="A451" s="139"/>
      <c r="B451" s="139"/>
      <c r="C451" s="140"/>
      <c r="D451" s="140"/>
      <c r="E451" s="141"/>
      <c r="F451" s="141"/>
      <c r="G451" s="141"/>
      <c r="H451" s="141"/>
    </row>
    <row r="452" spans="1:8">
      <c r="A452" s="139"/>
      <c r="B452" s="139"/>
      <c r="C452" s="140"/>
      <c r="D452" s="140"/>
      <c r="E452" s="141"/>
      <c r="F452" s="141"/>
      <c r="G452" s="141"/>
      <c r="H452" s="141"/>
    </row>
    <row r="453" spans="1:8">
      <c r="A453" s="139"/>
      <c r="B453" s="139"/>
      <c r="C453" s="140"/>
      <c r="D453" s="140"/>
      <c r="E453" s="141"/>
      <c r="F453" s="141"/>
      <c r="G453" s="141"/>
      <c r="H453" s="141"/>
    </row>
    <row r="454" spans="1:8">
      <c r="A454" s="139"/>
      <c r="B454" s="139"/>
      <c r="C454" s="140"/>
      <c r="D454" s="140"/>
      <c r="E454" s="141"/>
      <c r="F454" s="141"/>
      <c r="G454" s="141"/>
      <c r="H454" s="141"/>
    </row>
    <row r="455" spans="1:8">
      <c r="A455" s="139"/>
      <c r="B455" s="139"/>
      <c r="C455" s="140"/>
      <c r="D455" s="140"/>
      <c r="E455" s="141"/>
      <c r="F455" s="141"/>
      <c r="G455" s="141"/>
      <c r="H455" s="141"/>
    </row>
    <row r="456" spans="1:8">
      <c r="A456" s="139"/>
      <c r="B456" s="139"/>
      <c r="C456" s="140"/>
      <c r="D456" s="140"/>
      <c r="E456" s="141"/>
      <c r="F456" s="141"/>
      <c r="G456" s="141"/>
      <c r="H456" s="141"/>
    </row>
    <row r="457" spans="1:8">
      <c r="A457" s="139"/>
      <c r="B457" s="139"/>
      <c r="C457" s="140"/>
      <c r="D457" s="140"/>
      <c r="E457" s="141"/>
      <c r="F457" s="141"/>
      <c r="G457" s="141"/>
      <c r="H457" s="141"/>
    </row>
    <row r="458" spans="1:8">
      <c r="A458" s="139"/>
      <c r="B458" s="139"/>
      <c r="C458" s="140"/>
      <c r="D458" s="140"/>
      <c r="E458" s="141"/>
      <c r="F458" s="141"/>
      <c r="G458" s="141"/>
      <c r="H458" s="141"/>
    </row>
    <row r="459" spans="1:8">
      <c r="A459" s="139"/>
      <c r="B459" s="139"/>
      <c r="C459" s="140"/>
      <c r="D459" s="140"/>
      <c r="E459" s="141"/>
      <c r="F459" s="141"/>
      <c r="G459" s="141"/>
      <c r="H459" s="141"/>
    </row>
    <row r="460" spans="1:8">
      <c r="A460" s="139"/>
      <c r="B460" s="139"/>
      <c r="C460" s="140"/>
      <c r="D460" s="140"/>
      <c r="E460" s="141"/>
      <c r="F460" s="141"/>
      <c r="G460" s="141"/>
      <c r="H460" s="141"/>
    </row>
    <row r="461" spans="1:8">
      <c r="A461" s="139"/>
      <c r="B461" s="139"/>
      <c r="C461" s="140"/>
      <c r="D461" s="140"/>
      <c r="E461" s="141"/>
      <c r="F461" s="141"/>
      <c r="G461" s="141"/>
      <c r="H461" s="141"/>
    </row>
    <row r="462" spans="1:8">
      <c r="A462" s="139"/>
      <c r="B462" s="139"/>
      <c r="C462" s="140"/>
      <c r="D462" s="140"/>
      <c r="E462" s="141"/>
      <c r="F462" s="141"/>
      <c r="G462" s="141"/>
      <c r="H462" s="141"/>
    </row>
    <row r="463" spans="1:8">
      <c r="A463" s="139"/>
      <c r="B463" s="139"/>
      <c r="C463" s="140"/>
      <c r="D463" s="140"/>
      <c r="E463" s="141"/>
      <c r="F463" s="141"/>
      <c r="G463" s="141"/>
      <c r="H463" s="141"/>
    </row>
    <row r="464" spans="1:8">
      <c r="A464" s="139"/>
      <c r="B464" s="139"/>
      <c r="C464" s="140"/>
      <c r="D464" s="140"/>
      <c r="E464" s="141"/>
      <c r="F464" s="141"/>
      <c r="G464" s="141"/>
      <c r="H464" s="141"/>
    </row>
    <row r="465" spans="1:8">
      <c r="A465" s="139"/>
      <c r="B465" s="139"/>
      <c r="C465" s="140"/>
      <c r="D465" s="140"/>
      <c r="E465" s="141"/>
      <c r="F465" s="141"/>
      <c r="G465" s="141"/>
      <c r="H465" s="141"/>
    </row>
    <row r="466" spans="1:8">
      <c r="A466" s="139"/>
      <c r="B466" s="139"/>
      <c r="C466" s="140"/>
      <c r="D466" s="140"/>
      <c r="E466" s="141"/>
      <c r="F466" s="141"/>
      <c r="G466" s="141"/>
      <c r="H466" s="141"/>
    </row>
    <row r="467" spans="1:8">
      <c r="A467" s="139"/>
      <c r="B467" s="139"/>
      <c r="C467" s="140"/>
      <c r="D467" s="140"/>
      <c r="E467" s="141"/>
      <c r="F467" s="141"/>
      <c r="G467" s="141"/>
      <c r="H467" s="141"/>
    </row>
    <row r="468" spans="1:8">
      <c r="A468" s="139"/>
      <c r="B468" s="139"/>
      <c r="C468" s="140"/>
      <c r="D468" s="140"/>
      <c r="E468" s="141"/>
      <c r="F468" s="141"/>
      <c r="G468" s="141"/>
      <c r="H468" s="141"/>
    </row>
    <row r="469" spans="1:8">
      <c r="A469" s="139"/>
      <c r="B469" s="139"/>
      <c r="C469" s="140"/>
      <c r="D469" s="140"/>
      <c r="E469" s="141"/>
      <c r="F469" s="141"/>
      <c r="G469" s="141"/>
      <c r="H469" s="141"/>
    </row>
    <row r="470" spans="1:8">
      <c r="A470" s="139"/>
      <c r="B470" s="139"/>
      <c r="C470" s="140"/>
      <c r="D470" s="140"/>
      <c r="E470" s="141"/>
      <c r="F470" s="141"/>
      <c r="G470" s="141"/>
      <c r="H470" s="141"/>
    </row>
    <row r="471" spans="1:8">
      <c r="A471" s="139"/>
      <c r="B471" s="139"/>
      <c r="C471" s="140"/>
      <c r="D471" s="140"/>
      <c r="E471" s="141"/>
      <c r="F471" s="141"/>
      <c r="G471" s="141"/>
      <c r="H471" s="141"/>
    </row>
    <row r="472" spans="1:8">
      <c r="A472" s="139"/>
      <c r="B472" s="139"/>
      <c r="C472" s="140"/>
      <c r="D472" s="140"/>
      <c r="E472" s="141"/>
      <c r="F472" s="141"/>
      <c r="G472" s="141"/>
      <c r="H472" s="141"/>
    </row>
    <row r="473" spans="1:8">
      <c r="A473" s="139"/>
      <c r="B473" s="139"/>
      <c r="C473" s="140"/>
      <c r="D473" s="140"/>
      <c r="E473" s="141"/>
      <c r="F473" s="141"/>
      <c r="G473" s="141"/>
      <c r="H473" s="141"/>
    </row>
    <row r="474" spans="1:8">
      <c r="A474" s="139"/>
      <c r="B474" s="139"/>
      <c r="C474" s="140"/>
      <c r="D474" s="140"/>
      <c r="E474" s="141"/>
      <c r="F474" s="141"/>
      <c r="G474" s="141"/>
      <c r="H474" s="141"/>
    </row>
    <row r="475" spans="1:8">
      <c r="A475" s="139"/>
      <c r="B475" s="139"/>
      <c r="C475" s="140"/>
      <c r="D475" s="140"/>
      <c r="E475" s="141"/>
      <c r="F475" s="141"/>
      <c r="G475" s="141"/>
      <c r="H475" s="141"/>
    </row>
    <row r="476" spans="1:8">
      <c r="A476" s="139"/>
      <c r="B476" s="139"/>
      <c r="C476" s="140"/>
      <c r="D476" s="140"/>
      <c r="E476" s="141"/>
      <c r="F476" s="141"/>
      <c r="G476" s="141"/>
      <c r="H476" s="141"/>
    </row>
    <row r="477" spans="1:8">
      <c r="A477" s="139"/>
      <c r="B477" s="139"/>
      <c r="C477" s="140"/>
      <c r="D477" s="140"/>
      <c r="E477" s="141"/>
      <c r="F477" s="141"/>
      <c r="G477" s="141"/>
      <c r="H477" s="141"/>
    </row>
    <row r="478" spans="1:8">
      <c r="A478" s="139"/>
      <c r="B478" s="139"/>
      <c r="C478" s="140"/>
      <c r="D478" s="140"/>
      <c r="E478" s="141"/>
      <c r="F478" s="141"/>
      <c r="G478" s="141"/>
      <c r="H478" s="141"/>
    </row>
    <row r="479" spans="1:8">
      <c r="A479" s="139"/>
      <c r="B479" s="139"/>
      <c r="C479" s="140"/>
      <c r="D479" s="140"/>
      <c r="E479" s="141"/>
      <c r="F479" s="141"/>
      <c r="G479" s="141"/>
      <c r="H479" s="141"/>
    </row>
    <row r="480" spans="1:8">
      <c r="A480" s="139"/>
      <c r="B480" s="139"/>
      <c r="C480" s="140"/>
      <c r="D480" s="140"/>
      <c r="E480" s="141"/>
      <c r="F480" s="141"/>
      <c r="G480" s="141"/>
      <c r="H480" s="141"/>
    </row>
    <row r="481" spans="1:8">
      <c r="A481" s="139"/>
      <c r="B481" s="139"/>
      <c r="C481" s="140"/>
      <c r="D481" s="140"/>
      <c r="E481" s="141"/>
      <c r="F481" s="141"/>
      <c r="G481" s="141"/>
      <c r="H481" s="141"/>
    </row>
    <row r="482" spans="1:8">
      <c r="A482" s="139"/>
      <c r="B482" s="139"/>
      <c r="C482" s="140"/>
      <c r="D482" s="140"/>
      <c r="E482" s="141"/>
      <c r="F482" s="141"/>
      <c r="G482" s="141"/>
      <c r="H482" s="141"/>
    </row>
    <row r="483" spans="1:8">
      <c r="A483" s="139"/>
      <c r="B483" s="139"/>
      <c r="C483" s="140"/>
      <c r="D483" s="140"/>
      <c r="E483" s="141"/>
      <c r="F483" s="141"/>
      <c r="G483" s="141"/>
      <c r="H483" s="141"/>
    </row>
    <row r="484" spans="1:8">
      <c r="A484" s="139"/>
      <c r="B484" s="139"/>
      <c r="C484" s="140"/>
      <c r="D484" s="140"/>
      <c r="E484" s="141"/>
      <c r="F484" s="141"/>
      <c r="G484" s="141"/>
      <c r="H484" s="141"/>
    </row>
    <row r="485" spans="1:8">
      <c r="A485" s="139"/>
      <c r="B485" s="139"/>
      <c r="C485" s="140"/>
      <c r="D485" s="140"/>
      <c r="E485" s="141"/>
      <c r="F485" s="141"/>
      <c r="G485" s="141"/>
      <c r="H485" s="141"/>
    </row>
    <row r="486" spans="1:8">
      <c r="A486" s="139"/>
      <c r="B486" s="139"/>
      <c r="C486" s="140"/>
      <c r="D486" s="140"/>
      <c r="E486" s="141"/>
      <c r="F486" s="141"/>
      <c r="G486" s="141"/>
      <c r="H486" s="141"/>
    </row>
    <row r="487" spans="1:8">
      <c r="A487" s="139"/>
      <c r="B487" s="139"/>
      <c r="C487" s="140"/>
      <c r="D487" s="140"/>
      <c r="E487" s="141"/>
      <c r="F487" s="141"/>
      <c r="G487" s="141"/>
      <c r="H487" s="141"/>
    </row>
    <row r="488" spans="1:8">
      <c r="A488" s="139"/>
      <c r="B488" s="139"/>
      <c r="C488" s="140"/>
      <c r="D488" s="140"/>
      <c r="E488" s="141"/>
      <c r="F488" s="141"/>
      <c r="G488" s="141"/>
      <c r="H488" s="141"/>
    </row>
    <row r="489" spans="1:8">
      <c r="A489" s="139"/>
      <c r="B489" s="139"/>
      <c r="C489" s="140"/>
      <c r="D489" s="140"/>
      <c r="E489" s="141"/>
      <c r="F489" s="141"/>
      <c r="G489" s="141"/>
      <c r="H489" s="141"/>
    </row>
    <row r="490" spans="1:8">
      <c r="A490" s="139"/>
      <c r="B490" s="139"/>
      <c r="C490" s="140"/>
      <c r="D490" s="140"/>
      <c r="E490" s="141"/>
      <c r="F490" s="141"/>
      <c r="G490" s="141"/>
      <c r="H490" s="141"/>
    </row>
    <row r="491" spans="1:8">
      <c r="A491" s="139"/>
      <c r="B491" s="139"/>
      <c r="C491" s="140"/>
      <c r="D491" s="140"/>
      <c r="E491" s="141"/>
      <c r="F491" s="141"/>
      <c r="G491" s="141"/>
      <c r="H491" s="141"/>
    </row>
    <row r="492" spans="1:8">
      <c r="A492" s="139"/>
      <c r="B492" s="139"/>
      <c r="C492" s="140"/>
      <c r="D492" s="140"/>
      <c r="E492" s="141"/>
      <c r="F492" s="141"/>
      <c r="G492" s="141"/>
      <c r="H492" s="141"/>
    </row>
    <row r="493" spans="1:8">
      <c r="A493" s="139"/>
      <c r="B493" s="139"/>
      <c r="C493" s="140"/>
      <c r="D493" s="140"/>
      <c r="E493" s="141"/>
      <c r="F493" s="141"/>
      <c r="G493" s="141"/>
      <c r="H493" s="141"/>
    </row>
    <row r="494" spans="1:8">
      <c r="A494" s="139"/>
      <c r="B494" s="139"/>
      <c r="C494" s="140"/>
      <c r="D494" s="140"/>
      <c r="E494" s="141"/>
      <c r="F494" s="141"/>
      <c r="G494" s="141"/>
      <c r="H494" s="141"/>
    </row>
    <row r="495" spans="1:8">
      <c r="A495" s="139"/>
      <c r="B495" s="139"/>
      <c r="C495" s="140"/>
      <c r="D495" s="140"/>
      <c r="E495" s="141"/>
      <c r="F495" s="141"/>
      <c r="G495" s="141"/>
      <c r="H495" s="141"/>
    </row>
    <row r="496" spans="1:8">
      <c r="A496" s="139"/>
      <c r="B496" s="139"/>
      <c r="C496" s="140"/>
      <c r="D496" s="140"/>
      <c r="E496" s="141"/>
      <c r="F496" s="141"/>
      <c r="G496" s="141"/>
      <c r="H496" s="141"/>
    </row>
    <row r="497" spans="1:8">
      <c r="A497" s="139"/>
      <c r="B497" s="139"/>
      <c r="C497" s="140"/>
      <c r="D497" s="140"/>
      <c r="E497" s="141"/>
      <c r="F497" s="141"/>
      <c r="G497" s="141"/>
      <c r="H497" s="141"/>
    </row>
    <row r="498" spans="1:8">
      <c r="A498" s="139"/>
      <c r="B498" s="139"/>
      <c r="C498" s="140"/>
      <c r="D498" s="140"/>
      <c r="E498" s="141"/>
      <c r="F498" s="141"/>
      <c r="G498" s="141"/>
      <c r="H498" s="141"/>
    </row>
    <row r="499" spans="1:8">
      <c r="A499" s="139"/>
      <c r="B499" s="139"/>
      <c r="C499" s="140"/>
      <c r="D499" s="140"/>
      <c r="E499" s="141"/>
      <c r="F499" s="141"/>
      <c r="G499" s="141"/>
      <c r="H499" s="141"/>
    </row>
    <row r="500" spans="1:8">
      <c r="A500" s="139"/>
      <c r="B500" s="139"/>
      <c r="C500" s="140"/>
      <c r="D500" s="140"/>
      <c r="E500" s="141"/>
      <c r="F500" s="141"/>
      <c r="G500" s="141"/>
      <c r="H500" s="141"/>
    </row>
    <row r="501" spans="1:8">
      <c r="A501" s="139"/>
      <c r="B501" s="139"/>
      <c r="C501" s="140"/>
      <c r="D501" s="140"/>
      <c r="E501" s="141"/>
      <c r="F501" s="141"/>
      <c r="G501" s="141"/>
      <c r="H501" s="141"/>
    </row>
    <row r="502" spans="1:8">
      <c r="A502" s="139"/>
      <c r="B502" s="139"/>
      <c r="C502" s="140"/>
      <c r="D502" s="140"/>
      <c r="E502" s="141"/>
      <c r="F502" s="141"/>
      <c r="G502" s="141"/>
      <c r="H502" s="141"/>
    </row>
    <row r="503" spans="1:8">
      <c r="A503" s="139"/>
      <c r="B503" s="139"/>
      <c r="C503" s="140"/>
      <c r="D503" s="140"/>
      <c r="E503" s="141"/>
      <c r="F503" s="141"/>
      <c r="G503" s="141"/>
      <c r="H503" s="141"/>
    </row>
    <row r="504" spans="1:8">
      <c r="A504" s="139"/>
      <c r="B504" s="139"/>
      <c r="C504" s="140"/>
      <c r="D504" s="140"/>
      <c r="E504" s="141"/>
      <c r="F504" s="141"/>
      <c r="G504" s="141"/>
      <c r="H504" s="141"/>
    </row>
    <row r="505" spans="1:8">
      <c r="A505" s="139"/>
      <c r="B505" s="139"/>
      <c r="C505" s="140"/>
      <c r="D505" s="140"/>
      <c r="E505" s="141"/>
      <c r="F505" s="141"/>
      <c r="G505" s="141"/>
      <c r="H505" s="141"/>
    </row>
    <row r="506" spans="1:8">
      <c r="A506" s="139"/>
      <c r="B506" s="139"/>
      <c r="C506" s="140"/>
      <c r="D506" s="140"/>
      <c r="E506" s="141"/>
      <c r="F506" s="141"/>
      <c r="G506" s="141"/>
      <c r="H506" s="141"/>
    </row>
    <row r="507" spans="1:8">
      <c r="A507" s="139"/>
      <c r="B507" s="139"/>
      <c r="C507" s="140"/>
      <c r="D507" s="140"/>
      <c r="E507" s="141"/>
      <c r="F507" s="141"/>
      <c r="G507" s="141"/>
      <c r="H507" s="141"/>
    </row>
    <row r="508" spans="1:8">
      <c r="A508" s="139"/>
      <c r="B508" s="139"/>
      <c r="C508" s="140"/>
      <c r="D508" s="140"/>
      <c r="E508" s="141"/>
      <c r="F508" s="141"/>
      <c r="G508" s="141"/>
      <c r="H508" s="141"/>
    </row>
    <row r="509" spans="1:8">
      <c r="A509" s="139"/>
      <c r="B509" s="139"/>
      <c r="C509" s="140"/>
      <c r="D509" s="140"/>
      <c r="E509" s="141"/>
      <c r="F509" s="141"/>
      <c r="G509" s="141"/>
      <c r="H509" s="141"/>
    </row>
    <row r="510" spans="1:8">
      <c r="A510" s="139"/>
      <c r="B510" s="139"/>
      <c r="C510" s="140"/>
      <c r="D510" s="140"/>
      <c r="E510" s="141"/>
      <c r="F510" s="141"/>
      <c r="G510" s="141"/>
      <c r="H510" s="141"/>
    </row>
    <row r="511" spans="1:8">
      <c r="A511" s="139"/>
      <c r="B511" s="139"/>
      <c r="C511" s="140"/>
      <c r="D511" s="140"/>
      <c r="E511" s="141"/>
      <c r="F511" s="141"/>
      <c r="G511" s="141"/>
      <c r="H511" s="141"/>
    </row>
    <row r="512" spans="1:8">
      <c r="A512" s="139"/>
      <c r="B512" s="139"/>
      <c r="C512" s="140"/>
      <c r="D512" s="140"/>
      <c r="E512" s="141"/>
      <c r="F512" s="141"/>
      <c r="G512" s="141"/>
      <c r="H512" s="141"/>
    </row>
    <row r="513" spans="1:8">
      <c r="A513" s="139"/>
      <c r="B513" s="139"/>
      <c r="C513" s="140"/>
      <c r="D513" s="140"/>
      <c r="E513" s="141"/>
      <c r="F513" s="141"/>
      <c r="G513" s="141"/>
      <c r="H513" s="141"/>
    </row>
    <row r="514" spans="1:8">
      <c r="A514" s="139"/>
      <c r="B514" s="139"/>
      <c r="C514" s="140"/>
      <c r="D514" s="140"/>
      <c r="E514" s="141"/>
      <c r="F514" s="141"/>
      <c r="G514" s="141"/>
      <c r="H514" s="141"/>
    </row>
    <row r="515" spans="1:8">
      <c r="A515" s="139"/>
      <c r="B515" s="139"/>
      <c r="C515" s="140"/>
      <c r="D515" s="140"/>
      <c r="E515" s="141"/>
      <c r="F515" s="141"/>
      <c r="G515" s="141"/>
      <c r="H515" s="141"/>
    </row>
    <row r="516" spans="1:8">
      <c r="A516" s="139"/>
      <c r="B516" s="139"/>
      <c r="C516" s="140"/>
      <c r="D516" s="140"/>
      <c r="E516" s="141"/>
      <c r="F516" s="141"/>
      <c r="G516" s="141"/>
      <c r="H516" s="141"/>
    </row>
    <row r="517" spans="1:8">
      <c r="A517" s="139"/>
      <c r="B517" s="139"/>
      <c r="C517" s="140"/>
      <c r="D517" s="140"/>
      <c r="E517" s="141"/>
      <c r="F517" s="141"/>
      <c r="G517" s="141"/>
      <c r="H517" s="141"/>
    </row>
    <row r="518" spans="1:8">
      <c r="A518" s="139"/>
      <c r="B518" s="139"/>
      <c r="C518" s="140"/>
      <c r="D518" s="140"/>
      <c r="E518" s="141"/>
      <c r="F518" s="141"/>
      <c r="G518" s="141"/>
      <c r="H518" s="141"/>
    </row>
    <row r="519" spans="1:8">
      <c r="A519" s="139"/>
      <c r="B519" s="139"/>
      <c r="C519" s="140"/>
      <c r="D519" s="140"/>
      <c r="E519" s="141"/>
      <c r="F519" s="141"/>
      <c r="G519" s="141"/>
      <c r="H519" s="141"/>
    </row>
    <row r="520" spans="1:8">
      <c r="A520" s="139"/>
      <c r="B520" s="139"/>
      <c r="C520" s="140"/>
      <c r="D520" s="140"/>
      <c r="E520" s="141"/>
      <c r="F520" s="141"/>
      <c r="G520" s="141"/>
      <c r="H520" s="141"/>
    </row>
    <row r="521" spans="1:8">
      <c r="A521" s="139"/>
      <c r="B521" s="139"/>
      <c r="C521" s="140"/>
      <c r="D521" s="140"/>
      <c r="E521" s="141"/>
      <c r="F521" s="141"/>
      <c r="G521" s="141"/>
      <c r="H521" s="141"/>
    </row>
    <row r="522" spans="1:8">
      <c r="A522" s="139"/>
      <c r="B522" s="139"/>
      <c r="C522" s="140"/>
      <c r="D522" s="140"/>
      <c r="E522" s="141"/>
      <c r="F522" s="141"/>
      <c r="G522" s="141"/>
      <c r="H522" s="141"/>
    </row>
    <row r="523" spans="1:8">
      <c r="A523" s="139"/>
      <c r="B523" s="139"/>
      <c r="C523" s="140"/>
      <c r="D523" s="140"/>
      <c r="E523" s="141"/>
      <c r="F523" s="141"/>
      <c r="G523" s="141"/>
      <c r="H523" s="141"/>
    </row>
    <row r="524" spans="1:8">
      <c r="A524" s="139"/>
      <c r="B524" s="139"/>
      <c r="C524" s="140"/>
      <c r="D524" s="140"/>
      <c r="E524" s="141"/>
      <c r="F524" s="141"/>
      <c r="G524" s="141"/>
      <c r="H524" s="141"/>
    </row>
    <row r="525" spans="1:8">
      <c r="A525" s="139"/>
      <c r="B525" s="139"/>
      <c r="C525" s="140"/>
      <c r="D525" s="140"/>
      <c r="E525" s="141"/>
      <c r="F525" s="141"/>
      <c r="G525" s="141"/>
      <c r="H525" s="141"/>
    </row>
    <row r="526" spans="1:8">
      <c r="A526" s="139"/>
      <c r="B526" s="139"/>
      <c r="C526" s="140"/>
      <c r="D526" s="140"/>
      <c r="E526" s="141"/>
      <c r="F526" s="141"/>
      <c r="G526" s="141"/>
      <c r="H526" s="141"/>
    </row>
    <row r="527" spans="1:8">
      <c r="A527" s="139"/>
      <c r="B527" s="139"/>
      <c r="C527" s="140"/>
      <c r="D527" s="140"/>
      <c r="E527" s="141"/>
      <c r="F527" s="141"/>
      <c r="G527" s="141"/>
      <c r="H527" s="141"/>
    </row>
    <row r="528" spans="1:8">
      <c r="A528" s="139"/>
      <c r="B528" s="139"/>
      <c r="C528" s="140"/>
      <c r="D528" s="140"/>
      <c r="E528" s="141"/>
      <c r="F528" s="141"/>
      <c r="G528" s="141"/>
      <c r="H528" s="141"/>
    </row>
    <row r="529" spans="1:8">
      <c r="A529" s="139"/>
      <c r="B529" s="139"/>
      <c r="C529" s="140"/>
      <c r="D529" s="140"/>
      <c r="E529" s="141"/>
      <c r="F529" s="141"/>
      <c r="G529" s="141"/>
      <c r="H529" s="141"/>
    </row>
    <row r="530" spans="1:8">
      <c r="A530" s="139"/>
      <c r="B530" s="139"/>
      <c r="C530" s="140"/>
      <c r="D530" s="140"/>
      <c r="E530" s="141"/>
      <c r="F530" s="141"/>
      <c r="G530" s="141"/>
      <c r="H530" s="141"/>
    </row>
    <row r="531" spans="1:8">
      <c r="A531" s="139"/>
      <c r="B531" s="139"/>
      <c r="C531" s="140"/>
      <c r="D531" s="140"/>
      <c r="E531" s="141"/>
      <c r="F531" s="141"/>
      <c r="G531" s="141"/>
      <c r="H531" s="141"/>
    </row>
    <row r="532" spans="1:8">
      <c r="A532" s="139"/>
      <c r="B532" s="139"/>
      <c r="C532" s="140"/>
      <c r="D532" s="140"/>
      <c r="E532" s="141"/>
      <c r="F532" s="141"/>
      <c r="G532" s="141"/>
      <c r="H532" s="141"/>
    </row>
    <row r="533" spans="1:8">
      <c r="A533" s="139"/>
      <c r="B533" s="139"/>
      <c r="C533" s="140"/>
      <c r="D533" s="140"/>
      <c r="E533" s="141"/>
      <c r="F533" s="141"/>
      <c r="G533" s="141"/>
      <c r="H533" s="141"/>
    </row>
    <row r="534" spans="1:8">
      <c r="A534" s="139"/>
      <c r="B534" s="139"/>
      <c r="C534" s="140"/>
      <c r="D534" s="140"/>
      <c r="E534" s="141"/>
      <c r="F534" s="141"/>
      <c r="G534" s="141"/>
      <c r="H534" s="141"/>
    </row>
    <row r="535" spans="1:8">
      <c r="A535" s="139"/>
      <c r="B535" s="139"/>
      <c r="C535" s="140"/>
      <c r="D535" s="140"/>
      <c r="E535" s="141"/>
      <c r="F535" s="141"/>
      <c r="G535" s="141"/>
      <c r="H535" s="141"/>
    </row>
    <row r="536" spans="1:8">
      <c r="A536" s="139"/>
      <c r="B536" s="139"/>
      <c r="C536" s="140"/>
      <c r="D536" s="140"/>
      <c r="E536" s="141"/>
      <c r="F536" s="141"/>
      <c r="G536" s="141"/>
      <c r="H536" s="141"/>
    </row>
    <row r="537" spans="1:8">
      <c r="A537" s="139"/>
      <c r="B537" s="139"/>
      <c r="C537" s="140"/>
      <c r="D537" s="140"/>
      <c r="E537" s="141"/>
      <c r="F537" s="141"/>
      <c r="G537" s="141"/>
      <c r="H537" s="141"/>
    </row>
    <row r="538" spans="1:8">
      <c r="A538" s="139"/>
      <c r="B538" s="139"/>
      <c r="C538" s="140"/>
      <c r="D538" s="140"/>
      <c r="E538" s="141"/>
      <c r="F538" s="141"/>
      <c r="G538" s="141"/>
      <c r="H538" s="141"/>
    </row>
    <row r="539" spans="1:8">
      <c r="A539" s="139"/>
      <c r="B539" s="139"/>
      <c r="C539" s="140"/>
      <c r="D539" s="140"/>
      <c r="E539" s="141"/>
      <c r="F539" s="141"/>
      <c r="G539" s="141"/>
      <c r="H539" s="141"/>
    </row>
    <row r="540" spans="1:8">
      <c r="A540" s="139"/>
      <c r="B540" s="139"/>
      <c r="C540" s="140"/>
      <c r="D540" s="140"/>
      <c r="E540" s="141"/>
      <c r="F540" s="141"/>
      <c r="G540" s="141"/>
      <c r="H540" s="141"/>
    </row>
    <row r="541" spans="1:8">
      <c r="A541" s="139"/>
      <c r="B541" s="139"/>
      <c r="C541" s="140"/>
      <c r="D541" s="140"/>
      <c r="E541" s="141"/>
      <c r="F541" s="141"/>
      <c r="G541" s="141"/>
      <c r="H541" s="141"/>
    </row>
    <row r="542" spans="1:8">
      <c r="A542" s="139"/>
      <c r="B542" s="139"/>
      <c r="C542" s="140"/>
      <c r="D542" s="140"/>
      <c r="E542" s="141"/>
      <c r="F542" s="141"/>
      <c r="G542" s="141"/>
      <c r="H542" s="141"/>
    </row>
    <row r="543" spans="1:8">
      <c r="A543" s="139"/>
      <c r="B543" s="139"/>
      <c r="C543" s="140"/>
      <c r="D543" s="140"/>
      <c r="E543" s="141"/>
      <c r="F543" s="141"/>
      <c r="G543" s="141"/>
      <c r="H543" s="141"/>
    </row>
    <row r="544" spans="1:8">
      <c r="A544" s="139"/>
      <c r="B544" s="139"/>
      <c r="C544" s="140"/>
      <c r="D544" s="140"/>
      <c r="E544" s="141"/>
      <c r="F544" s="141"/>
      <c r="G544" s="141"/>
      <c r="H544" s="141"/>
    </row>
    <row r="545" spans="1:8">
      <c r="A545" s="139"/>
      <c r="B545" s="139"/>
      <c r="C545" s="140"/>
      <c r="D545" s="140"/>
      <c r="E545" s="141"/>
      <c r="F545" s="141"/>
      <c r="G545" s="141"/>
      <c r="H545" s="141"/>
    </row>
    <row r="546" spans="1:8">
      <c r="A546" s="139"/>
      <c r="B546" s="139"/>
      <c r="C546" s="140"/>
      <c r="D546" s="140"/>
      <c r="E546" s="141"/>
      <c r="F546" s="141"/>
      <c r="G546" s="141"/>
      <c r="H546" s="141"/>
    </row>
    <row r="547" spans="1:8">
      <c r="A547" s="139"/>
      <c r="B547" s="139"/>
      <c r="C547" s="140"/>
      <c r="D547" s="140"/>
      <c r="E547" s="141"/>
      <c r="F547" s="141"/>
      <c r="G547" s="141"/>
      <c r="H547" s="141"/>
    </row>
    <row r="548" spans="1:8">
      <c r="A548" s="139"/>
      <c r="B548" s="139"/>
      <c r="C548" s="140"/>
      <c r="D548" s="140"/>
      <c r="E548" s="141"/>
      <c r="F548" s="141"/>
      <c r="G548" s="141"/>
      <c r="H548" s="141"/>
    </row>
    <row r="549" spans="1:8">
      <c r="A549" s="139"/>
      <c r="B549" s="139"/>
      <c r="C549" s="140"/>
      <c r="D549" s="140"/>
      <c r="E549" s="141"/>
      <c r="F549" s="141"/>
      <c r="G549" s="141"/>
      <c r="H549" s="141"/>
    </row>
    <row r="550" spans="1:8">
      <c r="A550" s="139"/>
      <c r="B550" s="139"/>
      <c r="C550" s="140"/>
      <c r="D550" s="140"/>
      <c r="E550" s="141"/>
      <c r="F550" s="141"/>
      <c r="G550" s="141"/>
      <c r="H550" s="141"/>
    </row>
    <row r="551" spans="1:8">
      <c r="A551" s="139"/>
      <c r="B551" s="139"/>
      <c r="C551" s="140"/>
      <c r="D551" s="140"/>
      <c r="E551" s="141"/>
      <c r="F551" s="141"/>
      <c r="G551" s="141"/>
      <c r="H551" s="141"/>
    </row>
    <row r="552" spans="1:8">
      <c r="A552" s="139"/>
      <c r="B552" s="139"/>
      <c r="C552" s="140"/>
      <c r="D552" s="140"/>
      <c r="E552" s="141"/>
      <c r="F552" s="141"/>
      <c r="G552" s="141"/>
      <c r="H552" s="141"/>
    </row>
    <row r="553" spans="1:8">
      <c r="A553" s="139"/>
      <c r="B553" s="139"/>
      <c r="C553" s="140"/>
      <c r="D553" s="140"/>
      <c r="E553" s="141"/>
      <c r="F553" s="141"/>
      <c r="G553" s="141"/>
      <c r="H553" s="141"/>
    </row>
    <row r="554" spans="1:8">
      <c r="A554" s="139"/>
      <c r="B554" s="139"/>
      <c r="C554" s="140"/>
      <c r="D554" s="140"/>
      <c r="E554" s="141"/>
      <c r="F554" s="141"/>
      <c r="G554" s="141"/>
      <c r="H554" s="141"/>
    </row>
    <row r="555" spans="1:8">
      <c r="A555" s="139"/>
      <c r="B555" s="139"/>
      <c r="C555" s="140"/>
      <c r="D555" s="140"/>
      <c r="E555" s="141"/>
      <c r="F555" s="141"/>
      <c r="G555" s="141"/>
      <c r="H555" s="141"/>
    </row>
    <row r="556" spans="1:8">
      <c r="A556" s="139"/>
      <c r="B556" s="139"/>
      <c r="C556" s="140"/>
      <c r="D556" s="140"/>
      <c r="E556" s="141"/>
      <c r="F556" s="141"/>
      <c r="G556" s="141"/>
      <c r="H556" s="141"/>
    </row>
    <row r="557" spans="1:8">
      <c r="A557" s="139"/>
      <c r="B557" s="139"/>
      <c r="C557" s="140"/>
      <c r="D557" s="140"/>
      <c r="E557" s="141"/>
      <c r="F557" s="141"/>
      <c r="G557" s="141"/>
      <c r="H557" s="141"/>
    </row>
    <row r="558" spans="1:8">
      <c r="A558" s="139"/>
      <c r="B558" s="139"/>
      <c r="C558" s="140"/>
      <c r="D558" s="140"/>
      <c r="E558" s="141"/>
      <c r="F558" s="141"/>
      <c r="G558" s="141"/>
      <c r="H558" s="141"/>
    </row>
    <row r="559" spans="1:8">
      <c r="A559" s="139"/>
      <c r="B559" s="139"/>
      <c r="C559" s="140"/>
      <c r="D559" s="140"/>
      <c r="E559" s="141"/>
      <c r="F559" s="141"/>
      <c r="G559" s="141"/>
      <c r="H559" s="141"/>
    </row>
    <row r="560" spans="1:8">
      <c r="A560" s="139"/>
      <c r="B560" s="139"/>
      <c r="C560" s="140"/>
      <c r="D560" s="140"/>
      <c r="E560" s="141"/>
      <c r="F560" s="141"/>
      <c r="G560" s="141"/>
      <c r="H560" s="141"/>
    </row>
    <row r="561" spans="1:8">
      <c r="A561" s="139"/>
      <c r="B561" s="139"/>
      <c r="C561" s="140"/>
      <c r="D561" s="140"/>
      <c r="E561" s="141"/>
      <c r="F561" s="141"/>
      <c r="G561" s="141"/>
      <c r="H561" s="141"/>
    </row>
    <row r="562" spans="1:8">
      <c r="A562" s="139"/>
      <c r="B562" s="139"/>
      <c r="C562" s="140"/>
      <c r="D562" s="140"/>
      <c r="E562" s="141"/>
      <c r="F562" s="141"/>
      <c r="G562" s="141"/>
      <c r="H562" s="141"/>
    </row>
    <row r="563" spans="1:8">
      <c r="A563" s="139"/>
      <c r="B563" s="139"/>
      <c r="C563" s="140"/>
      <c r="D563" s="140"/>
      <c r="E563" s="141"/>
      <c r="F563" s="141"/>
      <c r="G563" s="141"/>
      <c r="H563" s="141"/>
    </row>
    <row r="564" spans="1:8">
      <c r="A564" s="139"/>
      <c r="B564" s="139"/>
      <c r="C564" s="140"/>
      <c r="D564" s="140"/>
      <c r="E564" s="141"/>
      <c r="F564" s="141"/>
      <c r="G564" s="141"/>
      <c r="H564" s="141"/>
    </row>
    <row r="565" spans="1:8">
      <c r="A565" s="139"/>
      <c r="B565" s="139"/>
      <c r="C565" s="140"/>
      <c r="D565" s="140"/>
      <c r="E565" s="141"/>
      <c r="F565" s="141"/>
      <c r="G565" s="141"/>
      <c r="H565" s="141"/>
    </row>
    <row r="566" spans="1:8">
      <c r="A566" s="139"/>
      <c r="B566" s="139"/>
      <c r="C566" s="140"/>
      <c r="D566" s="140"/>
      <c r="E566" s="141"/>
      <c r="F566" s="141"/>
      <c r="G566" s="141"/>
      <c r="H566" s="141"/>
    </row>
    <row r="567" spans="1:8">
      <c r="A567" s="139"/>
      <c r="B567" s="139"/>
      <c r="C567" s="140"/>
      <c r="D567" s="140"/>
      <c r="E567" s="141"/>
      <c r="F567" s="141"/>
      <c r="G567" s="141"/>
      <c r="H567" s="141"/>
    </row>
    <row r="568" spans="1:8">
      <c r="A568" s="139"/>
      <c r="B568" s="139"/>
      <c r="C568" s="140"/>
      <c r="D568" s="140"/>
      <c r="E568" s="141"/>
      <c r="F568" s="141"/>
      <c r="G568" s="141"/>
      <c r="H568" s="141"/>
    </row>
    <row r="569" spans="1:8">
      <c r="A569" s="139"/>
      <c r="B569" s="139"/>
      <c r="C569" s="140"/>
      <c r="D569" s="140"/>
      <c r="E569" s="141"/>
      <c r="F569" s="141"/>
      <c r="G569" s="141"/>
      <c r="H569" s="141"/>
    </row>
    <row r="570" spans="1:8">
      <c r="A570" s="139"/>
      <c r="B570" s="139"/>
      <c r="C570" s="140"/>
      <c r="D570" s="140"/>
      <c r="E570" s="141"/>
      <c r="F570" s="141"/>
      <c r="G570" s="141"/>
      <c r="H570" s="141"/>
    </row>
    <row r="571" spans="1:8">
      <c r="A571" s="139"/>
      <c r="B571" s="139"/>
      <c r="C571" s="140"/>
      <c r="D571" s="140"/>
      <c r="E571" s="141"/>
      <c r="F571" s="141"/>
      <c r="G571" s="141"/>
      <c r="H571" s="141"/>
    </row>
    <row r="572" spans="1:8">
      <c r="A572" s="139"/>
      <c r="B572" s="139"/>
      <c r="C572" s="140"/>
      <c r="D572" s="140"/>
      <c r="E572" s="141"/>
      <c r="F572" s="141"/>
      <c r="G572" s="141"/>
      <c r="H572" s="141"/>
    </row>
    <row r="573" spans="1:8">
      <c r="A573" s="139"/>
      <c r="B573" s="139"/>
      <c r="C573" s="140"/>
      <c r="D573" s="140"/>
      <c r="E573" s="141"/>
      <c r="F573" s="141"/>
      <c r="G573" s="141"/>
      <c r="H573" s="141"/>
    </row>
    <row r="574" spans="1:8">
      <c r="A574" s="139"/>
      <c r="B574" s="139"/>
      <c r="C574" s="140"/>
      <c r="D574" s="140"/>
      <c r="E574" s="141"/>
      <c r="F574" s="141"/>
      <c r="G574" s="141"/>
      <c r="H574" s="141"/>
    </row>
    <row r="575" spans="1:8">
      <c r="A575" s="139"/>
      <c r="B575" s="139"/>
      <c r="C575" s="140"/>
      <c r="D575" s="140"/>
      <c r="E575" s="141"/>
      <c r="F575" s="141"/>
      <c r="G575" s="141"/>
      <c r="H575" s="141"/>
    </row>
    <row r="576" spans="1:8">
      <c r="A576" s="139"/>
      <c r="B576" s="139"/>
      <c r="C576" s="140"/>
      <c r="D576" s="140"/>
      <c r="E576" s="141"/>
      <c r="F576" s="141"/>
      <c r="G576" s="141"/>
      <c r="H576" s="141"/>
    </row>
    <row r="577" spans="1:8">
      <c r="A577" s="139"/>
      <c r="B577" s="139"/>
      <c r="C577" s="140"/>
      <c r="D577" s="140"/>
      <c r="E577" s="141"/>
      <c r="F577" s="141"/>
      <c r="G577" s="141"/>
      <c r="H577" s="141"/>
    </row>
    <row r="578" spans="1:8">
      <c r="A578" s="139"/>
      <c r="B578" s="139"/>
      <c r="C578" s="140"/>
      <c r="D578" s="140"/>
      <c r="E578" s="141"/>
      <c r="F578" s="141"/>
      <c r="G578" s="141"/>
      <c r="H578" s="141"/>
    </row>
    <row r="579" spans="1:8">
      <c r="A579" s="139"/>
      <c r="B579" s="139"/>
      <c r="C579" s="140"/>
      <c r="D579" s="140"/>
      <c r="E579" s="141"/>
      <c r="F579" s="141"/>
      <c r="G579" s="141"/>
      <c r="H579" s="141"/>
    </row>
    <row r="580" spans="1:8">
      <c r="A580" s="139"/>
      <c r="B580" s="139"/>
      <c r="C580" s="140"/>
      <c r="D580" s="140"/>
      <c r="E580" s="141"/>
      <c r="F580" s="141"/>
      <c r="G580" s="141"/>
      <c r="H580" s="141"/>
    </row>
    <row r="581" spans="1:8">
      <c r="A581" s="139"/>
      <c r="B581" s="139"/>
      <c r="C581" s="140"/>
      <c r="D581" s="140"/>
      <c r="E581" s="141"/>
      <c r="F581" s="141"/>
      <c r="G581" s="141"/>
      <c r="H581" s="141"/>
    </row>
    <row r="582" spans="1:8">
      <c r="A582" s="139"/>
      <c r="B582" s="139"/>
      <c r="C582" s="140"/>
      <c r="D582" s="140"/>
      <c r="E582" s="141"/>
      <c r="F582" s="141"/>
      <c r="G582" s="141"/>
      <c r="H582" s="141"/>
    </row>
    <row r="583" spans="1:8">
      <c r="A583" s="139"/>
      <c r="B583" s="139"/>
      <c r="C583" s="140"/>
      <c r="D583" s="140"/>
      <c r="E583" s="141"/>
      <c r="F583" s="141"/>
      <c r="G583" s="141"/>
      <c r="H583" s="141"/>
    </row>
    <row r="584" spans="1:8">
      <c r="A584" s="139"/>
      <c r="B584" s="139"/>
      <c r="C584" s="140"/>
      <c r="D584" s="140"/>
      <c r="E584" s="141"/>
      <c r="F584" s="141"/>
      <c r="G584" s="141"/>
      <c r="H584" s="141"/>
    </row>
    <row r="585" spans="1:8">
      <c r="A585" s="139"/>
      <c r="B585" s="139"/>
      <c r="C585" s="140"/>
      <c r="D585" s="140"/>
      <c r="E585" s="141"/>
      <c r="F585" s="141"/>
      <c r="G585" s="141"/>
      <c r="H585" s="141"/>
    </row>
    <row r="586" spans="1:8">
      <c r="A586" s="139"/>
      <c r="B586" s="139"/>
      <c r="C586" s="140"/>
      <c r="D586" s="140"/>
      <c r="E586" s="141"/>
      <c r="F586" s="141"/>
      <c r="G586" s="141"/>
      <c r="H586" s="141"/>
    </row>
    <row r="587" spans="1:8">
      <c r="A587" s="139"/>
      <c r="B587" s="139"/>
      <c r="C587" s="140"/>
      <c r="D587" s="140"/>
      <c r="E587" s="141"/>
      <c r="F587" s="141"/>
      <c r="G587" s="141"/>
      <c r="H587" s="141"/>
    </row>
    <row r="588" spans="1:8">
      <c r="A588" s="139"/>
      <c r="B588" s="139"/>
      <c r="C588" s="140"/>
      <c r="D588" s="140"/>
      <c r="E588" s="141"/>
      <c r="F588" s="141"/>
      <c r="G588" s="141"/>
      <c r="H588" s="141"/>
    </row>
    <row r="589" spans="1:8">
      <c r="A589" s="139"/>
      <c r="B589" s="139"/>
      <c r="C589" s="140"/>
      <c r="D589" s="140"/>
      <c r="E589" s="141"/>
      <c r="F589" s="141"/>
      <c r="G589" s="141"/>
      <c r="H589" s="141"/>
    </row>
    <row r="590" spans="1:8">
      <c r="A590" s="139"/>
      <c r="B590" s="139"/>
      <c r="C590" s="140"/>
      <c r="D590" s="140"/>
      <c r="E590" s="141"/>
      <c r="F590" s="141"/>
      <c r="G590" s="141"/>
      <c r="H590" s="141"/>
    </row>
    <row r="591" spans="1:8">
      <c r="A591" s="139"/>
      <c r="B591" s="139"/>
      <c r="C591" s="140"/>
      <c r="D591" s="140"/>
      <c r="E591" s="141"/>
      <c r="F591" s="141"/>
      <c r="G591" s="141"/>
      <c r="H591" s="141"/>
    </row>
    <row r="592" spans="1:8">
      <c r="A592" s="139"/>
      <c r="B592" s="139"/>
      <c r="C592" s="140"/>
      <c r="D592" s="140"/>
      <c r="E592" s="141"/>
      <c r="F592" s="141"/>
      <c r="G592" s="141"/>
      <c r="H592" s="141"/>
    </row>
    <row r="593" spans="1:8">
      <c r="A593" s="139"/>
      <c r="B593" s="139"/>
      <c r="C593" s="140"/>
      <c r="D593" s="140"/>
      <c r="E593" s="141"/>
      <c r="F593" s="141"/>
      <c r="G593" s="141"/>
      <c r="H593" s="141"/>
    </row>
    <row r="594" spans="1:8">
      <c r="A594" s="139"/>
      <c r="B594" s="139"/>
      <c r="C594" s="140"/>
      <c r="D594" s="140"/>
      <c r="E594" s="141"/>
      <c r="F594" s="141"/>
      <c r="G594" s="141"/>
      <c r="H594" s="141"/>
    </row>
    <row r="595" spans="1:8">
      <c r="A595" s="139"/>
      <c r="B595" s="139"/>
      <c r="C595" s="140"/>
      <c r="D595" s="140"/>
      <c r="E595" s="141"/>
      <c r="F595" s="141"/>
      <c r="G595" s="141"/>
      <c r="H595" s="141"/>
    </row>
    <row r="596" spans="1:8">
      <c r="A596" s="139"/>
      <c r="B596" s="139"/>
      <c r="C596" s="140"/>
      <c r="D596" s="140"/>
      <c r="E596" s="141"/>
      <c r="F596" s="141"/>
      <c r="G596" s="141"/>
      <c r="H596" s="141"/>
    </row>
    <row r="597" spans="1:8">
      <c r="A597" s="139"/>
      <c r="B597" s="139"/>
      <c r="C597" s="140"/>
      <c r="D597" s="140"/>
      <c r="E597" s="141"/>
      <c r="F597" s="141"/>
      <c r="G597" s="141"/>
      <c r="H597" s="141"/>
    </row>
    <row r="598" spans="1:8">
      <c r="A598" s="139"/>
      <c r="B598" s="139"/>
      <c r="C598" s="140"/>
      <c r="D598" s="140"/>
      <c r="E598" s="141"/>
      <c r="F598" s="141"/>
      <c r="G598" s="141"/>
      <c r="H598" s="141"/>
    </row>
    <row r="599" spans="1:8">
      <c r="A599" s="139"/>
      <c r="B599" s="139"/>
      <c r="C599" s="140"/>
      <c r="D599" s="140"/>
      <c r="E599" s="141"/>
      <c r="F599" s="141"/>
      <c r="G599" s="141"/>
      <c r="H599" s="141"/>
    </row>
    <row r="600" spans="1:8">
      <c r="A600" s="139"/>
      <c r="B600" s="139"/>
      <c r="C600" s="140"/>
      <c r="D600" s="140"/>
      <c r="E600" s="141"/>
      <c r="F600" s="141"/>
      <c r="G600" s="141"/>
      <c r="H600" s="141"/>
    </row>
    <row r="601" spans="1:8">
      <c r="A601" s="139"/>
      <c r="B601" s="139"/>
      <c r="C601" s="140"/>
      <c r="D601" s="140"/>
      <c r="E601" s="141"/>
      <c r="F601" s="141"/>
      <c r="G601" s="141"/>
      <c r="H601" s="141"/>
    </row>
    <row r="602" spans="1:8">
      <c r="A602" s="139"/>
      <c r="B602" s="139"/>
      <c r="C602" s="140"/>
      <c r="D602" s="140"/>
      <c r="E602" s="141"/>
      <c r="F602" s="141"/>
      <c r="G602" s="141"/>
      <c r="H602" s="141"/>
    </row>
    <row r="603" spans="1:8">
      <c r="A603" s="139"/>
      <c r="B603" s="139"/>
      <c r="C603" s="140"/>
      <c r="D603" s="140"/>
      <c r="E603" s="141"/>
      <c r="F603" s="141"/>
      <c r="G603" s="141"/>
      <c r="H603" s="141"/>
    </row>
    <row r="604" spans="1:8">
      <c r="A604" s="139"/>
      <c r="B604" s="139"/>
      <c r="C604" s="140"/>
      <c r="D604" s="140"/>
      <c r="E604" s="141"/>
      <c r="F604" s="141"/>
      <c r="G604" s="141"/>
      <c r="H604" s="141"/>
    </row>
    <row r="605" spans="1:8">
      <c r="A605" s="139"/>
      <c r="B605" s="139"/>
      <c r="C605" s="140"/>
      <c r="D605" s="140"/>
      <c r="E605" s="141"/>
      <c r="F605" s="141"/>
      <c r="G605" s="141"/>
      <c r="H605" s="141"/>
    </row>
    <row r="606" spans="1:8">
      <c r="A606" s="139"/>
      <c r="B606" s="139"/>
      <c r="C606" s="140"/>
      <c r="D606" s="140"/>
      <c r="E606" s="141"/>
      <c r="F606" s="141"/>
      <c r="G606" s="141"/>
      <c r="H606" s="141"/>
    </row>
    <row r="607" spans="1:8">
      <c r="A607" s="139"/>
      <c r="B607" s="139"/>
      <c r="C607" s="140"/>
      <c r="D607" s="140"/>
      <c r="E607" s="141"/>
      <c r="F607" s="141"/>
      <c r="G607" s="141"/>
      <c r="H607" s="141"/>
    </row>
    <row r="608" spans="1:8">
      <c r="A608" s="139"/>
      <c r="B608" s="139"/>
      <c r="C608" s="140"/>
      <c r="D608" s="140"/>
      <c r="E608" s="141"/>
      <c r="F608" s="141"/>
      <c r="G608" s="141"/>
      <c r="H608" s="141"/>
    </row>
    <row r="609" spans="1:8">
      <c r="A609" s="139"/>
      <c r="B609" s="139"/>
      <c r="C609" s="140"/>
      <c r="D609" s="140"/>
      <c r="E609" s="141"/>
      <c r="F609" s="141"/>
      <c r="G609" s="141"/>
      <c r="H609" s="141"/>
    </row>
    <row r="610" spans="1:8">
      <c r="A610" s="139"/>
      <c r="B610" s="139"/>
      <c r="C610" s="140"/>
      <c r="D610" s="140"/>
      <c r="E610" s="141"/>
      <c r="F610" s="141"/>
      <c r="G610" s="141"/>
      <c r="H610" s="141"/>
    </row>
    <row r="611" spans="1:8">
      <c r="A611" s="139"/>
      <c r="B611" s="139"/>
      <c r="C611" s="140"/>
      <c r="D611" s="140"/>
      <c r="E611" s="141"/>
      <c r="F611" s="141"/>
      <c r="G611" s="141"/>
      <c r="H611" s="141"/>
    </row>
    <row r="612" spans="1:8">
      <c r="A612" s="139"/>
      <c r="B612" s="139"/>
      <c r="C612" s="140"/>
      <c r="D612" s="140"/>
      <c r="E612" s="141"/>
      <c r="F612" s="141"/>
      <c r="G612" s="141"/>
      <c r="H612" s="141"/>
    </row>
    <row r="613" spans="1:8">
      <c r="A613" s="139"/>
      <c r="B613" s="139"/>
      <c r="C613" s="140"/>
      <c r="D613" s="140"/>
      <c r="E613" s="141"/>
      <c r="F613" s="141"/>
      <c r="G613" s="141"/>
      <c r="H613" s="141"/>
    </row>
    <row r="614" spans="1:8">
      <c r="A614" s="139"/>
      <c r="B614" s="139"/>
      <c r="C614" s="140"/>
      <c r="D614" s="140"/>
      <c r="E614" s="141"/>
      <c r="F614" s="141"/>
      <c r="G614" s="141"/>
      <c r="H614" s="141"/>
    </row>
    <row r="615" spans="1:8">
      <c r="A615" s="139"/>
      <c r="B615" s="139"/>
      <c r="C615" s="140"/>
      <c r="D615" s="140"/>
      <c r="E615" s="141"/>
      <c r="F615" s="141"/>
      <c r="G615" s="141"/>
      <c r="H615" s="141"/>
    </row>
    <row r="616" spans="1:8">
      <c r="A616" s="139"/>
      <c r="B616" s="139"/>
      <c r="C616" s="140"/>
      <c r="D616" s="140"/>
      <c r="E616" s="141"/>
      <c r="F616" s="141"/>
      <c r="G616" s="141"/>
      <c r="H616" s="141"/>
    </row>
    <row r="617" spans="1:8">
      <c r="A617" s="139"/>
      <c r="B617" s="139"/>
      <c r="C617" s="140"/>
      <c r="D617" s="140"/>
      <c r="E617" s="141"/>
      <c r="F617" s="141"/>
      <c r="G617" s="141"/>
      <c r="H617" s="141"/>
    </row>
    <row r="618" spans="1:8">
      <c r="A618" s="139"/>
      <c r="B618" s="139"/>
      <c r="C618" s="140"/>
      <c r="D618" s="140"/>
      <c r="E618" s="141"/>
      <c r="F618" s="141"/>
      <c r="G618" s="141"/>
      <c r="H618" s="141"/>
    </row>
    <row r="619" spans="1:8">
      <c r="A619" s="139"/>
      <c r="B619" s="139"/>
      <c r="C619" s="140"/>
      <c r="D619" s="140"/>
      <c r="E619" s="141"/>
      <c r="F619" s="141"/>
      <c r="G619" s="141"/>
      <c r="H619" s="141"/>
    </row>
    <row r="620" spans="1:8">
      <c r="A620" s="139"/>
      <c r="B620" s="139"/>
      <c r="C620" s="140"/>
      <c r="D620" s="140"/>
      <c r="E620" s="141"/>
      <c r="F620" s="141"/>
      <c r="G620" s="141"/>
      <c r="H620" s="141"/>
    </row>
    <row r="621" spans="1:8">
      <c r="A621" s="139"/>
      <c r="B621" s="139"/>
      <c r="C621" s="140"/>
      <c r="D621" s="140"/>
      <c r="E621" s="141"/>
      <c r="F621" s="141"/>
      <c r="G621" s="141"/>
      <c r="H621" s="141"/>
    </row>
    <row r="622" spans="1:8">
      <c r="A622" s="139"/>
      <c r="B622" s="139"/>
      <c r="C622" s="140"/>
      <c r="D622" s="140"/>
      <c r="E622" s="141"/>
      <c r="F622" s="141"/>
      <c r="G622" s="141"/>
      <c r="H622" s="141"/>
    </row>
    <row r="623" spans="1:8">
      <c r="A623" s="139"/>
      <c r="B623" s="139"/>
      <c r="C623" s="140"/>
      <c r="D623" s="140"/>
      <c r="E623" s="141"/>
      <c r="F623" s="141"/>
      <c r="G623" s="141"/>
      <c r="H623" s="141"/>
    </row>
    <row r="624" spans="1:8">
      <c r="A624" s="139"/>
      <c r="B624" s="139"/>
      <c r="C624" s="140"/>
      <c r="D624" s="140"/>
      <c r="E624" s="141"/>
      <c r="F624" s="141"/>
      <c r="G624" s="141"/>
      <c r="H624" s="141"/>
    </row>
    <row r="625" spans="1:8">
      <c r="A625" s="139"/>
      <c r="B625" s="139"/>
      <c r="C625" s="140"/>
      <c r="D625" s="140"/>
      <c r="E625" s="141"/>
      <c r="F625" s="141"/>
      <c r="G625" s="141"/>
      <c r="H625" s="141"/>
    </row>
    <row r="626" spans="1:8">
      <c r="A626" s="139"/>
      <c r="B626" s="139"/>
      <c r="C626" s="140"/>
      <c r="D626" s="140"/>
      <c r="E626" s="141"/>
      <c r="F626" s="141"/>
      <c r="G626" s="141"/>
      <c r="H626" s="141"/>
    </row>
    <row r="627" spans="1:8">
      <c r="A627" s="139"/>
      <c r="B627" s="139"/>
      <c r="C627" s="140"/>
      <c r="D627" s="140"/>
      <c r="E627" s="141"/>
      <c r="F627" s="141"/>
      <c r="G627" s="141"/>
      <c r="H627" s="141"/>
    </row>
    <row r="628" spans="1:8">
      <c r="A628" s="139"/>
      <c r="B628" s="139"/>
      <c r="C628" s="140"/>
      <c r="D628" s="140"/>
      <c r="E628" s="141"/>
      <c r="F628" s="141"/>
      <c r="G628" s="141"/>
      <c r="H628" s="141"/>
    </row>
    <row r="629" spans="1:8">
      <c r="A629" s="139"/>
      <c r="B629" s="139"/>
      <c r="C629" s="140"/>
      <c r="D629" s="140"/>
      <c r="E629" s="141"/>
      <c r="F629" s="141"/>
      <c r="G629" s="141"/>
      <c r="H629" s="141"/>
    </row>
    <row r="630" spans="1:8">
      <c r="A630" s="139"/>
      <c r="B630" s="139"/>
      <c r="C630" s="140"/>
      <c r="D630" s="140"/>
      <c r="E630" s="141"/>
      <c r="F630" s="141"/>
      <c r="G630" s="141"/>
      <c r="H630" s="141"/>
    </row>
    <row r="631" spans="1:8">
      <c r="A631" s="139"/>
      <c r="B631" s="139"/>
      <c r="C631" s="140"/>
      <c r="D631" s="140"/>
      <c r="E631" s="141"/>
      <c r="F631" s="141"/>
      <c r="G631" s="141"/>
      <c r="H631" s="141"/>
    </row>
    <row r="632" spans="1:8">
      <c r="A632" s="139"/>
      <c r="B632" s="139"/>
      <c r="C632" s="140"/>
      <c r="D632" s="140"/>
      <c r="E632" s="141"/>
      <c r="F632" s="141"/>
      <c r="G632" s="141"/>
      <c r="H632" s="141"/>
    </row>
    <row r="633" spans="1:8">
      <c r="A633" s="139"/>
      <c r="B633" s="139"/>
      <c r="C633" s="140"/>
      <c r="D633" s="140"/>
      <c r="E633" s="141"/>
      <c r="F633" s="141"/>
      <c r="G633" s="141"/>
      <c r="H633" s="141"/>
    </row>
    <row r="634" spans="1:8">
      <c r="A634" s="139"/>
      <c r="B634" s="139"/>
      <c r="C634" s="140"/>
      <c r="D634" s="140"/>
      <c r="E634" s="141"/>
      <c r="F634" s="141"/>
      <c r="G634" s="141"/>
      <c r="H634" s="141"/>
    </row>
    <row r="635" spans="1:8">
      <c r="A635" s="139"/>
      <c r="B635" s="139"/>
      <c r="C635" s="140"/>
      <c r="D635" s="140"/>
      <c r="E635" s="141"/>
      <c r="F635" s="141"/>
      <c r="G635" s="141"/>
      <c r="H635" s="141"/>
    </row>
    <row r="636" spans="1:8">
      <c r="A636" s="139"/>
      <c r="B636" s="139"/>
      <c r="C636" s="140"/>
      <c r="D636" s="140"/>
      <c r="E636" s="141"/>
      <c r="F636" s="141"/>
      <c r="G636" s="141"/>
      <c r="H636" s="141"/>
    </row>
    <row r="637" spans="1:8">
      <c r="A637" s="139"/>
      <c r="B637" s="139"/>
      <c r="C637" s="140"/>
      <c r="D637" s="140"/>
      <c r="E637" s="141"/>
      <c r="F637" s="141"/>
      <c r="G637" s="141"/>
      <c r="H637" s="141"/>
    </row>
    <row r="638" spans="1:8">
      <c r="A638" s="139"/>
      <c r="B638" s="139"/>
      <c r="C638" s="140"/>
      <c r="D638" s="140"/>
      <c r="E638" s="141"/>
      <c r="F638" s="141"/>
      <c r="G638" s="141"/>
      <c r="H638" s="141"/>
    </row>
    <row r="639" spans="1:8">
      <c r="A639" s="139"/>
      <c r="B639" s="139"/>
      <c r="C639" s="140"/>
      <c r="D639" s="140"/>
      <c r="E639" s="141"/>
      <c r="F639" s="141"/>
      <c r="G639" s="141"/>
      <c r="H639" s="141"/>
    </row>
    <row r="640" spans="1:8">
      <c r="A640" s="139"/>
      <c r="B640" s="139"/>
      <c r="C640" s="140"/>
      <c r="D640" s="140"/>
      <c r="E640" s="141"/>
      <c r="F640" s="141"/>
      <c r="G640" s="141"/>
      <c r="H640" s="141"/>
    </row>
    <row r="641" spans="1:8">
      <c r="A641" s="139"/>
      <c r="B641" s="139"/>
      <c r="C641" s="140"/>
      <c r="D641" s="140"/>
      <c r="E641" s="141"/>
      <c r="F641" s="141"/>
      <c r="G641" s="141"/>
      <c r="H641" s="141"/>
    </row>
    <row r="642" spans="1:8">
      <c r="A642" s="139"/>
      <c r="B642" s="139"/>
      <c r="C642" s="140"/>
      <c r="D642" s="140"/>
      <c r="E642" s="141"/>
      <c r="F642" s="141"/>
      <c r="G642" s="141"/>
      <c r="H642" s="141"/>
    </row>
    <row r="643" spans="1:8">
      <c r="A643" s="139"/>
      <c r="B643" s="139"/>
      <c r="C643" s="140"/>
      <c r="D643" s="140"/>
      <c r="E643" s="141"/>
      <c r="F643" s="141"/>
      <c r="G643" s="141"/>
      <c r="H643" s="141"/>
    </row>
    <row r="644" spans="1:8">
      <c r="A644" s="139"/>
      <c r="B644" s="139"/>
      <c r="C644" s="140"/>
      <c r="D644" s="140"/>
      <c r="E644" s="141"/>
      <c r="F644" s="141"/>
      <c r="G644" s="141"/>
      <c r="H644" s="141"/>
    </row>
    <row r="645" spans="1:8">
      <c r="A645" s="139"/>
      <c r="B645" s="139"/>
      <c r="C645" s="140"/>
      <c r="D645" s="140"/>
      <c r="E645" s="141"/>
      <c r="F645" s="141"/>
      <c r="G645" s="141"/>
      <c r="H645" s="141"/>
    </row>
    <row r="646" spans="1:8">
      <c r="A646" s="139"/>
      <c r="B646" s="139"/>
      <c r="C646" s="140"/>
      <c r="D646" s="140"/>
      <c r="E646" s="141"/>
      <c r="F646" s="141"/>
      <c r="G646" s="141"/>
      <c r="H646" s="141"/>
    </row>
    <row r="647" spans="1:8">
      <c r="A647" s="139"/>
      <c r="B647" s="139"/>
      <c r="C647" s="140"/>
      <c r="D647" s="140"/>
      <c r="E647" s="141"/>
      <c r="F647" s="141"/>
      <c r="G647" s="141"/>
      <c r="H647" s="141"/>
    </row>
    <row r="648" spans="1:8">
      <c r="A648" s="139"/>
      <c r="B648" s="139"/>
      <c r="C648" s="140"/>
      <c r="D648" s="140"/>
      <c r="E648" s="141"/>
      <c r="F648" s="141"/>
      <c r="G648" s="141"/>
      <c r="H648" s="141"/>
    </row>
    <row r="649" spans="1:8">
      <c r="A649" s="139"/>
      <c r="B649" s="139"/>
      <c r="C649" s="140"/>
      <c r="D649" s="140"/>
      <c r="E649" s="141"/>
      <c r="F649" s="141"/>
      <c r="G649" s="141"/>
      <c r="H649" s="141"/>
    </row>
    <row r="650" spans="1:8">
      <c r="A650" s="139"/>
      <c r="B650" s="139"/>
      <c r="C650" s="140"/>
      <c r="D650" s="140"/>
      <c r="E650" s="141"/>
      <c r="F650" s="141"/>
      <c r="G650" s="141"/>
      <c r="H650" s="141"/>
    </row>
    <row r="651" spans="1:8">
      <c r="A651" s="139"/>
      <c r="B651" s="139"/>
      <c r="C651" s="140"/>
      <c r="D651" s="140"/>
      <c r="E651" s="141"/>
      <c r="F651" s="141"/>
      <c r="G651" s="141"/>
      <c r="H651" s="141"/>
    </row>
    <row r="652" spans="1:8">
      <c r="A652" s="139"/>
      <c r="B652" s="139"/>
      <c r="C652" s="140"/>
      <c r="D652" s="140"/>
      <c r="E652" s="141"/>
      <c r="F652" s="141"/>
      <c r="G652" s="141"/>
      <c r="H652" s="141"/>
    </row>
    <row r="653" spans="1:8">
      <c r="A653" s="139"/>
      <c r="B653" s="139"/>
      <c r="C653" s="140"/>
      <c r="D653" s="140"/>
      <c r="E653" s="141"/>
      <c r="F653" s="141"/>
      <c r="G653" s="141"/>
      <c r="H653" s="141"/>
    </row>
    <row r="654" spans="1:8">
      <c r="A654" s="139"/>
      <c r="B654" s="139"/>
      <c r="C654" s="140"/>
      <c r="D654" s="140"/>
      <c r="E654" s="141"/>
      <c r="F654" s="141"/>
      <c r="G654" s="141"/>
      <c r="H654" s="141"/>
    </row>
    <row r="655" spans="1:8">
      <c r="A655" s="139"/>
      <c r="B655" s="139"/>
      <c r="C655" s="140"/>
      <c r="D655" s="140"/>
      <c r="E655" s="141"/>
      <c r="F655" s="141"/>
      <c r="G655" s="141"/>
      <c r="H655" s="141"/>
    </row>
    <row r="656" spans="1:8">
      <c r="A656" s="139"/>
      <c r="B656" s="139"/>
      <c r="C656" s="140"/>
      <c r="D656" s="140"/>
      <c r="E656" s="141"/>
      <c r="F656" s="141"/>
      <c r="G656" s="141"/>
      <c r="H656" s="141"/>
    </row>
    <row r="657" spans="1:8">
      <c r="A657" s="139"/>
      <c r="B657" s="139"/>
      <c r="C657" s="140"/>
      <c r="D657" s="140"/>
      <c r="E657" s="141"/>
      <c r="F657" s="141"/>
      <c r="G657" s="141"/>
      <c r="H657" s="141"/>
    </row>
    <row r="658" spans="1:8">
      <c r="A658" s="139"/>
      <c r="B658" s="139"/>
      <c r="C658" s="140"/>
      <c r="D658" s="140"/>
      <c r="E658" s="141"/>
      <c r="F658" s="141"/>
      <c r="G658" s="141"/>
      <c r="H658" s="141"/>
    </row>
    <row r="659" spans="1:8">
      <c r="A659" s="139"/>
      <c r="B659" s="139"/>
      <c r="C659" s="140"/>
      <c r="D659" s="140"/>
      <c r="E659" s="141"/>
      <c r="F659" s="141"/>
      <c r="G659" s="141"/>
      <c r="H659" s="141"/>
    </row>
    <row r="660" spans="1:8">
      <c r="A660" s="139"/>
      <c r="B660" s="139"/>
      <c r="C660" s="140"/>
      <c r="D660" s="140"/>
      <c r="E660" s="141"/>
      <c r="F660" s="141"/>
      <c r="G660" s="141"/>
      <c r="H660" s="141"/>
    </row>
    <row r="661" spans="1:8">
      <c r="A661" s="139"/>
      <c r="B661" s="139"/>
      <c r="C661" s="140"/>
      <c r="D661" s="140"/>
      <c r="E661" s="141"/>
      <c r="F661" s="141"/>
      <c r="G661" s="141"/>
      <c r="H661" s="141"/>
    </row>
    <row r="662" spans="1:8">
      <c r="A662" s="139"/>
      <c r="B662" s="139"/>
      <c r="C662" s="140"/>
      <c r="D662" s="140"/>
      <c r="E662" s="141"/>
      <c r="F662" s="141"/>
      <c r="G662" s="141"/>
      <c r="H662" s="141"/>
    </row>
    <row r="663" spans="1:8">
      <c r="A663" s="139"/>
      <c r="B663" s="139"/>
      <c r="C663" s="140"/>
      <c r="D663" s="140"/>
      <c r="E663" s="141"/>
      <c r="F663" s="141"/>
      <c r="G663" s="141"/>
      <c r="H663" s="141"/>
    </row>
    <row r="664" spans="1:8">
      <c r="A664" s="139"/>
      <c r="B664" s="139"/>
      <c r="C664" s="140"/>
      <c r="D664" s="140"/>
      <c r="E664" s="141"/>
      <c r="F664" s="141"/>
      <c r="G664" s="141"/>
      <c r="H664" s="141"/>
    </row>
    <row r="665" spans="1:8">
      <c r="A665" s="139"/>
      <c r="B665" s="139"/>
      <c r="C665" s="140"/>
      <c r="D665" s="140"/>
      <c r="E665" s="141"/>
      <c r="F665" s="141"/>
      <c r="G665" s="141"/>
      <c r="H665" s="141"/>
    </row>
    <row r="666" spans="1:8">
      <c r="A666" s="139"/>
      <c r="B666" s="139"/>
      <c r="C666" s="140"/>
      <c r="D666" s="140"/>
      <c r="E666" s="141"/>
      <c r="F666" s="141"/>
      <c r="G666" s="141"/>
      <c r="H666" s="141"/>
    </row>
    <row r="667" spans="1:8">
      <c r="A667" s="139"/>
      <c r="B667" s="139"/>
      <c r="C667" s="140"/>
      <c r="D667" s="140"/>
      <c r="E667" s="141"/>
      <c r="F667" s="141"/>
      <c r="G667" s="141"/>
      <c r="H667" s="141"/>
    </row>
    <row r="668" spans="1:8">
      <c r="A668" s="139"/>
      <c r="B668" s="139"/>
      <c r="C668" s="140"/>
      <c r="D668" s="140"/>
      <c r="E668" s="141"/>
      <c r="F668" s="141"/>
      <c r="G668" s="141"/>
      <c r="H668" s="141"/>
    </row>
    <row r="669" spans="1:8">
      <c r="A669" s="139"/>
      <c r="B669" s="139"/>
      <c r="C669" s="140"/>
      <c r="D669" s="140"/>
      <c r="E669" s="141"/>
      <c r="F669" s="141"/>
      <c r="G669" s="141"/>
      <c r="H669" s="141"/>
    </row>
    <row r="670" spans="1:8">
      <c r="A670" s="139"/>
      <c r="B670" s="139"/>
      <c r="C670" s="140"/>
      <c r="D670" s="140"/>
      <c r="E670" s="141"/>
      <c r="F670" s="141"/>
      <c r="G670" s="141"/>
      <c r="H670" s="141"/>
    </row>
    <row r="671" spans="1:8">
      <c r="A671" s="139"/>
      <c r="B671" s="139"/>
      <c r="C671" s="140"/>
      <c r="D671" s="140"/>
      <c r="E671" s="141"/>
      <c r="F671" s="141"/>
      <c r="G671" s="141"/>
      <c r="H671" s="141"/>
    </row>
    <row r="672" spans="1:8">
      <c r="A672" s="139"/>
      <c r="B672" s="139"/>
      <c r="C672" s="140"/>
      <c r="D672" s="140"/>
      <c r="E672" s="141"/>
      <c r="F672" s="141"/>
      <c r="G672" s="141"/>
      <c r="H672" s="141"/>
    </row>
    <row r="673" spans="1:8">
      <c r="A673" s="139"/>
      <c r="B673" s="139"/>
      <c r="C673" s="140"/>
      <c r="D673" s="140"/>
      <c r="E673" s="141"/>
      <c r="F673" s="141"/>
      <c r="G673" s="141"/>
      <c r="H673" s="141"/>
    </row>
    <row r="674" spans="1:8">
      <c r="A674" s="139"/>
      <c r="B674" s="139"/>
      <c r="C674" s="140"/>
      <c r="D674" s="140"/>
      <c r="E674" s="141"/>
      <c r="F674" s="141"/>
      <c r="G674" s="141"/>
      <c r="H674" s="141"/>
    </row>
    <row r="675" spans="1:8">
      <c r="A675" s="139"/>
      <c r="B675" s="139"/>
      <c r="C675" s="140"/>
      <c r="D675" s="140"/>
      <c r="E675" s="141"/>
      <c r="F675" s="141"/>
      <c r="G675" s="141"/>
      <c r="H675" s="141"/>
    </row>
    <row r="676" spans="1:8">
      <c r="A676" s="139"/>
      <c r="B676" s="139"/>
      <c r="C676" s="140"/>
      <c r="D676" s="140"/>
      <c r="E676" s="141"/>
      <c r="F676" s="141"/>
      <c r="G676" s="141"/>
      <c r="H676" s="141"/>
    </row>
    <row r="677" spans="1:8">
      <c r="A677" s="139"/>
      <c r="B677" s="139"/>
      <c r="C677" s="140"/>
      <c r="D677" s="140"/>
      <c r="E677" s="141"/>
      <c r="F677" s="141"/>
      <c r="G677" s="141"/>
      <c r="H677" s="141"/>
    </row>
    <row r="678" spans="1:8">
      <c r="A678" s="139"/>
      <c r="B678" s="139"/>
      <c r="C678" s="140"/>
      <c r="D678" s="140"/>
      <c r="E678" s="141"/>
      <c r="F678" s="141"/>
      <c r="G678" s="141"/>
      <c r="H678" s="141"/>
    </row>
    <row r="679" spans="1:8">
      <c r="A679" s="139"/>
      <c r="B679" s="139"/>
      <c r="C679" s="140"/>
      <c r="D679" s="140"/>
      <c r="E679" s="141"/>
      <c r="F679" s="141"/>
      <c r="G679" s="141"/>
      <c r="H679" s="141"/>
    </row>
    <row r="680" spans="1:8">
      <c r="A680" s="139"/>
      <c r="B680" s="139"/>
      <c r="C680" s="140"/>
      <c r="D680" s="140"/>
      <c r="E680" s="141"/>
      <c r="F680" s="141"/>
      <c r="G680" s="141"/>
      <c r="H680" s="141"/>
    </row>
    <row r="681" spans="1:8">
      <c r="A681" s="139"/>
      <c r="B681" s="139"/>
      <c r="C681" s="140"/>
      <c r="D681" s="140"/>
      <c r="E681" s="141"/>
      <c r="F681" s="141"/>
      <c r="G681" s="141"/>
      <c r="H681" s="141"/>
    </row>
    <row r="682" spans="1:8">
      <c r="A682" s="139"/>
      <c r="B682" s="139"/>
      <c r="C682" s="140"/>
      <c r="D682" s="140"/>
      <c r="E682" s="141"/>
      <c r="F682" s="141"/>
      <c r="G682" s="141"/>
      <c r="H682" s="141"/>
    </row>
    <row r="683" spans="1:8">
      <c r="A683" s="139"/>
      <c r="B683" s="139"/>
      <c r="C683" s="140"/>
      <c r="D683" s="140"/>
      <c r="E683" s="141"/>
      <c r="F683" s="141"/>
      <c r="G683" s="141"/>
      <c r="H683" s="141"/>
    </row>
    <row r="684" spans="1:8">
      <c r="A684" s="139"/>
      <c r="B684" s="139"/>
      <c r="C684" s="140"/>
      <c r="D684" s="140"/>
      <c r="E684" s="141"/>
      <c r="F684" s="141"/>
      <c r="G684" s="141"/>
      <c r="H684" s="141"/>
    </row>
    <row r="685" spans="1:8">
      <c r="A685" s="139"/>
      <c r="B685" s="139"/>
      <c r="C685" s="140"/>
      <c r="D685" s="140"/>
      <c r="E685" s="141"/>
      <c r="F685" s="141"/>
      <c r="G685" s="141"/>
      <c r="H685" s="141"/>
    </row>
    <row r="686" spans="1:8">
      <c r="A686" s="139"/>
      <c r="B686" s="139"/>
      <c r="C686" s="140"/>
      <c r="D686" s="140"/>
      <c r="E686" s="141"/>
      <c r="F686" s="141"/>
      <c r="G686" s="141"/>
      <c r="H686" s="141"/>
    </row>
    <row r="687" spans="1:8">
      <c r="A687" s="139"/>
      <c r="B687" s="139"/>
      <c r="C687" s="140"/>
      <c r="D687" s="140"/>
      <c r="E687" s="141"/>
      <c r="F687" s="141"/>
      <c r="G687" s="141"/>
      <c r="H687" s="141"/>
    </row>
    <row r="688" spans="1:8">
      <c r="A688" s="139"/>
      <c r="B688" s="139"/>
      <c r="C688" s="140"/>
      <c r="D688" s="140"/>
      <c r="E688" s="141"/>
      <c r="F688" s="141"/>
      <c r="G688" s="141"/>
      <c r="H688" s="141"/>
    </row>
    <row r="689" spans="1:8">
      <c r="A689" s="139"/>
      <c r="B689" s="139"/>
      <c r="C689" s="140"/>
      <c r="D689" s="140"/>
      <c r="E689" s="141"/>
      <c r="F689" s="141"/>
      <c r="G689" s="141"/>
      <c r="H689" s="141"/>
    </row>
    <row r="690" spans="1:8">
      <c r="A690" s="139"/>
      <c r="B690" s="139"/>
      <c r="C690" s="140"/>
      <c r="D690" s="140"/>
      <c r="E690" s="141"/>
      <c r="F690" s="141"/>
      <c r="G690" s="141"/>
      <c r="H690" s="141"/>
    </row>
    <row r="691" spans="1:8">
      <c r="A691" s="139"/>
      <c r="B691" s="139"/>
      <c r="C691" s="140"/>
      <c r="D691" s="140"/>
      <c r="E691" s="141"/>
      <c r="F691" s="141"/>
      <c r="G691" s="141"/>
      <c r="H691" s="141"/>
    </row>
    <row r="692" spans="1:8">
      <c r="A692" s="139"/>
      <c r="B692" s="139"/>
      <c r="C692" s="140"/>
      <c r="D692" s="140"/>
      <c r="E692" s="141"/>
      <c r="F692" s="141"/>
      <c r="G692" s="141"/>
      <c r="H692" s="141"/>
    </row>
    <row r="693" spans="1:8">
      <c r="A693" s="139"/>
      <c r="B693" s="139"/>
      <c r="C693" s="140"/>
      <c r="D693" s="140"/>
      <c r="E693" s="141"/>
      <c r="F693" s="141"/>
      <c r="G693" s="141"/>
      <c r="H693" s="141"/>
    </row>
    <row r="694" spans="1:8">
      <c r="A694" s="139"/>
      <c r="B694" s="139"/>
      <c r="C694" s="140"/>
      <c r="D694" s="140"/>
      <c r="E694" s="141"/>
      <c r="F694" s="141"/>
      <c r="G694" s="141"/>
      <c r="H694" s="141"/>
    </row>
    <row r="695" spans="1:8">
      <c r="A695" s="139"/>
      <c r="B695" s="139"/>
      <c r="C695" s="140"/>
      <c r="D695" s="140"/>
      <c r="E695" s="141"/>
      <c r="F695" s="141"/>
      <c r="G695" s="141"/>
      <c r="H695" s="141"/>
    </row>
    <row r="696" spans="1:8">
      <c r="A696" s="139"/>
      <c r="B696" s="139"/>
      <c r="C696" s="140"/>
      <c r="D696" s="140"/>
      <c r="E696" s="141"/>
      <c r="F696" s="141"/>
      <c r="G696" s="141"/>
      <c r="H696" s="141"/>
    </row>
    <row r="697" spans="1:8">
      <c r="A697" s="139"/>
      <c r="B697" s="139"/>
      <c r="C697" s="140"/>
      <c r="D697" s="140"/>
      <c r="E697" s="141"/>
      <c r="F697" s="141"/>
      <c r="G697" s="141"/>
      <c r="H697" s="141"/>
    </row>
    <row r="698" spans="1:8">
      <c r="A698" s="139"/>
      <c r="B698" s="139"/>
      <c r="C698" s="140"/>
      <c r="D698" s="140"/>
      <c r="E698" s="141"/>
      <c r="F698" s="141"/>
      <c r="G698" s="141"/>
      <c r="H698" s="141"/>
    </row>
    <row r="699" spans="1:8">
      <c r="A699" s="139"/>
      <c r="B699" s="139"/>
      <c r="C699" s="140"/>
      <c r="D699" s="140"/>
      <c r="E699" s="141"/>
      <c r="F699" s="141"/>
      <c r="G699" s="141"/>
      <c r="H699" s="141"/>
    </row>
    <row r="700" spans="1:8">
      <c r="A700" s="139"/>
      <c r="B700" s="139"/>
      <c r="C700" s="140"/>
      <c r="D700" s="140"/>
      <c r="E700" s="141"/>
      <c r="F700" s="141"/>
      <c r="G700" s="141"/>
      <c r="H700" s="141"/>
    </row>
    <row r="701" spans="1:8">
      <c r="A701" s="139"/>
      <c r="B701" s="139"/>
      <c r="C701" s="140"/>
      <c r="D701" s="140"/>
      <c r="E701" s="141"/>
      <c r="F701" s="141"/>
      <c r="G701" s="141"/>
      <c r="H701" s="141"/>
    </row>
    <row r="702" spans="1:8">
      <c r="A702" s="139"/>
      <c r="B702" s="139"/>
      <c r="C702" s="140"/>
      <c r="D702" s="140"/>
      <c r="E702" s="141"/>
      <c r="F702" s="141"/>
      <c r="G702" s="141"/>
      <c r="H702" s="141"/>
    </row>
    <row r="703" spans="1:8">
      <c r="A703" s="139"/>
      <c r="B703" s="139"/>
      <c r="C703" s="140"/>
      <c r="D703" s="140"/>
      <c r="E703" s="141"/>
      <c r="F703" s="141"/>
      <c r="G703" s="141"/>
      <c r="H703" s="141"/>
    </row>
    <row r="704" spans="1:8">
      <c r="A704" s="139"/>
      <c r="B704" s="139"/>
      <c r="C704" s="140"/>
      <c r="D704" s="140"/>
      <c r="E704" s="141"/>
      <c r="F704" s="141"/>
      <c r="G704" s="141"/>
      <c r="H704" s="141"/>
    </row>
    <row r="705" spans="1:8">
      <c r="A705" s="139"/>
      <c r="B705" s="139"/>
      <c r="C705" s="140"/>
      <c r="D705" s="140"/>
      <c r="E705" s="141"/>
      <c r="F705" s="141"/>
      <c r="G705" s="141"/>
      <c r="H705" s="141"/>
    </row>
    <row r="706" spans="1:8">
      <c r="A706" s="139"/>
      <c r="B706" s="139"/>
      <c r="C706" s="140"/>
      <c r="D706" s="140"/>
      <c r="E706" s="141"/>
      <c r="F706" s="141"/>
      <c r="G706" s="141"/>
      <c r="H706" s="141"/>
    </row>
    <row r="707" spans="1:8">
      <c r="A707" s="139"/>
      <c r="B707" s="139"/>
      <c r="C707" s="140"/>
      <c r="D707" s="140"/>
      <c r="E707" s="141"/>
      <c r="F707" s="141"/>
      <c r="G707" s="141"/>
      <c r="H707" s="141"/>
    </row>
    <row r="708" spans="1:8">
      <c r="A708" s="139"/>
      <c r="B708" s="139"/>
      <c r="C708" s="140"/>
      <c r="D708" s="140"/>
      <c r="E708" s="141"/>
      <c r="F708" s="141"/>
      <c r="G708" s="141"/>
      <c r="H708" s="141"/>
    </row>
    <row r="709" spans="1:8">
      <c r="A709" s="139"/>
      <c r="B709" s="139"/>
      <c r="C709" s="140"/>
      <c r="D709" s="140"/>
      <c r="E709" s="141"/>
      <c r="F709" s="141"/>
      <c r="G709" s="141"/>
      <c r="H709" s="141"/>
    </row>
    <row r="710" spans="1:8">
      <c r="A710" s="139"/>
      <c r="B710" s="139"/>
      <c r="C710" s="140"/>
      <c r="D710" s="140"/>
      <c r="E710" s="141"/>
      <c r="F710" s="141"/>
      <c r="G710" s="141"/>
      <c r="H710" s="141"/>
    </row>
    <row r="711" spans="1:8">
      <c r="A711" s="139"/>
      <c r="B711" s="139"/>
      <c r="C711" s="140"/>
      <c r="D711" s="140"/>
      <c r="E711" s="141"/>
      <c r="F711" s="141"/>
      <c r="G711" s="141"/>
      <c r="H711" s="141"/>
    </row>
    <row r="712" spans="1:8">
      <c r="A712" s="139"/>
      <c r="B712" s="139"/>
      <c r="C712" s="140"/>
      <c r="D712" s="140"/>
      <c r="E712" s="141"/>
      <c r="F712" s="141"/>
      <c r="G712" s="141"/>
      <c r="H712" s="141"/>
    </row>
    <row r="713" spans="1:8">
      <c r="A713" s="139"/>
      <c r="B713" s="139"/>
      <c r="C713" s="140"/>
      <c r="D713" s="140"/>
      <c r="E713" s="141"/>
      <c r="F713" s="141"/>
      <c r="G713" s="141"/>
      <c r="H713" s="141"/>
    </row>
    <row r="714" spans="1:8">
      <c r="A714" s="139"/>
      <c r="B714" s="139"/>
      <c r="C714" s="140"/>
      <c r="D714" s="140"/>
      <c r="E714" s="141"/>
      <c r="F714" s="141"/>
      <c r="G714" s="141"/>
      <c r="H714" s="141"/>
    </row>
    <row r="715" spans="1:8">
      <c r="A715" s="139"/>
      <c r="B715" s="139"/>
      <c r="C715" s="140"/>
      <c r="D715" s="140"/>
      <c r="E715" s="141"/>
      <c r="F715" s="141"/>
      <c r="G715" s="141"/>
      <c r="H715" s="141"/>
    </row>
    <row r="716" spans="1:8">
      <c r="A716" s="139"/>
      <c r="B716" s="139"/>
      <c r="C716" s="140"/>
      <c r="D716" s="140"/>
      <c r="E716" s="141"/>
      <c r="F716" s="141"/>
      <c r="G716" s="141"/>
      <c r="H716" s="141"/>
    </row>
    <row r="717" spans="1:8">
      <c r="A717" s="139"/>
      <c r="B717" s="139"/>
      <c r="C717" s="140"/>
      <c r="D717" s="140"/>
      <c r="E717" s="141"/>
      <c r="F717" s="141"/>
      <c r="G717" s="141"/>
      <c r="H717" s="141"/>
    </row>
    <row r="718" spans="1:8">
      <c r="A718" s="139"/>
      <c r="B718" s="139"/>
      <c r="C718" s="140"/>
      <c r="D718" s="140"/>
      <c r="E718" s="141"/>
      <c r="F718" s="141"/>
      <c r="G718" s="141"/>
      <c r="H718" s="141"/>
    </row>
    <row r="719" spans="1:8">
      <c r="A719" s="139"/>
      <c r="B719" s="139"/>
      <c r="C719" s="140"/>
      <c r="D719" s="140"/>
      <c r="E719" s="141"/>
      <c r="F719" s="141"/>
      <c r="G719" s="141"/>
      <c r="H719" s="141"/>
    </row>
    <row r="720" spans="1:8">
      <c r="A720" s="139"/>
      <c r="B720" s="139"/>
      <c r="C720" s="140"/>
      <c r="D720" s="140"/>
      <c r="E720" s="141"/>
      <c r="F720" s="141"/>
      <c r="G720" s="141"/>
      <c r="H720" s="141"/>
    </row>
    <row r="721" spans="1:8">
      <c r="A721" s="139"/>
      <c r="B721" s="139"/>
      <c r="C721" s="140"/>
      <c r="D721" s="140"/>
      <c r="E721" s="141"/>
      <c r="F721" s="141"/>
      <c r="G721" s="141"/>
      <c r="H721" s="141"/>
    </row>
    <row r="722" spans="1:8">
      <c r="A722" s="139"/>
      <c r="B722" s="139"/>
      <c r="C722" s="140"/>
      <c r="D722" s="140"/>
      <c r="E722" s="141"/>
      <c r="F722" s="141"/>
      <c r="G722" s="141"/>
      <c r="H722" s="141"/>
    </row>
    <row r="723" spans="1:8">
      <c r="A723" s="139"/>
      <c r="B723" s="139"/>
      <c r="C723" s="140"/>
      <c r="D723" s="140"/>
      <c r="E723" s="141"/>
      <c r="F723" s="141"/>
      <c r="G723" s="141"/>
      <c r="H723" s="141"/>
    </row>
    <row r="724" spans="1:8">
      <c r="A724" s="139"/>
      <c r="B724" s="139"/>
      <c r="C724" s="140"/>
      <c r="D724" s="140"/>
      <c r="E724" s="141"/>
      <c r="F724" s="141"/>
      <c r="G724" s="141"/>
      <c r="H724" s="141"/>
    </row>
    <row r="725" spans="1:8">
      <c r="A725" s="139"/>
      <c r="B725" s="139"/>
      <c r="C725" s="140"/>
      <c r="D725" s="140"/>
      <c r="E725" s="141"/>
      <c r="F725" s="141"/>
      <c r="G725" s="141"/>
      <c r="H725" s="141"/>
    </row>
    <row r="726" spans="1:8">
      <c r="A726" s="139"/>
      <c r="B726" s="139"/>
      <c r="C726" s="140"/>
      <c r="D726" s="140"/>
      <c r="E726" s="141"/>
      <c r="F726" s="141"/>
      <c r="G726" s="141"/>
      <c r="H726" s="141"/>
    </row>
    <row r="727" spans="1:8">
      <c r="A727" s="139"/>
      <c r="B727" s="139"/>
      <c r="C727" s="140"/>
      <c r="D727" s="140"/>
      <c r="E727" s="141"/>
      <c r="F727" s="141"/>
      <c r="G727" s="141"/>
      <c r="H727" s="141"/>
    </row>
    <row r="728" spans="1:8">
      <c r="A728" s="139"/>
      <c r="B728" s="139"/>
      <c r="C728" s="140"/>
      <c r="D728" s="140"/>
      <c r="E728" s="141"/>
      <c r="F728" s="141"/>
      <c r="G728" s="141"/>
      <c r="H728" s="141"/>
    </row>
    <row r="729" spans="1:8">
      <c r="A729" s="139"/>
      <c r="B729" s="139"/>
      <c r="C729" s="140"/>
      <c r="D729" s="140"/>
      <c r="E729" s="141"/>
      <c r="F729" s="141"/>
      <c r="G729" s="141"/>
      <c r="H729" s="141"/>
    </row>
    <row r="730" spans="1:8">
      <c r="A730" s="139"/>
      <c r="B730" s="139"/>
      <c r="C730" s="140"/>
      <c r="D730" s="140"/>
      <c r="E730" s="141"/>
      <c r="F730" s="141"/>
      <c r="G730" s="141"/>
      <c r="H730" s="141"/>
    </row>
    <row r="731" spans="1:8">
      <c r="A731" s="139"/>
      <c r="B731" s="139"/>
      <c r="C731" s="140"/>
      <c r="D731" s="140"/>
      <c r="E731" s="141"/>
      <c r="F731" s="141"/>
      <c r="G731" s="141"/>
      <c r="H731" s="141"/>
    </row>
    <row r="732" spans="1:8">
      <c r="A732" s="139"/>
      <c r="B732" s="139"/>
      <c r="C732" s="140"/>
      <c r="D732" s="140"/>
      <c r="E732" s="141"/>
      <c r="F732" s="141"/>
      <c r="G732" s="141"/>
      <c r="H732" s="141"/>
    </row>
    <row r="733" spans="1:8">
      <c r="A733" s="139"/>
      <c r="B733" s="139"/>
      <c r="C733" s="140"/>
      <c r="D733" s="140"/>
      <c r="E733" s="141"/>
      <c r="F733" s="141"/>
      <c r="G733" s="141"/>
      <c r="H733" s="141"/>
    </row>
    <row r="734" spans="1:8">
      <c r="A734" s="139"/>
      <c r="B734" s="139"/>
      <c r="C734" s="140"/>
      <c r="D734" s="140"/>
      <c r="E734" s="141"/>
      <c r="F734" s="141"/>
      <c r="G734" s="141"/>
      <c r="H734" s="141"/>
    </row>
    <row r="735" spans="1:8">
      <c r="A735" s="139"/>
      <c r="B735" s="139"/>
      <c r="C735" s="140"/>
      <c r="D735" s="140"/>
      <c r="E735" s="141"/>
      <c r="F735" s="141"/>
      <c r="G735" s="141"/>
      <c r="H735" s="141"/>
    </row>
    <row r="736" spans="1:8">
      <c r="A736" s="139"/>
      <c r="B736" s="139"/>
      <c r="C736" s="140"/>
      <c r="D736" s="140"/>
      <c r="E736" s="141"/>
      <c r="F736" s="141"/>
      <c r="G736" s="141"/>
      <c r="H736" s="141"/>
    </row>
    <row r="737" spans="1:8">
      <c r="A737" s="139"/>
      <c r="B737" s="139"/>
      <c r="C737" s="140"/>
      <c r="D737" s="140"/>
      <c r="E737" s="141"/>
      <c r="F737" s="141"/>
      <c r="G737" s="141"/>
      <c r="H737" s="141"/>
    </row>
    <row r="738" spans="1:8">
      <c r="A738" s="139"/>
      <c r="B738" s="139"/>
      <c r="C738" s="140"/>
      <c r="D738" s="140"/>
      <c r="E738" s="141"/>
      <c r="F738" s="141"/>
      <c r="G738" s="141"/>
      <c r="H738" s="141"/>
    </row>
    <row r="739" spans="1:8">
      <c r="A739" s="139"/>
      <c r="B739" s="139"/>
      <c r="C739" s="140"/>
      <c r="D739" s="140"/>
      <c r="E739" s="141"/>
      <c r="F739" s="141"/>
      <c r="G739" s="141"/>
      <c r="H739" s="141"/>
    </row>
    <row r="740" spans="1:8">
      <c r="A740" s="139"/>
      <c r="B740" s="139"/>
      <c r="C740" s="140"/>
      <c r="D740" s="140"/>
      <c r="E740" s="141"/>
      <c r="F740" s="141"/>
      <c r="G740" s="141"/>
      <c r="H740" s="141"/>
    </row>
    <row r="741" spans="1:8">
      <c r="A741" s="139"/>
      <c r="B741" s="139"/>
      <c r="C741" s="140"/>
      <c r="D741" s="140"/>
      <c r="E741" s="141"/>
      <c r="F741" s="141"/>
      <c r="G741" s="141"/>
      <c r="H741" s="141"/>
    </row>
    <row r="742" spans="1:8">
      <c r="A742" s="139"/>
      <c r="B742" s="139"/>
      <c r="C742" s="140"/>
      <c r="D742" s="140"/>
      <c r="E742" s="141"/>
      <c r="F742" s="141"/>
      <c r="G742" s="141"/>
      <c r="H742" s="141"/>
    </row>
    <row r="743" spans="1:8">
      <c r="A743" s="139"/>
      <c r="B743" s="139"/>
      <c r="C743" s="140"/>
      <c r="D743" s="140"/>
      <c r="E743" s="141"/>
      <c r="F743" s="141"/>
      <c r="G743" s="141"/>
      <c r="H743" s="141"/>
    </row>
    <row r="744" spans="1:8">
      <c r="A744" s="139"/>
      <c r="B744" s="139"/>
      <c r="C744" s="140"/>
      <c r="D744" s="140"/>
      <c r="E744" s="141"/>
      <c r="F744" s="141"/>
      <c r="G744" s="141"/>
      <c r="H744" s="141"/>
    </row>
    <row r="745" spans="1:8">
      <c r="A745" s="139"/>
      <c r="B745" s="139"/>
      <c r="C745" s="140"/>
      <c r="D745" s="140"/>
      <c r="E745" s="141"/>
      <c r="F745" s="141"/>
      <c r="G745" s="141"/>
      <c r="H745" s="141"/>
    </row>
    <row r="746" spans="1:8">
      <c r="A746" s="139"/>
      <c r="B746" s="139"/>
      <c r="C746" s="140"/>
      <c r="D746" s="140"/>
      <c r="E746" s="141"/>
      <c r="F746" s="141"/>
      <c r="G746" s="141"/>
      <c r="H746" s="141"/>
    </row>
    <row r="747" spans="1:8">
      <c r="A747" s="139"/>
      <c r="B747" s="139"/>
      <c r="C747" s="140"/>
      <c r="D747" s="140"/>
      <c r="E747" s="141"/>
      <c r="F747" s="141"/>
      <c r="G747" s="141"/>
      <c r="H747" s="141"/>
    </row>
    <row r="748" spans="1:8">
      <c r="A748" s="139"/>
      <c r="B748" s="139"/>
      <c r="C748" s="140"/>
      <c r="D748" s="140"/>
      <c r="E748" s="141"/>
      <c r="F748" s="141"/>
      <c r="G748" s="141"/>
      <c r="H748" s="141"/>
    </row>
    <row r="749" spans="1:8">
      <c r="A749" s="139"/>
      <c r="B749" s="139"/>
      <c r="C749" s="140"/>
      <c r="D749" s="140"/>
      <c r="E749" s="141"/>
      <c r="F749" s="141"/>
      <c r="G749" s="141"/>
      <c r="H749" s="141"/>
    </row>
    <row r="750" spans="1:8">
      <c r="A750" s="139"/>
      <c r="B750" s="139"/>
      <c r="C750" s="140"/>
      <c r="D750" s="140"/>
      <c r="E750" s="141"/>
      <c r="F750" s="141"/>
      <c r="G750" s="141"/>
      <c r="H750" s="141"/>
    </row>
    <row r="751" spans="1:8">
      <c r="A751" s="139"/>
      <c r="B751" s="139"/>
      <c r="C751" s="140"/>
      <c r="D751" s="140"/>
      <c r="E751" s="141"/>
      <c r="F751" s="141"/>
      <c r="G751" s="141"/>
      <c r="H751" s="141"/>
    </row>
    <row r="752" spans="1:8">
      <c r="A752" s="139"/>
      <c r="B752" s="139"/>
      <c r="C752" s="140"/>
      <c r="D752" s="140"/>
      <c r="E752" s="141"/>
      <c r="F752" s="141"/>
      <c r="G752" s="141"/>
      <c r="H752" s="141"/>
    </row>
    <row r="753" spans="1:8">
      <c r="A753" s="139"/>
      <c r="B753" s="139"/>
      <c r="C753" s="140"/>
      <c r="D753" s="140"/>
      <c r="E753" s="141"/>
      <c r="F753" s="141"/>
      <c r="G753" s="141"/>
      <c r="H753" s="141"/>
    </row>
    <row r="754" spans="1:8">
      <c r="A754" s="139"/>
      <c r="B754" s="139"/>
      <c r="C754" s="140"/>
      <c r="D754" s="140"/>
      <c r="E754" s="141"/>
      <c r="F754" s="141"/>
      <c r="G754" s="141"/>
      <c r="H754" s="141"/>
    </row>
    <row r="755" spans="1:8">
      <c r="A755" s="139"/>
      <c r="B755" s="139"/>
      <c r="C755" s="140"/>
      <c r="D755" s="140"/>
      <c r="E755" s="141"/>
      <c r="F755" s="141"/>
      <c r="G755" s="141"/>
      <c r="H755" s="141"/>
    </row>
    <row r="756" spans="1:8">
      <c r="A756" s="139"/>
      <c r="B756" s="139"/>
      <c r="C756" s="140"/>
      <c r="D756" s="140"/>
      <c r="E756" s="141"/>
      <c r="F756" s="141"/>
      <c r="G756" s="141"/>
      <c r="H756" s="141"/>
    </row>
    <row r="757" spans="1:8">
      <c r="A757" s="139"/>
      <c r="B757" s="139"/>
      <c r="C757" s="140"/>
      <c r="D757" s="140"/>
      <c r="E757" s="141"/>
      <c r="F757" s="141"/>
      <c r="G757" s="141"/>
      <c r="H757" s="141"/>
    </row>
    <row r="758" spans="1:8">
      <c r="A758" s="139"/>
      <c r="B758" s="139"/>
      <c r="C758" s="140"/>
      <c r="D758" s="140"/>
      <c r="E758" s="141"/>
      <c r="F758" s="141"/>
      <c r="G758" s="141"/>
      <c r="H758" s="141"/>
    </row>
    <row r="759" spans="1:8">
      <c r="A759" s="139"/>
      <c r="B759" s="139"/>
      <c r="C759" s="140"/>
      <c r="D759" s="140"/>
      <c r="E759" s="141"/>
      <c r="F759" s="141"/>
      <c r="G759" s="141"/>
      <c r="H759" s="141"/>
    </row>
    <row r="760" spans="1:8">
      <c r="A760" s="139"/>
      <c r="B760" s="139"/>
      <c r="C760" s="140"/>
      <c r="D760" s="140"/>
      <c r="E760" s="141"/>
      <c r="F760" s="141"/>
      <c r="G760" s="141"/>
      <c r="H760" s="141"/>
    </row>
    <row r="761" spans="1:8">
      <c r="A761" s="139"/>
      <c r="B761" s="139"/>
      <c r="C761" s="140"/>
      <c r="D761" s="140"/>
      <c r="E761" s="141"/>
      <c r="F761" s="141"/>
      <c r="G761" s="141"/>
      <c r="H761" s="141"/>
    </row>
    <row r="762" spans="1:8">
      <c r="A762" s="139"/>
      <c r="B762" s="139"/>
      <c r="C762" s="140"/>
      <c r="D762" s="140"/>
      <c r="E762" s="141"/>
      <c r="F762" s="141"/>
      <c r="G762" s="141"/>
      <c r="H762" s="141"/>
    </row>
    <row r="763" spans="1:8">
      <c r="A763" s="139"/>
      <c r="B763" s="139"/>
      <c r="C763" s="140"/>
      <c r="D763" s="140"/>
      <c r="E763" s="141"/>
      <c r="F763" s="141"/>
      <c r="G763" s="141"/>
      <c r="H763" s="141"/>
    </row>
    <row r="764" spans="1:8">
      <c r="A764" s="139"/>
      <c r="B764" s="139"/>
      <c r="C764" s="140"/>
      <c r="D764" s="140"/>
      <c r="E764" s="141"/>
      <c r="F764" s="141"/>
      <c r="G764" s="141"/>
      <c r="H764" s="141"/>
    </row>
    <row r="765" spans="1:8">
      <c r="A765" s="139"/>
      <c r="B765" s="139"/>
      <c r="C765" s="140"/>
      <c r="D765" s="140"/>
      <c r="E765" s="141"/>
      <c r="F765" s="141"/>
      <c r="G765" s="141"/>
      <c r="H765" s="141"/>
    </row>
    <row r="766" spans="1:8">
      <c r="A766" s="139"/>
      <c r="B766" s="139"/>
      <c r="C766" s="140"/>
      <c r="D766" s="140"/>
      <c r="E766" s="141"/>
      <c r="F766" s="141"/>
      <c r="G766" s="141"/>
      <c r="H766" s="141"/>
    </row>
    <row r="767" spans="1:8">
      <c r="A767" s="139"/>
      <c r="B767" s="139"/>
      <c r="C767" s="140"/>
      <c r="D767" s="140"/>
      <c r="E767" s="141"/>
      <c r="F767" s="141"/>
      <c r="G767" s="141"/>
      <c r="H767" s="141"/>
    </row>
    <row r="768" spans="1:8">
      <c r="A768" s="139"/>
      <c r="B768" s="139"/>
      <c r="C768" s="140"/>
      <c r="D768" s="140"/>
      <c r="E768" s="141"/>
      <c r="F768" s="141"/>
      <c r="G768" s="141"/>
      <c r="H768" s="141"/>
    </row>
    <row r="769" spans="1:8">
      <c r="A769" s="139"/>
      <c r="B769" s="139"/>
      <c r="C769" s="140"/>
      <c r="D769" s="140"/>
      <c r="E769" s="141"/>
      <c r="F769" s="141"/>
      <c r="G769" s="141"/>
      <c r="H769" s="141"/>
    </row>
    <row r="770" spans="1:8">
      <c r="A770" s="139"/>
      <c r="B770" s="139"/>
      <c r="C770" s="140"/>
      <c r="D770" s="140"/>
      <c r="E770" s="141"/>
      <c r="F770" s="141"/>
      <c r="G770" s="141"/>
      <c r="H770" s="141"/>
    </row>
    <row r="771" spans="1:8">
      <c r="A771" s="139"/>
      <c r="B771" s="139"/>
      <c r="C771" s="140"/>
      <c r="D771" s="140"/>
      <c r="E771" s="141"/>
      <c r="F771" s="141"/>
      <c r="G771" s="141"/>
      <c r="H771" s="141"/>
    </row>
    <row r="772" spans="1:8">
      <c r="A772" s="139"/>
      <c r="B772" s="139"/>
      <c r="C772" s="140"/>
      <c r="D772" s="140"/>
      <c r="E772" s="141"/>
      <c r="F772" s="141"/>
      <c r="G772" s="141"/>
      <c r="H772" s="141"/>
    </row>
    <row r="773" spans="1:8">
      <c r="A773" s="139"/>
      <c r="B773" s="139"/>
      <c r="C773" s="140"/>
      <c r="D773" s="140"/>
      <c r="E773" s="141"/>
      <c r="F773" s="141"/>
      <c r="G773" s="141"/>
      <c r="H773" s="141"/>
    </row>
    <row r="774" spans="1:8">
      <c r="A774" s="139"/>
      <c r="B774" s="139"/>
      <c r="C774" s="140"/>
      <c r="D774" s="140"/>
      <c r="E774" s="141"/>
      <c r="F774" s="141"/>
      <c r="G774" s="141"/>
      <c r="H774" s="141"/>
    </row>
    <row r="775" spans="1:8">
      <c r="A775" s="139"/>
      <c r="B775" s="139"/>
      <c r="C775" s="140"/>
      <c r="D775" s="140"/>
      <c r="E775" s="141"/>
      <c r="F775" s="141"/>
      <c r="G775" s="141"/>
      <c r="H775" s="141"/>
    </row>
    <row r="776" spans="1:8">
      <c r="A776" s="139"/>
      <c r="B776" s="139"/>
      <c r="C776" s="140"/>
      <c r="D776" s="140"/>
      <c r="E776" s="141"/>
      <c r="F776" s="141"/>
      <c r="G776" s="141"/>
      <c r="H776" s="141"/>
    </row>
    <row r="777" spans="1:8">
      <c r="A777" s="139"/>
      <c r="B777" s="139"/>
      <c r="C777" s="140"/>
      <c r="D777" s="140"/>
      <c r="E777" s="141"/>
      <c r="F777" s="141"/>
      <c r="G777" s="141"/>
      <c r="H777" s="141"/>
    </row>
    <row r="778" spans="1:8">
      <c r="A778" s="139"/>
      <c r="B778" s="139"/>
      <c r="C778" s="140"/>
      <c r="D778" s="140"/>
      <c r="E778" s="141"/>
      <c r="F778" s="141"/>
      <c r="G778" s="141"/>
      <c r="H778" s="141"/>
    </row>
    <row r="779" spans="1:8">
      <c r="A779" s="139"/>
      <c r="B779" s="139"/>
      <c r="C779" s="140"/>
      <c r="D779" s="140"/>
      <c r="E779" s="141"/>
      <c r="F779" s="141"/>
      <c r="G779" s="141"/>
      <c r="H779" s="141"/>
    </row>
    <row r="780" spans="1:8">
      <c r="A780" s="139"/>
      <c r="B780" s="139"/>
      <c r="C780" s="140"/>
      <c r="D780" s="140"/>
      <c r="E780" s="141"/>
      <c r="F780" s="141"/>
      <c r="G780" s="141"/>
      <c r="H780" s="141"/>
    </row>
    <row r="781" spans="1:8">
      <c r="A781" s="139"/>
      <c r="B781" s="139"/>
      <c r="C781" s="140"/>
      <c r="D781" s="140"/>
      <c r="E781" s="141"/>
      <c r="F781" s="141"/>
      <c r="G781" s="141"/>
      <c r="H781" s="141"/>
    </row>
    <row r="782" spans="1:8">
      <c r="A782" s="139"/>
      <c r="B782" s="139"/>
      <c r="C782" s="140"/>
      <c r="D782" s="140"/>
      <c r="E782" s="141"/>
      <c r="F782" s="141"/>
      <c r="G782" s="141"/>
      <c r="H782" s="141"/>
    </row>
    <row r="783" spans="1:8">
      <c r="A783" s="139"/>
      <c r="B783" s="139"/>
      <c r="C783" s="140"/>
      <c r="D783" s="140"/>
      <c r="E783" s="141"/>
      <c r="F783" s="141"/>
      <c r="G783" s="141"/>
      <c r="H783" s="141"/>
    </row>
    <row r="784" spans="1:8">
      <c r="A784" s="139"/>
      <c r="B784" s="139"/>
      <c r="C784" s="140"/>
      <c r="D784" s="140"/>
      <c r="E784" s="141"/>
      <c r="F784" s="141"/>
      <c r="G784" s="141"/>
      <c r="H784" s="141"/>
    </row>
    <row r="785" spans="1:8">
      <c r="A785" s="139"/>
      <c r="B785" s="139"/>
      <c r="C785" s="140"/>
      <c r="D785" s="140"/>
      <c r="E785" s="141"/>
      <c r="F785" s="141"/>
      <c r="G785" s="141"/>
      <c r="H785" s="141"/>
    </row>
    <row r="786" spans="1:8">
      <c r="A786" s="139"/>
      <c r="B786" s="139"/>
      <c r="C786" s="140"/>
      <c r="D786" s="140"/>
      <c r="E786" s="141"/>
      <c r="F786" s="141"/>
      <c r="G786" s="141"/>
      <c r="H786" s="141"/>
    </row>
    <row r="787" spans="1:8">
      <c r="A787" s="139"/>
      <c r="B787" s="139"/>
      <c r="C787" s="140"/>
      <c r="D787" s="140"/>
      <c r="E787" s="141"/>
      <c r="F787" s="141"/>
      <c r="G787" s="141"/>
      <c r="H787" s="141"/>
    </row>
    <row r="788" spans="1:8">
      <c r="A788" s="139"/>
      <c r="B788" s="139"/>
      <c r="C788" s="140"/>
      <c r="D788" s="140"/>
      <c r="E788" s="141"/>
      <c r="F788" s="141"/>
      <c r="G788" s="141"/>
      <c r="H788" s="141"/>
    </row>
    <row r="789" spans="1:8">
      <c r="A789" s="139"/>
      <c r="B789" s="139"/>
      <c r="C789" s="140"/>
      <c r="D789" s="140"/>
      <c r="E789" s="141"/>
      <c r="F789" s="141"/>
      <c r="G789" s="141"/>
      <c r="H789" s="141"/>
    </row>
    <row r="790" spans="1:8">
      <c r="A790" s="139"/>
      <c r="B790" s="139"/>
      <c r="C790" s="140"/>
      <c r="D790" s="140"/>
      <c r="E790" s="141"/>
      <c r="F790" s="141"/>
      <c r="G790" s="141"/>
      <c r="H790" s="141"/>
    </row>
    <row r="791" spans="1:8">
      <c r="A791" s="139"/>
      <c r="B791" s="139"/>
      <c r="C791" s="140"/>
      <c r="D791" s="140"/>
      <c r="E791" s="141"/>
      <c r="F791" s="141"/>
      <c r="G791" s="141"/>
      <c r="H791" s="141"/>
    </row>
    <row r="792" spans="1:8">
      <c r="A792" s="139"/>
      <c r="B792" s="139"/>
      <c r="C792" s="140"/>
      <c r="D792" s="140"/>
      <c r="E792" s="141"/>
      <c r="F792" s="141"/>
      <c r="G792" s="141"/>
      <c r="H792" s="141"/>
    </row>
    <row r="793" spans="1:8">
      <c r="A793" s="139"/>
      <c r="B793" s="139"/>
      <c r="C793" s="140"/>
      <c r="D793" s="140"/>
      <c r="E793" s="141"/>
      <c r="F793" s="141"/>
      <c r="G793" s="141"/>
      <c r="H793" s="141"/>
    </row>
    <row r="794" spans="1:8">
      <c r="A794" s="139"/>
      <c r="B794" s="139"/>
      <c r="C794" s="140"/>
      <c r="D794" s="140"/>
      <c r="E794" s="141"/>
      <c r="F794" s="141"/>
      <c r="G794" s="141"/>
      <c r="H794" s="141"/>
    </row>
    <row r="795" spans="1:8">
      <c r="A795" s="139"/>
      <c r="B795" s="139"/>
      <c r="C795" s="140"/>
      <c r="D795" s="140"/>
      <c r="E795" s="141"/>
      <c r="F795" s="141"/>
      <c r="G795" s="141"/>
      <c r="H795" s="141"/>
    </row>
    <row r="796" spans="1:8">
      <c r="A796" s="139"/>
      <c r="B796" s="139"/>
      <c r="C796" s="140"/>
      <c r="D796" s="140"/>
      <c r="E796" s="141"/>
      <c r="F796" s="141"/>
      <c r="G796" s="141"/>
      <c r="H796" s="141"/>
    </row>
    <row r="797" spans="1:8">
      <c r="A797" s="139"/>
      <c r="B797" s="139"/>
      <c r="C797" s="140"/>
      <c r="D797" s="140"/>
      <c r="E797" s="141"/>
      <c r="F797" s="141"/>
      <c r="G797" s="141"/>
      <c r="H797" s="141"/>
    </row>
    <row r="798" spans="1:8">
      <c r="A798" s="139"/>
      <c r="B798" s="139"/>
      <c r="C798" s="140"/>
      <c r="D798" s="140"/>
      <c r="E798" s="141"/>
      <c r="F798" s="141"/>
      <c r="G798" s="141"/>
      <c r="H798" s="141"/>
    </row>
    <row r="799" spans="1:8">
      <c r="A799" s="139"/>
      <c r="B799" s="139"/>
      <c r="C799" s="140"/>
      <c r="D799" s="140"/>
      <c r="E799" s="141"/>
      <c r="F799" s="141"/>
      <c r="G799" s="141"/>
      <c r="H799" s="141"/>
    </row>
    <row r="800" spans="1:8">
      <c r="A800" s="139"/>
      <c r="B800" s="139"/>
      <c r="C800" s="140"/>
      <c r="D800" s="140"/>
      <c r="E800" s="141"/>
      <c r="F800" s="141"/>
      <c r="G800" s="141"/>
      <c r="H800" s="141"/>
    </row>
    <row r="801" spans="1:8">
      <c r="A801" s="139"/>
      <c r="B801" s="139"/>
      <c r="C801" s="140"/>
      <c r="D801" s="140"/>
      <c r="E801" s="141"/>
      <c r="F801" s="141"/>
      <c r="G801" s="141"/>
      <c r="H801" s="141"/>
    </row>
    <row r="802" spans="1:8">
      <c r="A802" s="139"/>
      <c r="B802" s="139"/>
      <c r="C802" s="140"/>
      <c r="D802" s="140"/>
      <c r="E802" s="141"/>
      <c r="F802" s="141"/>
      <c r="G802" s="141"/>
      <c r="H802" s="141"/>
    </row>
    <row r="803" spans="1:8">
      <c r="A803" s="139"/>
      <c r="B803" s="139"/>
      <c r="C803" s="140"/>
      <c r="D803" s="140"/>
      <c r="E803" s="141"/>
      <c r="F803" s="141"/>
      <c r="G803" s="141"/>
      <c r="H803" s="141"/>
    </row>
    <row r="804" spans="1:8">
      <c r="A804" s="139"/>
      <c r="B804" s="139"/>
      <c r="C804" s="140"/>
      <c r="D804" s="140"/>
      <c r="E804" s="141"/>
      <c r="F804" s="141"/>
      <c r="G804" s="141"/>
      <c r="H804" s="141"/>
    </row>
    <row r="805" spans="1:8">
      <c r="A805" s="139"/>
      <c r="B805" s="139"/>
      <c r="C805" s="140"/>
      <c r="D805" s="140"/>
      <c r="E805" s="141"/>
      <c r="F805" s="141"/>
      <c r="G805" s="141"/>
      <c r="H805" s="141"/>
    </row>
    <row r="806" spans="1:8">
      <c r="A806" s="139"/>
      <c r="B806" s="139"/>
      <c r="C806" s="140"/>
      <c r="D806" s="140"/>
      <c r="E806" s="141"/>
      <c r="F806" s="141"/>
      <c r="G806" s="141"/>
      <c r="H806" s="141"/>
    </row>
    <row r="807" spans="1:8">
      <c r="A807" s="139"/>
      <c r="B807" s="139"/>
      <c r="C807" s="140"/>
      <c r="D807" s="140"/>
      <c r="E807" s="141"/>
      <c r="F807" s="141"/>
      <c r="G807" s="141"/>
      <c r="H807" s="141"/>
    </row>
    <row r="808" spans="1:8">
      <c r="A808" s="139"/>
      <c r="B808" s="139"/>
      <c r="C808" s="140"/>
      <c r="D808" s="140"/>
      <c r="E808" s="141"/>
      <c r="F808" s="141"/>
      <c r="G808" s="141"/>
      <c r="H808" s="141"/>
    </row>
    <row r="809" spans="1:8">
      <c r="A809" s="139"/>
      <c r="B809" s="139"/>
      <c r="C809" s="140"/>
      <c r="D809" s="140"/>
      <c r="E809" s="141"/>
      <c r="F809" s="141"/>
      <c r="G809" s="141"/>
      <c r="H809" s="141"/>
    </row>
    <row r="810" spans="1:8">
      <c r="A810" s="139"/>
      <c r="B810" s="139"/>
      <c r="C810" s="140"/>
      <c r="D810" s="140"/>
      <c r="E810" s="141"/>
      <c r="F810" s="141"/>
      <c r="G810" s="141"/>
      <c r="H810" s="141"/>
    </row>
    <row r="811" spans="1:8">
      <c r="A811" s="139"/>
      <c r="B811" s="139"/>
      <c r="C811" s="140"/>
      <c r="D811" s="140"/>
      <c r="E811" s="141"/>
      <c r="F811" s="141"/>
      <c r="G811" s="141"/>
      <c r="H811" s="141"/>
    </row>
    <row r="812" spans="1:8">
      <c r="A812" s="139"/>
      <c r="B812" s="139"/>
      <c r="C812" s="140"/>
      <c r="D812" s="140"/>
      <c r="E812" s="141"/>
      <c r="F812" s="141"/>
      <c r="G812" s="141"/>
      <c r="H812" s="141"/>
    </row>
    <row r="813" spans="1:8">
      <c r="A813" s="139"/>
      <c r="B813" s="139"/>
      <c r="C813" s="140"/>
      <c r="D813" s="140"/>
      <c r="E813" s="141"/>
      <c r="F813" s="141"/>
      <c r="G813" s="141"/>
      <c r="H813" s="141"/>
    </row>
    <row r="814" spans="1:8">
      <c r="A814" s="139"/>
      <c r="B814" s="139"/>
      <c r="C814" s="140"/>
      <c r="D814" s="140"/>
      <c r="E814" s="141"/>
      <c r="F814" s="141"/>
      <c r="G814" s="141"/>
      <c r="H814" s="141"/>
    </row>
    <row r="815" spans="1:8">
      <c r="A815" s="139"/>
      <c r="B815" s="139"/>
      <c r="C815" s="140"/>
      <c r="D815" s="140"/>
      <c r="E815" s="141"/>
      <c r="F815" s="141"/>
      <c r="G815" s="141"/>
      <c r="H815" s="141"/>
    </row>
    <row r="816" spans="1:8">
      <c r="A816" s="139"/>
      <c r="B816" s="139"/>
      <c r="C816" s="140"/>
      <c r="D816" s="140"/>
      <c r="E816" s="141"/>
      <c r="F816" s="141"/>
      <c r="G816" s="141"/>
      <c r="H816" s="141"/>
    </row>
    <row r="817" spans="1:8">
      <c r="A817" s="139"/>
      <c r="B817" s="139"/>
      <c r="C817" s="140"/>
      <c r="D817" s="140"/>
      <c r="E817" s="141"/>
      <c r="F817" s="141"/>
      <c r="G817" s="141"/>
      <c r="H817" s="141"/>
    </row>
    <row r="818" spans="1:8">
      <c r="A818" s="139"/>
      <c r="B818" s="139"/>
      <c r="C818" s="140"/>
      <c r="D818" s="140"/>
      <c r="E818" s="141"/>
      <c r="F818" s="141"/>
      <c r="G818" s="141"/>
      <c r="H818" s="141"/>
    </row>
    <row r="819" spans="1:8">
      <c r="A819" s="139"/>
      <c r="B819" s="139"/>
      <c r="C819" s="140"/>
      <c r="D819" s="140"/>
      <c r="E819" s="141"/>
      <c r="F819" s="141"/>
      <c r="G819" s="141"/>
      <c r="H819" s="141"/>
    </row>
    <row r="820" spans="1:8">
      <c r="A820" s="139"/>
      <c r="B820" s="139"/>
      <c r="C820" s="140"/>
      <c r="D820" s="140"/>
      <c r="E820" s="141"/>
      <c r="F820" s="141"/>
      <c r="G820" s="141"/>
      <c r="H820" s="141"/>
    </row>
    <row r="821" spans="1:8">
      <c r="A821" s="139"/>
      <c r="B821" s="139"/>
      <c r="C821" s="140"/>
      <c r="D821" s="140"/>
      <c r="E821" s="141"/>
      <c r="F821" s="141"/>
      <c r="G821" s="141"/>
      <c r="H821" s="141"/>
    </row>
    <row r="822" spans="1:8">
      <c r="A822" s="139"/>
      <c r="B822" s="139"/>
      <c r="C822" s="140"/>
      <c r="D822" s="140"/>
      <c r="E822" s="141"/>
      <c r="F822" s="141"/>
      <c r="G822" s="141"/>
      <c r="H822" s="141"/>
    </row>
    <row r="823" spans="1:8">
      <c r="A823" s="139"/>
      <c r="B823" s="139"/>
      <c r="C823" s="140"/>
      <c r="D823" s="140"/>
      <c r="E823" s="141"/>
      <c r="F823" s="141"/>
      <c r="G823" s="141"/>
      <c r="H823" s="141"/>
    </row>
    <row r="824" spans="1:8">
      <c r="A824" s="139"/>
      <c r="B824" s="139"/>
      <c r="C824" s="140"/>
      <c r="D824" s="140"/>
      <c r="E824" s="141"/>
      <c r="F824" s="141"/>
      <c r="G824" s="141"/>
      <c r="H824" s="141"/>
    </row>
    <row r="825" spans="1:8">
      <c r="A825" s="139"/>
      <c r="B825" s="139"/>
      <c r="C825" s="140"/>
      <c r="D825" s="140"/>
      <c r="E825" s="141"/>
      <c r="F825" s="141"/>
      <c r="G825" s="141"/>
      <c r="H825" s="141"/>
    </row>
    <row r="826" spans="1:8">
      <c r="A826" s="139"/>
      <c r="B826" s="139"/>
      <c r="C826" s="140"/>
      <c r="D826" s="140"/>
      <c r="E826" s="141"/>
      <c r="F826" s="141"/>
      <c r="G826" s="141"/>
      <c r="H826" s="141"/>
    </row>
    <row r="827" spans="1:8">
      <c r="A827" s="139"/>
      <c r="B827" s="139"/>
      <c r="C827" s="140"/>
      <c r="D827" s="140"/>
      <c r="E827" s="141"/>
      <c r="F827" s="141"/>
      <c r="G827" s="141"/>
      <c r="H827" s="141"/>
    </row>
    <row r="828" spans="1:8">
      <c r="A828" s="139"/>
      <c r="B828" s="139"/>
      <c r="C828" s="140"/>
      <c r="D828" s="140"/>
      <c r="E828" s="141"/>
      <c r="F828" s="141"/>
      <c r="G828" s="141"/>
      <c r="H828" s="141"/>
    </row>
    <row r="829" spans="1:8">
      <c r="A829" s="139"/>
      <c r="B829" s="139"/>
      <c r="C829" s="140"/>
      <c r="D829" s="140"/>
      <c r="E829" s="141"/>
      <c r="F829" s="141"/>
      <c r="G829" s="141"/>
      <c r="H829" s="141"/>
    </row>
    <row r="830" spans="1:8">
      <c r="A830" s="139"/>
      <c r="B830" s="139"/>
      <c r="C830" s="140"/>
      <c r="D830" s="140"/>
      <c r="E830" s="141"/>
      <c r="F830" s="141"/>
      <c r="G830" s="141"/>
      <c r="H830" s="141"/>
    </row>
    <row r="831" spans="1:8">
      <c r="A831" s="139"/>
      <c r="B831" s="139"/>
      <c r="C831" s="140"/>
      <c r="D831" s="140"/>
      <c r="E831" s="141"/>
      <c r="F831" s="141"/>
      <c r="G831" s="141"/>
      <c r="H831" s="141"/>
    </row>
    <row r="832" spans="1:8">
      <c r="A832" s="139"/>
      <c r="B832" s="139"/>
      <c r="C832" s="140"/>
      <c r="D832" s="140"/>
      <c r="E832" s="141"/>
      <c r="F832" s="141"/>
      <c r="G832" s="141"/>
      <c r="H832" s="141"/>
    </row>
    <row r="833" spans="1:8">
      <c r="A833" s="139"/>
      <c r="B833" s="139"/>
      <c r="C833" s="140"/>
      <c r="D833" s="140"/>
      <c r="E833" s="141"/>
      <c r="F833" s="141"/>
      <c r="G833" s="141"/>
      <c r="H833" s="141"/>
    </row>
    <row r="834" spans="1:8">
      <c r="A834" s="139"/>
      <c r="B834" s="139"/>
      <c r="C834" s="140"/>
      <c r="D834" s="140"/>
      <c r="E834" s="141"/>
      <c r="F834" s="141"/>
      <c r="G834" s="141"/>
      <c r="H834" s="141"/>
    </row>
    <row r="835" spans="1:8">
      <c r="A835" s="139"/>
      <c r="B835" s="139"/>
      <c r="C835" s="140"/>
      <c r="D835" s="140"/>
      <c r="E835" s="141"/>
      <c r="F835" s="141"/>
      <c r="G835" s="141"/>
      <c r="H835" s="141"/>
    </row>
    <row r="836" spans="1:8">
      <c r="A836" s="139"/>
      <c r="B836" s="139"/>
      <c r="C836" s="140"/>
      <c r="D836" s="140"/>
      <c r="E836" s="141"/>
      <c r="F836" s="141"/>
      <c r="G836" s="141"/>
      <c r="H836" s="141"/>
    </row>
    <row r="837" spans="1:8">
      <c r="A837" s="139"/>
      <c r="B837" s="139"/>
      <c r="C837" s="140"/>
      <c r="D837" s="140"/>
      <c r="E837" s="141"/>
      <c r="F837" s="141"/>
      <c r="G837" s="141"/>
      <c r="H837" s="141"/>
    </row>
    <row r="838" spans="1:8">
      <c r="A838" s="139"/>
      <c r="B838" s="139"/>
      <c r="C838" s="140"/>
      <c r="D838" s="140"/>
      <c r="E838" s="141"/>
      <c r="F838" s="141"/>
      <c r="G838" s="141"/>
      <c r="H838" s="141"/>
    </row>
    <row r="839" spans="1:8">
      <c r="A839" s="139"/>
      <c r="B839" s="139"/>
      <c r="C839" s="140"/>
      <c r="D839" s="140"/>
      <c r="E839" s="141"/>
      <c r="F839" s="141"/>
      <c r="G839" s="141"/>
      <c r="H839" s="141"/>
    </row>
    <row r="840" spans="1:8">
      <c r="A840" s="139"/>
      <c r="B840" s="139"/>
      <c r="C840" s="140"/>
      <c r="D840" s="140"/>
      <c r="E840" s="141"/>
      <c r="F840" s="141"/>
      <c r="G840" s="141"/>
      <c r="H840" s="141"/>
    </row>
    <row r="841" spans="1:8">
      <c r="A841" s="139"/>
      <c r="B841" s="139"/>
      <c r="C841" s="140"/>
      <c r="D841" s="140"/>
      <c r="E841" s="141"/>
      <c r="F841" s="141"/>
      <c r="G841" s="141"/>
      <c r="H841" s="141"/>
    </row>
    <row r="842" spans="1:8">
      <c r="A842" s="139"/>
      <c r="B842" s="139"/>
      <c r="C842" s="140"/>
      <c r="D842" s="140"/>
      <c r="E842" s="141"/>
      <c r="F842" s="141"/>
      <c r="G842" s="141"/>
      <c r="H842" s="141"/>
    </row>
    <row r="843" spans="1:8">
      <c r="A843" s="139"/>
      <c r="B843" s="139"/>
      <c r="C843" s="140"/>
      <c r="D843" s="140"/>
      <c r="E843" s="141"/>
      <c r="F843" s="141"/>
      <c r="G843" s="141"/>
      <c r="H843" s="141"/>
    </row>
    <row r="844" spans="1:8">
      <c r="A844" s="139"/>
      <c r="B844" s="139"/>
      <c r="C844" s="140"/>
      <c r="D844" s="140"/>
      <c r="E844" s="141"/>
      <c r="F844" s="141"/>
      <c r="G844" s="141"/>
      <c r="H844" s="141"/>
    </row>
    <row r="845" spans="1:8">
      <c r="A845" s="139"/>
      <c r="B845" s="139"/>
      <c r="C845" s="140"/>
      <c r="D845" s="140"/>
      <c r="E845" s="141"/>
      <c r="F845" s="141"/>
      <c r="G845" s="141"/>
      <c r="H845" s="141"/>
    </row>
    <row r="846" spans="1:8">
      <c r="A846" s="139"/>
      <c r="B846" s="139"/>
      <c r="C846" s="140"/>
      <c r="D846" s="140"/>
      <c r="E846" s="141"/>
      <c r="F846" s="141"/>
      <c r="G846" s="141"/>
      <c r="H846" s="141"/>
    </row>
    <row r="847" spans="1:8">
      <c r="A847" s="139"/>
      <c r="B847" s="139"/>
      <c r="C847" s="140"/>
      <c r="D847" s="140"/>
      <c r="E847" s="141"/>
      <c r="F847" s="141"/>
      <c r="G847" s="141"/>
      <c r="H847" s="141"/>
    </row>
    <row r="848" spans="1:8">
      <c r="A848" s="139"/>
      <c r="B848" s="139"/>
      <c r="C848" s="140"/>
      <c r="D848" s="140"/>
      <c r="E848" s="141"/>
      <c r="F848" s="141"/>
      <c r="G848" s="141"/>
      <c r="H848" s="141"/>
    </row>
    <row r="849" spans="1:8">
      <c r="A849" s="139"/>
      <c r="B849" s="139"/>
      <c r="C849" s="140"/>
      <c r="D849" s="140"/>
      <c r="E849" s="141"/>
      <c r="F849" s="141"/>
      <c r="G849" s="141"/>
      <c r="H849" s="141"/>
    </row>
    <row r="850" spans="1:8">
      <c r="A850" s="139"/>
      <c r="B850" s="139"/>
      <c r="C850" s="140"/>
      <c r="D850" s="140"/>
      <c r="E850" s="141"/>
      <c r="F850" s="141"/>
      <c r="G850" s="141"/>
      <c r="H850" s="141"/>
    </row>
    <row r="851" spans="1:8">
      <c r="A851" s="139"/>
      <c r="B851" s="139"/>
      <c r="C851" s="140"/>
      <c r="D851" s="140"/>
      <c r="E851" s="141"/>
      <c r="F851" s="141"/>
      <c r="G851" s="141"/>
      <c r="H851" s="141"/>
    </row>
    <row r="852" spans="1:8">
      <c r="A852" s="139"/>
      <c r="B852" s="139"/>
      <c r="C852" s="140"/>
      <c r="D852" s="140"/>
      <c r="E852" s="141"/>
      <c r="F852" s="141"/>
      <c r="G852" s="141"/>
      <c r="H852" s="141"/>
    </row>
    <row r="853" spans="1:8">
      <c r="A853" s="139"/>
      <c r="B853" s="139"/>
      <c r="C853" s="140"/>
      <c r="D853" s="140"/>
      <c r="E853" s="141"/>
      <c r="F853" s="141"/>
      <c r="G853" s="141"/>
      <c r="H853" s="141"/>
    </row>
    <row r="854" spans="1:8">
      <c r="A854" s="139"/>
      <c r="B854" s="139"/>
      <c r="C854" s="140"/>
      <c r="D854" s="140"/>
      <c r="E854" s="141"/>
      <c r="F854" s="141"/>
      <c r="G854" s="141"/>
      <c r="H854" s="141"/>
    </row>
    <row r="855" spans="1:8">
      <c r="A855" s="139"/>
      <c r="B855" s="139"/>
      <c r="C855" s="140"/>
      <c r="D855" s="140"/>
      <c r="E855" s="141"/>
      <c r="F855" s="141"/>
      <c r="G855" s="141"/>
      <c r="H855" s="141"/>
    </row>
    <row r="856" spans="1:8">
      <c r="A856" s="139"/>
      <c r="B856" s="139"/>
      <c r="C856" s="140"/>
      <c r="D856" s="140"/>
      <c r="E856" s="141"/>
      <c r="F856" s="141"/>
      <c r="G856" s="141"/>
      <c r="H856" s="141"/>
    </row>
    <row r="857" spans="1:8">
      <c r="A857" s="139"/>
      <c r="B857" s="139"/>
      <c r="C857" s="140"/>
      <c r="D857" s="140"/>
      <c r="E857" s="141"/>
      <c r="F857" s="141"/>
      <c r="G857" s="141"/>
      <c r="H857" s="141"/>
    </row>
    <row r="858" spans="1:8">
      <c r="A858" s="139"/>
      <c r="B858" s="139"/>
      <c r="C858" s="140"/>
      <c r="D858" s="140"/>
      <c r="E858" s="141"/>
      <c r="F858" s="141"/>
      <c r="G858" s="141"/>
      <c r="H858" s="141"/>
    </row>
    <row r="859" spans="1:8">
      <c r="A859" s="139"/>
      <c r="B859" s="139"/>
      <c r="C859" s="140"/>
      <c r="D859" s="140"/>
      <c r="E859" s="141"/>
      <c r="F859" s="141"/>
      <c r="G859" s="141"/>
      <c r="H859" s="141"/>
    </row>
    <row r="860" spans="1:8">
      <c r="A860" s="139"/>
      <c r="B860" s="139"/>
      <c r="C860" s="140"/>
      <c r="D860" s="140"/>
      <c r="E860" s="141"/>
      <c r="F860" s="141"/>
      <c r="G860" s="141"/>
      <c r="H860" s="141"/>
    </row>
    <row r="861" spans="1:8">
      <c r="A861" s="139"/>
      <c r="B861" s="139"/>
      <c r="C861" s="140"/>
      <c r="D861" s="140"/>
      <c r="E861" s="141"/>
      <c r="F861" s="141"/>
      <c r="G861" s="141"/>
      <c r="H861" s="141"/>
    </row>
    <row r="862" spans="1:8">
      <c r="A862" s="139"/>
      <c r="B862" s="139"/>
      <c r="C862" s="140"/>
      <c r="D862" s="140"/>
      <c r="E862" s="141"/>
      <c r="F862" s="141"/>
      <c r="G862" s="141"/>
      <c r="H862" s="141"/>
    </row>
    <row r="863" spans="1:8">
      <c r="A863" s="139"/>
      <c r="B863" s="139"/>
      <c r="C863" s="140"/>
      <c r="D863" s="140"/>
      <c r="E863" s="141"/>
      <c r="F863" s="141"/>
      <c r="G863" s="141"/>
      <c r="H863" s="141"/>
    </row>
    <row r="864" spans="1:8">
      <c r="A864" s="139"/>
      <c r="B864" s="139"/>
      <c r="C864" s="140"/>
      <c r="D864" s="140"/>
      <c r="E864" s="141"/>
      <c r="F864" s="141"/>
      <c r="G864" s="141"/>
      <c r="H864" s="141"/>
    </row>
    <row r="865" spans="1:8">
      <c r="A865" s="139"/>
      <c r="B865" s="139"/>
      <c r="C865" s="140"/>
      <c r="D865" s="140"/>
      <c r="E865" s="141"/>
      <c r="F865" s="141"/>
      <c r="G865" s="141"/>
      <c r="H865" s="141"/>
    </row>
    <row r="866" spans="1:8">
      <c r="A866" s="139"/>
      <c r="B866" s="139"/>
      <c r="C866" s="140"/>
      <c r="D866" s="140"/>
      <c r="E866" s="141"/>
      <c r="F866" s="141"/>
      <c r="G866" s="141"/>
      <c r="H866" s="141"/>
    </row>
    <row r="867" spans="1:8">
      <c r="A867" s="139"/>
      <c r="B867" s="139"/>
      <c r="C867" s="140"/>
      <c r="D867" s="140"/>
      <c r="E867" s="141"/>
      <c r="F867" s="141"/>
      <c r="G867" s="141"/>
      <c r="H867" s="141"/>
    </row>
    <row r="868" spans="1:8">
      <c r="A868" s="139"/>
      <c r="B868" s="139"/>
      <c r="C868" s="140"/>
      <c r="D868" s="140"/>
      <c r="E868" s="141"/>
      <c r="F868" s="141"/>
      <c r="G868" s="141"/>
      <c r="H868" s="141"/>
    </row>
    <row r="869" spans="1:8">
      <c r="A869" s="139"/>
      <c r="B869" s="139"/>
      <c r="C869" s="140"/>
      <c r="D869" s="140"/>
      <c r="E869" s="141"/>
      <c r="F869" s="141"/>
      <c r="G869" s="141"/>
      <c r="H869" s="141"/>
    </row>
    <row r="870" spans="1:8">
      <c r="A870" s="139"/>
      <c r="B870" s="139"/>
      <c r="C870" s="140"/>
      <c r="D870" s="140"/>
      <c r="E870" s="141"/>
      <c r="F870" s="141"/>
      <c r="G870" s="141"/>
      <c r="H870" s="141"/>
    </row>
    <row r="871" spans="1:8">
      <c r="A871" s="139"/>
      <c r="B871" s="139"/>
      <c r="C871" s="140"/>
      <c r="D871" s="140"/>
      <c r="E871" s="141"/>
      <c r="F871" s="141"/>
      <c r="G871" s="141"/>
      <c r="H871" s="141"/>
    </row>
    <row r="872" spans="1:8">
      <c r="A872" s="139"/>
      <c r="B872" s="139"/>
      <c r="C872" s="140"/>
      <c r="D872" s="140"/>
      <c r="E872" s="141"/>
      <c r="F872" s="141"/>
      <c r="G872" s="141"/>
      <c r="H872" s="141"/>
    </row>
    <row r="873" spans="1:8">
      <c r="A873" s="139"/>
      <c r="B873" s="139"/>
      <c r="C873" s="140"/>
      <c r="D873" s="140"/>
      <c r="E873" s="141"/>
      <c r="F873" s="141"/>
      <c r="G873" s="141"/>
      <c r="H873" s="141"/>
    </row>
    <row r="874" spans="1:8">
      <c r="A874" s="139"/>
      <c r="B874" s="139"/>
      <c r="C874" s="140"/>
      <c r="D874" s="140"/>
      <c r="E874" s="141"/>
      <c r="F874" s="141"/>
      <c r="G874" s="141"/>
      <c r="H874" s="141"/>
    </row>
    <row r="875" spans="1:8">
      <c r="A875" s="139"/>
      <c r="B875" s="139"/>
      <c r="C875" s="140"/>
      <c r="D875" s="140"/>
      <c r="E875" s="141"/>
      <c r="F875" s="141"/>
      <c r="G875" s="141"/>
      <c r="H875" s="141"/>
    </row>
    <row r="876" spans="1:8">
      <c r="A876" s="139"/>
      <c r="B876" s="139"/>
      <c r="C876" s="140"/>
      <c r="D876" s="140"/>
      <c r="E876" s="141"/>
      <c r="F876" s="141"/>
      <c r="G876" s="141"/>
      <c r="H876" s="141"/>
    </row>
    <row r="877" spans="1:8">
      <c r="A877" s="139"/>
      <c r="B877" s="139"/>
      <c r="C877" s="140"/>
      <c r="D877" s="140"/>
      <c r="E877" s="141"/>
      <c r="F877" s="141"/>
      <c r="G877" s="141"/>
      <c r="H877" s="141"/>
    </row>
    <row r="878" spans="1:8">
      <c r="A878" s="139"/>
      <c r="B878" s="139"/>
      <c r="C878" s="140"/>
      <c r="D878" s="140"/>
      <c r="E878" s="141"/>
      <c r="F878" s="141"/>
      <c r="G878" s="141"/>
      <c r="H878" s="141"/>
    </row>
    <row r="879" spans="1:8">
      <c r="A879" s="139"/>
      <c r="B879" s="139"/>
      <c r="C879" s="140"/>
      <c r="D879" s="140"/>
      <c r="E879" s="141"/>
      <c r="F879" s="141"/>
      <c r="G879" s="141"/>
      <c r="H879" s="141"/>
    </row>
    <row r="880" spans="1:8">
      <c r="A880" s="139"/>
      <c r="B880" s="139"/>
      <c r="C880" s="140"/>
      <c r="D880" s="140"/>
      <c r="E880" s="141"/>
      <c r="F880" s="141"/>
      <c r="G880" s="141"/>
      <c r="H880" s="141"/>
    </row>
    <row r="881" spans="1:8">
      <c r="A881" s="139"/>
      <c r="B881" s="139"/>
      <c r="C881" s="140"/>
      <c r="D881" s="140"/>
      <c r="E881" s="141"/>
      <c r="F881" s="141"/>
      <c r="G881" s="141"/>
      <c r="H881" s="141"/>
    </row>
    <row r="882" spans="1:8">
      <c r="A882" s="139"/>
      <c r="B882" s="139"/>
      <c r="C882" s="140"/>
      <c r="D882" s="140"/>
      <c r="E882" s="141"/>
      <c r="F882" s="141"/>
      <c r="G882" s="141"/>
      <c r="H882" s="141"/>
    </row>
    <row r="883" spans="1:8">
      <c r="A883" s="139"/>
      <c r="B883" s="139"/>
      <c r="C883" s="140"/>
      <c r="D883" s="140"/>
      <c r="E883" s="141"/>
      <c r="F883" s="141"/>
      <c r="G883" s="141"/>
      <c r="H883" s="141"/>
    </row>
    <row r="884" spans="1:8">
      <c r="A884" s="139"/>
      <c r="B884" s="139"/>
      <c r="C884" s="140"/>
      <c r="D884" s="140"/>
      <c r="E884" s="141"/>
      <c r="F884" s="141"/>
      <c r="G884" s="141"/>
      <c r="H884" s="141"/>
    </row>
    <row r="885" spans="1:8">
      <c r="A885" s="139"/>
      <c r="B885" s="139"/>
      <c r="C885" s="140"/>
      <c r="D885" s="140"/>
      <c r="E885" s="141"/>
      <c r="F885" s="141"/>
      <c r="G885" s="141"/>
      <c r="H885" s="141"/>
    </row>
    <row r="886" spans="1:8">
      <c r="A886" s="139"/>
      <c r="B886" s="139"/>
      <c r="C886" s="140"/>
      <c r="D886" s="140"/>
      <c r="E886" s="141"/>
      <c r="F886" s="141"/>
      <c r="G886" s="141"/>
      <c r="H886" s="141"/>
    </row>
    <row r="887" spans="1:8">
      <c r="A887" s="139"/>
      <c r="B887" s="139"/>
      <c r="C887" s="140"/>
      <c r="D887" s="140"/>
      <c r="E887" s="141"/>
      <c r="F887" s="141"/>
      <c r="G887" s="141"/>
      <c r="H887" s="141"/>
    </row>
    <row r="888" spans="1:8">
      <c r="A888" s="139"/>
      <c r="B888" s="139"/>
      <c r="C888" s="140"/>
      <c r="D888" s="140"/>
      <c r="E888" s="141"/>
      <c r="F888" s="141"/>
      <c r="G888" s="141"/>
      <c r="H888" s="141"/>
    </row>
    <row r="889" spans="1:8">
      <c r="A889" s="139"/>
      <c r="B889" s="139"/>
      <c r="C889" s="140"/>
      <c r="D889" s="140"/>
      <c r="E889" s="141"/>
      <c r="F889" s="141"/>
      <c r="G889" s="141"/>
      <c r="H889" s="141"/>
    </row>
    <row r="890" spans="1:8">
      <c r="A890" s="139"/>
      <c r="B890" s="139"/>
      <c r="C890" s="140"/>
      <c r="D890" s="140"/>
      <c r="E890" s="141"/>
      <c r="F890" s="141"/>
      <c r="G890" s="141"/>
      <c r="H890" s="141"/>
    </row>
    <row r="891" spans="1:8">
      <c r="A891" s="139"/>
      <c r="B891" s="139"/>
      <c r="C891" s="140"/>
      <c r="D891" s="140"/>
      <c r="E891" s="141"/>
      <c r="F891" s="141"/>
      <c r="G891" s="141"/>
      <c r="H891" s="141"/>
    </row>
    <row r="892" spans="1:8">
      <c r="A892" s="139"/>
      <c r="B892" s="139"/>
      <c r="C892" s="140"/>
      <c r="D892" s="140"/>
      <c r="E892" s="141"/>
      <c r="F892" s="141"/>
      <c r="G892" s="141"/>
      <c r="H892" s="141"/>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rgb="FFFFFF00"/>
    <pageSetUpPr fitToPage="1"/>
  </sheetPr>
  <dimension ref="A1:O221"/>
  <sheetViews>
    <sheetView view="pageBreakPreview" zoomScale="90" zoomScaleNormal="55" topLeftCell="A70" workbookViewId="0">
      <selection activeCell="E27" sqref="E27"/>
    </sheetView>
  </sheetViews>
  <sheetFormatPr defaultColWidth="9" defaultRowHeight="13.8"/>
  <cols>
    <col min="1" max="1" width="7.62962962962963" style="1" customWidth="1"/>
    <col min="2" max="2" width="39.5" style="27" customWidth="1"/>
    <col min="3" max="4" width="30.75" style="32" customWidth="1"/>
    <col min="5" max="8" width="13.8796296296296" style="112" customWidth="1"/>
    <col min="9" max="10" width="12" style="31" customWidth="1"/>
    <col min="11" max="11" width="9" style="31"/>
    <col min="12" max="13" width="30.6296296296296" style="31" customWidth="1"/>
    <col min="14" max="14" width="49.6296296296296" style="31" customWidth="1"/>
    <col min="15" max="15" width="43" style="31" customWidth="1"/>
    <col min="16" max="16384" width="9" style="31"/>
  </cols>
  <sheetData>
    <row r="1" s="3" customFormat="1" spans="1:15">
      <c r="A1" s="6" t="s">
        <v>2207</v>
      </c>
      <c r="B1" s="6"/>
      <c r="C1" s="7"/>
      <c r="D1" s="7"/>
      <c r="E1" s="6"/>
      <c r="F1" s="6"/>
      <c r="G1" s="6"/>
      <c r="H1" s="6"/>
    </row>
    <row r="2" s="3" customFormat="1" spans="1:15">
      <c r="A2" s="8" t="s">
        <v>1329</v>
      </c>
      <c r="B2" s="8"/>
      <c r="C2" s="8"/>
      <c r="D2" s="8"/>
      <c r="E2" s="8"/>
      <c r="F2" s="8"/>
      <c r="G2" s="8"/>
      <c r="H2" s="8"/>
    </row>
    <row r="3" spans="1:15">
      <c r="A3" s="12" t="s">
        <v>5</v>
      </c>
      <c r="B3" s="9" t="s">
        <v>6</v>
      </c>
      <c r="C3" s="12" t="s">
        <v>2208</v>
      </c>
      <c r="D3" s="12"/>
      <c r="E3" s="10" t="s">
        <v>8</v>
      </c>
      <c r="F3" s="10"/>
      <c r="G3" s="10"/>
      <c r="H3" s="10"/>
    </row>
    <row r="4" s="6" customFormat="1" spans="1:15">
      <c r="A4" s="13"/>
      <c r="B4" s="11"/>
      <c r="C4" s="12" t="s">
        <v>9</v>
      </c>
      <c r="D4" s="12" t="s">
        <v>10</v>
      </c>
      <c r="E4" s="113" t="s">
        <v>11</v>
      </c>
      <c r="F4" s="113" t="s">
        <v>12</v>
      </c>
      <c r="G4" s="113" t="s">
        <v>13</v>
      </c>
      <c r="H4" s="113" t="s">
        <v>14</v>
      </c>
      <c r="L4" s="103"/>
      <c r="M4" s="103"/>
      <c r="N4" s="103"/>
    </row>
    <row r="5" spans="1:15">
      <c r="A5" s="39" t="s">
        <v>15</v>
      </c>
      <c r="B5" s="11"/>
      <c r="C5" s="15"/>
      <c r="D5" s="15"/>
      <c r="E5" s="19" t="s">
        <v>16</v>
      </c>
      <c r="F5" s="19" t="s">
        <v>16</v>
      </c>
      <c r="G5" s="19" t="s">
        <v>16</v>
      </c>
      <c r="H5" s="19" t="s">
        <v>16</v>
      </c>
      <c r="J5" s="31" t="s">
        <v>2209</v>
      </c>
      <c r="O5" s="32"/>
    </row>
    <row r="6" ht="41.4" spans="1:15">
      <c r="A6" s="46">
        <v>1</v>
      </c>
      <c r="B6" s="18" t="s">
        <v>2210</v>
      </c>
      <c r="C6" s="18" t="s">
        <v>2211</v>
      </c>
      <c r="D6" s="18" t="s">
        <v>2212</v>
      </c>
      <c r="E6" s="114">
        <v>410000</v>
      </c>
      <c r="F6" s="114">
        <v>175000</v>
      </c>
      <c r="G6" s="114">
        <v>100000</v>
      </c>
      <c r="H6" s="114">
        <v>45000</v>
      </c>
      <c r="I6" s="115"/>
      <c r="J6" s="31" t="s">
        <v>2213</v>
      </c>
      <c r="K6" s="65" t="e">
        <f>MAX(#REF!)</f>
        <v>#REF!</v>
      </c>
      <c r="O6" s="32"/>
    </row>
    <row r="7" ht="27.6" spans="1:15">
      <c r="A7" s="46"/>
      <c r="B7" s="18" t="s">
        <v>2210</v>
      </c>
      <c r="C7" s="18" t="s">
        <v>2214</v>
      </c>
      <c r="D7" s="18" t="s">
        <v>2215</v>
      </c>
      <c r="E7" s="114">
        <v>340000</v>
      </c>
      <c r="F7" s="114">
        <v>140000</v>
      </c>
      <c r="G7" s="114">
        <v>80000</v>
      </c>
      <c r="H7" s="114">
        <v>35000</v>
      </c>
      <c r="I7" s="115"/>
      <c r="J7" s="31" t="s">
        <v>2216</v>
      </c>
      <c r="K7" s="65" t="e">
        <f>MIN(#REF!)</f>
        <v>#REF!</v>
      </c>
      <c r="O7" s="32"/>
    </row>
    <row r="8" ht="27.6" spans="1:15">
      <c r="A8" s="46">
        <v>2</v>
      </c>
      <c r="B8" s="18" t="s">
        <v>877</v>
      </c>
      <c r="C8" s="18" t="s">
        <v>2217</v>
      </c>
      <c r="D8" s="18" t="s">
        <v>2218</v>
      </c>
      <c r="E8" s="114">
        <v>700000</v>
      </c>
      <c r="F8" s="114">
        <v>320000</v>
      </c>
      <c r="G8" s="114">
        <v>190000</v>
      </c>
      <c r="H8" s="114">
        <v>100000</v>
      </c>
      <c r="I8" s="115"/>
      <c r="J8" s="31" t="s">
        <v>2209</v>
      </c>
      <c r="O8" s="32"/>
    </row>
    <row r="9" ht="27.6" spans="1:15">
      <c r="A9" s="46"/>
      <c r="B9" s="18" t="s">
        <v>877</v>
      </c>
      <c r="C9" s="18" t="s">
        <v>2218</v>
      </c>
      <c r="D9" s="18" t="s">
        <v>2219</v>
      </c>
      <c r="E9" s="23">
        <v>310000</v>
      </c>
      <c r="F9" s="23">
        <v>135000</v>
      </c>
      <c r="G9" s="23">
        <v>70000</v>
      </c>
      <c r="H9" s="23">
        <v>30000</v>
      </c>
      <c r="I9" s="115"/>
      <c r="O9" s="32"/>
    </row>
    <row r="10" ht="27.6" spans="1:15">
      <c r="A10" s="46">
        <v>3</v>
      </c>
      <c r="B10" s="18" t="s">
        <v>2220</v>
      </c>
      <c r="C10" s="18" t="s">
        <v>2221</v>
      </c>
      <c r="D10" s="18" t="s">
        <v>2222</v>
      </c>
      <c r="E10" s="23">
        <v>340000</v>
      </c>
      <c r="F10" s="23">
        <v>140000</v>
      </c>
      <c r="G10" s="23">
        <v>80000</v>
      </c>
      <c r="H10" s="23">
        <v>35000</v>
      </c>
      <c r="I10" s="115"/>
      <c r="J10" s="31" t="s">
        <v>2209</v>
      </c>
      <c r="O10" s="32"/>
    </row>
    <row r="11" ht="41.4" spans="1:15">
      <c r="A11" s="46">
        <v>4</v>
      </c>
      <c r="B11" s="18" t="s">
        <v>2223</v>
      </c>
      <c r="C11" s="18" t="s">
        <v>2224</v>
      </c>
      <c r="D11" s="18" t="s">
        <v>2225</v>
      </c>
      <c r="E11" s="23">
        <v>340000</v>
      </c>
      <c r="F11" s="23">
        <v>140000</v>
      </c>
      <c r="G11" s="23">
        <v>80000</v>
      </c>
      <c r="H11" s="23">
        <v>35000</v>
      </c>
      <c r="I11" s="115"/>
      <c r="J11" s="31" t="s">
        <v>2209</v>
      </c>
      <c r="O11" s="32"/>
    </row>
    <row r="12" ht="27.6" spans="1:15">
      <c r="A12" s="46">
        <v>5</v>
      </c>
      <c r="B12" s="18" t="s">
        <v>2226</v>
      </c>
      <c r="C12" s="18" t="s">
        <v>2227</v>
      </c>
      <c r="D12" s="18" t="s">
        <v>2228</v>
      </c>
      <c r="E12" s="23">
        <v>480000</v>
      </c>
      <c r="F12" s="23">
        <v>205000</v>
      </c>
      <c r="G12" s="23">
        <v>115000</v>
      </c>
      <c r="H12" s="23">
        <v>55000</v>
      </c>
      <c r="I12" s="115"/>
      <c r="J12" s="31" t="s">
        <v>2209</v>
      </c>
      <c r="O12" s="32"/>
    </row>
    <row r="13" ht="27.6" spans="1:15">
      <c r="A13" s="46"/>
      <c r="B13" s="18" t="s">
        <v>2226</v>
      </c>
      <c r="C13" s="18" t="s">
        <v>2228</v>
      </c>
      <c r="D13" s="18" t="s">
        <v>2229</v>
      </c>
      <c r="E13" s="23">
        <v>700000</v>
      </c>
      <c r="F13" s="23">
        <v>320000</v>
      </c>
      <c r="G13" s="23">
        <v>190000</v>
      </c>
      <c r="H13" s="23">
        <v>1000000</v>
      </c>
      <c r="I13" s="115"/>
      <c r="J13" s="31" t="s">
        <v>2209</v>
      </c>
      <c r="L13" s="32"/>
      <c r="O13" s="32"/>
    </row>
    <row r="14" ht="27.6" spans="1:15">
      <c r="A14" s="46"/>
      <c r="B14" s="18" t="s">
        <v>2226</v>
      </c>
      <c r="C14" s="18" t="s">
        <v>2229</v>
      </c>
      <c r="D14" s="18" t="s">
        <v>2230</v>
      </c>
      <c r="E14" s="23">
        <v>480000</v>
      </c>
      <c r="F14" s="23">
        <v>205000</v>
      </c>
      <c r="G14" s="23">
        <v>115000</v>
      </c>
      <c r="H14" s="23">
        <v>55000</v>
      </c>
      <c r="I14" s="115"/>
      <c r="J14" s="31" t="s">
        <v>2209</v>
      </c>
      <c r="L14" s="32"/>
      <c r="O14" s="32"/>
    </row>
    <row r="15" ht="27.6" spans="1:15">
      <c r="A15" s="46">
        <v>6</v>
      </c>
      <c r="B15" s="18" t="s">
        <v>2231</v>
      </c>
      <c r="C15" s="18" t="s">
        <v>2232</v>
      </c>
      <c r="D15" s="18" t="s">
        <v>2233</v>
      </c>
      <c r="E15" s="23">
        <v>950000</v>
      </c>
      <c r="F15" s="23">
        <v>430000</v>
      </c>
      <c r="G15" s="23">
        <v>260000</v>
      </c>
      <c r="H15" s="23">
        <v>145000</v>
      </c>
      <c r="I15" s="115"/>
      <c r="J15" s="31" t="s">
        <v>2209</v>
      </c>
      <c r="L15" s="32"/>
      <c r="O15" s="32"/>
    </row>
    <row r="16" ht="41.4" spans="1:15">
      <c r="A16" s="46">
        <v>7</v>
      </c>
      <c r="B16" s="18" t="s">
        <v>2234</v>
      </c>
      <c r="C16" s="18" t="s">
        <v>2235</v>
      </c>
      <c r="D16" s="18" t="s">
        <v>2236</v>
      </c>
      <c r="E16" s="23">
        <v>700000</v>
      </c>
      <c r="F16" s="23">
        <v>320000</v>
      </c>
      <c r="G16" s="23">
        <v>190000</v>
      </c>
      <c r="H16" s="23">
        <v>100000</v>
      </c>
      <c r="I16" s="115"/>
      <c r="J16" s="31" t="s">
        <v>2209</v>
      </c>
    </row>
    <row r="17" ht="55.2" spans="1:10">
      <c r="A17" s="46"/>
      <c r="B17" s="18" t="s">
        <v>2234</v>
      </c>
      <c r="C17" s="18" t="s">
        <v>2237</v>
      </c>
      <c r="D17" s="18" t="s">
        <v>2238</v>
      </c>
      <c r="E17" s="23">
        <v>650000</v>
      </c>
      <c r="F17" s="23">
        <v>295000</v>
      </c>
      <c r="G17" s="23">
        <v>170000</v>
      </c>
      <c r="H17" s="23">
        <v>95000</v>
      </c>
      <c r="I17" s="115"/>
      <c r="J17" s="31" t="s">
        <v>2209</v>
      </c>
    </row>
    <row r="18" ht="41.4" spans="1:10">
      <c r="A18" s="46">
        <v>8</v>
      </c>
      <c r="B18" s="18" t="s">
        <v>2239</v>
      </c>
      <c r="C18" s="18" t="s">
        <v>2240</v>
      </c>
      <c r="D18" s="18" t="s">
        <v>2241</v>
      </c>
      <c r="E18" s="23">
        <v>340000</v>
      </c>
      <c r="F18" s="23">
        <v>140000</v>
      </c>
      <c r="G18" s="23">
        <v>80000</v>
      </c>
      <c r="H18" s="23">
        <v>35000</v>
      </c>
      <c r="I18" s="115"/>
      <c r="J18" s="31" t="s">
        <v>2209</v>
      </c>
    </row>
    <row r="19" spans="1:10">
      <c r="A19" s="46">
        <v>9</v>
      </c>
      <c r="B19" s="18" t="s">
        <v>2242</v>
      </c>
      <c r="C19" s="57"/>
      <c r="D19" s="57"/>
      <c r="E19" s="23">
        <v>310000</v>
      </c>
      <c r="F19" s="23">
        <v>135000</v>
      </c>
      <c r="G19" s="23">
        <v>70000</v>
      </c>
      <c r="H19" s="23">
        <v>30000</v>
      </c>
      <c r="I19" s="115"/>
      <c r="J19" s="31" t="s">
        <v>2209</v>
      </c>
    </row>
    <row r="20" spans="1:10">
      <c r="A20" s="46">
        <v>10</v>
      </c>
      <c r="B20" s="18" t="s">
        <v>2243</v>
      </c>
      <c r="C20" s="57"/>
      <c r="D20" s="57"/>
      <c r="E20" s="23">
        <v>340000</v>
      </c>
      <c r="F20" s="23">
        <v>140000</v>
      </c>
      <c r="G20" s="23">
        <v>80000</v>
      </c>
      <c r="H20" s="23">
        <v>35000</v>
      </c>
      <c r="I20" s="115"/>
      <c r="J20" s="31" t="s">
        <v>2209</v>
      </c>
    </row>
    <row r="21" spans="1:10">
      <c r="A21" s="46">
        <v>11</v>
      </c>
      <c r="B21" s="18" t="s">
        <v>2244</v>
      </c>
      <c r="C21" s="57"/>
      <c r="D21" s="57"/>
      <c r="E21" s="23">
        <v>310000</v>
      </c>
      <c r="F21" s="23">
        <v>135000</v>
      </c>
      <c r="G21" s="23">
        <v>70000</v>
      </c>
      <c r="H21" s="23">
        <v>30000</v>
      </c>
      <c r="I21" s="115"/>
      <c r="J21" s="31" t="s">
        <v>2209</v>
      </c>
    </row>
    <row r="22" ht="41.4" spans="1:10">
      <c r="A22" s="46">
        <v>12</v>
      </c>
      <c r="B22" s="18" t="s">
        <v>2245</v>
      </c>
      <c r="C22" s="18"/>
      <c r="D22" s="18"/>
      <c r="E22" s="23">
        <v>230000</v>
      </c>
      <c r="F22" s="23">
        <v>85000</v>
      </c>
      <c r="G22" s="23">
        <v>75000</v>
      </c>
      <c r="H22" s="23">
        <v>45000</v>
      </c>
      <c r="I22" s="115"/>
      <c r="J22" s="31" t="s">
        <v>2209</v>
      </c>
    </row>
    <row r="23" ht="27.6" spans="1:10">
      <c r="A23" s="46">
        <v>13</v>
      </c>
      <c r="B23" s="18" t="s">
        <v>2246</v>
      </c>
      <c r="C23" s="18" t="s">
        <v>2247</v>
      </c>
      <c r="D23" s="18" t="s">
        <v>2248</v>
      </c>
      <c r="E23" s="23">
        <v>950000</v>
      </c>
      <c r="F23" s="23">
        <v>430000</v>
      </c>
      <c r="G23" s="23">
        <v>260000</v>
      </c>
      <c r="H23" s="23">
        <v>145000</v>
      </c>
      <c r="I23" s="115"/>
      <c r="J23" s="31" t="s">
        <v>2209</v>
      </c>
    </row>
    <row r="24" ht="55.2" spans="1:10">
      <c r="A24" s="46"/>
      <c r="B24" s="18" t="s">
        <v>2246</v>
      </c>
      <c r="C24" s="18" t="s">
        <v>2249</v>
      </c>
      <c r="D24" s="18" t="s">
        <v>2250</v>
      </c>
      <c r="E24" s="23">
        <v>800000</v>
      </c>
      <c r="F24" s="23">
        <v>355000</v>
      </c>
      <c r="G24" s="23">
        <v>215000</v>
      </c>
      <c r="H24" s="23">
        <v>120000</v>
      </c>
      <c r="I24" s="115"/>
      <c r="J24" s="31" t="s">
        <v>2209</v>
      </c>
    </row>
    <row r="25" ht="27.6" spans="1:10">
      <c r="A25" s="46">
        <v>14</v>
      </c>
      <c r="B25" s="18" t="s">
        <v>2251</v>
      </c>
      <c r="C25" s="18" t="s">
        <v>2252</v>
      </c>
      <c r="D25" s="18" t="s">
        <v>2253</v>
      </c>
      <c r="E25" s="23">
        <v>480000</v>
      </c>
      <c r="F25" s="23">
        <v>205000</v>
      </c>
      <c r="G25" s="23">
        <v>115000</v>
      </c>
      <c r="H25" s="23">
        <v>55000</v>
      </c>
      <c r="I25" s="115"/>
      <c r="J25" s="31" t="s">
        <v>2209</v>
      </c>
    </row>
    <row r="26" ht="27.6" spans="1:10">
      <c r="A26" s="46">
        <v>15</v>
      </c>
      <c r="B26" s="18" t="s">
        <v>2254</v>
      </c>
      <c r="C26" s="18" t="s">
        <v>2255</v>
      </c>
      <c r="D26" s="18" t="s">
        <v>2256</v>
      </c>
      <c r="E26" s="23">
        <v>380000</v>
      </c>
      <c r="F26" s="23">
        <v>155000</v>
      </c>
      <c r="G26" s="23">
        <v>85000</v>
      </c>
      <c r="H26" s="23">
        <v>45000</v>
      </c>
      <c r="I26" s="115"/>
      <c r="J26" s="31" t="s">
        <v>2209</v>
      </c>
    </row>
    <row r="27" spans="1:10">
      <c r="A27" s="46">
        <v>16</v>
      </c>
      <c r="B27" s="18" t="s">
        <v>2257</v>
      </c>
      <c r="C27" s="18" t="s">
        <v>2258</v>
      </c>
      <c r="D27" s="18" t="s">
        <v>2259</v>
      </c>
      <c r="E27" s="23">
        <v>750000</v>
      </c>
      <c r="F27" s="23">
        <v>340000</v>
      </c>
      <c r="G27" s="23">
        <v>200000</v>
      </c>
      <c r="H27" s="23">
        <v>115000</v>
      </c>
      <c r="I27" s="115"/>
      <c r="J27" s="31" t="s">
        <v>2209</v>
      </c>
    </row>
    <row r="28" ht="41.4" spans="1:10">
      <c r="A28" s="46">
        <v>17</v>
      </c>
      <c r="B28" s="18" t="s">
        <v>2260</v>
      </c>
      <c r="C28" s="18" t="s">
        <v>2261</v>
      </c>
      <c r="D28" s="18" t="s">
        <v>2262</v>
      </c>
      <c r="E28" s="23">
        <v>340000</v>
      </c>
      <c r="F28" s="23">
        <v>140000</v>
      </c>
      <c r="G28" s="23">
        <v>80000</v>
      </c>
      <c r="H28" s="23">
        <v>35000</v>
      </c>
      <c r="I28" s="115"/>
      <c r="J28" s="31" t="s">
        <v>2209</v>
      </c>
    </row>
    <row r="29" ht="27.6" spans="1:10">
      <c r="A29" s="46"/>
      <c r="B29" s="18" t="s">
        <v>2260</v>
      </c>
      <c r="C29" s="18" t="s">
        <v>2263</v>
      </c>
      <c r="D29" s="18" t="s">
        <v>2264</v>
      </c>
      <c r="E29" s="23">
        <v>380000</v>
      </c>
      <c r="F29" s="23">
        <v>155000</v>
      </c>
      <c r="G29" s="23">
        <v>85000</v>
      </c>
      <c r="H29" s="23">
        <v>45000</v>
      </c>
      <c r="I29" s="115"/>
      <c r="J29" s="31" t="s">
        <v>2209</v>
      </c>
    </row>
    <row r="30" ht="41.4" spans="1:10">
      <c r="A30" s="16"/>
      <c r="B30" s="18" t="s">
        <v>2260</v>
      </c>
      <c r="C30" s="18" t="s">
        <v>2265</v>
      </c>
      <c r="D30" s="18" t="s">
        <v>2266</v>
      </c>
      <c r="E30" s="23">
        <v>410000</v>
      </c>
      <c r="F30" s="23">
        <v>175000</v>
      </c>
      <c r="G30" s="23">
        <v>100000</v>
      </c>
      <c r="H30" s="23">
        <v>45000</v>
      </c>
      <c r="I30" s="115"/>
      <c r="J30" s="31" t="s">
        <v>2209</v>
      </c>
    </row>
    <row r="31" ht="27.6" spans="1:10">
      <c r="A31" s="46"/>
      <c r="B31" s="18" t="s">
        <v>2260</v>
      </c>
      <c r="C31" s="18" t="s">
        <v>2267</v>
      </c>
      <c r="D31" s="18" t="s">
        <v>2268</v>
      </c>
      <c r="E31" s="23">
        <v>310000</v>
      </c>
      <c r="F31" s="23">
        <v>135000</v>
      </c>
      <c r="G31" s="23">
        <v>70000</v>
      </c>
      <c r="H31" s="23">
        <v>30000</v>
      </c>
      <c r="I31" s="115"/>
      <c r="J31" s="31" t="s">
        <v>2209</v>
      </c>
    </row>
    <row r="32" ht="27.6" spans="1:10">
      <c r="A32" s="46">
        <v>18</v>
      </c>
      <c r="B32" s="18" t="s">
        <v>2199</v>
      </c>
      <c r="C32" s="18" t="s">
        <v>2269</v>
      </c>
      <c r="D32" s="18" t="s">
        <v>2270</v>
      </c>
      <c r="E32" s="23">
        <v>1150000</v>
      </c>
      <c r="F32" s="23">
        <v>500000</v>
      </c>
      <c r="G32" s="23">
        <v>310000</v>
      </c>
      <c r="H32" s="23">
        <v>175000</v>
      </c>
      <c r="I32" s="115"/>
      <c r="J32" s="31" t="s">
        <v>2209</v>
      </c>
    </row>
    <row r="33" spans="1:10">
      <c r="A33" s="46"/>
      <c r="B33" s="18" t="s">
        <v>2199</v>
      </c>
      <c r="C33" s="18" t="s">
        <v>2271</v>
      </c>
      <c r="D33" s="18" t="s">
        <v>2272</v>
      </c>
      <c r="E33" s="23">
        <v>950000</v>
      </c>
      <c r="F33" s="23">
        <v>430000</v>
      </c>
      <c r="G33" s="23">
        <v>260000</v>
      </c>
      <c r="H33" s="23">
        <v>145000</v>
      </c>
      <c r="I33" s="115"/>
      <c r="J33" s="31" t="s">
        <v>2209</v>
      </c>
    </row>
    <row r="34" ht="27.6" spans="1:10">
      <c r="A34" s="46"/>
      <c r="B34" s="18" t="s">
        <v>2199</v>
      </c>
      <c r="C34" s="18" t="s">
        <v>2273</v>
      </c>
      <c r="D34" s="18" t="s">
        <v>2274</v>
      </c>
      <c r="E34" s="23">
        <v>500000</v>
      </c>
      <c r="F34" s="23">
        <v>210000</v>
      </c>
      <c r="G34" s="23">
        <v>110000</v>
      </c>
      <c r="H34" s="23">
        <v>65000</v>
      </c>
      <c r="I34" s="115"/>
      <c r="J34" s="31" t="s">
        <v>2209</v>
      </c>
    </row>
    <row r="35" ht="27.6" spans="1:10">
      <c r="A35" s="46">
        <v>19</v>
      </c>
      <c r="B35" s="18" t="s">
        <v>2275</v>
      </c>
      <c r="C35" s="18" t="s">
        <v>2276</v>
      </c>
      <c r="D35" s="18" t="s">
        <v>2277</v>
      </c>
      <c r="E35" s="23">
        <v>500000</v>
      </c>
      <c r="F35" s="23">
        <v>210000</v>
      </c>
      <c r="G35" s="23">
        <v>110000</v>
      </c>
      <c r="H35" s="23">
        <v>65000</v>
      </c>
      <c r="I35" s="115"/>
      <c r="J35" s="31" t="s">
        <v>2209</v>
      </c>
    </row>
    <row r="36" ht="27.6" spans="1:10">
      <c r="A36" s="46"/>
      <c r="B36" s="18" t="s">
        <v>2275</v>
      </c>
      <c r="C36" s="18" t="s">
        <v>2277</v>
      </c>
      <c r="D36" s="18" t="s">
        <v>2278</v>
      </c>
      <c r="E36" s="23">
        <v>480000</v>
      </c>
      <c r="F36" s="23">
        <v>205000</v>
      </c>
      <c r="G36" s="23">
        <v>115000</v>
      </c>
      <c r="H36" s="23">
        <v>55000</v>
      </c>
      <c r="I36" s="115"/>
      <c r="J36" s="31" t="s">
        <v>2209</v>
      </c>
    </row>
    <row r="37" ht="55.2" spans="1:10">
      <c r="A37" s="46">
        <v>20</v>
      </c>
      <c r="B37" s="18" t="s">
        <v>2279</v>
      </c>
      <c r="C37" s="18" t="s">
        <v>2280</v>
      </c>
      <c r="D37" s="18" t="s">
        <v>2281</v>
      </c>
      <c r="E37" s="23">
        <v>480000</v>
      </c>
      <c r="F37" s="23">
        <v>205000</v>
      </c>
      <c r="G37" s="23">
        <v>115000</v>
      </c>
      <c r="H37" s="23">
        <v>55000</v>
      </c>
      <c r="I37" s="115"/>
      <c r="J37" s="31" t="s">
        <v>2209</v>
      </c>
    </row>
    <row r="38" spans="1:10">
      <c r="A38" s="46">
        <v>21</v>
      </c>
      <c r="B38" s="18" t="s">
        <v>2282</v>
      </c>
      <c r="C38" s="18" t="s">
        <v>2283</v>
      </c>
      <c r="D38" s="18" t="s">
        <v>2284</v>
      </c>
      <c r="E38" s="23">
        <v>410000</v>
      </c>
      <c r="F38" s="23">
        <v>175000</v>
      </c>
      <c r="G38" s="23">
        <v>100000</v>
      </c>
      <c r="H38" s="23">
        <v>45000</v>
      </c>
      <c r="I38" s="115"/>
      <c r="J38" s="31" t="s">
        <v>2209</v>
      </c>
    </row>
    <row r="39" ht="27.6" spans="1:10">
      <c r="A39" s="46">
        <v>22</v>
      </c>
      <c r="B39" s="18" t="s">
        <v>2285</v>
      </c>
      <c r="C39" s="18" t="s">
        <v>2277</v>
      </c>
      <c r="D39" s="18" t="s">
        <v>2286</v>
      </c>
      <c r="E39" s="23">
        <v>480000</v>
      </c>
      <c r="F39" s="23">
        <v>205000</v>
      </c>
      <c r="G39" s="23">
        <v>115000</v>
      </c>
      <c r="H39" s="23">
        <v>55000</v>
      </c>
      <c r="I39" s="115"/>
      <c r="J39" s="31" t="s">
        <v>2209</v>
      </c>
    </row>
    <row r="40" ht="27.6" spans="1:10">
      <c r="A40" s="46"/>
      <c r="B40" s="18" t="s">
        <v>2285</v>
      </c>
      <c r="C40" s="18" t="s">
        <v>2286</v>
      </c>
      <c r="D40" s="18" t="s">
        <v>2287</v>
      </c>
      <c r="E40" s="23">
        <v>480000</v>
      </c>
      <c r="F40" s="23">
        <v>205000</v>
      </c>
      <c r="G40" s="23">
        <v>115000</v>
      </c>
      <c r="H40" s="23">
        <v>55000</v>
      </c>
      <c r="I40" s="115"/>
      <c r="J40" s="31" t="s">
        <v>2209</v>
      </c>
    </row>
    <row r="41" ht="27.6" spans="1:10">
      <c r="A41" s="46"/>
      <c r="B41" s="18" t="s">
        <v>2285</v>
      </c>
      <c r="C41" s="18" t="s">
        <v>2287</v>
      </c>
      <c r="D41" s="18" t="s">
        <v>2217</v>
      </c>
      <c r="E41" s="23">
        <v>650000</v>
      </c>
      <c r="F41" s="23">
        <v>295000</v>
      </c>
      <c r="G41" s="23">
        <v>170000</v>
      </c>
      <c r="H41" s="23">
        <v>95000</v>
      </c>
      <c r="I41" s="115"/>
      <c r="J41" s="31" t="s">
        <v>2209</v>
      </c>
    </row>
    <row r="42" ht="41.4" spans="1:10">
      <c r="A42" s="46"/>
      <c r="B42" s="18" t="s">
        <v>2285</v>
      </c>
      <c r="C42" s="18" t="s">
        <v>2288</v>
      </c>
      <c r="D42" s="18" t="s">
        <v>2289</v>
      </c>
      <c r="E42" s="23">
        <v>650000</v>
      </c>
      <c r="F42" s="23">
        <v>295000</v>
      </c>
      <c r="G42" s="23">
        <v>170000</v>
      </c>
      <c r="H42" s="23">
        <v>95000</v>
      </c>
      <c r="I42" s="115" t="s">
        <v>147</v>
      </c>
    </row>
    <row r="43" ht="27.6" spans="1:10">
      <c r="A43" s="46">
        <v>23</v>
      </c>
      <c r="B43" s="18" t="s">
        <v>2290</v>
      </c>
      <c r="C43" s="18" t="s">
        <v>2291</v>
      </c>
      <c r="D43" s="18" t="s">
        <v>2217</v>
      </c>
      <c r="E43" s="23">
        <v>950000</v>
      </c>
      <c r="F43" s="23">
        <v>430000</v>
      </c>
      <c r="G43" s="23">
        <v>260000</v>
      </c>
      <c r="H43" s="23">
        <v>145000</v>
      </c>
      <c r="I43" s="115"/>
      <c r="J43" s="31" t="s">
        <v>2209</v>
      </c>
    </row>
    <row r="44" ht="27.6" spans="1:10">
      <c r="A44" s="46"/>
      <c r="B44" s="18" t="s">
        <v>2290</v>
      </c>
      <c r="C44" s="18" t="s">
        <v>2217</v>
      </c>
      <c r="D44" s="18" t="s">
        <v>2292</v>
      </c>
      <c r="E44" s="23">
        <v>500000</v>
      </c>
      <c r="F44" s="23">
        <v>210000</v>
      </c>
      <c r="G44" s="23">
        <v>110000</v>
      </c>
      <c r="H44" s="23">
        <v>65000</v>
      </c>
      <c r="I44" s="115"/>
      <c r="J44" s="31" t="s">
        <v>2209</v>
      </c>
    </row>
    <row r="45" ht="27.6" spans="1:10">
      <c r="A45" s="46">
        <v>24</v>
      </c>
      <c r="B45" s="18" t="s">
        <v>2293</v>
      </c>
      <c r="C45" s="18" t="s">
        <v>2294</v>
      </c>
      <c r="D45" s="18" t="s">
        <v>2295</v>
      </c>
      <c r="E45" s="23">
        <v>500000</v>
      </c>
      <c r="F45" s="23">
        <v>210000</v>
      </c>
      <c r="G45" s="23">
        <v>110000</v>
      </c>
      <c r="H45" s="23">
        <v>65000</v>
      </c>
      <c r="I45" s="115"/>
      <c r="J45" s="31" t="s">
        <v>2209</v>
      </c>
    </row>
    <row r="46" ht="41.4" spans="1:10">
      <c r="A46" s="46">
        <v>25</v>
      </c>
      <c r="B46" s="18" t="s">
        <v>2296</v>
      </c>
      <c r="C46" s="18" t="s">
        <v>2297</v>
      </c>
      <c r="D46" s="18" t="s">
        <v>2298</v>
      </c>
      <c r="E46" s="23">
        <v>310000</v>
      </c>
      <c r="F46" s="23">
        <v>135000</v>
      </c>
      <c r="G46" s="23">
        <v>70000</v>
      </c>
      <c r="H46" s="23">
        <v>30000</v>
      </c>
      <c r="I46" s="115"/>
    </row>
    <row r="47" ht="41.4" spans="1:10">
      <c r="A47" s="46">
        <v>26</v>
      </c>
      <c r="B47" s="18" t="s">
        <v>2299</v>
      </c>
      <c r="C47" s="18" t="s">
        <v>2300</v>
      </c>
      <c r="D47" s="18" t="s">
        <v>2301</v>
      </c>
      <c r="E47" s="23">
        <v>410000</v>
      </c>
      <c r="F47" s="23">
        <v>175000</v>
      </c>
      <c r="G47" s="23">
        <v>100000</v>
      </c>
      <c r="H47" s="23">
        <v>45000</v>
      </c>
      <c r="I47" s="115"/>
      <c r="J47" s="31" t="s">
        <v>2209</v>
      </c>
    </row>
    <row r="48" ht="41.4" spans="1:10">
      <c r="A48" s="46">
        <v>27</v>
      </c>
      <c r="B48" s="18" t="s">
        <v>2302</v>
      </c>
      <c r="C48" s="18" t="s">
        <v>2303</v>
      </c>
      <c r="D48" s="18" t="s">
        <v>2304</v>
      </c>
      <c r="E48" s="23">
        <v>410000</v>
      </c>
      <c r="F48" s="23">
        <v>175000</v>
      </c>
      <c r="G48" s="23">
        <v>100000</v>
      </c>
      <c r="H48" s="23">
        <v>45000</v>
      </c>
      <c r="I48" s="115"/>
      <c r="J48" s="31" t="s">
        <v>2209</v>
      </c>
    </row>
    <row r="49" ht="27.6" spans="1:10">
      <c r="A49" s="46">
        <v>28</v>
      </c>
      <c r="B49" s="18" t="s">
        <v>2305</v>
      </c>
      <c r="C49" s="18" t="s">
        <v>2306</v>
      </c>
      <c r="D49" s="18" t="s">
        <v>2307</v>
      </c>
      <c r="E49" s="23">
        <v>500000</v>
      </c>
      <c r="F49" s="23">
        <v>210000</v>
      </c>
      <c r="G49" s="23">
        <v>110000</v>
      </c>
      <c r="H49" s="23">
        <v>65000</v>
      </c>
      <c r="I49" s="115"/>
      <c r="J49" s="31" t="s">
        <v>2209</v>
      </c>
    </row>
    <row r="50" ht="27.6" spans="1:10">
      <c r="A50" s="46">
        <v>29</v>
      </c>
      <c r="B50" s="18" t="s">
        <v>2308</v>
      </c>
      <c r="C50" s="18" t="s">
        <v>2309</v>
      </c>
      <c r="D50" s="18" t="s">
        <v>2310</v>
      </c>
      <c r="E50" s="23">
        <v>380000</v>
      </c>
      <c r="F50" s="23">
        <v>155000</v>
      </c>
      <c r="G50" s="23">
        <v>85000</v>
      </c>
      <c r="H50" s="23">
        <v>45000</v>
      </c>
      <c r="I50" s="115"/>
      <c r="J50" s="31" t="s">
        <v>2209</v>
      </c>
    </row>
    <row r="51" spans="1:10">
      <c r="A51" s="46"/>
      <c r="B51" s="18" t="s">
        <v>2308</v>
      </c>
      <c r="C51" s="18" t="s">
        <v>2310</v>
      </c>
      <c r="D51" s="18" t="s">
        <v>2311</v>
      </c>
      <c r="E51" s="23">
        <v>380000</v>
      </c>
      <c r="F51" s="23">
        <v>155000</v>
      </c>
      <c r="G51" s="23">
        <v>85000</v>
      </c>
      <c r="H51" s="23">
        <v>45000</v>
      </c>
      <c r="I51" s="115"/>
      <c r="J51" s="31" t="s">
        <v>2209</v>
      </c>
    </row>
    <row r="52" ht="27.6" spans="1:10">
      <c r="A52" s="46">
        <v>30</v>
      </c>
      <c r="B52" s="41" t="s">
        <v>2312</v>
      </c>
      <c r="C52" s="41" t="s">
        <v>2313</v>
      </c>
      <c r="D52" s="41" t="s">
        <v>2314</v>
      </c>
      <c r="E52" s="23">
        <v>650000</v>
      </c>
      <c r="F52" s="23">
        <v>295000</v>
      </c>
      <c r="G52" s="23">
        <v>170000</v>
      </c>
      <c r="H52" s="23">
        <v>95000</v>
      </c>
      <c r="I52" s="115"/>
      <c r="J52" s="31" t="s">
        <v>2209</v>
      </c>
    </row>
    <row r="53" ht="27.6" spans="1:10">
      <c r="A53" s="46"/>
      <c r="B53" s="18" t="s">
        <v>2312</v>
      </c>
      <c r="C53" s="18" t="s">
        <v>2315</v>
      </c>
      <c r="D53" s="18" t="s">
        <v>2316</v>
      </c>
      <c r="E53" s="23">
        <v>310000</v>
      </c>
      <c r="F53" s="23">
        <v>135000</v>
      </c>
      <c r="G53" s="23">
        <v>70000</v>
      </c>
      <c r="H53" s="23">
        <v>30000</v>
      </c>
      <c r="I53" s="115"/>
      <c r="J53" s="115"/>
    </row>
    <row r="54" ht="27.6" spans="1:10">
      <c r="A54" s="46">
        <v>31</v>
      </c>
      <c r="B54" s="18" t="s">
        <v>2317</v>
      </c>
      <c r="C54" s="18" t="s">
        <v>2318</v>
      </c>
      <c r="D54" s="18" t="s">
        <v>2319</v>
      </c>
      <c r="E54" s="23">
        <v>380000</v>
      </c>
      <c r="F54" s="23">
        <v>155000</v>
      </c>
      <c r="G54" s="23">
        <v>85000</v>
      </c>
      <c r="H54" s="23">
        <v>45000</v>
      </c>
      <c r="I54" s="115"/>
      <c r="J54" s="31" t="s">
        <v>2209</v>
      </c>
    </row>
    <row r="55" ht="69" spans="1:10">
      <c r="A55" s="46">
        <v>32</v>
      </c>
      <c r="B55" s="18" t="s">
        <v>2320</v>
      </c>
      <c r="C55" s="18" t="s">
        <v>2321</v>
      </c>
      <c r="D55" s="18" t="s">
        <v>2322</v>
      </c>
      <c r="E55" s="23">
        <v>500000</v>
      </c>
      <c r="F55" s="23">
        <v>210000</v>
      </c>
      <c r="G55" s="23">
        <v>110000</v>
      </c>
      <c r="H55" s="23">
        <v>65000</v>
      </c>
      <c r="I55" s="115"/>
      <c r="J55" s="31" t="s">
        <v>2209</v>
      </c>
    </row>
    <row r="56" ht="27.6" spans="1:10">
      <c r="A56" s="46"/>
      <c r="B56" s="18" t="s">
        <v>2320</v>
      </c>
      <c r="C56" s="18" t="s">
        <v>2323</v>
      </c>
      <c r="D56" s="18" t="s">
        <v>2324</v>
      </c>
      <c r="E56" s="23">
        <v>340000</v>
      </c>
      <c r="F56" s="23">
        <v>140000</v>
      </c>
      <c r="G56" s="23">
        <v>80000</v>
      </c>
      <c r="H56" s="23">
        <v>35000</v>
      </c>
      <c r="I56" s="115"/>
    </row>
    <row r="57" ht="27.6" spans="1:10">
      <c r="A57" s="46">
        <v>33</v>
      </c>
      <c r="B57" s="18" t="s">
        <v>2325</v>
      </c>
      <c r="C57" s="18" t="s">
        <v>2326</v>
      </c>
      <c r="D57" s="18" t="s">
        <v>2327</v>
      </c>
      <c r="E57" s="23">
        <v>310000</v>
      </c>
      <c r="F57" s="23">
        <v>135000</v>
      </c>
      <c r="G57" s="23">
        <v>70000</v>
      </c>
      <c r="H57" s="23">
        <v>30000</v>
      </c>
      <c r="I57" s="115"/>
      <c r="J57" s="31" t="s">
        <v>2209</v>
      </c>
    </row>
    <row r="58" ht="41.4" spans="1:10">
      <c r="A58" s="46">
        <v>34</v>
      </c>
      <c r="B58" s="18" t="s">
        <v>2328</v>
      </c>
      <c r="C58" s="18" t="s">
        <v>2329</v>
      </c>
      <c r="D58" s="18" t="s">
        <v>2330</v>
      </c>
      <c r="E58" s="23">
        <v>480000</v>
      </c>
      <c r="F58" s="23">
        <v>205000</v>
      </c>
      <c r="G58" s="23">
        <v>115000</v>
      </c>
      <c r="H58" s="23">
        <v>55000</v>
      </c>
      <c r="I58" s="115"/>
      <c r="J58" s="31" t="s">
        <v>2209</v>
      </c>
    </row>
    <row r="59" spans="1:10">
      <c r="A59" s="46"/>
      <c r="B59" s="18" t="s">
        <v>2328</v>
      </c>
      <c r="C59" s="18" t="s">
        <v>2331</v>
      </c>
      <c r="D59" s="18" t="s">
        <v>2332</v>
      </c>
      <c r="E59" s="23">
        <v>310000</v>
      </c>
      <c r="F59" s="23">
        <v>135000</v>
      </c>
      <c r="G59" s="23">
        <v>70000</v>
      </c>
      <c r="H59" s="23">
        <v>30000</v>
      </c>
      <c r="I59" s="115"/>
      <c r="J59" s="31" t="s">
        <v>2209</v>
      </c>
    </row>
    <row r="60" ht="41.4" spans="1:10">
      <c r="A60" s="46">
        <v>35</v>
      </c>
      <c r="B60" s="18" t="s">
        <v>2333</v>
      </c>
      <c r="C60" s="18" t="s">
        <v>2334</v>
      </c>
      <c r="D60" s="18" t="s">
        <v>2335</v>
      </c>
      <c r="E60" s="23">
        <v>340000</v>
      </c>
      <c r="F60" s="23">
        <v>140000</v>
      </c>
      <c r="G60" s="23">
        <v>80000</v>
      </c>
      <c r="H60" s="23">
        <v>35000</v>
      </c>
      <c r="I60" s="115"/>
      <c r="J60" s="31" t="s">
        <v>2209</v>
      </c>
    </row>
    <row r="61" ht="27.6" spans="1:10">
      <c r="A61" s="46">
        <v>36</v>
      </c>
      <c r="B61" s="18" t="s">
        <v>2336</v>
      </c>
      <c r="C61" s="18" t="s">
        <v>2337</v>
      </c>
      <c r="D61" s="18" t="s">
        <v>2338</v>
      </c>
      <c r="E61" s="23">
        <v>310000</v>
      </c>
      <c r="F61" s="23">
        <v>135000</v>
      </c>
      <c r="G61" s="23">
        <v>70000</v>
      </c>
      <c r="H61" s="23">
        <v>30000</v>
      </c>
      <c r="I61" s="115"/>
      <c r="J61" s="31" t="s">
        <v>2209</v>
      </c>
    </row>
    <row r="62" ht="27.6" spans="1:10">
      <c r="A62" s="46">
        <v>37</v>
      </c>
      <c r="B62" s="18" t="s">
        <v>2339</v>
      </c>
      <c r="C62" s="18" t="s">
        <v>2340</v>
      </c>
      <c r="D62" s="18" t="s">
        <v>2341</v>
      </c>
      <c r="E62" s="23">
        <v>310000</v>
      </c>
      <c r="F62" s="23">
        <v>135000</v>
      </c>
      <c r="G62" s="23">
        <v>70000</v>
      </c>
      <c r="H62" s="23">
        <v>30000</v>
      </c>
      <c r="I62" s="115"/>
      <c r="J62" s="31" t="s">
        <v>2209</v>
      </c>
    </row>
    <row r="63" ht="27.6" spans="1:10">
      <c r="A63" s="46">
        <v>38</v>
      </c>
      <c r="B63" s="18" t="s">
        <v>2342</v>
      </c>
      <c r="C63" s="18" t="s">
        <v>2343</v>
      </c>
      <c r="D63" s="18" t="s">
        <v>2344</v>
      </c>
      <c r="E63" s="23">
        <v>310000</v>
      </c>
      <c r="F63" s="23">
        <v>135000</v>
      </c>
      <c r="G63" s="23">
        <v>70000</v>
      </c>
      <c r="H63" s="23">
        <v>30000</v>
      </c>
      <c r="I63" s="115"/>
      <c r="J63" s="31" t="s">
        <v>2209</v>
      </c>
    </row>
    <row r="64" ht="27.6" spans="1:10">
      <c r="A64" s="46"/>
      <c r="B64" s="18" t="s">
        <v>2342</v>
      </c>
      <c r="C64" s="18" t="s">
        <v>2345</v>
      </c>
      <c r="D64" s="18" t="s">
        <v>2346</v>
      </c>
      <c r="E64" s="23">
        <v>340000</v>
      </c>
      <c r="F64" s="23">
        <v>140000</v>
      </c>
      <c r="G64" s="23">
        <v>80000</v>
      </c>
      <c r="H64" s="23">
        <v>35000</v>
      </c>
      <c r="I64" s="115"/>
      <c r="J64" s="31" t="s">
        <v>2209</v>
      </c>
    </row>
    <row r="65" ht="27.6" spans="1:14">
      <c r="A65" s="46"/>
      <c r="B65" s="18" t="s">
        <v>2342</v>
      </c>
      <c r="C65" s="18" t="s">
        <v>2347</v>
      </c>
      <c r="D65" s="18" t="s">
        <v>2348</v>
      </c>
      <c r="E65" s="23">
        <v>410000</v>
      </c>
      <c r="F65" s="23">
        <v>175000</v>
      </c>
      <c r="G65" s="23">
        <v>100000</v>
      </c>
      <c r="H65" s="23">
        <v>45000</v>
      </c>
      <c r="I65" s="115"/>
      <c r="J65" s="31" t="s">
        <v>2209</v>
      </c>
    </row>
    <row r="66" ht="41.4" spans="1:14">
      <c r="A66" s="46">
        <v>39</v>
      </c>
      <c r="B66" s="18" t="s">
        <v>2349</v>
      </c>
      <c r="C66" s="18" t="s">
        <v>2350</v>
      </c>
      <c r="D66" s="18" t="s">
        <v>2351</v>
      </c>
      <c r="E66" s="23">
        <v>700000</v>
      </c>
      <c r="F66" s="23">
        <v>320000</v>
      </c>
      <c r="G66" s="23">
        <v>190000</v>
      </c>
      <c r="H66" s="23">
        <v>100000</v>
      </c>
      <c r="I66" s="115"/>
      <c r="J66" s="31" t="s">
        <v>2209</v>
      </c>
    </row>
    <row r="67" ht="27.6" spans="1:14">
      <c r="A67" s="46"/>
      <c r="B67" s="18" t="s">
        <v>2349</v>
      </c>
      <c r="C67" s="18" t="s">
        <v>2352</v>
      </c>
      <c r="D67" s="18" t="s">
        <v>2353</v>
      </c>
      <c r="E67" s="23">
        <v>410000</v>
      </c>
      <c r="F67" s="23">
        <v>175000</v>
      </c>
      <c r="G67" s="23">
        <v>100000</v>
      </c>
      <c r="H67" s="23">
        <v>45000</v>
      </c>
      <c r="I67" s="115"/>
      <c r="J67" s="31" t="s">
        <v>2209</v>
      </c>
    </row>
    <row r="68" ht="27.6" spans="1:14">
      <c r="A68" s="46">
        <v>40</v>
      </c>
      <c r="B68" s="18" t="s">
        <v>2354</v>
      </c>
      <c r="C68" s="18" t="s">
        <v>2355</v>
      </c>
      <c r="D68" s="18" t="s">
        <v>2356</v>
      </c>
      <c r="E68" s="23">
        <v>340000</v>
      </c>
      <c r="F68" s="23">
        <v>140000</v>
      </c>
      <c r="G68" s="23">
        <v>80000</v>
      </c>
      <c r="H68" s="23">
        <v>35000</v>
      </c>
      <c r="I68" s="115"/>
      <c r="J68" s="31" t="s">
        <v>2209</v>
      </c>
    </row>
    <row r="69" ht="41.4" spans="1:14">
      <c r="A69" s="46">
        <v>41</v>
      </c>
      <c r="B69" s="18" t="s">
        <v>2357</v>
      </c>
      <c r="C69" s="18" t="s">
        <v>2358</v>
      </c>
      <c r="D69" s="18" t="s">
        <v>2359</v>
      </c>
      <c r="E69" s="23">
        <v>340000</v>
      </c>
      <c r="F69" s="23">
        <v>140000</v>
      </c>
      <c r="G69" s="23">
        <v>80000</v>
      </c>
      <c r="H69" s="23">
        <v>35000</v>
      </c>
      <c r="I69" s="115"/>
      <c r="J69" s="31" t="s">
        <v>2209</v>
      </c>
    </row>
    <row r="70" s="30" customFormat="1" ht="14.4" spans="1:14">
      <c r="A70" s="39" t="s">
        <v>136</v>
      </c>
      <c r="B70" s="18"/>
      <c r="C70" s="18"/>
      <c r="D70" s="18"/>
      <c r="E70" s="23"/>
      <c r="F70" s="23"/>
      <c r="G70" s="23"/>
      <c r="H70" s="23"/>
      <c r="I70" s="115"/>
      <c r="J70" s="31"/>
    </row>
    <row r="71" spans="1:14">
      <c r="A71" s="46">
        <v>42</v>
      </c>
      <c r="B71" s="18" t="s">
        <v>137</v>
      </c>
      <c r="C71" s="18"/>
      <c r="D71" s="18"/>
      <c r="E71" s="23">
        <v>230000</v>
      </c>
      <c r="F71" s="23">
        <v>85000</v>
      </c>
      <c r="G71" s="23">
        <v>75000</v>
      </c>
      <c r="H71" s="23">
        <v>45000</v>
      </c>
      <c r="I71" s="115" t="s">
        <v>147</v>
      </c>
    </row>
    <row r="72" s="6" customFormat="1" spans="1:14">
      <c r="A72" s="39" t="s">
        <v>205</v>
      </c>
      <c r="B72" s="15"/>
      <c r="C72" s="15"/>
      <c r="D72" s="116"/>
      <c r="E72" s="23" t="s">
        <v>16</v>
      </c>
      <c r="F72" s="23" t="s">
        <v>16</v>
      </c>
      <c r="G72" s="23" t="s">
        <v>16</v>
      </c>
      <c r="H72" s="23" t="s">
        <v>16</v>
      </c>
      <c r="J72" s="117"/>
      <c r="M72" s="31"/>
    </row>
    <row r="73" spans="1:14">
      <c r="A73" s="46">
        <v>43</v>
      </c>
      <c r="B73" s="18" t="s">
        <v>2360</v>
      </c>
      <c r="C73" s="15"/>
      <c r="D73" s="18"/>
      <c r="E73" s="23" t="s">
        <v>16</v>
      </c>
      <c r="F73" s="23" t="s">
        <v>16</v>
      </c>
      <c r="G73" s="23" t="s">
        <v>16</v>
      </c>
      <c r="H73" s="23" t="s">
        <v>16</v>
      </c>
      <c r="J73" s="65"/>
    </row>
    <row r="74" ht="41.4" spans="1:14">
      <c r="A74" s="46"/>
      <c r="B74" s="18" t="s">
        <v>2361</v>
      </c>
      <c r="C74" s="18"/>
      <c r="D74" s="18"/>
      <c r="E74" s="23">
        <v>235000</v>
      </c>
      <c r="F74" s="23">
        <v>165000</v>
      </c>
      <c r="G74" s="23">
        <v>115000</v>
      </c>
      <c r="H74" s="23">
        <v>0</v>
      </c>
      <c r="I74" s="115"/>
      <c r="J74" s="65" t="s">
        <v>2213</v>
      </c>
      <c r="K74" s="65" t="e">
        <f>MAX(#REF!)</f>
        <v>#REF!</v>
      </c>
      <c r="N74" s="118"/>
    </row>
    <row r="75" ht="41.4" spans="1:14">
      <c r="A75" s="46"/>
      <c r="B75" s="18" t="s">
        <v>2362</v>
      </c>
      <c r="C75" s="18"/>
      <c r="D75" s="18"/>
      <c r="E75" s="23">
        <v>180000</v>
      </c>
      <c r="F75" s="23">
        <v>125000</v>
      </c>
      <c r="G75" s="23">
        <v>90000</v>
      </c>
      <c r="H75" s="23">
        <v>0</v>
      </c>
      <c r="I75" s="115"/>
      <c r="J75" s="65" t="s">
        <v>2216</v>
      </c>
      <c r="K75" s="65" t="e">
        <f>MIN(#REF!)</f>
        <v>#REF!</v>
      </c>
      <c r="N75" s="118"/>
    </row>
    <row r="76" ht="27.6" spans="1:14">
      <c r="A76" s="46"/>
      <c r="B76" s="18" t="s">
        <v>2363</v>
      </c>
      <c r="C76" s="18"/>
      <c r="D76" s="18"/>
      <c r="E76" s="23">
        <v>170000</v>
      </c>
      <c r="F76" s="23">
        <v>120000</v>
      </c>
      <c r="G76" s="23">
        <v>85000</v>
      </c>
      <c r="H76" s="23">
        <v>0</v>
      </c>
      <c r="I76" s="115"/>
      <c r="J76" s="31" t="s">
        <v>2209</v>
      </c>
      <c r="N76" s="118"/>
    </row>
    <row r="77" ht="27.6" spans="1:14">
      <c r="A77" s="46"/>
      <c r="B77" s="18" t="s">
        <v>2364</v>
      </c>
      <c r="C77" s="18"/>
      <c r="D77" s="18"/>
      <c r="E77" s="23">
        <v>125000</v>
      </c>
      <c r="F77" s="23">
        <v>80000</v>
      </c>
      <c r="G77" s="23">
        <v>65000</v>
      </c>
      <c r="H77" s="23">
        <v>0</v>
      </c>
      <c r="I77" s="115"/>
      <c r="J77" s="31" t="s">
        <v>2209</v>
      </c>
      <c r="N77" s="118"/>
    </row>
    <row r="78" spans="1:14">
      <c r="A78" s="46">
        <v>44</v>
      </c>
      <c r="B78" s="18" t="s">
        <v>2365</v>
      </c>
      <c r="C78" s="18"/>
      <c r="D78" s="18"/>
      <c r="E78" s="23" t="s">
        <v>16</v>
      </c>
      <c r="F78" s="23" t="s">
        <v>16</v>
      </c>
      <c r="G78" s="23" t="s">
        <v>16</v>
      </c>
      <c r="H78" s="23" t="s">
        <v>16</v>
      </c>
      <c r="I78" s="115"/>
      <c r="N78" s="118"/>
    </row>
    <row r="79" spans="1:14">
      <c r="A79" s="46"/>
      <c r="B79" s="18" t="s">
        <v>2366</v>
      </c>
      <c r="C79" s="18"/>
      <c r="D79" s="18"/>
      <c r="E79" s="23">
        <v>60000</v>
      </c>
      <c r="F79" s="23">
        <v>50000</v>
      </c>
      <c r="G79" s="23">
        <v>40000</v>
      </c>
      <c r="H79" s="23">
        <v>0</v>
      </c>
      <c r="I79" s="115"/>
      <c r="N79" s="118"/>
    </row>
    <row r="80" spans="1:14">
      <c r="A80" s="46"/>
      <c r="B80" s="18" t="s">
        <v>2367</v>
      </c>
      <c r="C80" s="18"/>
      <c r="D80" s="18"/>
      <c r="E80" s="23">
        <v>65000</v>
      </c>
      <c r="F80" s="23">
        <v>50000</v>
      </c>
      <c r="G80" s="23">
        <v>45000</v>
      </c>
      <c r="H80" s="23">
        <v>0</v>
      </c>
      <c r="I80" s="115"/>
      <c r="N80" s="118"/>
    </row>
    <row r="81" ht="55.2" spans="1:14">
      <c r="A81" s="46">
        <v>45</v>
      </c>
      <c r="B81" s="18" t="s">
        <v>2368</v>
      </c>
      <c r="C81" s="18"/>
      <c r="D81" s="18"/>
      <c r="E81" s="23">
        <v>125000</v>
      </c>
      <c r="F81" s="23">
        <v>80000</v>
      </c>
      <c r="G81" s="23">
        <v>65000</v>
      </c>
      <c r="H81" s="23">
        <v>0</v>
      </c>
      <c r="I81" s="115"/>
      <c r="J81" s="31" t="s">
        <v>2209</v>
      </c>
      <c r="N81" s="61"/>
    </row>
    <row r="82" ht="27.6" spans="1:14">
      <c r="A82" s="46">
        <v>46</v>
      </c>
      <c r="B82" s="43" t="s">
        <v>2369</v>
      </c>
      <c r="C82" s="43"/>
      <c r="D82" s="43"/>
      <c r="E82" s="23">
        <v>110000</v>
      </c>
      <c r="F82" s="23">
        <v>70000</v>
      </c>
      <c r="G82" s="23">
        <v>60000</v>
      </c>
      <c r="H82" s="23">
        <v>0</v>
      </c>
      <c r="I82" s="115"/>
      <c r="J82" s="31" t="s">
        <v>2209</v>
      </c>
      <c r="N82" s="61"/>
    </row>
    <row r="83" ht="41.4" spans="1:14">
      <c r="A83" s="46">
        <v>47</v>
      </c>
      <c r="B83" s="18" t="s">
        <v>2370</v>
      </c>
      <c r="C83" s="18"/>
      <c r="D83" s="18"/>
      <c r="E83" s="23">
        <v>115000</v>
      </c>
      <c r="F83" s="23">
        <v>70000</v>
      </c>
      <c r="G83" s="23">
        <v>60000</v>
      </c>
      <c r="H83" s="23">
        <v>0</v>
      </c>
      <c r="I83" s="115"/>
      <c r="J83" s="31" t="s">
        <v>2209</v>
      </c>
      <c r="N83" s="61"/>
    </row>
    <row r="84" spans="1:14">
      <c r="A84" s="39" t="s">
        <v>217</v>
      </c>
      <c r="B84" s="15"/>
      <c r="C84" s="15"/>
      <c r="D84" s="15"/>
      <c r="E84" s="23" t="s">
        <v>16</v>
      </c>
      <c r="F84" s="23" t="s">
        <v>16</v>
      </c>
      <c r="G84" s="23" t="s">
        <v>16</v>
      </c>
      <c r="H84" s="23" t="s">
        <v>16</v>
      </c>
      <c r="J84" s="31" t="s">
        <v>2209</v>
      </c>
      <c r="N84" s="20"/>
    </row>
    <row r="85" ht="55.2" spans="1:14">
      <c r="A85" s="46">
        <v>48</v>
      </c>
      <c r="B85" s="18" t="s">
        <v>2371</v>
      </c>
      <c r="C85" s="18"/>
      <c r="D85" s="18"/>
      <c r="E85" s="23">
        <v>65000</v>
      </c>
      <c r="F85" s="23">
        <v>55000</v>
      </c>
      <c r="G85" s="23">
        <v>0</v>
      </c>
      <c r="H85" s="23">
        <v>0</v>
      </c>
      <c r="I85" s="115"/>
      <c r="J85" s="65" t="s">
        <v>2213</v>
      </c>
      <c r="K85" s="65" t="e">
        <f>MAX(#REF!)</f>
        <v>#REF!</v>
      </c>
      <c r="N85" s="61"/>
    </row>
    <row r="86" ht="27.6" spans="1:14">
      <c r="A86" s="46">
        <v>49</v>
      </c>
      <c r="B86" s="18" t="s">
        <v>2372</v>
      </c>
      <c r="C86" s="18"/>
      <c r="D86" s="18"/>
      <c r="E86" s="23">
        <v>60000</v>
      </c>
      <c r="F86" s="23">
        <v>50000</v>
      </c>
      <c r="G86" s="23">
        <v>0</v>
      </c>
      <c r="H86" s="23">
        <v>0</v>
      </c>
      <c r="I86" s="115"/>
      <c r="J86" s="31" t="s">
        <v>2209</v>
      </c>
      <c r="N86" s="119"/>
    </row>
    <row r="87" spans="1:14">
      <c r="A87" s="46">
        <v>50</v>
      </c>
      <c r="B87" s="18" t="s">
        <v>2373</v>
      </c>
      <c r="C87" s="57"/>
      <c r="D87" s="57"/>
      <c r="E87" s="23">
        <v>40000</v>
      </c>
      <c r="F87" s="23">
        <v>0</v>
      </c>
      <c r="G87" s="23">
        <v>0</v>
      </c>
      <c r="H87" s="23">
        <v>0</v>
      </c>
      <c r="I87" s="115"/>
      <c r="J87" s="31" t="s">
        <v>2209</v>
      </c>
      <c r="N87" s="119"/>
    </row>
    <row r="88" spans="1:14">
      <c r="E88" s="23" t="s">
        <v>16</v>
      </c>
      <c r="F88" s="23" t="s">
        <v>16</v>
      </c>
      <c r="G88" s="23" t="s">
        <v>16</v>
      </c>
      <c r="H88" s="23" t="s">
        <v>16</v>
      </c>
    </row>
    <row r="89" spans="1:14">
      <c r="E89" s="23" t="s">
        <v>16</v>
      </c>
      <c r="F89" s="23" t="s">
        <v>16</v>
      </c>
      <c r="G89" s="23" t="s">
        <v>16</v>
      </c>
      <c r="H89" s="23" t="s">
        <v>16</v>
      </c>
    </row>
    <row r="90" spans="1:14">
      <c r="E90" s="23" t="s">
        <v>16</v>
      </c>
      <c r="F90" s="23" t="s">
        <v>16</v>
      </c>
      <c r="G90" s="23" t="s">
        <v>16</v>
      </c>
      <c r="H90" s="23" t="s">
        <v>16</v>
      </c>
    </row>
    <row r="91" spans="1:14">
      <c r="E91" s="23" t="s">
        <v>16</v>
      </c>
      <c r="F91" s="23" t="s">
        <v>16</v>
      </c>
      <c r="G91" s="23" t="s">
        <v>16</v>
      </c>
      <c r="H91" s="23" t="s">
        <v>16</v>
      </c>
    </row>
    <row r="92" spans="1:14">
      <c r="E92" s="23" t="s">
        <v>16</v>
      </c>
      <c r="F92" s="23" t="s">
        <v>16</v>
      </c>
      <c r="G92" s="23" t="s">
        <v>16</v>
      </c>
      <c r="H92" s="23" t="s">
        <v>16</v>
      </c>
    </row>
    <row r="93" spans="1:14">
      <c r="E93" s="23" t="s">
        <v>16</v>
      </c>
      <c r="F93" s="23" t="s">
        <v>16</v>
      </c>
      <c r="G93" s="23" t="s">
        <v>16</v>
      </c>
      <c r="H93" s="23" t="s">
        <v>16</v>
      </c>
    </row>
    <row r="94" spans="1:14">
      <c r="E94" s="23" t="s">
        <v>16</v>
      </c>
      <c r="F94" s="23" t="s">
        <v>16</v>
      </c>
      <c r="G94" s="23" t="s">
        <v>16</v>
      </c>
      <c r="H94" s="23" t="s">
        <v>16</v>
      </c>
    </row>
    <row r="95" spans="1:14">
      <c r="E95" s="23" t="s">
        <v>16</v>
      </c>
      <c r="F95" s="23" t="s">
        <v>16</v>
      </c>
      <c r="G95" s="23" t="s">
        <v>16</v>
      </c>
      <c r="H95" s="23" t="s">
        <v>16</v>
      </c>
    </row>
    <row r="96" spans="1:14">
      <c r="E96" s="23" t="s">
        <v>16</v>
      </c>
      <c r="F96" s="23" t="s">
        <v>16</v>
      </c>
      <c r="G96" s="23" t="s">
        <v>16</v>
      </c>
      <c r="H96" s="23" t="s">
        <v>16</v>
      </c>
    </row>
    <row r="97" spans="5:8">
      <c r="E97" s="23" t="s">
        <v>16</v>
      </c>
      <c r="F97" s="23" t="s">
        <v>16</v>
      </c>
      <c r="G97" s="23" t="s">
        <v>16</v>
      </c>
      <c r="H97" s="23" t="s">
        <v>16</v>
      </c>
    </row>
    <row r="98" spans="5:8">
      <c r="E98" s="23" t="s">
        <v>16</v>
      </c>
      <c r="F98" s="23" t="s">
        <v>16</v>
      </c>
      <c r="G98" s="23" t="s">
        <v>16</v>
      </c>
      <c r="H98" s="23" t="s">
        <v>16</v>
      </c>
    </row>
    <row r="99" spans="5:8">
      <c r="E99" s="23" t="s">
        <v>16</v>
      </c>
      <c r="F99" s="23" t="s">
        <v>16</v>
      </c>
      <c r="G99" s="23" t="s">
        <v>16</v>
      </c>
      <c r="H99" s="23" t="s">
        <v>16</v>
      </c>
    </row>
    <row r="100" spans="5:8">
      <c r="E100" s="23" t="s">
        <v>16</v>
      </c>
      <c r="F100" s="23" t="s">
        <v>16</v>
      </c>
      <c r="G100" s="23" t="s">
        <v>16</v>
      </c>
      <c r="H100" s="23" t="s">
        <v>16</v>
      </c>
    </row>
    <row r="101" spans="5:8">
      <c r="E101" s="23" t="s">
        <v>16</v>
      </c>
      <c r="F101" s="23" t="s">
        <v>16</v>
      </c>
      <c r="G101" s="23" t="s">
        <v>16</v>
      </c>
      <c r="H101" s="23" t="s">
        <v>16</v>
      </c>
    </row>
    <row r="102" spans="5:8">
      <c r="E102" s="23" t="s">
        <v>16</v>
      </c>
      <c r="F102" s="23" t="s">
        <v>16</v>
      </c>
      <c r="G102" s="23" t="s">
        <v>16</v>
      </c>
      <c r="H102" s="23" t="s">
        <v>16</v>
      </c>
    </row>
    <row r="103" spans="5:8">
      <c r="E103" s="23" t="s">
        <v>16</v>
      </c>
      <c r="F103" s="23" t="s">
        <v>16</v>
      </c>
      <c r="G103" s="23" t="s">
        <v>16</v>
      </c>
      <c r="H103" s="23" t="s">
        <v>16</v>
      </c>
    </row>
    <row r="104" spans="5:8">
      <c r="E104" s="23" t="s">
        <v>16</v>
      </c>
      <c r="F104" s="23" t="s">
        <v>16</v>
      </c>
      <c r="G104" s="23" t="s">
        <v>16</v>
      </c>
      <c r="H104" s="23" t="s">
        <v>16</v>
      </c>
    </row>
    <row r="105" spans="5:8">
      <c r="E105" s="23" t="s">
        <v>16</v>
      </c>
      <c r="F105" s="23" t="s">
        <v>16</v>
      </c>
      <c r="G105" s="23" t="s">
        <v>16</v>
      </c>
      <c r="H105" s="23" t="s">
        <v>16</v>
      </c>
    </row>
    <row r="106" spans="5:8">
      <c r="E106" s="23" t="s">
        <v>16</v>
      </c>
      <c r="F106" s="23" t="s">
        <v>16</v>
      </c>
      <c r="G106" s="23" t="s">
        <v>16</v>
      </c>
      <c r="H106" s="23" t="s">
        <v>16</v>
      </c>
    </row>
    <row r="107" spans="5:8">
      <c r="E107" s="23" t="s">
        <v>16</v>
      </c>
      <c r="F107" s="23" t="s">
        <v>16</v>
      </c>
      <c r="G107" s="23" t="s">
        <v>16</v>
      </c>
      <c r="H107" s="23" t="s">
        <v>16</v>
      </c>
    </row>
    <row r="108" spans="5:8">
      <c r="E108" s="23" t="s">
        <v>16</v>
      </c>
      <c r="F108" s="23" t="s">
        <v>16</v>
      </c>
      <c r="G108" s="23" t="s">
        <v>16</v>
      </c>
      <c r="H108" s="23" t="s">
        <v>16</v>
      </c>
    </row>
    <row r="109" spans="5:8">
      <c r="E109" s="23" t="s">
        <v>16</v>
      </c>
      <c r="F109" s="23" t="s">
        <v>16</v>
      </c>
      <c r="G109" s="23" t="s">
        <v>16</v>
      </c>
      <c r="H109" s="23" t="s">
        <v>16</v>
      </c>
    </row>
    <row r="110" spans="5:8">
      <c r="E110" s="23" t="s">
        <v>16</v>
      </c>
      <c r="F110" s="23" t="s">
        <v>16</v>
      </c>
      <c r="G110" s="23" t="s">
        <v>16</v>
      </c>
      <c r="H110" s="23" t="s">
        <v>16</v>
      </c>
    </row>
    <row r="111" spans="5:8">
      <c r="E111" s="23" t="s">
        <v>16</v>
      </c>
      <c r="F111" s="23" t="s">
        <v>16</v>
      </c>
      <c r="G111" s="23" t="s">
        <v>16</v>
      </c>
      <c r="H111" s="23" t="s">
        <v>16</v>
      </c>
    </row>
    <row r="112" spans="5:8">
      <c r="E112" s="23" t="s">
        <v>16</v>
      </c>
      <c r="F112" s="23" t="s">
        <v>16</v>
      </c>
      <c r="G112" s="23" t="s">
        <v>16</v>
      </c>
      <c r="H112" s="23" t="s">
        <v>16</v>
      </c>
    </row>
    <row r="113" spans="5:8">
      <c r="E113" s="23" t="s">
        <v>16</v>
      </c>
      <c r="F113" s="23" t="s">
        <v>16</v>
      </c>
      <c r="G113" s="23" t="s">
        <v>16</v>
      </c>
      <c r="H113" s="23" t="s">
        <v>16</v>
      </c>
    </row>
    <row r="114" spans="5:8">
      <c r="E114" s="23" t="s">
        <v>16</v>
      </c>
      <c r="F114" s="23" t="s">
        <v>16</v>
      </c>
      <c r="G114" s="23" t="s">
        <v>16</v>
      </c>
      <c r="H114" s="23" t="s">
        <v>16</v>
      </c>
    </row>
    <row r="115" spans="5:8">
      <c r="E115" s="23" t="s">
        <v>16</v>
      </c>
      <c r="F115" s="23" t="s">
        <v>16</v>
      </c>
      <c r="G115" s="23" t="s">
        <v>16</v>
      </c>
      <c r="H115" s="23" t="s">
        <v>16</v>
      </c>
    </row>
    <row r="116" spans="5:8">
      <c r="E116" s="23" t="s">
        <v>16</v>
      </c>
      <c r="F116" s="23" t="s">
        <v>16</v>
      </c>
      <c r="G116" s="23" t="s">
        <v>16</v>
      </c>
      <c r="H116" s="23" t="s">
        <v>16</v>
      </c>
    </row>
    <row r="117" spans="5:8">
      <c r="E117" s="23" t="s">
        <v>16</v>
      </c>
      <c r="F117" s="23" t="s">
        <v>16</v>
      </c>
      <c r="G117" s="23" t="s">
        <v>16</v>
      </c>
      <c r="H117" s="23" t="s">
        <v>16</v>
      </c>
    </row>
    <row r="118" spans="5:8">
      <c r="E118" s="23" t="s">
        <v>16</v>
      </c>
      <c r="F118" s="23" t="s">
        <v>16</v>
      </c>
      <c r="G118" s="23" t="s">
        <v>16</v>
      </c>
      <c r="H118" s="23" t="s">
        <v>16</v>
      </c>
    </row>
    <row r="119" spans="5:8">
      <c r="E119" s="23" t="s">
        <v>16</v>
      </c>
      <c r="F119" s="23" t="s">
        <v>16</v>
      </c>
      <c r="G119" s="23" t="s">
        <v>16</v>
      </c>
      <c r="H119" s="23" t="s">
        <v>16</v>
      </c>
    </row>
    <row r="120" spans="5:8">
      <c r="E120" s="23" t="s">
        <v>16</v>
      </c>
      <c r="F120" s="23" t="s">
        <v>16</v>
      </c>
      <c r="G120" s="23" t="s">
        <v>16</v>
      </c>
      <c r="H120" s="23" t="s">
        <v>16</v>
      </c>
    </row>
    <row r="121" spans="5:8">
      <c r="E121" s="23" t="s">
        <v>16</v>
      </c>
      <c r="F121" s="23" t="s">
        <v>16</v>
      </c>
      <c r="G121" s="23" t="s">
        <v>16</v>
      </c>
      <c r="H121" s="23" t="s">
        <v>16</v>
      </c>
    </row>
    <row r="122" spans="5:8">
      <c r="E122" s="23" t="s">
        <v>16</v>
      </c>
      <c r="F122" s="23" t="s">
        <v>16</v>
      </c>
      <c r="G122" s="23" t="s">
        <v>16</v>
      </c>
      <c r="H122" s="23" t="s">
        <v>16</v>
      </c>
    </row>
    <row r="123" spans="5:8">
      <c r="E123" s="23" t="s">
        <v>16</v>
      </c>
      <c r="F123" s="23" t="s">
        <v>16</v>
      </c>
      <c r="G123" s="23" t="s">
        <v>16</v>
      </c>
      <c r="H123" s="23" t="s">
        <v>16</v>
      </c>
    </row>
    <row r="124" spans="5:8">
      <c r="E124" s="23" t="s">
        <v>16</v>
      </c>
      <c r="F124" s="23" t="s">
        <v>16</v>
      </c>
      <c r="G124" s="23" t="s">
        <v>16</v>
      </c>
      <c r="H124" s="23" t="s">
        <v>16</v>
      </c>
    </row>
    <row r="125" spans="5:8">
      <c r="E125" s="23" t="s">
        <v>16</v>
      </c>
      <c r="F125" s="23" t="s">
        <v>16</v>
      </c>
      <c r="G125" s="23" t="s">
        <v>16</v>
      </c>
      <c r="H125" s="23" t="s">
        <v>16</v>
      </c>
    </row>
    <row r="126" spans="5:8">
      <c r="E126" s="23" t="s">
        <v>16</v>
      </c>
      <c r="F126" s="23" t="s">
        <v>16</v>
      </c>
      <c r="G126" s="23" t="s">
        <v>16</v>
      </c>
      <c r="H126" s="23" t="s">
        <v>16</v>
      </c>
    </row>
    <row r="127" spans="5:8">
      <c r="E127" s="23" t="s">
        <v>16</v>
      </c>
      <c r="F127" s="23" t="s">
        <v>16</v>
      </c>
      <c r="G127" s="23" t="s">
        <v>16</v>
      </c>
      <c r="H127" s="23" t="s">
        <v>16</v>
      </c>
    </row>
    <row r="128" spans="5:8">
      <c r="E128" s="23" t="s">
        <v>16</v>
      </c>
      <c r="F128" s="23" t="s">
        <v>16</v>
      </c>
      <c r="G128" s="23" t="s">
        <v>16</v>
      </c>
      <c r="H128" s="23" t="s">
        <v>16</v>
      </c>
    </row>
    <row r="129" spans="5:8">
      <c r="E129" s="23" t="s">
        <v>16</v>
      </c>
      <c r="F129" s="23" t="s">
        <v>16</v>
      </c>
      <c r="G129" s="23" t="s">
        <v>16</v>
      </c>
      <c r="H129" s="23" t="s">
        <v>16</v>
      </c>
    </row>
    <row r="130" spans="5:8">
      <c r="E130" s="23" t="s">
        <v>16</v>
      </c>
      <c r="F130" s="23" t="s">
        <v>16</v>
      </c>
      <c r="G130" s="23" t="s">
        <v>16</v>
      </c>
      <c r="H130" s="23" t="s">
        <v>16</v>
      </c>
    </row>
    <row r="131" spans="5:8">
      <c r="E131" s="23" t="s">
        <v>16</v>
      </c>
      <c r="F131" s="23" t="s">
        <v>16</v>
      </c>
      <c r="G131" s="23" t="s">
        <v>16</v>
      </c>
      <c r="H131" s="23" t="s">
        <v>16</v>
      </c>
    </row>
    <row r="132" spans="5:8">
      <c r="E132" s="23" t="s">
        <v>16</v>
      </c>
      <c r="F132" s="23" t="s">
        <v>16</v>
      </c>
      <c r="G132" s="23" t="s">
        <v>16</v>
      </c>
      <c r="H132" s="23" t="s">
        <v>16</v>
      </c>
    </row>
    <row r="133" spans="5:8">
      <c r="E133" s="23" t="s">
        <v>16</v>
      </c>
      <c r="F133" s="23" t="s">
        <v>16</v>
      </c>
      <c r="G133" s="23" t="s">
        <v>16</v>
      </c>
      <c r="H133" s="23" t="s">
        <v>16</v>
      </c>
    </row>
    <row r="134" spans="5:8">
      <c r="E134" s="23" t="s">
        <v>16</v>
      </c>
      <c r="F134" s="23" t="s">
        <v>16</v>
      </c>
      <c r="G134" s="23" t="s">
        <v>16</v>
      </c>
      <c r="H134" s="23" t="s">
        <v>16</v>
      </c>
    </row>
    <row r="135" spans="5:8">
      <c r="E135" s="23" t="s">
        <v>16</v>
      </c>
      <c r="F135" s="23" t="s">
        <v>16</v>
      </c>
      <c r="G135" s="23" t="s">
        <v>16</v>
      </c>
      <c r="H135" s="23" t="s">
        <v>16</v>
      </c>
    </row>
    <row r="136" spans="5:8">
      <c r="E136" s="23" t="s">
        <v>16</v>
      </c>
      <c r="F136" s="23" t="s">
        <v>16</v>
      </c>
      <c r="G136" s="23" t="s">
        <v>16</v>
      </c>
      <c r="H136" s="23" t="s">
        <v>16</v>
      </c>
    </row>
    <row r="137" spans="5:8">
      <c r="E137" s="23" t="s">
        <v>16</v>
      </c>
      <c r="F137" s="23" t="s">
        <v>16</v>
      </c>
      <c r="G137" s="23" t="s">
        <v>16</v>
      </c>
      <c r="H137" s="23" t="s">
        <v>16</v>
      </c>
    </row>
    <row r="138" spans="5:8">
      <c r="E138" s="23" t="s">
        <v>16</v>
      </c>
      <c r="F138" s="23" t="s">
        <v>16</v>
      </c>
      <c r="G138" s="23" t="s">
        <v>16</v>
      </c>
      <c r="H138" s="23" t="s">
        <v>16</v>
      </c>
    </row>
    <row r="139" spans="5:8">
      <c r="E139" s="23" t="s">
        <v>16</v>
      </c>
      <c r="F139" s="23" t="s">
        <v>16</v>
      </c>
      <c r="G139" s="23" t="s">
        <v>16</v>
      </c>
      <c r="H139" s="23" t="s">
        <v>16</v>
      </c>
    </row>
    <row r="140" spans="5:8">
      <c r="E140" s="23" t="s">
        <v>16</v>
      </c>
      <c r="F140" s="23" t="s">
        <v>16</v>
      </c>
      <c r="G140" s="23" t="s">
        <v>16</v>
      </c>
      <c r="H140" s="23" t="s">
        <v>16</v>
      </c>
    </row>
    <row r="141" spans="5:8">
      <c r="E141" s="23" t="s">
        <v>16</v>
      </c>
      <c r="F141" s="23" t="s">
        <v>16</v>
      </c>
      <c r="G141" s="23" t="s">
        <v>16</v>
      </c>
      <c r="H141" s="23" t="s">
        <v>16</v>
      </c>
    </row>
    <row r="142" spans="5:8">
      <c r="E142" s="23" t="s">
        <v>16</v>
      </c>
      <c r="F142" s="23" t="s">
        <v>16</v>
      </c>
      <c r="G142" s="23" t="s">
        <v>16</v>
      </c>
      <c r="H142" s="23" t="s">
        <v>16</v>
      </c>
    </row>
    <row r="143" spans="5:8">
      <c r="E143" s="23" t="s">
        <v>16</v>
      </c>
      <c r="F143" s="23" t="s">
        <v>16</v>
      </c>
      <c r="G143" s="23" t="s">
        <v>16</v>
      </c>
      <c r="H143" s="23" t="s">
        <v>16</v>
      </c>
    </row>
    <row r="144" spans="5:8">
      <c r="E144" s="23" t="s">
        <v>16</v>
      </c>
      <c r="F144" s="23" t="s">
        <v>16</v>
      </c>
      <c r="G144" s="23" t="s">
        <v>16</v>
      </c>
      <c r="H144" s="23" t="s">
        <v>16</v>
      </c>
    </row>
    <row r="145" spans="5:8">
      <c r="E145" s="23" t="s">
        <v>16</v>
      </c>
      <c r="F145" s="23" t="s">
        <v>16</v>
      </c>
      <c r="G145" s="23" t="s">
        <v>16</v>
      </c>
      <c r="H145" s="23" t="s">
        <v>16</v>
      </c>
    </row>
    <row r="146" spans="5:8">
      <c r="E146" s="23" t="s">
        <v>16</v>
      </c>
      <c r="F146" s="23" t="s">
        <v>16</v>
      </c>
      <c r="G146" s="23" t="s">
        <v>16</v>
      </c>
      <c r="H146" s="23" t="s">
        <v>16</v>
      </c>
    </row>
    <row r="147" spans="5:8">
      <c r="E147" s="23" t="s">
        <v>16</v>
      </c>
      <c r="F147" s="23" t="s">
        <v>16</v>
      </c>
      <c r="G147" s="23" t="s">
        <v>16</v>
      </c>
      <c r="H147" s="23" t="s">
        <v>16</v>
      </c>
    </row>
    <row r="148" spans="5:8">
      <c r="E148" s="23" t="s">
        <v>16</v>
      </c>
      <c r="F148" s="23" t="s">
        <v>16</v>
      </c>
      <c r="G148" s="23" t="s">
        <v>16</v>
      </c>
      <c r="H148" s="23" t="s">
        <v>16</v>
      </c>
    </row>
    <row r="149" spans="5:8">
      <c r="E149" s="23" t="s">
        <v>16</v>
      </c>
      <c r="F149" s="23" t="s">
        <v>16</v>
      </c>
      <c r="G149" s="23" t="s">
        <v>16</v>
      </c>
      <c r="H149" s="23" t="s">
        <v>16</v>
      </c>
    </row>
    <row r="150" spans="5:8">
      <c r="E150" s="23" t="s">
        <v>16</v>
      </c>
      <c r="F150" s="23" t="s">
        <v>16</v>
      </c>
      <c r="G150" s="23" t="s">
        <v>16</v>
      </c>
      <c r="H150" s="23" t="s">
        <v>16</v>
      </c>
    </row>
    <row r="151" spans="5:8">
      <c r="E151" s="23" t="s">
        <v>16</v>
      </c>
      <c r="F151" s="23" t="s">
        <v>16</v>
      </c>
      <c r="G151" s="23" t="s">
        <v>16</v>
      </c>
      <c r="H151" s="23" t="s">
        <v>16</v>
      </c>
    </row>
    <row r="152" spans="5:8">
      <c r="E152" s="23" t="s">
        <v>16</v>
      </c>
      <c r="F152" s="23" t="s">
        <v>16</v>
      </c>
      <c r="G152" s="23" t="s">
        <v>16</v>
      </c>
      <c r="H152" s="23" t="s">
        <v>16</v>
      </c>
    </row>
    <row r="153" spans="5:8">
      <c r="E153" s="23" t="s">
        <v>16</v>
      </c>
      <c r="F153" s="23" t="s">
        <v>16</v>
      </c>
      <c r="G153" s="23" t="s">
        <v>16</v>
      </c>
      <c r="H153" s="23" t="s">
        <v>16</v>
      </c>
    </row>
    <row r="154" spans="5:8">
      <c r="E154" s="23" t="s">
        <v>16</v>
      </c>
      <c r="F154" s="23" t="s">
        <v>16</v>
      </c>
      <c r="G154" s="23" t="s">
        <v>16</v>
      </c>
      <c r="H154" s="23" t="s">
        <v>16</v>
      </c>
    </row>
    <row r="155" spans="5:8">
      <c r="E155" s="23" t="s">
        <v>16</v>
      </c>
      <c r="F155" s="23" t="s">
        <v>16</v>
      </c>
      <c r="G155" s="23" t="s">
        <v>16</v>
      </c>
      <c r="H155" s="23" t="s">
        <v>16</v>
      </c>
    </row>
    <row r="156" spans="5:8">
      <c r="E156" s="23" t="s">
        <v>16</v>
      </c>
      <c r="F156" s="23" t="s">
        <v>16</v>
      </c>
      <c r="G156" s="23" t="s">
        <v>16</v>
      </c>
      <c r="H156" s="23" t="s">
        <v>16</v>
      </c>
    </row>
    <row r="157" spans="5:8">
      <c r="E157" s="23" t="s">
        <v>16</v>
      </c>
      <c r="F157" s="23" t="s">
        <v>16</v>
      </c>
      <c r="G157" s="23" t="s">
        <v>16</v>
      </c>
      <c r="H157" s="23" t="s">
        <v>16</v>
      </c>
    </row>
    <row r="158" spans="5:8">
      <c r="E158" s="23" t="s">
        <v>16</v>
      </c>
      <c r="F158" s="23" t="s">
        <v>16</v>
      </c>
      <c r="G158" s="23" t="s">
        <v>16</v>
      </c>
      <c r="H158" s="23" t="s">
        <v>16</v>
      </c>
    </row>
    <row r="159" spans="5:8">
      <c r="E159" s="23" t="s">
        <v>16</v>
      </c>
      <c r="F159" s="23" t="s">
        <v>16</v>
      </c>
      <c r="G159" s="23" t="s">
        <v>16</v>
      </c>
      <c r="H159" s="23" t="s">
        <v>16</v>
      </c>
    </row>
    <row r="160" spans="5:8">
      <c r="E160" s="23" t="s">
        <v>16</v>
      </c>
      <c r="F160" s="23" t="s">
        <v>16</v>
      </c>
      <c r="G160" s="23" t="s">
        <v>16</v>
      </c>
      <c r="H160" s="23" t="s">
        <v>16</v>
      </c>
    </row>
    <row r="161" spans="5:8">
      <c r="E161" s="23" t="s">
        <v>16</v>
      </c>
      <c r="F161" s="23" t="s">
        <v>16</v>
      </c>
      <c r="G161" s="23" t="s">
        <v>16</v>
      </c>
      <c r="H161" s="23" t="s">
        <v>16</v>
      </c>
    </row>
    <row r="162" spans="5:8">
      <c r="E162" s="23" t="s">
        <v>16</v>
      </c>
      <c r="F162" s="23" t="s">
        <v>16</v>
      </c>
      <c r="G162" s="23" t="s">
        <v>16</v>
      </c>
      <c r="H162" s="23" t="s">
        <v>16</v>
      </c>
    </row>
    <row r="163" spans="5:8">
      <c r="E163" s="23" t="s">
        <v>16</v>
      </c>
      <c r="F163" s="23" t="s">
        <v>16</v>
      </c>
      <c r="G163" s="23" t="s">
        <v>16</v>
      </c>
      <c r="H163" s="23" t="s">
        <v>16</v>
      </c>
    </row>
    <row r="164" spans="5:8">
      <c r="E164" s="23" t="s">
        <v>16</v>
      </c>
      <c r="F164" s="23" t="s">
        <v>16</v>
      </c>
      <c r="G164" s="23" t="s">
        <v>16</v>
      </c>
      <c r="H164" s="23" t="s">
        <v>16</v>
      </c>
    </row>
    <row r="165" spans="5:8">
      <c r="E165" s="23" t="s">
        <v>16</v>
      </c>
      <c r="F165" s="23" t="s">
        <v>16</v>
      </c>
      <c r="G165" s="23" t="s">
        <v>16</v>
      </c>
      <c r="H165" s="23" t="s">
        <v>16</v>
      </c>
    </row>
    <row r="166" spans="5:8">
      <c r="E166" s="23" t="s">
        <v>16</v>
      </c>
      <c r="F166" s="23" t="s">
        <v>16</v>
      </c>
      <c r="G166" s="23" t="s">
        <v>16</v>
      </c>
      <c r="H166" s="23" t="s">
        <v>16</v>
      </c>
    </row>
    <row r="167" spans="5:8">
      <c r="E167" s="23" t="s">
        <v>16</v>
      </c>
      <c r="F167" s="23" t="s">
        <v>16</v>
      </c>
      <c r="G167" s="23" t="s">
        <v>16</v>
      </c>
      <c r="H167" s="23" t="s">
        <v>16</v>
      </c>
    </row>
    <row r="168" spans="5:8">
      <c r="E168" s="23" t="s">
        <v>16</v>
      </c>
      <c r="F168" s="23" t="s">
        <v>16</v>
      </c>
      <c r="G168" s="23" t="s">
        <v>16</v>
      </c>
      <c r="H168" s="23" t="s">
        <v>16</v>
      </c>
    </row>
    <row r="169" spans="5:8">
      <c r="E169" s="23" t="s">
        <v>16</v>
      </c>
      <c r="F169" s="23" t="s">
        <v>16</v>
      </c>
      <c r="G169" s="23" t="s">
        <v>16</v>
      </c>
      <c r="H169" s="23" t="s">
        <v>16</v>
      </c>
    </row>
    <row r="170" spans="5:8">
      <c r="E170" s="23" t="s">
        <v>16</v>
      </c>
      <c r="F170" s="23" t="s">
        <v>16</v>
      </c>
      <c r="G170" s="23" t="s">
        <v>16</v>
      </c>
      <c r="H170" s="23" t="s">
        <v>16</v>
      </c>
    </row>
    <row r="171" spans="5:8">
      <c r="E171" s="23" t="s">
        <v>16</v>
      </c>
      <c r="F171" s="23" t="s">
        <v>16</v>
      </c>
      <c r="G171" s="23" t="s">
        <v>16</v>
      </c>
      <c r="H171" s="23" t="s">
        <v>16</v>
      </c>
    </row>
    <row r="172" spans="5:8">
      <c r="E172" s="23" t="s">
        <v>16</v>
      </c>
      <c r="F172" s="23" t="s">
        <v>16</v>
      </c>
      <c r="G172" s="23" t="s">
        <v>16</v>
      </c>
      <c r="H172" s="23" t="s">
        <v>16</v>
      </c>
    </row>
    <row r="173" spans="5:8">
      <c r="E173" s="23" t="s">
        <v>16</v>
      </c>
      <c r="F173" s="23" t="s">
        <v>16</v>
      </c>
      <c r="G173" s="23" t="s">
        <v>16</v>
      </c>
      <c r="H173" s="23" t="s">
        <v>16</v>
      </c>
    </row>
    <row r="174" spans="5:8">
      <c r="E174" s="23" t="s">
        <v>16</v>
      </c>
      <c r="F174" s="23" t="s">
        <v>16</v>
      </c>
      <c r="G174" s="23" t="s">
        <v>16</v>
      </c>
      <c r="H174" s="23" t="s">
        <v>16</v>
      </c>
    </row>
    <row r="175" spans="5:8">
      <c r="E175" s="23" t="s">
        <v>16</v>
      </c>
      <c r="F175" s="23" t="s">
        <v>16</v>
      </c>
      <c r="G175" s="23" t="s">
        <v>16</v>
      </c>
      <c r="H175" s="23" t="s">
        <v>16</v>
      </c>
    </row>
    <row r="176" spans="5:8">
      <c r="E176" s="23" t="s">
        <v>16</v>
      </c>
      <c r="F176" s="23" t="s">
        <v>16</v>
      </c>
      <c r="G176" s="23" t="s">
        <v>16</v>
      </c>
      <c r="H176" s="23" t="s">
        <v>16</v>
      </c>
    </row>
    <row r="177" spans="5:8">
      <c r="E177" s="23" t="s">
        <v>16</v>
      </c>
      <c r="F177" s="23" t="s">
        <v>16</v>
      </c>
      <c r="G177" s="23" t="s">
        <v>16</v>
      </c>
      <c r="H177" s="23" t="s">
        <v>16</v>
      </c>
    </row>
    <row r="178" spans="5:8">
      <c r="E178" s="23" t="s">
        <v>16</v>
      </c>
      <c r="F178" s="23" t="s">
        <v>16</v>
      </c>
      <c r="G178" s="23" t="s">
        <v>16</v>
      </c>
      <c r="H178" s="23" t="s">
        <v>16</v>
      </c>
    </row>
    <row r="179" spans="5:8">
      <c r="E179" s="23" t="s">
        <v>16</v>
      </c>
      <c r="F179" s="23" t="s">
        <v>16</v>
      </c>
      <c r="G179" s="23" t="s">
        <v>16</v>
      </c>
      <c r="H179" s="23" t="s">
        <v>16</v>
      </c>
    </row>
    <row r="180" spans="5:8">
      <c r="E180" s="23" t="s">
        <v>16</v>
      </c>
      <c r="F180" s="23" t="s">
        <v>16</v>
      </c>
      <c r="G180" s="23" t="s">
        <v>16</v>
      </c>
      <c r="H180" s="23" t="s">
        <v>16</v>
      </c>
    </row>
    <row r="181" spans="5:8">
      <c r="E181" s="23" t="s">
        <v>16</v>
      </c>
      <c r="F181" s="23" t="s">
        <v>16</v>
      </c>
      <c r="G181" s="23" t="s">
        <v>16</v>
      </c>
      <c r="H181" s="23" t="s">
        <v>16</v>
      </c>
    </row>
    <row r="182" spans="5:8">
      <c r="E182" s="23" t="s">
        <v>16</v>
      </c>
      <c r="F182" s="23" t="s">
        <v>16</v>
      </c>
      <c r="G182" s="23" t="s">
        <v>16</v>
      </c>
      <c r="H182" s="23" t="s">
        <v>16</v>
      </c>
    </row>
    <row r="183" spans="5:8">
      <c r="E183" s="23" t="s">
        <v>16</v>
      </c>
      <c r="F183" s="23" t="s">
        <v>16</v>
      </c>
      <c r="G183" s="23" t="s">
        <v>16</v>
      </c>
      <c r="H183" s="23" t="s">
        <v>16</v>
      </c>
    </row>
    <row r="184" spans="5:8">
      <c r="E184" s="23" t="s">
        <v>16</v>
      </c>
      <c r="F184" s="23" t="s">
        <v>16</v>
      </c>
      <c r="G184" s="23" t="s">
        <v>16</v>
      </c>
      <c r="H184" s="23" t="s">
        <v>16</v>
      </c>
    </row>
    <row r="185" spans="5:8">
      <c r="E185" s="23" t="s">
        <v>16</v>
      </c>
      <c r="F185" s="23" t="s">
        <v>16</v>
      </c>
      <c r="G185" s="23" t="s">
        <v>16</v>
      </c>
      <c r="H185" s="23" t="s">
        <v>16</v>
      </c>
    </row>
    <row r="186" spans="5:8">
      <c r="E186" s="23" t="s">
        <v>16</v>
      </c>
      <c r="F186" s="23" t="s">
        <v>16</v>
      </c>
      <c r="G186" s="23" t="s">
        <v>16</v>
      </c>
      <c r="H186" s="23" t="s">
        <v>16</v>
      </c>
    </row>
    <row r="187" spans="5:8">
      <c r="E187" s="23" t="s">
        <v>16</v>
      </c>
      <c r="F187" s="23" t="s">
        <v>16</v>
      </c>
      <c r="G187" s="23" t="s">
        <v>16</v>
      </c>
      <c r="H187" s="23" t="s">
        <v>16</v>
      </c>
    </row>
    <row r="188" spans="5:8">
      <c r="E188" s="23" t="s">
        <v>16</v>
      </c>
      <c r="F188" s="23" t="s">
        <v>16</v>
      </c>
      <c r="G188" s="23" t="s">
        <v>16</v>
      </c>
      <c r="H188" s="23" t="s">
        <v>16</v>
      </c>
    </row>
    <row r="189" spans="5:8">
      <c r="E189" s="23" t="s">
        <v>16</v>
      </c>
      <c r="F189" s="23" t="s">
        <v>16</v>
      </c>
      <c r="G189" s="23" t="s">
        <v>16</v>
      </c>
      <c r="H189" s="23" t="s">
        <v>16</v>
      </c>
    </row>
    <row r="190" spans="5:8">
      <c r="E190" s="23" t="s">
        <v>16</v>
      </c>
      <c r="F190" s="23" t="s">
        <v>16</v>
      </c>
      <c r="G190" s="23" t="s">
        <v>16</v>
      </c>
      <c r="H190" s="23" t="s">
        <v>16</v>
      </c>
    </row>
    <row r="191" spans="5:8">
      <c r="E191" s="23" t="s">
        <v>16</v>
      </c>
      <c r="F191" s="23" t="s">
        <v>16</v>
      </c>
      <c r="G191" s="23" t="s">
        <v>16</v>
      </c>
      <c r="H191" s="23" t="s">
        <v>16</v>
      </c>
    </row>
    <row r="192" spans="5:8">
      <c r="E192" s="23" t="s">
        <v>16</v>
      </c>
      <c r="F192" s="23" t="s">
        <v>16</v>
      </c>
      <c r="G192" s="23" t="s">
        <v>16</v>
      </c>
      <c r="H192" s="23" t="s">
        <v>16</v>
      </c>
    </row>
    <row r="193" spans="5:8">
      <c r="E193" s="23" t="s">
        <v>16</v>
      </c>
      <c r="F193" s="23" t="s">
        <v>16</v>
      </c>
      <c r="G193" s="23" t="s">
        <v>16</v>
      </c>
      <c r="H193" s="23" t="s">
        <v>16</v>
      </c>
    </row>
    <row r="194" spans="5:8">
      <c r="E194" s="23" t="s">
        <v>16</v>
      </c>
      <c r="F194" s="23" t="s">
        <v>16</v>
      </c>
      <c r="G194" s="23" t="s">
        <v>16</v>
      </c>
      <c r="H194" s="23" t="s">
        <v>16</v>
      </c>
    </row>
    <row r="195" spans="5:8">
      <c r="E195" s="23" t="s">
        <v>16</v>
      </c>
      <c r="F195" s="23" t="s">
        <v>16</v>
      </c>
      <c r="G195" s="23" t="s">
        <v>16</v>
      </c>
      <c r="H195" s="23" t="s">
        <v>16</v>
      </c>
    </row>
    <row r="196" spans="5:8">
      <c r="E196" s="23" t="s">
        <v>16</v>
      </c>
      <c r="F196" s="23" t="s">
        <v>16</v>
      </c>
      <c r="G196" s="23" t="s">
        <v>16</v>
      </c>
      <c r="H196" s="23" t="s">
        <v>16</v>
      </c>
    </row>
    <row r="197" spans="5:8">
      <c r="E197" s="23" t="s">
        <v>16</v>
      </c>
      <c r="F197" s="23" t="s">
        <v>16</v>
      </c>
      <c r="G197" s="23" t="s">
        <v>16</v>
      </c>
      <c r="H197" s="23" t="s">
        <v>16</v>
      </c>
    </row>
    <row r="198" spans="5:8">
      <c r="E198" s="23" t="s">
        <v>16</v>
      </c>
      <c r="F198" s="23" t="s">
        <v>16</v>
      </c>
      <c r="G198" s="23" t="s">
        <v>16</v>
      </c>
      <c r="H198" s="23" t="s">
        <v>16</v>
      </c>
    </row>
    <row r="199" spans="5:8">
      <c r="E199" s="23" t="s">
        <v>16</v>
      </c>
      <c r="F199" s="23" t="s">
        <v>16</v>
      </c>
      <c r="G199" s="23" t="s">
        <v>16</v>
      </c>
      <c r="H199" s="23" t="s">
        <v>16</v>
      </c>
    </row>
    <row r="200" spans="5:8">
      <c r="E200" s="23" t="s">
        <v>16</v>
      </c>
      <c r="F200" s="23" t="s">
        <v>16</v>
      </c>
      <c r="G200" s="23" t="s">
        <v>16</v>
      </c>
      <c r="H200" s="23" t="s">
        <v>16</v>
      </c>
    </row>
    <row r="201" spans="5:8">
      <c r="E201" s="23" t="s">
        <v>16</v>
      </c>
      <c r="F201" s="23" t="s">
        <v>16</v>
      </c>
      <c r="G201" s="23" t="s">
        <v>16</v>
      </c>
      <c r="H201" s="23" t="s">
        <v>16</v>
      </c>
    </row>
    <row r="202" spans="5:8">
      <c r="E202" s="23" t="s">
        <v>16</v>
      </c>
      <c r="F202" s="23" t="s">
        <v>16</v>
      </c>
      <c r="G202" s="23" t="s">
        <v>16</v>
      </c>
      <c r="H202" s="23" t="s">
        <v>16</v>
      </c>
    </row>
    <row r="203" spans="5:8">
      <c r="E203" s="23" t="s">
        <v>16</v>
      </c>
      <c r="F203" s="23" t="s">
        <v>16</v>
      </c>
      <c r="G203" s="23" t="s">
        <v>16</v>
      </c>
      <c r="H203" s="23" t="s">
        <v>16</v>
      </c>
    </row>
    <row r="204" spans="5:8">
      <c r="E204" s="23"/>
      <c r="F204" s="23"/>
      <c r="G204" s="23"/>
      <c r="H204" s="23"/>
    </row>
    <row r="205" spans="5:8">
      <c r="E205" s="23"/>
      <c r="F205" s="23"/>
      <c r="G205" s="23"/>
      <c r="H205" s="23"/>
    </row>
    <row r="206" spans="5:8">
      <c r="E206" s="23"/>
      <c r="F206" s="23"/>
      <c r="G206" s="23"/>
      <c r="H206" s="23"/>
    </row>
    <row r="207" spans="5:8">
      <c r="E207" s="23"/>
      <c r="F207" s="23"/>
      <c r="G207" s="23"/>
      <c r="H207" s="23"/>
    </row>
    <row r="208" spans="5:8">
      <c r="E208" s="23"/>
      <c r="F208" s="23"/>
      <c r="G208" s="23"/>
      <c r="H208" s="23"/>
    </row>
    <row r="209" spans="5:8">
      <c r="E209" s="23"/>
      <c r="F209" s="23"/>
      <c r="G209" s="23"/>
      <c r="H209" s="23"/>
    </row>
    <row r="210" spans="5:8">
      <c r="E210" s="23"/>
      <c r="F210" s="23"/>
      <c r="G210" s="23"/>
      <c r="H210" s="23"/>
    </row>
    <row r="211" spans="5:8">
      <c r="E211" s="23"/>
      <c r="F211" s="23"/>
      <c r="G211" s="23"/>
      <c r="H211" s="23"/>
    </row>
    <row r="212" spans="5:8">
      <c r="E212" s="23"/>
      <c r="F212" s="23"/>
      <c r="G212" s="23"/>
      <c r="H212" s="23"/>
    </row>
    <row r="213" spans="5:8">
      <c r="E213" s="23"/>
      <c r="F213" s="23"/>
      <c r="G213" s="23"/>
      <c r="H213" s="23"/>
    </row>
    <row r="214" spans="5:8">
      <c r="E214" s="23"/>
      <c r="F214" s="23"/>
      <c r="G214" s="23"/>
      <c r="H214" s="23"/>
    </row>
    <row r="215" spans="5:8">
      <c r="E215" s="23"/>
      <c r="F215" s="23"/>
      <c r="G215" s="23"/>
      <c r="H215" s="23"/>
    </row>
    <row r="216" spans="5:8">
      <c r="E216" s="23"/>
      <c r="F216" s="23"/>
      <c r="G216" s="23"/>
      <c r="H216" s="23"/>
    </row>
    <row r="217" spans="5:8">
      <c r="E217" s="23"/>
      <c r="F217" s="23"/>
      <c r="G217" s="23"/>
      <c r="H217" s="23"/>
    </row>
    <row r="218" spans="5:8">
      <c r="E218" s="23"/>
      <c r="F218" s="23"/>
      <c r="G218" s="23"/>
      <c r="H218" s="23"/>
    </row>
    <row r="219" spans="5:8">
      <c r="E219" s="23"/>
      <c r="F219" s="23"/>
      <c r="G219" s="23"/>
      <c r="H219" s="23"/>
    </row>
    <row r="220" spans="5:8">
      <c r="E220" s="23"/>
      <c r="F220" s="23"/>
      <c r="G220" s="23"/>
      <c r="H220" s="23"/>
    </row>
    <row r="221" spans="5:8">
      <c r="E221" s="23"/>
      <c r="F221" s="23"/>
      <c r="G221" s="23"/>
      <c r="H221" s="23"/>
    </row>
  </sheetData>
  <autoFilter xmlns:etc="http://www.wps.cn/officeDocument/2017/etCustomData" ref="A5:H203" etc:filterBottomFollowUsedRange="0">
    <sortState ref="A5:H203">
      <sortCondition ref="B5:B202"/>
    </sortState>
    <extLst/>
  </autoFilter>
  <mergeCells count="9">
    <mergeCell ref="A2:H2"/>
    <mergeCell ref="C3:D3"/>
    <mergeCell ref="E3:H3"/>
    <mergeCell ref="A3:A4"/>
    <mergeCell ref="B3:B4"/>
    <mergeCell ref="L14:L15"/>
    <mergeCell ref="O5:O8"/>
    <mergeCell ref="O9:O12"/>
    <mergeCell ref="O14:O15"/>
  </mergeCells>
  <conditionalFormatting sqref="B42">
    <cfRule type="colorScale" priority="3">
      <colorScale>
        <cfvo type="min"/>
        <cfvo type="max"/>
        <color rgb="FFFF7128"/>
        <color rgb="FFFFEF9C"/>
      </colorScale>
    </cfRule>
    <cfRule type="dataBar" priority="4">
      <dataBar>
        <cfvo type="min"/>
        <cfvo type="max"/>
        <color rgb="FF638EC6"/>
      </dataBar>
      <extLst>
        <ext xmlns:x14="http://schemas.microsoft.com/office/spreadsheetml/2009/9/main" uri="{B025F937-C7B1-47D3-B67F-A62EFF666E3E}">
          <x14:id>{1ae60efb-e386-47ab-a5d1-be52353f5750}</x14:id>
        </ext>
      </extLst>
    </cfRule>
  </conditionalFormatting>
  <conditionalFormatting sqref="B71">
    <cfRule type="colorScale" priority="1">
      <colorScale>
        <cfvo type="min"/>
        <cfvo type="max"/>
        <color rgb="FFFF7128"/>
        <color rgb="FFFFEF9C"/>
      </colorScale>
    </cfRule>
    <cfRule type="dataBar" priority="2">
      <dataBar>
        <cfvo type="min"/>
        <cfvo type="max"/>
        <color rgb="FF638EC6"/>
      </dataBar>
      <extLst>
        <ext xmlns:x14="http://schemas.microsoft.com/office/spreadsheetml/2009/9/main" uri="{B025F937-C7B1-47D3-B67F-A62EFF666E3E}">
          <x14:id>{0f6f19c0-c6a5-4a93-ad7c-c9a34d5412ba}</x14:id>
        </ext>
      </extLst>
    </cfRule>
  </conditionalFormatting>
  <conditionalFormatting sqref="B244:B1048576 B2">
    <cfRule type="colorScale" priority="7">
      <colorScale>
        <cfvo type="min"/>
        <cfvo type="max"/>
        <color rgb="FFFF7128"/>
        <color rgb="FFFFEF9C"/>
      </colorScale>
    </cfRule>
    <cfRule type="dataBar" priority="8">
      <dataBar>
        <cfvo type="min"/>
        <cfvo type="max"/>
        <color rgb="FF638EC6"/>
      </dataBar>
      <extLst>
        <ext xmlns:x14="http://schemas.microsoft.com/office/spreadsheetml/2009/9/main" uri="{B025F937-C7B1-47D3-B67F-A62EFF666E3E}">
          <x14:id>{bcbb8930-9d6b-429a-9e53-dab986cbb3b6}</x14:id>
        </ext>
      </extLst>
    </cfRule>
  </conditionalFormatting>
  <conditionalFormatting sqref="B3:B41 B43:B70 B72:B243">
    <cfRule type="colorScale" priority="5">
      <colorScale>
        <cfvo type="min"/>
        <cfvo type="max"/>
        <color rgb="FFFF7128"/>
        <color rgb="FFFFEF9C"/>
      </colorScale>
    </cfRule>
    <cfRule type="dataBar" priority="6">
      <dataBar>
        <cfvo type="min"/>
        <cfvo type="max"/>
        <color rgb="FF638EC6"/>
      </dataBar>
      <extLst>
        <ext xmlns:x14="http://schemas.microsoft.com/office/spreadsheetml/2009/9/main" uri="{B025F937-C7B1-47D3-B67F-A62EFF666E3E}">
          <x14:id>{24ef8232-0bed-41a0-b3ae-27da91d1275d}</x14:id>
        </ext>
      </extLst>
    </cfRule>
  </conditionalFormatting>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4" manualBreakCount="4">
    <brk id="23" max="7" man="1"/>
    <brk id="43" max="7" man="1"/>
    <brk id="61" max="7" man="1"/>
    <brk id="83" max="7" man="1"/>
  </rowBreaks>
  <colBreaks count="1" manualBreakCount="1">
    <brk id="8" max="1048575" man="1"/>
  </colBreaks>
  <extLst>
    <ext xmlns:x14="http://schemas.microsoft.com/office/spreadsheetml/2009/9/main" uri="{78C0D931-6437-407d-A8EE-F0AAD7539E65}">
      <x14:conditionalFormattings>
        <x14:conditionalFormatting xmlns:xm="http://schemas.microsoft.com/office/excel/2006/main">
          <x14:cfRule type="dataBar" id="{1ae60efb-e386-47ab-a5d1-be52353f5750}">
            <x14:dataBar minLength="0" maxLength="100" gradient="0">
              <x14:cfvo type="autoMin"/>
              <x14:cfvo type="autoMax"/>
              <x14:negativeFillColor rgb="FFFF0000"/>
              <x14:axisColor rgb="FF000000"/>
            </x14:dataBar>
          </x14:cfRule>
          <xm:sqref>B42</xm:sqref>
        </x14:conditionalFormatting>
        <x14:conditionalFormatting xmlns:xm="http://schemas.microsoft.com/office/excel/2006/main">
          <x14:cfRule type="dataBar" id="{0f6f19c0-c6a5-4a93-ad7c-c9a34d5412ba}">
            <x14:dataBar minLength="0" maxLength="100" gradient="0">
              <x14:cfvo type="autoMin"/>
              <x14:cfvo type="autoMax"/>
              <x14:negativeFillColor rgb="FFFF0000"/>
              <x14:axisColor rgb="FF000000"/>
            </x14:dataBar>
          </x14:cfRule>
          <xm:sqref>B71</xm:sqref>
        </x14:conditionalFormatting>
        <x14:conditionalFormatting xmlns:xm="http://schemas.microsoft.com/office/excel/2006/main">
          <x14:cfRule type="dataBar" id="{bcbb8930-9d6b-429a-9e53-dab986cbb3b6}">
            <x14:dataBar minLength="0" maxLength="100" gradient="0">
              <x14:cfvo type="autoMin"/>
              <x14:cfvo type="autoMax"/>
              <x14:negativeFillColor rgb="FFFF0000"/>
              <x14:axisColor rgb="FF000000"/>
            </x14:dataBar>
          </x14:cfRule>
          <xm:sqref>B244:B1048576 B2</xm:sqref>
        </x14:conditionalFormatting>
        <x14:conditionalFormatting xmlns:xm="http://schemas.microsoft.com/office/excel/2006/main">
          <x14:cfRule type="dataBar" id="{24ef8232-0bed-41a0-b3ae-27da91d1275d}">
            <x14:dataBar minLength="0" maxLength="100" gradient="0">
              <x14:cfvo type="autoMin"/>
              <x14:cfvo type="autoMax"/>
              <x14:negativeFillColor rgb="FFFF0000"/>
              <x14:axisColor rgb="FF000000"/>
            </x14:dataBar>
          </x14:cfRule>
          <xm:sqref>B3:B41 B43:B70 B72:B243</xm:sqref>
        </x14:conditionalFormatting>
      </x14:conditionalFormatting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pageSetUpPr fitToPage="1"/>
  </sheetPr>
  <dimension ref="A1:AJ900"/>
  <sheetViews>
    <sheetView view="pageBreakPreview" zoomScale="90" zoomScaleNormal="85" workbookViewId="0">
      <pane ySplit="4" topLeftCell="A5" activePane="bottomLeft" state="frozen"/>
      <selection/>
      <selection pane="bottomLeft" activeCell="E27" sqref="E27"/>
    </sheetView>
  </sheetViews>
  <sheetFormatPr defaultColWidth="9.12962962962963" defaultRowHeight="13.8"/>
  <cols>
    <col min="1" max="1" width="7.62962962962963" style="3" customWidth="1"/>
    <col min="2" max="2" width="39.5" style="3" customWidth="1"/>
    <col min="3" max="4" width="30.75" style="4" customWidth="1"/>
    <col min="5" max="8" width="13.8796296296296" style="1" customWidth="1"/>
    <col min="9" max="10" width="9.12962962962963" style="3" hidden="1" customWidth="1"/>
    <col min="11" max="11" width="27.8796296296296" style="3" hidden="1" customWidth="1"/>
    <col min="12" max="12" width="28.1296296296296" style="3" hidden="1" customWidth="1"/>
    <col min="13" max="13" width="10.8796296296296" style="3" hidden="1" customWidth="1"/>
    <col min="14" max="35" width="9.12962962962963" style="3" hidden="1" customWidth="1"/>
    <col min="36" max="16384" width="9.12962962962963" style="3"/>
  </cols>
  <sheetData>
    <row r="1" spans="1:36">
      <c r="A1" s="6" t="s">
        <v>2374</v>
      </c>
      <c r="B1" s="6"/>
      <c r="C1" s="7"/>
      <c r="D1" s="7"/>
      <c r="E1" s="6"/>
      <c r="F1" s="6"/>
      <c r="G1" s="6"/>
      <c r="H1" s="6"/>
    </row>
    <row r="2" spans="1:36">
      <c r="A2" s="8" t="s">
        <v>4</v>
      </c>
      <c r="B2" s="8"/>
      <c r="C2" s="8"/>
      <c r="D2" s="8"/>
      <c r="E2" s="8"/>
      <c r="F2" s="8"/>
      <c r="G2" s="8"/>
      <c r="H2" s="8"/>
    </row>
    <row r="3" s="1" customFormat="1" spans="1:36">
      <c r="A3" s="9" t="s">
        <v>5</v>
      </c>
      <c r="B3" s="9" t="s">
        <v>6</v>
      </c>
      <c r="C3" s="9" t="s">
        <v>7</v>
      </c>
      <c r="D3" s="9"/>
      <c r="E3" s="9" t="s">
        <v>8</v>
      </c>
      <c r="F3" s="9"/>
      <c r="G3" s="9"/>
      <c r="H3" s="9"/>
    </row>
    <row r="4" spans="1:36">
      <c r="A4" s="11"/>
      <c r="B4" s="11"/>
      <c r="C4" s="9" t="s">
        <v>9</v>
      </c>
      <c r="D4" s="9" t="s">
        <v>10</v>
      </c>
      <c r="E4" s="10" t="s">
        <v>11</v>
      </c>
      <c r="F4" s="10" t="s">
        <v>12</v>
      </c>
      <c r="G4" s="10" t="s">
        <v>13</v>
      </c>
      <c r="H4" s="10" t="s">
        <v>14</v>
      </c>
    </row>
    <row r="5" spans="1:36">
      <c r="A5" s="39" t="s">
        <v>140</v>
      </c>
      <c r="B5" s="15"/>
      <c r="C5" s="15"/>
      <c r="D5" s="15"/>
      <c r="E5" s="21" t="s">
        <v>16</v>
      </c>
      <c r="F5" s="21" t="s">
        <v>16</v>
      </c>
      <c r="G5" s="21" t="s">
        <v>16</v>
      </c>
      <c r="H5" s="21" t="s">
        <v>16</v>
      </c>
    </row>
    <row r="6" spans="1:36">
      <c r="A6" s="16">
        <v>1</v>
      </c>
      <c r="B6" s="17" t="s">
        <v>2360</v>
      </c>
      <c r="C6" s="15"/>
      <c r="D6" s="15"/>
      <c r="E6" s="21" t="s">
        <v>16</v>
      </c>
      <c r="F6" s="21" t="s">
        <v>16</v>
      </c>
      <c r="G6" s="21" t="s">
        <v>16</v>
      </c>
      <c r="H6" s="21" t="s">
        <v>16</v>
      </c>
    </row>
    <row r="7" ht="29.25" customHeight="1" spans="1:36">
      <c r="A7" s="16"/>
      <c r="B7" s="18" t="s">
        <v>2375</v>
      </c>
      <c r="C7" s="18"/>
      <c r="D7" s="18"/>
      <c r="E7" s="21">
        <v>500000</v>
      </c>
      <c r="F7" s="21">
        <v>300000</v>
      </c>
      <c r="G7" s="21">
        <v>200000</v>
      </c>
      <c r="H7" s="22">
        <v>0</v>
      </c>
      <c r="I7" s="16">
        <v>1</v>
      </c>
      <c r="J7" s="18" t="s">
        <v>2199</v>
      </c>
      <c r="K7" s="18" t="s">
        <v>2376</v>
      </c>
      <c r="L7" s="18" t="s">
        <v>2377</v>
      </c>
      <c r="M7" s="110">
        <v>316000</v>
      </c>
      <c r="N7" s="110">
        <v>221000</v>
      </c>
      <c r="O7" s="110">
        <v>156000</v>
      </c>
      <c r="P7" s="3">
        <f t="shared" ref="P7:P9" si="0">N7/M7</f>
        <v>0.699367088607595</v>
      </c>
      <c r="Q7" s="3">
        <f t="shared" ref="Q7:Q9" si="1">O7/M7</f>
        <v>0.493670886075949</v>
      </c>
      <c r="R7" s="16">
        <v>4</v>
      </c>
      <c r="S7" s="18" t="s">
        <v>2199</v>
      </c>
      <c r="T7" s="18" t="s">
        <v>2378</v>
      </c>
      <c r="U7" s="18" t="s">
        <v>2379</v>
      </c>
      <c r="V7" s="110">
        <v>966000</v>
      </c>
      <c r="W7" s="110">
        <v>414000</v>
      </c>
      <c r="X7" s="110">
        <v>221000</v>
      </c>
      <c r="Y7" s="3">
        <f>W7/V7</f>
        <v>0.428571428571429</v>
      </c>
      <c r="Z7" s="3">
        <f>X7/V7</f>
        <v>0.228778467908903</v>
      </c>
      <c r="AA7" s="16">
        <v>8</v>
      </c>
      <c r="AB7" s="18" t="s">
        <v>2199</v>
      </c>
      <c r="AC7" s="18" t="s">
        <v>2380</v>
      </c>
      <c r="AD7" s="18" t="s">
        <v>2381</v>
      </c>
      <c r="AE7" s="110">
        <v>288000</v>
      </c>
      <c r="AF7" s="110">
        <v>200000</v>
      </c>
      <c r="AG7" s="110">
        <v>144000</v>
      </c>
      <c r="AH7" s="3">
        <f>AF7/AE7</f>
        <v>0.694444444444444</v>
      </c>
      <c r="AI7" s="3">
        <f>AG7/AE7</f>
        <v>0.5</v>
      </c>
    </row>
    <row r="8" ht="41.4" spans="1:36">
      <c r="A8" s="16"/>
      <c r="B8" s="18" t="s">
        <v>2382</v>
      </c>
      <c r="C8" s="18"/>
      <c r="D8" s="18"/>
      <c r="E8" s="21">
        <v>485000</v>
      </c>
      <c r="F8" s="21">
        <v>270000</v>
      </c>
      <c r="G8" s="21">
        <v>175000</v>
      </c>
      <c r="H8" s="22">
        <v>0</v>
      </c>
      <c r="I8" s="16">
        <v>2</v>
      </c>
      <c r="J8" s="18" t="s">
        <v>2199</v>
      </c>
      <c r="K8" s="18" t="s">
        <v>2383</v>
      </c>
      <c r="L8" s="18" t="s">
        <v>2384</v>
      </c>
      <c r="M8" s="110">
        <v>300000</v>
      </c>
      <c r="N8" s="110">
        <v>209000</v>
      </c>
      <c r="O8" s="110">
        <v>150000</v>
      </c>
      <c r="P8" s="3">
        <f t="shared" si="0"/>
        <v>0.696666666666667</v>
      </c>
      <c r="Q8" s="3">
        <f t="shared" si="1"/>
        <v>0.5</v>
      </c>
      <c r="R8" s="16">
        <v>5</v>
      </c>
      <c r="S8" s="18" t="s">
        <v>2199</v>
      </c>
      <c r="T8" s="18" t="s">
        <v>2385</v>
      </c>
      <c r="U8" s="18" t="s">
        <v>2386</v>
      </c>
      <c r="V8" s="110">
        <v>288000</v>
      </c>
      <c r="W8" s="110">
        <v>200000</v>
      </c>
      <c r="X8" s="110">
        <v>144000</v>
      </c>
      <c r="Y8" s="3">
        <f>W8/V8</f>
        <v>0.694444444444444</v>
      </c>
      <c r="Z8" s="3">
        <f>X8/V8</f>
        <v>0.5</v>
      </c>
      <c r="AA8" s="16">
        <v>9</v>
      </c>
      <c r="AB8" s="18" t="s">
        <v>2199</v>
      </c>
      <c r="AC8" s="18" t="s">
        <v>2387</v>
      </c>
      <c r="AD8" s="18" t="s">
        <v>2388</v>
      </c>
      <c r="AE8" s="110">
        <v>230000</v>
      </c>
      <c r="AF8" s="110">
        <v>145000</v>
      </c>
      <c r="AG8" s="110">
        <v>120000</v>
      </c>
      <c r="AH8" s="3">
        <f>AF8/AE8</f>
        <v>0.630434782608696</v>
      </c>
      <c r="AI8" s="3">
        <f>AG8/AE8</f>
        <v>0.521739130434783</v>
      </c>
      <c r="AJ8" s="3" t="s">
        <v>2389</v>
      </c>
    </row>
    <row r="9" ht="41.4" spans="1:36">
      <c r="A9" s="16"/>
      <c r="B9" s="18" t="s">
        <v>2390</v>
      </c>
      <c r="C9" s="18"/>
      <c r="D9" s="18"/>
      <c r="E9" s="23">
        <v>375000</v>
      </c>
      <c r="F9" s="23">
        <v>250000</v>
      </c>
      <c r="G9" s="23">
        <v>190000</v>
      </c>
      <c r="H9" s="23">
        <v>0</v>
      </c>
      <c r="I9" s="16">
        <v>3</v>
      </c>
      <c r="J9" s="18" t="s">
        <v>2199</v>
      </c>
      <c r="K9" s="18" t="s">
        <v>2391</v>
      </c>
      <c r="L9" s="18" t="s">
        <v>2392</v>
      </c>
      <c r="M9" s="110">
        <v>1008000</v>
      </c>
      <c r="N9" s="110">
        <v>432000</v>
      </c>
      <c r="O9" s="110">
        <v>230000</v>
      </c>
      <c r="P9" s="3">
        <f t="shared" si="0"/>
        <v>0.428571428571429</v>
      </c>
      <c r="Q9" s="3">
        <f t="shared" si="1"/>
        <v>0.228174603174603</v>
      </c>
      <c r="Y9" s="3">
        <v>0.56</v>
      </c>
      <c r="Z9" s="3">
        <v>0.36</v>
      </c>
      <c r="AH9" s="3">
        <v>0.66</v>
      </c>
      <c r="AI9" s="3">
        <v>0.51</v>
      </c>
      <c r="AJ9" s="3" t="s">
        <v>2389</v>
      </c>
    </row>
    <row r="10" spans="1:36">
      <c r="A10" s="16">
        <v>2</v>
      </c>
      <c r="B10" s="17" t="s">
        <v>2393</v>
      </c>
      <c r="C10" s="39"/>
      <c r="D10" s="39"/>
      <c r="E10" s="23" t="s">
        <v>16</v>
      </c>
      <c r="F10" s="23" t="s">
        <v>16</v>
      </c>
      <c r="G10" s="23" t="s">
        <v>16</v>
      </c>
      <c r="H10" s="23" t="s">
        <v>16</v>
      </c>
      <c r="I10" s="53"/>
      <c r="J10" s="28"/>
      <c r="K10" s="28"/>
      <c r="L10" s="28"/>
      <c r="M10" s="111"/>
      <c r="N10" s="111"/>
      <c r="O10" s="111"/>
    </row>
    <row r="11" ht="55.2" spans="1:36">
      <c r="A11" s="16"/>
      <c r="B11" s="18" t="s">
        <v>2394</v>
      </c>
      <c r="C11" s="18"/>
      <c r="D11" s="18"/>
      <c r="E11" s="23">
        <v>450000</v>
      </c>
      <c r="F11" s="23">
        <v>190000</v>
      </c>
      <c r="G11" s="23">
        <v>110000</v>
      </c>
      <c r="H11" s="23">
        <v>0</v>
      </c>
      <c r="P11" s="3">
        <v>0.6</v>
      </c>
      <c r="Q11" s="3">
        <v>0.4</v>
      </c>
    </row>
    <row r="12" ht="41.4" spans="1:36">
      <c r="A12" s="16"/>
      <c r="B12" s="18" t="s">
        <v>2395</v>
      </c>
      <c r="C12" s="18"/>
      <c r="D12" s="18"/>
      <c r="E12" s="23">
        <v>375000</v>
      </c>
      <c r="F12" s="23">
        <v>155000</v>
      </c>
      <c r="G12" s="23">
        <v>85000</v>
      </c>
      <c r="H12" s="23">
        <v>0</v>
      </c>
    </row>
    <row r="13" ht="41.4" spans="1:36">
      <c r="A13" s="16"/>
      <c r="B13" s="18" t="s">
        <v>2396</v>
      </c>
      <c r="C13" s="18"/>
      <c r="D13" s="18"/>
      <c r="E13" s="23">
        <v>375000</v>
      </c>
      <c r="F13" s="23">
        <v>155000</v>
      </c>
      <c r="G13" s="23">
        <v>85000</v>
      </c>
      <c r="H13" s="23">
        <v>0</v>
      </c>
      <c r="AJ13" s="3" t="s">
        <v>2397</v>
      </c>
    </row>
    <row r="14" spans="1:36">
      <c r="A14" s="16">
        <v>3</v>
      </c>
      <c r="B14" s="17" t="s">
        <v>141</v>
      </c>
      <c r="C14" s="39"/>
      <c r="D14" s="39"/>
      <c r="E14" s="23" t="s">
        <v>16</v>
      </c>
      <c r="F14" s="23" t="s">
        <v>16</v>
      </c>
      <c r="G14" s="23" t="s">
        <v>16</v>
      </c>
      <c r="H14" s="23" t="s">
        <v>16</v>
      </c>
    </row>
    <row r="15" ht="27.6" spans="1:36">
      <c r="A15" s="16"/>
      <c r="B15" s="18" t="s">
        <v>2398</v>
      </c>
      <c r="C15" s="18"/>
      <c r="D15" s="18"/>
      <c r="E15" s="23">
        <v>500000</v>
      </c>
      <c r="F15" s="23">
        <v>215000</v>
      </c>
      <c r="G15" s="23">
        <v>115000</v>
      </c>
      <c r="H15" s="23">
        <v>0</v>
      </c>
    </row>
    <row r="16" ht="27.6" spans="1:36">
      <c r="A16" s="16"/>
      <c r="B16" s="18" t="s">
        <v>2399</v>
      </c>
      <c r="C16" s="18"/>
      <c r="D16" s="18"/>
      <c r="E16" s="23">
        <v>375000</v>
      </c>
      <c r="F16" s="23">
        <v>235000</v>
      </c>
      <c r="G16" s="23">
        <v>195000</v>
      </c>
      <c r="H16" s="23">
        <v>0</v>
      </c>
    </row>
    <row r="17" ht="41.4" spans="1:36">
      <c r="A17" s="16">
        <v>4</v>
      </c>
      <c r="B17" s="18" t="s">
        <v>2400</v>
      </c>
      <c r="C17" s="18"/>
      <c r="D17" s="18"/>
      <c r="E17" s="23">
        <v>375000</v>
      </c>
      <c r="F17" s="23">
        <v>310000</v>
      </c>
      <c r="G17" s="23">
        <v>275000</v>
      </c>
      <c r="H17" s="23">
        <v>0</v>
      </c>
    </row>
    <row r="18" ht="41.4" spans="1:36">
      <c r="A18" s="16">
        <v>5</v>
      </c>
      <c r="B18" s="18" t="s">
        <v>2401</v>
      </c>
      <c r="C18" s="18"/>
      <c r="D18" s="18"/>
      <c r="E18" s="23">
        <v>145000</v>
      </c>
      <c r="F18" s="23">
        <v>120000</v>
      </c>
      <c r="G18" s="23">
        <v>105000</v>
      </c>
      <c r="H18" s="23">
        <v>0</v>
      </c>
    </row>
    <row r="19" spans="1:36">
      <c r="A19" s="39" t="s">
        <v>167</v>
      </c>
      <c r="B19" s="13"/>
      <c r="C19" s="39"/>
      <c r="D19" s="39"/>
      <c r="E19" s="23" t="s">
        <v>16</v>
      </c>
      <c r="F19" s="23" t="s">
        <v>16</v>
      </c>
      <c r="G19" s="23" t="s">
        <v>16</v>
      </c>
      <c r="H19" s="23" t="s">
        <v>16</v>
      </c>
    </row>
    <row r="20" ht="55.2" spans="1:36">
      <c r="A20" s="16">
        <v>6</v>
      </c>
      <c r="B20" s="18" t="s">
        <v>2402</v>
      </c>
      <c r="C20" s="18"/>
      <c r="D20" s="18"/>
      <c r="E20" s="23">
        <v>60000</v>
      </c>
      <c r="F20" s="23">
        <v>55000</v>
      </c>
      <c r="G20" s="23">
        <v>0</v>
      </c>
      <c r="H20" s="23">
        <v>0</v>
      </c>
    </row>
    <row r="21" ht="27.6" spans="1:36">
      <c r="A21" s="16">
        <v>7</v>
      </c>
      <c r="B21" s="18" t="s">
        <v>2403</v>
      </c>
      <c r="C21" s="18"/>
      <c r="D21" s="18"/>
      <c r="E21" s="23">
        <v>55000</v>
      </c>
      <c r="F21" s="23">
        <v>45000</v>
      </c>
      <c r="G21" s="23">
        <v>0</v>
      </c>
      <c r="H21" s="23">
        <v>0</v>
      </c>
      <c r="AJ21" s="3" t="s">
        <v>2404</v>
      </c>
    </row>
    <row r="22" spans="1:36">
      <c r="A22" s="16">
        <v>8</v>
      </c>
      <c r="B22" s="20" t="s">
        <v>2405</v>
      </c>
      <c r="C22" s="18"/>
      <c r="D22" s="18"/>
      <c r="E22" s="23">
        <v>30000</v>
      </c>
      <c r="F22" s="23">
        <v>0</v>
      </c>
      <c r="G22" s="23">
        <v>0</v>
      </c>
      <c r="H22" s="23">
        <v>0</v>
      </c>
    </row>
    <row r="23" spans="1:36">
      <c r="A23" s="20"/>
      <c r="B23" s="20"/>
      <c r="C23" s="18"/>
      <c r="D23" s="18"/>
      <c r="E23" s="23" t="s">
        <v>16</v>
      </c>
      <c r="F23" s="23" t="s">
        <v>16</v>
      </c>
      <c r="G23" s="23" t="s">
        <v>16</v>
      </c>
      <c r="H23" s="23" t="s">
        <v>16</v>
      </c>
    </row>
    <row r="24" spans="1:36">
      <c r="A24" s="20"/>
      <c r="B24" s="20"/>
      <c r="C24" s="18"/>
      <c r="D24" s="18"/>
      <c r="E24" s="23" t="s">
        <v>16</v>
      </c>
      <c r="F24" s="23" t="s">
        <v>16</v>
      </c>
      <c r="G24" s="23" t="s">
        <v>16</v>
      </c>
      <c r="H24" s="23" t="s">
        <v>16</v>
      </c>
    </row>
    <row r="25" spans="1:36">
      <c r="A25" s="20"/>
      <c r="B25" s="20"/>
      <c r="C25" s="18"/>
      <c r="D25" s="18"/>
      <c r="E25" s="23" t="s">
        <v>16</v>
      </c>
      <c r="F25" s="23" t="s">
        <v>16</v>
      </c>
      <c r="G25" s="23" t="s">
        <v>16</v>
      </c>
      <c r="H25" s="23" t="s">
        <v>16</v>
      </c>
    </row>
    <row r="26" spans="1:36">
      <c r="A26" s="20"/>
      <c r="B26" s="20"/>
      <c r="C26" s="18"/>
      <c r="D26" s="18"/>
      <c r="E26" s="23" t="s">
        <v>16</v>
      </c>
      <c r="F26" s="23" t="s">
        <v>16</v>
      </c>
      <c r="G26" s="23" t="s">
        <v>16</v>
      </c>
      <c r="H26" s="23" t="s">
        <v>16</v>
      </c>
    </row>
    <row r="27" spans="1:36">
      <c r="A27" s="20"/>
      <c r="B27" s="20"/>
      <c r="C27" s="18"/>
      <c r="D27" s="18"/>
      <c r="E27" s="23" t="s">
        <v>16</v>
      </c>
      <c r="F27" s="23" t="s">
        <v>16</v>
      </c>
      <c r="G27" s="23" t="s">
        <v>16</v>
      </c>
      <c r="H27" s="23" t="s">
        <v>16</v>
      </c>
    </row>
    <row r="28" spans="1:36">
      <c r="A28" s="20"/>
      <c r="B28" s="20"/>
      <c r="C28" s="18"/>
      <c r="D28" s="18"/>
      <c r="E28" s="23" t="s">
        <v>16</v>
      </c>
      <c r="F28" s="23" t="s">
        <v>16</v>
      </c>
      <c r="G28" s="23" t="s">
        <v>16</v>
      </c>
      <c r="H28" s="23" t="s">
        <v>16</v>
      </c>
    </row>
    <row r="29" spans="1:36">
      <c r="A29" s="20"/>
      <c r="B29" s="20"/>
      <c r="C29" s="18"/>
      <c r="D29" s="18"/>
      <c r="E29" s="23" t="s">
        <v>16</v>
      </c>
      <c r="F29" s="23" t="s">
        <v>16</v>
      </c>
      <c r="G29" s="23" t="s">
        <v>16</v>
      </c>
      <c r="H29" s="23" t="s">
        <v>16</v>
      </c>
    </row>
    <row r="30" spans="1:36">
      <c r="A30" s="20"/>
      <c r="B30" s="20"/>
      <c r="C30" s="18"/>
      <c r="D30" s="18"/>
      <c r="E30" s="23" t="s">
        <v>16</v>
      </c>
      <c r="F30" s="23" t="s">
        <v>16</v>
      </c>
      <c r="G30" s="23" t="s">
        <v>16</v>
      </c>
      <c r="H30" s="23" t="s">
        <v>16</v>
      </c>
    </row>
    <row r="31" spans="1:36">
      <c r="A31" s="16"/>
      <c r="B31" s="20"/>
      <c r="C31" s="18"/>
      <c r="D31" s="18"/>
      <c r="E31" s="23" t="s">
        <v>16</v>
      </c>
      <c r="F31" s="23" t="s">
        <v>16</v>
      </c>
      <c r="G31" s="23" t="s">
        <v>16</v>
      </c>
      <c r="H31" s="23" t="s">
        <v>16</v>
      </c>
    </row>
    <row r="32" spans="1:36">
      <c r="A32" s="20"/>
      <c r="B32" s="20"/>
      <c r="C32" s="18"/>
      <c r="D32" s="18"/>
      <c r="E32" s="23" t="s">
        <v>16</v>
      </c>
      <c r="F32" s="23" t="s">
        <v>16</v>
      </c>
      <c r="G32" s="23" t="s">
        <v>16</v>
      </c>
      <c r="H32" s="23" t="s">
        <v>16</v>
      </c>
    </row>
    <row r="33" spans="1:8">
      <c r="A33" s="20"/>
      <c r="B33" s="20"/>
      <c r="C33" s="18"/>
      <c r="D33" s="18"/>
      <c r="E33" s="23" t="s">
        <v>16</v>
      </c>
      <c r="F33" s="23" t="s">
        <v>16</v>
      </c>
      <c r="G33" s="23" t="s">
        <v>16</v>
      </c>
      <c r="H33" s="23" t="s">
        <v>16</v>
      </c>
    </row>
    <row r="34" spans="1:8">
      <c r="A34" s="20"/>
      <c r="B34" s="20"/>
      <c r="C34" s="18"/>
      <c r="D34" s="18"/>
      <c r="E34" s="23" t="s">
        <v>16</v>
      </c>
      <c r="F34" s="23" t="s">
        <v>16</v>
      </c>
      <c r="G34" s="23" t="s">
        <v>16</v>
      </c>
      <c r="H34" s="23" t="s">
        <v>16</v>
      </c>
    </row>
    <row r="35" spans="1:8">
      <c r="A35" s="20"/>
      <c r="B35" s="20"/>
      <c r="C35" s="18"/>
      <c r="D35" s="18"/>
      <c r="E35" s="23" t="s">
        <v>16</v>
      </c>
      <c r="F35" s="23" t="s">
        <v>16</v>
      </c>
      <c r="G35" s="23" t="s">
        <v>16</v>
      </c>
      <c r="H35" s="23" t="s">
        <v>16</v>
      </c>
    </row>
    <row r="36" spans="1:8">
      <c r="A36" s="20"/>
      <c r="B36" s="20"/>
      <c r="C36" s="18"/>
      <c r="D36" s="18"/>
      <c r="E36" s="23" t="s">
        <v>16</v>
      </c>
      <c r="F36" s="23" t="s">
        <v>16</v>
      </c>
      <c r="G36" s="23" t="s">
        <v>16</v>
      </c>
      <c r="H36" s="23" t="s">
        <v>16</v>
      </c>
    </row>
    <row r="37" spans="1:8">
      <c r="A37" s="20"/>
      <c r="B37" s="20"/>
      <c r="C37" s="18"/>
      <c r="D37" s="18"/>
      <c r="E37" s="23" t="s">
        <v>16</v>
      </c>
      <c r="F37" s="23" t="s">
        <v>16</v>
      </c>
      <c r="G37" s="23" t="s">
        <v>16</v>
      </c>
      <c r="H37" s="23" t="s">
        <v>16</v>
      </c>
    </row>
    <row r="38" spans="1:8">
      <c r="A38" s="20"/>
      <c r="B38" s="20"/>
      <c r="C38" s="18"/>
      <c r="D38" s="18"/>
      <c r="E38" s="23" t="s">
        <v>16</v>
      </c>
      <c r="F38" s="23" t="s">
        <v>16</v>
      </c>
      <c r="G38" s="23" t="s">
        <v>16</v>
      </c>
      <c r="H38" s="23" t="s">
        <v>16</v>
      </c>
    </row>
    <row r="39" spans="1:8">
      <c r="A39" s="20"/>
      <c r="B39" s="20"/>
      <c r="C39" s="18"/>
      <c r="D39" s="18"/>
      <c r="E39" s="23" t="s">
        <v>16</v>
      </c>
      <c r="F39" s="23" t="s">
        <v>16</v>
      </c>
      <c r="G39" s="23" t="s">
        <v>16</v>
      </c>
      <c r="H39" s="23" t="s">
        <v>16</v>
      </c>
    </row>
    <row r="40" spans="1:8">
      <c r="A40" s="20"/>
      <c r="B40" s="20"/>
      <c r="C40" s="18"/>
      <c r="D40" s="18"/>
      <c r="E40" s="23" t="s">
        <v>16</v>
      </c>
      <c r="F40" s="23" t="s">
        <v>16</v>
      </c>
      <c r="G40" s="23" t="s">
        <v>16</v>
      </c>
      <c r="H40" s="23" t="s">
        <v>16</v>
      </c>
    </row>
    <row r="41" spans="1:8">
      <c r="A41" s="20"/>
      <c r="B41" s="20"/>
      <c r="C41" s="18"/>
      <c r="D41" s="18"/>
      <c r="E41" s="23" t="s">
        <v>16</v>
      </c>
      <c r="F41" s="23" t="s">
        <v>16</v>
      </c>
      <c r="G41" s="23" t="s">
        <v>16</v>
      </c>
      <c r="H41" s="23" t="s">
        <v>16</v>
      </c>
    </row>
    <row r="42" spans="1:8">
      <c r="A42" s="20"/>
      <c r="B42" s="20"/>
      <c r="C42" s="18"/>
      <c r="D42" s="18"/>
      <c r="E42" s="23" t="s">
        <v>16</v>
      </c>
      <c r="F42" s="23" t="s">
        <v>16</v>
      </c>
      <c r="G42" s="23" t="s">
        <v>16</v>
      </c>
      <c r="H42" s="23" t="s">
        <v>16</v>
      </c>
    </row>
    <row r="43" spans="1:8">
      <c r="A43" s="20"/>
      <c r="B43" s="20"/>
      <c r="C43" s="18"/>
      <c r="D43" s="18"/>
      <c r="E43" s="23" t="s">
        <v>16</v>
      </c>
      <c r="F43" s="23" t="s">
        <v>16</v>
      </c>
      <c r="G43" s="23" t="s">
        <v>16</v>
      </c>
      <c r="H43" s="23" t="s">
        <v>16</v>
      </c>
    </row>
    <row r="44" spans="1:8">
      <c r="A44" s="20"/>
      <c r="B44" s="20"/>
      <c r="C44" s="18"/>
      <c r="D44" s="18"/>
      <c r="E44" s="23" t="s">
        <v>16</v>
      </c>
      <c r="F44" s="23" t="s">
        <v>16</v>
      </c>
      <c r="G44" s="23" t="s">
        <v>16</v>
      </c>
      <c r="H44" s="23" t="s">
        <v>16</v>
      </c>
    </row>
    <row r="45" spans="1:8">
      <c r="A45" s="20"/>
      <c r="B45" s="20"/>
      <c r="C45" s="18"/>
      <c r="D45" s="18"/>
      <c r="E45" s="23" t="s">
        <v>16</v>
      </c>
      <c r="F45" s="23" t="s">
        <v>16</v>
      </c>
      <c r="G45" s="23" t="s">
        <v>16</v>
      </c>
      <c r="H45" s="23" t="s">
        <v>16</v>
      </c>
    </row>
    <row r="46" spans="1:8">
      <c r="A46" s="20"/>
      <c r="B46" s="20"/>
      <c r="C46" s="18"/>
      <c r="D46" s="18"/>
      <c r="E46" s="23" t="s">
        <v>16</v>
      </c>
      <c r="F46" s="23" t="s">
        <v>16</v>
      </c>
      <c r="G46" s="23" t="s">
        <v>16</v>
      </c>
      <c r="H46" s="23" t="s">
        <v>16</v>
      </c>
    </row>
    <row r="47" spans="1:8">
      <c r="A47" s="20"/>
      <c r="B47" s="20"/>
      <c r="C47" s="18"/>
      <c r="D47" s="18"/>
      <c r="E47" s="23" t="s">
        <v>16</v>
      </c>
      <c r="F47" s="23" t="s">
        <v>16</v>
      </c>
      <c r="G47" s="23" t="s">
        <v>16</v>
      </c>
      <c r="H47" s="23" t="s">
        <v>16</v>
      </c>
    </row>
    <row r="48" spans="1:8">
      <c r="A48" s="20"/>
      <c r="B48" s="20"/>
      <c r="C48" s="18"/>
      <c r="D48" s="18"/>
      <c r="E48" s="23" t="s">
        <v>16</v>
      </c>
      <c r="F48" s="23" t="s">
        <v>16</v>
      </c>
      <c r="G48" s="23" t="s">
        <v>16</v>
      </c>
      <c r="H48" s="23" t="s">
        <v>16</v>
      </c>
    </row>
    <row r="49" spans="1:8">
      <c r="A49" s="20"/>
      <c r="B49" s="20"/>
      <c r="C49" s="18"/>
      <c r="D49" s="18"/>
      <c r="E49" s="23" t="s">
        <v>16</v>
      </c>
      <c r="F49" s="23" t="s">
        <v>16</v>
      </c>
      <c r="G49" s="23" t="s">
        <v>16</v>
      </c>
      <c r="H49" s="23" t="s">
        <v>16</v>
      </c>
    </row>
    <row r="50" spans="1:8">
      <c r="A50" s="20"/>
      <c r="B50" s="20"/>
      <c r="C50" s="18"/>
      <c r="D50" s="18"/>
      <c r="E50" s="23" t="s">
        <v>16</v>
      </c>
      <c r="F50" s="23" t="s">
        <v>16</v>
      </c>
      <c r="G50" s="23" t="s">
        <v>16</v>
      </c>
      <c r="H50" s="23" t="s">
        <v>16</v>
      </c>
    </row>
    <row r="51" spans="1:8">
      <c r="A51" s="20"/>
      <c r="B51" s="20"/>
      <c r="C51" s="18"/>
      <c r="D51" s="18"/>
      <c r="E51" s="23" t="s">
        <v>16</v>
      </c>
      <c r="F51" s="23" t="s">
        <v>16</v>
      </c>
      <c r="G51" s="23" t="s">
        <v>16</v>
      </c>
      <c r="H51" s="23" t="s">
        <v>16</v>
      </c>
    </row>
    <row r="52" spans="1:8">
      <c r="A52" s="20"/>
      <c r="B52" s="49"/>
      <c r="C52" s="41"/>
      <c r="D52" s="41"/>
      <c r="E52" s="23" t="s">
        <v>16</v>
      </c>
      <c r="F52" s="23" t="s">
        <v>16</v>
      </c>
      <c r="G52" s="23" t="s">
        <v>16</v>
      </c>
      <c r="H52" s="23" t="s">
        <v>16</v>
      </c>
    </row>
    <row r="53" spans="1:8">
      <c r="A53" s="20"/>
      <c r="B53" s="20"/>
      <c r="C53" s="18"/>
      <c r="D53" s="18"/>
      <c r="E53" s="23" t="s">
        <v>16</v>
      </c>
      <c r="F53" s="23" t="s">
        <v>16</v>
      </c>
      <c r="G53" s="23" t="s">
        <v>16</v>
      </c>
      <c r="H53" s="23" t="s">
        <v>16</v>
      </c>
    </row>
    <row r="54" spans="1:8">
      <c r="A54" s="20"/>
      <c r="B54" s="20"/>
      <c r="C54" s="18"/>
      <c r="D54" s="18"/>
      <c r="E54" s="23" t="s">
        <v>16</v>
      </c>
      <c r="F54" s="23" t="s">
        <v>16</v>
      </c>
      <c r="G54" s="23" t="s">
        <v>16</v>
      </c>
      <c r="H54" s="23" t="s">
        <v>16</v>
      </c>
    </row>
    <row r="55" spans="1:8">
      <c r="A55" s="20"/>
      <c r="B55" s="20"/>
      <c r="C55" s="18"/>
      <c r="D55" s="18"/>
      <c r="E55" s="23" t="s">
        <v>16</v>
      </c>
      <c r="F55" s="23" t="s">
        <v>16</v>
      </c>
      <c r="G55" s="23" t="s">
        <v>16</v>
      </c>
      <c r="H55" s="23" t="s">
        <v>16</v>
      </c>
    </row>
    <row r="56" spans="1:8">
      <c r="A56" s="20"/>
      <c r="B56" s="20"/>
      <c r="C56" s="18"/>
      <c r="D56" s="18"/>
      <c r="E56" s="23" t="s">
        <v>16</v>
      </c>
      <c r="F56" s="23" t="s">
        <v>16</v>
      </c>
      <c r="G56" s="23" t="s">
        <v>16</v>
      </c>
      <c r="H56" s="23" t="s">
        <v>16</v>
      </c>
    </row>
    <row r="57" spans="1:8">
      <c r="A57" s="20"/>
      <c r="B57" s="20"/>
      <c r="C57" s="18"/>
      <c r="D57" s="18"/>
      <c r="E57" s="23" t="s">
        <v>16</v>
      </c>
      <c r="F57" s="23" t="s">
        <v>16</v>
      </c>
      <c r="G57" s="23" t="s">
        <v>16</v>
      </c>
      <c r="H57" s="23" t="s">
        <v>16</v>
      </c>
    </row>
    <row r="58" spans="1:8">
      <c r="A58" s="20"/>
      <c r="B58" s="20"/>
      <c r="C58" s="18"/>
      <c r="D58" s="18"/>
      <c r="E58" s="23" t="s">
        <v>16</v>
      </c>
      <c r="F58" s="23" t="s">
        <v>16</v>
      </c>
      <c r="G58" s="23" t="s">
        <v>16</v>
      </c>
      <c r="H58" s="23" t="s">
        <v>16</v>
      </c>
    </row>
    <row r="59" spans="1:8">
      <c r="A59" s="20"/>
      <c r="B59" s="20"/>
      <c r="C59" s="18"/>
      <c r="D59" s="18"/>
      <c r="E59" s="23" t="s">
        <v>16</v>
      </c>
      <c r="F59" s="23" t="s">
        <v>16</v>
      </c>
      <c r="G59" s="23" t="s">
        <v>16</v>
      </c>
      <c r="H59" s="23" t="s">
        <v>16</v>
      </c>
    </row>
    <row r="60" spans="1:8">
      <c r="A60" s="20"/>
      <c r="B60" s="20"/>
      <c r="C60" s="18"/>
      <c r="D60" s="18"/>
      <c r="E60" s="23" t="s">
        <v>16</v>
      </c>
      <c r="F60" s="23" t="s">
        <v>16</v>
      </c>
      <c r="G60" s="23" t="s">
        <v>16</v>
      </c>
      <c r="H60" s="23" t="s">
        <v>16</v>
      </c>
    </row>
    <row r="61" spans="1:8">
      <c r="A61" s="20"/>
      <c r="B61" s="20"/>
      <c r="C61" s="18"/>
      <c r="D61" s="18"/>
      <c r="E61" s="23" t="s">
        <v>16</v>
      </c>
      <c r="F61" s="23" t="s">
        <v>16</v>
      </c>
      <c r="G61" s="23" t="s">
        <v>16</v>
      </c>
      <c r="H61" s="23" t="s">
        <v>16</v>
      </c>
    </row>
    <row r="62" spans="1:8">
      <c r="A62" s="20"/>
      <c r="B62" s="20"/>
      <c r="C62" s="18"/>
      <c r="D62" s="18"/>
      <c r="E62" s="23" t="s">
        <v>16</v>
      </c>
      <c r="F62" s="23" t="s">
        <v>16</v>
      </c>
      <c r="G62" s="23" t="s">
        <v>16</v>
      </c>
      <c r="H62" s="23" t="s">
        <v>16</v>
      </c>
    </row>
    <row r="63" spans="1:8">
      <c r="A63" s="20"/>
      <c r="B63" s="20"/>
      <c r="C63" s="18"/>
      <c r="D63" s="18"/>
      <c r="E63" s="23" t="s">
        <v>16</v>
      </c>
      <c r="F63" s="23" t="s">
        <v>16</v>
      </c>
      <c r="G63" s="23" t="s">
        <v>16</v>
      </c>
      <c r="H63" s="23" t="s">
        <v>16</v>
      </c>
    </row>
    <row r="64" spans="1:8">
      <c r="A64" s="20"/>
      <c r="B64" s="20"/>
      <c r="C64" s="18"/>
      <c r="D64" s="18"/>
      <c r="E64" s="23" t="s">
        <v>16</v>
      </c>
      <c r="F64" s="23" t="s">
        <v>16</v>
      </c>
      <c r="G64" s="23" t="s">
        <v>16</v>
      </c>
      <c r="H64" s="23" t="s">
        <v>16</v>
      </c>
    </row>
    <row r="65" spans="1:8">
      <c r="A65" s="20"/>
      <c r="B65" s="20"/>
      <c r="C65" s="18"/>
      <c r="D65" s="18"/>
      <c r="E65" s="23" t="s">
        <v>16</v>
      </c>
      <c r="F65" s="23" t="s">
        <v>16</v>
      </c>
      <c r="G65" s="23" t="s">
        <v>16</v>
      </c>
      <c r="H65" s="23" t="s">
        <v>16</v>
      </c>
    </row>
    <row r="66" spans="1:8">
      <c r="A66" s="20"/>
      <c r="B66" s="20"/>
      <c r="C66" s="18"/>
      <c r="D66" s="18"/>
      <c r="E66" s="23" t="s">
        <v>16</v>
      </c>
      <c r="F66" s="23" t="s">
        <v>16</v>
      </c>
      <c r="G66" s="23" t="s">
        <v>16</v>
      </c>
      <c r="H66" s="23" t="s">
        <v>16</v>
      </c>
    </row>
    <row r="67" spans="1:8">
      <c r="A67" s="20"/>
      <c r="B67" s="20"/>
      <c r="C67" s="18"/>
      <c r="D67" s="18"/>
      <c r="E67" s="23" t="s">
        <v>16</v>
      </c>
      <c r="F67" s="23" t="s">
        <v>16</v>
      </c>
      <c r="G67" s="23" t="s">
        <v>16</v>
      </c>
      <c r="H67" s="23" t="s">
        <v>16</v>
      </c>
    </row>
    <row r="68" spans="1:8">
      <c r="A68" s="20"/>
      <c r="B68" s="20"/>
      <c r="C68" s="18"/>
      <c r="D68" s="18"/>
      <c r="E68" s="23" t="s">
        <v>16</v>
      </c>
      <c r="F68" s="23" t="s">
        <v>16</v>
      </c>
      <c r="G68" s="23" t="s">
        <v>16</v>
      </c>
      <c r="H68" s="23" t="s">
        <v>16</v>
      </c>
    </row>
    <row r="69" spans="1:8">
      <c r="A69" s="20"/>
      <c r="B69" s="20"/>
      <c r="C69" s="18"/>
      <c r="D69" s="18"/>
      <c r="E69" s="23" t="s">
        <v>16</v>
      </c>
      <c r="F69" s="23" t="s">
        <v>16</v>
      </c>
      <c r="G69" s="23" t="s">
        <v>16</v>
      </c>
      <c r="H69" s="23" t="s">
        <v>16</v>
      </c>
    </row>
    <row r="70" spans="1:8">
      <c r="A70" s="20"/>
      <c r="B70" s="20"/>
      <c r="C70" s="18"/>
      <c r="D70" s="18"/>
      <c r="E70" s="23" t="s">
        <v>16</v>
      </c>
      <c r="F70" s="23" t="s">
        <v>16</v>
      </c>
      <c r="G70" s="23" t="s">
        <v>16</v>
      </c>
      <c r="H70" s="23" t="s">
        <v>16</v>
      </c>
    </row>
    <row r="71" spans="1:8">
      <c r="A71" s="20"/>
      <c r="B71" s="20"/>
      <c r="C71" s="18"/>
      <c r="D71" s="18"/>
      <c r="E71" s="23" t="s">
        <v>16</v>
      </c>
      <c r="F71" s="23" t="s">
        <v>16</v>
      </c>
      <c r="G71" s="23" t="s">
        <v>16</v>
      </c>
      <c r="H71" s="23" t="s">
        <v>16</v>
      </c>
    </row>
    <row r="72" spans="1:8">
      <c r="A72" s="20"/>
      <c r="B72" s="20"/>
      <c r="C72" s="18"/>
      <c r="D72" s="18"/>
      <c r="E72" s="23" t="s">
        <v>16</v>
      </c>
      <c r="F72" s="23" t="s">
        <v>16</v>
      </c>
      <c r="G72" s="23" t="s">
        <v>16</v>
      </c>
      <c r="H72" s="23" t="s">
        <v>16</v>
      </c>
    </row>
    <row r="73" spans="1:8">
      <c r="A73" s="20"/>
      <c r="B73" s="20"/>
      <c r="C73" s="18"/>
      <c r="D73" s="18"/>
      <c r="E73" s="23" t="s">
        <v>16</v>
      </c>
      <c r="F73" s="23" t="s">
        <v>16</v>
      </c>
      <c r="G73" s="23" t="s">
        <v>16</v>
      </c>
      <c r="H73" s="23" t="s">
        <v>16</v>
      </c>
    </row>
    <row r="74" spans="1:8">
      <c r="A74" s="20"/>
      <c r="B74" s="20"/>
      <c r="C74" s="18"/>
      <c r="D74" s="18"/>
      <c r="E74" s="23" t="s">
        <v>16</v>
      </c>
      <c r="F74" s="23" t="s">
        <v>16</v>
      </c>
      <c r="G74" s="23" t="s">
        <v>16</v>
      </c>
      <c r="H74" s="23" t="s">
        <v>16</v>
      </c>
    </row>
    <row r="75" spans="1:8">
      <c r="A75" s="20"/>
      <c r="B75" s="20"/>
      <c r="C75" s="18"/>
      <c r="D75" s="18"/>
      <c r="E75" s="23" t="s">
        <v>16</v>
      </c>
      <c r="F75" s="23" t="s">
        <v>16</v>
      </c>
      <c r="G75" s="23" t="s">
        <v>16</v>
      </c>
      <c r="H75" s="23" t="s">
        <v>16</v>
      </c>
    </row>
    <row r="76" spans="1:8">
      <c r="A76" s="20"/>
      <c r="B76" s="20"/>
      <c r="C76" s="18"/>
      <c r="D76" s="18"/>
      <c r="E76" s="23" t="s">
        <v>16</v>
      </c>
      <c r="F76" s="23" t="s">
        <v>16</v>
      </c>
      <c r="G76" s="23" t="s">
        <v>16</v>
      </c>
      <c r="H76" s="23" t="s">
        <v>16</v>
      </c>
    </row>
    <row r="77" spans="1:8">
      <c r="A77" s="20"/>
      <c r="B77" s="20"/>
      <c r="C77" s="18"/>
      <c r="D77" s="18"/>
      <c r="E77" s="23" t="s">
        <v>16</v>
      </c>
      <c r="F77" s="23" t="s">
        <v>16</v>
      </c>
      <c r="G77" s="23" t="s">
        <v>16</v>
      </c>
      <c r="H77" s="23" t="s">
        <v>16</v>
      </c>
    </row>
    <row r="78" spans="1:8">
      <c r="A78" s="20"/>
      <c r="B78" s="20"/>
      <c r="C78" s="18"/>
      <c r="D78" s="18"/>
      <c r="E78" s="23" t="s">
        <v>16</v>
      </c>
      <c r="F78" s="23" t="s">
        <v>16</v>
      </c>
      <c r="G78" s="23" t="s">
        <v>16</v>
      </c>
      <c r="H78" s="23" t="s">
        <v>16</v>
      </c>
    </row>
    <row r="79" spans="1:8">
      <c r="A79" s="20"/>
      <c r="B79" s="20"/>
      <c r="C79" s="18"/>
      <c r="D79" s="18"/>
      <c r="E79" s="23" t="s">
        <v>16</v>
      </c>
      <c r="F79" s="23" t="s">
        <v>16</v>
      </c>
      <c r="G79" s="23" t="s">
        <v>16</v>
      </c>
      <c r="H79" s="23" t="s">
        <v>16</v>
      </c>
    </row>
    <row r="80" spans="1:8">
      <c r="A80" s="20"/>
      <c r="B80" s="42"/>
      <c r="C80" s="43"/>
      <c r="D80" s="43"/>
      <c r="E80" s="23" t="s">
        <v>16</v>
      </c>
      <c r="F80" s="23" t="s">
        <v>16</v>
      </c>
      <c r="G80" s="23" t="s">
        <v>16</v>
      </c>
      <c r="H80" s="23" t="s">
        <v>16</v>
      </c>
    </row>
    <row r="81" spans="1:8">
      <c r="A81" s="20"/>
      <c r="B81" s="20"/>
      <c r="C81" s="18"/>
      <c r="D81" s="18"/>
      <c r="E81" s="23" t="s">
        <v>16</v>
      </c>
      <c r="F81" s="23" t="s">
        <v>16</v>
      </c>
      <c r="G81" s="23" t="s">
        <v>16</v>
      </c>
      <c r="H81" s="23" t="s">
        <v>16</v>
      </c>
    </row>
    <row r="82" spans="1:8">
      <c r="A82" s="27"/>
      <c r="B82" s="27"/>
      <c r="C82" s="28"/>
      <c r="D82" s="28"/>
      <c r="E82" s="23" t="s">
        <v>16</v>
      </c>
      <c r="F82" s="23" t="s">
        <v>16</v>
      </c>
      <c r="G82" s="23" t="s">
        <v>16</v>
      </c>
      <c r="H82" s="23" t="s">
        <v>16</v>
      </c>
    </row>
    <row r="83" spans="1:8">
      <c r="A83" s="27"/>
      <c r="B83" s="27"/>
      <c r="C83" s="28"/>
      <c r="D83" s="28"/>
      <c r="E83" s="23" t="s">
        <v>16</v>
      </c>
      <c r="F83" s="23" t="s">
        <v>16</v>
      </c>
      <c r="G83" s="23" t="s">
        <v>16</v>
      </c>
      <c r="H83" s="23" t="s">
        <v>16</v>
      </c>
    </row>
    <row r="84" spans="1:8">
      <c r="A84" s="27"/>
      <c r="B84" s="27"/>
      <c r="C84" s="28"/>
      <c r="D84" s="28"/>
      <c r="E84" s="23" t="s">
        <v>16</v>
      </c>
      <c r="F84" s="23" t="s">
        <v>16</v>
      </c>
      <c r="G84" s="23" t="s">
        <v>16</v>
      </c>
      <c r="H84" s="23" t="s">
        <v>16</v>
      </c>
    </row>
    <row r="85" spans="1:8">
      <c r="A85" s="27"/>
      <c r="B85" s="27"/>
      <c r="C85" s="28"/>
      <c r="D85" s="28"/>
      <c r="E85" s="23" t="s">
        <v>16</v>
      </c>
      <c r="F85" s="23" t="s">
        <v>16</v>
      </c>
      <c r="G85" s="23" t="s">
        <v>16</v>
      </c>
      <c r="H85" s="23" t="s">
        <v>16</v>
      </c>
    </row>
    <row r="86" spans="1:8">
      <c r="A86" s="27"/>
      <c r="B86" s="27"/>
      <c r="C86" s="28"/>
      <c r="D86" s="28"/>
      <c r="E86" s="23" t="s">
        <v>16</v>
      </c>
      <c r="F86" s="23" t="s">
        <v>16</v>
      </c>
      <c r="G86" s="23" t="s">
        <v>16</v>
      </c>
      <c r="H86" s="23" t="s">
        <v>16</v>
      </c>
    </row>
    <row r="87" spans="1:8">
      <c r="A87" s="27"/>
      <c r="B87" s="27"/>
      <c r="C87" s="28"/>
      <c r="D87" s="28"/>
      <c r="E87" s="23" t="s">
        <v>16</v>
      </c>
      <c r="F87" s="23" t="s">
        <v>16</v>
      </c>
      <c r="G87" s="23" t="s">
        <v>16</v>
      </c>
      <c r="H87" s="23" t="s">
        <v>16</v>
      </c>
    </row>
    <row r="88" spans="1:8">
      <c r="A88" s="27"/>
      <c r="B88" s="27"/>
      <c r="C88" s="28"/>
      <c r="D88" s="28"/>
      <c r="E88" s="23" t="s">
        <v>16</v>
      </c>
      <c r="F88" s="23" t="s">
        <v>16</v>
      </c>
      <c r="G88" s="23" t="s">
        <v>16</v>
      </c>
      <c r="H88" s="23" t="s">
        <v>16</v>
      </c>
    </row>
    <row r="89" spans="1:8">
      <c r="A89" s="27"/>
      <c r="B89" s="27"/>
      <c r="C89" s="28"/>
      <c r="D89" s="28"/>
      <c r="E89" s="23" t="s">
        <v>16</v>
      </c>
      <c r="F89" s="23" t="s">
        <v>16</v>
      </c>
      <c r="G89" s="23" t="s">
        <v>16</v>
      </c>
      <c r="H89" s="23" t="s">
        <v>16</v>
      </c>
    </row>
    <row r="90" spans="1:8">
      <c r="A90" s="27"/>
      <c r="B90" s="27"/>
      <c r="C90" s="28"/>
      <c r="D90" s="28"/>
      <c r="E90" s="23" t="s">
        <v>16</v>
      </c>
      <c r="F90" s="23" t="s">
        <v>16</v>
      </c>
      <c r="G90" s="23" t="s">
        <v>16</v>
      </c>
      <c r="H90" s="23" t="s">
        <v>16</v>
      </c>
    </row>
    <row r="91" spans="1:8">
      <c r="A91" s="27"/>
      <c r="B91" s="27"/>
      <c r="C91" s="28"/>
      <c r="D91" s="28"/>
      <c r="E91" s="23" t="s">
        <v>16</v>
      </c>
      <c r="F91" s="23" t="s">
        <v>16</v>
      </c>
      <c r="G91" s="23" t="s">
        <v>16</v>
      </c>
      <c r="H91" s="23" t="s">
        <v>16</v>
      </c>
    </row>
    <row r="92" spans="1:8">
      <c r="A92" s="27"/>
      <c r="B92" s="27"/>
      <c r="C92" s="28"/>
      <c r="D92" s="28"/>
      <c r="E92" s="23" t="s">
        <v>16</v>
      </c>
      <c r="F92" s="23" t="s">
        <v>16</v>
      </c>
      <c r="G92" s="23" t="s">
        <v>16</v>
      </c>
      <c r="H92" s="23" t="s">
        <v>16</v>
      </c>
    </row>
    <row r="93" spans="1:8">
      <c r="A93" s="27"/>
      <c r="B93" s="27"/>
      <c r="C93" s="28"/>
      <c r="D93" s="28"/>
      <c r="E93" s="23" t="s">
        <v>16</v>
      </c>
      <c r="F93" s="23" t="s">
        <v>16</v>
      </c>
      <c r="G93" s="23" t="s">
        <v>16</v>
      </c>
      <c r="H93" s="23" t="s">
        <v>16</v>
      </c>
    </row>
    <row r="94" spans="1:8">
      <c r="A94" s="27"/>
      <c r="B94" s="27"/>
      <c r="C94" s="28"/>
      <c r="D94" s="28"/>
      <c r="E94" s="23" t="s">
        <v>16</v>
      </c>
      <c r="F94" s="23" t="s">
        <v>16</v>
      </c>
      <c r="G94" s="23" t="s">
        <v>16</v>
      </c>
      <c r="H94" s="23" t="s">
        <v>16</v>
      </c>
    </row>
    <row r="95" spans="1:8">
      <c r="A95" s="27"/>
      <c r="B95" s="27"/>
      <c r="C95" s="28"/>
      <c r="D95" s="28"/>
      <c r="E95" s="23" t="s">
        <v>16</v>
      </c>
      <c r="F95" s="23" t="s">
        <v>16</v>
      </c>
      <c r="G95" s="23" t="s">
        <v>16</v>
      </c>
      <c r="H95" s="23" t="s">
        <v>16</v>
      </c>
    </row>
    <row r="96" spans="1:8">
      <c r="A96" s="27"/>
      <c r="B96" s="27"/>
      <c r="C96" s="28"/>
      <c r="D96" s="28"/>
      <c r="E96" s="23" t="s">
        <v>16</v>
      </c>
      <c r="F96" s="23" t="s">
        <v>16</v>
      </c>
      <c r="G96" s="23" t="s">
        <v>16</v>
      </c>
      <c r="H96" s="23" t="s">
        <v>16</v>
      </c>
    </row>
    <row r="97" spans="1:8">
      <c r="A97" s="27"/>
      <c r="B97" s="27"/>
      <c r="C97" s="28"/>
      <c r="D97" s="28"/>
      <c r="E97" s="23" t="s">
        <v>16</v>
      </c>
      <c r="F97" s="23" t="s">
        <v>16</v>
      </c>
      <c r="G97" s="23" t="s">
        <v>16</v>
      </c>
      <c r="H97" s="23" t="s">
        <v>16</v>
      </c>
    </row>
    <row r="98" spans="1:8">
      <c r="A98" s="27"/>
      <c r="B98" s="27"/>
      <c r="C98" s="28"/>
      <c r="D98" s="28"/>
      <c r="E98" s="23" t="s">
        <v>16</v>
      </c>
      <c r="F98" s="23" t="s">
        <v>16</v>
      </c>
      <c r="G98" s="23" t="s">
        <v>16</v>
      </c>
      <c r="H98" s="23" t="s">
        <v>16</v>
      </c>
    </row>
    <row r="99" spans="1:8">
      <c r="A99" s="27"/>
      <c r="B99" s="27"/>
      <c r="C99" s="28"/>
      <c r="D99" s="28"/>
      <c r="E99" s="23" t="s">
        <v>16</v>
      </c>
      <c r="F99" s="23" t="s">
        <v>16</v>
      </c>
      <c r="G99" s="23" t="s">
        <v>16</v>
      </c>
      <c r="H99" s="23" t="s">
        <v>16</v>
      </c>
    </row>
    <row r="100" spans="1:8">
      <c r="A100" s="27"/>
      <c r="B100" s="27"/>
      <c r="C100" s="28"/>
      <c r="D100" s="28"/>
      <c r="E100" s="23" t="s">
        <v>16</v>
      </c>
      <c r="F100" s="23" t="s">
        <v>16</v>
      </c>
      <c r="G100" s="23" t="s">
        <v>16</v>
      </c>
      <c r="H100" s="23" t="s">
        <v>16</v>
      </c>
    </row>
    <row r="101" spans="1:8">
      <c r="A101" s="27"/>
      <c r="B101" s="27"/>
      <c r="C101" s="28"/>
      <c r="D101" s="28"/>
      <c r="E101" s="23" t="s">
        <v>16</v>
      </c>
      <c r="F101" s="23" t="s">
        <v>16</v>
      </c>
      <c r="G101" s="23" t="s">
        <v>16</v>
      </c>
      <c r="H101" s="23" t="s">
        <v>16</v>
      </c>
    </row>
    <row r="102" spans="1:8">
      <c r="A102" s="27"/>
      <c r="B102" s="27"/>
      <c r="C102" s="28"/>
      <c r="D102" s="28"/>
      <c r="E102" s="23" t="s">
        <v>16</v>
      </c>
      <c r="F102" s="23" t="s">
        <v>16</v>
      </c>
      <c r="G102" s="23" t="s">
        <v>16</v>
      </c>
      <c r="H102" s="23" t="s">
        <v>16</v>
      </c>
    </row>
    <row r="103" spans="1:8">
      <c r="A103" s="27"/>
      <c r="B103" s="27"/>
      <c r="C103" s="28"/>
      <c r="D103" s="28"/>
      <c r="E103" s="23" t="s">
        <v>16</v>
      </c>
      <c r="F103" s="23" t="s">
        <v>16</v>
      </c>
      <c r="G103" s="23" t="s">
        <v>16</v>
      </c>
      <c r="H103" s="23" t="s">
        <v>16</v>
      </c>
    </row>
    <row r="104" spans="1:8">
      <c r="A104" s="27"/>
      <c r="B104" s="27"/>
      <c r="C104" s="28"/>
      <c r="D104" s="28"/>
      <c r="E104" s="23" t="s">
        <v>16</v>
      </c>
      <c r="F104" s="23" t="s">
        <v>16</v>
      </c>
      <c r="G104" s="23" t="s">
        <v>16</v>
      </c>
      <c r="H104" s="23" t="s">
        <v>16</v>
      </c>
    </row>
    <row r="105" spans="1:8">
      <c r="A105" s="27"/>
      <c r="B105" s="27"/>
      <c r="C105" s="28"/>
      <c r="D105" s="28"/>
      <c r="E105" s="23" t="s">
        <v>16</v>
      </c>
      <c r="F105" s="23" t="s">
        <v>16</v>
      </c>
      <c r="G105" s="23" t="s">
        <v>16</v>
      </c>
      <c r="H105" s="23" t="s">
        <v>16</v>
      </c>
    </row>
    <row r="106" spans="1:8">
      <c r="A106" s="27"/>
      <c r="B106" s="27"/>
      <c r="C106" s="28"/>
      <c r="D106" s="28"/>
      <c r="E106" s="23" t="s">
        <v>16</v>
      </c>
      <c r="F106" s="23" t="s">
        <v>16</v>
      </c>
      <c r="G106" s="23" t="s">
        <v>16</v>
      </c>
      <c r="H106" s="23" t="s">
        <v>16</v>
      </c>
    </row>
    <row r="107" spans="1:8">
      <c r="A107" s="27"/>
      <c r="B107" s="27"/>
      <c r="C107" s="28"/>
      <c r="D107" s="28"/>
      <c r="E107" s="23" t="s">
        <v>16</v>
      </c>
      <c r="F107" s="23" t="s">
        <v>16</v>
      </c>
      <c r="G107" s="23" t="s">
        <v>16</v>
      </c>
      <c r="H107" s="23" t="s">
        <v>16</v>
      </c>
    </row>
    <row r="108" spans="1:8">
      <c r="A108" s="27"/>
      <c r="B108" s="27"/>
      <c r="C108" s="28"/>
      <c r="D108" s="28"/>
      <c r="E108" s="23" t="s">
        <v>16</v>
      </c>
      <c r="F108" s="23" t="s">
        <v>16</v>
      </c>
      <c r="G108" s="23" t="s">
        <v>16</v>
      </c>
      <c r="H108" s="23" t="s">
        <v>16</v>
      </c>
    </row>
    <row r="109" spans="1:8">
      <c r="A109" s="27"/>
      <c r="B109" s="27"/>
      <c r="C109" s="28"/>
      <c r="D109" s="28"/>
      <c r="E109" s="23" t="s">
        <v>16</v>
      </c>
      <c r="F109" s="23" t="s">
        <v>16</v>
      </c>
      <c r="G109" s="23" t="s">
        <v>16</v>
      </c>
      <c r="H109" s="23" t="s">
        <v>16</v>
      </c>
    </row>
    <row r="110" spans="1:8">
      <c r="A110" s="27"/>
      <c r="B110" s="27"/>
      <c r="C110" s="28"/>
      <c r="D110" s="28"/>
      <c r="E110" s="23" t="s">
        <v>16</v>
      </c>
      <c r="F110" s="23" t="s">
        <v>16</v>
      </c>
      <c r="G110" s="23" t="s">
        <v>16</v>
      </c>
      <c r="H110" s="23" t="s">
        <v>16</v>
      </c>
    </row>
    <row r="111" spans="1:8">
      <c r="A111" s="27"/>
      <c r="B111" s="27"/>
      <c r="C111" s="28"/>
      <c r="D111" s="28"/>
      <c r="E111" s="23" t="s">
        <v>16</v>
      </c>
      <c r="F111" s="23" t="s">
        <v>16</v>
      </c>
      <c r="G111" s="23" t="s">
        <v>16</v>
      </c>
      <c r="H111" s="23" t="s">
        <v>16</v>
      </c>
    </row>
    <row r="112" spans="1:8">
      <c r="A112" s="27"/>
      <c r="B112" s="27"/>
      <c r="C112" s="28"/>
      <c r="D112" s="28"/>
      <c r="E112" s="23" t="s">
        <v>16</v>
      </c>
      <c r="F112" s="23" t="s">
        <v>16</v>
      </c>
      <c r="G112" s="23" t="s">
        <v>16</v>
      </c>
      <c r="H112" s="23" t="s">
        <v>16</v>
      </c>
    </row>
    <row r="113" spans="1:8">
      <c r="A113" s="27"/>
      <c r="B113" s="27"/>
      <c r="C113" s="28"/>
      <c r="D113" s="28"/>
      <c r="E113" s="23" t="s">
        <v>16</v>
      </c>
      <c r="F113" s="23" t="s">
        <v>16</v>
      </c>
      <c r="G113" s="23" t="s">
        <v>16</v>
      </c>
      <c r="H113" s="23" t="s">
        <v>16</v>
      </c>
    </row>
    <row r="114" spans="1:8">
      <c r="A114" s="27"/>
      <c r="B114" s="27"/>
      <c r="C114" s="28"/>
      <c r="D114" s="28"/>
      <c r="E114" s="23" t="s">
        <v>16</v>
      </c>
      <c r="F114" s="23" t="s">
        <v>16</v>
      </c>
      <c r="G114" s="23" t="s">
        <v>16</v>
      </c>
      <c r="H114" s="23" t="s">
        <v>16</v>
      </c>
    </row>
    <row r="115" spans="1:8">
      <c r="A115" s="27"/>
      <c r="B115" s="27"/>
      <c r="C115" s="28"/>
      <c r="D115" s="28"/>
      <c r="E115" s="23" t="s">
        <v>16</v>
      </c>
      <c r="F115" s="23" t="s">
        <v>16</v>
      </c>
      <c r="G115" s="23" t="s">
        <v>16</v>
      </c>
      <c r="H115" s="23" t="s">
        <v>16</v>
      </c>
    </row>
    <row r="116" spans="1:8">
      <c r="A116" s="27"/>
      <c r="B116" s="27"/>
      <c r="C116" s="28"/>
      <c r="D116" s="28"/>
      <c r="E116" s="23" t="s">
        <v>16</v>
      </c>
      <c r="F116" s="23" t="s">
        <v>16</v>
      </c>
      <c r="G116" s="23" t="s">
        <v>16</v>
      </c>
      <c r="H116" s="23" t="s">
        <v>16</v>
      </c>
    </row>
    <row r="117" spans="1:8">
      <c r="A117" s="27"/>
      <c r="B117" s="27"/>
      <c r="C117" s="28"/>
      <c r="D117" s="28"/>
      <c r="E117" s="23" t="s">
        <v>16</v>
      </c>
      <c r="F117" s="23" t="s">
        <v>16</v>
      </c>
      <c r="G117" s="23" t="s">
        <v>16</v>
      </c>
      <c r="H117" s="23" t="s">
        <v>16</v>
      </c>
    </row>
    <row r="118" spans="1:8">
      <c r="A118" s="27"/>
      <c r="B118" s="27"/>
      <c r="C118" s="28"/>
      <c r="D118" s="28"/>
      <c r="E118" s="23" t="s">
        <v>16</v>
      </c>
      <c r="F118" s="23" t="s">
        <v>16</v>
      </c>
      <c r="G118" s="23" t="s">
        <v>16</v>
      </c>
      <c r="H118" s="23" t="s">
        <v>16</v>
      </c>
    </row>
    <row r="119" spans="1:8">
      <c r="A119" s="27"/>
      <c r="B119" s="27"/>
      <c r="C119" s="28"/>
      <c r="D119" s="28"/>
      <c r="E119" s="23" t="s">
        <v>16</v>
      </c>
      <c r="F119" s="23" t="s">
        <v>16</v>
      </c>
      <c r="G119" s="23" t="s">
        <v>16</v>
      </c>
      <c r="H119" s="23" t="s">
        <v>16</v>
      </c>
    </row>
    <row r="120" spans="1:8">
      <c r="A120" s="27"/>
      <c r="B120" s="27"/>
      <c r="C120" s="28"/>
      <c r="D120" s="28"/>
      <c r="E120" s="23" t="s">
        <v>16</v>
      </c>
      <c r="F120" s="23" t="s">
        <v>16</v>
      </c>
      <c r="G120" s="23" t="s">
        <v>16</v>
      </c>
      <c r="H120" s="23" t="s">
        <v>16</v>
      </c>
    </row>
    <row r="121" spans="1:8">
      <c r="A121" s="27"/>
      <c r="B121" s="27"/>
      <c r="C121" s="28"/>
      <c r="D121" s="28"/>
      <c r="E121" s="23" t="s">
        <v>16</v>
      </c>
      <c r="F121" s="23" t="s">
        <v>16</v>
      </c>
      <c r="G121" s="23" t="s">
        <v>16</v>
      </c>
      <c r="H121" s="23" t="s">
        <v>16</v>
      </c>
    </row>
    <row r="122" spans="1:8">
      <c r="A122" s="27"/>
      <c r="B122" s="27"/>
      <c r="C122" s="28"/>
      <c r="D122" s="28"/>
      <c r="E122" s="23" t="s">
        <v>16</v>
      </c>
      <c r="F122" s="23" t="s">
        <v>16</v>
      </c>
      <c r="G122" s="23" t="s">
        <v>16</v>
      </c>
      <c r="H122" s="23" t="s">
        <v>16</v>
      </c>
    </row>
    <row r="123" spans="1:8">
      <c r="A123" s="27"/>
      <c r="B123" s="27"/>
      <c r="C123" s="28"/>
      <c r="D123" s="28"/>
      <c r="E123" s="23" t="s">
        <v>16</v>
      </c>
      <c r="F123" s="23" t="s">
        <v>16</v>
      </c>
      <c r="G123" s="23" t="s">
        <v>16</v>
      </c>
      <c r="H123" s="23" t="s">
        <v>16</v>
      </c>
    </row>
    <row r="124" spans="1:8">
      <c r="A124" s="27"/>
      <c r="B124" s="27"/>
      <c r="C124" s="28"/>
      <c r="D124" s="28"/>
      <c r="E124" s="23" t="s">
        <v>16</v>
      </c>
      <c r="F124" s="23" t="s">
        <v>16</v>
      </c>
      <c r="G124" s="23" t="s">
        <v>16</v>
      </c>
      <c r="H124" s="23" t="s">
        <v>16</v>
      </c>
    </row>
    <row r="125" spans="1:8">
      <c r="A125" s="27"/>
      <c r="B125" s="27"/>
      <c r="C125" s="28"/>
      <c r="D125" s="28"/>
      <c r="E125" s="23" t="s">
        <v>16</v>
      </c>
      <c r="F125" s="23" t="s">
        <v>16</v>
      </c>
      <c r="G125" s="23" t="s">
        <v>16</v>
      </c>
      <c r="H125" s="23" t="s">
        <v>16</v>
      </c>
    </row>
    <row r="126" spans="1:8">
      <c r="A126" s="27"/>
      <c r="B126" s="27"/>
      <c r="C126" s="28"/>
      <c r="D126" s="28"/>
      <c r="E126" s="23" t="s">
        <v>16</v>
      </c>
      <c r="F126" s="23" t="s">
        <v>16</v>
      </c>
      <c r="G126" s="23" t="s">
        <v>16</v>
      </c>
      <c r="H126" s="23" t="s">
        <v>16</v>
      </c>
    </row>
    <row r="127" spans="1:8">
      <c r="A127" s="27"/>
      <c r="B127" s="27"/>
      <c r="C127" s="28"/>
      <c r="D127" s="28"/>
      <c r="E127" s="23" t="s">
        <v>16</v>
      </c>
      <c r="F127" s="23" t="s">
        <v>16</v>
      </c>
      <c r="G127" s="23" t="s">
        <v>16</v>
      </c>
      <c r="H127" s="23" t="s">
        <v>16</v>
      </c>
    </row>
    <row r="128" spans="1:8">
      <c r="A128" s="27"/>
      <c r="B128" s="27"/>
      <c r="C128" s="28"/>
      <c r="D128" s="28"/>
      <c r="E128" s="23" t="s">
        <v>16</v>
      </c>
      <c r="F128" s="23" t="s">
        <v>16</v>
      </c>
      <c r="G128" s="23" t="s">
        <v>16</v>
      </c>
      <c r="H128" s="23" t="s">
        <v>16</v>
      </c>
    </row>
    <row r="129" spans="1:8">
      <c r="A129" s="27"/>
      <c r="B129" s="27"/>
      <c r="C129" s="28"/>
      <c r="D129" s="28"/>
      <c r="E129" s="23" t="s">
        <v>16</v>
      </c>
      <c r="F129" s="23" t="s">
        <v>16</v>
      </c>
      <c r="G129" s="23" t="s">
        <v>16</v>
      </c>
      <c r="H129" s="23" t="s">
        <v>16</v>
      </c>
    </row>
    <row r="130" spans="1:8">
      <c r="A130" s="27"/>
      <c r="B130" s="27"/>
      <c r="C130" s="28"/>
      <c r="D130" s="28"/>
      <c r="E130" s="23" t="s">
        <v>16</v>
      </c>
      <c r="F130" s="23" t="s">
        <v>16</v>
      </c>
      <c r="G130" s="23" t="s">
        <v>16</v>
      </c>
      <c r="H130" s="23" t="s">
        <v>16</v>
      </c>
    </row>
    <row r="131" spans="1:8">
      <c r="A131" s="27"/>
      <c r="B131" s="27"/>
      <c r="C131" s="28"/>
      <c r="D131" s="28"/>
      <c r="E131" s="23" t="s">
        <v>16</v>
      </c>
      <c r="F131" s="23" t="s">
        <v>16</v>
      </c>
      <c r="G131" s="23" t="s">
        <v>16</v>
      </c>
      <c r="H131" s="23" t="s">
        <v>16</v>
      </c>
    </row>
    <row r="132" spans="1:8">
      <c r="A132" s="27"/>
      <c r="B132" s="27"/>
      <c r="C132" s="28"/>
      <c r="D132" s="28"/>
      <c r="E132" s="23" t="s">
        <v>16</v>
      </c>
      <c r="F132" s="23" t="s">
        <v>16</v>
      </c>
      <c r="G132" s="23" t="s">
        <v>16</v>
      </c>
      <c r="H132" s="23" t="s">
        <v>16</v>
      </c>
    </row>
    <row r="133" spans="1:8">
      <c r="A133" s="27"/>
      <c r="B133" s="27"/>
      <c r="C133" s="28"/>
      <c r="D133" s="28"/>
      <c r="E133" s="23" t="s">
        <v>16</v>
      </c>
      <c r="F133" s="23" t="s">
        <v>16</v>
      </c>
      <c r="G133" s="23" t="s">
        <v>16</v>
      </c>
      <c r="H133" s="23" t="s">
        <v>16</v>
      </c>
    </row>
    <row r="134" spans="1:8">
      <c r="A134" s="27"/>
      <c r="B134" s="27"/>
      <c r="C134" s="28"/>
      <c r="D134" s="28"/>
      <c r="E134" s="23" t="s">
        <v>16</v>
      </c>
      <c r="F134" s="23" t="s">
        <v>16</v>
      </c>
      <c r="G134" s="23" t="s">
        <v>16</v>
      </c>
      <c r="H134" s="23" t="s">
        <v>16</v>
      </c>
    </row>
    <row r="135" spans="1:8">
      <c r="A135" s="27"/>
      <c r="B135" s="27"/>
      <c r="C135" s="28"/>
      <c r="D135" s="28"/>
      <c r="E135" s="23" t="s">
        <v>16</v>
      </c>
      <c r="F135" s="23" t="s">
        <v>16</v>
      </c>
      <c r="G135" s="23" t="s">
        <v>16</v>
      </c>
      <c r="H135" s="23" t="s">
        <v>16</v>
      </c>
    </row>
    <row r="136" spans="1:8">
      <c r="A136" s="27"/>
      <c r="B136" s="27"/>
      <c r="C136" s="28"/>
      <c r="D136" s="28"/>
      <c r="E136" s="23" t="s">
        <v>16</v>
      </c>
      <c r="F136" s="23" t="s">
        <v>16</v>
      </c>
      <c r="G136" s="23" t="s">
        <v>16</v>
      </c>
      <c r="H136" s="23" t="s">
        <v>16</v>
      </c>
    </row>
    <row r="137" spans="1:8">
      <c r="A137" s="27"/>
      <c r="B137" s="27"/>
      <c r="C137" s="28"/>
      <c r="D137" s="28"/>
      <c r="E137" s="23" t="s">
        <v>16</v>
      </c>
      <c r="F137" s="23" t="s">
        <v>16</v>
      </c>
      <c r="G137" s="23" t="s">
        <v>16</v>
      </c>
      <c r="H137" s="23" t="s">
        <v>16</v>
      </c>
    </row>
    <row r="138" spans="1:8">
      <c r="A138" s="27"/>
      <c r="B138" s="27"/>
      <c r="C138" s="28"/>
      <c r="D138" s="28"/>
      <c r="E138" s="23" t="s">
        <v>16</v>
      </c>
      <c r="F138" s="23" t="s">
        <v>16</v>
      </c>
      <c r="G138" s="23" t="s">
        <v>16</v>
      </c>
      <c r="H138" s="23" t="s">
        <v>16</v>
      </c>
    </row>
    <row r="139" spans="1:8">
      <c r="A139" s="27"/>
      <c r="B139" s="27"/>
      <c r="C139" s="28"/>
      <c r="D139" s="28"/>
      <c r="E139" s="23" t="s">
        <v>16</v>
      </c>
      <c r="F139" s="23" t="s">
        <v>16</v>
      </c>
      <c r="G139" s="23" t="s">
        <v>16</v>
      </c>
      <c r="H139" s="23" t="s">
        <v>16</v>
      </c>
    </row>
    <row r="140" spans="1:8">
      <c r="A140" s="27"/>
      <c r="B140" s="27"/>
      <c r="C140" s="28"/>
      <c r="D140" s="28"/>
      <c r="E140" s="23" t="s">
        <v>16</v>
      </c>
      <c r="F140" s="23" t="s">
        <v>16</v>
      </c>
      <c r="G140" s="23" t="s">
        <v>16</v>
      </c>
      <c r="H140" s="23" t="s">
        <v>16</v>
      </c>
    </row>
    <row r="141" spans="1:8">
      <c r="A141" s="27"/>
      <c r="B141" s="27"/>
      <c r="C141" s="28"/>
      <c r="D141" s="28"/>
      <c r="E141" s="23" t="s">
        <v>16</v>
      </c>
      <c r="F141" s="23" t="s">
        <v>16</v>
      </c>
      <c r="G141" s="23" t="s">
        <v>16</v>
      </c>
      <c r="H141" s="23" t="s">
        <v>16</v>
      </c>
    </row>
    <row r="142" spans="1:8">
      <c r="A142" s="27"/>
      <c r="B142" s="27"/>
      <c r="C142" s="28"/>
      <c r="D142" s="28"/>
      <c r="E142" s="23" t="s">
        <v>16</v>
      </c>
      <c r="F142" s="23" t="s">
        <v>16</v>
      </c>
      <c r="G142" s="23" t="s">
        <v>16</v>
      </c>
      <c r="H142" s="23" t="s">
        <v>16</v>
      </c>
    </row>
    <row r="143" spans="1:8">
      <c r="A143" s="27"/>
      <c r="B143" s="27"/>
      <c r="C143" s="28"/>
      <c r="D143" s="28"/>
      <c r="E143" s="23" t="s">
        <v>16</v>
      </c>
      <c r="F143" s="23" t="s">
        <v>16</v>
      </c>
      <c r="G143" s="23" t="s">
        <v>16</v>
      </c>
      <c r="H143" s="23" t="s">
        <v>16</v>
      </c>
    </row>
    <row r="144" spans="1:8">
      <c r="A144" s="27"/>
      <c r="B144" s="27"/>
      <c r="C144" s="28"/>
      <c r="D144" s="28"/>
      <c r="E144" s="23" t="s">
        <v>16</v>
      </c>
      <c r="F144" s="23" t="s">
        <v>16</v>
      </c>
      <c r="G144" s="23" t="s">
        <v>16</v>
      </c>
      <c r="H144" s="23" t="s">
        <v>16</v>
      </c>
    </row>
    <row r="145" spans="1:8">
      <c r="A145" s="27"/>
      <c r="B145" s="27"/>
      <c r="C145" s="28"/>
      <c r="D145" s="28"/>
      <c r="E145" s="23" t="s">
        <v>16</v>
      </c>
      <c r="F145" s="23" t="s">
        <v>16</v>
      </c>
      <c r="G145" s="23" t="s">
        <v>16</v>
      </c>
      <c r="H145" s="23" t="s">
        <v>16</v>
      </c>
    </row>
    <row r="146" spans="1:8">
      <c r="A146" s="27"/>
      <c r="B146" s="27"/>
      <c r="C146" s="28"/>
      <c r="D146" s="28"/>
      <c r="E146" s="23" t="s">
        <v>16</v>
      </c>
      <c r="F146" s="23" t="s">
        <v>16</v>
      </c>
      <c r="G146" s="23" t="s">
        <v>16</v>
      </c>
      <c r="H146" s="23" t="s">
        <v>16</v>
      </c>
    </row>
    <row r="147" spans="1:8">
      <c r="A147" s="27"/>
      <c r="B147" s="27"/>
      <c r="C147" s="28"/>
      <c r="D147" s="28"/>
      <c r="E147" s="23" t="s">
        <v>16</v>
      </c>
      <c r="F147" s="23" t="s">
        <v>16</v>
      </c>
      <c r="G147" s="23" t="s">
        <v>16</v>
      </c>
      <c r="H147" s="23" t="s">
        <v>16</v>
      </c>
    </row>
    <row r="148" spans="1:8">
      <c r="A148" s="27"/>
      <c r="B148" s="27"/>
      <c r="C148" s="28"/>
      <c r="D148" s="28"/>
      <c r="E148" s="23" t="s">
        <v>16</v>
      </c>
      <c r="F148" s="23" t="s">
        <v>16</v>
      </c>
      <c r="G148" s="23" t="s">
        <v>16</v>
      </c>
      <c r="H148" s="23" t="s">
        <v>16</v>
      </c>
    </row>
    <row r="149" spans="1:8">
      <c r="A149" s="27"/>
      <c r="B149" s="27"/>
      <c r="C149" s="28"/>
      <c r="D149" s="28"/>
      <c r="E149" s="23" t="s">
        <v>16</v>
      </c>
      <c r="F149" s="23" t="s">
        <v>16</v>
      </c>
      <c r="G149" s="23" t="s">
        <v>16</v>
      </c>
      <c r="H149" s="23" t="s">
        <v>16</v>
      </c>
    </row>
    <row r="150" spans="1:8">
      <c r="A150" s="27"/>
      <c r="B150" s="27"/>
      <c r="C150" s="28"/>
      <c r="D150" s="28"/>
      <c r="E150" s="23" t="s">
        <v>16</v>
      </c>
      <c r="F150" s="23" t="s">
        <v>16</v>
      </c>
      <c r="G150" s="23" t="s">
        <v>16</v>
      </c>
      <c r="H150" s="23" t="s">
        <v>16</v>
      </c>
    </row>
    <row r="151" spans="1:8">
      <c r="A151" s="27"/>
      <c r="B151" s="27"/>
      <c r="C151" s="28"/>
      <c r="D151" s="28"/>
      <c r="E151" s="23" t="s">
        <v>16</v>
      </c>
      <c r="F151" s="23" t="s">
        <v>16</v>
      </c>
      <c r="G151" s="23" t="s">
        <v>16</v>
      </c>
      <c r="H151" s="23" t="s">
        <v>16</v>
      </c>
    </row>
    <row r="152" spans="1:8">
      <c r="A152" s="27"/>
      <c r="B152" s="27"/>
      <c r="C152" s="28"/>
      <c r="D152" s="28"/>
      <c r="E152" s="23" t="s">
        <v>16</v>
      </c>
      <c r="F152" s="23" t="s">
        <v>16</v>
      </c>
      <c r="G152" s="23" t="s">
        <v>16</v>
      </c>
      <c r="H152" s="23" t="s">
        <v>16</v>
      </c>
    </row>
    <row r="153" spans="1:8">
      <c r="A153" s="27"/>
      <c r="B153" s="27"/>
      <c r="C153" s="28"/>
      <c r="D153" s="28"/>
      <c r="E153" s="23" t="s">
        <v>16</v>
      </c>
      <c r="F153" s="23" t="s">
        <v>16</v>
      </c>
      <c r="G153" s="23" t="s">
        <v>16</v>
      </c>
      <c r="H153" s="23" t="s">
        <v>16</v>
      </c>
    </row>
    <row r="154" spans="1:8">
      <c r="A154" s="27"/>
      <c r="B154" s="27"/>
      <c r="C154" s="28"/>
      <c r="D154" s="28"/>
      <c r="E154" s="23" t="s">
        <v>16</v>
      </c>
      <c r="F154" s="23" t="s">
        <v>16</v>
      </c>
      <c r="G154" s="23" t="s">
        <v>16</v>
      </c>
      <c r="H154" s="23" t="s">
        <v>16</v>
      </c>
    </row>
    <row r="155" spans="1:8">
      <c r="A155" s="27"/>
      <c r="B155" s="27"/>
      <c r="C155" s="28"/>
      <c r="D155" s="28"/>
      <c r="E155" s="23" t="s">
        <v>16</v>
      </c>
      <c r="F155" s="23" t="s">
        <v>16</v>
      </c>
      <c r="G155" s="23" t="s">
        <v>16</v>
      </c>
      <c r="H155" s="23" t="s">
        <v>16</v>
      </c>
    </row>
    <row r="156" spans="1:8">
      <c r="A156" s="27"/>
      <c r="B156" s="27"/>
      <c r="C156" s="28"/>
      <c r="D156" s="28"/>
      <c r="E156" s="23" t="s">
        <v>16</v>
      </c>
      <c r="F156" s="23" t="s">
        <v>16</v>
      </c>
      <c r="G156" s="23" t="s">
        <v>16</v>
      </c>
      <c r="H156" s="23" t="s">
        <v>16</v>
      </c>
    </row>
    <row r="157" spans="1:8">
      <c r="A157" s="27"/>
      <c r="B157" s="27"/>
      <c r="C157" s="28"/>
      <c r="D157" s="28"/>
      <c r="E157" s="23" t="s">
        <v>16</v>
      </c>
      <c r="F157" s="23" t="s">
        <v>16</v>
      </c>
      <c r="G157" s="23" t="s">
        <v>16</v>
      </c>
      <c r="H157" s="23" t="s">
        <v>16</v>
      </c>
    </row>
    <row r="158" spans="1:8">
      <c r="A158" s="27"/>
      <c r="B158" s="27"/>
      <c r="C158" s="28"/>
      <c r="D158" s="28"/>
      <c r="E158" s="23" t="s">
        <v>16</v>
      </c>
      <c r="F158" s="23" t="s">
        <v>16</v>
      </c>
      <c r="G158" s="23" t="s">
        <v>16</v>
      </c>
      <c r="H158" s="23" t="s">
        <v>16</v>
      </c>
    </row>
    <row r="159" spans="1:8">
      <c r="A159" s="27"/>
      <c r="B159" s="27"/>
      <c r="C159" s="28"/>
      <c r="D159" s="28"/>
      <c r="E159" s="23" t="s">
        <v>16</v>
      </c>
      <c r="F159" s="23" t="s">
        <v>16</v>
      </c>
      <c r="G159" s="23" t="s">
        <v>16</v>
      </c>
      <c r="H159" s="23" t="s">
        <v>16</v>
      </c>
    </row>
    <row r="160" spans="1:8">
      <c r="A160" s="27"/>
      <c r="B160" s="27"/>
      <c r="C160" s="28"/>
      <c r="D160" s="28"/>
      <c r="E160" s="23" t="s">
        <v>16</v>
      </c>
      <c r="F160" s="23" t="s">
        <v>16</v>
      </c>
      <c r="G160" s="23" t="s">
        <v>16</v>
      </c>
      <c r="H160" s="23" t="s">
        <v>16</v>
      </c>
    </row>
    <row r="161" spans="1:8">
      <c r="A161" s="27"/>
      <c r="B161" s="27"/>
      <c r="C161" s="28"/>
      <c r="D161" s="28"/>
      <c r="E161" s="23" t="s">
        <v>16</v>
      </c>
      <c r="F161" s="23" t="s">
        <v>16</v>
      </c>
      <c r="G161" s="23" t="s">
        <v>16</v>
      </c>
      <c r="H161" s="23" t="s">
        <v>16</v>
      </c>
    </row>
    <row r="162" spans="1:8">
      <c r="A162" s="27"/>
      <c r="B162" s="27"/>
      <c r="C162" s="28"/>
      <c r="D162" s="28"/>
      <c r="E162" s="23" t="s">
        <v>16</v>
      </c>
      <c r="F162" s="23" t="s">
        <v>16</v>
      </c>
      <c r="G162" s="23" t="s">
        <v>16</v>
      </c>
      <c r="H162" s="23" t="s">
        <v>16</v>
      </c>
    </row>
    <row r="163" spans="1:8">
      <c r="A163" s="27"/>
      <c r="B163" s="27"/>
      <c r="C163" s="28"/>
      <c r="D163" s="28"/>
      <c r="E163" s="23" t="s">
        <v>16</v>
      </c>
      <c r="F163" s="23" t="s">
        <v>16</v>
      </c>
      <c r="G163" s="23" t="s">
        <v>16</v>
      </c>
      <c r="H163" s="23" t="s">
        <v>16</v>
      </c>
    </row>
    <row r="164" spans="1:8">
      <c r="A164" s="27"/>
      <c r="B164" s="27"/>
      <c r="C164" s="28"/>
      <c r="D164" s="28"/>
      <c r="E164" s="23" t="s">
        <v>16</v>
      </c>
      <c r="F164" s="23" t="s">
        <v>16</v>
      </c>
      <c r="G164" s="23" t="s">
        <v>16</v>
      </c>
      <c r="H164" s="23" t="s">
        <v>16</v>
      </c>
    </row>
    <row r="165" spans="1:8">
      <c r="A165" s="27"/>
      <c r="B165" s="27"/>
      <c r="C165" s="28"/>
      <c r="D165" s="28"/>
      <c r="E165" s="23" t="s">
        <v>16</v>
      </c>
      <c r="F165" s="23" t="s">
        <v>16</v>
      </c>
      <c r="G165" s="23" t="s">
        <v>16</v>
      </c>
      <c r="H165" s="23" t="s">
        <v>16</v>
      </c>
    </row>
    <row r="166" spans="1:8">
      <c r="A166" s="27"/>
      <c r="B166" s="27"/>
      <c r="C166" s="28"/>
      <c r="D166" s="28"/>
      <c r="E166" s="23" t="s">
        <v>16</v>
      </c>
      <c r="F166" s="23" t="s">
        <v>16</v>
      </c>
      <c r="G166" s="23" t="s">
        <v>16</v>
      </c>
      <c r="H166" s="23" t="s">
        <v>16</v>
      </c>
    </row>
    <row r="167" spans="1:8">
      <c r="A167" s="27"/>
      <c r="B167" s="27"/>
      <c r="C167" s="28"/>
      <c r="D167" s="28"/>
      <c r="E167" s="23" t="s">
        <v>16</v>
      </c>
      <c r="F167" s="23" t="s">
        <v>16</v>
      </c>
      <c r="G167" s="23" t="s">
        <v>16</v>
      </c>
      <c r="H167" s="23" t="s">
        <v>16</v>
      </c>
    </row>
    <row r="168" spans="1:8">
      <c r="A168" s="27"/>
      <c r="B168" s="27"/>
      <c r="C168" s="28"/>
      <c r="D168" s="28"/>
      <c r="E168" s="23" t="s">
        <v>16</v>
      </c>
      <c r="F168" s="23" t="s">
        <v>16</v>
      </c>
      <c r="G168" s="23" t="s">
        <v>16</v>
      </c>
      <c r="H168" s="23" t="s">
        <v>16</v>
      </c>
    </row>
    <row r="169" spans="1:8">
      <c r="A169" s="27"/>
      <c r="B169" s="27"/>
      <c r="C169" s="28"/>
      <c r="D169" s="28"/>
      <c r="E169" s="23" t="s">
        <v>16</v>
      </c>
      <c r="F169" s="23" t="s">
        <v>16</v>
      </c>
      <c r="G169" s="23" t="s">
        <v>16</v>
      </c>
      <c r="H169" s="23" t="s">
        <v>16</v>
      </c>
    </row>
    <row r="170" spans="1:8">
      <c r="A170" s="27"/>
      <c r="B170" s="27"/>
      <c r="C170" s="28"/>
      <c r="D170" s="28"/>
      <c r="E170" s="23" t="s">
        <v>16</v>
      </c>
      <c r="F170" s="23" t="s">
        <v>16</v>
      </c>
      <c r="G170" s="23" t="s">
        <v>16</v>
      </c>
      <c r="H170" s="23" t="s">
        <v>16</v>
      </c>
    </row>
    <row r="171" spans="1:8">
      <c r="A171" s="27"/>
      <c r="B171" s="27"/>
      <c r="C171" s="28"/>
      <c r="D171" s="28"/>
      <c r="E171" s="23" t="s">
        <v>16</v>
      </c>
      <c r="F171" s="23" t="s">
        <v>16</v>
      </c>
      <c r="G171" s="23" t="s">
        <v>16</v>
      </c>
      <c r="H171" s="23" t="s">
        <v>16</v>
      </c>
    </row>
    <row r="172" spans="1:8">
      <c r="A172" s="27"/>
      <c r="B172" s="27"/>
      <c r="C172" s="28"/>
      <c r="D172" s="28"/>
      <c r="E172" s="23" t="s">
        <v>16</v>
      </c>
      <c r="F172" s="23" t="s">
        <v>16</v>
      </c>
      <c r="G172" s="23" t="s">
        <v>16</v>
      </c>
      <c r="H172" s="23" t="s">
        <v>16</v>
      </c>
    </row>
    <row r="173" spans="1:8">
      <c r="A173" s="27"/>
      <c r="B173" s="27"/>
      <c r="C173" s="28"/>
      <c r="D173" s="28"/>
      <c r="E173" s="23" t="s">
        <v>16</v>
      </c>
      <c r="F173" s="23" t="s">
        <v>16</v>
      </c>
      <c r="G173" s="23" t="s">
        <v>16</v>
      </c>
      <c r="H173" s="23" t="s">
        <v>16</v>
      </c>
    </row>
    <row r="174" spans="1:8">
      <c r="A174" s="27"/>
      <c r="B174" s="27"/>
      <c r="C174" s="28"/>
      <c r="D174" s="28"/>
      <c r="E174" s="23" t="s">
        <v>16</v>
      </c>
      <c r="F174" s="23" t="s">
        <v>16</v>
      </c>
      <c r="G174" s="23" t="s">
        <v>16</v>
      </c>
      <c r="H174" s="23" t="s">
        <v>16</v>
      </c>
    </row>
    <row r="175" spans="1:8">
      <c r="A175" s="27"/>
      <c r="B175" s="27"/>
      <c r="C175" s="28"/>
      <c r="D175" s="28"/>
      <c r="E175" s="23" t="s">
        <v>16</v>
      </c>
      <c r="F175" s="23" t="s">
        <v>16</v>
      </c>
      <c r="G175" s="23" t="s">
        <v>16</v>
      </c>
      <c r="H175" s="23" t="s">
        <v>16</v>
      </c>
    </row>
    <row r="176" spans="1:8">
      <c r="A176" s="27"/>
      <c r="B176" s="27"/>
      <c r="C176" s="28"/>
      <c r="D176" s="28"/>
      <c r="E176" s="23" t="s">
        <v>16</v>
      </c>
      <c r="F176" s="23" t="s">
        <v>16</v>
      </c>
      <c r="G176" s="23" t="s">
        <v>16</v>
      </c>
      <c r="H176" s="23" t="s">
        <v>16</v>
      </c>
    </row>
    <row r="177" spans="1:8">
      <c r="A177" s="27"/>
      <c r="B177" s="27"/>
      <c r="C177" s="28"/>
      <c r="D177" s="28"/>
      <c r="E177" s="23" t="s">
        <v>16</v>
      </c>
      <c r="F177" s="23" t="s">
        <v>16</v>
      </c>
      <c r="G177" s="23" t="s">
        <v>16</v>
      </c>
      <c r="H177" s="23" t="s">
        <v>16</v>
      </c>
    </row>
    <row r="178" spans="1:8">
      <c r="A178" s="27"/>
      <c r="B178" s="27"/>
      <c r="C178" s="28"/>
      <c r="D178" s="28"/>
      <c r="E178" s="23" t="s">
        <v>16</v>
      </c>
      <c r="F178" s="23" t="s">
        <v>16</v>
      </c>
      <c r="G178" s="23" t="s">
        <v>16</v>
      </c>
      <c r="H178" s="23" t="s">
        <v>16</v>
      </c>
    </row>
    <row r="179" spans="1:8">
      <c r="A179" s="27"/>
      <c r="B179" s="27"/>
      <c r="C179" s="28"/>
      <c r="D179" s="28"/>
      <c r="E179" s="23" t="s">
        <v>16</v>
      </c>
      <c r="F179" s="23" t="s">
        <v>16</v>
      </c>
      <c r="G179" s="23" t="s">
        <v>16</v>
      </c>
      <c r="H179" s="23" t="s">
        <v>16</v>
      </c>
    </row>
    <row r="180" spans="1:8">
      <c r="A180" s="27"/>
      <c r="B180" s="27"/>
      <c r="C180" s="28"/>
      <c r="D180" s="28"/>
      <c r="E180" s="23" t="s">
        <v>16</v>
      </c>
      <c r="F180" s="23" t="s">
        <v>16</v>
      </c>
      <c r="G180" s="23" t="s">
        <v>16</v>
      </c>
      <c r="H180" s="23" t="s">
        <v>16</v>
      </c>
    </row>
    <row r="181" spans="1:8">
      <c r="A181" s="27"/>
      <c r="B181" s="27"/>
      <c r="C181" s="28"/>
      <c r="D181" s="28"/>
      <c r="E181" s="23" t="s">
        <v>16</v>
      </c>
      <c r="F181" s="23" t="s">
        <v>16</v>
      </c>
      <c r="G181" s="23" t="s">
        <v>16</v>
      </c>
      <c r="H181" s="23" t="s">
        <v>16</v>
      </c>
    </row>
    <row r="182" spans="1:8">
      <c r="A182" s="27"/>
      <c r="B182" s="27"/>
      <c r="C182" s="28"/>
      <c r="D182" s="28"/>
      <c r="E182" s="23" t="s">
        <v>16</v>
      </c>
      <c r="F182" s="23" t="s">
        <v>16</v>
      </c>
      <c r="G182" s="23" t="s">
        <v>16</v>
      </c>
      <c r="H182" s="23" t="s">
        <v>16</v>
      </c>
    </row>
    <row r="183" spans="1:8">
      <c r="A183" s="27"/>
      <c r="B183" s="27"/>
      <c r="C183" s="28"/>
      <c r="D183" s="28"/>
      <c r="E183" s="23" t="s">
        <v>16</v>
      </c>
      <c r="F183" s="23" t="s">
        <v>16</v>
      </c>
      <c r="G183" s="23" t="s">
        <v>16</v>
      </c>
      <c r="H183" s="23" t="s">
        <v>16</v>
      </c>
    </row>
    <row r="184" spans="1:8">
      <c r="A184" s="27"/>
      <c r="B184" s="27"/>
      <c r="C184" s="28"/>
      <c r="D184" s="28"/>
      <c r="E184" s="23" t="s">
        <v>16</v>
      </c>
      <c r="F184" s="23" t="s">
        <v>16</v>
      </c>
      <c r="G184" s="23" t="s">
        <v>16</v>
      </c>
      <c r="H184" s="23" t="s">
        <v>16</v>
      </c>
    </row>
    <row r="185" spans="1:8">
      <c r="A185" s="27"/>
      <c r="B185" s="27"/>
      <c r="C185" s="28"/>
      <c r="D185" s="28"/>
      <c r="E185" s="23" t="s">
        <v>16</v>
      </c>
      <c r="F185" s="23" t="s">
        <v>16</v>
      </c>
      <c r="G185" s="23" t="s">
        <v>16</v>
      </c>
      <c r="H185" s="23" t="s">
        <v>16</v>
      </c>
    </row>
    <row r="186" spans="1:8">
      <c r="A186" s="27"/>
      <c r="B186" s="27"/>
      <c r="C186" s="28"/>
      <c r="D186" s="28"/>
      <c r="E186" s="23" t="s">
        <v>16</v>
      </c>
      <c r="F186" s="23" t="s">
        <v>16</v>
      </c>
      <c r="G186" s="23" t="s">
        <v>16</v>
      </c>
      <c r="H186" s="23" t="s">
        <v>16</v>
      </c>
    </row>
    <row r="187" spans="1:8">
      <c r="A187" s="27"/>
      <c r="B187" s="27"/>
      <c r="C187" s="28"/>
      <c r="D187" s="28"/>
      <c r="E187" s="23" t="s">
        <v>16</v>
      </c>
      <c r="F187" s="23" t="s">
        <v>16</v>
      </c>
      <c r="G187" s="23" t="s">
        <v>16</v>
      </c>
      <c r="H187" s="23" t="s">
        <v>16</v>
      </c>
    </row>
    <row r="188" spans="1:8">
      <c r="A188" s="27"/>
      <c r="B188" s="27"/>
      <c r="C188" s="28"/>
      <c r="D188" s="28"/>
      <c r="E188" s="23" t="s">
        <v>16</v>
      </c>
      <c r="F188" s="23" t="s">
        <v>16</v>
      </c>
      <c r="G188" s="23" t="s">
        <v>16</v>
      </c>
      <c r="H188" s="23" t="s">
        <v>16</v>
      </c>
    </row>
    <row r="189" spans="1:8">
      <c r="A189" s="27"/>
      <c r="B189" s="27"/>
      <c r="C189" s="28"/>
      <c r="D189" s="28"/>
      <c r="E189" s="23" t="s">
        <v>16</v>
      </c>
      <c r="F189" s="23" t="s">
        <v>16</v>
      </c>
      <c r="G189" s="23" t="s">
        <v>16</v>
      </c>
      <c r="H189" s="23" t="s">
        <v>16</v>
      </c>
    </row>
    <row r="190" spans="1:8">
      <c r="A190" s="27"/>
      <c r="B190" s="27"/>
      <c r="C190" s="28"/>
      <c r="D190" s="28"/>
      <c r="E190" s="23" t="s">
        <v>16</v>
      </c>
      <c r="F190" s="23" t="s">
        <v>16</v>
      </c>
      <c r="G190" s="23" t="s">
        <v>16</v>
      </c>
      <c r="H190" s="23" t="s">
        <v>16</v>
      </c>
    </row>
    <row r="191" spans="1:8">
      <c r="A191" s="27"/>
      <c r="B191" s="27"/>
      <c r="C191" s="28"/>
      <c r="D191" s="28"/>
      <c r="E191" s="23" t="s">
        <v>16</v>
      </c>
      <c r="F191" s="23" t="s">
        <v>16</v>
      </c>
      <c r="G191" s="23" t="s">
        <v>16</v>
      </c>
      <c r="H191" s="23" t="s">
        <v>16</v>
      </c>
    </row>
    <row r="192" spans="1:8">
      <c r="A192" s="27"/>
      <c r="B192" s="27"/>
      <c r="C192" s="28"/>
      <c r="D192" s="28"/>
      <c r="E192" s="23" t="s">
        <v>16</v>
      </c>
      <c r="F192" s="23" t="s">
        <v>16</v>
      </c>
      <c r="G192" s="23" t="s">
        <v>16</v>
      </c>
      <c r="H192" s="23" t="s">
        <v>16</v>
      </c>
    </row>
    <row r="193" spans="1:8">
      <c r="A193" s="27"/>
      <c r="B193" s="27"/>
      <c r="C193" s="28"/>
      <c r="D193" s="28"/>
      <c r="E193" s="23" t="s">
        <v>16</v>
      </c>
      <c r="F193" s="23" t="s">
        <v>16</v>
      </c>
      <c r="G193" s="23" t="s">
        <v>16</v>
      </c>
      <c r="H193" s="23" t="s">
        <v>16</v>
      </c>
    </row>
    <row r="194" spans="1:8">
      <c r="A194" s="27"/>
      <c r="B194" s="27"/>
      <c r="C194" s="28"/>
      <c r="D194" s="28"/>
      <c r="E194" s="23" t="s">
        <v>16</v>
      </c>
      <c r="F194" s="23" t="s">
        <v>16</v>
      </c>
      <c r="G194" s="23" t="s">
        <v>16</v>
      </c>
      <c r="H194" s="23" t="s">
        <v>16</v>
      </c>
    </row>
    <row r="195" spans="1:8">
      <c r="A195" s="27"/>
      <c r="B195" s="27"/>
      <c r="C195" s="28"/>
      <c r="D195" s="28"/>
      <c r="E195" s="23" t="s">
        <v>16</v>
      </c>
      <c r="F195" s="23" t="s">
        <v>16</v>
      </c>
      <c r="G195" s="23" t="s">
        <v>16</v>
      </c>
      <c r="H195" s="23" t="s">
        <v>16</v>
      </c>
    </row>
    <row r="196" spans="1:8">
      <c r="A196" s="27"/>
      <c r="B196" s="27"/>
      <c r="C196" s="28"/>
      <c r="D196" s="28"/>
      <c r="E196" s="23" t="s">
        <v>16</v>
      </c>
      <c r="F196" s="23" t="s">
        <v>16</v>
      </c>
      <c r="G196" s="23" t="s">
        <v>16</v>
      </c>
      <c r="H196" s="23" t="s">
        <v>16</v>
      </c>
    </row>
    <row r="197" spans="1:8">
      <c r="A197" s="27"/>
      <c r="B197" s="27"/>
      <c r="C197" s="28"/>
      <c r="D197" s="28"/>
      <c r="E197" s="23" t="s">
        <v>16</v>
      </c>
      <c r="F197" s="23" t="s">
        <v>16</v>
      </c>
      <c r="G197" s="23" t="s">
        <v>16</v>
      </c>
      <c r="H197" s="23" t="s">
        <v>16</v>
      </c>
    </row>
    <row r="198" spans="1:8">
      <c r="A198" s="27"/>
      <c r="B198" s="27"/>
      <c r="C198" s="28"/>
      <c r="D198" s="28"/>
      <c r="E198" s="23" t="s">
        <v>16</v>
      </c>
      <c r="F198" s="23" t="s">
        <v>16</v>
      </c>
      <c r="G198" s="23" t="s">
        <v>16</v>
      </c>
      <c r="H198" s="23" t="s">
        <v>16</v>
      </c>
    </row>
    <row r="199" spans="1:8">
      <c r="A199" s="27"/>
      <c r="B199" s="27"/>
      <c r="C199" s="28"/>
      <c r="D199" s="28"/>
      <c r="E199" s="23" t="s">
        <v>16</v>
      </c>
      <c r="F199" s="23" t="s">
        <v>16</v>
      </c>
      <c r="G199" s="23" t="s">
        <v>16</v>
      </c>
      <c r="H199" s="23" t="s">
        <v>16</v>
      </c>
    </row>
    <row r="200" spans="1:8">
      <c r="A200" s="27"/>
      <c r="B200" s="27"/>
      <c r="C200" s="28"/>
      <c r="D200" s="28"/>
      <c r="E200" s="23" t="s">
        <v>16</v>
      </c>
      <c r="F200" s="23" t="s">
        <v>16</v>
      </c>
      <c r="G200" s="23" t="s">
        <v>16</v>
      </c>
      <c r="H200" s="23" t="s">
        <v>16</v>
      </c>
    </row>
    <row r="201" spans="1:8">
      <c r="A201" s="27"/>
      <c r="B201" s="27"/>
      <c r="C201" s="28"/>
      <c r="D201" s="28"/>
      <c r="E201" s="23" t="s">
        <v>16</v>
      </c>
      <c r="F201" s="23" t="s">
        <v>16</v>
      </c>
      <c r="G201" s="23" t="s">
        <v>16</v>
      </c>
      <c r="H201" s="23" t="s">
        <v>16</v>
      </c>
    </row>
    <row r="202" spans="1:8">
      <c r="A202" s="27"/>
      <c r="B202" s="27"/>
      <c r="C202" s="28"/>
      <c r="D202" s="28"/>
      <c r="E202" s="23"/>
      <c r="F202" s="23"/>
      <c r="G202" s="23"/>
      <c r="H202" s="23"/>
    </row>
    <row r="203" spans="1:8">
      <c r="A203" s="27"/>
      <c r="B203" s="27"/>
      <c r="C203" s="28"/>
      <c r="D203" s="28"/>
      <c r="E203" s="23"/>
      <c r="F203" s="23"/>
      <c r="G203" s="23"/>
      <c r="H203" s="23"/>
    </row>
    <row r="204" spans="1:8">
      <c r="A204" s="27"/>
      <c r="B204" s="27"/>
      <c r="C204" s="28"/>
      <c r="D204" s="28"/>
      <c r="E204" s="23"/>
      <c r="F204" s="23"/>
      <c r="G204" s="23"/>
      <c r="H204" s="23"/>
    </row>
    <row r="205" spans="1:8">
      <c r="A205" s="27"/>
      <c r="B205" s="27"/>
      <c r="C205" s="28"/>
      <c r="D205" s="28"/>
      <c r="E205" s="23"/>
      <c r="F205" s="23"/>
      <c r="G205" s="23"/>
      <c r="H205" s="23"/>
    </row>
    <row r="206" spans="1:8">
      <c r="A206" s="27"/>
      <c r="B206" s="27"/>
      <c r="C206" s="28"/>
      <c r="D206" s="28"/>
      <c r="E206" s="23"/>
      <c r="F206" s="23"/>
      <c r="G206" s="23"/>
      <c r="H206" s="23"/>
    </row>
    <row r="207" spans="1:8">
      <c r="A207" s="27"/>
      <c r="B207" s="27"/>
      <c r="C207" s="28"/>
      <c r="D207" s="28"/>
      <c r="E207" s="23"/>
      <c r="F207" s="23"/>
      <c r="G207" s="23"/>
      <c r="H207" s="23"/>
    </row>
    <row r="208" spans="1:8">
      <c r="A208" s="27"/>
      <c r="B208" s="27"/>
      <c r="C208" s="28"/>
      <c r="D208" s="28"/>
      <c r="E208" s="23"/>
      <c r="F208" s="23"/>
      <c r="G208" s="23"/>
      <c r="H208" s="23"/>
    </row>
    <row r="209" spans="1:8">
      <c r="A209" s="27"/>
      <c r="B209" s="27"/>
      <c r="C209" s="28"/>
      <c r="D209" s="28"/>
      <c r="E209" s="23"/>
      <c r="F209" s="23"/>
      <c r="G209" s="23"/>
      <c r="H209" s="23"/>
    </row>
    <row r="210" spans="1:8">
      <c r="A210" s="27"/>
      <c r="B210" s="27"/>
      <c r="C210" s="28"/>
      <c r="D210" s="28"/>
      <c r="E210" s="23"/>
      <c r="F210" s="23"/>
      <c r="G210" s="23"/>
      <c r="H210" s="23"/>
    </row>
    <row r="211" spans="1:8">
      <c r="A211" s="27"/>
      <c r="B211" s="27"/>
      <c r="C211" s="28"/>
      <c r="D211" s="28"/>
      <c r="E211" s="23"/>
      <c r="F211" s="23"/>
      <c r="G211" s="23"/>
      <c r="H211" s="23"/>
    </row>
    <row r="212" spans="1:8">
      <c r="A212" s="27"/>
      <c r="B212" s="27"/>
      <c r="C212" s="28"/>
      <c r="D212" s="28"/>
      <c r="E212" s="23"/>
      <c r="F212" s="23"/>
      <c r="G212" s="23"/>
      <c r="H212" s="23"/>
    </row>
    <row r="213" spans="1:8">
      <c r="A213" s="27"/>
      <c r="B213" s="27"/>
      <c r="C213" s="28"/>
      <c r="D213" s="28"/>
      <c r="E213" s="23"/>
      <c r="F213" s="23"/>
      <c r="G213" s="23"/>
      <c r="H213" s="23"/>
    </row>
    <row r="214" spans="1:8">
      <c r="A214" s="27"/>
      <c r="B214" s="27"/>
      <c r="C214" s="28"/>
      <c r="D214" s="28"/>
      <c r="E214" s="23"/>
      <c r="F214" s="23"/>
      <c r="G214" s="23"/>
      <c r="H214" s="23"/>
    </row>
    <row r="215" spans="1:8">
      <c r="A215" s="27"/>
      <c r="B215" s="27"/>
      <c r="C215" s="28"/>
      <c r="D215" s="28"/>
      <c r="E215" s="23"/>
      <c r="F215" s="23"/>
      <c r="G215" s="23"/>
      <c r="H215" s="23"/>
    </row>
    <row r="216" spans="1:8">
      <c r="A216" s="27"/>
      <c r="B216" s="27"/>
      <c r="C216" s="28"/>
      <c r="D216" s="28"/>
      <c r="E216" s="23"/>
      <c r="F216" s="23"/>
      <c r="G216" s="23"/>
      <c r="H216" s="23"/>
    </row>
    <row r="217" spans="1:8">
      <c r="A217" s="27"/>
      <c r="B217" s="27"/>
      <c r="C217" s="28"/>
      <c r="D217" s="28"/>
      <c r="E217" s="23"/>
      <c r="F217" s="23"/>
      <c r="G217" s="23"/>
      <c r="H217" s="23"/>
    </row>
    <row r="218" spans="1:8">
      <c r="A218" s="27"/>
      <c r="B218" s="27"/>
      <c r="C218" s="28"/>
      <c r="D218" s="28"/>
      <c r="E218" s="23"/>
      <c r="F218" s="23"/>
      <c r="G218" s="23"/>
      <c r="H218" s="23"/>
    </row>
    <row r="219" spans="1:8">
      <c r="A219" s="27"/>
      <c r="B219" s="27"/>
      <c r="C219" s="28"/>
      <c r="D219" s="28"/>
      <c r="E219" s="23"/>
      <c r="F219" s="23"/>
      <c r="G219" s="23"/>
      <c r="H219" s="23"/>
    </row>
    <row r="220" spans="1:8">
      <c r="A220" s="27"/>
      <c r="B220" s="27"/>
      <c r="C220" s="28"/>
      <c r="D220" s="28"/>
      <c r="E220" s="23"/>
      <c r="F220" s="23"/>
      <c r="G220" s="23"/>
      <c r="H220" s="23"/>
    </row>
    <row r="221" spans="1:8">
      <c r="A221" s="27"/>
      <c r="B221" s="27"/>
      <c r="C221" s="28"/>
      <c r="D221" s="28"/>
      <c r="E221" s="23"/>
      <c r="F221" s="23"/>
      <c r="G221" s="23"/>
      <c r="H221" s="23"/>
    </row>
    <row r="222" spans="1:8">
      <c r="A222" s="27"/>
      <c r="B222" s="27"/>
      <c r="C222" s="28"/>
      <c r="D222" s="28"/>
      <c r="E222" s="53"/>
      <c r="F222" s="53"/>
      <c r="G222" s="53"/>
      <c r="H222" s="53"/>
    </row>
    <row r="223" spans="1:8">
      <c r="A223" s="27"/>
      <c r="B223" s="27"/>
      <c r="C223" s="28"/>
      <c r="D223" s="28"/>
      <c r="E223" s="53"/>
      <c r="F223" s="53"/>
      <c r="G223" s="53"/>
      <c r="H223" s="53"/>
    </row>
    <row r="224" spans="1:8">
      <c r="A224" s="27"/>
      <c r="B224" s="27"/>
      <c r="C224" s="28"/>
      <c r="D224" s="28"/>
      <c r="E224" s="53"/>
      <c r="F224" s="53"/>
      <c r="G224" s="53"/>
      <c r="H224" s="53"/>
    </row>
    <row r="225" spans="1:8">
      <c r="A225" s="27"/>
      <c r="B225" s="27"/>
      <c r="C225" s="28"/>
      <c r="D225" s="28"/>
      <c r="E225" s="53"/>
      <c r="F225" s="53"/>
      <c r="G225" s="53"/>
      <c r="H225" s="53"/>
    </row>
    <row r="226" spans="1:8">
      <c r="A226" s="27"/>
      <c r="B226" s="27"/>
      <c r="C226" s="28"/>
      <c r="D226" s="28"/>
      <c r="E226" s="53"/>
      <c r="F226" s="53"/>
      <c r="G226" s="53"/>
      <c r="H226" s="53"/>
    </row>
    <row r="227" spans="1:8">
      <c r="A227" s="27"/>
      <c r="B227" s="27"/>
      <c r="C227" s="28"/>
      <c r="D227" s="28"/>
      <c r="E227" s="53"/>
      <c r="F227" s="53"/>
      <c r="G227" s="53"/>
      <c r="H227" s="53"/>
    </row>
    <row r="228" spans="1:8">
      <c r="A228" s="27"/>
      <c r="B228" s="27"/>
      <c r="C228" s="28"/>
      <c r="D228" s="28"/>
      <c r="E228" s="53"/>
      <c r="F228" s="53"/>
      <c r="G228" s="53"/>
      <c r="H228" s="53"/>
    </row>
    <row r="229" spans="1:8">
      <c r="A229" s="27"/>
      <c r="B229" s="27"/>
      <c r="C229" s="28"/>
      <c r="D229" s="28"/>
      <c r="E229" s="53"/>
      <c r="F229" s="53"/>
      <c r="G229" s="53"/>
      <c r="H229" s="53"/>
    </row>
    <row r="230" spans="1:8">
      <c r="A230" s="27"/>
      <c r="B230" s="27"/>
      <c r="C230" s="28"/>
      <c r="D230" s="28"/>
      <c r="E230" s="53"/>
      <c r="F230" s="53"/>
      <c r="G230" s="53"/>
      <c r="H230" s="53"/>
    </row>
    <row r="231" spans="1:8">
      <c r="A231" s="27"/>
      <c r="B231" s="27"/>
      <c r="C231" s="28"/>
      <c r="D231" s="28"/>
      <c r="E231" s="53"/>
      <c r="F231" s="53"/>
      <c r="G231" s="53"/>
      <c r="H231" s="53"/>
    </row>
    <row r="232" spans="1:8">
      <c r="A232" s="27"/>
      <c r="B232" s="27"/>
      <c r="C232" s="28"/>
      <c r="D232" s="28"/>
      <c r="E232" s="53"/>
      <c r="F232" s="53"/>
      <c r="G232" s="53"/>
      <c r="H232" s="53"/>
    </row>
    <row r="233" spans="1:8">
      <c r="A233" s="27"/>
      <c r="B233" s="27"/>
      <c r="C233" s="28"/>
      <c r="D233" s="28"/>
      <c r="E233" s="53"/>
      <c r="F233" s="53"/>
      <c r="G233" s="53"/>
      <c r="H233" s="53"/>
    </row>
    <row r="234" spans="1:8">
      <c r="A234" s="27"/>
      <c r="B234" s="27"/>
      <c r="C234" s="28"/>
      <c r="D234" s="28"/>
      <c r="E234" s="53"/>
      <c r="F234" s="53"/>
      <c r="G234" s="53"/>
      <c r="H234" s="53"/>
    </row>
    <row r="235" spans="1:8">
      <c r="A235" s="27"/>
      <c r="B235" s="27"/>
      <c r="C235" s="28"/>
      <c r="D235" s="28"/>
      <c r="E235" s="53"/>
      <c r="F235" s="53"/>
      <c r="G235" s="53"/>
      <c r="H235" s="53"/>
    </row>
    <row r="236" spans="1:8">
      <c r="A236" s="27"/>
      <c r="B236" s="27"/>
      <c r="C236" s="28"/>
      <c r="D236" s="28"/>
      <c r="E236" s="53"/>
      <c r="F236" s="53"/>
      <c r="G236" s="53"/>
      <c r="H236" s="53"/>
    </row>
    <row r="237" spans="1:8">
      <c r="A237" s="27"/>
      <c r="B237" s="27"/>
      <c r="C237" s="28"/>
      <c r="D237" s="28"/>
      <c r="E237" s="53"/>
      <c r="F237" s="53"/>
      <c r="G237" s="53"/>
      <c r="H237" s="53"/>
    </row>
    <row r="238" spans="1:8">
      <c r="A238" s="27"/>
      <c r="B238" s="27"/>
      <c r="C238" s="28"/>
      <c r="D238" s="28"/>
      <c r="E238" s="53"/>
      <c r="F238" s="53"/>
      <c r="G238" s="53"/>
      <c r="H238" s="53"/>
    </row>
    <row r="239" spans="1:8">
      <c r="A239" s="27"/>
      <c r="B239" s="27"/>
      <c r="C239" s="28"/>
      <c r="D239" s="28"/>
      <c r="E239" s="53"/>
      <c r="F239" s="53"/>
      <c r="G239" s="53"/>
      <c r="H239" s="53"/>
    </row>
    <row r="240" spans="1:8">
      <c r="A240" s="27"/>
      <c r="B240" s="27"/>
      <c r="C240" s="28"/>
      <c r="D240" s="28"/>
      <c r="E240" s="53"/>
      <c r="F240" s="53"/>
      <c r="G240" s="53"/>
      <c r="H240" s="53"/>
    </row>
    <row r="241" spans="1:8">
      <c r="A241" s="27"/>
      <c r="B241" s="27"/>
      <c r="C241" s="28"/>
      <c r="D241" s="28"/>
      <c r="E241" s="53"/>
      <c r="F241" s="53"/>
      <c r="G241" s="53"/>
      <c r="H241" s="53"/>
    </row>
    <row r="242" spans="1:8">
      <c r="A242" s="27"/>
      <c r="B242" s="27"/>
      <c r="C242" s="28"/>
      <c r="D242" s="28"/>
      <c r="E242" s="53"/>
      <c r="F242" s="53"/>
      <c r="G242" s="53"/>
      <c r="H242" s="53"/>
    </row>
    <row r="243" spans="1:8">
      <c r="A243" s="27"/>
      <c r="B243" s="27"/>
      <c r="C243" s="28"/>
      <c r="D243" s="28"/>
      <c r="E243" s="53"/>
      <c r="F243" s="53"/>
      <c r="G243" s="53"/>
      <c r="H243" s="53"/>
    </row>
    <row r="244" spans="1:8">
      <c r="A244" s="27"/>
      <c r="B244" s="27"/>
      <c r="C244" s="28"/>
      <c r="D244" s="28"/>
      <c r="E244" s="53"/>
      <c r="F244" s="53"/>
      <c r="G244" s="53"/>
      <c r="H244" s="53"/>
    </row>
    <row r="245" spans="1:8">
      <c r="A245" s="27"/>
      <c r="B245" s="27"/>
      <c r="C245" s="28"/>
      <c r="D245" s="28"/>
      <c r="E245" s="53"/>
      <c r="F245" s="53"/>
      <c r="G245" s="53"/>
      <c r="H245" s="53"/>
    </row>
    <row r="246" spans="1:8">
      <c r="A246" s="27"/>
      <c r="B246" s="27"/>
      <c r="C246" s="28"/>
      <c r="D246" s="28"/>
      <c r="E246" s="53"/>
      <c r="F246" s="53"/>
      <c r="G246" s="53"/>
      <c r="H246" s="53"/>
    </row>
    <row r="247" spans="1:8">
      <c r="A247" s="27"/>
      <c r="B247" s="27"/>
      <c r="C247" s="28"/>
      <c r="D247" s="28"/>
      <c r="E247" s="53"/>
      <c r="F247" s="53"/>
      <c r="G247" s="53"/>
      <c r="H247" s="53"/>
    </row>
    <row r="248" spans="1:8">
      <c r="A248" s="27"/>
      <c r="B248" s="27"/>
      <c r="C248" s="28"/>
      <c r="D248" s="28"/>
      <c r="E248" s="53"/>
      <c r="F248" s="53"/>
      <c r="G248" s="53"/>
      <c r="H248" s="53"/>
    </row>
    <row r="249" spans="1:8">
      <c r="A249" s="27"/>
      <c r="B249" s="27"/>
      <c r="C249" s="28"/>
      <c r="D249" s="28"/>
      <c r="E249" s="53"/>
      <c r="F249" s="53"/>
      <c r="G249" s="53"/>
      <c r="H249" s="53"/>
    </row>
    <row r="250" spans="1:8">
      <c r="A250" s="27"/>
      <c r="B250" s="27"/>
      <c r="C250" s="28"/>
      <c r="D250" s="28"/>
      <c r="E250" s="53"/>
      <c r="F250" s="53"/>
      <c r="G250" s="53"/>
      <c r="H250" s="53"/>
    </row>
    <row r="251" spans="1:8">
      <c r="A251" s="27"/>
      <c r="B251" s="27"/>
      <c r="C251" s="28"/>
      <c r="D251" s="28"/>
      <c r="E251" s="53"/>
      <c r="F251" s="53"/>
      <c r="G251" s="53"/>
      <c r="H251" s="53"/>
    </row>
    <row r="252" spans="1:8">
      <c r="A252" s="27"/>
      <c r="B252" s="27"/>
      <c r="C252" s="28"/>
      <c r="D252" s="28"/>
      <c r="E252" s="53"/>
      <c r="F252" s="53"/>
      <c r="G252" s="53"/>
      <c r="H252" s="53"/>
    </row>
    <row r="253" spans="1:8">
      <c r="A253" s="27"/>
      <c r="B253" s="27"/>
      <c r="C253" s="28"/>
      <c r="D253" s="28"/>
      <c r="E253" s="53"/>
      <c r="F253" s="53"/>
      <c r="G253" s="53"/>
      <c r="H253" s="53"/>
    </row>
    <row r="254" spans="1:8">
      <c r="A254" s="27"/>
      <c r="B254" s="27"/>
      <c r="C254" s="28"/>
      <c r="D254" s="28"/>
      <c r="E254" s="53"/>
      <c r="F254" s="53"/>
      <c r="G254" s="53"/>
      <c r="H254" s="53"/>
    </row>
    <row r="255" spans="1:8">
      <c r="A255" s="27"/>
      <c r="B255" s="27"/>
      <c r="C255" s="28"/>
      <c r="D255" s="28"/>
      <c r="E255" s="53"/>
      <c r="F255" s="53"/>
      <c r="G255" s="53"/>
      <c r="H255" s="53"/>
    </row>
    <row r="256" spans="1:8">
      <c r="A256" s="27"/>
      <c r="B256" s="27"/>
      <c r="C256" s="28"/>
      <c r="D256" s="28"/>
      <c r="E256" s="53"/>
      <c r="F256" s="53"/>
      <c r="G256" s="53"/>
      <c r="H256" s="53"/>
    </row>
    <row r="257" spans="1:8">
      <c r="A257" s="27"/>
      <c r="B257" s="27"/>
      <c r="C257" s="28"/>
      <c r="D257" s="28"/>
      <c r="E257" s="53"/>
      <c r="F257" s="53"/>
      <c r="G257" s="53"/>
      <c r="H257" s="53"/>
    </row>
    <row r="258" spans="1:8">
      <c r="A258" s="27"/>
      <c r="B258" s="27"/>
      <c r="C258" s="28"/>
      <c r="D258" s="28"/>
      <c r="E258" s="53"/>
      <c r="F258" s="53"/>
      <c r="G258" s="53"/>
      <c r="H258" s="53"/>
    </row>
    <row r="259" spans="1:8">
      <c r="A259" s="27"/>
      <c r="B259" s="27"/>
      <c r="C259" s="28"/>
      <c r="D259" s="28"/>
      <c r="E259" s="53"/>
      <c r="F259" s="53"/>
      <c r="G259" s="53"/>
      <c r="H259" s="53"/>
    </row>
    <row r="260" spans="1:8">
      <c r="A260" s="27"/>
      <c r="B260" s="27"/>
      <c r="C260" s="28"/>
      <c r="D260" s="28"/>
      <c r="E260" s="53"/>
      <c r="F260" s="53"/>
      <c r="G260" s="53"/>
      <c r="H260" s="53"/>
    </row>
    <row r="261" spans="1:8">
      <c r="A261" s="27"/>
      <c r="B261" s="27"/>
      <c r="C261" s="28"/>
      <c r="D261" s="28"/>
      <c r="E261" s="53"/>
      <c r="F261" s="53"/>
      <c r="G261" s="53"/>
      <c r="H261" s="53"/>
    </row>
    <row r="262" spans="1:8">
      <c r="A262" s="27"/>
      <c r="B262" s="27"/>
      <c r="C262" s="28"/>
      <c r="D262" s="28"/>
      <c r="E262" s="53"/>
      <c r="F262" s="53"/>
      <c r="G262" s="53"/>
      <c r="H262" s="53"/>
    </row>
    <row r="263" spans="1:8">
      <c r="A263" s="27"/>
      <c r="B263" s="27"/>
      <c r="C263" s="28"/>
      <c r="D263" s="28"/>
      <c r="E263" s="53"/>
      <c r="F263" s="53"/>
      <c r="G263" s="53"/>
      <c r="H263" s="53"/>
    </row>
    <row r="264" spans="1:8">
      <c r="A264" s="27"/>
      <c r="B264" s="27"/>
      <c r="C264" s="28"/>
      <c r="D264" s="28"/>
      <c r="E264" s="53"/>
      <c r="F264" s="53"/>
      <c r="G264" s="53"/>
      <c r="H264" s="53"/>
    </row>
    <row r="265" spans="1:8">
      <c r="A265" s="27"/>
      <c r="B265" s="27"/>
      <c r="C265" s="28"/>
      <c r="D265" s="28"/>
      <c r="E265" s="53"/>
      <c r="F265" s="53"/>
      <c r="G265" s="53"/>
      <c r="H265" s="53"/>
    </row>
    <row r="266" spans="1:8">
      <c r="A266" s="27"/>
      <c r="B266" s="27"/>
      <c r="C266" s="28"/>
      <c r="D266" s="28"/>
      <c r="E266" s="53"/>
      <c r="F266" s="53"/>
      <c r="G266" s="53"/>
      <c r="H266" s="53"/>
    </row>
    <row r="267" spans="1:8">
      <c r="A267" s="27"/>
      <c r="B267" s="27"/>
      <c r="C267" s="28"/>
      <c r="D267" s="28"/>
      <c r="E267" s="53"/>
      <c r="F267" s="53"/>
      <c r="G267" s="53"/>
      <c r="H267" s="53"/>
    </row>
    <row r="268" spans="1:8">
      <c r="A268" s="27"/>
      <c r="B268" s="27"/>
      <c r="C268" s="28"/>
      <c r="D268" s="28"/>
      <c r="E268" s="53"/>
      <c r="F268" s="53"/>
      <c r="G268" s="53"/>
      <c r="H268" s="53"/>
    </row>
    <row r="269" spans="1:8">
      <c r="A269" s="27"/>
      <c r="B269" s="27"/>
      <c r="C269" s="28"/>
      <c r="D269" s="28"/>
      <c r="E269" s="53"/>
      <c r="F269" s="53"/>
      <c r="G269" s="53"/>
      <c r="H269" s="53"/>
    </row>
    <row r="270" spans="1:8">
      <c r="A270" s="27"/>
      <c r="B270" s="27"/>
      <c r="C270" s="28"/>
      <c r="D270" s="28"/>
      <c r="E270" s="53"/>
      <c r="F270" s="53"/>
      <c r="G270" s="53"/>
      <c r="H270" s="53"/>
    </row>
    <row r="271" spans="1:8">
      <c r="A271" s="27"/>
      <c r="B271" s="27"/>
      <c r="C271" s="28"/>
      <c r="D271" s="28"/>
      <c r="E271" s="53"/>
      <c r="F271" s="53"/>
      <c r="G271" s="53"/>
      <c r="H271" s="53"/>
    </row>
    <row r="272" spans="1:8">
      <c r="A272" s="27"/>
      <c r="B272" s="27"/>
      <c r="C272" s="28"/>
      <c r="D272" s="28"/>
      <c r="E272" s="53"/>
      <c r="F272" s="53"/>
      <c r="G272" s="53"/>
      <c r="H272" s="53"/>
    </row>
    <row r="273" spans="1:8">
      <c r="A273" s="27"/>
      <c r="B273" s="27"/>
      <c r="C273" s="28"/>
      <c r="D273" s="28"/>
      <c r="E273" s="53"/>
      <c r="F273" s="53"/>
      <c r="G273" s="53"/>
      <c r="H273" s="53"/>
    </row>
    <row r="274" spans="1:8">
      <c r="A274" s="27"/>
      <c r="B274" s="27"/>
      <c r="C274" s="28"/>
      <c r="D274" s="28"/>
      <c r="E274" s="53"/>
      <c r="F274" s="53"/>
      <c r="G274" s="53"/>
      <c r="H274" s="53"/>
    </row>
    <row r="275" spans="1:8">
      <c r="A275" s="27"/>
      <c r="B275" s="27"/>
      <c r="C275" s="28"/>
      <c r="D275" s="28"/>
      <c r="E275" s="53"/>
      <c r="F275" s="53"/>
      <c r="G275" s="53"/>
      <c r="H275" s="53"/>
    </row>
    <row r="276" spans="1:8">
      <c r="A276" s="27"/>
      <c r="B276" s="27"/>
      <c r="C276" s="28"/>
      <c r="D276" s="28"/>
      <c r="E276" s="53"/>
      <c r="F276" s="53"/>
      <c r="G276" s="53"/>
      <c r="H276" s="53"/>
    </row>
    <row r="277" spans="1:8">
      <c r="A277" s="27"/>
      <c r="B277" s="27"/>
      <c r="C277" s="28"/>
      <c r="D277" s="28"/>
      <c r="E277" s="53"/>
      <c r="F277" s="53"/>
      <c r="G277" s="53"/>
      <c r="H277" s="53"/>
    </row>
    <row r="278" spans="1:8">
      <c r="A278" s="27"/>
      <c r="B278" s="27"/>
      <c r="C278" s="28"/>
      <c r="D278" s="28"/>
      <c r="E278" s="53"/>
      <c r="F278" s="53"/>
      <c r="G278" s="53"/>
      <c r="H278" s="53"/>
    </row>
    <row r="279" spans="1:8">
      <c r="A279" s="27"/>
      <c r="B279" s="27"/>
      <c r="C279" s="28"/>
      <c r="D279" s="28"/>
      <c r="E279" s="53"/>
      <c r="F279" s="53"/>
      <c r="G279" s="53"/>
      <c r="H279" s="53"/>
    </row>
    <row r="280" spans="1:8">
      <c r="A280" s="27"/>
      <c r="B280" s="27"/>
      <c r="C280" s="28"/>
      <c r="D280" s="28"/>
      <c r="E280" s="53"/>
      <c r="F280" s="53"/>
      <c r="G280" s="53"/>
      <c r="H280" s="53"/>
    </row>
    <row r="281" spans="1:8">
      <c r="A281" s="27"/>
      <c r="B281" s="27"/>
      <c r="C281" s="28"/>
      <c r="D281" s="28"/>
      <c r="E281" s="53"/>
      <c r="F281" s="53"/>
      <c r="G281" s="53"/>
      <c r="H281" s="53"/>
    </row>
    <row r="282" spans="1:8">
      <c r="A282" s="27"/>
      <c r="B282" s="27"/>
      <c r="C282" s="28"/>
      <c r="D282" s="28"/>
      <c r="E282" s="53"/>
      <c r="F282" s="53"/>
      <c r="G282" s="53"/>
      <c r="H282" s="53"/>
    </row>
    <row r="283" spans="1:8">
      <c r="A283" s="27"/>
      <c r="B283" s="27"/>
      <c r="C283" s="28"/>
      <c r="D283" s="28"/>
      <c r="E283" s="53"/>
      <c r="F283" s="53"/>
      <c r="G283" s="53"/>
      <c r="H283" s="53"/>
    </row>
    <row r="284" spans="1:8">
      <c r="A284" s="27"/>
      <c r="B284" s="27"/>
      <c r="C284" s="28"/>
      <c r="D284" s="28"/>
      <c r="E284" s="53"/>
      <c r="F284" s="53"/>
      <c r="G284" s="53"/>
      <c r="H284" s="53"/>
    </row>
    <row r="285" spans="1:8">
      <c r="A285" s="27"/>
      <c r="B285" s="27"/>
      <c r="C285" s="28"/>
      <c r="D285" s="28"/>
      <c r="E285" s="53"/>
      <c r="F285" s="53"/>
      <c r="G285" s="53"/>
      <c r="H285" s="53"/>
    </row>
    <row r="286" spans="1:8">
      <c r="A286" s="27"/>
      <c r="B286" s="27"/>
      <c r="C286" s="28"/>
      <c r="D286" s="28"/>
      <c r="E286" s="53"/>
      <c r="F286" s="53"/>
      <c r="G286" s="53"/>
      <c r="H286" s="53"/>
    </row>
    <row r="287" spans="1:8">
      <c r="A287" s="27"/>
      <c r="B287" s="27"/>
      <c r="C287" s="28"/>
      <c r="D287" s="28"/>
      <c r="E287" s="53"/>
      <c r="F287" s="53"/>
      <c r="G287" s="53"/>
      <c r="H287" s="53"/>
    </row>
    <row r="288" spans="1:8">
      <c r="A288" s="27"/>
      <c r="B288" s="27"/>
      <c r="C288" s="28"/>
      <c r="D288" s="28"/>
      <c r="E288" s="53"/>
      <c r="F288" s="53"/>
      <c r="G288" s="53"/>
      <c r="H288" s="53"/>
    </row>
    <row r="289" spans="1:8">
      <c r="A289" s="27"/>
      <c r="B289" s="27"/>
      <c r="C289" s="28"/>
      <c r="D289" s="28"/>
      <c r="E289" s="53"/>
      <c r="F289" s="53"/>
      <c r="G289" s="53"/>
      <c r="H289" s="53"/>
    </row>
    <row r="290" spans="1:8">
      <c r="A290" s="27"/>
      <c r="B290" s="27"/>
      <c r="C290" s="28"/>
      <c r="D290" s="28"/>
      <c r="E290" s="53"/>
      <c r="F290" s="53"/>
      <c r="G290" s="53"/>
      <c r="H290" s="53"/>
    </row>
    <row r="291" spans="1:8">
      <c r="A291" s="27"/>
      <c r="B291" s="27"/>
      <c r="C291" s="28"/>
      <c r="D291" s="28"/>
      <c r="E291" s="53"/>
      <c r="F291" s="53"/>
      <c r="G291" s="53"/>
      <c r="H291" s="53"/>
    </row>
    <row r="292" spans="1:8">
      <c r="A292" s="27"/>
      <c r="B292" s="27"/>
      <c r="C292" s="28"/>
      <c r="D292" s="28"/>
      <c r="E292" s="53"/>
      <c r="F292" s="53"/>
      <c r="G292" s="53"/>
      <c r="H292" s="53"/>
    </row>
    <row r="293" spans="1:8">
      <c r="A293" s="27"/>
      <c r="B293" s="27"/>
      <c r="C293" s="28"/>
      <c r="D293" s="28"/>
      <c r="E293" s="53"/>
      <c r="F293" s="53"/>
      <c r="G293" s="53"/>
      <c r="H293" s="53"/>
    </row>
    <row r="294" spans="1:8">
      <c r="A294" s="27"/>
      <c r="B294" s="27"/>
      <c r="C294" s="28"/>
      <c r="D294" s="28"/>
      <c r="E294" s="53"/>
      <c r="F294" s="53"/>
      <c r="G294" s="53"/>
      <c r="H294" s="53"/>
    </row>
    <row r="295" spans="1:8">
      <c r="A295" s="27"/>
      <c r="B295" s="27"/>
      <c r="C295" s="28"/>
      <c r="D295" s="28"/>
      <c r="E295" s="53"/>
      <c r="F295" s="53"/>
      <c r="G295" s="53"/>
      <c r="H295" s="53"/>
    </row>
    <row r="296" spans="1:8">
      <c r="A296" s="27"/>
      <c r="B296" s="27"/>
      <c r="C296" s="28"/>
      <c r="D296" s="28"/>
      <c r="E296" s="53"/>
      <c r="F296" s="53"/>
      <c r="G296" s="53"/>
      <c r="H296" s="53"/>
    </row>
    <row r="297" spans="1:8">
      <c r="A297" s="27"/>
      <c r="B297" s="27"/>
      <c r="C297" s="28"/>
      <c r="D297" s="28"/>
      <c r="E297" s="53"/>
      <c r="F297" s="53"/>
      <c r="G297" s="53"/>
      <c r="H297" s="53"/>
    </row>
    <row r="298" spans="1:8">
      <c r="A298" s="27"/>
      <c r="B298" s="27"/>
      <c r="C298" s="28"/>
      <c r="D298" s="28"/>
      <c r="E298" s="53"/>
      <c r="F298" s="53"/>
      <c r="G298" s="53"/>
      <c r="H298" s="53"/>
    </row>
    <row r="299" spans="1:8">
      <c r="A299" s="27"/>
      <c r="B299" s="27"/>
      <c r="C299" s="28"/>
      <c r="D299" s="28"/>
      <c r="E299" s="53"/>
      <c r="F299" s="53"/>
      <c r="G299" s="53"/>
      <c r="H299" s="53"/>
    </row>
    <row r="300" spans="1:8">
      <c r="A300" s="27"/>
      <c r="B300" s="27"/>
      <c r="C300" s="28"/>
      <c r="D300" s="28"/>
      <c r="E300" s="53"/>
      <c r="F300" s="53"/>
      <c r="G300" s="53"/>
      <c r="H300" s="53"/>
    </row>
    <row r="301" spans="1:8">
      <c r="A301" s="27"/>
      <c r="B301" s="27"/>
      <c r="C301" s="28"/>
      <c r="D301" s="28"/>
      <c r="E301" s="53"/>
      <c r="F301" s="53"/>
      <c r="G301" s="53"/>
      <c r="H301" s="53"/>
    </row>
    <row r="302" spans="1:8">
      <c r="A302" s="27"/>
      <c r="B302" s="27"/>
      <c r="C302" s="28"/>
      <c r="D302" s="28"/>
      <c r="E302" s="53"/>
      <c r="F302" s="53"/>
      <c r="G302" s="53"/>
      <c r="H302" s="53"/>
    </row>
    <row r="303" spans="1:8">
      <c r="A303" s="27"/>
      <c r="B303" s="27"/>
      <c r="C303" s="28"/>
      <c r="D303" s="28"/>
      <c r="E303" s="53"/>
      <c r="F303" s="53"/>
      <c r="G303" s="53"/>
      <c r="H303" s="53"/>
    </row>
    <row r="304" spans="1:8">
      <c r="A304" s="27"/>
      <c r="B304" s="27"/>
      <c r="C304" s="28"/>
      <c r="D304" s="28"/>
      <c r="E304" s="53"/>
      <c r="F304" s="53"/>
      <c r="G304" s="53"/>
      <c r="H304" s="53"/>
    </row>
    <row r="305" spans="1:8">
      <c r="A305" s="27"/>
      <c r="B305" s="27"/>
      <c r="C305" s="28"/>
      <c r="D305" s="28"/>
      <c r="E305" s="53"/>
      <c r="F305" s="53"/>
      <c r="G305" s="53"/>
      <c r="H305" s="53"/>
    </row>
    <row r="306" spans="1:8">
      <c r="A306" s="27"/>
      <c r="B306" s="27"/>
      <c r="C306" s="28"/>
      <c r="D306" s="28"/>
      <c r="E306" s="53"/>
      <c r="F306" s="53"/>
      <c r="G306" s="53"/>
      <c r="H306" s="53"/>
    </row>
    <row r="307" spans="1:8">
      <c r="A307" s="27"/>
      <c r="B307" s="27"/>
      <c r="C307" s="28"/>
      <c r="D307" s="28"/>
      <c r="E307" s="53"/>
      <c r="F307" s="53"/>
      <c r="G307" s="53"/>
      <c r="H307" s="53"/>
    </row>
    <row r="308" spans="1:8">
      <c r="A308" s="27"/>
      <c r="B308" s="27"/>
      <c r="C308" s="28"/>
      <c r="D308" s="28"/>
      <c r="E308" s="53"/>
      <c r="F308" s="53"/>
      <c r="G308" s="53"/>
      <c r="H308" s="53"/>
    </row>
    <row r="309" spans="1:8">
      <c r="A309" s="27"/>
      <c r="B309" s="27"/>
      <c r="C309" s="28"/>
      <c r="D309" s="28"/>
      <c r="E309" s="53"/>
      <c r="F309" s="53"/>
      <c r="G309" s="53"/>
      <c r="H309" s="53"/>
    </row>
    <row r="310" spans="1:8">
      <c r="A310" s="27"/>
      <c r="B310" s="27"/>
      <c r="C310" s="28"/>
      <c r="D310" s="28"/>
      <c r="E310" s="53"/>
      <c r="F310" s="53"/>
      <c r="G310" s="53"/>
      <c r="H310" s="53"/>
    </row>
    <row r="311" spans="1:8">
      <c r="A311" s="27"/>
      <c r="B311" s="27"/>
      <c r="C311" s="28"/>
      <c r="D311" s="28"/>
      <c r="E311" s="53"/>
      <c r="F311" s="53"/>
      <c r="G311" s="53"/>
      <c r="H311" s="53"/>
    </row>
    <row r="312" spans="1:8">
      <c r="A312" s="27"/>
      <c r="B312" s="27"/>
      <c r="C312" s="28"/>
      <c r="D312" s="28"/>
      <c r="E312" s="53"/>
      <c r="F312" s="53"/>
      <c r="G312" s="53"/>
      <c r="H312" s="53"/>
    </row>
    <row r="313" spans="1:8">
      <c r="A313" s="27"/>
      <c r="B313" s="27"/>
      <c r="C313" s="28"/>
      <c r="D313" s="28"/>
      <c r="E313" s="53"/>
      <c r="F313" s="53"/>
      <c r="G313" s="53"/>
      <c r="H313" s="53"/>
    </row>
    <row r="314" spans="1:8">
      <c r="A314" s="27"/>
      <c r="B314" s="27"/>
      <c r="C314" s="28"/>
      <c r="D314" s="28"/>
      <c r="E314" s="53"/>
      <c r="F314" s="53"/>
      <c r="G314" s="53"/>
      <c r="H314" s="53"/>
    </row>
    <row r="315" spans="1:8">
      <c r="A315" s="27"/>
      <c r="B315" s="27"/>
      <c r="C315" s="28"/>
      <c r="D315" s="28"/>
      <c r="E315" s="53"/>
      <c r="F315" s="53"/>
      <c r="G315" s="53"/>
      <c r="H315" s="53"/>
    </row>
    <row r="316" spans="1:8">
      <c r="A316" s="27"/>
      <c r="B316" s="27"/>
      <c r="C316" s="28"/>
      <c r="D316" s="28"/>
      <c r="E316" s="53"/>
      <c r="F316" s="53"/>
      <c r="G316" s="53"/>
      <c r="H316" s="53"/>
    </row>
    <row r="317" spans="1:8">
      <c r="A317" s="27"/>
      <c r="B317" s="27"/>
      <c r="C317" s="28"/>
      <c r="D317" s="28"/>
      <c r="E317" s="53"/>
      <c r="F317" s="53"/>
      <c r="G317" s="53"/>
      <c r="H317" s="53"/>
    </row>
    <row r="318" spans="1:8">
      <c r="A318" s="27"/>
      <c r="B318" s="27"/>
      <c r="C318" s="28"/>
      <c r="D318" s="28"/>
      <c r="E318" s="53"/>
      <c r="F318" s="53"/>
      <c r="G318" s="53"/>
      <c r="H318" s="53"/>
    </row>
    <row r="319" spans="1:8">
      <c r="A319" s="27"/>
      <c r="B319" s="27"/>
      <c r="C319" s="28"/>
      <c r="D319" s="28"/>
      <c r="E319" s="53"/>
      <c r="F319" s="53"/>
      <c r="G319" s="53"/>
      <c r="H319" s="53"/>
    </row>
    <row r="320" spans="1:8">
      <c r="A320" s="27"/>
      <c r="B320" s="27"/>
      <c r="C320" s="28"/>
      <c r="D320" s="28"/>
      <c r="E320" s="53"/>
      <c r="F320" s="53"/>
      <c r="G320" s="53"/>
      <c r="H320" s="53"/>
    </row>
    <row r="321" spans="1:8">
      <c r="A321" s="27"/>
      <c r="B321" s="27"/>
      <c r="C321" s="28"/>
      <c r="D321" s="28"/>
      <c r="E321" s="53"/>
      <c r="F321" s="53"/>
      <c r="G321" s="53"/>
      <c r="H321" s="53"/>
    </row>
    <row r="322" spans="1:8">
      <c r="A322" s="27"/>
      <c r="B322" s="27"/>
      <c r="C322" s="28"/>
      <c r="D322" s="28"/>
      <c r="E322" s="53"/>
      <c r="F322" s="53"/>
      <c r="G322" s="53"/>
      <c r="H322" s="53"/>
    </row>
    <row r="323" spans="1:8">
      <c r="A323" s="27"/>
      <c r="B323" s="27"/>
      <c r="C323" s="28"/>
      <c r="D323" s="28"/>
      <c r="E323" s="53"/>
      <c r="F323" s="53"/>
      <c r="G323" s="53"/>
      <c r="H323" s="53"/>
    </row>
    <row r="324" spans="1:8">
      <c r="A324" s="27"/>
      <c r="B324" s="27"/>
      <c r="C324" s="28"/>
      <c r="D324" s="28"/>
      <c r="E324" s="53"/>
      <c r="F324" s="53"/>
      <c r="G324" s="53"/>
      <c r="H324" s="53"/>
    </row>
    <row r="325" spans="1:8">
      <c r="A325" s="27"/>
      <c r="B325" s="27"/>
      <c r="C325" s="28"/>
      <c r="D325" s="28"/>
      <c r="E325" s="53"/>
      <c r="F325" s="53"/>
      <c r="G325" s="53"/>
      <c r="H325" s="53"/>
    </row>
    <row r="326" spans="1:8">
      <c r="A326" s="27"/>
      <c r="B326" s="27"/>
      <c r="C326" s="28"/>
      <c r="D326" s="28"/>
      <c r="E326" s="53"/>
      <c r="F326" s="53"/>
      <c r="G326" s="53"/>
      <c r="H326" s="53"/>
    </row>
    <row r="327" spans="1:8">
      <c r="A327" s="27"/>
      <c r="B327" s="27"/>
      <c r="C327" s="28"/>
      <c r="D327" s="28"/>
      <c r="E327" s="53"/>
      <c r="F327" s="53"/>
      <c r="G327" s="53"/>
      <c r="H327" s="53"/>
    </row>
    <row r="328" spans="1:8">
      <c r="A328" s="27"/>
      <c r="B328" s="27"/>
      <c r="C328" s="28"/>
      <c r="D328" s="28"/>
      <c r="E328" s="53"/>
      <c r="F328" s="53"/>
      <c r="G328" s="53"/>
      <c r="H328" s="53"/>
    </row>
    <row r="329" spans="1:8">
      <c r="A329" s="27"/>
      <c r="B329" s="27"/>
      <c r="C329" s="28"/>
      <c r="D329" s="28"/>
      <c r="E329" s="53"/>
      <c r="F329" s="53"/>
      <c r="G329" s="53"/>
      <c r="H329" s="53"/>
    </row>
    <row r="330" spans="1:8">
      <c r="A330" s="27"/>
      <c r="B330" s="27"/>
      <c r="C330" s="28"/>
      <c r="D330" s="28"/>
      <c r="E330" s="53"/>
      <c r="F330" s="53"/>
      <c r="G330" s="53"/>
      <c r="H330" s="53"/>
    </row>
    <row r="331" spans="1:8">
      <c r="A331" s="27"/>
      <c r="B331" s="27"/>
      <c r="C331" s="28"/>
      <c r="D331" s="28"/>
      <c r="E331" s="53"/>
      <c r="F331" s="53"/>
      <c r="G331" s="53"/>
      <c r="H331" s="53"/>
    </row>
    <row r="332" spans="1:8">
      <c r="A332" s="27"/>
      <c r="B332" s="27"/>
      <c r="C332" s="28"/>
      <c r="D332" s="28"/>
      <c r="E332" s="53"/>
      <c r="F332" s="53"/>
      <c r="G332" s="53"/>
      <c r="H332" s="53"/>
    </row>
    <row r="333" spans="1:8">
      <c r="A333" s="27"/>
      <c r="B333" s="27"/>
      <c r="C333" s="28"/>
      <c r="D333" s="28"/>
      <c r="E333" s="53"/>
      <c r="F333" s="53"/>
      <c r="G333" s="53"/>
      <c r="H333" s="53"/>
    </row>
    <row r="334" spans="1:8">
      <c r="A334" s="27"/>
      <c r="B334" s="27"/>
      <c r="C334" s="28"/>
      <c r="D334" s="28"/>
      <c r="E334" s="53"/>
      <c r="F334" s="53"/>
      <c r="G334" s="53"/>
      <c r="H334" s="53"/>
    </row>
    <row r="335" spans="1:8">
      <c r="A335" s="27"/>
      <c r="B335" s="27"/>
      <c r="C335" s="28"/>
      <c r="D335" s="28"/>
      <c r="E335" s="53"/>
      <c r="F335" s="53"/>
      <c r="G335" s="53"/>
      <c r="H335" s="53"/>
    </row>
    <row r="336" spans="1:8">
      <c r="A336" s="27"/>
      <c r="B336" s="27"/>
      <c r="C336" s="28"/>
      <c r="D336" s="28"/>
      <c r="E336" s="53"/>
      <c r="F336" s="53"/>
      <c r="G336" s="53"/>
      <c r="H336" s="53"/>
    </row>
    <row r="337" spans="1:8">
      <c r="A337" s="27"/>
      <c r="B337" s="27"/>
      <c r="C337" s="28"/>
      <c r="D337" s="28"/>
      <c r="E337" s="53"/>
      <c r="F337" s="53"/>
      <c r="G337" s="53"/>
      <c r="H337" s="53"/>
    </row>
    <row r="338" spans="1:8">
      <c r="A338" s="27"/>
      <c r="B338" s="27"/>
      <c r="C338" s="28"/>
      <c r="D338" s="28"/>
      <c r="E338" s="53"/>
      <c r="F338" s="53"/>
      <c r="G338" s="53"/>
      <c r="H338" s="53"/>
    </row>
    <row r="339" spans="1:8">
      <c r="A339" s="27"/>
      <c r="B339" s="27"/>
      <c r="C339" s="28"/>
      <c r="D339" s="28"/>
      <c r="E339" s="53"/>
      <c r="F339" s="53"/>
      <c r="G339" s="53"/>
      <c r="H339" s="53"/>
    </row>
    <row r="340" spans="1:8">
      <c r="A340" s="27"/>
      <c r="B340" s="27"/>
      <c r="C340" s="28"/>
      <c r="D340" s="28"/>
      <c r="E340" s="53"/>
      <c r="F340" s="53"/>
      <c r="G340" s="53"/>
      <c r="H340" s="53"/>
    </row>
    <row r="341" spans="1:8">
      <c r="A341" s="27"/>
      <c r="B341" s="27"/>
      <c r="C341" s="28"/>
      <c r="D341" s="28"/>
      <c r="E341" s="53"/>
      <c r="F341" s="53"/>
      <c r="G341" s="53"/>
      <c r="H341" s="53"/>
    </row>
    <row r="342" spans="1:8">
      <c r="A342" s="27"/>
      <c r="B342" s="27"/>
      <c r="C342" s="28"/>
      <c r="D342" s="28"/>
      <c r="E342" s="53"/>
      <c r="F342" s="53"/>
      <c r="G342" s="53"/>
      <c r="H342" s="53"/>
    </row>
    <row r="343" spans="1:8">
      <c r="A343" s="27"/>
      <c r="B343" s="27"/>
      <c r="C343" s="28"/>
      <c r="D343" s="28"/>
      <c r="E343" s="53"/>
      <c r="F343" s="53"/>
      <c r="G343" s="53"/>
      <c r="H343" s="53"/>
    </row>
    <row r="344" spans="1:8">
      <c r="A344" s="27"/>
      <c r="B344" s="27"/>
      <c r="C344" s="28"/>
      <c r="D344" s="28"/>
      <c r="E344" s="53"/>
      <c r="F344" s="53"/>
      <c r="G344" s="53"/>
      <c r="H344" s="53"/>
    </row>
    <row r="345" spans="1:8">
      <c r="A345" s="27"/>
      <c r="B345" s="27"/>
      <c r="C345" s="28"/>
      <c r="D345" s="28"/>
      <c r="E345" s="53"/>
      <c r="F345" s="53"/>
      <c r="G345" s="53"/>
      <c r="H345" s="53"/>
    </row>
    <row r="346" spans="1:8">
      <c r="A346" s="27"/>
      <c r="B346" s="27"/>
      <c r="C346" s="28"/>
      <c r="D346" s="28"/>
      <c r="E346" s="53"/>
      <c r="F346" s="53"/>
      <c r="G346" s="53"/>
      <c r="H346" s="53"/>
    </row>
    <row r="347" spans="1:8">
      <c r="A347" s="27"/>
      <c r="B347" s="27"/>
      <c r="C347" s="28"/>
      <c r="D347" s="28"/>
      <c r="E347" s="53"/>
      <c r="F347" s="53"/>
      <c r="G347" s="53"/>
      <c r="H347" s="53"/>
    </row>
    <row r="348" spans="1:8">
      <c r="A348" s="27"/>
      <c r="B348" s="27"/>
      <c r="C348" s="28"/>
      <c r="D348" s="28"/>
      <c r="E348" s="53"/>
      <c r="F348" s="53"/>
      <c r="G348" s="53"/>
      <c r="H348" s="53"/>
    </row>
    <row r="349" spans="1:8">
      <c r="A349" s="27"/>
      <c r="B349" s="27"/>
      <c r="C349" s="28"/>
      <c r="D349" s="28"/>
      <c r="E349" s="53"/>
      <c r="F349" s="53"/>
      <c r="G349" s="53"/>
      <c r="H349" s="53"/>
    </row>
    <row r="350" spans="1:8">
      <c r="A350" s="27"/>
      <c r="B350" s="27"/>
      <c r="C350" s="28"/>
      <c r="D350" s="28"/>
      <c r="E350" s="53"/>
      <c r="F350" s="53"/>
      <c r="G350" s="53"/>
      <c r="H350" s="53"/>
    </row>
    <row r="351" spans="1:8">
      <c r="A351" s="27"/>
      <c r="B351" s="27"/>
      <c r="C351" s="28"/>
      <c r="D351" s="28"/>
      <c r="E351" s="53"/>
      <c r="F351" s="53"/>
      <c r="G351" s="53"/>
      <c r="H351" s="53"/>
    </row>
    <row r="352" spans="1:8">
      <c r="A352" s="27"/>
      <c r="B352" s="27"/>
      <c r="C352" s="28"/>
      <c r="D352" s="28"/>
      <c r="E352" s="53"/>
      <c r="F352" s="53"/>
      <c r="G352" s="53"/>
      <c r="H352" s="53"/>
    </row>
    <row r="353" spans="1:8">
      <c r="A353" s="27"/>
      <c r="B353" s="27"/>
      <c r="C353" s="28"/>
      <c r="D353" s="28"/>
      <c r="E353" s="53"/>
      <c r="F353" s="53"/>
      <c r="G353" s="53"/>
      <c r="H353" s="53"/>
    </row>
    <row r="354" spans="1:8">
      <c r="A354" s="27"/>
      <c r="B354" s="27"/>
      <c r="C354" s="28"/>
      <c r="D354" s="28"/>
      <c r="E354" s="53"/>
      <c r="F354" s="53"/>
      <c r="G354" s="53"/>
      <c r="H354" s="53"/>
    </row>
    <row r="355" spans="1:8">
      <c r="A355" s="27"/>
      <c r="B355" s="27"/>
      <c r="C355" s="28"/>
      <c r="D355" s="28"/>
      <c r="E355" s="53"/>
      <c r="F355" s="53"/>
      <c r="G355" s="53"/>
      <c r="H355" s="53"/>
    </row>
    <row r="356" spans="1:8">
      <c r="A356" s="27"/>
      <c r="B356" s="27"/>
      <c r="C356" s="28"/>
      <c r="D356" s="28"/>
      <c r="E356" s="53"/>
      <c r="F356" s="53"/>
      <c r="G356" s="53"/>
      <c r="H356" s="53"/>
    </row>
    <row r="357" spans="1:8">
      <c r="A357" s="27"/>
      <c r="B357" s="27"/>
      <c r="C357" s="28"/>
      <c r="D357" s="28"/>
      <c r="E357" s="53"/>
      <c r="F357" s="53"/>
      <c r="G357" s="53"/>
      <c r="H357" s="53"/>
    </row>
    <row r="358" spans="1:8">
      <c r="A358" s="27"/>
      <c r="B358" s="27"/>
      <c r="C358" s="28"/>
      <c r="D358" s="28"/>
      <c r="E358" s="53"/>
      <c r="F358" s="53"/>
      <c r="G358" s="53"/>
      <c r="H358" s="53"/>
    </row>
    <row r="359" spans="1:8">
      <c r="A359" s="27"/>
      <c r="B359" s="27"/>
      <c r="C359" s="28"/>
      <c r="D359" s="28"/>
      <c r="E359" s="53"/>
      <c r="F359" s="53"/>
      <c r="G359" s="53"/>
      <c r="H359" s="53"/>
    </row>
    <row r="360" spans="1:8">
      <c r="A360" s="27"/>
      <c r="B360" s="27"/>
      <c r="C360" s="28"/>
      <c r="D360" s="28"/>
      <c r="E360" s="53"/>
      <c r="F360" s="53"/>
      <c r="G360" s="53"/>
      <c r="H360" s="53"/>
    </row>
    <row r="361" spans="1:8">
      <c r="A361" s="27"/>
      <c r="B361" s="27"/>
      <c r="C361" s="28"/>
      <c r="D361" s="28"/>
      <c r="E361" s="53"/>
      <c r="F361" s="53"/>
      <c r="G361" s="53"/>
      <c r="H361" s="53"/>
    </row>
    <row r="362" spans="1:8">
      <c r="A362" s="27"/>
      <c r="B362" s="27"/>
      <c r="C362" s="28"/>
      <c r="D362" s="28"/>
      <c r="E362" s="53"/>
      <c r="F362" s="53"/>
      <c r="G362" s="53"/>
      <c r="H362" s="53"/>
    </row>
    <row r="363" spans="1:8">
      <c r="A363" s="27"/>
      <c r="B363" s="27"/>
      <c r="C363" s="28"/>
      <c r="D363" s="28"/>
      <c r="E363" s="53"/>
      <c r="F363" s="53"/>
      <c r="G363" s="53"/>
      <c r="H363" s="53"/>
    </row>
    <row r="364" spans="1:8">
      <c r="A364" s="27"/>
      <c r="B364" s="27"/>
      <c r="C364" s="28"/>
      <c r="D364" s="28"/>
      <c r="E364" s="53"/>
      <c r="F364" s="53"/>
      <c r="G364" s="53"/>
      <c r="H364" s="53"/>
    </row>
    <row r="365" spans="1:8">
      <c r="A365" s="27"/>
      <c r="B365" s="27"/>
      <c r="C365" s="28"/>
      <c r="D365" s="28"/>
      <c r="E365" s="53"/>
      <c r="F365" s="53"/>
      <c r="G365" s="53"/>
      <c r="H365" s="53"/>
    </row>
    <row r="366" spans="1:8">
      <c r="A366" s="27"/>
      <c r="B366" s="27"/>
      <c r="C366" s="28"/>
      <c r="D366" s="28"/>
      <c r="E366" s="53"/>
      <c r="F366" s="53"/>
      <c r="G366" s="53"/>
      <c r="H366" s="53"/>
    </row>
    <row r="367" spans="1:8">
      <c r="A367" s="27"/>
      <c r="B367" s="27"/>
      <c r="C367" s="28"/>
      <c r="D367" s="28"/>
      <c r="E367" s="53"/>
      <c r="F367" s="53"/>
      <c r="G367" s="53"/>
      <c r="H367" s="53"/>
    </row>
    <row r="368" spans="1:8">
      <c r="A368" s="27"/>
      <c r="B368" s="27"/>
      <c r="C368" s="28"/>
      <c r="D368" s="28"/>
      <c r="E368" s="53"/>
      <c r="F368" s="53"/>
      <c r="G368" s="53"/>
      <c r="H368" s="53"/>
    </row>
    <row r="369" spans="1:8">
      <c r="A369" s="27"/>
      <c r="B369" s="27"/>
      <c r="C369" s="28"/>
      <c r="D369" s="28"/>
      <c r="E369" s="53"/>
      <c r="F369" s="53"/>
      <c r="G369" s="53"/>
      <c r="H369" s="53"/>
    </row>
    <row r="370" spans="1:8">
      <c r="A370" s="27"/>
      <c r="B370" s="27"/>
      <c r="C370" s="28"/>
      <c r="D370" s="28"/>
      <c r="E370" s="53"/>
      <c r="F370" s="53"/>
      <c r="G370" s="53"/>
      <c r="H370" s="53"/>
    </row>
    <row r="371" spans="1:8">
      <c r="A371" s="27"/>
      <c r="B371" s="27"/>
      <c r="C371" s="28"/>
      <c r="D371" s="28"/>
      <c r="E371" s="53"/>
      <c r="F371" s="53"/>
      <c r="G371" s="53"/>
      <c r="H371" s="53"/>
    </row>
    <row r="372" spans="1:8">
      <c r="A372" s="27"/>
      <c r="B372" s="27"/>
      <c r="C372" s="28"/>
      <c r="D372" s="28"/>
      <c r="E372" s="53"/>
      <c r="F372" s="53"/>
      <c r="G372" s="53"/>
      <c r="H372" s="53"/>
    </row>
    <row r="373" spans="1:8">
      <c r="A373" s="27"/>
      <c r="B373" s="27"/>
      <c r="C373" s="28"/>
      <c r="D373" s="28"/>
      <c r="E373" s="53"/>
      <c r="F373" s="53"/>
      <c r="G373" s="53"/>
      <c r="H373" s="53"/>
    </row>
    <row r="374" spans="1:8">
      <c r="A374" s="27"/>
      <c r="B374" s="27"/>
      <c r="C374" s="28"/>
      <c r="D374" s="28"/>
      <c r="E374" s="53"/>
      <c r="F374" s="53"/>
      <c r="G374" s="53"/>
      <c r="H374" s="53"/>
    </row>
    <row r="375" spans="1:8">
      <c r="A375" s="27"/>
      <c r="B375" s="27"/>
      <c r="C375" s="28"/>
      <c r="D375" s="28"/>
      <c r="E375" s="53"/>
      <c r="F375" s="53"/>
      <c r="G375" s="53"/>
      <c r="H375" s="53"/>
    </row>
    <row r="376" spans="1:8">
      <c r="A376" s="27"/>
      <c r="B376" s="27"/>
      <c r="C376" s="28"/>
      <c r="D376" s="28"/>
      <c r="E376" s="53"/>
      <c r="F376" s="53"/>
      <c r="G376" s="53"/>
      <c r="H376" s="53"/>
    </row>
    <row r="377" spans="1:8">
      <c r="A377" s="27"/>
      <c r="B377" s="27"/>
      <c r="C377" s="28"/>
      <c r="D377" s="28"/>
      <c r="E377" s="53"/>
      <c r="F377" s="53"/>
      <c r="G377" s="53"/>
      <c r="H377" s="53"/>
    </row>
    <row r="378" spans="1:8">
      <c r="A378" s="27"/>
      <c r="B378" s="27"/>
      <c r="C378" s="28"/>
      <c r="D378" s="28"/>
      <c r="E378" s="53"/>
      <c r="F378" s="53"/>
      <c r="G378" s="53"/>
      <c r="H378" s="53"/>
    </row>
    <row r="379" spans="1:8">
      <c r="A379" s="27"/>
      <c r="B379" s="27"/>
      <c r="C379" s="28"/>
      <c r="D379" s="28"/>
      <c r="E379" s="53"/>
      <c r="F379" s="53"/>
      <c r="G379" s="53"/>
      <c r="H379" s="53"/>
    </row>
    <row r="380" spans="1:8">
      <c r="A380" s="27"/>
      <c r="B380" s="27"/>
      <c r="C380" s="28"/>
      <c r="D380" s="28"/>
      <c r="E380" s="53"/>
      <c r="F380" s="53"/>
      <c r="G380" s="53"/>
      <c r="H380" s="53"/>
    </row>
    <row r="381" spans="1:8">
      <c r="A381" s="27"/>
      <c r="B381" s="27"/>
      <c r="C381" s="28"/>
      <c r="D381" s="28"/>
      <c r="E381" s="53"/>
      <c r="F381" s="53"/>
      <c r="G381" s="53"/>
      <c r="H381" s="53"/>
    </row>
    <row r="382" spans="1:8">
      <c r="A382" s="27"/>
      <c r="B382" s="27"/>
      <c r="C382" s="28"/>
      <c r="D382" s="28"/>
      <c r="E382" s="53"/>
      <c r="F382" s="53"/>
      <c r="G382" s="53"/>
      <c r="H382" s="53"/>
    </row>
    <row r="383" spans="1:8">
      <c r="A383" s="27"/>
      <c r="B383" s="27"/>
      <c r="C383" s="28"/>
      <c r="D383" s="28"/>
      <c r="E383" s="53"/>
      <c r="F383" s="53"/>
      <c r="G383" s="53"/>
      <c r="H383" s="53"/>
    </row>
    <row r="384" spans="1:8">
      <c r="A384" s="27"/>
      <c r="B384" s="27"/>
      <c r="C384" s="28"/>
      <c r="D384" s="28"/>
      <c r="E384" s="53"/>
      <c r="F384" s="53"/>
      <c r="G384" s="53"/>
      <c r="H384" s="53"/>
    </row>
    <row r="385" spans="1:8">
      <c r="A385" s="27"/>
      <c r="B385" s="27"/>
      <c r="C385" s="28"/>
      <c r="D385" s="28"/>
      <c r="E385" s="53"/>
      <c r="F385" s="53"/>
      <c r="G385" s="53"/>
      <c r="H385" s="53"/>
    </row>
    <row r="386" spans="1:8">
      <c r="A386" s="27"/>
      <c r="B386" s="27"/>
      <c r="C386" s="28"/>
      <c r="D386" s="28"/>
      <c r="E386" s="53"/>
      <c r="F386" s="53"/>
      <c r="G386" s="53"/>
      <c r="H386" s="53"/>
    </row>
    <row r="387" spans="1:8">
      <c r="A387" s="27"/>
      <c r="B387" s="27"/>
      <c r="C387" s="28"/>
      <c r="D387" s="28"/>
      <c r="E387" s="53"/>
      <c r="F387" s="53"/>
      <c r="G387" s="53"/>
      <c r="H387" s="53"/>
    </row>
    <row r="388" spans="1:8">
      <c r="A388" s="27"/>
      <c r="B388" s="27"/>
      <c r="C388" s="28"/>
      <c r="D388" s="28"/>
      <c r="E388" s="53"/>
      <c r="F388" s="53"/>
      <c r="G388" s="53"/>
      <c r="H388" s="53"/>
    </row>
    <row r="389" spans="1:8">
      <c r="A389" s="27"/>
      <c r="B389" s="27"/>
      <c r="C389" s="28"/>
      <c r="D389" s="28"/>
      <c r="E389" s="53"/>
      <c r="F389" s="53"/>
      <c r="G389" s="53"/>
      <c r="H389" s="53"/>
    </row>
    <row r="390" spans="1:8">
      <c r="A390" s="27"/>
      <c r="B390" s="27"/>
      <c r="C390" s="28"/>
      <c r="D390" s="28"/>
      <c r="E390" s="53"/>
      <c r="F390" s="53"/>
      <c r="G390" s="53"/>
      <c r="H390" s="53"/>
    </row>
    <row r="391" spans="1:8">
      <c r="A391" s="27"/>
      <c r="B391" s="27"/>
      <c r="C391" s="28"/>
      <c r="D391" s="28"/>
      <c r="E391" s="53"/>
      <c r="F391" s="53"/>
      <c r="G391" s="53"/>
      <c r="H391" s="53"/>
    </row>
    <row r="392" spans="1:8">
      <c r="A392" s="27"/>
      <c r="B392" s="27"/>
      <c r="C392" s="28"/>
      <c r="D392" s="28"/>
      <c r="E392" s="53"/>
      <c r="F392" s="53"/>
      <c r="G392" s="53"/>
      <c r="H392" s="53"/>
    </row>
    <row r="393" spans="1:8">
      <c r="A393" s="27"/>
      <c r="B393" s="27"/>
      <c r="C393" s="28"/>
      <c r="D393" s="28"/>
      <c r="E393" s="53"/>
      <c r="F393" s="53"/>
      <c r="G393" s="53"/>
      <c r="H393" s="53"/>
    </row>
    <row r="394" spans="1:8">
      <c r="A394" s="27"/>
      <c r="B394" s="27"/>
      <c r="C394" s="28"/>
      <c r="D394" s="28"/>
      <c r="E394" s="53"/>
      <c r="F394" s="53"/>
      <c r="G394" s="53"/>
      <c r="H394" s="53"/>
    </row>
    <row r="395" spans="1:8">
      <c r="A395" s="27"/>
      <c r="B395" s="27"/>
      <c r="C395" s="28"/>
      <c r="D395" s="28"/>
      <c r="E395" s="53"/>
      <c r="F395" s="53"/>
      <c r="G395" s="53"/>
      <c r="H395" s="53"/>
    </row>
    <row r="396" spans="1:8">
      <c r="A396" s="27"/>
      <c r="B396" s="27"/>
      <c r="C396" s="28"/>
      <c r="D396" s="28"/>
      <c r="E396" s="53"/>
      <c r="F396" s="53"/>
      <c r="G396" s="53"/>
      <c r="H396" s="53"/>
    </row>
    <row r="397" spans="1:8">
      <c r="A397" s="27"/>
      <c r="B397" s="27"/>
      <c r="C397" s="28"/>
      <c r="D397" s="28"/>
      <c r="E397" s="53"/>
      <c r="F397" s="53"/>
      <c r="G397" s="53"/>
      <c r="H397" s="53"/>
    </row>
    <row r="398" spans="1:8">
      <c r="A398" s="27"/>
      <c r="B398" s="27"/>
      <c r="C398" s="28"/>
      <c r="D398" s="28"/>
      <c r="E398" s="53"/>
      <c r="F398" s="53"/>
      <c r="G398" s="53"/>
      <c r="H398" s="53"/>
    </row>
    <row r="399" spans="1:8">
      <c r="A399" s="27"/>
      <c r="B399" s="27"/>
      <c r="C399" s="28"/>
      <c r="D399" s="28"/>
      <c r="E399" s="53"/>
      <c r="F399" s="53"/>
      <c r="G399" s="53"/>
      <c r="H399" s="53"/>
    </row>
    <row r="400" spans="1:8">
      <c r="A400" s="27"/>
      <c r="B400" s="27"/>
      <c r="C400" s="28"/>
      <c r="D400" s="28"/>
      <c r="E400" s="53"/>
      <c r="F400" s="53"/>
      <c r="G400" s="53"/>
      <c r="H400" s="53"/>
    </row>
    <row r="401" spans="1:8">
      <c r="A401" s="27"/>
      <c r="B401" s="27"/>
      <c r="C401" s="28"/>
      <c r="D401" s="28"/>
      <c r="E401" s="53"/>
      <c r="F401" s="53"/>
      <c r="G401" s="53"/>
      <c r="H401" s="53"/>
    </row>
    <row r="402" spans="1:8">
      <c r="A402" s="27"/>
      <c r="B402" s="27"/>
      <c r="C402" s="28"/>
      <c r="D402" s="28"/>
      <c r="E402" s="53"/>
      <c r="F402" s="53"/>
      <c r="G402" s="53"/>
      <c r="H402" s="53"/>
    </row>
    <row r="403" spans="1:8">
      <c r="A403" s="27"/>
      <c r="B403" s="27"/>
      <c r="C403" s="28"/>
      <c r="D403" s="28"/>
      <c r="E403" s="53"/>
      <c r="F403" s="53"/>
      <c r="G403" s="53"/>
      <c r="H403" s="53"/>
    </row>
    <row r="404" spans="1:8">
      <c r="A404" s="27"/>
      <c r="B404" s="27"/>
      <c r="C404" s="28"/>
      <c r="D404" s="28"/>
      <c r="E404" s="53"/>
      <c r="F404" s="53"/>
      <c r="G404" s="53"/>
      <c r="H404" s="53"/>
    </row>
    <row r="405" spans="1:8">
      <c r="A405" s="27"/>
      <c r="B405" s="27"/>
      <c r="C405" s="28"/>
      <c r="D405" s="28"/>
      <c r="E405" s="53"/>
      <c r="F405" s="53"/>
      <c r="G405" s="53"/>
      <c r="H405" s="53"/>
    </row>
    <row r="406" spans="1:8">
      <c r="A406" s="27"/>
      <c r="B406" s="27"/>
      <c r="C406" s="28"/>
      <c r="D406" s="28"/>
      <c r="E406" s="53"/>
      <c r="F406" s="53"/>
      <c r="G406" s="53"/>
      <c r="H406" s="53"/>
    </row>
    <row r="407" spans="1:8">
      <c r="A407" s="27"/>
      <c r="B407" s="27"/>
      <c r="C407" s="28"/>
      <c r="D407" s="28"/>
      <c r="E407" s="53"/>
      <c r="F407" s="53"/>
      <c r="G407" s="53"/>
      <c r="H407" s="53"/>
    </row>
    <row r="408" spans="1:8">
      <c r="A408" s="27"/>
      <c r="B408" s="27"/>
      <c r="C408" s="28"/>
      <c r="D408" s="28"/>
      <c r="E408" s="53"/>
      <c r="F408" s="53"/>
      <c r="G408" s="53"/>
      <c r="H408" s="53"/>
    </row>
    <row r="409" spans="1:8">
      <c r="A409" s="27"/>
      <c r="B409" s="27"/>
      <c r="C409" s="28"/>
      <c r="D409" s="28"/>
      <c r="E409" s="53"/>
      <c r="F409" s="53"/>
      <c r="G409" s="53"/>
      <c r="H409" s="53"/>
    </row>
    <row r="410" spans="1:8">
      <c r="A410" s="27"/>
      <c r="B410" s="27"/>
      <c r="C410" s="28"/>
      <c r="D410" s="28"/>
      <c r="E410" s="53"/>
      <c r="F410" s="53"/>
      <c r="G410" s="53"/>
      <c r="H410" s="53"/>
    </row>
    <row r="411" spans="1:8">
      <c r="A411" s="27"/>
      <c r="B411" s="27"/>
      <c r="C411" s="28"/>
      <c r="D411" s="28"/>
      <c r="E411" s="53"/>
      <c r="F411" s="53"/>
      <c r="G411" s="53"/>
      <c r="H411" s="53"/>
    </row>
    <row r="412" spans="1:8">
      <c r="A412" s="27"/>
      <c r="B412" s="27"/>
      <c r="C412" s="28"/>
      <c r="D412" s="28"/>
      <c r="E412" s="53"/>
      <c r="F412" s="53"/>
      <c r="G412" s="53"/>
      <c r="H412" s="53"/>
    </row>
    <row r="413" spans="1:8">
      <c r="A413" s="27"/>
      <c r="B413" s="27"/>
      <c r="C413" s="28"/>
      <c r="D413" s="28"/>
      <c r="E413" s="53"/>
      <c r="F413" s="53"/>
      <c r="G413" s="53"/>
      <c r="H413" s="53"/>
    </row>
    <row r="414" spans="1:8">
      <c r="A414" s="27"/>
      <c r="B414" s="27"/>
      <c r="C414" s="28"/>
      <c r="D414" s="28"/>
      <c r="E414" s="53"/>
      <c r="F414" s="53"/>
      <c r="G414" s="53"/>
      <c r="H414" s="53"/>
    </row>
    <row r="415" spans="1:8">
      <c r="A415" s="27"/>
      <c r="B415" s="27"/>
      <c r="C415" s="28"/>
      <c r="D415" s="28"/>
      <c r="E415" s="53"/>
      <c r="F415" s="53"/>
      <c r="G415" s="53"/>
      <c r="H415" s="53"/>
    </row>
    <row r="416" spans="1:8">
      <c r="A416" s="27"/>
      <c r="B416" s="27"/>
      <c r="C416" s="28"/>
      <c r="D416" s="28"/>
      <c r="E416" s="53"/>
      <c r="F416" s="53"/>
      <c r="G416" s="53"/>
      <c r="H416" s="53"/>
    </row>
    <row r="417" spans="1:8">
      <c r="A417" s="27"/>
      <c r="B417" s="27"/>
      <c r="C417" s="28"/>
      <c r="D417" s="28"/>
      <c r="E417" s="53"/>
      <c r="F417" s="53"/>
      <c r="G417" s="53"/>
      <c r="H417" s="53"/>
    </row>
    <row r="418" spans="1:8">
      <c r="A418" s="27"/>
      <c r="B418" s="27"/>
      <c r="C418" s="28"/>
      <c r="D418" s="28"/>
      <c r="E418" s="53"/>
      <c r="F418" s="53"/>
      <c r="G418" s="53"/>
      <c r="H418" s="53"/>
    </row>
    <row r="419" spans="1:8">
      <c r="A419" s="27"/>
      <c r="B419" s="27"/>
      <c r="C419" s="28"/>
      <c r="D419" s="28"/>
      <c r="E419" s="53"/>
      <c r="F419" s="53"/>
      <c r="G419" s="53"/>
      <c r="H419" s="53"/>
    </row>
    <row r="420" spans="1:8">
      <c r="A420" s="27"/>
      <c r="B420" s="27"/>
      <c r="C420" s="28"/>
      <c r="D420" s="28"/>
      <c r="E420" s="53"/>
      <c r="F420" s="53"/>
      <c r="G420" s="53"/>
      <c r="H420" s="53"/>
    </row>
    <row r="421" spans="1:8">
      <c r="A421" s="27"/>
      <c r="B421" s="27"/>
      <c r="C421" s="28"/>
      <c r="D421" s="28"/>
      <c r="E421" s="53"/>
      <c r="F421" s="53"/>
      <c r="G421" s="53"/>
      <c r="H421" s="53"/>
    </row>
    <row r="422" spans="1:8">
      <c r="A422" s="27"/>
      <c r="B422" s="27"/>
      <c r="C422" s="28"/>
      <c r="D422" s="28"/>
      <c r="E422" s="53"/>
      <c r="F422" s="53"/>
      <c r="G422" s="53"/>
      <c r="H422" s="53"/>
    </row>
    <row r="423" spans="1:8">
      <c r="A423" s="27"/>
      <c r="B423" s="27"/>
      <c r="C423" s="28"/>
      <c r="D423" s="28"/>
      <c r="E423" s="53"/>
      <c r="F423" s="53"/>
      <c r="G423" s="53"/>
      <c r="H423" s="53"/>
    </row>
    <row r="424" spans="1:8">
      <c r="A424" s="27"/>
      <c r="B424" s="27"/>
      <c r="C424" s="28"/>
      <c r="D424" s="28"/>
      <c r="E424" s="53"/>
      <c r="F424" s="53"/>
      <c r="G424" s="53"/>
      <c r="H424" s="53"/>
    </row>
    <row r="425" spans="1:8">
      <c r="A425" s="27"/>
      <c r="B425" s="27"/>
      <c r="C425" s="28"/>
      <c r="D425" s="28"/>
      <c r="E425" s="53"/>
      <c r="F425" s="53"/>
      <c r="G425" s="53"/>
      <c r="H425" s="53"/>
    </row>
    <row r="426" spans="1:8">
      <c r="A426" s="27"/>
      <c r="B426" s="27"/>
      <c r="C426" s="28"/>
      <c r="D426" s="28"/>
      <c r="E426" s="53"/>
      <c r="F426" s="53"/>
      <c r="G426" s="53"/>
      <c r="H426" s="53"/>
    </row>
    <row r="427" spans="1:8">
      <c r="A427" s="27"/>
      <c r="B427" s="27"/>
      <c r="C427" s="28"/>
      <c r="D427" s="28"/>
      <c r="E427" s="53"/>
      <c r="F427" s="53"/>
      <c r="G427" s="53"/>
      <c r="H427" s="53"/>
    </row>
    <row r="428" spans="1:8">
      <c r="A428" s="27"/>
      <c r="B428" s="27"/>
      <c r="C428" s="28"/>
      <c r="D428" s="28"/>
      <c r="E428" s="53"/>
      <c r="F428" s="53"/>
      <c r="G428" s="53"/>
      <c r="H428" s="53"/>
    </row>
    <row r="429" spans="1:8">
      <c r="A429" s="27"/>
      <c r="B429" s="27"/>
      <c r="C429" s="28"/>
      <c r="D429" s="28"/>
      <c r="E429" s="53"/>
      <c r="F429" s="53"/>
      <c r="G429" s="53"/>
      <c r="H429" s="53"/>
    </row>
    <row r="430" spans="1:8">
      <c r="A430" s="27"/>
      <c r="B430" s="27"/>
      <c r="C430" s="28"/>
      <c r="D430" s="28"/>
      <c r="E430" s="53"/>
      <c r="F430" s="53"/>
      <c r="G430" s="53"/>
      <c r="H430" s="53"/>
    </row>
    <row r="431" spans="1:8">
      <c r="A431" s="27"/>
      <c r="B431" s="27"/>
      <c r="C431" s="28"/>
      <c r="D431" s="28"/>
      <c r="E431" s="53"/>
      <c r="F431" s="53"/>
      <c r="G431" s="53"/>
      <c r="H431" s="53"/>
    </row>
    <row r="432" spans="1:8">
      <c r="A432" s="27"/>
      <c r="B432" s="27"/>
      <c r="C432" s="28"/>
      <c r="D432" s="28"/>
      <c r="E432" s="53"/>
      <c r="F432" s="53"/>
      <c r="G432" s="53"/>
      <c r="H432" s="53"/>
    </row>
    <row r="433" spans="1:8">
      <c r="A433" s="27"/>
      <c r="B433" s="27"/>
      <c r="C433" s="28"/>
      <c r="D433" s="28"/>
      <c r="E433" s="53"/>
      <c r="F433" s="53"/>
      <c r="G433" s="53"/>
      <c r="H433" s="53"/>
    </row>
    <row r="434" spans="1:8">
      <c r="A434" s="27"/>
      <c r="B434" s="27"/>
      <c r="C434" s="28"/>
      <c r="D434" s="28"/>
      <c r="E434" s="53"/>
      <c r="F434" s="53"/>
      <c r="G434" s="53"/>
      <c r="H434" s="53"/>
    </row>
    <row r="435" spans="1:8">
      <c r="A435" s="27"/>
      <c r="B435" s="27"/>
      <c r="C435" s="28"/>
      <c r="D435" s="28"/>
      <c r="E435" s="53"/>
      <c r="F435" s="53"/>
      <c r="G435" s="53"/>
      <c r="H435" s="53"/>
    </row>
    <row r="436" spans="1:8">
      <c r="A436" s="27"/>
      <c r="B436" s="27"/>
      <c r="C436" s="28"/>
      <c r="D436" s="28"/>
      <c r="E436" s="53"/>
      <c r="F436" s="53"/>
      <c r="G436" s="53"/>
      <c r="H436" s="53"/>
    </row>
    <row r="437" spans="1:8">
      <c r="A437" s="27"/>
      <c r="B437" s="27"/>
      <c r="C437" s="28"/>
      <c r="D437" s="28"/>
      <c r="E437" s="53"/>
      <c r="F437" s="53"/>
      <c r="G437" s="53"/>
      <c r="H437" s="53"/>
    </row>
    <row r="438" spans="1:8">
      <c r="A438" s="27"/>
      <c r="B438" s="27"/>
      <c r="C438" s="28"/>
      <c r="D438" s="28"/>
      <c r="E438" s="53"/>
      <c r="F438" s="53"/>
      <c r="G438" s="53"/>
      <c r="H438" s="53"/>
    </row>
    <row r="439" spans="1:8">
      <c r="A439" s="27"/>
      <c r="B439" s="27"/>
      <c r="C439" s="28"/>
      <c r="D439" s="28"/>
      <c r="E439" s="53"/>
      <c r="F439" s="53"/>
      <c r="G439" s="53"/>
      <c r="H439" s="53"/>
    </row>
    <row r="440" spans="1:8">
      <c r="A440" s="27"/>
      <c r="B440" s="27"/>
      <c r="C440" s="28"/>
      <c r="D440" s="28"/>
      <c r="E440" s="53"/>
      <c r="F440" s="53"/>
      <c r="G440" s="53"/>
      <c r="H440" s="53"/>
    </row>
    <row r="441" spans="1:8">
      <c r="A441" s="27"/>
      <c r="B441" s="27"/>
      <c r="C441" s="28"/>
      <c r="D441" s="28"/>
      <c r="E441" s="53"/>
      <c r="F441" s="53"/>
      <c r="G441" s="53"/>
      <c r="H441" s="53"/>
    </row>
    <row r="442" spans="1:8">
      <c r="A442" s="27"/>
      <c r="B442" s="27"/>
      <c r="C442" s="28"/>
      <c r="D442" s="28"/>
      <c r="E442" s="53"/>
      <c r="F442" s="53"/>
      <c r="G442" s="53"/>
      <c r="H442" s="53"/>
    </row>
    <row r="443" spans="1:8">
      <c r="A443" s="27"/>
      <c r="B443" s="27"/>
      <c r="C443" s="28"/>
      <c r="D443" s="28"/>
      <c r="E443" s="53"/>
      <c r="F443" s="53"/>
      <c r="G443" s="53"/>
      <c r="H443" s="53"/>
    </row>
    <row r="444" spans="1:8">
      <c r="A444" s="27"/>
      <c r="B444" s="27"/>
      <c r="C444" s="28"/>
      <c r="D444" s="28"/>
      <c r="E444" s="53"/>
      <c r="F444" s="53"/>
      <c r="G444" s="53"/>
      <c r="H444" s="53"/>
    </row>
    <row r="445" spans="1:8">
      <c r="A445" s="27"/>
      <c r="B445" s="27"/>
      <c r="C445" s="28"/>
      <c r="D445" s="28"/>
      <c r="E445" s="53"/>
      <c r="F445" s="53"/>
      <c r="G445" s="53"/>
      <c r="H445" s="53"/>
    </row>
    <row r="446" spans="1:8">
      <c r="A446" s="27"/>
      <c r="B446" s="27"/>
      <c r="C446" s="28"/>
      <c r="D446" s="28"/>
      <c r="E446" s="53"/>
      <c r="F446" s="53"/>
      <c r="G446" s="53"/>
      <c r="H446" s="53"/>
    </row>
    <row r="447" spans="1:8">
      <c r="A447" s="27"/>
      <c r="B447" s="27"/>
      <c r="C447" s="28"/>
      <c r="D447" s="28"/>
      <c r="E447" s="53"/>
      <c r="F447" s="53"/>
      <c r="G447" s="53"/>
      <c r="H447" s="53"/>
    </row>
    <row r="448" spans="1:8">
      <c r="A448" s="27"/>
      <c r="B448" s="27"/>
      <c r="C448" s="28"/>
      <c r="D448" s="28"/>
      <c r="E448" s="53"/>
      <c r="F448" s="53"/>
      <c r="G448" s="53"/>
      <c r="H448" s="53"/>
    </row>
    <row r="449" spans="1:8">
      <c r="A449" s="27"/>
      <c r="B449" s="27"/>
      <c r="C449" s="28"/>
      <c r="D449" s="28"/>
      <c r="E449" s="53"/>
      <c r="F449" s="53"/>
      <c r="G449" s="53"/>
      <c r="H449" s="53"/>
    </row>
    <row r="450" spans="1:8">
      <c r="A450" s="27"/>
      <c r="B450" s="27"/>
      <c r="C450" s="28"/>
      <c r="D450" s="28"/>
      <c r="E450" s="53"/>
      <c r="F450" s="53"/>
      <c r="G450" s="53"/>
      <c r="H450" s="53"/>
    </row>
    <row r="451" spans="1:8">
      <c r="A451" s="27"/>
      <c r="B451" s="27"/>
      <c r="C451" s="28"/>
      <c r="D451" s="28"/>
      <c r="E451" s="53"/>
      <c r="F451" s="53"/>
      <c r="G451" s="53"/>
      <c r="H451" s="53"/>
    </row>
    <row r="452" spans="1:8">
      <c r="A452" s="27"/>
      <c r="B452" s="27"/>
      <c r="C452" s="28"/>
      <c r="D452" s="28"/>
      <c r="E452" s="53"/>
      <c r="F452" s="53"/>
      <c r="G452" s="53"/>
      <c r="H452" s="53"/>
    </row>
    <row r="453" spans="1:8">
      <c r="A453" s="27"/>
      <c r="B453" s="27"/>
      <c r="C453" s="28"/>
      <c r="D453" s="28"/>
      <c r="E453" s="53"/>
      <c r="F453" s="53"/>
      <c r="G453" s="53"/>
      <c r="H453" s="53"/>
    </row>
    <row r="454" spans="1:8">
      <c r="A454" s="27"/>
      <c r="B454" s="27"/>
      <c r="C454" s="28"/>
      <c r="D454" s="28"/>
      <c r="E454" s="53"/>
      <c r="F454" s="53"/>
      <c r="G454" s="53"/>
      <c r="H454" s="53"/>
    </row>
    <row r="455" spans="1:8">
      <c r="A455" s="27"/>
      <c r="B455" s="27"/>
      <c r="C455" s="28"/>
      <c r="D455" s="28"/>
      <c r="E455" s="53"/>
      <c r="F455" s="53"/>
      <c r="G455" s="53"/>
      <c r="H455" s="53"/>
    </row>
    <row r="456" spans="1:8">
      <c r="A456" s="27"/>
      <c r="B456" s="27"/>
      <c r="C456" s="28"/>
      <c r="D456" s="28"/>
      <c r="E456" s="53"/>
      <c r="F456" s="53"/>
      <c r="G456" s="53"/>
      <c r="H456" s="53"/>
    </row>
    <row r="457" spans="1:8">
      <c r="A457" s="27"/>
      <c r="B457" s="27"/>
      <c r="C457" s="28"/>
      <c r="D457" s="28"/>
      <c r="E457" s="53"/>
      <c r="F457" s="53"/>
      <c r="G457" s="53"/>
      <c r="H457" s="53"/>
    </row>
    <row r="458" spans="1:8">
      <c r="A458" s="27"/>
      <c r="B458" s="27"/>
      <c r="C458" s="28"/>
      <c r="D458" s="28"/>
      <c r="E458" s="53"/>
      <c r="F458" s="53"/>
      <c r="G458" s="53"/>
      <c r="H458" s="53"/>
    </row>
    <row r="459" spans="1:8">
      <c r="A459" s="27"/>
      <c r="B459" s="27"/>
      <c r="C459" s="28"/>
      <c r="D459" s="28"/>
      <c r="E459" s="53"/>
      <c r="F459" s="53"/>
      <c r="G459" s="53"/>
      <c r="H459" s="53"/>
    </row>
    <row r="460" spans="1:8">
      <c r="A460" s="27"/>
      <c r="B460" s="27"/>
      <c r="C460" s="28"/>
      <c r="D460" s="28"/>
      <c r="E460" s="53"/>
      <c r="F460" s="53"/>
      <c r="G460" s="53"/>
      <c r="H460" s="53"/>
    </row>
    <row r="461" spans="1:8">
      <c r="A461" s="27"/>
      <c r="B461" s="27"/>
      <c r="C461" s="28"/>
      <c r="D461" s="28"/>
      <c r="E461" s="53"/>
      <c r="F461" s="53"/>
      <c r="G461" s="53"/>
      <c r="H461" s="53"/>
    </row>
    <row r="462" spans="1:8">
      <c r="A462" s="27"/>
      <c r="B462" s="27"/>
      <c r="C462" s="28"/>
      <c r="D462" s="28"/>
      <c r="E462" s="53"/>
      <c r="F462" s="53"/>
      <c r="G462" s="53"/>
      <c r="H462" s="53"/>
    </row>
    <row r="463" spans="1:8">
      <c r="A463" s="27"/>
      <c r="B463" s="27"/>
      <c r="C463" s="28"/>
      <c r="D463" s="28"/>
      <c r="E463" s="53"/>
      <c r="F463" s="53"/>
      <c r="G463" s="53"/>
      <c r="H463" s="53"/>
    </row>
    <row r="464" spans="1:8">
      <c r="A464" s="27"/>
      <c r="B464" s="27"/>
      <c r="C464" s="28"/>
      <c r="D464" s="28"/>
      <c r="E464" s="53"/>
      <c r="F464" s="53"/>
      <c r="G464" s="53"/>
      <c r="H464" s="53"/>
    </row>
    <row r="465" spans="1:8">
      <c r="A465" s="27"/>
      <c r="B465" s="27"/>
      <c r="C465" s="28"/>
      <c r="D465" s="28"/>
      <c r="E465" s="53"/>
      <c r="F465" s="53"/>
      <c r="G465" s="53"/>
      <c r="H465" s="53"/>
    </row>
    <row r="466" spans="1:8">
      <c r="A466" s="27"/>
      <c r="B466" s="27"/>
      <c r="C466" s="28"/>
      <c r="D466" s="28"/>
      <c r="E466" s="53"/>
      <c r="F466" s="53"/>
      <c r="G466" s="53"/>
      <c r="H466" s="53"/>
    </row>
    <row r="467" spans="1:8">
      <c r="A467" s="27"/>
      <c r="B467" s="27"/>
      <c r="C467" s="28"/>
      <c r="D467" s="28"/>
      <c r="E467" s="53"/>
      <c r="F467" s="53"/>
      <c r="G467" s="53"/>
      <c r="H467" s="53"/>
    </row>
    <row r="468" spans="1:8">
      <c r="A468" s="27"/>
      <c r="B468" s="27"/>
      <c r="C468" s="28"/>
      <c r="D468" s="28"/>
      <c r="E468" s="53"/>
      <c r="F468" s="53"/>
      <c r="G468" s="53"/>
      <c r="H468" s="53"/>
    </row>
    <row r="469" spans="1:8">
      <c r="A469" s="27"/>
      <c r="B469" s="27"/>
      <c r="C469" s="28"/>
      <c r="D469" s="28"/>
      <c r="E469" s="53"/>
      <c r="F469" s="53"/>
      <c r="G469" s="53"/>
      <c r="H469" s="53"/>
    </row>
    <row r="470" spans="1:8">
      <c r="A470" s="27"/>
      <c r="B470" s="27"/>
      <c r="C470" s="28"/>
      <c r="D470" s="28"/>
      <c r="E470" s="53"/>
      <c r="F470" s="53"/>
      <c r="G470" s="53"/>
      <c r="H470" s="53"/>
    </row>
    <row r="471" spans="1:8">
      <c r="A471" s="27"/>
      <c r="B471" s="27"/>
      <c r="C471" s="28"/>
      <c r="D471" s="28"/>
      <c r="E471" s="53"/>
      <c r="F471" s="53"/>
      <c r="G471" s="53"/>
      <c r="H471" s="53"/>
    </row>
    <row r="472" spans="1:8">
      <c r="A472" s="27"/>
      <c r="B472" s="27"/>
      <c r="C472" s="28"/>
      <c r="D472" s="28"/>
      <c r="E472" s="53"/>
      <c r="F472" s="53"/>
      <c r="G472" s="53"/>
      <c r="H472" s="53"/>
    </row>
    <row r="473" spans="1:8">
      <c r="A473" s="27"/>
      <c r="B473" s="27"/>
      <c r="C473" s="28"/>
      <c r="D473" s="28"/>
      <c r="E473" s="53"/>
      <c r="F473" s="53"/>
      <c r="G473" s="53"/>
      <c r="H473" s="53"/>
    </row>
    <row r="474" spans="1:8">
      <c r="A474" s="27"/>
      <c r="B474" s="27"/>
      <c r="C474" s="28"/>
      <c r="D474" s="28"/>
      <c r="E474" s="53"/>
      <c r="F474" s="53"/>
      <c r="G474" s="53"/>
      <c r="H474" s="53"/>
    </row>
    <row r="475" spans="1:8">
      <c r="A475" s="27"/>
      <c r="B475" s="27"/>
      <c r="C475" s="28"/>
      <c r="D475" s="28"/>
      <c r="E475" s="53"/>
      <c r="F475" s="53"/>
      <c r="G475" s="53"/>
      <c r="H475" s="53"/>
    </row>
    <row r="476" spans="1:8">
      <c r="A476" s="27"/>
      <c r="B476" s="27"/>
      <c r="C476" s="28"/>
      <c r="D476" s="28"/>
      <c r="E476" s="53"/>
      <c r="F476" s="53"/>
      <c r="G476" s="53"/>
      <c r="H476" s="53"/>
    </row>
    <row r="477" spans="1:8">
      <c r="A477" s="27"/>
      <c r="B477" s="27"/>
      <c r="C477" s="28"/>
      <c r="D477" s="28"/>
      <c r="E477" s="53"/>
      <c r="F477" s="53"/>
      <c r="G477" s="53"/>
      <c r="H477" s="53"/>
    </row>
    <row r="478" spans="1:8">
      <c r="A478" s="27"/>
      <c r="B478" s="27"/>
      <c r="C478" s="28"/>
      <c r="D478" s="28"/>
      <c r="E478" s="53"/>
      <c r="F478" s="53"/>
      <c r="G478" s="53"/>
      <c r="H478" s="53"/>
    </row>
    <row r="479" spans="1:8">
      <c r="A479" s="27"/>
      <c r="B479" s="27"/>
      <c r="C479" s="28"/>
      <c r="D479" s="28"/>
      <c r="E479" s="53"/>
      <c r="F479" s="53"/>
      <c r="G479" s="53"/>
      <c r="H479" s="53"/>
    </row>
    <row r="480" spans="1:8">
      <c r="A480" s="27"/>
      <c r="B480" s="27"/>
      <c r="C480" s="28"/>
      <c r="D480" s="28"/>
      <c r="E480" s="53"/>
      <c r="F480" s="53"/>
      <c r="G480" s="53"/>
      <c r="H480" s="53"/>
    </row>
    <row r="481" spans="1:8">
      <c r="A481" s="27"/>
      <c r="B481" s="27"/>
      <c r="C481" s="28"/>
      <c r="D481" s="28"/>
      <c r="E481" s="53"/>
      <c r="F481" s="53"/>
      <c r="G481" s="53"/>
      <c r="H481" s="53"/>
    </row>
    <row r="482" spans="1:8">
      <c r="A482" s="27"/>
      <c r="B482" s="27"/>
      <c r="C482" s="28"/>
      <c r="D482" s="28"/>
      <c r="E482" s="53"/>
      <c r="F482" s="53"/>
      <c r="G482" s="53"/>
      <c r="H482" s="53"/>
    </row>
    <row r="483" spans="1:8">
      <c r="A483" s="27"/>
      <c r="B483" s="27"/>
      <c r="C483" s="28"/>
      <c r="D483" s="28"/>
      <c r="E483" s="53"/>
      <c r="F483" s="53"/>
      <c r="G483" s="53"/>
      <c r="H483" s="53"/>
    </row>
    <row r="484" spans="1:8">
      <c r="A484" s="27"/>
      <c r="B484" s="27"/>
      <c r="C484" s="28"/>
      <c r="D484" s="28"/>
      <c r="E484" s="53"/>
      <c r="F484" s="53"/>
      <c r="G484" s="53"/>
      <c r="H484" s="53"/>
    </row>
    <row r="485" spans="1:8">
      <c r="A485" s="27"/>
      <c r="B485" s="27"/>
      <c r="C485" s="28"/>
      <c r="D485" s="28"/>
      <c r="E485" s="53"/>
      <c r="F485" s="53"/>
      <c r="G485" s="53"/>
      <c r="H485" s="53"/>
    </row>
    <row r="486" spans="1:8">
      <c r="A486" s="27"/>
      <c r="B486" s="27"/>
      <c r="C486" s="28"/>
      <c r="D486" s="28"/>
      <c r="E486" s="53"/>
      <c r="F486" s="53"/>
      <c r="G486" s="53"/>
      <c r="H486" s="53"/>
    </row>
    <row r="487" spans="1:8">
      <c r="A487" s="27"/>
      <c r="B487" s="27"/>
      <c r="C487" s="28"/>
      <c r="D487" s="28"/>
      <c r="E487" s="53"/>
      <c r="F487" s="53"/>
      <c r="G487" s="53"/>
      <c r="H487" s="53"/>
    </row>
    <row r="488" spans="1:8">
      <c r="A488" s="27"/>
      <c r="B488" s="27"/>
      <c r="C488" s="28"/>
      <c r="D488" s="28"/>
      <c r="E488" s="53"/>
      <c r="F488" s="53"/>
      <c r="G488" s="53"/>
      <c r="H488" s="53"/>
    </row>
    <row r="489" spans="1:8">
      <c r="A489" s="27"/>
      <c r="B489" s="27"/>
      <c r="C489" s="28"/>
      <c r="D489" s="28"/>
      <c r="E489" s="53"/>
      <c r="F489" s="53"/>
      <c r="G489" s="53"/>
      <c r="H489" s="53"/>
    </row>
    <row r="490" spans="1:8">
      <c r="A490" s="27"/>
      <c r="B490" s="27"/>
      <c r="C490" s="28"/>
      <c r="D490" s="28"/>
      <c r="E490" s="53"/>
      <c r="F490" s="53"/>
      <c r="G490" s="53"/>
      <c r="H490" s="53"/>
    </row>
    <row r="491" spans="1:8">
      <c r="A491" s="27"/>
      <c r="B491" s="27"/>
      <c r="C491" s="28"/>
      <c r="D491" s="28"/>
      <c r="E491" s="53"/>
      <c r="F491" s="53"/>
      <c r="G491" s="53"/>
      <c r="H491" s="53"/>
    </row>
    <row r="492" spans="1:8">
      <c r="A492" s="27"/>
      <c r="B492" s="27"/>
      <c r="C492" s="28"/>
      <c r="D492" s="28"/>
      <c r="E492" s="53"/>
      <c r="F492" s="53"/>
      <c r="G492" s="53"/>
      <c r="H492" s="53"/>
    </row>
    <row r="493" spans="1:8">
      <c r="A493" s="27"/>
      <c r="B493" s="27"/>
      <c r="C493" s="28"/>
      <c r="D493" s="28"/>
      <c r="E493" s="53"/>
      <c r="F493" s="53"/>
      <c r="G493" s="53"/>
      <c r="H493" s="53"/>
    </row>
    <row r="494" spans="1:8">
      <c r="A494" s="27"/>
      <c r="B494" s="27"/>
      <c r="C494" s="28"/>
      <c r="D494" s="28"/>
      <c r="E494" s="53"/>
      <c r="F494" s="53"/>
      <c r="G494" s="53"/>
      <c r="H494" s="53"/>
    </row>
    <row r="495" spans="1:8">
      <c r="A495" s="27"/>
      <c r="B495" s="27"/>
      <c r="C495" s="28"/>
      <c r="D495" s="28"/>
      <c r="E495" s="53"/>
      <c r="F495" s="53"/>
      <c r="G495" s="53"/>
      <c r="H495" s="53"/>
    </row>
    <row r="496" spans="1:8">
      <c r="A496" s="27"/>
      <c r="B496" s="27"/>
      <c r="C496" s="28"/>
      <c r="D496" s="28"/>
      <c r="E496" s="53"/>
      <c r="F496" s="53"/>
      <c r="G496" s="53"/>
      <c r="H496" s="53"/>
    </row>
    <row r="497" spans="1:8">
      <c r="A497" s="27"/>
      <c r="B497" s="27"/>
      <c r="C497" s="28"/>
      <c r="D497" s="28"/>
      <c r="E497" s="53"/>
      <c r="F497" s="53"/>
      <c r="G497" s="53"/>
      <c r="H497" s="53"/>
    </row>
    <row r="498" spans="1:8">
      <c r="A498" s="27"/>
      <c r="B498" s="27"/>
      <c r="C498" s="28"/>
      <c r="D498" s="28"/>
      <c r="E498" s="53"/>
      <c r="F498" s="53"/>
      <c r="G498" s="53"/>
      <c r="H498" s="53"/>
    </row>
    <row r="499" spans="1:8">
      <c r="A499" s="27"/>
      <c r="B499" s="27"/>
      <c r="C499" s="28"/>
      <c r="D499" s="28"/>
      <c r="E499" s="53"/>
      <c r="F499" s="53"/>
      <c r="G499" s="53"/>
      <c r="H499" s="53"/>
    </row>
    <row r="500" spans="1:8">
      <c r="A500" s="27"/>
      <c r="B500" s="27"/>
      <c r="C500" s="28"/>
      <c r="D500" s="28"/>
      <c r="E500" s="53"/>
      <c r="F500" s="53"/>
      <c r="G500" s="53"/>
      <c r="H500" s="53"/>
    </row>
    <row r="501" spans="1:8">
      <c r="A501" s="27"/>
      <c r="B501" s="27"/>
      <c r="C501" s="28"/>
      <c r="D501" s="28"/>
      <c r="E501" s="53"/>
      <c r="F501" s="53"/>
      <c r="G501" s="53"/>
      <c r="H501" s="53"/>
    </row>
    <row r="502" spans="1:8">
      <c r="A502" s="27"/>
      <c r="B502" s="27"/>
      <c r="C502" s="28"/>
      <c r="D502" s="28"/>
      <c r="E502" s="53"/>
      <c r="F502" s="53"/>
      <c r="G502" s="53"/>
      <c r="H502" s="53"/>
    </row>
    <row r="503" spans="1:8">
      <c r="A503" s="27"/>
      <c r="B503" s="27"/>
      <c r="C503" s="28"/>
      <c r="D503" s="28"/>
      <c r="E503" s="53"/>
      <c r="F503" s="53"/>
      <c r="G503" s="53"/>
      <c r="H503" s="53"/>
    </row>
    <row r="504" spans="1:8">
      <c r="A504" s="27"/>
      <c r="B504" s="27"/>
      <c r="C504" s="28"/>
      <c r="D504" s="28"/>
      <c r="E504" s="53"/>
      <c r="F504" s="53"/>
      <c r="G504" s="53"/>
      <c r="H504" s="53"/>
    </row>
    <row r="505" spans="1:8">
      <c r="A505" s="27"/>
      <c r="B505" s="27"/>
      <c r="C505" s="28"/>
      <c r="D505" s="28"/>
      <c r="E505" s="53"/>
      <c r="F505" s="53"/>
      <c r="G505" s="53"/>
      <c r="H505" s="53"/>
    </row>
    <row r="506" spans="1:8">
      <c r="A506" s="27"/>
      <c r="B506" s="27"/>
      <c r="C506" s="28"/>
      <c r="D506" s="28"/>
      <c r="E506" s="53"/>
      <c r="F506" s="53"/>
      <c r="G506" s="53"/>
      <c r="H506" s="53"/>
    </row>
    <row r="507" spans="1:8">
      <c r="A507" s="27"/>
      <c r="B507" s="27"/>
      <c r="C507" s="28"/>
      <c r="D507" s="28"/>
      <c r="E507" s="53"/>
      <c r="F507" s="53"/>
      <c r="G507" s="53"/>
      <c r="H507" s="53"/>
    </row>
    <row r="508" spans="1:8">
      <c r="A508" s="27"/>
      <c r="B508" s="27"/>
      <c r="C508" s="28"/>
      <c r="D508" s="28"/>
      <c r="E508" s="53"/>
      <c r="F508" s="53"/>
      <c r="G508" s="53"/>
      <c r="H508" s="53"/>
    </row>
    <row r="509" spans="1:8">
      <c r="A509" s="27"/>
      <c r="B509" s="27"/>
      <c r="C509" s="28"/>
      <c r="D509" s="28"/>
      <c r="E509" s="53"/>
      <c r="F509" s="53"/>
      <c r="G509" s="53"/>
      <c r="H509" s="53"/>
    </row>
    <row r="510" spans="1:8">
      <c r="A510" s="27"/>
      <c r="B510" s="27"/>
      <c r="C510" s="28"/>
      <c r="D510" s="28"/>
      <c r="E510" s="53"/>
      <c r="F510" s="53"/>
      <c r="G510" s="53"/>
      <c r="H510" s="53"/>
    </row>
    <row r="511" spans="1:8">
      <c r="A511" s="27"/>
      <c r="B511" s="27"/>
      <c r="C511" s="28"/>
      <c r="D511" s="28"/>
      <c r="E511" s="53"/>
      <c r="F511" s="53"/>
      <c r="G511" s="53"/>
      <c r="H511" s="53"/>
    </row>
    <row r="512" spans="1:8">
      <c r="A512" s="27"/>
      <c r="B512" s="27"/>
      <c r="C512" s="28"/>
      <c r="D512" s="28"/>
      <c r="E512" s="53"/>
      <c r="F512" s="53"/>
      <c r="G512" s="53"/>
      <c r="H512" s="53"/>
    </row>
    <row r="513" spans="1:8">
      <c r="A513" s="27"/>
      <c r="B513" s="27"/>
      <c r="C513" s="28"/>
      <c r="D513" s="28"/>
      <c r="E513" s="53"/>
      <c r="F513" s="53"/>
      <c r="G513" s="53"/>
      <c r="H513" s="53"/>
    </row>
    <row r="514" spans="1:8">
      <c r="A514" s="27"/>
      <c r="B514" s="27"/>
      <c r="C514" s="28"/>
      <c r="D514" s="28"/>
      <c r="E514" s="53"/>
      <c r="F514" s="53"/>
      <c r="G514" s="53"/>
      <c r="H514" s="53"/>
    </row>
    <row r="515" spans="1:8">
      <c r="A515" s="27"/>
      <c r="B515" s="27"/>
      <c r="C515" s="28"/>
      <c r="D515" s="28"/>
      <c r="E515" s="53"/>
      <c r="F515" s="53"/>
      <c r="G515" s="53"/>
      <c r="H515" s="53"/>
    </row>
    <row r="516" spans="1:8">
      <c r="A516" s="27"/>
      <c r="B516" s="27"/>
      <c r="C516" s="28"/>
      <c r="D516" s="28"/>
      <c r="E516" s="53"/>
      <c r="F516" s="53"/>
      <c r="G516" s="53"/>
      <c r="H516" s="53"/>
    </row>
    <row r="517" spans="1:8">
      <c r="A517" s="27"/>
      <c r="B517" s="27"/>
      <c r="C517" s="28"/>
      <c r="D517" s="28"/>
      <c r="E517" s="53"/>
      <c r="F517" s="53"/>
      <c r="G517" s="53"/>
      <c r="H517" s="53"/>
    </row>
    <row r="518" spans="1:8">
      <c r="A518" s="27"/>
      <c r="B518" s="27"/>
      <c r="C518" s="28"/>
      <c r="D518" s="28"/>
      <c r="E518" s="53"/>
      <c r="F518" s="53"/>
      <c r="G518" s="53"/>
      <c r="H518" s="53"/>
    </row>
    <row r="519" spans="1:8">
      <c r="A519" s="27"/>
      <c r="B519" s="27"/>
      <c r="C519" s="28"/>
      <c r="D519" s="28"/>
      <c r="E519" s="53"/>
      <c r="F519" s="53"/>
      <c r="G519" s="53"/>
      <c r="H519" s="53"/>
    </row>
    <row r="520" spans="1:8">
      <c r="A520" s="27"/>
      <c r="B520" s="27"/>
      <c r="C520" s="28"/>
      <c r="D520" s="28"/>
      <c r="E520" s="53"/>
      <c r="F520" s="53"/>
      <c r="G520" s="53"/>
      <c r="H520" s="53"/>
    </row>
    <row r="521" spans="1:8">
      <c r="A521" s="27"/>
      <c r="B521" s="27"/>
      <c r="C521" s="28"/>
      <c r="D521" s="28"/>
      <c r="E521" s="53"/>
      <c r="F521" s="53"/>
      <c r="G521" s="53"/>
      <c r="H521" s="53"/>
    </row>
    <row r="522" spans="1:8">
      <c r="A522" s="27"/>
      <c r="B522" s="27"/>
      <c r="C522" s="28"/>
      <c r="D522" s="28"/>
      <c r="E522" s="53"/>
      <c r="F522" s="53"/>
      <c r="G522" s="53"/>
      <c r="H522" s="53"/>
    </row>
    <row r="523" spans="1:8">
      <c r="A523" s="27"/>
      <c r="B523" s="27"/>
      <c r="C523" s="28"/>
      <c r="D523" s="28"/>
      <c r="E523" s="53"/>
      <c r="F523" s="53"/>
      <c r="G523" s="53"/>
      <c r="H523" s="53"/>
    </row>
    <row r="524" spans="1:8">
      <c r="A524" s="27"/>
      <c r="B524" s="27"/>
      <c r="C524" s="28"/>
      <c r="D524" s="28"/>
      <c r="E524" s="53"/>
      <c r="F524" s="53"/>
      <c r="G524" s="53"/>
      <c r="H524" s="53"/>
    </row>
    <row r="525" spans="1:8">
      <c r="A525" s="27"/>
      <c r="B525" s="27"/>
      <c r="C525" s="28"/>
      <c r="D525" s="28"/>
      <c r="E525" s="53"/>
      <c r="F525" s="53"/>
      <c r="G525" s="53"/>
      <c r="H525" s="53"/>
    </row>
    <row r="526" spans="1:8">
      <c r="A526" s="27"/>
      <c r="B526" s="27"/>
      <c r="C526" s="28"/>
      <c r="D526" s="28"/>
      <c r="E526" s="53"/>
      <c r="F526" s="53"/>
      <c r="G526" s="53"/>
      <c r="H526" s="53"/>
    </row>
    <row r="527" spans="1:8">
      <c r="A527" s="27"/>
      <c r="B527" s="27"/>
      <c r="C527" s="28"/>
      <c r="D527" s="28"/>
      <c r="E527" s="53"/>
      <c r="F527" s="53"/>
      <c r="G527" s="53"/>
      <c r="H527" s="53"/>
    </row>
    <row r="528" spans="1:8">
      <c r="A528" s="27"/>
      <c r="B528" s="27"/>
      <c r="C528" s="28"/>
      <c r="D528" s="28"/>
      <c r="E528" s="53"/>
      <c r="F528" s="53"/>
      <c r="G528" s="53"/>
      <c r="H528" s="53"/>
    </row>
    <row r="529" spans="1:8">
      <c r="A529" s="27"/>
      <c r="B529" s="27"/>
      <c r="C529" s="28"/>
      <c r="D529" s="28"/>
      <c r="E529" s="53"/>
      <c r="F529" s="53"/>
      <c r="G529" s="53"/>
      <c r="H529" s="53"/>
    </row>
    <row r="530" spans="1:8">
      <c r="A530" s="27"/>
      <c r="B530" s="27"/>
      <c r="C530" s="28"/>
      <c r="D530" s="28"/>
      <c r="E530" s="53"/>
      <c r="F530" s="53"/>
      <c r="G530" s="53"/>
      <c r="H530" s="53"/>
    </row>
    <row r="531" spans="1:8">
      <c r="A531" s="27"/>
      <c r="B531" s="27"/>
      <c r="C531" s="28"/>
      <c r="D531" s="28"/>
      <c r="E531" s="53"/>
      <c r="F531" s="53"/>
      <c r="G531" s="53"/>
      <c r="H531" s="53"/>
    </row>
    <row r="532" spans="1:8">
      <c r="A532" s="27"/>
      <c r="B532" s="27"/>
      <c r="C532" s="28"/>
      <c r="D532" s="28"/>
      <c r="E532" s="53"/>
      <c r="F532" s="53"/>
      <c r="G532" s="53"/>
      <c r="H532" s="53"/>
    </row>
    <row r="533" spans="1:8">
      <c r="A533" s="27"/>
      <c r="B533" s="27"/>
      <c r="C533" s="28"/>
      <c r="D533" s="28"/>
      <c r="E533" s="53"/>
      <c r="F533" s="53"/>
      <c r="G533" s="53"/>
      <c r="H533" s="53"/>
    </row>
    <row r="534" spans="1:8">
      <c r="A534" s="27"/>
      <c r="B534" s="27"/>
      <c r="C534" s="28"/>
      <c r="D534" s="28"/>
      <c r="E534" s="53"/>
      <c r="F534" s="53"/>
      <c r="G534" s="53"/>
      <c r="H534" s="53"/>
    </row>
    <row r="535" spans="1:8">
      <c r="A535" s="27"/>
      <c r="B535" s="27"/>
      <c r="C535" s="28"/>
      <c r="D535" s="28"/>
      <c r="E535" s="53"/>
      <c r="F535" s="53"/>
      <c r="G535" s="53"/>
      <c r="H535" s="53"/>
    </row>
    <row r="536" spans="1:8">
      <c r="A536" s="27"/>
      <c r="B536" s="27"/>
      <c r="C536" s="28"/>
      <c r="D536" s="28"/>
      <c r="E536" s="53"/>
      <c r="F536" s="53"/>
      <c r="G536" s="53"/>
      <c r="H536" s="53"/>
    </row>
    <row r="537" spans="1:8">
      <c r="A537" s="27"/>
      <c r="B537" s="27"/>
      <c r="C537" s="28"/>
      <c r="D537" s="28"/>
      <c r="E537" s="53"/>
      <c r="F537" s="53"/>
      <c r="G537" s="53"/>
      <c r="H537" s="53"/>
    </row>
    <row r="538" spans="1:8">
      <c r="A538" s="27"/>
      <c r="B538" s="27"/>
      <c r="C538" s="28"/>
      <c r="D538" s="28"/>
      <c r="E538" s="53"/>
      <c r="F538" s="53"/>
      <c r="G538" s="53"/>
      <c r="H538" s="53"/>
    </row>
    <row r="539" spans="1:8">
      <c r="A539" s="27"/>
      <c r="B539" s="27"/>
      <c r="C539" s="28"/>
      <c r="D539" s="28"/>
      <c r="E539" s="53"/>
      <c r="F539" s="53"/>
      <c r="G539" s="53"/>
      <c r="H539" s="53"/>
    </row>
    <row r="540" spans="1:8">
      <c r="A540" s="27"/>
      <c r="B540" s="27"/>
      <c r="C540" s="28"/>
      <c r="D540" s="28"/>
      <c r="E540" s="53"/>
      <c r="F540" s="53"/>
      <c r="G540" s="53"/>
      <c r="H540" s="53"/>
    </row>
    <row r="541" spans="1:8">
      <c r="A541" s="27"/>
      <c r="B541" s="27"/>
      <c r="C541" s="28"/>
      <c r="D541" s="28"/>
      <c r="E541" s="53"/>
      <c r="F541" s="53"/>
      <c r="G541" s="53"/>
      <c r="H541" s="53"/>
    </row>
    <row r="542" spans="1:8">
      <c r="A542" s="27"/>
      <c r="B542" s="27"/>
      <c r="C542" s="28"/>
      <c r="D542" s="28"/>
      <c r="E542" s="53"/>
      <c r="F542" s="53"/>
      <c r="G542" s="53"/>
      <c r="H542" s="53"/>
    </row>
    <row r="543" spans="1:8">
      <c r="A543" s="27"/>
      <c r="B543" s="27"/>
      <c r="C543" s="28"/>
      <c r="D543" s="28"/>
      <c r="E543" s="53"/>
      <c r="F543" s="53"/>
      <c r="G543" s="53"/>
      <c r="H543" s="53"/>
    </row>
    <row r="544" spans="1:8">
      <c r="A544" s="27"/>
      <c r="B544" s="27"/>
      <c r="C544" s="28"/>
      <c r="D544" s="28"/>
      <c r="E544" s="53"/>
      <c r="F544" s="53"/>
      <c r="G544" s="53"/>
      <c r="H544" s="53"/>
    </row>
    <row r="545" spans="1:8">
      <c r="A545" s="27"/>
      <c r="B545" s="27"/>
      <c r="C545" s="28"/>
      <c r="D545" s="28"/>
      <c r="E545" s="53"/>
      <c r="F545" s="53"/>
      <c r="G545" s="53"/>
      <c r="H545" s="53"/>
    </row>
    <row r="546" spans="1:8">
      <c r="A546" s="27"/>
      <c r="B546" s="27"/>
      <c r="C546" s="28"/>
      <c r="D546" s="28"/>
      <c r="E546" s="53"/>
      <c r="F546" s="53"/>
      <c r="G546" s="53"/>
      <c r="H546" s="53"/>
    </row>
    <row r="547" spans="1:8">
      <c r="A547" s="27"/>
      <c r="B547" s="27"/>
      <c r="C547" s="28"/>
      <c r="D547" s="28"/>
      <c r="E547" s="53"/>
      <c r="F547" s="53"/>
      <c r="G547" s="53"/>
      <c r="H547" s="53"/>
    </row>
    <row r="548" spans="1:8">
      <c r="A548" s="27"/>
      <c r="B548" s="27"/>
      <c r="C548" s="28"/>
      <c r="D548" s="28"/>
      <c r="E548" s="53"/>
      <c r="F548" s="53"/>
      <c r="G548" s="53"/>
      <c r="H548" s="53"/>
    </row>
    <row r="549" spans="1:8">
      <c r="A549" s="27"/>
      <c r="B549" s="27"/>
      <c r="C549" s="28"/>
      <c r="D549" s="28"/>
      <c r="E549" s="53"/>
      <c r="F549" s="53"/>
      <c r="G549" s="53"/>
      <c r="H549" s="53"/>
    </row>
    <row r="550" spans="1:8">
      <c r="A550" s="27"/>
      <c r="B550" s="27"/>
      <c r="C550" s="28"/>
      <c r="D550" s="28"/>
      <c r="E550" s="53"/>
      <c r="F550" s="53"/>
      <c r="G550" s="53"/>
      <c r="H550" s="53"/>
    </row>
    <row r="551" spans="1:8">
      <c r="A551" s="27"/>
      <c r="B551" s="27"/>
      <c r="C551" s="28"/>
      <c r="D551" s="28"/>
      <c r="E551" s="53"/>
      <c r="F551" s="53"/>
      <c r="G551" s="53"/>
      <c r="H551" s="53"/>
    </row>
    <row r="552" spans="1:8">
      <c r="A552" s="27"/>
      <c r="B552" s="27"/>
      <c r="C552" s="28"/>
      <c r="D552" s="28"/>
      <c r="E552" s="53"/>
      <c r="F552" s="53"/>
      <c r="G552" s="53"/>
      <c r="H552" s="53"/>
    </row>
    <row r="553" spans="1:8">
      <c r="A553" s="27"/>
      <c r="B553" s="27"/>
      <c r="C553" s="28"/>
      <c r="D553" s="28"/>
      <c r="E553" s="53"/>
      <c r="F553" s="53"/>
      <c r="G553" s="53"/>
      <c r="H553" s="53"/>
    </row>
    <row r="554" spans="1:8">
      <c r="A554" s="27"/>
      <c r="B554" s="27"/>
      <c r="C554" s="28"/>
      <c r="D554" s="28"/>
      <c r="E554" s="53"/>
      <c r="F554" s="53"/>
      <c r="G554" s="53"/>
      <c r="H554" s="53"/>
    </row>
    <row r="555" spans="1:8">
      <c r="A555" s="27"/>
      <c r="B555" s="27"/>
      <c r="C555" s="28"/>
      <c r="D555" s="28"/>
      <c r="E555" s="53"/>
      <c r="F555" s="53"/>
      <c r="G555" s="53"/>
      <c r="H555" s="53"/>
    </row>
    <row r="556" spans="1:8">
      <c r="A556" s="27"/>
      <c r="B556" s="27"/>
      <c r="C556" s="28"/>
      <c r="D556" s="28"/>
      <c r="E556" s="53"/>
      <c r="F556" s="53"/>
      <c r="G556" s="53"/>
      <c r="H556" s="53"/>
    </row>
    <row r="557" spans="1:8">
      <c r="A557" s="27"/>
      <c r="B557" s="27"/>
      <c r="C557" s="28"/>
      <c r="D557" s="28"/>
      <c r="E557" s="53"/>
      <c r="F557" s="53"/>
      <c r="G557" s="53"/>
      <c r="H557" s="53"/>
    </row>
    <row r="558" spans="1:8">
      <c r="A558" s="27"/>
      <c r="B558" s="27"/>
      <c r="C558" s="28"/>
      <c r="D558" s="28"/>
      <c r="E558" s="53"/>
      <c r="F558" s="53"/>
      <c r="G558" s="53"/>
      <c r="H558" s="53"/>
    </row>
    <row r="559" spans="1:8">
      <c r="A559" s="27"/>
      <c r="B559" s="27"/>
      <c r="C559" s="28"/>
      <c r="D559" s="28"/>
      <c r="E559" s="53"/>
      <c r="F559" s="53"/>
      <c r="G559" s="53"/>
      <c r="H559" s="53"/>
    </row>
    <row r="560" spans="1:8">
      <c r="A560" s="27"/>
      <c r="B560" s="27"/>
      <c r="C560" s="28"/>
      <c r="D560" s="28"/>
      <c r="E560" s="53"/>
      <c r="F560" s="53"/>
      <c r="G560" s="53"/>
      <c r="H560" s="53"/>
    </row>
    <row r="561" spans="1:8">
      <c r="A561" s="27"/>
      <c r="B561" s="27"/>
      <c r="C561" s="28"/>
      <c r="D561" s="28"/>
      <c r="E561" s="53"/>
      <c r="F561" s="53"/>
      <c r="G561" s="53"/>
      <c r="H561" s="53"/>
    </row>
    <row r="562" spans="1:8">
      <c r="A562" s="27"/>
      <c r="B562" s="27"/>
      <c r="C562" s="28"/>
      <c r="D562" s="28"/>
      <c r="E562" s="53"/>
      <c r="F562" s="53"/>
      <c r="G562" s="53"/>
      <c r="H562" s="53"/>
    </row>
    <row r="563" spans="1:8">
      <c r="A563" s="27"/>
      <c r="B563" s="27"/>
      <c r="C563" s="28"/>
      <c r="D563" s="28"/>
      <c r="E563" s="53"/>
      <c r="F563" s="53"/>
      <c r="G563" s="53"/>
      <c r="H563" s="53"/>
    </row>
    <row r="564" spans="1:8">
      <c r="A564" s="27"/>
      <c r="B564" s="27"/>
      <c r="C564" s="28"/>
      <c r="D564" s="28"/>
      <c r="E564" s="53"/>
      <c r="F564" s="53"/>
      <c r="G564" s="53"/>
      <c r="H564" s="53"/>
    </row>
    <row r="565" spans="1:8">
      <c r="A565" s="27"/>
      <c r="B565" s="27"/>
      <c r="C565" s="28"/>
      <c r="D565" s="28"/>
      <c r="E565" s="53"/>
      <c r="F565" s="53"/>
      <c r="G565" s="53"/>
      <c r="H565" s="53"/>
    </row>
    <row r="566" spans="1:8">
      <c r="A566" s="27"/>
      <c r="B566" s="27"/>
      <c r="C566" s="28"/>
      <c r="D566" s="28"/>
      <c r="E566" s="53"/>
      <c r="F566" s="53"/>
      <c r="G566" s="53"/>
      <c r="H566" s="53"/>
    </row>
    <row r="567" spans="1:8">
      <c r="A567" s="27"/>
      <c r="B567" s="27"/>
      <c r="C567" s="28"/>
      <c r="D567" s="28"/>
      <c r="E567" s="53"/>
      <c r="F567" s="53"/>
      <c r="G567" s="53"/>
      <c r="H567" s="53"/>
    </row>
    <row r="568" spans="1:8">
      <c r="A568" s="27"/>
      <c r="B568" s="27"/>
      <c r="C568" s="28"/>
      <c r="D568" s="28"/>
      <c r="E568" s="53"/>
      <c r="F568" s="53"/>
      <c r="G568" s="53"/>
      <c r="H568" s="53"/>
    </row>
    <row r="569" spans="1:8">
      <c r="A569" s="27"/>
      <c r="B569" s="27"/>
      <c r="C569" s="28"/>
      <c r="D569" s="28"/>
      <c r="E569" s="53"/>
      <c r="F569" s="53"/>
      <c r="G569" s="53"/>
      <c r="H569" s="53"/>
    </row>
    <row r="570" spans="1:8">
      <c r="A570" s="27"/>
      <c r="B570" s="27"/>
      <c r="C570" s="28"/>
      <c r="D570" s="28"/>
      <c r="E570" s="53"/>
      <c r="F570" s="53"/>
      <c r="G570" s="53"/>
      <c r="H570" s="53"/>
    </row>
    <row r="571" spans="1:8">
      <c r="A571" s="27"/>
      <c r="B571" s="27"/>
      <c r="C571" s="28"/>
      <c r="D571" s="28"/>
      <c r="E571" s="53"/>
      <c r="F571" s="53"/>
      <c r="G571" s="53"/>
      <c r="H571" s="53"/>
    </row>
    <row r="572" spans="1:8">
      <c r="A572" s="27"/>
      <c r="B572" s="27"/>
      <c r="C572" s="28"/>
      <c r="D572" s="28"/>
      <c r="E572" s="53"/>
      <c r="F572" s="53"/>
      <c r="G572" s="53"/>
      <c r="H572" s="53"/>
    </row>
    <row r="573" spans="1:8">
      <c r="A573" s="27"/>
      <c r="B573" s="27"/>
      <c r="C573" s="28"/>
      <c r="D573" s="28"/>
      <c r="E573" s="53"/>
      <c r="F573" s="53"/>
      <c r="G573" s="53"/>
      <c r="H573" s="53"/>
    </row>
    <row r="574" spans="1:8">
      <c r="A574" s="27"/>
      <c r="B574" s="27"/>
      <c r="C574" s="28"/>
      <c r="D574" s="28"/>
      <c r="E574" s="53"/>
      <c r="F574" s="53"/>
      <c r="G574" s="53"/>
      <c r="H574" s="53"/>
    </row>
    <row r="575" spans="1:8">
      <c r="A575" s="27"/>
      <c r="B575" s="27"/>
      <c r="C575" s="28"/>
      <c r="D575" s="28"/>
      <c r="E575" s="53"/>
      <c r="F575" s="53"/>
      <c r="G575" s="53"/>
      <c r="H575" s="53"/>
    </row>
    <row r="576" spans="1:8">
      <c r="A576" s="27"/>
      <c r="B576" s="27"/>
      <c r="C576" s="28"/>
      <c r="D576" s="28"/>
      <c r="E576" s="53"/>
      <c r="F576" s="53"/>
      <c r="G576" s="53"/>
      <c r="H576" s="53"/>
    </row>
    <row r="577" spans="1:8">
      <c r="A577" s="27"/>
      <c r="B577" s="27"/>
      <c r="C577" s="28"/>
      <c r="D577" s="28"/>
      <c r="E577" s="53"/>
      <c r="F577" s="53"/>
      <c r="G577" s="53"/>
      <c r="H577" s="53"/>
    </row>
    <row r="578" spans="1:8">
      <c r="A578" s="27"/>
      <c r="B578" s="27"/>
      <c r="C578" s="28"/>
      <c r="D578" s="28"/>
      <c r="E578" s="53"/>
      <c r="F578" s="53"/>
      <c r="G578" s="53"/>
      <c r="H578" s="53"/>
    </row>
    <row r="579" spans="1:8">
      <c r="A579" s="27"/>
      <c r="B579" s="27"/>
      <c r="C579" s="28"/>
      <c r="D579" s="28"/>
      <c r="E579" s="53"/>
      <c r="F579" s="53"/>
      <c r="G579" s="53"/>
      <c r="H579" s="53"/>
    </row>
    <row r="580" spans="1:8">
      <c r="A580" s="27"/>
      <c r="B580" s="27"/>
      <c r="C580" s="28"/>
      <c r="D580" s="28"/>
      <c r="E580" s="53"/>
      <c r="F580" s="53"/>
      <c r="G580" s="53"/>
      <c r="H580" s="53"/>
    </row>
    <row r="581" spans="1:8">
      <c r="A581" s="27"/>
      <c r="B581" s="27"/>
      <c r="C581" s="28"/>
      <c r="D581" s="28"/>
      <c r="E581" s="53"/>
      <c r="F581" s="53"/>
      <c r="G581" s="53"/>
      <c r="H581" s="53"/>
    </row>
    <row r="582" spans="1:8">
      <c r="A582" s="27"/>
      <c r="B582" s="27"/>
      <c r="C582" s="28"/>
      <c r="D582" s="28"/>
      <c r="E582" s="53"/>
      <c r="F582" s="53"/>
      <c r="G582" s="53"/>
      <c r="H582" s="53"/>
    </row>
    <row r="583" spans="1:8">
      <c r="A583" s="27"/>
      <c r="B583" s="27"/>
      <c r="C583" s="28"/>
      <c r="D583" s="28"/>
      <c r="E583" s="53"/>
      <c r="F583" s="53"/>
      <c r="G583" s="53"/>
      <c r="H583" s="53"/>
    </row>
    <row r="584" spans="1:8">
      <c r="A584" s="27"/>
      <c r="B584" s="27"/>
      <c r="C584" s="28"/>
      <c r="D584" s="28"/>
      <c r="E584" s="53"/>
      <c r="F584" s="53"/>
      <c r="G584" s="53"/>
      <c r="H584" s="53"/>
    </row>
    <row r="585" spans="1:8">
      <c r="A585" s="27"/>
      <c r="B585" s="27"/>
      <c r="C585" s="28"/>
      <c r="D585" s="28"/>
      <c r="E585" s="53"/>
      <c r="F585" s="53"/>
      <c r="G585" s="53"/>
      <c r="H585" s="53"/>
    </row>
    <row r="586" spans="1:8">
      <c r="A586" s="27"/>
      <c r="B586" s="27"/>
      <c r="C586" s="28"/>
      <c r="D586" s="28"/>
      <c r="E586" s="53"/>
      <c r="F586" s="53"/>
      <c r="G586" s="53"/>
      <c r="H586" s="53"/>
    </row>
    <row r="587" spans="1:8">
      <c r="A587" s="27"/>
      <c r="B587" s="27"/>
      <c r="C587" s="28"/>
      <c r="D587" s="28"/>
      <c r="E587" s="53"/>
      <c r="F587" s="53"/>
      <c r="G587" s="53"/>
      <c r="H587" s="53"/>
    </row>
    <row r="588" spans="1:8">
      <c r="A588" s="27"/>
      <c r="B588" s="27"/>
      <c r="C588" s="28"/>
      <c r="D588" s="28"/>
      <c r="E588" s="53"/>
      <c r="F588" s="53"/>
      <c r="G588" s="53"/>
      <c r="H588" s="53"/>
    </row>
    <row r="589" spans="1:8">
      <c r="A589" s="27"/>
      <c r="B589" s="27"/>
      <c r="C589" s="28"/>
      <c r="D589" s="28"/>
      <c r="E589" s="53"/>
      <c r="F589" s="53"/>
      <c r="G589" s="53"/>
      <c r="H589" s="53"/>
    </row>
    <row r="590" spans="1:8">
      <c r="A590" s="27"/>
      <c r="B590" s="27"/>
      <c r="C590" s="28"/>
      <c r="D590" s="28"/>
      <c r="E590" s="53"/>
      <c r="F590" s="53"/>
      <c r="G590" s="53"/>
      <c r="H590" s="53"/>
    </row>
    <row r="591" spans="1:8">
      <c r="A591" s="27"/>
      <c r="B591" s="27"/>
      <c r="C591" s="28"/>
      <c r="D591" s="28"/>
      <c r="E591" s="53"/>
      <c r="F591" s="53"/>
      <c r="G591" s="53"/>
      <c r="H591" s="53"/>
    </row>
    <row r="592" spans="1:8">
      <c r="A592" s="27"/>
      <c r="B592" s="27"/>
      <c r="C592" s="28"/>
      <c r="D592" s="28"/>
      <c r="E592" s="53"/>
      <c r="F592" s="53"/>
      <c r="G592" s="53"/>
      <c r="H592" s="53"/>
    </row>
    <row r="593" spans="1:8">
      <c r="A593" s="27"/>
      <c r="B593" s="27"/>
      <c r="C593" s="28"/>
      <c r="D593" s="28"/>
      <c r="E593" s="53"/>
      <c r="F593" s="53"/>
      <c r="G593" s="53"/>
      <c r="H593" s="53"/>
    </row>
    <row r="594" spans="1:8">
      <c r="A594" s="27"/>
      <c r="B594" s="27"/>
      <c r="C594" s="28"/>
      <c r="D594" s="28"/>
      <c r="E594" s="53"/>
      <c r="F594" s="53"/>
      <c r="G594" s="53"/>
      <c r="H594" s="53"/>
    </row>
    <row r="595" spans="1:8">
      <c r="A595" s="27"/>
      <c r="B595" s="27"/>
      <c r="C595" s="28"/>
      <c r="D595" s="28"/>
      <c r="E595" s="53"/>
      <c r="F595" s="53"/>
      <c r="G595" s="53"/>
      <c r="H595" s="53"/>
    </row>
    <row r="596" spans="1:8">
      <c r="A596" s="27"/>
      <c r="B596" s="27"/>
      <c r="C596" s="28"/>
      <c r="D596" s="28"/>
      <c r="E596" s="53"/>
      <c r="F596" s="53"/>
      <c r="G596" s="53"/>
      <c r="H596" s="53"/>
    </row>
    <row r="597" spans="1:8">
      <c r="A597" s="27"/>
      <c r="B597" s="27"/>
      <c r="C597" s="28"/>
      <c r="D597" s="28"/>
      <c r="E597" s="53"/>
      <c r="F597" s="53"/>
      <c r="G597" s="53"/>
      <c r="H597" s="53"/>
    </row>
    <row r="598" spans="1:8">
      <c r="A598" s="27"/>
      <c r="B598" s="27"/>
      <c r="C598" s="28"/>
      <c r="D598" s="28"/>
      <c r="E598" s="53"/>
      <c r="F598" s="53"/>
      <c r="G598" s="53"/>
      <c r="H598" s="53"/>
    </row>
    <row r="599" spans="1:8">
      <c r="A599" s="27"/>
      <c r="B599" s="27"/>
      <c r="C599" s="28"/>
      <c r="D599" s="28"/>
      <c r="E599" s="53"/>
      <c r="F599" s="53"/>
      <c r="G599" s="53"/>
      <c r="H599" s="53"/>
    </row>
    <row r="600" spans="1:8">
      <c r="A600" s="27"/>
      <c r="B600" s="27"/>
      <c r="C600" s="28"/>
      <c r="D600" s="28"/>
      <c r="E600" s="53"/>
      <c r="F600" s="53"/>
      <c r="G600" s="53"/>
      <c r="H600" s="53"/>
    </row>
    <row r="601" spans="1:8">
      <c r="A601" s="27"/>
      <c r="B601" s="27"/>
      <c r="C601" s="28"/>
      <c r="D601" s="28"/>
      <c r="E601" s="53"/>
      <c r="F601" s="53"/>
      <c r="G601" s="53"/>
      <c r="H601" s="53"/>
    </row>
    <row r="602" spans="1:8">
      <c r="A602" s="27"/>
      <c r="B602" s="27"/>
      <c r="C602" s="28"/>
      <c r="D602" s="28"/>
      <c r="E602" s="53"/>
      <c r="F602" s="53"/>
      <c r="G602" s="53"/>
      <c r="H602" s="53"/>
    </row>
    <row r="603" spans="1:8">
      <c r="A603" s="27"/>
      <c r="B603" s="27"/>
      <c r="C603" s="28"/>
      <c r="D603" s="28"/>
      <c r="E603" s="53"/>
      <c r="F603" s="53"/>
      <c r="G603" s="53"/>
      <c r="H603" s="53"/>
    </row>
    <row r="604" spans="1:8">
      <c r="A604" s="27"/>
      <c r="B604" s="27"/>
      <c r="C604" s="28"/>
      <c r="D604" s="28"/>
      <c r="E604" s="53"/>
      <c r="F604" s="53"/>
      <c r="G604" s="53"/>
      <c r="H604" s="53"/>
    </row>
    <row r="605" spans="1:8">
      <c r="A605" s="27"/>
      <c r="B605" s="27"/>
      <c r="C605" s="28"/>
      <c r="D605" s="28"/>
      <c r="E605" s="53"/>
      <c r="F605" s="53"/>
      <c r="G605" s="53"/>
      <c r="H605" s="53"/>
    </row>
    <row r="606" spans="1:8">
      <c r="A606" s="27"/>
      <c r="B606" s="27"/>
      <c r="C606" s="28"/>
      <c r="D606" s="28"/>
      <c r="E606" s="53"/>
      <c r="F606" s="53"/>
      <c r="G606" s="53"/>
      <c r="H606" s="53"/>
    </row>
    <row r="607" spans="1:8">
      <c r="A607" s="27"/>
      <c r="B607" s="27"/>
      <c r="C607" s="28"/>
      <c r="D607" s="28"/>
      <c r="E607" s="53"/>
      <c r="F607" s="53"/>
      <c r="G607" s="53"/>
      <c r="H607" s="53"/>
    </row>
    <row r="608" spans="1:8">
      <c r="A608" s="27"/>
      <c r="B608" s="27"/>
      <c r="C608" s="28"/>
      <c r="D608" s="28"/>
      <c r="E608" s="53"/>
      <c r="F608" s="53"/>
      <c r="G608" s="53"/>
      <c r="H608" s="53"/>
    </row>
    <row r="609" spans="1:8">
      <c r="A609" s="27"/>
      <c r="B609" s="27"/>
      <c r="C609" s="28"/>
      <c r="D609" s="28"/>
      <c r="E609" s="53"/>
      <c r="F609" s="53"/>
      <c r="G609" s="53"/>
      <c r="H609" s="53"/>
    </row>
    <row r="610" spans="1:8">
      <c r="A610" s="27"/>
      <c r="B610" s="27"/>
      <c r="C610" s="28"/>
      <c r="D610" s="28"/>
      <c r="E610" s="53"/>
      <c r="F610" s="53"/>
      <c r="G610" s="53"/>
      <c r="H610" s="53"/>
    </row>
    <row r="611" spans="1:8">
      <c r="A611" s="27"/>
      <c r="B611" s="27"/>
      <c r="C611" s="28"/>
      <c r="D611" s="28"/>
      <c r="E611" s="53"/>
      <c r="F611" s="53"/>
      <c r="G611" s="53"/>
      <c r="H611" s="53"/>
    </row>
    <row r="612" spans="1:8">
      <c r="A612" s="27"/>
      <c r="B612" s="27"/>
      <c r="C612" s="28"/>
      <c r="D612" s="28"/>
      <c r="E612" s="53"/>
      <c r="F612" s="53"/>
      <c r="G612" s="53"/>
      <c r="H612" s="53"/>
    </row>
    <row r="613" spans="1:8">
      <c r="A613" s="27"/>
      <c r="B613" s="27"/>
      <c r="C613" s="28"/>
      <c r="D613" s="28"/>
      <c r="E613" s="53"/>
      <c r="F613" s="53"/>
      <c r="G613" s="53"/>
      <c r="H613" s="53"/>
    </row>
    <row r="614" spans="1:8">
      <c r="A614" s="27"/>
      <c r="B614" s="27"/>
      <c r="C614" s="28"/>
      <c r="D614" s="28"/>
      <c r="E614" s="53"/>
      <c r="F614" s="53"/>
      <c r="G614" s="53"/>
      <c r="H614" s="53"/>
    </row>
    <row r="615" spans="1:8">
      <c r="A615" s="27"/>
      <c r="B615" s="27"/>
      <c r="C615" s="28"/>
      <c r="D615" s="28"/>
      <c r="E615" s="53"/>
      <c r="F615" s="53"/>
      <c r="G615" s="53"/>
      <c r="H615" s="53"/>
    </row>
    <row r="616" spans="1:8">
      <c r="A616" s="27"/>
      <c r="B616" s="27"/>
      <c r="C616" s="28"/>
      <c r="D616" s="28"/>
      <c r="E616" s="53"/>
      <c r="F616" s="53"/>
      <c r="G616" s="53"/>
      <c r="H616" s="53"/>
    </row>
    <row r="617" spans="1:8">
      <c r="A617" s="27"/>
      <c r="B617" s="27"/>
      <c r="C617" s="28"/>
      <c r="D617" s="28"/>
      <c r="E617" s="53"/>
      <c r="F617" s="53"/>
      <c r="G617" s="53"/>
      <c r="H617" s="53"/>
    </row>
    <row r="618" spans="1:8">
      <c r="A618" s="27"/>
      <c r="B618" s="27"/>
      <c r="C618" s="28"/>
      <c r="D618" s="28"/>
      <c r="E618" s="53"/>
      <c r="F618" s="53"/>
      <c r="G618" s="53"/>
      <c r="H618" s="53"/>
    </row>
    <row r="619" spans="1:8">
      <c r="A619" s="27"/>
      <c r="B619" s="27"/>
      <c r="C619" s="28"/>
      <c r="D619" s="28"/>
      <c r="E619" s="53"/>
      <c r="F619" s="53"/>
      <c r="G619" s="53"/>
      <c r="H619" s="53"/>
    </row>
    <row r="620" spans="1:8">
      <c r="A620" s="27"/>
      <c r="B620" s="27"/>
      <c r="C620" s="28"/>
      <c r="D620" s="28"/>
      <c r="E620" s="53"/>
      <c r="F620" s="53"/>
      <c r="G620" s="53"/>
      <c r="H620" s="53"/>
    </row>
    <row r="621" spans="1:8">
      <c r="A621" s="27"/>
      <c r="B621" s="27"/>
      <c r="C621" s="28"/>
      <c r="D621" s="28"/>
      <c r="E621" s="53"/>
      <c r="F621" s="53"/>
      <c r="G621" s="53"/>
      <c r="H621" s="53"/>
    </row>
    <row r="622" spans="1:8">
      <c r="A622" s="27"/>
      <c r="B622" s="27"/>
      <c r="C622" s="28"/>
      <c r="D622" s="28"/>
      <c r="E622" s="53"/>
      <c r="F622" s="53"/>
      <c r="G622" s="53"/>
      <c r="H622" s="53"/>
    </row>
    <row r="623" spans="1:8">
      <c r="A623" s="27"/>
      <c r="B623" s="27"/>
      <c r="C623" s="28"/>
      <c r="D623" s="28"/>
      <c r="E623" s="53"/>
      <c r="F623" s="53"/>
      <c r="G623" s="53"/>
      <c r="H623" s="53"/>
    </row>
    <row r="624" spans="1:8">
      <c r="A624" s="27"/>
      <c r="B624" s="27"/>
      <c r="C624" s="28"/>
      <c r="D624" s="28"/>
      <c r="E624" s="53"/>
      <c r="F624" s="53"/>
      <c r="G624" s="53"/>
      <c r="H624" s="53"/>
    </row>
    <row r="625" spans="1:8">
      <c r="A625" s="27"/>
      <c r="B625" s="27"/>
      <c r="C625" s="28"/>
      <c r="D625" s="28"/>
      <c r="E625" s="53"/>
      <c r="F625" s="53"/>
      <c r="G625" s="53"/>
      <c r="H625" s="53"/>
    </row>
    <row r="626" spans="1:8">
      <c r="A626" s="27"/>
      <c r="B626" s="27"/>
      <c r="C626" s="28"/>
      <c r="D626" s="28"/>
      <c r="E626" s="53"/>
      <c r="F626" s="53"/>
      <c r="G626" s="53"/>
      <c r="H626" s="53"/>
    </row>
    <row r="627" spans="1:8">
      <c r="A627" s="27"/>
      <c r="B627" s="27"/>
      <c r="C627" s="28"/>
      <c r="D627" s="28"/>
      <c r="E627" s="53"/>
      <c r="F627" s="53"/>
      <c r="G627" s="53"/>
      <c r="H627" s="53"/>
    </row>
    <row r="628" spans="1:8">
      <c r="A628" s="27"/>
      <c r="B628" s="27"/>
      <c r="C628" s="28"/>
      <c r="D628" s="28"/>
      <c r="E628" s="53"/>
      <c r="F628" s="53"/>
      <c r="G628" s="53"/>
      <c r="H628" s="53"/>
    </row>
    <row r="629" spans="1:8">
      <c r="A629" s="27"/>
      <c r="B629" s="27"/>
      <c r="C629" s="28"/>
      <c r="D629" s="28"/>
      <c r="E629" s="53"/>
      <c r="F629" s="53"/>
      <c r="G629" s="53"/>
      <c r="H629" s="53"/>
    </row>
    <row r="630" spans="1:8">
      <c r="A630" s="27"/>
      <c r="B630" s="27"/>
      <c r="C630" s="28"/>
      <c r="D630" s="28"/>
      <c r="E630" s="53"/>
      <c r="F630" s="53"/>
      <c r="G630" s="53"/>
      <c r="H630" s="53"/>
    </row>
    <row r="631" spans="1:8">
      <c r="A631" s="27"/>
      <c r="B631" s="27"/>
      <c r="C631" s="28"/>
      <c r="D631" s="28"/>
      <c r="E631" s="53"/>
      <c r="F631" s="53"/>
      <c r="G631" s="53"/>
      <c r="H631" s="53"/>
    </row>
    <row r="632" spans="1:8">
      <c r="A632" s="27"/>
      <c r="B632" s="27"/>
      <c r="C632" s="28"/>
      <c r="D632" s="28"/>
      <c r="E632" s="53"/>
      <c r="F632" s="53"/>
      <c r="G632" s="53"/>
      <c r="H632" s="53"/>
    </row>
    <row r="633" spans="1:8">
      <c r="A633" s="27"/>
      <c r="B633" s="27"/>
      <c r="C633" s="28"/>
      <c r="D633" s="28"/>
      <c r="E633" s="53"/>
      <c r="F633" s="53"/>
      <c r="G633" s="53"/>
      <c r="H633" s="53"/>
    </row>
    <row r="634" spans="1:8">
      <c r="A634" s="27"/>
      <c r="B634" s="27"/>
      <c r="C634" s="28"/>
      <c r="D634" s="28"/>
      <c r="E634" s="53"/>
      <c r="F634" s="53"/>
      <c r="G634" s="53"/>
      <c r="H634" s="53"/>
    </row>
    <row r="635" spans="1:8">
      <c r="A635" s="27"/>
      <c r="B635" s="27"/>
      <c r="C635" s="28"/>
      <c r="D635" s="28"/>
      <c r="E635" s="53"/>
      <c r="F635" s="53"/>
      <c r="G635" s="53"/>
      <c r="H635" s="53"/>
    </row>
    <row r="636" spans="1:8">
      <c r="A636" s="27"/>
      <c r="B636" s="27"/>
      <c r="C636" s="28"/>
      <c r="D636" s="28"/>
      <c r="E636" s="53"/>
      <c r="F636" s="53"/>
      <c r="G636" s="53"/>
      <c r="H636" s="53"/>
    </row>
    <row r="637" spans="1:8">
      <c r="A637" s="27"/>
      <c r="B637" s="27"/>
      <c r="C637" s="28"/>
      <c r="D637" s="28"/>
      <c r="E637" s="53"/>
      <c r="F637" s="53"/>
      <c r="G637" s="53"/>
      <c r="H637" s="53"/>
    </row>
    <row r="638" spans="1:8">
      <c r="A638" s="27"/>
      <c r="B638" s="27"/>
      <c r="C638" s="28"/>
      <c r="D638" s="28"/>
      <c r="E638" s="53"/>
      <c r="F638" s="53"/>
      <c r="G638" s="53"/>
      <c r="H638" s="53"/>
    </row>
    <row r="639" spans="1:8">
      <c r="A639" s="27"/>
      <c r="B639" s="27"/>
      <c r="C639" s="28"/>
      <c r="D639" s="28"/>
      <c r="E639" s="53"/>
      <c r="F639" s="53"/>
      <c r="G639" s="53"/>
      <c r="H639" s="53"/>
    </row>
    <row r="640" spans="1:8">
      <c r="A640" s="27"/>
      <c r="B640" s="27"/>
      <c r="C640" s="28"/>
      <c r="D640" s="28"/>
      <c r="E640" s="53"/>
      <c r="F640" s="53"/>
      <c r="G640" s="53"/>
      <c r="H640" s="53"/>
    </row>
    <row r="641" spans="1:8">
      <c r="A641" s="27"/>
      <c r="B641" s="27"/>
      <c r="C641" s="28"/>
      <c r="D641" s="28"/>
      <c r="E641" s="53"/>
      <c r="F641" s="53"/>
      <c r="G641" s="53"/>
      <c r="H641" s="53"/>
    </row>
    <row r="642" spans="1:8">
      <c r="A642" s="27"/>
      <c r="B642" s="27"/>
      <c r="C642" s="28"/>
      <c r="D642" s="28"/>
      <c r="E642" s="53"/>
      <c r="F642" s="53"/>
      <c r="G642" s="53"/>
      <c r="H642" s="53"/>
    </row>
    <row r="643" spans="1:8">
      <c r="A643" s="27"/>
      <c r="B643" s="27"/>
      <c r="C643" s="28"/>
      <c r="D643" s="28"/>
      <c r="E643" s="53"/>
      <c r="F643" s="53"/>
      <c r="G643" s="53"/>
      <c r="H643" s="53"/>
    </row>
    <row r="644" spans="1:8">
      <c r="A644" s="27"/>
      <c r="B644" s="27"/>
      <c r="C644" s="28"/>
      <c r="D644" s="28"/>
      <c r="E644" s="53"/>
      <c r="F644" s="53"/>
      <c r="G644" s="53"/>
      <c r="H644" s="53"/>
    </row>
    <row r="645" spans="1:8">
      <c r="A645" s="27"/>
      <c r="B645" s="27"/>
      <c r="C645" s="28"/>
      <c r="D645" s="28"/>
      <c r="E645" s="53"/>
      <c r="F645" s="53"/>
      <c r="G645" s="53"/>
      <c r="H645" s="53"/>
    </row>
    <row r="646" spans="1:8">
      <c r="A646" s="27"/>
      <c r="B646" s="27"/>
      <c r="C646" s="28"/>
      <c r="D646" s="28"/>
      <c r="E646" s="53"/>
      <c r="F646" s="53"/>
      <c r="G646" s="53"/>
      <c r="H646" s="53"/>
    </row>
    <row r="647" spans="1:8">
      <c r="A647" s="27"/>
      <c r="B647" s="27"/>
      <c r="C647" s="28"/>
      <c r="D647" s="28"/>
      <c r="E647" s="53"/>
      <c r="F647" s="53"/>
      <c r="G647" s="53"/>
      <c r="H647" s="53"/>
    </row>
    <row r="648" spans="1:8">
      <c r="A648" s="27"/>
      <c r="B648" s="27"/>
      <c r="C648" s="28"/>
      <c r="D648" s="28"/>
      <c r="E648" s="53"/>
      <c r="F648" s="53"/>
      <c r="G648" s="53"/>
      <c r="H648" s="53"/>
    </row>
    <row r="649" spans="1:8">
      <c r="A649" s="27"/>
      <c r="B649" s="27"/>
      <c r="C649" s="28"/>
      <c r="D649" s="28"/>
      <c r="E649" s="53"/>
      <c r="F649" s="53"/>
      <c r="G649" s="53"/>
      <c r="H649" s="53"/>
    </row>
    <row r="650" spans="1:8">
      <c r="A650" s="27"/>
      <c r="B650" s="27"/>
      <c r="C650" s="28"/>
      <c r="D650" s="28"/>
      <c r="E650" s="53"/>
      <c r="F650" s="53"/>
      <c r="G650" s="53"/>
      <c r="H650" s="53"/>
    </row>
    <row r="651" spans="1:8">
      <c r="A651" s="27"/>
      <c r="B651" s="27"/>
      <c r="C651" s="28"/>
      <c r="D651" s="28"/>
      <c r="E651" s="53"/>
      <c r="F651" s="53"/>
      <c r="G651" s="53"/>
      <c r="H651" s="53"/>
    </row>
    <row r="652" spans="1:8">
      <c r="A652" s="27"/>
      <c r="B652" s="27"/>
      <c r="C652" s="28"/>
      <c r="D652" s="28"/>
      <c r="E652" s="53"/>
      <c r="F652" s="53"/>
      <c r="G652" s="53"/>
      <c r="H652" s="53"/>
    </row>
    <row r="653" spans="1:8">
      <c r="A653" s="27"/>
      <c r="B653" s="27"/>
      <c r="C653" s="28"/>
      <c r="D653" s="28"/>
      <c r="E653" s="53"/>
      <c r="F653" s="53"/>
      <c r="G653" s="53"/>
      <c r="H653" s="53"/>
    </row>
    <row r="654" spans="1:8">
      <c r="A654" s="27"/>
      <c r="B654" s="27"/>
      <c r="C654" s="28"/>
      <c r="D654" s="28"/>
      <c r="E654" s="53"/>
      <c r="F654" s="53"/>
      <c r="G654" s="53"/>
      <c r="H654" s="53"/>
    </row>
    <row r="655" spans="1:8">
      <c r="A655" s="27"/>
      <c r="B655" s="27"/>
      <c r="C655" s="28"/>
      <c r="D655" s="28"/>
      <c r="E655" s="53"/>
      <c r="F655" s="53"/>
      <c r="G655" s="53"/>
      <c r="H655" s="53"/>
    </row>
    <row r="656" spans="1:8">
      <c r="A656" s="27"/>
      <c r="B656" s="27"/>
      <c r="C656" s="28"/>
      <c r="D656" s="28"/>
      <c r="E656" s="53"/>
      <c r="F656" s="53"/>
      <c r="G656" s="53"/>
      <c r="H656" s="53"/>
    </row>
    <row r="657" spans="1:8">
      <c r="A657" s="27"/>
      <c r="B657" s="27"/>
      <c r="C657" s="28"/>
      <c r="D657" s="28"/>
      <c r="E657" s="53"/>
      <c r="F657" s="53"/>
      <c r="G657" s="53"/>
      <c r="H657" s="53"/>
    </row>
    <row r="658" spans="1:8">
      <c r="A658" s="27"/>
      <c r="B658" s="27"/>
      <c r="C658" s="28"/>
      <c r="D658" s="28"/>
      <c r="E658" s="53"/>
      <c r="F658" s="53"/>
      <c r="G658" s="53"/>
      <c r="H658" s="53"/>
    </row>
    <row r="659" spans="1:8">
      <c r="A659" s="27"/>
      <c r="B659" s="27"/>
      <c r="C659" s="28"/>
      <c r="D659" s="28"/>
      <c r="E659" s="53"/>
      <c r="F659" s="53"/>
      <c r="G659" s="53"/>
      <c r="H659" s="53"/>
    </row>
    <row r="660" spans="1:8">
      <c r="A660" s="27"/>
      <c r="B660" s="27"/>
      <c r="C660" s="28"/>
      <c r="D660" s="28"/>
      <c r="E660" s="53"/>
      <c r="F660" s="53"/>
      <c r="G660" s="53"/>
      <c r="H660" s="53"/>
    </row>
    <row r="661" spans="1:8">
      <c r="A661" s="27"/>
      <c r="B661" s="27"/>
      <c r="C661" s="28"/>
      <c r="D661" s="28"/>
      <c r="E661" s="53"/>
      <c r="F661" s="53"/>
      <c r="G661" s="53"/>
      <c r="H661" s="53"/>
    </row>
    <row r="662" spans="1:8">
      <c r="A662" s="27"/>
      <c r="B662" s="27"/>
      <c r="C662" s="28"/>
      <c r="D662" s="28"/>
      <c r="E662" s="53"/>
      <c r="F662" s="53"/>
      <c r="G662" s="53"/>
      <c r="H662" s="53"/>
    </row>
    <row r="663" spans="1:8">
      <c r="A663" s="27"/>
      <c r="B663" s="27"/>
      <c r="C663" s="28"/>
      <c r="D663" s="28"/>
      <c r="E663" s="53"/>
      <c r="F663" s="53"/>
      <c r="G663" s="53"/>
      <c r="H663" s="53"/>
    </row>
    <row r="664" spans="1:8">
      <c r="A664" s="27"/>
      <c r="B664" s="27"/>
      <c r="C664" s="28"/>
      <c r="D664" s="28"/>
      <c r="E664" s="53"/>
      <c r="F664" s="53"/>
      <c r="G664" s="53"/>
      <c r="H664" s="53"/>
    </row>
    <row r="665" spans="1:8">
      <c r="A665" s="27"/>
      <c r="B665" s="27"/>
      <c r="C665" s="28"/>
      <c r="D665" s="28"/>
      <c r="E665" s="53"/>
      <c r="F665" s="53"/>
      <c r="G665" s="53"/>
      <c r="H665" s="53"/>
    </row>
    <row r="666" spans="1:8">
      <c r="A666" s="27"/>
      <c r="B666" s="27"/>
      <c r="C666" s="28"/>
      <c r="D666" s="28"/>
      <c r="E666" s="53"/>
      <c r="F666" s="53"/>
      <c r="G666" s="53"/>
      <c r="H666" s="53"/>
    </row>
    <row r="667" spans="1:8">
      <c r="A667" s="27"/>
      <c r="B667" s="27"/>
      <c r="C667" s="28"/>
      <c r="D667" s="28"/>
      <c r="E667" s="53"/>
      <c r="F667" s="53"/>
      <c r="G667" s="53"/>
      <c r="H667" s="53"/>
    </row>
    <row r="668" spans="1:8">
      <c r="A668" s="27"/>
      <c r="B668" s="27"/>
      <c r="C668" s="28"/>
      <c r="D668" s="28"/>
      <c r="E668" s="53"/>
      <c r="F668" s="53"/>
      <c r="G668" s="53"/>
      <c r="H668" s="53"/>
    </row>
    <row r="669" spans="1:8">
      <c r="A669" s="27"/>
      <c r="B669" s="27"/>
      <c r="C669" s="28"/>
      <c r="D669" s="28"/>
      <c r="E669" s="53"/>
      <c r="F669" s="53"/>
      <c r="G669" s="53"/>
      <c r="H669" s="53"/>
    </row>
    <row r="670" spans="1:8">
      <c r="A670" s="27"/>
      <c r="B670" s="27"/>
      <c r="C670" s="28"/>
      <c r="D670" s="28"/>
      <c r="E670" s="53"/>
      <c r="F670" s="53"/>
      <c r="G670" s="53"/>
      <c r="H670" s="53"/>
    </row>
    <row r="671" spans="1:8">
      <c r="A671" s="27"/>
      <c r="B671" s="27"/>
      <c r="C671" s="28"/>
      <c r="D671" s="28"/>
      <c r="E671" s="53"/>
      <c r="F671" s="53"/>
      <c r="G671" s="53"/>
      <c r="H671" s="53"/>
    </row>
    <row r="672" spans="1:8">
      <c r="A672" s="27"/>
      <c r="B672" s="27"/>
      <c r="C672" s="28"/>
      <c r="D672" s="28"/>
      <c r="E672" s="53"/>
      <c r="F672" s="53"/>
      <c r="G672" s="53"/>
      <c r="H672" s="53"/>
    </row>
    <row r="673" spans="1:8">
      <c r="A673" s="27"/>
      <c r="B673" s="27"/>
      <c r="C673" s="28"/>
      <c r="D673" s="28"/>
      <c r="E673" s="53"/>
      <c r="F673" s="53"/>
      <c r="G673" s="53"/>
      <c r="H673" s="53"/>
    </row>
    <row r="674" spans="1:8">
      <c r="A674" s="27"/>
      <c r="B674" s="27"/>
      <c r="C674" s="28"/>
      <c r="D674" s="28"/>
      <c r="E674" s="53"/>
      <c r="F674" s="53"/>
      <c r="G674" s="53"/>
      <c r="H674" s="53"/>
    </row>
    <row r="675" spans="1:8">
      <c r="A675" s="27"/>
      <c r="B675" s="27"/>
      <c r="C675" s="28"/>
      <c r="D675" s="28"/>
      <c r="E675" s="53"/>
      <c r="F675" s="53"/>
      <c r="G675" s="53"/>
      <c r="H675" s="53"/>
    </row>
    <row r="676" spans="1:8">
      <c r="A676" s="27"/>
      <c r="B676" s="27"/>
      <c r="C676" s="28"/>
      <c r="D676" s="28"/>
      <c r="E676" s="53"/>
      <c r="F676" s="53"/>
      <c r="G676" s="53"/>
      <c r="H676" s="53"/>
    </row>
    <row r="677" spans="1:8">
      <c r="A677" s="27"/>
      <c r="B677" s="27"/>
      <c r="C677" s="28"/>
      <c r="D677" s="28"/>
      <c r="E677" s="53"/>
      <c r="F677" s="53"/>
      <c r="G677" s="53"/>
      <c r="H677" s="53"/>
    </row>
    <row r="678" spans="1:8">
      <c r="A678" s="27"/>
      <c r="B678" s="27"/>
      <c r="C678" s="28"/>
      <c r="D678" s="28"/>
      <c r="E678" s="53"/>
      <c r="F678" s="53"/>
      <c r="G678" s="53"/>
      <c r="H678" s="53"/>
    </row>
    <row r="679" spans="1:8">
      <c r="A679" s="27"/>
      <c r="B679" s="27"/>
      <c r="C679" s="28"/>
      <c r="D679" s="28"/>
      <c r="E679" s="53"/>
      <c r="F679" s="53"/>
      <c r="G679" s="53"/>
      <c r="H679" s="53"/>
    </row>
    <row r="680" spans="1:8">
      <c r="A680" s="27"/>
      <c r="B680" s="27"/>
      <c r="C680" s="28"/>
      <c r="D680" s="28"/>
      <c r="E680" s="53"/>
      <c r="F680" s="53"/>
      <c r="G680" s="53"/>
      <c r="H680" s="53"/>
    </row>
    <row r="681" spans="1:8">
      <c r="A681" s="27"/>
      <c r="B681" s="27"/>
      <c r="C681" s="28"/>
      <c r="D681" s="28"/>
      <c r="E681" s="53"/>
      <c r="F681" s="53"/>
      <c r="G681" s="53"/>
      <c r="H681" s="53"/>
    </row>
    <row r="682" spans="1:8">
      <c r="A682" s="27"/>
      <c r="B682" s="27"/>
      <c r="C682" s="28"/>
      <c r="D682" s="28"/>
      <c r="E682" s="53"/>
      <c r="F682" s="53"/>
      <c r="G682" s="53"/>
      <c r="H682" s="53"/>
    </row>
    <row r="683" spans="1:8">
      <c r="A683" s="27"/>
      <c r="B683" s="27"/>
      <c r="C683" s="28"/>
      <c r="D683" s="28"/>
      <c r="E683" s="53"/>
      <c r="F683" s="53"/>
      <c r="G683" s="53"/>
      <c r="H683" s="53"/>
    </row>
    <row r="684" spans="1:8">
      <c r="A684" s="27"/>
      <c r="B684" s="27"/>
      <c r="C684" s="28"/>
      <c r="D684" s="28"/>
      <c r="E684" s="53"/>
      <c r="F684" s="53"/>
      <c r="G684" s="53"/>
      <c r="H684" s="53"/>
    </row>
    <row r="685" spans="1:8">
      <c r="A685" s="27"/>
      <c r="B685" s="27"/>
      <c r="C685" s="28"/>
      <c r="D685" s="28"/>
      <c r="E685" s="53"/>
      <c r="F685" s="53"/>
      <c r="G685" s="53"/>
      <c r="H685" s="53"/>
    </row>
    <row r="686" spans="1:8">
      <c r="A686" s="27"/>
      <c r="B686" s="27"/>
      <c r="C686" s="28"/>
      <c r="D686" s="28"/>
      <c r="E686" s="53"/>
      <c r="F686" s="53"/>
      <c r="G686" s="53"/>
      <c r="H686" s="53"/>
    </row>
    <row r="687" spans="1:8">
      <c r="A687" s="27"/>
      <c r="B687" s="27"/>
      <c r="C687" s="28"/>
      <c r="D687" s="28"/>
      <c r="E687" s="53"/>
      <c r="F687" s="53"/>
      <c r="G687" s="53"/>
      <c r="H687" s="53"/>
    </row>
    <row r="688" spans="1:8">
      <c r="A688" s="27"/>
      <c r="B688" s="27"/>
      <c r="C688" s="28"/>
      <c r="D688" s="28"/>
      <c r="E688" s="53"/>
      <c r="F688" s="53"/>
      <c r="G688" s="53"/>
      <c r="H688" s="53"/>
    </row>
    <row r="689" spans="1:8">
      <c r="A689" s="27"/>
      <c r="B689" s="27"/>
      <c r="C689" s="28"/>
      <c r="D689" s="28"/>
      <c r="E689" s="53"/>
      <c r="F689" s="53"/>
      <c r="G689" s="53"/>
      <c r="H689" s="53"/>
    </row>
    <row r="690" spans="1:8">
      <c r="A690" s="27"/>
      <c r="B690" s="27"/>
      <c r="C690" s="28"/>
      <c r="D690" s="28"/>
      <c r="E690" s="53"/>
      <c r="F690" s="53"/>
      <c r="G690" s="53"/>
      <c r="H690" s="53"/>
    </row>
    <row r="691" spans="1:8">
      <c r="A691" s="27"/>
      <c r="B691" s="27"/>
      <c r="C691" s="28"/>
      <c r="D691" s="28"/>
      <c r="E691" s="53"/>
      <c r="F691" s="53"/>
      <c r="G691" s="53"/>
      <c r="H691" s="53"/>
    </row>
    <row r="692" spans="1:8">
      <c r="A692" s="27"/>
      <c r="B692" s="27"/>
      <c r="C692" s="28"/>
      <c r="D692" s="28"/>
      <c r="E692" s="53"/>
      <c r="F692" s="53"/>
      <c r="G692" s="53"/>
      <c r="H692" s="53"/>
    </row>
    <row r="693" spans="1:8">
      <c r="A693" s="27"/>
      <c r="B693" s="27"/>
      <c r="C693" s="28"/>
      <c r="D693" s="28"/>
      <c r="E693" s="53"/>
      <c r="F693" s="53"/>
      <c r="G693" s="53"/>
      <c r="H693" s="53"/>
    </row>
    <row r="694" spans="1:8">
      <c r="A694" s="27"/>
      <c r="B694" s="27"/>
      <c r="C694" s="28"/>
      <c r="D694" s="28"/>
      <c r="E694" s="53"/>
      <c r="F694" s="53"/>
      <c r="G694" s="53"/>
      <c r="H694" s="53"/>
    </row>
    <row r="695" spans="1:8">
      <c r="A695" s="27"/>
      <c r="B695" s="27"/>
      <c r="C695" s="28"/>
      <c r="D695" s="28"/>
      <c r="E695" s="53"/>
      <c r="F695" s="53"/>
      <c r="G695" s="53"/>
      <c r="H695" s="53"/>
    </row>
    <row r="696" spans="1:8">
      <c r="A696" s="27"/>
      <c r="B696" s="27"/>
      <c r="C696" s="28"/>
      <c r="D696" s="28"/>
      <c r="E696" s="53"/>
      <c r="F696" s="53"/>
      <c r="G696" s="53"/>
      <c r="H696" s="53"/>
    </row>
    <row r="697" spans="1:8">
      <c r="A697" s="27"/>
      <c r="B697" s="27"/>
      <c r="C697" s="28"/>
      <c r="D697" s="28"/>
      <c r="E697" s="53"/>
      <c r="F697" s="53"/>
      <c r="G697" s="53"/>
      <c r="H697" s="53"/>
    </row>
    <row r="698" spans="1:8">
      <c r="A698" s="27"/>
      <c r="B698" s="27"/>
      <c r="C698" s="28"/>
      <c r="D698" s="28"/>
      <c r="E698" s="53"/>
      <c r="F698" s="53"/>
      <c r="G698" s="53"/>
      <c r="H698" s="53"/>
    </row>
    <row r="699" spans="1:8">
      <c r="A699" s="27"/>
      <c r="B699" s="27"/>
      <c r="C699" s="28"/>
      <c r="D699" s="28"/>
      <c r="E699" s="53"/>
      <c r="F699" s="53"/>
      <c r="G699" s="53"/>
      <c r="H699" s="53"/>
    </row>
    <row r="700" spans="1:8">
      <c r="A700" s="27"/>
      <c r="B700" s="27"/>
      <c r="C700" s="28"/>
      <c r="D700" s="28"/>
      <c r="E700" s="53"/>
      <c r="F700" s="53"/>
      <c r="G700" s="53"/>
      <c r="H700" s="53"/>
    </row>
    <row r="701" spans="1:8">
      <c r="A701" s="27"/>
      <c r="B701" s="27"/>
      <c r="C701" s="28"/>
      <c r="D701" s="28"/>
      <c r="E701" s="53"/>
      <c r="F701" s="53"/>
      <c r="G701" s="53"/>
      <c r="H701" s="53"/>
    </row>
    <row r="702" spans="1:8">
      <c r="A702" s="27"/>
      <c r="B702" s="27"/>
      <c r="C702" s="28"/>
      <c r="D702" s="28"/>
      <c r="E702" s="53"/>
      <c r="F702" s="53"/>
      <c r="G702" s="53"/>
      <c r="H702" s="53"/>
    </row>
    <row r="703" spans="1:8">
      <c r="A703" s="27"/>
      <c r="B703" s="27"/>
      <c r="C703" s="28"/>
      <c r="D703" s="28"/>
      <c r="E703" s="53"/>
      <c r="F703" s="53"/>
      <c r="G703" s="53"/>
      <c r="H703" s="53"/>
    </row>
    <row r="704" spans="1:8">
      <c r="A704" s="27"/>
      <c r="B704" s="27"/>
      <c r="C704" s="28"/>
      <c r="D704" s="28"/>
      <c r="E704" s="53"/>
      <c r="F704" s="53"/>
      <c r="G704" s="53"/>
      <c r="H704" s="53"/>
    </row>
    <row r="705" spans="1:8">
      <c r="A705" s="27"/>
      <c r="B705" s="27"/>
      <c r="C705" s="28"/>
      <c r="D705" s="28"/>
      <c r="E705" s="53"/>
      <c r="F705" s="53"/>
      <c r="G705" s="53"/>
      <c r="H705" s="53"/>
    </row>
    <row r="706" spans="1:8">
      <c r="A706" s="27"/>
      <c r="B706" s="27"/>
      <c r="C706" s="28"/>
      <c r="D706" s="28"/>
      <c r="E706" s="53"/>
      <c r="F706" s="53"/>
      <c r="G706" s="53"/>
      <c r="H706" s="53"/>
    </row>
    <row r="707" spans="1:8">
      <c r="A707" s="27"/>
      <c r="B707" s="27"/>
      <c r="C707" s="28"/>
      <c r="D707" s="28"/>
      <c r="E707" s="53"/>
      <c r="F707" s="53"/>
      <c r="G707" s="53"/>
      <c r="H707" s="53"/>
    </row>
    <row r="708" spans="1:8">
      <c r="A708" s="27"/>
      <c r="B708" s="27"/>
      <c r="C708" s="28"/>
      <c r="D708" s="28"/>
      <c r="E708" s="53"/>
      <c r="F708" s="53"/>
      <c r="G708" s="53"/>
      <c r="H708" s="53"/>
    </row>
    <row r="709" spans="1:8">
      <c r="A709" s="27"/>
      <c r="B709" s="27"/>
      <c r="C709" s="28"/>
      <c r="D709" s="28"/>
      <c r="E709" s="53"/>
      <c r="F709" s="53"/>
      <c r="G709" s="53"/>
      <c r="H709" s="53"/>
    </row>
    <row r="710" spans="1:8">
      <c r="A710" s="27"/>
      <c r="B710" s="27"/>
      <c r="C710" s="28"/>
      <c r="D710" s="28"/>
      <c r="E710" s="53"/>
      <c r="F710" s="53"/>
      <c r="G710" s="53"/>
      <c r="H710" s="53"/>
    </row>
    <row r="711" spans="1:8">
      <c r="A711" s="27"/>
      <c r="B711" s="27"/>
      <c r="C711" s="28"/>
      <c r="D711" s="28"/>
      <c r="E711" s="53"/>
      <c r="F711" s="53"/>
      <c r="G711" s="53"/>
      <c r="H711" s="53"/>
    </row>
    <row r="712" spans="1:8">
      <c r="A712" s="27"/>
      <c r="B712" s="27"/>
      <c r="C712" s="28"/>
      <c r="D712" s="28"/>
      <c r="E712" s="53"/>
      <c r="F712" s="53"/>
      <c r="G712" s="53"/>
      <c r="H712" s="53"/>
    </row>
    <row r="713" spans="1:8">
      <c r="A713" s="27"/>
      <c r="B713" s="27"/>
      <c r="C713" s="28"/>
      <c r="D713" s="28"/>
      <c r="E713" s="53"/>
      <c r="F713" s="53"/>
      <c r="G713" s="53"/>
      <c r="H713" s="53"/>
    </row>
    <row r="714" spans="1:8">
      <c r="A714" s="27"/>
      <c r="B714" s="27"/>
      <c r="C714" s="28"/>
      <c r="D714" s="28"/>
      <c r="E714" s="53"/>
      <c r="F714" s="53"/>
      <c r="G714" s="53"/>
      <c r="H714" s="53"/>
    </row>
    <row r="715" spans="1:8">
      <c r="A715" s="27"/>
      <c r="B715" s="27"/>
      <c r="C715" s="28"/>
      <c r="D715" s="28"/>
      <c r="E715" s="53"/>
      <c r="F715" s="53"/>
      <c r="G715" s="53"/>
      <c r="H715" s="53"/>
    </row>
    <row r="716" spans="1:8">
      <c r="A716" s="27"/>
      <c r="B716" s="27"/>
      <c r="C716" s="28"/>
      <c r="D716" s="28"/>
      <c r="E716" s="53"/>
      <c r="F716" s="53"/>
      <c r="G716" s="53"/>
      <c r="H716" s="53"/>
    </row>
    <row r="717" spans="1:8">
      <c r="A717" s="27"/>
      <c r="B717" s="27"/>
      <c r="C717" s="28"/>
      <c r="D717" s="28"/>
      <c r="E717" s="53"/>
      <c r="F717" s="53"/>
      <c r="G717" s="53"/>
      <c r="H717" s="53"/>
    </row>
    <row r="718" spans="1:8">
      <c r="A718" s="27"/>
      <c r="B718" s="27"/>
      <c r="C718" s="28"/>
      <c r="D718" s="28"/>
      <c r="E718" s="53"/>
      <c r="F718" s="53"/>
      <c r="G718" s="53"/>
      <c r="H718" s="53"/>
    </row>
    <row r="719" spans="1:8">
      <c r="A719" s="27"/>
      <c r="B719" s="27"/>
      <c r="C719" s="28"/>
      <c r="D719" s="28"/>
      <c r="E719" s="53"/>
      <c r="F719" s="53"/>
      <c r="G719" s="53"/>
      <c r="H719" s="53"/>
    </row>
    <row r="720" spans="1:8">
      <c r="A720" s="27"/>
      <c r="B720" s="27"/>
      <c r="C720" s="28"/>
      <c r="D720" s="28"/>
      <c r="E720" s="53"/>
      <c r="F720" s="53"/>
      <c r="G720" s="53"/>
      <c r="H720" s="53"/>
    </row>
    <row r="721" spans="1:8">
      <c r="A721" s="27"/>
      <c r="B721" s="27"/>
      <c r="C721" s="28"/>
      <c r="D721" s="28"/>
      <c r="E721" s="53"/>
      <c r="F721" s="53"/>
      <c r="G721" s="53"/>
      <c r="H721" s="53"/>
    </row>
    <row r="722" spans="1:8">
      <c r="A722" s="27"/>
      <c r="B722" s="27"/>
      <c r="C722" s="28"/>
      <c r="D722" s="28"/>
      <c r="E722" s="53"/>
      <c r="F722" s="53"/>
      <c r="G722" s="53"/>
      <c r="H722" s="53"/>
    </row>
    <row r="723" spans="1:8">
      <c r="A723" s="27"/>
      <c r="B723" s="27"/>
      <c r="C723" s="28"/>
      <c r="D723" s="28"/>
      <c r="E723" s="53"/>
      <c r="F723" s="53"/>
      <c r="G723" s="53"/>
      <c r="H723" s="53"/>
    </row>
    <row r="724" spans="1:8">
      <c r="A724" s="27"/>
      <c r="B724" s="27"/>
      <c r="C724" s="28"/>
      <c r="D724" s="28"/>
      <c r="E724" s="53"/>
      <c r="F724" s="53"/>
      <c r="G724" s="53"/>
      <c r="H724" s="53"/>
    </row>
    <row r="725" spans="1:8">
      <c r="A725" s="27"/>
      <c r="B725" s="27"/>
      <c r="C725" s="28"/>
      <c r="D725" s="28"/>
      <c r="E725" s="53"/>
      <c r="F725" s="53"/>
      <c r="G725" s="53"/>
      <c r="H725" s="53"/>
    </row>
    <row r="726" spans="1:8">
      <c r="A726" s="27"/>
      <c r="B726" s="27"/>
      <c r="C726" s="28"/>
      <c r="D726" s="28"/>
      <c r="E726" s="53"/>
      <c r="F726" s="53"/>
      <c r="G726" s="53"/>
      <c r="H726" s="53"/>
    </row>
    <row r="727" spans="1:8">
      <c r="A727" s="27"/>
      <c r="B727" s="27"/>
      <c r="C727" s="28"/>
      <c r="D727" s="28"/>
      <c r="E727" s="53"/>
      <c r="F727" s="53"/>
      <c r="G727" s="53"/>
      <c r="H727" s="53"/>
    </row>
    <row r="728" spans="1:8">
      <c r="A728" s="27"/>
      <c r="B728" s="27"/>
      <c r="C728" s="28"/>
      <c r="D728" s="28"/>
      <c r="E728" s="53"/>
      <c r="F728" s="53"/>
      <c r="G728" s="53"/>
      <c r="H728" s="53"/>
    </row>
    <row r="729" spans="1:8">
      <c r="A729" s="27"/>
      <c r="B729" s="27"/>
      <c r="C729" s="28"/>
      <c r="D729" s="28"/>
      <c r="E729" s="53"/>
      <c r="F729" s="53"/>
      <c r="G729" s="53"/>
      <c r="H729" s="53"/>
    </row>
    <row r="730" spans="1:8">
      <c r="A730" s="27"/>
      <c r="B730" s="27"/>
      <c r="C730" s="28"/>
      <c r="D730" s="28"/>
      <c r="E730" s="53"/>
      <c r="F730" s="53"/>
      <c r="G730" s="53"/>
      <c r="H730" s="53"/>
    </row>
    <row r="731" spans="1:8">
      <c r="A731" s="27"/>
      <c r="B731" s="27"/>
      <c r="C731" s="28"/>
      <c r="D731" s="28"/>
      <c r="E731" s="53"/>
      <c r="F731" s="53"/>
      <c r="G731" s="53"/>
      <c r="H731" s="53"/>
    </row>
    <row r="732" spans="1:8">
      <c r="A732" s="27"/>
      <c r="B732" s="27"/>
      <c r="C732" s="28"/>
      <c r="D732" s="28"/>
      <c r="E732" s="53"/>
      <c r="F732" s="53"/>
      <c r="G732" s="53"/>
      <c r="H732" s="53"/>
    </row>
    <row r="733" spans="1:8">
      <c r="A733" s="27"/>
      <c r="B733" s="27"/>
      <c r="C733" s="28"/>
      <c r="D733" s="28"/>
      <c r="E733" s="53"/>
      <c r="F733" s="53"/>
      <c r="G733" s="53"/>
      <c r="H733" s="53"/>
    </row>
    <row r="734" spans="1:8">
      <c r="A734" s="27"/>
      <c r="B734" s="27"/>
      <c r="C734" s="28"/>
      <c r="D734" s="28"/>
      <c r="E734" s="53"/>
      <c r="F734" s="53"/>
      <c r="G734" s="53"/>
      <c r="H734" s="53"/>
    </row>
    <row r="735" spans="1:8">
      <c r="A735" s="27"/>
      <c r="B735" s="27"/>
      <c r="C735" s="28"/>
      <c r="D735" s="28"/>
      <c r="E735" s="53"/>
      <c r="F735" s="53"/>
      <c r="G735" s="53"/>
      <c r="H735" s="53"/>
    </row>
    <row r="736" spans="1:8">
      <c r="A736" s="27"/>
      <c r="B736" s="27"/>
      <c r="C736" s="28"/>
      <c r="D736" s="28"/>
      <c r="E736" s="53"/>
      <c r="F736" s="53"/>
      <c r="G736" s="53"/>
      <c r="H736" s="53"/>
    </row>
    <row r="737" spans="1:8">
      <c r="A737" s="27"/>
      <c r="B737" s="27"/>
      <c r="C737" s="28"/>
      <c r="D737" s="28"/>
      <c r="E737" s="53"/>
      <c r="F737" s="53"/>
      <c r="G737" s="53"/>
      <c r="H737" s="53"/>
    </row>
    <row r="738" spans="1:8">
      <c r="A738" s="27"/>
      <c r="B738" s="27"/>
      <c r="C738" s="28"/>
      <c r="D738" s="28"/>
      <c r="E738" s="53"/>
      <c r="F738" s="53"/>
      <c r="G738" s="53"/>
      <c r="H738" s="53"/>
    </row>
    <row r="739" spans="1:8">
      <c r="A739" s="27"/>
      <c r="B739" s="27"/>
      <c r="C739" s="28"/>
      <c r="D739" s="28"/>
      <c r="E739" s="53"/>
      <c r="F739" s="53"/>
      <c r="G739" s="53"/>
      <c r="H739" s="53"/>
    </row>
    <row r="740" spans="1:8">
      <c r="A740" s="27"/>
      <c r="B740" s="27"/>
      <c r="C740" s="28"/>
      <c r="D740" s="28"/>
      <c r="E740" s="53"/>
      <c r="F740" s="53"/>
      <c r="G740" s="53"/>
      <c r="H740" s="53"/>
    </row>
    <row r="741" spans="1:8">
      <c r="A741" s="27"/>
      <c r="B741" s="27"/>
      <c r="C741" s="28"/>
      <c r="D741" s="28"/>
      <c r="E741" s="53"/>
      <c r="F741" s="53"/>
      <c r="G741" s="53"/>
      <c r="H741" s="53"/>
    </row>
    <row r="742" spans="1:8">
      <c r="A742" s="27"/>
      <c r="B742" s="27"/>
      <c r="C742" s="28"/>
      <c r="D742" s="28"/>
      <c r="E742" s="53"/>
      <c r="F742" s="53"/>
      <c r="G742" s="53"/>
      <c r="H742" s="53"/>
    </row>
    <row r="743" spans="1:8">
      <c r="A743" s="27"/>
      <c r="B743" s="27"/>
      <c r="C743" s="28"/>
      <c r="D743" s="28"/>
      <c r="E743" s="53"/>
      <c r="F743" s="53"/>
      <c r="G743" s="53"/>
      <c r="H743" s="53"/>
    </row>
    <row r="744" spans="1:8">
      <c r="A744" s="27"/>
      <c r="B744" s="27"/>
      <c r="C744" s="28"/>
      <c r="D744" s="28"/>
      <c r="E744" s="53"/>
      <c r="F744" s="53"/>
      <c r="G744" s="53"/>
      <c r="H744" s="53"/>
    </row>
    <row r="745" spans="1:8">
      <c r="A745" s="27"/>
      <c r="B745" s="27"/>
      <c r="C745" s="28"/>
      <c r="D745" s="28"/>
      <c r="E745" s="53"/>
      <c r="F745" s="53"/>
      <c r="G745" s="53"/>
      <c r="H745" s="53"/>
    </row>
    <row r="746" spans="1:8">
      <c r="A746" s="27"/>
      <c r="B746" s="27"/>
      <c r="C746" s="28"/>
      <c r="D746" s="28"/>
      <c r="E746" s="53"/>
      <c r="F746" s="53"/>
      <c r="G746" s="53"/>
      <c r="H746" s="53"/>
    </row>
    <row r="747" spans="1:8">
      <c r="A747" s="27"/>
      <c r="B747" s="27"/>
      <c r="C747" s="28"/>
      <c r="D747" s="28"/>
      <c r="E747" s="53"/>
      <c r="F747" s="53"/>
      <c r="G747" s="53"/>
      <c r="H747" s="53"/>
    </row>
    <row r="748" spans="1:8">
      <c r="A748" s="27"/>
      <c r="B748" s="27"/>
      <c r="C748" s="28"/>
      <c r="D748" s="28"/>
      <c r="E748" s="53"/>
      <c r="F748" s="53"/>
      <c r="G748" s="53"/>
      <c r="H748" s="53"/>
    </row>
    <row r="749" spans="1:8">
      <c r="A749" s="27"/>
      <c r="B749" s="27"/>
      <c r="C749" s="28"/>
      <c r="D749" s="28"/>
      <c r="E749" s="53"/>
      <c r="F749" s="53"/>
      <c r="G749" s="53"/>
      <c r="H749" s="53"/>
    </row>
    <row r="750" spans="1:8">
      <c r="A750" s="27"/>
      <c r="B750" s="27"/>
      <c r="C750" s="28"/>
      <c r="D750" s="28"/>
      <c r="E750" s="53"/>
      <c r="F750" s="53"/>
      <c r="G750" s="53"/>
      <c r="H750" s="53"/>
    </row>
    <row r="751" spans="1:8">
      <c r="A751" s="27"/>
      <c r="B751" s="27"/>
      <c r="C751" s="28"/>
      <c r="D751" s="28"/>
      <c r="E751" s="53"/>
      <c r="F751" s="53"/>
      <c r="G751" s="53"/>
      <c r="H751" s="53"/>
    </row>
    <row r="752" spans="1:8">
      <c r="A752" s="27"/>
      <c r="B752" s="27"/>
      <c r="C752" s="28"/>
      <c r="D752" s="28"/>
      <c r="E752" s="53"/>
      <c r="F752" s="53"/>
      <c r="G752" s="53"/>
      <c r="H752" s="53"/>
    </row>
    <row r="753" spans="1:8">
      <c r="A753" s="27"/>
      <c r="B753" s="27"/>
      <c r="C753" s="28"/>
      <c r="D753" s="28"/>
      <c r="E753" s="53"/>
      <c r="F753" s="53"/>
      <c r="G753" s="53"/>
      <c r="H753" s="53"/>
    </row>
    <row r="754" spans="1:8">
      <c r="A754" s="27"/>
      <c r="B754" s="27"/>
      <c r="C754" s="28"/>
      <c r="D754" s="28"/>
      <c r="E754" s="53"/>
      <c r="F754" s="53"/>
      <c r="G754" s="53"/>
      <c r="H754" s="53"/>
    </row>
    <row r="755" spans="1:8">
      <c r="A755" s="27"/>
      <c r="B755" s="27"/>
      <c r="C755" s="28"/>
      <c r="D755" s="28"/>
      <c r="E755" s="53"/>
      <c r="F755" s="53"/>
      <c r="G755" s="53"/>
      <c r="H755" s="53"/>
    </row>
    <row r="756" spans="1:8">
      <c r="A756" s="27"/>
      <c r="B756" s="27"/>
      <c r="C756" s="28"/>
      <c r="D756" s="28"/>
      <c r="E756" s="53"/>
      <c r="F756" s="53"/>
      <c r="G756" s="53"/>
      <c r="H756" s="53"/>
    </row>
    <row r="757" spans="1:8">
      <c r="A757" s="27"/>
      <c r="B757" s="27"/>
      <c r="C757" s="28"/>
      <c r="D757" s="28"/>
      <c r="E757" s="53"/>
      <c r="F757" s="53"/>
      <c r="G757" s="53"/>
      <c r="H757" s="53"/>
    </row>
    <row r="758" spans="1:8">
      <c r="A758" s="27"/>
      <c r="B758" s="27"/>
      <c r="C758" s="28"/>
      <c r="D758" s="28"/>
      <c r="E758" s="53"/>
      <c r="F758" s="53"/>
      <c r="G758" s="53"/>
      <c r="H758" s="53"/>
    </row>
    <row r="759" spans="1:8">
      <c r="A759" s="27"/>
      <c r="B759" s="27"/>
      <c r="C759" s="28"/>
      <c r="D759" s="28"/>
      <c r="E759" s="53"/>
      <c r="F759" s="53"/>
      <c r="G759" s="53"/>
      <c r="H759" s="53"/>
    </row>
    <row r="760" spans="1:8">
      <c r="A760" s="27"/>
      <c r="B760" s="27"/>
      <c r="C760" s="28"/>
      <c r="D760" s="28"/>
      <c r="E760" s="53"/>
      <c r="F760" s="53"/>
      <c r="G760" s="53"/>
      <c r="H760" s="53"/>
    </row>
    <row r="761" spans="1:8">
      <c r="A761" s="27"/>
      <c r="B761" s="27"/>
      <c r="C761" s="28"/>
      <c r="D761" s="28"/>
      <c r="E761" s="53"/>
      <c r="F761" s="53"/>
      <c r="G761" s="53"/>
      <c r="H761" s="53"/>
    </row>
    <row r="762" spans="1:8">
      <c r="A762" s="27"/>
      <c r="B762" s="27"/>
      <c r="C762" s="28"/>
      <c r="D762" s="28"/>
      <c r="E762" s="53"/>
      <c r="F762" s="53"/>
      <c r="G762" s="53"/>
      <c r="H762" s="53"/>
    </row>
    <row r="763" spans="1:8">
      <c r="A763" s="27"/>
      <c r="B763" s="27"/>
      <c r="C763" s="28"/>
      <c r="D763" s="28"/>
      <c r="E763" s="53"/>
      <c r="F763" s="53"/>
      <c r="G763" s="53"/>
      <c r="H763" s="53"/>
    </row>
    <row r="764" spans="1:8">
      <c r="A764" s="27"/>
      <c r="B764" s="27"/>
      <c r="C764" s="28"/>
      <c r="D764" s="28"/>
      <c r="E764" s="53"/>
      <c r="F764" s="53"/>
      <c r="G764" s="53"/>
      <c r="H764" s="53"/>
    </row>
    <row r="765" spans="1:8">
      <c r="A765" s="27"/>
      <c r="B765" s="27"/>
      <c r="C765" s="28"/>
      <c r="D765" s="28"/>
      <c r="E765" s="53"/>
      <c r="F765" s="53"/>
      <c r="G765" s="53"/>
      <c r="H765" s="53"/>
    </row>
    <row r="766" spans="1:8">
      <c r="A766" s="27"/>
      <c r="B766" s="27"/>
      <c r="C766" s="28"/>
      <c r="D766" s="28"/>
      <c r="E766" s="53"/>
      <c r="F766" s="53"/>
      <c r="G766" s="53"/>
      <c r="H766" s="53"/>
    </row>
    <row r="767" spans="1:8">
      <c r="A767" s="27"/>
      <c r="B767" s="27"/>
      <c r="C767" s="28"/>
      <c r="D767" s="28"/>
      <c r="E767" s="53"/>
      <c r="F767" s="53"/>
      <c r="G767" s="53"/>
      <c r="H767" s="53"/>
    </row>
    <row r="768" spans="1:8">
      <c r="A768" s="27"/>
      <c r="B768" s="27"/>
      <c r="C768" s="28"/>
      <c r="D768" s="28"/>
      <c r="E768" s="53"/>
      <c r="F768" s="53"/>
      <c r="G768" s="53"/>
      <c r="H768" s="53"/>
    </row>
    <row r="769" spans="1:8">
      <c r="A769" s="27"/>
      <c r="B769" s="27"/>
      <c r="C769" s="28"/>
      <c r="D769" s="28"/>
      <c r="E769" s="53"/>
      <c r="F769" s="53"/>
      <c r="G769" s="53"/>
      <c r="H769" s="53"/>
    </row>
    <row r="770" spans="1:8">
      <c r="A770" s="27"/>
      <c r="B770" s="27"/>
      <c r="C770" s="28"/>
      <c r="D770" s="28"/>
      <c r="E770" s="53"/>
      <c r="F770" s="53"/>
      <c r="G770" s="53"/>
      <c r="H770" s="53"/>
    </row>
    <row r="771" spans="1:8">
      <c r="A771" s="27"/>
      <c r="B771" s="27"/>
      <c r="C771" s="28"/>
      <c r="D771" s="28"/>
      <c r="E771" s="53"/>
      <c r="F771" s="53"/>
      <c r="G771" s="53"/>
      <c r="H771" s="53"/>
    </row>
    <row r="772" spans="1:8">
      <c r="A772" s="27"/>
      <c r="B772" s="27"/>
      <c r="C772" s="28"/>
      <c r="D772" s="28"/>
      <c r="E772" s="53"/>
      <c r="F772" s="53"/>
      <c r="G772" s="53"/>
      <c r="H772" s="53"/>
    </row>
    <row r="773" spans="1:8">
      <c r="A773" s="27"/>
      <c r="B773" s="27"/>
      <c r="C773" s="28"/>
      <c r="D773" s="28"/>
      <c r="E773" s="53"/>
      <c r="F773" s="53"/>
      <c r="G773" s="53"/>
      <c r="H773" s="53"/>
    </row>
    <row r="774" spans="1:8">
      <c r="A774" s="27"/>
      <c r="B774" s="27"/>
      <c r="C774" s="28"/>
      <c r="D774" s="28"/>
      <c r="E774" s="53"/>
      <c r="F774" s="53"/>
      <c r="G774" s="53"/>
      <c r="H774" s="53"/>
    </row>
    <row r="775" spans="1:8">
      <c r="A775" s="27"/>
      <c r="B775" s="27"/>
      <c r="C775" s="28"/>
      <c r="D775" s="28"/>
      <c r="E775" s="53"/>
      <c r="F775" s="53"/>
      <c r="G775" s="53"/>
      <c r="H775" s="53"/>
    </row>
    <row r="776" spans="1:8">
      <c r="A776" s="27"/>
      <c r="B776" s="27"/>
      <c r="C776" s="28"/>
      <c r="D776" s="28"/>
      <c r="E776" s="53"/>
      <c r="F776" s="53"/>
      <c r="G776" s="53"/>
      <c r="H776" s="53"/>
    </row>
    <row r="777" spans="1:8">
      <c r="A777" s="27"/>
      <c r="B777" s="27"/>
      <c r="C777" s="28"/>
      <c r="D777" s="28"/>
      <c r="E777" s="53"/>
      <c r="F777" s="53"/>
      <c r="G777" s="53"/>
      <c r="H777" s="53"/>
    </row>
    <row r="778" spans="1:8">
      <c r="A778" s="27"/>
      <c r="B778" s="27"/>
      <c r="C778" s="28"/>
      <c r="D778" s="28"/>
      <c r="E778" s="53"/>
      <c r="F778" s="53"/>
      <c r="G778" s="53"/>
      <c r="H778" s="53"/>
    </row>
    <row r="779" spans="1:8">
      <c r="A779" s="27"/>
      <c r="B779" s="27"/>
      <c r="C779" s="28"/>
      <c r="D779" s="28"/>
      <c r="E779" s="53"/>
      <c r="F779" s="53"/>
      <c r="G779" s="53"/>
      <c r="H779" s="53"/>
    </row>
    <row r="780" spans="1:8">
      <c r="A780" s="27"/>
      <c r="B780" s="27"/>
      <c r="C780" s="28"/>
      <c r="D780" s="28"/>
      <c r="E780" s="53"/>
      <c r="F780" s="53"/>
      <c r="G780" s="53"/>
      <c r="H780" s="53"/>
    </row>
    <row r="781" spans="1:8">
      <c r="A781" s="27"/>
      <c r="B781" s="27"/>
      <c r="C781" s="28"/>
      <c r="D781" s="28"/>
      <c r="E781" s="53"/>
      <c r="F781" s="53"/>
      <c r="G781" s="53"/>
      <c r="H781" s="53"/>
    </row>
    <row r="782" spans="1:8">
      <c r="A782" s="27"/>
      <c r="B782" s="27"/>
      <c r="C782" s="28"/>
      <c r="D782" s="28"/>
      <c r="E782" s="53"/>
      <c r="F782" s="53"/>
      <c r="G782" s="53"/>
      <c r="H782" s="53"/>
    </row>
    <row r="783" spans="1:8">
      <c r="A783" s="27"/>
      <c r="B783" s="27"/>
      <c r="C783" s="28"/>
      <c r="D783" s="28"/>
      <c r="E783" s="53"/>
      <c r="F783" s="53"/>
      <c r="G783" s="53"/>
      <c r="H783" s="53"/>
    </row>
    <row r="784" spans="1:8">
      <c r="A784" s="27"/>
      <c r="B784" s="27"/>
      <c r="C784" s="28"/>
      <c r="D784" s="28"/>
      <c r="E784" s="53"/>
      <c r="F784" s="53"/>
      <c r="G784" s="53"/>
      <c r="H784" s="53"/>
    </row>
    <row r="785" spans="1:8">
      <c r="A785" s="27"/>
      <c r="B785" s="27"/>
      <c r="C785" s="28"/>
      <c r="D785" s="28"/>
      <c r="E785" s="53"/>
      <c r="F785" s="53"/>
      <c r="G785" s="53"/>
      <c r="H785" s="53"/>
    </row>
    <row r="786" spans="1:8">
      <c r="A786" s="27"/>
      <c r="B786" s="27"/>
      <c r="C786" s="28"/>
      <c r="D786" s="28"/>
      <c r="E786" s="53"/>
      <c r="F786" s="53"/>
      <c r="G786" s="53"/>
      <c r="H786" s="53"/>
    </row>
    <row r="787" spans="1:8">
      <c r="A787" s="27"/>
      <c r="B787" s="27"/>
      <c r="C787" s="28"/>
      <c r="D787" s="28"/>
      <c r="E787" s="53"/>
      <c r="F787" s="53"/>
      <c r="G787" s="53"/>
      <c r="H787" s="53"/>
    </row>
    <row r="788" spans="1:8">
      <c r="A788" s="27"/>
      <c r="B788" s="27"/>
      <c r="C788" s="28"/>
      <c r="D788" s="28"/>
      <c r="E788" s="53"/>
      <c r="F788" s="53"/>
      <c r="G788" s="53"/>
      <c r="H788" s="53"/>
    </row>
    <row r="789" spans="1:8">
      <c r="A789" s="27"/>
      <c r="B789" s="27"/>
      <c r="C789" s="28"/>
      <c r="D789" s="28"/>
      <c r="E789" s="53"/>
      <c r="F789" s="53"/>
      <c r="G789" s="53"/>
      <c r="H789" s="53"/>
    </row>
    <row r="790" spans="1:8">
      <c r="A790" s="27"/>
      <c r="B790" s="27"/>
      <c r="C790" s="28"/>
      <c r="D790" s="28"/>
      <c r="E790" s="53"/>
      <c r="F790" s="53"/>
      <c r="G790" s="53"/>
      <c r="H790" s="53"/>
    </row>
    <row r="791" spans="1:8">
      <c r="A791" s="27"/>
      <c r="B791" s="27"/>
      <c r="C791" s="28"/>
      <c r="D791" s="28"/>
      <c r="E791" s="53"/>
      <c r="F791" s="53"/>
      <c r="G791" s="53"/>
      <c r="H791" s="53"/>
    </row>
    <row r="792" spans="1:8">
      <c r="A792" s="27"/>
      <c r="B792" s="27"/>
      <c r="C792" s="28"/>
      <c r="D792" s="28"/>
      <c r="E792" s="53"/>
      <c r="F792" s="53"/>
      <c r="G792" s="53"/>
      <c r="H792" s="53"/>
    </row>
    <row r="793" spans="1:8">
      <c r="A793" s="27"/>
      <c r="B793" s="27"/>
      <c r="C793" s="28"/>
      <c r="D793" s="28"/>
      <c r="E793" s="53"/>
      <c r="F793" s="53"/>
      <c r="G793" s="53"/>
      <c r="H793" s="53"/>
    </row>
    <row r="794" spans="1:8">
      <c r="A794" s="27"/>
      <c r="B794" s="27"/>
      <c r="C794" s="28"/>
      <c r="D794" s="28"/>
      <c r="E794" s="53"/>
      <c r="F794" s="53"/>
      <c r="G794" s="53"/>
      <c r="H794" s="53"/>
    </row>
    <row r="795" spans="1:8">
      <c r="A795" s="27"/>
      <c r="B795" s="27"/>
      <c r="C795" s="28"/>
      <c r="D795" s="28"/>
      <c r="E795" s="53"/>
      <c r="F795" s="53"/>
      <c r="G795" s="53"/>
      <c r="H795" s="53"/>
    </row>
    <row r="796" spans="1:8">
      <c r="A796" s="27"/>
      <c r="B796" s="27"/>
      <c r="C796" s="28"/>
      <c r="D796" s="28"/>
      <c r="E796" s="53"/>
      <c r="F796" s="53"/>
      <c r="G796" s="53"/>
      <c r="H796" s="53"/>
    </row>
    <row r="797" spans="1:8">
      <c r="A797" s="27"/>
      <c r="B797" s="27"/>
      <c r="C797" s="28"/>
      <c r="D797" s="28"/>
      <c r="E797" s="53"/>
      <c r="F797" s="53"/>
      <c r="G797" s="53"/>
      <c r="H797" s="53"/>
    </row>
    <row r="798" spans="1:8">
      <c r="A798" s="27"/>
      <c r="B798" s="27"/>
      <c r="C798" s="28"/>
      <c r="D798" s="28"/>
      <c r="E798" s="53"/>
      <c r="F798" s="53"/>
      <c r="G798" s="53"/>
      <c r="H798" s="53"/>
    </row>
    <row r="799" spans="1:8">
      <c r="A799" s="27"/>
      <c r="B799" s="27"/>
      <c r="C799" s="28"/>
      <c r="D799" s="28"/>
      <c r="E799" s="53"/>
      <c r="F799" s="53"/>
      <c r="G799" s="53"/>
      <c r="H799" s="53"/>
    </row>
    <row r="800" spans="1:8">
      <c r="A800" s="27"/>
      <c r="B800" s="27"/>
      <c r="C800" s="28"/>
      <c r="D800" s="28"/>
      <c r="E800" s="53"/>
      <c r="F800" s="53"/>
      <c r="G800" s="53"/>
      <c r="H800" s="53"/>
    </row>
    <row r="801" spans="1:8">
      <c r="A801" s="27"/>
      <c r="B801" s="27"/>
      <c r="C801" s="28"/>
      <c r="D801" s="28"/>
      <c r="E801" s="53"/>
      <c r="F801" s="53"/>
      <c r="G801" s="53"/>
      <c r="H801" s="53"/>
    </row>
    <row r="802" spans="1:8">
      <c r="A802" s="27"/>
      <c r="B802" s="27"/>
      <c r="C802" s="28"/>
      <c r="D802" s="28"/>
      <c r="E802" s="53"/>
      <c r="F802" s="53"/>
      <c r="G802" s="53"/>
      <c r="H802" s="53"/>
    </row>
    <row r="803" spans="1:8">
      <c r="A803" s="27"/>
      <c r="B803" s="27"/>
      <c r="C803" s="28"/>
      <c r="D803" s="28"/>
      <c r="E803" s="53"/>
      <c r="F803" s="53"/>
      <c r="G803" s="53"/>
      <c r="H803" s="53"/>
    </row>
    <row r="804" spans="1:8">
      <c r="A804" s="27"/>
      <c r="B804" s="27"/>
      <c r="C804" s="28"/>
      <c r="D804" s="28"/>
      <c r="E804" s="53"/>
      <c r="F804" s="53"/>
      <c r="G804" s="53"/>
      <c r="H804" s="53"/>
    </row>
    <row r="805" spans="1:8">
      <c r="A805" s="27"/>
      <c r="B805" s="27"/>
      <c r="C805" s="28"/>
      <c r="D805" s="28"/>
      <c r="E805" s="53"/>
      <c r="F805" s="53"/>
      <c r="G805" s="53"/>
      <c r="H805" s="53"/>
    </row>
    <row r="806" spans="1:8">
      <c r="A806" s="27"/>
      <c r="B806" s="27"/>
      <c r="C806" s="28"/>
      <c r="D806" s="28"/>
      <c r="E806" s="53"/>
      <c r="F806" s="53"/>
      <c r="G806" s="53"/>
      <c r="H806" s="53"/>
    </row>
    <row r="807" spans="1:8">
      <c r="A807" s="27"/>
      <c r="B807" s="27"/>
      <c r="C807" s="28"/>
      <c r="D807" s="28"/>
      <c r="E807" s="53"/>
      <c r="F807" s="53"/>
      <c r="G807" s="53"/>
      <c r="H807" s="53"/>
    </row>
    <row r="808" spans="1:8">
      <c r="A808" s="27"/>
      <c r="B808" s="27"/>
      <c r="C808" s="28"/>
      <c r="D808" s="28"/>
      <c r="E808" s="53"/>
      <c r="F808" s="53"/>
      <c r="G808" s="53"/>
      <c r="H808" s="53"/>
    </row>
    <row r="809" spans="1:8">
      <c r="A809" s="27"/>
      <c r="B809" s="27"/>
      <c r="C809" s="28"/>
      <c r="D809" s="28"/>
      <c r="E809" s="53"/>
      <c r="F809" s="53"/>
      <c r="G809" s="53"/>
      <c r="H809" s="53"/>
    </row>
    <row r="810" spans="1:8">
      <c r="A810" s="27"/>
      <c r="B810" s="27"/>
      <c r="C810" s="28"/>
      <c r="D810" s="28"/>
      <c r="E810" s="53"/>
      <c r="F810" s="53"/>
      <c r="G810" s="53"/>
      <c r="H810" s="53"/>
    </row>
    <row r="811" spans="1:8">
      <c r="A811" s="27"/>
      <c r="B811" s="27"/>
      <c r="C811" s="28"/>
      <c r="D811" s="28"/>
      <c r="E811" s="53"/>
      <c r="F811" s="53"/>
      <c r="G811" s="53"/>
      <c r="H811" s="53"/>
    </row>
    <row r="812" spans="1:8">
      <c r="A812" s="27"/>
      <c r="B812" s="27"/>
      <c r="C812" s="28"/>
      <c r="D812" s="28"/>
      <c r="E812" s="53"/>
      <c r="F812" s="53"/>
      <c r="G812" s="53"/>
      <c r="H812" s="53"/>
    </row>
    <row r="813" spans="1:8">
      <c r="A813" s="27"/>
      <c r="B813" s="27"/>
      <c r="C813" s="28"/>
      <c r="D813" s="28"/>
      <c r="E813" s="53"/>
      <c r="F813" s="53"/>
      <c r="G813" s="53"/>
      <c r="H813" s="53"/>
    </row>
    <row r="814" spans="1:8">
      <c r="A814" s="27"/>
      <c r="B814" s="27"/>
      <c r="C814" s="28"/>
      <c r="D814" s="28"/>
      <c r="E814" s="53"/>
      <c r="F814" s="53"/>
      <c r="G814" s="53"/>
      <c r="H814" s="53"/>
    </row>
    <row r="815" spans="1:8">
      <c r="A815" s="27"/>
      <c r="B815" s="27"/>
      <c r="C815" s="28"/>
      <c r="D815" s="28"/>
      <c r="E815" s="53"/>
      <c r="F815" s="53"/>
      <c r="G815" s="53"/>
      <c r="H815" s="53"/>
    </row>
    <row r="816" spans="1:8">
      <c r="A816" s="27"/>
      <c r="B816" s="27"/>
      <c r="C816" s="28"/>
      <c r="D816" s="28"/>
      <c r="E816" s="53"/>
      <c r="F816" s="53"/>
      <c r="G816" s="53"/>
      <c r="H816" s="53"/>
    </row>
    <row r="817" spans="1:8">
      <c r="A817" s="27"/>
      <c r="B817" s="27"/>
      <c r="C817" s="28"/>
      <c r="D817" s="28"/>
      <c r="E817" s="53"/>
      <c r="F817" s="53"/>
      <c r="G817" s="53"/>
      <c r="H817" s="53"/>
    </row>
    <row r="818" spans="1:8">
      <c r="A818" s="27"/>
      <c r="B818" s="27"/>
      <c r="C818" s="28"/>
      <c r="D818" s="28"/>
      <c r="E818" s="53"/>
      <c r="F818" s="53"/>
      <c r="G818" s="53"/>
      <c r="H818" s="53"/>
    </row>
    <row r="819" spans="1:8">
      <c r="A819" s="27"/>
      <c r="B819" s="27"/>
      <c r="C819" s="28"/>
      <c r="D819" s="28"/>
      <c r="E819" s="53"/>
      <c r="F819" s="53"/>
      <c r="G819" s="53"/>
      <c r="H819" s="53"/>
    </row>
    <row r="820" spans="1:8">
      <c r="A820" s="27"/>
      <c r="B820" s="27"/>
      <c r="C820" s="28"/>
      <c r="D820" s="28"/>
      <c r="E820" s="53"/>
      <c r="F820" s="53"/>
      <c r="G820" s="53"/>
      <c r="H820" s="53"/>
    </row>
    <row r="821" spans="1:8">
      <c r="A821" s="27"/>
      <c r="B821" s="27"/>
      <c r="C821" s="28"/>
      <c r="D821" s="28"/>
      <c r="E821" s="53"/>
      <c r="F821" s="53"/>
      <c r="G821" s="53"/>
      <c r="H821" s="53"/>
    </row>
    <row r="822" spans="1:8">
      <c r="A822" s="27"/>
      <c r="B822" s="27"/>
      <c r="C822" s="28"/>
      <c r="D822" s="28"/>
      <c r="E822" s="53"/>
      <c r="F822" s="53"/>
      <c r="G822" s="53"/>
      <c r="H822" s="53"/>
    </row>
    <row r="823" spans="1:8">
      <c r="A823" s="27"/>
      <c r="B823" s="27"/>
      <c r="C823" s="28"/>
      <c r="D823" s="28"/>
      <c r="E823" s="53"/>
      <c r="F823" s="53"/>
      <c r="G823" s="53"/>
      <c r="H823" s="53"/>
    </row>
    <row r="824" spans="1:8">
      <c r="A824" s="27"/>
      <c r="B824" s="27"/>
      <c r="C824" s="28"/>
      <c r="D824" s="28"/>
      <c r="E824" s="53"/>
      <c r="F824" s="53"/>
      <c r="G824" s="53"/>
      <c r="H824" s="53"/>
    </row>
    <row r="825" spans="1:8">
      <c r="A825" s="27"/>
      <c r="B825" s="27"/>
      <c r="C825" s="28"/>
      <c r="D825" s="28"/>
      <c r="E825" s="53"/>
      <c r="F825" s="53"/>
      <c r="G825" s="53"/>
      <c r="H825" s="53"/>
    </row>
    <row r="826" spans="1:8">
      <c r="A826" s="27"/>
      <c r="B826" s="27"/>
      <c r="C826" s="28"/>
      <c r="D826" s="28"/>
      <c r="E826" s="53"/>
      <c r="F826" s="53"/>
      <c r="G826" s="53"/>
      <c r="H826" s="53"/>
    </row>
    <row r="827" spans="1:8">
      <c r="A827" s="27"/>
      <c r="B827" s="27"/>
      <c r="C827" s="28"/>
      <c r="D827" s="28"/>
      <c r="E827" s="53"/>
      <c r="F827" s="53"/>
      <c r="G827" s="53"/>
      <c r="H827" s="53"/>
    </row>
    <row r="828" spans="1:8">
      <c r="A828" s="27"/>
      <c r="B828" s="27"/>
      <c r="C828" s="28"/>
      <c r="D828" s="28"/>
      <c r="E828" s="53"/>
      <c r="F828" s="53"/>
      <c r="G828" s="53"/>
      <c r="H828" s="53"/>
    </row>
    <row r="829" spans="1:8">
      <c r="A829" s="27"/>
      <c r="B829" s="27"/>
      <c r="C829" s="28"/>
      <c r="D829" s="28"/>
      <c r="E829" s="53"/>
      <c r="F829" s="53"/>
      <c r="G829" s="53"/>
      <c r="H829" s="53"/>
    </row>
    <row r="830" spans="1:8">
      <c r="A830" s="27"/>
      <c r="B830" s="27"/>
      <c r="C830" s="28"/>
      <c r="D830" s="28"/>
      <c r="E830" s="53"/>
      <c r="F830" s="53"/>
      <c r="G830" s="53"/>
      <c r="H830" s="53"/>
    </row>
    <row r="831" spans="1:8">
      <c r="A831" s="27"/>
      <c r="B831" s="27"/>
      <c r="C831" s="28"/>
      <c r="D831" s="28"/>
      <c r="E831" s="53"/>
      <c r="F831" s="53"/>
      <c r="G831" s="53"/>
      <c r="H831" s="53"/>
    </row>
    <row r="832" spans="1:8">
      <c r="A832" s="27"/>
      <c r="B832" s="27"/>
      <c r="C832" s="28"/>
      <c r="D832" s="28"/>
      <c r="E832" s="53"/>
      <c r="F832" s="53"/>
      <c r="G832" s="53"/>
      <c r="H832" s="53"/>
    </row>
    <row r="833" spans="1:8">
      <c r="A833" s="27"/>
      <c r="B833" s="27"/>
      <c r="C833" s="28"/>
      <c r="D833" s="28"/>
      <c r="E833" s="53"/>
      <c r="F833" s="53"/>
      <c r="G833" s="53"/>
      <c r="H833" s="53"/>
    </row>
    <row r="834" spans="1:8">
      <c r="A834" s="27"/>
      <c r="B834" s="27"/>
      <c r="C834" s="28"/>
      <c r="D834" s="28"/>
      <c r="E834" s="53"/>
      <c r="F834" s="53"/>
      <c r="G834" s="53"/>
      <c r="H834" s="53"/>
    </row>
    <row r="835" spans="1:8">
      <c r="A835" s="27"/>
      <c r="B835" s="27"/>
      <c r="C835" s="28"/>
      <c r="D835" s="28"/>
      <c r="E835" s="53"/>
      <c r="F835" s="53"/>
      <c r="G835" s="53"/>
      <c r="H835" s="53"/>
    </row>
    <row r="836" spans="1:8">
      <c r="A836" s="27"/>
      <c r="B836" s="27"/>
      <c r="C836" s="28"/>
      <c r="D836" s="28"/>
      <c r="E836" s="53"/>
      <c r="F836" s="53"/>
      <c r="G836" s="53"/>
      <c r="H836" s="53"/>
    </row>
    <row r="837" spans="1:8">
      <c r="A837" s="27"/>
      <c r="B837" s="27"/>
      <c r="C837" s="28"/>
      <c r="D837" s="28"/>
      <c r="E837" s="53"/>
      <c r="F837" s="53"/>
      <c r="G837" s="53"/>
      <c r="H837" s="53"/>
    </row>
    <row r="838" spans="1:8">
      <c r="A838" s="27"/>
      <c r="B838" s="27"/>
      <c r="C838" s="28"/>
      <c r="D838" s="28"/>
      <c r="E838" s="53"/>
      <c r="F838" s="53"/>
      <c r="G838" s="53"/>
      <c r="H838" s="53"/>
    </row>
    <row r="839" spans="1:8">
      <c r="A839" s="27"/>
      <c r="B839" s="27"/>
      <c r="C839" s="28"/>
      <c r="D839" s="28"/>
      <c r="E839" s="53"/>
      <c r="F839" s="53"/>
      <c r="G839" s="53"/>
      <c r="H839" s="53"/>
    </row>
    <row r="840" spans="1:8">
      <c r="A840" s="27"/>
      <c r="B840" s="27"/>
      <c r="C840" s="28"/>
      <c r="D840" s="28"/>
      <c r="E840" s="53"/>
      <c r="F840" s="53"/>
      <c r="G840" s="53"/>
      <c r="H840" s="53"/>
    </row>
    <row r="841" spans="1:8">
      <c r="A841" s="27"/>
      <c r="B841" s="27"/>
      <c r="C841" s="28"/>
      <c r="D841" s="28"/>
      <c r="E841" s="53"/>
      <c r="F841" s="53"/>
      <c r="G841" s="53"/>
      <c r="H841" s="53"/>
    </row>
    <row r="842" spans="1:8">
      <c r="A842" s="27"/>
      <c r="B842" s="27"/>
      <c r="C842" s="28"/>
      <c r="D842" s="28"/>
      <c r="E842" s="53"/>
      <c r="F842" s="53"/>
      <c r="G842" s="53"/>
      <c r="H842" s="53"/>
    </row>
    <row r="843" spans="1:8">
      <c r="A843" s="27"/>
      <c r="B843" s="27"/>
      <c r="C843" s="28"/>
      <c r="D843" s="28"/>
      <c r="E843" s="53"/>
      <c r="F843" s="53"/>
      <c r="G843" s="53"/>
      <c r="H843" s="53"/>
    </row>
    <row r="844" spans="1:8">
      <c r="A844" s="27"/>
      <c r="B844" s="27"/>
      <c r="C844" s="28"/>
      <c r="D844" s="28"/>
      <c r="E844" s="53"/>
      <c r="F844" s="53"/>
      <c r="G844" s="53"/>
      <c r="H844" s="53"/>
    </row>
    <row r="845" spans="1:8">
      <c r="A845" s="27"/>
      <c r="B845" s="27"/>
      <c r="C845" s="28"/>
      <c r="D845" s="28"/>
      <c r="E845" s="53"/>
      <c r="F845" s="53"/>
      <c r="G845" s="53"/>
      <c r="H845" s="53"/>
    </row>
    <row r="846" spans="1:8">
      <c r="A846" s="27"/>
      <c r="B846" s="27"/>
      <c r="C846" s="28"/>
      <c r="D846" s="28"/>
      <c r="E846" s="53"/>
      <c r="F846" s="53"/>
      <c r="G846" s="53"/>
      <c r="H846" s="53"/>
    </row>
    <row r="847" spans="1:8">
      <c r="A847" s="27"/>
      <c r="B847" s="27"/>
      <c r="C847" s="28"/>
      <c r="D847" s="28"/>
      <c r="E847" s="53"/>
      <c r="F847" s="53"/>
      <c r="G847" s="53"/>
      <c r="H847" s="53"/>
    </row>
    <row r="848" spans="1:8">
      <c r="A848" s="27"/>
      <c r="B848" s="27"/>
      <c r="C848" s="28"/>
      <c r="D848" s="28"/>
      <c r="E848" s="53"/>
      <c r="F848" s="53"/>
      <c r="G848" s="53"/>
      <c r="H848" s="53"/>
    </row>
    <row r="849" spans="1:8">
      <c r="A849" s="27"/>
      <c r="B849" s="27"/>
      <c r="C849" s="28"/>
      <c r="D849" s="28"/>
      <c r="E849" s="53"/>
      <c r="F849" s="53"/>
      <c r="G849" s="53"/>
      <c r="H849" s="53"/>
    </row>
    <row r="850" spans="1:8">
      <c r="A850" s="27"/>
      <c r="B850" s="27"/>
      <c r="C850" s="28"/>
      <c r="D850" s="28"/>
      <c r="E850" s="53"/>
      <c r="F850" s="53"/>
      <c r="G850" s="53"/>
      <c r="H850" s="53"/>
    </row>
    <row r="851" spans="1:8">
      <c r="A851" s="27"/>
      <c r="B851" s="27"/>
      <c r="C851" s="28"/>
      <c r="D851" s="28"/>
      <c r="E851" s="53"/>
      <c r="F851" s="53"/>
      <c r="G851" s="53"/>
      <c r="H851" s="53"/>
    </row>
    <row r="852" spans="1:8">
      <c r="A852" s="27"/>
      <c r="B852" s="27"/>
      <c r="C852" s="28"/>
      <c r="D852" s="28"/>
      <c r="E852" s="53"/>
      <c r="F852" s="53"/>
      <c r="G852" s="53"/>
      <c r="H852" s="53"/>
    </row>
    <row r="853" spans="1:8">
      <c r="A853" s="27"/>
      <c r="B853" s="27"/>
      <c r="C853" s="28"/>
      <c r="D853" s="28"/>
      <c r="E853" s="53"/>
      <c r="F853" s="53"/>
      <c r="G853" s="53"/>
      <c r="H853" s="53"/>
    </row>
    <row r="854" spans="1:8">
      <c r="A854" s="27"/>
      <c r="B854" s="27"/>
      <c r="C854" s="28"/>
      <c r="D854" s="28"/>
      <c r="E854" s="53"/>
      <c r="F854" s="53"/>
      <c r="G854" s="53"/>
      <c r="H854" s="53"/>
    </row>
    <row r="855" spans="1:8">
      <c r="A855" s="27"/>
      <c r="B855" s="27"/>
      <c r="C855" s="28"/>
      <c r="D855" s="28"/>
      <c r="E855" s="53"/>
      <c r="F855" s="53"/>
      <c r="G855" s="53"/>
      <c r="H855" s="53"/>
    </row>
    <row r="856" spans="1:8">
      <c r="A856" s="27"/>
      <c r="B856" s="27"/>
      <c r="C856" s="28"/>
      <c r="D856" s="28"/>
      <c r="E856" s="53"/>
      <c r="F856" s="53"/>
      <c r="G856" s="53"/>
      <c r="H856" s="53"/>
    </row>
    <row r="857" spans="1:8">
      <c r="A857" s="27"/>
      <c r="B857" s="27"/>
      <c r="C857" s="28"/>
      <c r="D857" s="28"/>
      <c r="E857" s="53"/>
      <c r="F857" s="53"/>
      <c r="G857" s="53"/>
      <c r="H857" s="53"/>
    </row>
    <row r="858" spans="1:8">
      <c r="A858" s="27"/>
      <c r="B858" s="27"/>
      <c r="C858" s="28"/>
      <c r="D858" s="28"/>
      <c r="E858" s="53"/>
      <c r="F858" s="53"/>
      <c r="G858" s="53"/>
      <c r="H858" s="53"/>
    </row>
    <row r="859" spans="1:8">
      <c r="A859" s="27"/>
      <c r="B859" s="27"/>
      <c r="C859" s="28"/>
      <c r="D859" s="28"/>
      <c r="E859" s="53"/>
      <c r="F859" s="53"/>
      <c r="G859" s="53"/>
      <c r="H859" s="53"/>
    </row>
    <row r="860" spans="1:8">
      <c r="A860" s="27"/>
      <c r="B860" s="27"/>
      <c r="C860" s="28"/>
      <c r="D860" s="28"/>
      <c r="E860" s="53"/>
      <c r="F860" s="53"/>
      <c r="G860" s="53"/>
      <c r="H860" s="53"/>
    </row>
    <row r="861" spans="1:8">
      <c r="A861" s="27"/>
      <c r="B861" s="27"/>
      <c r="C861" s="28"/>
      <c r="D861" s="28"/>
      <c r="E861" s="53"/>
      <c r="F861" s="53"/>
      <c r="G861" s="53"/>
      <c r="H861" s="53"/>
    </row>
    <row r="862" spans="1:8">
      <c r="A862" s="27"/>
      <c r="B862" s="27"/>
      <c r="C862" s="28"/>
      <c r="D862" s="28"/>
      <c r="E862" s="53"/>
      <c r="F862" s="53"/>
      <c r="G862" s="53"/>
      <c r="H862" s="53"/>
    </row>
    <row r="863" spans="1:8">
      <c r="A863" s="27"/>
      <c r="B863" s="27"/>
      <c r="C863" s="28"/>
      <c r="D863" s="28"/>
      <c r="E863" s="53"/>
      <c r="F863" s="53"/>
      <c r="G863" s="53"/>
      <c r="H863" s="53"/>
    </row>
    <row r="864" spans="1:8">
      <c r="A864" s="27"/>
      <c r="B864" s="27"/>
      <c r="C864" s="28"/>
      <c r="D864" s="28"/>
      <c r="E864" s="53"/>
      <c r="F864" s="53"/>
      <c r="G864" s="53"/>
      <c r="H864" s="53"/>
    </row>
    <row r="865" spans="1:8">
      <c r="A865" s="27"/>
      <c r="B865" s="27"/>
      <c r="C865" s="28"/>
      <c r="D865" s="28"/>
      <c r="E865" s="53"/>
      <c r="F865" s="53"/>
      <c r="G865" s="53"/>
      <c r="H865" s="53"/>
    </row>
    <row r="866" spans="1:8">
      <c r="A866" s="27"/>
      <c r="B866" s="27"/>
      <c r="C866" s="28"/>
      <c r="D866" s="28"/>
      <c r="E866" s="53"/>
      <c r="F866" s="53"/>
      <c r="G866" s="53"/>
      <c r="H866" s="53"/>
    </row>
    <row r="867" spans="1:8">
      <c r="A867" s="27"/>
      <c r="B867" s="27"/>
      <c r="C867" s="28"/>
      <c r="D867" s="28"/>
      <c r="E867" s="53"/>
      <c r="F867" s="53"/>
      <c r="G867" s="53"/>
      <c r="H867" s="53"/>
    </row>
    <row r="868" spans="1:8">
      <c r="A868" s="27"/>
      <c r="B868" s="27"/>
      <c r="C868" s="28"/>
      <c r="D868" s="28"/>
      <c r="E868" s="53"/>
      <c r="F868" s="53"/>
      <c r="G868" s="53"/>
      <c r="H868" s="53"/>
    </row>
    <row r="869" spans="1:8">
      <c r="A869" s="27"/>
      <c r="B869" s="27"/>
      <c r="C869" s="28"/>
      <c r="D869" s="28"/>
      <c r="E869" s="53"/>
      <c r="F869" s="53"/>
      <c r="G869" s="53"/>
      <c r="H869" s="53"/>
    </row>
    <row r="870" spans="1:8">
      <c r="A870" s="27"/>
      <c r="B870" s="27"/>
      <c r="C870" s="28"/>
      <c r="D870" s="28"/>
      <c r="E870" s="53"/>
      <c r="F870" s="53"/>
      <c r="G870" s="53"/>
      <c r="H870" s="53"/>
    </row>
    <row r="871" spans="1:8">
      <c r="A871" s="27"/>
      <c r="B871" s="27"/>
      <c r="C871" s="28"/>
      <c r="D871" s="28"/>
      <c r="E871" s="53"/>
      <c r="F871" s="53"/>
      <c r="G871" s="53"/>
      <c r="H871" s="53"/>
    </row>
    <row r="872" spans="1:8">
      <c r="A872" s="27"/>
      <c r="B872" s="27"/>
      <c r="C872" s="28"/>
      <c r="D872" s="28"/>
      <c r="E872" s="53"/>
      <c r="F872" s="53"/>
      <c r="G872" s="53"/>
      <c r="H872" s="53"/>
    </row>
    <row r="873" spans="1:8">
      <c r="A873" s="27"/>
      <c r="B873" s="27"/>
      <c r="C873" s="28"/>
      <c r="D873" s="28"/>
      <c r="E873" s="53"/>
      <c r="F873" s="53"/>
      <c r="G873" s="53"/>
      <c r="H873" s="53"/>
    </row>
    <row r="874" spans="1:8">
      <c r="A874" s="27"/>
      <c r="B874" s="27"/>
      <c r="C874" s="28"/>
      <c r="D874" s="28"/>
      <c r="E874" s="53"/>
      <c r="F874" s="53"/>
      <c r="G874" s="53"/>
      <c r="H874" s="53"/>
    </row>
    <row r="875" spans="1:8">
      <c r="A875" s="27"/>
      <c r="B875" s="27"/>
      <c r="C875" s="28"/>
      <c r="D875" s="28"/>
      <c r="E875" s="53"/>
      <c r="F875" s="53"/>
      <c r="G875" s="53"/>
      <c r="H875" s="53"/>
    </row>
    <row r="876" spans="1:8">
      <c r="A876" s="27"/>
      <c r="B876" s="27"/>
      <c r="C876" s="28"/>
      <c r="D876" s="28"/>
      <c r="E876" s="53"/>
      <c r="F876" s="53"/>
      <c r="G876" s="53"/>
      <c r="H876" s="53"/>
    </row>
    <row r="877" spans="1:8">
      <c r="A877" s="27"/>
      <c r="B877" s="27"/>
      <c r="C877" s="28"/>
      <c r="D877" s="28"/>
      <c r="E877" s="53"/>
      <c r="F877" s="53"/>
      <c r="G877" s="53"/>
      <c r="H877" s="53"/>
    </row>
    <row r="878" spans="1:8">
      <c r="A878" s="27"/>
      <c r="B878" s="27"/>
      <c r="C878" s="28"/>
      <c r="D878" s="28"/>
      <c r="E878" s="53"/>
      <c r="F878" s="53"/>
      <c r="G878" s="53"/>
      <c r="H878" s="53"/>
    </row>
    <row r="879" spans="1:8">
      <c r="A879" s="27"/>
      <c r="B879" s="27"/>
      <c r="C879" s="28"/>
      <c r="D879" s="28"/>
      <c r="E879" s="53"/>
      <c r="F879" s="53"/>
      <c r="G879" s="53"/>
      <c r="H879" s="53"/>
    </row>
    <row r="880" spans="1:8">
      <c r="A880" s="27"/>
      <c r="B880" s="27"/>
      <c r="C880" s="28"/>
      <c r="D880" s="28"/>
      <c r="E880" s="53"/>
      <c r="F880" s="53"/>
      <c r="G880" s="53"/>
      <c r="H880" s="53"/>
    </row>
    <row r="881" spans="1:8">
      <c r="A881" s="27"/>
      <c r="B881" s="27"/>
      <c r="C881" s="28"/>
      <c r="D881" s="28"/>
      <c r="E881" s="53"/>
      <c r="F881" s="53"/>
      <c r="G881" s="53"/>
      <c r="H881" s="53"/>
    </row>
    <row r="882" spans="1:8">
      <c r="A882" s="27"/>
      <c r="B882" s="27"/>
      <c r="C882" s="28"/>
      <c r="D882" s="28"/>
      <c r="E882" s="53"/>
      <c r="F882" s="53"/>
      <c r="G882" s="53"/>
      <c r="H882" s="53"/>
    </row>
    <row r="883" spans="1:8">
      <c r="A883" s="27"/>
      <c r="B883" s="27"/>
      <c r="C883" s="28"/>
      <c r="D883" s="28"/>
      <c r="E883" s="53"/>
      <c r="F883" s="53"/>
      <c r="G883" s="53"/>
      <c r="H883" s="53"/>
    </row>
    <row r="884" spans="1:8">
      <c r="A884" s="27"/>
      <c r="B884" s="27"/>
      <c r="C884" s="28"/>
      <c r="D884" s="28"/>
      <c r="E884" s="53"/>
      <c r="F884" s="53"/>
      <c r="G884" s="53"/>
      <c r="H884" s="53"/>
    </row>
    <row r="885" spans="1:8">
      <c r="A885" s="27"/>
      <c r="B885" s="27"/>
      <c r="C885" s="28"/>
      <c r="D885" s="28"/>
      <c r="E885" s="53"/>
      <c r="F885" s="53"/>
      <c r="G885" s="53"/>
      <c r="H885" s="53"/>
    </row>
    <row r="886" spans="1:8">
      <c r="A886" s="27"/>
      <c r="B886" s="27"/>
      <c r="C886" s="28"/>
      <c r="D886" s="28"/>
      <c r="E886" s="53"/>
      <c r="F886" s="53"/>
      <c r="G886" s="53"/>
      <c r="H886" s="53"/>
    </row>
    <row r="887" spans="1:8">
      <c r="A887" s="27"/>
      <c r="B887" s="27"/>
      <c r="C887" s="28"/>
      <c r="D887" s="28"/>
      <c r="E887" s="53"/>
      <c r="F887" s="53"/>
      <c r="G887" s="53"/>
      <c r="H887" s="53"/>
    </row>
    <row r="888" spans="1:8">
      <c r="A888" s="27"/>
      <c r="B888" s="27"/>
      <c r="C888" s="28"/>
      <c r="D888" s="28"/>
      <c r="E888" s="53"/>
      <c r="F888" s="53"/>
      <c r="G888" s="53"/>
      <c r="H888" s="53"/>
    </row>
    <row r="889" spans="1:8">
      <c r="A889" s="27"/>
      <c r="B889" s="27"/>
      <c r="C889" s="28"/>
      <c r="D889" s="28"/>
      <c r="E889" s="53"/>
      <c r="F889" s="53"/>
      <c r="G889" s="53"/>
      <c r="H889" s="53"/>
    </row>
    <row r="890" spans="1:8">
      <c r="A890" s="27"/>
      <c r="B890" s="27"/>
      <c r="C890" s="28"/>
      <c r="D890" s="28"/>
      <c r="E890" s="53"/>
      <c r="F890" s="53"/>
      <c r="G890" s="53"/>
      <c r="H890" s="53"/>
    </row>
    <row r="891" spans="1:8">
      <c r="A891" s="27"/>
      <c r="B891" s="27"/>
      <c r="C891" s="28"/>
      <c r="D891" s="28"/>
      <c r="E891" s="53"/>
      <c r="F891" s="53"/>
      <c r="G891" s="53"/>
      <c r="H891" s="53"/>
    </row>
    <row r="892" spans="1:8">
      <c r="A892" s="27"/>
      <c r="B892" s="27"/>
      <c r="C892" s="28"/>
      <c r="D892" s="28"/>
      <c r="E892" s="53"/>
      <c r="F892" s="53"/>
      <c r="G892" s="53"/>
      <c r="H892" s="53"/>
    </row>
    <row r="893" spans="1:8">
      <c r="A893" s="27"/>
      <c r="B893" s="27"/>
      <c r="C893" s="28"/>
      <c r="D893" s="28"/>
      <c r="E893" s="53"/>
      <c r="F893" s="53"/>
      <c r="G893" s="53"/>
      <c r="H893" s="53"/>
    </row>
    <row r="894" spans="1:8">
      <c r="A894" s="27"/>
      <c r="B894" s="27"/>
      <c r="C894" s="28"/>
      <c r="D894" s="28"/>
      <c r="E894" s="53"/>
      <c r="F894" s="53"/>
      <c r="G894" s="53"/>
      <c r="H894" s="53"/>
    </row>
    <row r="895" spans="1:8">
      <c r="A895" s="27"/>
      <c r="B895" s="27"/>
      <c r="C895" s="28"/>
      <c r="D895" s="28"/>
      <c r="E895" s="53"/>
      <c r="F895" s="53"/>
      <c r="G895" s="53"/>
      <c r="H895" s="53"/>
    </row>
    <row r="896" spans="1:8">
      <c r="A896" s="27"/>
      <c r="B896" s="27"/>
      <c r="C896" s="28"/>
      <c r="D896" s="28"/>
      <c r="E896" s="53"/>
      <c r="F896" s="53"/>
      <c r="G896" s="53"/>
      <c r="H896" s="53"/>
    </row>
    <row r="897" spans="1:8">
      <c r="A897" s="27"/>
      <c r="B897" s="27"/>
      <c r="C897" s="28"/>
      <c r="D897" s="28"/>
      <c r="E897" s="53"/>
      <c r="F897" s="53"/>
      <c r="G897" s="53"/>
      <c r="H897" s="53"/>
    </row>
    <row r="898" spans="1:8">
      <c r="A898" s="27"/>
      <c r="B898" s="27"/>
      <c r="C898" s="28"/>
      <c r="D898" s="28"/>
      <c r="E898" s="53"/>
      <c r="F898" s="53"/>
      <c r="G898" s="53"/>
      <c r="H898" s="53"/>
    </row>
    <row r="899" spans="1:8">
      <c r="A899" s="27"/>
      <c r="B899" s="27"/>
      <c r="C899" s="28"/>
      <c r="D899" s="28"/>
      <c r="E899" s="53"/>
      <c r="F899" s="53"/>
      <c r="G899" s="53"/>
      <c r="H899" s="53"/>
    </row>
    <row r="900" spans="1:8">
      <c r="A900" s="27"/>
      <c r="B900" s="27"/>
      <c r="C900" s="28"/>
      <c r="D900" s="28"/>
      <c r="E900" s="53"/>
      <c r="F900" s="53"/>
      <c r="G900" s="53"/>
      <c r="H900" s="53"/>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rgb="FF00B0F0"/>
    <pageSetUpPr fitToPage="1"/>
  </sheetPr>
  <dimension ref="A1:AO221"/>
  <sheetViews>
    <sheetView view="pageBreakPreview" zoomScale="80" zoomScaleNormal="85" workbookViewId="0">
      <selection activeCell="E27" sqref="E27"/>
    </sheetView>
  </sheetViews>
  <sheetFormatPr defaultColWidth="9.5" defaultRowHeight="13.8"/>
  <cols>
    <col min="1" max="1" width="7.62962962962963" style="3" customWidth="1"/>
    <col min="2" max="2" width="39.5" style="3" customWidth="1"/>
    <col min="3" max="4" width="30.75" style="4" customWidth="1"/>
    <col min="5" max="8" width="13.8796296296296" style="62" customWidth="1"/>
    <col min="9" max="16384" width="9.5" style="3"/>
  </cols>
  <sheetData>
    <row r="1" spans="1:41">
      <c r="A1" s="6" t="s">
        <v>2406</v>
      </c>
      <c r="B1" s="6"/>
      <c r="C1" s="7"/>
      <c r="D1" s="7"/>
      <c r="E1" s="6"/>
      <c r="F1" s="6"/>
      <c r="G1" s="6"/>
      <c r="H1" s="6"/>
    </row>
    <row r="2" spans="1:41">
      <c r="A2" s="8" t="s">
        <v>460</v>
      </c>
      <c r="B2" s="8"/>
      <c r="C2" s="8"/>
      <c r="D2" s="8"/>
      <c r="E2" s="8"/>
      <c r="F2" s="8"/>
      <c r="G2" s="8"/>
      <c r="H2" s="8"/>
    </row>
    <row r="3" s="1" customFormat="1" spans="1:41">
      <c r="A3" s="9" t="s">
        <v>5</v>
      </c>
      <c r="B3" s="9" t="s">
        <v>6</v>
      </c>
      <c r="C3" s="9" t="s">
        <v>7</v>
      </c>
      <c r="D3" s="9"/>
      <c r="E3" s="35" t="s">
        <v>1628</v>
      </c>
      <c r="F3" s="35"/>
      <c r="G3" s="35"/>
      <c r="H3" s="35"/>
    </row>
    <row r="4" spans="1:41">
      <c r="A4" s="11"/>
      <c r="B4" s="11"/>
      <c r="C4" s="9" t="s">
        <v>9</v>
      </c>
      <c r="D4" s="9" t="s">
        <v>10</v>
      </c>
      <c r="E4" s="35" t="s">
        <v>11</v>
      </c>
      <c r="F4" s="35" t="s">
        <v>12</v>
      </c>
      <c r="G4" s="35" t="s">
        <v>13</v>
      </c>
      <c r="H4" s="35" t="s">
        <v>14</v>
      </c>
      <c r="J4" s="78"/>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c r="A5" s="13" t="s">
        <v>140</v>
      </c>
      <c r="B5" s="13"/>
      <c r="C5" s="39"/>
      <c r="D5" s="39"/>
      <c r="E5" s="106" t="s">
        <v>16</v>
      </c>
      <c r="F5" s="106" t="s">
        <v>16</v>
      </c>
      <c r="G5" s="106" t="s">
        <v>16</v>
      </c>
      <c r="H5" s="106" t="s">
        <v>16</v>
      </c>
      <c r="J5" s="78"/>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c r="A6" s="16">
        <v>1</v>
      </c>
      <c r="B6" s="57" t="s">
        <v>2199</v>
      </c>
      <c r="C6" s="82"/>
      <c r="D6" s="82"/>
      <c r="E6" s="52" t="s">
        <v>16</v>
      </c>
      <c r="F6" s="52" t="s">
        <v>16</v>
      </c>
      <c r="G6" s="52" t="s">
        <v>16</v>
      </c>
      <c r="H6" s="52" t="s">
        <v>16</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row>
    <row r="7" ht="55.2" spans="1:41">
      <c r="A7" s="16"/>
      <c r="B7" s="18" t="s">
        <v>2407</v>
      </c>
      <c r="C7" s="18"/>
      <c r="D7" s="82"/>
      <c r="E7" s="38">
        <v>130000</v>
      </c>
      <c r="F7" s="38">
        <v>80000</v>
      </c>
      <c r="G7" s="38">
        <v>70000</v>
      </c>
      <c r="H7" s="22">
        <v>0</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row>
    <row r="8" ht="27.6" spans="1:41">
      <c r="A8" s="16"/>
      <c r="B8" s="18" t="s">
        <v>2408</v>
      </c>
      <c r="C8" s="18"/>
      <c r="D8" s="82"/>
      <c r="E8" s="38">
        <v>130000</v>
      </c>
      <c r="F8" s="38">
        <v>80000</v>
      </c>
      <c r="G8" s="38">
        <v>70000</v>
      </c>
      <c r="H8" s="22">
        <v>0</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row>
    <row r="9" ht="41.4" spans="1:41">
      <c r="A9" s="16"/>
      <c r="B9" s="18" t="s">
        <v>2409</v>
      </c>
      <c r="C9" s="18"/>
      <c r="D9" s="82"/>
      <c r="E9" s="23">
        <v>160000</v>
      </c>
      <c r="F9" s="23">
        <v>110000</v>
      </c>
      <c r="G9" s="23">
        <v>80000</v>
      </c>
      <c r="H9" s="23">
        <v>0</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row>
    <row r="10" s="88" customFormat="1" ht="55.2" spans="1:41">
      <c r="A10" s="16"/>
      <c r="B10" s="18" t="s">
        <v>2410</v>
      </c>
      <c r="C10" s="18"/>
      <c r="D10" s="107"/>
      <c r="E10" s="23">
        <v>160000</v>
      </c>
      <c r="F10" s="23">
        <v>110000</v>
      </c>
      <c r="G10" s="23">
        <v>80000</v>
      </c>
      <c r="H10" s="23">
        <v>0</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row>
    <row r="11" ht="55.2" spans="1:41">
      <c r="A11" s="16"/>
      <c r="B11" s="18" t="s">
        <v>2411</v>
      </c>
      <c r="C11" s="18"/>
      <c r="D11" s="82"/>
      <c r="E11" s="23">
        <v>160000</v>
      </c>
      <c r="F11" s="23">
        <v>110000</v>
      </c>
      <c r="G11" s="23">
        <v>80000</v>
      </c>
      <c r="H11" s="23">
        <v>0</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row>
    <row r="12" ht="27.6" spans="1:41">
      <c r="A12" s="16"/>
      <c r="B12" s="18" t="s">
        <v>2412</v>
      </c>
      <c r="C12" s="18"/>
      <c r="D12" s="82"/>
      <c r="E12" s="23">
        <v>122500</v>
      </c>
      <c r="F12" s="23">
        <v>75000</v>
      </c>
      <c r="G12" s="23">
        <v>65000</v>
      </c>
      <c r="H12" s="23">
        <v>0</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row>
    <row r="13" ht="27.6" spans="1:41">
      <c r="A13" s="16"/>
      <c r="B13" s="18" t="s">
        <v>2413</v>
      </c>
      <c r="C13" s="18"/>
      <c r="D13" s="18"/>
      <c r="E13" s="23">
        <v>127500</v>
      </c>
      <c r="F13" s="23">
        <v>80000</v>
      </c>
      <c r="G13" s="23">
        <v>65000</v>
      </c>
      <c r="H13" s="23">
        <v>0</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row>
    <row r="14" ht="27.6" spans="1:41">
      <c r="A14" s="16">
        <v>2</v>
      </c>
      <c r="B14" s="18" t="s">
        <v>2414</v>
      </c>
      <c r="C14" s="18"/>
      <c r="D14" s="82"/>
      <c r="E14" s="23">
        <v>145000</v>
      </c>
      <c r="F14" s="23">
        <v>100000</v>
      </c>
      <c r="G14" s="23">
        <v>70000</v>
      </c>
      <c r="H14" s="23">
        <v>0</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row>
    <row r="15" ht="41.4" spans="1:41">
      <c r="A15" s="16">
        <f>A14+1</f>
        <v>3</v>
      </c>
      <c r="B15" s="18" t="s">
        <v>2415</v>
      </c>
      <c r="C15" s="18"/>
      <c r="D15" s="82"/>
      <c r="E15" s="23">
        <v>60000</v>
      </c>
      <c r="F15" s="23">
        <v>50000</v>
      </c>
      <c r="G15" s="23">
        <v>40000</v>
      </c>
      <c r="H15" s="23">
        <v>0</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row>
    <row r="16" ht="41.4" spans="1:41">
      <c r="A16" s="16">
        <f t="shared" ref="A16:A19" si="0">A15+1</f>
        <v>4</v>
      </c>
      <c r="B16" s="18" t="s">
        <v>2416</v>
      </c>
      <c r="C16" s="18"/>
      <c r="D16" s="82"/>
      <c r="E16" s="23">
        <v>62500</v>
      </c>
      <c r="F16" s="23">
        <v>50000</v>
      </c>
      <c r="G16" s="23">
        <v>45000</v>
      </c>
      <c r="H16" s="23">
        <v>0</v>
      </c>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row>
    <row r="17" s="14" customFormat="1" ht="69" spans="1:41">
      <c r="A17" s="16">
        <f t="shared" si="0"/>
        <v>5</v>
      </c>
      <c r="B17" s="18" t="s">
        <v>2417</v>
      </c>
      <c r="C17" s="18"/>
      <c r="D17" s="82"/>
      <c r="E17" s="23">
        <v>140000</v>
      </c>
      <c r="F17" s="23">
        <v>100000</v>
      </c>
      <c r="G17" s="23">
        <v>70000</v>
      </c>
      <c r="H17" s="23">
        <v>0</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s="14" customFormat="1" ht="41.4" spans="1:41">
      <c r="A18" s="16">
        <f t="shared" si="0"/>
        <v>6</v>
      </c>
      <c r="B18" s="18" t="s">
        <v>2418</v>
      </c>
      <c r="C18" s="18"/>
      <c r="D18" s="82"/>
      <c r="E18" s="23">
        <v>65000</v>
      </c>
      <c r="F18" s="23">
        <v>55000</v>
      </c>
      <c r="G18" s="23">
        <v>50000</v>
      </c>
      <c r="H18" s="23">
        <v>0</v>
      </c>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row>
    <row r="19" s="14" customFormat="1" ht="55.2" spans="1:41">
      <c r="A19" s="16">
        <f t="shared" si="0"/>
        <v>7</v>
      </c>
      <c r="B19" s="18" t="s">
        <v>2419</v>
      </c>
      <c r="C19" s="18"/>
      <c r="D19" s="82"/>
      <c r="E19" s="23">
        <v>112500</v>
      </c>
      <c r="F19" s="23">
        <v>70000</v>
      </c>
      <c r="G19" s="23">
        <v>60000</v>
      </c>
      <c r="H19" s="23">
        <v>0</v>
      </c>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s="14" customFormat="1" spans="1:41">
      <c r="A20" s="13" t="s">
        <v>167</v>
      </c>
      <c r="B20" s="13"/>
      <c r="C20" s="39"/>
      <c r="D20" s="39"/>
      <c r="E20" s="23" t="s">
        <v>16</v>
      </c>
      <c r="F20" s="23" t="s">
        <v>16</v>
      </c>
      <c r="G20" s="23" t="s">
        <v>16</v>
      </c>
      <c r="H20" s="23" t="s">
        <v>16</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s="14" customFormat="1" ht="82.8" spans="1:41">
      <c r="A21" s="16">
        <v>8</v>
      </c>
      <c r="B21" s="18" t="s">
        <v>2420</v>
      </c>
      <c r="C21" s="82"/>
      <c r="D21" s="18"/>
      <c r="E21" s="23">
        <v>52500</v>
      </c>
      <c r="F21" s="23">
        <v>45000</v>
      </c>
      <c r="G21" s="23">
        <v>0</v>
      </c>
      <c r="H21" s="23">
        <v>0</v>
      </c>
      <c r="I21" s="3"/>
      <c r="J21" s="78"/>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s="14" customFormat="1" ht="69" spans="1:41">
      <c r="A22" s="16">
        <v>9</v>
      </c>
      <c r="B22" s="18" t="s">
        <v>2421</v>
      </c>
      <c r="C22" s="82"/>
      <c r="D22" s="18"/>
      <c r="E22" s="23">
        <v>30000</v>
      </c>
      <c r="F22" s="23">
        <v>25500</v>
      </c>
      <c r="G22" s="23">
        <v>0</v>
      </c>
      <c r="H22" s="23">
        <v>0</v>
      </c>
      <c r="I22" s="3"/>
      <c r="J22" s="78"/>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spans="1:41">
      <c r="A23" s="14"/>
      <c r="B23" s="14"/>
      <c r="C23" s="82"/>
      <c r="D23" s="82"/>
      <c r="E23" s="23" t="s">
        <v>16</v>
      </c>
      <c r="F23" s="23" t="s">
        <v>16</v>
      </c>
      <c r="G23" s="23" t="s">
        <v>16</v>
      </c>
      <c r="H23" s="23" t="s">
        <v>16</v>
      </c>
    </row>
    <row r="24" spans="1:41">
      <c r="A24" s="14"/>
      <c r="B24" s="14"/>
      <c r="C24" s="82"/>
      <c r="D24" s="82"/>
      <c r="E24" s="23" t="s">
        <v>16</v>
      </c>
      <c r="F24" s="23" t="s">
        <v>16</v>
      </c>
      <c r="G24" s="23" t="s">
        <v>16</v>
      </c>
      <c r="H24" s="23" t="s">
        <v>16</v>
      </c>
    </row>
    <row r="25" spans="1:41">
      <c r="A25" s="14"/>
      <c r="B25" s="14"/>
      <c r="C25" s="82"/>
      <c r="D25" s="82"/>
      <c r="E25" s="23" t="s">
        <v>16</v>
      </c>
      <c r="F25" s="23" t="s">
        <v>16</v>
      </c>
      <c r="G25" s="23" t="s">
        <v>16</v>
      </c>
      <c r="H25" s="23" t="s">
        <v>16</v>
      </c>
    </row>
    <row r="26" spans="1:41">
      <c r="A26" s="14"/>
      <c r="B26" s="14"/>
      <c r="C26" s="82"/>
      <c r="D26" s="82"/>
      <c r="E26" s="23" t="s">
        <v>16</v>
      </c>
      <c r="F26" s="23" t="s">
        <v>16</v>
      </c>
      <c r="G26" s="23" t="s">
        <v>16</v>
      </c>
      <c r="H26" s="23" t="s">
        <v>16</v>
      </c>
    </row>
    <row r="27" spans="1:41">
      <c r="A27" s="14"/>
      <c r="B27" s="14"/>
      <c r="C27" s="82"/>
      <c r="D27" s="82"/>
      <c r="E27" s="23" t="s">
        <v>16</v>
      </c>
      <c r="F27" s="23" t="s">
        <v>16</v>
      </c>
      <c r="G27" s="23" t="s">
        <v>16</v>
      </c>
      <c r="H27" s="23" t="s">
        <v>16</v>
      </c>
    </row>
    <row r="28" spans="1:41">
      <c r="A28" s="14"/>
      <c r="B28" s="14"/>
      <c r="C28" s="82"/>
      <c r="D28" s="82"/>
      <c r="E28" s="23" t="s">
        <v>16</v>
      </c>
      <c r="F28" s="23" t="s">
        <v>16</v>
      </c>
      <c r="G28" s="23" t="s">
        <v>16</v>
      </c>
      <c r="H28" s="23" t="s">
        <v>16</v>
      </c>
    </row>
    <row r="29" spans="1:41">
      <c r="A29" s="14"/>
      <c r="B29" s="14"/>
      <c r="C29" s="82"/>
      <c r="D29" s="82"/>
      <c r="E29" s="23" t="s">
        <v>16</v>
      </c>
      <c r="F29" s="23" t="s">
        <v>16</v>
      </c>
      <c r="G29" s="23" t="s">
        <v>16</v>
      </c>
      <c r="H29" s="23" t="s">
        <v>16</v>
      </c>
    </row>
    <row r="30" spans="1:41">
      <c r="A30" s="16"/>
      <c r="B30" s="14"/>
      <c r="C30" s="82"/>
      <c r="D30" s="82"/>
      <c r="E30" s="23" t="s">
        <v>16</v>
      </c>
      <c r="F30" s="23" t="s">
        <v>16</v>
      </c>
      <c r="G30" s="23" t="s">
        <v>16</v>
      </c>
      <c r="H30" s="23" t="s">
        <v>16</v>
      </c>
    </row>
    <row r="31" spans="1:41">
      <c r="A31" s="14"/>
      <c r="B31" s="14"/>
      <c r="C31" s="82"/>
      <c r="D31" s="82"/>
      <c r="E31" s="23" t="s">
        <v>16</v>
      </c>
      <c r="F31" s="23" t="s">
        <v>16</v>
      </c>
      <c r="G31" s="23" t="s">
        <v>16</v>
      </c>
      <c r="H31" s="23" t="s">
        <v>16</v>
      </c>
    </row>
    <row r="32" spans="1:41">
      <c r="A32" s="14"/>
      <c r="B32" s="14"/>
      <c r="C32" s="82"/>
      <c r="D32" s="82"/>
      <c r="E32" s="23" t="s">
        <v>16</v>
      </c>
      <c r="F32" s="23" t="s">
        <v>16</v>
      </c>
      <c r="G32" s="23" t="s">
        <v>16</v>
      </c>
      <c r="H32" s="23" t="s">
        <v>16</v>
      </c>
    </row>
    <row r="33" spans="1:8">
      <c r="A33" s="14"/>
      <c r="B33" s="14"/>
      <c r="C33" s="82"/>
      <c r="D33" s="82"/>
      <c r="E33" s="23" t="s">
        <v>16</v>
      </c>
      <c r="F33" s="23" t="s">
        <v>16</v>
      </c>
      <c r="G33" s="23" t="s">
        <v>16</v>
      </c>
      <c r="H33" s="23" t="s">
        <v>16</v>
      </c>
    </row>
    <row r="34" spans="1:8">
      <c r="A34" s="14"/>
      <c r="B34" s="14"/>
      <c r="C34" s="82"/>
      <c r="D34" s="82"/>
      <c r="E34" s="23" t="s">
        <v>16</v>
      </c>
      <c r="F34" s="23" t="s">
        <v>16</v>
      </c>
      <c r="G34" s="23" t="s">
        <v>16</v>
      </c>
      <c r="H34" s="23" t="s">
        <v>16</v>
      </c>
    </row>
    <row r="35" spans="1:8">
      <c r="A35" s="14"/>
      <c r="B35" s="14"/>
      <c r="C35" s="82"/>
      <c r="D35" s="82"/>
      <c r="E35" s="23" t="s">
        <v>16</v>
      </c>
      <c r="F35" s="23" t="s">
        <v>16</v>
      </c>
      <c r="G35" s="23" t="s">
        <v>16</v>
      </c>
      <c r="H35" s="23" t="s">
        <v>16</v>
      </c>
    </row>
    <row r="36" spans="1:8">
      <c r="A36" s="14"/>
      <c r="B36" s="14"/>
      <c r="C36" s="82"/>
      <c r="D36" s="82"/>
      <c r="E36" s="23" t="s">
        <v>16</v>
      </c>
      <c r="F36" s="23" t="s">
        <v>16</v>
      </c>
      <c r="G36" s="23" t="s">
        <v>16</v>
      </c>
      <c r="H36" s="23" t="s">
        <v>16</v>
      </c>
    </row>
    <row r="37" spans="1:8">
      <c r="A37" s="14"/>
      <c r="B37" s="14"/>
      <c r="C37" s="82"/>
      <c r="D37" s="82"/>
      <c r="E37" s="23" t="s">
        <v>16</v>
      </c>
      <c r="F37" s="23" t="s">
        <v>16</v>
      </c>
      <c r="G37" s="23" t="s">
        <v>16</v>
      </c>
      <c r="H37" s="23" t="s">
        <v>16</v>
      </c>
    </row>
    <row r="38" spans="1:8">
      <c r="A38" s="14"/>
      <c r="B38" s="14"/>
      <c r="C38" s="82"/>
      <c r="D38" s="82"/>
      <c r="E38" s="23" t="s">
        <v>16</v>
      </c>
      <c r="F38" s="23" t="s">
        <v>16</v>
      </c>
      <c r="G38" s="23" t="s">
        <v>16</v>
      </c>
      <c r="H38" s="23" t="s">
        <v>16</v>
      </c>
    </row>
    <row r="39" spans="1:8">
      <c r="A39" s="14"/>
      <c r="B39" s="14"/>
      <c r="C39" s="82"/>
      <c r="D39" s="82"/>
      <c r="E39" s="23" t="s">
        <v>16</v>
      </c>
      <c r="F39" s="23" t="s">
        <v>16</v>
      </c>
      <c r="G39" s="23" t="s">
        <v>16</v>
      </c>
      <c r="H39" s="23" t="s">
        <v>16</v>
      </c>
    </row>
    <row r="40" spans="1:8">
      <c r="A40" s="14"/>
      <c r="B40" s="14"/>
      <c r="C40" s="82"/>
      <c r="D40" s="82"/>
      <c r="E40" s="23" t="s">
        <v>16</v>
      </c>
      <c r="F40" s="23" t="s">
        <v>16</v>
      </c>
      <c r="G40" s="23" t="s">
        <v>16</v>
      </c>
      <c r="H40" s="23" t="s">
        <v>16</v>
      </c>
    </row>
    <row r="41" spans="1:8">
      <c r="A41" s="14"/>
      <c r="B41" s="14"/>
      <c r="C41" s="82"/>
      <c r="D41" s="82"/>
      <c r="E41" s="23" t="s">
        <v>16</v>
      </c>
      <c r="F41" s="23" t="s">
        <v>16</v>
      </c>
      <c r="G41" s="23" t="s">
        <v>16</v>
      </c>
      <c r="H41" s="23" t="s">
        <v>16</v>
      </c>
    </row>
    <row r="42" spans="1:8">
      <c r="A42" s="14"/>
      <c r="B42" s="14"/>
      <c r="C42" s="82"/>
      <c r="D42" s="82"/>
      <c r="E42" s="23" t="s">
        <v>16</v>
      </c>
      <c r="F42" s="23" t="s">
        <v>16</v>
      </c>
      <c r="G42" s="23" t="s">
        <v>16</v>
      </c>
      <c r="H42" s="23" t="s">
        <v>16</v>
      </c>
    </row>
    <row r="43" spans="1:8">
      <c r="A43" s="14"/>
      <c r="B43" s="14"/>
      <c r="C43" s="82"/>
      <c r="D43" s="82"/>
      <c r="E43" s="23" t="s">
        <v>16</v>
      </c>
      <c r="F43" s="23" t="s">
        <v>16</v>
      </c>
      <c r="G43" s="23" t="s">
        <v>16</v>
      </c>
      <c r="H43" s="23" t="s">
        <v>16</v>
      </c>
    </row>
    <row r="44" spans="1:8">
      <c r="A44" s="14"/>
      <c r="B44" s="14"/>
      <c r="C44" s="82"/>
      <c r="D44" s="82"/>
      <c r="E44" s="23" t="s">
        <v>16</v>
      </c>
      <c r="F44" s="23" t="s">
        <v>16</v>
      </c>
      <c r="G44" s="23" t="s">
        <v>16</v>
      </c>
      <c r="H44" s="23" t="s">
        <v>16</v>
      </c>
    </row>
    <row r="45" spans="1:8">
      <c r="A45" s="14"/>
      <c r="B45" s="14"/>
      <c r="C45" s="82"/>
      <c r="D45" s="82"/>
      <c r="E45" s="23" t="s">
        <v>16</v>
      </c>
      <c r="F45" s="23" t="s">
        <v>16</v>
      </c>
      <c r="G45" s="23" t="s">
        <v>16</v>
      </c>
      <c r="H45" s="23" t="s">
        <v>16</v>
      </c>
    </row>
    <row r="46" spans="1:8">
      <c r="A46" s="14"/>
      <c r="B46" s="14"/>
      <c r="C46" s="82"/>
      <c r="D46" s="82"/>
      <c r="E46" s="23" t="s">
        <v>16</v>
      </c>
      <c r="F46" s="23" t="s">
        <v>16</v>
      </c>
      <c r="G46" s="23" t="s">
        <v>16</v>
      </c>
      <c r="H46" s="23" t="s">
        <v>16</v>
      </c>
    </row>
    <row r="47" spans="1:8">
      <c r="A47" s="14"/>
      <c r="B47" s="14"/>
      <c r="C47" s="82"/>
      <c r="D47" s="82"/>
      <c r="E47" s="23" t="s">
        <v>16</v>
      </c>
      <c r="F47" s="23" t="s">
        <v>16</v>
      </c>
      <c r="G47" s="23" t="s">
        <v>16</v>
      </c>
      <c r="H47" s="23" t="s">
        <v>16</v>
      </c>
    </row>
    <row r="48" spans="1:8">
      <c r="A48" s="14"/>
      <c r="B48" s="14"/>
      <c r="C48" s="82"/>
      <c r="D48" s="82"/>
      <c r="E48" s="23" t="s">
        <v>16</v>
      </c>
      <c r="F48" s="23" t="s">
        <v>16</v>
      </c>
      <c r="G48" s="23" t="s">
        <v>16</v>
      </c>
      <c r="H48" s="23" t="s">
        <v>16</v>
      </c>
    </row>
    <row r="49" spans="1:8">
      <c r="A49" s="14"/>
      <c r="B49" s="14"/>
      <c r="C49" s="82"/>
      <c r="D49" s="82"/>
      <c r="E49" s="23" t="s">
        <v>16</v>
      </c>
      <c r="F49" s="23" t="s">
        <v>16</v>
      </c>
      <c r="G49" s="23" t="s">
        <v>16</v>
      </c>
      <c r="H49" s="23" t="s">
        <v>16</v>
      </c>
    </row>
    <row r="50" spans="1:8">
      <c r="A50" s="14"/>
      <c r="B50" s="14"/>
      <c r="C50" s="82"/>
      <c r="D50" s="82"/>
      <c r="E50" s="23" t="s">
        <v>16</v>
      </c>
      <c r="F50" s="23" t="s">
        <v>16</v>
      </c>
      <c r="G50" s="23" t="s">
        <v>16</v>
      </c>
      <c r="H50" s="23" t="s">
        <v>16</v>
      </c>
    </row>
    <row r="51" spans="1:8">
      <c r="A51" s="14"/>
      <c r="B51" s="108"/>
      <c r="C51" s="98"/>
      <c r="D51" s="98"/>
      <c r="E51" s="23" t="s">
        <v>16</v>
      </c>
      <c r="F51" s="23" t="s">
        <v>16</v>
      </c>
      <c r="G51" s="23" t="s">
        <v>16</v>
      </c>
      <c r="H51" s="23" t="s">
        <v>16</v>
      </c>
    </row>
    <row r="52" spans="1:8">
      <c r="A52" s="14"/>
      <c r="B52" s="14"/>
      <c r="C52" s="82"/>
      <c r="D52" s="82"/>
      <c r="E52" s="23" t="s">
        <v>16</v>
      </c>
      <c r="F52" s="23" t="s">
        <v>16</v>
      </c>
      <c r="G52" s="23" t="s">
        <v>16</v>
      </c>
      <c r="H52" s="23" t="s">
        <v>16</v>
      </c>
    </row>
    <row r="53" spans="1:8">
      <c r="A53" s="14"/>
      <c r="B53" s="14"/>
      <c r="C53" s="82"/>
      <c r="D53" s="82"/>
      <c r="E53" s="23" t="s">
        <v>16</v>
      </c>
      <c r="F53" s="23" t="s">
        <v>16</v>
      </c>
      <c r="G53" s="23" t="s">
        <v>16</v>
      </c>
      <c r="H53" s="23" t="s">
        <v>16</v>
      </c>
    </row>
    <row r="54" spans="1:8">
      <c r="A54" s="14"/>
      <c r="B54" s="14"/>
      <c r="C54" s="82"/>
      <c r="D54" s="82"/>
      <c r="E54" s="23" t="s">
        <v>16</v>
      </c>
      <c r="F54" s="23" t="s">
        <v>16</v>
      </c>
      <c r="G54" s="23" t="s">
        <v>16</v>
      </c>
      <c r="H54" s="23" t="s">
        <v>16</v>
      </c>
    </row>
    <row r="55" spans="1:8">
      <c r="A55" s="14"/>
      <c r="B55" s="14"/>
      <c r="C55" s="82"/>
      <c r="D55" s="82"/>
      <c r="E55" s="23" t="s">
        <v>16</v>
      </c>
      <c r="F55" s="23" t="s">
        <v>16</v>
      </c>
      <c r="G55" s="23" t="s">
        <v>16</v>
      </c>
      <c r="H55" s="23" t="s">
        <v>16</v>
      </c>
    </row>
    <row r="56" spans="1:8">
      <c r="A56" s="14"/>
      <c r="B56" s="14"/>
      <c r="C56" s="82"/>
      <c r="D56" s="82"/>
      <c r="E56" s="23" t="s">
        <v>16</v>
      </c>
      <c r="F56" s="23" t="s">
        <v>16</v>
      </c>
      <c r="G56" s="23" t="s">
        <v>16</v>
      </c>
      <c r="H56" s="23" t="s">
        <v>16</v>
      </c>
    </row>
    <row r="57" spans="1:8">
      <c r="A57" s="14"/>
      <c r="B57" s="14"/>
      <c r="C57" s="82"/>
      <c r="D57" s="82"/>
      <c r="E57" s="23" t="s">
        <v>16</v>
      </c>
      <c r="F57" s="23" t="s">
        <v>16</v>
      </c>
      <c r="G57" s="23" t="s">
        <v>16</v>
      </c>
      <c r="H57" s="23" t="s">
        <v>16</v>
      </c>
    </row>
    <row r="58" spans="1:8">
      <c r="A58" s="14"/>
      <c r="B58" s="14"/>
      <c r="C58" s="82"/>
      <c r="D58" s="82"/>
      <c r="E58" s="23" t="s">
        <v>16</v>
      </c>
      <c r="F58" s="23" t="s">
        <v>16</v>
      </c>
      <c r="G58" s="23" t="s">
        <v>16</v>
      </c>
      <c r="H58" s="23" t="s">
        <v>16</v>
      </c>
    </row>
    <row r="59" spans="1:8">
      <c r="A59" s="14"/>
      <c r="B59" s="14"/>
      <c r="C59" s="82"/>
      <c r="D59" s="82"/>
      <c r="E59" s="23" t="s">
        <v>16</v>
      </c>
      <c r="F59" s="23" t="s">
        <v>16</v>
      </c>
      <c r="G59" s="23" t="s">
        <v>16</v>
      </c>
      <c r="H59" s="23" t="s">
        <v>16</v>
      </c>
    </row>
    <row r="60" spans="1:8">
      <c r="A60" s="14"/>
      <c r="B60" s="14"/>
      <c r="C60" s="82"/>
      <c r="D60" s="82"/>
      <c r="E60" s="23" t="s">
        <v>16</v>
      </c>
      <c r="F60" s="23" t="s">
        <v>16</v>
      </c>
      <c r="G60" s="23" t="s">
        <v>16</v>
      </c>
      <c r="H60" s="23" t="s">
        <v>16</v>
      </c>
    </row>
    <row r="61" spans="1:8">
      <c r="A61" s="14"/>
      <c r="B61" s="14"/>
      <c r="C61" s="82"/>
      <c r="D61" s="82"/>
      <c r="E61" s="23" t="s">
        <v>16</v>
      </c>
      <c r="F61" s="23" t="s">
        <v>16</v>
      </c>
      <c r="G61" s="23" t="s">
        <v>16</v>
      </c>
      <c r="H61" s="23" t="s">
        <v>16</v>
      </c>
    </row>
    <row r="62" spans="1:8">
      <c r="A62" s="14"/>
      <c r="B62" s="14"/>
      <c r="C62" s="82"/>
      <c r="D62" s="82"/>
      <c r="E62" s="23" t="s">
        <v>16</v>
      </c>
      <c r="F62" s="23" t="s">
        <v>16</v>
      </c>
      <c r="G62" s="23" t="s">
        <v>16</v>
      </c>
      <c r="H62" s="23" t="s">
        <v>16</v>
      </c>
    </row>
    <row r="63" spans="1:8">
      <c r="A63" s="14"/>
      <c r="B63" s="14"/>
      <c r="C63" s="82"/>
      <c r="D63" s="82"/>
      <c r="E63" s="23" t="s">
        <v>16</v>
      </c>
      <c r="F63" s="23" t="s">
        <v>16</v>
      </c>
      <c r="G63" s="23" t="s">
        <v>16</v>
      </c>
      <c r="H63" s="23" t="s">
        <v>16</v>
      </c>
    </row>
    <row r="64" spans="1:8">
      <c r="A64" s="14"/>
      <c r="B64" s="14"/>
      <c r="C64" s="82"/>
      <c r="D64" s="82"/>
      <c r="E64" s="23" t="s">
        <v>16</v>
      </c>
      <c r="F64" s="23" t="s">
        <v>16</v>
      </c>
      <c r="G64" s="23" t="s">
        <v>16</v>
      </c>
      <c r="H64" s="23" t="s">
        <v>16</v>
      </c>
    </row>
    <row r="65" spans="1:8">
      <c r="A65" s="14"/>
      <c r="B65" s="14"/>
      <c r="C65" s="82"/>
      <c r="D65" s="82"/>
      <c r="E65" s="23" t="s">
        <v>16</v>
      </c>
      <c r="F65" s="23" t="s">
        <v>16</v>
      </c>
      <c r="G65" s="23" t="s">
        <v>16</v>
      </c>
      <c r="H65" s="23" t="s">
        <v>16</v>
      </c>
    </row>
    <row r="66" spans="1:8">
      <c r="A66" s="14"/>
      <c r="B66" s="14"/>
      <c r="C66" s="82"/>
      <c r="D66" s="82"/>
      <c r="E66" s="23" t="s">
        <v>16</v>
      </c>
      <c r="F66" s="23" t="s">
        <v>16</v>
      </c>
      <c r="G66" s="23" t="s">
        <v>16</v>
      </c>
      <c r="H66" s="23" t="s">
        <v>16</v>
      </c>
    </row>
    <row r="67" spans="1:8">
      <c r="A67" s="14"/>
      <c r="B67" s="14"/>
      <c r="C67" s="82"/>
      <c r="D67" s="82"/>
      <c r="E67" s="23" t="s">
        <v>16</v>
      </c>
      <c r="F67" s="23" t="s">
        <v>16</v>
      </c>
      <c r="G67" s="23" t="s">
        <v>16</v>
      </c>
      <c r="H67" s="23" t="s">
        <v>16</v>
      </c>
    </row>
    <row r="68" spans="1:8">
      <c r="A68" s="14"/>
      <c r="B68" s="14"/>
      <c r="C68" s="82"/>
      <c r="D68" s="82"/>
      <c r="E68" s="23" t="s">
        <v>16</v>
      </c>
      <c r="F68" s="23" t="s">
        <v>16</v>
      </c>
      <c r="G68" s="23" t="s">
        <v>16</v>
      </c>
      <c r="H68" s="23" t="s">
        <v>16</v>
      </c>
    </row>
    <row r="69" spans="1:8">
      <c r="A69" s="14"/>
      <c r="B69" s="14"/>
      <c r="C69" s="82"/>
      <c r="D69" s="82"/>
      <c r="E69" s="23" t="s">
        <v>16</v>
      </c>
      <c r="F69" s="23" t="s">
        <v>16</v>
      </c>
      <c r="G69" s="23" t="s">
        <v>16</v>
      </c>
      <c r="H69" s="23" t="s">
        <v>16</v>
      </c>
    </row>
    <row r="70" spans="1:8">
      <c r="A70" s="14"/>
      <c r="B70" s="14"/>
      <c r="C70" s="82"/>
      <c r="D70" s="82"/>
      <c r="E70" s="23" t="s">
        <v>16</v>
      </c>
      <c r="F70" s="23" t="s">
        <v>16</v>
      </c>
      <c r="G70" s="23" t="s">
        <v>16</v>
      </c>
      <c r="H70" s="23" t="s">
        <v>16</v>
      </c>
    </row>
    <row r="71" spans="1:8">
      <c r="A71" s="14"/>
      <c r="B71" s="14"/>
      <c r="C71" s="82"/>
      <c r="D71" s="82"/>
      <c r="E71" s="23" t="s">
        <v>16</v>
      </c>
      <c r="F71" s="23" t="s">
        <v>16</v>
      </c>
      <c r="G71" s="23" t="s">
        <v>16</v>
      </c>
      <c r="H71" s="23" t="s">
        <v>16</v>
      </c>
    </row>
    <row r="72" spans="1:8">
      <c r="A72" s="14"/>
      <c r="B72" s="14"/>
      <c r="C72" s="82"/>
      <c r="D72" s="82"/>
      <c r="E72" s="23" t="s">
        <v>16</v>
      </c>
      <c r="F72" s="23" t="s">
        <v>16</v>
      </c>
      <c r="G72" s="23" t="s">
        <v>16</v>
      </c>
      <c r="H72" s="23" t="s">
        <v>16</v>
      </c>
    </row>
    <row r="73" spans="1:8">
      <c r="A73" s="14"/>
      <c r="B73" s="14"/>
      <c r="C73" s="82"/>
      <c r="D73" s="82"/>
      <c r="E73" s="23" t="s">
        <v>16</v>
      </c>
      <c r="F73" s="23" t="s">
        <v>16</v>
      </c>
      <c r="G73" s="23" t="s">
        <v>16</v>
      </c>
      <c r="H73" s="23" t="s">
        <v>16</v>
      </c>
    </row>
    <row r="74" spans="1:8">
      <c r="A74" s="14"/>
      <c r="B74" s="14"/>
      <c r="C74" s="82"/>
      <c r="D74" s="82"/>
      <c r="E74" s="23" t="s">
        <v>16</v>
      </c>
      <c r="F74" s="23" t="s">
        <v>16</v>
      </c>
      <c r="G74" s="23" t="s">
        <v>16</v>
      </c>
      <c r="H74" s="23" t="s">
        <v>16</v>
      </c>
    </row>
    <row r="75" spans="1:8">
      <c r="A75" s="14"/>
      <c r="B75" s="14"/>
      <c r="C75" s="82"/>
      <c r="D75" s="82"/>
      <c r="E75" s="23" t="s">
        <v>16</v>
      </c>
      <c r="F75" s="23" t="s">
        <v>16</v>
      </c>
      <c r="G75" s="23" t="s">
        <v>16</v>
      </c>
      <c r="H75" s="23" t="s">
        <v>16</v>
      </c>
    </row>
    <row r="76" spans="1:8">
      <c r="A76" s="14"/>
      <c r="B76" s="14"/>
      <c r="C76" s="82"/>
      <c r="D76" s="82"/>
      <c r="E76" s="23" t="s">
        <v>16</v>
      </c>
      <c r="F76" s="23" t="s">
        <v>16</v>
      </c>
      <c r="G76" s="23" t="s">
        <v>16</v>
      </c>
      <c r="H76" s="23" t="s">
        <v>16</v>
      </c>
    </row>
    <row r="77" spans="1:8">
      <c r="A77" s="14"/>
      <c r="B77" s="14"/>
      <c r="C77" s="82"/>
      <c r="D77" s="82"/>
      <c r="E77" s="23" t="s">
        <v>16</v>
      </c>
      <c r="F77" s="23" t="s">
        <v>16</v>
      </c>
      <c r="G77" s="23" t="s">
        <v>16</v>
      </c>
      <c r="H77" s="23" t="s">
        <v>16</v>
      </c>
    </row>
    <row r="78" spans="1:8">
      <c r="A78" s="14"/>
      <c r="B78" s="14"/>
      <c r="C78" s="82"/>
      <c r="D78" s="82"/>
      <c r="E78" s="23" t="s">
        <v>16</v>
      </c>
      <c r="F78" s="23" t="s">
        <v>16</v>
      </c>
      <c r="G78" s="23" t="s">
        <v>16</v>
      </c>
      <c r="H78" s="23" t="s">
        <v>16</v>
      </c>
    </row>
    <row r="79" spans="1:8">
      <c r="A79" s="14"/>
      <c r="B79" s="109"/>
      <c r="C79" s="100"/>
      <c r="D79" s="100"/>
      <c r="E79" s="23" t="s">
        <v>16</v>
      </c>
      <c r="F79" s="23" t="s">
        <v>16</v>
      </c>
      <c r="G79" s="23" t="s">
        <v>16</v>
      </c>
      <c r="H79" s="23" t="s">
        <v>16</v>
      </c>
    </row>
    <row r="80" spans="1:8">
      <c r="A80" s="14"/>
      <c r="B80" s="14"/>
      <c r="C80" s="82"/>
      <c r="D80" s="82"/>
      <c r="E80" s="23" t="s">
        <v>16</v>
      </c>
      <c r="F80" s="23" t="s">
        <v>16</v>
      </c>
      <c r="G80" s="23" t="s">
        <v>16</v>
      </c>
      <c r="H80" s="23" t="s">
        <v>16</v>
      </c>
    </row>
    <row r="81" spans="1:8">
      <c r="A81" s="14"/>
      <c r="B81" s="14"/>
      <c r="C81" s="82"/>
      <c r="D81" s="82"/>
      <c r="E81" s="23" t="s">
        <v>16</v>
      </c>
      <c r="F81" s="23" t="s">
        <v>16</v>
      </c>
      <c r="G81" s="23" t="s">
        <v>16</v>
      </c>
      <c r="H81" s="23" t="s">
        <v>16</v>
      </c>
    </row>
    <row r="82" spans="1:8">
      <c r="A82" s="14"/>
      <c r="B82" s="14"/>
      <c r="C82" s="82"/>
      <c r="D82" s="82"/>
      <c r="E82" s="23" t="s">
        <v>16</v>
      </c>
      <c r="F82" s="23" t="s">
        <v>16</v>
      </c>
      <c r="G82" s="23" t="s">
        <v>16</v>
      </c>
      <c r="H82" s="23" t="s">
        <v>16</v>
      </c>
    </row>
    <row r="83" spans="1:8">
      <c r="E83" s="23" t="s">
        <v>16</v>
      </c>
      <c r="F83" s="23" t="s">
        <v>16</v>
      </c>
      <c r="G83" s="23" t="s">
        <v>16</v>
      </c>
      <c r="H83" s="23" t="s">
        <v>16</v>
      </c>
    </row>
    <row r="84" spans="1:8">
      <c r="E84" s="23" t="s">
        <v>16</v>
      </c>
      <c r="F84" s="23" t="s">
        <v>16</v>
      </c>
      <c r="G84" s="23" t="s">
        <v>16</v>
      </c>
      <c r="H84" s="23" t="s">
        <v>16</v>
      </c>
    </row>
    <row r="85" spans="1:8">
      <c r="E85" s="23" t="s">
        <v>16</v>
      </c>
      <c r="F85" s="23" t="s">
        <v>16</v>
      </c>
      <c r="G85" s="23" t="s">
        <v>16</v>
      </c>
      <c r="H85" s="23" t="s">
        <v>16</v>
      </c>
    </row>
    <row r="86" spans="1:8">
      <c r="E86" s="23" t="s">
        <v>16</v>
      </c>
      <c r="F86" s="23" t="s">
        <v>16</v>
      </c>
      <c r="G86" s="23" t="s">
        <v>16</v>
      </c>
      <c r="H86" s="23" t="s">
        <v>16</v>
      </c>
    </row>
    <row r="87" spans="1:8">
      <c r="E87" s="23" t="s">
        <v>16</v>
      </c>
      <c r="F87" s="23" t="s">
        <v>16</v>
      </c>
      <c r="G87" s="23" t="s">
        <v>16</v>
      </c>
      <c r="H87" s="23" t="s">
        <v>16</v>
      </c>
    </row>
    <row r="88" spans="1:8">
      <c r="E88" s="23" t="s">
        <v>16</v>
      </c>
      <c r="F88" s="23" t="s">
        <v>16</v>
      </c>
      <c r="G88" s="23" t="s">
        <v>16</v>
      </c>
      <c r="H88" s="23" t="s">
        <v>16</v>
      </c>
    </row>
    <row r="89" spans="1:8">
      <c r="E89" s="23" t="s">
        <v>16</v>
      </c>
      <c r="F89" s="23" t="s">
        <v>16</v>
      </c>
      <c r="G89" s="23" t="s">
        <v>16</v>
      </c>
      <c r="H89" s="23" t="s">
        <v>16</v>
      </c>
    </row>
    <row r="90" spans="1:8">
      <c r="E90" s="23" t="s">
        <v>16</v>
      </c>
      <c r="F90" s="23" t="s">
        <v>16</v>
      </c>
      <c r="G90" s="23" t="s">
        <v>16</v>
      </c>
      <c r="H90" s="23" t="s">
        <v>16</v>
      </c>
    </row>
    <row r="91" spans="1:8">
      <c r="E91" s="23" t="s">
        <v>16</v>
      </c>
      <c r="F91" s="23" t="s">
        <v>16</v>
      </c>
      <c r="G91" s="23" t="s">
        <v>16</v>
      </c>
      <c r="H91" s="23" t="s">
        <v>16</v>
      </c>
    </row>
    <row r="92" spans="1:8">
      <c r="E92" s="23" t="s">
        <v>16</v>
      </c>
      <c r="F92" s="23" t="s">
        <v>16</v>
      </c>
      <c r="G92" s="23" t="s">
        <v>16</v>
      </c>
      <c r="H92" s="23" t="s">
        <v>16</v>
      </c>
    </row>
    <row r="93" spans="1:8">
      <c r="E93" s="23" t="s">
        <v>16</v>
      </c>
      <c r="F93" s="23" t="s">
        <v>16</v>
      </c>
      <c r="G93" s="23" t="s">
        <v>16</v>
      </c>
      <c r="H93" s="23" t="s">
        <v>16</v>
      </c>
    </row>
    <row r="94" spans="1:8">
      <c r="E94" s="23" t="s">
        <v>16</v>
      </c>
      <c r="F94" s="23" t="s">
        <v>16</v>
      </c>
      <c r="G94" s="23" t="s">
        <v>16</v>
      </c>
      <c r="H94" s="23" t="s">
        <v>16</v>
      </c>
    </row>
    <row r="95" spans="1:8">
      <c r="E95" s="23" t="s">
        <v>16</v>
      </c>
      <c r="F95" s="23" t="s">
        <v>16</v>
      </c>
      <c r="G95" s="23" t="s">
        <v>16</v>
      </c>
      <c r="H95" s="23" t="s">
        <v>16</v>
      </c>
    </row>
    <row r="96" spans="1:8">
      <c r="E96" s="23" t="s">
        <v>16</v>
      </c>
      <c r="F96" s="23" t="s">
        <v>16</v>
      </c>
      <c r="G96" s="23" t="s">
        <v>16</v>
      </c>
      <c r="H96" s="23" t="s">
        <v>16</v>
      </c>
    </row>
    <row r="97" spans="5:8">
      <c r="E97" s="23" t="s">
        <v>16</v>
      </c>
      <c r="F97" s="23" t="s">
        <v>16</v>
      </c>
      <c r="G97" s="23" t="s">
        <v>16</v>
      </c>
      <c r="H97" s="23" t="s">
        <v>16</v>
      </c>
    </row>
    <row r="98" spans="5:8">
      <c r="E98" s="23" t="s">
        <v>16</v>
      </c>
      <c r="F98" s="23" t="s">
        <v>16</v>
      </c>
      <c r="G98" s="23" t="s">
        <v>16</v>
      </c>
      <c r="H98" s="23" t="s">
        <v>16</v>
      </c>
    </row>
    <row r="99" spans="5:8">
      <c r="E99" s="23" t="s">
        <v>16</v>
      </c>
      <c r="F99" s="23" t="s">
        <v>16</v>
      </c>
      <c r="G99" s="23" t="s">
        <v>16</v>
      </c>
      <c r="H99" s="23" t="s">
        <v>16</v>
      </c>
    </row>
    <row r="100" spans="5:8">
      <c r="E100" s="23" t="s">
        <v>16</v>
      </c>
      <c r="F100" s="23" t="s">
        <v>16</v>
      </c>
      <c r="G100" s="23" t="s">
        <v>16</v>
      </c>
      <c r="H100" s="23" t="s">
        <v>16</v>
      </c>
    </row>
    <row r="101" spans="5:8">
      <c r="E101" s="23" t="s">
        <v>16</v>
      </c>
      <c r="F101" s="23" t="s">
        <v>16</v>
      </c>
      <c r="G101" s="23" t="s">
        <v>16</v>
      </c>
      <c r="H101" s="23" t="s">
        <v>16</v>
      </c>
    </row>
    <row r="102" spans="5:8">
      <c r="E102" s="23" t="s">
        <v>16</v>
      </c>
      <c r="F102" s="23" t="s">
        <v>16</v>
      </c>
      <c r="G102" s="23" t="s">
        <v>16</v>
      </c>
      <c r="H102" s="23" t="s">
        <v>16</v>
      </c>
    </row>
    <row r="103" spans="5:8">
      <c r="E103" s="23" t="s">
        <v>16</v>
      </c>
      <c r="F103" s="23" t="s">
        <v>16</v>
      </c>
      <c r="G103" s="23" t="s">
        <v>16</v>
      </c>
      <c r="H103" s="23" t="s">
        <v>16</v>
      </c>
    </row>
    <row r="104" spans="5:8">
      <c r="E104" s="23" t="s">
        <v>16</v>
      </c>
      <c r="F104" s="23" t="s">
        <v>16</v>
      </c>
      <c r="G104" s="23" t="s">
        <v>16</v>
      </c>
      <c r="H104" s="23" t="s">
        <v>16</v>
      </c>
    </row>
    <row r="105" spans="5:8">
      <c r="E105" s="23" t="s">
        <v>16</v>
      </c>
      <c r="F105" s="23" t="s">
        <v>16</v>
      </c>
      <c r="G105" s="23" t="s">
        <v>16</v>
      </c>
      <c r="H105" s="23" t="s">
        <v>16</v>
      </c>
    </row>
    <row r="106" spans="5:8">
      <c r="E106" s="23" t="s">
        <v>16</v>
      </c>
      <c r="F106" s="23" t="s">
        <v>16</v>
      </c>
      <c r="G106" s="23" t="s">
        <v>16</v>
      </c>
      <c r="H106" s="23" t="s">
        <v>16</v>
      </c>
    </row>
    <row r="107" spans="5:8">
      <c r="E107" s="23" t="s">
        <v>16</v>
      </c>
      <c r="F107" s="23" t="s">
        <v>16</v>
      </c>
      <c r="G107" s="23" t="s">
        <v>16</v>
      </c>
      <c r="H107" s="23" t="s">
        <v>16</v>
      </c>
    </row>
    <row r="108" spans="5:8">
      <c r="E108" s="23" t="s">
        <v>16</v>
      </c>
      <c r="F108" s="23" t="s">
        <v>16</v>
      </c>
      <c r="G108" s="23" t="s">
        <v>16</v>
      </c>
      <c r="H108" s="23" t="s">
        <v>16</v>
      </c>
    </row>
    <row r="109" spans="5:8">
      <c r="E109" s="23" t="s">
        <v>16</v>
      </c>
      <c r="F109" s="23" t="s">
        <v>16</v>
      </c>
      <c r="G109" s="23" t="s">
        <v>16</v>
      </c>
      <c r="H109" s="23" t="s">
        <v>16</v>
      </c>
    </row>
    <row r="110" spans="5:8">
      <c r="E110" s="23" t="s">
        <v>16</v>
      </c>
      <c r="F110" s="23" t="s">
        <v>16</v>
      </c>
      <c r="G110" s="23" t="s">
        <v>16</v>
      </c>
      <c r="H110" s="23" t="s">
        <v>16</v>
      </c>
    </row>
    <row r="111" spans="5:8">
      <c r="E111" s="23" t="s">
        <v>16</v>
      </c>
      <c r="F111" s="23" t="s">
        <v>16</v>
      </c>
      <c r="G111" s="23" t="s">
        <v>16</v>
      </c>
      <c r="H111" s="23" t="s">
        <v>16</v>
      </c>
    </row>
    <row r="112" spans="5:8">
      <c r="E112" s="23" t="s">
        <v>16</v>
      </c>
      <c r="F112" s="23" t="s">
        <v>16</v>
      </c>
      <c r="G112" s="23" t="s">
        <v>16</v>
      </c>
      <c r="H112" s="23" t="s">
        <v>16</v>
      </c>
    </row>
    <row r="113" spans="5:8">
      <c r="E113" s="23" t="s">
        <v>16</v>
      </c>
      <c r="F113" s="23" t="s">
        <v>16</v>
      </c>
      <c r="G113" s="23" t="s">
        <v>16</v>
      </c>
      <c r="H113" s="23" t="s">
        <v>16</v>
      </c>
    </row>
    <row r="114" spans="5:8">
      <c r="E114" s="23" t="s">
        <v>16</v>
      </c>
      <c r="F114" s="23" t="s">
        <v>16</v>
      </c>
      <c r="G114" s="23" t="s">
        <v>16</v>
      </c>
      <c r="H114" s="23" t="s">
        <v>16</v>
      </c>
    </row>
    <row r="115" spans="5:8">
      <c r="E115" s="23" t="s">
        <v>16</v>
      </c>
      <c r="F115" s="23" t="s">
        <v>16</v>
      </c>
      <c r="G115" s="23" t="s">
        <v>16</v>
      </c>
      <c r="H115" s="23" t="s">
        <v>16</v>
      </c>
    </row>
    <row r="116" spans="5:8">
      <c r="E116" s="23" t="s">
        <v>16</v>
      </c>
      <c r="F116" s="23" t="s">
        <v>16</v>
      </c>
      <c r="G116" s="23" t="s">
        <v>16</v>
      </c>
      <c r="H116" s="23" t="s">
        <v>16</v>
      </c>
    </row>
    <row r="117" spans="5:8">
      <c r="E117" s="23" t="s">
        <v>16</v>
      </c>
      <c r="F117" s="23" t="s">
        <v>16</v>
      </c>
      <c r="G117" s="23" t="s">
        <v>16</v>
      </c>
      <c r="H117" s="23" t="s">
        <v>16</v>
      </c>
    </row>
    <row r="118" spans="5:8">
      <c r="E118" s="23" t="s">
        <v>16</v>
      </c>
      <c r="F118" s="23" t="s">
        <v>16</v>
      </c>
      <c r="G118" s="23" t="s">
        <v>16</v>
      </c>
      <c r="H118" s="23" t="s">
        <v>16</v>
      </c>
    </row>
    <row r="119" spans="5:8">
      <c r="E119" s="23" t="s">
        <v>16</v>
      </c>
      <c r="F119" s="23" t="s">
        <v>16</v>
      </c>
      <c r="G119" s="23" t="s">
        <v>16</v>
      </c>
      <c r="H119" s="23" t="s">
        <v>16</v>
      </c>
    </row>
    <row r="120" spans="5:8">
      <c r="E120" s="23" t="s">
        <v>16</v>
      </c>
      <c r="F120" s="23" t="s">
        <v>16</v>
      </c>
      <c r="G120" s="23" t="s">
        <v>16</v>
      </c>
      <c r="H120" s="23" t="s">
        <v>16</v>
      </c>
    </row>
    <row r="121" spans="5:8">
      <c r="E121" s="23" t="s">
        <v>16</v>
      </c>
      <c r="F121" s="23" t="s">
        <v>16</v>
      </c>
      <c r="G121" s="23" t="s">
        <v>16</v>
      </c>
      <c r="H121" s="23" t="s">
        <v>16</v>
      </c>
    </row>
    <row r="122" spans="5:8">
      <c r="E122" s="23" t="s">
        <v>16</v>
      </c>
      <c r="F122" s="23" t="s">
        <v>16</v>
      </c>
      <c r="G122" s="23" t="s">
        <v>16</v>
      </c>
      <c r="H122" s="23" t="s">
        <v>16</v>
      </c>
    </row>
    <row r="123" spans="5:8">
      <c r="E123" s="23" t="s">
        <v>16</v>
      </c>
      <c r="F123" s="23" t="s">
        <v>16</v>
      </c>
      <c r="G123" s="23" t="s">
        <v>16</v>
      </c>
      <c r="H123" s="23" t="s">
        <v>16</v>
      </c>
    </row>
    <row r="124" spans="5:8">
      <c r="E124" s="23" t="s">
        <v>16</v>
      </c>
      <c r="F124" s="23" t="s">
        <v>16</v>
      </c>
      <c r="G124" s="23" t="s">
        <v>16</v>
      </c>
      <c r="H124" s="23" t="s">
        <v>16</v>
      </c>
    </row>
    <row r="125" spans="5:8">
      <c r="E125" s="23" t="s">
        <v>16</v>
      </c>
      <c r="F125" s="23" t="s">
        <v>16</v>
      </c>
      <c r="G125" s="23" t="s">
        <v>16</v>
      </c>
      <c r="H125" s="23" t="s">
        <v>16</v>
      </c>
    </row>
    <row r="126" spans="5:8">
      <c r="E126" s="23" t="s">
        <v>16</v>
      </c>
      <c r="F126" s="23" t="s">
        <v>16</v>
      </c>
      <c r="G126" s="23" t="s">
        <v>16</v>
      </c>
      <c r="H126" s="23" t="s">
        <v>16</v>
      </c>
    </row>
    <row r="127" spans="5:8">
      <c r="E127" s="23" t="s">
        <v>16</v>
      </c>
      <c r="F127" s="23" t="s">
        <v>16</v>
      </c>
      <c r="G127" s="23" t="s">
        <v>16</v>
      </c>
      <c r="H127" s="23" t="s">
        <v>16</v>
      </c>
    </row>
    <row r="128" spans="5:8">
      <c r="E128" s="23" t="s">
        <v>16</v>
      </c>
      <c r="F128" s="23" t="s">
        <v>16</v>
      </c>
      <c r="G128" s="23" t="s">
        <v>16</v>
      </c>
      <c r="H128" s="23" t="s">
        <v>16</v>
      </c>
    </row>
    <row r="129" spans="5:8">
      <c r="E129" s="23" t="s">
        <v>16</v>
      </c>
      <c r="F129" s="23" t="s">
        <v>16</v>
      </c>
      <c r="G129" s="23" t="s">
        <v>16</v>
      </c>
      <c r="H129" s="23" t="s">
        <v>16</v>
      </c>
    </row>
    <row r="130" spans="5:8">
      <c r="E130" s="23" t="s">
        <v>16</v>
      </c>
      <c r="F130" s="23" t="s">
        <v>16</v>
      </c>
      <c r="G130" s="23" t="s">
        <v>16</v>
      </c>
      <c r="H130" s="23" t="s">
        <v>16</v>
      </c>
    </row>
    <row r="131" spans="5:8">
      <c r="E131" s="23" t="s">
        <v>16</v>
      </c>
      <c r="F131" s="23" t="s">
        <v>16</v>
      </c>
      <c r="G131" s="23" t="s">
        <v>16</v>
      </c>
      <c r="H131" s="23" t="s">
        <v>16</v>
      </c>
    </row>
    <row r="132" spans="5:8">
      <c r="E132" s="23" t="s">
        <v>16</v>
      </c>
      <c r="F132" s="23" t="s">
        <v>16</v>
      </c>
      <c r="G132" s="23" t="s">
        <v>16</v>
      </c>
      <c r="H132" s="23" t="s">
        <v>16</v>
      </c>
    </row>
    <row r="133" spans="5:8">
      <c r="E133" s="23" t="s">
        <v>16</v>
      </c>
      <c r="F133" s="23" t="s">
        <v>16</v>
      </c>
      <c r="G133" s="23" t="s">
        <v>16</v>
      </c>
      <c r="H133" s="23" t="s">
        <v>16</v>
      </c>
    </row>
    <row r="134" spans="5:8">
      <c r="E134" s="23" t="s">
        <v>16</v>
      </c>
      <c r="F134" s="23" t="s">
        <v>16</v>
      </c>
      <c r="G134" s="23" t="s">
        <v>16</v>
      </c>
      <c r="H134" s="23" t="s">
        <v>16</v>
      </c>
    </row>
    <row r="135" spans="5:8">
      <c r="E135" s="23" t="s">
        <v>16</v>
      </c>
      <c r="F135" s="23" t="s">
        <v>16</v>
      </c>
      <c r="G135" s="23" t="s">
        <v>16</v>
      </c>
      <c r="H135" s="23" t="s">
        <v>16</v>
      </c>
    </row>
    <row r="136" spans="5:8">
      <c r="E136" s="23" t="s">
        <v>16</v>
      </c>
      <c r="F136" s="23" t="s">
        <v>16</v>
      </c>
      <c r="G136" s="23" t="s">
        <v>16</v>
      </c>
      <c r="H136" s="23" t="s">
        <v>16</v>
      </c>
    </row>
    <row r="137" spans="5:8">
      <c r="E137" s="23" t="s">
        <v>16</v>
      </c>
      <c r="F137" s="23" t="s">
        <v>16</v>
      </c>
      <c r="G137" s="23" t="s">
        <v>16</v>
      </c>
      <c r="H137" s="23" t="s">
        <v>16</v>
      </c>
    </row>
    <row r="138" spans="5:8">
      <c r="E138" s="23" t="s">
        <v>16</v>
      </c>
      <c r="F138" s="23" t="s">
        <v>16</v>
      </c>
      <c r="G138" s="23" t="s">
        <v>16</v>
      </c>
      <c r="H138" s="23" t="s">
        <v>16</v>
      </c>
    </row>
    <row r="139" spans="5:8">
      <c r="E139" s="23" t="s">
        <v>16</v>
      </c>
      <c r="F139" s="23" t="s">
        <v>16</v>
      </c>
      <c r="G139" s="23" t="s">
        <v>16</v>
      </c>
      <c r="H139" s="23" t="s">
        <v>16</v>
      </c>
    </row>
    <row r="140" spans="5:8">
      <c r="E140" s="23" t="s">
        <v>16</v>
      </c>
      <c r="F140" s="23" t="s">
        <v>16</v>
      </c>
      <c r="G140" s="23" t="s">
        <v>16</v>
      </c>
      <c r="H140" s="23" t="s">
        <v>16</v>
      </c>
    </row>
    <row r="141" spans="5:8">
      <c r="E141" s="23" t="s">
        <v>16</v>
      </c>
      <c r="F141" s="23" t="s">
        <v>16</v>
      </c>
      <c r="G141" s="23" t="s">
        <v>16</v>
      </c>
      <c r="H141" s="23" t="s">
        <v>16</v>
      </c>
    </row>
    <row r="142" spans="5:8">
      <c r="E142" s="23" t="s">
        <v>16</v>
      </c>
      <c r="F142" s="23" t="s">
        <v>16</v>
      </c>
      <c r="G142" s="23" t="s">
        <v>16</v>
      </c>
      <c r="H142" s="23" t="s">
        <v>16</v>
      </c>
    </row>
    <row r="143" spans="5:8">
      <c r="E143" s="23" t="s">
        <v>16</v>
      </c>
      <c r="F143" s="23" t="s">
        <v>16</v>
      </c>
      <c r="G143" s="23" t="s">
        <v>16</v>
      </c>
      <c r="H143" s="23" t="s">
        <v>16</v>
      </c>
    </row>
    <row r="144" spans="5:8">
      <c r="E144" s="23" t="s">
        <v>16</v>
      </c>
      <c r="F144" s="23" t="s">
        <v>16</v>
      </c>
      <c r="G144" s="23" t="s">
        <v>16</v>
      </c>
      <c r="H144" s="23" t="s">
        <v>16</v>
      </c>
    </row>
    <row r="145" spans="5:8">
      <c r="E145" s="23" t="s">
        <v>16</v>
      </c>
      <c r="F145" s="23" t="s">
        <v>16</v>
      </c>
      <c r="G145" s="23" t="s">
        <v>16</v>
      </c>
      <c r="H145" s="23" t="s">
        <v>16</v>
      </c>
    </row>
    <row r="146" spans="5:8">
      <c r="E146" s="23" t="s">
        <v>16</v>
      </c>
      <c r="F146" s="23" t="s">
        <v>16</v>
      </c>
      <c r="G146" s="23" t="s">
        <v>16</v>
      </c>
      <c r="H146" s="23" t="s">
        <v>16</v>
      </c>
    </row>
    <row r="147" spans="5:8">
      <c r="E147" s="23" t="s">
        <v>16</v>
      </c>
      <c r="F147" s="23" t="s">
        <v>16</v>
      </c>
      <c r="G147" s="23" t="s">
        <v>16</v>
      </c>
      <c r="H147" s="23" t="s">
        <v>16</v>
      </c>
    </row>
    <row r="148" spans="5:8">
      <c r="E148" s="23" t="s">
        <v>16</v>
      </c>
      <c r="F148" s="23" t="s">
        <v>16</v>
      </c>
      <c r="G148" s="23" t="s">
        <v>16</v>
      </c>
      <c r="H148" s="23" t="s">
        <v>16</v>
      </c>
    </row>
    <row r="149" spans="5:8">
      <c r="E149" s="23" t="s">
        <v>16</v>
      </c>
      <c r="F149" s="23" t="s">
        <v>16</v>
      </c>
      <c r="G149" s="23" t="s">
        <v>16</v>
      </c>
      <c r="H149" s="23" t="s">
        <v>16</v>
      </c>
    </row>
    <row r="150" spans="5:8">
      <c r="E150" s="23" t="s">
        <v>16</v>
      </c>
      <c r="F150" s="23" t="s">
        <v>16</v>
      </c>
      <c r="G150" s="23" t="s">
        <v>16</v>
      </c>
      <c r="H150" s="23" t="s">
        <v>16</v>
      </c>
    </row>
    <row r="151" spans="5:8">
      <c r="E151" s="23" t="s">
        <v>16</v>
      </c>
      <c r="F151" s="23" t="s">
        <v>16</v>
      </c>
      <c r="G151" s="23" t="s">
        <v>16</v>
      </c>
      <c r="H151" s="23" t="s">
        <v>16</v>
      </c>
    </row>
    <row r="152" spans="5:8">
      <c r="E152" s="23" t="s">
        <v>16</v>
      </c>
      <c r="F152" s="23" t="s">
        <v>16</v>
      </c>
      <c r="G152" s="23" t="s">
        <v>16</v>
      </c>
      <c r="H152" s="23" t="s">
        <v>16</v>
      </c>
    </row>
    <row r="153" spans="5:8">
      <c r="E153" s="23" t="s">
        <v>16</v>
      </c>
      <c r="F153" s="23" t="s">
        <v>16</v>
      </c>
      <c r="G153" s="23" t="s">
        <v>16</v>
      </c>
      <c r="H153" s="23" t="s">
        <v>16</v>
      </c>
    </row>
    <row r="154" spans="5:8">
      <c r="E154" s="23" t="s">
        <v>16</v>
      </c>
      <c r="F154" s="23" t="s">
        <v>16</v>
      </c>
      <c r="G154" s="23" t="s">
        <v>16</v>
      </c>
      <c r="H154" s="23" t="s">
        <v>16</v>
      </c>
    </row>
    <row r="155" spans="5:8">
      <c r="E155" s="23" t="s">
        <v>16</v>
      </c>
      <c r="F155" s="23" t="s">
        <v>16</v>
      </c>
      <c r="G155" s="23" t="s">
        <v>16</v>
      </c>
      <c r="H155" s="23" t="s">
        <v>16</v>
      </c>
    </row>
    <row r="156" spans="5:8">
      <c r="E156" s="23" t="s">
        <v>16</v>
      </c>
      <c r="F156" s="23" t="s">
        <v>16</v>
      </c>
      <c r="G156" s="23" t="s">
        <v>16</v>
      </c>
      <c r="H156" s="23" t="s">
        <v>16</v>
      </c>
    </row>
    <row r="157" spans="5:8">
      <c r="E157" s="23" t="s">
        <v>16</v>
      </c>
      <c r="F157" s="23" t="s">
        <v>16</v>
      </c>
      <c r="G157" s="23" t="s">
        <v>16</v>
      </c>
      <c r="H157" s="23" t="s">
        <v>16</v>
      </c>
    </row>
    <row r="158" spans="5:8">
      <c r="E158" s="23" t="s">
        <v>16</v>
      </c>
      <c r="F158" s="23" t="s">
        <v>16</v>
      </c>
      <c r="G158" s="23" t="s">
        <v>16</v>
      </c>
      <c r="H158" s="23" t="s">
        <v>16</v>
      </c>
    </row>
    <row r="159" spans="5:8">
      <c r="E159" s="23" t="s">
        <v>16</v>
      </c>
      <c r="F159" s="23" t="s">
        <v>16</v>
      </c>
      <c r="G159" s="23" t="s">
        <v>16</v>
      </c>
      <c r="H159" s="23" t="s">
        <v>16</v>
      </c>
    </row>
    <row r="160" spans="5:8">
      <c r="E160" s="23" t="s">
        <v>16</v>
      </c>
      <c r="F160" s="23" t="s">
        <v>16</v>
      </c>
      <c r="G160" s="23" t="s">
        <v>16</v>
      </c>
      <c r="H160" s="23" t="s">
        <v>16</v>
      </c>
    </row>
    <row r="161" spans="5:8">
      <c r="E161" s="23" t="s">
        <v>16</v>
      </c>
      <c r="F161" s="23" t="s">
        <v>16</v>
      </c>
      <c r="G161" s="23" t="s">
        <v>16</v>
      </c>
      <c r="H161" s="23" t="s">
        <v>16</v>
      </c>
    </row>
    <row r="162" spans="5:8">
      <c r="E162" s="23" t="s">
        <v>16</v>
      </c>
      <c r="F162" s="23" t="s">
        <v>16</v>
      </c>
      <c r="G162" s="23" t="s">
        <v>16</v>
      </c>
      <c r="H162" s="23" t="s">
        <v>16</v>
      </c>
    </row>
    <row r="163" spans="5:8">
      <c r="E163" s="23" t="s">
        <v>16</v>
      </c>
      <c r="F163" s="23" t="s">
        <v>16</v>
      </c>
      <c r="G163" s="23" t="s">
        <v>16</v>
      </c>
      <c r="H163" s="23" t="s">
        <v>16</v>
      </c>
    </row>
    <row r="164" spans="5:8">
      <c r="E164" s="23" t="s">
        <v>16</v>
      </c>
      <c r="F164" s="23" t="s">
        <v>16</v>
      </c>
      <c r="G164" s="23" t="s">
        <v>16</v>
      </c>
      <c r="H164" s="23" t="s">
        <v>16</v>
      </c>
    </row>
    <row r="165" spans="5:8">
      <c r="E165" s="23" t="s">
        <v>16</v>
      </c>
      <c r="F165" s="23" t="s">
        <v>16</v>
      </c>
      <c r="G165" s="23" t="s">
        <v>16</v>
      </c>
      <c r="H165" s="23" t="s">
        <v>16</v>
      </c>
    </row>
    <row r="166" spans="5:8">
      <c r="E166" s="23" t="s">
        <v>16</v>
      </c>
      <c r="F166" s="23" t="s">
        <v>16</v>
      </c>
      <c r="G166" s="23" t="s">
        <v>16</v>
      </c>
      <c r="H166" s="23" t="s">
        <v>16</v>
      </c>
    </row>
    <row r="167" spans="5:8">
      <c r="E167" s="23" t="s">
        <v>16</v>
      </c>
      <c r="F167" s="23" t="s">
        <v>16</v>
      </c>
      <c r="G167" s="23" t="s">
        <v>16</v>
      </c>
      <c r="H167" s="23" t="s">
        <v>16</v>
      </c>
    </row>
    <row r="168" spans="5:8">
      <c r="E168" s="23" t="s">
        <v>16</v>
      </c>
      <c r="F168" s="23" t="s">
        <v>16</v>
      </c>
      <c r="G168" s="23" t="s">
        <v>16</v>
      </c>
      <c r="H168" s="23" t="s">
        <v>16</v>
      </c>
    </row>
    <row r="169" spans="5:8">
      <c r="E169" s="23" t="s">
        <v>16</v>
      </c>
      <c r="F169" s="23" t="s">
        <v>16</v>
      </c>
      <c r="G169" s="23" t="s">
        <v>16</v>
      </c>
      <c r="H169" s="23" t="s">
        <v>16</v>
      </c>
    </row>
    <row r="170" spans="5:8">
      <c r="E170" s="23" t="s">
        <v>16</v>
      </c>
      <c r="F170" s="23" t="s">
        <v>16</v>
      </c>
      <c r="G170" s="23" t="s">
        <v>16</v>
      </c>
      <c r="H170" s="23" t="s">
        <v>16</v>
      </c>
    </row>
    <row r="171" spans="5:8">
      <c r="E171" s="23" t="s">
        <v>16</v>
      </c>
      <c r="F171" s="23" t="s">
        <v>16</v>
      </c>
      <c r="G171" s="23" t="s">
        <v>16</v>
      </c>
      <c r="H171" s="23" t="s">
        <v>16</v>
      </c>
    </row>
    <row r="172" spans="5:8">
      <c r="E172" s="23" t="s">
        <v>16</v>
      </c>
      <c r="F172" s="23" t="s">
        <v>16</v>
      </c>
      <c r="G172" s="23" t="s">
        <v>16</v>
      </c>
      <c r="H172" s="23" t="s">
        <v>16</v>
      </c>
    </row>
    <row r="173" spans="5:8">
      <c r="E173" s="23" t="s">
        <v>16</v>
      </c>
      <c r="F173" s="23" t="s">
        <v>16</v>
      </c>
      <c r="G173" s="23" t="s">
        <v>16</v>
      </c>
      <c r="H173" s="23" t="s">
        <v>16</v>
      </c>
    </row>
    <row r="174" spans="5:8">
      <c r="E174" s="23" t="s">
        <v>16</v>
      </c>
      <c r="F174" s="23" t="s">
        <v>16</v>
      </c>
      <c r="G174" s="23" t="s">
        <v>16</v>
      </c>
      <c r="H174" s="23" t="s">
        <v>16</v>
      </c>
    </row>
    <row r="175" spans="5:8">
      <c r="E175" s="23" t="s">
        <v>16</v>
      </c>
      <c r="F175" s="23" t="s">
        <v>16</v>
      </c>
      <c r="G175" s="23" t="s">
        <v>16</v>
      </c>
      <c r="H175" s="23" t="s">
        <v>16</v>
      </c>
    </row>
    <row r="176" spans="5:8">
      <c r="E176" s="23" t="s">
        <v>16</v>
      </c>
      <c r="F176" s="23" t="s">
        <v>16</v>
      </c>
      <c r="G176" s="23" t="s">
        <v>16</v>
      </c>
      <c r="H176" s="23" t="s">
        <v>16</v>
      </c>
    </row>
    <row r="177" spans="5:8">
      <c r="E177" s="23" t="s">
        <v>16</v>
      </c>
      <c r="F177" s="23" t="s">
        <v>16</v>
      </c>
      <c r="G177" s="23" t="s">
        <v>16</v>
      </c>
      <c r="H177" s="23" t="s">
        <v>16</v>
      </c>
    </row>
    <row r="178" spans="5:8">
      <c r="E178" s="23" t="s">
        <v>16</v>
      </c>
      <c r="F178" s="23" t="s">
        <v>16</v>
      </c>
      <c r="G178" s="23" t="s">
        <v>16</v>
      </c>
      <c r="H178" s="23" t="s">
        <v>16</v>
      </c>
    </row>
    <row r="179" spans="5:8">
      <c r="E179" s="23" t="s">
        <v>16</v>
      </c>
      <c r="F179" s="23" t="s">
        <v>16</v>
      </c>
      <c r="G179" s="23" t="s">
        <v>16</v>
      </c>
      <c r="H179" s="23" t="s">
        <v>16</v>
      </c>
    </row>
    <row r="180" spans="5:8">
      <c r="E180" s="23" t="s">
        <v>16</v>
      </c>
      <c r="F180" s="23" t="s">
        <v>16</v>
      </c>
      <c r="G180" s="23" t="s">
        <v>16</v>
      </c>
      <c r="H180" s="23" t="s">
        <v>16</v>
      </c>
    </row>
    <row r="181" spans="5:8">
      <c r="E181" s="23" t="s">
        <v>16</v>
      </c>
      <c r="F181" s="23" t="s">
        <v>16</v>
      </c>
      <c r="G181" s="23" t="s">
        <v>16</v>
      </c>
      <c r="H181" s="23" t="s">
        <v>16</v>
      </c>
    </row>
    <row r="182" spans="5:8">
      <c r="E182" s="23" t="s">
        <v>16</v>
      </c>
      <c r="F182" s="23" t="s">
        <v>16</v>
      </c>
      <c r="G182" s="23" t="s">
        <v>16</v>
      </c>
      <c r="H182" s="23" t="s">
        <v>16</v>
      </c>
    </row>
    <row r="183" spans="5:8">
      <c r="E183" s="23" t="s">
        <v>16</v>
      </c>
      <c r="F183" s="23" t="s">
        <v>16</v>
      </c>
      <c r="G183" s="23" t="s">
        <v>16</v>
      </c>
      <c r="H183" s="23" t="s">
        <v>16</v>
      </c>
    </row>
    <row r="184" spans="5:8">
      <c r="E184" s="23" t="s">
        <v>16</v>
      </c>
      <c r="F184" s="23" t="s">
        <v>16</v>
      </c>
      <c r="G184" s="23" t="s">
        <v>16</v>
      </c>
      <c r="H184" s="23" t="s">
        <v>16</v>
      </c>
    </row>
    <row r="185" spans="5:8">
      <c r="E185" s="23" t="s">
        <v>16</v>
      </c>
      <c r="F185" s="23" t="s">
        <v>16</v>
      </c>
      <c r="G185" s="23" t="s">
        <v>16</v>
      </c>
      <c r="H185" s="23" t="s">
        <v>16</v>
      </c>
    </row>
    <row r="186" spans="5:8">
      <c r="E186" s="23" t="s">
        <v>16</v>
      </c>
      <c r="F186" s="23" t="s">
        <v>16</v>
      </c>
      <c r="G186" s="23" t="s">
        <v>16</v>
      </c>
      <c r="H186" s="23" t="s">
        <v>16</v>
      </c>
    </row>
    <row r="187" spans="5:8">
      <c r="E187" s="23" t="s">
        <v>16</v>
      </c>
      <c r="F187" s="23" t="s">
        <v>16</v>
      </c>
      <c r="G187" s="23" t="s">
        <v>16</v>
      </c>
      <c r="H187" s="23" t="s">
        <v>16</v>
      </c>
    </row>
    <row r="188" spans="5:8">
      <c r="E188" s="23" t="s">
        <v>16</v>
      </c>
      <c r="F188" s="23" t="s">
        <v>16</v>
      </c>
      <c r="G188" s="23" t="s">
        <v>16</v>
      </c>
      <c r="H188" s="23" t="s">
        <v>16</v>
      </c>
    </row>
    <row r="189" spans="5:8">
      <c r="E189" s="23" t="s">
        <v>16</v>
      </c>
      <c r="F189" s="23" t="s">
        <v>16</v>
      </c>
      <c r="G189" s="23" t="s">
        <v>16</v>
      </c>
      <c r="H189" s="23" t="s">
        <v>16</v>
      </c>
    </row>
    <row r="190" spans="5:8">
      <c r="E190" s="23" t="s">
        <v>16</v>
      </c>
      <c r="F190" s="23" t="s">
        <v>16</v>
      </c>
      <c r="G190" s="23" t="s">
        <v>16</v>
      </c>
      <c r="H190" s="23" t="s">
        <v>16</v>
      </c>
    </row>
    <row r="191" spans="5:8">
      <c r="E191" s="23" t="s">
        <v>16</v>
      </c>
      <c r="F191" s="23" t="s">
        <v>16</v>
      </c>
      <c r="G191" s="23" t="s">
        <v>16</v>
      </c>
      <c r="H191" s="23" t="s">
        <v>16</v>
      </c>
    </row>
    <row r="192" spans="5:8">
      <c r="E192" s="23" t="s">
        <v>16</v>
      </c>
      <c r="F192" s="23" t="s">
        <v>16</v>
      </c>
      <c r="G192" s="23" t="s">
        <v>16</v>
      </c>
      <c r="H192" s="23" t="s">
        <v>16</v>
      </c>
    </row>
    <row r="193" spans="5:8">
      <c r="E193" s="23" t="s">
        <v>16</v>
      </c>
      <c r="F193" s="23" t="s">
        <v>16</v>
      </c>
      <c r="G193" s="23" t="s">
        <v>16</v>
      </c>
      <c r="H193" s="23" t="s">
        <v>16</v>
      </c>
    </row>
    <row r="194" spans="5:8">
      <c r="E194" s="23" t="s">
        <v>16</v>
      </c>
      <c r="F194" s="23" t="s">
        <v>16</v>
      </c>
      <c r="G194" s="23" t="s">
        <v>16</v>
      </c>
      <c r="H194" s="23" t="s">
        <v>16</v>
      </c>
    </row>
    <row r="195" spans="5:8">
      <c r="E195" s="23" t="s">
        <v>16</v>
      </c>
      <c r="F195" s="23" t="s">
        <v>16</v>
      </c>
      <c r="G195" s="23" t="s">
        <v>16</v>
      </c>
      <c r="H195" s="23" t="s">
        <v>16</v>
      </c>
    </row>
    <row r="196" spans="5:8">
      <c r="E196" s="23" t="s">
        <v>16</v>
      </c>
      <c r="F196" s="23" t="s">
        <v>16</v>
      </c>
      <c r="G196" s="23" t="s">
        <v>16</v>
      </c>
      <c r="H196" s="23" t="s">
        <v>16</v>
      </c>
    </row>
    <row r="197" spans="5:8">
      <c r="E197" s="23" t="s">
        <v>16</v>
      </c>
      <c r="F197" s="23" t="s">
        <v>16</v>
      </c>
      <c r="G197" s="23" t="s">
        <v>16</v>
      </c>
      <c r="H197" s="23" t="s">
        <v>16</v>
      </c>
    </row>
    <row r="198" spans="5:8">
      <c r="E198" s="23" t="s">
        <v>16</v>
      </c>
      <c r="F198" s="23" t="s">
        <v>16</v>
      </c>
      <c r="G198" s="23" t="s">
        <v>16</v>
      </c>
      <c r="H198" s="23" t="s">
        <v>16</v>
      </c>
    </row>
    <row r="199" spans="5:8">
      <c r="E199" s="23" t="s">
        <v>16</v>
      </c>
      <c r="F199" s="23" t="s">
        <v>16</v>
      </c>
      <c r="G199" s="23" t="s">
        <v>16</v>
      </c>
      <c r="H199" s="23" t="s">
        <v>16</v>
      </c>
    </row>
    <row r="200" spans="5:8">
      <c r="E200" s="23" t="s">
        <v>16</v>
      </c>
      <c r="F200" s="23" t="s">
        <v>16</v>
      </c>
      <c r="G200" s="23" t="s">
        <v>16</v>
      </c>
      <c r="H200" s="23" t="s">
        <v>16</v>
      </c>
    </row>
    <row r="201" spans="5:8">
      <c r="E201" s="23"/>
      <c r="F201" s="23"/>
      <c r="G201" s="23"/>
      <c r="H201" s="23"/>
    </row>
    <row r="202" spans="5:8">
      <c r="E202" s="23"/>
      <c r="F202" s="23"/>
      <c r="G202" s="23"/>
      <c r="H202" s="23"/>
    </row>
    <row r="203" spans="5:8">
      <c r="E203" s="23"/>
      <c r="F203" s="23"/>
      <c r="G203" s="23"/>
      <c r="H203" s="23"/>
    </row>
    <row r="204" spans="5:8">
      <c r="E204" s="23"/>
      <c r="F204" s="23"/>
      <c r="G204" s="23"/>
      <c r="H204" s="23"/>
    </row>
    <row r="205" spans="5:8">
      <c r="E205" s="23"/>
      <c r="F205" s="23"/>
      <c r="G205" s="23"/>
      <c r="H205" s="23"/>
    </row>
    <row r="206" spans="5:8">
      <c r="E206" s="23"/>
      <c r="F206" s="23"/>
      <c r="G206" s="23"/>
      <c r="H206" s="23"/>
    </row>
    <row r="207" spans="5:8">
      <c r="E207" s="23"/>
      <c r="F207" s="23"/>
      <c r="G207" s="23"/>
      <c r="H207" s="23"/>
    </row>
    <row r="208" spans="5:8">
      <c r="E208" s="23"/>
      <c r="F208" s="23"/>
      <c r="G208" s="23"/>
      <c r="H208" s="23"/>
    </row>
    <row r="209" spans="5:8">
      <c r="E209" s="23"/>
      <c r="F209" s="23"/>
      <c r="G209" s="23"/>
      <c r="H209" s="23"/>
    </row>
    <row r="210" spans="5:8">
      <c r="E210" s="23"/>
      <c r="F210" s="23"/>
      <c r="G210" s="23"/>
      <c r="H210" s="23"/>
    </row>
    <row r="211" spans="5:8">
      <c r="E211" s="23"/>
      <c r="F211" s="23"/>
      <c r="G211" s="23"/>
      <c r="H211" s="23"/>
    </row>
    <row r="212" spans="5:8">
      <c r="E212" s="23"/>
      <c r="F212" s="23"/>
      <c r="G212" s="23"/>
      <c r="H212" s="23"/>
    </row>
    <row r="213" spans="5:8">
      <c r="E213" s="23"/>
      <c r="F213" s="23"/>
      <c r="G213" s="23"/>
      <c r="H213" s="23"/>
    </row>
    <row r="214" spans="5:8">
      <c r="E214" s="23"/>
      <c r="F214" s="23"/>
      <c r="G214" s="23"/>
      <c r="H214" s="23"/>
    </row>
    <row r="215" spans="5:8">
      <c r="E215" s="23"/>
      <c r="F215" s="23"/>
      <c r="G215" s="23"/>
      <c r="H215" s="23"/>
    </row>
    <row r="216" spans="5:8">
      <c r="E216" s="23"/>
      <c r="F216" s="23"/>
      <c r="G216" s="23"/>
      <c r="H216" s="23"/>
    </row>
    <row r="217" spans="5:8">
      <c r="E217" s="23"/>
      <c r="F217" s="23"/>
      <c r="G217" s="23"/>
      <c r="H217" s="23"/>
    </row>
    <row r="218" spans="5:8">
      <c r="E218" s="23"/>
      <c r="F218" s="23"/>
      <c r="G218" s="23"/>
      <c r="H218" s="23"/>
    </row>
    <row r="219" spans="5:8">
      <c r="E219" s="23"/>
      <c r="F219" s="23"/>
      <c r="G219" s="23"/>
      <c r="H219" s="23"/>
    </row>
    <row r="220" spans="5:8">
      <c r="E220" s="23"/>
      <c r="F220" s="23"/>
      <c r="G220" s="23"/>
      <c r="H220" s="23"/>
    </row>
    <row r="221" spans="5:8">
      <c r="E221" s="23"/>
      <c r="F221" s="23"/>
      <c r="G221" s="23"/>
      <c r="H221" s="23"/>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18" max="7" man="1"/>
  </row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tabColor rgb="FF00B0F0"/>
    <pageSetUpPr fitToPage="1"/>
  </sheetPr>
  <dimension ref="A1:M889"/>
  <sheetViews>
    <sheetView view="pageBreakPreview" zoomScale="90" zoomScaleNormal="85" workbookViewId="0">
      <selection activeCell="E27" sqref="E27"/>
    </sheetView>
  </sheetViews>
  <sheetFormatPr defaultColWidth="9.37962962962963" defaultRowHeight="13.8"/>
  <cols>
    <col min="1" max="1" width="7.62962962962963" style="3" customWidth="1"/>
    <col min="2" max="2" width="39.5" style="3" customWidth="1"/>
    <col min="3" max="4" width="30.75" style="4" customWidth="1"/>
    <col min="5" max="8" width="13.8796296296296" style="1" customWidth="1"/>
    <col min="9" max="16384" width="9.37962962962963" style="3"/>
  </cols>
  <sheetData>
    <row r="1" spans="1:13">
      <c r="A1" s="6" t="s">
        <v>2422</v>
      </c>
      <c r="B1" s="6"/>
      <c r="C1" s="7"/>
      <c r="D1" s="7"/>
      <c r="E1" s="6"/>
      <c r="F1" s="6"/>
      <c r="G1" s="6"/>
      <c r="H1" s="6"/>
    </row>
    <row r="2" spans="1:13">
      <c r="A2" s="8" t="s">
        <v>4</v>
      </c>
      <c r="B2" s="8"/>
      <c r="C2" s="8"/>
      <c r="D2" s="8"/>
      <c r="E2" s="8"/>
      <c r="F2" s="8"/>
      <c r="G2" s="8"/>
      <c r="H2" s="8"/>
    </row>
    <row r="3" s="1" customFormat="1" spans="1:13">
      <c r="A3" s="9" t="s">
        <v>5</v>
      </c>
      <c r="B3" s="9" t="s">
        <v>6</v>
      </c>
      <c r="C3" s="9" t="s">
        <v>7</v>
      </c>
      <c r="D3" s="9"/>
      <c r="E3" s="9" t="s">
        <v>1628</v>
      </c>
      <c r="F3" s="9"/>
      <c r="G3" s="9"/>
      <c r="H3" s="9"/>
    </row>
    <row r="4" spans="1:13">
      <c r="A4" s="11"/>
      <c r="B4" s="11"/>
      <c r="C4" s="9" t="s">
        <v>9</v>
      </c>
      <c r="D4" s="9" t="s">
        <v>10</v>
      </c>
      <c r="E4" s="10" t="s">
        <v>11</v>
      </c>
      <c r="F4" s="10" t="s">
        <v>12</v>
      </c>
      <c r="G4" s="10" t="s">
        <v>13</v>
      </c>
      <c r="H4" s="10" t="s">
        <v>14</v>
      </c>
      <c r="I4" s="101"/>
      <c r="J4" s="101"/>
      <c r="K4" s="101"/>
    </row>
    <row r="5" spans="1:13">
      <c r="A5" s="39" t="s">
        <v>140</v>
      </c>
      <c r="B5" s="15"/>
      <c r="C5" s="15"/>
      <c r="D5" s="15"/>
      <c r="E5" s="21" t="s">
        <v>16</v>
      </c>
      <c r="F5" s="21" t="s">
        <v>16</v>
      </c>
      <c r="G5" s="21" t="s">
        <v>16</v>
      </c>
      <c r="H5" s="21" t="s">
        <v>16</v>
      </c>
      <c r="I5" s="102"/>
      <c r="J5" s="102"/>
      <c r="K5" s="101"/>
      <c r="L5" s="103" t="s">
        <v>2423</v>
      </c>
      <c r="M5" s="103" t="s">
        <v>2424</v>
      </c>
    </row>
    <row r="6" spans="1:13">
      <c r="A6" s="16">
        <v>1</v>
      </c>
      <c r="B6" s="20" t="s">
        <v>2088</v>
      </c>
      <c r="C6" s="64"/>
      <c r="D6" s="83"/>
      <c r="E6" s="21">
        <v>135000</v>
      </c>
      <c r="F6" s="21">
        <v>85000</v>
      </c>
      <c r="G6" s="21">
        <v>70000</v>
      </c>
      <c r="H6" s="22">
        <v>0</v>
      </c>
      <c r="L6" s="104">
        <v>0.111111111111111</v>
      </c>
      <c r="M6" s="104">
        <v>0.111111111111111</v>
      </c>
    </row>
    <row r="7" spans="1:13">
      <c r="A7" s="16">
        <v>2</v>
      </c>
      <c r="B7" s="18" t="s">
        <v>2425</v>
      </c>
      <c r="C7" s="64"/>
      <c r="D7" s="83"/>
      <c r="E7" s="21">
        <v>70000</v>
      </c>
      <c r="F7" s="21">
        <v>44000</v>
      </c>
      <c r="G7" s="21">
        <v>36500</v>
      </c>
      <c r="H7" s="22">
        <v>0</v>
      </c>
    </row>
    <row r="8" spans="1:13">
      <c r="A8" s="13" t="s">
        <v>167</v>
      </c>
      <c r="B8" s="13"/>
      <c r="C8" s="39"/>
      <c r="D8" s="39"/>
      <c r="E8" s="105" t="s">
        <v>16</v>
      </c>
      <c r="F8" s="21" t="s">
        <v>16</v>
      </c>
      <c r="G8" s="105" t="s">
        <v>16</v>
      </c>
      <c r="H8" s="105" t="s">
        <v>16</v>
      </c>
      <c r="L8" s="103" t="s">
        <v>2423</v>
      </c>
      <c r="M8" s="103" t="s">
        <v>2424</v>
      </c>
    </row>
    <row r="9" spans="1:13">
      <c r="A9" s="46">
        <v>3</v>
      </c>
      <c r="B9" s="20" t="s">
        <v>2426</v>
      </c>
      <c r="C9" s="64"/>
      <c r="D9" s="64"/>
      <c r="E9" s="23">
        <v>70000</v>
      </c>
      <c r="F9" s="23">
        <v>60000</v>
      </c>
      <c r="G9" s="23">
        <v>0</v>
      </c>
      <c r="H9" s="23">
        <v>0</v>
      </c>
      <c r="L9" s="104">
        <v>0.176470588235294</v>
      </c>
      <c r="M9" s="104">
        <v>0.284403669724771</v>
      </c>
    </row>
    <row r="10" ht="27.6" spans="1:13">
      <c r="A10" s="46">
        <v>4</v>
      </c>
      <c r="B10" s="20" t="s">
        <v>2427</v>
      </c>
      <c r="C10" s="64"/>
      <c r="D10" s="64"/>
      <c r="E10" s="23">
        <v>55000</v>
      </c>
      <c r="F10" s="23">
        <v>45000</v>
      </c>
      <c r="G10" s="23">
        <v>0</v>
      </c>
      <c r="H10" s="23">
        <v>0</v>
      </c>
    </row>
    <row r="11" spans="1:13">
      <c r="A11" s="46">
        <v>5</v>
      </c>
      <c r="B11" s="20" t="s">
        <v>2428</v>
      </c>
      <c r="C11" s="64"/>
      <c r="D11" s="64"/>
      <c r="E11" s="23">
        <v>30000</v>
      </c>
      <c r="F11" s="23">
        <v>0</v>
      </c>
      <c r="G11" s="23">
        <v>0</v>
      </c>
      <c r="H11" s="23">
        <v>0</v>
      </c>
    </row>
    <row r="12" spans="1:13">
      <c r="A12" s="20"/>
      <c r="B12" s="20"/>
      <c r="C12" s="18"/>
      <c r="D12" s="18"/>
      <c r="E12" s="23" t="s">
        <v>16</v>
      </c>
      <c r="F12" s="23" t="s">
        <v>16</v>
      </c>
      <c r="G12" s="23" t="s">
        <v>16</v>
      </c>
      <c r="H12" s="23" t="s">
        <v>16</v>
      </c>
    </row>
    <row r="13" spans="1:13">
      <c r="A13" s="20"/>
      <c r="B13" s="20"/>
      <c r="C13" s="18"/>
      <c r="D13" s="18"/>
      <c r="E13" s="23" t="s">
        <v>16</v>
      </c>
      <c r="F13" s="23" t="s">
        <v>16</v>
      </c>
      <c r="G13" s="23" t="s">
        <v>16</v>
      </c>
      <c r="H13" s="23" t="s">
        <v>16</v>
      </c>
    </row>
    <row r="14" spans="1:13">
      <c r="A14" s="20"/>
      <c r="B14" s="20"/>
      <c r="C14" s="18"/>
      <c r="D14" s="18"/>
      <c r="E14" s="23" t="s">
        <v>16</v>
      </c>
      <c r="F14" s="23" t="s">
        <v>16</v>
      </c>
      <c r="G14" s="23" t="s">
        <v>16</v>
      </c>
      <c r="H14" s="23" t="s">
        <v>16</v>
      </c>
    </row>
    <row r="15" spans="1:13">
      <c r="A15" s="20"/>
      <c r="B15" s="20"/>
      <c r="C15" s="18"/>
      <c r="D15" s="18"/>
      <c r="E15" s="23" t="s">
        <v>16</v>
      </c>
      <c r="F15" s="23" t="s">
        <v>16</v>
      </c>
      <c r="G15" s="23" t="s">
        <v>16</v>
      </c>
      <c r="H15" s="23" t="s">
        <v>16</v>
      </c>
    </row>
    <row r="16" spans="1:13">
      <c r="A16" s="20"/>
      <c r="B16" s="20"/>
      <c r="C16" s="18"/>
      <c r="D16" s="18"/>
      <c r="E16" s="23" t="s">
        <v>16</v>
      </c>
      <c r="F16" s="23" t="s">
        <v>16</v>
      </c>
      <c r="G16" s="23" t="s">
        <v>16</v>
      </c>
      <c r="H16" s="23" t="s">
        <v>16</v>
      </c>
    </row>
    <row r="17" spans="1:8">
      <c r="A17" s="20"/>
      <c r="B17" s="20"/>
      <c r="C17" s="18"/>
      <c r="D17" s="18"/>
      <c r="E17" s="23" t="s">
        <v>16</v>
      </c>
      <c r="F17" s="23" t="s">
        <v>16</v>
      </c>
      <c r="G17" s="23" t="s">
        <v>16</v>
      </c>
      <c r="H17" s="23" t="s">
        <v>16</v>
      </c>
    </row>
    <row r="18" spans="1:8">
      <c r="A18" s="20"/>
      <c r="B18" s="20"/>
      <c r="C18" s="18"/>
      <c r="D18" s="18"/>
      <c r="E18" s="23" t="s">
        <v>16</v>
      </c>
      <c r="F18" s="23" t="s">
        <v>16</v>
      </c>
      <c r="G18" s="23" t="s">
        <v>16</v>
      </c>
      <c r="H18" s="23" t="s">
        <v>16</v>
      </c>
    </row>
    <row r="19" spans="1:8">
      <c r="A19" s="20"/>
      <c r="B19" s="20"/>
      <c r="C19" s="18"/>
      <c r="D19" s="18"/>
      <c r="E19" s="23" t="s">
        <v>16</v>
      </c>
      <c r="F19" s="23" t="s">
        <v>16</v>
      </c>
      <c r="G19" s="23" t="s">
        <v>16</v>
      </c>
      <c r="H19" s="23" t="s">
        <v>16</v>
      </c>
    </row>
    <row r="20" spans="1:8">
      <c r="A20" s="20"/>
      <c r="B20" s="20"/>
      <c r="C20" s="18"/>
      <c r="D20" s="18"/>
      <c r="E20" s="23" t="s">
        <v>16</v>
      </c>
      <c r="F20" s="23" t="s">
        <v>16</v>
      </c>
      <c r="G20" s="23" t="s">
        <v>16</v>
      </c>
      <c r="H20" s="23" t="s">
        <v>16</v>
      </c>
    </row>
    <row r="21" spans="1:8">
      <c r="A21" s="20"/>
      <c r="B21" s="20"/>
      <c r="C21" s="18"/>
      <c r="D21" s="18"/>
      <c r="E21" s="23" t="s">
        <v>16</v>
      </c>
      <c r="F21" s="23" t="s">
        <v>16</v>
      </c>
      <c r="G21" s="23" t="s">
        <v>16</v>
      </c>
      <c r="H21" s="23" t="s">
        <v>16</v>
      </c>
    </row>
    <row r="22" spans="1:8">
      <c r="A22" s="20"/>
      <c r="B22" s="20"/>
      <c r="C22" s="18"/>
      <c r="D22" s="18"/>
      <c r="E22" s="23" t="s">
        <v>16</v>
      </c>
      <c r="F22" s="23" t="s">
        <v>16</v>
      </c>
      <c r="G22" s="23" t="s">
        <v>16</v>
      </c>
      <c r="H22" s="23" t="s">
        <v>16</v>
      </c>
    </row>
    <row r="23" spans="1:8">
      <c r="A23" s="20"/>
      <c r="B23" s="20"/>
      <c r="C23" s="18"/>
      <c r="D23" s="18"/>
      <c r="E23" s="23" t="s">
        <v>16</v>
      </c>
      <c r="F23" s="23" t="s">
        <v>16</v>
      </c>
      <c r="G23" s="23" t="s">
        <v>16</v>
      </c>
      <c r="H23" s="23" t="s">
        <v>16</v>
      </c>
    </row>
    <row r="24" spans="1:8">
      <c r="A24" s="20"/>
      <c r="B24" s="20"/>
      <c r="C24" s="18"/>
      <c r="D24" s="18"/>
      <c r="E24" s="23" t="s">
        <v>16</v>
      </c>
      <c r="F24" s="23" t="s">
        <v>16</v>
      </c>
      <c r="G24" s="23" t="s">
        <v>16</v>
      </c>
      <c r="H24" s="23" t="s">
        <v>16</v>
      </c>
    </row>
    <row r="25" spans="1:8">
      <c r="A25" s="20"/>
      <c r="B25" s="20"/>
      <c r="C25" s="18"/>
      <c r="D25" s="18"/>
      <c r="E25" s="23" t="s">
        <v>16</v>
      </c>
      <c r="F25" s="23" t="s">
        <v>16</v>
      </c>
      <c r="G25" s="23" t="s">
        <v>16</v>
      </c>
      <c r="H25" s="23" t="s">
        <v>16</v>
      </c>
    </row>
    <row r="26" spans="1:8">
      <c r="A26" s="20"/>
      <c r="B26" s="20"/>
      <c r="C26" s="18"/>
      <c r="D26" s="18"/>
      <c r="E26" s="23" t="s">
        <v>16</v>
      </c>
      <c r="F26" s="23" t="s">
        <v>16</v>
      </c>
      <c r="G26" s="23" t="s">
        <v>16</v>
      </c>
      <c r="H26" s="23" t="s">
        <v>16</v>
      </c>
    </row>
    <row r="27" spans="1:8">
      <c r="A27" s="20"/>
      <c r="B27" s="20"/>
      <c r="C27" s="18"/>
      <c r="D27" s="18"/>
      <c r="E27" s="23" t="s">
        <v>16</v>
      </c>
      <c r="F27" s="23" t="s">
        <v>16</v>
      </c>
      <c r="G27" s="23" t="s">
        <v>16</v>
      </c>
      <c r="H27" s="23" t="s">
        <v>16</v>
      </c>
    </row>
    <row r="28" spans="1:8">
      <c r="A28" s="20"/>
      <c r="B28" s="20"/>
      <c r="C28" s="18"/>
      <c r="D28" s="18"/>
      <c r="E28" s="23" t="s">
        <v>16</v>
      </c>
      <c r="F28" s="23" t="s">
        <v>16</v>
      </c>
      <c r="G28" s="23" t="s">
        <v>16</v>
      </c>
      <c r="H28" s="23" t="s">
        <v>16</v>
      </c>
    </row>
    <row r="29" spans="1:8">
      <c r="A29" s="20"/>
      <c r="B29" s="20"/>
      <c r="C29" s="18"/>
      <c r="D29" s="18"/>
      <c r="E29" s="23" t="s">
        <v>16</v>
      </c>
      <c r="F29" s="23" t="s">
        <v>16</v>
      </c>
      <c r="G29" s="23" t="s">
        <v>16</v>
      </c>
      <c r="H29" s="23" t="s">
        <v>16</v>
      </c>
    </row>
    <row r="30" spans="1:8">
      <c r="A30" s="16"/>
      <c r="B30" s="20"/>
      <c r="C30" s="18"/>
      <c r="D30" s="18"/>
      <c r="E30" s="23" t="s">
        <v>16</v>
      </c>
      <c r="F30" s="23" t="s">
        <v>16</v>
      </c>
      <c r="G30" s="23" t="s">
        <v>16</v>
      </c>
      <c r="H30" s="23" t="s">
        <v>16</v>
      </c>
    </row>
    <row r="31" spans="1:8">
      <c r="A31" s="20"/>
      <c r="B31" s="20"/>
      <c r="C31" s="18"/>
      <c r="D31" s="18"/>
      <c r="E31" s="23" t="s">
        <v>16</v>
      </c>
      <c r="F31" s="23" t="s">
        <v>16</v>
      </c>
      <c r="G31" s="23" t="s">
        <v>16</v>
      </c>
      <c r="H31" s="23" t="s">
        <v>16</v>
      </c>
    </row>
    <row r="32" spans="1:8">
      <c r="A32" s="20"/>
      <c r="B32" s="20"/>
      <c r="C32" s="18"/>
      <c r="D32" s="18"/>
      <c r="E32" s="23" t="s">
        <v>16</v>
      </c>
      <c r="F32" s="23" t="s">
        <v>16</v>
      </c>
      <c r="G32" s="23" t="s">
        <v>16</v>
      </c>
      <c r="H32" s="23" t="s">
        <v>16</v>
      </c>
    </row>
    <row r="33" spans="1:8">
      <c r="A33" s="20"/>
      <c r="B33" s="20"/>
      <c r="C33" s="18"/>
      <c r="D33" s="18"/>
      <c r="E33" s="23" t="s">
        <v>16</v>
      </c>
      <c r="F33" s="23" t="s">
        <v>16</v>
      </c>
      <c r="G33" s="23" t="s">
        <v>16</v>
      </c>
      <c r="H33" s="23" t="s">
        <v>16</v>
      </c>
    </row>
    <row r="34" spans="1:8">
      <c r="A34" s="20"/>
      <c r="B34" s="20"/>
      <c r="C34" s="18"/>
      <c r="D34" s="18"/>
      <c r="E34" s="23" t="s">
        <v>16</v>
      </c>
      <c r="F34" s="23" t="s">
        <v>16</v>
      </c>
      <c r="G34" s="23" t="s">
        <v>16</v>
      </c>
      <c r="H34" s="23" t="s">
        <v>16</v>
      </c>
    </row>
    <row r="35" spans="1:8">
      <c r="A35" s="20"/>
      <c r="B35" s="20"/>
      <c r="C35" s="18"/>
      <c r="D35" s="18"/>
      <c r="E35" s="23" t="s">
        <v>16</v>
      </c>
      <c r="F35" s="23" t="s">
        <v>16</v>
      </c>
      <c r="G35" s="23" t="s">
        <v>16</v>
      </c>
      <c r="H35" s="23" t="s">
        <v>16</v>
      </c>
    </row>
    <row r="36" spans="1:8">
      <c r="A36" s="20"/>
      <c r="B36" s="20"/>
      <c r="C36" s="18"/>
      <c r="D36" s="18"/>
      <c r="E36" s="23" t="s">
        <v>16</v>
      </c>
      <c r="F36" s="23" t="s">
        <v>16</v>
      </c>
      <c r="G36" s="23" t="s">
        <v>16</v>
      </c>
      <c r="H36" s="23" t="s">
        <v>16</v>
      </c>
    </row>
    <row r="37" spans="1:8">
      <c r="A37" s="20"/>
      <c r="B37" s="20"/>
      <c r="C37" s="18"/>
      <c r="D37" s="18"/>
      <c r="E37" s="23" t="s">
        <v>16</v>
      </c>
      <c r="F37" s="23" t="s">
        <v>16</v>
      </c>
      <c r="G37" s="23" t="s">
        <v>16</v>
      </c>
      <c r="H37" s="23" t="s">
        <v>16</v>
      </c>
    </row>
    <row r="38" spans="1:8">
      <c r="A38" s="20"/>
      <c r="B38" s="20"/>
      <c r="C38" s="18"/>
      <c r="D38" s="18"/>
      <c r="E38" s="23" t="s">
        <v>16</v>
      </c>
      <c r="F38" s="23" t="s">
        <v>16</v>
      </c>
      <c r="G38" s="23" t="s">
        <v>16</v>
      </c>
      <c r="H38" s="23" t="s">
        <v>16</v>
      </c>
    </row>
    <row r="39" spans="1:8">
      <c r="A39" s="20"/>
      <c r="B39" s="20"/>
      <c r="C39" s="18"/>
      <c r="D39" s="18"/>
      <c r="E39" s="23" t="s">
        <v>16</v>
      </c>
      <c r="F39" s="23" t="s">
        <v>16</v>
      </c>
      <c r="G39" s="23" t="s">
        <v>16</v>
      </c>
      <c r="H39" s="23" t="s">
        <v>16</v>
      </c>
    </row>
    <row r="40" spans="1:8">
      <c r="A40" s="20"/>
      <c r="B40" s="20"/>
      <c r="C40" s="18"/>
      <c r="D40" s="18"/>
      <c r="E40" s="23" t="s">
        <v>16</v>
      </c>
      <c r="F40" s="23" t="s">
        <v>16</v>
      </c>
      <c r="G40" s="23" t="s">
        <v>16</v>
      </c>
      <c r="H40" s="23" t="s">
        <v>16</v>
      </c>
    </row>
    <row r="41" spans="1:8">
      <c r="A41" s="20"/>
      <c r="B41" s="20"/>
      <c r="C41" s="18"/>
      <c r="D41" s="18"/>
      <c r="E41" s="23" t="s">
        <v>16</v>
      </c>
      <c r="F41" s="23" t="s">
        <v>16</v>
      </c>
      <c r="G41" s="23" t="s">
        <v>16</v>
      </c>
      <c r="H41" s="23" t="s">
        <v>16</v>
      </c>
    </row>
    <row r="42" spans="1:8">
      <c r="A42" s="20"/>
      <c r="B42" s="20"/>
      <c r="C42" s="18"/>
      <c r="D42" s="18"/>
      <c r="E42" s="23" t="s">
        <v>16</v>
      </c>
      <c r="F42" s="23" t="s">
        <v>16</v>
      </c>
      <c r="G42" s="23" t="s">
        <v>16</v>
      </c>
      <c r="H42" s="23" t="s">
        <v>16</v>
      </c>
    </row>
    <row r="43" spans="1:8">
      <c r="A43" s="20"/>
      <c r="B43" s="20"/>
      <c r="C43" s="18"/>
      <c r="D43" s="18"/>
      <c r="E43" s="23" t="s">
        <v>16</v>
      </c>
      <c r="F43" s="23" t="s">
        <v>16</v>
      </c>
      <c r="G43" s="23" t="s">
        <v>16</v>
      </c>
      <c r="H43" s="23" t="s">
        <v>16</v>
      </c>
    </row>
    <row r="44" spans="1:8">
      <c r="A44" s="20"/>
      <c r="B44" s="20"/>
      <c r="C44" s="18"/>
      <c r="D44" s="18"/>
      <c r="E44" s="23" t="s">
        <v>16</v>
      </c>
      <c r="F44" s="23" t="s">
        <v>16</v>
      </c>
      <c r="G44" s="23" t="s">
        <v>16</v>
      </c>
      <c r="H44" s="23" t="s">
        <v>16</v>
      </c>
    </row>
    <row r="45" spans="1:8">
      <c r="A45" s="20"/>
      <c r="B45" s="20"/>
      <c r="C45" s="18"/>
      <c r="D45" s="18"/>
      <c r="E45" s="23" t="s">
        <v>16</v>
      </c>
      <c r="F45" s="23" t="s">
        <v>16</v>
      </c>
      <c r="G45" s="23" t="s">
        <v>16</v>
      </c>
      <c r="H45" s="23" t="s">
        <v>16</v>
      </c>
    </row>
    <row r="46" spans="1:8">
      <c r="A46" s="20"/>
      <c r="B46" s="20"/>
      <c r="C46" s="18"/>
      <c r="D46" s="18"/>
      <c r="E46" s="23" t="s">
        <v>16</v>
      </c>
      <c r="F46" s="23" t="s">
        <v>16</v>
      </c>
      <c r="G46" s="23" t="s">
        <v>16</v>
      </c>
      <c r="H46" s="23" t="s">
        <v>16</v>
      </c>
    </row>
    <row r="47" spans="1:8">
      <c r="A47" s="20"/>
      <c r="B47" s="20"/>
      <c r="C47" s="18"/>
      <c r="D47" s="18"/>
      <c r="E47" s="23" t="s">
        <v>16</v>
      </c>
      <c r="F47" s="23" t="s">
        <v>16</v>
      </c>
      <c r="G47" s="23" t="s">
        <v>16</v>
      </c>
      <c r="H47" s="23" t="s">
        <v>16</v>
      </c>
    </row>
    <row r="48" spans="1:8">
      <c r="A48" s="20"/>
      <c r="B48" s="20"/>
      <c r="C48" s="18"/>
      <c r="D48" s="18"/>
      <c r="E48" s="23" t="s">
        <v>16</v>
      </c>
      <c r="F48" s="23" t="s">
        <v>16</v>
      </c>
      <c r="G48" s="23" t="s">
        <v>16</v>
      </c>
      <c r="H48" s="23" t="s">
        <v>16</v>
      </c>
    </row>
    <row r="49" spans="1:8">
      <c r="A49" s="20"/>
      <c r="B49" s="20"/>
      <c r="C49" s="18"/>
      <c r="D49" s="18"/>
      <c r="E49" s="23" t="s">
        <v>16</v>
      </c>
      <c r="F49" s="23" t="s">
        <v>16</v>
      </c>
      <c r="G49" s="23" t="s">
        <v>16</v>
      </c>
      <c r="H49" s="23" t="s">
        <v>16</v>
      </c>
    </row>
    <row r="50" spans="1:8">
      <c r="A50" s="20"/>
      <c r="B50" s="20"/>
      <c r="C50" s="18"/>
      <c r="D50" s="18"/>
      <c r="E50" s="23" t="s">
        <v>16</v>
      </c>
      <c r="F50" s="23" t="s">
        <v>16</v>
      </c>
      <c r="G50" s="23" t="s">
        <v>16</v>
      </c>
      <c r="H50" s="23" t="s">
        <v>16</v>
      </c>
    </row>
    <row r="51" spans="1:8">
      <c r="A51" s="20"/>
      <c r="B51" s="49"/>
      <c r="C51" s="41"/>
      <c r="D51" s="41"/>
      <c r="E51" s="23" t="s">
        <v>16</v>
      </c>
      <c r="F51" s="23" t="s">
        <v>16</v>
      </c>
      <c r="G51" s="23" t="s">
        <v>16</v>
      </c>
      <c r="H51" s="23" t="s">
        <v>16</v>
      </c>
    </row>
    <row r="52" spans="1:8">
      <c r="A52" s="20"/>
      <c r="B52" s="20"/>
      <c r="C52" s="18"/>
      <c r="D52" s="18"/>
      <c r="E52" s="23" t="s">
        <v>16</v>
      </c>
      <c r="F52" s="23" t="s">
        <v>16</v>
      </c>
      <c r="G52" s="23" t="s">
        <v>16</v>
      </c>
      <c r="H52" s="23" t="s">
        <v>16</v>
      </c>
    </row>
    <row r="53" spans="1:8">
      <c r="A53" s="20"/>
      <c r="B53" s="20"/>
      <c r="C53" s="18"/>
      <c r="D53" s="18"/>
      <c r="E53" s="23" t="s">
        <v>16</v>
      </c>
      <c r="F53" s="23" t="s">
        <v>16</v>
      </c>
      <c r="G53" s="23" t="s">
        <v>16</v>
      </c>
      <c r="H53" s="23" t="s">
        <v>16</v>
      </c>
    </row>
    <row r="54" spans="1:8">
      <c r="A54" s="20"/>
      <c r="B54" s="20"/>
      <c r="C54" s="18"/>
      <c r="D54" s="18"/>
      <c r="E54" s="23" t="s">
        <v>16</v>
      </c>
      <c r="F54" s="23" t="s">
        <v>16</v>
      </c>
      <c r="G54" s="23" t="s">
        <v>16</v>
      </c>
      <c r="H54" s="23" t="s">
        <v>16</v>
      </c>
    </row>
    <row r="55" spans="1:8">
      <c r="A55" s="20"/>
      <c r="B55" s="20"/>
      <c r="C55" s="18"/>
      <c r="D55" s="18"/>
      <c r="E55" s="23" t="s">
        <v>16</v>
      </c>
      <c r="F55" s="23" t="s">
        <v>16</v>
      </c>
      <c r="G55" s="23" t="s">
        <v>16</v>
      </c>
      <c r="H55" s="23" t="s">
        <v>16</v>
      </c>
    </row>
    <row r="56" spans="1:8">
      <c r="A56" s="20"/>
      <c r="B56" s="20"/>
      <c r="C56" s="18"/>
      <c r="D56" s="18"/>
      <c r="E56" s="23" t="s">
        <v>16</v>
      </c>
      <c r="F56" s="23" t="s">
        <v>16</v>
      </c>
      <c r="G56" s="23" t="s">
        <v>16</v>
      </c>
      <c r="H56" s="23" t="s">
        <v>16</v>
      </c>
    </row>
    <row r="57" spans="1:8">
      <c r="A57" s="20"/>
      <c r="B57" s="20"/>
      <c r="C57" s="18"/>
      <c r="D57" s="18"/>
      <c r="E57" s="23" t="s">
        <v>16</v>
      </c>
      <c r="F57" s="23" t="s">
        <v>16</v>
      </c>
      <c r="G57" s="23" t="s">
        <v>16</v>
      </c>
      <c r="H57" s="23" t="s">
        <v>16</v>
      </c>
    </row>
    <row r="58" spans="1:8">
      <c r="A58" s="20"/>
      <c r="B58" s="20"/>
      <c r="C58" s="18"/>
      <c r="D58" s="18"/>
      <c r="E58" s="23" t="s">
        <v>16</v>
      </c>
      <c r="F58" s="23" t="s">
        <v>16</v>
      </c>
      <c r="G58" s="23" t="s">
        <v>16</v>
      </c>
      <c r="H58" s="23" t="s">
        <v>16</v>
      </c>
    </row>
    <row r="59" spans="1:8">
      <c r="A59" s="20"/>
      <c r="B59" s="20"/>
      <c r="C59" s="18"/>
      <c r="D59" s="18"/>
      <c r="E59" s="23" t="s">
        <v>16</v>
      </c>
      <c r="F59" s="23" t="s">
        <v>16</v>
      </c>
      <c r="G59" s="23" t="s">
        <v>16</v>
      </c>
      <c r="H59" s="23" t="s">
        <v>16</v>
      </c>
    </row>
    <row r="60" spans="1:8">
      <c r="A60" s="20"/>
      <c r="B60" s="20"/>
      <c r="C60" s="18"/>
      <c r="D60" s="18"/>
      <c r="E60" s="23" t="s">
        <v>16</v>
      </c>
      <c r="F60" s="23" t="s">
        <v>16</v>
      </c>
      <c r="G60" s="23" t="s">
        <v>16</v>
      </c>
      <c r="H60" s="23" t="s">
        <v>16</v>
      </c>
    </row>
    <row r="61" spans="1:8">
      <c r="A61" s="20"/>
      <c r="B61" s="20"/>
      <c r="C61" s="18"/>
      <c r="D61" s="18"/>
      <c r="E61" s="23" t="s">
        <v>16</v>
      </c>
      <c r="F61" s="23" t="s">
        <v>16</v>
      </c>
      <c r="G61" s="23" t="s">
        <v>16</v>
      </c>
      <c r="H61" s="23" t="s">
        <v>16</v>
      </c>
    </row>
    <row r="62" spans="1:8">
      <c r="A62" s="20"/>
      <c r="B62" s="20"/>
      <c r="C62" s="18"/>
      <c r="D62" s="18"/>
      <c r="E62" s="23" t="s">
        <v>16</v>
      </c>
      <c r="F62" s="23" t="s">
        <v>16</v>
      </c>
      <c r="G62" s="23" t="s">
        <v>16</v>
      </c>
      <c r="H62" s="23" t="s">
        <v>16</v>
      </c>
    </row>
    <row r="63" spans="1:8">
      <c r="A63" s="20"/>
      <c r="B63" s="20"/>
      <c r="C63" s="18"/>
      <c r="D63" s="18"/>
      <c r="E63" s="23" t="s">
        <v>16</v>
      </c>
      <c r="F63" s="23" t="s">
        <v>16</v>
      </c>
      <c r="G63" s="23" t="s">
        <v>16</v>
      </c>
      <c r="H63" s="23" t="s">
        <v>16</v>
      </c>
    </row>
    <row r="64" spans="1:8">
      <c r="A64" s="20"/>
      <c r="B64" s="20"/>
      <c r="C64" s="18"/>
      <c r="D64" s="18"/>
      <c r="E64" s="23" t="s">
        <v>16</v>
      </c>
      <c r="F64" s="23" t="s">
        <v>16</v>
      </c>
      <c r="G64" s="23" t="s">
        <v>16</v>
      </c>
      <c r="H64" s="23" t="s">
        <v>16</v>
      </c>
    </row>
    <row r="65" spans="1:8">
      <c r="A65" s="20"/>
      <c r="B65" s="20"/>
      <c r="C65" s="18"/>
      <c r="D65" s="18"/>
      <c r="E65" s="23" t="s">
        <v>16</v>
      </c>
      <c r="F65" s="23" t="s">
        <v>16</v>
      </c>
      <c r="G65" s="23" t="s">
        <v>16</v>
      </c>
      <c r="H65" s="23" t="s">
        <v>16</v>
      </c>
    </row>
    <row r="66" spans="1:8">
      <c r="A66" s="20"/>
      <c r="B66" s="20"/>
      <c r="C66" s="18"/>
      <c r="D66" s="18"/>
      <c r="E66" s="23" t="s">
        <v>16</v>
      </c>
      <c r="F66" s="23" t="s">
        <v>16</v>
      </c>
      <c r="G66" s="23" t="s">
        <v>16</v>
      </c>
      <c r="H66" s="23" t="s">
        <v>16</v>
      </c>
    </row>
    <row r="67" spans="1:8">
      <c r="A67" s="20"/>
      <c r="B67" s="20"/>
      <c r="C67" s="18"/>
      <c r="D67" s="18"/>
      <c r="E67" s="23" t="s">
        <v>16</v>
      </c>
      <c r="F67" s="23" t="s">
        <v>16</v>
      </c>
      <c r="G67" s="23" t="s">
        <v>16</v>
      </c>
      <c r="H67" s="23" t="s">
        <v>16</v>
      </c>
    </row>
    <row r="68" spans="1:8">
      <c r="A68" s="20"/>
      <c r="B68" s="20"/>
      <c r="C68" s="18"/>
      <c r="D68" s="18"/>
      <c r="E68" s="23" t="s">
        <v>16</v>
      </c>
      <c r="F68" s="23" t="s">
        <v>16</v>
      </c>
      <c r="G68" s="23" t="s">
        <v>16</v>
      </c>
      <c r="H68" s="23" t="s">
        <v>16</v>
      </c>
    </row>
    <row r="69" spans="1:8">
      <c r="A69" s="20"/>
      <c r="B69" s="20"/>
      <c r="C69" s="18"/>
      <c r="D69" s="18"/>
      <c r="E69" s="23" t="s">
        <v>16</v>
      </c>
      <c r="F69" s="23" t="s">
        <v>16</v>
      </c>
      <c r="G69" s="23" t="s">
        <v>16</v>
      </c>
      <c r="H69" s="23" t="s">
        <v>16</v>
      </c>
    </row>
    <row r="70" spans="1:8">
      <c r="A70" s="20"/>
      <c r="B70" s="20"/>
      <c r="C70" s="18"/>
      <c r="D70" s="18"/>
      <c r="E70" s="23" t="s">
        <v>16</v>
      </c>
      <c r="F70" s="23" t="s">
        <v>16</v>
      </c>
      <c r="G70" s="23" t="s">
        <v>16</v>
      </c>
      <c r="H70" s="23" t="s">
        <v>16</v>
      </c>
    </row>
    <row r="71" spans="1:8">
      <c r="A71" s="20"/>
      <c r="B71" s="20"/>
      <c r="C71" s="18"/>
      <c r="D71" s="18"/>
      <c r="E71" s="23" t="s">
        <v>16</v>
      </c>
      <c r="F71" s="23" t="s">
        <v>16</v>
      </c>
      <c r="G71" s="23" t="s">
        <v>16</v>
      </c>
      <c r="H71" s="23" t="s">
        <v>16</v>
      </c>
    </row>
    <row r="72" spans="1:8">
      <c r="A72" s="20"/>
      <c r="B72" s="20"/>
      <c r="C72" s="18"/>
      <c r="D72" s="18"/>
      <c r="E72" s="23" t="s">
        <v>16</v>
      </c>
      <c r="F72" s="23" t="s">
        <v>16</v>
      </c>
      <c r="G72" s="23" t="s">
        <v>16</v>
      </c>
      <c r="H72" s="23" t="s">
        <v>16</v>
      </c>
    </row>
    <row r="73" spans="1:8">
      <c r="A73" s="20"/>
      <c r="B73" s="20"/>
      <c r="C73" s="18"/>
      <c r="D73" s="18"/>
      <c r="E73" s="23" t="s">
        <v>16</v>
      </c>
      <c r="F73" s="23" t="s">
        <v>16</v>
      </c>
      <c r="G73" s="23" t="s">
        <v>16</v>
      </c>
      <c r="H73" s="23" t="s">
        <v>16</v>
      </c>
    </row>
    <row r="74" spans="1:8">
      <c r="A74" s="20"/>
      <c r="B74" s="20"/>
      <c r="C74" s="18"/>
      <c r="D74" s="18"/>
      <c r="E74" s="23" t="s">
        <v>16</v>
      </c>
      <c r="F74" s="23" t="s">
        <v>16</v>
      </c>
      <c r="G74" s="23" t="s">
        <v>16</v>
      </c>
      <c r="H74" s="23" t="s">
        <v>16</v>
      </c>
    </row>
    <row r="75" spans="1:8">
      <c r="A75" s="20"/>
      <c r="B75" s="20"/>
      <c r="C75" s="18"/>
      <c r="D75" s="18"/>
      <c r="E75" s="23" t="s">
        <v>16</v>
      </c>
      <c r="F75" s="23" t="s">
        <v>16</v>
      </c>
      <c r="G75" s="23" t="s">
        <v>16</v>
      </c>
      <c r="H75" s="23" t="s">
        <v>16</v>
      </c>
    </row>
    <row r="76" spans="1:8">
      <c r="A76" s="20"/>
      <c r="B76" s="20"/>
      <c r="C76" s="18"/>
      <c r="D76" s="18"/>
      <c r="E76" s="23" t="s">
        <v>16</v>
      </c>
      <c r="F76" s="23" t="s">
        <v>16</v>
      </c>
      <c r="G76" s="23" t="s">
        <v>16</v>
      </c>
      <c r="H76" s="23" t="s">
        <v>16</v>
      </c>
    </row>
    <row r="77" spans="1:8">
      <c r="A77" s="20"/>
      <c r="B77" s="20"/>
      <c r="C77" s="18"/>
      <c r="D77" s="18"/>
      <c r="E77" s="23" t="s">
        <v>16</v>
      </c>
      <c r="F77" s="23" t="s">
        <v>16</v>
      </c>
      <c r="G77" s="23" t="s">
        <v>16</v>
      </c>
      <c r="H77" s="23" t="s">
        <v>16</v>
      </c>
    </row>
    <row r="78" spans="1:8">
      <c r="A78" s="20"/>
      <c r="B78" s="20"/>
      <c r="C78" s="18"/>
      <c r="D78" s="18"/>
      <c r="E78" s="23" t="s">
        <v>16</v>
      </c>
      <c r="F78" s="23" t="s">
        <v>16</v>
      </c>
      <c r="G78" s="23" t="s">
        <v>16</v>
      </c>
      <c r="H78" s="23" t="s">
        <v>16</v>
      </c>
    </row>
    <row r="79" spans="1:8">
      <c r="A79" s="20"/>
      <c r="B79" s="42"/>
      <c r="C79" s="43"/>
      <c r="D79" s="43"/>
      <c r="E79" s="23" t="s">
        <v>16</v>
      </c>
      <c r="F79" s="23" t="s">
        <v>16</v>
      </c>
      <c r="G79" s="23" t="s">
        <v>16</v>
      </c>
      <c r="H79" s="23" t="s">
        <v>16</v>
      </c>
    </row>
    <row r="80" spans="1:8">
      <c r="A80" s="20"/>
      <c r="B80" s="20"/>
      <c r="C80" s="18"/>
      <c r="D80" s="18"/>
      <c r="E80" s="23" t="s">
        <v>16</v>
      </c>
      <c r="F80" s="23" t="s">
        <v>16</v>
      </c>
      <c r="G80" s="23" t="s">
        <v>16</v>
      </c>
      <c r="H80" s="23" t="s">
        <v>16</v>
      </c>
    </row>
    <row r="81" spans="1:8">
      <c r="A81" s="20"/>
      <c r="B81" s="20"/>
      <c r="C81" s="18"/>
      <c r="D81" s="18"/>
      <c r="E81" s="23" t="s">
        <v>16</v>
      </c>
      <c r="F81" s="23" t="s">
        <v>16</v>
      </c>
      <c r="G81" s="23" t="s">
        <v>16</v>
      </c>
      <c r="H81" s="23" t="s">
        <v>16</v>
      </c>
    </row>
    <row r="82" spans="1:8">
      <c r="A82" s="20"/>
      <c r="B82" s="20"/>
      <c r="C82" s="18"/>
      <c r="D82" s="18"/>
      <c r="E82" s="23" t="s">
        <v>16</v>
      </c>
      <c r="F82" s="23" t="s">
        <v>16</v>
      </c>
      <c r="G82" s="23" t="s">
        <v>16</v>
      </c>
      <c r="H82" s="23" t="s">
        <v>16</v>
      </c>
    </row>
    <row r="83" spans="1:8">
      <c r="A83" s="27"/>
      <c r="B83" s="27"/>
      <c r="C83" s="28"/>
      <c r="D83" s="28"/>
      <c r="E83" s="23" t="s">
        <v>16</v>
      </c>
      <c r="F83" s="23" t="s">
        <v>16</v>
      </c>
      <c r="G83" s="23" t="s">
        <v>16</v>
      </c>
      <c r="H83" s="23" t="s">
        <v>16</v>
      </c>
    </row>
    <row r="84" spans="1:8">
      <c r="A84" s="27"/>
      <c r="B84" s="27"/>
      <c r="C84" s="28"/>
      <c r="D84" s="28"/>
      <c r="E84" s="23" t="s">
        <v>16</v>
      </c>
      <c r="F84" s="23" t="s">
        <v>16</v>
      </c>
      <c r="G84" s="23" t="s">
        <v>16</v>
      </c>
      <c r="H84" s="23" t="s">
        <v>16</v>
      </c>
    </row>
    <row r="85" spans="1:8">
      <c r="A85" s="27"/>
      <c r="B85" s="27"/>
      <c r="C85" s="28"/>
      <c r="D85" s="28"/>
      <c r="E85" s="23" t="s">
        <v>16</v>
      </c>
      <c r="F85" s="23" t="s">
        <v>16</v>
      </c>
      <c r="G85" s="23" t="s">
        <v>16</v>
      </c>
      <c r="H85" s="23" t="s">
        <v>16</v>
      </c>
    </row>
    <row r="86" spans="1:8">
      <c r="A86" s="27"/>
      <c r="B86" s="27"/>
      <c r="C86" s="28"/>
      <c r="D86" s="28"/>
      <c r="E86" s="23" t="s">
        <v>16</v>
      </c>
      <c r="F86" s="23" t="s">
        <v>16</v>
      </c>
      <c r="G86" s="23" t="s">
        <v>16</v>
      </c>
      <c r="H86" s="23" t="s">
        <v>16</v>
      </c>
    </row>
    <row r="87" spans="1:8">
      <c r="A87" s="27"/>
      <c r="B87" s="27"/>
      <c r="C87" s="28"/>
      <c r="D87" s="28"/>
      <c r="E87" s="23" t="s">
        <v>16</v>
      </c>
      <c r="F87" s="23" t="s">
        <v>16</v>
      </c>
      <c r="G87" s="23" t="s">
        <v>16</v>
      </c>
      <c r="H87" s="23" t="s">
        <v>16</v>
      </c>
    </row>
    <row r="88" spans="1:8">
      <c r="A88" s="27"/>
      <c r="B88" s="27"/>
      <c r="C88" s="28"/>
      <c r="D88" s="28"/>
      <c r="E88" s="23" t="s">
        <v>16</v>
      </c>
      <c r="F88" s="23" t="s">
        <v>16</v>
      </c>
      <c r="G88" s="23" t="s">
        <v>16</v>
      </c>
      <c r="H88" s="23" t="s">
        <v>16</v>
      </c>
    </row>
    <row r="89" spans="1:8">
      <c r="A89" s="27"/>
      <c r="B89" s="27"/>
      <c r="C89" s="28"/>
      <c r="D89" s="28"/>
      <c r="E89" s="23" t="s">
        <v>16</v>
      </c>
      <c r="F89" s="23" t="s">
        <v>16</v>
      </c>
      <c r="G89" s="23" t="s">
        <v>16</v>
      </c>
      <c r="H89" s="23" t="s">
        <v>16</v>
      </c>
    </row>
    <row r="90" spans="1:8">
      <c r="A90" s="27"/>
      <c r="B90" s="27"/>
      <c r="C90" s="28"/>
      <c r="D90" s="28"/>
      <c r="E90" s="23" t="s">
        <v>16</v>
      </c>
      <c r="F90" s="23" t="s">
        <v>16</v>
      </c>
      <c r="G90" s="23" t="s">
        <v>16</v>
      </c>
      <c r="H90" s="23" t="s">
        <v>16</v>
      </c>
    </row>
    <row r="91" spans="1:8">
      <c r="A91" s="27"/>
      <c r="B91" s="27"/>
      <c r="C91" s="28"/>
      <c r="D91" s="28"/>
      <c r="E91" s="23" t="s">
        <v>16</v>
      </c>
      <c r="F91" s="23" t="s">
        <v>16</v>
      </c>
      <c r="G91" s="23" t="s">
        <v>16</v>
      </c>
      <c r="H91" s="23" t="s">
        <v>16</v>
      </c>
    </row>
    <row r="92" spans="1:8">
      <c r="A92" s="27"/>
      <c r="B92" s="27"/>
      <c r="C92" s="28"/>
      <c r="D92" s="28"/>
      <c r="E92" s="23" t="s">
        <v>16</v>
      </c>
      <c r="F92" s="23" t="s">
        <v>16</v>
      </c>
      <c r="G92" s="23" t="s">
        <v>16</v>
      </c>
      <c r="H92" s="23" t="s">
        <v>16</v>
      </c>
    </row>
    <row r="93" spans="1:8">
      <c r="A93" s="27"/>
      <c r="B93" s="27"/>
      <c r="C93" s="28"/>
      <c r="D93" s="28"/>
      <c r="E93" s="23" t="s">
        <v>16</v>
      </c>
      <c r="F93" s="23" t="s">
        <v>16</v>
      </c>
      <c r="G93" s="23" t="s">
        <v>16</v>
      </c>
      <c r="H93" s="23" t="s">
        <v>16</v>
      </c>
    </row>
    <row r="94" spans="1:8">
      <c r="A94" s="27"/>
      <c r="B94" s="27"/>
      <c r="C94" s="28"/>
      <c r="D94" s="28"/>
      <c r="E94" s="23" t="s">
        <v>16</v>
      </c>
      <c r="F94" s="23" t="s">
        <v>16</v>
      </c>
      <c r="G94" s="23" t="s">
        <v>16</v>
      </c>
      <c r="H94" s="23" t="s">
        <v>16</v>
      </c>
    </row>
    <row r="95" spans="1:8">
      <c r="A95" s="27"/>
      <c r="B95" s="27"/>
      <c r="C95" s="28"/>
      <c r="D95" s="28"/>
      <c r="E95" s="23" t="s">
        <v>16</v>
      </c>
      <c r="F95" s="23" t="s">
        <v>16</v>
      </c>
      <c r="G95" s="23" t="s">
        <v>16</v>
      </c>
      <c r="H95" s="23" t="s">
        <v>16</v>
      </c>
    </row>
    <row r="96" spans="1:8">
      <c r="A96" s="27"/>
      <c r="B96" s="27"/>
      <c r="C96" s="28"/>
      <c r="D96" s="28"/>
      <c r="E96" s="23" t="s">
        <v>16</v>
      </c>
      <c r="F96" s="23" t="s">
        <v>16</v>
      </c>
      <c r="G96" s="23" t="s">
        <v>16</v>
      </c>
      <c r="H96" s="23" t="s">
        <v>16</v>
      </c>
    </row>
    <row r="97" spans="1:8">
      <c r="A97" s="27"/>
      <c r="B97" s="27"/>
      <c r="C97" s="28"/>
      <c r="D97" s="28"/>
      <c r="E97" s="23" t="s">
        <v>16</v>
      </c>
      <c r="F97" s="23" t="s">
        <v>16</v>
      </c>
      <c r="G97" s="23" t="s">
        <v>16</v>
      </c>
      <c r="H97" s="23" t="s">
        <v>16</v>
      </c>
    </row>
    <row r="98" spans="1:8">
      <c r="A98" s="27"/>
      <c r="B98" s="27"/>
      <c r="C98" s="28"/>
      <c r="D98" s="28"/>
      <c r="E98" s="23" t="s">
        <v>16</v>
      </c>
      <c r="F98" s="23" t="s">
        <v>16</v>
      </c>
      <c r="G98" s="23" t="s">
        <v>16</v>
      </c>
      <c r="H98" s="23" t="s">
        <v>16</v>
      </c>
    </row>
    <row r="99" spans="1:8">
      <c r="A99" s="27"/>
      <c r="B99" s="27"/>
      <c r="C99" s="28"/>
      <c r="D99" s="28"/>
      <c r="E99" s="23" t="s">
        <v>16</v>
      </c>
      <c r="F99" s="23" t="s">
        <v>16</v>
      </c>
      <c r="G99" s="23" t="s">
        <v>16</v>
      </c>
      <c r="H99" s="23" t="s">
        <v>16</v>
      </c>
    </row>
    <row r="100" spans="1:8">
      <c r="A100" s="27"/>
      <c r="B100" s="27"/>
      <c r="C100" s="28"/>
      <c r="D100" s="28"/>
      <c r="E100" s="23" t="s">
        <v>16</v>
      </c>
      <c r="F100" s="23" t="s">
        <v>16</v>
      </c>
      <c r="G100" s="23" t="s">
        <v>16</v>
      </c>
      <c r="H100" s="23" t="s">
        <v>16</v>
      </c>
    </row>
    <row r="101" spans="1:8">
      <c r="A101" s="27"/>
      <c r="B101" s="27"/>
      <c r="C101" s="28"/>
      <c r="D101" s="28"/>
      <c r="E101" s="23" t="s">
        <v>16</v>
      </c>
      <c r="F101" s="23" t="s">
        <v>16</v>
      </c>
      <c r="G101" s="23" t="s">
        <v>16</v>
      </c>
      <c r="H101" s="23" t="s">
        <v>16</v>
      </c>
    </row>
    <row r="102" spans="1:8">
      <c r="A102" s="27"/>
      <c r="B102" s="27"/>
      <c r="C102" s="28"/>
      <c r="D102" s="28"/>
      <c r="E102" s="23" t="s">
        <v>16</v>
      </c>
      <c r="F102" s="23" t="s">
        <v>16</v>
      </c>
      <c r="G102" s="23" t="s">
        <v>16</v>
      </c>
      <c r="H102" s="23" t="s">
        <v>16</v>
      </c>
    </row>
    <row r="103" spans="1:8">
      <c r="A103" s="27"/>
      <c r="B103" s="27"/>
      <c r="C103" s="28"/>
      <c r="D103" s="28"/>
      <c r="E103" s="23" t="s">
        <v>16</v>
      </c>
      <c r="F103" s="23" t="s">
        <v>16</v>
      </c>
      <c r="G103" s="23" t="s">
        <v>16</v>
      </c>
      <c r="H103" s="23" t="s">
        <v>16</v>
      </c>
    </row>
    <row r="104" spans="1:8">
      <c r="A104" s="27"/>
      <c r="B104" s="27"/>
      <c r="C104" s="28"/>
      <c r="D104" s="28"/>
      <c r="E104" s="23" t="s">
        <v>16</v>
      </c>
      <c r="F104" s="23" t="s">
        <v>16</v>
      </c>
      <c r="G104" s="23" t="s">
        <v>16</v>
      </c>
      <c r="H104" s="23" t="s">
        <v>16</v>
      </c>
    </row>
    <row r="105" spans="1:8">
      <c r="A105" s="27"/>
      <c r="B105" s="27"/>
      <c r="C105" s="28"/>
      <c r="D105" s="28"/>
      <c r="E105" s="23" t="s">
        <v>16</v>
      </c>
      <c r="F105" s="23" t="s">
        <v>16</v>
      </c>
      <c r="G105" s="23" t="s">
        <v>16</v>
      </c>
      <c r="H105" s="23" t="s">
        <v>16</v>
      </c>
    </row>
    <row r="106" spans="1:8">
      <c r="A106" s="27"/>
      <c r="B106" s="27"/>
      <c r="C106" s="28"/>
      <c r="D106" s="28"/>
      <c r="E106" s="23" t="s">
        <v>16</v>
      </c>
      <c r="F106" s="23" t="s">
        <v>16</v>
      </c>
      <c r="G106" s="23" t="s">
        <v>16</v>
      </c>
      <c r="H106" s="23" t="s">
        <v>16</v>
      </c>
    </row>
    <row r="107" spans="1:8">
      <c r="A107" s="27"/>
      <c r="B107" s="27"/>
      <c r="C107" s="28"/>
      <c r="D107" s="28"/>
      <c r="E107" s="23" t="s">
        <v>16</v>
      </c>
      <c r="F107" s="23" t="s">
        <v>16</v>
      </c>
      <c r="G107" s="23" t="s">
        <v>16</v>
      </c>
      <c r="H107" s="23" t="s">
        <v>16</v>
      </c>
    </row>
    <row r="108" spans="1:8">
      <c r="A108" s="27"/>
      <c r="B108" s="27"/>
      <c r="C108" s="28"/>
      <c r="D108" s="28"/>
      <c r="E108" s="23" t="s">
        <v>16</v>
      </c>
      <c r="F108" s="23" t="s">
        <v>16</v>
      </c>
      <c r="G108" s="23" t="s">
        <v>16</v>
      </c>
      <c r="H108" s="23" t="s">
        <v>16</v>
      </c>
    </row>
    <row r="109" spans="1:8">
      <c r="A109" s="27"/>
      <c r="B109" s="27"/>
      <c r="C109" s="28"/>
      <c r="D109" s="28"/>
      <c r="E109" s="23" t="s">
        <v>16</v>
      </c>
      <c r="F109" s="23" t="s">
        <v>16</v>
      </c>
      <c r="G109" s="23" t="s">
        <v>16</v>
      </c>
      <c r="H109" s="23" t="s">
        <v>16</v>
      </c>
    </row>
    <row r="110" spans="1:8">
      <c r="A110" s="27"/>
      <c r="B110" s="27"/>
      <c r="C110" s="28"/>
      <c r="D110" s="28"/>
      <c r="E110" s="23" t="s">
        <v>16</v>
      </c>
      <c r="F110" s="23" t="s">
        <v>16</v>
      </c>
      <c r="G110" s="23" t="s">
        <v>16</v>
      </c>
      <c r="H110" s="23" t="s">
        <v>16</v>
      </c>
    </row>
    <row r="111" spans="1:8">
      <c r="A111" s="27"/>
      <c r="B111" s="27"/>
      <c r="C111" s="28"/>
      <c r="D111" s="28"/>
      <c r="E111" s="23" t="s">
        <v>16</v>
      </c>
      <c r="F111" s="23" t="s">
        <v>16</v>
      </c>
      <c r="G111" s="23" t="s">
        <v>16</v>
      </c>
      <c r="H111" s="23" t="s">
        <v>16</v>
      </c>
    </row>
    <row r="112" spans="1:8">
      <c r="A112" s="27"/>
      <c r="B112" s="27"/>
      <c r="C112" s="28"/>
      <c r="D112" s="28"/>
      <c r="E112" s="23" t="s">
        <v>16</v>
      </c>
      <c r="F112" s="23" t="s">
        <v>16</v>
      </c>
      <c r="G112" s="23" t="s">
        <v>16</v>
      </c>
      <c r="H112" s="23" t="s">
        <v>16</v>
      </c>
    </row>
    <row r="113" spans="1:8">
      <c r="A113" s="27"/>
      <c r="B113" s="27"/>
      <c r="C113" s="28"/>
      <c r="D113" s="28"/>
      <c r="E113" s="23" t="s">
        <v>16</v>
      </c>
      <c r="F113" s="23" t="s">
        <v>16</v>
      </c>
      <c r="G113" s="23" t="s">
        <v>16</v>
      </c>
      <c r="H113" s="23" t="s">
        <v>16</v>
      </c>
    </row>
    <row r="114" spans="1:8">
      <c r="A114" s="27"/>
      <c r="B114" s="27"/>
      <c r="C114" s="28"/>
      <c r="D114" s="28"/>
      <c r="E114" s="23" t="s">
        <v>16</v>
      </c>
      <c r="F114" s="23" t="s">
        <v>16</v>
      </c>
      <c r="G114" s="23" t="s">
        <v>16</v>
      </c>
      <c r="H114" s="23" t="s">
        <v>16</v>
      </c>
    </row>
    <row r="115" spans="1:8">
      <c r="A115" s="27"/>
      <c r="B115" s="27"/>
      <c r="C115" s="28"/>
      <c r="D115" s="28"/>
      <c r="E115" s="23" t="s">
        <v>16</v>
      </c>
      <c r="F115" s="23" t="s">
        <v>16</v>
      </c>
      <c r="G115" s="23" t="s">
        <v>16</v>
      </c>
      <c r="H115" s="23" t="s">
        <v>16</v>
      </c>
    </row>
    <row r="116" spans="1:8">
      <c r="A116" s="27"/>
      <c r="B116" s="27"/>
      <c r="C116" s="28"/>
      <c r="D116" s="28"/>
      <c r="E116" s="23" t="s">
        <v>16</v>
      </c>
      <c r="F116" s="23" t="s">
        <v>16</v>
      </c>
      <c r="G116" s="23" t="s">
        <v>16</v>
      </c>
      <c r="H116" s="23" t="s">
        <v>16</v>
      </c>
    </row>
    <row r="117" spans="1:8">
      <c r="A117" s="27"/>
      <c r="B117" s="27"/>
      <c r="C117" s="28"/>
      <c r="D117" s="28"/>
      <c r="E117" s="23" t="s">
        <v>16</v>
      </c>
      <c r="F117" s="23" t="s">
        <v>16</v>
      </c>
      <c r="G117" s="23" t="s">
        <v>16</v>
      </c>
      <c r="H117" s="23" t="s">
        <v>16</v>
      </c>
    </row>
    <row r="118" spans="1:8">
      <c r="A118" s="27"/>
      <c r="B118" s="27"/>
      <c r="C118" s="28"/>
      <c r="D118" s="28"/>
      <c r="E118" s="23" t="s">
        <v>16</v>
      </c>
      <c r="F118" s="23" t="s">
        <v>16</v>
      </c>
      <c r="G118" s="23" t="s">
        <v>16</v>
      </c>
      <c r="H118" s="23" t="s">
        <v>16</v>
      </c>
    </row>
    <row r="119" spans="1:8">
      <c r="A119" s="27"/>
      <c r="B119" s="27"/>
      <c r="C119" s="28"/>
      <c r="D119" s="28"/>
      <c r="E119" s="23" t="s">
        <v>16</v>
      </c>
      <c r="F119" s="23" t="s">
        <v>16</v>
      </c>
      <c r="G119" s="23" t="s">
        <v>16</v>
      </c>
      <c r="H119" s="23" t="s">
        <v>16</v>
      </c>
    </row>
    <row r="120" spans="1:8">
      <c r="A120" s="27"/>
      <c r="B120" s="27"/>
      <c r="C120" s="28"/>
      <c r="D120" s="28"/>
      <c r="E120" s="23" t="s">
        <v>16</v>
      </c>
      <c r="F120" s="23" t="s">
        <v>16</v>
      </c>
      <c r="G120" s="23" t="s">
        <v>16</v>
      </c>
      <c r="H120" s="23" t="s">
        <v>16</v>
      </c>
    </row>
    <row r="121" spans="1:8">
      <c r="A121" s="27"/>
      <c r="B121" s="27"/>
      <c r="C121" s="28"/>
      <c r="D121" s="28"/>
      <c r="E121" s="23" t="s">
        <v>16</v>
      </c>
      <c r="F121" s="23" t="s">
        <v>16</v>
      </c>
      <c r="G121" s="23" t="s">
        <v>16</v>
      </c>
      <c r="H121" s="23" t="s">
        <v>16</v>
      </c>
    </row>
    <row r="122" spans="1:8">
      <c r="A122" s="27"/>
      <c r="B122" s="27"/>
      <c r="C122" s="28"/>
      <c r="D122" s="28"/>
      <c r="E122" s="23" t="s">
        <v>16</v>
      </c>
      <c r="F122" s="23" t="s">
        <v>16</v>
      </c>
      <c r="G122" s="23" t="s">
        <v>16</v>
      </c>
      <c r="H122" s="23" t="s">
        <v>16</v>
      </c>
    </row>
    <row r="123" spans="1:8">
      <c r="A123" s="27"/>
      <c r="B123" s="27"/>
      <c r="C123" s="28"/>
      <c r="D123" s="28"/>
      <c r="E123" s="23" t="s">
        <v>16</v>
      </c>
      <c r="F123" s="23" t="s">
        <v>16</v>
      </c>
      <c r="G123" s="23" t="s">
        <v>16</v>
      </c>
      <c r="H123" s="23" t="s">
        <v>16</v>
      </c>
    </row>
    <row r="124" spans="1:8">
      <c r="A124" s="27"/>
      <c r="B124" s="27"/>
      <c r="C124" s="28"/>
      <c r="D124" s="28"/>
      <c r="E124" s="23" t="s">
        <v>16</v>
      </c>
      <c r="F124" s="23" t="s">
        <v>16</v>
      </c>
      <c r="G124" s="23" t="s">
        <v>16</v>
      </c>
      <c r="H124" s="23" t="s">
        <v>16</v>
      </c>
    </row>
    <row r="125" spans="1:8">
      <c r="A125" s="27"/>
      <c r="B125" s="27"/>
      <c r="C125" s="28"/>
      <c r="D125" s="28"/>
      <c r="E125" s="23" t="s">
        <v>16</v>
      </c>
      <c r="F125" s="23" t="s">
        <v>16</v>
      </c>
      <c r="G125" s="23" t="s">
        <v>16</v>
      </c>
      <c r="H125" s="23" t="s">
        <v>16</v>
      </c>
    </row>
    <row r="126" spans="1:8">
      <c r="A126" s="27"/>
      <c r="B126" s="27"/>
      <c r="C126" s="28"/>
      <c r="D126" s="28"/>
      <c r="E126" s="23" t="s">
        <v>16</v>
      </c>
      <c r="F126" s="23" t="s">
        <v>16</v>
      </c>
      <c r="G126" s="23" t="s">
        <v>16</v>
      </c>
      <c r="H126" s="23" t="s">
        <v>16</v>
      </c>
    </row>
    <row r="127" spans="1:8">
      <c r="A127" s="27"/>
      <c r="B127" s="27"/>
      <c r="C127" s="28"/>
      <c r="D127" s="28"/>
      <c r="E127" s="23" t="s">
        <v>16</v>
      </c>
      <c r="F127" s="23" t="s">
        <v>16</v>
      </c>
      <c r="G127" s="23" t="s">
        <v>16</v>
      </c>
      <c r="H127" s="23" t="s">
        <v>16</v>
      </c>
    </row>
    <row r="128" spans="1:8">
      <c r="A128" s="27"/>
      <c r="B128" s="27"/>
      <c r="C128" s="28"/>
      <c r="D128" s="28"/>
      <c r="E128" s="23" t="s">
        <v>16</v>
      </c>
      <c r="F128" s="23" t="s">
        <v>16</v>
      </c>
      <c r="G128" s="23" t="s">
        <v>16</v>
      </c>
      <c r="H128" s="23" t="s">
        <v>16</v>
      </c>
    </row>
    <row r="129" spans="1:8">
      <c r="A129" s="27"/>
      <c r="B129" s="27"/>
      <c r="C129" s="28"/>
      <c r="D129" s="28"/>
      <c r="E129" s="23" t="s">
        <v>16</v>
      </c>
      <c r="F129" s="23" t="s">
        <v>16</v>
      </c>
      <c r="G129" s="23" t="s">
        <v>16</v>
      </c>
      <c r="H129" s="23" t="s">
        <v>16</v>
      </c>
    </row>
    <row r="130" spans="1:8">
      <c r="A130" s="27"/>
      <c r="B130" s="27"/>
      <c r="C130" s="28"/>
      <c r="D130" s="28"/>
      <c r="E130" s="23" t="s">
        <v>16</v>
      </c>
      <c r="F130" s="23" t="s">
        <v>16</v>
      </c>
      <c r="G130" s="23" t="s">
        <v>16</v>
      </c>
      <c r="H130" s="23" t="s">
        <v>16</v>
      </c>
    </row>
    <row r="131" spans="1:8">
      <c r="A131" s="27"/>
      <c r="B131" s="27"/>
      <c r="C131" s="28"/>
      <c r="D131" s="28"/>
      <c r="E131" s="23" t="s">
        <v>16</v>
      </c>
      <c r="F131" s="23" t="s">
        <v>16</v>
      </c>
      <c r="G131" s="23" t="s">
        <v>16</v>
      </c>
      <c r="H131" s="23" t="s">
        <v>16</v>
      </c>
    </row>
    <row r="132" spans="1:8">
      <c r="A132" s="27"/>
      <c r="B132" s="27"/>
      <c r="C132" s="28"/>
      <c r="D132" s="28"/>
      <c r="E132" s="23" t="s">
        <v>16</v>
      </c>
      <c r="F132" s="23" t="s">
        <v>16</v>
      </c>
      <c r="G132" s="23" t="s">
        <v>16</v>
      </c>
      <c r="H132" s="23" t="s">
        <v>16</v>
      </c>
    </row>
    <row r="133" spans="1:8">
      <c r="A133" s="27"/>
      <c r="B133" s="27"/>
      <c r="C133" s="28"/>
      <c r="D133" s="28"/>
      <c r="E133" s="23" t="s">
        <v>16</v>
      </c>
      <c r="F133" s="23" t="s">
        <v>16</v>
      </c>
      <c r="G133" s="23" t="s">
        <v>16</v>
      </c>
      <c r="H133" s="23" t="s">
        <v>16</v>
      </c>
    </row>
    <row r="134" spans="1:8">
      <c r="A134" s="27"/>
      <c r="B134" s="27"/>
      <c r="C134" s="28"/>
      <c r="D134" s="28"/>
      <c r="E134" s="23" t="s">
        <v>16</v>
      </c>
      <c r="F134" s="23" t="s">
        <v>16</v>
      </c>
      <c r="G134" s="23" t="s">
        <v>16</v>
      </c>
      <c r="H134" s="23" t="s">
        <v>16</v>
      </c>
    </row>
    <row r="135" spans="1:8">
      <c r="A135" s="27"/>
      <c r="B135" s="27"/>
      <c r="C135" s="28"/>
      <c r="D135" s="28"/>
      <c r="E135" s="23" t="s">
        <v>16</v>
      </c>
      <c r="F135" s="23" t="s">
        <v>16</v>
      </c>
      <c r="G135" s="23" t="s">
        <v>16</v>
      </c>
      <c r="H135" s="23" t="s">
        <v>16</v>
      </c>
    </row>
    <row r="136" spans="1:8">
      <c r="A136" s="27"/>
      <c r="B136" s="27"/>
      <c r="C136" s="28"/>
      <c r="D136" s="28"/>
      <c r="E136" s="23" t="s">
        <v>16</v>
      </c>
      <c r="F136" s="23" t="s">
        <v>16</v>
      </c>
      <c r="G136" s="23" t="s">
        <v>16</v>
      </c>
      <c r="H136" s="23" t="s">
        <v>16</v>
      </c>
    </row>
    <row r="137" spans="1:8">
      <c r="A137" s="27"/>
      <c r="B137" s="27"/>
      <c r="C137" s="28"/>
      <c r="D137" s="28"/>
      <c r="E137" s="23" t="s">
        <v>16</v>
      </c>
      <c r="F137" s="23" t="s">
        <v>16</v>
      </c>
      <c r="G137" s="23" t="s">
        <v>16</v>
      </c>
      <c r="H137" s="23" t="s">
        <v>16</v>
      </c>
    </row>
    <row r="138" spans="1:8">
      <c r="A138" s="27"/>
      <c r="B138" s="27"/>
      <c r="C138" s="28"/>
      <c r="D138" s="28"/>
      <c r="E138" s="23" t="s">
        <v>16</v>
      </c>
      <c r="F138" s="23" t="s">
        <v>16</v>
      </c>
      <c r="G138" s="23" t="s">
        <v>16</v>
      </c>
      <c r="H138" s="23" t="s">
        <v>16</v>
      </c>
    </row>
    <row r="139" spans="1:8">
      <c r="A139" s="27"/>
      <c r="B139" s="27"/>
      <c r="C139" s="28"/>
      <c r="D139" s="28"/>
      <c r="E139" s="23" t="s">
        <v>16</v>
      </c>
      <c r="F139" s="23" t="s">
        <v>16</v>
      </c>
      <c r="G139" s="23" t="s">
        <v>16</v>
      </c>
      <c r="H139" s="23" t="s">
        <v>16</v>
      </c>
    </row>
    <row r="140" spans="1:8">
      <c r="A140" s="27"/>
      <c r="B140" s="27"/>
      <c r="C140" s="28"/>
      <c r="D140" s="28"/>
      <c r="E140" s="23" t="s">
        <v>16</v>
      </c>
      <c r="F140" s="23" t="s">
        <v>16</v>
      </c>
      <c r="G140" s="23" t="s">
        <v>16</v>
      </c>
      <c r="H140" s="23" t="s">
        <v>16</v>
      </c>
    </row>
    <row r="141" spans="1:8">
      <c r="A141" s="27"/>
      <c r="B141" s="27"/>
      <c r="C141" s="28"/>
      <c r="D141" s="28"/>
      <c r="E141" s="23" t="s">
        <v>16</v>
      </c>
      <c r="F141" s="23" t="s">
        <v>16</v>
      </c>
      <c r="G141" s="23" t="s">
        <v>16</v>
      </c>
      <c r="H141" s="23" t="s">
        <v>16</v>
      </c>
    </row>
    <row r="142" spans="1:8">
      <c r="A142" s="27"/>
      <c r="B142" s="27"/>
      <c r="C142" s="28"/>
      <c r="D142" s="28"/>
      <c r="E142" s="23" t="s">
        <v>16</v>
      </c>
      <c r="F142" s="23" t="s">
        <v>16</v>
      </c>
      <c r="G142" s="23" t="s">
        <v>16</v>
      </c>
      <c r="H142" s="23" t="s">
        <v>16</v>
      </c>
    </row>
    <row r="143" spans="1:8">
      <c r="A143" s="27"/>
      <c r="B143" s="27"/>
      <c r="C143" s="28"/>
      <c r="D143" s="28"/>
      <c r="E143" s="23" t="s">
        <v>16</v>
      </c>
      <c r="F143" s="23" t="s">
        <v>16</v>
      </c>
      <c r="G143" s="23" t="s">
        <v>16</v>
      </c>
      <c r="H143" s="23" t="s">
        <v>16</v>
      </c>
    </row>
    <row r="144" spans="1:8">
      <c r="A144" s="27"/>
      <c r="B144" s="27"/>
      <c r="C144" s="28"/>
      <c r="D144" s="28"/>
      <c r="E144" s="23" t="s">
        <v>16</v>
      </c>
      <c r="F144" s="23" t="s">
        <v>16</v>
      </c>
      <c r="G144" s="23" t="s">
        <v>16</v>
      </c>
      <c r="H144" s="23" t="s">
        <v>16</v>
      </c>
    </row>
    <row r="145" spans="1:8">
      <c r="A145" s="27"/>
      <c r="B145" s="27"/>
      <c r="C145" s="28"/>
      <c r="D145" s="28"/>
      <c r="E145" s="23" t="s">
        <v>16</v>
      </c>
      <c r="F145" s="23" t="s">
        <v>16</v>
      </c>
      <c r="G145" s="23" t="s">
        <v>16</v>
      </c>
      <c r="H145" s="23" t="s">
        <v>16</v>
      </c>
    </row>
    <row r="146" spans="1:8">
      <c r="A146" s="27"/>
      <c r="B146" s="27"/>
      <c r="C146" s="28"/>
      <c r="D146" s="28"/>
      <c r="E146" s="23" t="s">
        <v>16</v>
      </c>
      <c r="F146" s="23" t="s">
        <v>16</v>
      </c>
      <c r="G146" s="23" t="s">
        <v>16</v>
      </c>
      <c r="H146" s="23" t="s">
        <v>16</v>
      </c>
    </row>
    <row r="147" spans="1:8">
      <c r="A147" s="27"/>
      <c r="B147" s="27"/>
      <c r="C147" s="28"/>
      <c r="D147" s="28"/>
      <c r="E147" s="23" t="s">
        <v>16</v>
      </c>
      <c r="F147" s="23" t="s">
        <v>16</v>
      </c>
      <c r="G147" s="23" t="s">
        <v>16</v>
      </c>
      <c r="H147" s="23" t="s">
        <v>16</v>
      </c>
    </row>
    <row r="148" spans="1:8">
      <c r="A148" s="27"/>
      <c r="B148" s="27"/>
      <c r="C148" s="28"/>
      <c r="D148" s="28"/>
      <c r="E148" s="23" t="s">
        <v>16</v>
      </c>
      <c r="F148" s="23" t="s">
        <v>16</v>
      </c>
      <c r="G148" s="23" t="s">
        <v>16</v>
      </c>
      <c r="H148" s="23" t="s">
        <v>16</v>
      </c>
    </row>
    <row r="149" spans="1:8">
      <c r="A149" s="27"/>
      <c r="B149" s="27"/>
      <c r="C149" s="28"/>
      <c r="D149" s="28"/>
      <c r="E149" s="23" t="s">
        <v>16</v>
      </c>
      <c r="F149" s="23" t="s">
        <v>16</v>
      </c>
      <c r="G149" s="23" t="s">
        <v>16</v>
      </c>
      <c r="H149" s="23" t="s">
        <v>16</v>
      </c>
    </row>
    <row r="150" spans="1:8">
      <c r="A150" s="27"/>
      <c r="B150" s="27"/>
      <c r="C150" s="28"/>
      <c r="D150" s="28"/>
      <c r="E150" s="23" t="s">
        <v>16</v>
      </c>
      <c r="F150" s="23" t="s">
        <v>16</v>
      </c>
      <c r="G150" s="23" t="s">
        <v>16</v>
      </c>
      <c r="H150" s="23" t="s">
        <v>16</v>
      </c>
    </row>
    <row r="151" spans="1:8">
      <c r="A151" s="27"/>
      <c r="B151" s="27"/>
      <c r="C151" s="28"/>
      <c r="D151" s="28"/>
      <c r="E151" s="23" t="s">
        <v>16</v>
      </c>
      <c r="F151" s="23" t="s">
        <v>16</v>
      </c>
      <c r="G151" s="23" t="s">
        <v>16</v>
      </c>
      <c r="H151" s="23" t="s">
        <v>16</v>
      </c>
    </row>
    <row r="152" spans="1:8">
      <c r="A152" s="27"/>
      <c r="B152" s="27"/>
      <c r="C152" s="28"/>
      <c r="D152" s="28"/>
      <c r="E152" s="23" t="s">
        <v>16</v>
      </c>
      <c r="F152" s="23" t="s">
        <v>16</v>
      </c>
      <c r="G152" s="23" t="s">
        <v>16</v>
      </c>
      <c r="H152" s="23" t="s">
        <v>16</v>
      </c>
    </row>
    <row r="153" spans="1:8">
      <c r="A153" s="27"/>
      <c r="B153" s="27"/>
      <c r="C153" s="28"/>
      <c r="D153" s="28"/>
      <c r="E153" s="23" t="s">
        <v>16</v>
      </c>
      <c r="F153" s="23" t="s">
        <v>16</v>
      </c>
      <c r="G153" s="23" t="s">
        <v>16</v>
      </c>
      <c r="H153" s="23" t="s">
        <v>16</v>
      </c>
    </row>
    <row r="154" spans="1:8">
      <c r="A154" s="27"/>
      <c r="B154" s="27"/>
      <c r="C154" s="28"/>
      <c r="D154" s="28"/>
      <c r="E154" s="23" t="s">
        <v>16</v>
      </c>
      <c r="F154" s="23" t="s">
        <v>16</v>
      </c>
      <c r="G154" s="23" t="s">
        <v>16</v>
      </c>
      <c r="H154" s="23" t="s">
        <v>16</v>
      </c>
    </row>
    <row r="155" spans="1:8">
      <c r="A155" s="27"/>
      <c r="B155" s="27"/>
      <c r="C155" s="28"/>
      <c r="D155" s="28"/>
      <c r="E155" s="23" t="s">
        <v>16</v>
      </c>
      <c r="F155" s="23" t="s">
        <v>16</v>
      </c>
      <c r="G155" s="23" t="s">
        <v>16</v>
      </c>
      <c r="H155" s="23" t="s">
        <v>16</v>
      </c>
    </row>
    <row r="156" spans="1:8">
      <c r="A156" s="27"/>
      <c r="B156" s="27"/>
      <c r="C156" s="28"/>
      <c r="D156" s="28"/>
      <c r="E156" s="23" t="s">
        <v>16</v>
      </c>
      <c r="F156" s="23" t="s">
        <v>16</v>
      </c>
      <c r="G156" s="23" t="s">
        <v>16</v>
      </c>
      <c r="H156" s="23" t="s">
        <v>16</v>
      </c>
    </row>
    <row r="157" spans="1:8">
      <c r="A157" s="27"/>
      <c r="B157" s="27"/>
      <c r="C157" s="28"/>
      <c r="D157" s="28"/>
      <c r="E157" s="23" t="s">
        <v>16</v>
      </c>
      <c r="F157" s="23" t="s">
        <v>16</v>
      </c>
      <c r="G157" s="23" t="s">
        <v>16</v>
      </c>
      <c r="H157" s="23" t="s">
        <v>16</v>
      </c>
    </row>
    <row r="158" spans="1:8">
      <c r="A158" s="27"/>
      <c r="B158" s="27"/>
      <c r="C158" s="28"/>
      <c r="D158" s="28"/>
      <c r="E158" s="23" t="s">
        <v>16</v>
      </c>
      <c r="F158" s="23" t="s">
        <v>16</v>
      </c>
      <c r="G158" s="23" t="s">
        <v>16</v>
      </c>
      <c r="H158" s="23" t="s">
        <v>16</v>
      </c>
    </row>
    <row r="159" spans="1:8">
      <c r="A159" s="27"/>
      <c r="B159" s="27"/>
      <c r="C159" s="28"/>
      <c r="D159" s="28"/>
      <c r="E159" s="23" t="s">
        <v>16</v>
      </c>
      <c r="F159" s="23" t="s">
        <v>16</v>
      </c>
      <c r="G159" s="23" t="s">
        <v>16</v>
      </c>
      <c r="H159" s="23" t="s">
        <v>16</v>
      </c>
    </row>
    <row r="160" spans="1:8">
      <c r="A160" s="27"/>
      <c r="B160" s="27"/>
      <c r="C160" s="28"/>
      <c r="D160" s="28"/>
      <c r="E160" s="23" t="s">
        <v>16</v>
      </c>
      <c r="F160" s="23" t="s">
        <v>16</v>
      </c>
      <c r="G160" s="23" t="s">
        <v>16</v>
      </c>
      <c r="H160" s="23" t="s">
        <v>16</v>
      </c>
    </row>
    <row r="161" spans="1:8">
      <c r="A161" s="27"/>
      <c r="B161" s="27"/>
      <c r="C161" s="28"/>
      <c r="D161" s="28"/>
      <c r="E161" s="23" t="s">
        <v>16</v>
      </c>
      <c r="F161" s="23" t="s">
        <v>16</v>
      </c>
      <c r="G161" s="23" t="s">
        <v>16</v>
      </c>
      <c r="H161" s="23" t="s">
        <v>16</v>
      </c>
    </row>
    <row r="162" spans="1:8">
      <c r="A162" s="27"/>
      <c r="B162" s="27"/>
      <c r="C162" s="28"/>
      <c r="D162" s="28"/>
      <c r="E162" s="23" t="s">
        <v>16</v>
      </c>
      <c r="F162" s="23" t="s">
        <v>16</v>
      </c>
      <c r="G162" s="23" t="s">
        <v>16</v>
      </c>
      <c r="H162" s="23" t="s">
        <v>16</v>
      </c>
    </row>
    <row r="163" spans="1:8">
      <c r="A163" s="27"/>
      <c r="B163" s="27"/>
      <c r="C163" s="28"/>
      <c r="D163" s="28"/>
      <c r="E163" s="23" t="s">
        <v>16</v>
      </c>
      <c r="F163" s="23" t="s">
        <v>16</v>
      </c>
      <c r="G163" s="23" t="s">
        <v>16</v>
      </c>
      <c r="H163" s="23" t="s">
        <v>16</v>
      </c>
    </row>
    <row r="164" spans="1:8">
      <c r="A164" s="27"/>
      <c r="B164" s="27"/>
      <c r="C164" s="28"/>
      <c r="D164" s="28"/>
      <c r="E164" s="23" t="s">
        <v>16</v>
      </c>
      <c r="F164" s="23" t="s">
        <v>16</v>
      </c>
      <c r="G164" s="23" t="s">
        <v>16</v>
      </c>
      <c r="H164" s="23" t="s">
        <v>16</v>
      </c>
    </row>
    <row r="165" spans="1:8">
      <c r="A165" s="27"/>
      <c r="B165" s="27"/>
      <c r="C165" s="28"/>
      <c r="D165" s="28"/>
      <c r="E165" s="23" t="s">
        <v>16</v>
      </c>
      <c r="F165" s="23" t="s">
        <v>16</v>
      </c>
      <c r="G165" s="23" t="s">
        <v>16</v>
      </c>
      <c r="H165" s="23" t="s">
        <v>16</v>
      </c>
    </row>
    <row r="166" spans="1:8">
      <c r="A166" s="27"/>
      <c r="B166" s="27"/>
      <c r="C166" s="28"/>
      <c r="D166" s="28"/>
      <c r="E166" s="23" t="s">
        <v>16</v>
      </c>
      <c r="F166" s="23" t="s">
        <v>16</v>
      </c>
      <c r="G166" s="23" t="s">
        <v>16</v>
      </c>
      <c r="H166" s="23" t="s">
        <v>16</v>
      </c>
    </row>
    <row r="167" spans="1:8">
      <c r="A167" s="27"/>
      <c r="B167" s="27"/>
      <c r="C167" s="28"/>
      <c r="D167" s="28"/>
      <c r="E167" s="23" t="s">
        <v>16</v>
      </c>
      <c r="F167" s="23" t="s">
        <v>16</v>
      </c>
      <c r="G167" s="23" t="s">
        <v>16</v>
      </c>
      <c r="H167" s="23" t="s">
        <v>16</v>
      </c>
    </row>
    <row r="168" spans="1:8">
      <c r="A168" s="27"/>
      <c r="B168" s="27"/>
      <c r="C168" s="28"/>
      <c r="D168" s="28"/>
      <c r="E168" s="23" t="s">
        <v>16</v>
      </c>
      <c r="F168" s="23" t="s">
        <v>16</v>
      </c>
      <c r="G168" s="23" t="s">
        <v>16</v>
      </c>
      <c r="H168" s="23" t="s">
        <v>16</v>
      </c>
    </row>
    <row r="169" spans="1:8">
      <c r="A169" s="27"/>
      <c r="B169" s="27"/>
      <c r="C169" s="28"/>
      <c r="D169" s="28"/>
      <c r="E169" s="23" t="s">
        <v>16</v>
      </c>
      <c r="F169" s="23" t="s">
        <v>16</v>
      </c>
      <c r="G169" s="23" t="s">
        <v>16</v>
      </c>
      <c r="H169" s="23" t="s">
        <v>16</v>
      </c>
    </row>
    <row r="170" spans="1:8">
      <c r="A170" s="27"/>
      <c r="B170" s="27"/>
      <c r="C170" s="28"/>
      <c r="D170" s="28"/>
      <c r="E170" s="23" t="s">
        <v>16</v>
      </c>
      <c r="F170" s="23" t="s">
        <v>16</v>
      </c>
      <c r="G170" s="23" t="s">
        <v>16</v>
      </c>
      <c r="H170" s="23" t="s">
        <v>16</v>
      </c>
    </row>
    <row r="171" spans="1:8">
      <c r="A171" s="27"/>
      <c r="B171" s="27"/>
      <c r="C171" s="28"/>
      <c r="D171" s="28"/>
      <c r="E171" s="23" t="s">
        <v>16</v>
      </c>
      <c r="F171" s="23" t="s">
        <v>16</v>
      </c>
      <c r="G171" s="23" t="s">
        <v>16</v>
      </c>
      <c r="H171" s="23" t="s">
        <v>16</v>
      </c>
    </row>
    <row r="172" spans="1:8">
      <c r="A172" s="27"/>
      <c r="B172" s="27"/>
      <c r="C172" s="28"/>
      <c r="D172" s="28"/>
      <c r="E172" s="23" t="s">
        <v>16</v>
      </c>
      <c r="F172" s="23" t="s">
        <v>16</v>
      </c>
      <c r="G172" s="23" t="s">
        <v>16</v>
      </c>
      <c r="H172" s="23" t="s">
        <v>16</v>
      </c>
    </row>
    <row r="173" spans="1:8">
      <c r="A173" s="27"/>
      <c r="B173" s="27"/>
      <c r="C173" s="28"/>
      <c r="D173" s="28"/>
      <c r="E173" s="23" t="s">
        <v>16</v>
      </c>
      <c r="F173" s="23" t="s">
        <v>16</v>
      </c>
      <c r="G173" s="23" t="s">
        <v>16</v>
      </c>
      <c r="H173" s="23" t="s">
        <v>16</v>
      </c>
    </row>
    <row r="174" spans="1:8">
      <c r="A174" s="27"/>
      <c r="B174" s="27"/>
      <c r="C174" s="28"/>
      <c r="D174" s="28"/>
      <c r="E174" s="23" t="s">
        <v>16</v>
      </c>
      <c r="F174" s="23" t="s">
        <v>16</v>
      </c>
      <c r="G174" s="23" t="s">
        <v>16</v>
      </c>
      <c r="H174" s="23" t="s">
        <v>16</v>
      </c>
    </row>
    <row r="175" spans="1:8">
      <c r="A175" s="27"/>
      <c r="B175" s="27"/>
      <c r="C175" s="28"/>
      <c r="D175" s="28"/>
      <c r="E175" s="23" t="s">
        <v>16</v>
      </c>
      <c r="F175" s="23" t="s">
        <v>16</v>
      </c>
      <c r="G175" s="23" t="s">
        <v>16</v>
      </c>
      <c r="H175" s="23" t="s">
        <v>16</v>
      </c>
    </row>
    <row r="176" spans="1:8">
      <c r="A176" s="27"/>
      <c r="B176" s="27"/>
      <c r="C176" s="28"/>
      <c r="D176" s="28"/>
      <c r="E176" s="23" t="s">
        <v>16</v>
      </c>
      <c r="F176" s="23" t="s">
        <v>16</v>
      </c>
      <c r="G176" s="23" t="s">
        <v>16</v>
      </c>
      <c r="H176" s="23" t="s">
        <v>16</v>
      </c>
    </row>
    <row r="177" spans="1:8">
      <c r="A177" s="27"/>
      <c r="B177" s="27"/>
      <c r="C177" s="28"/>
      <c r="D177" s="28"/>
      <c r="E177" s="23" t="s">
        <v>16</v>
      </c>
      <c r="F177" s="23" t="s">
        <v>16</v>
      </c>
      <c r="G177" s="23" t="s">
        <v>16</v>
      </c>
      <c r="H177" s="23" t="s">
        <v>16</v>
      </c>
    </row>
    <row r="178" spans="1:8">
      <c r="A178" s="27"/>
      <c r="B178" s="27"/>
      <c r="C178" s="28"/>
      <c r="D178" s="28"/>
      <c r="E178" s="23" t="s">
        <v>16</v>
      </c>
      <c r="F178" s="23" t="s">
        <v>16</v>
      </c>
      <c r="G178" s="23" t="s">
        <v>16</v>
      </c>
      <c r="H178" s="23" t="s">
        <v>16</v>
      </c>
    </row>
    <row r="179" spans="1:8">
      <c r="A179" s="27"/>
      <c r="B179" s="27"/>
      <c r="C179" s="28"/>
      <c r="D179" s="28"/>
      <c r="E179" s="23" t="s">
        <v>16</v>
      </c>
      <c r="F179" s="23" t="s">
        <v>16</v>
      </c>
      <c r="G179" s="23" t="s">
        <v>16</v>
      </c>
      <c r="H179" s="23" t="s">
        <v>16</v>
      </c>
    </row>
    <row r="180" spans="1:8">
      <c r="A180" s="27"/>
      <c r="B180" s="27"/>
      <c r="C180" s="28"/>
      <c r="D180" s="28"/>
      <c r="E180" s="23" t="s">
        <v>16</v>
      </c>
      <c r="F180" s="23" t="s">
        <v>16</v>
      </c>
      <c r="G180" s="23" t="s">
        <v>16</v>
      </c>
      <c r="H180" s="23" t="s">
        <v>16</v>
      </c>
    </row>
    <row r="181" spans="1:8">
      <c r="A181" s="27"/>
      <c r="B181" s="27"/>
      <c r="C181" s="28"/>
      <c r="D181" s="28"/>
      <c r="E181" s="23" t="s">
        <v>16</v>
      </c>
      <c r="F181" s="23" t="s">
        <v>16</v>
      </c>
      <c r="G181" s="23" t="s">
        <v>16</v>
      </c>
      <c r="H181" s="23" t="s">
        <v>16</v>
      </c>
    </row>
    <row r="182" spans="1:8">
      <c r="A182" s="27"/>
      <c r="B182" s="27"/>
      <c r="C182" s="28"/>
      <c r="D182" s="28"/>
      <c r="E182" s="23" t="s">
        <v>16</v>
      </c>
      <c r="F182" s="23" t="s">
        <v>16</v>
      </c>
      <c r="G182" s="23" t="s">
        <v>16</v>
      </c>
      <c r="H182" s="23" t="s">
        <v>16</v>
      </c>
    </row>
    <row r="183" spans="1:8">
      <c r="A183" s="27"/>
      <c r="B183" s="27"/>
      <c r="C183" s="28"/>
      <c r="D183" s="28"/>
      <c r="E183" s="23" t="s">
        <v>16</v>
      </c>
      <c r="F183" s="23" t="s">
        <v>16</v>
      </c>
      <c r="G183" s="23" t="s">
        <v>16</v>
      </c>
      <c r="H183" s="23" t="s">
        <v>16</v>
      </c>
    </row>
    <row r="184" spans="1:8">
      <c r="A184" s="27"/>
      <c r="B184" s="27"/>
      <c r="C184" s="28"/>
      <c r="D184" s="28"/>
      <c r="E184" s="23" t="s">
        <v>16</v>
      </c>
      <c r="F184" s="23" t="s">
        <v>16</v>
      </c>
      <c r="G184" s="23" t="s">
        <v>16</v>
      </c>
      <c r="H184" s="23" t="s">
        <v>16</v>
      </c>
    </row>
    <row r="185" spans="1:8">
      <c r="A185" s="27"/>
      <c r="B185" s="27"/>
      <c r="C185" s="28"/>
      <c r="D185" s="28"/>
      <c r="E185" s="23" t="s">
        <v>16</v>
      </c>
      <c r="F185" s="23" t="s">
        <v>16</v>
      </c>
      <c r="G185" s="23" t="s">
        <v>16</v>
      </c>
      <c r="H185" s="23" t="s">
        <v>16</v>
      </c>
    </row>
    <row r="186" spans="1:8">
      <c r="A186" s="27"/>
      <c r="B186" s="27"/>
      <c r="C186" s="28"/>
      <c r="D186" s="28"/>
      <c r="E186" s="23" t="s">
        <v>16</v>
      </c>
      <c r="F186" s="23" t="s">
        <v>16</v>
      </c>
      <c r="G186" s="23" t="s">
        <v>16</v>
      </c>
      <c r="H186" s="23" t="s">
        <v>16</v>
      </c>
    </row>
    <row r="187" spans="1:8">
      <c r="A187" s="27"/>
      <c r="B187" s="27"/>
      <c r="C187" s="28"/>
      <c r="D187" s="28"/>
      <c r="E187" s="23" t="s">
        <v>16</v>
      </c>
      <c r="F187" s="23" t="s">
        <v>16</v>
      </c>
      <c r="G187" s="23" t="s">
        <v>16</v>
      </c>
      <c r="H187" s="23" t="s">
        <v>16</v>
      </c>
    </row>
    <row r="188" spans="1:8">
      <c r="A188" s="27"/>
      <c r="B188" s="27"/>
      <c r="C188" s="28"/>
      <c r="D188" s="28"/>
      <c r="E188" s="23" t="s">
        <v>16</v>
      </c>
      <c r="F188" s="23" t="s">
        <v>16</v>
      </c>
      <c r="G188" s="23" t="s">
        <v>16</v>
      </c>
      <c r="H188" s="23" t="s">
        <v>16</v>
      </c>
    </row>
    <row r="189" spans="1:8">
      <c r="A189" s="27"/>
      <c r="B189" s="27"/>
      <c r="C189" s="28"/>
      <c r="D189" s="28"/>
      <c r="E189" s="23" t="s">
        <v>16</v>
      </c>
      <c r="F189" s="23" t="s">
        <v>16</v>
      </c>
      <c r="G189" s="23" t="s">
        <v>16</v>
      </c>
      <c r="H189" s="23" t="s">
        <v>16</v>
      </c>
    </row>
    <row r="190" spans="1:8">
      <c r="A190" s="27"/>
      <c r="B190" s="27"/>
      <c r="C190" s="28"/>
      <c r="D190" s="28"/>
      <c r="E190" s="23" t="s">
        <v>16</v>
      </c>
      <c r="F190" s="23" t="s">
        <v>16</v>
      </c>
      <c r="G190" s="23" t="s">
        <v>16</v>
      </c>
      <c r="H190" s="23" t="s">
        <v>16</v>
      </c>
    </row>
    <row r="191" spans="1:8">
      <c r="A191" s="27"/>
      <c r="B191" s="27"/>
      <c r="C191" s="28"/>
      <c r="D191" s="28"/>
      <c r="E191" s="23" t="s">
        <v>16</v>
      </c>
      <c r="F191" s="23" t="s">
        <v>16</v>
      </c>
      <c r="G191" s="23" t="s">
        <v>16</v>
      </c>
      <c r="H191" s="23" t="s">
        <v>16</v>
      </c>
    </row>
    <row r="192" spans="1:8">
      <c r="A192" s="27"/>
      <c r="B192" s="27"/>
      <c r="C192" s="28"/>
      <c r="D192" s="28"/>
      <c r="E192" s="23" t="s">
        <v>16</v>
      </c>
      <c r="F192" s="23" t="s">
        <v>16</v>
      </c>
      <c r="G192" s="23" t="s">
        <v>16</v>
      </c>
      <c r="H192" s="23" t="s">
        <v>16</v>
      </c>
    </row>
    <row r="193" spans="1:8">
      <c r="A193" s="27"/>
      <c r="B193" s="27"/>
      <c r="C193" s="28"/>
      <c r="D193" s="28"/>
      <c r="E193" s="23" t="s">
        <v>16</v>
      </c>
      <c r="F193" s="23" t="s">
        <v>16</v>
      </c>
      <c r="G193" s="23" t="s">
        <v>16</v>
      </c>
      <c r="H193" s="23" t="s">
        <v>16</v>
      </c>
    </row>
    <row r="194" spans="1:8">
      <c r="A194" s="27"/>
      <c r="B194" s="27"/>
      <c r="C194" s="28"/>
      <c r="D194" s="28"/>
      <c r="E194" s="23" t="s">
        <v>16</v>
      </c>
      <c r="F194" s="23" t="s">
        <v>16</v>
      </c>
      <c r="G194" s="23" t="s">
        <v>16</v>
      </c>
      <c r="H194" s="23" t="s">
        <v>16</v>
      </c>
    </row>
    <row r="195" spans="1:8">
      <c r="A195" s="27"/>
      <c r="B195" s="27"/>
      <c r="C195" s="28"/>
      <c r="D195" s="28"/>
      <c r="E195" s="23" t="s">
        <v>16</v>
      </c>
      <c r="F195" s="23" t="s">
        <v>16</v>
      </c>
      <c r="G195" s="23" t="s">
        <v>16</v>
      </c>
      <c r="H195" s="23" t="s">
        <v>16</v>
      </c>
    </row>
    <row r="196" spans="1:8">
      <c r="A196" s="27"/>
      <c r="B196" s="27"/>
      <c r="C196" s="28"/>
      <c r="D196" s="28"/>
      <c r="E196" s="23" t="s">
        <v>16</v>
      </c>
      <c r="F196" s="23" t="s">
        <v>16</v>
      </c>
      <c r="G196" s="23" t="s">
        <v>16</v>
      </c>
      <c r="H196" s="23" t="s">
        <v>16</v>
      </c>
    </row>
    <row r="197" spans="1:8">
      <c r="A197" s="27"/>
      <c r="B197" s="27"/>
      <c r="C197" s="28"/>
      <c r="D197" s="28"/>
      <c r="E197" s="23" t="s">
        <v>16</v>
      </c>
      <c r="F197" s="23" t="s">
        <v>16</v>
      </c>
      <c r="G197" s="23" t="s">
        <v>16</v>
      </c>
      <c r="H197" s="23" t="s">
        <v>16</v>
      </c>
    </row>
    <row r="198" spans="1:8">
      <c r="A198" s="27"/>
      <c r="B198" s="27"/>
      <c r="C198" s="28"/>
      <c r="D198" s="28"/>
      <c r="E198" s="23" t="s">
        <v>16</v>
      </c>
      <c r="F198" s="23" t="s">
        <v>16</v>
      </c>
      <c r="G198" s="23" t="s">
        <v>16</v>
      </c>
      <c r="H198" s="23" t="s">
        <v>16</v>
      </c>
    </row>
    <row r="199" spans="1:8">
      <c r="A199" s="27"/>
      <c r="B199" s="27"/>
      <c r="C199" s="28"/>
      <c r="D199" s="28"/>
      <c r="E199" s="23" t="s">
        <v>16</v>
      </c>
      <c r="F199" s="23" t="s">
        <v>16</v>
      </c>
      <c r="G199" s="23" t="s">
        <v>16</v>
      </c>
      <c r="H199" s="23" t="s">
        <v>16</v>
      </c>
    </row>
    <row r="200" spans="1:8">
      <c r="A200" s="27"/>
      <c r="B200" s="27"/>
      <c r="C200" s="28"/>
      <c r="D200" s="28"/>
      <c r="E200" s="23" t="s">
        <v>16</v>
      </c>
      <c r="F200" s="23" t="s">
        <v>16</v>
      </c>
      <c r="G200" s="23" t="s">
        <v>16</v>
      </c>
      <c r="H200" s="23" t="s">
        <v>16</v>
      </c>
    </row>
    <row r="201" spans="1:8">
      <c r="A201" s="27"/>
      <c r="B201" s="27"/>
      <c r="C201" s="28"/>
      <c r="D201" s="28"/>
      <c r="E201" s="23"/>
      <c r="F201" s="23"/>
      <c r="G201" s="23"/>
      <c r="H201" s="23"/>
    </row>
    <row r="202" spans="1:8">
      <c r="A202" s="27"/>
      <c r="B202" s="27"/>
      <c r="C202" s="28"/>
      <c r="D202" s="28"/>
      <c r="E202" s="23"/>
      <c r="F202" s="23"/>
      <c r="G202" s="23"/>
      <c r="H202" s="23"/>
    </row>
    <row r="203" spans="1:8">
      <c r="A203" s="27"/>
      <c r="B203" s="27"/>
      <c r="C203" s="28"/>
      <c r="D203" s="28"/>
      <c r="E203" s="23"/>
      <c r="F203" s="23"/>
      <c r="G203" s="23"/>
      <c r="H203" s="23"/>
    </row>
    <row r="204" spans="1:8">
      <c r="A204" s="27"/>
      <c r="B204" s="27"/>
      <c r="C204" s="28"/>
      <c r="D204" s="28"/>
      <c r="E204" s="23"/>
      <c r="F204" s="23"/>
      <c r="G204" s="23"/>
      <c r="H204" s="23"/>
    </row>
    <row r="205" spans="1:8">
      <c r="A205" s="27"/>
      <c r="B205" s="27"/>
      <c r="C205" s="28"/>
      <c r="D205" s="28"/>
      <c r="E205" s="23"/>
      <c r="F205" s="23"/>
      <c r="G205" s="23"/>
      <c r="H205" s="23"/>
    </row>
    <row r="206" spans="1:8">
      <c r="A206" s="27"/>
      <c r="B206" s="27"/>
      <c r="C206" s="28"/>
      <c r="D206" s="28"/>
      <c r="E206" s="23"/>
      <c r="F206" s="23"/>
      <c r="G206" s="23"/>
      <c r="H206" s="23"/>
    </row>
    <row r="207" spans="1:8">
      <c r="A207" s="27"/>
      <c r="B207" s="27"/>
      <c r="C207" s="28"/>
      <c r="D207" s="28"/>
      <c r="E207" s="23"/>
      <c r="F207" s="23"/>
      <c r="G207" s="23"/>
      <c r="H207" s="23"/>
    </row>
    <row r="208" spans="1:8">
      <c r="A208" s="27"/>
      <c r="B208" s="27"/>
      <c r="C208" s="28"/>
      <c r="D208" s="28"/>
      <c r="E208" s="23"/>
      <c r="F208" s="23"/>
      <c r="G208" s="23"/>
      <c r="H208" s="23"/>
    </row>
    <row r="209" spans="1:8">
      <c r="A209" s="27"/>
      <c r="B209" s="27"/>
      <c r="C209" s="28"/>
      <c r="D209" s="28"/>
      <c r="E209" s="23"/>
      <c r="F209" s="23"/>
      <c r="G209" s="23"/>
      <c r="H209" s="23"/>
    </row>
    <row r="210" spans="1:8">
      <c r="A210" s="27"/>
      <c r="B210" s="27"/>
      <c r="C210" s="28"/>
      <c r="D210" s="28"/>
      <c r="E210" s="23"/>
      <c r="F210" s="23"/>
      <c r="G210" s="23"/>
      <c r="H210" s="23"/>
    </row>
    <row r="211" spans="1:8">
      <c r="A211" s="27"/>
      <c r="B211" s="27"/>
      <c r="C211" s="28"/>
      <c r="D211" s="28"/>
      <c r="E211" s="23"/>
      <c r="F211" s="23"/>
      <c r="G211" s="23"/>
      <c r="H211" s="23"/>
    </row>
    <row r="212" spans="1:8">
      <c r="A212" s="27"/>
      <c r="B212" s="27"/>
      <c r="C212" s="28"/>
      <c r="D212" s="28"/>
      <c r="E212" s="23"/>
      <c r="F212" s="23"/>
      <c r="G212" s="23"/>
      <c r="H212" s="23"/>
    </row>
    <row r="213" spans="1:8">
      <c r="A213" s="27"/>
      <c r="B213" s="27"/>
      <c r="C213" s="28"/>
      <c r="D213" s="28"/>
      <c r="E213" s="23"/>
      <c r="F213" s="23"/>
      <c r="G213" s="23"/>
      <c r="H213" s="23"/>
    </row>
    <row r="214" spans="1:8">
      <c r="A214" s="27"/>
      <c r="B214" s="27"/>
      <c r="C214" s="28"/>
      <c r="D214" s="28"/>
      <c r="E214" s="23"/>
      <c r="F214" s="23"/>
      <c r="G214" s="23"/>
      <c r="H214" s="23"/>
    </row>
    <row r="215" spans="1:8">
      <c r="A215" s="27"/>
      <c r="B215" s="27"/>
      <c r="C215" s="28"/>
      <c r="D215" s="28"/>
      <c r="E215" s="23"/>
      <c r="F215" s="23"/>
      <c r="G215" s="23"/>
      <c r="H215" s="23"/>
    </row>
    <row r="216" spans="1:8">
      <c r="A216" s="27"/>
      <c r="B216" s="27"/>
      <c r="C216" s="28"/>
      <c r="D216" s="28"/>
      <c r="E216" s="23"/>
      <c r="F216" s="23"/>
      <c r="G216" s="23"/>
      <c r="H216" s="23"/>
    </row>
    <row r="217" spans="1:8">
      <c r="A217" s="27"/>
      <c r="B217" s="27"/>
      <c r="C217" s="28"/>
      <c r="D217" s="28"/>
      <c r="E217" s="23"/>
      <c r="F217" s="23"/>
      <c r="G217" s="23"/>
      <c r="H217" s="23"/>
    </row>
    <row r="218" spans="1:8">
      <c r="A218" s="27"/>
      <c r="B218" s="27"/>
      <c r="C218" s="28"/>
      <c r="D218" s="28"/>
      <c r="E218" s="23"/>
      <c r="F218" s="23"/>
      <c r="G218" s="23"/>
      <c r="H218" s="23"/>
    </row>
    <row r="219" spans="1:8">
      <c r="A219" s="27"/>
      <c r="B219" s="27"/>
      <c r="C219" s="28"/>
      <c r="D219" s="28"/>
      <c r="E219" s="23"/>
      <c r="F219" s="23"/>
      <c r="G219" s="23"/>
      <c r="H219" s="23"/>
    </row>
    <row r="220" spans="1:8">
      <c r="A220" s="27"/>
      <c r="B220" s="27"/>
      <c r="C220" s="28"/>
      <c r="D220" s="28"/>
      <c r="E220" s="23"/>
      <c r="F220" s="23"/>
      <c r="G220" s="23"/>
      <c r="H220" s="23"/>
    </row>
    <row r="221" spans="1:8">
      <c r="A221" s="27"/>
      <c r="B221" s="27"/>
      <c r="C221" s="28"/>
      <c r="D221" s="28"/>
      <c r="E221" s="23"/>
      <c r="F221" s="23"/>
      <c r="G221" s="23"/>
      <c r="H221" s="23"/>
    </row>
    <row r="222" spans="1:8">
      <c r="A222" s="27"/>
      <c r="B222" s="27"/>
      <c r="C222" s="28"/>
      <c r="D222" s="28"/>
      <c r="E222" s="53"/>
      <c r="F222" s="53"/>
      <c r="G222" s="53"/>
      <c r="H222" s="53"/>
    </row>
    <row r="223" spans="1:8">
      <c r="A223" s="27"/>
      <c r="B223" s="27"/>
      <c r="C223" s="28"/>
      <c r="D223" s="28"/>
      <c r="E223" s="53"/>
      <c r="F223" s="53"/>
      <c r="G223" s="53"/>
      <c r="H223" s="53"/>
    </row>
    <row r="224" spans="1:8">
      <c r="A224" s="27"/>
      <c r="B224" s="27"/>
      <c r="C224" s="28"/>
      <c r="D224" s="28"/>
      <c r="E224" s="53"/>
      <c r="F224" s="53"/>
      <c r="G224" s="53"/>
      <c r="H224" s="53"/>
    </row>
    <row r="225" spans="1:8">
      <c r="A225" s="27"/>
      <c r="B225" s="27"/>
      <c r="C225" s="28"/>
      <c r="D225" s="28"/>
      <c r="E225" s="53"/>
      <c r="F225" s="53"/>
      <c r="G225" s="53"/>
      <c r="H225" s="53"/>
    </row>
    <row r="226" spans="1:8">
      <c r="A226" s="27"/>
      <c r="B226" s="27"/>
      <c r="C226" s="28"/>
      <c r="D226" s="28"/>
      <c r="E226" s="53"/>
      <c r="F226" s="53"/>
      <c r="G226" s="53"/>
      <c r="H226" s="53"/>
    </row>
    <row r="227" spans="1:8">
      <c r="A227" s="27"/>
      <c r="B227" s="27"/>
      <c r="C227" s="28"/>
      <c r="D227" s="28"/>
      <c r="E227" s="53"/>
      <c r="F227" s="53"/>
      <c r="G227" s="53"/>
      <c r="H227" s="53"/>
    </row>
    <row r="228" spans="1:8">
      <c r="A228" s="27"/>
      <c r="B228" s="27"/>
      <c r="C228" s="28"/>
      <c r="D228" s="28"/>
      <c r="E228" s="53"/>
      <c r="F228" s="53"/>
      <c r="G228" s="53"/>
      <c r="H228" s="53"/>
    </row>
    <row r="229" spans="1:8">
      <c r="A229" s="27"/>
      <c r="B229" s="27"/>
      <c r="C229" s="28"/>
      <c r="D229" s="28"/>
      <c r="E229" s="53"/>
      <c r="F229" s="53"/>
      <c r="G229" s="53"/>
      <c r="H229" s="53"/>
    </row>
    <row r="230" spans="1:8">
      <c r="A230" s="27"/>
      <c r="B230" s="27"/>
      <c r="C230" s="28"/>
      <c r="D230" s="28"/>
      <c r="E230" s="53"/>
      <c r="F230" s="53"/>
      <c r="G230" s="53"/>
      <c r="H230" s="53"/>
    </row>
    <row r="231" spans="1:8">
      <c r="A231" s="27"/>
      <c r="B231" s="27"/>
      <c r="C231" s="28"/>
      <c r="D231" s="28"/>
      <c r="E231" s="53"/>
      <c r="F231" s="53"/>
      <c r="G231" s="53"/>
      <c r="H231" s="53"/>
    </row>
    <row r="232" spans="1:8">
      <c r="A232" s="27"/>
      <c r="B232" s="27"/>
      <c r="C232" s="28"/>
      <c r="D232" s="28"/>
      <c r="E232" s="53"/>
      <c r="F232" s="53"/>
      <c r="G232" s="53"/>
      <c r="H232" s="53"/>
    </row>
    <row r="233" spans="1:8">
      <c r="A233" s="27"/>
      <c r="B233" s="27"/>
      <c r="C233" s="28"/>
      <c r="D233" s="28"/>
      <c r="E233" s="53"/>
      <c r="F233" s="53"/>
      <c r="G233" s="53"/>
      <c r="H233" s="53"/>
    </row>
    <row r="234" spans="1:8">
      <c r="A234" s="27"/>
      <c r="B234" s="27"/>
      <c r="C234" s="28"/>
      <c r="D234" s="28"/>
      <c r="E234" s="53"/>
      <c r="F234" s="53"/>
      <c r="G234" s="53"/>
      <c r="H234" s="53"/>
    </row>
    <row r="235" spans="1:8">
      <c r="A235" s="27"/>
      <c r="B235" s="27"/>
      <c r="C235" s="28"/>
      <c r="D235" s="28"/>
      <c r="E235" s="53"/>
      <c r="F235" s="53"/>
      <c r="G235" s="53"/>
      <c r="H235" s="53"/>
    </row>
    <row r="236" spans="1:8">
      <c r="A236" s="27"/>
      <c r="B236" s="27"/>
      <c r="C236" s="28"/>
      <c r="D236" s="28"/>
      <c r="E236" s="53"/>
      <c r="F236" s="53"/>
      <c r="G236" s="53"/>
      <c r="H236" s="53"/>
    </row>
    <row r="237" spans="1:8">
      <c r="A237" s="27"/>
      <c r="B237" s="27"/>
      <c r="C237" s="28"/>
      <c r="D237" s="28"/>
      <c r="E237" s="53"/>
      <c r="F237" s="53"/>
      <c r="G237" s="53"/>
      <c r="H237" s="53"/>
    </row>
    <row r="238" spans="1:8">
      <c r="A238" s="27"/>
      <c r="B238" s="27"/>
      <c r="C238" s="28"/>
      <c r="D238" s="28"/>
      <c r="E238" s="53"/>
      <c r="F238" s="53"/>
      <c r="G238" s="53"/>
      <c r="H238" s="53"/>
    </row>
    <row r="239" spans="1:8">
      <c r="A239" s="27"/>
      <c r="B239" s="27"/>
      <c r="C239" s="28"/>
      <c r="D239" s="28"/>
      <c r="E239" s="53"/>
      <c r="F239" s="53"/>
      <c r="G239" s="53"/>
      <c r="H239" s="53"/>
    </row>
    <row r="240" spans="1:8">
      <c r="A240" s="27"/>
      <c r="B240" s="27"/>
      <c r="C240" s="28"/>
      <c r="D240" s="28"/>
      <c r="E240" s="53"/>
      <c r="F240" s="53"/>
      <c r="G240" s="53"/>
      <c r="H240" s="53"/>
    </row>
    <row r="241" spans="1:8">
      <c r="A241" s="27"/>
      <c r="B241" s="27"/>
      <c r="C241" s="28"/>
      <c r="D241" s="28"/>
      <c r="E241" s="53"/>
      <c r="F241" s="53"/>
      <c r="G241" s="53"/>
      <c r="H241" s="53"/>
    </row>
    <row r="242" spans="1:8">
      <c r="A242" s="27"/>
      <c r="B242" s="27"/>
      <c r="C242" s="28"/>
      <c r="D242" s="28"/>
      <c r="E242" s="53"/>
      <c r="F242" s="53"/>
      <c r="G242" s="53"/>
      <c r="H242" s="53"/>
    </row>
    <row r="243" spans="1:8">
      <c r="A243" s="27"/>
      <c r="B243" s="27"/>
      <c r="C243" s="28"/>
      <c r="D243" s="28"/>
      <c r="E243" s="53"/>
      <c r="F243" s="53"/>
      <c r="G243" s="53"/>
      <c r="H243" s="53"/>
    </row>
    <row r="244" spans="1:8">
      <c r="A244" s="27"/>
      <c r="B244" s="27"/>
      <c r="C244" s="28"/>
      <c r="D244" s="28"/>
      <c r="E244" s="53"/>
      <c r="F244" s="53"/>
      <c r="G244" s="53"/>
      <c r="H244" s="53"/>
    </row>
    <row r="245" spans="1:8">
      <c r="A245" s="27"/>
      <c r="B245" s="27"/>
      <c r="C245" s="28"/>
      <c r="D245" s="28"/>
      <c r="E245" s="53"/>
      <c r="F245" s="53"/>
      <c r="G245" s="53"/>
      <c r="H245" s="53"/>
    </row>
    <row r="246" spans="1:8">
      <c r="A246" s="27"/>
      <c r="B246" s="27"/>
      <c r="C246" s="28"/>
      <c r="D246" s="28"/>
      <c r="E246" s="53"/>
      <c r="F246" s="53"/>
      <c r="G246" s="53"/>
      <c r="H246" s="53"/>
    </row>
    <row r="247" spans="1:8">
      <c r="A247" s="27"/>
      <c r="B247" s="27"/>
      <c r="C247" s="28"/>
      <c r="D247" s="28"/>
      <c r="E247" s="53"/>
      <c r="F247" s="53"/>
      <c r="G247" s="53"/>
      <c r="H247" s="53"/>
    </row>
    <row r="248" spans="1:8">
      <c r="A248" s="27"/>
      <c r="B248" s="27"/>
      <c r="C248" s="28"/>
      <c r="D248" s="28"/>
      <c r="E248" s="53"/>
      <c r="F248" s="53"/>
      <c r="G248" s="53"/>
      <c r="H248" s="53"/>
    </row>
    <row r="249" spans="1:8">
      <c r="A249" s="27"/>
      <c r="B249" s="27"/>
      <c r="C249" s="28"/>
      <c r="D249" s="28"/>
      <c r="E249" s="53"/>
      <c r="F249" s="53"/>
      <c r="G249" s="53"/>
      <c r="H249" s="53"/>
    </row>
    <row r="250" spans="1:8">
      <c r="A250" s="27"/>
      <c r="B250" s="27"/>
      <c r="C250" s="28"/>
      <c r="D250" s="28"/>
      <c r="E250" s="53"/>
      <c r="F250" s="53"/>
      <c r="G250" s="53"/>
      <c r="H250" s="53"/>
    </row>
    <row r="251" spans="1:8">
      <c r="A251" s="27"/>
      <c r="B251" s="27"/>
      <c r="C251" s="28"/>
      <c r="D251" s="28"/>
      <c r="E251" s="53"/>
      <c r="F251" s="53"/>
      <c r="G251" s="53"/>
      <c r="H251" s="53"/>
    </row>
    <row r="252" spans="1:8">
      <c r="A252" s="27"/>
      <c r="B252" s="27"/>
      <c r="C252" s="28"/>
      <c r="D252" s="28"/>
      <c r="E252" s="53"/>
      <c r="F252" s="53"/>
      <c r="G252" s="53"/>
      <c r="H252" s="53"/>
    </row>
    <row r="253" spans="1:8">
      <c r="A253" s="27"/>
      <c r="B253" s="27"/>
      <c r="C253" s="28"/>
      <c r="D253" s="28"/>
      <c r="E253" s="53"/>
      <c r="F253" s="53"/>
      <c r="G253" s="53"/>
      <c r="H253" s="53"/>
    </row>
    <row r="254" spans="1:8">
      <c r="A254" s="27"/>
      <c r="B254" s="27"/>
      <c r="C254" s="28"/>
      <c r="D254" s="28"/>
      <c r="E254" s="53"/>
      <c r="F254" s="53"/>
      <c r="G254" s="53"/>
      <c r="H254" s="53"/>
    </row>
    <row r="255" spans="1:8">
      <c r="A255" s="27"/>
      <c r="B255" s="27"/>
      <c r="C255" s="28"/>
      <c r="D255" s="28"/>
      <c r="E255" s="53"/>
      <c r="F255" s="53"/>
      <c r="G255" s="53"/>
      <c r="H255" s="53"/>
    </row>
    <row r="256" spans="1:8">
      <c r="A256" s="27"/>
      <c r="B256" s="27"/>
      <c r="C256" s="28"/>
      <c r="D256" s="28"/>
      <c r="E256" s="53"/>
      <c r="F256" s="53"/>
      <c r="G256" s="53"/>
      <c r="H256" s="53"/>
    </row>
    <row r="257" spans="1:8">
      <c r="A257" s="27"/>
      <c r="B257" s="27"/>
      <c r="C257" s="28"/>
      <c r="D257" s="28"/>
      <c r="E257" s="53"/>
      <c r="F257" s="53"/>
      <c r="G257" s="53"/>
      <c r="H257" s="53"/>
    </row>
    <row r="258" spans="1:8">
      <c r="A258" s="27"/>
      <c r="B258" s="27"/>
      <c r="C258" s="28"/>
      <c r="D258" s="28"/>
      <c r="E258" s="53"/>
      <c r="F258" s="53"/>
      <c r="G258" s="53"/>
      <c r="H258" s="53"/>
    </row>
    <row r="259" spans="1:8">
      <c r="A259" s="27"/>
      <c r="B259" s="27"/>
      <c r="C259" s="28"/>
      <c r="D259" s="28"/>
      <c r="E259" s="53"/>
      <c r="F259" s="53"/>
      <c r="G259" s="53"/>
      <c r="H259" s="53"/>
    </row>
    <row r="260" spans="1:8">
      <c r="A260" s="27"/>
      <c r="B260" s="27"/>
      <c r="C260" s="28"/>
      <c r="D260" s="28"/>
      <c r="E260" s="53"/>
      <c r="F260" s="53"/>
      <c r="G260" s="53"/>
      <c r="H260" s="53"/>
    </row>
    <row r="261" spans="1:8">
      <c r="A261" s="27"/>
      <c r="B261" s="27"/>
      <c r="C261" s="28"/>
      <c r="D261" s="28"/>
      <c r="E261" s="53"/>
      <c r="F261" s="53"/>
      <c r="G261" s="53"/>
      <c r="H261" s="53"/>
    </row>
    <row r="262" spans="1:8">
      <c r="A262" s="27"/>
      <c r="B262" s="27"/>
      <c r="C262" s="28"/>
      <c r="D262" s="28"/>
      <c r="E262" s="53"/>
      <c r="F262" s="53"/>
      <c r="G262" s="53"/>
      <c r="H262" s="53"/>
    </row>
    <row r="263" spans="1:8">
      <c r="A263" s="27"/>
      <c r="B263" s="27"/>
      <c r="C263" s="28"/>
      <c r="D263" s="28"/>
      <c r="E263" s="53"/>
      <c r="F263" s="53"/>
      <c r="G263" s="53"/>
      <c r="H263" s="53"/>
    </row>
    <row r="264" spans="1:8">
      <c r="A264" s="27"/>
      <c r="B264" s="27"/>
      <c r="C264" s="28"/>
      <c r="D264" s="28"/>
      <c r="E264" s="53"/>
      <c r="F264" s="53"/>
      <c r="G264" s="53"/>
      <c r="H264" s="53"/>
    </row>
    <row r="265" spans="1:8">
      <c r="A265" s="27"/>
      <c r="B265" s="27"/>
      <c r="C265" s="28"/>
      <c r="D265" s="28"/>
      <c r="E265" s="53"/>
      <c r="F265" s="53"/>
      <c r="G265" s="53"/>
      <c r="H265" s="53"/>
    </row>
    <row r="266" spans="1:8">
      <c r="A266" s="27"/>
      <c r="B266" s="27"/>
      <c r="C266" s="28"/>
      <c r="D266" s="28"/>
      <c r="E266" s="53"/>
      <c r="F266" s="53"/>
      <c r="G266" s="53"/>
      <c r="H266" s="53"/>
    </row>
    <row r="267" spans="1:8">
      <c r="A267" s="27"/>
      <c r="B267" s="27"/>
      <c r="C267" s="28"/>
      <c r="D267" s="28"/>
      <c r="E267" s="53"/>
      <c r="F267" s="53"/>
      <c r="G267" s="53"/>
      <c r="H267" s="53"/>
    </row>
    <row r="268" spans="1:8">
      <c r="A268" s="27"/>
      <c r="B268" s="27"/>
      <c r="C268" s="28"/>
      <c r="D268" s="28"/>
      <c r="E268" s="53"/>
      <c r="F268" s="53"/>
      <c r="G268" s="53"/>
      <c r="H268" s="53"/>
    </row>
    <row r="269" spans="1:8">
      <c r="A269" s="27"/>
      <c r="B269" s="27"/>
      <c r="C269" s="28"/>
      <c r="D269" s="28"/>
      <c r="E269" s="53"/>
      <c r="F269" s="53"/>
      <c r="G269" s="53"/>
      <c r="H269" s="53"/>
    </row>
    <row r="270" spans="1:8">
      <c r="A270" s="27"/>
      <c r="B270" s="27"/>
      <c r="C270" s="28"/>
      <c r="D270" s="28"/>
      <c r="E270" s="53"/>
      <c r="F270" s="53"/>
      <c r="G270" s="53"/>
      <c r="H270" s="53"/>
    </row>
    <row r="271" spans="1:8">
      <c r="A271" s="27"/>
      <c r="B271" s="27"/>
      <c r="C271" s="28"/>
      <c r="D271" s="28"/>
      <c r="E271" s="53"/>
      <c r="F271" s="53"/>
      <c r="G271" s="53"/>
      <c r="H271" s="53"/>
    </row>
    <row r="272" spans="1:8">
      <c r="A272" s="27"/>
      <c r="B272" s="27"/>
      <c r="C272" s="28"/>
      <c r="D272" s="28"/>
      <c r="E272" s="53"/>
      <c r="F272" s="53"/>
      <c r="G272" s="53"/>
      <c r="H272" s="53"/>
    </row>
    <row r="273" spans="1:8">
      <c r="A273" s="27"/>
      <c r="B273" s="27"/>
      <c r="C273" s="28"/>
      <c r="D273" s="28"/>
      <c r="E273" s="53"/>
      <c r="F273" s="53"/>
      <c r="G273" s="53"/>
      <c r="H273" s="53"/>
    </row>
    <row r="274" spans="1:8">
      <c r="A274" s="27"/>
      <c r="B274" s="27"/>
      <c r="C274" s="28"/>
      <c r="D274" s="28"/>
      <c r="E274" s="53"/>
      <c r="F274" s="53"/>
      <c r="G274" s="53"/>
      <c r="H274" s="53"/>
    </row>
    <row r="275" spans="1:8">
      <c r="A275" s="27"/>
      <c r="B275" s="27"/>
      <c r="C275" s="28"/>
      <c r="D275" s="28"/>
      <c r="E275" s="53"/>
      <c r="F275" s="53"/>
      <c r="G275" s="53"/>
      <c r="H275" s="53"/>
    </row>
    <row r="276" spans="1:8">
      <c r="A276" s="27"/>
      <c r="B276" s="27"/>
      <c r="C276" s="28"/>
      <c r="D276" s="28"/>
      <c r="E276" s="53"/>
      <c r="F276" s="53"/>
      <c r="G276" s="53"/>
      <c r="H276" s="53"/>
    </row>
    <row r="277" spans="1:8">
      <c r="A277" s="27"/>
      <c r="B277" s="27"/>
      <c r="C277" s="28"/>
      <c r="D277" s="28"/>
      <c r="E277" s="53"/>
      <c r="F277" s="53"/>
      <c r="G277" s="53"/>
      <c r="H277" s="53"/>
    </row>
    <row r="278" spans="1:8">
      <c r="A278" s="27"/>
      <c r="B278" s="27"/>
      <c r="C278" s="28"/>
      <c r="D278" s="28"/>
      <c r="E278" s="53"/>
      <c r="F278" s="53"/>
      <c r="G278" s="53"/>
      <c r="H278" s="53"/>
    </row>
    <row r="279" spans="1:8">
      <c r="A279" s="27"/>
      <c r="B279" s="27"/>
      <c r="C279" s="28"/>
      <c r="D279" s="28"/>
      <c r="E279" s="53"/>
      <c r="F279" s="53"/>
      <c r="G279" s="53"/>
      <c r="H279" s="53"/>
    </row>
    <row r="280" spans="1:8">
      <c r="A280" s="27"/>
      <c r="B280" s="27"/>
      <c r="C280" s="28"/>
      <c r="D280" s="28"/>
      <c r="E280" s="53"/>
      <c r="F280" s="53"/>
      <c r="G280" s="53"/>
      <c r="H280" s="53"/>
    </row>
    <row r="281" spans="1:8">
      <c r="A281" s="27"/>
      <c r="B281" s="27"/>
      <c r="C281" s="28"/>
      <c r="D281" s="28"/>
      <c r="E281" s="53"/>
      <c r="F281" s="53"/>
      <c r="G281" s="53"/>
      <c r="H281" s="53"/>
    </row>
    <row r="282" spans="1:8">
      <c r="A282" s="27"/>
      <c r="B282" s="27"/>
      <c r="C282" s="28"/>
      <c r="D282" s="28"/>
      <c r="E282" s="53"/>
      <c r="F282" s="53"/>
      <c r="G282" s="53"/>
      <c r="H282" s="53"/>
    </row>
    <row r="283" spans="1:8">
      <c r="A283" s="27"/>
      <c r="B283" s="27"/>
      <c r="C283" s="28"/>
      <c r="D283" s="28"/>
      <c r="E283" s="53"/>
      <c r="F283" s="53"/>
      <c r="G283" s="53"/>
      <c r="H283" s="53"/>
    </row>
    <row r="284" spans="1:8">
      <c r="A284" s="27"/>
      <c r="B284" s="27"/>
      <c r="C284" s="28"/>
      <c r="D284" s="28"/>
      <c r="E284" s="53"/>
      <c r="F284" s="53"/>
      <c r="G284" s="53"/>
      <c r="H284" s="53"/>
    </row>
    <row r="285" spans="1:8">
      <c r="A285" s="27"/>
      <c r="B285" s="27"/>
      <c r="C285" s="28"/>
      <c r="D285" s="28"/>
      <c r="E285" s="53"/>
      <c r="F285" s="53"/>
      <c r="G285" s="53"/>
      <c r="H285" s="53"/>
    </row>
    <row r="286" spans="1:8">
      <c r="A286" s="27"/>
      <c r="B286" s="27"/>
      <c r="C286" s="28"/>
      <c r="D286" s="28"/>
      <c r="E286" s="53"/>
      <c r="F286" s="53"/>
      <c r="G286" s="53"/>
      <c r="H286" s="53"/>
    </row>
    <row r="287" spans="1:8">
      <c r="A287" s="27"/>
      <c r="B287" s="27"/>
      <c r="C287" s="28"/>
      <c r="D287" s="28"/>
      <c r="E287" s="53"/>
      <c r="F287" s="53"/>
      <c r="G287" s="53"/>
      <c r="H287" s="53"/>
    </row>
    <row r="288" spans="1:8">
      <c r="A288" s="27"/>
      <c r="B288" s="27"/>
      <c r="C288" s="28"/>
      <c r="D288" s="28"/>
      <c r="E288" s="53"/>
      <c r="F288" s="53"/>
      <c r="G288" s="53"/>
      <c r="H288" s="53"/>
    </row>
    <row r="289" spans="1:8">
      <c r="A289" s="27"/>
      <c r="B289" s="27"/>
      <c r="C289" s="28"/>
      <c r="D289" s="28"/>
      <c r="E289" s="53"/>
      <c r="F289" s="53"/>
      <c r="G289" s="53"/>
      <c r="H289" s="53"/>
    </row>
    <row r="290" spans="1:8">
      <c r="A290" s="27"/>
      <c r="B290" s="27"/>
      <c r="C290" s="28"/>
      <c r="D290" s="28"/>
      <c r="E290" s="53"/>
      <c r="F290" s="53"/>
      <c r="G290" s="53"/>
      <c r="H290" s="53"/>
    </row>
    <row r="291" spans="1:8">
      <c r="A291" s="27"/>
      <c r="B291" s="27"/>
      <c r="C291" s="28"/>
      <c r="D291" s="28"/>
      <c r="E291" s="53"/>
      <c r="F291" s="53"/>
      <c r="G291" s="53"/>
      <c r="H291" s="53"/>
    </row>
    <row r="292" spans="1:8">
      <c r="A292" s="27"/>
      <c r="B292" s="27"/>
      <c r="C292" s="28"/>
      <c r="D292" s="28"/>
      <c r="E292" s="53"/>
      <c r="F292" s="53"/>
      <c r="G292" s="53"/>
      <c r="H292" s="53"/>
    </row>
    <row r="293" spans="1:8">
      <c r="A293" s="27"/>
      <c r="B293" s="27"/>
      <c r="C293" s="28"/>
      <c r="D293" s="28"/>
      <c r="E293" s="53"/>
      <c r="F293" s="53"/>
      <c r="G293" s="53"/>
      <c r="H293" s="53"/>
    </row>
    <row r="294" spans="1:8">
      <c r="A294" s="27"/>
      <c r="B294" s="27"/>
      <c r="C294" s="28"/>
      <c r="D294" s="28"/>
      <c r="E294" s="53"/>
      <c r="F294" s="53"/>
      <c r="G294" s="53"/>
      <c r="H294" s="53"/>
    </row>
    <row r="295" spans="1:8">
      <c r="A295" s="27"/>
      <c r="B295" s="27"/>
      <c r="C295" s="28"/>
      <c r="D295" s="28"/>
      <c r="E295" s="53"/>
      <c r="F295" s="53"/>
      <c r="G295" s="53"/>
      <c r="H295" s="53"/>
    </row>
    <row r="296" spans="1:8">
      <c r="A296" s="27"/>
      <c r="B296" s="27"/>
      <c r="C296" s="28"/>
      <c r="D296" s="28"/>
      <c r="E296" s="53"/>
      <c r="F296" s="53"/>
      <c r="G296" s="53"/>
      <c r="H296" s="53"/>
    </row>
    <row r="297" spans="1:8">
      <c r="A297" s="27"/>
      <c r="B297" s="27"/>
      <c r="C297" s="28"/>
      <c r="D297" s="28"/>
      <c r="E297" s="53"/>
      <c r="F297" s="53"/>
      <c r="G297" s="53"/>
      <c r="H297" s="53"/>
    </row>
    <row r="298" spans="1:8">
      <c r="A298" s="27"/>
      <c r="B298" s="27"/>
      <c r="C298" s="28"/>
      <c r="D298" s="28"/>
      <c r="E298" s="53"/>
      <c r="F298" s="53"/>
      <c r="G298" s="53"/>
      <c r="H298" s="53"/>
    </row>
    <row r="299" spans="1:8">
      <c r="A299" s="27"/>
      <c r="B299" s="27"/>
      <c r="C299" s="28"/>
      <c r="D299" s="28"/>
      <c r="E299" s="53"/>
      <c r="F299" s="53"/>
      <c r="G299" s="53"/>
      <c r="H299" s="53"/>
    </row>
    <row r="300" spans="1:8">
      <c r="A300" s="27"/>
      <c r="B300" s="27"/>
      <c r="C300" s="28"/>
      <c r="D300" s="28"/>
      <c r="E300" s="53"/>
      <c r="F300" s="53"/>
      <c r="G300" s="53"/>
      <c r="H300" s="53"/>
    </row>
    <row r="301" spans="1:8">
      <c r="A301" s="27"/>
      <c r="B301" s="27"/>
      <c r="C301" s="28"/>
      <c r="D301" s="28"/>
      <c r="E301" s="53"/>
      <c r="F301" s="53"/>
      <c r="G301" s="53"/>
      <c r="H301" s="53"/>
    </row>
    <row r="302" spans="1:8">
      <c r="A302" s="27"/>
      <c r="B302" s="27"/>
      <c r="C302" s="28"/>
      <c r="D302" s="28"/>
      <c r="E302" s="53"/>
      <c r="F302" s="53"/>
      <c r="G302" s="53"/>
      <c r="H302" s="53"/>
    </row>
    <row r="303" spans="1:8">
      <c r="A303" s="27"/>
      <c r="B303" s="27"/>
      <c r="C303" s="28"/>
      <c r="D303" s="28"/>
      <c r="E303" s="53"/>
      <c r="F303" s="53"/>
      <c r="G303" s="53"/>
      <c r="H303" s="53"/>
    </row>
    <row r="304" spans="1:8">
      <c r="A304" s="27"/>
      <c r="B304" s="27"/>
      <c r="C304" s="28"/>
      <c r="D304" s="28"/>
      <c r="E304" s="53"/>
      <c r="F304" s="53"/>
      <c r="G304" s="53"/>
      <c r="H304" s="53"/>
    </row>
    <row r="305" spans="1:8">
      <c r="A305" s="27"/>
      <c r="B305" s="27"/>
      <c r="C305" s="28"/>
      <c r="D305" s="28"/>
      <c r="E305" s="53"/>
      <c r="F305" s="53"/>
      <c r="G305" s="53"/>
      <c r="H305" s="53"/>
    </row>
    <row r="306" spans="1:8">
      <c r="A306" s="27"/>
      <c r="B306" s="27"/>
      <c r="C306" s="28"/>
      <c r="D306" s="28"/>
      <c r="E306" s="53"/>
      <c r="F306" s="53"/>
      <c r="G306" s="53"/>
      <c r="H306" s="53"/>
    </row>
    <row r="307" spans="1:8">
      <c r="A307" s="27"/>
      <c r="B307" s="27"/>
      <c r="C307" s="28"/>
      <c r="D307" s="28"/>
      <c r="E307" s="53"/>
      <c r="F307" s="53"/>
      <c r="G307" s="53"/>
      <c r="H307" s="53"/>
    </row>
    <row r="308" spans="1:8">
      <c r="A308" s="27"/>
      <c r="B308" s="27"/>
      <c r="C308" s="28"/>
      <c r="D308" s="28"/>
      <c r="E308" s="53"/>
      <c r="F308" s="53"/>
      <c r="G308" s="53"/>
      <c r="H308" s="53"/>
    </row>
    <row r="309" spans="1:8">
      <c r="A309" s="27"/>
      <c r="B309" s="27"/>
      <c r="C309" s="28"/>
      <c r="D309" s="28"/>
      <c r="E309" s="53"/>
      <c r="F309" s="53"/>
      <c r="G309" s="53"/>
      <c r="H309" s="53"/>
    </row>
    <row r="310" spans="1:8">
      <c r="A310" s="27"/>
      <c r="B310" s="27"/>
      <c r="C310" s="28"/>
      <c r="D310" s="28"/>
      <c r="E310" s="53"/>
      <c r="F310" s="53"/>
      <c r="G310" s="53"/>
      <c r="H310" s="53"/>
    </row>
    <row r="311" spans="1:8">
      <c r="A311" s="27"/>
      <c r="B311" s="27"/>
      <c r="C311" s="28"/>
      <c r="D311" s="28"/>
      <c r="E311" s="53"/>
      <c r="F311" s="53"/>
      <c r="G311" s="53"/>
      <c r="H311" s="53"/>
    </row>
    <row r="312" spans="1:8">
      <c r="A312" s="27"/>
      <c r="B312" s="27"/>
      <c r="C312" s="28"/>
      <c r="D312" s="28"/>
      <c r="E312" s="53"/>
      <c r="F312" s="53"/>
      <c r="G312" s="53"/>
      <c r="H312" s="53"/>
    </row>
    <row r="313" spans="1:8">
      <c r="A313" s="27"/>
      <c r="B313" s="27"/>
      <c r="C313" s="28"/>
      <c r="D313" s="28"/>
      <c r="E313" s="53"/>
      <c r="F313" s="53"/>
      <c r="G313" s="53"/>
      <c r="H313" s="53"/>
    </row>
    <row r="314" spans="1:8">
      <c r="A314" s="27"/>
      <c r="B314" s="27"/>
      <c r="C314" s="28"/>
      <c r="D314" s="28"/>
      <c r="E314" s="53"/>
      <c r="F314" s="53"/>
      <c r="G314" s="53"/>
      <c r="H314" s="53"/>
    </row>
    <row r="315" spans="1:8">
      <c r="A315" s="27"/>
      <c r="B315" s="27"/>
      <c r="C315" s="28"/>
      <c r="D315" s="28"/>
      <c r="E315" s="53"/>
      <c r="F315" s="53"/>
      <c r="G315" s="53"/>
      <c r="H315" s="53"/>
    </row>
    <row r="316" spans="1:8">
      <c r="A316" s="27"/>
      <c r="B316" s="27"/>
      <c r="C316" s="28"/>
      <c r="D316" s="28"/>
      <c r="E316" s="53"/>
      <c r="F316" s="53"/>
      <c r="G316" s="53"/>
      <c r="H316" s="53"/>
    </row>
    <row r="317" spans="1:8">
      <c r="A317" s="27"/>
      <c r="B317" s="27"/>
      <c r="C317" s="28"/>
      <c r="D317" s="28"/>
      <c r="E317" s="53"/>
      <c r="F317" s="53"/>
      <c r="G317" s="53"/>
      <c r="H317" s="53"/>
    </row>
    <row r="318" spans="1:8">
      <c r="A318" s="27"/>
      <c r="B318" s="27"/>
      <c r="C318" s="28"/>
      <c r="D318" s="28"/>
      <c r="E318" s="53"/>
      <c r="F318" s="53"/>
      <c r="G318" s="53"/>
      <c r="H318" s="53"/>
    </row>
    <row r="319" spans="1:8">
      <c r="A319" s="27"/>
      <c r="B319" s="27"/>
      <c r="C319" s="28"/>
      <c r="D319" s="28"/>
      <c r="E319" s="53"/>
      <c r="F319" s="53"/>
      <c r="G319" s="53"/>
      <c r="H319" s="53"/>
    </row>
    <row r="320" spans="1:8">
      <c r="A320" s="27"/>
      <c r="B320" s="27"/>
      <c r="C320" s="28"/>
      <c r="D320" s="28"/>
      <c r="E320" s="53"/>
      <c r="F320" s="53"/>
      <c r="G320" s="53"/>
      <c r="H320" s="53"/>
    </row>
    <row r="321" spans="1:8">
      <c r="A321" s="27"/>
      <c r="B321" s="27"/>
      <c r="C321" s="28"/>
      <c r="D321" s="28"/>
      <c r="E321" s="53"/>
      <c r="F321" s="53"/>
      <c r="G321" s="53"/>
      <c r="H321" s="53"/>
    </row>
    <row r="322" spans="1:8">
      <c r="A322" s="27"/>
      <c r="B322" s="27"/>
      <c r="C322" s="28"/>
      <c r="D322" s="28"/>
      <c r="E322" s="53"/>
      <c r="F322" s="53"/>
      <c r="G322" s="53"/>
      <c r="H322" s="53"/>
    </row>
    <row r="323" spans="1:8">
      <c r="A323" s="27"/>
      <c r="B323" s="27"/>
      <c r="C323" s="28"/>
      <c r="D323" s="28"/>
      <c r="E323" s="53"/>
      <c r="F323" s="53"/>
      <c r="G323" s="53"/>
      <c r="H323" s="53"/>
    </row>
    <row r="324" spans="1:8">
      <c r="A324" s="27"/>
      <c r="B324" s="27"/>
      <c r="C324" s="28"/>
      <c r="D324" s="28"/>
      <c r="E324" s="53"/>
      <c r="F324" s="53"/>
      <c r="G324" s="53"/>
      <c r="H324" s="53"/>
    </row>
    <row r="325" spans="1:8">
      <c r="A325" s="27"/>
      <c r="B325" s="27"/>
      <c r="C325" s="28"/>
      <c r="D325" s="28"/>
      <c r="E325" s="53"/>
      <c r="F325" s="53"/>
      <c r="G325" s="53"/>
      <c r="H325" s="53"/>
    </row>
    <row r="326" spans="1:8">
      <c r="A326" s="27"/>
      <c r="B326" s="27"/>
      <c r="C326" s="28"/>
      <c r="D326" s="28"/>
      <c r="E326" s="53"/>
      <c r="F326" s="53"/>
      <c r="G326" s="53"/>
      <c r="H326" s="53"/>
    </row>
    <row r="327" spans="1:8">
      <c r="A327" s="27"/>
      <c r="B327" s="27"/>
      <c r="C327" s="28"/>
      <c r="D327" s="28"/>
      <c r="E327" s="53"/>
      <c r="F327" s="53"/>
      <c r="G327" s="53"/>
      <c r="H327" s="53"/>
    </row>
    <row r="328" spans="1:8">
      <c r="A328" s="27"/>
      <c r="B328" s="27"/>
      <c r="C328" s="28"/>
      <c r="D328" s="28"/>
      <c r="E328" s="53"/>
      <c r="F328" s="53"/>
      <c r="G328" s="53"/>
      <c r="H328" s="53"/>
    </row>
    <row r="329" spans="1:8">
      <c r="A329" s="27"/>
      <c r="B329" s="27"/>
      <c r="C329" s="28"/>
      <c r="D329" s="28"/>
      <c r="E329" s="53"/>
      <c r="F329" s="53"/>
      <c r="G329" s="53"/>
      <c r="H329" s="53"/>
    </row>
    <row r="330" spans="1:8">
      <c r="A330" s="27"/>
      <c r="B330" s="27"/>
      <c r="C330" s="28"/>
      <c r="D330" s="28"/>
      <c r="E330" s="53"/>
      <c r="F330" s="53"/>
      <c r="G330" s="53"/>
      <c r="H330" s="53"/>
    </row>
    <row r="331" spans="1:8">
      <c r="A331" s="27"/>
      <c r="B331" s="27"/>
      <c r="C331" s="28"/>
      <c r="D331" s="28"/>
      <c r="E331" s="53"/>
      <c r="F331" s="53"/>
      <c r="G331" s="53"/>
      <c r="H331" s="53"/>
    </row>
    <row r="332" spans="1:8">
      <c r="A332" s="27"/>
      <c r="B332" s="27"/>
      <c r="C332" s="28"/>
      <c r="D332" s="28"/>
      <c r="E332" s="53"/>
      <c r="F332" s="53"/>
      <c r="G332" s="53"/>
      <c r="H332" s="53"/>
    </row>
    <row r="333" spans="1:8">
      <c r="A333" s="27"/>
      <c r="B333" s="27"/>
      <c r="C333" s="28"/>
      <c r="D333" s="28"/>
      <c r="E333" s="53"/>
      <c r="F333" s="53"/>
      <c r="G333" s="53"/>
      <c r="H333" s="53"/>
    </row>
    <row r="334" spans="1:8">
      <c r="A334" s="27"/>
      <c r="B334" s="27"/>
      <c r="C334" s="28"/>
      <c r="D334" s="28"/>
      <c r="E334" s="53"/>
      <c r="F334" s="53"/>
      <c r="G334" s="53"/>
      <c r="H334" s="53"/>
    </row>
    <row r="335" spans="1:8">
      <c r="A335" s="27"/>
      <c r="B335" s="27"/>
      <c r="C335" s="28"/>
      <c r="D335" s="28"/>
      <c r="E335" s="53"/>
      <c r="F335" s="53"/>
      <c r="G335" s="53"/>
      <c r="H335" s="53"/>
    </row>
    <row r="336" spans="1:8">
      <c r="A336" s="27"/>
      <c r="B336" s="27"/>
      <c r="C336" s="28"/>
      <c r="D336" s="28"/>
      <c r="E336" s="53"/>
      <c r="F336" s="53"/>
      <c r="G336" s="53"/>
      <c r="H336" s="53"/>
    </row>
    <row r="337" spans="1:8">
      <c r="A337" s="27"/>
      <c r="B337" s="27"/>
      <c r="C337" s="28"/>
      <c r="D337" s="28"/>
      <c r="E337" s="53"/>
      <c r="F337" s="53"/>
      <c r="G337" s="53"/>
      <c r="H337" s="53"/>
    </row>
    <row r="338" spans="1:8">
      <c r="A338" s="27"/>
      <c r="B338" s="27"/>
      <c r="C338" s="28"/>
      <c r="D338" s="28"/>
      <c r="E338" s="53"/>
      <c r="F338" s="53"/>
      <c r="G338" s="53"/>
      <c r="H338" s="53"/>
    </row>
    <row r="339" spans="1:8">
      <c r="A339" s="27"/>
      <c r="B339" s="27"/>
      <c r="C339" s="28"/>
      <c r="D339" s="28"/>
      <c r="E339" s="53"/>
      <c r="F339" s="53"/>
      <c r="G339" s="53"/>
      <c r="H339" s="53"/>
    </row>
    <row r="340" spans="1:8">
      <c r="A340" s="27"/>
      <c r="B340" s="27"/>
      <c r="C340" s="28"/>
      <c r="D340" s="28"/>
      <c r="E340" s="53"/>
      <c r="F340" s="53"/>
      <c r="G340" s="53"/>
      <c r="H340" s="53"/>
    </row>
    <row r="341" spans="1:8">
      <c r="A341" s="27"/>
      <c r="B341" s="27"/>
      <c r="C341" s="28"/>
      <c r="D341" s="28"/>
      <c r="E341" s="53"/>
      <c r="F341" s="53"/>
      <c r="G341" s="53"/>
      <c r="H341" s="53"/>
    </row>
    <row r="342" spans="1:8">
      <c r="A342" s="27"/>
      <c r="B342" s="27"/>
      <c r="C342" s="28"/>
      <c r="D342" s="28"/>
      <c r="E342" s="53"/>
      <c r="F342" s="53"/>
      <c r="G342" s="53"/>
      <c r="H342" s="53"/>
    </row>
    <row r="343" spans="1:8">
      <c r="A343" s="27"/>
      <c r="B343" s="27"/>
      <c r="C343" s="28"/>
      <c r="D343" s="28"/>
      <c r="E343" s="53"/>
      <c r="F343" s="53"/>
      <c r="G343" s="53"/>
      <c r="H343" s="53"/>
    </row>
    <row r="344" spans="1:8">
      <c r="A344" s="27"/>
      <c r="B344" s="27"/>
      <c r="C344" s="28"/>
      <c r="D344" s="28"/>
      <c r="E344" s="53"/>
      <c r="F344" s="53"/>
      <c r="G344" s="53"/>
      <c r="H344" s="53"/>
    </row>
    <row r="345" spans="1:8">
      <c r="A345" s="27"/>
      <c r="B345" s="27"/>
      <c r="C345" s="28"/>
      <c r="D345" s="28"/>
      <c r="E345" s="53"/>
      <c r="F345" s="53"/>
      <c r="G345" s="53"/>
      <c r="H345" s="53"/>
    </row>
    <row r="346" spans="1:8">
      <c r="A346" s="27"/>
      <c r="B346" s="27"/>
      <c r="C346" s="28"/>
      <c r="D346" s="28"/>
      <c r="E346" s="53"/>
      <c r="F346" s="53"/>
      <c r="G346" s="53"/>
      <c r="H346" s="53"/>
    </row>
    <row r="347" spans="1:8">
      <c r="A347" s="27"/>
      <c r="B347" s="27"/>
      <c r="C347" s="28"/>
      <c r="D347" s="28"/>
      <c r="E347" s="53"/>
      <c r="F347" s="53"/>
      <c r="G347" s="53"/>
      <c r="H347" s="53"/>
    </row>
    <row r="348" spans="1:8">
      <c r="A348" s="27"/>
      <c r="B348" s="27"/>
      <c r="C348" s="28"/>
      <c r="D348" s="28"/>
      <c r="E348" s="53"/>
      <c r="F348" s="53"/>
      <c r="G348" s="53"/>
      <c r="H348" s="53"/>
    </row>
    <row r="349" spans="1:8">
      <c r="A349" s="27"/>
      <c r="B349" s="27"/>
      <c r="C349" s="28"/>
      <c r="D349" s="28"/>
      <c r="E349" s="53"/>
      <c r="F349" s="53"/>
      <c r="G349" s="53"/>
      <c r="H349" s="53"/>
    </row>
    <row r="350" spans="1:8">
      <c r="A350" s="27"/>
      <c r="B350" s="27"/>
      <c r="C350" s="28"/>
      <c r="D350" s="28"/>
      <c r="E350" s="53"/>
      <c r="F350" s="53"/>
      <c r="G350" s="53"/>
      <c r="H350" s="53"/>
    </row>
    <row r="351" spans="1:8">
      <c r="A351" s="27"/>
      <c r="B351" s="27"/>
      <c r="C351" s="28"/>
      <c r="D351" s="28"/>
      <c r="E351" s="53"/>
      <c r="F351" s="53"/>
      <c r="G351" s="53"/>
      <c r="H351" s="53"/>
    </row>
    <row r="352" spans="1:8">
      <c r="A352" s="27"/>
      <c r="B352" s="27"/>
      <c r="C352" s="28"/>
      <c r="D352" s="28"/>
      <c r="E352" s="53"/>
      <c r="F352" s="53"/>
      <c r="G352" s="53"/>
      <c r="H352" s="53"/>
    </row>
    <row r="353" spans="1:8">
      <c r="A353" s="27"/>
      <c r="B353" s="27"/>
      <c r="C353" s="28"/>
      <c r="D353" s="28"/>
      <c r="E353" s="53"/>
      <c r="F353" s="53"/>
      <c r="G353" s="53"/>
      <c r="H353" s="53"/>
    </row>
    <row r="354" spans="1:8">
      <c r="A354" s="27"/>
      <c r="B354" s="27"/>
      <c r="C354" s="28"/>
      <c r="D354" s="28"/>
      <c r="E354" s="53"/>
      <c r="F354" s="53"/>
      <c r="G354" s="53"/>
      <c r="H354" s="53"/>
    </row>
    <row r="355" spans="1:8">
      <c r="A355" s="27"/>
      <c r="B355" s="27"/>
      <c r="C355" s="28"/>
      <c r="D355" s="28"/>
      <c r="E355" s="53"/>
      <c r="F355" s="53"/>
      <c r="G355" s="53"/>
      <c r="H355" s="53"/>
    </row>
    <row r="356" spans="1:8">
      <c r="A356" s="27"/>
      <c r="B356" s="27"/>
      <c r="C356" s="28"/>
      <c r="D356" s="28"/>
      <c r="E356" s="53"/>
      <c r="F356" s="53"/>
      <c r="G356" s="53"/>
      <c r="H356" s="53"/>
    </row>
    <row r="357" spans="1:8">
      <c r="A357" s="27"/>
      <c r="B357" s="27"/>
      <c r="C357" s="28"/>
      <c r="D357" s="28"/>
      <c r="E357" s="53"/>
      <c r="F357" s="53"/>
      <c r="G357" s="53"/>
      <c r="H357" s="53"/>
    </row>
    <row r="358" spans="1:8">
      <c r="A358" s="27"/>
      <c r="B358" s="27"/>
      <c r="C358" s="28"/>
      <c r="D358" s="28"/>
      <c r="E358" s="53"/>
      <c r="F358" s="53"/>
      <c r="G358" s="53"/>
      <c r="H358" s="53"/>
    </row>
    <row r="359" spans="1:8">
      <c r="A359" s="27"/>
      <c r="B359" s="27"/>
      <c r="C359" s="28"/>
      <c r="D359" s="28"/>
      <c r="E359" s="53"/>
      <c r="F359" s="53"/>
      <c r="G359" s="53"/>
      <c r="H359" s="53"/>
    </row>
    <row r="360" spans="1:8">
      <c r="A360" s="27"/>
      <c r="B360" s="27"/>
      <c r="C360" s="28"/>
      <c r="D360" s="28"/>
      <c r="E360" s="53"/>
      <c r="F360" s="53"/>
      <c r="G360" s="53"/>
      <c r="H360" s="53"/>
    </row>
    <row r="361" spans="1:8">
      <c r="A361" s="27"/>
      <c r="B361" s="27"/>
      <c r="C361" s="28"/>
      <c r="D361" s="28"/>
      <c r="E361" s="53"/>
      <c r="F361" s="53"/>
      <c r="G361" s="53"/>
      <c r="H361" s="53"/>
    </row>
    <row r="362" spans="1:8">
      <c r="A362" s="27"/>
      <c r="B362" s="27"/>
      <c r="C362" s="28"/>
      <c r="D362" s="28"/>
      <c r="E362" s="53"/>
      <c r="F362" s="53"/>
      <c r="G362" s="53"/>
      <c r="H362" s="53"/>
    </row>
    <row r="363" spans="1:8">
      <c r="A363" s="27"/>
      <c r="B363" s="27"/>
      <c r="C363" s="28"/>
      <c r="D363" s="28"/>
      <c r="E363" s="53"/>
      <c r="F363" s="53"/>
      <c r="G363" s="53"/>
      <c r="H363" s="53"/>
    </row>
    <row r="364" spans="1:8">
      <c r="A364" s="27"/>
      <c r="B364" s="27"/>
      <c r="C364" s="28"/>
      <c r="D364" s="28"/>
      <c r="E364" s="53"/>
      <c r="F364" s="53"/>
      <c r="G364" s="53"/>
      <c r="H364" s="53"/>
    </row>
    <row r="365" spans="1:8">
      <c r="A365" s="27"/>
      <c r="B365" s="27"/>
      <c r="C365" s="28"/>
      <c r="D365" s="28"/>
      <c r="E365" s="53"/>
      <c r="F365" s="53"/>
      <c r="G365" s="53"/>
      <c r="H365" s="53"/>
    </row>
    <row r="366" spans="1:8">
      <c r="A366" s="27"/>
      <c r="B366" s="27"/>
      <c r="C366" s="28"/>
      <c r="D366" s="28"/>
      <c r="E366" s="53"/>
      <c r="F366" s="53"/>
      <c r="G366" s="53"/>
      <c r="H366" s="53"/>
    </row>
    <row r="367" spans="1:8">
      <c r="A367" s="27"/>
      <c r="B367" s="27"/>
      <c r="C367" s="28"/>
      <c r="D367" s="28"/>
      <c r="E367" s="53"/>
      <c r="F367" s="53"/>
      <c r="G367" s="53"/>
      <c r="H367" s="53"/>
    </row>
    <row r="368" spans="1:8">
      <c r="A368" s="27"/>
      <c r="B368" s="27"/>
      <c r="C368" s="28"/>
      <c r="D368" s="28"/>
      <c r="E368" s="53"/>
      <c r="F368" s="53"/>
      <c r="G368" s="53"/>
      <c r="H368" s="53"/>
    </row>
    <row r="369" spans="1:8">
      <c r="A369" s="27"/>
      <c r="B369" s="27"/>
      <c r="C369" s="28"/>
      <c r="D369" s="28"/>
      <c r="E369" s="53"/>
      <c r="F369" s="53"/>
      <c r="G369" s="53"/>
      <c r="H369" s="53"/>
    </row>
    <row r="370" spans="1:8">
      <c r="A370" s="27"/>
      <c r="B370" s="27"/>
      <c r="C370" s="28"/>
      <c r="D370" s="28"/>
      <c r="E370" s="53"/>
      <c r="F370" s="53"/>
      <c r="G370" s="53"/>
      <c r="H370" s="53"/>
    </row>
    <row r="371" spans="1:8">
      <c r="A371" s="27"/>
      <c r="B371" s="27"/>
      <c r="C371" s="28"/>
      <c r="D371" s="28"/>
      <c r="E371" s="53"/>
      <c r="F371" s="53"/>
      <c r="G371" s="53"/>
      <c r="H371" s="53"/>
    </row>
    <row r="372" spans="1:8">
      <c r="A372" s="27"/>
      <c r="B372" s="27"/>
      <c r="C372" s="28"/>
      <c r="D372" s="28"/>
      <c r="E372" s="53"/>
      <c r="F372" s="53"/>
      <c r="G372" s="53"/>
      <c r="H372" s="53"/>
    </row>
    <row r="373" spans="1:8">
      <c r="A373" s="27"/>
      <c r="B373" s="27"/>
      <c r="C373" s="28"/>
      <c r="D373" s="28"/>
      <c r="E373" s="53"/>
      <c r="F373" s="53"/>
      <c r="G373" s="53"/>
      <c r="H373" s="53"/>
    </row>
    <row r="374" spans="1:8">
      <c r="A374" s="27"/>
      <c r="B374" s="27"/>
      <c r="C374" s="28"/>
      <c r="D374" s="28"/>
      <c r="E374" s="53"/>
      <c r="F374" s="53"/>
      <c r="G374" s="53"/>
      <c r="H374" s="53"/>
    </row>
    <row r="375" spans="1:8">
      <c r="A375" s="27"/>
      <c r="B375" s="27"/>
      <c r="C375" s="28"/>
      <c r="D375" s="28"/>
      <c r="E375" s="53"/>
      <c r="F375" s="53"/>
      <c r="G375" s="53"/>
      <c r="H375" s="53"/>
    </row>
    <row r="376" spans="1:8">
      <c r="A376" s="27"/>
      <c r="B376" s="27"/>
      <c r="C376" s="28"/>
      <c r="D376" s="28"/>
      <c r="E376" s="53"/>
      <c r="F376" s="53"/>
      <c r="G376" s="53"/>
      <c r="H376" s="53"/>
    </row>
    <row r="377" spans="1:8">
      <c r="A377" s="27"/>
      <c r="B377" s="27"/>
      <c r="C377" s="28"/>
      <c r="D377" s="28"/>
      <c r="E377" s="53"/>
      <c r="F377" s="53"/>
      <c r="G377" s="53"/>
      <c r="H377" s="53"/>
    </row>
    <row r="378" spans="1:8">
      <c r="A378" s="27"/>
      <c r="B378" s="27"/>
      <c r="C378" s="28"/>
      <c r="D378" s="28"/>
      <c r="E378" s="53"/>
      <c r="F378" s="53"/>
      <c r="G378" s="53"/>
      <c r="H378" s="53"/>
    </row>
    <row r="379" spans="1:8">
      <c r="A379" s="27"/>
      <c r="B379" s="27"/>
      <c r="C379" s="28"/>
      <c r="D379" s="28"/>
      <c r="E379" s="53"/>
      <c r="F379" s="53"/>
      <c r="G379" s="53"/>
      <c r="H379" s="53"/>
    </row>
    <row r="380" spans="1:8">
      <c r="A380" s="27"/>
      <c r="B380" s="27"/>
      <c r="C380" s="28"/>
      <c r="D380" s="28"/>
      <c r="E380" s="53"/>
      <c r="F380" s="53"/>
      <c r="G380" s="53"/>
      <c r="H380" s="53"/>
    </row>
    <row r="381" spans="1:8">
      <c r="A381" s="27"/>
      <c r="B381" s="27"/>
      <c r="C381" s="28"/>
      <c r="D381" s="28"/>
      <c r="E381" s="53"/>
      <c r="F381" s="53"/>
      <c r="G381" s="53"/>
      <c r="H381" s="53"/>
    </row>
    <row r="382" spans="1:8">
      <c r="A382" s="27"/>
      <c r="B382" s="27"/>
      <c r="C382" s="28"/>
      <c r="D382" s="28"/>
      <c r="E382" s="53"/>
      <c r="F382" s="53"/>
      <c r="G382" s="53"/>
      <c r="H382" s="53"/>
    </row>
    <row r="383" spans="1:8">
      <c r="A383" s="27"/>
      <c r="B383" s="27"/>
      <c r="C383" s="28"/>
      <c r="D383" s="28"/>
      <c r="E383" s="53"/>
      <c r="F383" s="53"/>
      <c r="G383" s="53"/>
      <c r="H383" s="53"/>
    </row>
    <row r="384" spans="1:8">
      <c r="A384" s="27"/>
      <c r="B384" s="27"/>
      <c r="C384" s="28"/>
      <c r="D384" s="28"/>
      <c r="E384" s="53"/>
      <c r="F384" s="53"/>
      <c r="G384" s="53"/>
      <c r="H384" s="53"/>
    </row>
    <row r="385" spans="1:8">
      <c r="A385" s="27"/>
      <c r="B385" s="27"/>
      <c r="C385" s="28"/>
      <c r="D385" s="28"/>
      <c r="E385" s="53"/>
      <c r="F385" s="53"/>
      <c r="G385" s="53"/>
      <c r="H385" s="53"/>
    </row>
    <row r="386" spans="1:8">
      <c r="A386" s="27"/>
      <c r="B386" s="27"/>
      <c r="C386" s="28"/>
      <c r="D386" s="28"/>
      <c r="E386" s="53"/>
      <c r="F386" s="53"/>
      <c r="G386" s="53"/>
      <c r="H386" s="53"/>
    </row>
    <row r="387" spans="1:8">
      <c r="A387" s="27"/>
      <c r="B387" s="27"/>
      <c r="C387" s="28"/>
      <c r="D387" s="28"/>
      <c r="E387" s="53"/>
      <c r="F387" s="53"/>
      <c r="G387" s="53"/>
      <c r="H387" s="53"/>
    </row>
    <row r="388" spans="1:8">
      <c r="A388" s="27"/>
      <c r="B388" s="27"/>
      <c r="C388" s="28"/>
      <c r="D388" s="28"/>
      <c r="E388" s="53"/>
      <c r="F388" s="53"/>
      <c r="G388" s="53"/>
      <c r="H388" s="53"/>
    </row>
    <row r="389" spans="1:8">
      <c r="A389" s="27"/>
      <c r="B389" s="27"/>
      <c r="C389" s="28"/>
      <c r="D389" s="28"/>
      <c r="E389" s="53"/>
      <c r="F389" s="53"/>
      <c r="G389" s="53"/>
      <c r="H389" s="53"/>
    </row>
    <row r="390" spans="1:8">
      <c r="A390" s="27"/>
      <c r="B390" s="27"/>
      <c r="C390" s="28"/>
      <c r="D390" s="28"/>
      <c r="E390" s="53"/>
      <c r="F390" s="53"/>
      <c r="G390" s="53"/>
      <c r="H390" s="53"/>
    </row>
    <row r="391" spans="1:8">
      <c r="A391" s="27"/>
      <c r="B391" s="27"/>
      <c r="C391" s="28"/>
      <c r="D391" s="28"/>
      <c r="E391" s="53"/>
      <c r="F391" s="53"/>
      <c r="G391" s="53"/>
      <c r="H391" s="53"/>
    </row>
    <row r="392" spans="1:8">
      <c r="A392" s="27"/>
      <c r="B392" s="27"/>
      <c r="C392" s="28"/>
      <c r="D392" s="28"/>
      <c r="E392" s="53"/>
      <c r="F392" s="53"/>
      <c r="G392" s="53"/>
      <c r="H392" s="53"/>
    </row>
    <row r="393" spans="1:8">
      <c r="A393" s="27"/>
      <c r="B393" s="27"/>
      <c r="C393" s="28"/>
      <c r="D393" s="28"/>
      <c r="E393" s="53"/>
      <c r="F393" s="53"/>
      <c r="G393" s="53"/>
      <c r="H393" s="53"/>
    </row>
    <row r="394" spans="1:8">
      <c r="A394" s="27"/>
      <c r="B394" s="27"/>
      <c r="C394" s="28"/>
      <c r="D394" s="28"/>
      <c r="E394" s="53"/>
      <c r="F394" s="53"/>
      <c r="G394" s="53"/>
      <c r="H394" s="53"/>
    </row>
    <row r="395" spans="1:8">
      <c r="A395" s="27"/>
      <c r="B395" s="27"/>
      <c r="C395" s="28"/>
      <c r="D395" s="28"/>
      <c r="E395" s="53"/>
      <c r="F395" s="53"/>
      <c r="G395" s="53"/>
      <c r="H395" s="53"/>
    </row>
    <row r="396" spans="1:8">
      <c r="A396" s="27"/>
      <c r="B396" s="27"/>
      <c r="C396" s="28"/>
      <c r="D396" s="28"/>
      <c r="E396" s="53"/>
      <c r="F396" s="53"/>
      <c r="G396" s="53"/>
      <c r="H396" s="53"/>
    </row>
    <row r="397" spans="1:8">
      <c r="A397" s="27"/>
      <c r="B397" s="27"/>
      <c r="C397" s="28"/>
      <c r="D397" s="28"/>
      <c r="E397" s="53"/>
      <c r="F397" s="53"/>
      <c r="G397" s="53"/>
      <c r="H397" s="53"/>
    </row>
    <row r="398" spans="1:8">
      <c r="A398" s="27"/>
      <c r="B398" s="27"/>
      <c r="C398" s="28"/>
      <c r="D398" s="28"/>
      <c r="E398" s="53"/>
      <c r="F398" s="53"/>
      <c r="G398" s="53"/>
      <c r="H398" s="53"/>
    </row>
    <row r="399" spans="1:8">
      <c r="A399" s="27"/>
      <c r="B399" s="27"/>
      <c r="C399" s="28"/>
      <c r="D399" s="28"/>
      <c r="E399" s="53"/>
      <c r="F399" s="53"/>
      <c r="G399" s="53"/>
      <c r="H399" s="53"/>
    </row>
    <row r="400" spans="1:8">
      <c r="A400" s="27"/>
      <c r="B400" s="27"/>
      <c r="C400" s="28"/>
      <c r="D400" s="28"/>
      <c r="E400" s="53"/>
      <c r="F400" s="53"/>
      <c r="G400" s="53"/>
      <c r="H400" s="53"/>
    </row>
    <row r="401" spans="1:8">
      <c r="A401" s="27"/>
      <c r="B401" s="27"/>
      <c r="C401" s="28"/>
      <c r="D401" s="28"/>
      <c r="E401" s="53"/>
      <c r="F401" s="53"/>
      <c r="G401" s="53"/>
      <c r="H401" s="53"/>
    </row>
    <row r="402" spans="1:8">
      <c r="A402" s="27"/>
      <c r="B402" s="27"/>
      <c r="C402" s="28"/>
      <c r="D402" s="28"/>
      <c r="E402" s="53"/>
      <c r="F402" s="53"/>
      <c r="G402" s="53"/>
      <c r="H402" s="53"/>
    </row>
    <row r="403" spans="1:8">
      <c r="A403" s="27"/>
      <c r="B403" s="27"/>
      <c r="C403" s="28"/>
      <c r="D403" s="28"/>
      <c r="E403" s="53"/>
      <c r="F403" s="53"/>
      <c r="G403" s="53"/>
      <c r="H403" s="53"/>
    </row>
    <row r="404" spans="1:8">
      <c r="A404" s="27"/>
      <c r="B404" s="27"/>
      <c r="C404" s="28"/>
      <c r="D404" s="28"/>
      <c r="E404" s="53"/>
      <c r="F404" s="53"/>
      <c r="G404" s="53"/>
      <c r="H404" s="53"/>
    </row>
    <row r="405" spans="1:8">
      <c r="A405" s="27"/>
      <c r="B405" s="27"/>
      <c r="C405" s="28"/>
      <c r="D405" s="28"/>
      <c r="E405" s="53"/>
      <c r="F405" s="53"/>
      <c r="G405" s="53"/>
      <c r="H405" s="53"/>
    </row>
    <row r="406" spans="1:8">
      <c r="A406" s="27"/>
      <c r="B406" s="27"/>
      <c r="C406" s="28"/>
      <c r="D406" s="28"/>
      <c r="E406" s="53"/>
      <c r="F406" s="53"/>
      <c r="G406" s="53"/>
      <c r="H406" s="53"/>
    </row>
    <row r="407" spans="1:8">
      <c r="A407" s="27"/>
      <c r="B407" s="27"/>
      <c r="C407" s="28"/>
      <c r="D407" s="28"/>
      <c r="E407" s="53"/>
      <c r="F407" s="53"/>
      <c r="G407" s="53"/>
      <c r="H407" s="53"/>
    </row>
    <row r="408" spans="1:8">
      <c r="A408" s="27"/>
      <c r="B408" s="27"/>
      <c r="C408" s="28"/>
      <c r="D408" s="28"/>
      <c r="E408" s="53"/>
      <c r="F408" s="53"/>
      <c r="G408" s="53"/>
      <c r="H408" s="53"/>
    </row>
    <row r="409" spans="1:8">
      <c r="A409" s="27"/>
      <c r="B409" s="27"/>
      <c r="C409" s="28"/>
      <c r="D409" s="28"/>
      <c r="E409" s="53"/>
      <c r="F409" s="53"/>
      <c r="G409" s="53"/>
      <c r="H409" s="53"/>
    </row>
    <row r="410" spans="1:8">
      <c r="A410" s="27"/>
      <c r="B410" s="27"/>
      <c r="C410" s="28"/>
      <c r="D410" s="28"/>
      <c r="E410" s="53"/>
      <c r="F410" s="53"/>
      <c r="G410" s="53"/>
      <c r="H410" s="53"/>
    </row>
    <row r="411" spans="1:8">
      <c r="A411" s="27"/>
      <c r="B411" s="27"/>
      <c r="C411" s="28"/>
      <c r="D411" s="28"/>
      <c r="E411" s="53"/>
      <c r="F411" s="53"/>
      <c r="G411" s="53"/>
      <c r="H411" s="53"/>
    </row>
    <row r="412" spans="1:8">
      <c r="A412" s="27"/>
      <c r="B412" s="27"/>
      <c r="C412" s="28"/>
      <c r="D412" s="28"/>
      <c r="E412" s="53"/>
      <c r="F412" s="53"/>
      <c r="G412" s="53"/>
      <c r="H412" s="53"/>
    </row>
    <row r="413" spans="1:8">
      <c r="A413" s="27"/>
      <c r="B413" s="27"/>
      <c r="C413" s="28"/>
      <c r="D413" s="28"/>
      <c r="E413" s="53"/>
      <c r="F413" s="53"/>
      <c r="G413" s="53"/>
      <c r="H413" s="53"/>
    </row>
    <row r="414" spans="1:8">
      <c r="A414" s="27"/>
      <c r="B414" s="27"/>
      <c r="C414" s="28"/>
      <c r="D414" s="28"/>
      <c r="E414" s="53"/>
      <c r="F414" s="53"/>
      <c r="G414" s="53"/>
      <c r="H414" s="53"/>
    </row>
    <row r="415" spans="1:8">
      <c r="A415" s="27"/>
      <c r="B415" s="27"/>
      <c r="C415" s="28"/>
      <c r="D415" s="28"/>
      <c r="E415" s="53"/>
      <c r="F415" s="53"/>
      <c r="G415" s="53"/>
      <c r="H415" s="53"/>
    </row>
    <row r="416" spans="1:8">
      <c r="A416" s="27"/>
      <c r="B416" s="27"/>
      <c r="C416" s="28"/>
      <c r="D416" s="28"/>
      <c r="E416" s="53"/>
      <c r="F416" s="53"/>
      <c r="G416" s="53"/>
      <c r="H416" s="53"/>
    </row>
    <row r="417" spans="1:8">
      <c r="A417" s="27"/>
      <c r="B417" s="27"/>
      <c r="C417" s="28"/>
      <c r="D417" s="28"/>
      <c r="E417" s="53"/>
      <c r="F417" s="53"/>
      <c r="G417" s="53"/>
      <c r="H417" s="53"/>
    </row>
    <row r="418" spans="1:8">
      <c r="A418" s="27"/>
      <c r="B418" s="27"/>
      <c r="C418" s="28"/>
      <c r="D418" s="28"/>
      <c r="E418" s="53"/>
      <c r="F418" s="53"/>
      <c r="G418" s="53"/>
      <c r="H418" s="53"/>
    </row>
    <row r="419" spans="1:8">
      <c r="A419" s="27"/>
      <c r="B419" s="27"/>
      <c r="C419" s="28"/>
      <c r="D419" s="28"/>
      <c r="E419" s="53"/>
      <c r="F419" s="53"/>
      <c r="G419" s="53"/>
      <c r="H419" s="53"/>
    </row>
    <row r="420" spans="1:8">
      <c r="A420" s="27"/>
      <c r="B420" s="27"/>
      <c r="C420" s="28"/>
      <c r="D420" s="28"/>
      <c r="E420" s="53"/>
      <c r="F420" s="53"/>
      <c r="G420" s="53"/>
      <c r="H420" s="53"/>
    </row>
    <row r="421" spans="1:8">
      <c r="A421" s="27"/>
      <c r="B421" s="27"/>
      <c r="C421" s="28"/>
      <c r="D421" s="28"/>
      <c r="E421" s="53"/>
      <c r="F421" s="53"/>
      <c r="G421" s="53"/>
      <c r="H421" s="53"/>
    </row>
    <row r="422" spans="1:8">
      <c r="A422" s="27"/>
      <c r="B422" s="27"/>
      <c r="C422" s="28"/>
      <c r="D422" s="28"/>
      <c r="E422" s="53"/>
      <c r="F422" s="53"/>
      <c r="G422" s="53"/>
      <c r="H422" s="53"/>
    </row>
    <row r="423" spans="1:8">
      <c r="A423" s="27"/>
      <c r="B423" s="27"/>
      <c r="C423" s="28"/>
      <c r="D423" s="28"/>
      <c r="E423" s="53"/>
      <c r="F423" s="53"/>
      <c r="G423" s="53"/>
      <c r="H423" s="53"/>
    </row>
    <row r="424" spans="1:8">
      <c r="A424" s="27"/>
      <c r="B424" s="27"/>
      <c r="C424" s="28"/>
      <c r="D424" s="28"/>
      <c r="E424" s="53"/>
      <c r="F424" s="53"/>
      <c r="G424" s="53"/>
      <c r="H424" s="53"/>
    </row>
    <row r="425" spans="1:8">
      <c r="A425" s="27"/>
      <c r="B425" s="27"/>
      <c r="C425" s="28"/>
      <c r="D425" s="28"/>
      <c r="E425" s="53"/>
      <c r="F425" s="53"/>
      <c r="G425" s="53"/>
      <c r="H425" s="53"/>
    </row>
    <row r="426" spans="1:8">
      <c r="A426" s="27"/>
      <c r="B426" s="27"/>
      <c r="C426" s="28"/>
      <c r="D426" s="28"/>
      <c r="E426" s="53"/>
      <c r="F426" s="53"/>
      <c r="G426" s="53"/>
      <c r="H426" s="53"/>
    </row>
    <row r="427" spans="1:8">
      <c r="A427" s="27"/>
      <c r="B427" s="27"/>
      <c r="C427" s="28"/>
      <c r="D427" s="28"/>
      <c r="E427" s="53"/>
      <c r="F427" s="53"/>
      <c r="G427" s="53"/>
      <c r="H427" s="53"/>
    </row>
    <row r="428" spans="1:8">
      <c r="A428" s="27"/>
      <c r="B428" s="27"/>
      <c r="C428" s="28"/>
      <c r="D428" s="28"/>
      <c r="E428" s="53"/>
      <c r="F428" s="53"/>
      <c r="G428" s="53"/>
      <c r="H428" s="53"/>
    </row>
    <row r="429" spans="1:8">
      <c r="A429" s="27"/>
      <c r="B429" s="27"/>
      <c r="C429" s="28"/>
      <c r="D429" s="28"/>
      <c r="E429" s="53"/>
      <c r="F429" s="53"/>
      <c r="G429" s="53"/>
      <c r="H429" s="53"/>
    </row>
    <row r="430" spans="1:8">
      <c r="A430" s="27"/>
      <c r="B430" s="27"/>
      <c r="C430" s="28"/>
      <c r="D430" s="28"/>
      <c r="E430" s="53"/>
      <c r="F430" s="53"/>
      <c r="G430" s="53"/>
      <c r="H430" s="53"/>
    </row>
    <row r="431" spans="1:8">
      <c r="A431" s="27"/>
      <c r="B431" s="27"/>
      <c r="C431" s="28"/>
      <c r="D431" s="28"/>
      <c r="E431" s="53"/>
      <c r="F431" s="53"/>
      <c r="G431" s="53"/>
      <c r="H431" s="53"/>
    </row>
    <row r="432" spans="1:8">
      <c r="A432" s="27"/>
      <c r="B432" s="27"/>
      <c r="C432" s="28"/>
      <c r="D432" s="28"/>
      <c r="E432" s="53"/>
      <c r="F432" s="53"/>
      <c r="G432" s="53"/>
      <c r="H432" s="53"/>
    </row>
    <row r="433" spans="1:8">
      <c r="A433" s="27"/>
      <c r="B433" s="27"/>
      <c r="C433" s="28"/>
      <c r="D433" s="28"/>
      <c r="E433" s="53"/>
      <c r="F433" s="53"/>
      <c r="G433" s="53"/>
      <c r="H433" s="53"/>
    </row>
    <row r="434" spans="1:8">
      <c r="A434" s="27"/>
      <c r="B434" s="27"/>
      <c r="C434" s="28"/>
      <c r="D434" s="28"/>
      <c r="E434" s="53"/>
      <c r="F434" s="53"/>
      <c r="G434" s="53"/>
      <c r="H434" s="53"/>
    </row>
    <row r="435" spans="1:8">
      <c r="A435" s="27"/>
      <c r="B435" s="27"/>
      <c r="C435" s="28"/>
      <c r="D435" s="28"/>
      <c r="E435" s="53"/>
      <c r="F435" s="53"/>
      <c r="G435" s="53"/>
      <c r="H435" s="53"/>
    </row>
    <row r="436" spans="1:8">
      <c r="A436" s="27"/>
      <c r="B436" s="27"/>
      <c r="C436" s="28"/>
      <c r="D436" s="28"/>
      <c r="E436" s="53"/>
      <c r="F436" s="53"/>
      <c r="G436" s="53"/>
      <c r="H436" s="53"/>
    </row>
    <row r="437" spans="1:8">
      <c r="A437" s="27"/>
      <c r="B437" s="27"/>
      <c r="C437" s="28"/>
      <c r="D437" s="28"/>
      <c r="E437" s="53"/>
      <c r="F437" s="53"/>
      <c r="G437" s="53"/>
      <c r="H437" s="53"/>
    </row>
    <row r="438" spans="1:8">
      <c r="A438" s="27"/>
      <c r="B438" s="27"/>
      <c r="C438" s="28"/>
      <c r="D438" s="28"/>
      <c r="E438" s="53"/>
      <c r="F438" s="53"/>
      <c r="G438" s="53"/>
      <c r="H438" s="53"/>
    </row>
    <row r="439" spans="1:8">
      <c r="A439" s="27"/>
      <c r="B439" s="27"/>
      <c r="C439" s="28"/>
      <c r="D439" s="28"/>
      <c r="E439" s="53"/>
      <c r="F439" s="53"/>
      <c r="G439" s="53"/>
      <c r="H439" s="53"/>
    </row>
    <row r="440" spans="1:8">
      <c r="A440" s="27"/>
      <c r="B440" s="27"/>
      <c r="C440" s="28"/>
      <c r="D440" s="28"/>
      <c r="E440" s="53"/>
      <c r="F440" s="53"/>
      <c r="G440" s="53"/>
      <c r="H440" s="53"/>
    </row>
    <row r="441" spans="1:8">
      <c r="A441" s="27"/>
      <c r="B441" s="27"/>
      <c r="C441" s="28"/>
      <c r="D441" s="28"/>
      <c r="E441" s="53"/>
      <c r="F441" s="53"/>
      <c r="G441" s="53"/>
      <c r="H441" s="53"/>
    </row>
    <row r="442" spans="1:8">
      <c r="A442" s="27"/>
      <c r="B442" s="27"/>
      <c r="C442" s="28"/>
      <c r="D442" s="28"/>
      <c r="E442" s="53"/>
      <c r="F442" s="53"/>
      <c r="G442" s="53"/>
      <c r="H442" s="53"/>
    </row>
    <row r="443" spans="1:8">
      <c r="A443" s="27"/>
      <c r="B443" s="27"/>
      <c r="C443" s="28"/>
      <c r="D443" s="28"/>
      <c r="E443" s="53"/>
      <c r="F443" s="53"/>
      <c r="G443" s="53"/>
      <c r="H443" s="53"/>
    </row>
    <row r="444" spans="1:8">
      <c r="A444" s="27"/>
      <c r="B444" s="27"/>
      <c r="C444" s="28"/>
      <c r="D444" s="28"/>
      <c r="E444" s="53"/>
      <c r="F444" s="53"/>
      <c r="G444" s="53"/>
      <c r="H444" s="53"/>
    </row>
    <row r="445" spans="1:8">
      <c r="A445" s="27"/>
      <c r="B445" s="27"/>
      <c r="C445" s="28"/>
      <c r="D445" s="28"/>
      <c r="E445" s="53"/>
      <c r="F445" s="53"/>
      <c r="G445" s="53"/>
      <c r="H445" s="53"/>
    </row>
    <row r="446" spans="1:8">
      <c r="A446" s="27"/>
      <c r="B446" s="27"/>
      <c r="C446" s="28"/>
      <c r="D446" s="28"/>
      <c r="E446" s="53"/>
      <c r="F446" s="53"/>
      <c r="G446" s="53"/>
      <c r="H446" s="53"/>
    </row>
    <row r="447" spans="1:8">
      <c r="A447" s="27"/>
      <c r="B447" s="27"/>
      <c r="C447" s="28"/>
      <c r="D447" s="28"/>
      <c r="E447" s="53"/>
      <c r="F447" s="53"/>
      <c r="G447" s="53"/>
      <c r="H447" s="53"/>
    </row>
    <row r="448" spans="1:8">
      <c r="A448" s="27"/>
      <c r="B448" s="27"/>
      <c r="C448" s="28"/>
      <c r="D448" s="28"/>
      <c r="E448" s="53"/>
      <c r="F448" s="53"/>
      <c r="G448" s="53"/>
      <c r="H448" s="53"/>
    </row>
    <row r="449" spans="1:8">
      <c r="A449" s="27"/>
      <c r="B449" s="27"/>
      <c r="C449" s="28"/>
      <c r="D449" s="28"/>
      <c r="E449" s="53"/>
      <c r="F449" s="53"/>
      <c r="G449" s="53"/>
      <c r="H449" s="53"/>
    </row>
    <row r="450" spans="1:8">
      <c r="A450" s="27"/>
      <c r="B450" s="27"/>
      <c r="C450" s="28"/>
      <c r="D450" s="28"/>
      <c r="E450" s="53"/>
      <c r="F450" s="53"/>
      <c r="G450" s="53"/>
      <c r="H450" s="53"/>
    </row>
    <row r="451" spans="1:8">
      <c r="A451" s="27"/>
      <c r="B451" s="27"/>
      <c r="C451" s="28"/>
      <c r="D451" s="28"/>
      <c r="E451" s="53"/>
      <c r="F451" s="53"/>
      <c r="G451" s="53"/>
      <c r="H451" s="53"/>
    </row>
    <row r="452" spans="1:8">
      <c r="A452" s="27"/>
      <c r="B452" s="27"/>
      <c r="C452" s="28"/>
      <c r="D452" s="28"/>
      <c r="E452" s="53"/>
      <c r="F452" s="53"/>
      <c r="G452" s="53"/>
      <c r="H452" s="53"/>
    </row>
    <row r="453" spans="1:8">
      <c r="A453" s="27"/>
      <c r="B453" s="27"/>
      <c r="C453" s="28"/>
      <c r="D453" s="28"/>
      <c r="E453" s="53"/>
      <c r="F453" s="53"/>
      <c r="G453" s="53"/>
      <c r="H453" s="53"/>
    </row>
    <row r="454" spans="1:8">
      <c r="A454" s="27"/>
      <c r="B454" s="27"/>
      <c r="C454" s="28"/>
      <c r="D454" s="28"/>
      <c r="E454" s="53"/>
      <c r="F454" s="53"/>
      <c r="G454" s="53"/>
      <c r="H454" s="53"/>
    </row>
    <row r="455" spans="1:8">
      <c r="A455" s="27"/>
      <c r="B455" s="27"/>
      <c r="C455" s="28"/>
      <c r="D455" s="28"/>
      <c r="E455" s="53"/>
      <c r="F455" s="53"/>
      <c r="G455" s="53"/>
      <c r="H455" s="53"/>
    </row>
    <row r="456" spans="1:8">
      <c r="A456" s="27"/>
      <c r="B456" s="27"/>
      <c r="C456" s="28"/>
      <c r="D456" s="28"/>
      <c r="E456" s="53"/>
      <c r="F456" s="53"/>
      <c r="G456" s="53"/>
      <c r="H456" s="53"/>
    </row>
    <row r="457" spans="1:8">
      <c r="A457" s="27"/>
      <c r="B457" s="27"/>
      <c r="C457" s="28"/>
      <c r="D457" s="28"/>
      <c r="E457" s="53"/>
      <c r="F457" s="53"/>
      <c r="G457" s="53"/>
      <c r="H457" s="53"/>
    </row>
    <row r="458" spans="1:8">
      <c r="A458" s="27"/>
      <c r="B458" s="27"/>
      <c r="C458" s="28"/>
      <c r="D458" s="28"/>
      <c r="E458" s="53"/>
      <c r="F458" s="53"/>
      <c r="G458" s="53"/>
      <c r="H458" s="53"/>
    </row>
    <row r="459" spans="1:8">
      <c r="A459" s="27"/>
      <c r="B459" s="27"/>
      <c r="C459" s="28"/>
      <c r="D459" s="28"/>
      <c r="E459" s="53"/>
      <c r="F459" s="53"/>
      <c r="G459" s="53"/>
      <c r="H459" s="53"/>
    </row>
    <row r="460" spans="1:8">
      <c r="A460" s="27"/>
      <c r="B460" s="27"/>
      <c r="C460" s="28"/>
      <c r="D460" s="28"/>
      <c r="E460" s="53"/>
      <c r="F460" s="53"/>
      <c r="G460" s="53"/>
      <c r="H460" s="53"/>
    </row>
    <row r="461" spans="1:8">
      <c r="A461" s="27"/>
      <c r="B461" s="27"/>
      <c r="C461" s="28"/>
      <c r="D461" s="28"/>
      <c r="E461" s="53"/>
      <c r="F461" s="53"/>
      <c r="G461" s="53"/>
      <c r="H461" s="53"/>
    </row>
    <row r="462" spans="1:8">
      <c r="A462" s="27"/>
      <c r="B462" s="27"/>
      <c r="C462" s="28"/>
      <c r="D462" s="28"/>
      <c r="E462" s="53"/>
      <c r="F462" s="53"/>
      <c r="G462" s="53"/>
      <c r="H462" s="53"/>
    </row>
    <row r="463" spans="1:8">
      <c r="A463" s="27"/>
      <c r="B463" s="27"/>
      <c r="C463" s="28"/>
      <c r="D463" s="28"/>
      <c r="E463" s="53"/>
      <c r="F463" s="53"/>
      <c r="G463" s="53"/>
      <c r="H463" s="53"/>
    </row>
    <row r="464" spans="1:8">
      <c r="A464" s="27"/>
      <c r="B464" s="27"/>
      <c r="C464" s="28"/>
      <c r="D464" s="28"/>
      <c r="E464" s="53"/>
      <c r="F464" s="53"/>
      <c r="G464" s="53"/>
      <c r="H464" s="53"/>
    </row>
    <row r="465" spans="1:8">
      <c r="A465" s="27"/>
      <c r="B465" s="27"/>
      <c r="C465" s="28"/>
      <c r="D465" s="28"/>
      <c r="E465" s="53"/>
      <c r="F465" s="53"/>
      <c r="G465" s="53"/>
      <c r="H465" s="53"/>
    </row>
    <row r="466" spans="1:8">
      <c r="A466" s="27"/>
      <c r="B466" s="27"/>
      <c r="C466" s="28"/>
      <c r="D466" s="28"/>
      <c r="E466" s="53"/>
      <c r="F466" s="53"/>
      <c r="G466" s="53"/>
      <c r="H466" s="53"/>
    </row>
    <row r="467" spans="1:8">
      <c r="A467" s="27"/>
      <c r="B467" s="27"/>
      <c r="C467" s="28"/>
      <c r="D467" s="28"/>
      <c r="E467" s="53"/>
      <c r="F467" s="53"/>
      <c r="G467" s="53"/>
      <c r="H467" s="53"/>
    </row>
    <row r="468" spans="1:8">
      <c r="A468" s="27"/>
      <c r="B468" s="27"/>
      <c r="C468" s="28"/>
      <c r="D468" s="28"/>
      <c r="E468" s="53"/>
      <c r="F468" s="53"/>
      <c r="G468" s="53"/>
      <c r="H468" s="53"/>
    </row>
    <row r="469" spans="1:8">
      <c r="A469" s="27"/>
      <c r="B469" s="27"/>
      <c r="C469" s="28"/>
      <c r="D469" s="28"/>
      <c r="E469" s="53"/>
      <c r="F469" s="53"/>
      <c r="G469" s="53"/>
      <c r="H469" s="53"/>
    </row>
    <row r="470" spans="1:8">
      <c r="A470" s="27"/>
      <c r="B470" s="27"/>
      <c r="C470" s="28"/>
      <c r="D470" s="28"/>
      <c r="E470" s="53"/>
      <c r="F470" s="53"/>
      <c r="G470" s="53"/>
      <c r="H470" s="53"/>
    </row>
    <row r="471" spans="1:8">
      <c r="A471" s="27"/>
      <c r="B471" s="27"/>
      <c r="C471" s="28"/>
      <c r="D471" s="28"/>
      <c r="E471" s="53"/>
      <c r="F471" s="53"/>
      <c r="G471" s="53"/>
      <c r="H471" s="53"/>
    </row>
    <row r="472" spans="1:8">
      <c r="A472" s="27"/>
      <c r="B472" s="27"/>
      <c r="C472" s="28"/>
      <c r="D472" s="28"/>
      <c r="E472" s="53"/>
      <c r="F472" s="53"/>
      <c r="G472" s="53"/>
      <c r="H472" s="53"/>
    </row>
    <row r="473" spans="1:8">
      <c r="A473" s="27"/>
      <c r="B473" s="27"/>
      <c r="C473" s="28"/>
      <c r="D473" s="28"/>
      <c r="E473" s="53"/>
      <c r="F473" s="53"/>
      <c r="G473" s="53"/>
      <c r="H473" s="53"/>
    </row>
    <row r="474" spans="1:8">
      <c r="A474" s="27"/>
      <c r="B474" s="27"/>
      <c r="C474" s="28"/>
      <c r="D474" s="28"/>
      <c r="E474" s="53"/>
      <c r="F474" s="53"/>
      <c r="G474" s="53"/>
      <c r="H474" s="53"/>
    </row>
    <row r="475" spans="1:8">
      <c r="A475" s="27"/>
      <c r="B475" s="27"/>
      <c r="C475" s="28"/>
      <c r="D475" s="28"/>
      <c r="E475" s="53"/>
      <c r="F475" s="53"/>
      <c r="G475" s="53"/>
      <c r="H475" s="53"/>
    </row>
    <row r="476" spans="1:8">
      <c r="A476" s="27"/>
      <c r="B476" s="27"/>
      <c r="C476" s="28"/>
      <c r="D476" s="28"/>
      <c r="E476" s="53"/>
      <c r="F476" s="53"/>
      <c r="G476" s="53"/>
      <c r="H476" s="53"/>
    </row>
    <row r="477" spans="1:8">
      <c r="A477" s="27"/>
      <c r="B477" s="27"/>
      <c r="C477" s="28"/>
      <c r="D477" s="28"/>
      <c r="E477" s="53"/>
      <c r="F477" s="53"/>
      <c r="G477" s="53"/>
      <c r="H477" s="53"/>
    </row>
    <row r="478" spans="1:8">
      <c r="A478" s="27"/>
      <c r="B478" s="27"/>
      <c r="C478" s="28"/>
      <c r="D478" s="28"/>
      <c r="E478" s="53"/>
      <c r="F478" s="53"/>
      <c r="G478" s="53"/>
      <c r="H478" s="53"/>
    </row>
    <row r="479" spans="1:8">
      <c r="A479" s="27"/>
      <c r="B479" s="27"/>
      <c r="C479" s="28"/>
      <c r="D479" s="28"/>
      <c r="E479" s="53"/>
      <c r="F479" s="53"/>
      <c r="G479" s="53"/>
      <c r="H479" s="53"/>
    </row>
    <row r="480" spans="1:8">
      <c r="A480" s="27"/>
      <c r="B480" s="27"/>
      <c r="C480" s="28"/>
      <c r="D480" s="28"/>
      <c r="E480" s="53"/>
      <c r="F480" s="53"/>
      <c r="G480" s="53"/>
      <c r="H480" s="53"/>
    </row>
    <row r="481" spans="1:8">
      <c r="A481" s="27"/>
      <c r="B481" s="27"/>
      <c r="C481" s="28"/>
      <c r="D481" s="28"/>
      <c r="E481" s="53"/>
      <c r="F481" s="53"/>
      <c r="G481" s="53"/>
      <c r="H481" s="53"/>
    </row>
    <row r="482" spans="1:8">
      <c r="A482" s="27"/>
      <c r="B482" s="27"/>
      <c r="C482" s="28"/>
      <c r="D482" s="28"/>
      <c r="E482" s="53"/>
      <c r="F482" s="53"/>
      <c r="G482" s="53"/>
      <c r="H482" s="53"/>
    </row>
    <row r="483" spans="1:8">
      <c r="A483" s="27"/>
      <c r="B483" s="27"/>
      <c r="C483" s="28"/>
      <c r="D483" s="28"/>
      <c r="E483" s="53"/>
      <c r="F483" s="53"/>
      <c r="G483" s="53"/>
      <c r="H483" s="53"/>
    </row>
    <row r="484" spans="1:8">
      <c r="A484" s="27"/>
      <c r="B484" s="27"/>
      <c r="C484" s="28"/>
      <c r="D484" s="28"/>
      <c r="E484" s="53"/>
      <c r="F484" s="53"/>
      <c r="G484" s="53"/>
      <c r="H484" s="53"/>
    </row>
    <row r="485" spans="1:8">
      <c r="A485" s="27"/>
      <c r="B485" s="27"/>
      <c r="C485" s="28"/>
      <c r="D485" s="28"/>
      <c r="E485" s="53"/>
      <c r="F485" s="53"/>
      <c r="G485" s="53"/>
      <c r="H485" s="53"/>
    </row>
    <row r="486" spans="1:8">
      <c r="A486" s="27"/>
      <c r="B486" s="27"/>
      <c r="C486" s="28"/>
      <c r="D486" s="28"/>
      <c r="E486" s="53"/>
      <c r="F486" s="53"/>
      <c r="G486" s="53"/>
      <c r="H486" s="53"/>
    </row>
    <row r="487" spans="1:8">
      <c r="A487" s="27"/>
      <c r="B487" s="27"/>
      <c r="C487" s="28"/>
      <c r="D487" s="28"/>
      <c r="E487" s="53"/>
      <c r="F487" s="53"/>
      <c r="G487" s="53"/>
      <c r="H487" s="53"/>
    </row>
    <row r="488" spans="1:8">
      <c r="A488" s="27"/>
      <c r="B488" s="27"/>
      <c r="C488" s="28"/>
      <c r="D488" s="28"/>
      <c r="E488" s="53"/>
      <c r="F488" s="53"/>
      <c r="G488" s="53"/>
      <c r="H488" s="53"/>
    </row>
    <row r="489" spans="1:8">
      <c r="A489" s="27"/>
      <c r="B489" s="27"/>
      <c r="C489" s="28"/>
      <c r="D489" s="28"/>
      <c r="E489" s="53"/>
      <c r="F489" s="53"/>
      <c r="G489" s="53"/>
      <c r="H489" s="53"/>
    </row>
    <row r="490" spans="1:8">
      <c r="A490" s="27"/>
      <c r="B490" s="27"/>
      <c r="C490" s="28"/>
      <c r="D490" s="28"/>
      <c r="E490" s="53"/>
      <c r="F490" s="53"/>
      <c r="G490" s="53"/>
      <c r="H490" s="53"/>
    </row>
    <row r="491" spans="1:8">
      <c r="A491" s="27"/>
      <c r="B491" s="27"/>
      <c r="C491" s="28"/>
      <c r="D491" s="28"/>
      <c r="E491" s="53"/>
      <c r="F491" s="53"/>
      <c r="G491" s="53"/>
      <c r="H491" s="53"/>
    </row>
    <row r="492" spans="1:8">
      <c r="A492" s="27"/>
      <c r="B492" s="27"/>
      <c r="C492" s="28"/>
      <c r="D492" s="28"/>
      <c r="E492" s="53"/>
      <c r="F492" s="53"/>
      <c r="G492" s="53"/>
      <c r="H492" s="53"/>
    </row>
    <row r="493" spans="1:8">
      <c r="A493" s="27"/>
      <c r="B493" s="27"/>
      <c r="C493" s="28"/>
      <c r="D493" s="28"/>
      <c r="E493" s="53"/>
      <c r="F493" s="53"/>
      <c r="G493" s="53"/>
      <c r="H493" s="53"/>
    </row>
    <row r="494" spans="1:8">
      <c r="A494" s="27"/>
      <c r="B494" s="27"/>
      <c r="C494" s="28"/>
      <c r="D494" s="28"/>
      <c r="E494" s="53"/>
      <c r="F494" s="53"/>
      <c r="G494" s="53"/>
      <c r="H494" s="53"/>
    </row>
    <row r="495" spans="1:8">
      <c r="A495" s="27"/>
      <c r="B495" s="27"/>
      <c r="C495" s="28"/>
      <c r="D495" s="28"/>
      <c r="E495" s="53"/>
      <c r="F495" s="53"/>
      <c r="G495" s="53"/>
      <c r="H495" s="53"/>
    </row>
    <row r="496" spans="1:8">
      <c r="A496" s="27"/>
      <c r="B496" s="27"/>
      <c r="C496" s="28"/>
      <c r="D496" s="28"/>
      <c r="E496" s="53"/>
      <c r="F496" s="53"/>
      <c r="G496" s="53"/>
      <c r="H496" s="53"/>
    </row>
    <row r="497" spans="1:8">
      <c r="A497" s="27"/>
      <c r="B497" s="27"/>
      <c r="C497" s="28"/>
      <c r="D497" s="28"/>
      <c r="E497" s="53"/>
      <c r="F497" s="53"/>
      <c r="G497" s="53"/>
      <c r="H497" s="53"/>
    </row>
    <row r="498" spans="1:8">
      <c r="A498" s="27"/>
      <c r="B498" s="27"/>
      <c r="C498" s="28"/>
      <c r="D498" s="28"/>
      <c r="E498" s="53"/>
      <c r="F498" s="53"/>
      <c r="G498" s="53"/>
      <c r="H498" s="53"/>
    </row>
    <row r="499" spans="1:8">
      <c r="A499" s="27"/>
      <c r="B499" s="27"/>
      <c r="C499" s="28"/>
      <c r="D499" s="28"/>
      <c r="E499" s="53"/>
      <c r="F499" s="53"/>
      <c r="G499" s="53"/>
      <c r="H499" s="53"/>
    </row>
    <row r="500" spans="1:8">
      <c r="A500" s="27"/>
      <c r="B500" s="27"/>
      <c r="C500" s="28"/>
      <c r="D500" s="28"/>
      <c r="E500" s="53"/>
      <c r="F500" s="53"/>
      <c r="G500" s="53"/>
      <c r="H500" s="53"/>
    </row>
    <row r="501" spans="1:8">
      <c r="A501" s="27"/>
      <c r="B501" s="27"/>
      <c r="C501" s="28"/>
      <c r="D501" s="28"/>
      <c r="E501" s="53"/>
      <c r="F501" s="53"/>
      <c r="G501" s="53"/>
      <c r="H501" s="53"/>
    </row>
    <row r="502" spans="1:8">
      <c r="A502" s="27"/>
      <c r="B502" s="27"/>
      <c r="C502" s="28"/>
      <c r="D502" s="28"/>
      <c r="E502" s="53"/>
      <c r="F502" s="53"/>
      <c r="G502" s="53"/>
      <c r="H502" s="53"/>
    </row>
    <row r="503" spans="1:8">
      <c r="A503" s="27"/>
      <c r="B503" s="27"/>
      <c r="C503" s="28"/>
      <c r="D503" s="28"/>
      <c r="E503" s="53"/>
      <c r="F503" s="53"/>
      <c r="G503" s="53"/>
      <c r="H503" s="53"/>
    </row>
    <row r="504" spans="1:8">
      <c r="A504" s="27"/>
      <c r="B504" s="27"/>
      <c r="C504" s="28"/>
      <c r="D504" s="28"/>
      <c r="E504" s="53"/>
      <c r="F504" s="53"/>
      <c r="G504" s="53"/>
      <c r="H504" s="53"/>
    </row>
    <row r="505" spans="1:8">
      <c r="A505" s="27"/>
      <c r="B505" s="27"/>
      <c r="C505" s="28"/>
      <c r="D505" s="28"/>
      <c r="E505" s="53"/>
      <c r="F505" s="53"/>
      <c r="G505" s="53"/>
      <c r="H505" s="53"/>
    </row>
    <row r="506" spans="1:8">
      <c r="A506" s="27"/>
      <c r="B506" s="27"/>
      <c r="C506" s="28"/>
      <c r="D506" s="28"/>
      <c r="E506" s="53"/>
      <c r="F506" s="53"/>
      <c r="G506" s="53"/>
      <c r="H506" s="53"/>
    </row>
    <row r="507" spans="1:8">
      <c r="A507" s="27"/>
      <c r="B507" s="27"/>
      <c r="C507" s="28"/>
      <c r="D507" s="28"/>
      <c r="E507" s="53"/>
      <c r="F507" s="53"/>
      <c r="G507" s="53"/>
      <c r="H507" s="53"/>
    </row>
    <row r="508" spans="1:8">
      <c r="A508" s="27"/>
      <c r="B508" s="27"/>
      <c r="C508" s="28"/>
      <c r="D508" s="28"/>
      <c r="E508" s="53"/>
      <c r="F508" s="53"/>
      <c r="G508" s="53"/>
      <c r="H508" s="53"/>
    </row>
    <row r="509" spans="1:8">
      <c r="A509" s="27"/>
      <c r="B509" s="27"/>
      <c r="C509" s="28"/>
      <c r="D509" s="28"/>
      <c r="E509" s="53"/>
      <c r="F509" s="53"/>
      <c r="G509" s="53"/>
      <c r="H509" s="53"/>
    </row>
    <row r="510" spans="1:8">
      <c r="A510" s="27"/>
      <c r="B510" s="27"/>
      <c r="C510" s="28"/>
      <c r="D510" s="28"/>
      <c r="E510" s="53"/>
      <c r="F510" s="53"/>
      <c r="G510" s="53"/>
      <c r="H510" s="53"/>
    </row>
    <row r="511" spans="1:8">
      <c r="A511" s="27"/>
      <c r="B511" s="27"/>
      <c r="C511" s="28"/>
      <c r="D511" s="28"/>
      <c r="E511" s="53"/>
      <c r="F511" s="53"/>
      <c r="G511" s="53"/>
      <c r="H511" s="53"/>
    </row>
    <row r="512" spans="1:8">
      <c r="A512" s="27"/>
      <c r="B512" s="27"/>
      <c r="C512" s="28"/>
      <c r="D512" s="28"/>
      <c r="E512" s="53"/>
      <c r="F512" s="53"/>
      <c r="G512" s="53"/>
      <c r="H512" s="53"/>
    </row>
    <row r="513" spans="1:8">
      <c r="A513" s="27"/>
      <c r="B513" s="27"/>
      <c r="C513" s="28"/>
      <c r="D513" s="28"/>
      <c r="E513" s="53"/>
      <c r="F513" s="53"/>
      <c r="G513" s="53"/>
      <c r="H513" s="53"/>
    </row>
    <row r="514" spans="1:8">
      <c r="A514" s="27"/>
      <c r="B514" s="27"/>
      <c r="C514" s="28"/>
      <c r="D514" s="28"/>
      <c r="E514" s="53"/>
      <c r="F514" s="53"/>
      <c r="G514" s="53"/>
      <c r="H514" s="53"/>
    </row>
    <row r="515" spans="1:8">
      <c r="A515" s="27"/>
      <c r="B515" s="27"/>
      <c r="C515" s="28"/>
      <c r="D515" s="28"/>
      <c r="E515" s="53"/>
      <c r="F515" s="53"/>
      <c r="G515" s="53"/>
      <c r="H515" s="53"/>
    </row>
    <row r="516" spans="1:8">
      <c r="A516" s="27"/>
      <c r="B516" s="27"/>
      <c r="C516" s="28"/>
      <c r="D516" s="28"/>
      <c r="E516" s="53"/>
      <c r="F516" s="53"/>
      <c r="G516" s="53"/>
      <c r="H516" s="53"/>
    </row>
    <row r="517" spans="1:8">
      <c r="A517" s="27"/>
      <c r="B517" s="27"/>
      <c r="C517" s="28"/>
      <c r="D517" s="28"/>
      <c r="E517" s="53"/>
      <c r="F517" s="53"/>
      <c r="G517" s="53"/>
      <c r="H517" s="53"/>
    </row>
    <row r="518" spans="1:8">
      <c r="A518" s="27"/>
      <c r="B518" s="27"/>
      <c r="C518" s="28"/>
      <c r="D518" s="28"/>
      <c r="E518" s="53"/>
      <c r="F518" s="53"/>
      <c r="G518" s="53"/>
      <c r="H518" s="53"/>
    </row>
    <row r="519" spans="1:8">
      <c r="A519" s="27"/>
      <c r="B519" s="27"/>
      <c r="C519" s="28"/>
      <c r="D519" s="28"/>
      <c r="E519" s="53"/>
      <c r="F519" s="53"/>
      <c r="G519" s="53"/>
      <c r="H519" s="53"/>
    </row>
    <row r="520" spans="1:8">
      <c r="A520" s="27"/>
      <c r="B520" s="27"/>
      <c r="C520" s="28"/>
      <c r="D520" s="28"/>
      <c r="E520" s="53"/>
      <c r="F520" s="53"/>
      <c r="G520" s="53"/>
      <c r="H520" s="53"/>
    </row>
    <row r="521" spans="1:8">
      <c r="A521" s="27"/>
      <c r="B521" s="27"/>
      <c r="C521" s="28"/>
      <c r="D521" s="28"/>
      <c r="E521" s="53"/>
      <c r="F521" s="53"/>
      <c r="G521" s="53"/>
      <c r="H521" s="53"/>
    </row>
    <row r="522" spans="1:8">
      <c r="A522" s="27"/>
      <c r="B522" s="27"/>
      <c r="C522" s="28"/>
      <c r="D522" s="28"/>
      <c r="E522" s="53"/>
      <c r="F522" s="53"/>
      <c r="G522" s="53"/>
      <c r="H522" s="53"/>
    </row>
    <row r="523" spans="1:8">
      <c r="A523" s="27"/>
      <c r="B523" s="27"/>
      <c r="C523" s="28"/>
      <c r="D523" s="28"/>
      <c r="E523" s="53"/>
      <c r="F523" s="53"/>
      <c r="G523" s="53"/>
      <c r="H523" s="53"/>
    </row>
    <row r="524" spans="1:8">
      <c r="A524" s="27"/>
      <c r="B524" s="27"/>
      <c r="C524" s="28"/>
      <c r="D524" s="28"/>
      <c r="E524" s="53"/>
      <c r="F524" s="53"/>
      <c r="G524" s="53"/>
      <c r="H524" s="53"/>
    </row>
    <row r="525" spans="1:8">
      <c r="A525" s="27"/>
      <c r="B525" s="27"/>
      <c r="C525" s="28"/>
      <c r="D525" s="28"/>
      <c r="E525" s="53"/>
      <c r="F525" s="53"/>
      <c r="G525" s="53"/>
      <c r="H525" s="53"/>
    </row>
    <row r="526" spans="1:8">
      <c r="A526" s="27"/>
      <c r="B526" s="27"/>
      <c r="C526" s="28"/>
      <c r="D526" s="28"/>
      <c r="E526" s="53"/>
      <c r="F526" s="53"/>
      <c r="G526" s="53"/>
      <c r="H526" s="53"/>
    </row>
    <row r="527" spans="1:8">
      <c r="A527" s="27"/>
      <c r="B527" s="27"/>
      <c r="C527" s="28"/>
      <c r="D527" s="28"/>
      <c r="E527" s="53"/>
      <c r="F527" s="53"/>
      <c r="G527" s="53"/>
      <c r="H527" s="53"/>
    </row>
    <row r="528" spans="1:8">
      <c r="A528" s="27"/>
      <c r="B528" s="27"/>
      <c r="C528" s="28"/>
      <c r="D528" s="28"/>
      <c r="E528" s="53"/>
      <c r="F528" s="53"/>
      <c r="G528" s="53"/>
      <c r="H528" s="53"/>
    </row>
    <row r="529" spans="1:8">
      <c r="A529" s="27"/>
      <c r="B529" s="27"/>
      <c r="C529" s="28"/>
      <c r="D529" s="28"/>
      <c r="E529" s="53"/>
      <c r="F529" s="53"/>
      <c r="G529" s="53"/>
      <c r="H529" s="53"/>
    </row>
    <row r="530" spans="1:8">
      <c r="A530" s="27"/>
      <c r="B530" s="27"/>
      <c r="C530" s="28"/>
      <c r="D530" s="28"/>
      <c r="E530" s="53"/>
      <c r="F530" s="53"/>
      <c r="G530" s="53"/>
      <c r="H530" s="53"/>
    </row>
    <row r="531" spans="1:8">
      <c r="A531" s="27"/>
      <c r="B531" s="27"/>
      <c r="C531" s="28"/>
      <c r="D531" s="28"/>
      <c r="E531" s="53"/>
      <c r="F531" s="53"/>
      <c r="G531" s="53"/>
      <c r="H531" s="53"/>
    </row>
    <row r="532" spans="1:8">
      <c r="A532" s="27"/>
      <c r="B532" s="27"/>
      <c r="C532" s="28"/>
      <c r="D532" s="28"/>
      <c r="E532" s="53"/>
      <c r="F532" s="53"/>
      <c r="G532" s="53"/>
      <c r="H532" s="53"/>
    </row>
    <row r="533" spans="1:8">
      <c r="A533" s="27"/>
      <c r="B533" s="27"/>
      <c r="C533" s="28"/>
      <c r="D533" s="28"/>
      <c r="E533" s="53"/>
      <c r="F533" s="53"/>
      <c r="G533" s="53"/>
      <c r="H533" s="53"/>
    </row>
    <row r="534" spans="1:8">
      <c r="A534" s="27"/>
      <c r="B534" s="27"/>
      <c r="C534" s="28"/>
      <c r="D534" s="28"/>
      <c r="E534" s="53"/>
      <c r="F534" s="53"/>
      <c r="G534" s="53"/>
      <c r="H534" s="53"/>
    </row>
    <row r="535" spans="1:8">
      <c r="A535" s="27"/>
      <c r="B535" s="27"/>
      <c r="C535" s="28"/>
      <c r="D535" s="28"/>
      <c r="E535" s="53"/>
      <c r="F535" s="53"/>
      <c r="G535" s="53"/>
      <c r="H535" s="53"/>
    </row>
    <row r="536" spans="1:8">
      <c r="A536" s="27"/>
      <c r="B536" s="27"/>
      <c r="C536" s="28"/>
      <c r="D536" s="28"/>
      <c r="E536" s="53"/>
      <c r="F536" s="53"/>
      <c r="G536" s="53"/>
      <c r="H536" s="53"/>
    </row>
    <row r="537" spans="1:8">
      <c r="A537" s="27"/>
      <c r="B537" s="27"/>
      <c r="C537" s="28"/>
      <c r="D537" s="28"/>
      <c r="E537" s="53"/>
      <c r="F537" s="53"/>
      <c r="G537" s="53"/>
      <c r="H537" s="53"/>
    </row>
    <row r="538" spans="1:8">
      <c r="A538" s="27"/>
      <c r="B538" s="27"/>
      <c r="C538" s="28"/>
      <c r="D538" s="28"/>
      <c r="E538" s="53"/>
      <c r="F538" s="53"/>
      <c r="G538" s="53"/>
      <c r="H538" s="53"/>
    </row>
    <row r="539" spans="1:8">
      <c r="A539" s="27"/>
      <c r="B539" s="27"/>
      <c r="C539" s="28"/>
      <c r="D539" s="28"/>
      <c r="E539" s="53"/>
      <c r="F539" s="53"/>
      <c r="G539" s="53"/>
      <c r="H539" s="53"/>
    </row>
    <row r="540" spans="1:8">
      <c r="A540" s="27"/>
      <c r="B540" s="27"/>
      <c r="C540" s="28"/>
      <c r="D540" s="28"/>
      <c r="E540" s="53"/>
      <c r="F540" s="53"/>
      <c r="G540" s="53"/>
      <c r="H540" s="53"/>
    </row>
    <row r="541" spans="1:8">
      <c r="A541" s="27"/>
      <c r="B541" s="27"/>
      <c r="C541" s="28"/>
      <c r="D541" s="28"/>
      <c r="E541" s="53"/>
      <c r="F541" s="53"/>
      <c r="G541" s="53"/>
      <c r="H541" s="53"/>
    </row>
    <row r="542" spans="1:8">
      <c r="A542" s="27"/>
      <c r="B542" s="27"/>
      <c r="C542" s="28"/>
      <c r="D542" s="28"/>
      <c r="E542" s="53"/>
      <c r="F542" s="53"/>
      <c r="G542" s="53"/>
      <c r="H542" s="53"/>
    </row>
    <row r="543" spans="1:8">
      <c r="A543" s="27"/>
      <c r="B543" s="27"/>
      <c r="C543" s="28"/>
      <c r="D543" s="28"/>
      <c r="E543" s="53"/>
      <c r="F543" s="53"/>
      <c r="G543" s="53"/>
      <c r="H543" s="53"/>
    </row>
    <row r="544" spans="1:8">
      <c r="A544" s="27"/>
      <c r="B544" s="27"/>
      <c r="C544" s="28"/>
      <c r="D544" s="28"/>
      <c r="E544" s="53"/>
      <c r="F544" s="53"/>
      <c r="G544" s="53"/>
      <c r="H544" s="53"/>
    </row>
    <row r="545" spans="1:8">
      <c r="A545" s="27"/>
      <c r="B545" s="27"/>
      <c r="C545" s="28"/>
      <c r="D545" s="28"/>
      <c r="E545" s="53"/>
      <c r="F545" s="53"/>
      <c r="G545" s="53"/>
      <c r="H545" s="53"/>
    </row>
    <row r="546" spans="1:8">
      <c r="A546" s="27"/>
      <c r="B546" s="27"/>
      <c r="C546" s="28"/>
      <c r="D546" s="28"/>
      <c r="E546" s="53"/>
      <c r="F546" s="53"/>
      <c r="G546" s="53"/>
      <c r="H546" s="53"/>
    </row>
    <row r="547" spans="1:8">
      <c r="A547" s="27"/>
      <c r="B547" s="27"/>
      <c r="C547" s="28"/>
      <c r="D547" s="28"/>
      <c r="E547" s="53"/>
      <c r="F547" s="53"/>
      <c r="G547" s="53"/>
      <c r="H547" s="53"/>
    </row>
    <row r="548" spans="1:8">
      <c r="A548" s="27"/>
      <c r="B548" s="27"/>
      <c r="C548" s="28"/>
      <c r="D548" s="28"/>
      <c r="E548" s="53"/>
      <c r="F548" s="53"/>
      <c r="G548" s="53"/>
      <c r="H548" s="53"/>
    </row>
    <row r="549" spans="1:8">
      <c r="A549" s="27"/>
      <c r="B549" s="27"/>
      <c r="C549" s="28"/>
      <c r="D549" s="28"/>
      <c r="E549" s="53"/>
      <c r="F549" s="53"/>
      <c r="G549" s="53"/>
      <c r="H549" s="53"/>
    </row>
    <row r="550" spans="1:8">
      <c r="A550" s="27"/>
      <c r="B550" s="27"/>
      <c r="C550" s="28"/>
      <c r="D550" s="28"/>
      <c r="E550" s="53"/>
      <c r="F550" s="53"/>
      <c r="G550" s="53"/>
      <c r="H550" s="53"/>
    </row>
    <row r="551" spans="1:8">
      <c r="A551" s="27"/>
      <c r="B551" s="27"/>
      <c r="C551" s="28"/>
      <c r="D551" s="28"/>
      <c r="E551" s="53"/>
      <c r="F551" s="53"/>
      <c r="G551" s="53"/>
      <c r="H551" s="53"/>
    </row>
    <row r="552" spans="1:8">
      <c r="A552" s="27"/>
      <c r="B552" s="27"/>
      <c r="C552" s="28"/>
      <c r="D552" s="28"/>
      <c r="E552" s="53"/>
      <c r="F552" s="53"/>
      <c r="G552" s="53"/>
      <c r="H552" s="53"/>
    </row>
    <row r="553" spans="1:8">
      <c r="A553" s="27"/>
      <c r="B553" s="27"/>
      <c r="C553" s="28"/>
      <c r="D553" s="28"/>
      <c r="E553" s="53"/>
      <c r="F553" s="53"/>
      <c r="G553" s="53"/>
      <c r="H553" s="53"/>
    </row>
    <row r="554" spans="1:8">
      <c r="A554" s="27"/>
      <c r="B554" s="27"/>
      <c r="C554" s="28"/>
      <c r="D554" s="28"/>
      <c r="E554" s="53"/>
      <c r="F554" s="53"/>
      <c r="G554" s="53"/>
      <c r="H554" s="53"/>
    </row>
    <row r="555" spans="1:8">
      <c r="A555" s="27"/>
      <c r="B555" s="27"/>
      <c r="C555" s="28"/>
      <c r="D555" s="28"/>
      <c r="E555" s="53"/>
      <c r="F555" s="53"/>
      <c r="G555" s="53"/>
      <c r="H555" s="53"/>
    </row>
    <row r="556" spans="1:8">
      <c r="A556" s="27"/>
      <c r="B556" s="27"/>
      <c r="C556" s="28"/>
      <c r="D556" s="28"/>
      <c r="E556" s="53"/>
      <c r="F556" s="53"/>
      <c r="G556" s="53"/>
      <c r="H556" s="53"/>
    </row>
    <row r="557" spans="1:8">
      <c r="A557" s="27"/>
      <c r="B557" s="27"/>
      <c r="C557" s="28"/>
      <c r="D557" s="28"/>
      <c r="E557" s="53"/>
      <c r="F557" s="53"/>
      <c r="G557" s="53"/>
      <c r="H557" s="53"/>
    </row>
    <row r="558" spans="1:8">
      <c r="A558" s="27"/>
      <c r="B558" s="27"/>
      <c r="C558" s="28"/>
      <c r="D558" s="28"/>
      <c r="E558" s="53"/>
      <c r="F558" s="53"/>
      <c r="G558" s="53"/>
      <c r="H558" s="53"/>
    </row>
    <row r="559" spans="1:8">
      <c r="A559" s="27"/>
      <c r="B559" s="27"/>
      <c r="C559" s="28"/>
      <c r="D559" s="28"/>
      <c r="E559" s="53"/>
      <c r="F559" s="53"/>
      <c r="G559" s="53"/>
      <c r="H559" s="53"/>
    </row>
    <row r="560" spans="1:8">
      <c r="A560" s="27"/>
      <c r="B560" s="27"/>
      <c r="C560" s="28"/>
      <c r="D560" s="28"/>
      <c r="E560" s="53"/>
      <c r="F560" s="53"/>
      <c r="G560" s="53"/>
      <c r="H560" s="53"/>
    </row>
    <row r="561" spans="1:8">
      <c r="A561" s="27"/>
      <c r="B561" s="27"/>
      <c r="C561" s="28"/>
      <c r="D561" s="28"/>
      <c r="E561" s="53"/>
      <c r="F561" s="53"/>
      <c r="G561" s="53"/>
      <c r="H561" s="53"/>
    </row>
    <row r="562" spans="1:8">
      <c r="A562" s="27"/>
      <c r="B562" s="27"/>
      <c r="C562" s="28"/>
      <c r="D562" s="28"/>
      <c r="E562" s="53"/>
      <c r="F562" s="53"/>
      <c r="G562" s="53"/>
      <c r="H562" s="53"/>
    </row>
    <row r="563" spans="1:8">
      <c r="A563" s="27"/>
      <c r="B563" s="27"/>
      <c r="C563" s="28"/>
      <c r="D563" s="28"/>
      <c r="E563" s="53"/>
      <c r="F563" s="53"/>
      <c r="G563" s="53"/>
      <c r="H563" s="53"/>
    </row>
    <row r="564" spans="1:8">
      <c r="A564" s="27"/>
      <c r="B564" s="27"/>
      <c r="C564" s="28"/>
      <c r="D564" s="28"/>
      <c r="E564" s="53"/>
      <c r="F564" s="53"/>
      <c r="G564" s="53"/>
      <c r="H564" s="53"/>
    </row>
    <row r="565" spans="1:8">
      <c r="A565" s="27"/>
      <c r="B565" s="27"/>
      <c r="C565" s="28"/>
      <c r="D565" s="28"/>
      <c r="E565" s="53"/>
      <c r="F565" s="53"/>
      <c r="G565" s="53"/>
      <c r="H565" s="53"/>
    </row>
    <row r="566" spans="1:8">
      <c r="A566" s="27"/>
      <c r="B566" s="27"/>
      <c r="C566" s="28"/>
      <c r="D566" s="28"/>
      <c r="E566" s="53"/>
      <c r="F566" s="53"/>
      <c r="G566" s="53"/>
      <c r="H566" s="53"/>
    </row>
    <row r="567" spans="1:8">
      <c r="A567" s="27"/>
      <c r="B567" s="27"/>
      <c r="C567" s="28"/>
      <c r="D567" s="28"/>
      <c r="E567" s="53"/>
      <c r="F567" s="53"/>
      <c r="G567" s="53"/>
      <c r="H567" s="53"/>
    </row>
    <row r="568" spans="1:8">
      <c r="A568" s="27"/>
      <c r="B568" s="27"/>
      <c r="C568" s="28"/>
      <c r="D568" s="28"/>
      <c r="E568" s="53"/>
      <c r="F568" s="53"/>
      <c r="G568" s="53"/>
      <c r="H568" s="53"/>
    </row>
    <row r="569" spans="1:8">
      <c r="A569" s="27"/>
      <c r="B569" s="27"/>
      <c r="C569" s="28"/>
      <c r="D569" s="28"/>
      <c r="E569" s="53"/>
      <c r="F569" s="53"/>
      <c r="G569" s="53"/>
      <c r="H569" s="53"/>
    </row>
    <row r="570" spans="1:8">
      <c r="A570" s="27"/>
      <c r="B570" s="27"/>
      <c r="C570" s="28"/>
      <c r="D570" s="28"/>
      <c r="E570" s="53"/>
      <c r="F570" s="53"/>
      <c r="G570" s="53"/>
      <c r="H570" s="53"/>
    </row>
    <row r="571" spans="1:8">
      <c r="A571" s="27"/>
      <c r="B571" s="27"/>
      <c r="C571" s="28"/>
      <c r="D571" s="28"/>
      <c r="E571" s="53"/>
      <c r="F571" s="53"/>
      <c r="G571" s="53"/>
      <c r="H571" s="53"/>
    </row>
    <row r="572" spans="1:8">
      <c r="A572" s="27"/>
      <c r="B572" s="27"/>
      <c r="C572" s="28"/>
      <c r="D572" s="28"/>
      <c r="E572" s="53"/>
      <c r="F572" s="53"/>
      <c r="G572" s="53"/>
      <c r="H572" s="53"/>
    </row>
    <row r="573" spans="1:8">
      <c r="A573" s="27"/>
      <c r="B573" s="27"/>
      <c r="C573" s="28"/>
      <c r="D573" s="28"/>
      <c r="E573" s="53"/>
      <c r="F573" s="53"/>
      <c r="G573" s="53"/>
      <c r="H573" s="53"/>
    </row>
    <row r="574" spans="1:8">
      <c r="A574" s="27"/>
      <c r="B574" s="27"/>
      <c r="C574" s="28"/>
      <c r="D574" s="28"/>
      <c r="E574" s="53"/>
      <c r="F574" s="53"/>
      <c r="G574" s="53"/>
      <c r="H574" s="53"/>
    </row>
    <row r="575" spans="1:8">
      <c r="A575" s="27"/>
      <c r="B575" s="27"/>
      <c r="C575" s="28"/>
      <c r="D575" s="28"/>
      <c r="E575" s="53"/>
      <c r="F575" s="53"/>
      <c r="G575" s="53"/>
      <c r="H575" s="53"/>
    </row>
    <row r="576" spans="1:8">
      <c r="A576" s="27"/>
      <c r="B576" s="27"/>
      <c r="C576" s="28"/>
      <c r="D576" s="28"/>
      <c r="E576" s="53"/>
      <c r="F576" s="53"/>
      <c r="G576" s="53"/>
      <c r="H576" s="53"/>
    </row>
    <row r="577" spans="1:8">
      <c r="A577" s="27"/>
      <c r="B577" s="27"/>
      <c r="C577" s="28"/>
      <c r="D577" s="28"/>
      <c r="E577" s="53"/>
      <c r="F577" s="53"/>
      <c r="G577" s="53"/>
      <c r="H577" s="53"/>
    </row>
    <row r="578" spans="1:8">
      <c r="A578" s="27"/>
      <c r="B578" s="27"/>
      <c r="C578" s="28"/>
      <c r="D578" s="28"/>
      <c r="E578" s="53"/>
      <c r="F578" s="53"/>
      <c r="G578" s="53"/>
      <c r="H578" s="53"/>
    </row>
    <row r="579" spans="1:8">
      <c r="A579" s="27"/>
      <c r="B579" s="27"/>
      <c r="C579" s="28"/>
      <c r="D579" s="28"/>
      <c r="E579" s="53"/>
      <c r="F579" s="53"/>
      <c r="G579" s="53"/>
      <c r="H579" s="53"/>
    </row>
    <row r="580" spans="1:8">
      <c r="A580" s="27"/>
      <c r="B580" s="27"/>
      <c r="C580" s="28"/>
      <c r="D580" s="28"/>
      <c r="E580" s="53"/>
      <c r="F580" s="53"/>
      <c r="G580" s="53"/>
      <c r="H580" s="53"/>
    </row>
    <row r="581" spans="1:8">
      <c r="A581" s="27"/>
      <c r="B581" s="27"/>
      <c r="C581" s="28"/>
      <c r="D581" s="28"/>
      <c r="E581" s="53"/>
      <c r="F581" s="53"/>
      <c r="G581" s="53"/>
      <c r="H581" s="53"/>
    </row>
    <row r="582" spans="1:8">
      <c r="A582" s="27"/>
      <c r="B582" s="27"/>
      <c r="C582" s="28"/>
      <c r="D582" s="28"/>
      <c r="E582" s="53"/>
      <c r="F582" s="53"/>
      <c r="G582" s="53"/>
      <c r="H582" s="53"/>
    </row>
    <row r="583" spans="1:8">
      <c r="A583" s="27"/>
      <c r="B583" s="27"/>
      <c r="C583" s="28"/>
      <c r="D583" s="28"/>
      <c r="E583" s="53"/>
      <c r="F583" s="53"/>
      <c r="G583" s="53"/>
      <c r="H583" s="53"/>
    </row>
    <row r="584" spans="1:8">
      <c r="A584" s="27"/>
      <c r="B584" s="27"/>
      <c r="C584" s="28"/>
      <c r="D584" s="28"/>
      <c r="E584" s="53"/>
      <c r="F584" s="53"/>
      <c r="G584" s="53"/>
      <c r="H584" s="53"/>
    </row>
    <row r="585" spans="1:8">
      <c r="A585" s="27"/>
      <c r="B585" s="27"/>
      <c r="C585" s="28"/>
      <c r="D585" s="28"/>
      <c r="E585" s="53"/>
      <c r="F585" s="53"/>
      <c r="G585" s="53"/>
      <c r="H585" s="53"/>
    </row>
    <row r="586" spans="1:8">
      <c r="A586" s="27"/>
      <c r="B586" s="27"/>
      <c r="C586" s="28"/>
      <c r="D586" s="28"/>
      <c r="E586" s="53"/>
      <c r="F586" s="53"/>
      <c r="G586" s="53"/>
      <c r="H586" s="53"/>
    </row>
    <row r="587" spans="1:8">
      <c r="A587" s="27"/>
      <c r="B587" s="27"/>
      <c r="C587" s="28"/>
      <c r="D587" s="28"/>
      <c r="E587" s="53"/>
      <c r="F587" s="53"/>
      <c r="G587" s="53"/>
      <c r="H587" s="53"/>
    </row>
    <row r="588" spans="1:8">
      <c r="A588" s="27"/>
      <c r="B588" s="27"/>
      <c r="C588" s="28"/>
      <c r="D588" s="28"/>
      <c r="E588" s="53"/>
      <c r="F588" s="53"/>
      <c r="G588" s="53"/>
      <c r="H588" s="53"/>
    </row>
    <row r="589" spans="1:8">
      <c r="A589" s="27"/>
      <c r="B589" s="27"/>
      <c r="C589" s="28"/>
      <c r="D589" s="28"/>
      <c r="E589" s="53"/>
      <c r="F589" s="53"/>
      <c r="G589" s="53"/>
      <c r="H589" s="53"/>
    </row>
    <row r="590" spans="1:8">
      <c r="A590" s="27"/>
      <c r="B590" s="27"/>
      <c r="C590" s="28"/>
      <c r="D590" s="28"/>
      <c r="E590" s="53"/>
      <c r="F590" s="53"/>
      <c r="G590" s="53"/>
      <c r="H590" s="53"/>
    </row>
    <row r="591" spans="1:8">
      <c r="A591" s="27"/>
      <c r="B591" s="27"/>
      <c r="C591" s="28"/>
      <c r="D591" s="28"/>
      <c r="E591" s="53"/>
      <c r="F591" s="53"/>
      <c r="G591" s="53"/>
      <c r="H591" s="53"/>
    </row>
    <row r="592" spans="1:8">
      <c r="A592" s="27"/>
      <c r="B592" s="27"/>
      <c r="C592" s="28"/>
      <c r="D592" s="28"/>
      <c r="E592" s="53"/>
      <c r="F592" s="53"/>
      <c r="G592" s="53"/>
      <c r="H592" s="53"/>
    </row>
    <row r="593" spans="1:8">
      <c r="A593" s="27"/>
      <c r="B593" s="27"/>
      <c r="C593" s="28"/>
      <c r="D593" s="28"/>
      <c r="E593" s="53"/>
      <c r="F593" s="53"/>
      <c r="G593" s="53"/>
      <c r="H593" s="53"/>
    </row>
    <row r="594" spans="1:8">
      <c r="A594" s="27"/>
      <c r="B594" s="27"/>
      <c r="C594" s="28"/>
      <c r="D594" s="28"/>
      <c r="E594" s="53"/>
      <c r="F594" s="53"/>
      <c r="G594" s="53"/>
      <c r="H594" s="53"/>
    </row>
    <row r="595" spans="1:8">
      <c r="A595" s="27"/>
      <c r="B595" s="27"/>
      <c r="C595" s="28"/>
      <c r="D595" s="28"/>
      <c r="E595" s="53"/>
      <c r="F595" s="53"/>
      <c r="G595" s="53"/>
      <c r="H595" s="53"/>
    </row>
    <row r="596" spans="1:8">
      <c r="A596" s="27"/>
      <c r="B596" s="27"/>
      <c r="C596" s="28"/>
      <c r="D596" s="28"/>
      <c r="E596" s="53"/>
      <c r="F596" s="53"/>
      <c r="G596" s="53"/>
      <c r="H596" s="53"/>
    </row>
    <row r="597" spans="1:8">
      <c r="A597" s="27"/>
      <c r="B597" s="27"/>
      <c r="C597" s="28"/>
      <c r="D597" s="28"/>
      <c r="E597" s="53"/>
      <c r="F597" s="53"/>
      <c r="G597" s="53"/>
      <c r="H597" s="53"/>
    </row>
    <row r="598" spans="1:8">
      <c r="A598" s="27"/>
      <c r="B598" s="27"/>
      <c r="C598" s="28"/>
      <c r="D598" s="28"/>
      <c r="E598" s="53"/>
      <c r="F598" s="53"/>
      <c r="G598" s="53"/>
      <c r="H598" s="53"/>
    </row>
    <row r="599" spans="1:8">
      <c r="A599" s="27"/>
      <c r="B599" s="27"/>
      <c r="C599" s="28"/>
      <c r="D599" s="28"/>
      <c r="E599" s="53"/>
      <c r="F599" s="53"/>
      <c r="G599" s="53"/>
      <c r="H599" s="53"/>
    </row>
    <row r="600" spans="1:8">
      <c r="A600" s="27"/>
      <c r="B600" s="27"/>
      <c r="C600" s="28"/>
      <c r="D600" s="28"/>
      <c r="E600" s="53"/>
      <c r="F600" s="53"/>
      <c r="G600" s="53"/>
      <c r="H600" s="53"/>
    </row>
    <row r="601" spans="1:8">
      <c r="A601" s="27"/>
      <c r="B601" s="27"/>
      <c r="C601" s="28"/>
      <c r="D601" s="28"/>
      <c r="E601" s="53"/>
      <c r="F601" s="53"/>
      <c r="G601" s="53"/>
      <c r="H601" s="53"/>
    </row>
    <row r="602" spans="1:8">
      <c r="A602" s="27"/>
      <c r="B602" s="27"/>
      <c r="C602" s="28"/>
      <c r="D602" s="28"/>
      <c r="E602" s="53"/>
      <c r="F602" s="53"/>
      <c r="G602" s="53"/>
      <c r="H602" s="53"/>
    </row>
    <row r="603" spans="1:8">
      <c r="A603" s="27"/>
      <c r="B603" s="27"/>
      <c r="C603" s="28"/>
      <c r="D603" s="28"/>
      <c r="E603" s="53"/>
      <c r="F603" s="53"/>
      <c r="G603" s="53"/>
      <c r="H603" s="53"/>
    </row>
    <row r="604" spans="1:8">
      <c r="A604" s="27"/>
      <c r="B604" s="27"/>
      <c r="C604" s="28"/>
      <c r="D604" s="28"/>
      <c r="E604" s="53"/>
      <c r="F604" s="53"/>
      <c r="G604" s="53"/>
      <c r="H604" s="53"/>
    </row>
    <row r="605" spans="1:8">
      <c r="A605" s="27"/>
      <c r="B605" s="27"/>
      <c r="C605" s="28"/>
      <c r="D605" s="28"/>
      <c r="E605" s="53"/>
      <c r="F605" s="53"/>
      <c r="G605" s="53"/>
      <c r="H605" s="53"/>
    </row>
    <row r="606" spans="1:8">
      <c r="A606" s="27"/>
      <c r="B606" s="27"/>
      <c r="C606" s="28"/>
      <c r="D606" s="28"/>
      <c r="E606" s="53"/>
      <c r="F606" s="53"/>
      <c r="G606" s="53"/>
      <c r="H606" s="53"/>
    </row>
    <row r="607" spans="1:8">
      <c r="A607" s="27"/>
      <c r="B607" s="27"/>
      <c r="C607" s="28"/>
      <c r="D607" s="28"/>
      <c r="E607" s="53"/>
      <c r="F607" s="53"/>
      <c r="G607" s="53"/>
      <c r="H607" s="53"/>
    </row>
    <row r="608" spans="1:8">
      <c r="A608" s="27"/>
      <c r="B608" s="27"/>
      <c r="C608" s="28"/>
      <c r="D608" s="28"/>
      <c r="E608" s="53"/>
      <c r="F608" s="53"/>
      <c r="G608" s="53"/>
      <c r="H608" s="53"/>
    </row>
    <row r="609" spans="1:8">
      <c r="A609" s="27"/>
      <c r="B609" s="27"/>
      <c r="C609" s="28"/>
      <c r="D609" s="28"/>
      <c r="E609" s="53"/>
      <c r="F609" s="53"/>
      <c r="G609" s="53"/>
      <c r="H609" s="53"/>
    </row>
    <row r="610" spans="1:8">
      <c r="A610" s="27"/>
      <c r="B610" s="27"/>
      <c r="C610" s="28"/>
      <c r="D610" s="28"/>
      <c r="E610" s="53"/>
      <c r="F610" s="53"/>
      <c r="G610" s="53"/>
      <c r="H610" s="53"/>
    </row>
    <row r="611" spans="1:8">
      <c r="A611" s="27"/>
      <c r="B611" s="27"/>
      <c r="C611" s="28"/>
      <c r="D611" s="28"/>
      <c r="E611" s="53"/>
      <c r="F611" s="53"/>
      <c r="G611" s="53"/>
      <c r="H611" s="53"/>
    </row>
    <row r="612" spans="1:8">
      <c r="A612" s="27"/>
      <c r="B612" s="27"/>
      <c r="C612" s="28"/>
      <c r="D612" s="28"/>
      <c r="E612" s="53"/>
      <c r="F612" s="53"/>
      <c r="G612" s="53"/>
      <c r="H612" s="53"/>
    </row>
    <row r="613" spans="1:8">
      <c r="A613" s="27"/>
      <c r="B613" s="27"/>
      <c r="C613" s="28"/>
      <c r="D613" s="28"/>
      <c r="E613" s="53"/>
      <c r="F613" s="53"/>
      <c r="G613" s="53"/>
      <c r="H613" s="53"/>
    </row>
    <row r="614" spans="1:8">
      <c r="A614" s="27"/>
      <c r="B614" s="27"/>
      <c r="C614" s="28"/>
      <c r="D614" s="28"/>
      <c r="E614" s="53"/>
      <c r="F614" s="53"/>
      <c r="G614" s="53"/>
      <c r="H614" s="53"/>
    </row>
    <row r="615" spans="1:8">
      <c r="A615" s="27"/>
      <c r="B615" s="27"/>
      <c r="C615" s="28"/>
      <c r="D615" s="28"/>
      <c r="E615" s="53"/>
      <c r="F615" s="53"/>
      <c r="G615" s="53"/>
      <c r="H615" s="53"/>
    </row>
    <row r="616" spans="1:8">
      <c r="A616" s="27"/>
      <c r="B616" s="27"/>
      <c r="C616" s="28"/>
      <c r="D616" s="28"/>
      <c r="E616" s="53"/>
      <c r="F616" s="53"/>
      <c r="G616" s="53"/>
      <c r="H616" s="53"/>
    </row>
    <row r="617" spans="1:8">
      <c r="A617" s="27"/>
      <c r="B617" s="27"/>
      <c r="C617" s="28"/>
      <c r="D617" s="28"/>
      <c r="E617" s="53"/>
      <c r="F617" s="53"/>
      <c r="G617" s="53"/>
      <c r="H617" s="53"/>
    </row>
    <row r="618" spans="1:8">
      <c r="A618" s="27"/>
      <c r="B618" s="27"/>
      <c r="C618" s="28"/>
      <c r="D618" s="28"/>
      <c r="E618" s="53"/>
      <c r="F618" s="53"/>
      <c r="G618" s="53"/>
      <c r="H618" s="53"/>
    </row>
    <row r="619" spans="1:8">
      <c r="A619" s="27"/>
      <c r="B619" s="27"/>
      <c r="C619" s="28"/>
      <c r="D619" s="28"/>
      <c r="E619" s="53"/>
      <c r="F619" s="53"/>
      <c r="G619" s="53"/>
      <c r="H619" s="53"/>
    </row>
    <row r="620" spans="1:8">
      <c r="A620" s="27"/>
      <c r="B620" s="27"/>
      <c r="C620" s="28"/>
      <c r="D620" s="28"/>
      <c r="E620" s="53"/>
      <c r="F620" s="53"/>
      <c r="G620" s="53"/>
      <c r="H620" s="53"/>
    </row>
    <row r="621" spans="1:8">
      <c r="A621" s="27"/>
      <c r="B621" s="27"/>
      <c r="C621" s="28"/>
      <c r="D621" s="28"/>
      <c r="E621" s="53"/>
      <c r="F621" s="53"/>
      <c r="G621" s="53"/>
      <c r="H621" s="53"/>
    </row>
    <row r="622" spans="1:8">
      <c r="A622" s="27"/>
      <c r="B622" s="27"/>
      <c r="C622" s="28"/>
      <c r="D622" s="28"/>
      <c r="E622" s="53"/>
      <c r="F622" s="53"/>
      <c r="G622" s="53"/>
      <c r="H622" s="53"/>
    </row>
    <row r="623" spans="1:8">
      <c r="A623" s="27"/>
      <c r="B623" s="27"/>
      <c r="C623" s="28"/>
      <c r="D623" s="28"/>
      <c r="E623" s="53"/>
      <c r="F623" s="53"/>
      <c r="G623" s="53"/>
      <c r="H623" s="53"/>
    </row>
    <row r="624" spans="1:8">
      <c r="A624" s="27"/>
      <c r="B624" s="27"/>
      <c r="C624" s="28"/>
      <c r="D624" s="28"/>
      <c r="E624" s="53"/>
      <c r="F624" s="53"/>
      <c r="G624" s="53"/>
      <c r="H624" s="53"/>
    </row>
    <row r="625" spans="1:8">
      <c r="A625" s="27"/>
      <c r="B625" s="27"/>
      <c r="C625" s="28"/>
      <c r="D625" s="28"/>
      <c r="E625" s="53"/>
      <c r="F625" s="53"/>
      <c r="G625" s="53"/>
      <c r="H625" s="53"/>
    </row>
    <row r="626" spans="1:8">
      <c r="A626" s="27"/>
      <c r="B626" s="27"/>
      <c r="C626" s="28"/>
      <c r="D626" s="28"/>
      <c r="E626" s="53"/>
      <c r="F626" s="53"/>
      <c r="G626" s="53"/>
      <c r="H626" s="53"/>
    </row>
    <row r="627" spans="1:8">
      <c r="A627" s="27"/>
      <c r="B627" s="27"/>
      <c r="C627" s="28"/>
      <c r="D627" s="28"/>
      <c r="E627" s="53"/>
      <c r="F627" s="53"/>
      <c r="G627" s="53"/>
      <c r="H627" s="53"/>
    </row>
    <row r="628" spans="1:8">
      <c r="A628" s="27"/>
      <c r="B628" s="27"/>
      <c r="C628" s="28"/>
      <c r="D628" s="28"/>
      <c r="E628" s="53"/>
      <c r="F628" s="53"/>
      <c r="G628" s="53"/>
      <c r="H628" s="53"/>
    </row>
    <row r="629" spans="1:8">
      <c r="A629" s="27"/>
      <c r="B629" s="27"/>
      <c r="C629" s="28"/>
      <c r="D629" s="28"/>
      <c r="E629" s="53"/>
      <c r="F629" s="53"/>
      <c r="G629" s="53"/>
      <c r="H629" s="53"/>
    </row>
    <row r="630" spans="1:8">
      <c r="A630" s="27"/>
      <c r="B630" s="27"/>
      <c r="C630" s="28"/>
      <c r="D630" s="28"/>
      <c r="E630" s="53"/>
      <c r="F630" s="53"/>
      <c r="G630" s="53"/>
      <c r="H630" s="53"/>
    </row>
    <row r="631" spans="1:8">
      <c r="A631" s="27"/>
      <c r="B631" s="27"/>
      <c r="C631" s="28"/>
      <c r="D631" s="28"/>
      <c r="E631" s="53"/>
      <c r="F631" s="53"/>
      <c r="G631" s="53"/>
      <c r="H631" s="53"/>
    </row>
    <row r="632" spans="1:8">
      <c r="A632" s="27"/>
      <c r="B632" s="27"/>
      <c r="C632" s="28"/>
      <c r="D632" s="28"/>
      <c r="E632" s="53"/>
      <c r="F632" s="53"/>
      <c r="G632" s="53"/>
      <c r="H632" s="53"/>
    </row>
    <row r="633" spans="1:8">
      <c r="A633" s="27"/>
      <c r="B633" s="27"/>
      <c r="C633" s="28"/>
      <c r="D633" s="28"/>
      <c r="E633" s="53"/>
      <c r="F633" s="53"/>
      <c r="G633" s="53"/>
      <c r="H633" s="53"/>
    </row>
    <row r="634" spans="1:8">
      <c r="A634" s="27"/>
      <c r="B634" s="27"/>
      <c r="C634" s="28"/>
      <c r="D634" s="28"/>
      <c r="E634" s="53"/>
      <c r="F634" s="53"/>
      <c r="G634" s="53"/>
      <c r="H634" s="53"/>
    </row>
    <row r="635" spans="1:8">
      <c r="A635" s="27"/>
      <c r="B635" s="27"/>
      <c r="C635" s="28"/>
      <c r="D635" s="28"/>
      <c r="E635" s="53"/>
      <c r="F635" s="53"/>
      <c r="G635" s="53"/>
      <c r="H635" s="53"/>
    </row>
    <row r="636" spans="1:8">
      <c r="A636" s="27"/>
      <c r="B636" s="27"/>
      <c r="C636" s="28"/>
      <c r="D636" s="28"/>
      <c r="E636" s="53"/>
      <c r="F636" s="53"/>
      <c r="G636" s="53"/>
      <c r="H636" s="53"/>
    </row>
    <row r="637" spans="1:8">
      <c r="A637" s="27"/>
      <c r="B637" s="27"/>
      <c r="C637" s="28"/>
      <c r="D637" s="28"/>
      <c r="E637" s="53"/>
      <c r="F637" s="53"/>
      <c r="G637" s="53"/>
      <c r="H637" s="53"/>
    </row>
    <row r="638" spans="1:8">
      <c r="A638" s="27"/>
      <c r="B638" s="27"/>
      <c r="C638" s="28"/>
      <c r="D638" s="28"/>
      <c r="E638" s="53"/>
      <c r="F638" s="53"/>
      <c r="G638" s="53"/>
      <c r="H638" s="53"/>
    </row>
    <row r="639" spans="1:8">
      <c r="A639" s="27"/>
      <c r="B639" s="27"/>
      <c r="C639" s="28"/>
      <c r="D639" s="28"/>
      <c r="E639" s="53"/>
      <c r="F639" s="53"/>
      <c r="G639" s="53"/>
      <c r="H639" s="53"/>
    </row>
    <row r="640" spans="1:8">
      <c r="A640" s="27"/>
      <c r="B640" s="27"/>
      <c r="C640" s="28"/>
      <c r="D640" s="28"/>
      <c r="E640" s="53"/>
      <c r="F640" s="53"/>
      <c r="G640" s="53"/>
      <c r="H640" s="53"/>
    </row>
    <row r="641" spans="1:8">
      <c r="A641" s="27"/>
      <c r="B641" s="27"/>
      <c r="C641" s="28"/>
      <c r="D641" s="28"/>
      <c r="E641" s="53"/>
      <c r="F641" s="53"/>
      <c r="G641" s="53"/>
      <c r="H641" s="53"/>
    </row>
    <row r="642" spans="1:8">
      <c r="A642" s="27"/>
      <c r="B642" s="27"/>
      <c r="C642" s="28"/>
      <c r="D642" s="28"/>
      <c r="E642" s="53"/>
      <c r="F642" s="53"/>
      <c r="G642" s="53"/>
      <c r="H642" s="53"/>
    </row>
    <row r="643" spans="1:8">
      <c r="A643" s="27"/>
      <c r="B643" s="27"/>
      <c r="C643" s="28"/>
      <c r="D643" s="28"/>
      <c r="E643" s="53"/>
      <c r="F643" s="53"/>
      <c r="G643" s="53"/>
      <c r="H643" s="53"/>
    </row>
    <row r="644" spans="1:8">
      <c r="A644" s="27"/>
      <c r="B644" s="27"/>
      <c r="C644" s="28"/>
      <c r="D644" s="28"/>
      <c r="E644" s="53"/>
      <c r="F644" s="53"/>
      <c r="G644" s="53"/>
      <c r="H644" s="53"/>
    </row>
    <row r="645" spans="1:8">
      <c r="A645" s="27"/>
      <c r="B645" s="27"/>
      <c r="C645" s="28"/>
      <c r="D645" s="28"/>
      <c r="E645" s="53"/>
      <c r="F645" s="53"/>
      <c r="G645" s="53"/>
      <c r="H645" s="53"/>
    </row>
    <row r="646" spans="1:8">
      <c r="A646" s="27"/>
      <c r="B646" s="27"/>
      <c r="C646" s="28"/>
      <c r="D646" s="28"/>
      <c r="E646" s="53"/>
      <c r="F646" s="53"/>
      <c r="G646" s="53"/>
      <c r="H646" s="53"/>
    </row>
    <row r="647" spans="1:8">
      <c r="A647" s="27"/>
      <c r="B647" s="27"/>
      <c r="C647" s="28"/>
      <c r="D647" s="28"/>
      <c r="E647" s="53"/>
      <c r="F647" s="53"/>
      <c r="G647" s="53"/>
      <c r="H647" s="53"/>
    </row>
    <row r="648" spans="1:8">
      <c r="A648" s="27"/>
      <c r="B648" s="27"/>
      <c r="C648" s="28"/>
      <c r="D648" s="28"/>
      <c r="E648" s="53"/>
      <c r="F648" s="53"/>
      <c r="G648" s="53"/>
      <c r="H648" s="53"/>
    </row>
    <row r="649" spans="1:8">
      <c r="A649" s="27"/>
      <c r="B649" s="27"/>
      <c r="C649" s="28"/>
      <c r="D649" s="28"/>
      <c r="E649" s="53"/>
      <c r="F649" s="53"/>
      <c r="G649" s="53"/>
      <c r="H649" s="53"/>
    </row>
    <row r="650" spans="1:8">
      <c r="A650" s="27"/>
      <c r="B650" s="27"/>
      <c r="C650" s="28"/>
      <c r="D650" s="28"/>
      <c r="E650" s="53"/>
      <c r="F650" s="53"/>
      <c r="G650" s="53"/>
      <c r="H650" s="53"/>
    </row>
    <row r="651" spans="1:8">
      <c r="A651" s="27"/>
      <c r="B651" s="27"/>
      <c r="C651" s="28"/>
      <c r="D651" s="28"/>
      <c r="E651" s="53"/>
      <c r="F651" s="53"/>
      <c r="G651" s="53"/>
      <c r="H651" s="53"/>
    </row>
    <row r="652" spans="1:8">
      <c r="A652" s="27"/>
      <c r="B652" s="27"/>
      <c r="C652" s="28"/>
      <c r="D652" s="28"/>
      <c r="E652" s="53"/>
      <c r="F652" s="53"/>
      <c r="G652" s="53"/>
      <c r="H652" s="53"/>
    </row>
    <row r="653" spans="1:8">
      <c r="A653" s="27"/>
      <c r="B653" s="27"/>
      <c r="C653" s="28"/>
      <c r="D653" s="28"/>
      <c r="E653" s="53"/>
      <c r="F653" s="53"/>
      <c r="G653" s="53"/>
      <c r="H653" s="53"/>
    </row>
    <row r="654" spans="1:8">
      <c r="A654" s="27"/>
      <c r="B654" s="27"/>
      <c r="C654" s="28"/>
      <c r="D654" s="28"/>
      <c r="E654" s="53"/>
      <c r="F654" s="53"/>
      <c r="G654" s="53"/>
      <c r="H654" s="53"/>
    </row>
    <row r="655" spans="1:8">
      <c r="A655" s="27"/>
      <c r="B655" s="27"/>
      <c r="C655" s="28"/>
      <c r="D655" s="28"/>
      <c r="E655" s="53"/>
      <c r="F655" s="53"/>
      <c r="G655" s="53"/>
      <c r="H655" s="53"/>
    </row>
    <row r="656" spans="1:8">
      <c r="A656" s="27"/>
      <c r="B656" s="27"/>
      <c r="C656" s="28"/>
      <c r="D656" s="28"/>
      <c r="E656" s="53"/>
      <c r="F656" s="53"/>
      <c r="G656" s="53"/>
      <c r="H656" s="53"/>
    </row>
    <row r="657" spans="1:8">
      <c r="A657" s="27"/>
      <c r="B657" s="27"/>
      <c r="C657" s="28"/>
      <c r="D657" s="28"/>
      <c r="E657" s="53"/>
      <c r="F657" s="53"/>
      <c r="G657" s="53"/>
      <c r="H657" s="53"/>
    </row>
    <row r="658" spans="1:8">
      <c r="A658" s="27"/>
      <c r="B658" s="27"/>
      <c r="C658" s="28"/>
      <c r="D658" s="28"/>
      <c r="E658" s="53"/>
      <c r="F658" s="53"/>
      <c r="G658" s="53"/>
      <c r="H658" s="53"/>
    </row>
    <row r="659" spans="1:8">
      <c r="A659" s="27"/>
      <c r="B659" s="27"/>
      <c r="C659" s="28"/>
      <c r="D659" s="28"/>
      <c r="E659" s="53"/>
      <c r="F659" s="53"/>
      <c r="G659" s="53"/>
      <c r="H659" s="53"/>
    </row>
    <row r="660" spans="1:8">
      <c r="A660" s="27"/>
      <c r="B660" s="27"/>
      <c r="C660" s="28"/>
      <c r="D660" s="28"/>
      <c r="E660" s="53"/>
      <c r="F660" s="53"/>
      <c r="G660" s="53"/>
      <c r="H660" s="53"/>
    </row>
    <row r="661" spans="1:8">
      <c r="A661" s="27"/>
      <c r="B661" s="27"/>
      <c r="C661" s="28"/>
      <c r="D661" s="28"/>
      <c r="E661" s="53"/>
      <c r="F661" s="53"/>
      <c r="G661" s="53"/>
      <c r="H661" s="53"/>
    </row>
    <row r="662" spans="1:8">
      <c r="A662" s="27"/>
      <c r="B662" s="27"/>
      <c r="C662" s="28"/>
      <c r="D662" s="28"/>
      <c r="E662" s="53"/>
      <c r="F662" s="53"/>
      <c r="G662" s="53"/>
      <c r="H662" s="53"/>
    </row>
    <row r="663" spans="1:8">
      <c r="A663" s="27"/>
      <c r="B663" s="27"/>
      <c r="C663" s="28"/>
      <c r="D663" s="28"/>
      <c r="E663" s="53"/>
      <c r="F663" s="53"/>
      <c r="G663" s="53"/>
      <c r="H663" s="53"/>
    </row>
    <row r="664" spans="1:8">
      <c r="A664" s="27"/>
      <c r="B664" s="27"/>
      <c r="C664" s="28"/>
      <c r="D664" s="28"/>
      <c r="E664" s="53"/>
      <c r="F664" s="53"/>
      <c r="G664" s="53"/>
      <c r="H664" s="53"/>
    </row>
    <row r="665" spans="1:8">
      <c r="A665" s="27"/>
      <c r="B665" s="27"/>
      <c r="C665" s="28"/>
      <c r="D665" s="28"/>
      <c r="E665" s="53"/>
      <c r="F665" s="53"/>
      <c r="G665" s="53"/>
      <c r="H665" s="53"/>
    </row>
    <row r="666" spans="1:8">
      <c r="A666" s="27"/>
      <c r="B666" s="27"/>
      <c r="C666" s="28"/>
      <c r="D666" s="28"/>
      <c r="E666" s="53"/>
      <c r="F666" s="53"/>
      <c r="G666" s="53"/>
      <c r="H666" s="53"/>
    </row>
    <row r="667" spans="1:8">
      <c r="A667" s="27"/>
      <c r="B667" s="27"/>
      <c r="C667" s="28"/>
      <c r="D667" s="28"/>
      <c r="E667" s="53"/>
      <c r="F667" s="53"/>
      <c r="G667" s="53"/>
      <c r="H667" s="53"/>
    </row>
    <row r="668" spans="1:8">
      <c r="A668" s="27"/>
      <c r="B668" s="27"/>
      <c r="C668" s="28"/>
      <c r="D668" s="28"/>
      <c r="E668" s="53"/>
      <c r="F668" s="53"/>
      <c r="G668" s="53"/>
      <c r="H668" s="53"/>
    </row>
    <row r="669" spans="1:8">
      <c r="A669" s="27"/>
      <c r="B669" s="27"/>
      <c r="C669" s="28"/>
      <c r="D669" s="28"/>
      <c r="E669" s="53"/>
      <c r="F669" s="53"/>
      <c r="G669" s="53"/>
      <c r="H669" s="53"/>
    </row>
    <row r="670" spans="1:8">
      <c r="A670" s="27"/>
      <c r="B670" s="27"/>
      <c r="C670" s="28"/>
      <c r="D670" s="28"/>
      <c r="E670" s="53"/>
      <c r="F670" s="53"/>
      <c r="G670" s="53"/>
      <c r="H670" s="53"/>
    </row>
    <row r="671" spans="1:8">
      <c r="A671" s="27"/>
      <c r="B671" s="27"/>
      <c r="C671" s="28"/>
      <c r="D671" s="28"/>
      <c r="E671" s="53"/>
      <c r="F671" s="53"/>
      <c r="G671" s="53"/>
      <c r="H671" s="53"/>
    </row>
    <row r="672" spans="1:8">
      <c r="A672" s="27"/>
      <c r="B672" s="27"/>
      <c r="C672" s="28"/>
      <c r="D672" s="28"/>
      <c r="E672" s="53"/>
      <c r="F672" s="53"/>
      <c r="G672" s="53"/>
      <c r="H672" s="53"/>
    </row>
    <row r="673" spans="1:8">
      <c r="A673" s="27"/>
      <c r="B673" s="27"/>
      <c r="C673" s="28"/>
      <c r="D673" s="28"/>
      <c r="E673" s="53"/>
      <c r="F673" s="53"/>
      <c r="G673" s="53"/>
      <c r="H673" s="53"/>
    </row>
    <row r="674" spans="1:8">
      <c r="A674" s="27"/>
      <c r="B674" s="27"/>
      <c r="C674" s="28"/>
      <c r="D674" s="28"/>
      <c r="E674" s="53"/>
      <c r="F674" s="53"/>
      <c r="G674" s="53"/>
      <c r="H674" s="53"/>
    </row>
    <row r="675" spans="1:8">
      <c r="A675" s="27"/>
      <c r="B675" s="27"/>
      <c r="C675" s="28"/>
      <c r="D675" s="28"/>
      <c r="E675" s="53"/>
      <c r="F675" s="53"/>
      <c r="G675" s="53"/>
      <c r="H675" s="53"/>
    </row>
    <row r="676" spans="1:8">
      <c r="A676" s="27"/>
      <c r="B676" s="27"/>
      <c r="C676" s="28"/>
      <c r="D676" s="28"/>
      <c r="E676" s="53"/>
      <c r="F676" s="53"/>
      <c r="G676" s="53"/>
      <c r="H676" s="53"/>
    </row>
    <row r="677" spans="1:8">
      <c r="A677" s="27"/>
      <c r="B677" s="27"/>
      <c r="C677" s="28"/>
      <c r="D677" s="28"/>
      <c r="E677" s="53"/>
      <c r="F677" s="53"/>
      <c r="G677" s="53"/>
      <c r="H677" s="53"/>
    </row>
    <row r="678" spans="1:8">
      <c r="A678" s="27"/>
      <c r="B678" s="27"/>
      <c r="C678" s="28"/>
      <c r="D678" s="28"/>
      <c r="E678" s="53"/>
      <c r="F678" s="53"/>
      <c r="G678" s="53"/>
      <c r="H678" s="53"/>
    </row>
    <row r="679" spans="1:8">
      <c r="A679" s="27"/>
      <c r="B679" s="27"/>
      <c r="C679" s="28"/>
      <c r="D679" s="28"/>
      <c r="E679" s="53"/>
      <c r="F679" s="53"/>
      <c r="G679" s="53"/>
      <c r="H679" s="53"/>
    </row>
    <row r="680" spans="1:8">
      <c r="A680" s="27"/>
      <c r="B680" s="27"/>
      <c r="C680" s="28"/>
      <c r="D680" s="28"/>
      <c r="E680" s="53"/>
      <c r="F680" s="53"/>
      <c r="G680" s="53"/>
      <c r="H680" s="53"/>
    </row>
    <row r="681" spans="1:8">
      <c r="A681" s="27"/>
      <c r="B681" s="27"/>
      <c r="C681" s="28"/>
      <c r="D681" s="28"/>
      <c r="E681" s="53"/>
      <c r="F681" s="53"/>
      <c r="G681" s="53"/>
      <c r="H681" s="53"/>
    </row>
    <row r="682" spans="1:8">
      <c r="A682" s="27"/>
      <c r="B682" s="27"/>
      <c r="C682" s="28"/>
      <c r="D682" s="28"/>
      <c r="E682" s="53"/>
      <c r="F682" s="53"/>
      <c r="G682" s="53"/>
      <c r="H682" s="53"/>
    </row>
    <row r="683" spans="1:8">
      <c r="A683" s="27"/>
      <c r="B683" s="27"/>
      <c r="C683" s="28"/>
      <c r="D683" s="28"/>
      <c r="E683" s="53"/>
      <c r="F683" s="53"/>
      <c r="G683" s="53"/>
      <c r="H683" s="53"/>
    </row>
    <row r="684" spans="1:8">
      <c r="A684" s="27"/>
      <c r="B684" s="27"/>
      <c r="C684" s="28"/>
      <c r="D684" s="28"/>
      <c r="E684" s="53"/>
      <c r="F684" s="53"/>
      <c r="G684" s="53"/>
      <c r="H684" s="53"/>
    </row>
    <row r="685" spans="1:8">
      <c r="A685" s="27"/>
      <c r="B685" s="27"/>
      <c r="C685" s="28"/>
      <c r="D685" s="28"/>
      <c r="E685" s="53"/>
      <c r="F685" s="53"/>
      <c r="G685" s="53"/>
      <c r="H685" s="53"/>
    </row>
    <row r="686" spans="1:8">
      <c r="A686" s="27"/>
      <c r="B686" s="27"/>
      <c r="C686" s="28"/>
      <c r="D686" s="28"/>
      <c r="E686" s="53"/>
      <c r="F686" s="53"/>
      <c r="G686" s="53"/>
      <c r="H686" s="53"/>
    </row>
    <row r="687" spans="1:8">
      <c r="A687" s="27"/>
      <c r="B687" s="27"/>
      <c r="C687" s="28"/>
      <c r="D687" s="28"/>
      <c r="E687" s="53"/>
      <c r="F687" s="53"/>
      <c r="G687" s="53"/>
      <c r="H687" s="53"/>
    </row>
    <row r="688" spans="1:8">
      <c r="A688" s="27"/>
      <c r="B688" s="27"/>
      <c r="C688" s="28"/>
      <c r="D688" s="28"/>
      <c r="E688" s="53"/>
      <c r="F688" s="53"/>
      <c r="G688" s="53"/>
      <c r="H688" s="53"/>
    </row>
    <row r="689" spans="1:8">
      <c r="A689" s="27"/>
      <c r="B689" s="27"/>
      <c r="C689" s="28"/>
      <c r="D689" s="28"/>
      <c r="E689" s="53"/>
      <c r="F689" s="53"/>
      <c r="G689" s="53"/>
      <c r="H689" s="53"/>
    </row>
    <row r="690" spans="1:8">
      <c r="A690" s="27"/>
      <c r="B690" s="27"/>
      <c r="C690" s="28"/>
      <c r="D690" s="28"/>
      <c r="E690" s="53"/>
      <c r="F690" s="53"/>
      <c r="G690" s="53"/>
      <c r="H690" s="53"/>
    </row>
    <row r="691" spans="1:8">
      <c r="A691" s="27"/>
      <c r="B691" s="27"/>
      <c r="C691" s="28"/>
      <c r="D691" s="28"/>
      <c r="E691" s="53"/>
      <c r="F691" s="53"/>
      <c r="G691" s="53"/>
      <c r="H691" s="53"/>
    </row>
    <row r="692" spans="1:8">
      <c r="A692" s="27"/>
      <c r="B692" s="27"/>
      <c r="C692" s="28"/>
      <c r="D692" s="28"/>
      <c r="E692" s="53"/>
      <c r="F692" s="53"/>
      <c r="G692" s="53"/>
      <c r="H692" s="53"/>
    </row>
    <row r="693" spans="1:8">
      <c r="A693" s="27"/>
      <c r="B693" s="27"/>
      <c r="C693" s="28"/>
      <c r="D693" s="28"/>
      <c r="E693" s="53"/>
      <c r="F693" s="53"/>
      <c r="G693" s="53"/>
      <c r="H693" s="53"/>
    </row>
    <row r="694" spans="1:8">
      <c r="A694" s="27"/>
      <c r="B694" s="27"/>
      <c r="C694" s="28"/>
      <c r="D694" s="28"/>
      <c r="E694" s="53"/>
      <c r="F694" s="53"/>
      <c r="G694" s="53"/>
      <c r="H694" s="53"/>
    </row>
    <row r="695" spans="1:8">
      <c r="A695" s="27"/>
      <c r="B695" s="27"/>
      <c r="C695" s="28"/>
      <c r="D695" s="28"/>
      <c r="E695" s="53"/>
      <c r="F695" s="53"/>
      <c r="G695" s="53"/>
      <c r="H695" s="53"/>
    </row>
    <row r="696" spans="1:8">
      <c r="A696" s="27"/>
      <c r="B696" s="27"/>
      <c r="C696" s="28"/>
      <c r="D696" s="28"/>
      <c r="E696" s="53"/>
      <c r="F696" s="53"/>
      <c r="G696" s="53"/>
      <c r="H696" s="53"/>
    </row>
    <row r="697" spans="1:8">
      <c r="A697" s="27"/>
      <c r="B697" s="27"/>
      <c r="C697" s="28"/>
      <c r="D697" s="28"/>
      <c r="E697" s="53"/>
      <c r="F697" s="53"/>
      <c r="G697" s="53"/>
      <c r="H697" s="53"/>
    </row>
    <row r="698" spans="1:8">
      <c r="A698" s="27"/>
      <c r="B698" s="27"/>
      <c r="C698" s="28"/>
      <c r="D698" s="28"/>
      <c r="E698" s="53"/>
      <c r="F698" s="53"/>
      <c r="G698" s="53"/>
      <c r="H698" s="53"/>
    </row>
    <row r="699" spans="1:8">
      <c r="A699" s="27"/>
      <c r="B699" s="27"/>
      <c r="C699" s="28"/>
      <c r="D699" s="28"/>
      <c r="E699" s="53"/>
      <c r="F699" s="53"/>
      <c r="G699" s="53"/>
      <c r="H699" s="53"/>
    </row>
    <row r="700" spans="1:8">
      <c r="A700" s="27"/>
      <c r="B700" s="27"/>
      <c r="C700" s="28"/>
      <c r="D700" s="28"/>
      <c r="E700" s="53"/>
      <c r="F700" s="53"/>
      <c r="G700" s="53"/>
      <c r="H700" s="53"/>
    </row>
    <row r="701" spans="1:8">
      <c r="A701" s="27"/>
      <c r="B701" s="27"/>
      <c r="C701" s="28"/>
      <c r="D701" s="28"/>
      <c r="E701" s="53"/>
      <c r="F701" s="53"/>
      <c r="G701" s="53"/>
      <c r="H701" s="53"/>
    </row>
    <row r="702" spans="1:8">
      <c r="A702" s="27"/>
      <c r="B702" s="27"/>
      <c r="C702" s="28"/>
      <c r="D702" s="28"/>
      <c r="E702" s="53"/>
      <c r="F702" s="53"/>
      <c r="G702" s="53"/>
      <c r="H702" s="53"/>
    </row>
    <row r="703" spans="1:8">
      <c r="A703" s="27"/>
      <c r="B703" s="27"/>
      <c r="C703" s="28"/>
      <c r="D703" s="28"/>
      <c r="E703" s="53"/>
      <c r="F703" s="53"/>
      <c r="G703" s="53"/>
      <c r="H703" s="53"/>
    </row>
    <row r="704" spans="1:8">
      <c r="A704" s="27"/>
      <c r="B704" s="27"/>
      <c r="C704" s="28"/>
      <c r="D704" s="28"/>
      <c r="E704" s="53"/>
      <c r="F704" s="53"/>
      <c r="G704" s="53"/>
      <c r="H704" s="53"/>
    </row>
    <row r="705" spans="1:8">
      <c r="A705" s="27"/>
      <c r="B705" s="27"/>
      <c r="C705" s="28"/>
      <c r="D705" s="28"/>
      <c r="E705" s="53"/>
      <c r="F705" s="53"/>
      <c r="G705" s="53"/>
      <c r="H705" s="53"/>
    </row>
    <row r="706" spans="1:8">
      <c r="A706" s="27"/>
      <c r="B706" s="27"/>
      <c r="C706" s="28"/>
      <c r="D706" s="28"/>
      <c r="E706" s="53"/>
      <c r="F706" s="53"/>
      <c r="G706" s="53"/>
      <c r="H706" s="53"/>
    </row>
    <row r="707" spans="1:8">
      <c r="A707" s="27"/>
      <c r="B707" s="27"/>
      <c r="C707" s="28"/>
      <c r="D707" s="28"/>
      <c r="E707" s="53"/>
      <c r="F707" s="53"/>
      <c r="G707" s="53"/>
      <c r="H707" s="53"/>
    </row>
    <row r="708" spans="1:8">
      <c r="A708" s="27"/>
      <c r="B708" s="27"/>
      <c r="C708" s="28"/>
      <c r="D708" s="28"/>
      <c r="E708" s="53"/>
      <c r="F708" s="53"/>
      <c r="G708" s="53"/>
      <c r="H708" s="53"/>
    </row>
    <row r="709" spans="1:8">
      <c r="A709" s="27"/>
      <c r="B709" s="27"/>
      <c r="C709" s="28"/>
      <c r="D709" s="28"/>
      <c r="E709" s="53"/>
      <c r="F709" s="53"/>
      <c r="G709" s="53"/>
      <c r="H709" s="53"/>
    </row>
    <row r="710" spans="1:8">
      <c r="A710" s="27"/>
      <c r="B710" s="27"/>
      <c r="C710" s="28"/>
      <c r="D710" s="28"/>
      <c r="E710" s="53"/>
      <c r="F710" s="53"/>
      <c r="G710" s="53"/>
      <c r="H710" s="53"/>
    </row>
    <row r="711" spans="1:8">
      <c r="A711" s="27"/>
      <c r="B711" s="27"/>
      <c r="C711" s="28"/>
      <c r="D711" s="28"/>
      <c r="E711" s="53"/>
      <c r="F711" s="53"/>
      <c r="G711" s="53"/>
      <c r="H711" s="53"/>
    </row>
    <row r="712" spans="1:8">
      <c r="A712" s="27"/>
      <c r="B712" s="27"/>
      <c r="C712" s="28"/>
      <c r="D712" s="28"/>
      <c r="E712" s="53"/>
      <c r="F712" s="53"/>
      <c r="G712" s="53"/>
      <c r="H712" s="53"/>
    </row>
    <row r="713" spans="1:8">
      <c r="A713" s="27"/>
      <c r="B713" s="27"/>
      <c r="C713" s="28"/>
      <c r="D713" s="28"/>
      <c r="E713" s="53"/>
      <c r="F713" s="53"/>
      <c r="G713" s="53"/>
      <c r="H713" s="53"/>
    </row>
    <row r="714" spans="1:8">
      <c r="A714" s="27"/>
      <c r="B714" s="27"/>
      <c r="C714" s="28"/>
      <c r="D714" s="28"/>
      <c r="E714" s="53"/>
      <c r="F714" s="53"/>
      <c r="G714" s="53"/>
      <c r="H714" s="53"/>
    </row>
    <row r="715" spans="1:8">
      <c r="A715" s="27"/>
      <c r="B715" s="27"/>
      <c r="C715" s="28"/>
      <c r="D715" s="28"/>
      <c r="E715" s="53"/>
      <c r="F715" s="53"/>
      <c r="G715" s="53"/>
      <c r="H715" s="53"/>
    </row>
    <row r="716" spans="1:8">
      <c r="A716" s="27"/>
      <c r="B716" s="27"/>
      <c r="C716" s="28"/>
      <c r="D716" s="28"/>
      <c r="E716" s="53"/>
      <c r="F716" s="53"/>
      <c r="G716" s="53"/>
      <c r="H716" s="53"/>
    </row>
    <row r="717" spans="1:8">
      <c r="A717" s="27"/>
      <c r="B717" s="27"/>
      <c r="C717" s="28"/>
      <c r="D717" s="28"/>
      <c r="E717" s="53"/>
      <c r="F717" s="53"/>
      <c r="G717" s="53"/>
      <c r="H717" s="53"/>
    </row>
    <row r="718" spans="1:8">
      <c r="A718" s="27"/>
      <c r="B718" s="27"/>
      <c r="C718" s="28"/>
      <c r="D718" s="28"/>
      <c r="E718" s="53"/>
      <c r="F718" s="53"/>
      <c r="G718" s="53"/>
      <c r="H718" s="53"/>
    </row>
    <row r="719" spans="1:8">
      <c r="A719" s="27"/>
      <c r="B719" s="27"/>
      <c r="C719" s="28"/>
      <c r="D719" s="28"/>
      <c r="E719" s="53"/>
      <c r="F719" s="53"/>
      <c r="G719" s="53"/>
      <c r="H719" s="53"/>
    </row>
    <row r="720" spans="1:8">
      <c r="A720" s="27"/>
      <c r="B720" s="27"/>
      <c r="C720" s="28"/>
      <c r="D720" s="28"/>
      <c r="E720" s="53"/>
      <c r="F720" s="53"/>
      <c r="G720" s="53"/>
      <c r="H720" s="53"/>
    </row>
    <row r="721" spans="1:8">
      <c r="A721" s="27"/>
      <c r="B721" s="27"/>
      <c r="C721" s="28"/>
      <c r="D721" s="28"/>
      <c r="E721" s="53"/>
      <c r="F721" s="53"/>
      <c r="G721" s="53"/>
      <c r="H721" s="53"/>
    </row>
    <row r="722" spans="1:8">
      <c r="A722" s="27"/>
      <c r="B722" s="27"/>
      <c r="C722" s="28"/>
      <c r="D722" s="28"/>
      <c r="E722" s="53"/>
      <c r="F722" s="53"/>
      <c r="G722" s="53"/>
      <c r="H722" s="53"/>
    </row>
    <row r="723" spans="1:8">
      <c r="A723" s="27"/>
      <c r="B723" s="27"/>
      <c r="C723" s="28"/>
      <c r="D723" s="28"/>
      <c r="E723" s="53"/>
      <c r="F723" s="53"/>
      <c r="G723" s="53"/>
      <c r="H723" s="53"/>
    </row>
    <row r="724" spans="1:8">
      <c r="A724" s="27"/>
      <c r="B724" s="27"/>
      <c r="C724" s="28"/>
      <c r="D724" s="28"/>
      <c r="E724" s="53"/>
      <c r="F724" s="53"/>
      <c r="G724" s="53"/>
      <c r="H724" s="53"/>
    </row>
    <row r="725" spans="1:8">
      <c r="A725" s="27"/>
      <c r="B725" s="27"/>
      <c r="C725" s="28"/>
      <c r="D725" s="28"/>
      <c r="E725" s="53"/>
      <c r="F725" s="53"/>
      <c r="G725" s="53"/>
      <c r="H725" s="53"/>
    </row>
    <row r="726" spans="1:8">
      <c r="A726" s="27"/>
      <c r="B726" s="27"/>
      <c r="C726" s="28"/>
      <c r="D726" s="28"/>
      <c r="E726" s="53"/>
      <c r="F726" s="53"/>
      <c r="G726" s="53"/>
      <c r="H726" s="53"/>
    </row>
    <row r="727" spans="1:8">
      <c r="A727" s="27"/>
      <c r="B727" s="27"/>
      <c r="C727" s="28"/>
      <c r="D727" s="28"/>
      <c r="E727" s="53"/>
      <c r="F727" s="53"/>
      <c r="G727" s="53"/>
      <c r="H727" s="53"/>
    </row>
    <row r="728" spans="1:8">
      <c r="A728" s="27"/>
      <c r="B728" s="27"/>
      <c r="C728" s="28"/>
      <c r="D728" s="28"/>
      <c r="E728" s="53"/>
      <c r="F728" s="53"/>
      <c r="G728" s="53"/>
      <c r="H728" s="53"/>
    </row>
    <row r="729" spans="1:8">
      <c r="A729" s="27"/>
      <c r="B729" s="27"/>
      <c r="C729" s="28"/>
      <c r="D729" s="28"/>
      <c r="E729" s="53"/>
      <c r="F729" s="53"/>
      <c r="G729" s="53"/>
      <c r="H729" s="53"/>
    </row>
    <row r="730" spans="1:8">
      <c r="A730" s="27"/>
      <c r="B730" s="27"/>
      <c r="C730" s="28"/>
      <c r="D730" s="28"/>
      <c r="E730" s="53"/>
      <c r="F730" s="53"/>
      <c r="G730" s="53"/>
      <c r="H730" s="53"/>
    </row>
    <row r="731" spans="1:8">
      <c r="A731" s="27"/>
      <c r="B731" s="27"/>
      <c r="C731" s="28"/>
      <c r="D731" s="28"/>
      <c r="E731" s="53"/>
      <c r="F731" s="53"/>
      <c r="G731" s="53"/>
      <c r="H731" s="53"/>
    </row>
    <row r="732" spans="1:8">
      <c r="A732" s="27"/>
      <c r="B732" s="27"/>
      <c r="C732" s="28"/>
      <c r="D732" s="28"/>
      <c r="E732" s="53"/>
      <c r="F732" s="53"/>
      <c r="G732" s="53"/>
      <c r="H732" s="53"/>
    </row>
    <row r="733" spans="1:8">
      <c r="A733" s="27"/>
      <c r="B733" s="27"/>
      <c r="C733" s="28"/>
      <c r="D733" s="28"/>
      <c r="E733" s="53"/>
      <c r="F733" s="53"/>
      <c r="G733" s="53"/>
      <c r="H733" s="53"/>
    </row>
    <row r="734" spans="1:8">
      <c r="A734" s="27"/>
      <c r="B734" s="27"/>
      <c r="C734" s="28"/>
      <c r="D734" s="28"/>
      <c r="E734" s="53"/>
      <c r="F734" s="53"/>
      <c r="G734" s="53"/>
      <c r="H734" s="53"/>
    </row>
    <row r="735" spans="1:8">
      <c r="A735" s="27"/>
      <c r="B735" s="27"/>
      <c r="C735" s="28"/>
      <c r="D735" s="28"/>
      <c r="E735" s="53"/>
      <c r="F735" s="53"/>
      <c r="G735" s="53"/>
      <c r="H735" s="53"/>
    </row>
    <row r="736" spans="1:8">
      <c r="A736" s="27"/>
      <c r="B736" s="27"/>
      <c r="C736" s="28"/>
      <c r="D736" s="28"/>
      <c r="E736" s="53"/>
      <c r="F736" s="53"/>
      <c r="G736" s="53"/>
      <c r="H736" s="53"/>
    </row>
    <row r="737" spans="1:8">
      <c r="A737" s="27"/>
      <c r="B737" s="27"/>
      <c r="C737" s="28"/>
      <c r="D737" s="28"/>
      <c r="E737" s="53"/>
      <c r="F737" s="53"/>
      <c r="G737" s="53"/>
      <c r="H737" s="53"/>
    </row>
    <row r="738" spans="1:8">
      <c r="A738" s="27"/>
      <c r="B738" s="27"/>
      <c r="C738" s="28"/>
      <c r="D738" s="28"/>
      <c r="E738" s="53"/>
      <c r="F738" s="53"/>
      <c r="G738" s="53"/>
      <c r="H738" s="53"/>
    </row>
    <row r="739" spans="1:8">
      <c r="A739" s="27"/>
      <c r="B739" s="27"/>
      <c r="C739" s="28"/>
      <c r="D739" s="28"/>
      <c r="E739" s="53"/>
      <c r="F739" s="53"/>
      <c r="G739" s="53"/>
      <c r="H739" s="53"/>
    </row>
    <row r="740" spans="1:8">
      <c r="A740" s="27"/>
      <c r="B740" s="27"/>
      <c r="C740" s="28"/>
      <c r="D740" s="28"/>
      <c r="E740" s="53"/>
      <c r="F740" s="53"/>
      <c r="G740" s="53"/>
      <c r="H740" s="53"/>
    </row>
    <row r="741" spans="1:8">
      <c r="A741" s="27"/>
      <c r="B741" s="27"/>
      <c r="C741" s="28"/>
      <c r="D741" s="28"/>
      <c r="E741" s="53"/>
      <c r="F741" s="53"/>
      <c r="G741" s="53"/>
      <c r="H741" s="53"/>
    </row>
    <row r="742" spans="1:8">
      <c r="A742" s="27"/>
      <c r="B742" s="27"/>
      <c r="C742" s="28"/>
      <c r="D742" s="28"/>
      <c r="E742" s="53"/>
      <c r="F742" s="53"/>
      <c r="G742" s="53"/>
      <c r="H742" s="53"/>
    </row>
    <row r="743" spans="1:8">
      <c r="A743" s="27"/>
      <c r="B743" s="27"/>
      <c r="C743" s="28"/>
      <c r="D743" s="28"/>
      <c r="E743" s="53"/>
      <c r="F743" s="53"/>
      <c r="G743" s="53"/>
      <c r="H743" s="53"/>
    </row>
    <row r="744" spans="1:8">
      <c r="A744" s="27"/>
      <c r="B744" s="27"/>
      <c r="C744" s="28"/>
      <c r="D744" s="28"/>
      <c r="E744" s="53"/>
      <c r="F744" s="53"/>
      <c r="G744" s="53"/>
      <c r="H744" s="53"/>
    </row>
    <row r="745" spans="1:8">
      <c r="A745" s="27"/>
      <c r="B745" s="27"/>
      <c r="C745" s="28"/>
      <c r="D745" s="28"/>
      <c r="E745" s="53"/>
      <c r="F745" s="53"/>
      <c r="G745" s="53"/>
      <c r="H745" s="53"/>
    </row>
    <row r="746" spans="1:8">
      <c r="A746" s="27"/>
      <c r="B746" s="27"/>
      <c r="C746" s="28"/>
      <c r="D746" s="28"/>
      <c r="E746" s="53"/>
      <c r="F746" s="53"/>
      <c r="G746" s="53"/>
      <c r="H746" s="53"/>
    </row>
    <row r="747" spans="1:8">
      <c r="A747" s="27"/>
      <c r="B747" s="27"/>
      <c r="C747" s="28"/>
      <c r="D747" s="28"/>
      <c r="E747" s="53"/>
      <c r="F747" s="53"/>
      <c r="G747" s="53"/>
      <c r="H747" s="53"/>
    </row>
    <row r="748" spans="1:8">
      <c r="A748" s="27"/>
      <c r="B748" s="27"/>
      <c r="C748" s="28"/>
      <c r="D748" s="28"/>
      <c r="E748" s="53"/>
      <c r="F748" s="53"/>
      <c r="G748" s="53"/>
      <c r="H748" s="53"/>
    </row>
    <row r="749" spans="1:8">
      <c r="A749" s="27"/>
      <c r="B749" s="27"/>
      <c r="C749" s="28"/>
      <c r="D749" s="28"/>
      <c r="E749" s="53"/>
      <c r="F749" s="53"/>
      <c r="G749" s="53"/>
      <c r="H749" s="53"/>
    </row>
    <row r="750" spans="1:8">
      <c r="A750" s="27"/>
      <c r="B750" s="27"/>
      <c r="C750" s="28"/>
      <c r="D750" s="28"/>
      <c r="E750" s="53"/>
      <c r="F750" s="53"/>
      <c r="G750" s="53"/>
      <c r="H750" s="53"/>
    </row>
    <row r="751" spans="1:8">
      <c r="A751" s="27"/>
      <c r="B751" s="27"/>
      <c r="C751" s="28"/>
      <c r="D751" s="28"/>
      <c r="E751" s="53"/>
      <c r="F751" s="53"/>
      <c r="G751" s="53"/>
      <c r="H751" s="53"/>
    </row>
    <row r="752" spans="1:8">
      <c r="A752" s="27"/>
      <c r="B752" s="27"/>
      <c r="C752" s="28"/>
      <c r="D752" s="28"/>
      <c r="E752" s="53"/>
      <c r="F752" s="53"/>
      <c r="G752" s="53"/>
      <c r="H752" s="53"/>
    </row>
    <row r="753" spans="1:8">
      <c r="A753" s="27"/>
      <c r="B753" s="27"/>
      <c r="C753" s="28"/>
      <c r="D753" s="28"/>
      <c r="E753" s="53"/>
      <c r="F753" s="53"/>
      <c r="G753" s="53"/>
      <c r="H753" s="53"/>
    </row>
    <row r="754" spans="1:8">
      <c r="A754" s="27"/>
      <c r="B754" s="27"/>
      <c r="C754" s="28"/>
      <c r="D754" s="28"/>
      <c r="E754" s="53"/>
      <c r="F754" s="53"/>
      <c r="G754" s="53"/>
      <c r="H754" s="53"/>
    </row>
    <row r="755" spans="1:8">
      <c r="A755" s="27"/>
      <c r="B755" s="27"/>
      <c r="C755" s="28"/>
      <c r="D755" s="28"/>
      <c r="E755" s="53"/>
      <c r="F755" s="53"/>
      <c r="G755" s="53"/>
      <c r="H755" s="53"/>
    </row>
    <row r="756" spans="1:8">
      <c r="A756" s="27"/>
      <c r="B756" s="27"/>
      <c r="C756" s="28"/>
      <c r="D756" s="28"/>
      <c r="E756" s="53"/>
      <c r="F756" s="53"/>
      <c r="G756" s="53"/>
      <c r="H756" s="53"/>
    </row>
    <row r="757" spans="1:8">
      <c r="A757" s="27"/>
      <c r="B757" s="27"/>
      <c r="C757" s="28"/>
      <c r="D757" s="28"/>
      <c r="E757" s="53"/>
      <c r="F757" s="53"/>
      <c r="G757" s="53"/>
      <c r="H757" s="53"/>
    </row>
    <row r="758" spans="1:8">
      <c r="A758" s="27"/>
      <c r="B758" s="27"/>
      <c r="C758" s="28"/>
      <c r="D758" s="28"/>
      <c r="E758" s="53"/>
      <c r="F758" s="53"/>
      <c r="G758" s="53"/>
      <c r="H758" s="53"/>
    </row>
    <row r="759" spans="1:8">
      <c r="A759" s="27"/>
      <c r="B759" s="27"/>
      <c r="C759" s="28"/>
      <c r="D759" s="28"/>
      <c r="E759" s="53"/>
      <c r="F759" s="53"/>
      <c r="G759" s="53"/>
      <c r="H759" s="53"/>
    </row>
    <row r="760" spans="1:8">
      <c r="A760" s="27"/>
      <c r="B760" s="27"/>
      <c r="C760" s="28"/>
      <c r="D760" s="28"/>
      <c r="E760" s="53"/>
      <c r="F760" s="53"/>
      <c r="G760" s="53"/>
      <c r="H760" s="53"/>
    </row>
    <row r="761" spans="1:8">
      <c r="A761" s="27"/>
      <c r="B761" s="27"/>
      <c r="C761" s="28"/>
      <c r="D761" s="28"/>
      <c r="E761" s="53"/>
      <c r="F761" s="53"/>
      <c r="G761" s="53"/>
      <c r="H761" s="53"/>
    </row>
    <row r="762" spans="1:8">
      <c r="A762" s="27"/>
      <c r="B762" s="27"/>
      <c r="C762" s="28"/>
      <c r="D762" s="28"/>
      <c r="E762" s="53"/>
      <c r="F762" s="53"/>
      <c r="G762" s="53"/>
      <c r="H762" s="53"/>
    </row>
    <row r="763" spans="1:8">
      <c r="A763" s="27"/>
      <c r="B763" s="27"/>
      <c r="C763" s="28"/>
      <c r="D763" s="28"/>
      <c r="E763" s="53"/>
      <c r="F763" s="53"/>
      <c r="G763" s="53"/>
      <c r="H763" s="53"/>
    </row>
    <row r="764" spans="1:8">
      <c r="A764" s="27"/>
      <c r="B764" s="27"/>
      <c r="C764" s="28"/>
      <c r="D764" s="28"/>
      <c r="E764" s="53"/>
      <c r="F764" s="53"/>
      <c r="G764" s="53"/>
      <c r="H764" s="53"/>
    </row>
    <row r="765" spans="1:8">
      <c r="A765" s="27"/>
      <c r="B765" s="27"/>
      <c r="C765" s="28"/>
      <c r="D765" s="28"/>
      <c r="E765" s="53"/>
      <c r="F765" s="53"/>
      <c r="G765" s="53"/>
      <c r="H765" s="53"/>
    </row>
    <row r="766" spans="1:8">
      <c r="A766" s="27"/>
      <c r="B766" s="27"/>
      <c r="C766" s="28"/>
      <c r="D766" s="28"/>
      <c r="E766" s="53"/>
      <c r="F766" s="53"/>
      <c r="G766" s="53"/>
      <c r="H766" s="53"/>
    </row>
    <row r="767" spans="1:8">
      <c r="A767" s="27"/>
      <c r="B767" s="27"/>
      <c r="C767" s="28"/>
      <c r="D767" s="28"/>
      <c r="E767" s="53"/>
      <c r="F767" s="53"/>
      <c r="G767" s="53"/>
      <c r="H767" s="53"/>
    </row>
    <row r="768" spans="1:8">
      <c r="A768" s="27"/>
      <c r="B768" s="27"/>
      <c r="C768" s="28"/>
      <c r="D768" s="28"/>
      <c r="E768" s="53"/>
      <c r="F768" s="53"/>
      <c r="G768" s="53"/>
      <c r="H768" s="53"/>
    </row>
    <row r="769" spans="1:8">
      <c r="A769" s="27"/>
      <c r="B769" s="27"/>
      <c r="C769" s="28"/>
      <c r="D769" s="28"/>
      <c r="E769" s="53"/>
      <c r="F769" s="53"/>
      <c r="G769" s="53"/>
      <c r="H769" s="53"/>
    </row>
    <row r="770" spans="1:8">
      <c r="A770" s="27"/>
      <c r="B770" s="27"/>
      <c r="C770" s="28"/>
      <c r="D770" s="28"/>
      <c r="E770" s="53"/>
      <c r="F770" s="53"/>
      <c r="G770" s="53"/>
      <c r="H770" s="53"/>
    </row>
    <row r="771" spans="1:8">
      <c r="A771" s="27"/>
      <c r="B771" s="27"/>
      <c r="C771" s="28"/>
      <c r="D771" s="28"/>
      <c r="E771" s="53"/>
      <c r="F771" s="53"/>
      <c r="G771" s="53"/>
      <c r="H771" s="53"/>
    </row>
    <row r="772" spans="1:8">
      <c r="A772" s="27"/>
      <c r="B772" s="27"/>
      <c r="C772" s="28"/>
      <c r="D772" s="28"/>
      <c r="E772" s="53"/>
      <c r="F772" s="53"/>
      <c r="G772" s="53"/>
      <c r="H772" s="53"/>
    </row>
    <row r="773" spans="1:8">
      <c r="A773" s="27"/>
      <c r="B773" s="27"/>
      <c r="C773" s="28"/>
      <c r="D773" s="28"/>
      <c r="E773" s="53"/>
      <c r="F773" s="53"/>
      <c r="G773" s="53"/>
      <c r="H773" s="53"/>
    </row>
    <row r="774" spans="1:8">
      <c r="A774" s="27"/>
      <c r="B774" s="27"/>
      <c r="C774" s="28"/>
      <c r="D774" s="28"/>
      <c r="E774" s="53"/>
      <c r="F774" s="53"/>
      <c r="G774" s="53"/>
      <c r="H774" s="53"/>
    </row>
    <row r="775" spans="1:8">
      <c r="A775" s="27"/>
      <c r="B775" s="27"/>
      <c r="C775" s="28"/>
      <c r="D775" s="28"/>
      <c r="E775" s="53"/>
      <c r="F775" s="53"/>
      <c r="G775" s="53"/>
      <c r="H775" s="53"/>
    </row>
    <row r="776" spans="1:8">
      <c r="A776" s="27"/>
      <c r="B776" s="27"/>
      <c r="C776" s="28"/>
      <c r="D776" s="28"/>
      <c r="E776" s="53"/>
      <c r="F776" s="53"/>
      <c r="G776" s="53"/>
      <c r="H776" s="53"/>
    </row>
    <row r="777" spans="1:8">
      <c r="A777" s="27"/>
      <c r="B777" s="27"/>
      <c r="C777" s="28"/>
      <c r="D777" s="28"/>
      <c r="E777" s="53"/>
      <c r="F777" s="53"/>
      <c r="G777" s="53"/>
      <c r="H777" s="53"/>
    </row>
    <row r="778" spans="1:8">
      <c r="A778" s="27"/>
      <c r="B778" s="27"/>
      <c r="C778" s="28"/>
      <c r="D778" s="28"/>
      <c r="E778" s="53"/>
      <c r="F778" s="53"/>
      <c r="G778" s="53"/>
      <c r="H778" s="53"/>
    </row>
    <row r="779" spans="1:8">
      <c r="A779" s="27"/>
      <c r="B779" s="27"/>
      <c r="C779" s="28"/>
      <c r="D779" s="28"/>
      <c r="E779" s="53"/>
      <c r="F779" s="53"/>
      <c r="G779" s="53"/>
      <c r="H779" s="53"/>
    </row>
    <row r="780" spans="1:8">
      <c r="A780" s="27"/>
      <c r="B780" s="27"/>
      <c r="C780" s="28"/>
      <c r="D780" s="28"/>
      <c r="E780" s="53"/>
      <c r="F780" s="53"/>
      <c r="G780" s="53"/>
      <c r="H780" s="53"/>
    </row>
    <row r="781" spans="1:8">
      <c r="A781" s="27"/>
      <c r="B781" s="27"/>
      <c r="C781" s="28"/>
      <c r="D781" s="28"/>
      <c r="E781" s="53"/>
      <c r="F781" s="53"/>
      <c r="G781" s="53"/>
      <c r="H781" s="53"/>
    </row>
    <row r="782" spans="1:8">
      <c r="A782" s="27"/>
      <c r="B782" s="27"/>
      <c r="C782" s="28"/>
      <c r="D782" s="28"/>
      <c r="E782" s="53"/>
      <c r="F782" s="53"/>
      <c r="G782" s="53"/>
      <c r="H782" s="53"/>
    </row>
    <row r="783" spans="1:8">
      <c r="A783" s="27"/>
      <c r="B783" s="27"/>
      <c r="C783" s="28"/>
      <c r="D783" s="28"/>
      <c r="E783" s="53"/>
      <c r="F783" s="53"/>
      <c r="G783" s="53"/>
      <c r="H783" s="53"/>
    </row>
    <row r="784" spans="1:8">
      <c r="A784" s="27"/>
      <c r="B784" s="27"/>
      <c r="C784" s="28"/>
      <c r="D784" s="28"/>
      <c r="E784" s="53"/>
      <c r="F784" s="53"/>
      <c r="G784" s="53"/>
      <c r="H784" s="53"/>
    </row>
    <row r="785" spans="1:8">
      <c r="A785" s="27"/>
      <c r="B785" s="27"/>
      <c r="C785" s="28"/>
      <c r="D785" s="28"/>
      <c r="E785" s="53"/>
      <c r="F785" s="53"/>
      <c r="G785" s="53"/>
      <c r="H785" s="53"/>
    </row>
    <row r="786" spans="1:8">
      <c r="A786" s="27"/>
      <c r="B786" s="27"/>
      <c r="C786" s="28"/>
      <c r="D786" s="28"/>
      <c r="E786" s="53"/>
      <c r="F786" s="53"/>
      <c r="G786" s="53"/>
      <c r="H786" s="53"/>
    </row>
    <row r="787" spans="1:8">
      <c r="A787" s="27"/>
      <c r="B787" s="27"/>
      <c r="C787" s="28"/>
      <c r="D787" s="28"/>
      <c r="E787" s="53"/>
      <c r="F787" s="53"/>
      <c r="G787" s="53"/>
      <c r="H787" s="53"/>
    </row>
    <row r="788" spans="1:8">
      <c r="A788" s="27"/>
      <c r="B788" s="27"/>
      <c r="C788" s="28"/>
      <c r="D788" s="28"/>
      <c r="E788" s="53"/>
      <c r="F788" s="53"/>
      <c r="G788" s="53"/>
      <c r="H788" s="53"/>
    </row>
    <row r="789" spans="1:8">
      <c r="A789" s="27"/>
      <c r="B789" s="27"/>
      <c r="C789" s="28"/>
      <c r="D789" s="28"/>
      <c r="E789" s="53"/>
      <c r="F789" s="53"/>
      <c r="G789" s="53"/>
      <c r="H789" s="53"/>
    </row>
    <row r="790" spans="1:8">
      <c r="A790" s="27"/>
      <c r="B790" s="27"/>
      <c r="C790" s="28"/>
      <c r="D790" s="28"/>
      <c r="E790" s="53"/>
      <c r="F790" s="53"/>
      <c r="G790" s="53"/>
      <c r="H790" s="53"/>
    </row>
    <row r="791" spans="1:8">
      <c r="A791" s="27"/>
      <c r="B791" s="27"/>
      <c r="C791" s="28"/>
      <c r="D791" s="28"/>
      <c r="E791" s="53"/>
      <c r="F791" s="53"/>
      <c r="G791" s="53"/>
      <c r="H791" s="53"/>
    </row>
    <row r="792" spans="1:8">
      <c r="A792" s="27"/>
      <c r="B792" s="27"/>
      <c r="C792" s="28"/>
      <c r="D792" s="28"/>
      <c r="E792" s="53"/>
      <c r="F792" s="53"/>
      <c r="G792" s="53"/>
      <c r="H792" s="53"/>
    </row>
    <row r="793" spans="1:8">
      <c r="A793" s="27"/>
      <c r="B793" s="27"/>
      <c r="C793" s="28"/>
      <c r="D793" s="28"/>
      <c r="E793" s="53"/>
      <c r="F793" s="53"/>
      <c r="G793" s="53"/>
      <c r="H793" s="53"/>
    </row>
    <row r="794" spans="1:8">
      <c r="A794" s="27"/>
      <c r="B794" s="27"/>
      <c r="C794" s="28"/>
      <c r="D794" s="28"/>
      <c r="E794" s="53"/>
      <c r="F794" s="53"/>
      <c r="G794" s="53"/>
      <c r="H794" s="53"/>
    </row>
    <row r="795" spans="1:8">
      <c r="A795" s="27"/>
      <c r="B795" s="27"/>
      <c r="C795" s="28"/>
      <c r="D795" s="28"/>
      <c r="E795" s="53"/>
      <c r="F795" s="53"/>
      <c r="G795" s="53"/>
      <c r="H795" s="53"/>
    </row>
    <row r="796" spans="1:8">
      <c r="A796" s="27"/>
      <c r="B796" s="27"/>
      <c r="C796" s="28"/>
      <c r="D796" s="28"/>
      <c r="E796" s="53"/>
      <c r="F796" s="53"/>
      <c r="G796" s="53"/>
      <c r="H796" s="53"/>
    </row>
    <row r="797" spans="1:8">
      <c r="A797" s="27"/>
      <c r="B797" s="27"/>
      <c r="C797" s="28"/>
      <c r="D797" s="28"/>
      <c r="E797" s="53"/>
      <c r="F797" s="53"/>
      <c r="G797" s="53"/>
      <c r="H797" s="53"/>
    </row>
    <row r="798" spans="1:8">
      <c r="A798" s="27"/>
      <c r="B798" s="27"/>
      <c r="C798" s="28"/>
      <c r="D798" s="28"/>
      <c r="E798" s="53"/>
      <c r="F798" s="53"/>
      <c r="G798" s="53"/>
      <c r="H798" s="53"/>
    </row>
    <row r="799" spans="1:8">
      <c r="A799" s="27"/>
      <c r="B799" s="27"/>
      <c r="C799" s="28"/>
      <c r="D799" s="28"/>
      <c r="E799" s="53"/>
      <c r="F799" s="53"/>
      <c r="G799" s="53"/>
      <c r="H799" s="53"/>
    </row>
    <row r="800" spans="1:8">
      <c r="A800" s="27"/>
      <c r="B800" s="27"/>
      <c r="C800" s="28"/>
      <c r="D800" s="28"/>
      <c r="E800" s="53"/>
      <c r="F800" s="53"/>
      <c r="G800" s="53"/>
      <c r="H800" s="53"/>
    </row>
    <row r="801" spans="1:8">
      <c r="A801" s="27"/>
      <c r="B801" s="27"/>
      <c r="C801" s="28"/>
      <c r="D801" s="28"/>
      <c r="E801" s="53"/>
      <c r="F801" s="53"/>
      <c r="G801" s="53"/>
      <c r="H801" s="53"/>
    </row>
    <row r="802" spans="1:8">
      <c r="A802" s="27"/>
      <c r="B802" s="27"/>
      <c r="C802" s="28"/>
      <c r="D802" s="28"/>
      <c r="E802" s="53"/>
      <c r="F802" s="53"/>
      <c r="G802" s="53"/>
      <c r="H802" s="53"/>
    </row>
    <row r="803" spans="1:8">
      <c r="A803" s="27"/>
      <c r="B803" s="27"/>
      <c r="C803" s="28"/>
      <c r="D803" s="28"/>
      <c r="E803" s="53"/>
      <c r="F803" s="53"/>
      <c r="G803" s="53"/>
      <c r="H803" s="53"/>
    </row>
    <row r="804" spans="1:8">
      <c r="A804" s="27"/>
      <c r="B804" s="27"/>
      <c r="C804" s="28"/>
      <c r="D804" s="28"/>
      <c r="E804" s="53"/>
      <c r="F804" s="53"/>
      <c r="G804" s="53"/>
      <c r="H804" s="53"/>
    </row>
    <row r="805" spans="1:8">
      <c r="A805" s="27"/>
      <c r="B805" s="27"/>
      <c r="C805" s="28"/>
      <c r="D805" s="28"/>
      <c r="E805" s="53"/>
      <c r="F805" s="53"/>
      <c r="G805" s="53"/>
      <c r="H805" s="53"/>
    </row>
    <row r="806" spans="1:8">
      <c r="A806" s="27"/>
      <c r="B806" s="27"/>
      <c r="C806" s="28"/>
      <c r="D806" s="28"/>
      <c r="E806" s="53"/>
      <c r="F806" s="53"/>
      <c r="G806" s="53"/>
      <c r="H806" s="53"/>
    </row>
    <row r="807" spans="1:8">
      <c r="A807" s="27"/>
      <c r="B807" s="27"/>
      <c r="C807" s="28"/>
      <c r="D807" s="28"/>
      <c r="E807" s="53"/>
      <c r="F807" s="53"/>
      <c r="G807" s="53"/>
      <c r="H807" s="53"/>
    </row>
    <row r="808" spans="1:8">
      <c r="A808" s="27"/>
      <c r="B808" s="27"/>
      <c r="C808" s="28"/>
      <c r="D808" s="28"/>
      <c r="E808" s="53"/>
      <c r="F808" s="53"/>
      <c r="G808" s="53"/>
      <c r="H808" s="53"/>
    </row>
    <row r="809" spans="1:8">
      <c r="A809" s="27"/>
      <c r="B809" s="27"/>
      <c r="C809" s="28"/>
      <c r="D809" s="28"/>
      <c r="E809" s="53"/>
      <c r="F809" s="53"/>
      <c r="G809" s="53"/>
      <c r="H809" s="53"/>
    </row>
    <row r="810" spans="1:8">
      <c r="A810" s="27"/>
      <c r="B810" s="27"/>
      <c r="C810" s="28"/>
      <c r="D810" s="28"/>
      <c r="E810" s="53"/>
      <c r="F810" s="53"/>
      <c r="G810" s="53"/>
      <c r="H810" s="53"/>
    </row>
    <row r="811" spans="1:8">
      <c r="A811" s="27"/>
      <c r="B811" s="27"/>
      <c r="C811" s="28"/>
      <c r="D811" s="28"/>
      <c r="E811" s="53"/>
      <c r="F811" s="53"/>
      <c r="G811" s="53"/>
      <c r="H811" s="53"/>
    </row>
    <row r="812" spans="1:8">
      <c r="A812" s="27"/>
      <c r="B812" s="27"/>
      <c r="C812" s="28"/>
      <c r="D812" s="28"/>
      <c r="E812" s="53"/>
      <c r="F812" s="53"/>
      <c r="G812" s="53"/>
      <c r="H812" s="53"/>
    </row>
    <row r="813" spans="1:8">
      <c r="A813" s="27"/>
      <c r="B813" s="27"/>
      <c r="C813" s="28"/>
      <c r="D813" s="28"/>
      <c r="E813" s="53"/>
      <c r="F813" s="53"/>
      <c r="G813" s="53"/>
      <c r="H813" s="53"/>
    </row>
    <row r="814" spans="1:8">
      <c r="A814" s="27"/>
      <c r="B814" s="27"/>
      <c r="C814" s="28"/>
      <c r="D814" s="28"/>
      <c r="E814" s="53"/>
      <c r="F814" s="53"/>
      <c r="G814" s="53"/>
      <c r="H814" s="53"/>
    </row>
    <row r="815" spans="1:8">
      <c r="A815" s="27"/>
      <c r="B815" s="27"/>
      <c r="C815" s="28"/>
      <c r="D815" s="28"/>
      <c r="E815" s="53"/>
      <c r="F815" s="53"/>
      <c r="G815" s="53"/>
      <c r="H815" s="53"/>
    </row>
    <row r="816" spans="1:8">
      <c r="A816" s="27"/>
      <c r="B816" s="27"/>
      <c r="C816" s="28"/>
      <c r="D816" s="28"/>
      <c r="E816" s="53"/>
      <c r="F816" s="53"/>
      <c r="G816" s="53"/>
      <c r="H816" s="53"/>
    </row>
    <row r="817" spans="1:8">
      <c r="A817" s="27"/>
      <c r="B817" s="27"/>
      <c r="C817" s="28"/>
      <c r="D817" s="28"/>
      <c r="E817" s="53"/>
      <c r="F817" s="53"/>
      <c r="G817" s="53"/>
      <c r="H817" s="53"/>
    </row>
    <row r="818" spans="1:8">
      <c r="A818" s="27"/>
      <c r="B818" s="27"/>
      <c r="C818" s="28"/>
      <c r="D818" s="28"/>
      <c r="E818" s="53"/>
      <c r="F818" s="53"/>
      <c r="G818" s="53"/>
      <c r="H818" s="53"/>
    </row>
    <row r="819" spans="1:8">
      <c r="A819" s="27"/>
      <c r="B819" s="27"/>
      <c r="C819" s="28"/>
      <c r="D819" s="28"/>
      <c r="E819" s="53"/>
      <c r="F819" s="53"/>
      <c r="G819" s="53"/>
      <c r="H819" s="53"/>
    </row>
    <row r="820" spans="1:8">
      <c r="A820" s="27"/>
      <c r="B820" s="27"/>
      <c r="C820" s="28"/>
      <c r="D820" s="28"/>
      <c r="E820" s="53"/>
      <c r="F820" s="53"/>
      <c r="G820" s="53"/>
      <c r="H820" s="53"/>
    </row>
    <row r="821" spans="1:8">
      <c r="A821" s="27"/>
      <c r="B821" s="27"/>
      <c r="C821" s="28"/>
      <c r="D821" s="28"/>
      <c r="E821" s="53"/>
      <c r="F821" s="53"/>
      <c r="G821" s="53"/>
      <c r="H821" s="53"/>
    </row>
    <row r="822" spans="1:8">
      <c r="A822" s="27"/>
      <c r="B822" s="27"/>
      <c r="C822" s="28"/>
      <c r="D822" s="28"/>
      <c r="E822" s="53"/>
      <c r="F822" s="53"/>
      <c r="G822" s="53"/>
      <c r="H822" s="53"/>
    </row>
    <row r="823" spans="1:8">
      <c r="A823" s="27"/>
      <c r="B823" s="27"/>
      <c r="C823" s="28"/>
      <c r="D823" s="28"/>
      <c r="E823" s="53"/>
      <c r="F823" s="53"/>
      <c r="G823" s="53"/>
      <c r="H823" s="53"/>
    </row>
    <row r="824" spans="1:8">
      <c r="A824" s="27"/>
      <c r="B824" s="27"/>
      <c r="C824" s="28"/>
      <c r="D824" s="28"/>
      <c r="E824" s="53"/>
      <c r="F824" s="53"/>
      <c r="G824" s="53"/>
      <c r="H824" s="53"/>
    </row>
    <row r="825" spans="1:8">
      <c r="A825" s="27"/>
      <c r="B825" s="27"/>
      <c r="C825" s="28"/>
      <c r="D825" s="28"/>
      <c r="E825" s="53"/>
      <c r="F825" s="53"/>
      <c r="G825" s="53"/>
      <c r="H825" s="53"/>
    </row>
    <row r="826" spans="1:8">
      <c r="A826" s="27"/>
      <c r="B826" s="27"/>
      <c r="C826" s="28"/>
      <c r="D826" s="28"/>
      <c r="E826" s="53"/>
      <c r="F826" s="53"/>
      <c r="G826" s="53"/>
      <c r="H826" s="53"/>
    </row>
    <row r="827" spans="1:8">
      <c r="A827" s="27"/>
      <c r="B827" s="27"/>
      <c r="C827" s="28"/>
      <c r="D827" s="28"/>
      <c r="E827" s="53"/>
      <c r="F827" s="53"/>
      <c r="G827" s="53"/>
      <c r="H827" s="53"/>
    </row>
    <row r="828" spans="1:8">
      <c r="A828" s="27"/>
      <c r="B828" s="27"/>
      <c r="C828" s="28"/>
      <c r="D828" s="28"/>
      <c r="E828" s="53"/>
      <c r="F828" s="53"/>
      <c r="G828" s="53"/>
      <c r="H828" s="53"/>
    </row>
    <row r="829" spans="1:8">
      <c r="A829" s="27"/>
      <c r="B829" s="27"/>
      <c r="C829" s="28"/>
      <c r="D829" s="28"/>
      <c r="E829" s="53"/>
      <c r="F829" s="53"/>
      <c r="G829" s="53"/>
      <c r="H829" s="53"/>
    </row>
    <row r="830" spans="1:8">
      <c r="A830" s="27"/>
      <c r="B830" s="27"/>
      <c r="C830" s="28"/>
      <c r="D830" s="28"/>
      <c r="E830" s="53"/>
      <c r="F830" s="53"/>
      <c r="G830" s="53"/>
      <c r="H830" s="53"/>
    </row>
    <row r="831" spans="1:8">
      <c r="A831" s="27"/>
      <c r="B831" s="27"/>
      <c r="C831" s="28"/>
      <c r="D831" s="28"/>
      <c r="E831" s="53"/>
      <c r="F831" s="53"/>
      <c r="G831" s="53"/>
      <c r="H831" s="53"/>
    </row>
    <row r="832" spans="1:8">
      <c r="A832" s="27"/>
      <c r="B832" s="27"/>
      <c r="C832" s="28"/>
      <c r="D832" s="28"/>
      <c r="E832" s="53"/>
      <c r="F832" s="53"/>
      <c r="G832" s="53"/>
      <c r="H832" s="53"/>
    </row>
    <row r="833" spans="1:8">
      <c r="A833" s="27"/>
      <c r="B833" s="27"/>
      <c r="C833" s="28"/>
      <c r="D833" s="28"/>
      <c r="E833" s="53"/>
      <c r="F833" s="53"/>
      <c r="G833" s="53"/>
      <c r="H833" s="53"/>
    </row>
    <row r="834" spans="1:8">
      <c r="A834" s="27"/>
      <c r="B834" s="27"/>
      <c r="C834" s="28"/>
      <c r="D834" s="28"/>
      <c r="E834" s="53"/>
      <c r="F834" s="53"/>
      <c r="G834" s="53"/>
      <c r="H834" s="53"/>
    </row>
    <row r="835" spans="1:8">
      <c r="A835" s="27"/>
      <c r="B835" s="27"/>
      <c r="C835" s="28"/>
      <c r="D835" s="28"/>
      <c r="E835" s="53"/>
      <c r="F835" s="53"/>
      <c r="G835" s="53"/>
      <c r="H835" s="53"/>
    </row>
    <row r="836" spans="1:8">
      <c r="A836" s="27"/>
      <c r="B836" s="27"/>
      <c r="C836" s="28"/>
      <c r="D836" s="28"/>
      <c r="E836" s="53"/>
      <c r="F836" s="53"/>
      <c r="G836" s="53"/>
      <c r="H836" s="53"/>
    </row>
    <row r="837" spans="1:8">
      <c r="A837" s="27"/>
      <c r="B837" s="27"/>
      <c r="C837" s="28"/>
      <c r="D837" s="28"/>
      <c r="E837" s="53"/>
      <c r="F837" s="53"/>
      <c r="G837" s="53"/>
      <c r="H837" s="53"/>
    </row>
    <row r="838" spans="1:8">
      <c r="A838" s="27"/>
      <c r="B838" s="27"/>
      <c r="C838" s="28"/>
      <c r="D838" s="28"/>
      <c r="E838" s="53"/>
      <c r="F838" s="53"/>
      <c r="G838" s="53"/>
      <c r="H838" s="53"/>
    </row>
    <row r="839" spans="1:8">
      <c r="A839" s="27"/>
      <c r="B839" s="27"/>
      <c r="C839" s="28"/>
      <c r="D839" s="28"/>
      <c r="E839" s="53"/>
      <c r="F839" s="53"/>
      <c r="G839" s="53"/>
      <c r="H839" s="53"/>
    </row>
    <row r="840" spans="1:8">
      <c r="A840" s="27"/>
      <c r="B840" s="27"/>
      <c r="C840" s="28"/>
      <c r="D840" s="28"/>
      <c r="E840" s="53"/>
      <c r="F840" s="53"/>
      <c r="G840" s="53"/>
      <c r="H840" s="53"/>
    </row>
    <row r="841" spans="1:8">
      <c r="A841" s="27"/>
      <c r="B841" s="27"/>
      <c r="C841" s="28"/>
      <c r="D841" s="28"/>
      <c r="E841" s="53"/>
      <c r="F841" s="53"/>
      <c r="G841" s="53"/>
      <c r="H841" s="53"/>
    </row>
    <row r="842" spans="1:8">
      <c r="A842" s="27"/>
      <c r="B842" s="27"/>
      <c r="C842" s="28"/>
      <c r="D842" s="28"/>
      <c r="E842" s="53"/>
      <c r="F842" s="53"/>
      <c r="G842" s="53"/>
      <c r="H842" s="53"/>
    </row>
    <row r="843" spans="1:8">
      <c r="A843" s="27"/>
      <c r="B843" s="27"/>
      <c r="C843" s="28"/>
      <c r="D843" s="28"/>
      <c r="E843" s="53"/>
      <c r="F843" s="53"/>
      <c r="G843" s="53"/>
      <c r="H843" s="53"/>
    </row>
    <row r="844" spans="1:8">
      <c r="A844" s="27"/>
      <c r="B844" s="27"/>
      <c r="C844" s="28"/>
      <c r="D844" s="28"/>
      <c r="E844" s="53"/>
      <c r="F844" s="53"/>
      <c r="G844" s="53"/>
      <c r="H844" s="53"/>
    </row>
    <row r="845" spans="1:8">
      <c r="A845" s="27"/>
      <c r="B845" s="27"/>
      <c r="C845" s="28"/>
      <c r="D845" s="28"/>
      <c r="E845" s="53"/>
      <c r="F845" s="53"/>
      <c r="G845" s="53"/>
      <c r="H845" s="53"/>
    </row>
    <row r="846" spans="1:8">
      <c r="A846" s="27"/>
      <c r="B846" s="27"/>
      <c r="C846" s="28"/>
      <c r="D846" s="28"/>
      <c r="E846" s="53"/>
      <c r="F846" s="53"/>
      <c r="G846" s="53"/>
      <c r="H846" s="53"/>
    </row>
    <row r="847" spans="1:8">
      <c r="A847" s="27"/>
      <c r="B847" s="27"/>
      <c r="C847" s="28"/>
      <c r="D847" s="28"/>
      <c r="E847" s="53"/>
      <c r="F847" s="53"/>
      <c r="G847" s="53"/>
      <c r="H847" s="53"/>
    </row>
    <row r="848" spans="1:8">
      <c r="A848" s="27"/>
      <c r="B848" s="27"/>
      <c r="C848" s="28"/>
      <c r="D848" s="28"/>
      <c r="E848" s="53"/>
      <c r="F848" s="53"/>
      <c r="G848" s="53"/>
      <c r="H848" s="53"/>
    </row>
    <row r="849" spans="1:8">
      <c r="A849" s="27"/>
      <c r="B849" s="27"/>
      <c r="C849" s="28"/>
      <c r="D849" s="28"/>
      <c r="E849" s="53"/>
      <c r="F849" s="53"/>
      <c r="G849" s="53"/>
      <c r="H849" s="53"/>
    </row>
    <row r="850" spans="1:8">
      <c r="A850" s="27"/>
      <c r="B850" s="27"/>
      <c r="C850" s="28"/>
      <c r="D850" s="28"/>
      <c r="E850" s="53"/>
      <c r="F850" s="53"/>
      <c r="G850" s="53"/>
      <c r="H850" s="53"/>
    </row>
    <row r="851" spans="1:8">
      <c r="A851" s="27"/>
      <c r="B851" s="27"/>
      <c r="C851" s="28"/>
      <c r="D851" s="28"/>
      <c r="E851" s="53"/>
      <c r="F851" s="53"/>
      <c r="G851" s="53"/>
      <c r="H851" s="53"/>
    </row>
    <row r="852" spans="1:8">
      <c r="A852" s="27"/>
      <c r="B852" s="27"/>
      <c r="C852" s="28"/>
      <c r="D852" s="28"/>
      <c r="E852" s="53"/>
      <c r="F852" s="53"/>
      <c r="G852" s="53"/>
      <c r="H852" s="53"/>
    </row>
    <row r="853" spans="1:8">
      <c r="A853" s="27"/>
      <c r="B853" s="27"/>
      <c r="C853" s="28"/>
      <c r="D853" s="28"/>
      <c r="E853" s="53"/>
      <c r="F853" s="53"/>
      <c r="G853" s="53"/>
      <c r="H853" s="53"/>
    </row>
    <row r="854" spans="1:8">
      <c r="A854" s="27"/>
      <c r="B854" s="27"/>
      <c r="C854" s="28"/>
      <c r="D854" s="28"/>
      <c r="E854" s="53"/>
      <c r="F854" s="53"/>
      <c r="G854" s="53"/>
      <c r="H854" s="53"/>
    </row>
    <row r="855" spans="1:8">
      <c r="A855" s="27"/>
      <c r="B855" s="27"/>
      <c r="C855" s="28"/>
      <c r="D855" s="28"/>
      <c r="E855" s="53"/>
      <c r="F855" s="53"/>
      <c r="G855" s="53"/>
      <c r="H855" s="53"/>
    </row>
    <row r="856" spans="1:8">
      <c r="A856" s="27"/>
      <c r="B856" s="27"/>
      <c r="C856" s="28"/>
      <c r="D856" s="28"/>
      <c r="E856" s="53"/>
      <c r="F856" s="53"/>
      <c r="G856" s="53"/>
      <c r="H856" s="53"/>
    </row>
    <row r="857" spans="1:8">
      <c r="A857" s="27"/>
      <c r="B857" s="27"/>
      <c r="C857" s="28"/>
      <c r="D857" s="28"/>
      <c r="E857" s="53"/>
      <c r="F857" s="53"/>
      <c r="G857" s="53"/>
      <c r="H857" s="53"/>
    </row>
    <row r="858" spans="1:8">
      <c r="A858" s="27"/>
      <c r="B858" s="27"/>
      <c r="C858" s="28"/>
      <c r="D858" s="28"/>
      <c r="E858" s="53"/>
      <c r="F858" s="53"/>
      <c r="G858" s="53"/>
      <c r="H858" s="53"/>
    </row>
    <row r="859" spans="1:8">
      <c r="A859" s="27"/>
      <c r="B859" s="27"/>
      <c r="C859" s="28"/>
      <c r="D859" s="28"/>
      <c r="E859" s="53"/>
      <c r="F859" s="53"/>
      <c r="G859" s="53"/>
      <c r="H859" s="53"/>
    </row>
    <row r="860" spans="1:8">
      <c r="A860" s="27"/>
      <c r="B860" s="27"/>
      <c r="C860" s="28"/>
      <c r="D860" s="28"/>
      <c r="E860" s="53"/>
      <c r="F860" s="53"/>
      <c r="G860" s="53"/>
      <c r="H860" s="53"/>
    </row>
    <row r="861" spans="1:8">
      <c r="A861" s="27"/>
      <c r="B861" s="27"/>
      <c r="C861" s="28"/>
      <c r="D861" s="28"/>
      <c r="E861" s="53"/>
      <c r="F861" s="53"/>
      <c r="G861" s="53"/>
      <c r="H861" s="53"/>
    </row>
    <row r="862" spans="1:8">
      <c r="A862" s="27"/>
      <c r="B862" s="27"/>
      <c r="C862" s="28"/>
      <c r="D862" s="28"/>
      <c r="E862" s="53"/>
      <c r="F862" s="53"/>
      <c r="G862" s="53"/>
      <c r="H862" s="53"/>
    </row>
    <row r="863" spans="1:8">
      <c r="A863" s="27"/>
      <c r="B863" s="27"/>
      <c r="C863" s="28"/>
      <c r="D863" s="28"/>
      <c r="E863" s="53"/>
      <c r="F863" s="53"/>
      <c r="G863" s="53"/>
      <c r="H863" s="53"/>
    </row>
    <row r="864" spans="1:8">
      <c r="A864" s="27"/>
      <c r="B864" s="27"/>
      <c r="C864" s="28"/>
      <c r="D864" s="28"/>
      <c r="E864" s="53"/>
      <c r="F864" s="53"/>
      <c r="G864" s="53"/>
      <c r="H864" s="53"/>
    </row>
    <row r="865" spans="1:8">
      <c r="A865" s="27"/>
      <c r="B865" s="27"/>
      <c r="C865" s="28"/>
      <c r="D865" s="28"/>
      <c r="E865" s="53"/>
      <c r="F865" s="53"/>
      <c r="G865" s="53"/>
      <c r="H865" s="53"/>
    </row>
    <row r="866" spans="1:8">
      <c r="A866" s="27"/>
      <c r="B866" s="27"/>
      <c r="C866" s="28"/>
      <c r="D866" s="28"/>
      <c r="E866" s="53"/>
      <c r="F866" s="53"/>
      <c r="G866" s="53"/>
      <c r="H866" s="53"/>
    </row>
    <row r="867" spans="1:8">
      <c r="A867" s="27"/>
      <c r="B867" s="27"/>
      <c r="C867" s="28"/>
      <c r="D867" s="28"/>
      <c r="E867" s="53"/>
      <c r="F867" s="53"/>
      <c r="G867" s="53"/>
      <c r="H867" s="53"/>
    </row>
    <row r="868" spans="1:8">
      <c r="A868" s="27"/>
      <c r="B868" s="27"/>
      <c r="C868" s="28"/>
      <c r="D868" s="28"/>
      <c r="E868" s="53"/>
      <c r="F868" s="53"/>
      <c r="G868" s="53"/>
      <c r="H868" s="53"/>
    </row>
    <row r="869" spans="1:8">
      <c r="A869" s="27"/>
      <c r="B869" s="27"/>
      <c r="C869" s="28"/>
      <c r="D869" s="28"/>
      <c r="E869" s="53"/>
      <c r="F869" s="53"/>
      <c r="G869" s="53"/>
      <c r="H869" s="53"/>
    </row>
    <row r="870" spans="1:8">
      <c r="A870" s="27"/>
      <c r="B870" s="27"/>
      <c r="C870" s="28"/>
      <c r="D870" s="28"/>
      <c r="E870" s="53"/>
      <c r="F870" s="53"/>
      <c r="G870" s="53"/>
      <c r="H870" s="53"/>
    </row>
    <row r="871" spans="1:8">
      <c r="A871" s="27"/>
      <c r="B871" s="27"/>
      <c r="C871" s="28"/>
      <c r="D871" s="28"/>
      <c r="E871" s="53"/>
      <c r="F871" s="53"/>
      <c r="G871" s="53"/>
      <c r="H871" s="53"/>
    </row>
    <row r="872" spans="1:8">
      <c r="A872" s="27"/>
      <c r="B872" s="27"/>
      <c r="C872" s="28"/>
      <c r="D872" s="28"/>
      <c r="E872" s="53"/>
      <c r="F872" s="53"/>
      <c r="G872" s="53"/>
      <c r="H872" s="53"/>
    </row>
    <row r="873" spans="1:8">
      <c r="A873" s="27"/>
      <c r="B873" s="27"/>
      <c r="C873" s="28"/>
      <c r="D873" s="28"/>
      <c r="E873" s="53"/>
      <c r="F873" s="53"/>
      <c r="G873" s="53"/>
      <c r="H873" s="53"/>
    </row>
    <row r="874" spans="1:8">
      <c r="A874" s="27"/>
      <c r="B874" s="27"/>
      <c r="C874" s="28"/>
      <c r="D874" s="28"/>
      <c r="E874" s="53"/>
      <c r="F874" s="53"/>
      <c r="G874" s="53"/>
      <c r="H874" s="53"/>
    </row>
    <row r="875" spans="1:8">
      <c r="A875" s="27"/>
      <c r="B875" s="27"/>
      <c r="C875" s="28"/>
      <c r="D875" s="28"/>
      <c r="E875" s="53"/>
      <c r="F875" s="53"/>
      <c r="G875" s="53"/>
      <c r="H875" s="53"/>
    </row>
    <row r="876" spans="1:8">
      <c r="A876" s="27"/>
      <c r="B876" s="27"/>
      <c r="C876" s="28"/>
      <c r="D876" s="28"/>
      <c r="E876" s="53"/>
      <c r="F876" s="53"/>
      <c r="G876" s="53"/>
      <c r="H876" s="53"/>
    </row>
    <row r="877" spans="1:8">
      <c r="A877" s="27"/>
      <c r="B877" s="27"/>
      <c r="C877" s="28"/>
      <c r="D877" s="28"/>
      <c r="E877" s="53"/>
      <c r="F877" s="53"/>
      <c r="G877" s="53"/>
      <c r="H877" s="53"/>
    </row>
    <row r="878" spans="1:8">
      <c r="A878" s="27"/>
      <c r="B878" s="27"/>
      <c r="C878" s="28"/>
      <c r="D878" s="28"/>
      <c r="E878" s="53"/>
      <c r="F878" s="53"/>
      <c r="G878" s="53"/>
      <c r="H878" s="53"/>
    </row>
    <row r="879" spans="1:8">
      <c r="A879" s="27"/>
      <c r="B879" s="27"/>
      <c r="C879" s="28"/>
      <c r="D879" s="28"/>
      <c r="E879" s="53"/>
      <c r="F879" s="53"/>
      <c r="G879" s="53"/>
      <c r="H879" s="53"/>
    </row>
    <row r="880" spans="1:8">
      <c r="A880" s="27"/>
      <c r="B880" s="27"/>
      <c r="C880" s="28"/>
      <c r="D880" s="28"/>
      <c r="E880" s="53"/>
      <c r="F880" s="53"/>
      <c r="G880" s="53"/>
      <c r="H880" s="53"/>
    </row>
    <row r="881" spans="1:8">
      <c r="A881" s="27"/>
      <c r="B881" s="27"/>
      <c r="C881" s="28"/>
      <c r="D881" s="28"/>
      <c r="E881" s="53"/>
      <c r="F881" s="53"/>
      <c r="G881" s="53"/>
      <c r="H881" s="53"/>
    </row>
    <row r="882" spans="1:8">
      <c r="A882" s="27"/>
      <c r="B882" s="27"/>
      <c r="C882" s="28"/>
      <c r="D882" s="28"/>
      <c r="E882" s="53"/>
      <c r="F882" s="53"/>
      <c r="G882" s="53"/>
      <c r="H882" s="53"/>
    </row>
    <row r="883" spans="1:8">
      <c r="A883" s="27"/>
      <c r="B883" s="27"/>
      <c r="C883" s="28"/>
      <c r="D883" s="28"/>
      <c r="E883" s="53"/>
      <c r="F883" s="53"/>
      <c r="G883" s="53"/>
      <c r="H883" s="53"/>
    </row>
    <row r="884" spans="1:8">
      <c r="A884" s="27"/>
      <c r="B884" s="27"/>
      <c r="C884" s="28"/>
      <c r="D884" s="28"/>
      <c r="E884" s="53"/>
      <c r="F884" s="53"/>
      <c r="G884" s="53"/>
      <c r="H884" s="53"/>
    </row>
    <row r="885" spans="1:8">
      <c r="A885" s="27"/>
      <c r="B885" s="27"/>
      <c r="C885" s="28"/>
      <c r="D885" s="28"/>
      <c r="E885" s="53"/>
      <c r="F885" s="53"/>
      <c r="G885" s="53"/>
      <c r="H885" s="53"/>
    </row>
    <row r="886" spans="1:8">
      <c r="A886" s="27"/>
      <c r="B886" s="27"/>
      <c r="C886" s="28"/>
      <c r="D886" s="28"/>
      <c r="E886" s="53"/>
      <c r="F886" s="53"/>
      <c r="G886" s="53"/>
      <c r="H886" s="53"/>
    </row>
    <row r="887" spans="1:8">
      <c r="A887" s="27"/>
      <c r="B887" s="27"/>
      <c r="C887" s="28"/>
      <c r="D887" s="28"/>
      <c r="E887" s="53"/>
      <c r="F887" s="53"/>
      <c r="G887" s="53"/>
      <c r="H887" s="53"/>
    </row>
    <row r="888" spans="1:8">
      <c r="A888" s="27"/>
      <c r="B888" s="27"/>
      <c r="C888" s="28"/>
      <c r="D888" s="28"/>
      <c r="E888" s="53"/>
      <c r="F888" s="53"/>
      <c r="G888" s="53"/>
      <c r="H888" s="53"/>
    </row>
    <row r="889" spans="1:8">
      <c r="A889" s="27"/>
      <c r="B889" s="27"/>
      <c r="C889" s="28"/>
      <c r="D889" s="28"/>
      <c r="E889" s="53"/>
      <c r="F889" s="53"/>
      <c r="G889" s="53"/>
      <c r="H889" s="53"/>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tabColor rgb="FF00B0F0"/>
    <pageSetUpPr fitToPage="1"/>
  </sheetPr>
  <dimension ref="A1:I221"/>
  <sheetViews>
    <sheetView view="pageBreakPreview" zoomScale="90" zoomScaleNormal="85" workbookViewId="0">
      <pane ySplit="4" topLeftCell="A10" activePane="bottomLeft" state="frozen"/>
      <selection/>
      <selection pane="bottomLeft" activeCell="E27" sqref="E27"/>
    </sheetView>
  </sheetViews>
  <sheetFormatPr defaultColWidth="9.25" defaultRowHeight="13.8"/>
  <cols>
    <col min="1" max="1" width="7.62962962962963" style="3" customWidth="1"/>
    <col min="2" max="2" width="39.5" style="3" customWidth="1"/>
    <col min="3" max="4" width="30.75" style="4" customWidth="1"/>
    <col min="5" max="8" width="13.8796296296296" style="62" customWidth="1"/>
    <col min="9" max="16384" width="9.25" style="3"/>
  </cols>
  <sheetData>
    <row r="1" spans="1:9">
      <c r="A1" s="6" t="s">
        <v>2429</v>
      </c>
      <c r="B1" s="6"/>
      <c r="C1" s="7"/>
      <c r="D1" s="7"/>
      <c r="E1" s="6"/>
      <c r="F1" s="6"/>
      <c r="G1" s="6"/>
      <c r="H1" s="6"/>
    </row>
    <row r="2" spans="1:9">
      <c r="A2" s="8" t="s">
        <v>460</v>
      </c>
      <c r="B2" s="8"/>
      <c r="C2" s="8"/>
      <c r="D2" s="8"/>
      <c r="E2" s="8"/>
      <c r="F2" s="8"/>
      <c r="G2" s="8"/>
      <c r="H2" s="8"/>
    </row>
    <row r="3" s="1" customFormat="1" spans="1:9">
      <c r="A3" s="9" t="s">
        <v>5</v>
      </c>
      <c r="B3" s="9" t="s">
        <v>6</v>
      </c>
      <c r="C3" s="9" t="s">
        <v>7</v>
      </c>
      <c r="D3" s="9"/>
      <c r="E3" s="35" t="s">
        <v>8</v>
      </c>
      <c r="F3" s="35"/>
      <c r="G3" s="35"/>
      <c r="H3" s="35"/>
    </row>
    <row r="4" s="101" customFormat="1" spans="1:9">
      <c r="A4" s="11"/>
      <c r="B4" s="11"/>
      <c r="C4" s="9" t="s">
        <v>9</v>
      </c>
      <c r="D4" s="9" t="s">
        <v>10</v>
      </c>
      <c r="E4" s="35" t="s">
        <v>11</v>
      </c>
      <c r="F4" s="35" t="s">
        <v>12</v>
      </c>
      <c r="G4" s="35" t="s">
        <v>13</v>
      </c>
      <c r="H4" s="35" t="s">
        <v>14</v>
      </c>
    </row>
    <row r="5" spans="1:9">
      <c r="A5" s="39" t="s">
        <v>15</v>
      </c>
      <c r="B5" s="15"/>
      <c r="C5" s="15"/>
      <c r="D5" s="15"/>
      <c r="E5" s="35" t="s">
        <v>16</v>
      </c>
      <c r="F5" s="35" t="s">
        <v>16</v>
      </c>
      <c r="G5" s="35" t="s">
        <v>16</v>
      </c>
      <c r="H5" s="35" t="s">
        <v>16</v>
      </c>
    </row>
    <row r="6" spans="1:9">
      <c r="A6" s="16">
        <v>1</v>
      </c>
      <c r="B6" s="18" t="s">
        <v>2430</v>
      </c>
      <c r="C6" s="18" t="s">
        <v>2431</v>
      </c>
      <c r="D6" s="18" t="s">
        <v>2432</v>
      </c>
      <c r="E6" s="38">
        <v>70000</v>
      </c>
      <c r="F6" s="51">
        <v>42000</v>
      </c>
      <c r="G6" s="51">
        <v>24500</v>
      </c>
      <c r="H6" s="51">
        <v>19500</v>
      </c>
    </row>
    <row r="7" ht="41.4" spans="1:9">
      <c r="A7" s="16">
        <v>2</v>
      </c>
      <c r="B7" s="20" t="s">
        <v>2433</v>
      </c>
      <c r="C7" s="18" t="s">
        <v>2434</v>
      </c>
      <c r="D7" s="18" t="s">
        <v>2435</v>
      </c>
      <c r="E7" s="38">
        <v>650000</v>
      </c>
      <c r="F7" s="51">
        <v>390000</v>
      </c>
      <c r="G7" s="51">
        <v>227500</v>
      </c>
      <c r="H7" s="51">
        <v>182000</v>
      </c>
    </row>
    <row r="8" spans="1:9">
      <c r="A8" s="20"/>
      <c r="B8" s="20" t="s">
        <v>2433</v>
      </c>
      <c r="C8" s="18" t="s">
        <v>2436</v>
      </c>
      <c r="D8" s="18" t="s">
        <v>2437</v>
      </c>
      <c r="E8" s="38">
        <v>325000</v>
      </c>
      <c r="F8" s="51">
        <v>195000</v>
      </c>
      <c r="G8" s="51">
        <v>114000</v>
      </c>
      <c r="H8" s="51">
        <v>91000</v>
      </c>
    </row>
    <row r="9" spans="1:9">
      <c r="A9" s="16">
        <v>3</v>
      </c>
      <c r="B9" s="20" t="s">
        <v>2438</v>
      </c>
      <c r="C9" s="18" t="s">
        <v>2439</v>
      </c>
      <c r="D9" s="18" t="s">
        <v>2440</v>
      </c>
      <c r="E9" s="23">
        <v>325000</v>
      </c>
      <c r="F9" s="23">
        <v>195000</v>
      </c>
      <c r="G9" s="23">
        <v>114000</v>
      </c>
      <c r="H9" s="23">
        <v>91000</v>
      </c>
    </row>
    <row r="10" spans="1:9">
      <c r="A10" s="16">
        <v>4</v>
      </c>
      <c r="B10" s="20" t="s">
        <v>2441</v>
      </c>
      <c r="C10" s="18" t="s">
        <v>2442</v>
      </c>
      <c r="D10" s="18" t="s">
        <v>2443</v>
      </c>
      <c r="E10" s="23">
        <v>125000</v>
      </c>
      <c r="F10" s="23">
        <v>75000</v>
      </c>
      <c r="G10" s="23">
        <v>44000</v>
      </c>
      <c r="H10" s="23">
        <v>35000</v>
      </c>
    </row>
    <row r="11" spans="1:9">
      <c r="A11" s="16">
        <v>5</v>
      </c>
      <c r="B11" s="20" t="s">
        <v>2444</v>
      </c>
      <c r="C11" s="18" t="s">
        <v>579</v>
      </c>
      <c r="D11" s="18" t="s">
        <v>2445</v>
      </c>
      <c r="E11" s="23">
        <v>80000</v>
      </c>
      <c r="F11" s="23">
        <v>48000</v>
      </c>
      <c r="G11" s="23">
        <v>28000</v>
      </c>
      <c r="H11" s="23">
        <v>22500</v>
      </c>
    </row>
    <row r="12" s="30" customFormat="1" ht="14.4" spans="1:9">
      <c r="A12" s="39" t="s">
        <v>136</v>
      </c>
      <c r="B12" s="20"/>
      <c r="C12" s="18"/>
      <c r="D12" s="18"/>
      <c r="E12" s="23"/>
      <c r="F12" s="23"/>
      <c r="G12" s="23"/>
      <c r="H12" s="23"/>
      <c r="I12" s="3"/>
    </row>
    <row r="13" spans="1:9">
      <c r="A13" s="16">
        <v>6</v>
      </c>
      <c r="B13" s="20" t="s">
        <v>137</v>
      </c>
      <c r="C13" s="18"/>
      <c r="D13" s="18"/>
      <c r="E13" s="23">
        <v>70000</v>
      </c>
      <c r="F13" s="23">
        <v>42000</v>
      </c>
      <c r="G13" s="23">
        <v>24500</v>
      </c>
      <c r="H13" s="23">
        <v>19500</v>
      </c>
      <c r="I13" s="3" t="s">
        <v>1068</v>
      </c>
    </row>
    <row r="14" spans="1:9">
      <c r="A14" s="13" t="s">
        <v>205</v>
      </c>
      <c r="B14" s="11"/>
      <c r="C14" s="15"/>
      <c r="D14" s="15"/>
      <c r="E14" s="23" t="s">
        <v>16</v>
      </c>
      <c r="F14" s="23" t="s">
        <v>16</v>
      </c>
      <c r="G14" s="23" t="s">
        <v>16</v>
      </c>
      <c r="H14" s="23" t="s">
        <v>16</v>
      </c>
    </row>
    <row r="15" spans="1:9">
      <c r="A15" s="16">
        <v>7</v>
      </c>
      <c r="B15" s="20" t="s">
        <v>141</v>
      </c>
      <c r="C15" s="18"/>
      <c r="D15" s="18"/>
      <c r="E15" s="23" t="s">
        <v>16</v>
      </c>
      <c r="F15" s="23" t="s">
        <v>16</v>
      </c>
      <c r="G15" s="23" t="s">
        <v>16</v>
      </c>
      <c r="H15" s="23" t="s">
        <v>16</v>
      </c>
    </row>
    <row r="16" ht="27.6" spans="1:9">
      <c r="A16" s="16"/>
      <c r="B16" s="20" t="s">
        <v>2446</v>
      </c>
      <c r="C16" s="18"/>
      <c r="D16" s="18"/>
      <c r="E16" s="23">
        <v>650000</v>
      </c>
      <c r="F16" s="23">
        <v>400500</v>
      </c>
      <c r="G16" s="23">
        <v>185000</v>
      </c>
      <c r="H16" s="23">
        <v>0</v>
      </c>
    </row>
    <row r="17" ht="27.6" spans="1:8">
      <c r="A17" s="16"/>
      <c r="B17" s="20" t="s">
        <v>2447</v>
      </c>
      <c r="C17" s="18"/>
      <c r="D17" s="18"/>
      <c r="E17" s="23">
        <v>1250000</v>
      </c>
      <c r="F17" s="23">
        <v>770000</v>
      </c>
      <c r="G17" s="23">
        <v>356000</v>
      </c>
      <c r="H17" s="23">
        <v>0</v>
      </c>
    </row>
    <row r="18" ht="27.6" spans="1:8">
      <c r="A18" s="16"/>
      <c r="B18" s="20" t="s">
        <v>2448</v>
      </c>
      <c r="C18" s="18"/>
      <c r="D18" s="18"/>
      <c r="E18" s="23">
        <v>900000</v>
      </c>
      <c r="F18" s="23">
        <v>554500</v>
      </c>
      <c r="G18" s="23">
        <v>256500</v>
      </c>
      <c r="H18" s="23">
        <v>0</v>
      </c>
    </row>
    <row r="19" ht="27.6" spans="1:8">
      <c r="A19" s="16"/>
      <c r="B19" s="20" t="s">
        <v>2449</v>
      </c>
      <c r="C19" s="18"/>
      <c r="D19" s="18"/>
      <c r="E19" s="23">
        <v>650000</v>
      </c>
      <c r="F19" s="23">
        <v>400500</v>
      </c>
      <c r="G19" s="23">
        <v>185000</v>
      </c>
      <c r="H19" s="23">
        <v>0</v>
      </c>
    </row>
    <row r="20" ht="27.6" spans="1:8">
      <c r="A20" s="16"/>
      <c r="B20" s="20" t="s">
        <v>2450</v>
      </c>
      <c r="C20" s="18"/>
      <c r="D20" s="18"/>
      <c r="E20" s="23">
        <v>255000</v>
      </c>
      <c r="F20" s="23">
        <v>157000</v>
      </c>
      <c r="G20" s="23">
        <v>72500</v>
      </c>
      <c r="H20" s="23">
        <v>0</v>
      </c>
    </row>
    <row r="21" ht="27.6" spans="1:8">
      <c r="A21" s="16"/>
      <c r="B21" s="20" t="s">
        <v>2451</v>
      </c>
      <c r="C21" s="82"/>
      <c r="D21" s="18"/>
      <c r="E21" s="23">
        <v>325000</v>
      </c>
      <c r="F21" s="23">
        <v>200500</v>
      </c>
      <c r="G21" s="23">
        <v>92500</v>
      </c>
      <c r="H21" s="23">
        <v>0</v>
      </c>
    </row>
    <row r="22" spans="1:8">
      <c r="A22" s="16">
        <v>8</v>
      </c>
      <c r="B22" s="20" t="s">
        <v>579</v>
      </c>
      <c r="C22" s="82"/>
      <c r="D22" s="18"/>
      <c r="E22" s="23" t="s">
        <v>16</v>
      </c>
      <c r="F22" s="23" t="s">
        <v>16</v>
      </c>
      <c r="G22" s="23" t="s">
        <v>16</v>
      </c>
      <c r="H22" s="23">
        <v>0</v>
      </c>
    </row>
    <row r="23" ht="27.6" spans="1:8">
      <c r="A23" s="16"/>
      <c r="B23" s="20" t="s">
        <v>2452</v>
      </c>
      <c r="C23" s="18"/>
      <c r="D23" s="18"/>
      <c r="E23" s="23">
        <v>440000</v>
      </c>
      <c r="F23" s="23">
        <v>271000</v>
      </c>
      <c r="G23" s="23">
        <v>125500</v>
      </c>
      <c r="H23" s="23">
        <v>0</v>
      </c>
    </row>
    <row r="24" ht="27.6" spans="1:8">
      <c r="A24" s="16"/>
      <c r="B24" s="20" t="s">
        <v>2453</v>
      </c>
      <c r="C24" s="18"/>
      <c r="D24" s="18"/>
      <c r="E24" s="23">
        <v>500000</v>
      </c>
      <c r="F24" s="23">
        <v>308000</v>
      </c>
      <c r="G24" s="23">
        <v>142500</v>
      </c>
      <c r="H24" s="23">
        <v>0</v>
      </c>
    </row>
    <row r="25" ht="27.6" spans="1:8">
      <c r="A25" s="16">
        <v>9</v>
      </c>
      <c r="B25" s="18" t="s">
        <v>2454</v>
      </c>
      <c r="C25" s="18"/>
      <c r="D25" s="18"/>
      <c r="E25" s="23">
        <v>500000</v>
      </c>
      <c r="F25" s="23">
        <v>308000</v>
      </c>
      <c r="G25" s="23">
        <v>142500</v>
      </c>
      <c r="H25" s="23">
        <v>0</v>
      </c>
    </row>
    <row r="26" spans="1:8">
      <c r="A26" s="39" t="s">
        <v>217</v>
      </c>
      <c r="B26" s="15"/>
      <c r="C26" s="15"/>
      <c r="D26" s="15"/>
      <c r="E26" s="23" t="s">
        <v>16</v>
      </c>
      <c r="F26" s="23" t="s">
        <v>16</v>
      </c>
      <c r="G26" s="23" t="s">
        <v>16</v>
      </c>
      <c r="H26" s="23" t="s">
        <v>16</v>
      </c>
    </row>
    <row r="27" ht="82.8" spans="1:8">
      <c r="A27" s="16">
        <v>10</v>
      </c>
      <c r="B27" s="20" t="s">
        <v>2455</v>
      </c>
      <c r="C27" s="18"/>
      <c r="D27" s="18"/>
      <c r="E27" s="23">
        <v>130000</v>
      </c>
      <c r="F27" s="23">
        <v>95000</v>
      </c>
      <c r="G27" s="23">
        <v>0</v>
      </c>
      <c r="H27" s="23">
        <v>0</v>
      </c>
    </row>
    <row r="28" ht="69" spans="1:8">
      <c r="A28" s="16">
        <v>11</v>
      </c>
      <c r="B28" s="20" t="s">
        <v>2456</v>
      </c>
      <c r="C28" s="18"/>
      <c r="D28" s="18"/>
      <c r="E28" s="23">
        <v>85000</v>
      </c>
      <c r="F28" s="23">
        <v>75000</v>
      </c>
      <c r="G28" s="23">
        <v>0</v>
      </c>
      <c r="H28" s="23">
        <v>0</v>
      </c>
    </row>
    <row r="29" ht="55.2" spans="1:8">
      <c r="A29" s="16">
        <v>12</v>
      </c>
      <c r="B29" s="20" t="s">
        <v>2457</v>
      </c>
      <c r="C29" s="18"/>
      <c r="D29" s="18"/>
      <c r="E29" s="23">
        <v>60000</v>
      </c>
      <c r="F29" s="23">
        <v>0</v>
      </c>
      <c r="G29" s="23">
        <v>0</v>
      </c>
      <c r="H29" s="23">
        <v>0</v>
      </c>
    </row>
    <row r="30" spans="1:8">
      <c r="E30" s="23" t="s">
        <v>16</v>
      </c>
      <c r="F30" s="23" t="s">
        <v>16</v>
      </c>
      <c r="G30" s="23" t="s">
        <v>16</v>
      </c>
      <c r="H30" s="23" t="s">
        <v>16</v>
      </c>
    </row>
    <row r="31" spans="1:8">
      <c r="E31" s="23" t="s">
        <v>16</v>
      </c>
      <c r="F31" s="23" t="s">
        <v>16</v>
      </c>
      <c r="G31" s="23" t="s">
        <v>16</v>
      </c>
      <c r="H31" s="23" t="s">
        <v>16</v>
      </c>
    </row>
    <row r="32" spans="1:8">
      <c r="A32" s="53"/>
      <c r="E32" s="23" t="s">
        <v>16</v>
      </c>
      <c r="F32" s="23" t="s">
        <v>16</v>
      </c>
      <c r="G32" s="23" t="s">
        <v>16</v>
      </c>
      <c r="H32" s="23" t="s">
        <v>16</v>
      </c>
    </row>
    <row r="33" spans="5:8">
      <c r="E33" s="23" t="s">
        <v>16</v>
      </c>
      <c r="F33" s="23" t="s">
        <v>16</v>
      </c>
      <c r="G33" s="23" t="s">
        <v>16</v>
      </c>
      <c r="H33" s="23" t="s">
        <v>16</v>
      </c>
    </row>
    <row r="34" spans="5:8">
      <c r="E34" s="23" t="s">
        <v>16</v>
      </c>
      <c r="F34" s="23" t="s">
        <v>16</v>
      </c>
      <c r="G34" s="23" t="s">
        <v>16</v>
      </c>
      <c r="H34" s="23" t="s">
        <v>16</v>
      </c>
    </row>
    <row r="35" spans="5:8">
      <c r="E35" s="23" t="s">
        <v>16</v>
      </c>
      <c r="F35" s="23" t="s">
        <v>16</v>
      </c>
      <c r="G35" s="23" t="s">
        <v>16</v>
      </c>
      <c r="H35" s="23" t="s">
        <v>16</v>
      </c>
    </row>
    <row r="36" spans="5:8">
      <c r="E36" s="23" t="s">
        <v>16</v>
      </c>
      <c r="F36" s="23" t="s">
        <v>16</v>
      </c>
      <c r="G36" s="23" t="s">
        <v>16</v>
      </c>
      <c r="H36" s="23" t="s">
        <v>16</v>
      </c>
    </row>
    <row r="37" spans="5:8">
      <c r="E37" s="23" t="s">
        <v>16</v>
      </c>
      <c r="F37" s="23" t="s">
        <v>16</v>
      </c>
      <c r="G37" s="23" t="s">
        <v>16</v>
      </c>
      <c r="H37" s="23" t="s">
        <v>16</v>
      </c>
    </row>
    <row r="38" spans="5:8">
      <c r="E38" s="23" t="s">
        <v>16</v>
      </c>
      <c r="F38" s="23" t="s">
        <v>16</v>
      </c>
      <c r="G38" s="23" t="s">
        <v>16</v>
      </c>
      <c r="H38" s="23" t="s">
        <v>16</v>
      </c>
    </row>
    <row r="39" spans="5:8">
      <c r="E39" s="23" t="s">
        <v>16</v>
      </c>
      <c r="F39" s="23" t="s">
        <v>16</v>
      </c>
      <c r="G39" s="23" t="s">
        <v>16</v>
      </c>
      <c r="H39" s="23" t="s">
        <v>16</v>
      </c>
    </row>
    <row r="40" spans="5:8">
      <c r="E40" s="23" t="s">
        <v>16</v>
      </c>
      <c r="F40" s="23" t="s">
        <v>16</v>
      </c>
      <c r="G40" s="23" t="s">
        <v>16</v>
      </c>
      <c r="H40" s="23" t="s">
        <v>16</v>
      </c>
    </row>
    <row r="41" spans="5:8">
      <c r="E41" s="23" t="s">
        <v>16</v>
      </c>
      <c r="F41" s="23" t="s">
        <v>16</v>
      </c>
      <c r="G41" s="23" t="s">
        <v>16</v>
      </c>
      <c r="H41" s="23" t="s">
        <v>16</v>
      </c>
    </row>
    <row r="42" spans="5:8">
      <c r="E42" s="23" t="s">
        <v>16</v>
      </c>
      <c r="F42" s="23" t="s">
        <v>16</v>
      </c>
      <c r="G42" s="23" t="s">
        <v>16</v>
      </c>
      <c r="H42" s="23" t="s">
        <v>16</v>
      </c>
    </row>
    <row r="43" spans="5:8">
      <c r="E43" s="23" t="s">
        <v>16</v>
      </c>
      <c r="F43" s="23" t="s">
        <v>16</v>
      </c>
      <c r="G43" s="23" t="s">
        <v>16</v>
      </c>
      <c r="H43" s="23" t="s">
        <v>16</v>
      </c>
    </row>
    <row r="44" spans="5:8">
      <c r="E44" s="23" t="s">
        <v>16</v>
      </c>
      <c r="F44" s="23" t="s">
        <v>16</v>
      </c>
      <c r="G44" s="23" t="s">
        <v>16</v>
      </c>
      <c r="H44" s="23" t="s">
        <v>16</v>
      </c>
    </row>
    <row r="45" spans="5:8">
      <c r="E45" s="23" t="s">
        <v>16</v>
      </c>
      <c r="F45" s="23" t="s">
        <v>16</v>
      </c>
      <c r="G45" s="23" t="s">
        <v>16</v>
      </c>
      <c r="H45" s="23" t="s">
        <v>16</v>
      </c>
    </row>
    <row r="46" spans="5:8">
      <c r="E46" s="23" t="s">
        <v>16</v>
      </c>
      <c r="F46" s="23" t="s">
        <v>16</v>
      </c>
      <c r="G46" s="23" t="s">
        <v>16</v>
      </c>
      <c r="H46" s="23" t="s">
        <v>16</v>
      </c>
    </row>
    <row r="47" spans="5:8">
      <c r="E47" s="23" t="s">
        <v>16</v>
      </c>
      <c r="F47" s="23" t="s">
        <v>16</v>
      </c>
      <c r="G47" s="23" t="s">
        <v>16</v>
      </c>
      <c r="H47" s="23" t="s">
        <v>16</v>
      </c>
    </row>
    <row r="48" spans="5:8">
      <c r="E48" s="23" t="s">
        <v>16</v>
      </c>
      <c r="F48" s="23" t="s">
        <v>16</v>
      </c>
      <c r="G48" s="23" t="s">
        <v>16</v>
      </c>
      <c r="H48" s="23" t="s">
        <v>16</v>
      </c>
    </row>
    <row r="49" spans="2:8">
      <c r="E49" s="23" t="s">
        <v>16</v>
      </c>
      <c r="F49" s="23" t="s">
        <v>16</v>
      </c>
      <c r="G49" s="23" t="s">
        <v>16</v>
      </c>
      <c r="H49" s="23" t="s">
        <v>16</v>
      </c>
    </row>
    <row r="50" spans="2:8">
      <c r="E50" s="23" t="s">
        <v>16</v>
      </c>
      <c r="F50" s="23" t="s">
        <v>16</v>
      </c>
      <c r="G50" s="23" t="s">
        <v>16</v>
      </c>
      <c r="H50" s="23" t="s">
        <v>16</v>
      </c>
    </row>
    <row r="51" spans="2:8">
      <c r="E51" s="23" t="s">
        <v>16</v>
      </c>
      <c r="F51" s="23" t="s">
        <v>16</v>
      </c>
      <c r="G51" s="23" t="s">
        <v>16</v>
      </c>
      <c r="H51" s="23" t="s">
        <v>16</v>
      </c>
    </row>
    <row r="52" spans="2:8">
      <c r="E52" s="23" t="s">
        <v>16</v>
      </c>
      <c r="F52" s="23" t="s">
        <v>16</v>
      </c>
      <c r="G52" s="23" t="s">
        <v>16</v>
      </c>
      <c r="H52" s="23" t="s">
        <v>16</v>
      </c>
    </row>
    <row r="53" spans="2:8">
      <c r="E53" s="23" t="s">
        <v>16</v>
      </c>
      <c r="F53" s="23" t="s">
        <v>16</v>
      </c>
      <c r="G53" s="23" t="s">
        <v>16</v>
      </c>
      <c r="H53" s="23" t="s">
        <v>16</v>
      </c>
    </row>
    <row r="54" spans="2:8">
      <c r="B54" s="14"/>
      <c r="C54" s="82"/>
      <c r="D54" s="82"/>
      <c r="E54" s="23" t="s">
        <v>16</v>
      </c>
      <c r="F54" s="23" t="s">
        <v>16</v>
      </c>
      <c r="G54" s="23" t="s">
        <v>16</v>
      </c>
      <c r="H54" s="23" t="s">
        <v>16</v>
      </c>
    </row>
    <row r="55" spans="2:8">
      <c r="B55" s="14"/>
      <c r="C55" s="82"/>
      <c r="D55" s="82"/>
      <c r="E55" s="23" t="s">
        <v>16</v>
      </c>
      <c r="F55" s="23" t="s">
        <v>16</v>
      </c>
      <c r="G55" s="23" t="s">
        <v>16</v>
      </c>
      <c r="H55" s="23" t="s">
        <v>16</v>
      </c>
    </row>
    <row r="56" spans="2:8">
      <c r="B56" s="14"/>
      <c r="C56" s="82"/>
      <c r="D56" s="82"/>
      <c r="E56" s="23" t="s">
        <v>16</v>
      </c>
      <c r="F56" s="23" t="s">
        <v>16</v>
      </c>
      <c r="G56" s="23" t="s">
        <v>16</v>
      </c>
      <c r="H56" s="23" t="s">
        <v>16</v>
      </c>
    </row>
    <row r="57" spans="2:8">
      <c r="B57" s="14"/>
      <c r="C57" s="82"/>
      <c r="D57" s="82"/>
      <c r="E57" s="23" t="s">
        <v>16</v>
      </c>
      <c r="F57" s="23" t="s">
        <v>16</v>
      </c>
      <c r="G57" s="23" t="s">
        <v>16</v>
      </c>
      <c r="H57" s="23" t="s">
        <v>16</v>
      </c>
    </row>
    <row r="58" spans="2:8">
      <c r="B58" s="14"/>
      <c r="C58" s="82"/>
      <c r="D58" s="82"/>
      <c r="E58" s="23" t="s">
        <v>16</v>
      </c>
      <c r="F58" s="23" t="s">
        <v>16</v>
      </c>
      <c r="G58" s="23" t="s">
        <v>16</v>
      </c>
      <c r="H58" s="23" t="s">
        <v>16</v>
      </c>
    </row>
    <row r="59" spans="2:8">
      <c r="B59" s="14"/>
      <c r="C59" s="82"/>
      <c r="D59" s="82"/>
      <c r="E59" s="23" t="s">
        <v>16</v>
      </c>
      <c r="F59" s="23" t="s">
        <v>16</v>
      </c>
      <c r="G59" s="23" t="s">
        <v>16</v>
      </c>
      <c r="H59" s="23" t="s">
        <v>16</v>
      </c>
    </row>
    <row r="60" spans="2:8">
      <c r="B60" s="14"/>
      <c r="C60" s="82"/>
      <c r="D60" s="82"/>
      <c r="E60" s="23" t="s">
        <v>16</v>
      </c>
      <c r="F60" s="23" t="s">
        <v>16</v>
      </c>
      <c r="G60" s="23" t="s">
        <v>16</v>
      </c>
      <c r="H60" s="23" t="s">
        <v>16</v>
      </c>
    </row>
    <row r="61" spans="2:8">
      <c r="B61" s="14"/>
      <c r="C61" s="82"/>
      <c r="D61" s="82"/>
      <c r="E61" s="23" t="s">
        <v>16</v>
      </c>
      <c r="F61" s="23" t="s">
        <v>16</v>
      </c>
      <c r="G61" s="23" t="s">
        <v>16</v>
      </c>
      <c r="H61" s="23" t="s">
        <v>16</v>
      </c>
    </row>
    <row r="62" spans="2:8">
      <c r="B62" s="14"/>
      <c r="C62" s="82"/>
      <c r="D62" s="82"/>
      <c r="E62" s="23" t="s">
        <v>16</v>
      </c>
      <c r="F62" s="23" t="s">
        <v>16</v>
      </c>
      <c r="G62" s="23" t="s">
        <v>16</v>
      </c>
      <c r="H62" s="23" t="s">
        <v>16</v>
      </c>
    </row>
    <row r="63" spans="2:8">
      <c r="B63" s="14"/>
      <c r="C63" s="82"/>
      <c r="E63" s="23" t="s">
        <v>16</v>
      </c>
      <c r="F63" s="23" t="s">
        <v>16</v>
      </c>
      <c r="G63" s="23" t="s">
        <v>16</v>
      </c>
      <c r="H63" s="23" t="s">
        <v>16</v>
      </c>
    </row>
    <row r="64" spans="2:8">
      <c r="B64" s="14"/>
      <c r="C64" s="82"/>
      <c r="D64" s="82"/>
      <c r="E64" s="23" t="s">
        <v>16</v>
      </c>
      <c r="F64" s="23" t="s">
        <v>16</v>
      </c>
      <c r="G64" s="23" t="s">
        <v>16</v>
      </c>
      <c r="H64" s="23" t="s">
        <v>16</v>
      </c>
    </row>
    <row r="65" spans="2:8">
      <c r="B65" s="14"/>
      <c r="C65" s="82"/>
      <c r="D65" s="82"/>
      <c r="E65" s="23" t="s">
        <v>16</v>
      </c>
      <c r="F65" s="23" t="s">
        <v>16</v>
      </c>
      <c r="G65" s="23" t="s">
        <v>16</v>
      </c>
      <c r="H65" s="23" t="s">
        <v>16</v>
      </c>
    </row>
    <row r="66" spans="2:8">
      <c r="B66" s="14"/>
      <c r="C66" s="82"/>
      <c r="D66" s="82"/>
      <c r="E66" s="23" t="s">
        <v>16</v>
      </c>
      <c r="F66" s="23" t="s">
        <v>16</v>
      </c>
      <c r="G66" s="23" t="s">
        <v>16</v>
      </c>
      <c r="H66" s="23" t="s">
        <v>16</v>
      </c>
    </row>
    <row r="67" spans="2:8">
      <c r="B67" s="14"/>
      <c r="C67" s="82"/>
      <c r="D67" s="82"/>
      <c r="E67" s="23" t="s">
        <v>16</v>
      </c>
      <c r="F67" s="23" t="s">
        <v>16</v>
      </c>
      <c r="G67" s="23" t="s">
        <v>16</v>
      </c>
      <c r="H67" s="23" t="s">
        <v>16</v>
      </c>
    </row>
    <row r="68" spans="2:8">
      <c r="B68" s="14"/>
      <c r="C68" s="82"/>
      <c r="D68" s="82"/>
      <c r="E68" s="23" t="s">
        <v>16</v>
      </c>
      <c r="F68" s="23" t="s">
        <v>16</v>
      </c>
      <c r="G68" s="23" t="s">
        <v>16</v>
      </c>
      <c r="H68" s="23" t="s">
        <v>16</v>
      </c>
    </row>
    <row r="69" spans="2:8">
      <c r="B69" s="14"/>
      <c r="C69" s="82"/>
      <c r="D69" s="82"/>
      <c r="E69" s="23" t="s">
        <v>16</v>
      </c>
      <c r="F69" s="23" t="s">
        <v>16</v>
      </c>
      <c r="G69" s="23" t="s">
        <v>16</v>
      </c>
      <c r="H69" s="23" t="s">
        <v>16</v>
      </c>
    </row>
    <row r="70" spans="2:8">
      <c r="B70" s="14"/>
      <c r="C70" s="82"/>
      <c r="D70" s="82"/>
      <c r="E70" s="23" t="s">
        <v>16</v>
      </c>
      <c r="F70" s="23" t="s">
        <v>16</v>
      </c>
      <c r="G70" s="23" t="s">
        <v>16</v>
      </c>
      <c r="H70" s="23" t="s">
        <v>16</v>
      </c>
    </row>
    <row r="71" spans="2:8">
      <c r="B71" s="14"/>
      <c r="C71" s="82"/>
      <c r="D71" s="82"/>
      <c r="E71" s="23" t="s">
        <v>16</v>
      </c>
      <c r="F71" s="23" t="s">
        <v>16</v>
      </c>
      <c r="G71" s="23" t="s">
        <v>16</v>
      </c>
      <c r="H71" s="23" t="s">
        <v>16</v>
      </c>
    </row>
    <row r="72" spans="2:8">
      <c r="B72" s="14"/>
      <c r="C72" s="82"/>
      <c r="D72" s="82"/>
      <c r="E72" s="23" t="s">
        <v>16</v>
      </c>
      <c r="F72" s="23" t="s">
        <v>16</v>
      </c>
      <c r="G72" s="23" t="s">
        <v>16</v>
      </c>
      <c r="H72" s="23" t="s">
        <v>16</v>
      </c>
    </row>
    <row r="73" spans="2:8">
      <c r="B73" s="14"/>
      <c r="C73" s="82"/>
      <c r="D73" s="82"/>
      <c r="E73" s="23" t="s">
        <v>16</v>
      </c>
      <c r="F73" s="23" t="s">
        <v>16</v>
      </c>
      <c r="G73" s="23" t="s">
        <v>16</v>
      </c>
      <c r="H73" s="23" t="s">
        <v>16</v>
      </c>
    </row>
    <row r="74" spans="2:8">
      <c r="B74" s="14"/>
      <c r="C74" s="82"/>
      <c r="D74" s="82"/>
      <c r="E74" s="23" t="s">
        <v>16</v>
      </c>
      <c r="F74" s="23" t="s">
        <v>16</v>
      </c>
      <c r="G74" s="23" t="s">
        <v>16</v>
      </c>
      <c r="H74" s="23" t="s">
        <v>16</v>
      </c>
    </row>
    <row r="75" spans="2:8">
      <c r="B75" s="14"/>
      <c r="C75" s="82"/>
      <c r="D75" s="82"/>
      <c r="E75" s="23" t="s">
        <v>16</v>
      </c>
      <c r="F75" s="23" t="s">
        <v>16</v>
      </c>
      <c r="G75" s="23" t="s">
        <v>16</v>
      </c>
      <c r="H75" s="23" t="s">
        <v>16</v>
      </c>
    </row>
    <row r="76" spans="2:8">
      <c r="B76" s="14"/>
      <c r="C76" s="82"/>
      <c r="D76" s="82"/>
      <c r="E76" s="23" t="s">
        <v>16</v>
      </c>
      <c r="F76" s="23" t="s">
        <v>16</v>
      </c>
      <c r="G76" s="23" t="s">
        <v>16</v>
      </c>
      <c r="H76" s="23" t="s">
        <v>16</v>
      </c>
    </row>
    <row r="77" spans="2:8">
      <c r="B77" s="14"/>
      <c r="C77" s="82"/>
      <c r="D77" s="82"/>
      <c r="E77" s="23" t="s">
        <v>16</v>
      </c>
      <c r="F77" s="23" t="s">
        <v>16</v>
      </c>
      <c r="G77" s="23" t="s">
        <v>16</v>
      </c>
      <c r="H77" s="23" t="s">
        <v>16</v>
      </c>
    </row>
    <row r="78" spans="2:8">
      <c r="B78" s="14"/>
      <c r="C78" s="82"/>
      <c r="D78" s="82"/>
      <c r="E78" s="23" t="s">
        <v>16</v>
      </c>
      <c r="F78" s="23" t="s">
        <v>16</v>
      </c>
      <c r="G78" s="23" t="s">
        <v>16</v>
      </c>
      <c r="H78" s="23" t="s">
        <v>16</v>
      </c>
    </row>
    <row r="79" spans="2:8">
      <c r="B79" s="14"/>
      <c r="C79" s="82"/>
      <c r="D79" s="82"/>
      <c r="E79" s="23" t="s">
        <v>16</v>
      </c>
      <c r="F79" s="23" t="s">
        <v>16</v>
      </c>
      <c r="G79" s="23" t="s">
        <v>16</v>
      </c>
      <c r="H79" s="23" t="s">
        <v>16</v>
      </c>
    </row>
    <row r="80" spans="2:8">
      <c r="B80" s="14"/>
      <c r="C80" s="82"/>
      <c r="D80" s="82"/>
      <c r="E80" s="23" t="s">
        <v>16</v>
      </c>
      <c r="F80" s="23" t="s">
        <v>16</v>
      </c>
      <c r="G80" s="23" t="s">
        <v>16</v>
      </c>
      <c r="H80" s="23" t="s">
        <v>16</v>
      </c>
    </row>
    <row r="81" spans="5:8">
      <c r="E81" s="23" t="s">
        <v>16</v>
      </c>
      <c r="F81" s="23" t="s">
        <v>16</v>
      </c>
      <c r="G81" s="23" t="s">
        <v>16</v>
      </c>
      <c r="H81" s="23" t="s">
        <v>16</v>
      </c>
    </row>
    <row r="82" spans="5:8">
      <c r="E82" s="23" t="s">
        <v>16</v>
      </c>
      <c r="F82" s="23" t="s">
        <v>16</v>
      </c>
      <c r="G82" s="23" t="s">
        <v>16</v>
      </c>
      <c r="H82" s="23" t="s">
        <v>16</v>
      </c>
    </row>
    <row r="83" spans="5:8">
      <c r="E83" s="23" t="s">
        <v>16</v>
      </c>
      <c r="F83" s="23" t="s">
        <v>16</v>
      </c>
      <c r="G83" s="23" t="s">
        <v>16</v>
      </c>
      <c r="H83" s="23" t="s">
        <v>16</v>
      </c>
    </row>
    <row r="84" spans="5:8">
      <c r="E84" s="23" t="s">
        <v>16</v>
      </c>
      <c r="F84" s="23" t="s">
        <v>16</v>
      </c>
      <c r="G84" s="23" t="s">
        <v>16</v>
      </c>
      <c r="H84" s="23" t="s">
        <v>16</v>
      </c>
    </row>
    <row r="85" spans="5:8">
      <c r="E85" s="23" t="s">
        <v>16</v>
      </c>
      <c r="F85" s="23" t="s">
        <v>16</v>
      </c>
      <c r="G85" s="23" t="s">
        <v>16</v>
      </c>
      <c r="H85" s="23" t="s">
        <v>16</v>
      </c>
    </row>
    <row r="86" spans="5:8">
      <c r="E86" s="23" t="s">
        <v>16</v>
      </c>
      <c r="F86" s="23" t="s">
        <v>16</v>
      </c>
      <c r="G86" s="23" t="s">
        <v>16</v>
      </c>
      <c r="H86" s="23" t="s">
        <v>16</v>
      </c>
    </row>
    <row r="87" spans="5:8">
      <c r="E87" s="23" t="s">
        <v>16</v>
      </c>
      <c r="F87" s="23" t="s">
        <v>16</v>
      </c>
      <c r="G87" s="23" t="s">
        <v>16</v>
      </c>
      <c r="H87" s="23" t="s">
        <v>16</v>
      </c>
    </row>
    <row r="88" spans="5:8">
      <c r="E88" s="23" t="s">
        <v>16</v>
      </c>
      <c r="F88" s="23" t="s">
        <v>16</v>
      </c>
      <c r="G88" s="23" t="s">
        <v>16</v>
      </c>
      <c r="H88" s="23" t="s">
        <v>16</v>
      </c>
    </row>
    <row r="89" spans="5:8">
      <c r="E89" s="23" t="s">
        <v>16</v>
      </c>
      <c r="F89" s="23" t="s">
        <v>16</v>
      </c>
      <c r="G89" s="23" t="s">
        <v>16</v>
      </c>
      <c r="H89" s="23" t="s">
        <v>16</v>
      </c>
    </row>
    <row r="90" spans="5:8">
      <c r="E90" s="23" t="s">
        <v>16</v>
      </c>
      <c r="F90" s="23" t="s">
        <v>16</v>
      </c>
      <c r="G90" s="23" t="s">
        <v>16</v>
      </c>
      <c r="H90" s="23" t="s">
        <v>16</v>
      </c>
    </row>
    <row r="91" spans="5:8">
      <c r="E91" s="23" t="s">
        <v>16</v>
      </c>
      <c r="F91" s="23" t="s">
        <v>16</v>
      </c>
      <c r="G91" s="23" t="s">
        <v>16</v>
      </c>
      <c r="H91" s="23" t="s">
        <v>16</v>
      </c>
    </row>
    <row r="92" spans="5:8">
      <c r="E92" s="23" t="s">
        <v>16</v>
      </c>
      <c r="F92" s="23" t="s">
        <v>16</v>
      </c>
      <c r="G92" s="23" t="s">
        <v>16</v>
      </c>
      <c r="H92" s="23" t="s">
        <v>16</v>
      </c>
    </row>
    <row r="93" spans="5:8">
      <c r="E93" s="23" t="s">
        <v>16</v>
      </c>
      <c r="F93" s="23" t="s">
        <v>16</v>
      </c>
      <c r="G93" s="23" t="s">
        <v>16</v>
      </c>
      <c r="H93" s="23" t="s">
        <v>16</v>
      </c>
    </row>
    <row r="94" spans="5:8">
      <c r="E94" s="23" t="s">
        <v>16</v>
      </c>
      <c r="F94" s="23" t="s">
        <v>16</v>
      </c>
      <c r="G94" s="23" t="s">
        <v>16</v>
      </c>
      <c r="H94" s="23" t="s">
        <v>16</v>
      </c>
    </row>
    <row r="95" spans="5:8">
      <c r="E95" s="23" t="s">
        <v>16</v>
      </c>
      <c r="F95" s="23" t="s">
        <v>16</v>
      </c>
      <c r="G95" s="23" t="s">
        <v>16</v>
      </c>
      <c r="H95" s="23" t="s">
        <v>16</v>
      </c>
    </row>
    <row r="96" spans="5:8">
      <c r="E96" s="23" t="s">
        <v>16</v>
      </c>
      <c r="F96" s="23" t="s">
        <v>16</v>
      </c>
      <c r="G96" s="23" t="s">
        <v>16</v>
      </c>
      <c r="H96" s="23" t="s">
        <v>16</v>
      </c>
    </row>
    <row r="97" spans="5:8">
      <c r="E97" s="23" t="s">
        <v>16</v>
      </c>
      <c r="F97" s="23" t="s">
        <v>16</v>
      </c>
      <c r="G97" s="23" t="s">
        <v>16</v>
      </c>
      <c r="H97" s="23" t="s">
        <v>16</v>
      </c>
    </row>
    <row r="98" spans="5:8">
      <c r="E98" s="23" t="s">
        <v>16</v>
      </c>
      <c r="F98" s="23" t="s">
        <v>16</v>
      </c>
      <c r="G98" s="23" t="s">
        <v>16</v>
      </c>
      <c r="H98" s="23" t="s">
        <v>16</v>
      </c>
    </row>
    <row r="99" spans="5:8">
      <c r="E99" s="23" t="s">
        <v>16</v>
      </c>
      <c r="F99" s="23" t="s">
        <v>16</v>
      </c>
      <c r="G99" s="23" t="s">
        <v>16</v>
      </c>
      <c r="H99" s="23" t="s">
        <v>16</v>
      </c>
    </row>
    <row r="100" spans="5:8">
      <c r="E100" s="23" t="s">
        <v>16</v>
      </c>
      <c r="F100" s="23" t="s">
        <v>16</v>
      </c>
      <c r="G100" s="23" t="s">
        <v>16</v>
      </c>
      <c r="H100" s="23" t="s">
        <v>16</v>
      </c>
    </row>
    <row r="101" spans="5:8">
      <c r="E101" s="23" t="s">
        <v>16</v>
      </c>
      <c r="F101" s="23" t="s">
        <v>16</v>
      </c>
      <c r="G101" s="23" t="s">
        <v>16</v>
      </c>
      <c r="H101" s="23" t="s">
        <v>16</v>
      </c>
    </row>
    <row r="102" spans="5:8">
      <c r="E102" s="23" t="s">
        <v>16</v>
      </c>
      <c r="F102" s="23" t="s">
        <v>16</v>
      </c>
      <c r="G102" s="23" t="s">
        <v>16</v>
      </c>
      <c r="H102" s="23" t="s">
        <v>16</v>
      </c>
    </row>
    <row r="103" spans="5:8">
      <c r="E103" s="23" t="s">
        <v>16</v>
      </c>
      <c r="F103" s="23" t="s">
        <v>16</v>
      </c>
      <c r="G103" s="23" t="s">
        <v>16</v>
      </c>
      <c r="H103" s="23" t="s">
        <v>16</v>
      </c>
    </row>
    <row r="104" spans="5:8">
      <c r="E104" s="23" t="s">
        <v>16</v>
      </c>
      <c r="F104" s="23" t="s">
        <v>16</v>
      </c>
      <c r="G104" s="23" t="s">
        <v>16</v>
      </c>
      <c r="H104" s="23" t="s">
        <v>16</v>
      </c>
    </row>
    <row r="105" spans="5:8">
      <c r="E105" s="23" t="s">
        <v>16</v>
      </c>
      <c r="F105" s="23" t="s">
        <v>16</v>
      </c>
      <c r="G105" s="23" t="s">
        <v>16</v>
      </c>
      <c r="H105" s="23" t="s">
        <v>16</v>
      </c>
    </row>
    <row r="106" spans="5:8">
      <c r="E106" s="23" t="s">
        <v>16</v>
      </c>
      <c r="F106" s="23" t="s">
        <v>16</v>
      </c>
      <c r="G106" s="23" t="s">
        <v>16</v>
      </c>
      <c r="H106" s="23" t="s">
        <v>16</v>
      </c>
    </row>
    <row r="107" spans="5:8">
      <c r="E107" s="23" t="s">
        <v>16</v>
      </c>
      <c r="F107" s="23" t="s">
        <v>16</v>
      </c>
      <c r="G107" s="23" t="s">
        <v>16</v>
      </c>
      <c r="H107" s="23" t="s">
        <v>16</v>
      </c>
    </row>
    <row r="108" spans="5:8">
      <c r="E108" s="23" t="s">
        <v>16</v>
      </c>
      <c r="F108" s="23" t="s">
        <v>16</v>
      </c>
      <c r="G108" s="23" t="s">
        <v>16</v>
      </c>
      <c r="H108" s="23" t="s">
        <v>16</v>
      </c>
    </row>
    <row r="109" spans="5:8">
      <c r="E109" s="23" t="s">
        <v>16</v>
      </c>
      <c r="F109" s="23" t="s">
        <v>16</v>
      </c>
      <c r="G109" s="23" t="s">
        <v>16</v>
      </c>
      <c r="H109" s="23" t="s">
        <v>16</v>
      </c>
    </row>
    <row r="110" spans="5:8">
      <c r="E110" s="23" t="s">
        <v>16</v>
      </c>
      <c r="F110" s="23" t="s">
        <v>16</v>
      </c>
      <c r="G110" s="23" t="s">
        <v>16</v>
      </c>
      <c r="H110" s="23" t="s">
        <v>16</v>
      </c>
    </row>
    <row r="111" spans="5:8">
      <c r="E111" s="23" t="s">
        <v>16</v>
      </c>
      <c r="F111" s="23" t="s">
        <v>16</v>
      </c>
      <c r="G111" s="23" t="s">
        <v>16</v>
      </c>
      <c r="H111" s="23" t="s">
        <v>16</v>
      </c>
    </row>
    <row r="112" spans="5:8">
      <c r="E112" s="23" t="s">
        <v>16</v>
      </c>
      <c r="F112" s="23" t="s">
        <v>16</v>
      </c>
      <c r="G112" s="23" t="s">
        <v>16</v>
      </c>
      <c r="H112" s="23" t="s">
        <v>16</v>
      </c>
    </row>
    <row r="113" spans="5:8">
      <c r="E113" s="23" t="s">
        <v>16</v>
      </c>
      <c r="F113" s="23" t="s">
        <v>16</v>
      </c>
      <c r="G113" s="23" t="s">
        <v>16</v>
      </c>
      <c r="H113" s="23" t="s">
        <v>16</v>
      </c>
    </row>
    <row r="114" spans="5:8">
      <c r="E114" s="23" t="s">
        <v>16</v>
      </c>
      <c r="F114" s="23" t="s">
        <v>16</v>
      </c>
      <c r="G114" s="23" t="s">
        <v>16</v>
      </c>
      <c r="H114" s="23" t="s">
        <v>16</v>
      </c>
    </row>
    <row r="115" spans="5:8">
      <c r="E115" s="23" t="s">
        <v>16</v>
      </c>
      <c r="F115" s="23" t="s">
        <v>16</v>
      </c>
      <c r="G115" s="23" t="s">
        <v>16</v>
      </c>
      <c r="H115" s="23" t="s">
        <v>16</v>
      </c>
    </row>
    <row r="116" spans="5:8">
      <c r="E116" s="23" t="s">
        <v>16</v>
      </c>
      <c r="F116" s="23" t="s">
        <v>16</v>
      </c>
      <c r="G116" s="23" t="s">
        <v>16</v>
      </c>
      <c r="H116" s="23" t="s">
        <v>16</v>
      </c>
    </row>
    <row r="117" spans="5:8">
      <c r="E117" s="23" t="s">
        <v>16</v>
      </c>
      <c r="F117" s="23" t="s">
        <v>16</v>
      </c>
      <c r="G117" s="23" t="s">
        <v>16</v>
      </c>
      <c r="H117" s="23" t="s">
        <v>16</v>
      </c>
    </row>
    <row r="118" spans="5:8">
      <c r="E118" s="23" t="s">
        <v>16</v>
      </c>
      <c r="F118" s="23" t="s">
        <v>16</v>
      </c>
      <c r="G118" s="23" t="s">
        <v>16</v>
      </c>
      <c r="H118" s="23" t="s">
        <v>16</v>
      </c>
    </row>
    <row r="119" spans="5:8">
      <c r="E119" s="23" t="s">
        <v>16</v>
      </c>
      <c r="F119" s="23" t="s">
        <v>16</v>
      </c>
      <c r="G119" s="23" t="s">
        <v>16</v>
      </c>
      <c r="H119" s="23" t="s">
        <v>16</v>
      </c>
    </row>
    <row r="120" spans="5:8">
      <c r="E120" s="23" t="s">
        <v>16</v>
      </c>
      <c r="F120" s="23" t="s">
        <v>16</v>
      </c>
      <c r="G120" s="23" t="s">
        <v>16</v>
      </c>
      <c r="H120" s="23" t="s">
        <v>16</v>
      </c>
    </row>
    <row r="121" spans="5:8">
      <c r="E121" s="23" t="s">
        <v>16</v>
      </c>
      <c r="F121" s="23" t="s">
        <v>16</v>
      </c>
      <c r="G121" s="23" t="s">
        <v>16</v>
      </c>
      <c r="H121" s="23" t="s">
        <v>16</v>
      </c>
    </row>
    <row r="122" spans="5:8">
      <c r="E122" s="23" t="s">
        <v>16</v>
      </c>
      <c r="F122" s="23" t="s">
        <v>16</v>
      </c>
      <c r="G122" s="23" t="s">
        <v>16</v>
      </c>
      <c r="H122" s="23" t="s">
        <v>16</v>
      </c>
    </row>
    <row r="123" spans="5:8">
      <c r="E123" s="23" t="s">
        <v>16</v>
      </c>
      <c r="F123" s="23" t="s">
        <v>16</v>
      </c>
      <c r="G123" s="23" t="s">
        <v>16</v>
      </c>
      <c r="H123" s="23" t="s">
        <v>16</v>
      </c>
    </row>
    <row r="124" spans="5:8">
      <c r="E124" s="23" t="s">
        <v>16</v>
      </c>
      <c r="F124" s="23" t="s">
        <v>16</v>
      </c>
      <c r="G124" s="23" t="s">
        <v>16</v>
      </c>
      <c r="H124" s="23" t="s">
        <v>16</v>
      </c>
    </row>
    <row r="125" spans="5:8">
      <c r="E125" s="23" t="s">
        <v>16</v>
      </c>
      <c r="F125" s="23" t="s">
        <v>16</v>
      </c>
      <c r="G125" s="23" t="s">
        <v>16</v>
      </c>
      <c r="H125" s="23" t="s">
        <v>16</v>
      </c>
    </row>
    <row r="126" spans="5:8">
      <c r="E126" s="23" t="s">
        <v>16</v>
      </c>
      <c r="F126" s="23" t="s">
        <v>16</v>
      </c>
      <c r="G126" s="23" t="s">
        <v>16</v>
      </c>
      <c r="H126" s="23" t="s">
        <v>16</v>
      </c>
    </row>
    <row r="127" spans="5:8">
      <c r="E127" s="23" t="s">
        <v>16</v>
      </c>
      <c r="F127" s="23" t="s">
        <v>16</v>
      </c>
      <c r="G127" s="23" t="s">
        <v>16</v>
      </c>
      <c r="H127" s="23" t="s">
        <v>16</v>
      </c>
    </row>
    <row r="128" spans="5:8">
      <c r="E128" s="23" t="s">
        <v>16</v>
      </c>
      <c r="F128" s="23" t="s">
        <v>16</v>
      </c>
      <c r="G128" s="23" t="s">
        <v>16</v>
      </c>
      <c r="H128" s="23" t="s">
        <v>16</v>
      </c>
    </row>
    <row r="129" spans="5:8">
      <c r="E129" s="23" t="s">
        <v>16</v>
      </c>
      <c r="F129" s="23" t="s">
        <v>16</v>
      </c>
      <c r="G129" s="23" t="s">
        <v>16</v>
      </c>
      <c r="H129" s="23" t="s">
        <v>16</v>
      </c>
    </row>
    <row r="130" spans="5:8">
      <c r="E130" s="23" t="s">
        <v>16</v>
      </c>
      <c r="F130" s="23" t="s">
        <v>16</v>
      </c>
      <c r="G130" s="23" t="s">
        <v>16</v>
      </c>
      <c r="H130" s="23" t="s">
        <v>16</v>
      </c>
    </row>
    <row r="131" spans="5:8">
      <c r="E131" s="23" t="s">
        <v>16</v>
      </c>
      <c r="F131" s="23" t="s">
        <v>16</v>
      </c>
      <c r="G131" s="23" t="s">
        <v>16</v>
      </c>
      <c r="H131" s="23" t="s">
        <v>16</v>
      </c>
    </row>
    <row r="132" spans="5:8">
      <c r="E132" s="23" t="s">
        <v>16</v>
      </c>
      <c r="F132" s="23" t="s">
        <v>16</v>
      </c>
      <c r="G132" s="23" t="s">
        <v>16</v>
      </c>
      <c r="H132" s="23" t="s">
        <v>16</v>
      </c>
    </row>
    <row r="133" spans="5:8">
      <c r="E133" s="23" t="s">
        <v>16</v>
      </c>
      <c r="F133" s="23" t="s">
        <v>16</v>
      </c>
      <c r="G133" s="23" t="s">
        <v>16</v>
      </c>
      <c r="H133" s="23" t="s">
        <v>16</v>
      </c>
    </row>
    <row r="134" spans="5:8">
      <c r="E134" s="23" t="s">
        <v>16</v>
      </c>
      <c r="F134" s="23" t="s">
        <v>16</v>
      </c>
      <c r="G134" s="23" t="s">
        <v>16</v>
      </c>
      <c r="H134" s="23" t="s">
        <v>16</v>
      </c>
    </row>
    <row r="135" spans="5:8">
      <c r="E135" s="23" t="s">
        <v>16</v>
      </c>
      <c r="F135" s="23" t="s">
        <v>16</v>
      </c>
      <c r="G135" s="23" t="s">
        <v>16</v>
      </c>
      <c r="H135" s="23" t="s">
        <v>16</v>
      </c>
    </row>
    <row r="136" spans="5:8">
      <c r="E136" s="23" t="s">
        <v>16</v>
      </c>
      <c r="F136" s="23" t="s">
        <v>16</v>
      </c>
      <c r="G136" s="23" t="s">
        <v>16</v>
      </c>
      <c r="H136" s="23" t="s">
        <v>16</v>
      </c>
    </row>
    <row r="137" spans="5:8">
      <c r="E137" s="23" t="s">
        <v>16</v>
      </c>
      <c r="F137" s="23" t="s">
        <v>16</v>
      </c>
      <c r="G137" s="23" t="s">
        <v>16</v>
      </c>
      <c r="H137" s="23" t="s">
        <v>16</v>
      </c>
    </row>
    <row r="138" spans="5:8">
      <c r="E138" s="23" t="s">
        <v>16</v>
      </c>
      <c r="F138" s="23" t="s">
        <v>16</v>
      </c>
      <c r="G138" s="23" t="s">
        <v>16</v>
      </c>
      <c r="H138" s="23" t="s">
        <v>16</v>
      </c>
    </row>
    <row r="139" spans="5:8">
      <c r="E139" s="23" t="s">
        <v>16</v>
      </c>
      <c r="F139" s="23" t="s">
        <v>16</v>
      </c>
      <c r="G139" s="23" t="s">
        <v>16</v>
      </c>
      <c r="H139" s="23" t="s">
        <v>16</v>
      </c>
    </row>
    <row r="140" spans="5:8">
      <c r="E140" s="23" t="s">
        <v>16</v>
      </c>
      <c r="F140" s="23" t="s">
        <v>16</v>
      </c>
      <c r="G140" s="23" t="s">
        <v>16</v>
      </c>
      <c r="H140" s="23" t="s">
        <v>16</v>
      </c>
    </row>
    <row r="141" spans="5:8">
      <c r="E141" s="23" t="s">
        <v>16</v>
      </c>
      <c r="F141" s="23" t="s">
        <v>16</v>
      </c>
      <c r="G141" s="23" t="s">
        <v>16</v>
      </c>
      <c r="H141" s="23" t="s">
        <v>16</v>
      </c>
    </row>
    <row r="142" spans="5:8">
      <c r="E142" s="23" t="s">
        <v>16</v>
      </c>
      <c r="F142" s="23" t="s">
        <v>16</v>
      </c>
      <c r="G142" s="23" t="s">
        <v>16</v>
      </c>
      <c r="H142" s="23" t="s">
        <v>16</v>
      </c>
    </row>
    <row r="143" spans="5:8">
      <c r="E143" s="23" t="s">
        <v>16</v>
      </c>
      <c r="F143" s="23" t="s">
        <v>16</v>
      </c>
      <c r="G143" s="23" t="s">
        <v>16</v>
      </c>
      <c r="H143" s="23" t="s">
        <v>16</v>
      </c>
    </row>
    <row r="144" spans="5:8">
      <c r="E144" s="23" t="s">
        <v>16</v>
      </c>
      <c r="F144" s="23" t="s">
        <v>16</v>
      </c>
      <c r="G144" s="23" t="s">
        <v>16</v>
      </c>
      <c r="H144" s="23" t="s">
        <v>16</v>
      </c>
    </row>
    <row r="145" spans="5:8">
      <c r="E145" s="23" t="s">
        <v>16</v>
      </c>
      <c r="F145" s="23" t="s">
        <v>16</v>
      </c>
      <c r="G145" s="23" t="s">
        <v>16</v>
      </c>
      <c r="H145" s="23" t="s">
        <v>16</v>
      </c>
    </row>
    <row r="146" spans="5:8">
      <c r="E146" s="23" t="s">
        <v>16</v>
      </c>
      <c r="F146" s="23" t="s">
        <v>16</v>
      </c>
      <c r="G146" s="23" t="s">
        <v>16</v>
      </c>
      <c r="H146" s="23" t="s">
        <v>16</v>
      </c>
    </row>
    <row r="147" spans="5:8">
      <c r="E147" s="23" t="s">
        <v>16</v>
      </c>
      <c r="F147" s="23" t="s">
        <v>16</v>
      </c>
      <c r="G147" s="23" t="s">
        <v>16</v>
      </c>
      <c r="H147" s="23" t="s">
        <v>16</v>
      </c>
    </row>
    <row r="148" spans="5:8">
      <c r="E148" s="23" t="s">
        <v>16</v>
      </c>
      <c r="F148" s="23" t="s">
        <v>16</v>
      </c>
      <c r="G148" s="23" t="s">
        <v>16</v>
      </c>
      <c r="H148" s="23" t="s">
        <v>16</v>
      </c>
    </row>
    <row r="149" spans="5:8">
      <c r="E149" s="23" t="s">
        <v>16</v>
      </c>
      <c r="F149" s="23" t="s">
        <v>16</v>
      </c>
      <c r="G149" s="23" t="s">
        <v>16</v>
      </c>
      <c r="H149" s="23" t="s">
        <v>16</v>
      </c>
    </row>
    <row r="150" spans="5:8">
      <c r="E150" s="23" t="s">
        <v>16</v>
      </c>
      <c r="F150" s="23" t="s">
        <v>16</v>
      </c>
      <c r="G150" s="23" t="s">
        <v>16</v>
      </c>
      <c r="H150" s="23" t="s">
        <v>16</v>
      </c>
    </row>
    <row r="151" spans="5:8">
      <c r="E151" s="23" t="s">
        <v>16</v>
      </c>
      <c r="F151" s="23" t="s">
        <v>16</v>
      </c>
      <c r="G151" s="23" t="s">
        <v>16</v>
      </c>
      <c r="H151" s="23" t="s">
        <v>16</v>
      </c>
    </row>
    <row r="152" spans="5:8">
      <c r="E152" s="23" t="s">
        <v>16</v>
      </c>
      <c r="F152" s="23" t="s">
        <v>16</v>
      </c>
      <c r="G152" s="23" t="s">
        <v>16</v>
      </c>
      <c r="H152" s="23" t="s">
        <v>16</v>
      </c>
    </row>
    <row r="153" spans="5:8">
      <c r="E153" s="23" t="s">
        <v>16</v>
      </c>
      <c r="F153" s="23" t="s">
        <v>16</v>
      </c>
      <c r="G153" s="23" t="s">
        <v>16</v>
      </c>
      <c r="H153" s="23" t="s">
        <v>16</v>
      </c>
    </row>
    <row r="154" spans="5:8">
      <c r="E154" s="23" t="s">
        <v>16</v>
      </c>
      <c r="F154" s="23" t="s">
        <v>16</v>
      </c>
      <c r="G154" s="23" t="s">
        <v>16</v>
      </c>
      <c r="H154" s="23" t="s">
        <v>16</v>
      </c>
    </row>
    <row r="155" spans="5:8">
      <c r="E155" s="23" t="s">
        <v>16</v>
      </c>
      <c r="F155" s="23" t="s">
        <v>16</v>
      </c>
      <c r="G155" s="23" t="s">
        <v>16</v>
      </c>
      <c r="H155" s="23" t="s">
        <v>16</v>
      </c>
    </row>
    <row r="156" spans="5:8">
      <c r="E156" s="23" t="s">
        <v>16</v>
      </c>
      <c r="F156" s="23" t="s">
        <v>16</v>
      </c>
      <c r="G156" s="23" t="s">
        <v>16</v>
      </c>
      <c r="H156" s="23" t="s">
        <v>16</v>
      </c>
    </row>
    <row r="157" spans="5:8">
      <c r="E157" s="23" t="s">
        <v>16</v>
      </c>
      <c r="F157" s="23" t="s">
        <v>16</v>
      </c>
      <c r="G157" s="23" t="s">
        <v>16</v>
      </c>
      <c r="H157" s="23" t="s">
        <v>16</v>
      </c>
    </row>
    <row r="158" spans="5:8">
      <c r="E158" s="23" t="s">
        <v>16</v>
      </c>
      <c r="F158" s="23" t="s">
        <v>16</v>
      </c>
      <c r="G158" s="23" t="s">
        <v>16</v>
      </c>
      <c r="H158" s="23" t="s">
        <v>16</v>
      </c>
    </row>
    <row r="159" spans="5:8">
      <c r="E159" s="23" t="s">
        <v>16</v>
      </c>
      <c r="F159" s="23" t="s">
        <v>16</v>
      </c>
      <c r="G159" s="23" t="s">
        <v>16</v>
      </c>
      <c r="H159" s="23" t="s">
        <v>16</v>
      </c>
    </row>
    <row r="160" spans="5:8">
      <c r="E160" s="23" t="s">
        <v>16</v>
      </c>
      <c r="F160" s="23" t="s">
        <v>16</v>
      </c>
      <c r="G160" s="23" t="s">
        <v>16</v>
      </c>
      <c r="H160" s="23" t="s">
        <v>16</v>
      </c>
    </row>
    <row r="161" spans="5:8">
      <c r="E161" s="23" t="s">
        <v>16</v>
      </c>
      <c r="F161" s="23" t="s">
        <v>16</v>
      </c>
      <c r="G161" s="23" t="s">
        <v>16</v>
      </c>
      <c r="H161" s="23" t="s">
        <v>16</v>
      </c>
    </row>
    <row r="162" spans="5:8">
      <c r="E162" s="23" t="s">
        <v>16</v>
      </c>
      <c r="F162" s="23" t="s">
        <v>16</v>
      </c>
      <c r="G162" s="23" t="s">
        <v>16</v>
      </c>
      <c r="H162" s="23" t="s">
        <v>16</v>
      </c>
    </row>
    <row r="163" spans="5:8">
      <c r="E163" s="23" t="s">
        <v>16</v>
      </c>
      <c r="F163" s="23" t="s">
        <v>16</v>
      </c>
      <c r="G163" s="23" t="s">
        <v>16</v>
      </c>
      <c r="H163" s="23" t="s">
        <v>16</v>
      </c>
    </row>
    <row r="164" spans="5:8">
      <c r="E164" s="23" t="s">
        <v>16</v>
      </c>
      <c r="F164" s="23" t="s">
        <v>16</v>
      </c>
      <c r="G164" s="23" t="s">
        <v>16</v>
      </c>
      <c r="H164" s="23" t="s">
        <v>16</v>
      </c>
    </row>
    <row r="165" spans="5:8">
      <c r="E165" s="23" t="s">
        <v>16</v>
      </c>
      <c r="F165" s="23" t="s">
        <v>16</v>
      </c>
      <c r="G165" s="23" t="s">
        <v>16</v>
      </c>
      <c r="H165" s="23" t="s">
        <v>16</v>
      </c>
    </row>
    <row r="166" spans="5:8">
      <c r="E166" s="23" t="s">
        <v>16</v>
      </c>
      <c r="F166" s="23" t="s">
        <v>16</v>
      </c>
      <c r="G166" s="23" t="s">
        <v>16</v>
      </c>
      <c r="H166" s="23" t="s">
        <v>16</v>
      </c>
    </row>
    <row r="167" spans="5:8">
      <c r="E167" s="23" t="s">
        <v>16</v>
      </c>
      <c r="F167" s="23" t="s">
        <v>16</v>
      </c>
      <c r="G167" s="23" t="s">
        <v>16</v>
      </c>
      <c r="H167" s="23" t="s">
        <v>16</v>
      </c>
    </row>
    <row r="168" spans="5:8">
      <c r="E168" s="23" t="s">
        <v>16</v>
      </c>
      <c r="F168" s="23" t="s">
        <v>16</v>
      </c>
      <c r="G168" s="23" t="s">
        <v>16</v>
      </c>
      <c r="H168" s="23" t="s">
        <v>16</v>
      </c>
    </row>
    <row r="169" spans="5:8">
      <c r="E169" s="23" t="s">
        <v>16</v>
      </c>
      <c r="F169" s="23" t="s">
        <v>16</v>
      </c>
      <c r="G169" s="23" t="s">
        <v>16</v>
      </c>
      <c r="H169" s="23" t="s">
        <v>16</v>
      </c>
    </row>
    <row r="170" spans="5:8">
      <c r="E170" s="23" t="s">
        <v>16</v>
      </c>
      <c r="F170" s="23" t="s">
        <v>16</v>
      </c>
      <c r="G170" s="23" t="s">
        <v>16</v>
      </c>
      <c r="H170" s="23" t="s">
        <v>16</v>
      </c>
    </row>
    <row r="171" spans="5:8">
      <c r="E171" s="23" t="s">
        <v>16</v>
      </c>
      <c r="F171" s="23" t="s">
        <v>16</v>
      </c>
      <c r="G171" s="23" t="s">
        <v>16</v>
      </c>
      <c r="H171" s="23" t="s">
        <v>16</v>
      </c>
    </row>
    <row r="172" spans="5:8">
      <c r="E172" s="23" t="s">
        <v>16</v>
      </c>
      <c r="F172" s="23" t="s">
        <v>16</v>
      </c>
      <c r="G172" s="23" t="s">
        <v>16</v>
      </c>
      <c r="H172" s="23" t="s">
        <v>16</v>
      </c>
    </row>
    <row r="173" spans="5:8">
      <c r="E173" s="23" t="s">
        <v>16</v>
      </c>
      <c r="F173" s="23" t="s">
        <v>16</v>
      </c>
      <c r="G173" s="23" t="s">
        <v>16</v>
      </c>
      <c r="H173" s="23" t="s">
        <v>16</v>
      </c>
    </row>
    <row r="174" spans="5:8">
      <c r="E174" s="23" t="s">
        <v>16</v>
      </c>
      <c r="F174" s="23" t="s">
        <v>16</v>
      </c>
      <c r="G174" s="23" t="s">
        <v>16</v>
      </c>
      <c r="H174" s="23" t="s">
        <v>16</v>
      </c>
    </row>
    <row r="175" spans="5:8">
      <c r="E175" s="23" t="s">
        <v>16</v>
      </c>
      <c r="F175" s="23" t="s">
        <v>16</v>
      </c>
      <c r="G175" s="23" t="s">
        <v>16</v>
      </c>
      <c r="H175" s="23" t="s">
        <v>16</v>
      </c>
    </row>
    <row r="176" spans="5:8">
      <c r="E176" s="23" t="s">
        <v>16</v>
      </c>
      <c r="F176" s="23" t="s">
        <v>16</v>
      </c>
      <c r="G176" s="23" t="s">
        <v>16</v>
      </c>
      <c r="H176" s="23" t="s">
        <v>16</v>
      </c>
    </row>
    <row r="177" spans="5:8">
      <c r="E177" s="23" t="s">
        <v>16</v>
      </c>
      <c r="F177" s="23" t="s">
        <v>16</v>
      </c>
      <c r="G177" s="23" t="s">
        <v>16</v>
      </c>
      <c r="H177" s="23" t="s">
        <v>16</v>
      </c>
    </row>
    <row r="178" spans="5:8">
      <c r="E178" s="23" t="s">
        <v>16</v>
      </c>
      <c r="F178" s="23" t="s">
        <v>16</v>
      </c>
      <c r="G178" s="23" t="s">
        <v>16</v>
      </c>
      <c r="H178" s="23" t="s">
        <v>16</v>
      </c>
    </row>
    <row r="179" spans="5:8">
      <c r="E179" s="23" t="s">
        <v>16</v>
      </c>
      <c r="F179" s="23" t="s">
        <v>16</v>
      </c>
      <c r="G179" s="23" t="s">
        <v>16</v>
      </c>
      <c r="H179" s="23" t="s">
        <v>16</v>
      </c>
    </row>
    <row r="180" spans="5:8">
      <c r="E180" s="23" t="s">
        <v>16</v>
      </c>
      <c r="F180" s="23" t="s">
        <v>16</v>
      </c>
      <c r="G180" s="23" t="s">
        <v>16</v>
      </c>
      <c r="H180" s="23" t="s">
        <v>16</v>
      </c>
    </row>
    <row r="181" spans="5:8">
      <c r="E181" s="23" t="s">
        <v>16</v>
      </c>
      <c r="F181" s="23" t="s">
        <v>16</v>
      </c>
      <c r="G181" s="23" t="s">
        <v>16</v>
      </c>
      <c r="H181" s="23" t="s">
        <v>16</v>
      </c>
    </row>
    <row r="182" spans="5:8">
      <c r="E182" s="23" t="s">
        <v>16</v>
      </c>
      <c r="F182" s="23" t="s">
        <v>16</v>
      </c>
      <c r="G182" s="23" t="s">
        <v>16</v>
      </c>
      <c r="H182" s="23" t="s">
        <v>16</v>
      </c>
    </row>
    <row r="183" spans="5:8">
      <c r="E183" s="23" t="s">
        <v>16</v>
      </c>
      <c r="F183" s="23" t="s">
        <v>16</v>
      </c>
      <c r="G183" s="23" t="s">
        <v>16</v>
      </c>
      <c r="H183" s="23" t="s">
        <v>16</v>
      </c>
    </row>
    <row r="184" spans="5:8">
      <c r="E184" s="23" t="s">
        <v>16</v>
      </c>
      <c r="F184" s="23" t="s">
        <v>16</v>
      </c>
      <c r="G184" s="23" t="s">
        <v>16</v>
      </c>
      <c r="H184" s="23" t="s">
        <v>16</v>
      </c>
    </row>
    <row r="185" spans="5:8">
      <c r="E185" s="23" t="s">
        <v>16</v>
      </c>
      <c r="F185" s="23" t="s">
        <v>16</v>
      </c>
      <c r="G185" s="23" t="s">
        <v>16</v>
      </c>
      <c r="H185" s="23" t="s">
        <v>16</v>
      </c>
    </row>
    <row r="186" spans="5:8">
      <c r="E186" s="23" t="s">
        <v>16</v>
      </c>
      <c r="F186" s="23" t="s">
        <v>16</v>
      </c>
      <c r="G186" s="23" t="s">
        <v>16</v>
      </c>
      <c r="H186" s="23" t="s">
        <v>16</v>
      </c>
    </row>
    <row r="187" spans="5:8">
      <c r="E187" s="23" t="s">
        <v>16</v>
      </c>
      <c r="F187" s="23" t="s">
        <v>16</v>
      </c>
      <c r="G187" s="23" t="s">
        <v>16</v>
      </c>
      <c r="H187" s="23" t="s">
        <v>16</v>
      </c>
    </row>
    <row r="188" spans="5:8">
      <c r="E188" s="23" t="s">
        <v>16</v>
      </c>
      <c r="F188" s="23" t="s">
        <v>16</v>
      </c>
      <c r="G188" s="23" t="s">
        <v>16</v>
      </c>
      <c r="H188" s="23" t="s">
        <v>16</v>
      </c>
    </row>
    <row r="189" spans="5:8">
      <c r="E189" s="23" t="s">
        <v>16</v>
      </c>
      <c r="F189" s="23" t="s">
        <v>16</v>
      </c>
      <c r="G189" s="23" t="s">
        <v>16</v>
      </c>
      <c r="H189" s="23" t="s">
        <v>16</v>
      </c>
    </row>
    <row r="190" spans="5:8">
      <c r="E190" s="23" t="s">
        <v>16</v>
      </c>
      <c r="F190" s="23" t="s">
        <v>16</v>
      </c>
      <c r="G190" s="23" t="s">
        <v>16</v>
      </c>
      <c r="H190" s="23" t="s">
        <v>16</v>
      </c>
    </row>
    <row r="191" spans="5:8">
      <c r="E191" s="23" t="s">
        <v>16</v>
      </c>
      <c r="F191" s="23" t="s">
        <v>16</v>
      </c>
      <c r="G191" s="23" t="s">
        <v>16</v>
      </c>
      <c r="H191" s="23" t="s">
        <v>16</v>
      </c>
    </row>
    <row r="192" spans="5:8">
      <c r="E192" s="23" t="s">
        <v>16</v>
      </c>
      <c r="F192" s="23" t="s">
        <v>16</v>
      </c>
      <c r="G192" s="23" t="s">
        <v>16</v>
      </c>
      <c r="H192" s="23" t="s">
        <v>16</v>
      </c>
    </row>
    <row r="193" spans="5:8">
      <c r="E193" s="23" t="s">
        <v>16</v>
      </c>
      <c r="F193" s="23" t="s">
        <v>16</v>
      </c>
      <c r="G193" s="23" t="s">
        <v>16</v>
      </c>
      <c r="H193" s="23" t="s">
        <v>16</v>
      </c>
    </row>
    <row r="194" spans="5:8">
      <c r="E194" s="23" t="s">
        <v>16</v>
      </c>
      <c r="F194" s="23" t="s">
        <v>16</v>
      </c>
      <c r="G194" s="23" t="s">
        <v>16</v>
      </c>
      <c r="H194" s="23" t="s">
        <v>16</v>
      </c>
    </row>
    <row r="195" spans="5:8">
      <c r="E195" s="23" t="s">
        <v>16</v>
      </c>
      <c r="F195" s="23" t="s">
        <v>16</v>
      </c>
      <c r="G195" s="23" t="s">
        <v>16</v>
      </c>
      <c r="H195" s="23" t="s">
        <v>16</v>
      </c>
    </row>
    <row r="196" spans="5:8">
      <c r="E196" s="23" t="s">
        <v>16</v>
      </c>
      <c r="F196" s="23" t="s">
        <v>16</v>
      </c>
      <c r="G196" s="23" t="s">
        <v>16</v>
      </c>
      <c r="H196" s="23" t="s">
        <v>16</v>
      </c>
    </row>
    <row r="197" spans="5:8">
      <c r="E197" s="23" t="s">
        <v>16</v>
      </c>
      <c r="F197" s="23" t="s">
        <v>16</v>
      </c>
      <c r="G197" s="23" t="s">
        <v>16</v>
      </c>
      <c r="H197" s="23" t="s">
        <v>16</v>
      </c>
    </row>
    <row r="198" spans="5:8">
      <c r="E198" s="23" t="s">
        <v>16</v>
      </c>
      <c r="F198" s="23" t="s">
        <v>16</v>
      </c>
      <c r="G198" s="23" t="s">
        <v>16</v>
      </c>
      <c r="H198" s="23" t="s">
        <v>16</v>
      </c>
    </row>
    <row r="199" spans="5:8">
      <c r="E199" s="23" t="s">
        <v>16</v>
      </c>
      <c r="F199" s="23" t="s">
        <v>16</v>
      </c>
      <c r="G199" s="23" t="s">
        <v>16</v>
      </c>
      <c r="H199" s="23" t="s">
        <v>16</v>
      </c>
    </row>
    <row r="200" spans="5:8">
      <c r="E200" s="23" t="s">
        <v>16</v>
      </c>
      <c r="F200" s="23" t="s">
        <v>16</v>
      </c>
      <c r="G200" s="23" t="s">
        <v>16</v>
      </c>
      <c r="H200" s="23" t="s">
        <v>16</v>
      </c>
    </row>
    <row r="201" spans="5:8">
      <c r="E201" s="23" t="s">
        <v>16</v>
      </c>
      <c r="F201" s="23" t="s">
        <v>16</v>
      </c>
      <c r="G201" s="23" t="s">
        <v>16</v>
      </c>
      <c r="H201" s="23" t="s">
        <v>16</v>
      </c>
    </row>
    <row r="202" spans="5:8">
      <c r="E202" s="23" t="s">
        <v>16</v>
      </c>
      <c r="F202" s="23" t="s">
        <v>16</v>
      </c>
      <c r="G202" s="23" t="s">
        <v>16</v>
      </c>
      <c r="H202" s="23" t="s">
        <v>16</v>
      </c>
    </row>
    <row r="203" spans="5:8">
      <c r="E203" s="23"/>
      <c r="F203" s="23"/>
      <c r="G203" s="23"/>
      <c r="H203" s="23"/>
    </row>
    <row r="204" spans="5:8">
      <c r="E204" s="23"/>
      <c r="F204" s="23"/>
      <c r="G204" s="23"/>
      <c r="H204" s="23"/>
    </row>
    <row r="205" spans="5:8">
      <c r="E205" s="23"/>
      <c r="F205" s="23"/>
      <c r="G205" s="23"/>
      <c r="H205" s="23"/>
    </row>
    <row r="206" spans="5:8">
      <c r="E206" s="23"/>
      <c r="F206" s="23"/>
      <c r="G206" s="23"/>
      <c r="H206" s="23"/>
    </row>
    <row r="207" spans="5:8">
      <c r="E207" s="23"/>
      <c r="F207" s="23"/>
      <c r="G207" s="23"/>
      <c r="H207" s="23"/>
    </row>
    <row r="208" spans="5:8">
      <c r="E208" s="23"/>
      <c r="F208" s="23"/>
      <c r="G208" s="23"/>
      <c r="H208" s="23"/>
    </row>
    <row r="209" spans="5:8">
      <c r="E209" s="23"/>
      <c r="F209" s="23"/>
      <c r="G209" s="23"/>
      <c r="H209" s="23"/>
    </row>
    <row r="210" spans="5:8">
      <c r="E210" s="23"/>
      <c r="F210" s="23"/>
      <c r="G210" s="23"/>
      <c r="H210" s="23"/>
    </row>
    <row r="211" spans="5:8">
      <c r="E211" s="23"/>
      <c r="F211" s="23"/>
      <c r="G211" s="23"/>
      <c r="H211" s="23"/>
    </row>
    <row r="212" spans="5:8">
      <c r="E212" s="23"/>
      <c r="F212" s="23"/>
      <c r="G212" s="23"/>
      <c r="H212" s="23"/>
    </row>
    <row r="213" spans="5:8">
      <c r="E213" s="23"/>
      <c r="F213" s="23"/>
      <c r="G213" s="23"/>
      <c r="H213" s="23"/>
    </row>
    <row r="214" spans="5:8">
      <c r="E214" s="23"/>
      <c r="F214" s="23"/>
      <c r="G214" s="23"/>
      <c r="H214" s="23"/>
    </row>
    <row r="215" spans="5:8">
      <c r="E215" s="23"/>
      <c r="F215" s="23"/>
      <c r="G215" s="23"/>
      <c r="H215" s="23"/>
    </row>
    <row r="216" spans="5:8">
      <c r="E216" s="23"/>
      <c r="F216" s="23"/>
      <c r="G216" s="23"/>
      <c r="H216" s="23"/>
    </row>
    <row r="217" spans="5:8">
      <c r="E217" s="23"/>
      <c r="F217" s="23"/>
      <c r="G217" s="23"/>
      <c r="H217" s="23"/>
    </row>
    <row r="218" spans="5:8">
      <c r="E218" s="23"/>
      <c r="F218" s="23"/>
      <c r="G218" s="23"/>
      <c r="H218" s="23"/>
    </row>
    <row r="219" spans="5:8">
      <c r="E219" s="23"/>
      <c r="F219" s="23"/>
      <c r="G219" s="23"/>
      <c r="H219" s="23"/>
    </row>
    <row r="220" spans="5:8">
      <c r="E220" s="23"/>
      <c r="F220" s="23"/>
      <c r="G220" s="23"/>
      <c r="H220" s="23"/>
    </row>
    <row r="221" spans="5:8">
      <c r="E221" s="23"/>
      <c r="F221" s="23"/>
      <c r="G221" s="23"/>
      <c r="H221" s="23"/>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pageSetUpPr fitToPage="1"/>
  </sheetPr>
  <dimension ref="A1:I874"/>
  <sheetViews>
    <sheetView showGridLines="0" view="pageBreakPreview" zoomScale="85" zoomScaleNormal="100" topLeftCell="A38" workbookViewId="0">
      <selection activeCell="E27" sqref="E27"/>
    </sheetView>
  </sheetViews>
  <sheetFormatPr defaultColWidth="9.25" defaultRowHeight="13.8"/>
  <cols>
    <col min="1" max="1" width="7.62962962962963" style="31" customWidth="1"/>
    <col min="2" max="2" width="39.5" style="27" customWidth="1"/>
    <col min="3" max="4" width="30.75" style="32" customWidth="1"/>
    <col min="5" max="8" width="13.8796296296296" style="45" customWidth="1"/>
    <col min="9" max="16384" width="9.25" style="31"/>
  </cols>
  <sheetData>
    <row r="1" spans="1:8">
      <c r="A1" s="6" t="s">
        <v>2458</v>
      </c>
      <c r="B1" s="6"/>
      <c r="C1" s="7"/>
      <c r="D1" s="7"/>
      <c r="E1" s="6"/>
      <c r="F1" s="6"/>
      <c r="G1" s="6"/>
      <c r="H1" s="6"/>
    </row>
    <row r="2" spans="1:8">
      <c r="A2" s="8" t="s">
        <v>4</v>
      </c>
      <c r="B2" s="8"/>
      <c r="C2" s="8"/>
      <c r="D2" s="8"/>
      <c r="E2" s="34"/>
      <c r="F2" s="34"/>
      <c r="G2" s="34"/>
      <c r="H2" s="34"/>
    </row>
    <row r="3" spans="1:8">
      <c r="A3" s="9" t="s">
        <v>5</v>
      </c>
      <c r="B3" s="9" t="s">
        <v>6</v>
      </c>
      <c r="C3" s="9" t="s">
        <v>7</v>
      </c>
      <c r="D3" s="9"/>
      <c r="E3" s="10" t="s">
        <v>8</v>
      </c>
      <c r="F3" s="10"/>
      <c r="G3" s="10"/>
      <c r="H3" s="10"/>
    </row>
    <row r="4" spans="1:8">
      <c r="A4" s="11"/>
      <c r="B4" s="11"/>
      <c r="C4" s="9" t="s">
        <v>9</v>
      </c>
      <c r="D4" s="9" t="s">
        <v>10</v>
      </c>
      <c r="E4" s="10" t="s">
        <v>11</v>
      </c>
      <c r="F4" s="10" t="s">
        <v>12</v>
      </c>
      <c r="G4" s="10" t="s">
        <v>13</v>
      </c>
      <c r="H4" s="10" t="s">
        <v>14</v>
      </c>
    </row>
    <row r="5" spans="1:8">
      <c r="A5" s="13" t="s">
        <v>15</v>
      </c>
      <c r="B5" s="13"/>
      <c r="C5" s="39"/>
      <c r="D5" s="15"/>
      <c r="E5" s="10" t="s">
        <v>16</v>
      </c>
      <c r="F5" s="10" t="s">
        <v>16</v>
      </c>
      <c r="G5" s="10" t="s">
        <v>16</v>
      </c>
      <c r="H5" s="10" t="s">
        <v>16</v>
      </c>
    </row>
    <row r="6" spans="1:8">
      <c r="A6" s="16">
        <v>1</v>
      </c>
      <c r="B6" s="18" t="s">
        <v>2459</v>
      </c>
      <c r="C6" s="64" t="s">
        <v>2460</v>
      </c>
      <c r="D6" s="64" t="s">
        <v>2461</v>
      </c>
      <c r="E6" s="38">
        <v>2450000</v>
      </c>
      <c r="F6" s="21">
        <v>1700000</v>
      </c>
      <c r="G6" s="21">
        <v>1200000</v>
      </c>
      <c r="H6" s="21">
        <v>850000</v>
      </c>
    </row>
    <row r="7" spans="1:8">
      <c r="A7" s="16"/>
      <c r="B7" s="18" t="s">
        <v>2459</v>
      </c>
      <c r="C7" s="18" t="s">
        <v>2461</v>
      </c>
      <c r="D7" s="18" t="s">
        <v>534</v>
      </c>
      <c r="E7" s="38">
        <v>1850000</v>
      </c>
      <c r="F7" s="21">
        <v>1300000</v>
      </c>
      <c r="G7" s="21">
        <v>900000</v>
      </c>
      <c r="H7" s="21">
        <v>650000</v>
      </c>
    </row>
    <row r="8" spans="1:8">
      <c r="A8" s="16">
        <v>2</v>
      </c>
      <c r="B8" s="18" t="s">
        <v>2462</v>
      </c>
      <c r="C8" s="18"/>
      <c r="D8" s="18"/>
      <c r="E8" s="38">
        <v>600000</v>
      </c>
      <c r="F8" s="21">
        <v>420000</v>
      </c>
      <c r="G8" s="21">
        <v>295000</v>
      </c>
      <c r="H8" s="21">
        <v>205000</v>
      </c>
    </row>
    <row r="9" spans="1:8">
      <c r="A9" s="16">
        <v>3</v>
      </c>
      <c r="B9" s="18" t="s">
        <v>2463</v>
      </c>
      <c r="C9" s="64" t="s">
        <v>2460</v>
      </c>
      <c r="D9" s="64" t="s">
        <v>2464</v>
      </c>
      <c r="E9" s="23">
        <v>1850000</v>
      </c>
      <c r="F9" s="23">
        <v>1300000</v>
      </c>
      <c r="G9" s="23">
        <v>900000</v>
      </c>
      <c r="H9" s="23">
        <v>650000</v>
      </c>
    </row>
    <row r="10" spans="1:8">
      <c r="A10" s="16">
        <v>4</v>
      </c>
      <c r="B10" s="18" t="s">
        <v>2465</v>
      </c>
      <c r="C10" s="18" t="s">
        <v>2466</v>
      </c>
      <c r="D10" s="18" t="s">
        <v>2467</v>
      </c>
      <c r="E10" s="23">
        <v>3050000</v>
      </c>
      <c r="F10" s="23">
        <v>2100000</v>
      </c>
      <c r="G10" s="23">
        <v>1500000</v>
      </c>
      <c r="H10" s="23">
        <v>1050000</v>
      </c>
    </row>
    <row r="11" spans="1:8">
      <c r="A11" s="16">
        <v>5</v>
      </c>
      <c r="B11" s="18" t="s">
        <v>2468</v>
      </c>
      <c r="C11" s="221" t="s">
        <v>2469</v>
      </c>
      <c r="D11" s="18" t="s">
        <v>2470</v>
      </c>
      <c r="E11" s="23">
        <v>2200000</v>
      </c>
      <c r="F11" s="23">
        <v>1550000</v>
      </c>
      <c r="G11" s="23">
        <v>1100000</v>
      </c>
      <c r="H11" s="23">
        <v>750000</v>
      </c>
    </row>
    <row r="12" spans="1:8">
      <c r="A12" s="16">
        <v>6</v>
      </c>
      <c r="B12" s="18" t="s">
        <v>2460</v>
      </c>
      <c r="C12" s="221" t="s">
        <v>2471</v>
      </c>
      <c r="D12" s="18" t="s">
        <v>2472</v>
      </c>
      <c r="E12" s="23">
        <v>4000000</v>
      </c>
      <c r="F12" s="23">
        <v>2800000</v>
      </c>
      <c r="G12" s="23">
        <v>1950000</v>
      </c>
      <c r="H12" s="23">
        <v>1400000</v>
      </c>
    </row>
    <row r="13" spans="1:8">
      <c r="A13" s="16">
        <v>7</v>
      </c>
      <c r="B13" s="18" t="s">
        <v>2473</v>
      </c>
      <c r="C13" s="18" t="s">
        <v>2460</v>
      </c>
      <c r="D13" s="18" t="s">
        <v>2474</v>
      </c>
      <c r="E13" s="23">
        <v>2450000</v>
      </c>
      <c r="F13" s="23">
        <v>1700000</v>
      </c>
      <c r="G13" s="23">
        <v>1200000</v>
      </c>
      <c r="H13" s="23">
        <v>850000</v>
      </c>
    </row>
    <row r="14" spans="1:8">
      <c r="A14" s="16">
        <v>8</v>
      </c>
      <c r="B14" s="18" t="s">
        <v>2475</v>
      </c>
      <c r="C14" s="18" t="s">
        <v>2460</v>
      </c>
      <c r="D14" s="18" t="s">
        <v>2474</v>
      </c>
      <c r="E14" s="23">
        <v>2450000</v>
      </c>
      <c r="F14" s="23">
        <v>1700000</v>
      </c>
      <c r="G14" s="23">
        <v>1200000</v>
      </c>
      <c r="H14" s="23">
        <v>850000</v>
      </c>
    </row>
    <row r="15" spans="1:8">
      <c r="A15" s="16">
        <v>9</v>
      </c>
      <c r="B15" s="221" t="s">
        <v>2476</v>
      </c>
      <c r="C15" s="18" t="s">
        <v>2460</v>
      </c>
      <c r="D15" s="18" t="s">
        <v>2477</v>
      </c>
      <c r="E15" s="23">
        <v>3050000</v>
      </c>
      <c r="F15" s="23">
        <v>2100000</v>
      </c>
      <c r="G15" s="23">
        <v>1500000</v>
      </c>
      <c r="H15" s="23">
        <v>1050000</v>
      </c>
    </row>
    <row r="16" spans="1:8">
      <c r="A16" s="16">
        <v>10</v>
      </c>
      <c r="B16" s="18" t="s">
        <v>2477</v>
      </c>
      <c r="C16" s="18" t="s">
        <v>2478</v>
      </c>
      <c r="D16" s="18" t="s">
        <v>2479</v>
      </c>
      <c r="E16" s="23">
        <v>4000000</v>
      </c>
      <c r="F16" s="23">
        <v>2800000</v>
      </c>
      <c r="G16" s="23">
        <v>1950000</v>
      </c>
      <c r="H16" s="23">
        <v>1400000</v>
      </c>
    </row>
    <row r="17" spans="1:9">
      <c r="A17" s="16">
        <v>11</v>
      </c>
      <c r="B17" s="18" t="s">
        <v>2480</v>
      </c>
      <c r="C17" s="18" t="s">
        <v>2460</v>
      </c>
      <c r="D17" s="18" t="s">
        <v>2481</v>
      </c>
      <c r="E17" s="23">
        <v>2200000</v>
      </c>
      <c r="F17" s="23">
        <v>1550000</v>
      </c>
      <c r="G17" s="23">
        <v>1100000</v>
      </c>
      <c r="H17" s="23">
        <v>750000</v>
      </c>
    </row>
    <row r="18" spans="1:9">
      <c r="A18" s="16">
        <v>12</v>
      </c>
      <c r="B18" s="221" t="s">
        <v>2482</v>
      </c>
      <c r="C18" s="18" t="s">
        <v>2480</v>
      </c>
      <c r="D18" s="18" t="s">
        <v>2483</v>
      </c>
      <c r="E18" s="23">
        <v>1850000</v>
      </c>
      <c r="F18" s="23">
        <v>1300000</v>
      </c>
      <c r="G18" s="23">
        <v>900000</v>
      </c>
      <c r="H18" s="23">
        <v>650000</v>
      </c>
    </row>
    <row r="19" spans="1:9">
      <c r="A19" s="16">
        <v>13</v>
      </c>
      <c r="B19" s="18" t="s">
        <v>2484</v>
      </c>
      <c r="C19" s="221" t="s">
        <v>2460</v>
      </c>
      <c r="D19" s="18" t="s">
        <v>2485</v>
      </c>
      <c r="E19" s="23">
        <v>1100000</v>
      </c>
      <c r="F19" s="23">
        <v>750000</v>
      </c>
      <c r="G19" s="23">
        <v>550000</v>
      </c>
      <c r="H19" s="23">
        <v>370000</v>
      </c>
    </row>
    <row r="20" spans="1:9">
      <c r="A20" s="16"/>
      <c r="B20" s="18" t="s">
        <v>2484</v>
      </c>
      <c r="C20" s="221" t="s">
        <v>2486</v>
      </c>
      <c r="D20" s="18" t="s">
        <v>2468</v>
      </c>
      <c r="E20" s="23">
        <v>2200000</v>
      </c>
      <c r="F20" s="23">
        <v>1550000</v>
      </c>
      <c r="G20" s="23">
        <v>1100000</v>
      </c>
      <c r="H20" s="23">
        <v>750000</v>
      </c>
    </row>
    <row r="21" spans="1:9">
      <c r="A21" s="16">
        <v>14</v>
      </c>
      <c r="B21" s="18" t="s">
        <v>2474</v>
      </c>
      <c r="C21" s="18" t="s">
        <v>2460</v>
      </c>
      <c r="D21" s="18" t="s">
        <v>2487</v>
      </c>
      <c r="E21" s="23">
        <v>2450000</v>
      </c>
      <c r="F21" s="23">
        <v>1700000</v>
      </c>
      <c r="G21" s="23">
        <v>1200000</v>
      </c>
      <c r="H21" s="23">
        <v>850000</v>
      </c>
    </row>
    <row r="22" s="30" customFormat="1" ht="14.4" spans="1:9">
      <c r="A22" s="39" t="s">
        <v>136</v>
      </c>
      <c r="B22" s="18"/>
      <c r="C22" s="18"/>
      <c r="D22" s="18"/>
      <c r="E22" s="23"/>
      <c r="F22" s="23"/>
      <c r="G22" s="23"/>
      <c r="H22" s="23"/>
    </row>
    <row r="23" spans="1:9">
      <c r="A23" s="16">
        <v>15</v>
      </c>
      <c r="B23" s="20" t="s">
        <v>137</v>
      </c>
      <c r="C23" s="18"/>
      <c r="D23" s="18"/>
      <c r="E23" s="23">
        <v>600000</v>
      </c>
      <c r="F23" s="23">
        <v>420000</v>
      </c>
      <c r="G23" s="23">
        <v>295000</v>
      </c>
      <c r="H23" s="23">
        <v>205000</v>
      </c>
      <c r="I23" s="31" t="s">
        <v>1068</v>
      </c>
    </row>
    <row r="24" spans="1:9">
      <c r="A24" s="223" t="s">
        <v>205</v>
      </c>
      <c r="B24" s="13"/>
      <c r="C24" s="39"/>
      <c r="D24" s="39"/>
      <c r="E24" s="23" t="s">
        <v>16</v>
      </c>
      <c r="F24" s="23" t="s">
        <v>16</v>
      </c>
      <c r="G24" s="23" t="s">
        <v>16</v>
      </c>
      <c r="H24" s="23" t="s">
        <v>16</v>
      </c>
    </row>
    <row r="25" spans="1:9">
      <c r="A25" s="46">
        <v>16</v>
      </c>
      <c r="B25" s="220" t="s">
        <v>1400</v>
      </c>
      <c r="C25" s="15"/>
      <c r="D25" s="15"/>
      <c r="E25" s="23" t="s">
        <v>16</v>
      </c>
      <c r="F25" s="23" t="s">
        <v>16</v>
      </c>
      <c r="G25" s="23" t="s">
        <v>16</v>
      </c>
      <c r="H25" s="23" t="s">
        <v>16</v>
      </c>
    </row>
    <row r="26" ht="27.6" spans="1:9">
      <c r="A26" s="16"/>
      <c r="B26" s="18" t="s">
        <v>2488</v>
      </c>
      <c r="C26" s="18"/>
      <c r="D26" s="18"/>
      <c r="E26" s="23">
        <v>1950000</v>
      </c>
      <c r="F26" s="23">
        <v>1350000</v>
      </c>
      <c r="G26" s="23">
        <v>950000</v>
      </c>
      <c r="H26" s="23">
        <v>0</v>
      </c>
    </row>
    <row r="27" ht="27.6" spans="1:9">
      <c r="A27" s="16"/>
      <c r="B27" s="18" t="s">
        <v>2489</v>
      </c>
      <c r="C27" s="18"/>
      <c r="D27" s="18"/>
      <c r="E27" s="23">
        <v>1200000</v>
      </c>
      <c r="F27" s="23">
        <v>850000</v>
      </c>
      <c r="G27" s="23">
        <v>600000</v>
      </c>
      <c r="H27" s="23">
        <v>0</v>
      </c>
    </row>
    <row r="28" spans="1:9">
      <c r="A28" s="16">
        <v>17</v>
      </c>
      <c r="B28" s="17" t="s">
        <v>2490</v>
      </c>
      <c r="C28" s="15"/>
      <c r="D28" s="15"/>
      <c r="E28" s="23" t="s">
        <v>16</v>
      </c>
      <c r="F28" s="23" t="s">
        <v>16</v>
      </c>
      <c r="G28" s="23" t="s">
        <v>16</v>
      </c>
      <c r="H28" s="23" t="s">
        <v>16</v>
      </c>
    </row>
    <row r="29" ht="27.6" spans="1:9">
      <c r="A29" s="16"/>
      <c r="B29" s="18" t="s">
        <v>2491</v>
      </c>
      <c r="C29" s="18"/>
      <c r="D29" s="18"/>
      <c r="E29" s="23">
        <v>700000</v>
      </c>
      <c r="F29" s="23">
        <v>490000</v>
      </c>
      <c r="G29" s="23">
        <v>340000</v>
      </c>
      <c r="H29" s="23">
        <v>0</v>
      </c>
    </row>
    <row r="30" ht="27.6" spans="1:9">
      <c r="A30" s="16"/>
      <c r="B30" s="18" t="s">
        <v>2492</v>
      </c>
      <c r="C30" s="18"/>
      <c r="D30" s="18"/>
      <c r="E30" s="23">
        <v>500000</v>
      </c>
      <c r="F30" s="23">
        <v>345000</v>
      </c>
      <c r="G30" s="23">
        <v>245000</v>
      </c>
      <c r="H30" s="23">
        <v>0</v>
      </c>
    </row>
    <row r="31" ht="27.6" spans="1:9">
      <c r="A31" s="16"/>
      <c r="B31" s="18" t="s">
        <v>2493</v>
      </c>
      <c r="C31" s="18"/>
      <c r="D31" s="18"/>
      <c r="E31" s="23">
        <v>500000</v>
      </c>
      <c r="F31" s="23">
        <v>345000</v>
      </c>
      <c r="G31" s="23">
        <v>245000</v>
      </c>
      <c r="H31" s="23">
        <v>0</v>
      </c>
    </row>
    <row r="32" ht="27.6" spans="1:9">
      <c r="A32" s="16"/>
      <c r="B32" s="18" t="s">
        <v>2494</v>
      </c>
      <c r="C32" s="18"/>
      <c r="D32" s="18"/>
      <c r="E32" s="23">
        <v>550000</v>
      </c>
      <c r="F32" s="23">
        <v>380000</v>
      </c>
      <c r="G32" s="23">
        <v>270000</v>
      </c>
      <c r="H32" s="23">
        <v>0</v>
      </c>
    </row>
    <row r="33" ht="27.6" spans="1:8">
      <c r="A33" s="16"/>
      <c r="B33" s="18" t="s">
        <v>2495</v>
      </c>
      <c r="C33" s="18"/>
      <c r="D33" s="18"/>
      <c r="E33" s="23">
        <v>550000</v>
      </c>
      <c r="F33" s="23">
        <v>380000</v>
      </c>
      <c r="G33" s="23">
        <v>270000</v>
      </c>
      <c r="H33" s="23">
        <v>0</v>
      </c>
    </row>
    <row r="34" ht="27.6" spans="1:8">
      <c r="A34" s="16">
        <v>18</v>
      </c>
      <c r="B34" s="18" t="s">
        <v>2496</v>
      </c>
      <c r="C34" s="18"/>
      <c r="D34" s="18"/>
      <c r="E34" s="23">
        <v>1100000</v>
      </c>
      <c r="F34" s="23">
        <v>750000</v>
      </c>
      <c r="G34" s="23">
        <v>550000</v>
      </c>
      <c r="H34" s="23">
        <v>0</v>
      </c>
    </row>
    <row r="35" ht="27.6" spans="1:8">
      <c r="A35" s="16">
        <v>19</v>
      </c>
      <c r="B35" s="18" t="s">
        <v>2497</v>
      </c>
      <c r="C35" s="18"/>
      <c r="D35" s="18"/>
      <c r="E35" s="23">
        <v>800000</v>
      </c>
      <c r="F35" s="23">
        <v>550000</v>
      </c>
      <c r="G35" s="23">
        <v>390000</v>
      </c>
      <c r="H35" s="23">
        <v>0</v>
      </c>
    </row>
    <row r="36" ht="41.4" spans="1:8">
      <c r="A36" s="16">
        <v>20</v>
      </c>
      <c r="B36" s="18" t="s">
        <v>2498</v>
      </c>
      <c r="C36" s="18"/>
      <c r="D36" s="18"/>
      <c r="E36" s="23">
        <v>650000</v>
      </c>
      <c r="F36" s="23">
        <v>450000</v>
      </c>
      <c r="G36" s="23">
        <v>315000</v>
      </c>
      <c r="H36" s="23">
        <v>0</v>
      </c>
    </row>
    <row r="37" spans="1:8">
      <c r="A37" s="13" t="s">
        <v>217</v>
      </c>
      <c r="B37" s="13"/>
      <c r="C37" s="39"/>
      <c r="D37" s="39"/>
      <c r="E37" s="23" t="s">
        <v>16</v>
      </c>
      <c r="F37" s="23" t="s">
        <v>16</v>
      </c>
      <c r="G37" s="23" t="s">
        <v>16</v>
      </c>
      <c r="H37" s="23" t="s">
        <v>16</v>
      </c>
    </row>
    <row r="38" ht="409.5" spans="1:8">
      <c r="A38" s="16">
        <v>21</v>
      </c>
      <c r="B38" s="20" t="s">
        <v>2499</v>
      </c>
      <c r="C38" s="18"/>
      <c r="D38" s="18"/>
      <c r="E38" s="23">
        <v>430000</v>
      </c>
      <c r="F38" s="23">
        <v>340000</v>
      </c>
      <c r="G38" s="23">
        <v>0</v>
      </c>
      <c r="H38" s="23">
        <v>0</v>
      </c>
    </row>
    <row r="39" ht="41.4" spans="1:8">
      <c r="A39" s="16">
        <v>22</v>
      </c>
      <c r="B39" s="20" t="s">
        <v>2500</v>
      </c>
      <c r="C39" s="18"/>
      <c r="D39" s="18"/>
      <c r="E39" s="23">
        <v>375000</v>
      </c>
      <c r="F39" s="23">
        <v>260000</v>
      </c>
      <c r="G39" s="23">
        <v>0</v>
      </c>
      <c r="H39" s="23">
        <v>0</v>
      </c>
    </row>
    <row r="40" ht="41.4" spans="1:8">
      <c r="A40" s="16">
        <v>23</v>
      </c>
      <c r="B40" s="20" t="s">
        <v>2501</v>
      </c>
      <c r="C40" s="18"/>
      <c r="D40" s="18"/>
      <c r="E40" s="23">
        <v>225000</v>
      </c>
      <c r="F40" s="23">
        <v>0</v>
      </c>
      <c r="G40" s="23">
        <v>0</v>
      </c>
      <c r="H40" s="23">
        <v>0</v>
      </c>
    </row>
    <row r="41" spans="1:8">
      <c r="A41" s="27"/>
      <c r="C41" s="28"/>
      <c r="D41" s="28"/>
      <c r="E41" s="23" t="s">
        <v>16</v>
      </c>
      <c r="F41" s="23" t="s">
        <v>16</v>
      </c>
      <c r="G41" s="23" t="s">
        <v>16</v>
      </c>
      <c r="H41" s="23" t="s">
        <v>16</v>
      </c>
    </row>
    <row r="42" spans="1:8">
      <c r="A42" s="27"/>
      <c r="C42" s="28"/>
      <c r="D42" s="28"/>
      <c r="E42" s="23" t="s">
        <v>16</v>
      </c>
      <c r="F42" s="23" t="s">
        <v>16</v>
      </c>
      <c r="G42" s="23" t="s">
        <v>16</v>
      </c>
      <c r="H42" s="23" t="s">
        <v>16</v>
      </c>
    </row>
    <row r="43" spans="1:8">
      <c r="A43" s="27"/>
      <c r="C43" s="28"/>
      <c r="D43" s="28"/>
      <c r="E43" s="23" t="s">
        <v>16</v>
      </c>
      <c r="F43" s="23" t="s">
        <v>16</v>
      </c>
      <c r="G43" s="23" t="s">
        <v>16</v>
      </c>
      <c r="H43" s="23" t="s">
        <v>16</v>
      </c>
    </row>
    <row r="44" spans="1:8">
      <c r="A44" s="27"/>
      <c r="C44" s="28"/>
      <c r="D44" s="28"/>
      <c r="E44" s="23" t="s">
        <v>16</v>
      </c>
      <c r="F44" s="23" t="s">
        <v>16</v>
      </c>
      <c r="G44" s="23" t="s">
        <v>16</v>
      </c>
      <c r="H44" s="23" t="s">
        <v>16</v>
      </c>
    </row>
    <row r="45" spans="1:8">
      <c r="A45" s="27"/>
      <c r="C45" s="28"/>
      <c r="D45" s="28"/>
      <c r="E45" s="23" t="s">
        <v>16</v>
      </c>
      <c r="F45" s="23" t="s">
        <v>16</v>
      </c>
      <c r="G45" s="23" t="s">
        <v>16</v>
      </c>
      <c r="H45" s="23" t="s">
        <v>16</v>
      </c>
    </row>
    <row r="46" spans="1:8">
      <c r="A46" s="27"/>
      <c r="C46" s="28"/>
      <c r="D46" s="28"/>
      <c r="E46" s="23" t="s">
        <v>16</v>
      </c>
      <c r="F46" s="23" t="s">
        <v>16</v>
      </c>
      <c r="G46" s="23" t="s">
        <v>16</v>
      </c>
      <c r="H46" s="23" t="s">
        <v>16</v>
      </c>
    </row>
    <row r="47" spans="1:8">
      <c r="A47" s="27"/>
      <c r="C47" s="28"/>
      <c r="D47" s="28"/>
      <c r="E47" s="23" t="s">
        <v>16</v>
      </c>
      <c r="F47" s="23" t="s">
        <v>16</v>
      </c>
      <c r="G47" s="23" t="s">
        <v>16</v>
      </c>
      <c r="H47" s="23" t="s">
        <v>16</v>
      </c>
    </row>
    <row r="48" spans="1:8">
      <c r="A48" s="27"/>
      <c r="C48" s="28"/>
      <c r="D48" s="28"/>
      <c r="E48" s="23" t="s">
        <v>16</v>
      </c>
      <c r="F48" s="23" t="s">
        <v>16</v>
      </c>
      <c r="G48" s="23" t="s">
        <v>16</v>
      </c>
      <c r="H48" s="23" t="s">
        <v>16</v>
      </c>
    </row>
    <row r="49" spans="1:8">
      <c r="A49" s="27"/>
      <c r="C49" s="28"/>
      <c r="D49" s="28"/>
      <c r="E49" s="23" t="s">
        <v>16</v>
      </c>
      <c r="F49" s="23" t="s">
        <v>16</v>
      </c>
      <c r="G49" s="23" t="s">
        <v>16</v>
      </c>
      <c r="H49" s="23" t="s">
        <v>16</v>
      </c>
    </row>
    <row r="50" spans="1:8">
      <c r="A50" s="27"/>
      <c r="C50" s="28"/>
      <c r="D50" s="28"/>
      <c r="E50" s="23" t="s">
        <v>16</v>
      </c>
      <c r="F50" s="23" t="s">
        <v>16</v>
      </c>
      <c r="G50" s="23" t="s">
        <v>16</v>
      </c>
      <c r="H50" s="23" t="s">
        <v>16</v>
      </c>
    </row>
    <row r="51" spans="1:8">
      <c r="A51" s="27"/>
      <c r="C51" s="28"/>
      <c r="D51" s="28"/>
      <c r="E51" s="23" t="s">
        <v>16</v>
      </c>
      <c r="F51" s="23" t="s">
        <v>16</v>
      </c>
      <c r="G51" s="23" t="s">
        <v>16</v>
      </c>
      <c r="H51" s="23" t="s">
        <v>16</v>
      </c>
    </row>
    <row r="52" spans="1:8">
      <c r="A52" s="27"/>
      <c r="C52" s="28"/>
      <c r="D52" s="28"/>
      <c r="E52" s="23" t="s">
        <v>16</v>
      </c>
      <c r="F52" s="23" t="s">
        <v>16</v>
      </c>
      <c r="G52" s="23" t="s">
        <v>16</v>
      </c>
      <c r="H52" s="23" t="s">
        <v>16</v>
      </c>
    </row>
    <row r="53" spans="1:8">
      <c r="A53" s="27"/>
      <c r="C53" s="28"/>
      <c r="D53" s="28"/>
      <c r="E53" s="23" t="s">
        <v>16</v>
      </c>
      <c r="F53" s="23" t="s">
        <v>16</v>
      </c>
      <c r="G53" s="23" t="s">
        <v>16</v>
      </c>
      <c r="H53" s="23" t="s">
        <v>16</v>
      </c>
    </row>
    <row r="54" spans="1:8">
      <c r="A54" s="27"/>
      <c r="C54" s="28"/>
      <c r="D54" s="28"/>
      <c r="E54" s="23" t="s">
        <v>16</v>
      </c>
      <c r="F54" s="23" t="s">
        <v>16</v>
      </c>
      <c r="G54" s="23" t="s">
        <v>16</v>
      </c>
      <c r="H54" s="23" t="s">
        <v>16</v>
      </c>
    </row>
    <row r="55" spans="1:8">
      <c r="A55" s="27"/>
      <c r="C55" s="28"/>
      <c r="D55" s="28"/>
      <c r="E55" s="23" t="s">
        <v>16</v>
      </c>
      <c r="F55" s="23" t="s">
        <v>16</v>
      </c>
      <c r="G55" s="23" t="s">
        <v>16</v>
      </c>
      <c r="H55" s="23" t="s">
        <v>16</v>
      </c>
    </row>
    <row r="56" spans="1:8">
      <c r="A56" s="27"/>
      <c r="C56" s="28"/>
      <c r="D56" s="28"/>
      <c r="E56" s="23" t="s">
        <v>16</v>
      </c>
      <c r="F56" s="23" t="s">
        <v>16</v>
      </c>
      <c r="G56" s="23" t="s">
        <v>16</v>
      </c>
      <c r="H56" s="23" t="s">
        <v>16</v>
      </c>
    </row>
    <row r="57" spans="1:8">
      <c r="A57" s="27"/>
      <c r="C57" s="28"/>
      <c r="D57" s="28"/>
      <c r="E57" s="23" t="s">
        <v>16</v>
      </c>
      <c r="F57" s="23" t="s">
        <v>16</v>
      </c>
      <c r="G57" s="23" t="s">
        <v>16</v>
      </c>
      <c r="H57" s="23" t="s">
        <v>16</v>
      </c>
    </row>
    <row r="58" spans="1:8">
      <c r="A58" s="27"/>
      <c r="C58" s="28"/>
      <c r="D58" s="28"/>
      <c r="E58" s="23" t="s">
        <v>16</v>
      </c>
      <c r="F58" s="23" t="s">
        <v>16</v>
      </c>
      <c r="G58" s="23" t="s">
        <v>16</v>
      </c>
      <c r="H58" s="23" t="s">
        <v>16</v>
      </c>
    </row>
    <row r="59" spans="1:8">
      <c r="A59" s="27"/>
      <c r="C59" s="28"/>
      <c r="D59" s="28"/>
      <c r="E59" s="23" t="s">
        <v>16</v>
      </c>
      <c r="F59" s="23" t="s">
        <v>16</v>
      </c>
      <c r="G59" s="23" t="s">
        <v>16</v>
      </c>
      <c r="H59" s="23" t="s">
        <v>16</v>
      </c>
    </row>
    <row r="60" spans="1:8">
      <c r="A60" s="27"/>
      <c r="C60" s="28"/>
      <c r="D60" s="28"/>
      <c r="E60" s="23" t="s">
        <v>16</v>
      </c>
      <c r="F60" s="23" t="s">
        <v>16</v>
      </c>
      <c r="G60" s="23" t="s">
        <v>16</v>
      </c>
      <c r="H60" s="23" t="s">
        <v>16</v>
      </c>
    </row>
    <row r="61" spans="1:8">
      <c r="A61" s="27"/>
      <c r="C61" s="28"/>
      <c r="D61" s="28"/>
      <c r="E61" s="23" t="s">
        <v>16</v>
      </c>
      <c r="F61" s="23" t="s">
        <v>16</v>
      </c>
      <c r="G61" s="23" t="s">
        <v>16</v>
      </c>
      <c r="H61" s="23" t="s">
        <v>16</v>
      </c>
    </row>
    <row r="62" spans="1:8">
      <c r="A62" s="27"/>
      <c r="C62" s="28"/>
      <c r="D62" s="28"/>
      <c r="E62" s="23" t="s">
        <v>16</v>
      </c>
      <c r="F62" s="23" t="s">
        <v>16</v>
      </c>
      <c r="G62" s="23" t="s">
        <v>16</v>
      </c>
      <c r="H62" s="23" t="s">
        <v>16</v>
      </c>
    </row>
    <row r="63" spans="1:8">
      <c r="A63" s="27"/>
      <c r="C63" s="28"/>
      <c r="D63" s="28"/>
      <c r="E63" s="23" t="s">
        <v>16</v>
      </c>
      <c r="F63" s="23" t="s">
        <v>16</v>
      </c>
      <c r="G63" s="23" t="s">
        <v>16</v>
      </c>
      <c r="H63" s="23" t="s">
        <v>16</v>
      </c>
    </row>
    <row r="64" spans="1:8">
      <c r="A64" s="27"/>
      <c r="C64" s="28"/>
      <c r="D64" s="28"/>
      <c r="E64" s="23" t="s">
        <v>16</v>
      </c>
      <c r="F64" s="23" t="s">
        <v>16</v>
      </c>
      <c r="G64" s="23" t="s">
        <v>16</v>
      </c>
      <c r="H64" s="23" t="s">
        <v>16</v>
      </c>
    </row>
    <row r="65" spans="1:8">
      <c r="A65" s="27"/>
      <c r="C65" s="28"/>
      <c r="D65" s="28"/>
      <c r="E65" s="23" t="s">
        <v>16</v>
      </c>
      <c r="F65" s="23" t="s">
        <v>16</v>
      </c>
      <c r="G65" s="23" t="s">
        <v>16</v>
      </c>
      <c r="H65" s="23" t="s">
        <v>16</v>
      </c>
    </row>
    <row r="66" spans="1:8">
      <c r="A66" s="27"/>
      <c r="C66" s="28"/>
      <c r="D66" s="28"/>
      <c r="E66" s="23" t="s">
        <v>16</v>
      </c>
      <c r="F66" s="23" t="s">
        <v>16</v>
      </c>
      <c r="G66" s="23" t="s">
        <v>16</v>
      </c>
      <c r="H66" s="23" t="s">
        <v>16</v>
      </c>
    </row>
    <row r="67" spans="1:8">
      <c r="A67" s="27"/>
      <c r="C67" s="28"/>
      <c r="D67" s="28"/>
      <c r="E67" s="23" t="s">
        <v>16</v>
      </c>
      <c r="F67" s="23" t="s">
        <v>16</v>
      </c>
      <c r="G67" s="23" t="s">
        <v>16</v>
      </c>
      <c r="H67" s="23" t="s">
        <v>16</v>
      </c>
    </row>
    <row r="68" spans="1:8">
      <c r="A68" s="27"/>
      <c r="C68" s="28"/>
      <c r="D68" s="28"/>
      <c r="E68" s="23" t="s">
        <v>16</v>
      </c>
      <c r="F68" s="23" t="s">
        <v>16</v>
      </c>
      <c r="G68" s="23" t="s">
        <v>16</v>
      </c>
      <c r="H68" s="23" t="s">
        <v>16</v>
      </c>
    </row>
    <row r="69" spans="1:8">
      <c r="A69" s="27"/>
      <c r="C69" s="28"/>
      <c r="D69" s="28"/>
      <c r="E69" s="23" t="s">
        <v>16</v>
      </c>
      <c r="F69" s="23" t="s">
        <v>16</v>
      </c>
      <c r="G69" s="23" t="s">
        <v>16</v>
      </c>
      <c r="H69" s="23" t="s">
        <v>16</v>
      </c>
    </row>
    <row r="70" spans="1:8">
      <c r="A70" s="27"/>
      <c r="C70" s="28"/>
      <c r="D70" s="28"/>
      <c r="E70" s="23" t="s">
        <v>16</v>
      </c>
      <c r="F70" s="23" t="s">
        <v>16</v>
      </c>
      <c r="G70" s="23" t="s">
        <v>16</v>
      </c>
      <c r="H70" s="23" t="s">
        <v>16</v>
      </c>
    </row>
    <row r="71" spans="1:8">
      <c r="A71" s="27"/>
      <c r="C71" s="28"/>
      <c r="D71" s="28"/>
      <c r="E71" s="23" t="s">
        <v>16</v>
      </c>
      <c r="F71" s="23" t="s">
        <v>16</v>
      </c>
      <c r="G71" s="23" t="s">
        <v>16</v>
      </c>
      <c r="H71" s="23" t="s">
        <v>16</v>
      </c>
    </row>
    <row r="72" spans="1:8">
      <c r="A72" s="27"/>
      <c r="C72" s="28"/>
      <c r="D72" s="28"/>
      <c r="E72" s="23" t="s">
        <v>16</v>
      </c>
      <c r="F72" s="23" t="s">
        <v>16</v>
      </c>
      <c r="G72" s="23" t="s">
        <v>16</v>
      </c>
      <c r="H72" s="23" t="s">
        <v>16</v>
      </c>
    </row>
    <row r="73" spans="1:8">
      <c r="A73" s="27"/>
      <c r="C73" s="28"/>
      <c r="D73" s="28"/>
      <c r="E73" s="23" t="s">
        <v>16</v>
      </c>
      <c r="F73" s="23" t="s">
        <v>16</v>
      </c>
      <c r="G73" s="23" t="s">
        <v>16</v>
      </c>
      <c r="H73" s="23" t="s">
        <v>16</v>
      </c>
    </row>
    <row r="74" spans="1:8">
      <c r="A74" s="27"/>
      <c r="C74" s="28"/>
      <c r="D74" s="28"/>
      <c r="E74" s="23" t="s">
        <v>16</v>
      </c>
      <c r="F74" s="23" t="s">
        <v>16</v>
      </c>
      <c r="G74" s="23" t="s">
        <v>16</v>
      </c>
      <c r="H74" s="23" t="s">
        <v>16</v>
      </c>
    </row>
    <row r="75" spans="1:8">
      <c r="A75" s="27"/>
      <c r="C75" s="28"/>
      <c r="D75" s="28"/>
      <c r="E75" s="23" t="s">
        <v>16</v>
      </c>
      <c r="F75" s="23" t="s">
        <v>16</v>
      </c>
      <c r="G75" s="23" t="s">
        <v>16</v>
      </c>
      <c r="H75" s="23" t="s">
        <v>16</v>
      </c>
    </row>
    <row r="76" spans="1:8">
      <c r="A76" s="27"/>
      <c r="C76" s="28"/>
      <c r="D76" s="28"/>
      <c r="E76" s="23" t="s">
        <v>16</v>
      </c>
      <c r="F76" s="23" t="s">
        <v>16</v>
      </c>
      <c r="G76" s="23" t="s">
        <v>16</v>
      </c>
      <c r="H76" s="23" t="s">
        <v>16</v>
      </c>
    </row>
    <row r="77" spans="1:8">
      <c r="A77" s="27"/>
      <c r="C77" s="28"/>
      <c r="D77" s="28"/>
      <c r="E77" s="23" t="s">
        <v>16</v>
      </c>
      <c r="F77" s="23" t="s">
        <v>16</v>
      </c>
      <c r="G77" s="23" t="s">
        <v>16</v>
      </c>
      <c r="H77" s="23" t="s">
        <v>16</v>
      </c>
    </row>
    <row r="78" spans="1:8">
      <c r="A78" s="27"/>
      <c r="C78" s="28"/>
      <c r="D78" s="28"/>
      <c r="E78" s="23" t="s">
        <v>16</v>
      </c>
      <c r="F78" s="23" t="s">
        <v>16</v>
      </c>
      <c r="G78" s="23" t="s">
        <v>16</v>
      </c>
      <c r="H78" s="23" t="s">
        <v>16</v>
      </c>
    </row>
    <row r="79" spans="1:8">
      <c r="A79" s="27"/>
      <c r="C79" s="28"/>
      <c r="D79" s="28"/>
      <c r="E79" s="23" t="s">
        <v>16</v>
      </c>
      <c r="F79" s="23" t="s">
        <v>16</v>
      </c>
      <c r="G79" s="23" t="s">
        <v>16</v>
      </c>
      <c r="H79" s="23" t="s">
        <v>16</v>
      </c>
    </row>
    <row r="80" spans="1:8">
      <c r="A80" s="27"/>
      <c r="C80" s="28"/>
      <c r="D80" s="28"/>
      <c r="E80" s="23" t="s">
        <v>16</v>
      </c>
      <c r="F80" s="23" t="s">
        <v>16</v>
      </c>
      <c r="G80" s="23" t="s">
        <v>16</v>
      </c>
      <c r="H80" s="23" t="s">
        <v>16</v>
      </c>
    </row>
    <row r="81" spans="1:8">
      <c r="A81" s="27"/>
      <c r="C81" s="28"/>
      <c r="D81" s="28"/>
      <c r="E81" s="23" t="s">
        <v>16</v>
      </c>
      <c r="F81" s="23" t="s">
        <v>16</v>
      </c>
      <c r="G81" s="23" t="s">
        <v>16</v>
      </c>
      <c r="H81" s="23" t="s">
        <v>16</v>
      </c>
    </row>
    <row r="82" spans="1:8">
      <c r="A82" s="27"/>
      <c r="C82" s="28"/>
      <c r="D82" s="28"/>
      <c r="E82" s="23" t="s">
        <v>16</v>
      </c>
      <c r="F82" s="23" t="s">
        <v>16</v>
      </c>
      <c r="G82" s="23" t="s">
        <v>16</v>
      </c>
      <c r="H82" s="23" t="s">
        <v>16</v>
      </c>
    </row>
    <row r="83" spans="1:8">
      <c r="A83" s="27"/>
      <c r="C83" s="28"/>
      <c r="D83" s="28"/>
      <c r="E83" s="23" t="s">
        <v>16</v>
      </c>
      <c r="F83" s="23" t="s">
        <v>16</v>
      </c>
      <c r="G83" s="23" t="s">
        <v>16</v>
      </c>
      <c r="H83" s="23" t="s">
        <v>16</v>
      </c>
    </row>
    <row r="84" spans="1:8">
      <c r="A84" s="27"/>
      <c r="C84" s="28"/>
      <c r="D84" s="28"/>
      <c r="E84" s="23" t="s">
        <v>16</v>
      </c>
      <c r="F84" s="23" t="s">
        <v>16</v>
      </c>
      <c r="G84" s="23" t="s">
        <v>16</v>
      </c>
      <c r="H84" s="23" t="s">
        <v>16</v>
      </c>
    </row>
    <row r="85" spans="1:8">
      <c r="A85" s="27"/>
      <c r="C85" s="28"/>
      <c r="D85" s="28"/>
      <c r="E85" s="23" t="s">
        <v>16</v>
      </c>
      <c r="F85" s="23" t="s">
        <v>16</v>
      </c>
      <c r="G85" s="23" t="s">
        <v>16</v>
      </c>
      <c r="H85" s="23" t="s">
        <v>16</v>
      </c>
    </row>
    <row r="86" spans="1:8">
      <c r="A86" s="27"/>
      <c r="C86" s="28"/>
      <c r="D86" s="28"/>
      <c r="E86" s="23" t="s">
        <v>16</v>
      </c>
      <c r="F86" s="23" t="s">
        <v>16</v>
      </c>
      <c r="G86" s="23" t="s">
        <v>16</v>
      </c>
      <c r="H86" s="23" t="s">
        <v>16</v>
      </c>
    </row>
    <row r="87" spans="1:8">
      <c r="A87" s="27"/>
      <c r="C87" s="28"/>
      <c r="D87" s="28"/>
      <c r="E87" s="23" t="s">
        <v>16</v>
      </c>
      <c r="F87" s="23" t="s">
        <v>16</v>
      </c>
      <c r="G87" s="23" t="s">
        <v>16</v>
      </c>
      <c r="H87" s="23" t="s">
        <v>16</v>
      </c>
    </row>
    <row r="88" spans="1:8">
      <c r="A88" s="27"/>
      <c r="C88" s="28"/>
      <c r="D88" s="28"/>
      <c r="E88" s="23" t="s">
        <v>16</v>
      </c>
      <c r="F88" s="23" t="s">
        <v>16</v>
      </c>
      <c r="G88" s="23" t="s">
        <v>16</v>
      </c>
      <c r="H88" s="23" t="s">
        <v>16</v>
      </c>
    </row>
    <row r="89" spans="1:8">
      <c r="A89" s="27"/>
      <c r="C89" s="28"/>
      <c r="D89" s="28"/>
      <c r="E89" s="23" t="s">
        <v>16</v>
      </c>
      <c r="F89" s="23" t="s">
        <v>16</v>
      </c>
      <c r="G89" s="23" t="s">
        <v>16</v>
      </c>
      <c r="H89" s="23" t="s">
        <v>16</v>
      </c>
    </row>
    <row r="90" spans="1:8">
      <c r="A90" s="27"/>
      <c r="C90" s="28"/>
      <c r="D90" s="2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c r="F159" s="23"/>
      <c r="G159" s="23"/>
      <c r="H159" s="23"/>
    </row>
    <row r="160" spans="1:8">
      <c r="A160" s="27"/>
      <c r="C160" s="28"/>
      <c r="D160" s="28"/>
      <c r="E160" s="23"/>
      <c r="F160" s="23"/>
      <c r="G160" s="23"/>
      <c r="H160" s="23"/>
    </row>
    <row r="161" spans="1:8">
      <c r="A161" s="27"/>
      <c r="C161" s="28"/>
      <c r="D161" s="28"/>
      <c r="E161" s="23"/>
      <c r="F161" s="23"/>
      <c r="G161" s="23"/>
      <c r="H161" s="23"/>
    </row>
    <row r="162" spans="1:8">
      <c r="A162" s="27"/>
      <c r="C162" s="28"/>
      <c r="D162" s="28"/>
      <c r="E162" s="23"/>
      <c r="F162" s="23"/>
      <c r="G162" s="23"/>
      <c r="H162" s="23"/>
    </row>
    <row r="163" spans="1:8">
      <c r="A163" s="27"/>
      <c r="C163" s="28"/>
      <c r="D163" s="28"/>
      <c r="E163" s="23"/>
      <c r="F163" s="23"/>
      <c r="G163" s="23"/>
      <c r="H163" s="23"/>
    </row>
    <row r="164" spans="1:8">
      <c r="A164" s="27"/>
      <c r="C164" s="28"/>
      <c r="D164" s="28"/>
      <c r="E164" s="23"/>
      <c r="F164" s="23"/>
      <c r="G164" s="23"/>
      <c r="H164" s="23"/>
    </row>
    <row r="165" spans="1:8">
      <c r="A165" s="27"/>
      <c r="C165" s="28"/>
      <c r="D165" s="28"/>
      <c r="E165" s="23"/>
      <c r="F165" s="23"/>
      <c r="G165" s="23"/>
      <c r="H165" s="23"/>
    </row>
    <row r="166" spans="1:8">
      <c r="A166" s="27"/>
      <c r="C166" s="28"/>
      <c r="D166" s="28"/>
      <c r="E166" s="23"/>
      <c r="F166" s="23"/>
      <c r="G166" s="23"/>
      <c r="H166" s="23"/>
    </row>
    <row r="167" spans="1:8">
      <c r="A167" s="27"/>
      <c r="C167" s="28"/>
      <c r="D167" s="28"/>
      <c r="E167" s="23"/>
      <c r="F167" s="23"/>
      <c r="G167" s="23"/>
      <c r="H167" s="23"/>
    </row>
    <row r="168" spans="1:8">
      <c r="A168" s="27"/>
      <c r="C168" s="28"/>
      <c r="D168" s="28"/>
      <c r="E168" s="23"/>
      <c r="F168" s="23"/>
      <c r="G168" s="23"/>
      <c r="H168" s="23"/>
    </row>
    <row r="169" spans="1:8">
      <c r="A169" s="27"/>
      <c r="C169" s="28"/>
      <c r="D169" s="28"/>
      <c r="E169" s="23"/>
      <c r="F169" s="23"/>
      <c r="G169" s="23"/>
      <c r="H169" s="23"/>
    </row>
    <row r="170" spans="1:8">
      <c r="A170" s="27"/>
      <c r="C170" s="28"/>
      <c r="D170" s="28"/>
      <c r="E170" s="23"/>
      <c r="F170" s="23"/>
      <c r="G170" s="23"/>
      <c r="H170" s="23"/>
    </row>
    <row r="171" spans="1:8">
      <c r="A171" s="27"/>
      <c r="C171" s="28"/>
      <c r="D171" s="28"/>
      <c r="E171" s="23"/>
      <c r="F171" s="23"/>
      <c r="G171" s="23"/>
      <c r="H171" s="23"/>
    </row>
    <row r="172" spans="1:8">
      <c r="A172" s="27"/>
      <c r="C172" s="28"/>
      <c r="D172" s="28"/>
      <c r="E172" s="23"/>
      <c r="F172" s="23"/>
      <c r="G172" s="23"/>
      <c r="H172" s="23"/>
    </row>
    <row r="173" spans="1:8">
      <c r="A173" s="27"/>
      <c r="C173" s="28"/>
      <c r="D173" s="28"/>
      <c r="E173" s="23"/>
      <c r="F173" s="23"/>
      <c r="G173" s="23"/>
      <c r="H173" s="23"/>
    </row>
    <row r="174" spans="1:8">
      <c r="A174" s="27"/>
      <c r="C174" s="28"/>
      <c r="D174" s="28"/>
      <c r="E174" s="23"/>
      <c r="F174" s="23"/>
      <c r="G174" s="23"/>
      <c r="H174" s="23"/>
    </row>
    <row r="175" spans="1:8">
      <c r="A175" s="27"/>
      <c r="C175" s="28"/>
      <c r="D175" s="28"/>
      <c r="E175" s="23"/>
      <c r="F175" s="23"/>
      <c r="G175" s="23"/>
      <c r="H175" s="23"/>
    </row>
    <row r="176" spans="1:8">
      <c r="A176" s="27"/>
      <c r="C176" s="28"/>
      <c r="D176" s="28"/>
      <c r="E176" s="23"/>
      <c r="F176" s="23"/>
      <c r="G176" s="23"/>
      <c r="H176" s="23"/>
    </row>
    <row r="177" spans="1:8">
      <c r="A177" s="27"/>
      <c r="C177" s="28"/>
      <c r="D177" s="28"/>
      <c r="E177" s="23"/>
      <c r="F177" s="23"/>
      <c r="G177" s="23"/>
      <c r="H177" s="23"/>
    </row>
    <row r="178" spans="1:8">
      <c r="A178" s="27"/>
      <c r="C178" s="28"/>
      <c r="D178" s="28"/>
      <c r="E178" s="23"/>
      <c r="F178" s="23"/>
      <c r="G178" s="23"/>
      <c r="H178" s="23"/>
    </row>
    <row r="179" spans="1:8">
      <c r="A179" s="27"/>
      <c r="C179" s="28"/>
      <c r="D179" s="28"/>
      <c r="E179" s="23"/>
      <c r="F179" s="23"/>
      <c r="G179" s="23"/>
      <c r="H179" s="23"/>
    </row>
    <row r="180" spans="1:8">
      <c r="A180" s="27"/>
      <c r="C180" s="28"/>
      <c r="D180" s="28"/>
      <c r="E180" s="23"/>
      <c r="F180" s="23"/>
      <c r="G180" s="23"/>
      <c r="H180" s="23"/>
    </row>
    <row r="181" spans="1:8">
      <c r="A181" s="27"/>
      <c r="C181" s="28"/>
      <c r="D181" s="28"/>
      <c r="E181" s="23"/>
      <c r="F181" s="23"/>
      <c r="G181" s="23"/>
      <c r="H181" s="23"/>
    </row>
    <row r="182" spans="1:8">
      <c r="A182" s="27"/>
      <c r="C182" s="28"/>
      <c r="D182" s="28"/>
      <c r="E182" s="23"/>
      <c r="F182" s="23"/>
      <c r="G182" s="23"/>
      <c r="H182" s="23"/>
    </row>
    <row r="183" spans="1:8">
      <c r="A183" s="27"/>
      <c r="C183" s="28"/>
      <c r="D183" s="28"/>
      <c r="E183" s="23"/>
      <c r="F183" s="23"/>
      <c r="G183" s="23"/>
      <c r="H183" s="23"/>
    </row>
    <row r="184" spans="1:8">
      <c r="A184" s="27"/>
      <c r="C184" s="28"/>
      <c r="D184" s="28"/>
      <c r="E184" s="23"/>
      <c r="F184" s="23"/>
      <c r="G184" s="23"/>
      <c r="H184" s="23"/>
    </row>
    <row r="185" spans="1:8">
      <c r="A185" s="27"/>
      <c r="C185" s="28"/>
      <c r="D185" s="28"/>
      <c r="E185" s="23"/>
      <c r="F185" s="23"/>
      <c r="G185" s="23"/>
      <c r="H185" s="23"/>
    </row>
    <row r="186" spans="1:8">
      <c r="A186" s="27"/>
      <c r="C186" s="28"/>
      <c r="D186" s="28"/>
      <c r="E186" s="23"/>
      <c r="F186" s="23"/>
      <c r="G186" s="23"/>
      <c r="H186" s="23"/>
    </row>
    <row r="187" spans="1:8">
      <c r="A187" s="27"/>
      <c r="C187" s="28"/>
      <c r="D187" s="28"/>
      <c r="E187" s="23"/>
      <c r="F187" s="23"/>
      <c r="G187" s="23"/>
      <c r="H187" s="23"/>
    </row>
    <row r="188" spans="1:8">
      <c r="A188" s="27"/>
      <c r="C188" s="28"/>
      <c r="D188" s="28"/>
      <c r="E188" s="23"/>
      <c r="F188" s="23"/>
      <c r="G188" s="23"/>
      <c r="H188" s="23"/>
    </row>
    <row r="189" spans="1:8">
      <c r="A189" s="27"/>
      <c r="C189" s="28"/>
      <c r="D189" s="28"/>
      <c r="E189" s="23"/>
      <c r="F189" s="23"/>
      <c r="G189" s="23"/>
      <c r="H189" s="23"/>
    </row>
    <row r="190" spans="1:8">
      <c r="A190" s="27"/>
      <c r="C190" s="28"/>
      <c r="D190" s="28"/>
      <c r="E190" s="23"/>
      <c r="F190" s="23"/>
      <c r="G190" s="23"/>
      <c r="H190" s="23"/>
    </row>
    <row r="191" spans="1:8">
      <c r="A191" s="27"/>
      <c r="C191" s="28"/>
      <c r="D191" s="28"/>
      <c r="E191" s="23"/>
      <c r="F191" s="23"/>
      <c r="G191" s="23"/>
      <c r="H191" s="23"/>
    </row>
    <row r="192" spans="1:8">
      <c r="A192" s="27"/>
      <c r="C192" s="28"/>
      <c r="D192" s="28"/>
      <c r="E192" s="23"/>
      <c r="F192" s="23"/>
      <c r="G192" s="23"/>
      <c r="H192" s="23"/>
    </row>
    <row r="193" spans="1:8">
      <c r="A193" s="27"/>
      <c r="C193" s="28"/>
      <c r="D193" s="28"/>
      <c r="E193" s="23"/>
      <c r="F193" s="23"/>
      <c r="G193" s="23"/>
      <c r="H193" s="23"/>
    </row>
    <row r="194" spans="1:8">
      <c r="A194" s="27"/>
      <c r="C194" s="28"/>
      <c r="D194" s="28"/>
      <c r="E194" s="23"/>
      <c r="F194" s="23"/>
      <c r="G194" s="23"/>
      <c r="H194" s="23"/>
    </row>
    <row r="195" spans="1:8">
      <c r="A195" s="27"/>
      <c r="C195" s="28"/>
      <c r="D195" s="28"/>
      <c r="E195" s="23"/>
      <c r="F195" s="23"/>
      <c r="G195" s="23"/>
      <c r="H195" s="23"/>
    </row>
    <row r="196" spans="1:8">
      <c r="A196" s="27"/>
      <c r="C196" s="28"/>
      <c r="D196" s="28"/>
      <c r="E196" s="23"/>
      <c r="F196" s="23"/>
      <c r="G196" s="23"/>
      <c r="H196" s="23"/>
    </row>
    <row r="197" spans="1:8">
      <c r="A197" s="27"/>
      <c r="C197" s="28"/>
      <c r="D197" s="28"/>
      <c r="E197" s="23"/>
      <c r="F197" s="23"/>
      <c r="G197" s="23"/>
      <c r="H197" s="23"/>
    </row>
    <row r="198" spans="1:8">
      <c r="A198" s="27"/>
      <c r="C198" s="28"/>
      <c r="D198" s="28"/>
      <c r="E198" s="23"/>
      <c r="F198" s="23"/>
      <c r="G198" s="23"/>
      <c r="H198" s="23"/>
    </row>
    <row r="199" spans="1:8">
      <c r="A199" s="27"/>
      <c r="C199" s="28"/>
      <c r="D199" s="28"/>
      <c r="E199" s="23"/>
      <c r="F199" s="23"/>
      <c r="G199" s="23"/>
      <c r="H199" s="23"/>
    </row>
    <row r="200" spans="1:8">
      <c r="A200" s="27"/>
      <c r="C200" s="28"/>
      <c r="D200" s="28"/>
      <c r="E200" s="23"/>
      <c r="F200" s="23"/>
      <c r="G200" s="23"/>
      <c r="H200" s="23"/>
    </row>
    <row r="201" spans="1:8">
      <c r="A201" s="27"/>
      <c r="C201" s="28"/>
      <c r="D201" s="28"/>
      <c r="E201" s="23"/>
      <c r="F201" s="23"/>
      <c r="G201" s="23"/>
      <c r="H201" s="23"/>
    </row>
    <row r="202" spans="1:8">
      <c r="A202" s="27"/>
      <c r="C202" s="28"/>
      <c r="D202" s="28"/>
      <c r="E202" s="23"/>
      <c r="F202" s="23"/>
      <c r="G202" s="23"/>
      <c r="H202" s="23"/>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row r="860" spans="1:8">
      <c r="A860" s="27"/>
      <c r="C860" s="28"/>
      <c r="D860" s="28"/>
      <c r="E860" s="50"/>
      <c r="F860" s="50"/>
      <c r="G860" s="50"/>
      <c r="H860" s="50"/>
    </row>
    <row r="861" spans="1:8">
      <c r="A861" s="27"/>
      <c r="C861" s="28"/>
      <c r="D861" s="28"/>
      <c r="E861" s="50"/>
      <c r="F861" s="50"/>
      <c r="G861" s="50"/>
      <c r="H861" s="50"/>
    </row>
    <row r="862" spans="1:8">
      <c r="A862" s="27"/>
      <c r="C862" s="28"/>
      <c r="D862" s="28"/>
      <c r="E862" s="50"/>
      <c r="F862" s="50"/>
      <c r="G862" s="50"/>
      <c r="H862" s="50"/>
    </row>
    <row r="863" spans="1:8">
      <c r="A863" s="27"/>
      <c r="C863" s="28"/>
      <c r="D863" s="28"/>
      <c r="E863" s="50"/>
      <c r="F863" s="50"/>
      <c r="G863" s="50"/>
      <c r="H863" s="50"/>
    </row>
    <row r="864" spans="1:8">
      <c r="A864" s="27"/>
      <c r="C864" s="28"/>
      <c r="D864" s="28"/>
      <c r="E864" s="50"/>
      <c r="F864" s="50"/>
      <c r="G864" s="50"/>
      <c r="H864" s="50"/>
    </row>
    <row r="865" spans="1:8">
      <c r="A865" s="27"/>
      <c r="C865" s="28"/>
      <c r="D865" s="28"/>
      <c r="E865" s="50"/>
      <c r="F865" s="50"/>
      <c r="G865" s="50"/>
      <c r="H865" s="50"/>
    </row>
    <row r="866" spans="1:8">
      <c r="A866" s="27"/>
      <c r="C866" s="28"/>
      <c r="D866" s="28"/>
      <c r="E866" s="50"/>
      <c r="F866" s="50"/>
      <c r="G866" s="50"/>
      <c r="H866" s="50"/>
    </row>
    <row r="867" spans="1:8">
      <c r="A867" s="27"/>
      <c r="C867" s="28"/>
      <c r="D867" s="28"/>
      <c r="E867" s="50"/>
      <c r="F867" s="50"/>
      <c r="G867" s="50"/>
      <c r="H867" s="50"/>
    </row>
    <row r="868" spans="1:8">
      <c r="A868" s="27"/>
      <c r="C868" s="28"/>
      <c r="D868" s="28"/>
      <c r="E868" s="50"/>
      <c r="F868" s="50"/>
      <c r="G868" s="50"/>
      <c r="H868" s="50"/>
    </row>
    <row r="869" spans="1:8">
      <c r="A869" s="27"/>
      <c r="C869" s="28"/>
      <c r="D869" s="28"/>
      <c r="E869" s="50"/>
      <c r="F869" s="50"/>
      <c r="G869" s="50"/>
      <c r="H869" s="50"/>
    </row>
    <row r="870" spans="1:8">
      <c r="A870" s="27"/>
      <c r="C870" s="28"/>
      <c r="D870" s="28"/>
      <c r="E870" s="50"/>
      <c r="F870" s="50"/>
      <c r="G870" s="50"/>
      <c r="H870" s="50"/>
    </row>
    <row r="871" spans="1:8">
      <c r="A871" s="27"/>
      <c r="C871" s="28"/>
      <c r="D871" s="28"/>
      <c r="E871" s="50"/>
      <c r="F871" s="50"/>
      <c r="G871" s="50"/>
      <c r="H871" s="50"/>
    </row>
    <row r="872" spans="1:8">
      <c r="A872" s="27"/>
      <c r="C872" s="28"/>
      <c r="D872" s="28"/>
      <c r="E872" s="50"/>
      <c r="F872" s="50"/>
      <c r="G872" s="50"/>
      <c r="H872" s="50"/>
    </row>
    <row r="873" spans="1:8">
      <c r="A873" s="27"/>
      <c r="C873" s="28"/>
      <c r="D873" s="28"/>
      <c r="E873" s="50"/>
      <c r="F873" s="50"/>
      <c r="G873" s="50"/>
      <c r="H873" s="50"/>
    </row>
    <row r="874" spans="1:8">
      <c r="A874" s="27"/>
      <c r="C874" s="28"/>
      <c r="D874" s="28"/>
      <c r="E874" s="50"/>
      <c r="F874" s="50"/>
      <c r="G874" s="50"/>
      <c r="H874" s="50"/>
    </row>
  </sheetData>
  <autoFilter xmlns:etc="http://www.wps.cn/officeDocument/2017/etCustomData" ref="A4:H158"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pageSetUpPr fitToPage="1"/>
  </sheetPr>
  <dimension ref="A1:H951"/>
  <sheetViews>
    <sheetView showGridLines="0" view="pageBreakPreview" zoomScale="90" zoomScaleNormal="100" topLeftCell="A68" workbookViewId="0">
      <selection activeCell="E27" sqref="E27"/>
    </sheetView>
  </sheetViews>
  <sheetFormatPr defaultColWidth="9.12962962962963" defaultRowHeight="13.8" outlineLevelCol="7"/>
  <cols>
    <col min="1" max="1" width="7.62962962962963" style="31" customWidth="1"/>
    <col min="2" max="2" width="39.5" style="27" customWidth="1"/>
    <col min="3" max="4" width="30.75" style="32" customWidth="1"/>
    <col min="5" max="8" width="13.8796296296296" style="33" customWidth="1"/>
    <col min="9" max="16384" width="9.12962962962963" style="31"/>
  </cols>
  <sheetData>
    <row r="1" spans="1:8">
      <c r="A1" s="6" t="s">
        <v>2502</v>
      </c>
      <c r="B1" s="6"/>
      <c r="C1" s="7"/>
      <c r="D1" s="7"/>
      <c r="E1" s="6"/>
      <c r="F1" s="6"/>
      <c r="G1" s="6"/>
      <c r="H1" s="6"/>
    </row>
    <row r="2" spans="1:8">
      <c r="A2" s="8" t="s">
        <v>4</v>
      </c>
      <c r="B2" s="8"/>
      <c r="C2" s="8"/>
      <c r="D2" s="8"/>
      <c r="E2" s="34"/>
      <c r="F2" s="34"/>
      <c r="G2" s="34"/>
      <c r="H2" s="34"/>
    </row>
    <row r="3" spans="1:8">
      <c r="A3" s="9" t="s">
        <v>5</v>
      </c>
      <c r="B3" s="9" t="s">
        <v>6</v>
      </c>
      <c r="C3" s="9" t="s">
        <v>7</v>
      </c>
      <c r="D3" s="9"/>
      <c r="E3" s="35" t="s">
        <v>8</v>
      </c>
      <c r="F3" s="35"/>
      <c r="G3" s="35"/>
      <c r="H3" s="35"/>
    </row>
    <row r="4" spans="1:8">
      <c r="A4" s="11"/>
      <c r="B4" s="11"/>
      <c r="C4" s="9" t="s">
        <v>9</v>
      </c>
      <c r="D4" s="9" t="s">
        <v>10</v>
      </c>
      <c r="E4" s="35" t="s">
        <v>11</v>
      </c>
      <c r="F4" s="35" t="s">
        <v>12</v>
      </c>
      <c r="G4" s="35" t="s">
        <v>13</v>
      </c>
      <c r="H4" s="35" t="s">
        <v>14</v>
      </c>
    </row>
    <row r="5" spans="1:8">
      <c r="A5" s="15" t="s">
        <v>140</v>
      </c>
      <c r="B5" s="15"/>
      <c r="C5" s="15"/>
      <c r="D5" s="15"/>
      <c r="E5" s="10" t="s">
        <v>16</v>
      </c>
      <c r="F5" s="10" t="s">
        <v>16</v>
      </c>
      <c r="G5" s="10" t="s">
        <v>16</v>
      </c>
      <c r="H5" s="10" t="s">
        <v>16</v>
      </c>
    </row>
    <row r="6" spans="1:8">
      <c r="A6" s="36"/>
      <c r="B6" s="15" t="s">
        <v>2503</v>
      </c>
      <c r="C6" s="18"/>
      <c r="D6" s="18"/>
      <c r="E6" s="55" t="s">
        <v>16</v>
      </c>
      <c r="F6" s="21" t="s">
        <v>16</v>
      </c>
      <c r="G6" s="21" t="s">
        <v>16</v>
      </c>
      <c r="H6" s="21" t="s">
        <v>16</v>
      </c>
    </row>
    <row r="7" spans="1:8">
      <c r="A7" s="36">
        <v>1</v>
      </c>
      <c r="B7" s="18" t="s">
        <v>2504</v>
      </c>
      <c r="C7" s="18"/>
      <c r="D7" s="18"/>
      <c r="E7" s="55" t="s">
        <v>16</v>
      </c>
      <c r="F7" s="21" t="s">
        <v>16</v>
      </c>
      <c r="G7" s="21" t="s">
        <v>16</v>
      </c>
      <c r="H7" s="21" t="s">
        <v>16</v>
      </c>
    </row>
    <row r="8" ht="55.2" spans="1:8">
      <c r="A8" s="36"/>
      <c r="B8" s="18" t="s">
        <v>2505</v>
      </c>
      <c r="C8" s="18"/>
      <c r="D8" s="18"/>
      <c r="E8" s="55">
        <v>2050000</v>
      </c>
      <c r="F8" s="21">
        <v>1200000</v>
      </c>
      <c r="G8" s="21">
        <v>750000</v>
      </c>
      <c r="H8" s="22">
        <v>0</v>
      </c>
    </row>
    <row r="9" ht="41.4" spans="1:8">
      <c r="A9" s="36"/>
      <c r="B9" s="18" t="s">
        <v>2506</v>
      </c>
      <c r="C9" s="18"/>
      <c r="D9" s="18"/>
      <c r="E9" s="23">
        <v>2850000</v>
      </c>
      <c r="F9" s="23">
        <v>1650000</v>
      </c>
      <c r="G9" s="23">
        <v>1150000</v>
      </c>
      <c r="H9" s="23">
        <v>0</v>
      </c>
    </row>
    <row r="10" spans="1:8">
      <c r="A10" s="36">
        <v>2</v>
      </c>
      <c r="B10" s="18" t="s">
        <v>2507</v>
      </c>
      <c r="C10" s="18"/>
      <c r="D10" s="18"/>
      <c r="E10" s="23" t="s">
        <v>16</v>
      </c>
      <c r="F10" s="23" t="s">
        <v>16</v>
      </c>
      <c r="G10" s="23" t="s">
        <v>16</v>
      </c>
      <c r="H10" s="23" t="s">
        <v>16</v>
      </c>
    </row>
    <row r="11" ht="55.2" spans="1:8">
      <c r="A11" s="36"/>
      <c r="B11" s="18" t="s">
        <v>2508</v>
      </c>
      <c r="C11" s="18"/>
      <c r="D11" s="18"/>
      <c r="E11" s="23">
        <v>900000</v>
      </c>
      <c r="F11" s="23">
        <v>550000</v>
      </c>
      <c r="G11" s="23">
        <v>370000</v>
      </c>
      <c r="H11" s="23">
        <v>0</v>
      </c>
    </row>
    <row r="12" ht="55.2" spans="1:8">
      <c r="A12" s="36"/>
      <c r="B12" s="18" t="s">
        <v>2509</v>
      </c>
      <c r="C12" s="18"/>
      <c r="D12" s="18"/>
      <c r="E12" s="23">
        <v>1050000</v>
      </c>
      <c r="F12" s="23">
        <v>600000</v>
      </c>
      <c r="G12" s="23">
        <v>415000</v>
      </c>
      <c r="H12" s="23">
        <v>0</v>
      </c>
    </row>
    <row r="13" spans="1:8">
      <c r="A13" s="36">
        <v>3</v>
      </c>
      <c r="B13" s="18" t="s">
        <v>2510</v>
      </c>
      <c r="C13" s="18"/>
      <c r="D13" s="18"/>
      <c r="E13" s="23" t="s">
        <v>16</v>
      </c>
      <c r="F13" s="23" t="s">
        <v>16</v>
      </c>
      <c r="G13" s="23" t="s">
        <v>16</v>
      </c>
      <c r="H13" s="23" t="s">
        <v>16</v>
      </c>
    </row>
    <row r="14" ht="41.4" spans="1:8">
      <c r="A14" s="36"/>
      <c r="B14" s="18" t="s">
        <v>2511</v>
      </c>
      <c r="C14" s="18"/>
      <c r="D14" s="18"/>
      <c r="E14" s="23">
        <v>445000</v>
      </c>
      <c r="F14" s="23">
        <v>365000</v>
      </c>
      <c r="G14" s="23">
        <v>245000</v>
      </c>
      <c r="H14" s="23">
        <v>0</v>
      </c>
    </row>
    <row r="15" ht="55.2" spans="1:8">
      <c r="A15" s="36"/>
      <c r="B15" s="18" t="s">
        <v>2512</v>
      </c>
      <c r="C15" s="18"/>
      <c r="D15" s="18"/>
      <c r="E15" s="23">
        <v>365000</v>
      </c>
      <c r="F15" s="23">
        <v>245000</v>
      </c>
      <c r="G15" s="23">
        <v>200000</v>
      </c>
      <c r="H15" s="23">
        <v>0</v>
      </c>
    </row>
    <row r="16" ht="27.6" spans="1:8">
      <c r="A16" s="36">
        <v>4</v>
      </c>
      <c r="B16" s="18" t="s">
        <v>2513</v>
      </c>
      <c r="C16" s="18"/>
      <c r="D16" s="18"/>
      <c r="E16" s="23" t="s">
        <v>16</v>
      </c>
      <c r="F16" s="23" t="s">
        <v>16</v>
      </c>
      <c r="G16" s="23" t="s">
        <v>16</v>
      </c>
      <c r="H16" s="23" t="s">
        <v>16</v>
      </c>
    </row>
    <row r="17" ht="41.4" spans="1:8">
      <c r="A17" s="36"/>
      <c r="B17" s="18" t="s">
        <v>2514</v>
      </c>
      <c r="C17" s="18"/>
      <c r="D17" s="18"/>
      <c r="E17" s="23">
        <v>445000</v>
      </c>
      <c r="F17" s="23">
        <v>365000</v>
      </c>
      <c r="G17" s="23">
        <v>245000</v>
      </c>
      <c r="H17" s="23">
        <v>0</v>
      </c>
    </row>
    <row r="18" ht="41.4" spans="1:8">
      <c r="A18" s="36"/>
      <c r="B18" s="18" t="s">
        <v>2515</v>
      </c>
      <c r="C18" s="18"/>
      <c r="D18" s="18"/>
      <c r="E18" s="23">
        <v>295000</v>
      </c>
      <c r="F18" s="23">
        <v>270000</v>
      </c>
      <c r="G18" s="23">
        <v>200000</v>
      </c>
      <c r="H18" s="23">
        <v>0</v>
      </c>
    </row>
    <row r="19" spans="1:8">
      <c r="A19" s="36">
        <v>5</v>
      </c>
      <c r="B19" s="18" t="s">
        <v>2516</v>
      </c>
      <c r="C19" s="18"/>
      <c r="D19" s="18"/>
      <c r="E19" s="23" t="s">
        <v>16</v>
      </c>
      <c r="F19" s="23" t="s">
        <v>16</v>
      </c>
      <c r="G19" s="23" t="s">
        <v>16</v>
      </c>
      <c r="H19" s="23" t="s">
        <v>16</v>
      </c>
    </row>
    <row r="20" ht="41.4" spans="1:8">
      <c r="A20" s="36"/>
      <c r="B20" s="18" t="s">
        <v>2517</v>
      </c>
      <c r="C20" s="18"/>
      <c r="D20" s="18"/>
      <c r="E20" s="23">
        <v>445000</v>
      </c>
      <c r="F20" s="23">
        <v>365000</v>
      </c>
      <c r="G20" s="23">
        <v>245000</v>
      </c>
      <c r="H20" s="23">
        <v>0</v>
      </c>
    </row>
    <row r="21" ht="41.4" spans="1:8">
      <c r="A21" s="36"/>
      <c r="B21" s="18" t="s">
        <v>2518</v>
      </c>
      <c r="C21" s="18"/>
      <c r="D21" s="18"/>
      <c r="E21" s="23">
        <v>295000</v>
      </c>
      <c r="F21" s="23">
        <v>270000</v>
      </c>
      <c r="G21" s="23">
        <v>200000</v>
      </c>
      <c r="H21" s="23">
        <v>0</v>
      </c>
    </row>
    <row r="22" ht="41.4" spans="1:8">
      <c r="A22" s="36">
        <v>6</v>
      </c>
      <c r="B22" s="18" t="s">
        <v>2519</v>
      </c>
      <c r="C22" s="18"/>
      <c r="D22" s="18"/>
      <c r="E22" s="23">
        <v>295000</v>
      </c>
      <c r="F22" s="23">
        <v>270000</v>
      </c>
      <c r="G22" s="23">
        <v>200000</v>
      </c>
      <c r="H22" s="23">
        <v>0</v>
      </c>
    </row>
    <row r="23" ht="55.2" spans="1:8">
      <c r="A23" s="36">
        <v>7</v>
      </c>
      <c r="B23" s="18" t="s">
        <v>2520</v>
      </c>
      <c r="C23" s="18"/>
      <c r="D23" s="18"/>
      <c r="E23" s="23">
        <v>445000</v>
      </c>
      <c r="F23" s="23">
        <v>365000</v>
      </c>
      <c r="G23" s="23">
        <v>245000</v>
      </c>
      <c r="H23" s="23">
        <v>0</v>
      </c>
    </row>
    <row r="24" ht="41.4" spans="1:8">
      <c r="A24" s="36">
        <v>8</v>
      </c>
      <c r="B24" s="18" t="s">
        <v>2521</v>
      </c>
      <c r="C24" s="18"/>
      <c r="D24" s="18"/>
      <c r="E24" s="23">
        <v>295000</v>
      </c>
      <c r="F24" s="23">
        <v>270000</v>
      </c>
      <c r="G24" s="23">
        <v>200000</v>
      </c>
      <c r="H24" s="23">
        <v>0</v>
      </c>
    </row>
    <row r="25" ht="82.8" spans="1:8">
      <c r="A25" s="36">
        <v>9</v>
      </c>
      <c r="B25" s="18" t="s">
        <v>2522</v>
      </c>
      <c r="C25" s="18"/>
      <c r="D25" s="18"/>
      <c r="E25" s="23">
        <v>260000</v>
      </c>
      <c r="F25" s="23">
        <v>230000</v>
      </c>
      <c r="G25" s="23">
        <v>190000</v>
      </c>
      <c r="H25" s="23">
        <v>0</v>
      </c>
    </row>
    <row r="26" ht="165.6" spans="1:8">
      <c r="A26" s="36">
        <v>10</v>
      </c>
      <c r="B26" s="18" t="s">
        <v>2523</v>
      </c>
      <c r="C26" s="18"/>
      <c r="D26" s="18"/>
      <c r="E26" s="23">
        <v>245000</v>
      </c>
      <c r="F26" s="23">
        <v>205000</v>
      </c>
      <c r="G26" s="23">
        <v>190000</v>
      </c>
      <c r="H26" s="23">
        <v>0</v>
      </c>
    </row>
    <row r="27" ht="55.2" spans="1:8">
      <c r="A27" s="36">
        <v>11</v>
      </c>
      <c r="B27" s="18" t="s">
        <v>2524</v>
      </c>
      <c r="C27" s="18"/>
      <c r="D27" s="18"/>
      <c r="E27" s="23">
        <v>245000</v>
      </c>
      <c r="F27" s="23">
        <v>205000</v>
      </c>
      <c r="G27" s="23">
        <v>165000</v>
      </c>
      <c r="H27" s="23">
        <v>0</v>
      </c>
    </row>
    <row r="28" ht="55.2" spans="1:8">
      <c r="A28" s="36">
        <v>12</v>
      </c>
      <c r="B28" s="18" t="s">
        <v>2525</v>
      </c>
      <c r="C28" s="18"/>
      <c r="D28" s="18"/>
      <c r="E28" s="23">
        <v>245000</v>
      </c>
      <c r="F28" s="23">
        <v>205000</v>
      </c>
      <c r="G28" s="23">
        <v>165000</v>
      </c>
      <c r="H28" s="23">
        <v>0</v>
      </c>
    </row>
    <row r="29" spans="1:8">
      <c r="A29" s="36"/>
      <c r="B29" s="15" t="s">
        <v>2526</v>
      </c>
      <c r="C29" s="18"/>
      <c r="D29" s="18"/>
      <c r="E29" s="23" t="s">
        <v>16</v>
      </c>
      <c r="F29" s="23" t="s">
        <v>16</v>
      </c>
      <c r="G29" s="23" t="s">
        <v>16</v>
      </c>
      <c r="H29" s="23" t="s">
        <v>16</v>
      </c>
    </row>
    <row r="30" spans="1:8">
      <c r="A30" s="36">
        <v>13</v>
      </c>
      <c r="B30" s="18" t="s">
        <v>2504</v>
      </c>
      <c r="C30" s="18"/>
      <c r="D30" s="18"/>
      <c r="E30" s="23" t="s">
        <v>16</v>
      </c>
      <c r="F30" s="23" t="s">
        <v>16</v>
      </c>
      <c r="G30" s="23" t="s">
        <v>16</v>
      </c>
      <c r="H30" s="23" t="s">
        <v>16</v>
      </c>
    </row>
    <row r="31" ht="55.2" spans="1:8">
      <c r="A31" s="36"/>
      <c r="B31" s="18" t="s">
        <v>2527</v>
      </c>
      <c r="C31" s="18"/>
      <c r="D31" s="18"/>
      <c r="E31" s="23">
        <v>2300000</v>
      </c>
      <c r="F31" s="23">
        <v>1300000</v>
      </c>
      <c r="G31" s="23">
        <v>900000</v>
      </c>
      <c r="H31" s="23">
        <v>0</v>
      </c>
    </row>
    <row r="32" ht="55.2" spans="1:8">
      <c r="A32" s="36"/>
      <c r="B32" s="18" t="s">
        <v>2528</v>
      </c>
      <c r="C32" s="18"/>
      <c r="D32" s="18"/>
      <c r="E32" s="23">
        <v>1750000</v>
      </c>
      <c r="F32" s="23">
        <v>950000</v>
      </c>
      <c r="G32" s="23">
        <v>650000</v>
      </c>
      <c r="H32" s="23">
        <v>0</v>
      </c>
    </row>
    <row r="33" spans="1:8">
      <c r="A33" s="36">
        <v>14</v>
      </c>
      <c r="B33" s="18" t="s">
        <v>2507</v>
      </c>
      <c r="C33" s="18"/>
      <c r="D33" s="18"/>
      <c r="E33" s="23" t="s">
        <v>16</v>
      </c>
      <c r="F33" s="23" t="s">
        <v>16</v>
      </c>
      <c r="G33" s="23" t="s">
        <v>16</v>
      </c>
      <c r="H33" s="23" t="s">
        <v>16</v>
      </c>
    </row>
    <row r="34" ht="41.4" spans="1:8">
      <c r="A34" s="36"/>
      <c r="B34" s="18" t="s">
        <v>2529</v>
      </c>
      <c r="C34" s="18"/>
      <c r="D34" s="18"/>
      <c r="E34" s="23">
        <v>1150000</v>
      </c>
      <c r="F34" s="23">
        <v>650000</v>
      </c>
      <c r="G34" s="23">
        <v>425000</v>
      </c>
      <c r="H34" s="23">
        <v>0</v>
      </c>
    </row>
    <row r="35" ht="41.4" spans="1:8">
      <c r="A35" s="36"/>
      <c r="B35" s="18" t="s">
        <v>2530</v>
      </c>
      <c r="C35" s="18"/>
      <c r="D35" s="18"/>
      <c r="E35" s="23">
        <v>750000</v>
      </c>
      <c r="F35" s="23">
        <v>450000</v>
      </c>
      <c r="G35" s="23">
        <v>325000</v>
      </c>
      <c r="H35" s="23">
        <v>0</v>
      </c>
    </row>
    <row r="36" ht="27.6" spans="1:8">
      <c r="A36" s="36">
        <v>15</v>
      </c>
      <c r="B36" s="18" t="s">
        <v>2531</v>
      </c>
      <c r="C36" s="18"/>
      <c r="D36" s="18"/>
      <c r="E36" s="23" t="s">
        <v>16</v>
      </c>
      <c r="F36" s="23" t="s">
        <v>16</v>
      </c>
      <c r="G36" s="23" t="s">
        <v>16</v>
      </c>
      <c r="H36" s="23" t="s">
        <v>16</v>
      </c>
    </row>
    <row r="37" ht="41.4" spans="1:8">
      <c r="A37" s="36"/>
      <c r="B37" s="18" t="s">
        <v>2532</v>
      </c>
      <c r="C37" s="18"/>
      <c r="D37" s="18"/>
      <c r="E37" s="23">
        <v>550000</v>
      </c>
      <c r="F37" s="23">
        <v>325000</v>
      </c>
      <c r="G37" s="23">
        <v>245000</v>
      </c>
      <c r="H37" s="23">
        <v>0</v>
      </c>
    </row>
    <row r="38" ht="41.4" spans="1:8">
      <c r="A38" s="36"/>
      <c r="B38" s="18" t="s">
        <v>2533</v>
      </c>
      <c r="C38" s="18"/>
      <c r="D38" s="18"/>
      <c r="E38" s="23">
        <v>850000</v>
      </c>
      <c r="F38" s="23">
        <v>465000</v>
      </c>
      <c r="G38" s="23">
        <v>335000</v>
      </c>
      <c r="H38" s="23">
        <v>0</v>
      </c>
    </row>
    <row r="39" ht="41.4" spans="1:8">
      <c r="A39" s="36"/>
      <c r="B39" s="18" t="s">
        <v>2534</v>
      </c>
      <c r="C39" s="18"/>
      <c r="D39" s="18"/>
      <c r="E39" s="23">
        <v>700000</v>
      </c>
      <c r="F39" s="23">
        <v>420000</v>
      </c>
      <c r="G39" s="23">
        <v>290000</v>
      </c>
      <c r="H39" s="23">
        <v>0</v>
      </c>
    </row>
    <row r="40" ht="165.6" spans="1:8">
      <c r="A40" s="36"/>
      <c r="B40" s="18" t="s">
        <v>2535</v>
      </c>
      <c r="C40" s="18"/>
      <c r="D40" s="18"/>
      <c r="E40" s="23">
        <v>495000</v>
      </c>
      <c r="F40" s="23">
        <v>395000</v>
      </c>
      <c r="G40" s="23">
        <v>295000</v>
      </c>
      <c r="H40" s="23">
        <v>0</v>
      </c>
    </row>
    <row r="41" ht="124.2" spans="1:8">
      <c r="A41" s="36">
        <v>16</v>
      </c>
      <c r="B41" s="18" t="s">
        <v>2536</v>
      </c>
      <c r="C41" s="18"/>
      <c r="D41" s="18"/>
      <c r="E41" s="23">
        <v>600000</v>
      </c>
      <c r="F41" s="23">
        <v>440000</v>
      </c>
      <c r="G41" s="23">
        <v>310000</v>
      </c>
      <c r="H41" s="23">
        <v>0</v>
      </c>
    </row>
    <row r="42" ht="41.4" spans="1:8">
      <c r="A42" s="36">
        <v>17</v>
      </c>
      <c r="B42" s="18" t="s">
        <v>2537</v>
      </c>
      <c r="C42" s="18"/>
      <c r="D42" s="18"/>
      <c r="E42" s="23">
        <v>330000</v>
      </c>
      <c r="F42" s="23">
        <v>270000</v>
      </c>
      <c r="G42" s="23">
        <v>225000</v>
      </c>
      <c r="H42" s="23">
        <v>0</v>
      </c>
    </row>
    <row r="43" ht="124.2" spans="1:8">
      <c r="A43" s="36">
        <v>18</v>
      </c>
      <c r="B43" s="18" t="s">
        <v>2538</v>
      </c>
      <c r="C43" s="18"/>
      <c r="D43" s="18"/>
      <c r="E43" s="23">
        <v>305000</v>
      </c>
      <c r="F43" s="23">
        <v>235000</v>
      </c>
      <c r="G43" s="23">
        <v>190000</v>
      </c>
      <c r="H43" s="23">
        <v>0</v>
      </c>
    </row>
    <row r="44" spans="1:8">
      <c r="A44" s="36"/>
      <c r="B44" s="15" t="s">
        <v>2539</v>
      </c>
      <c r="C44" s="18"/>
      <c r="D44" s="18"/>
      <c r="E44" s="23" t="s">
        <v>16</v>
      </c>
      <c r="F44" s="23" t="s">
        <v>16</v>
      </c>
      <c r="G44" s="23" t="s">
        <v>16</v>
      </c>
      <c r="H44" s="23" t="s">
        <v>16</v>
      </c>
    </row>
    <row r="45" spans="1:8">
      <c r="A45" s="36">
        <f>A43+1</f>
        <v>19</v>
      </c>
      <c r="B45" s="18" t="s">
        <v>2540</v>
      </c>
      <c r="C45" s="18"/>
      <c r="D45" s="18"/>
      <c r="E45" s="23" t="s">
        <v>16</v>
      </c>
      <c r="F45" s="23" t="s">
        <v>16</v>
      </c>
      <c r="G45" s="23" t="s">
        <v>16</v>
      </c>
      <c r="H45" s="23" t="s">
        <v>16</v>
      </c>
    </row>
    <row r="46" ht="27.6" spans="1:8">
      <c r="A46" s="36"/>
      <c r="B46" s="18" t="s">
        <v>2541</v>
      </c>
      <c r="C46" s="18"/>
      <c r="D46" s="18"/>
      <c r="E46" s="23">
        <v>1900000</v>
      </c>
      <c r="F46" s="23">
        <v>1150000</v>
      </c>
      <c r="G46" s="23">
        <v>600000</v>
      </c>
      <c r="H46" s="23">
        <v>0</v>
      </c>
    </row>
    <row r="47" ht="27.6" spans="1:8">
      <c r="A47" s="36"/>
      <c r="B47" s="18" t="s">
        <v>2542</v>
      </c>
      <c r="C47" s="18"/>
      <c r="D47" s="18"/>
      <c r="E47" s="23">
        <v>1050000</v>
      </c>
      <c r="F47" s="23">
        <v>650000</v>
      </c>
      <c r="G47" s="23">
        <v>335000</v>
      </c>
      <c r="H47" s="23">
        <v>0</v>
      </c>
    </row>
    <row r="48" ht="41.4" spans="1:8">
      <c r="A48" s="36"/>
      <c r="B48" s="18" t="s">
        <v>2543</v>
      </c>
      <c r="C48" s="18"/>
      <c r="D48" s="18"/>
      <c r="E48" s="23">
        <v>550000</v>
      </c>
      <c r="F48" s="23">
        <v>325000</v>
      </c>
      <c r="G48" s="23">
        <v>245000</v>
      </c>
      <c r="H48" s="23">
        <v>0</v>
      </c>
    </row>
    <row r="49" ht="55.2" spans="1:8">
      <c r="A49" s="36">
        <f>A45+1</f>
        <v>20</v>
      </c>
      <c r="B49" s="18" t="s">
        <v>2544</v>
      </c>
      <c r="C49" s="18"/>
      <c r="D49" s="18"/>
      <c r="E49" s="23">
        <v>500000</v>
      </c>
      <c r="F49" s="23">
        <v>290000</v>
      </c>
      <c r="G49" s="23">
        <v>245000</v>
      </c>
      <c r="H49" s="23">
        <v>0</v>
      </c>
    </row>
    <row r="50" ht="55.2" spans="1:8">
      <c r="A50" s="36">
        <f>A49+1</f>
        <v>21</v>
      </c>
      <c r="B50" s="18" t="s">
        <v>2545</v>
      </c>
      <c r="C50" s="18"/>
      <c r="D50" s="18"/>
      <c r="E50" s="23">
        <v>500000</v>
      </c>
      <c r="F50" s="23">
        <v>290000</v>
      </c>
      <c r="G50" s="23">
        <v>245000</v>
      </c>
      <c r="H50" s="23">
        <v>0</v>
      </c>
    </row>
    <row r="51" ht="55.2" spans="1:8">
      <c r="A51" s="36">
        <f>A50+1</f>
        <v>22</v>
      </c>
      <c r="B51" s="41" t="s">
        <v>2546</v>
      </c>
      <c r="C51" s="41"/>
      <c r="D51" s="41"/>
      <c r="E51" s="23">
        <v>1500000</v>
      </c>
      <c r="F51" s="23">
        <v>850000</v>
      </c>
      <c r="G51" s="23">
        <v>750000</v>
      </c>
      <c r="H51" s="23">
        <v>0</v>
      </c>
    </row>
    <row r="52" ht="41.4" spans="1:8">
      <c r="A52" s="36">
        <f>A51+1</f>
        <v>23</v>
      </c>
      <c r="B52" s="18" t="s">
        <v>2547</v>
      </c>
      <c r="C52" s="18"/>
      <c r="D52" s="18"/>
      <c r="E52" s="23">
        <v>1000000</v>
      </c>
      <c r="F52" s="23">
        <v>650000</v>
      </c>
      <c r="G52" s="23">
        <v>600000</v>
      </c>
      <c r="H52" s="23">
        <v>0</v>
      </c>
    </row>
    <row r="53" spans="1:8">
      <c r="A53" s="36"/>
      <c r="B53" s="15" t="s">
        <v>2548</v>
      </c>
      <c r="C53" s="18"/>
      <c r="D53" s="18"/>
      <c r="E53" s="23" t="s">
        <v>16</v>
      </c>
      <c r="F53" s="23" t="s">
        <v>16</v>
      </c>
      <c r="G53" s="23" t="s">
        <v>16</v>
      </c>
      <c r="H53" s="23" t="s">
        <v>16</v>
      </c>
    </row>
    <row r="54" spans="1:8">
      <c r="A54" s="36">
        <f>A52+1</f>
        <v>24</v>
      </c>
      <c r="B54" s="18" t="s">
        <v>2540</v>
      </c>
      <c r="C54" s="18"/>
      <c r="D54" s="18"/>
      <c r="E54" s="23" t="s">
        <v>16</v>
      </c>
      <c r="F54" s="23" t="s">
        <v>16</v>
      </c>
      <c r="G54" s="23" t="s">
        <v>16</v>
      </c>
      <c r="H54" s="23" t="s">
        <v>16</v>
      </c>
    </row>
    <row r="55" ht="41.4" spans="1:8">
      <c r="A55" s="36"/>
      <c r="B55" s="18" t="s">
        <v>2549</v>
      </c>
      <c r="C55" s="18"/>
      <c r="D55" s="18"/>
      <c r="E55" s="23">
        <v>385000</v>
      </c>
      <c r="F55" s="23">
        <v>225000</v>
      </c>
      <c r="G55" s="23">
        <v>185000</v>
      </c>
      <c r="H55" s="23">
        <v>0</v>
      </c>
    </row>
    <row r="56" ht="41.4" spans="1:8">
      <c r="A56" s="36"/>
      <c r="B56" s="18" t="s">
        <v>2550</v>
      </c>
      <c r="C56" s="18"/>
      <c r="D56" s="18"/>
      <c r="E56" s="23">
        <v>400000</v>
      </c>
      <c r="F56" s="23">
        <v>235000</v>
      </c>
      <c r="G56" s="23">
        <v>200000</v>
      </c>
      <c r="H56" s="23">
        <v>0</v>
      </c>
    </row>
    <row r="57" ht="41.4" spans="1:8">
      <c r="A57" s="36"/>
      <c r="B57" s="18" t="s">
        <v>2551</v>
      </c>
      <c r="C57" s="18"/>
      <c r="D57" s="18"/>
      <c r="E57" s="23">
        <v>460000</v>
      </c>
      <c r="F57" s="23">
        <v>270000</v>
      </c>
      <c r="G57" s="23">
        <v>200000</v>
      </c>
      <c r="H57" s="23">
        <v>0</v>
      </c>
    </row>
    <row r="58" ht="41.4" spans="1:8">
      <c r="A58" s="36">
        <f>A54+1</f>
        <v>25</v>
      </c>
      <c r="B58" s="18" t="s">
        <v>2552</v>
      </c>
      <c r="C58" s="18"/>
      <c r="D58" s="18"/>
      <c r="E58" s="23">
        <v>350000</v>
      </c>
      <c r="F58" s="23">
        <v>210000</v>
      </c>
      <c r="G58" s="23">
        <v>175000</v>
      </c>
      <c r="H58" s="23">
        <v>0</v>
      </c>
    </row>
    <row r="59" ht="55.2" spans="1:8">
      <c r="A59" s="36">
        <f>A58+1</f>
        <v>26</v>
      </c>
      <c r="B59" s="18" t="s">
        <v>2553</v>
      </c>
      <c r="C59" s="18"/>
      <c r="D59" s="18"/>
      <c r="E59" s="23">
        <v>460000</v>
      </c>
      <c r="F59" s="23">
        <v>270000</v>
      </c>
      <c r="G59" s="23">
        <v>200000</v>
      </c>
      <c r="H59" s="23">
        <v>0</v>
      </c>
    </row>
    <row r="60" spans="1:8">
      <c r="A60" s="40" t="s">
        <v>167</v>
      </c>
      <c r="B60" s="18"/>
      <c r="C60" s="18"/>
      <c r="D60" s="18"/>
      <c r="E60" s="23" t="s">
        <v>16</v>
      </c>
      <c r="F60" s="23" t="s">
        <v>16</v>
      </c>
      <c r="G60" s="23" t="s">
        <v>16</v>
      </c>
      <c r="H60" s="23" t="s">
        <v>16</v>
      </c>
    </row>
    <row r="61" spans="1:8">
      <c r="A61" s="36"/>
      <c r="B61" s="15" t="s">
        <v>2503</v>
      </c>
      <c r="C61" s="18"/>
      <c r="D61" s="18"/>
      <c r="E61" s="23" t="s">
        <v>16</v>
      </c>
      <c r="F61" s="23" t="s">
        <v>16</v>
      </c>
      <c r="G61" s="23" t="s">
        <v>16</v>
      </c>
      <c r="H61" s="23" t="s">
        <v>16</v>
      </c>
    </row>
    <row r="62" ht="69" spans="1:8">
      <c r="A62" s="36">
        <f>A59+1</f>
        <v>27</v>
      </c>
      <c r="B62" s="18" t="s">
        <v>2554</v>
      </c>
      <c r="C62" s="18"/>
      <c r="D62" s="18"/>
      <c r="E62" s="23">
        <v>225000</v>
      </c>
      <c r="F62" s="23">
        <v>190000</v>
      </c>
      <c r="G62" s="23">
        <v>0</v>
      </c>
      <c r="H62" s="23">
        <v>0</v>
      </c>
    </row>
    <row r="63" ht="96.6" spans="1:8">
      <c r="A63" s="36">
        <f>A62+1</f>
        <v>28</v>
      </c>
      <c r="B63" s="20" t="s">
        <v>2555</v>
      </c>
      <c r="C63" s="18"/>
      <c r="D63" s="18"/>
      <c r="E63" s="23">
        <v>185000</v>
      </c>
      <c r="F63" s="23">
        <v>125000</v>
      </c>
      <c r="G63" s="23">
        <v>0</v>
      </c>
      <c r="H63" s="23">
        <v>0</v>
      </c>
    </row>
    <row r="64" ht="27.6" spans="1:8">
      <c r="A64" s="36">
        <f>A63+1</f>
        <v>29</v>
      </c>
      <c r="B64" s="20" t="s">
        <v>2556</v>
      </c>
      <c r="C64" s="18"/>
      <c r="D64" s="18"/>
      <c r="E64" s="23">
        <v>130000</v>
      </c>
      <c r="F64" s="23">
        <v>0</v>
      </c>
      <c r="G64" s="23">
        <v>0</v>
      </c>
      <c r="H64" s="23">
        <v>0</v>
      </c>
    </row>
    <row r="65" spans="1:8">
      <c r="A65" s="36"/>
      <c r="B65" s="11" t="s">
        <v>2526</v>
      </c>
      <c r="C65" s="18"/>
      <c r="D65" s="18"/>
      <c r="E65" s="23" t="s">
        <v>16</v>
      </c>
      <c r="F65" s="23" t="s">
        <v>16</v>
      </c>
      <c r="G65" s="23" t="s">
        <v>16</v>
      </c>
      <c r="H65" s="23" t="s">
        <v>16</v>
      </c>
    </row>
    <row r="66" ht="151.8" spans="1:8">
      <c r="A66" s="36">
        <f>A63+1</f>
        <v>29</v>
      </c>
      <c r="B66" s="20" t="s">
        <v>2557</v>
      </c>
      <c r="C66" s="18"/>
      <c r="D66" s="18"/>
      <c r="E66" s="23">
        <v>225000</v>
      </c>
      <c r="F66" s="23">
        <v>190000</v>
      </c>
      <c r="G66" s="23">
        <v>0</v>
      </c>
      <c r="H66" s="23">
        <v>0</v>
      </c>
    </row>
    <row r="67" ht="27.6" spans="1:8">
      <c r="A67" s="36">
        <f>A66+1</f>
        <v>30</v>
      </c>
      <c r="B67" s="20" t="s">
        <v>2558</v>
      </c>
      <c r="C67" s="18"/>
      <c r="D67" s="18"/>
      <c r="E67" s="23">
        <v>185000</v>
      </c>
      <c r="F67" s="23">
        <v>140000</v>
      </c>
      <c r="G67" s="23">
        <v>0</v>
      </c>
      <c r="H67" s="23">
        <v>0</v>
      </c>
    </row>
    <row r="68" ht="27.6" spans="1:8">
      <c r="A68" s="36">
        <f>A67+1</f>
        <v>31</v>
      </c>
      <c r="B68" s="20" t="s">
        <v>2559</v>
      </c>
      <c r="C68" s="18"/>
      <c r="D68" s="18"/>
      <c r="E68" s="23">
        <v>140000</v>
      </c>
      <c r="F68" s="23">
        <v>0</v>
      </c>
      <c r="G68" s="23">
        <v>0</v>
      </c>
      <c r="H68" s="23">
        <v>0</v>
      </c>
    </row>
    <row r="69" spans="1:8">
      <c r="A69" s="36"/>
      <c r="B69" s="11" t="s">
        <v>2539</v>
      </c>
      <c r="C69" s="18"/>
      <c r="D69" s="18"/>
      <c r="E69" s="23" t="s">
        <v>16</v>
      </c>
      <c r="F69" s="23" t="s">
        <v>16</v>
      </c>
      <c r="G69" s="23" t="s">
        <v>16</v>
      </c>
      <c r="H69" s="23" t="s">
        <v>16</v>
      </c>
    </row>
    <row r="70" ht="55.2" spans="1:8">
      <c r="A70" s="36">
        <f>A68+1</f>
        <v>32</v>
      </c>
      <c r="B70" s="20" t="s">
        <v>2560</v>
      </c>
      <c r="C70" s="18"/>
      <c r="D70" s="18"/>
      <c r="E70" s="23">
        <v>165000</v>
      </c>
      <c r="F70" s="23">
        <v>120000</v>
      </c>
      <c r="G70" s="23">
        <v>0</v>
      </c>
      <c r="H70" s="23">
        <v>0</v>
      </c>
    </row>
    <row r="71" ht="82.8" spans="1:8">
      <c r="A71" s="36">
        <f>A70+1</f>
        <v>33</v>
      </c>
      <c r="B71" s="20" t="s">
        <v>2561</v>
      </c>
      <c r="C71" s="18"/>
      <c r="D71" s="18"/>
      <c r="E71" s="23">
        <v>115000</v>
      </c>
      <c r="F71" s="23">
        <v>0</v>
      </c>
      <c r="G71" s="23">
        <v>0</v>
      </c>
      <c r="H71" s="23">
        <v>0</v>
      </c>
    </row>
    <row r="72" spans="1:8">
      <c r="A72" s="36"/>
      <c r="B72" s="11" t="s">
        <v>2548</v>
      </c>
      <c r="C72" s="18"/>
      <c r="D72" s="18"/>
      <c r="E72" s="23" t="s">
        <v>16</v>
      </c>
      <c r="F72" s="23" t="s">
        <v>16</v>
      </c>
      <c r="G72" s="23" t="s">
        <v>16</v>
      </c>
      <c r="H72" s="23" t="s">
        <v>16</v>
      </c>
    </row>
    <row r="73" ht="27.6" spans="1:8">
      <c r="A73" s="36">
        <f>A71+1</f>
        <v>34</v>
      </c>
      <c r="B73" s="20" t="s">
        <v>2562</v>
      </c>
      <c r="C73" s="18"/>
      <c r="D73" s="18"/>
      <c r="E73" s="23">
        <v>185000</v>
      </c>
      <c r="F73" s="23">
        <v>140000</v>
      </c>
      <c r="G73" s="23">
        <v>0</v>
      </c>
      <c r="H73" s="23">
        <v>0</v>
      </c>
    </row>
    <row r="74" ht="27.6" spans="1:8">
      <c r="A74" s="16">
        <f>A73+1</f>
        <v>35</v>
      </c>
      <c r="B74" s="20" t="s">
        <v>2563</v>
      </c>
      <c r="C74" s="18"/>
      <c r="D74" s="18"/>
      <c r="E74" s="23">
        <v>130000</v>
      </c>
      <c r="F74" s="23">
        <v>0</v>
      </c>
      <c r="G74" s="23">
        <v>0</v>
      </c>
      <c r="H74" s="23">
        <v>0</v>
      </c>
    </row>
    <row r="75" spans="1:8">
      <c r="A75" s="20"/>
      <c r="B75" s="20"/>
      <c r="C75" s="18"/>
      <c r="D75" s="18"/>
      <c r="E75" s="23" t="s">
        <v>16</v>
      </c>
      <c r="F75" s="23" t="s">
        <v>16</v>
      </c>
      <c r="G75" s="23" t="s">
        <v>16</v>
      </c>
      <c r="H75" s="23" t="s">
        <v>16</v>
      </c>
    </row>
    <row r="76" spans="1:8">
      <c r="A76" s="20"/>
      <c r="B76" s="20"/>
      <c r="C76" s="18"/>
      <c r="D76" s="18"/>
      <c r="E76" s="23" t="s">
        <v>16</v>
      </c>
      <c r="F76" s="23" t="s">
        <v>16</v>
      </c>
      <c r="G76" s="23" t="s">
        <v>16</v>
      </c>
      <c r="H76" s="23" t="s">
        <v>16</v>
      </c>
    </row>
    <row r="77" spans="1:8">
      <c r="A77" s="20"/>
      <c r="B77" s="20"/>
      <c r="C77" s="18"/>
      <c r="D77" s="18"/>
      <c r="E77" s="23" t="s">
        <v>16</v>
      </c>
      <c r="F77" s="23" t="s">
        <v>16</v>
      </c>
      <c r="G77" s="23" t="s">
        <v>16</v>
      </c>
      <c r="H77" s="23" t="s">
        <v>16</v>
      </c>
    </row>
    <row r="78" spans="1:8">
      <c r="A78" s="20"/>
      <c r="B78" s="20"/>
      <c r="C78" s="18"/>
      <c r="D78" s="18"/>
      <c r="E78" s="23" t="s">
        <v>16</v>
      </c>
      <c r="F78" s="23" t="s">
        <v>16</v>
      </c>
      <c r="G78" s="23" t="s">
        <v>16</v>
      </c>
      <c r="H78" s="23" t="s">
        <v>16</v>
      </c>
    </row>
    <row r="79" spans="1:8">
      <c r="A79" s="20"/>
      <c r="B79" s="42"/>
      <c r="C79" s="43"/>
      <c r="D79" s="43"/>
      <c r="E79" s="23" t="s">
        <v>16</v>
      </c>
      <c r="F79" s="23" t="s">
        <v>16</v>
      </c>
      <c r="G79" s="23" t="s">
        <v>16</v>
      </c>
      <c r="H79" s="23" t="s">
        <v>16</v>
      </c>
    </row>
    <row r="80" spans="1:8">
      <c r="A80" s="20"/>
      <c r="B80" s="20"/>
      <c r="C80" s="18"/>
      <c r="D80" s="18"/>
      <c r="E80" s="23" t="s">
        <v>16</v>
      </c>
      <c r="F80" s="23" t="s">
        <v>16</v>
      </c>
      <c r="G80" s="23" t="s">
        <v>16</v>
      </c>
      <c r="H80" s="23" t="s">
        <v>16</v>
      </c>
    </row>
    <row r="81" spans="1:8">
      <c r="A81" s="20"/>
      <c r="B81" s="20"/>
      <c r="C81" s="18"/>
      <c r="D81" s="18"/>
      <c r="E81" s="23" t="s">
        <v>16</v>
      </c>
      <c r="F81" s="23" t="s">
        <v>16</v>
      </c>
      <c r="G81" s="23" t="s">
        <v>16</v>
      </c>
      <c r="H81" s="23" t="s">
        <v>16</v>
      </c>
    </row>
    <row r="82" spans="1:8">
      <c r="A82" s="20"/>
      <c r="B82" s="20"/>
      <c r="C82" s="18"/>
      <c r="D82" s="18"/>
      <c r="E82" s="23" t="s">
        <v>16</v>
      </c>
      <c r="F82" s="23" t="s">
        <v>16</v>
      </c>
      <c r="G82" s="23" t="s">
        <v>16</v>
      </c>
      <c r="H82" s="23" t="s">
        <v>16</v>
      </c>
    </row>
    <row r="83" spans="1:8">
      <c r="A83" s="27"/>
      <c r="C83" s="28"/>
      <c r="D83" s="28"/>
      <c r="E83" s="23" t="s">
        <v>16</v>
      </c>
      <c r="F83" s="23" t="s">
        <v>16</v>
      </c>
      <c r="G83" s="23" t="s">
        <v>16</v>
      </c>
      <c r="H83" s="23" t="s">
        <v>16</v>
      </c>
    </row>
    <row r="84" spans="1:8">
      <c r="A84" s="27"/>
      <c r="C84" s="28"/>
      <c r="D84" s="28"/>
      <c r="E84" s="23" t="s">
        <v>16</v>
      </c>
      <c r="F84" s="23" t="s">
        <v>16</v>
      </c>
      <c r="G84" s="23" t="s">
        <v>16</v>
      </c>
      <c r="H84" s="23" t="s">
        <v>16</v>
      </c>
    </row>
    <row r="85" spans="1:8">
      <c r="A85" s="27"/>
      <c r="C85" s="28"/>
      <c r="D85" s="28"/>
      <c r="E85" s="23" t="s">
        <v>16</v>
      </c>
      <c r="F85" s="23" t="s">
        <v>16</v>
      </c>
      <c r="G85" s="23" t="s">
        <v>16</v>
      </c>
      <c r="H85" s="23" t="s">
        <v>16</v>
      </c>
    </row>
    <row r="86" spans="1:8">
      <c r="A86" s="27"/>
      <c r="C86" s="28"/>
      <c r="D86" s="28"/>
      <c r="E86" s="23" t="s">
        <v>16</v>
      </c>
      <c r="F86" s="23" t="s">
        <v>16</v>
      </c>
      <c r="G86" s="23" t="s">
        <v>16</v>
      </c>
      <c r="H86" s="23" t="s">
        <v>16</v>
      </c>
    </row>
    <row r="87" spans="1:8">
      <c r="A87" s="27"/>
      <c r="C87" s="28"/>
      <c r="D87" s="28"/>
      <c r="E87" s="23" t="s">
        <v>16</v>
      </c>
      <c r="F87" s="23" t="s">
        <v>16</v>
      </c>
      <c r="G87" s="23" t="s">
        <v>16</v>
      </c>
      <c r="H87" s="23" t="s">
        <v>16</v>
      </c>
    </row>
    <row r="88" spans="1:8">
      <c r="A88" s="27"/>
      <c r="C88" s="28"/>
      <c r="D88" s="28"/>
      <c r="E88" s="23" t="s">
        <v>16</v>
      </c>
      <c r="F88" s="23" t="s">
        <v>16</v>
      </c>
      <c r="G88" s="23" t="s">
        <v>16</v>
      </c>
      <c r="H88" s="23" t="s">
        <v>16</v>
      </c>
    </row>
    <row r="89" spans="1:8">
      <c r="A89" s="27"/>
      <c r="C89" s="28"/>
      <c r="D89" s="28"/>
      <c r="E89" s="23" t="s">
        <v>16</v>
      </c>
      <c r="F89" s="23" t="s">
        <v>16</v>
      </c>
      <c r="G89" s="23" t="s">
        <v>16</v>
      </c>
      <c r="H89" s="23" t="s">
        <v>16</v>
      </c>
    </row>
    <row r="90" spans="1:8">
      <c r="A90" s="27"/>
      <c r="C90" s="28"/>
      <c r="D90" s="2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c r="F201" s="23"/>
      <c r="G201" s="23"/>
      <c r="H201" s="23"/>
    </row>
    <row r="202" spans="1:8">
      <c r="A202" s="27"/>
      <c r="C202" s="28"/>
      <c r="D202" s="28"/>
      <c r="E202" s="23"/>
      <c r="F202" s="23"/>
      <c r="G202" s="23"/>
      <c r="H202" s="23"/>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44"/>
      <c r="F222" s="44"/>
      <c r="G222" s="44"/>
      <c r="H222" s="44"/>
    </row>
    <row r="223" spans="1:8">
      <c r="A223" s="27"/>
      <c r="C223" s="28"/>
      <c r="D223" s="28"/>
      <c r="E223" s="44"/>
      <c r="F223" s="44"/>
      <c r="G223" s="44"/>
      <c r="H223" s="44"/>
    </row>
    <row r="224" spans="1:8">
      <c r="A224" s="27"/>
      <c r="C224" s="28"/>
      <c r="D224" s="28"/>
      <c r="E224" s="44"/>
      <c r="F224" s="44"/>
      <c r="G224" s="44"/>
      <c r="H224" s="44"/>
    </row>
    <row r="225" spans="1:8">
      <c r="A225" s="27"/>
      <c r="C225" s="28"/>
      <c r="D225" s="28"/>
      <c r="E225" s="44"/>
      <c r="F225" s="44"/>
      <c r="G225" s="44"/>
      <c r="H225" s="44"/>
    </row>
    <row r="226" spans="1:8">
      <c r="A226" s="27"/>
      <c r="C226" s="28"/>
      <c r="D226" s="28"/>
      <c r="E226" s="44"/>
      <c r="F226" s="44"/>
      <c r="G226" s="44"/>
      <c r="H226" s="44"/>
    </row>
    <row r="227" spans="1:8">
      <c r="A227" s="27"/>
      <c r="C227" s="28"/>
      <c r="D227" s="28"/>
      <c r="E227" s="44"/>
      <c r="F227" s="44"/>
      <c r="G227" s="44"/>
      <c r="H227" s="44"/>
    </row>
    <row r="228" spans="1:8">
      <c r="A228" s="27"/>
      <c r="C228" s="28"/>
      <c r="D228" s="28"/>
      <c r="E228" s="44"/>
      <c r="F228" s="44"/>
      <c r="G228" s="44"/>
      <c r="H228" s="44"/>
    </row>
    <row r="229" spans="1:8">
      <c r="A229" s="27"/>
      <c r="C229" s="28"/>
      <c r="D229" s="28"/>
      <c r="E229" s="44"/>
      <c r="F229" s="44"/>
      <c r="G229" s="44"/>
      <c r="H229" s="44"/>
    </row>
    <row r="230" spans="1:8">
      <c r="A230" s="27"/>
      <c r="C230" s="28"/>
      <c r="D230" s="28"/>
      <c r="E230" s="44"/>
      <c r="F230" s="44"/>
      <c r="G230" s="44"/>
      <c r="H230" s="44"/>
    </row>
    <row r="231" spans="1:8">
      <c r="A231" s="27"/>
      <c r="C231" s="28"/>
      <c r="D231" s="28"/>
      <c r="E231" s="44"/>
      <c r="F231" s="44"/>
      <c r="G231" s="44"/>
      <c r="H231" s="44"/>
    </row>
    <row r="232" spans="1:8">
      <c r="A232" s="27"/>
      <c r="C232" s="28"/>
      <c r="D232" s="28"/>
      <c r="E232" s="44"/>
      <c r="F232" s="44"/>
      <c r="G232" s="44"/>
      <c r="H232" s="44"/>
    </row>
    <row r="233" spans="1:8">
      <c r="A233" s="27"/>
      <c r="C233" s="28"/>
      <c r="D233" s="28"/>
      <c r="E233" s="44"/>
      <c r="F233" s="44"/>
      <c r="G233" s="44"/>
      <c r="H233" s="44"/>
    </row>
    <row r="234" spans="1:8">
      <c r="A234" s="27"/>
      <c r="C234" s="28"/>
      <c r="D234" s="28"/>
      <c r="E234" s="44"/>
      <c r="F234" s="44"/>
      <c r="G234" s="44"/>
      <c r="H234" s="44"/>
    </row>
    <row r="235" spans="1:8">
      <c r="A235" s="27"/>
      <c r="C235" s="28"/>
      <c r="D235" s="28"/>
      <c r="E235" s="44"/>
      <c r="F235" s="44"/>
      <c r="G235" s="44"/>
      <c r="H235" s="44"/>
    </row>
    <row r="236" spans="1:8">
      <c r="A236" s="27"/>
      <c r="C236" s="28"/>
      <c r="D236" s="28"/>
      <c r="E236" s="44"/>
      <c r="F236" s="44"/>
      <c r="G236" s="44"/>
      <c r="H236" s="44"/>
    </row>
    <row r="237" spans="1:8">
      <c r="A237" s="27"/>
      <c r="C237" s="28"/>
      <c r="D237" s="28"/>
      <c r="E237" s="44"/>
      <c r="F237" s="44"/>
      <c r="G237" s="44"/>
      <c r="H237" s="44"/>
    </row>
    <row r="238" spans="1:8">
      <c r="A238" s="27"/>
      <c r="C238" s="28"/>
      <c r="D238" s="28"/>
      <c r="E238" s="44"/>
      <c r="F238" s="44"/>
      <c r="G238" s="44"/>
      <c r="H238" s="44"/>
    </row>
    <row r="239" spans="1:8">
      <c r="A239" s="27"/>
      <c r="C239" s="28"/>
      <c r="D239" s="28"/>
      <c r="E239" s="44"/>
      <c r="F239" s="44"/>
      <c r="G239" s="44"/>
      <c r="H239" s="44"/>
    </row>
    <row r="240" spans="1:8">
      <c r="A240" s="27"/>
      <c r="C240" s="28"/>
      <c r="D240" s="28"/>
      <c r="E240" s="44"/>
      <c r="F240" s="44"/>
      <c r="G240" s="44"/>
      <c r="H240" s="44"/>
    </row>
    <row r="241" spans="1:8">
      <c r="A241" s="27"/>
      <c r="C241" s="28"/>
      <c r="D241" s="28"/>
      <c r="E241" s="44"/>
      <c r="F241" s="44"/>
      <c r="G241" s="44"/>
      <c r="H241" s="44"/>
    </row>
    <row r="242" spans="1:8">
      <c r="A242" s="27"/>
      <c r="C242" s="28"/>
      <c r="D242" s="28"/>
      <c r="E242" s="44"/>
      <c r="F242" s="44"/>
      <c r="G242" s="44"/>
      <c r="H242" s="44"/>
    </row>
    <row r="243" spans="1:8">
      <c r="A243" s="27"/>
      <c r="C243" s="28"/>
      <c r="D243" s="28"/>
      <c r="E243" s="44"/>
      <c r="F243" s="44"/>
      <c r="G243" s="44"/>
      <c r="H243" s="44"/>
    </row>
    <row r="244" spans="1:8">
      <c r="A244" s="27"/>
      <c r="C244" s="28"/>
      <c r="D244" s="28"/>
      <c r="E244" s="44"/>
      <c r="F244" s="44"/>
      <c r="G244" s="44"/>
      <c r="H244" s="44"/>
    </row>
    <row r="245" spans="1:8">
      <c r="A245" s="27"/>
      <c r="C245" s="28"/>
      <c r="D245" s="28"/>
      <c r="E245" s="44"/>
      <c r="F245" s="44"/>
      <c r="G245" s="44"/>
      <c r="H245" s="44"/>
    </row>
    <row r="246" spans="1:8">
      <c r="A246" s="27"/>
      <c r="C246" s="28"/>
      <c r="D246" s="28"/>
      <c r="E246" s="44"/>
      <c r="F246" s="44"/>
      <c r="G246" s="44"/>
      <c r="H246" s="44"/>
    </row>
    <row r="247" spans="1:8">
      <c r="A247" s="27"/>
      <c r="C247" s="28"/>
      <c r="D247" s="28"/>
      <c r="E247" s="44"/>
      <c r="F247" s="44"/>
      <c r="G247" s="44"/>
      <c r="H247" s="44"/>
    </row>
    <row r="248" spans="1:8">
      <c r="A248" s="27"/>
      <c r="C248" s="28"/>
      <c r="D248" s="28"/>
      <c r="E248" s="44"/>
      <c r="F248" s="44"/>
      <c r="G248" s="44"/>
      <c r="H248" s="44"/>
    </row>
    <row r="249" spans="1:8">
      <c r="A249" s="27"/>
      <c r="C249" s="28"/>
      <c r="D249" s="28"/>
      <c r="E249" s="44"/>
      <c r="F249" s="44"/>
      <c r="G249" s="44"/>
      <c r="H249" s="44"/>
    </row>
    <row r="250" spans="1:8">
      <c r="A250" s="27"/>
      <c r="C250" s="28"/>
      <c r="D250" s="28"/>
      <c r="E250" s="44"/>
      <c r="F250" s="44"/>
      <c r="G250" s="44"/>
      <c r="H250" s="44"/>
    </row>
    <row r="251" spans="1:8">
      <c r="A251" s="27"/>
      <c r="C251" s="28"/>
      <c r="D251" s="28"/>
      <c r="E251" s="44"/>
      <c r="F251" s="44"/>
      <c r="G251" s="44"/>
      <c r="H251" s="44"/>
    </row>
    <row r="252" spans="1:8">
      <c r="A252" s="27"/>
      <c r="C252" s="28"/>
      <c r="D252" s="28"/>
      <c r="E252" s="44"/>
      <c r="F252" s="44"/>
      <c r="G252" s="44"/>
      <c r="H252" s="44"/>
    </row>
    <row r="253" spans="1:8">
      <c r="A253" s="27"/>
      <c r="C253" s="28"/>
      <c r="D253" s="28"/>
      <c r="E253" s="44"/>
      <c r="F253" s="44"/>
      <c r="G253" s="44"/>
      <c r="H253" s="44"/>
    </row>
    <row r="254" spans="1:8">
      <c r="A254" s="27"/>
      <c r="C254" s="28"/>
      <c r="D254" s="28"/>
      <c r="E254" s="44"/>
      <c r="F254" s="44"/>
      <c r="G254" s="44"/>
      <c r="H254" s="44"/>
    </row>
    <row r="255" spans="1:8">
      <c r="A255" s="27"/>
      <c r="C255" s="28"/>
      <c r="D255" s="28"/>
      <c r="E255" s="44"/>
      <c r="F255" s="44"/>
      <c r="G255" s="44"/>
      <c r="H255" s="44"/>
    </row>
    <row r="256" spans="1:8">
      <c r="A256" s="27"/>
      <c r="C256" s="28"/>
      <c r="D256" s="28"/>
      <c r="E256" s="44"/>
      <c r="F256" s="44"/>
      <c r="G256" s="44"/>
      <c r="H256" s="44"/>
    </row>
    <row r="257" spans="1:8">
      <c r="A257" s="27"/>
      <c r="C257" s="28"/>
      <c r="D257" s="28"/>
      <c r="E257" s="44"/>
      <c r="F257" s="44"/>
      <c r="G257" s="44"/>
      <c r="H257" s="44"/>
    </row>
    <row r="258" spans="1:8">
      <c r="A258" s="27"/>
      <c r="C258" s="28"/>
      <c r="D258" s="28"/>
      <c r="E258" s="44"/>
      <c r="F258" s="44"/>
      <c r="G258" s="44"/>
      <c r="H258" s="44"/>
    </row>
    <row r="259" spans="1:8">
      <c r="A259" s="27"/>
      <c r="C259" s="28"/>
      <c r="D259" s="28"/>
      <c r="E259" s="44"/>
      <c r="F259" s="44"/>
      <c r="G259" s="44"/>
      <c r="H259" s="44"/>
    </row>
    <row r="260" spans="1:8">
      <c r="A260" s="27"/>
      <c r="C260" s="28"/>
      <c r="D260" s="28"/>
      <c r="E260" s="44"/>
      <c r="F260" s="44"/>
      <c r="G260" s="44"/>
      <c r="H260" s="44"/>
    </row>
    <row r="261" spans="1:8">
      <c r="A261" s="27"/>
      <c r="C261" s="28"/>
      <c r="D261" s="28"/>
      <c r="E261" s="44"/>
      <c r="F261" s="44"/>
      <c r="G261" s="44"/>
      <c r="H261" s="44"/>
    </row>
    <row r="262" spans="1:8">
      <c r="A262" s="27"/>
      <c r="C262" s="28"/>
      <c r="D262" s="28"/>
      <c r="E262" s="44"/>
      <c r="F262" s="44"/>
      <c r="G262" s="44"/>
      <c r="H262" s="44"/>
    </row>
    <row r="263" spans="1:8">
      <c r="A263" s="27"/>
      <c r="C263" s="28"/>
      <c r="D263" s="28"/>
      <c r="E263" s="44"/>
      <c r="F263" s="44"/>
      <c r="G263" s="44"/>
      <c r="H263" s="44"/>
    </row>
    <row r="264" spans="1:8">
      <c r="A264" s="27"/>
      <c r="C264" s="28"/>
      <c r="D264" s="28"/>
      <c r="E264" s="44"/>
      <c r="F264" s="44"/>
      <c r="G264" s="44"/>
      <c r="H264" s="44"/>
    </row>
    <row r="265" spans="1:8">
      <c r="A265" s="27"/>
      <c r="C265" s="28"/>
      <c r="D265" s="28"/>
      <c r="E265" s="44"/>
      <c r="F265" s="44"/>
      <c r="G265" s="44"/>
      <c r="H265" s="44"/>
    </row>
    <row r="266" spans="1:8">
      <c r="A266" s="27"/>
      <c r="C266" s="28"/>
      <c r="D266" s="28"/>
      <c r="E266" s="44"/>
      <c r="F266" s="44"/>
      <c r="G266" s="44"/>
      <c r="H266" s="44"/>
    </row>
    <row r="267" spans="1:8">
      <c r="A267" s="27"/>
      <c r="C267" s="28"/>
      <c r="D267" s="28"/>
      <c r="E267" s="44"/>
      <c r="F267" s="44"/>
      <c r="G267" s="44"/>
      <c r="H267" s="44"/>
    </row>
    <row r="268" spans="1:8">
      <c r="A268" s="27"/>
      <c r="C268" s="28"/>
      <c r="D268" s="28"/>
      <c r="E268" s="44"/>
      <c r="F268" s="44"/>
      <c r="G268" s="44"/>
      <c r="H268" s="44"/>
    </row>
    <row r="269" spans="1:8">
      <c r="A269" s="27"/>
      <c r="C269" s="28"/>
      <c r="D269" s="28"/>
      <c r="E269" s="44"/>
      <c r="F269" s="44"/>
      <c r="G269" s="44"/>
      <c r="H269" s="44"/>
    </row>
    <row r="270" spans="1:8">
      <c r="A270" s="27"/>
      <c r="C270" s="28"/>
      <c r="D270" s="28"/>
      <c r="E270" s="44"/>
      <c r="F270" s="44"/>
      <c r="G270" s="44"/>
      <c r="H270" s="44"/>
    </row>
    <row r="271" spans="1:8">
      <c r="A271" s="27"/>
      <c r="C271" s="28"/>
      <c r="D271" s="28"/>
      <c r="E271" s="44"/>
      <c r="F271" s="44"/>
      <c r="G271" s="44"/>
      <c r="H271" s="44"/>
    </row>
    <row r="272" spans="1:8">
      <c r="A272" s="27"/>
      <c r="C272" s="28"/>
      <c r="D272" s="28"/>
      <c r="E272" s="44"/>
      <c r="F272" s="44"/>
      <c r="G272" s="44"/>
      <c r="H272" s="44"/>
    </row>
    <row r="273" spans="1:8">
      <c r="A273" s="27"/>
      <c r="C273" s="28"/>
      <c r="D273" s="28"/>
      <c r="E273" s="44"/>
      <c r="F273" s="44"/>
      <c r="G273" s="44"/>
      <c r="H273" s="44"/>
    </row>
    <row r="274" spans="1:8">
      <c r="A274" s="27"/>
      <c r="C274" s="28"/>
      <c r="D274" s="28"/>
      <c r="E274" s="44"/>
      <c r="F274" s="44"/>
      <c r="G274" s="44"/>
      <c r="H274" s="44"/>
    </row>
    <row r="275" spans="1:8">
      <c r="A275" s="27"/>
      <c r="C275" s="28"/>
      <c r="D275" s="28"/>
      <c r="E275" s="44"/>
      <c r="F275" s="44"/>
      <c r="G275" s="44"/>
      <c r="H275" s="44"/>
    </row>
    <row r="276" spans="1:8">
      <c r="A276" s="27"/>
      <c r="C276" s="28"/>
      <c r="D276" s="28"/>
      <c r="E276" s="44"/>
      <c r="F276" s="44"/>
      <c r="G276" s="44"/>
      <c r="H276" s="44"/>
    </row>
    <row r="277" spans="1:8">
      <c r="A277" s="27"/>
      <c r="C277" s="28"/>
      <c r="D277" s="28"/>
      <c r="E277" s="44"/>
      <c r="F277" s="44"/>
      <c r="G277" s="44"/>
      <c r="H277" s="44"/>
    </row>
    <row r="278" spans="1:8">
      <c r="A278" s="27"/>
      <c r="C278" s="28"/>
      <c r="D278" s="28"/>
      <c r="E278" s="44"/>
      <c r="F278" s="44"/>
      <c r="G278" s="44"/>
      <c r="H278" s="44"/>
    </row>
    <row r="279" spans="1:8">
      <c r="A279" s="27"/>
      <c r="C279" s="28"/>
      <c r="D279" s="28"/>
      <c r="E279" s="44"/>
      <c r="F279" s="44"/>
      <c r="G279" s="44"/>
      <c r="H279" s="44"/>
    </row>
    <row r="280" spans="1:8">
      <c r="A280" s="27"/>
      <c r="C280" s="28"/>
      <c r="D280" s="28"/>
      <c r="E280" s="44"/>
      <c r="F280" s="44"/>
      <c r="G280" s="44"/>
      <c r="H280" s="44"/>
    </row>
    <row r="281" spans="1:8">
      <c r="A281" s="27"/>
      <c r="C281" s="28"/>
      <c r="D281" s="28"/>
      <c r="E281" s="44"/>
      <c r="F281" s="44"/>
      <c r="G281" s="44"/>
      <c r="H281" s="44"/>
    </row>
    <row r="282" spans="1:8">
      <c r="A282" s="27"/>
      <c r="C282" s="28"/>
      <c r="D282" s="28"/>
      <c r="E282" s="44"/>
      <c r="F282" s="44"/>
      <c r="G282" s="44"/>
      <c r="H282" s="44"/>
    </row>
    <row r="283" spans="1:8">
      <c r="A283" s="27"/>
      <c r="C283" s="28"/>
      <c r="D283" s="28"/>
      <c r="E283" s="44"/>
      <c r="F283" s="44"/>
      <c r="G283" s="44"/>
      <c r="H283" s="44"/>
    </row>
    <row r="284" spans="1:8">
      <c r="A284" s="27"/>
      <c r="C284" s="28"/>
      <c r="D284" s="28"/>
      <c r="E284" s="44"/>
      <c r="F284" s="44"/>
      <c r="G284" s="44"/>
      <c r="H284" s="44"/>
    </row>
    <row r="285" spans="1:8">
      <c r="A285" s="27"/>
      <c r="C285" s="28"/>
      <c r="D285" s="28"/>
      <c r="E285" s="44"/>
      <c r="F285" s="44"/>
      <c r="G285" s="44"/>
      <c r="H285" s="44"/>
    </row>
    <row r="286" spans="1:8">
      <c r="A286" s="27"/>
      <c r="C286" s="28"/>
      <c r="D286" s="28"/>
      <c r="E286" s="44"/>
      <c r="F286" s="44"/>
      <c r="G286" s="44"/>
      <c r="H286" s="44"/>
    </row>
    <row r="287" spans="1:8">
      <c r="A287" s="27"/>
      <c r="C287" s="28"/>
      <c r="D287" s="28"/>
      <c r="E287" s="44"/>
      <c r="F287" s="44"/>
      <c r="G287" s="44"/>
      <c r="H287" s="44"/>
    </row>
    <row r="288" spans="1:8">
      <c r="A288" s="27"/>
      <c r="C288" s="28"/>
      <c r="D288" s="28"/>
      <c r="E288" s="44"/>
      <c r="F288" s="44"/>
      <c r="G288" s="44"/>
      <c r="H288" s="44"/>
    </row>
    <row r="289" spans="1:8">
      <c r="A289" s="27"/>
      <c r="C289" s="28"/>
      <c r="D289" s="28"/>
      <c r="E289" s="44"/>
      <c r="F289" s="44"/>
      <c r="G289" s="44"/>
      <c r="H289" s="44"/>
    </row>
    <row r="290" spans="1:8">
      <c r="A290" s="27"/>
      <c r="C290" s="28"/>
      <c r="D290" s="28"/>
      <c r="E290" s="44"/>
      <c r="F290" s="44"/>
      <c r="G290" s="44"/>
      <c r="H290" s="44"/>
    </row>
    <row r="291" spans="1:8">
      <c r="A291" s="27"/>
      <c r="C291" s="28"/>
      <c r="D291" s="28"/>
      <c r="E291" s="44"/>
      <c r="F291" s="44"/>
      <c r="G291" s="44"/>
      <c r="H291" s="44"/>
    </row>
    <row r="292" spans="1:8">
      <c r="A292" s="27"/>
      <c r="C292" s="28"/>
      <c r="D292" s="28"/>
      <c r="E292" s="44"/>
      <c r="F292" s="44"/>
      <c r="G292" s="44"/>
      <c r="H292" s="44"/>
    </row>
    <row r="293" spans="1:8">
      <c r="A293" s="27"/>
      <c r="C293" s="28"/>
      <c r="D293" s="28"/>
      <c r="E293" s="44"/>
      <c r="F293" s="44"/>
      <c r="G293" s="44"/>
      <c r="H293" s="44"/>
    </row>
    <row r="294" spans="1:8">
      <c r="A294" s="27"/>
      <c r="C294" s="28"/>
      <c r="D294" s="28"/>
      <c r="E294" s="44"/>
      <c r="F294" s="44"/>
      <c r="G294" s="44"/>
      <c r="H294" s="44"/>
    </row>
    <row r="295" spans="1:8">
      <c r="A295" s="27"/>
      <c r="C295" s="28"/>
      <c r="D295" s="28"/>
      <c r="E295" s="44"/>
      <c r="F295" s="44"/>
      <c r="G295" s="44"/>
      <c r="H295" s="44"/>
    </row>
    <row r="296" spans="1:8">
      <c r="A296" s="27"/>
      <c r="C296" s="28"/>
      <c r="D296" s="28"/>
      <c r="E296" s="44"/>
      <c r="F296" s="44"/>
      <c r="G296" s="44"/>
      <c r="H296" s="44"/>
    </row>
    <row r="297" spans="1:8">
      <c r="A297" s="27"/>
      <c r="C297" s="28"/>
      <c r="D297" s="28"/>
      <c r="E297" s="44"/>
      <c r="F297" s="44"/>
      <c r="G297" s="44"/>
      <c r="H297" s="44"/>
    </row>
    <row r="298" spans="1:8">
      <c r="A298" s="27"/>
      <c r="C298" s="28"/>
      <c r="D298" s="28"/>
      <c r="E298" s="44"/>
      <c r="F298" s="44"/>
      <c r="G298" s="44"/>
      <c r="H298" s="44"/>
    </row>
    <row r="299" spans="1:8">
      <c r="A299" s="27"/>
      <c r="C299" s="28"/>
      <c r="D299" s="28"/>
      <c r="E299" s="44"/>
      <c r="F299" s="44"/>
      <c r="G299" s="44"/>
      <c r="H299" s="44"/>
    </row>
    <row r="300" spans="1:8">
      <c r="A300" s="27"/>
      <c r="C300" s="28"/>
      <c r="D300" s="28"/>
      <c r="E300" s="44"/>
      <c r="F300" s="44"/>
      <c r="G300" s="44"/>
      <c r="H300" s="44"/>
    </row>
    <row r="301" spans="1:8">
      <c r="A301" s="27"/>
      <c r="C301" s="28"/>
      <c r="D301" s="28"/>
      <c r="E301" s="44"/>
      <c r="F301" s="44"/>
      <c r="G301" s="44"/>
      <c r="H301" s="44"/>
    </row>
    <row r="302" spans="1:8">
      <c r="A302" s="27"/>
      <c r="C302" s="28"/>
      <c r="D302" s="28"/>
      <c r="E302" s="44"/>
      <c r="F302" s="44"/>
      <c r="G302" s="44"/>
      <c r="H302" s="44"/>
    </row>
    <row r="303" spans="1:8">
      <c r="A303" s="27"/>
      <c r="C303" s="28"/>
      <c r="D303" s="28"/>
      <c r="E303" s="44"/>
      <c r="F303" s="44"/>
      <c r="G303" s="44"/>
      <c r="H303" s="44"/>
    </row>
    <row r="304" spans="1:8">
      <c r="A304" s="27"/>
      <c r="C304" s="28"/>
      <c r="D304" s="28"/>
      <c r="E304" s="44"/>
      <c r="F304" s="44"/>
      <c r="G304" s="44"/>
      <c r="H304" s="44"/>
    </row>
    <row r="305" spans="1:8">
      <c r="A305" s="27"/>
      <c r="C305" s="28"/>
      <c r="D305" s="28"/>
      <c r="E305" s="44"/>
      <c r="F305" s="44"/>
      <c r="G305" s="44"/>
      <c r="H305" s="44"/>
    </row>
    <row r="306" spans="1:8">
      <c r="A306" s="27"/>
      <c r="C306" s="28"/>
      <c r="D306" s="28"/>
      <c r="E306" s="44"/>
      <c r="F306" s="44"/>
      <c r="G306" s="44"/>
      <c r="H306" s="44"/>
    </row>
    <row r="307" spans="1:8">
      <c r="A307" s="27"/>
      <c r="C307" s="28"/>
      <c r="D307" s="28"/>
      <c r="E307" s="44"/>
      <c r="F307" s="44"/>
      <c r="G307" s="44"/>
      <c r="H307" s="44"/>
    </row>
    <row r="308" spans="1:8">
      <c r="A308" s="27"/>
      <c r="C308" s="28"/>
      <c r="D308" s="28"/>
      <c r="E308" s="44"/>
      <c r="F308" s="44"/>
      <c r="G308" s="44"/>
      <c r="H308" s="44"/>
    </row>
    <row r="309" spans="1:8">
      <c r="A309" s="27"/>
      <c r="C309" s="28"/>
      <c r="D309" s="28"/>
      <c r="E309" s="44"/>
      <c r="F309" s="44"/>
      <c r="G309" s="44"/>
      <c r="H309" s="44"/>
    </row>
    <row r="310" spans="1:8">
      <c r="A310" s="27"/>
      <c r="C310" s="28"/>
      <c r="D310" s="28"/>
      <c r="E310" s="44"/>
      <c r="F310" s="44"/>
      <c r="G310" s="44"/>
      <c r="H310" s="44"/>
    </row>
    <row r="311" spans="1:8">
      <c r="A311" s="27"/>
      <c r="C311" s="28"/>
      <c r="D311" s="28"/>
      <c r="E311" s="44"/>
      <c r="F311" s="44"/>
      <c r="G311" s="44"/>
      <c r="H311" s="44"/>
    </row>
    <row r="312" spans="1:8">
      <c r="A312" s="27"/>
      <c r="C312" s="28"/>
      <c r="D312" s="28"/>
      <c r="E312" s="44"/>
      <c r="F312" s="44"/>
      <c r="G312" s="44"/>
      <c r="H312" s="44"/>
    </row>
    <row r="313" spans="1:8">
      <c r="A313" s="27"/>
      <c r="C313" s="28"/>
      <c r="D313" s="28"/>
      <c r="E313" s="44"/>
      <c r="F313" s="44"/>
      <c r="G313" s="44"/>
      <c r="H313" s="44"/>
    </row>
    <row r="314" spans="1:8">
      <c r="A314" s="27"/>
      <c r="C314" s="28"/>
      <c r="D314" s="28"/>
      <c r="E314" s="44"/>
      <c r="F314" s="44"/>
      <c r="G314" s="44"/>
      <c r="H314" s="44"/>
    </row>
    <row r="315" spans="1:8">
      <c r="A315" s="27"/>
      <c r="C315" s="28"/>
      <c r="D315" s="28"/>
      <c r="E315" s="44"/>
      <c r="F315" s="44"/>
      <c r="G315" s="44"/>
      <c r="H315" s="44"/>
    </row>
    <row r="316" spans="1:8">
      <c r="A316" s="27"/>
      <c r="C316" s="28"/>
      <c r="D316" s="28"/>
      <c r="E316" s="44"/>
      <c r="F316" s="44"/>
      <c r="G316" s="44"/>
      <c r="H316" s="44"/>
    </row>
    <row r="317" spans="1:8">
      <c r="A317" s="27"/>
      <c r="C317" s="28"/>
      <c r="D317" s="28"/>
      <c r="E317" s="44"/>
      <c r="F317" s="44"/>
      <c r="G317" s="44"/>
      <c r="H317" s="44"/>
    </row>
    <row r="318" spans="1:8">
      <c r="A318" s="27"/>
      <c r="C318" s="28"/>
      <c r="D318" s="28"/>
      <c r="E318" s="44"/>
      <c r="F318" s="44"/>
      <c r="G318" s="44"/>
      <c r="H318" s="44"/>
    </row>
    <row r="319" spans="1:8">
      <c r="A319" s="27"/>
      <c r="C319" s="28"/>
      <c r="D319" s="28"/>
      <c r="E319" s="44"/>
      <c r="F319" s="44"/>
      <c r="G319" s="44"/>
      <c r="H319" s="44"/>
    </row>
    <row r="320" spans="1:8">
      <c r="A320" s="27"/>
      <c r="C320" s="28"/>
      <c r="D320" s="28"/>
      <c r="E320" s="44"/>
      <c r="F320" s="44"/>
      <c r="G320" s="44"/>
      <c r="H320" s="44"/>
    </row>
    <row r="321" spans="1:8">
      <c r="A321" s="27"/>
      <c r="C321" s="28"/>
      <c r="D321" s="28"/>
      <c r="E321" s="44"/>
      <c r="F321" s="44"/>
      <c r="G321" s="44"/>
      <c r="H321" s="44"/>
    </row>
    <row r="322" spans="1:8">
      <c r="A322" s="27"/>
      <c r="C322" s="28"/>
      <c r="D322" s="28"/>
      <c r="E322" s="44"/>
      <c r="F322" s="44"/>
      <c r="G322" s="44"/>
      <c r="H322" s="44"/>
    </row>
    <row r="323" spans="1:8">
      <c r="A323" s="27"/>
      <c r="C323" s="28"/>
      <c r="D323" s="28"/>
      <c r="E323" s="44"/>
      <c r="F323" s="44"/>
      <c r="G323" s="44"/>
      <c r="H323" s="44"/>
    </row>
    <row r="324" spans="1:8">
      <c r="A324" s="27"/>
      <c r="C324" s="28"/>
      <c r="D324" s="28"/>
      <c r="E324" s="44"/>
      <c r="F324" s="44"/>
      <c r="G324" s="44"/>
      <c r="H324" s="44"/>
    </row>
    <row r="325" spans="1:8">
      <c r="A325" s="27"/>
      <c r="C325" s="28"/>
      <c r="D325" s="28"/>
      <c r="E325" s="44"/>
      <c r="F325" s="44"/>
      <c r="G325" s="44"/>
      <c r="H325" s="44"/>
    </row>
    <row r="326" spans="1:8">
      <c r="A326" s="27"/>
      <c r="C326" s="28"/>
      <c r="D326" s="28"/>
      <c r="E326" s="44"/>
      <c r="F326" s="44"/>
      <c r="G326" s="44"/>
      <c r="H326" s="44"/>
    </row>
    <row r="327" spans="1:8">
      <c r="A327" s="27"/>
      <c r="C327" s="28"/>
      <c r="D327" s="28"/>
      <c r="E327" s="44"/>
      <c r="F327" s="44"/>
      <c r="G327" s="44"/>
      <c r="H327" s="44"/>
    </row>
    <row r="328" spans="1:8">
      <c r="A328" s="27"/>
      <c r="C328" s="28"/>
      <c r="D328" s="28"/>
      <c r="E328" s="44"/>
      <c r="F328" s="44"/>
      <c r="G328" s="44"/>
      <c r="H328" s="44"/>
    </row>
    <row r="329" spans="1:8">
      <c r="A329" s="27"/>
      <c r="C329" s="28"/>
      <c r="D329" s="28"/>
      <c r="E329" s="44"/>
      <c r="F329" s="44"/>
      <c r="G329" s="44"/>
      <c r="H329" s="44"/>
    </row>
    <row r="330" spans="1:8">
      <c r="A330" s="27"/>
      <c r="C330" s="28"/>
      <c r="D330" s="28"/>
      <c r="E330" s="44"/>
      <c r="F330" s="44"/>
      <c r="G330" s="44"/>
      <c r="H330" s="44"/>
    </row>
    <row r="331" spans="1:8">
      <c r="A331" s="27"/>
      <c r="C331" s="28"/>
      <c r="D331" s="28"/>
      <c r="E331" s="44"/>
      <c r="F331" s="44"/>
      <c r="G331" s="44"/>
      <c r="H331" s="44"/>
    </row>
    <row r="332" spans="1:8">
      <c r="A332" s="27"/>
      <c r="C332" s="28"/>
      <c r="D332" s="28"/>
      <c r="E332" s="44"/>
      <c r="F332" s="44"/>
      <c r="G332" s="44"/>
      <c r="H332" s="44"/>
    </row>
    <row r="333" spans="1:8">
      <c r="A333" s="27"/>
      <c r="C333" s="28"/>
      <c r="D333" s="28"/>
      <c r="E333" s="44"/>
      <c r="F333" s="44"/>
      <c r="G333" s="44"/>
      <c r="H333" s="44"/>
    </row>
    <row r="334" spans="1:8">
      <c r="A334" s="27"/>
      <c r="C334" s="28"/>
      <c r="D334" s="28"/>
      <c r="E334" s="44"/>
      <c r="F334" s="44"/>
      <c r="G334" s="44"/>
      <c r="H334" s="44"/>
    </row>
    <row r="335" spans="1:8">
      <c r="A335" s="27"/>
      <c r="C335" s="28"/>
      <c r="D335" s="28"/>
      <c r="E335" s="44"/>
      <c r="F335" s="44"/>
      <c r="G335" s="44"/>
      <c r="H335" s="44"/>
    </row>
    <row r="336" spans="1:8">
      <c r="A336" s="27"/>
      <c r="C336" s="28"/>
      <c r="D336" s="28"/>
      <c r="E336" s="44"/>
      <c r="F336" s="44"/>
      <c r="G336" s="44"/>
      <c r="H336" s="44"/>
    </row>
    <row r="337" spans="1:8">
      <c r="A337" s="27"/>
      <c r="C337" s="28"/>
      <c r="D337" s="28"/>
      <c r="E337" s="44"/>
      <c r="F337" s="44"/>
      <c r="G337" s="44"/>
      <c r="H337" s="44"/>
    </row>
    <row r="338" spans="1:8">
      <c r="A338" s="27"/>
      <c r="C338" s="28"/>
      <c r="D338" s="28"/>
      <c r="E338" s="44"/>
      <c r="F338" s="44"/>
      <c r="G338" s="44"/>
      <c r="H338" s="44"/>
    </row>
    <row r="339" spans="1:8">
      <c r="A339" s="27"/>
      <c r="C339" s="28"/>
      <c r="D339" s="28"/>
      <c r="E339" s="44"/>
      <c r="F339" s="44"/>
      <c r="G339" s="44"/>
      <c r="H339" s="44"/>
    </row>
    <row r="340" spans="1:8">
      <c r="A340" s="27"/>
      <c r="C340" s="28"/>
      <c r="D340" s="28"/>
      <c r="E340" s="44"/>
      <c r="F340" s="44"/>
      <c r="G340" s="44"/>
      <c r="H340" s="44"/>
    </row>
    <row r="341" spans="1:8">
      <c r="A341" s="27"/>
      <c r="C341" s="28"/>
      <c r="D341" s="28"/>
      <c r="E341" s="44"/>
      <c r="F341" s="44"/>
      <c r="G341" s="44"/>
      <c r="H341" s="44"/>
    </row>
    <row r="342" spans="1:8">
      <c r="A342" s="27"/>
      <c r="C342" s="28"/>
      <c r="D342" s="28"/>
      <c r="E342" s="44"/>
      <c r="F342" s="44"/>
      <c r="G342" s="44"/>
      <c r="H342" s="44"/>
    </row>
    <row r="343" spans="1:8">
      <c r="A343" s="27"/>
      <c r="C343" s="28"/>
      <c r="D343" s="28"/>
      <c r="E343" s="44"/>
      <c r="F343" s="44"/>
      <c r="G343" s="44"/>
      <c r="H343" s="44"/>
    </row>
    <row r="344" spans="1:8">
      <c r="A344" s="27"/>
      <c r="C344" s="28"/>
      <c r="D344" s="28"/>
      <c r="E344" s="44"/>
      <c r="F344" s="44"/>
      <c r="G344" s="44"/>
      <c r="H344" s="44"/>
    </row>
    <row r="345" spans="1:8">
      <c r="A345" s="27"/>
      <c r="C345" s="28"/>
      <c r="D345" s="28"/>
      <c r="E345" s="44"/>
      <c r="F345" s="44"/>
      <c r="G345" s="44"/>
      <c r="H345" s="44"/>
    </row>
    <row r="346" spans="1:8">
      <c r="A346" s="27"/>
      <c r="C346" s="28"/>
      <c r="D346" s="28"/>
      <c r="E346" s="44"/>
      <c r="F346" s="44"/>
      <c r="G346" s="44"/>
      <c r="H346" s="44"/>
    </row>
    <row r="347" spans="1:8">
      <c r="A347" s="27"/>
      <c r="C347" s="28"/>
      <c r="D347" s="28"/>
      <c r="E347" s="44"/>
      <c r="F347" s="44"/>
      <c r="G347" s="44"/>
      <c r="H347" s="44"/>
    </row>
    <row r="348" spans="1:8">
      <c r="A348" s="27"/>
      <c r="C348" s="28"/>
      <c r="D348" s="28"/>
      <c r="E348" s="44"/>
      <c r="F348" s="44"/>
      <c r="G348" s="44"/>
      <c r="H348" s="44"/>
    </row>
    <row r="349" spans="1:8">
      <c r="A349" s="27"/>
      <c r="C349" s="28"/>
      <c r="D349" s="28"/>
      <c r="E349" s="44"/>
      <c r="F349" s="44"/>
      <c r="G349" s="44"/>
      <c r="H349" s="44"/>
    </row>
    <row r="350" spans="1:8">
      <c r="A350" s="27"/>
      <c r="C350" s="28"/>
      <c r="D350" s="28"/>
      <c r="E350" s="44"/>
      <c r="F350" s="44"/>
      <c r="G350" s="44"/>
      <c r="H350" s="44"/>
    </row>
    <row r="351" spans="1:8">
      <c r="A351" s="27"/>
      <c r="C351" s="28"/>
      <c r="D351" s="28"/>
      <c r="E351" s="44"/>
      <c r="F351" s="44"/>
      <c r="G351" s="44"/>
      <c r="H351" s="44"/>
    </row>
    <row r="352" spans="1:8">
      <c r="A352" s="27"/>
      <c r="C352" s="28"/>
      <c r="D352" s="28"/>
      <c r="E352" s="44"/>
      <c r="F352" s="44"/>
      <c r="G352" s="44"/>
      <c r="H352" s="44"/>
    </row>
    <row r="353" spans="1:8">
      <c r="A353" s="27"/>
      <c r="C353" s="28"/>
      <c r="D353" s="28"/>
      <c r="E353" s="44"/>
      <c r="F353" s="44"/>
      <c r="G353" s="44"/>
      <c r="H353" s="44"/>
    </row>
    <row r="354" spans="1:8">
      <c r="A354" s="27"/>
      <c r="C354" s="28"/>
      <c r="D354" s="28"/>
      <c r="E354" s="44"/>
      <c r="F354" s="44"/>
      <c r="G354" s="44"/>
      <c r="H354" s="44"/>
    </row>
    <row r="355" spans="1:8">
      <c r="A355" s="27"/>
      <c r="C355" s="28"/>
      <c r="D355" s="28"/>
      <c r="E355" s="44"/>
      <c r="F355" s="44"/>
      <c r="G355" s="44"/>
      <c r="H355" s="44"/>
    </row>
    <row r="356" spans="1:8">
      <c r="A356" s="27"/>
      <c r="C356" s="28"/>
      <c r="D356" s="28"/>
      <c r="E356" s="44"/>
      <c r="F356" s="44"/>
      <c r="G356" s="44"/>
      <c r="H356" s="44"/>
    </row>
    <row r="357" spans="1:8">
      <c r="A357" s="27"/>
      <c r="C357" s="28"/>
      <c r="D357" s="28"/>
      <c r="E357" s="44"/>
      <c r="F357" s="44"/>
      <c r="G357" s="44"/>
      <c r="H357" s="44"/>
    </row>
    <row r="358" spans="1:8">
      <c r="A358" s="27"/>
      <c r="C358" s="28"/>
      <c r="D358" s="28"/>
      <c r="E358" s="44"/>
      <c r="F358" s="44"/>
      <c r="G358" s="44"/>
      <c r="H358" s="44"/>
    </row>
    <row r="359" spans="1:8">
      <c r="A359" s="27"/>
      <c r="C359" s="28"/>
      <c r="D359" s="28"/>
      <c r="E359" s="44"/>
      <c r="F359" s="44"/>
      <c r="G359" s="44"/>
      <c r="H359" s="44"/>
    </row>
    <row r="360" spans="1:8">
      <c r="A360" s="27"/>
      <c r="C360" s="28"/>
      <c r="D360" s="28"/>
      <c r="E360" s="44"/>
      <c r="F360" s="44"/>
      <c r="G360" s="44"/>
      <c r="H360" s="44"/>
    </row>
    <row r="361" spans="1:8">
      <c r="A361" s="27"/>
      <c r="C361" s="28"/>
      <c r="D361" s="28"/>
      <c r="E361" s="44"/>
      <c r="F361" s="44"/>
      <c r="G361" s="44"/>
      <c r="H361" s="44"/>
    </row>
    <row r="362" spans="1:8">
      <c r="A362" s="27"/>
      <c r="C362" s="28"/>
      <c r="D362" s="28"/>
      <c r="E362" s="44"/>
      <c r="F362" s="44"/>
      <c r="G362" s="44"/>
      <c r="H362" s="44"/>
    </row>
    <row r="363" spans="1:8">
      <c r="A363" s="27"/>
      <c r="C363" s="28"/>
      <c r="D363" s="28"/>
      <c r="E363" s="44"/>
      <c r="F363" s="44"/>
      <c r="G363" s="44"/>
      <c r="H363" s="44"/>
    </row>
    <row r="364" spans="1:8">
      <c r="A364" s="27"/>
      <c r="C364" s="28"/>
      <c r="D364" s="28"/>
      <c r="E364" s="44"/>
      <c r="F364" s="44"/>
      <c r="G364" s="44"/>
      <c r="H364" s="44"/>
    </row>
    <row r="365" spans="1:8">
      <c r="A365" s="27"/>
      <c r="C365" s="28"/>
      <c r="D365" s="28"/>
      <c r="E365" s="44"/>
      <c r="F365" s="44"/>
      <c r="G365" s="44"/>
      <c r="H365" s="44"/>
    </row>
    <row r="366" spans="1:8">
      <c r="A366" s="27"/>
      <c r="C366" s="28"/>
      <c r="D366" s="28"/>
      <c r="E366" s="44"/>
      <c r="F366" s="44"/>
      <c r="G366" s="44"/>
      <c r="H366" s="44"/>
    </row>
    <row r="367" spans="1:8">
      <c r="A367" s="27"/>
      <c r="C367" s="28"/>
      <c r="D367" s="28"/>
      <c r="E367" s="44"/>
      <c r="F367" s="44"/>
      <c r="G367" s="44"/>
      <c r="H367" s="44"/>
    </row>
    <row r="368" spans="1:8">
      <c r="A368" s="27"/>
      <c r="C368" s="28"/>
      <c r="D368" s="28"/>
      <c r="E368" s="44"/>
      <c r="F368" s="44"/>
      <c r="G368" s="44"/>
      <c r="H368" s="44"/>
    </row>
    <row r="369" spans="1:8">
      <c r="A369" s="27"/>
      <c r="C369" s="28"/>
      <c r="D369" s="28"/>
      <c r="E369" s="44"/>
      <c r="F369" s="44"/>
      <c r="G369" s="44"/>
      <c r="H369" s="44"/>
    </row>
    <row r="370" spans="1:8">
      <c r="A370" s="27"/>
      <c r="C370" s="28"/>
      <c r="D370" s="28"/>
      <c r="E370" s="44"/>
      <c r="F370" s="44"/>
      <c r="G370" s="44"/>
      <c r="H370" s="44"/>
    </row>
    <row r="371" spans="1:8">
      <c r="A371" s="27"/>
      <c r="C371" s="28"/>
      <c r="D371" s="28"/>
      <c r="E371" s="44"/>
      <c r="F371" s="44"/>
      <c r="G371" s="44"/>
      <c r="H371" s="44"/>
    </row>
    <row r="372" spans="1:8">
      <c r="A372" s="27"/>
      <c r="C372" s="28"/>
      <c r="D372" s="28"/>
      <c r="E372" s="44"/>
      <c r="F372" s="44"/>
      <c r="G372" s="44"/>
      <c r="H372" s="44"/>
    </row>
    <row r="373" spans="1:8">
      <c r="A373" s="27"/>
      <c r="C373" s="28"/>
      <c r="D373" s="28"/>
      <c r="E373" s="44"/>
      <c r="F373" s="44"/>
      <c r="G373" s="44"/>
      <c r="H373" s="44"/>
    </row>
    <row r="374" spans="1:8">
      <c r="A374" s="27"/>
      <c r="C374" s="28"/>
      <c r="D374" s="28"/>
      <c r="E374" s="44"/>
      <c r="F374" s="44"/>
      <c r="G374" s="44"/>
      <c r="H374" s="44"/>
    </row>
    <row r="375" spans="1:8">
      <c r="A375" s="27"/>
      <c r="C375" s="28"/>
      <c r="D375" s="28"/>
      <c r="E375" s="44"/>
      <c r="F375" s="44"/>
      <c r="G375" s="44"/>
      <c r="H375" s="44"/>
    </row>
    <row r="376" spans="1:8">
      <c r="A376" s="27"/>
      <c r="C376" s="28"/>
      <c r="D376" s="28"/>
      <c r="E376" s="44"/>
      <c r="F376" s="44"/>
      <c r="G376" s="44"/>
      <c r="H376" s="44"/>
    </row>
    <row r="377" spans="1:8">
      <c r="A377" s="27"/>
      <c r="C377" s="28"/>
      <c r="D377" s="28"/>
      <c r="E377" s="44"/>
      <c r="F377" s="44"/>
      <c r="G377" s="44"/>
      <c r="H377" s="44"/>
    </row>
    <row r="378" spans="1:8">
      <c r="A378" s="27"/>
      <c r="C378" s="28"/>
      <c r="D378" s="28"/>
      <c r="E378" s="44"/>
      <c r="F378" s="44"/>
      <c r="G378" s="44"/>
      <c r="H378" s="44"/>
    </row>
    <row r="379" spans="1:8">
      <c r="A379" s="27"/>
      <c r="C379" s="28"/>
      <c r="D379" s="28"/>
      <c r="E379" s="44"/>
      <c r="F379" s="44"/>
      <c r="G379" s="44"/>
      <c r="H379" s="44"/>
    </row>
    <row r="380" spans="1:8">
      <c r="A380" s="27"/>
      <c r="C380" s="28"/>
      <c r="D380" s="28"/>
      <c r="E380" s="44"/>
      <c r="F380" s="44"/>
      <c r="G380" s="44"/>
      <c r="H380" s="44"/>
    </row>
    <row r="381" spans="1:8">
      <c r="A381" s="27"/>
      <c r="C381" s="28"/>
      <c r="D381" s="28"/>
      <c r="E381" s="44"/>
      <c r="F381" s="44"/>
      <c r="G381" s="44"/>
      <c r="H381" s="44"/>
    </row>
    <row r="382" spans="1:8">
      <c r="A382" s="27"/>
      <c r="C382" s="28"/>
      <c r="D382" s="28"/>
      <c r="E382" s="44"/>
      <c r="F382" s="44"/>
      <c r="G382" s="44"/>
      <c r="H382" s="44"/>
    </row>
    <row r="383" spans="1:8">
      <c r="A383" s="27"/>
      <c r="C383" s="28"/>
      <c r="D383" s="28"/>
      <c r="E383" s="44"/>
      <c r="F383" s="44"/>
      <c r="G383" s="44"/>
      <c r="H383" s="44"/>
    </row>
    <row r="384" spans="1:8">
      <c r="A384" s="27"/>
      <c r="C384" s="28"/>
      <c r="D384" s="28"/>
      <c r="E384" s="44"/>
      <c r="F384" s="44"/>
      <c r="G384" s="44"/>
      <c r="H384" s="44"/>
    </row>
    <row r="385" spans="1:8">
      <c r="A385" s="27"/>
      <c r="C385" s="28"/>
      <c r="D385" s="28"/>
      <c r="E385" s="44"/>
      <c r="F385" s="44"/>
      <c r="G385" s="44"/>
      <c r="H385" s="44"/>
    </row>
    <row r="386" spans="1:8">
      <c r="A386" s="27"/>
      <c r="C386" s="28"/>
      <c r="D386" s="28"/>
      <c r="E386" s="44"/>
      <c r="F386" s="44"/>
      <c r="G386" s="44"/>
      <c r="H386" s="44"/>
    </row>
    <row r="387" spans="1:8">
      <c r="A387" s="27"/>
      <c r="C387" s="28"/>
      <c r="D387" s="28"/>
      <c r="E387" s="44"/>
      <c r="F387" s="44"/>
      <c r="G387" s="44"/>
      <c r="H387" s="44"/>
    </row>
    <row r="388" spans="1:8">
      <c r="A388" s="27"/>
      <c r="C388" s="28"/>
      <c r="D388" s="28"/>
      <c r="E388" s="44"/>
      <c r="F388" s="44"/>
      <c r="G388" s="44"/>
      <c r="H388" s="44"/>
    </row>
    <row r="389" spans="1:8">
      <c r="A389" s="27"/>
      <c r="C389" s="28"/>
      <c r="D389" s="28"/>
      <c r="E389" s="44"/>
      <c r="F389" s="44"/>
      <c r="G389" s="44"/>
      <c r="H389" s="44"/>
    </row>
    <row r="390" spans="1:8">
      <c r="A390" s="27"/>
      <c r="C390" s="28"/>
      <c r="D390" s="28"/>
      <c r="E390" s="44"/>
      <c r="F390" s="44"/>
      <c r="G390" s="44"/>
      <c r="H390" s="44"/>
    </row>
    <row r="391" spans="1:8">
      <c r="A391" s="27"/>
      <c r="C391" s="28"/>
      <c r="D391" s="28"/>
      <c r="E391" s="44"/>
      <c r="F391" s="44"/>
      <c r="G391" s="44"/>
      <c r="H391" s="44"/>
    </row>
    <row r="392" spans="1:8">
      <c r="A392" s="27"/>
      <c r="C392" s="28"/>
      <c r="D392" s="28"/>
      <c r="E392" s="44"/>
      <c r="F392" s="44"/>
      <c r="G392" s="44"/>
      <c r="H392" s="44"/>
    </row>
    <row r="393" spans="1:8">
      <c r="A393" s="27"/>
      <c r="C393" s="28"/>
      <c r="D393" s="28"/>
      <c r="E393" s="44"/>
      <c r="F393" s="44"/>
      <c r="G393" s="44"/>
      <c r="H393" s="44"/>
    </row>
    <row r="394" spans="1:8">
      <c r="A394" s="27"/>
      <c r="C394" s="28"/>
      <c r="D394" s="28"/>
      <c r="E394" s="44"/>
      <c r="F394" s="44"/>
      <c r="G394" s="44"/>
      <c r="H394" s="44"/>
    </row>
    <row r="395" spans="1:8">
      <c r="A395" s="27"/>
      <c r="C395" s="28"/>
      <c r="D395" s="28"/>
      <c r="E395" s="44"/>
      <c r="F395" s="44"/>
      <c r="G395" s="44"/>
      <c r="H395" s="44"/>
    </row>
    <row r="396" spans="1:8">
      <c r="A396" s="27"/>
      <c r="C396" s="28"/>
      <c r="D396" s="28"/>
      <c r="E396" s="44"/>
      <c r="F396" s="44"/>
      <c r="G396" s="44"/>
      <c r="H396" s="44"/>
    </row>
    <row r="397" spans="1:8">
      <c r="A397" s="27"/>
      <c r="C397" s="28"/>
      <c r="D397" s="28"/>
      <c r="E397" s="44"/>
      <c r="F397" s="44"/>
      <c r="G397" s="44"/>
      <c r="H397" s="44"/>
    </row>
    <row r="398" spans="1:8">
      <c r="A398" s="27"/>
      <c r="C398" s="28"/>
      <c r="D398" s="28"/>
      <c r="E398" s="44"/>
      <c r="F398" s="44"/>
      <c r="G398" s="44"/>
      <c r="H398" s="44"/>
    </row>
    <row r="399" spans="1:8">
      <c r="A399" s="27"/>
      <c r="C399" s="28"/>
      <c r="D399" s="28"/>
      <c r="E399" s="44"/>
      <c r="F399" s="44"/>
      <c r="G399" s="44"/>
      <c r="H399" s="44"/>
    </row>
    <row r="400" spans="1:8">
      <c r="A400" s="27"/>
      <c r="C400" s="28"/>
      <c r="D400" s="28"/>
      <c r="E400" s="44"/>
      <c r="F400" s="44"/>
      <c r="G400" s="44"/>
      <c r="H400" s="44"/>
    </row>
    <row r="401" spans="1:8">
      <c r="A401" s="27"/>
      <c r="C401" s="28"/>
      <c r="D401" s="28"/>
      <c r="E401" s="44"/>
      <c r="F401" s="44"/>
      <c r="G401" s="44"/>
      <c r="H401" s="44"/>
    </row>
    <row r="402" spans="1:8">
      <c r="A402" s="27"/>
      <c r="C402" s="28"/>
      <c r="D402" s="28"/>
      <c r="E402" s="44"/>
      <c r="F402" s="44"/>
      <c r="G402" s="44"/>
      <c r="H402" s="44"/>
    </row>
    <row r="403" spans="1:8">
      <c r="A403" s="27"/>
      <c r="C403" s="28"/>
      <c r="D403" s="28"/>
      <c r="E403" s="44"/>
      <c r="F403" s="44"/>
      <c r="G403" s="44"/>
      <c r="H403" s="44"/>
    </row>
    <row r="404" spans="1:8">
      <c r="A404" s="27"/>
      <c r="C404" s="28"/>
      <c r="D404" s="28"/>
      <c r="E404" s="44"/>
      <c r="F404" s="44"/>
      <c r="G404" s="44"/>
      <c r="H404" s="44"/>
    </row>
    <row r="405" spans="1:8">
      <c r="A405" s="27"/>
      <c r="C405" s="28"/>
      <c r="D405" s="28"/>
      <c r="E405" s="44"/>
      <c r="F405" s="44"/>
      <c r="G405" s="44"/>
      <c r="H405" s="44"/>
    </row>
    <row r="406" spans="1:8">
      <c r="A406" s="27"/>
      <c r="C406" s="28"/>
      <c r="D406" s="28"/>
      <c r="E406" s="44"/>
      <c r="F406" s="44"/>
      <c r="G406" s="44"/>
      <c r="H406" s="44"/>
    </row>
    <row r="407" spans="1:8">
      <c r="A407" s="27"/>
      <c r="C407" s="28"/>
      <c r="D407" s="28"/>
      <c r="E407" s="44"/>
      <c r="F407" s="44"/>
      <c r="G407" s="44"/>
      <c r="H407" s="44"/>
    </row>
    <row r="408" spans="1:8">
      <c r="A408" s="27"/>
      <c r="C408" s="28"/>
      <c r="D408" s="28"/>
      <c r="E408" s="44"/>
      <c r="F408" s="44"/>
      <c r="G408" s="44"/>
      <c r="H408" s="44"/>
    </row>
    <row r="409" spans="1:8">
      <c r="A409" s="27"/>
      <c r="C409" s="28"/>
      <c r="D409" s="28"/>
      <c r="E409" s="44"/>
      <c r="F409" s="44"/>
      <c r="G409" s="44"/>
      <c r="H409" s="44"/>
    </row>
    <row r="410" spans="1:8">
      <c r="A410" s="27"/>
      <c r="C410" s="28"/>
      <c r="D410" s="28"/>
      <c r="E410" s="44"/>
      <c r="F410" s="44"/>
      <c r="G410" s="44"/>
      <c r="H410" s="44"/>
    </row>
    <row r="411" spans="1:8">
      <c r="A411" s="27"/>
      <c r="C411" s="28"/>
      <c r="D411" s="28"/>
      <c r="E411" s="44"/>
      <c r="F411" s="44"/>
      <c r="G411" s="44"/>
      <c r="H411" s="44"/>
    </row>
    <row r="412" spans="1:8">
      <c r="A412" s="27"/>
      <c r="C412" s="28"/>
      <c r="D412" s="28"/>
      <c r="E412" s="44"/>
      <c r="F412" s="44"/>
      <c r="G412" s="44"/>
      <c r="H412" s="44"/>
    </row>
    <row r="413" spans="1:8">
      <c r="A413" s="27"/>
      <c r="C413" s="28"/>
      <c r="D413" s="28"/>
      <c r="E413" s="44"/>
      <c r="F413" s="44"/>
      <c r="G413" s="44"/>
      <c r="H413" s="44"/>
    </row>
    <row r="414" spans="1:8">
      <c r="A414" s="27"/>
      <c r="C414" s="28"/>
      <c r="D414" s="28"/>
      <c r="E414" s="44"/>
      <c r="F414" s="44"/>
      <c r="G414" s="44"/>
      <c r="H414" s="44"/>
    </row>
    <row r="415" spans="1:8">
      <c r="A415" s="27"/>
      <c r="C415" s="28"/>
      <c r="D415" s="28"/>
      <c r="E415" s="44"/>
      <c r="F415" s="44"/>
      <c r="G415" s="44"/>
      <c r="H415" s="44"/>
    </row>
    <row r="416" spans="1:8">
      <c r="A416" s="27"/>
      <c r="C416" s="28"/>
      <c r="D416" s="28"/>
      <c r="E416" s="44"/>
      <c r="F416" s="44"/>
      <c r="G416" s="44"/>
      <c r="H416" s="44"/>
    </row>
    <row r="417" spans="1:8">
      <c r="A417" s="27"/>
      <c r="C417" s="28"/>
      <c r="D417" s="28"/>
      <c r="E417" s="44"/>
      <c r="F417" s="44"/>
      <c r="G417" s="44"/>
      <c r="H417" s="44"/>
    </row>
    <row r="418" spans="1:8">
      <c r="A418" s="27"/>
      <c r="C418" s="28"/>
      <c r="D418" s="28"/>
      <c r="E418" s="44"/>
      <c r="F418" s="44"/>
      <c r="G418" s="44"/>
      <c r="H418" s="44"/>
    </row>
    <row r="419" spans="1:8">
      <c r="A419" s="27"/>
      <c r="C419" s="28"/>
      <c r="D419" s="28"/>
      <c r="E419" s="44"/>
      <c r="F419" s="44"/>
      <c r="G419" s="44"/>
      <c r="H419" s="44"/>
    </row>
    <row r="420" spans="1:8">
      <c r="A420" s="27"/>
      <c r="C420" s="28"/>
      <c r="D420" s="28"/>
      <c r="E420" s="44"/>
      <c r="F420" s="44"/>
      <c r="G420" s="44"/>
      <c r="H420" s="44"/>
    </row>
    <row r="421" spans="1:8">
      <c r="A421" s="27"/>
      <c r="C421" s="28"/>
      <c r="D421" s="28"/>
      <c r="E421" s="44"/>
      <c r="F421" s="44"/>
      <c r="G421" s="44"/>
      <c r="H421" s="44"/>
    </row>
    <row r="422" spans="1:8">
      <c r="A422" s="27"/>
      <c r="C422" s="28"/>
      <c r="D422" s="28"/>
      <c r="E422" s="44"/>
      <c r="F422" s="44"/>
      <c r="G422" s="44"/>
      <c r="H422" s="44"/>
    </row>
    <row r="423" spans="1:8">
      <c r="A423" s="27"/>
      <c r="C423" s="28"/>
      <c r="D423" s="28"/>
      <c r="E423" s="44"/>
      <c r="F423" s="44"/>
      <c r="G423" s="44"/>
      <c r="H423" s="44"/>
    </row>
    <row r="424" spans="1:8">
      <c r="A424" s="27"/>
      <c r="C424" s="28"/>
      <c r="D424" s="28"/>
      <c r="E424" s="44"/>
      <c r="F424" s="44"/>
      <c r="G424" s="44"/>
      <c r="H424" s="44"/>
    </row>
    <row r="425" spans="1:8">
      <c r="A425" s="27"/>
      <c r="C425" s="28"/>
      <c r="D425" s="28"/>
      <c r="E425" s="44"/>
      <c r="F425" s="44"/>
      <c r="G425" s="44"/>
      <c r="H425" s="44"/>
    </row>
    <row r="426" spans="1:8">
      <c r="A426" s="27"/>
      <c r="C426" s="28"/>
      <c r="D426" s="28"/>
      <c r="E426" s="44"/>
      <c r="F426" s="44"/>
      <c r="G426" s="44"/>
      <c r="H426" s="44"/>
    </row>
    <row r="427" spans="1:8">
      <c r="A427" s="27"/>
      <c r="C427" s="28"/>
      <c r="D427" s="28"/>
      <c r="E427" s="44"/>
      <c r="F427" s="44"/>
      <c r="G427" s="44"/>
      <c r="H427" s="44"/>
    </row>
    <row r="428" spans="1:8">
      <c r="A428" s="27"/>
      <c r="C428" s="28"/>
      <c r="D428" s="28"/>
      <c r="E428" s="44"/>
      <c r="F428" s="44"/>
      <c r="G428" s="44"/>
      <c r="H428" s="44"/>
    </row>
    <row r="429" spans="1:8">
      <c r="A429" s="27"/>
      <c r="C429" s="28"/>
      <c r="D429" s="28"/>
      <c r="E429" s="44"/>
      <c r="F429" s="44"/>
      <c r="G429" s="44"/>
      <c r="H429" s="44"/>
    </row>
    <row r="430" spans="1:8">
      <c r="A430" s="27"/>
      <c r="C430" s="28"/>
      <c r="D430" s="28"/>
      <c r="E430" s="44"/>
      <c r="F430" s="44"/>
      <c r="G430" s="44"/>
      <c r="H430" s="44"/>
    </row>
    <row r="431" spans="1:8">
      <c r="A431" s="27"/>
      <c r="C431" s="28"/>
      <c r="D431" s="28"/>
      <c r="E431" s="44"/>
      <c r="F431" s="44"/>
      <c r="G431" s="44"/>
      <c r="H431" s="44"/>
    </row>
    <row r="432" spans="1:8">
      <c r="A432" s="27"/>
      <c r="C432" s="28"/>
      <c r="D432" s="28"/>
      <c r="E432" s="44"/>
      <c r="F432" s="44"/>
      <c r="G432" s="44"/>
      <c r="H432" s="44"/>
    </row>
    <row r="433" spans="1:8">
      <c r="A433" s="27"/>
      <c r="C433" s="28"/>
      <c r="D433" s="28"/>
      <c r="E433" s="44"/>
      <c r="F433" s="44"/>
      <c r="G433" s="44"/>
      <c r="H433" s="44"/>
    </row>
    <row r="434" spans="1:8">
      <c r="A434" s="27"/>
      <c r="C434" s="28"/>
      <c r="D434" s="28"/>
      <c r="E434" s="44"/>
      <c r="F434" s="44"/>
      <c r="G434" s="44"/>
      <c r="H434" s="44"/>
    </row>
    <row r="435" spans="1:8">
      <c r="A435" s="27"/>
      <c r="C435" s="28"/>
      <c r="D435" s="28"/>
      <c r="E435" s="44"/>
      <c r="F435" s="44"/>
      <c r="G435" s="44"/>
      <c r="H435" s="44"/>
    </row>
    <row r="436" spans="1:8">
      <c r="A436" s="27"/>
      <c r="C436" s="28"/>
      <c r="D436" s="28"/>
      <c r="E436" s="44"/>
      <c r="F436" s="44"/>
      <c r="G436" s="44"/>
      <c r="H436" s="44"/>
    </row>
    <row r="437" spans="1:8">
      <c r="A437" s="27"/>
      <c r="C437" s="28"/>
      <c r="D437" s="28"/>
      <c r="E437" s="44"/>
      <c r="F437" s="44"/>
      <c r="G437" s="44"/>
      <c r="H437" s="44"/>
    </row>
    <row r="438" spans="1:8">
      <c r="A438" s="27"/>
      <c r="C438" s="28"/>
      <c r="D438" s="28"/>
      <c r="E438" s="44"/>
      <c r="F438" s="44"/>
      <c r="G438" s="44"/>
      <c r="H438" s="44"/>
    </row>
    <row r="439" spans="1:8">
      <c r="A439" s="27"/>
      <c r="C439" s="28"/>
      <c r="D439" s="28"/>
      <c r="E439" s="44"/>
      <c r="F439" s="44"/>
      <c r="G439" s="44"/>
      <c r="H439" s="44"/>
    </row>
    <row r="440" spans="1:8">
      <c r="A440" s="27"/>
      <c r="C440" s="28"/>
      <c r="D440" s="28"/>
      <c r="E440" s="44"/>
      <c r="F440" s="44"/>
      <c r="G440" s="44"/>
      <c r="H440" s="44"/>
    </row>
    <row r="441" spans="1:8">
      <c r="A441" s="27"/>
      <c r="C441" s="28"/>
      <c r="D441" s="28"/>
      <c r="E441" s="44"/>
      <c r="F441" s="44"/>
      <c r="G441" s="44"/>
      <c r="H441" s="44"/>
    </row>
    <row r="442" spans="1:8">
      <c r="A442" s="27"/>
      <c r="C442" s="28"/>
      <c r="D442" s="28"/>
      <c r="E442" s="44"/>
      <c r="F442" s="44"/>
      <c r="G442" s="44"/>
      <c r="H442" s="44"/>
    </row>
    <row r="443" spans="1:8">
      <c r="A443" s="27"/>
      <c r="C443" s="28"/>
      <c r="D443" s="28"/>
      <c r="E443" s="44"/>
      <c r="F443" s="44"/>
      <c r="G443" s="44"/>
      <c r="H443" s="44"/>
    </row>
    <row r="444" spans="1:8">
      <c r="A444" s="27"/>
      <c r="C444" s="28"/>
      <c r="D444" s="28"/>
      <c r="E444" s="44"/>
      <c r="F444" s="44"/>
      <c r="G444" s="44"/>
      <c r="H444" s="44"/>
    </row>
    <row r="445" spans="1:8">
      <c r="A445" s="27"/>
      <c r="C445" s="28"/>
      <c r="D445" s="28"/>
      <c r="E445" s="44"/>
      <c r="F445" s="44"/>
      <c r="G445" s="44"/>
      <c r="H445" s="44"/>
    </row>
    <row r="446" spans="1:8">
      <c r="A446" s="27"/>
      <c r="C446" s="28"/>
      <c r="D446" s="28"/>
      <c r="E446" s="44"/>
      <c r="F446" s="44"/>
      <c r="G446" s="44"/>
      <c r="H446" s="44"/>
    </row>
    <row r="447" spans="1:8">
      <c r="A447" s="27"/>
      <c r="C447" s="28"/>
      <c r="D447" s="28"/>
      <c r="E447" s="44"/>
      <c r="F447" s="44"/>
      <c r="G447" s="44"/>
      <c r="H447" s="44"/>
    </row>
    <row r="448" spans="1:8">
      <c r="A448" s="27"/>
      <c r="C448" s="28"/>
      <c r="D448" s="28"/>
      <c r="E448" s="44"/>
      <c r="F448" s="44"/>
      <c r="G448" s="44"/>
      <c r="H448" s="44"/>
    </row>
    <row r="449" spans="1:8">
      <c r="A449" s="27"/>
      <c r="C449" s="28"/>
      <c r="D449" s="28"/>
      <c r="E449" s="44"/>
      <c r="F449" s="44"/>
      <c r="G449" s="44"/>
      <c r="H449" s="44"/>
    </row>
    <row r="450" spans="1:8">
      <c r="A450" s="27"/>
      <c r="C450" s="28"/>
      <c r="D450" s="28"/>
      <c r="E450" s="44"/>
      <c r="F450" s="44"/>
      <c r="G450" s="44"/>
      <c r="H450" s="44"/>
    </row>
    <row r="451" spans="1:8">
      <c r="A451" s="27"/>
      <c r="C451" s="28"/>
      <c r="D451" s="28"/>
      <c r="E451" s="44"/>
      <c r="F451" s="44"/>
      <c r="G451" s="44"/>
      <c r="H451" s="44"/>
    </row>
    <row r="452" spans="1:8">
      <c r="A452" s="27"/>
      <c r="C452" s="28"/>
      <c r="D452" s="28"/>
      <c r="E452" s="44"/>
      <c r="F452" s="44"/>
      <c r="G452" s="44"/>
      <c r="H452" s="44"/>
    </row>
    <row r="453" spans="1:8">
      <c r="A453" s="27"/>
      <c r="C453" s="28"/>
      <c r="D453" s="28"/>
      <c r="E453" s="44"/>
      <c r="F453" s="44"/>
      <c r="G453" s="44"/>
      <c r="H453" s="44"/>
    </row>
    <row r="454" spans="1:8">
      <c r="A454" s="27"/>
      <c r="C454" s="28"/>
      <c r="D454" s="28"/>
      <c r="E454" s="44"/>
      <c r="F454" s="44"/>
      <c r="G454" s="44"/>
      <c r="H454" s="44"/>
    </row>
    <row r="455" spans="1:8">
      <c r="A455" s="27"/>
      <c r="C455" s="28"/>
      <c r="D455" s="28"/>
      <c r="E455" s="44"/>
      <c r="F455" s="44"/>
      <c r="G455" s="44"/>
      <c r="H455" s="44"/>
    </row>
    <row r="456" spans="1:8">
      <c r="A456" s="27"/>
      <c r="C456" s="28"/>
      <c r="D456" s="28"/>
      <c r="E456" s="44"/>
      <c r="F456" s="44"/>
      <c r="G456" s="44"/>
      <c r="H456" s="44"/>
    </row>
    <row r="457" spans="1:8">
      <c r="A457" s="27"/>
      <c r="C457" s="28"/>
      <c r="D457" s="28"/>
      <c r="E457" s="44"/>
      <c r="F457" s="44"/>
      <c r="G457" s="44"/>
      <c r="H457" s="44"/>
    </row>
    <row r="458" spans="1:8">
      <c r="A458" s="27"/>
      <c r="C458" s="28"/>
      <c r="D458" s="28"/>
      <c r="E458" s="44"/>
      <c r="F458" s="44"/>
      <c r="G458" s="44"/>
      <c r="H458" s="44"/>
    </row>
    <row r="459" spans="1:8">
      <c r="A459" s="27"/>
      <c r="C459" s="28"/>
      <c r="D459" s="28"/>
      <c r="E459" s="44"/>
      <c r="F459" s="44"/>
      <c r="G459" s="44"/>
      <c r="H459" s="44"/>
    </row>
    <row r="460" spans="1:8">
      <c r="A460" s="27"/>
      <c r="C460" s="28"/>
      <c r="D460" s="28"/>
      <c r="E460" s="44"/>
      <c r="F460" s="44"/>
      <c r="G460" s="44"/>
      <c r="H460" s="44"/>
    </row>
    <row r="461" spans="1:8">
      <c r="A461" s="27"/>
      <c r="C461" s="28"/>
      <c r="D461" s="28"/>
      <c r="E461" s="44"/>
      <c r="F461" s="44"/>
      <c r="G461" s="44"/>
      <c r="H461" s="44"/>
    </row>
    <row r="462" spans="1:8">
      <c r="A462" s="27"/>
      <c r="C462" s="28"/>
      <c r="D462" s="28"/>
      <c r="E462" s="44"/>
      <c r="F462" s="44"/>
      <c r="G462" s="44"/>
      <c r="H462" s="44"/>
    </row>
    <row r="463" spans="1:8">
      <c r="A463" s="27"/>
      <c r="C463" s="28"/>
      <c r="D463" s="28"/>
      <c r="E463" s="44"/>
      <c r="F463" s="44"/>
      <c r="G463" s="44"/>
      <c r="H463" s="44"/>
    </row>
    <row r="464" spans="1:8">
      <c r="A464" s="27"/>
      <c r="C464" s="28"/>
      <c r="D464" s="28"/>
      <c r="E464" s="44"/>
      <c r="F464" s="44"/>
      <c r="G464" s="44"/>
      <c r="H464" s="44"/>
    </row>
    <row r="465" spans="1:8">
      <c r="A465" s="27"/>
      <c r="C465" s="28"/>
      <c r="D465" s="28"/>
      <c r="E465" s="44"/>
      <c r="F465" s="44"/>
      <c r="G465" s="44"/>
      <c r="H465" s="44"/>
    </row>
    <row r="466" spans="1:8">
      <c r="A466" s="27"/>
      <c r="C466" s="28"/>
      <c r="D466" s="28"/>
      <c r="E466" s="44"/>
      <c r="F466" s="44"/>
      <c r="G466" s="44"/>
      <c r="H466" s="44"/>
    </row>
    <row r="467" spans="1:8">
      <c r="A467" s="27"/>
      <c r="C467" s="28"/>
      <c r="D467" s="28"/>
      <c r="E467" s="44"/>
      <c r="F467" s="44"/>
      <c r="G467" s="44"/>
      <c r="H467" s="44"/>
    </row>
    <row r="468" spans="1:8">
      <c r="A468" s="27"/>
      <c r="C468" s="28"/>
      <c r="D468" s="28"/>
      <c r="E468" s="44"/>
      <c r="F468" s="44"/>
      <c r="G468" s="44"/>
      <c r="H468" s="44"/>
    </row>
    <row r="469" spans="1:8">
      <c r="A469" s="27"/>
      <c r="C469" s="28"/>
      <c r="D469" s="28"/>
      <c r="E469" s="44"/>
      <c r="F469" s="44"/>
      <c r="G469" s="44"/>
      <c r="H469" s="44"/>
    </row>
    <row r="470" spans="1:8">
      <c r="A470" s="27"/>
      <c r="C470" s="28"/>
      <c r="D470" s="28"/>
      <c r="E470" s="44"/>
      <c r="F470" s="44"/>
      <c r="G470" s="44"/>
      <c r="H470" s="44"/>
    </row>
    <row r="471" spans="1:8">
      <c r="A471" s="27"/>
      <c r="C471" s="28"/>
      <c r="D471" s="28"/>
      <c r="E471" s="44"/>
      <c r="F471" s="44"/>
      <c r="G471" s="44"/>
      <c r="H471" s="44"/>
    </row>
    <row r="472" spans="1:8">
      <c r="A472" s="27"/>
      <c r="C472" s="28"/>
      <c r="D472" s="28"/>
      <c r="E472" s="44"/>
      <c r="F472" s="44"/>
      <c r="G472" s="44"/>
      <c r="H472" s="44"/>
    </row>
    <row r="473" spans="1:8">
      <c r="A473" s="27"/>
      <c r="C473" s="28"/>
      <c r="D473" s="28"/>
      <c r="E473" s="44"/>
      <c r="F473" s="44"/>
      <c r="G473" s="44"/>
      <c r="H473" s="44"/>
    </row>
    <row r="474" spans="1:8">
      <c r="A474" s="27"/>
      <c r="C474" s="28"/>
      <c r="D474" s="28"/>
      <c r="E474" s="44"/>
      <c r="F474" s="44"/>
      <c r="G474" s="44"/>
      <c r="H474" s="44"/>
    </row>
    <row r="475" spans="1:8">
      <c r="A475" s="27"/>
      <c r="C475" s="28"/>
      <c r="D475" s="28"/>
      <c r="E475" s="44"/>
      <c r="F475" s="44"/>
      <c r="G475" s="44"/>
      <c r="H475" s="44"/>
    </row>
    <row r="476" spans="1:8">
      <c r="A476" s="27"/>
      <c r="C476" s="28"/>
      <c r="D476" s="28"/>
      <c r="E476" s="44"/>
      <c r="F476" s="44"/>
      <c r="G476" s="44"/>
      <c r="H476" s="44"/>
    </row>
    <row r="477" spans="1:8">
      <c r="A477" s="27"/>
      <c r="C477" s="28"/>
      <c r="D477" s="28"/>
      <c r="E477" s="44"/>
      <c r="F477" s="44"/>
      <c r="G477" s="44"/>
      <c r="H477" s="44"/>
    </row>
    <row r="478" spans="1:8">
      <c r="A478" s="27"/>
      <c r="C478" s="28"/>
      <c r="D478" s="28"/>
      <c r="E478" s="44"/>
      <c r="F478" s="44"/>
      <c r="G478" s="44"/>
      <c r="H478" s="44"/>
    </row>
    <row r="479" spans="1:8">
      <c r="A479" s="27"/>
      <c r="C479" s="28"/>
      <c r="D479" s="28"/>
      <c r="E479" s="44"/>
      <c r="F479" s="44"/>
      <c r="G479" s="44"/>
      <c r="H479" s="44"/>
    </row>
    <row r="480" spans="1:8">
      <c r="A480" s="27"/>
      <c r="C480" s="28"/>
      <c r="D480" s="28"/>
      <c r="E480" s="44"/>
      <c r="F480" s="44"/>
      <c r="G480" s="44"/>
      <c r="H480" s="44"/>
    </row>
    <row r="481" spans="1:8">
      <c r="A481" s="27"/>
      <c r="C481" s="28"/>
      <c r="D481" s="28"/>
      <c r="E481" s="44"/>
      <c r="F481" s="44"/>
      <c r="G481" s="44"/>
      <c r="H481" s="44"/>
    </row>
    <row r="482" spans="1:8">
      <c r="A482" s="27"/>
      <c r="C482" s="28"/>
      <c r="D482" s="28"/>
      <c r="E482" s="44"/>
      <c r="F482" s="44"/>
      <c r="G482" s="44"/>
      <c r="H482" s="44"/>
    </row>
    <row r="483" spans="1:8">
      <c r="A483" s="27"/>
      <c r="C483" s="28"/>
      <c r="D483" s="28"/>
      <c r="E483" s="44"/>
      <c r="F483" s="44"/>
      <c r="G483" s="44"/>
      <c r="H483" s="44"/>
    </row>
    <row r="484" spans="1:8">
      <c r="A484" s="27"/>
      <c r="C484" s="28"/>
      <c r="D484" s="28"/>
      <c r="E484" s="44"/>
      <c r="F484" s="44"/>
      <c r="G484" s="44"/>
      <c r="H484" s="44"/>
    </row>
    <row r="485" spans="1:8">
      <c r="A485" s="27"/>
      <c r="C485" s="28"/>
      <c r="D485" s="28"/>
      <c r="E485" s="44"/>
      <c r="F485" s="44"/>
      <c r="G485" s="44"/>
      <c r="H485" s="44"/>
    </row>
    <row r="486" spans="1:8">
      <c r="A486" s="27"/>
      <c r="C486" s="28"/>
      <c r="D486" s="28"/>
      <c r="E486" s="44"/>
      <c r="F486" s="44"/>
      <c r="G486" s="44"/>
      <c r="H486" s="44"/>
    </row>
    <row r="487" spans="1:8">
      <c r="A487" s="27"/>
      <c r="C487" s="28"/>
      <c r="D487" s="28"/>
      <c r="E487" s="44"/>
      <c r="F487" s="44"/>
      <c r="G487" s="44"/>
      <c r="H487" s="44"/>
    </row>
    <row r="488" spans="1:8">
      <c r="A488" s="27"/>
      <c r="C488" s="28"/>
      <c r="D488" s="28"/>
      <c r="E488" s="44"/>
      <c r="F488" s="44"/>
      <c r="G488" s="44"/>
      <c r="H488" s="44"/>
    </row>
    <row r="489" spans="1:8">
      <c r="A489" s="27"/>
      <c r="C489" s="28"/>
      <c r="D489" s="28"/>
      <c r="E489" s="44"/>
      <c r="F489" s="44"/>
      <c r="G489" s="44"/>
      <c r="H489" s="44"/>
    </row>
    <row r="490" spans="1:8">
      <c r="A490" s="27"/>
      <c r="C490" s="28"/>
      <c r="D490" s="28"/>
      <c r="E490" s="44"/>
      <c r="F490" s="44"/>
      <c r="G490" s="44"/>
      <c r="H490" s="44"/>
    </row>
    <row r="491" spans="1:8">
      <c r="A491" s="27"/>
      <c r="C491" s="28"/>
      <c r="D491" s="28"/>
      <c r="E491" s="44"/>
      <c r="F491" s="44"/>
      <c r="G491" s="44"/>
      <c r="H491" s="44"/>
    </row>
    <row r="492" spans="1:8">
      <c r="A492" s="27"/>
      <c r="C492" s="28"/>
      <c r="D492" s="28"/>
      <c r="E492" s="44"/>
      <c r="F492" s="44"/>
      <c r="G492" s="44"/>
      <c r="H492" s="44"/>
    </row>
    <row r="493" spans="1:8">
      <c r="A493" s="27"/>
      <c r="C493" s="28"/>
      <c r="D493" s="28"/>
      <c r="E493" s="44"/>
      <c r="F493" s="44"/>
      <c r="G493" s="44"/>
      <c r="H493" s="44"/>
    </row>
    <row r="494" spans="1:8">
      <c r="A494" s="27"/>
      <c r="C494" s="28"/>
      <c r="D494" s="28"/>
      <c r="E494" s="44"/>
      <c r="F494" s="44"/>
      <c r="G494" s="44"/>
      <c r="H494" s="44"/>
    </row>
    <row r="495" spans="1:8">
      <c r="A495" s="27"/>
      <c r="C495" s="28"/>
      <c r="D495" s="28"/>
      <c r="E495" s="44"/>
      <c r="F495" s="44"/>
      <c r="G495" s="44"/>
      <c r="H495" s="44"/>
    </row>
    <row r="496" spans="1:8">
      <c r="A496" s="27"/>
      <c r="C496" s="28"/>
      <c r="D496" s="28"/>
      <c r="E496" s="44"/>
      <c r="F496" s="44"/>
      <c r="G496" s="44"/>
      <c r="H496" s="44"/>
    </row>
    <row r="497" spans="1:8">
      <c r="A497" s="27"/>
      <c r="C497" s="28"/>
      <c r="D497" s="28"/>
      <c r="E497" s="44"/>
      <c r="F497" s="44"/>
      <c r="G497" s="44"/>
      <c r="H497" s="44"/>
    </row>
    <row r="498" spans="1:8">
      <c r="A498" s="27"/>
      <c r="C498" s="28"/>
      <c r="D498" s="28"/>
      <c r="E498" s="44"/>
      <c r="F498" s="44"/>
      <c r="G498" s="44"/>
      <c r="H498" s="44"/>
    </row>
    <row r="499" spans="1:8">
      <c r="A499" s="27"/>
      <c r="C499" s="28"/>
      <c r="D499" s="28"/>
      <c r="E499" s="44"/>
      <c r="F499" s="44"/>
      <c r="G499" s="44"/>
      <c r="H499" s="44"/>
    </row>
    <row r="500" spans="1:8">
      <c r="A500" s="27"/>
      <c r="C500" s="28"/>
      <c r="D500" s="28"/>
      <c r="E500" s="44"/>
      <c r="F500" s="44"/>
      <c r="G500" s="44"/>
      <c r="H500" s="44"/>
    </row>
    <row r="501" spans="1:8">
      <c r="A501" s="27"/>
      <c r="C501" s="28"/>
      <c r="D501" s="28"/>
      <c r="E501" s="44"/>
      <c r="F501" s="44"/>
      <c r="G501" s="44"/>
      <c r="H501" s="44"/>
    </row>
    <row r="502" spans="1:8">
      <c r="A502" s="27"/>
      <c r="C502" s="28"/>
      <c r="D502" s="28"/>
      <c r="E502" s="44"/>
      <c r="F502" s="44"/>
      <c r="G502" s="44"/>
      <c r="H502" s="44"/>
    </row>
    <row r="503" spans="1:8">
      <c r="A503" s="27"/>
      <c r="C503" s="28"/>
      <c r="D503" s="28"/>
      <c r="E503" s="44"/>
      <c r="F503" s="44"/>
      <c r="G503" s="44"/>
      <c r="H503" s="44"/>
    </row>
    <row r="504" spans="1:8">
      <c r="A504" s="27"/>
      <c r="C504" s="28"/>
      <c r="D504" s="28"/>
      <c r="E504" s="44"/>
      <c r="F504" s="44"/>
      <c r="G504" s="44"/>
      <c r="H504" s="44"/>
    </row>
    <row r="505" spans="1:8">
      <c r="A505" s="27"/>
      <c r="C505" s="28"/>
      <c r="D505" s="28"/>
      <c r="E505" s="44"/>
      <c r="F505" s="44"/>
      <c r="G505" s="44"/>
      <c r="H505" s="44"/>
    </row>
    <row r="506" spans="1:8">
      <c r="A506" s="27"/>
      <c r="C506" s="28"/>
      <c r="D506" s="28"/>
      <c r="E506" s="44"/>
      <c r="F506" s="44"/>
      <c r="G506" s="44"/>
      <c r="H506" s="44"/>
    </row>
    <row r="507" spans="1:8">
      <c r="A507" s="27"/>
      <c r="C507" s="28"/>
      <c r="D507" s="28"/>
      <c r="E507" s="44"/>
      <c r="F507" s="44"/>
      <c r="G507" s="44"/>
      <c r="H507" s="44"/>
    </row>
    <row r="508" spans="1:8">
      <c r="A508" s="27"/>
      <c r="C508" s="28"/>
      <c r="D508" s="28"/>
      <c r="E508" s="44"/>
      <c r="F508" s="44"/>
      <c r="G508" s="44"/>
      <c r="H508" s="44"/>
    </row>
    <row r="509" spans="1:8">
      <c r="A509" s="27"/>
      <c r="C509" s="28"/>
      <c r="D509" s="28"/>
      <c r="E509" s="44"/>
      <c r="F509" s="44"/>
      <c r="G509" s="44"/>
      <c r="H509" s="44"/>
    </row>
    <row r="510" spans="1:8">
      <c r="A510" s="27"/>
      <c r="C510" s="28"/>
      <c r="D510" s="28"/>
      <c r="E510" s="44"/>
      <c r="F510" s="44"/>
      <c r="G510" s="44"/>
      <c r="H510" s="44"/>
    </row>
    <row r="511" spans="1:8">
      <c r="A511" s="27"/>
      <c r="C511" s="28"/>
      <c r="D511" s="28"/>
      <c r="E511" s="44"/>
      <c r="F511" s="44"/>
      <c r="G511" s="44"/>
      <c r="H511" s="44"/>
    </row>
    <row r="512" spans="1:8">
      <c r="A512" s="27"/>
      <c r="C512" s="28"/>
      <c r="D512" s="28"/>
      <c r="E512" s="44"/>
      <c r="F512" s="44"/>
      <c r="G512" s="44"/>
      <c r="H512" s="44"/>
    </row>
    <row r="513" spans="1:8">
      <c r="A513" s="27"/>
      <c r="C513" s="28"/>
      <c r="D513" s="28"/>
      <c r="E513" s="44"/>
      <c r="F513" s="44"/>
      <c r="G513" s="44"/>
      <c r="H513" s="44"/>
    </row>
    <row r="514" spans="1:8">
      <c r="A514" s="27"/>
      <c r="C514" s="28"/>
      <c r="D514" s="28"/>
      <c r="E514" s="44"/>
      <c r="F514" s="44"/>
      <c r="G514" s="44"/>
      <c r="H514" s="44"/>
    </row>
    <row r="515" spans="1:8">
      <c r="A515" s="27"/>
      <c r="C515" s="28"/>
      <c r="D515" s="28"/>
      <c r="E515" s="44"/>
      <c r="F515" s="44"/>
      <c r="G515" s="44"/>
      <c r="H515" s="44"/>
    </row>
    <row r="516" spans="1:8">
      <c r="A516" s="27"/>
      <c r="C516" s="28"/>
      <c r="D516" s="28"/>
      <c r="E516" s="44"/>
      <c r="F516" s="44"/>
      <c r="G516" s="44"/>
      <c r="H516" s="44"/>
    </row>
    <row r="517" spans="1:8">
      <c r="A517" s="27"/>
      <c r="C517" s="28"/>
      <c r="D517" s="28"/>
      <c r="E517" s="44"/>
      <c r="F517" s="44"/>
      <c r="G517" s="44"/>
      <c r="H517" s="44"/>
    </row>
    <row r="518" spans="1:8">
      <c r="A518" s="27"/>
      <c r="C518" s="28"/>
      <c r="D518" s="28"/>
      <c r="E518" s="44"/>
      <c r="F518" s="44"/>
      <c r="G518" s="44"/>
      <c r="H518" s="44"/>
    </row>
    <row r="519" spans="1:8">
      <c r="A519" s="27"/>
      <c r="C519" s="28"/>
      <c r="D519" s="28"/>
      <c r="E519" s="44"/>
      <c r="F519" s="44"/>
      <c r="G519" s="44"/>
      <c r="H519" s="44"/>
    </row>
    <row r="520" spans="1:8">
      <c r="A520" s="27"/>
      <c r="C520" s="28"/>
      <c r="D520" s="28"/>
      <c r="E520" s="44"/>
      <c r="F520" s="44"/>
      <c r="G520" s="44"/>
      <c r="H520" s="44"/>
    </row>
    <row r="521" spans="1:8">
      <c r="A521" s="27"/>
      <c r="C521" s="28"/>
      <c r="D521" s="28"/>
      <c r="E521" s="44"/>
      <c r="F521" s="44"/>
      <c r="G521" s="44"/>
      <c r="H521" s="44"/>
    </row>
    <row r="522" spans="1:8">
      <c r="A522" s="27"/>
      <c r="C522" s="28"/>
      <c r="D522" s="28"/>
      <c r="E522" s="44"/>
      <c r="F522" s="44"/>
      <c r="G522" s="44"/>
      <c r="H522" s="44"/>
    </row>
    <row r="523" spans="1:8">
      <c r="A523" s="27"/>
      <c r="C523" s="28"/>
      <c r="D523" s="28"/>
      <c r="E523" s="44"/>
      <c r="F523" s="44"/>
      <c r="G523" s="44"/>
      <c r="H523" s="44"/>
    </row>
    <row r="524" spans="1:8">
      <c r="A524" s="27"/>
      <c r="C524" s="28"/>
      <c r="D524" s="28"/>
      <c r="E524" s="44"/>
      <c r="F524" s="44"/>
      <c r="G524" s="44"/>
      <c r="H524" s="44"/>
    </row>
    <row r="525" spans="1:8">
      <c r="A525" s="27"/>
      <c r="C525" s="28"/>
      <c r="D525" s="28"/>
      <c r="E525" s="44"/>
      <c r="F525" s="44"/>
      <c r="G525" s="44"/>
      <c r="H525" s="44"/>
    </row>
    <row r="526" spans="1:8">
      <c r="A526" s="27"/>
      <c r="C526" s="28"/>
      <c r="D526" s="28"/>
      <c r="E526" s="44"/>
      <c r="F526" s="44"/>
      <c r="G526" s="44"/>
      <c r="H526" s="44"/>
    </row>
    <row r="527" spans="1:8">
      <c r="A527" s="27"/>
      <c r="C527" s="28"/>
      <c r="D527" s="28"/>
      <c r="E527" s="44"/>
      <c r="F527" s="44"/>
      <c r="G527" s="44"/>
      <c r="H527" s="44"/>
    </row>
    <row r="528" spans="1:8">
      <c r="A528" s="27"/>
      <c r="C528" s="28"/>
      <c r="D528" s="28"/>
      <c r="E528" s="44"/>
      <c r="F528" s="44"/>
      <c r="G528" s="44"/>
      <c r="H528" s="44"/>
    </row>
    <row r="529" spans="1:8">
      <c r="A529" s="27"/>
      <c r="C529" s="28"/>
      <c r="D529" s="28"/>
      <c r="E529" s="44"/>
      <c r="F529" s="44"/>
      <c r="G529" s="44"/>
      <c r="H529" s="44"/>
    </row>
    <row r="530" spans="1:8">
      <c r="A530" s="27"/>
      <c r="C530" s="28"/>
      <c r="D530" s="28"/>
      <c r="E530" s="44"/>
      <c r="F530" s="44"/>
      <c r="G530" s="44"/>
      <c r="H530" s="44"/>
    </row>
    <row r="531" spans="1:8">
      <c r="A531" s="27"/>
      <c r="C531" s="28"/>
      <c r="D531" s="28"/>
      <c r="E531" s="44"/>
      <c r="F531" s="44"/>
      <c r="G531" s="44"/>
      <c r="H531" s="44"/>
    </row>
    <row r="532" spans="1:8">
      <c r="A532" s="27"/>
      <c r="C532" s="28"/>
      <c r="D532" s="28"/>
      <c r="E532" s="44"/>
      <c r="F532" s="44"/>
      <c r="G532" s="44"/>
      <c r="H532" s="44"/>
    </row>
    <row r="533" spans="1:8">
      <c r="A533" s="27"/>
      <c r="C533" s="28"/>
      <c r="D533" s="28"/>
      <c r="E533" s="44"/>
      <c r="F533" s="44"/>
      <c r="G533" s="44"/>
      <c r="H533" s="44"/>
    </row>
    <row r="534" spans="1:8">
      <c r="A534" s="27"/>
      <c r="C534" s="28"/>
      <c r="D534" s="28"/>
      <c r="E534" s="44"/>
      <c r="F534" s="44"/>
      <c r="G534" s="44"/>
      <c r="H534" s="44"/>
    </row>
    <row r="535" spans="1:8">
      <c r="A535" s="27"/>
      <c r="C535" s="28"/>
      <c r="D535" s="28"/>
      <c r="E535" s="44"/>
      <c r="F535" s="44"/>
      <c r="G535" s="44"/>
      <c r="H535" s="44"/>
    </row>
    <row r="536" spans="1:8">
      <c r="A536" s="27"/>
      <c r="C536" s="28"/>
      <c r="D536" s="28"/>
      <c r="E536" s="44"/>
      <c r="F536" s="44"/>
      <c r="G536" s="44"/>
      <c r="H536" s="44"/>
    </row>
    <row r="537" spans="1:8">
      <c r="A537" s="27"/>
      <c r="C537" s="28"/>
      <c r="D537" s="28"/>
      <c r="E537" s="44"/>
      <c r="F537" s="44"/>
      <c r="G537" s="44"/>
      <c r="H537" s="44"/>
    </row>
    <row r="538" spans="1:8">
      <c r="A538" s="27"/>
      <c r="C538" s="28"/>
      <c r="D538" s="28"/>
      <c r="E538" s="44"/>
      <c r="F538" s="44"/>
      <c r="G538" s="44"/>
      <c r="H538" s="44"/>
    </row>
    <row r="539" spans="1:8">
      <c r="A539" s="27"/>
      <c r="C539" s="28"/>
      <c r="D539" s="28"/>
      <c r="E539" s="44"/>
      <c r="F539" s="44"/>
      <c r="G539" s="44"/>
      <c r="H539" s="44"/>
    </row>
    <row r="540" spans="1:8">
      <c r="A540" s="27"/>
      <c r="C540" s="28"/>
      <c r="D540" s="28"/>
      <c r="E540" s="44"/>
      <c r="F540" s="44"/>
      <c r="G540" s="44"/>
      <c r="H540" s="44"/>
    </row>
    <row r="541" spans="1:8">
      <c r="A541" s="27"/>
      <c r="C541" s="28"/>
      <c r="D541" s="28"/>
      <c r="E541" s="44"/>
      <c r="F541" s="44"/>
      <c r="G541" s="44"/>
      <c r="H541" s="44"/>
    </row>
    <row r="542" spans="1:8">
      <c r="A542" s="27"/>
      <c r="C542" s="28"/>
      <c r="D542" s="28"/>
      <c r="E542" s="44"/>
      <c r="F542" s="44"/>
      <c r="G542" s="44"/>
      <c r="H542" s="44"/>
    </row>
    <row r="543" spans="1:8">
      <c r="A543" s="27"/>
      <c r="C543" s="28"/>
      <c r="D543" s="28"/>
      <c r="E543" s="44"/>
      <c r="F543" s="44"/>
      <c r="G543" s="44"/>
      <c r="H543" s="44"/>
    </row>
    <row r="544" spans="1:8">
      <c r="A544" s="27"/>
      <c r="C544" s="28"/>
      <c r="D544" s="28"/>
      <c r="E544" s="44"/>
      <c r="F544" s="44"/>
      <c r="G544" s="44"/>
      <c r="H544" s="44"/>
    </row>
    <row r="545" spans="1:8">
      <c r="A545" s="27"/>
      <c r="C545" s="28"/>
      <c r="D545" s="28"/>
      <c r="E545" s="44"/>
      <c r="F545" s="44"/>
      <c r="G545" s="44"/>
      <c r="H545" s="44"/>
    </row>
    <row r="546" spans="1:8">
      <c r="A546" s="27"/>
      <c r="C546" s="28"/>
      <c r="D546" s="28"/>
      <c r="E546" s="44"/>
      <c r="F546" s="44"/>
      <c r="G546" s="44"/>
      <c r="H546" s="44"/>
    </row>
    <row r="547" spans="1:8">
      <c r="A547" s="27"/>
      <c r="C547" s="28"/>
      <c r="D547" s="28"/>
      <c r="E547" s="44"/>
      <c r="F547" s="44"/>
      <c r="G547" s="44"/>
      <c r="H547" s="44"/>
    </row>
    <row r="548" spans="1:8">
      <c r="A548" s="27"/>
      <c r="C548" s="28"/>
      <c r="D548" s="28"/>
      <c r="E548" s="44"/>
      <c r="F548" s="44"/>
      <c r="G548" s="44"/>
      <c r="H548" s="44"/>
    </row>
    <row r="549" spans="1:8">
      <c r="A549" s="27"/>
      <c r="C549" s="28"/>
      <c r="D549" s="28"/>
      <c r="E549" s="44"/>
      <c r="F549" s="44"/>
      <c r="G549" s="44"/>
      <c r="H549" s="44"/>
    </row>
    <row r="550" spans="1:8">
      <c r="A550" s="27"/>
      <c r="C550" s="28"/>
      <c r="D550" s="28"/>
      <c r="E550" s="44"/>
      <c r="F550" s="44"/>
      <c r="G550" s="44"/>
      <c r="H550" s="44"/>
    </row>
    <row r="551" spans="1:8">
      <c r="A551" s="27"/>
      <c r="C551" s="28"/>
      <c r="D551" s="28"/>
      <c r="E551" s="44"/>
      <c r="F551" s="44"/>
      <c r="G551" s="44"/>
      <c r="H551" s="44"/>
    </row>
    <row r="552" spans="1:8">
      <c r="A552" s="27"/>
      <c r="C552" s="28"/>
      <c r="D552" s="28"/>
      <c r="E552" s="44"/>
      <c r="F552" s="44"/>
      <c r="G552" s="44"/>
      <c r="H552" s="44"/>
    </row>
    <row r="553" spans="1:8">
      <c r="A553" s="27"/>
      <c r="C553" s="28"/>
      <c r="D553" s="28"/>
      <c r="E553" s="44"/>
      <c r="F553" s="44"/>
      <c r="G553" s="44"/>
      <c r="H553" s="44"/>
    </row>
    <row r="554" spans="1:8">
      <c r="A554" s="27"/>
      <c r="C554" s="28"/>
      <c r="D554" s="28"/>
      <c r="E554" s="44"/>
      <c r="F554" s="44"/>
      <c r="G554" s="44"/>
      <c r="H554" s="44"/>
    </row>
    <row r="555" spans="1:8">
      <c r="A555" s="27"/>
      <c r="C555" s="28"/>
      <c r="D555" s="28"/>
      <c r="E555" s="44"/>
      <c r="F555" s="44"/>
      <c r="G555" s="44"/>
      <c r="H555" s="44"/>
    </row>
    <row r="556" spans="1:8">
      <c r="A556" s="27"/>
      <c r="C556" s="28"/>
      <c r="D556" s="28"/>
      <c r="E556" s="44"/>
      <c r="F556" s="44"/>
      <c r="G556" s="44"/>
      <c r="H556" s="44"/>
    </row>
    <row r="557" spans="1:8">
      <c r="A557" s="27"/>
      <c r="C557" s="28"/>
      <c r="D557" s="28"/>
      <c r="E557" s="44"/>
      <c r="F557" s="44"/>
      <c r="G557" s="44"/>
      <c r="H557" s="44"/>
    </row>
    <row r="558" spans="1:8">
      <c r="A558" s="27"/>
      <c r="C558" s="28"/>
      <c r="D558" s="28"/>
      <c r="E558" s="44"/>
      <c r="F558" s="44"/>
      <c r="G558" s="44"/>
      <c r="H558" s="44"/>
    </row>
    <row r="559" spans="1:8">
      <c r="A559" s="27"/>
      <c r="C559" s="28"/>
      <c r="D559" s="28"/>
      <c r="E559" s="44"/>
      <c r="F559" s="44"/>
      <c r="G559" s="44"/>
      <c r="H559" s="44"/>
    </row>
    <row r="560" spans="1:8">
      <c r="A560" s="27"/>
      <c r="C560" s="28"/>
      <c r="D560" s="28"/>
      <c r="E560" s="44"/>
      <c r="F560" s="44"/>
      <c r="G560" s="44"/>
      <c r="H560" s="44"/>
    </row>
    <row r="561" spans="1:8">
      <c r="A561" s="27"/>
      <c r="C561" s="28"/>
      <c r="D561" s="28"/>
      <c r="E561" s="44"/>
      <c r="F561" s="44"/>
      <c r="G561" s="44"/>
      <c r="H561" s="44"/>
    </row>
    <row r="562" spans="1:8">
      <c r="A562" s="27"/>
      <c r="C562" s="28"/>
      <c r="D562" s="28"/>
      <c r="E562" s="44"/>
      <c r="F562" s="44"/>
      <c r="G562" s="44"/>
      <c r="H562" s="44"/>
    </row>
    <row r="563" spans="1:8">
      <c r="A563" s="27"/>
      <c r="C563" s="28"/>
      <c r="D563" s="28"/>
      <c r="E563" s="44"/>
      <c r="F563" s="44"/>
      <c r="G563" s="44"/>
      <c r="H563" s="44"/>
    </row>
    <row r="564" spans="1:8">
      <c r="A564" s="27"/>
      <c r="C564" s="28"/>
      <c r="D564" s="28"/>
      <c r="E564" s="44"/>
      <c r="F564" s="44"/>
      <c r="G564" s="44"/>
      <c r="H564" s="44"/>
    </row>
    <row r="565" spans="1:8">
      <c r="A565" s="27"/>
      <c r="C565" s="28"/>
      <c r="D565" s="28"/>
      <c r="E565" s="44"/>
      <c r="F565" s="44"/>
      <c r="G565" s="44"/>
      <c r="H565" s="44"/>
    </row>
    <row r="566" spans="1:8">
      <c r="A566" s="27"/>
      <c r="C566" s="28"/>
      <c r="D566" s="28"/>
      <c r="E566" s="44"/>
      <c r="F566" s="44"/>
      <c r="G566" s="44"/>
      <c r="H566" s="44"/>
    </row>
    <row r="567" spans="1:8">
      <c r="A567" s="27"/>
      <c r="C567" s="28"/>
      <c r="D567" s="28"/>
      <c r="E567" s="44"/>
      <c r="F567" s="44"/>
      <c r="G567" s="44"/>
      <c r="H567" s="44"/>
    </row>
    <row r="568" spans="1:8">
      <c r="A568" s="27"/>
      <c r="C568" s="28"/>
      <c r="D568" s="28"/>
      <c r="E568" s="44"/>
      <c r="F568" s="44"/>
      <c r="G568" s="44"/>
      <c r="H568" s="44"/>
    </row>
    <row r="569" spans="1:8">
      <c r="A569" s="27"/>
      <c r="C569" s="28"/>
      <c r="D569" s="28"/>
      <c r="E569" s="44"/>
      <c r="F569" s="44"/>
      <c r="G569" s="44"/>
      <c r="H569" s="44"/>
    </row>
    <row r="570" spans="1:8">
      <c r="A570" s="27"/>
      <c r="C570" s="28"/>
      <c r="D570" s="28"/>
      <c r="E570" s="44"/>
      <c r="F570" s="44"/>
      <c r="G570" s="44"/>
      <c r="H570" s="44"/>
    </row>
    <row r="571" spans="1:8">
      <c r="A571" s="27"/>
      <c r="C571" s="28"/>
      <c r="D571" s="28"/>
      <c r="E571" s="44"/>
      <c r="F571" s="44"/>
      <c r="G571" s="44"/>
      <c r="H571" s="44"/>
    </row>
    <row r="572" spans="1:8">
      <c r="A572" s="27"/>
      <c r="C572" s="28"/>
      <c r="D572" s="28"/>
      <c r="E572" s="44"/>
      <c r="F572" s="44"/>
      <c r="G572" s="44"/>
      <c r="H572" s="44"/>
    </row>
    <row r="573" spans="1:8">
      <c r="A573" s="27"/>
      <c r="C573" s="28"/>
      <c r="D573" s="28"/>
      <c r="E573" s="44"/>
      <c r="F573" s="44"/>
      <c r="G573" s="44"/>
      <c r="H573" s="44"/>
    </row>
    <row r="574" spans="1:8">
      <c r="A574" s="27"/>
      <c r="C574" s="28"/>
      <c r="D574" s="28"/>
      <c r="E574" s="44"/>
      <c r="F574" s="44"/>
      <c r="G574" s="44"/>
      <c r="H574" s="44"/>
    </row>
    <row r="575" spans="1:8">
      <c r="A575" s="27"/>
      <c r="C575" s="28"/>
      <c r="D575" s="28"/>
      <c r="E575" s="44"/>
      <c r="F575" s="44"/>
      <c r="G575" s="44"/>
      <c r="H575" s="44"/>
    </row>
    <row r="576" spans="1:8">
      <c r="A576" s="27"/>
      <c r="C576" s="28"/>
      <c r="D576" s="28"/>
      <c r="E576" s="44"/>
      <c r="F576" s="44"/>
      <c r="G576" s="44"/>
      <c r="H576" s="44"/>
    </row>
    <row r="577" spans="1:8">
      <c r="A577" s="27"/>
      <c r="C577" s="28"/>
      <c r="D577" s="28"/>
      <c r="E577" s="44"/>
      <c r="F577" s="44"/>
      <c r="G577" s="44"/>
      <c r="H577" s="44"/>
    </row>
    <row r="578" spans="1:8">
      <c r="A578" s="27"/>
      <c r="C578" s="28"/>
      <c r="D578" s="28"/>
      <c r="E578" s="44"/>
      <c r="F578" s="44"/>
      <c r="G578" s="44"/>
      <c r="H578" s="44"/>
    </row>
    <row r="579" spans="1:8">
      <c r="A579" s="27"/>
      <c r="C579" s="28"/>
      <c r="D579" s="28"/>
      <c r="E579" s="44"/>
      <c r="F579" s="44"/>
      <c r="G579" s="44"/>
      <c r="H579" s="44"/>
    </row>
    <row r="580" spans="1:8">
      <c r="A580" s="27"/>
      <c r="C580" s="28"/>
      <c r="D580" s="28"/>
      <c r="E580" s="44"/>
      <c r="F580" s="44"/>
      <c r="G580" s="44"/>
      <c r="H580" s="44"/>
    </row>
    <row r="581" spans="1:8">
      <c r="A581" s="27"/>
      <c r="C581" s="28"/>
      <c r="D581" s="28"/>
      <c r="E581" s="44"/>
      <c r="F581" s="44"/>
      <c r="G581" s="44"/>
      <c r="H581" s="44"/>
    </row>
    <row r="582" spans="1:8">
      <c r="A582" s="27"/>
      <c r="C582" s="28"/>
      <c r="D582" s="28"/>
      <c r="E582" s="44"/>
      <c r="F582" s="44"/>
      <c r="G582" s="44"/>
      <c r="H582" s="44"/>
    </row>
    <row r="583" spans="1:8">
      <c r="A583" s="27"/>
      <c r="C583" s="28"/>
      <c r="D583" s="28"/>
      <c r="E583" s="44"/>
      <c r="F583" s="44"/>
      <c r="G583" s="44"/>
      <c r="H583" s="44"/>
    </row>
    <row r="584" spans="1:8">
      <c r="A584" s="27"/>
      <c r="C584" s="28"/>
      <c r="D584" s="28"/>
      <c r="E584" s="44"/>
      <c r="F584" s="44"/>
      <c r="G584" s="44"/>
      <c r="H584" s="44"/>
    </row>
    <row r="585" spans="1:8">
      <c r="A585" s="27"/>
      <c r="C585" s="28"/>
      <c r="D585" s="28"/>
      <c r="E585" s="44"/>
      <c r="F585" s="44"/>
      <c r="G585" s="44"/>
      <c r="H585" s="44"/>
    </row>
    <row r="586" spans="1:8">
      <c r="A586" s="27"/>
      <c r="C586" s="28"/>
      <c r="D586" s="28"/>
      <c r="E586" s="44"/>
      <c r="F586" s="44"/>
      <c r="G586" s="44"/>
      <c r="H586" s="44"/>
    </row>
    <row r="587" spans="1:8">
      <c r="A587" s="27"/>
      <c r="C587" s="28"/>
      <c r="D587" s="28"/>
      <c r="E587" s="44"/>
      <c r="F587" s="44"/>
      <c r="G587" s="44"/>
      <c r="H587" s="44"/>
    </row>
    <row r="588" spans="1:8">
      <c r="A588" s="27"/>
      <c r="C588" s="28"/>
      <c r="D588" s="28"/>
      <c r="E588" s="44"/>
      <c r="F588" s="44"/>
      <c r="G588" s="44"/>
      <c r="H588" s="44"/>
    </row>
    <row r="589" spans="1:8">
      <c r="A589" s="27"/>
      <c r="C589" s="28"/>
      <c r="D589" s="28"/>
      <c r="E589" s="44"/>
      <c r="F589" s="44"/>
      <c r="G589" s="44"/>
      <c r="H589" s="44"/>
    </row>
    <row r="590" spans="1:8">
      <c r="A590" s="27"/>
      <c r="C590" s="28"/>
      <c r="D590" s="28"/>
      <c r="E590" s="44"/>
      <c r="F590" s="44"/>
      <c r="G590" s="44"/>
      <c r="H590" s="44"/>
    </row>
    <row r="591" spans="1:8">
      <c r="A591" s="27"/>
      <c r="C591" s="28"/>
      <c r="D591" s="28"/>
      <c r="E591" s="44"/>
      <c r="F591" s="44"/>
      <c r="G591" s="44"/>
      <c r="H591" s="44"/>
    </row>
    <row r="592" spans="1:8">
      <c r="A592" s="27"/>
      <c r="C592" s="28"/>
      <c r="D592" s="28"/>
      <c r="E592" s="44"/>
      <c r="F592" s="44"/>
      <c r="G592" s="44"/>
      <c r="H592" s="44"/>
    </row>
    <row r="593" spans="1:8">
      <c r="A593" s="27"/>
      <c r="C593" s="28"/>
      <c r="D593" s="28"/>
      <c r="E593" s="44"/>
      <c r="F593" s="44"/>
      <c r="G593" s="44"/>
      <c r="H593" s="44"/>
    </row>
    <row r="594" spans="1:8">
      <c r="A594" s="27"/>
      <c r="C594" s="28"/>
      <c r="D594" s="28"/>
      <c r="E594" s="44"/>
      <c r="F594" s="44"/>
      <c r="G594" s="44"/>
      <c r="H594" s="44"/>
    </row>
    <row r="595" spans="1:8">
      <c r="A595" s="27"/>
      <c r="C595" s="28"/>
      <c r="D595" s="28"/>
      <c r="E595" s="44"/>
      <c r="F595" s="44"/>
      <c r="G595" s="44"/>
      <c r="H595" s="44"/>
    </row>
    <row r="596" spans="1:8">
      <c r="A596" s="27"/>
      <c r="C596" s="28"/>
      <c r="D596" s="28"/>
      <c r="E596" s="44"/>
      <c r="F596" s="44"/>
      <c r="G596" s="44"/>
      <c r="H596" s="44"/>
    </row>
    <row r="597" spans="1:8">
      <c r="A597" s="27"/>
      <c r="C597" s="28"/>
      <c r="D597" s="28"/>
      <c r="E597" s="44"/>
      <c r="F597" s="44"/>
      <c r="G597" s="44"/>
      <c r="H597" s="44"/>
    </row>
    <row r="598" spans="1:8">
      <c r="A598" s="27"/>
      <c r="C598" s="28"/>
      <c r="D598" s="28"/>
      <c r="E598" s="44"/>
      <c r="F598" s="44"/>
      <c r="G598" s="44"/>
      <c r="H598" s="44"/>
    </row>
    <row r="599" spans="1:8">
      <c r="A599" s="27"/>
      <c r="C599" s="28"/>
      <c r="D599" s="28"/>
      <c r="E599" s="44"/>
      <c r="F599" s="44"/>
      <c r="G599" s="44"/>
      <c r="H599" s="44"/>
    </row>
    <row r="600" spans="1:8">
      <c r="A600" s="27"/>
      <c r="C600" s="28"/>
      <c r="D600" s="28"/>
      <c r="E600" s="44"/>
      <c r="F600" s="44"/>
      <c r="G600" s="44"/>
      <c r="H600" s="44"/>
    </row>
    <row r="601" spans="1:8">
      <c r="A601" s="27"/>
      <c r="C601" s="28"/>
      <c r="D601" s="28"/>
      <c r="E601" s="44"/>
      <c r="F601" s="44"/>
      <c r="G601" s="44"/>
      <c r="H601" s="44"/>
    </row>
    <row r="602" spans="1:8">
      <c r="A602" s="27"/>
      <c r="C602" s="28"/>
      <c r="D602" s="28"/>
      <c r="E602" s="44"/>
      <c r="F602" s="44"/>
      <c r="G602" s="44"/>
      <c r="H602" s="44"/>
    </row>
    <row r="603" spans="1:8">
      <c r="A603" s="27"/>
      <c r="C603" s="28"/>
      <c r="D603" s="28"/>
      <c r="E603" s="44"/>
      <c r="F603" s="44"/>
      <c r="G603" s="44"/>
      <c r="H603" s="44"/>
    </row>
    <row r="604" spans="1:8">
      <c r="A604" s="27"/>
      <c r="C604" s="28"/>
      <c r="D604" s="28"/>
      <c r="E604" s="44"/>
      <c r="F604" s="44"/>
      <c r="G604" s="44"/>
      <c r="H604" s="44"/>
    </row>
    <row r="605" spans="1:8">
      <c r="A605" s="27"/>
      <c r="C605" s="28"/>
      <c r="D605" s="28"/>
      <c r="E605" s="44"/>
      <c r="F605" s="44"/>
      <c r="G605" s="44"/>
      <c r="H605" s="44"/>
    </row>
    <row r="606" spans="1:8">
      <c r="A606" s="27"/>
      <c r="C606" s="28"/>
      <c r="D606" s="28"/>
      <c r="E606" s="44"/>
      <c r="F606" s="44"/>
      <c r="G606" s="44"/>
      <c r="H606" s="44"/>
    </row>
    <row r="607" spans="1:8">
      <c r="A607" s="27"/>
      <c r="C607" s="28"/>
      <c r="D607" s="28"/>
      <c r="E607" s="44"/>
      <c r="F607" s="44"/>
      <c r="G607" s="44"/>
      <c r="H607" s="44"/>
    </row>
    <row r="608" spans="1:8">
      <c r="A608" s="27"/>
      <c r="C608" s="28"/>
      <c r="D608" s="28"/>
      <c r="E608" s="44"/>
      <c r="F608" s="44"/>
      <c r="G608" s="44"/>
      <c r="H608" s="44"/>
    </row>
    <row r="609" spans="1:8">
      <c r="A609" s="27"/>
      <c r="C609" s="28"/>
      <c r="D609" s="28"/>
      <c r="E609" s="44"/>
      <c r="F609" s="44"/>
      <c r="G609" s="44"/>
      <c r="H609" s="44"/>
    </row>
    <row r="610" spans="1:8">
      <c r="A610" s="27"/>
      <c r="C610" s="28"/>
      <c r="D610" s="28"/>
      <c r="E610" s="44"/>
      <c r="F610" s="44"/>
      <c r="G610" s="44"/>
      <c r="H610" s="44"/>
    </row>
    <row r="611" spans="1:8">
      <c r="A611" s="27"/>
      <c r="C611" s="28"/>
      <c r="D611" s="28"/>
      <c r="E611" s="44"/>
      <c r="F611" s="44"/>
      <c r="G611" s="44"/>
      <c r="H611" s="44"/>
    </row>
    <row r="612" spans="1:8">
      <c r="A612" s="27"/>
      <c r="C612" s="28"/>
      <c r="D612" s="28"/>
      <c r="E612" s="44"/>
      <c r="F612" s="44"/>
      <c r="G612" s="44"/>
      <c r="H612" s="44"/>
    </row>
    <row r="613" spans="1:8">
      <c r="A613" s="27"/>
      <c r="C613" s="28"/>
      <c r="D613" s="28"/>
      <c r="E613" s="44"/>
      <c r="F613" s="44"/>
      <c r="G613" s="44"/>
      <c r="H613" s="44"/>
    </row>
    <row r="614" spans="1:8">
      <c r="A614" s="27"/>
      <c r="C614" s="28"/>
      <c r="D614" s="28"/>
      <c r="E614" s="44"/>
      <c r="F614" s="44"/>
      <c r="G614" s="44"/>
      <c r="H614" s="44"/>
    </row>
    <row r="615" spans="1:8">
      <c r="A615" s="27"/>
      <c r="C615" s="28"/>
      <c r="D615" s="28"/>
      <c r="E615" s="44"/>
      <c r="F615" s="44"/>
      <c r="G615" s="44"/>
      <c r="H615" s="44"/>
    </row>
    <row r="616" spans="1:8">
      <c r="A616" s="27"/>
      <c r="C616" s="28"/>
      <c r="D616" s="28"/>
      <c r="E616" s="44"/>
      <c r="F616" s="44"/>
      <c r="G616" s="44"/>
      <c r="H616" s="44"/>
    </row>
    <row r="617" spans="1:8">
      <c r="A617" s="27"/>
      <c r="C617" s="28"/>
      <c r="D617" s="28"/>
      <c r="E617" s="44"/>
      <c r="F617" s="44"/>
      <c r="G617" s="44"/>
      <c r="H617" s="44"/>
    </row>
    <row r="618" spans="1:8">
      <c r="A618" s="27"/>
      <c r="C618" s="28"/>
      <c r="D618" s="28"/>
      <c r="E618" s="44"/>
      <c r="F618" s="44"/>
      <c r="G618" s="44"/>
      <c r="H618" s="44"/>
    </row>
    <row r="619" spans="1:8">
      <c r="A619" s="27"/>
      <c r="C619" s="28"/>
      <c r="D619" s="28"/>
      <c r="E619" s="44"/>
      <c r="F619" s="44"/>
      <c r="G619" s="44"/>
      <c r="H619" s="44"/>
    </row>
    <row r="620" spans="1:8">
      <c r="A620" s="27"/>
      <c r="C620" s="28"/>
      <c r="D620" s="28"/>
      <c r="E620" s="44"/>
      <c r="F620" s="44"/>
      <c r="G620" s="44"/>
      <c r="H620" s="44"/>
    </row>
    <row r="621" spans="1:8">
      <c r="A621" s="27"/>
      <c r="C621" s="28"/>
      <c r="D621" s="28"/>
      <c r="E621" s="44"/>
      <c r="F621" s="44"/>
      <c r="G621" s="44"/>
      <c r="H621" s="44"/>
    </row>
    <row r="622" spans="1:8">
      <c r="A622" s="27"/>
      <c r="C622" s="28"/>
      <c r="D622" s="28"/>
      <c r="E622" s="44"/>
      <c r="F622" s="44"/>
      <c r="G622" s="44"/>
      <c r="H622" s="44"/>
    </row>
    <row r="623" spans="1:8">
      <c r="A623" s="27"/>
      <c r="C623" s="28"/>
      <c r="D623" s="28"/>
      <c r="E623" s="44"/>
      <c r="F623" s="44"/>
      <c r="G623" s="44"/>
      <c r="H623" s="44"/>
    </row>
    <row r="624" spans="1:8">
      <c r="A624" s="27"/>
      <c r="C624" s="28"/>
      <c r="D624" s="28"/>
      <c r="E624" s="44"/>
      <c r="F624" s="44"/>
      <c r="G624" s="44"/>
      <c r="H624" s="44"/>
    </row>
    <row r="625" spans="1:8">
      <c r="A625" s="27"/>
      <c r="C625" s="28"/>
      <c r="D625" s="28"/>
      <c r="E625" s="44"/>
      <c r="F625" s="44"/>
      <c r="G625" s="44"/>
      <c r="H625" s="44"/>
    </row>
    <row r="626" spans="1:8">
      <c r="A626" s="27"/>
      <c r="C626" s="28"/>
      <c r="D626" s="28"/>
      <c r="E626" s="44"/>
      <c r="F626" s="44"/>
      <c r="G626" s="44"/>
      <c r="H626" s="44"/>
    </row>
    <row r="627" spans="1:8">
      <c r="A627" s="27"/>
      <c r="C627" s="28"/>
      <c r="D627" s="28"/>
      <c r="E627" s="44"/>
      <c r="F627" s="44"/>
      <c r="G627" s="44"/>
      <c r="H627" s="44"/>
    </row>
    <row r="628" spans="1:8">
      <c r="A628" s="27"/>
      <c r="C628" s="28"/>
      <c r="D628" s="28"/>
      <c r="E628" s="44"/>
      <c r="F628" s="44"/>
      <c r="G628" s="44"/>
      <c r="H628" s="44"/>
    </row>
    <row r="629" spans="1:8">
      <c r="A629" s="27"/>
      <c r="C629" s="28"/>
      <c r="D629" s="28"/>
      <c r="E629" s="44"/>
      <c r="F629" s="44"/>
      <c r="G629" s="44"/>
      <c r="H629" s="44"/>
    </row>
    <row r="630" spans="1:8">
      <c r="A630" s="27"/>
      <c r="C630" s="28"/>
      <c r="D630" s="28"/>
      <c r="E630" s="44"/>
      <c r="F630" s="44"/>
      <c r="G630" s="44"/>
      <c r="H630" s="44"/>
    </row>
    <row r="631" spans="1:8">
      <c r="A631" s="27"/>
      <c r="C631" s="28"/>
      <c r="D631" s="28"/>
      <c r="E631" s="44"/>
      <c r="F631" s="44"/>
      <c r="G631" s="44"/>
      <c r="H631" s="44"/>
    </row>
    <row r="632" spans="1:8">
      <c r="A632" s="27"/>
      <c r="C632" s="28"/>
      <c r="D632" s="28"/>
      <c r="E632" s="44"/>
      <c r="F632" s="44"/>
      <c r="G632" s="44"/>
      <c r="H632" s="44"/>
    </row>
    <row r="633" spans="1:8">
      <c r="A633" s="27"/>
      <c r="C633" s="28"/>
      <c r="D633" s="28"/>
      <c r="E633" s="44"/>
      <c r="F633" s="44"/>
      <c r="G633" s="44"/>
      <c r="H633" s="44"/>
    </row>
    <row r="634" spans="1:8">
      <c r="A634" s="27"/>
      <c r="C634" s="28"/>
      <c r="D634" s="28"/>
      <c r="E634" s="44"/>
      <c r="F634" s="44"/>
      <c r="G634" s="44"/>
      <c r="H634" s="44"/>
    </row>
    <row r="635" spans="1:8">
      <c r="A635" s="27"/>
      <c r="C635" s="28"/>
      <c r="D635" s="28"/>
      <c r="E635" s="44"/>
      <c r="F635" s="44"/>
      <c r="G635" s="44"/>
      <c r="H635" s="44"/>
    </row>
    <row r="636" spans="1:8">
      <c r="A636" s="27"/>
      <c r="C636" s="28"/>
      <c r="D636" s="28"/>
      <c r="E636" s="44"/>
      <c r="F636" s="44"/>
      <c r="G636" s="44"/>
      <c r="H636" s="44"/>
    </row>
    <row r="637" spans="1:8">
      <c r="A637" s="27"/>
      <c r="C637" s="28"/>
      <c r="D637" s="28"/>
      <c r="E637" s="44"/>
      <c r="F637" s="44"/>
      <c r="G637" s="44"/>
      <c r="H637" s="44"/>
    </row>
    <row r="638" spans="1:8">
      <c r="A638" s="27"/>
      <c r="C638" s="28"/>
      <c r="D638" s="28"/>
      <c r="E638" s="44"/>
      <c r="F638" s="44"/>
      <c r="G638" s="44"/>
      <c r="H638" s="44"/>
    </row>
    <row r="639" spans="1:8">
      <c r="A639" s="27"/>
      <c r="C639" s="28"/>
      <c r="D639" s="28"/>
      <c r="E639" s="44"/>
      <c r="F639" s="44"/>
      <c r="G639" s="44"/>
      <c r="H639" s="44"/>
    </row>
    <row r="640" spans="1:8">
      <c r="A640" s="27"/>
      <c r="C640" s="28"/>
      <c r="D640" s="28"/>
      <c r="E640" s="44"/>
      <c r="F640" s="44"/>
      <c r="G640" s="44"/>
      <c r="H640" s="44"/>
    </row>
    <row r="641" spans="1:8">
      <c r="A641" s="27"/>
      <c r="C641" s="28"/>
      <c r="D641" s="28"/>
      <c r="E641" s="44"/>
      <c r="F641" s="44"/>
      <c r="G641" s="44"/>
      <c r="H641" s="44"/>
    </row>
    <row r="642" spans="1:8">
      <c r="A642" s="27"/>
      <c r="C642" s="28"/>
      <c r="D642" s="28"/>
      <c r="E642" s="44"/>
      <c r="F642" s="44"/>
      <c r="G642" s="44"/>
      <c r="H642" s="44"/>
    </row>
    <row r="643" spans="1:8">
      <c r="A643" s="27"/>
      <c r="C643" s="28"/>
      <c r="D643" s="28"/>
      <c r="E643" s="44"/>
      <c r="F643" s="44"/>
      <c r="G643" s="44"/>
      <c r="H643" s="44"/>
    </row>
    <row r="644" spans="1:8">
      <c r="A644" s="27"/>
      <c r="C644" s="28"/>
      <c r="D644" s="28"/>
      <c r="E644" s="44"/>
      <c r="F644" s="44"/>
      <c r="G644" s="44"/>
      <c r="H644" s="44"/>
    </row>
    <row r="645" spans="1:8">
      <c r="A645" s="27"/>
      <c r="C645" s="28"/>
      <c r="D645" s="28"/>
      <c r="E645" s="44"/>
      <c r="F645" s="44"/>
      <c r="G645" s="44"/>
      <c r="H645" s="44"/>
    </row>
    <row r="646" spans="1:8">
      <c r="A646" s="27"/>
      <c r="C646" s="28"/>
      <c r="D646" s="28"/>
      <c r="E646" s="44"/>
      <c r="F646" s="44"/>
      <c r="G646" s="44"/>
      <c r="H646" s="44"/>
    </row>
    <row r="647" spans="1:8">
      <c r="A647" s="27"/>
      <c r="C647" s="28"/>
      <c r="D647" s="28"/>
      <c r="E647" s="44"/>
      <c r="F647" s="44"/>
      <c r="G647" s="44"/>
      <c r="H647" s="44"/>
    </row>
    <row r="648" spans="1:8">
      <c r="A648" s="27"/>
      <c r="C648" s="28"/>
      <c r="D648" s="28"/>
      <c r="E648" s="44"/>
      <c r="F648" s="44"/>
      <c r="G648" s="44"/>
      <c r="H648" s="44"/>
    </row>
    <row r="649" spans="1:8">
      <c r="A649" s="27"/>
      <c r="C649" s="28"/>
      <c r="D649" s="28"/>
      <c r="E649" s="44"/>
      <c r="F649" s="44"/>
      <c r="G649" s="44"/>
      <c r="H649" s="44"/>
    </row>
    <row r="650" spans="1:8">
      <c r="A650" s="27"/>
      <c r="C650" s="28"/>
      <c r="D650" s="28"/>
      <c r="E650" s="44"/>
      <c r="F650" s="44"/>
      <c r="G650" s="44"/>
      <c r="H650" s="44"/>
    </row>
    <row r="651" spans="1:8">
      <c r="A651" s="27"/>
      <c r="C651" s="28"/>
      <c r="D651" s="28"/>
      <c r="E651" s="44"/>
      <c r="F651" s="44"/>
      <c r="G651" s="44"/>
      <c r="H651" s="44"/>
    </row>
    <row r="652" spans="1:8">
      <c r="A652" s="27"/>
      <c r="C652" s="28"/>
      <c r="D652" s="28"/>
      <c r="E652" s="44"/>
      <c r="F652" s="44"/>
      <c r="G652" s="44"/>
      <c r="H652" s="44"/>
    </row>
    <row r="653" spans="1:8">
      <c r="A653" s="27"/>
      <c r="C653" s="28"/>
      <c r="D653" s="28"/>
      <c r="E653" s="44"/>
      <c r="F653" s="44"/>
      <c r="G653" s="44"/>
      <c r="H653" s="44"/>
    </row>
    <row r="654" spans="1:8">
      <c r="A654" s="27"/>
      <c r="C654" s="28"/>
      <c r="D654" s="28"/>
      <c r="E654" s="44"/>
      <c r="F654" s="44"/>
      <c r="G654" s="44"/>
      <c r="H654" s="44"/>
    </row>
    <row r="655" spans="1:8">
      <c r="A655" s="27"/>
      <c r="C655" s="28"/>
      <c r="D655" s="28"/>
      <c r="E655" s="44"/>
      <c r="F655" s="44"/>
      <c r="G655" s="44"/>
      <c r="H655" s="44"/>
    </row>
    <row r="656" spans="1:8">
      <c r="A656" s="27"/>
      <c r="C656" s="28"/>
      <c r="D656" s="28"/>
      <c r="E656" s="44"/>
      <c r="F656" s="44"/>
      <c r="G656" s="44"/>
      <c r="H656" s="44"/>
    </row>
    <row r="657" spans="1:8">
      <c r="A657" s="27"/>
      <c r="C657" s="28"/>
      <c r="D657" s="28"/>
      <c r="E657" s="44"/>
      <c r="F657" s="44"/>
      <c r="G657" s="44"/>
      <c r="H657" s="44"/>
    </row>
    <row r="658" spans="1:8">
      <c r="A658" s="27"/>
      <c r="C658" s="28"/>
      <c r="D658" s="28"/>
      <c r="E658" s="44"/>
      <c r="F658" s="44"/>
      <c r="G658" s="44"/>
      <c r="H658" s="44"/>
    </row>
    <row r="659" spans="1:8">
      <c r="A659" s="27"/>
      <c r="C659" s="28"/>
      <c r="D659" s="28"/>
      <c r="E659" s="44"/>
      <c r="F659" s="44"/>
      <c r="G659" s="44"/>
      <c r="H659" s="44"/>
    </row>
    <row r="660" spans="1:8">
      <c r="A660" s="27"/>
      <c r="C660" s="28"/>
      <c r="D660" s="28"/>
      <c r="E660" s="44"/>
      <c r="F660" s="44"/>
      <c r="G660" s="44"/>
      <c r="H660" s="44"/>
    </row>
    <row r="661" spans="1:8">
      <c r="A661" s="27"/>
      <c r="C661" s="28"/>
      <c r="D661" s="28"/>
      <c r="E661" s="44"/>
      <c r="F661" s="44"/>
      <c r="G661" s="44"/>
      <c r="H661" s="44"/>
    </row>
    <row r="662" spans="1:8">
      <c r="A662" s="27"/>
      <c r="C662" s="28"/>
      <c r="D662" s="28"/>
      <c r="E662" s="44"/>
      <c r="F662" s="44"/>
      <c r="G662" s="44"/>
      <c r="H662" s="44"/>
    </row>
    <row r="663" spans="1:8">
      <c r="A663" s="27"/>
      <c r="C663" s="28"/>
      <c r="D663" s="28"/>
      <c r="E663" s="44"/>
      <c r="F663" s="44"/>
      <c r="G663" s="44"/>
      <c r="H663" s="44"/>
    </row>
    <row r="664" spans="1:8">
      <c r="A664" s="27"/>
      <c r="C664" s="28"/>
      <c r="D664" s="28"/>
      <c r="E664" s="44"/>
      <c r="F664" s="44"/>
      <c r="G664" s="44"/>
      <c r="H664" s="44"/>
    </row>
    <row r="665" spans="1:8">
      <c r="A665" s="27"/>
      <c r="C665" s="28"/>
      <c r="D665" s="28"/>
      <c r="E665" s="44"/>
      <c r="F665" s="44"/>
      <c r="G665" s="44"/>
      <c r="H665" s="44"/>
    </row>
    <row r="666" spans="1:8">
      <c r="A666" s="27"/>
      <c r="C666" s="28"/>
      <c r="D666" s="28"/>
      <c r="E666" s="44"/>
      <c r="F666" s="44"/>
      <c r="G666" s="44"/>
      <c r="H666" s="44"/>
    </row>
    <row r="667" spans="1:8">
      <c r="A667" s="27"/>
      <c r="C667" s="28"/>
      <c r="D667" s="28"/>
      <c r="E667" s="44"/>
      <c r="F667" s="44"/>
      <c r="G667" s="44"/>
      <c r="H667" s="44"/>
    </row>
    <row r="668" spans="1:8">
      <c r="A668" s="27"/>
      <c r="C668" s="28"/>
      <c r="D668" s="28"/>
      <c r="E668" s="44"/>
      <c r="F668" s="44"/>
      <c r="G668" s="44"/>
      <c r="H668" s="44"/>
    </row>
    <row r="669" spans="1:8">
      <c r="A669" s="27"/>
      <c r="C669" s="28"/>
      <c r="D669" s="28"/>
      <c r="E669" s="44"/>
      <c r="F669" s="44"/>
      <c r="G669" s="44"/>
      <c r="H669" s="44"/>
    </row>
    <row r="670" spans="1:8">
      <c r="A670" s="27"/>
      <c r="C670" s="28"/>
      <c r="D670" s="28"/>
      <c r="E670" s="44"/>
      <c r="F670" s="44"/>
      <c r="G670" s="44"/>
      <c r="H670" s="44"/>
    </row>
    <row r="671" spans="1:8">
      <c r="A671" s="27"/>
      <c r="C671" s="28"/>
      <c r="D671" s="28"/>
      <c r="E671" s="44"/>
      <c r="F671" s="44"/>
      <c r="G671" s="44"/>
      <c r="H671" s="44"/>
    </row>
    <row r="672" spans="1:8">
      <c r="A672" s="27"/>
      <c r="C672" s="28"/>
      <c r="D672" s="28"/>
      <c r="E672" s="44"/>
      <c r="F672" s="44"/>
      <c r="G672" s="44"/>
      <c r="H672" s="44"/>
    </row>
    <row r="673" spans="1:8">
      <c r="A673" s="27"/>
      <c r="C673" s="28"/>
      <c r="D673" s="28"/>
      <c r="E673" s="44"/>
      <c r="F673" s="44"/>
      <c r="G673" s="44"/>
      <c r="H673" s="44"/>
    </row>
    <row r="674" spans="1:8">
      <c r="A674" s="27"/>
      <c r="C674" s="28"/>
      <c r="D674" s="28"/>
      <c r="E674" s="44"/>
      <c r="F674" s="44"/>
      <c r="G674" s="44"/>
      <c r="H674" s="44"/>
    </row>
    <row r="675" spans="1:8">
      <c r="A675" s="27"/>
      <c r="C675" s="28"/>
      <c r="D675" s="28"/>
      <c r="E675" s="44"/>
      <c r="F675" s="44"/>
      <c r="G675" s="44"/>
      <c r="H675" s="44"/>
    </row>
    <row r="676" spans="1:8">
      <c r="A676" s="27"/>
      <c r="C676" s="28"/>
      <c r="D676" s="28"/>
      <c r="E676" s="44"/>
      <c r="F676" s="44"/>
      <c r="G676" s="44"/>
      <c r="H676" s="44"/>
    </row>
    <row r="677" spans="1:8">
      <c r="A677" s="27"/>
      <c r="C677" s="28"/>
      <c r="D677" s="28"/>
      <c r="E677" s="44"/>
      <c r="F677" s="44"/>
      <c r="G677" s="44"/>
      <c r="H677" s="44"/>
    </row>
    <row r="678" spans="1:8">
      <c r="A678" s="27"/>
      <c r="C678" s="28"/>
      <c r="D678" s="28"/>
      <c r="E678" s="44"/>
      <c r="F678" s="44"/>
      <c r="G678" s="44"/>
      <c r="H678" s="44"/>
    </row>
    <row r="679" spans="1:8">
      <c r="A679" s="27"/>
      <c r="C679" s="28"/>
      <c r="D679" s="28"/>
      <c r="E679" s="44"/>
      <c r="F679" s="44"/>
      <c r="G679" s="44"/>
      <c r="H679" s="44"/>
    </row>
    <row r="680" spans="1:8">
      <c r="A680" s="27"/>
      <c r="C680" s="28"/>
      <c r="D680" s="28"/>
      <c r="E680" s="44"/>
      <c r="F680" s="44"/>
      <c r="G680" s="44"/>
      <c r="H680" s="44"/>
    </row>
    <row r="681" spans="1:8">
      <c r="A681" s="27"/>
      <c r="C681" s="28"/>
      <c r="D681" s="28"/>
      <c r="E681" s="44"/>
      <c r="F681" s="44"/>
      <c r="G681" s="44"/>
      <c r="H681" s="44"/>
    </row>
    <row r="682" spans="1:8">
      <c r="A682" s="27"/>
      <c r="C682" s="28"/>
      <c r="D682" s="28"/>
      <c r="E682" s="44"/>
      <c r="F682" s="44"/>
      <c r="G682" s="44"/>
      <c r="H682" s="44"/>
    </row>
    <row r="683" spans="1:8">
      <c r="A683" s="27"/>
      <c r="C683" s="28"/>
      <c r="D683" s="28"/>
      <c r="E683" s="44"/>
      <c r="F683" s="44"/>
      <c r="G683" s="44"/>
      <c r="H683" s="44"/>
    </row>
    <row r="684" spans="1:8">
      <c r="A684" s="27"/>
      <c r="C684" s="28"/>
      <c r="D684" s="28"/>
      <c r="E684" s="44"/>
      <c r="F684" s="44"/>
      <c r="G684" s="44"/>
      <c r="H684" s="44"/>
    </row>
    <row r="685" spans="1:8">
      <c r="A685" s="27"/>
      <c r="C685" s="28"/>
      <c r="D685" s="28"/>
      <c r="E685" s="44"/>
      <c r="F685" s="44"/>
      <c r="G685" s="44"/>
      <c r="H685" s="44"/>
    </row>
    <row r="686" spans="1:8">
      <c r="A686" s="27"/>
      <c r="C686" s="28"/>
      <c r="D686" s="28"/>
      <c r="E686" s="44"/>
      <c r="F686" s="44"/>
      <c r="G686" s="44"/>
      <c r="H686" s="44"/>
    </row>
    <row r="687" spans="1:8">
      <c r="A687" s="27"/>
      <c r="C687" s="28"/>
      <c r="D687" s="28"/>
      <c r="E687" s="44"/>
      <c r="F687" s="44"/>
      <c r="G687" s="44"/>
      <c r="H687" s="44"/>
    </row>
    <row r="688" spans="1:8">
      <c r="A688" s="27"/>
      <c r="C688" s="28"/>
      <c r="D688" s="28"/>
      <c r="E688" s="44"/>
      <c r="F688" s="44"/>
      <c r="G688" s="44"/>
      <c r="H688" s="44"/>
    </row>
    <row r="689" spans="1:8">
      <c r="A689" s="27"/>
      <c r="C689" s="28"/>
      <c r="D689" s="28"/>
      <c r="E689" s="44"/>
      <c r="F689" s="44"/>
      <c r="G689" s="44"/>
      <c r="H689" s="44"/>
    </row>
    <row r="690" spans="1:8">
      <c r="A690" s="27"/>
      <c r="C690" s="28"/>
      <c r="D690" s="28"/>
      <c r="E690" s="44"/>
      <c r="F690" s="44"/>
      <c r="G690" s="44"/>
      <c r="H690" s="44"/>
    </row>
    <row r="691" spans="1:8">
      <c r="A691" s="27"/>
      <c r="C691" s="28"/>
      <c r="D691" s="28"/>
      <c r="E691" s="44"/>
      <c r="F691" s="44"/>
      <c r="G691" s="44"/>
      <c r="H691" s="44"/>
    </row>
    <row r="692" spans="1:8">
      <c r="A692" s="27"/>
      <c r="C692" s="28"/>
      <c r="D692" s="28"/>
      <c r="E692" s="44"/>
      <c r="F692" s="44"/>
      <c r="G692" s="44"/>
      <c r="H692" s="44"/>
    </row>
    <row r="693" spans="1:8">
      <c r="A693" s="27"/>
      <c r="C693" s="28"/>
      <c r="D693" s="28"/>
      <c r="E693" s="44"/>
      <c r="F693" s="44"/>
      <c r="G693" s="44"/>
      <c r="H693" s="44"/>
    </row>
    <row r="694" spans="1:8">
      <c r="A694" s="27"/>
      <c r="C694" s="28"/>
      <c r="D694" s="28"/>
      <c r="E694" s="44"/>
      <c r="F694" s="44"/>
      <c r="G694" s="44"/>
      <c r="H694" s="44"/>
    </row>
    <row r="695" spans="1:8">
      <c r="A695" s="27"/>
      <c r="C695" s="28"/>
      <c r="D695" s="28"/>
      <c r="E695" s="44"/>
      <c r="F695" s="44"/>
      <c r="G695" s="44"/>
      <c r="H695" s="44"/>
    </row>
    <row r="696" spans="1:8">
      <c r="A696" s="27"/>
      <c r="C696" s="28"/>
      <c r="D696" s="28"/>
      <c r="E696" s="44"/>
      <c r="F696" s="44"/>
      <c r="G696" s="44"/>
      <c r="H696" s="44"/>
    </row>
    <row r="697" spans="1:8">
      <c r="A697" s="27"/>
      <c r="C697" s="28"/>
      <c r="D697" s="28"/>
      <c r="E697" s="44"/>
      <c r="F697" s="44"/>
      <c r="G697" s="44"/>
      <c r="H697" s="44"/>
    </row>
    <row r="698" spans="1:8">
      <c r="A698" s="27"/>
      <c r="C698" s="28"/>
      <c r="D698" s="28"/>
      <c r="E698" s="44"/>
      <c r="F698" s="44"/>
      <c r="G698" s="44"/>
      <c r="H698" s="44"/>
    </row>
    <row r="699" spans="1:8">
      <c r="A699" s="27"/>
      <c r="C699" s="28"/>
      <c r="D699" s="28"/>
      <c r="E699" s="44"/>
      <c r="F699" s="44"/>
      <c r="G699" s="44"/>
      <c r="H699" s="44"/>
    </row>
    <row r="700" spans="1:8">
      <c r="A700" s="27"/>
      <c r="C700" s="28"/>
      <c r="D700" s="28"/>
      <c r="E700" s="44"/>
      <c r="F700" s="44"/>
      <c r="G700" s="44"/>
      <c r="H700" s="44"/>
    </row>
    <row r="701" spans="1:8">
      <c r="A701" s="27"/>
      <c r="C701" s="28"/>
      <c r="D701" s="28"/>
      <c r="E701" s="44"/>
      <c r="F701" s="44"/>
      <c r="G701" s="44"/>
      <c r="H701" s="44"/>
    </row>
    <row r="702" spans="1:8">
      <c r="A702" s="27"/>
      <c r="C702" s="28"/>
      <c r="D702" s="28"/>
      <c r="E702" s="44"/>
      <c r="F702" s="44"/>
      <c r="G702" s="44"/>
      <c r="H702" s="44"/>
    </row>
    <row r="703" spans="1:8">
      <c r="A703" s="27"/>
      <c r="C703" s="28"/>
      <c r="D703" s="28"/>
      <c r="E703" s="44"/>
      <c r="F703" s="44"/>
      <c r="G703" s="44"/>
      <c r="H703" s="44"/>
    </row>
    <row r="704" spans="1:8">
      <c r="A704" s="27"/>
      <c r="C704" s="28"/>
      <c r="D704" s="28"/>
      <c r="E704" s="44"/>
      <c r="F704" s="44"/>
      <c r="G704" s="44"/>
      <c r="H704" s="44"/>
    </row>
    <row r="705" spans="1:8">
      <c r="A705" s="27"/>
      <c r="C705" s="28"/>
      <c r="D705" s="28"/>
      <c r="E705" s="44"/>
      <c r="F705" s="44"/>
      <c r="G705" s="44"/>
      <c r="H705" s="44"/>
    </row>
    <row r="706" spans="1:8">
      <c r="A706" s="27"/>
      <c r="C706" s="28"/>
      <c r="D706" s="28"/>
      <c r="E706" s="44"/>
      <c r="F706" s="44"/>
      <c r="G706" s="44"/>
      <c r="H706" s="44"/>
    </row>
    <row r="707" spans="1:8">
      <c r="A707" s="27"/>
      <c r="C707" s="28"/>
      <c r="D707" s="28"/>
      <c r="E707" s="44"/>
      <c r="F707" s="44"/>
      <c r="G707" s="44"/>
      <c r="H707" s="44"/>
    </row>
    <row r="708" spans="1:8">
      <c r="A708" s="27"/>
      <c r="C708" s="28"/>
      <c r="D708" s="28"/>
      <c r="E708" s="44"/>
      <c r="F708" s="44"/>
      <c r="G708" s="44"/>
      <c r="H708" s="44"/>
    </row>
    <row r="709" spans="1:8">
      <c r="A709" s="27"/>
      <c r="C709" s="28"/>
      <c r="D709" s="28"/>
      <c r="E709" s="44"/>
      <c r="F709" s="44"/>
      <c r="G709" s="44"/>
      <c r="H709" s="44"/>
    </row>
    <row r="710" spans="1:8">
      <c r="A710" s="27"/>
      <c r="C710" s="28"/>
      <c r="D710" s="28"/>
      <c r="E710" s="44"/>
      <c r="F710" s="44"/>
      <c r="G710" s="44"/>
      <c r="H710" s="44"/>
    </row>
    <row r="711" spans="1:8">
      <c r="A711" s="27"/>
      <c r="C711" s="28"/>
      <c r="D711" s="28"/>
      <c r="E711" s="44"/>
      <c r="F711" s="44"/>
      <c r="G711" s="44"/>
      <c r="H711" s="44"/>
    </row>
    <row r="712" spans="1:8">
      <c r="A712" s="27"/>
      <c r="C712" s="28"/>
      <c r="D712" s="28"/>
      <c r="E712" s="44"/>
      <c r="F712" s="44"/>
      <c r="G712" s="44"/>
      <c r="H712" s="44"/>
    </row>
    <row r="713" spans="1:8">
      <c r="A713" s="27"/>
      <c r="C713" s="28"/>
      <c r="D713" s="28"/>
      <c r="E713" s="44"/>
      <c r="F713" s="44"/>
      <c r="G713" s="44"/>
      <c r="H713" s="44"/>
    </row>
    <row r="714" spans="1:8">
      <c r="A714" s="27"/>
      <c r="C714" s="28"/>
      <c r="D714" s="28"/>
      <c r="E714" s="44"/>
      <c r="F714" s="44"/>
      <c r="G714" s="44"/>
      <c r="H714" s="44"/>
    </row>
    <row r="715" spans="1:8">
      <c r="A715" s="27"/>
      <c r="C715" s="28"/>
      <c r="D715" s="28"/>
      <c r="E715" s="44"/>
      <c r="F715" s="44"/>
      <c r="G715" s="44"/>
      <c r="H715" s="44"/>
    </row>
    <row r="716" spans="1:8">
      <c r="A716" s="27"/>
      <c r="C716" s="28"/>
      <c r="D716" s="28"/>
      <c r="E716" s="44"/>
      <c r="F716" s="44"/>
      <c r="G716" s="44"/>
      <c r="H716" s="44"/>
    </row>
    <row r="717" spans="1:8">
      <c r="A717" s="27"/>
      <c r="C717" s="28"/>
      <c r="D717" s="28"/>
      <c r="E717" s="44"/>
      <c r="F717" s="44"/>
      <c r="G717" s="44"/>
      <c r="H717" s="44"/>
    </row>
    <row r="718" spans="1:8">
      <c r="A718" s="27"/>
      <c r="C718" s="28"/>
      <c r="D718" s="28"/>
      <c r="E718" s="44"/>
      <c r="F718" s="44"/>
      <c r="G718" s="44"/>
      <c r="H718" s="44"/>
    </row>
    <row r="719" spans="1:8">
      <c r="A719" s="27"/>
      <c r="C719" s="28"/>
      <c r="D719" s="28"/>
      <c r="E719" s="44"/>
      <c r="F719" s="44"/>
      <c r="G719" s="44"/>
      <c r="H719" s="44"/>
    </row>
    <row r="720" spans="1:8">
      <c r="A720" s="27"/>
      <c r="C720" s="28"/>
      <c r="D720" s="28"/>
      <c r="E720" s="44"/>
      <c r="F720" s="44"/>
      <c r="G720" s="44"/>
      <c r="H720" s="44"/>
    </row>
    <row r="721" spans="1:8">
      <c r="A721" s="27"/>
      <c r="C721" s="28"/>
      <c r="D721" s="28"/>
      <c r="E721" s="44"/>
      <c r="F721" s="44"/>
      <c r="G721" s="44"/>
      <c r="H721" s="44"/>
    </row>
    <row r="722" spans="1:8">
      <c r="A722" s="27"/>
      <c r="C722" s="28"/>
      <c r="D722" s="28"/>
      <c r="E722" s="44"/>
      <c r="F722" s="44"/>
      <c r="G722" s="44"/>
      <c r="H722" s="44"/>
    </row>
    <row r="723" spans="1:8">
      <c r="A723" s="27"/>
      <c r="C723" s="28"/>
      <c r="D723" s="28"/>
      <c r="E723" s="44"/>
      <c r="F723" s="44"/>
      <c r="G723" s="44"/>
      <c r="H723" s="44"/>
    </row>
    <row r="724" spans="1:8">
      <c r="A724" s="27"/>
      <c r="C724" s="28"/>
      <c r="D724" s="28"/>
      <c r="E724" s="44"/>
      <c r="F724" s="44"/>
      <c r="G724" s="44"/>
      <c r="H724" s="44"/>
    </row>
    <row r="725" spans="1:8">
      <c r="A725" s="27"/>
      <c r="C725" s="28"/>
      <c r="D725" s="28"/>
      <c r="E725" s="44"/>
      <c r="F725" s="44"/>
      <c r="G725" s="44"/>
      <c r="H725" s="44"/>
    </row>
    <row r="726" spans="1:8">
      <c r="A726" s="27"/>
      <c r="C726" s="28"/>
      <c r="D726" s="28"/>
      <c r="E726" s="44"/>
      <c r="F726" s="44"/>
      <c r="G726" s="44"/>
      <c r="H726" s="44"/>
    </row>
    <row r="727" spans="1:8">
      <c r="A727" s="27"/>
      <c r="C727" s="28"/>
      <c r="D727" s="28"/>
      <c r="E727" s="44"/>
      <c r="F727" s="44"/>
      <c r="G727" s="44"/>
      <c r="H727" s="44"/>
    </row>
    <row r="728" spans="1:8">
      <c r="A728" s="27"/>
      <c r="C728" s="28"/>
      <c r="D728" s="28"/>
      <c r="E728" s="44"/>
      <c r="F728" s="44"/>
      <c r="G728" s="44"/>
      <c r="H728" s="44"/>
    </row>
    <row r="729" spans="1:8">
      <c r="A729" s="27"/>
      <c r="C729" s="28"/>
      <c r="D729" s="28"/>
      <c r="E729" s="44"/>
      <c r="F729" s="44"/>
      <c r="G729" s="44"/>
      <c r="H729" s="44"/>
    </row>
    <row r="730" spans="1:8">
      <c r="A730" s="27"/>
      <c r="C730" s="28"/>
      <c r="D730" s="28"/>
      <c r="E730" s="44"/>
      <c r="F730" s="44"/>
      <c r="G730" s="44"/>
      <c r="H730" s="44"/>
    </row>
    <row r="731" spans="1:8">
      <c r="A731" s="27"/>
      <c r="C731" s="28"/>
      <c r="D731" s="28"/>
      <c r="E731" s="44"/>
      <c r="F731" s="44"/>
      <c r="G731" s="44"/>
      <c r="H731" s="44"/>
    </row>
    <row r="732" spans="1:8">
      <c r="A732" s="27"/>
      <c r="C732" s="28"/>
      <c r="D732" s="28"/>
      <c r="E732" s="44"/>
      <c r="F732" s="44"/>
      <c r="G732" s="44"/>
      <c r="H732" s="44"/>
    </row>
    <row r="733" spans="1:8">
      <c r="A733" s="27"/>
      <c r="C733" s="28"/>
      <c r="D733" s="28"/>
      <c r="E733" s="44"/>
      <c r="F733" s="44"/>
      <c r="G733" s="44"/>
      <c r="H733" s="44"/>
    </row>
    <row r="734" spans="1:8">
      <c r="A734" s="27"/>
      <c r="C734" s="28"/>
      <c r="D734" s="28"/>
      <c r="E734" s="44"/>
      <c r="F734" s="44"/>
      <c r="G734" s="44"/>
      <c r="H734" s="44"/>
    </row>
    <row r="735" spans="1:8">
      <c r="A735" s="27"/>
      <c r="C735" s="28"/>
      <c r="D735" s="28"/>
      <c r="E735" s="44"/>
      <c r="F735" s="44"/>
      <c r="G735" s="44"/>
      <c r="H735" s="44"/>
    </row>
    <row r="736" spans="1:8">
      <c r="A736" s="27"/>
      <c r="C736" s="28"/>
      <c r="D736" s="28"/>
      <c r="E736" s="44"/>
      <c r="F736" s="44"/>
      <c r="G736" s="44"/>
      <c r="H736" s="44"/>
    </row>
    <row r="737" spans="1:8">
      <c r="A737" s="27"/>
      <c r="C737" s="28"/>
      <c r="D737" s="28"/>
      <c r="E737" s="44"/>
      <c r="F737" s="44"/>
      <c r="G737" s="44"/>
      <c r="H737" s="44"/>
    </row>
    <row r="738" spans="1:8">
      <c r="A738" s="27"/>
      <c r="C738" s="28"/>
      <c r="D738" s="28"/>
      <c r="E738" s="44"/>
      <c r="F738" s="44"/>
      <c r="G738" s="44"/>
      <c r="H738" s="44"/>
    </row>
    <row r="739" spans="1:8">
      <c r="A739" s="27"/>
      <c r="C739" s="28"/>
      <c r="D739" s="28"/>
      <c r="E739" s="44"/>
      <c r="F739" s="44"/>
      <c r="G739" s="44"/>
      <c r="H739" s="44"/>
    </row>
    <row r="740" spans="1:8">
      <c r="A740" s="27"/>
      <c r="C740" s="28"/>
      <c r="D740" s="28"/>
      <c r="E740" s="44"/>
      <c r="F740" s="44"/>
      <c r="G740" s="44"/>
      <c r="H740" s="44"/>
    </row>
    <row r="741" spans="1:8">
      <c r="A741" s="27"/>
      <c r="C741" s="28"/>
      <c r="D741" s="28"/>
      <c r="E741" s="44"/>
      <c r="F741" s="44"/>
      <c r="G741" s="44"/>
      <c r="H741" s="44"/>
    </row>
    <row r="742" spans="1:8">
      <c r="A742" s="27"/>
      <c r="C742" s="28"/>
      <c r="D742" s="28"/>
      <c r="E742" s="44"/>
      <c r="F742" s="44"/>
      <c r="G742" s="44"/>
      <c r="H742" s="44"/>
    </row>
    <row r="743" spans="1:8">
      <c r="A743" s="27"/>
      <c r="C743" s="28"/>
      <c r="D743" s="28"/>
      <c r="E743" s="44"/>
      <c r="F743" s="44"/>
      <c r="G743" s="44"/>
      <c r="H743" s="44"/>
    </row>
    <row r="744" spans="1:8">
      <c r="A744" s="27"/>
      <c r="C744" s="28"/>
      <c r="D744" s="28"/>
      <c r="E744" s="44"/>
      <c r="F744" s="44"/>
      <c r="G744" s="44"/>
      <c r="H744" s="44"/>
    </row>
    <row r="745" spans="1:8">
      <c r="A745" s="27"/>
      <c r="C745" s="28"/>
      <c r="D745" s="28"/>
      <c r="E745" s="44"/>
      <c r="F745" s="44"/>
      <c r="G745" s="44"/>
      <c r="H745" s="44"/>
    </row>
    <row r="746" spans="1:8">
      <c r="A746" s="27"/>
      <c r="C746" s="28"/>
      <c r="D746" s="28"/>
      <c r="E746" s="44"/>
      <c r="F746" s="44"/>
      <c r="G746" s="44"/>
      <c r="H746" s="44"/>
    </row>
    <row r="747" spans="1:8">
      <c r="A747" s="27"/>
      <c r="C747" s="28"/>
      <c r="D747" s="28"/>
      <c r="E747" s="44"/>
      <c r="F747" s="44"/>
      <c r="G747" s="44"/>
      <c r="H747" s="44"/>
    </row>
    <row r="748" spans="1:8">
      <c r="A748" s="27"/>
      <c r="C748" s="28"/>
      <c r="D748" s="28"/>
      <c r="E748" s="44"/>
      <c r="F748" s="44"/>
      <c r="G748" s="44"/>
      <c r="H748" s="44"/>
    </row>
    <row r="749" spans="1:8">
      <c r="A749" s="27"/>
      <c r="C749" s="28"/>
      <c r="D749" s="28"/>
      <c r="E749" s="44"/>
      <c r="F749" s="44"/>
      <c r="G749" s="44"/>
      <c r="H749" s="44"/>
    </row>
    <row r="750" spans="1:8">
      <c r="A750" s="27"/>
      <c r="C750" s="28"/>
      <c r="D750" s="28"/>
      <c r="E750" s="44"/>
      <c r="F750" s="44"/>
      <c r="G750" s="44"/>
      <c r="H750" s="44"/>
    </row>
    <row r="751" spans="1:8">
      <c r="A751" s="27"/>
      <c r="C751" s="28"/>
      <c r="D751" s="28"/>
      <c r="E751" s="44"/>
      <c r="F751" s="44"/>
      <c r="G751" s="44"/>
      <c r="H751" s="44"/>
    </row>
    <row r="752" spans="1:8">
      <c r="A752" s="27"/>
      <c r="C752" s="28"/>
      <c r="D752" s="28"/>
      <c r="E752" s="44"/>
      <c r="F752" s="44"/>
      <c r="G752" s="44"/>
      <c r="H752" s="44"/>
    </row>
    <row r="753" spans="1:8">
      <c r="A753" s="27"/>
      <c r="C753" s="28"/>
      <c r="D753" s="28"/>
      <c r="E753" s="44"/>
      <c r="F753" s="44"/>
      <c r="G753" s="44"/>
      <c r="H753" s="44"/>
    </row>
    <row r="754" spans="1:8">
      <c r="A754" s="27"/>
      <c r="C754" s="28"/>
      <c r="D754" s="28"/>
      <c r="E754" s="44"/>
      <c r="F754" s="44"/>
      <c r="G754" s="44"/>
      <c r="H754" s="44"/>
    </row>
    <row r="755" spans="1:8">
      <c r="A755" s="27"/>
      <c r="C755" s="28"/>
      <c r="D755" s="28"/>
      <c r="E755" s="44"/>
      <c r="F755" s="44"/>
      <c r="G755" s="44"/>
      <c r="H755" s="44"/>
    </row>
    <row r="756" spans="1:8">
      <c r="A756" s="27"/>
      <c r="C756" s="28"/>
      <c r="D756" s="28"/>
      <c r="E756" s="44"/>
      <c r="F756" s="44"/>
      <c r="G756" s="44"/>
      <c r="H756" s="44"/>
    </row>
    <row r="757" spans="1:8">
      <c r="A757" s="27"/>
      <c r="C757" s="28"/>
      <c r="D757" s="28"/>
      <c r="E757" s="44"/>
      <c r="F757" s="44"/>
      <c r="G757" s="44"/>
      <c r="H757" s="44"/>
    </row>
    <row r="758" spans="1:8">
      <c r="A758" s="27"/>
      <c r="C758" s="28"/>
      <c r="D758" s="28"/>
      <c r="E758" s="44"/>
      <c r="F758" s="44"/>
      <c r="G758" s="44"/>
      <c r="H758" s="44"/>
    </row>
    <row r="759" spans="1:8">
      <c r="A759" s="27"/>
      <c r="C759" s="28"/>
      <c r="D759" s="28"/>
      <c r="E759" s="44"/>
      <c r="F759" s="44"/>
      <c r="G759" s="44"/>
      <c r="H759" s="44"/>
    </row>
    <row r="760" spans="1:8">
      <c r="A760" s="27"/>
      <c r="C760" s="28"/>
      <c r="D760" s="28"/>
      <c r="E760" s="44"/>
      <c r="F760" s="44"/>
      <c r="G760" s="44"/>
      <c r="H760" s="44"/>
    </row>
    <row r="761" spans="1:8">
      <c r="A761" s="27"/>
      <c r="C761" s="28"/>
      <c r="D761" s="28"/>
      <c r="E761" s="44"/>
      <c r="F761" s="44"/>
      <c r="G761" s="44"/>
      <c r="H761" s="44"/>
    </row>
    <row r="762" spans="1:8">
      <c r="A762" s="27"/>
      <c r="C762" s="28"/>
      <c r="D762" s="28"/>
      <c r="E762" s="44"/>
      <c r="F762" s="44"/>
      <c r="G762" s="44"/>
      <c r="H762" s="44"/>
    </row>
    <row r="763" spans="1:8">
      <c r="A763" s="27"/>
      <c r="C763" s="28"/>
      <c r="D763" s="28"/>
      <c r="E763" s="44"/>
      <c r="F763" s="44"/>
      <c r="G763" s="44"/>
      <c r="H763" s="44"/>
    </row>
    <row r="764" spans="1:8">
      <c r="A764" s="27"/>
      <c r="C764" s="28"/>
      <c r="D764" s="28"/>
      <c r="E764" s="44"/>
      <c r="F764" s="44"/>
      <c r="G764" s="44"/>
      <c r="H764" s="44"/>
    </row>
    <row r="765" spans="1:8">
      <c r="A765" s="27"/>
      <c r="C765" s="28"/>
      <c r="D765" s="28"/>
      <c r="E765" s="44"/>
      <c r="F765" s="44"/>
      <c r="G765" s="44"/>
      <c r="H765" s="44"/>
    </row>
    <row r="766" spans="1:8">
      <c r="A766" s="27"/>
      <c r="C766" s="28"/>
      <c r="D766" s="28"/>
      <c r="E766" s="44"/>
      <c r="F766" s="44"/>
      <c r="G766" s="44"/>
      <c r="H766" s="44"/>
    </row>
    <row r="767" spans="1:8">
      <c r="A767" s="27"/>
      <c r="C767" s="28"/>
      <c r="D767" s="28"/>
      <c r="E767" s="44"/>
      <c r="F767" s="44"/>
      <c r="G767" s="44"/>
      <c r="H767" s="44"/>
    </row>
    <row r="768" spans="1:8">
      <c r="A768" s="27"/>
      <c r="C768" s="28"/>
      <c r="D768" s="28"/>
      <c r="E768" s="44"/>
      <c r="F768" s="44"/>
      <c r="G768" s="44"/>
      <c r="H768" s="44"/>
    </row>
    <row r="769" spans="1:8">
      <c r="A769" s="27"/>
      <c r="C769" s="28"/>
      <c r="D769" s="28"/>
      <c r="E769" s="44"/>
      <c r="F769" s="44"/>
      <c r="G769" s="44"/>
      <c r="H769" s="44"/>
    </row>
    <row r="770" spans="1:8">
      <c r="A770" s="27"/>
      <c r="C770" s="28"/>
      <c r="D770" s="28"/>
      <c r="E770" s="44"/>
      <c r="F770" s="44"/>
      <c r="G770" s="44"/>
      <c r="H770" s="44"/>
    </row>
    <row r="771" spans="1:8">
      <c r="A771" s="27"/>
      <c r="C771" s="28"/>
      <c r="D771" s="28"/>
      <c r="E771" s="44"/>
      <c r="F771" s="44"/>
      <c r="G771" s="44"/>
      <c r="H771" s="44"/>
    </row>
    <row r="772" spans="1:8">
      <c r="A772" s="27"/>
      <c r="C772" s="28"/>
      <c r="D772" s="28"/>
      <c r="E772" s="44"/>
      <c r="F772" s="44"/>
      <c r="G772" s="44"/>
      <c r="H772" s="44"/>
    </row>
    <row r="773" spans="1:8">
      <c r="A773" s="27"/>
      <c r="C773" s="28"/>
      <c r="D773" s="28"/>
      <c r="E773" s="44"/>
      <c r="F773" s="44"/>
      <c r="G773" s="44"/>
      <c r="H773" s="44"/>
    </row>
    <row r="774" spans="1:8">
      <c r="A774" s="27"/>
      <c r="C774" s="28"/>
      <c r="D774" s="28"/>
      <c r="E774" s="44"/>
      <c r="F774" s="44"/>
      <c r="G774" s="44"/>
      <c r="H774" s="44"/>
    </row>
    <row r="775" spans="1:8">
      <c r="A775" s="27"/>
      <c r="C775" s="28"/>
      <c r="D775" s="28"/>
      <c r="E775" s="44"/>
      <c r="F775" s="44"/>
      <c r="G775" s="44"/>
      <c r="H775" s="44"/>
    </row>
    <row r="776" spans="1:8">
      <c r="A776" s="27"/>
      <c r="C776" s="28"/>
      <c r="D776" s="28"/>
      <c r="E776" s="44"/>
      <c r="F776" s="44"/>
      <c r="G776" s="44"/>
      <c r="H776" s="44"/>
    </row>
    <row r="777" spans="1:8">
      <c r="A777" s="27"/>
      <c r="C777" s="28"/>
      <c r="D777" s="28"/>
      <c r="E777" s="44"/>
      <c r="F777" s="44"/>
      <c r="G777" s="44"/>
      <c r="H777" s="44"/>
    </row>
    <row r="778" spans="1:8">
      <c r="A778" s="27"/>
      <c r="C778" s="28"/>
      <c r="D778" s="28"/>
      <c r="E778" s="44"/>
      <c r="F778" s="44"/>
      <c r="G778" s="44"/>
      <c r="H778" s="44"/>
    </row>
    <row r="779" spans="1:8">
      <c r="A779" s="27"/>
      <c r="C779" s="28"/>
      <c r="D779" s="28"/>
      <c r="E779" s="44"/>
      <c r="F779" s="44"/>
      <c r="G779" s="44"/>
      <c r="H779" s="44"/>
    </row>
    <row r="780" spans="1:8">
      <c r="A780" s="27"/>
      <c r="C780" s="28"/>
      <c r="D780" s="28"/>
      <c r="E780" s="44"/>
      <c r="F780" s="44"/>
      <c r="G780" s="44"/>
      <c r="H780" s="44"/>
    </row>
    <row r="781" spans="1:8">
      <c r="A781" s="27"/>
      <c r="C781" s="28"/>
      <c r="D781" s="28"/>
      <c r="E781" s="44"/>
      <c r="F781" s="44"/>
      <c r="G781" s="44"/>
      <c r="H781" s="44"/>
    </row>
    <row r="782" spans="1:8">
      <c r="A782" s="27"/>
      <c r="C782" s="28"/>
      <c r="D782" s="28"/>
      <c r="E782" s="44"/>
      <c r="F782" s="44"/>
      <c r="G782" s="44"/>
      <c r="H782" s="44"/>
    </row>
    <row r="783" spans="1:8">
      <c r="A783" s="27"/>
      <c r="C783" s="28"/>
      <c r="D783" s="28"/>
      <c r="E783" s="44"/>
      <c r="F783" s="44"/>
      <c r="G783" s="44"/>
      <c r="H783" s="44"/>
    </row>
    <row r="784" spans="1:8">
      <c r="A784" s="27"/>
      <c r="C784" s="28"/>
      <c r="D784" s="28"/>
      <c r="E784" s="44"/>
      <c r="F784" s="44"/>
      <c r="G784" s="44"/>
      <c r="H784" s="44"/>
    </row>
    <row r="785" spans="1:8">
      <c r="A785" s="27"/>
      <c r="C785" s="28"/>
      <c r="D785" s="28"/>
      <c r="E785" s="44"/>
      <c r="F785" s="44"/>
      <c r="G785" s="44"/>
      <c r="H785" s="44"/>
    </row>
    <row r="786" spans="1:8">
      <c r="A786" s="27"/>
      <c r="C786" s="28"/>
      <c r="D786" s="28"/>
      <c r="E786" s="44"/>
      <c r="F786" s="44"/>
      <c r="G786" s="44"/>
      <c r="H786" s="44"/>
    </row>
    <row r="787" spans="1:8">
      <c r="A787" s="27"/>
      <c r="C787" s="28"/>
      <c r="D787" s="28"/>
      <c r="E787" s="44"/>
      <c r="F787" s="44"/>
      <c r="G787" s="44"/>
      <c r="H787" s="44"/>
    </row>
    <row r="788" spans="1:8">
      <c r="A788" s="27"/>
      <c r="C788" s="28"/>
      <c r="D788" s="28"/>
      <c r="E788" s="44"/>
      <c r="F788" s="44"/>
      <c r="G788" s="44"/>
      <c r="H788" s="44"/>
    </row>
    <row r="789" spans="1:8">
      <c r="A789" s="27"/>
      <c r="C789" s="28"/>
      <c r="D789" s="28"/>
      <c r="E789" s="44"/>
      <c r="F789" s="44"/>
      <c r="G789" s="44"/>
      <c r="H789" s="44"/>
    </row>
    <row r="790" spans="1:8">
      <c r="A790" s="27"/>
      <c r="C790" s="28"/>
      <c r="D790" s="28"/>
      <c r="E790" s="44"/>
      <c r="F790" s="44"/>
      <c r="G790" s="44"/>
      <c r="H790" s="44"/>
    </row>
    <row r="791" spans="1:8">
      <c r="A791" s="27"/>
      <c r="C791" s="28"/>
      <c r="D791" s="28"/>
      <c r="E791" s="44"/>
      <c r="F791" s="44"/>
      <c r="G791" s="44"/>
      <c r="H791" s="44"/>
    </row>
    <row r="792" spans="1:8">
      <c r="A792" s="27"/>
      <c r="C792" s="28"/>
      <c r="D792" s="28"/>
      <c r="E792" s="44"/>
      <c r="F792" s="44"/>
      <c r="G792" s="44"/>
      <c r="H792" s="44"/>
    </row>
    <row r="793" spans="1:8">
      <c r="A793" s="27"/>
      <c r="C793" s="28"/>
      <c r="D793" s="28"/>
      <c r="E793" s="44"/>
      <c r="F793" s="44"/>
      <c r="G793" s="44"/>
      <c r="H793" s="44"/>
    </row>
    <row r="794" spans="1:8">
      <c r="A794" s="27"/>
      <c r="C794" s="28"/>
      <c r="D794" s="28"/>
      <c r="E794" s="44"/>
      <c r="F794" s="44"/>
      <c r="G794" s="44"/>
      <c r="H794" s="44"/>
    </row>
    <row r="795" spans="1:8">
      <c r="A795" s="27"/>
      <c r="C795" s="28"/>
      <c r="D795" s="28"/>
      <c r="E795" s="44"/>
      <c r="F795" s="44"/>
      <c r="G795" s="44"/>
      <c r="H795" s="44"/>
    </row>
    <row r="796" spans="1:8">
      <c r="A796" s="27"/>
      <c r="C796" s="28"/>
      <c r="D796" s="28"/>
      <c r="E796" s="44"/>
      <c r="F796" s="44"/>
      <c r="G796" s="44"/>
      <c r="H796" s="44"/>
    </row>
    <row r="797" spans="1:8">
      <c r="A797" s="27"/>
      <c r="C797" s="28"/>
      <c r="D797" s="28"/>
      <c r="E797" s="44"/>
      <c r="F797" s="44"/>
      <c r="G797" s="44"/>
      <c r="H797" s="44"/>
    </row>
    <row r="798" spans="1:8">
      <c r="A798" s="27"/>
      <c r="C798" s="28"/>
      <c r="D798" s="28"/>
      <c r="E798" s="44"/>
      <c r="F798" s="44"/>
      <c r="G798" s="44"/>
      <c r="H798" s="44"/>
    </row>
    <row r="799" spans="1:8">
      <c r="A799" s="27"/>
      <c r="C799" s="28"/>
      <c r="D799" s="28"/>
      <c r="E799" s="44"/>
      <c r="F799" s="44"/>
      <c r="G799" s="44"/>
      <c r="H799" s="44"/>
    </row>
    <row r="800" spans="1:8">
      <c r="A800" s="27"/>
      <c r="C800" s="28"/>
      <c r="D800" s="28"/>
      <c r="E800" s="44"/>
      <c r="F800" s="44"/>
      <c r="G800" s="44"/>
      <c r="H800" s="44"/>
    </row>
    <row r="801" spans="1:8">
      <c r="A801" s="27"/>
      <c r="C801" s="28"/>
      <c r="D801" s="28"/>
      <c r="E801" s="44"/>
      <c r="F801" s="44"/>
      <c r="G801" s="44"/>
      <c r="H801" s="44"/>
    </row>
    <row r="802" spans="1:8">
      <c r="A802" s="27"/>
      <c r="C802" s="28"/>
      <c r="D802" s="28"/>
      <c r="E802" s="44"/>
      <c r="F802" s="44"/>
      <c r="G802" s="44"/>
      <c r="H802" s="44"/>
    </row>
    <row r="803" spans="1:8">
      <c r="A803" s="27"/>
      <c r="C803" s="28"/>
      <c r="D803" s="28"/>
      <c r="E803" s="44"/>
      <c r="F803" s="44"/>
      <c r="G803" s="44"/>
      <c r="H803" s="44"/>
    </row>
    <row r="804" spans="1:8">
      <c r="A804" s="27"/>
      <c r="C804" s="28"/>
      <c r="D804" s="28"/>
      <c r="E804" s="44"/>
      <c r="F804" s="44"/>
      <c r="G804" s="44"/>
      <c r="H804" s="44"/>
    </row>
    <row r="805" spans="1:8">
      <c r="A805" s="27"/>
      <c r="C805" s="28"/>
      <c r="D805" s="28"/>
      <c r="E805" s="44"/>
      <c r="F805" s="44"/>
      <c r="G805" s="44"/>
      <c r="H805" s="44"/>
    </row>
    <row r="806" spans="1:8">
      <c r="A806" s="27"/>
      <c r="C806" s="28"/>
      <c r="D806" s="28"/>
      <c r="E806" s="44"/>
      <c r="F806" s="44"/>
      <c r="G806" s="44"/>
      <c r="H806" s="44"/>
    </row>
    <row r="807" spans="1:8">
      <c r="A807" s="27"/>
      <c r="C807" s="28"/>
      <c r="D807" s="28"/>
      <c r="E807" s="44"/>
      <c r="F807" s="44"/>
      <c r="G807" s="44"/>
      <c r="H807" s="44"/>
    </row>
    <row r="808" spans="1:8">
      <c r="A808" s="27"/>
      <c r="C808" s="28"/>
      <c r="D808" s="28"/>
      <c r="E808" s="44"/>
      <c r="F808" s="44"/>
      <c r="G808" s="44"/>
      <c r="H808" s="44"/>
    </row>
    <row r="809" spans="1:8">
      <c r="A809" s="27"/>
      <c r="C809" s="28"/>
      <c r="D809" s="28"/>
      <c r="E809" s="44"/>
      <c r="F809" s="44"/>
      <c r="G809" s="44"/>
      <c r="H809" s="44"/>
    </row>
    <row r="810" spans="1:8">
      <c r="A810" s="27"/>
      <c r="C810" s="28"/>
      <c r="D810" s="28"/>
      <c r="E810" s="44"/>
      <c r="F810" s="44"/>
      <c r="G810" s="44"/>
      <c r="H810" s="44"/>
    </row>
    <row r="811" spans="1:8">
      <c r="A811" s="27"/>
      <c r="C811" s="28"/>
      <c r="D811" s="28"/>
      <c r="E811" s="44"/>
      <c r="F811" s="44"/>
      <c r="G811" s="44"/>
      <c r="H811" s="44"/>
    </row>
    <row r="812" spans="1:8">
      <c r="A812" s="27"/>
      <c r="C812" s="28"/>
      <c r="D812" s="28"/>
      <c r="E812" s="44"/>
      <c r="F812" s="44"/>
      <c r="G812" s="44"/>
      <c r="H812" s="44"/>
    </row>
    <row r="813" spans="1:8">
      <c r="A813" s="27"/>
      <c r="C813" s="28"/>
      <c r="D813" s="28"/>
      <c r="E813" s="44"/>
      <c r="F813" s="44"/>
      <c r="G813" s="44"/>
      <c r="H813" s="44"/>
    </row>
    <row r="814" spans="1:8">
      <c r="A814" s="27"/>
      <c r="C814" s="28"/>
      <c r="D814" s="28"/>
      <c r="E814" s="44"/>
      <c r="F814" s="44"/>
      <c r="G814" s="44"/>
      <c r="H814" s="44"/>
    </row>
    <row r="815" spans="1:8">
      <c r="A815" s="27"/>
      <c r="C815" s="28"/>
      <c r="D815" s="28"/>
      <c r="E815" s="44"/>
      <c r="F815" s="44"/>
      <c r="G815" s="44"/>
      <c r="H815" s="44"/>
    </row>
    <row r="816" spans="1:8">
      <c r="A816" s="27"/>
      <c r="C816" s="28"/>
      <c r="D816" s="28"/>
      <c r="E816" s="44"/>
      <c r="F816" s="44"/>
      <c r="G816" s="44"/>
      <c r="H816" s="44"/>
    </row>
    <row r="817" spans="1:8">
      <c r="A817" s="27"/>
      <c r="C817" s="28"/>
      <c r="D817" s="28"/>
      <c r="E817" s="44"/>
      <c r="F817" s="44"/>
      <c r="G817" s="44"/>
      <c r="H817" s="44"/>
    </row>
    <row r="818" spans="1:8">
      <c r="A818" s="27"/>
      <c r="C818" s="28"/>
      <c r="D818" s="28"/>
      <c r="E818" s="44"/>
      <c r="F818" s="44"/>
      <c r="G818" s="44"/>
      <c r="H818" s="44"/>
    </row>
    <row r="819" spans="1:8">
      <c r="A819" s="27"/>
      <c r="C819" s="28"/>
      <c r="D819" s="28"/>
      <c r="E819" s="44"/>
      <c r="F819" s="44"/>
      <c r="G819" s="44"/>
      <c r="H819" s="44"/>
    </row>
    <row r="820" spans="1:8">
      <c r="A820" s="27"/>
      <c r="C820" s="28"/>
      <c r="D820" s="28"/>
      <c r="E820" s="44"/>
      <c r="F820" s="44"/>
      <c r="G820" s="44"/>
      <c r="H820" s="44"/>
    </row>
    <row r="821" spans="1:8">
      <c r="A821" s="27"/>
      <c r="C821" s="28"/>
      <c r="D821" s="28"/>
      <c r="E821" s="44"/>
      <c r="F821" s="44"/>
      <c r="G821" s="44"/>
      <c r="H821" s="44"/>
    </row>
    <row r="822" spans="1:8">
      <c r="A822" s="27"/>
      <c r="C822" s="28"/>
      <c r="D822" s="28"/>
      <c r="E822" s="44"/>
      <c r="F822" s="44"/>
      <c r="G822" s="44"/>
      <c r="H822" s="44"/>
    </row>
    <row r="823" spans="1:8">
      <c r="A823" s="27"/>
      <c r="C823" s="28"/>
      <c r="D823" s="28"/>
      <c r="E823" s="44"/>
      <c r="F823" s="44"/>
      <c r="G823" s="44"/>
      <c r="H823" s="44"/>
    </row>
    <row r="824" spans="1:8">
      <c r="A824" s="27"/>
      <c r="C824" s="28"/>
      <c r="D824" s="28"/>
      <c r="E824" s="44"/>
      <c r="F824" s="44"/>
      <c r="G824" s="44"/>
      <c r="H824" s="44"/>
    </row>
    <row r="825" spans="1:8">
      <c r="A825" s="27"/>
      <c r="C825" s="28"/>
      <c r="D825" s="28"/>
      <c r="E825" s="44"/>
      <c r="F825" s="44"/>
      <c r="G825" s="44"/>
      <c r="H825" s="44"/>
    </row>
    <row r="826" spans="1:8">
      <c r="A826" s="27"/>
      <c r="C826" s="28"/>
      <c r="D826" s="28"/>
      <c r="E826" s="44"/>
      <c r="F826" s="44"/>
      <c r="G826" s="44"/>
      <c r="H826" s="44"/>
    </row>
    <row r="827" spans="1:8">
      <c r="A827" s="27"/>
      <c r="C827" s="28"/>
      <c r="D827" s="28"/>
      <c r="E827" s="44"/>
      <c r="F827" s="44"/>
      <c r="G827" s="44"/>
      <c r="H827" s="44"/>
    </row>
    <row r="828" spans="1:8">
      <c r="A828" s="27"/>
      <c r="C828" s="28"/>
      <c r="D828" s="28"/>
      <c r="E828" s="44"/>
      <c r="F828" s="44"/>
      <c r="G828" s="44"/>
      <c r="H828" s="44"/>
    </row>
    <row r="829" spans="1:8">
      <c r="A829" s="27"/>
      <c r="C829" s="28"/>
      <c r="D829" s="28"/>
      <c r="E829" s="44"/>
      <c r="F829" s="44"/>
      <c r="G829" s="44"/>
      <c r="H829" s="44"/>
    </row>
    <row r="830" spans="1:8">
      <c r="A830" s="27"/>
      <c r="C830" s="28"/>
      <c r="D830" s="28"/>
      <c r="E830" s="44"/>
      <c r="F830" s="44"/>
      <c r="G830" s="44"/>
      <c r="H830" s="44"/>
    </row>
    <row r="831" spans="1:8">
      <c r="A831" s="27"/>
      <c r="C831" s="28"/>
      <c r="D831" s="28"/>
      <c r="E831" s="44"/>
      <c r="F831" s="44"/>
      <c r="G831" s="44"/>
      <c r="H831" s="44"/>
    </row>
    <row r="832" spans="1:8">
      <c r="A832" s="27"/>
      <c r="C832" s="28"/>
      <c r="D832" s="28"/>
      <c r="E832" s="44"/>
      <c r="F832" s="44"/>
      <c r="G832" s="44"/>
      <c r="H832" s="44"/>
    </row>
    <row r="833" spans="1:8">
      <c r="A833" s="27"/>
      <c r="C833" s="28"/>
      <c r="D833" s="28"/>
      <c r="E833" s="44"/>
      <c r="F833" s="44"/>
      <c r="G833" s="44"/>
      <c r="H833" s="44"/>
    </row>
    <row r="834" spans="1:8">
      <c r="A834" s="27"/>
      <c r="C834" s="28"/>
      <c r="D834" s="28"/>
      <c r="E834" s="44"/>
      <c r="F834" s="44"/>
      <c r="G834" s="44"/>
      <c r="H834" s="44"/>
    </row>
    <row r="835" spans="1:8">
      <c r="A835" s="27"/>
      <c r="C835" s="28"/>
      <c r="D835" s="28"/>
      <c r="E835" s="44"/>
      <c r="F835" s="44"/>
      <c r="G835" s="44"/>
      <c r="H835" s="44"/>
    </row>
    <row r="836" spans="1:8">
      <c r="A836" s="27"/>
      <c r="C836" s="28"/>
      <c r="D836" s="28"/>
      <c r="E836" s="44"/>
      <c r="F836" s="44"/>
      <c r="G836" s="44"/>
      <c r="H836" s="44"/>
    </row>
    <row r="837" spans="1:8">
      <c r="A837" s="27"/>
      <c r="C837" s="28"/>
      <c r="D837" s="28"/>
      <c r="E837" s="44"/>
      <c r="F837" s="44"/>
      <c r="G837" s="44"/>
      <c r="H837" s="44"/>
    </row>
    <row r="838" spans="1:8">
      <c r="A838" s="27"/>
      <c r="C838" s="28"/>
      <c r="D838" s="28"/>
      <c r="E838" s="44"/>
      <c r="F838" s="44"/>
      <c r="G838" s="44"/>
      <c r="H838" s="44"/>
    </row>
    <row r="839" spans="1:8">
      <c r="A839" s="27"/>
      <c r="C839" s="28"/>
      <c r="D839" s="28"/>
      <c r="E839" s="44"/>
      <c r="F839" s="44"/>
      <c r="G839" s="44"/>
      <c r="H839" s="44"/>
    </row>
    <row r="840" spans="1:8">
      <c r="A840" s="27"/>
      <c r="C840" s="28"/>
      <c r="D840" s="28"/>
      <c r="E840" s="44"/>
      <c r="F840" s="44"/>
      <c r="G840" s="44"/>
      <c r="H840" s="44"/>
    </row>
    <row r="841" spans="1:8">
      <c r="A841" s="27"/>
      <c r="C841" s="28"/>
      <c r="D841" s="28"/>
      <c r="E841" s="44"/>
      <c r="F841" s="44"/>
      <c r="G841" s="44"/>
      <c r="H841" s="44"/>
    </row>
    <row r="842" spans="1:8">
      <c r="A842" s="27"/>
      <c r="C842" s="28"/>
      <c r="D842" s="28"/>
      <c r="E842" s="44"/>
      <c r="F842" s="44"/>
      <c r="G842" s="44"/>
      <c r="H842" s="44"/>
    </row>
    <row r="843" spans="1:8">
      <c r="A843" s="27"/>
      <c r="C843" s="28"/>
      <c r="D843" s="28"/>
      <c r="E843" s="44"/>
      <c r="F843" s="44"/>
      <c r="G843" s="44"/>
      <c r="H843" s="44"/>
    </row>
    <row r="844" spans="1:8">
      <c r="A844" s="27"/>
      <c r="C844" s="28"/>
      <c r="D844" s="28"/>
      <c r="E844" s="44"/>
      <c r="F844" s="44"/>
      <c r="G844" s="44"/>
      <c r="H844" s="44"/>
    </row>
    <row r="845" spans="1:8">
      <c r="A845" s="27"/>
      <c r="C845" s="28"/>
      <c r="D845" s="28"/>
      <c r="E845" s="44"/>
      <c r="F845" s="44"/>
      <c r="G845" s="44"/>
      <c r="H845" s="44"/>
    </row>
    <row r="846" spans="1:8">
      <c r="A846" s="27"/>
      <c r="C846" s="28"/>
      <c r="D846" s="28"/>
      <c r="E846" s="44"/>
      <c r="F846" s="44"/>
      <c r="G846" s="44"/>
      <c r="H846" s="44"/>
    </row>
    <row r="847" spans="1:8">
      <c r="A847" s="27"/>
      <c r="C847" s="28"/>
      <c r="D847" s="28"/>
      <c r="E847" s="44"/>
      <c r="F847" s="44"/>
      <c r="G847" s="44"/>
      <c r="H847" s="44"/>
    </row>
    <row r="848" spans="1:8">
      <c r="A848" s="27"/>
      <c r="C848" s="28"/>
      <c r="D848" s="28"/>
      <c r="E848" s="44"/>
      <c r="F848" s="44"/>
      <c r="G848" s="44"/>
      <c r="H848" s="44"/>
    </row>
    <row r="849" spans="1:8">
      <c r="A849" s="27"/>
      <c r="C849" s="28"/>
      <c r="D849" s="28"/>
      <c r="E849" s="44"/>
      <c r="F849" s="44"/>
      <c r="G849" s="44"/>
      <c r="H849" s="44"/>
    </row>
    <row r="850" spans="1:8">
      <c r="A850" s="27"/>
      <c r="C850" s="28"/>
      <c r="D850" s="28"/>
      <c r="E850" s="44"/>
      <c r="F850" s="44"/>
      <c r="G850" s="44"/>
      <c r="H850" s="44"/>
    </row>
    <row r="851" spans="1:8">
      <c r="A851" s="27"/>
      <c r="C851" s="28"/>
      <c r="D851" s="28"/>
      <c r="E851" s="44"/>
      <c r="F851" s="44"/>
      <c r="G851" s="44"/>
      <c r="H851" s="44"/>
    </row>
    <row r="852" spans="1:8">
      <c r="A852" s="27"/>
      <c r="C852" s="28"/>
      <c r="D852" s="28"/>
      <c r="E852" s="44"/>
      <c r="F852" s="44"/>
      <c r="G852" s="44"/>
      <c r="H852" s="44"/>
    </row>
    <row r="853" spans="1:8">
      <c r="A853" s="27"/>
      <c r="C853" s="28"/>
      <c r="D853" s="28"/>
      <c r="E853" s="44"/>
      <c r="F853" s="44"/>
      <c r="G853" s="44"/>
      <c r="H853" s="44"/>
    </row>
    <row r="854" spans="1:8">
      <c r="A854" s="27"/>
      <c r="C854" s="28"/>
      <c r="D854" s="28"/>
      <c r="E854" s="44"/>
      <c r="F854" s="44"/>
      <c r="G854" s="44"/>
      <c r="H854" s="44"/>
    </row>
    <row r="855" spans="1:8">
      <c r="A855" s="27"/>
      <c r="C855" s="28"/>
      <c r="D855" s="28"/>
      <c r="E855" s="44"/>
      <c r="F855" s="44"/>
      <c r="G855" s="44"/>
      <c r="H855" s="44"/>
    </row>
    <row r="856" spans="1:8">
      <c r="A856" s="27"/>
      <c r="C856" s="28"/>
      <c r="D856" s="28"/>
      <c r="E856" s="44"/>
      <c r="F856" s="44"/>
      <c r="G856" s="44"/>
      <c r="H856" s="44"/>
    </row>
    <row r="857" spans="1:8">
      <c r="A857" s="27"/>
      <c r="C857" s="28"/>
      <c r="D857" s="28"/>
      <c r="E857" s="44"/>
      <c r="F857" s="44"/>
      <c r="G857" s="44"/>
      <c r="H857" s="44"/>
    </row>
    <row r="858" spans="1:8">
      <c r="A858" s="27"/>
      <c r="C858" s="28"/>
      <c r="D858" s="28"/>
      <c r="E858" s="44"/>
      <c r="F858" s="44"/>
      <c r="G858" s="44"/>
      <c r="H858" s="44"/>
    </row>
    <row r="859" spans="1:8">
      <c r="A859" s="27"/>
      <c r="C859" s="28"/>
      <c r="D859" s="28"/>
      <c r="E859" s="44"/>
      <c r="F859" s="44"/>
      <c r="G859" s="44"/>
      <c r="H859" s="44"/>
    </row>
    <row r="860" spans="1:8">
      <c r="A860" s="27"/>
      <c r="C860" s="28"/>
      <c r="D860" s="28"/>
      <c r="E860" s="44"/>
      <c r="F860" s="44"/>
      <c r="G860" s="44"/>
      <c r="H860" s="44"/>
    </row>
    <row r="861" spans="1:8">
      <c r="A861" s="27"/>
      <c r="C861" s="28"/>
      <c r="D861" s="28"/>
      <c r="E861" s="44"/>
      <c r="F861" s="44"/>
      <c r="G861" s="44"/>
      <c r="H861" s="44"/>
    </row>
    <row r="862" spans="1:8">
      <c r="A862" s="27"/>
      <c r="C862" s="28"/>
      <c r="D862" s="28"/>
      <c r="E862" s="44"/>
      <c r="F862" s="44"/>
      <c r="G862" s="44"/>
      <c r="H862" s="44"/>
    </row>
    <row r="863" spans="1:8">
      <c r="A863" s="27"/>
      <c r="C863" s="28"/>
      <c r="D863" s="28"/>
      <c r="E863" s="44"/>
      <c r="F863" s="44"/>
      <c r="G863" s="44"/>
      <c r="H863" s="44"/>
    </row>
    <row r="864" spans="1:8">
      <c r="A864" s="27"/>
      <c r="C864" s="28"/>
      <c r="D864" s="28"/>
      <c r="E864" s="44"/>
      <c r="F864" s="44"/>
      <c r="G864" s="44"/>
      <c r="H864" s="44"/>
    </row>
    <row r="865" spans="1:8">
      <c r="A865" s="27"/>
      <c r="C865" s="28"/>
      <c r="D865" s="28"/>
      <c r="E865" s="44"/>
      <c r="F865" s="44"/>
      <c r="G865" s="44"/>
      <c r="H865" s="44"/>
    </row>
    <row r="866" spans="1:8">
      <c r="A866" s="27"/>
      <c r="C866" s="28"/>
      <c r="D866" s="28"/>
      <c r="E866" s="44"/>
      <c r="F866" s="44"/>
      <c r="G866" s="44"/>
      <c r="H866" s="44"/>
    </row>
    <row r="867" spans="1:8">
      <c r="A867" s="27"/>
      <c r="C867" s="28"/>
      <c r="D867" s="28"/>
      <c r="E867" s="44"/>
      <c r="F867" s="44"/>
      <c r="G867" s="44"/>
      <c r="H867" s="44"/>
    </row>
    <row r="868" spans="1:8">
      <c r="A868" s="27"/>
      <c r="C868" s="28"/>
      <c r="D868" s="28"/>
      <c r="E868" s="44"/>
      <c r="F868" s="44"/>
      <c r="G868" s="44"/>
      <c r="H868" s="44"/>
    </row>
    <row r="869" spans="1:8">
      <c r="A869" s="27"/>
      <c r="C869" s="28"/>
      <c r="D869" s="28"/>
      <c r="E869" s="44"/>
      <c r="F869" s="44"/>
      <c r="G869" s="44"/>
      <c r="H869" s="44"/>
    </row>
    <row r="870" spans="1:8">
      <c r="A870" s="27"/>
      <c r="C870" s="28"/>
      <c r="D870" s="28"/>
      <c r="E870" s="44"/>
      <c r="F870" s="44"/>
      <c r="G870" s="44"/>
      <c r="H870" s="44"/>
    </row>
    <row r="871" spans="1:8">
      <c r="A871" s="27"/>
      <c r="C871" s="28"/>
      <c r="D871" s="28"/>
      <c r="E871" s="44"/>
      <c r="F871" s="44"/>
      <c r="G871" s="44"/>
      <c r="H871" s="44"/>
    </row>
    <row r="872" spans="1:8">
      <c r="A872" s="27"/>
      <c r="C872" s="28"/>
      <c r="D872" s="28"/>
      <c r="E872" s="44"/>
      <c r="F872" s="44"/>
      <c r="G872" s="44"/>
      <c r="H872" s="44"/>
    </row>
    <row r="873" spans="1:8">
      <c r="A873" s="27"/>
      <c r="C873" s="28"/>
      <c r="D873" s="28"/>
      <c r="E873" s="44"/>
      <c r="F873" s="44"/>
      <c r="G873" s="44"/>
      <c r="H873" s="44"/>
    </row>
    <row r="874" spans="1:8">
      <c r="A874" s="27"/>
      <c r="C874" s="28"/>
      <c r="D874" s="28"/>
      <c r="E874" s="44"/>
      <c r="F874" s="44"/>
      <c r="G874" s="44"/>
      <c r="H874" s="44"/>
    </row>
    <row r="875" spans="1:8">
      <c r="A875" s="27"/>
      <c r="C875" s="28"/>
      <c r="D875" s="28"/>
      <c r="E875" s="44"/>
      <c r="F875" s="44"/>
      <c r="G875" s="44"/>
      <c r="H875" s="44"/>
    </row>
    <row r="876" spans="1:8">
      <c r="A876" s="27"/>
      <c r="C876" s="28"/>
      <c r="D876" s="28"/>
      <c r="E876" s="44"/>
      <c r="F876" s="44"/>
      <c r="G876" s="44"/>
      <c r="H876" s="44"/>
    </row>
    <row r="877" spans="1:8">
      <c r="A877" s="27"/>
      <c r="C877" s="28"/>
      <c r="D877" s="28"/>
      <c r="E877" s="44"/>
      <c r="F877" s="44"/>
      <c r="G877" s="44"/>
      <c r="H877" s="44"/>
    </row>
    <row r="878" spans="1:8">
      <c r="A878" s="27"/>
      <c r="C878" s="28"/>
      <c r="D878" s="28"/>
      <c r="E878" s="44"/>
      <c r="F878" s="44"/>
      <c r="G878" s="44"/>
      <c r="H878" s="44"/>
    </row>
    <row r="879" spans="1:8">
      <c r="A879" s="27"/>
      <c r="C879" s="28"/>
      <c r="D879" s="28"/>
      <c r="E879" s="44"/>
      <c r="F879" s="44"/>
      <c r="G879" s="44"/>
      <c r="H879" s="44"/>
    </row>
    <row r="880" spans="1:8">
      <c r="A880" s="27"/>
      <c r="C880" s="28"/>
      <c r="D880" s="28"/>
      <c r="E880" s="44"/>
      <c r="F880" s="44"/>
      <c r="G880" s="44"/>
      <c r="H880" s="44"/>
    </row>
    <row r="881" spans="1:8">
      <c r="A881" s="27"/>
      <c r="C881" s="28"/>
      <c r="D881" s="28"/>
      <c r="E881" s="44"/>
      <c r="F881" s="44"/>
      <c r="G881" s="44"/>
      <c r="H881" s="44"/>
    </row>
    <row r="882" spans="1:8">
      <c r="A882" s="27"/>
      <c r="C882" s="28"/>
      <c r="D882" s="28"/>
      <c r="E882" s="44"/>
      <c r="F882" s="44"/>
      <c r="G882" s="44"/>
      <c r="H882" s="44"/>
    </row>
    <row r="883" spans="1:8">
      <c r="A883" s="27"/>
      <c r="C883" s="28"/>
      <c r="D883" s="28"/>
      <c r="E883" s="44"/>
      <c r="F883" s="44"/>
      <c r="G883" s="44"/>
      <c r="H883" s="44"/>
    </row>
    <row r="884" spans="1:8">
      <c r="A884" s="27"/>
      <c r="C884" s="28"/>
      <c r="D884" s="28"/>
      <c r="E884" s="44"/>
      <c r="F884" s="44"/>
      <c r="G884" s="44"/>
      <c r="H884" s="44"/>
    </row>
    <row r="885" spans="1:8">
      <c r="A885" s="27"/>
      <c r="C885" s="28"/>
      <c r="D885" s="28"/>
      <c r="E885" s="44"/>
      <c r="F885" s="44"/>
      <c r="G885" s="44"/>
      <c r="H885" s="44"/>
    </row>
    <row r="886" spans="1:8">
      <c r="A886" s="27"/>
      <c r="C886" s="28"/>
      <c r="D886" s="28"/>
      <c r="E886" s="44"/>
      <c r="F886" s="44"/>
      <c r="G886" s="44"/>
      <c r="H886" s="44"/>
    </row>
    <row r="887" spans="1:8">
      <c r="A887" s="27"/>
      <c r="C887" s="28"/>
      <c r="D887" s="28"/>
      <c r="E887" s="44"/>
      <c r="F887" s="44"/>
      <c r="G887" s="44"/>
      <c r="H887" s="44"/>
    </row>
    <row r="888" spans="1:8">
      <c r="A888" s="27"/>
      <c r="C888" s="28"/>
      <c r="D888" s="28"/>
      <c r="E888" s="44"/>
      <c r="F888" s="44"/>
      <c r="G888" s="44"/>
      <c r="H888" s="44"/>
    </row>
    <row r="889" spans="1:8">
      <c r="A889" s="27"/>
      <c r="C889" s="28"/>
      <c r="D889" s="28"/>
      <c r="E889" s="44"/>
      <c r="F889" s="44"/>
      <c r="G889" s="44"/>
      <c r="H889" s="44"/>
    </row>
    <row r="890" spans="1:8">
      <c r="A890" s="27"/>
      <c r="C890" s="28"/>
      <c r="D890" s="28"/>
      <c r="E890" s="44"/>
      <c r="F890" s="44"/>
      <c r="G890" s="44"/>
      <c r="H890" s="44"/>
    </row>
    <row r="891" spans="1:8">
      <c r="A891" s="27"/>
      <c r="C891" s="28"/>
      <c r="D891" s="28"/>
      <c r="E891" s="44"/>
      <c r="F891" s="44"/>
      <c r="G891" s="44"/>
      <c r="H891" s="44"/>
    </row>
    <row r="892" spans="1:8">
      <c r="A892" s="27"/>
      <c r="C892" s="28"/>
      <c r="D892" s="28"/>
      <c r="E892" s="44"/>
      <c r="F892" s="44"/>
      <c r="G892" s="44"/>
      <c r="H892" s="44"/>
    </row>
    <row r="893" spans="1:8">
      <c r="A893" s="27"/>
      <c r="C893" s="28"/>
      <c r="D893" s="28"/>
      <c r="E893" s="44"/>
      <c r="F893" s="44"/>
      <c r="G893" s="44"/>
      <c r="H893" s="44"/>
    </row>
    <row r="894" spans="1:8">
      <c r="A894" s="27"/>
      <c r="C894" s="28"/>
      <c r="D894" s="28"/>
      <c r="E894" s="44"/>
      <c r="F894" s="44"/>
      <c r="G894" s="44"/>
      <c r="H894" s="44"/>
    </row>
    <row r="895" spans="1:8">
      <c r="A895" s="27"/>
      <c r="C895" s="28"/>
      <c r="D895" s="28"/>
      <c r="E895" s="44"/>
      <c r="F895" s="44"/>
      <c r="G895" s="44"/>
      <c r="H895" s="44"/>
    </row>
    <row r="896" spans="1:8">
      <c r="A896" s="27"/>
      <c r="C896" s="28"/>
      <c r="D896" s="28"/>
      <c r="E896" s="44"/>
      <c r="F896" s="44"/>
      <c r="G896" s="44"/>
      <c r="H896" s="44"/>
    </row>
    <row r="897" spans="1:8">
      <c r="A897" s="27"/>
      <c r="C897" s="28"/>
      <c r="D897" s="28"/>
      <c r="E897" s="44"/>
      <c r="F897" s="44"/>
      <c r="G897" s="44"/>
      <c r="H897" s="44"/>
    </row>
    <row r="898" spans="1:8">
      <c r="A898" s="27"/>
      <c r="C898" s="28"/>
      <c r="D898" s="28"/>
      <c r="E898" s="44"/>
      <c r="F898" s="44"/>
      <c r="G898" s="44"/>
      <c r="H898" s="44"/>
    </row>
    <row r="899" spans="1:8">
      <c r="A899" s="27"/>
      <c r="C899" s="28"/>
      <c r="D899" s="28"/>
      <c r="E899" s="44"/>
      <c r="F899" s="44"/>
      <c r="G899" s="44"/>
      <c r="H899" s="44"/>
    </row>
    <row r="900" spans="1:8">
      <c r="A900" s="27"/>
      <c r="C900" s="28"/>
      <c r="D900" s="28"/>
      <c r="E900" s="44"/>
      <c r="F900" s="44"/>
      <c r="G900" s="44"/>
      <c r="H900" s="44"/>
    </row>
    <row r="901" spans="1:8">
      <c r="A901" s="27"/>
      <c r="C901" s="28"/>
      <c r="D901" s="28"/>
      <c r="E901" s="44"/>
      <c r="F901" s="44"/>
      <c r="G901" s="44"/>
      <c r="H901" s="44"/>
    </row>
    <row r="902" spans="1:8">
      <c r="A902" s="27"/>
      <c r="C902" s="28"/>
      <c r="D902" s="28"/>
      <c r="E902" s="44"/>
      <c r="F902" s="44"/>
      <c r="G902" s="44"/>
      <c r="H902" s="44"/>
    </row>
    <row r="903" spans="1:8">
      <c r="A903" s="27"/>
      <c r="C903" s="28"/>
      <c r="D903" s="28"/>
      <c r="E903" s="44"/>
      <c r="F903" s="44"/>
      <c r="G903" s="44"/>
      <c r="H903" s="44"/>
    </row>
    <row r="904" spans="1:8">
      <c r="A904" s="27"/>
      <c r="C904" s="28"/>
      <c r="D904" s="28"/>
      <c r="E904" s="44"/>
      <c r="F904" s="44"/>
      <c r="G904" s="44"/>
      <c r="H904" s="44"/>
    </row>
    <row r="905" spans="1:8">
      <c r="A905" s="27"/>
      <c r="C905" s="28"/>
      <c r="D905" s="28"/>
      <c r="E905" s="44"/>
      <c r="F905" s="44"/>
      <c r="G905" s="44"/>
      <c r="H905" s="44"/>
    </row>
    <row r="906" spans="1:8">
      <c r="A906" s="27"/>
      <c r="C906" s="28"/>
      <c r="D906" s="28"/>
      <c r="E906" s="44"/>
      <c r="F906" s="44"/>
      <c r="G906" s="44"/>
      <c r="H906" s="44"/>
    </row>
    <row r="907" spans="1:8">
      <c r="A907" s="27"/>
      <c r="C907" s="28"/>
      <c r="D907" s="28"/>
      <c r="E907" s="44"/>
      <c r="F907" s="44"/>
      <c r="G907" s="44"/>
      <c r="H907" s="44"/>
    </row>
    <row r="908" spans="1:8">
      <c r="A908" s="27"/>
      <c r="C908" s="28"/>
      <c r="D908" s="28"/>
      <c r="E908" s="44"/>
      <c r="F908" s="44"/>
      <c r="G908" s="44"/>
      <c r="H908" s="44"/>
    </row>
    <row r="909" spans="1:8">
      <c r="A909" s="27"/>
      <c r="C909" s="28"/>
      <c r="D909" s="28"/>
      <c r="E909" s="44"/>
      <c r="F909" s="44"/>
      <c r="G909" s="44"/>
      <c r="H909" s="44"/>
    </row>
    <row r="910" spans="1:8">
      <c r="A910" s="27"/>
      <c r="C910" s="28"/>
      <c r="D910" s="28"/>
      <c r="E910" s="44"/>
      <c r="F910" s="44"/>
      <c r="G910" s="44"/>
      <c r="H910" s="44"/>
    </row>
    <row r="911" spans="1:8">
      <c r="A911" s="27"/>
      <c r="C911" s="28"/>
      <c r="D911" s="28"/>
      <c r="E911" s="44"/>
      <c r="F911" s="44"/>
      <c r="G911" s="44"/>
      <c r="H911" s="44"/>
    </row>
    <row r="912" spans="1:8">
      <c r="A912" s="27"/>
      <c r="C912" s="28"/>
      <c r="D912" s="28"/>
      <c r="E912" s="44"/>
      <c r="F912" s="44"/>
      <c r="G912" s="44"/>
      <c r="H912" s="44"/>
    </row>
    <row r="913" spans="1:8">
      <c r="A913" s="27"/>
      <c r="C913" s="28"/>
      <c r="D913" s="28"/>
      <c r="E913" s="44"/>
      <c r="F913" s="44"/>
      <c r="G913" s="44"/>
      <c r="H913" s="44"/>
    </row>
    <row r="914" spans="1:8">
      <c r="A914" s="27"/>
      <c r="C914" s="28"/>
      <c r="D914" s="28"/>
      <c r="E914" s="44"/>
      <c r="F914" s="44"/>
      <c r="G914" s="44"/>
      <c r="H914" s="44"/>
    </row>
    <row r="915" spans="1:8">
      <c r="A915" s="27"/>
      <c r="C915" s="28"/>
      <c r="D915" s="28"/>
      <c r="E915" s="44"/>
      <c r="F915" s="44"/>
      <c r="G915" s="44"/>
      <c r="H915" s="44"/>
    </row>
    <row r="916" spans="1:8">
      <c r="A916" s="27"/>
      <c r="C916" s="28"/>
      <c r="D916" s="28"/>
      <c r="E916" s="44"/>
      <c r="F916" s="44"/>
      <c r="G916" s="44"/>
      <c r="H916" s="44"/>
    </row>
    <row r="917" spans="1:8">
      <c r="A917" s="27"/>
      <c r="C917" s="28"/>
      <c r="D917" s="28"/>
      <c r="E917" s="44"/>
      <c r="F917" s="44"/>
      <c r="G917" s="44"/>
      <c r="H917" s="44"/>
    </row>
    <row r="918" spans="1:8">
      <c r="A918" s="27"/>
      <c r="C918" s="28"/>
      <c r="D918" s="28"/>
      <c r="E918" s="44"/>
      <c r="F918" s="44"/>
      <c r="G918" s="44"/>
      <c r="H918" s="44"/>
    </row>
    <row r="919" spans="1:8">
      <c r="A919" s="27"/>
      <c r="C919" s="28"/>
      <c r="D919" s="28"/>
      <c r="E919" s="44"/>
      <c r="F919" s="44"/>
      <c r="G919" s="44"/>
      <c r="H919" s="44"/>
    </row>
    <row r="920" spans="1:8">
      <c r="A920" s="27"/>
      <c r="C920" s="28"/>
      <c r="D920" s="28"/>
      <c r="E920" s="44"/>
      <c r="F920" s="44"/>
      <c r="G920" s="44"/>
      <c r="H920" s="44"/>
    </row>
    <row r="921" spans="1:8">
      <c r="A921" s="27"/>
      <c r="C921" s="28"/>
      <c r="D921" s="28"/>
      <c r="E921" s="44"/>
      <c r="F921" s="44"/>
      <c r="G921" s="44"/>
      <c r="H921" s="44"/>
    </row>
    <row r="922" spans="1:8">
      <c r="A922" s="27"/>
      <c r="C922" s="28"/>
      <c r="D922" s="28"/>
      <c r="E922" s="44"/>
      <c r="F922" s="44"/>
      <c r="G922" s="44"/>
      <c r="H922" s="44"/>
    </row>
    <row r="923" spans="1:8">
      <c r="A923" s="27"/>
      <c r="C923" s="28"/>
      <c r="D923" s="28"/>
      <c r="E923" s="44"/>
      <c r="F923" s="44"/>
      <c r="G923" s="44"/>
      <c r="H923" s="44"/>
    </row>
    <row r="924" spans="1:8">
      <c r="A924" s="27"/>
      <c r="C924" s="28"/>
      <c r="D924" s="28"/>
      <c r="E924" s="44"/>
      <c r="F924" s="44"/>
      <c r="G924" s="44"/>
      <c r="H924" s="44"/>
    </row>
    <row r="925" spans="1:8">
      <c r="A925" s="27"/>
      <c r="C925" s="28"/>
      <c r="D925" s="28"/>
      <c r="E925" s="44"/>
      <c r="F925" s="44"/>
      <c r="G925" s="44"/>
      <c r="H925" s="44"/>
    </row>
    <row r="926" spans="1:8">
      <c r="A926" s="27"/>
      <c r="C926" s="28"/>
      <c r="D926" s="28"/>
      <c r="E926" s="44"/>
      <c r="F926" s="44"/>
      <c r="G926" s="44"/>
      <c r="H926" s="44"/>
    </row>
    <row r="927" spans="1:8">
      <c r="A927" s="27"/>
      <c r="C927" s="28"/>
      <c r="D927" s="28"/>
      <c r="E927" s="44"/>
      <c r="F927" s="44"/>
      <c r="G927" s="44"/>
      <c r="H927" s="44"/>
    </row>
    <row r="928" spans="1:8">
      <c r="A928" s="27"/>
      <c r="C928" s="28"/>
      <c r="D928" s="28"/>
      <c r="E928" s="44"/>
      <c r="F928" s="44"/>
      <c r="G928" s="44"/>
      <c r="H928" s="44"/>
    </row>
    <row r="929" spans="1:8">
      <c r="A929" s="27"/>
      <c r="C929" s="28"/>
      <c r="D929" s="28"/>
      <c r="E929" s="44"/>
      <c r="F929" s="44"/>
      <c r="G929" s="44"/>
      <c r="H929" s="44"/>
    </row>
    <row r="930" spans="1:8">
      <c r="A930" s="27"/>
      <c r="C930" s="28"/>
      <c r="D930" s="28"/>
      <c r="E930" s="44"/>
      <c r="F930" s="44"/>
      <c r="G930" s="44"/>
      <c r="H930" s="44"/>
    </row>
    <row r="931" spans="1:8">
      <c r="A931" s="27"/>
      <c r="C931" s="28"/>
      <c r="D931" s="28"/>
      <c r="E931" s="44"/>
      <c r="F931" s="44"/>
      <c r="G931" s="44"/>
      <c r="H931" s="44"/>
    </row>
    <row r="932" spans="1:8">
      <c r="A932" s="27"/>
      <c r="C932" s="28"/>
      <c r="D932" s="28"/>
      <c r="E932" s="44"/>
      <c r="F932" s="44"/>
      <c r="G932" s="44"/>
      <c r="H932" s="44"/>
    </row>
    <row r="933" spans="1:8">
      <c r="A933" s="27"/>
      <c r="C933" s="28"/>
      <c r="D933" s="28"/>
      <c r="E933" s="44"/>
      <c r="F933" s="44"/>
      <c r="G933" s="44"/>
      <c r="H933" s="44"/>
    </row>
    <row r="934" spans="1:8">
      <c r="A934" s="27"/>
      <c r="C934" s="28"/>
      <c r="D934" s="28"/>
      <c r="E934" s="44"/>
      <c r="F934" s="44"/>
      <c r="G934" s="44"/>
      <c r="H934" s="44"/>
    </row>
    <row r="935" spans="1:8">
      <c r="A935" s="27"/>
      <c r="C935" s="28"/>
      <c r="D935" s="28"/>
      <c r="E935" s="44"/>
      <c r="F935" s="44"/>
      <c r="G935" s="44"/>
      <c r="H935" s="44"/>
    </row>
    <row r="936" spans="1:8">
      <c r="A936" s="27"/>
      <c r="C936" s="28"/>
      <c r="D936" s="28"/>
      <c r="E936" s="44"/>
      <c r="F936" s="44"/>
      <c r="G936" s="44"/>
      <c r="H936" s="44"/>
    </row>
    <row r="937" spans="1:8">
      <c r="A937" s="27"/>
      <c r="C937" s="28"/>
      <c r="D937" s="28"/>
      <c r="E937" s="44"/>
      <c r="F937" s="44"/>
      <c r="G937" s="44"/>
      <c r="H937" s="44"/>
    </row>
    <row r="938" spans="1:8">
      <c r="A938" s="27"/>
      <c r="C938" s="28"/>
      <c r="D938" s="28"/>
      <c r="E938" s="44"/>
      <c r="F938" s="44"/>
      <c r="G938" s="44"/>
      <c r="H938" s="44"/>
    </row>
    <row r="939" spans="1:8">
      <c r="A939" s="27"/>
      <c r="C939" s="28"/>
      <c r="D939" s="28"/>
      <c r="E939" s="44"/>
      <c r="F939" s="44"/>
      <c r="G939" s="44"/>
      <c r="H939" s="44"/>
    </row>
    <row r="940" spans="1:8">
      <c r="A940" s="27"/>
      <c r="C940" s="28"/>
      <c r="D940" s="28"/>
      <c r="E940" s="44"/>
      <c r="F940" s="44"/>
      <c r="G940" s="44"/>
      <c r="H940" s="44"/>
    </row>
    <row r="941" spans="1:8">
      <c r="A941" s="27"/>
      <c r="C941" s="28"/>
      <c r="D941" s="28"/>
      <c r="E941" s="44"/>
      <c r="F941" s="44"/>
      <c r="G941" s="44"/>
      <c r="H941" s="44"/>
    </row>
    <row r="942" spans="1:8">
      <c r="A942" s="27"/>
      <c r="C942" s="28"/>
      <c r="D942" s="28"/>
      <c r="E942" s="44"/>
      <c r="F942" s="44"/>
      <c r="G942" s="44"/>
      <c r="H942" s="44"/>
    </row>
    <row r="943" spans="1:8">
      <c r="A943" s="27"/>
      <c r="C943" s="28"/>
      <c r="D943" s="28"/>
      <c r="E943" s="44"/>
      <c r="F943" s="44"/>
      <c r="G943" s="44"/>
      <c r="H943" s="44"/>
    </row>
    <row r="944" spans="1:8">
      <c r="A944" s="27"/>
      <c r="C944" s="28"/>
      <c r="D944" s="28"/>
      <c r="E944" s="44"/>
      <c r="F944" s="44"/>
      <c r="G944" s="44"/>
      <c r="H944" s="44"/>
    </row>
    <row r="945" spans="1:8">
      <c r="A945" s="27"/>
      <c r="C945" s="28"/>
      <c r="D945" s="28"/>
      <c r="E945" s="44"/>
      <c r="F945" s="44"/>
      <c r="G945" s="44"/>
      <c r="H945" s="44"/>
    </row>
    <row r="946" spans="1:8">
      <c r="A946" s="27"/>
      <c r="C946" s="28"/>
      <c r="D946" s="28"/>
      <c r="E946" s="44"/>
      <c r="F946" s="44"/>
      <c r="G946" s="44"/>
      <c r="H946" s="44"/>
    </row>
    <row r="947" spans="1:8">
      <c r="A947" s="27"/>
      <c r="C947" s="28"/>
      <c r="D947" s="28"/>
      <c r="E947" s="44"/>
      <c r="F947" s="44"/>
      <c r="G947" s="44"/>
      <c r="H947" s="44"/>
    </row>
    <row r="948" spans="1:8">
      <c r="A948" s="27"/>
      <c r="C948" s="28"/>
      <c r="D948" s="28"/>
      <c r="E948" s="44"/>
      <c r="F948" s="44"/>
      <c r="G948" s="44"/>
      <c r="H948" s="44"/>
    </row>
    <row r="949" spans="1:8">
      <c r="A949" s="27"/>
      <c r="C949" s="28"/>
      <c r="D949" s="28"/>
      <c r="E949" s="44"/>
      <c r="F949" s="44"/>
      <c r="G949" s="44"/>
      <c r="H949" s="44"/>
    </row>
    <row r="950" spans="1:8">
      <c r="A950" s="27"/>
      <c r="C950" s="28"/>
      <c r="D950" s="28"/>
      <c r="E950" s="44"/>
      <c r="F950" s="44"/>
      <c r="G950" s="44"/>
      <c r="H950" s="44"/>
    </row>
    <row r="951" spans="1:8">
      <c r="A951" s="27"/>
      <c r="C951" s="28"/>
      <c r="D951" s="28"/>
      <c r="E951" s="44"/>
      <c r="F951" s="44"/>
      <c r="G951" s="44"/>
      <c r="H951" s="44"/>
    </row>
  </sheetData>
  <autoFilter xmlns:etc="http://www.wps.cn/officeDocument/2017/etCustomData" ref="A4:H200" etc:filterBottomFollowUsedRange="0">
    <extLst/>
  </autoFilter>
  <mergeCells count="6">
    <mergeCell ref="A2:H2"/>
    <mergeCell ref="C3:D3"/>
    <mergeCell ref="E3:H3"/>
    <mergeCell ref="A5:C5"/>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tabColor rgb="FFFFFF00"/>
    <pageSetUpPr fitToPage="1"/>
  </sheetPr>
  <dimension ref="A1:I221"/>
  <sheetViews>
    <sheetView showGridLines="0" view="pageBreakPreview" zoomScale="90" zoomScaleNormal="100" topLeftCell="A16" workbookViewId="0">
      <selection activeCell="E27" sqref="E27"/>
    </sheetView>
  </sheetViews>
  <sheetFormatPr defaultColWidth="9.12962962962963" defaultRowHeight="13.8"/>
  <cols>
    <col min="1" max="1" width="7.62962962962963" style="3" customWidth="1"/>
    <col min="2" max="2" width="39.5" style="2" customWidth="1"/>
    <col min="3" max="4" width="30.75" style="4" customWidth="1"/>
    <col min="5" max="5" width="13.8796296296296" style="67" customWidth="1"/>
    <col min="6" max="8" width="13.8796296296296" style="76" customWidth="1"/>
    <col min="9" max="16384" width="9.12962962962963" style="3"/>
  </cols>
  <sheetData>
    <row r="1" spans="1:9">
      <c r="A1" s="6" t="s">
        <v>2564</v>
      </c>
      <c r="B1" s="6"/>
      <c r="C1" s="7"/>
      <c r="D1" s="7"/>
      <c r="E1" s="6"/>
      <c r="F1" s="6"/>
      <c r="G1" s="6"/>
      <c r="H1" s="6"/>
    </row>
    <row r="2" spans="1:9">
      <c r="A2" s="8" t="s">
        <v>4</v>
      </c>
      <c r="B2" s="8"/>
      <c r="C2" s="8"/>
      <c r="D2" s="8"/>
      <c r="E2" s="8"/>
      <c r="F2" s="8"/>
      <c r="G2" s="8"/>
      <c r="H2" s="8"/>
    </row>
    <row r="3" spans="1:9">
      <c r="A3" s="9" t="s">
        <v>5</v>
      </c>
      <c r="B3" s="9" t="s">
        <v>6</v>
      </c>
      <c r="C3" s="9" t="s">
        <v>7</v>
      </c>
      <c r="D3" s="9"/>
      <c r="E3" s="9" t="s">
        <v>8</v>
      </c>
      <c r="F3" s="9"/>
      <c r="G3" s="9"/>
      <c r="H3" s="9"/>
      <c r="I3" s="88"/>
    </row>
    <row r="4" spans="1:9">
      <c r="A4" s="11"/>
      <c r="B4" s="11"/>
      <c r="C4" s="9" t="s">
        <v>9</v>
      </c>
      <c r="D4" s="9" t="s">
        <v>10</v>
      </c>
      <c r="E4" s="71" t="s">
        <v>11</v>
      </c>
      <c r="F4" s="12" t="s">
        <v>12</v>
      </c>
      <c r="G4" s="10" t="s">
        <v>13</v>
      </c>
      <c r="H4" s="10" t="s">
        <v>14</v>
      </c>
      <c r="I4" s="88"/>
    </row>
    <row r="5" spans="1:9">
      <c r="A5" s="39" t="s">
        <v>140</v>
      </c>
      <c r="B5" s="13"/>
      <c r="C5" s="15"/>
      <c r="D5" s="15"/>
      <c r="E5" s="35" t="s">
        <v>16</v>
      </c>
      <c r="F5" s="10" t="s">
        <v>16</v>
      </c>
      <c r="G5" s="10" t="s">
        <v>16</v>
      </c>
      <c r="H5" s="10" t="s">
        <v>16</v>
      </c>
      <c r="I5" s="73"/>
    </row>
    <row r="6" spans="1:9">
      <c r="A6" s="36">
        <v>1</v>
      </c>
      <c r="B6" s="18" t="s">
        <v>1400</v>
      </c>
      <c r="C6" s="15"/>
      <c r="D6" s="15"/>
      <c r="E6" s="38">
        <v>2400000</v>
      </c>
      <c r="F6" s="21">
        <v>1700000</v>
      </c>
      <c r="G6" s="21">
        <v>1200000</v>
      </c>
      <c r="H6" s="89">
        <v>0</v>
      </c>
      <c r="I6" s="73"/>
    </row>
    <row r="7" spans="1:9">
      <c r="A7" s="90">
        <v>2</v>
      </c>
      <c r="B7" s="57" t="s">
        <v>2565</v>
      </c>
      <c r="C7" s="15"/>
      <c r="D7" s="15"/>
      <c r="E7" s="37" t="s">
        <v>16</v>
      </c>
      <c r="F7" s="91" t="s">
        <v>16</v>
      </c>
      <c r="G7" s="91" t="s">
        <v>16</v>
      </c>
      <c r="H7" s="89">
        <v>0</v>
      </c>
      <c r="I7" s="92"/>
    </row>
    <row r="8" ht="27.6" spans="1:9">
      <c r="A8" s="36"/>
      <c r="B8" s="18" t="s">
        <v>2566</v>
      </c>
      <c r="C8" s="18"/>
      <c r="D8" s="18"/>
      <c r="E8" s="38">
        <v>1700000</v>
      </c>
      <c r="F8" s="21">
        <v>1200000</v>
      </c>
      <c r="G8" s="21">
        <v>800000</v>
      </c>
      <c r="H8" s="89">
        <v>0</v>
      </c>
      <c r="I8" s="92"/>
    </row>
    <row r="9" ht="27.6" spans="1:9">
      <c r="A9" s="36"/>
      <c r="B9" s="18" t="s">
        <v>2567</v>
      </c>
      <c r="C9" s="18"/>
      <c r="D9" s="18"/>
      <c r="E9" s="23">
        <v>450000</v>
      </c>
      <c r="F9" s="23">
        <v>315000</v>
      </c>
      <c r="G9" s="23">
        <v>225000</v>
      </c>
      <c r="H9" s="23">
        <v>0</v>
      </c>
      <c r="I9" s="92"/>
    </row>
    <row r="10" ht="27.6" spans="1:9">
      <c r="A10" s="36"/>
      <c r="B10" s="18" t="s">
        <v>2568</v>
      </c>
      <c r="C10" s="18"/>
      <c r="D10" s="18"/>
      <c r="E10" s="23">
        <v>450000</v>
      </c>
      <c r="F10" s="23">
        <v>335000</v>
      </c>
      <c r="G10" s="23">
        <v>225000</v>
      </c>
      <c r="H10" s="23"/>
      <c r="I10" s="92"/>
    </row>
    <row r="11" s="87" customFormat="1" spans="1:9">
      <c r="A11" s="90">
        <v>3</v>
      </c>
      <c r="B11" s="57" t="s">
        <v>2569</v>
      </c>
      <c r="C11" s="93"/>
      <c r="D11" s="93"/>
      <c r="E11" s="23" t="s">
        <v>16</v>
      </c>
      <c r="F11" s="23" t="s">
        <v>16</v>
      </c>
      <c r="G11" s="23" t="s">
        <v>16</v>
      </c>
      <c r="H11" s="23"/>
      <c r="I11" s="94"/>
    </row>
    <row r="12" ht="27.6" spans="1:9">
      <c r="A12" s="36"/>
      <c r="B12" s="18" t="s">
        <v>2568</v>
      </c>
      <c r="C12" s="18"/>
      <c r="D12" s="18"/>
      <c r="E12" s="23">
        <v>450000</v>
      </c>
      <c r="F12" s="23">
        <v>335000</v>
      </c>
      <c r="G12" s="23">
        <v>225000</v>
      </c>
      <c r="H12" s="23">
        <v>0</v>
      </c>
      <c r="I12" s="92"/>
    </row>
    <row r="13" s="87" customFormat="1" spans="1:9">
      <c r="A13" s="90">
        <v>4</v>
      </c>
      <c r="B13" s="57" t="s">
        <v>2570</v>
      </c>
      <c r="C13" s="95"/>
      <c r="D13" s="95"/>
      <c r="E13" s="23" t="s">
        <v>16</v>
      </c>
      <c r="F13" s="23" t="s">
        <v>16</v>
      </c>
      <c r="G13" s="23" t="s">
        <v>16</v>
      </c>
      <c r="H13" s="23">
        <v>0</v>
      </c>
      <c r="I13" s="94"/>
    </row>
    <row r="14" ht="27.6" spans="1:9">
      <c r="A14" s="36"/>
      <c r="B14" s="18" t="s">
        <v>2571</v>
      </c>
      <c r="C14" s="57"/>
      <c r="D14" s="57"/>
      <c r="E14" s="23">
        <v>335000</v>
      </c>
      <c r="F14" s="23">
        <v>235000</v>
      </c>
      <c r="G14" s="23">
        <v>165000</v>
      </c>
      <c r="H14" s="23">
        <v>0</v>
      </c>
      <c r="I14" s="92"/>
    </row>
    <row r="15" ht="27.6" spans="1:9">
      <c r="A15" s="36"/>
      <c r="B15" s="18" t="s">
        <v>2572</v>
      </c>
      <c r="C15" s="57"/>
      <c r="D15" s="57"/>
      <c r="E15" s="23">
        <v>175000</v>
      </c>
      <c r="F15" s="23">
        <v>125000</v>
      </c>
      <c r="G15" s="23">
        <v>90000</v>
      </c>
      <c r="H15" s="23">
        <v>0</v>
      </c>
      <c r="I15" s="92"/>
    </row>
    <row r="16" ht="41.4" spans="1:9">
      <c r="A16" s="36"/>
      <c r="B16" s="18" t="s">
        <v>2573</v>
      </c>
      <c r="C16" s="18"/>
      <c r="D16" s="18"/>
      <c r="E16" s="23">
        <v>175000</v>
      </c>
      <c r="F16" s="23">
        <v>140000</v>
      </c>
      <c r="G16" s="23">
        <v>115000</v>
      </c>
      <c r="H16" s="23">
        <v>0</v>
      </c>
      <c r="I16" s="92"/>
    </row>
    <row r="17" spans="1:9">
      <c r="A17" s="40" t="s">
        <v>167</v>
      </c>
      <c r="B17" s="58"/>
      <c r="C17" s="59"/>
      <c r="D17" s="59"/>
      <c r="E17" s="23" t="s">
        <v>16</v>
      </c>
      <c r="F17" s="23" t="s">
        <v>16</v>
      </c>
      <c r="G17" s="23" t="s">
        <v>16</v>
      </c>
      <c r="H17" s="23">
        <v>0</v>
      </c>
      <c r="I17" s="92"/>
    </row>
    <row r="18" ht="409.5" spans="1:9">
      <c r="A18" s="36">
        <v>5</v>
      </c>
      <c r="B18" s="20" t="s">
        <v>2574</v>
      </c>
      <c r="C18" s="18"/>
      <c r="D18" s="18"/>
      <c r="E18" s="23">
        <v>275000</v>
      </c>
      <c r="F18" s="23">
        <v>215000</v>
      </c>
      <c r="G18" s="23">
        <v>0</v>
      </c>
      <c r="H18" s="23">
        <v>0</v>
      </c>
      <c r="I18" s="92"/>
    </row>
    <row r="19" ht="55.2" spans="1:9">
      <c r="A19" s="36">
        <f>A18+1</f>
        <v>6</v>
      </c>
      <c r="B19" s="72" t="s">
        <v>2575</v>
      </c>
      <c r="C19" s="18"/>
      <c r="D19" s="18"/>
      <c r="E19" s="23">
        <v>215000</v>
      </c>
      <c r="F19" s="23">
        <v>170000</v>
      </c>
      <c r="G19" s="23">
        <v>0</v>
      </c>
      <c r="H19" s="23">
        <v>0</v>
      </c>
      <c r="I19" s="92"/>
    </row>
    <row r="20" spans="1:9">
      <c r="A20" s="36">
        <f>A19+1</f>
        <v>7</v>
      </c>
      <c r="B20" s="20" t="s">
        <v>171</v>
      </c>
      <c r="C20" s="18"/>
      <c r="D20" s="18"/>
      <c r="E20" s="23">
        <v>180000</v>
      </c>
      <c r="F20" s="23">
        <v>0</v>
      </c>
      <c r="G20" s="23">
        <v>0</v>
      </c>
      <c r="H20" s="23">
        <v>0</v>
      </c>
      <c r="I20" s="92"/>
    </row>
    <row r="21" spans="1:9">
      <c r="A21" s="14"/>
      <c r="B21" s="96"/>
      <c r="C21" s="82"/>
      <c r="D21" s="82"/>
      <c r="E21" s="23" t="s">
        <v>16</v>
      </c>
      <c r="F21" s="23" t="s">
        <v>16</v>
      </c>
      <c r="G21" s="23" t="s">
        <v>16</v>
      </c>
      <c r="H21" s="23" t="s">
        <v>16</v>
      </c>
    </row>
    <row r="22" spans="1:9">
      <c r="A22" s="14"/>
      <c r="B22" s="96"/>
      <c r="C22" s="82"/>
      <c r="D22" s="82"/>
      <c r="E22" s="23" t="s">
        <v>16</v>
      </c>
      <c r="F22" s="23" t="s">
        <v>16</v>
      </c>
      <c r="G22" s="23" t="s">
        <v>16</v>
      </c>
      <c r="H22" s="23" t="s">
        <v>16</v>
      </c>
    </row>
    <row r="23" spans="1:9">
      <c r="A23" s="14"/>
      <c r="B23" s="96"/>
      <c r="C23" s="82"/>
      <c r="D23" s="82"/>
      <c r="E23" s="23" t="s">
        <v>16</v>
      </c>
      <c r="F23" s="23" t="s">
        <v>16</v>
      </c>
      <c r="G23" s="23" t="s">
        <v>16</v>
      </c>
      <c r="H23" s="23" t="s">
        <v>16</v>
      </c>
    </row>
    <row r="24" spans="1:9">
      <c r="A24" s="14"/>
      <c r="B24" s="96"/>
      <c r="C24" s="82"/>
      <c r="D24" s="82"/>
      <c r="E24" s="23" t="s">
        <v>16</v>
      </c>
      <c r="F24" s="23" t="s">
        <v>16</v>
      </c>
      <c r="G24" s="23" t="s">
        <v>16</v>
      </c>
      <c r="H24" s="23" t="s">
        <v>16</v>
      </c>
    </row>
    <row r="25" spans="1:9">
      <c r="A25" s="14"/>
      <c r="B25" s="96"/>
      <c r="C25" s="82"/>
      <c r="D25" s="82"/>
      <c r="E25" s="23" t="s">
        <v>16</v>
      </c>
      <c r="F25" s="23" t="s">
        <v>16</v>
      </c>
      <c r="G25" s="23" t="s">
        <v>16</v>
      </c>
      <c r="H25" s="23" t="s">
        <v>16</v>
      </c>
    </row>
    <row r="26" spans="1:9">
      <c r="A26" s="14"/>
      <c r="B26" s="96"/>
      <c r="C26" s="82"/>
      <c r="D26" s="82"/>
      <c r="E26" s="23" t="s">
        <v>16</v>
      </c>
      <c r="F26" s="23" t="s">
        <v>16</v>
      </c>
      <c r="G26" s="23" t="s">
        <v>16</v>
      </c>
      <c r="H26" s="23" t="s">
        <v>16</v>
      </c>
    </row>
    <row r="27" spans="1:9">
      <c r="A27" s="14"/>
      <c r="B27" s="96"/>
      <c r="C27" s="82"/>
      <c r="D27" s="82"/>
      <c r="E27" s="23" t="s">
        <v>16</v>
      </c>
      <c r="F27" s="23" t="s">
        <v>16</v>
      </c>
      <c r="G27" s="23" t="s">
        <v>16</v>
      </c>
      <c r="H27" s="23" t="s">
        <v>16</v>
      </c>
    </row>
    <row r="28" spans="1:9">
      <c r="A28" s="14"/>
      <c r="B28" s="96"/>
      <c r="C28" s="82"/>
      <c r="D28" s="82"/>
      <c r="E28" s="23" t="s">
        <v>16</v>
      </c>
      <c r="F28" s="23" t="s">
        <v>16</v>
      </c>
      <c r="G28" s="23" t="s">
        <v>16</v>
      </c>
      <c r="H28" s="23" t="s">
        <v>16</v>
      </c>
    </row>
    <row r="29" spans="1:9">
      <c r="A29" s="14"/>
      <c r="B29" s="96"/>
      <c r="C29" s="82"/>
      <c r="D29" s="82"/>
      <c r="E29" s="23" t="s">
        <v>16</v>
      </c>
      <c r="F29" s="23" t="s">
        <v>16</v>
      </c>
      <c r="G29" s="23" t="s">
        <v>16</v>
      </c>
      <c r="H29" s="23" t="s">
        <v>16</v>
      </c>
    </row>
    <row r="30" spans="1:9">
      <c r="A30" s="14"/>
      <c r="B30" s="96"/>
      <c r="C30" s="82"/>
      <c r="D30" s="82"/>
      <c r="E30" s="23" t="s">
        <v>16</v>
      </c>
      <c r="F30" s="23" t="s">
        <v>16</v>
      </c>
      <c r="G30" s="23" t="s">
        <v>16</v>
      </c>
      <c r="H30" s="23" t="s">
        <v>16</v>
      </c>
    </row>
    <row r="31" spans="1:9">
      <c r="A31" s="16"/>
      <c r="B31" s="96"/>
      <c r="C31" s="82"/>
      <c r="D31" s="82"/>
      <c r="E31" s="23" t="s">
        <v>16</v>
      </c>
      <c r="F31" s="23" t="s">
        <v>16</v>
      </c>
      <c r="G31" s="23" t="s">
        <v>16</v>
      </c>
      <c r="H31" s="23" t="s">
        <v>16</v>
      </c>
    </row>
    <row r="32" spans="1:9">
      <c r="A32" s="14"/>
      <c r="B32" s="96"/>
      <c r="C32" s="82"/>
      <c r="D32" s="82"/>
      <c r="E32" s="23" t="s">
        <v>16</v>
      </c>
      <c r="F32" s="23" t="s">
        <v>16</v>
      </c>
      <c r="G32" s="23" t="s">
        <v>16</v>
      </c>
      <c r="H32" s="23" t="s">
        <v>16</v>
      </c>
    </row>
    <row r="33" spans="1:8">
      <c r="A33" s="14"/>
      <c r="B33" s="96"/>
      <c r="C33" s="82"/>
      <c r="D33" s="82"/>
      <c r="E33" s="23" t="s">
        <v>16</v>
      </c>
      <c r="F33" s="23" t="s">
        <v>16</v>
      </c>
      <c r="G33" s="23" t="s">
        <v>16</v>
      </c>
      <c r="H33" s="23" t="s">
        <v>16</v>
      </c>
    </row>
    <row r="34" spans="1:8">
      <c r="A34" s="14"/>
      <c r="B34" s="96"/>
      <c r="C34" s="82"/>
      <c r="D34" s="82"/>
      <c r="E34" s="23" t="s">
        <v>16</v>
      </c>
      <c r="F34" s="23" t="s">
        <v>16</v>
      </c>
      <c r="G34" s="23" t="s">
        <v>16</v>
      </c>
      <c r="H34" s="23" t="s">
        <v>16</v>
      </c>
    </row>
    <row r="35" spans="1:8">
      <c r="A35" s="14"/>
      <c r="B35" s="96"/>
      <c r="C35" s="82"/>
      <c r="D35" s="82"/>
      <c r="E35" s="23" t="s">
        <v>16</v>
      </c>
      <c r="F35" s="23" t="s">
        <v>16</v>
      </c>
      <c r="G35" s="23" t="s">
        <v>16</v>
      </c>
      <c r="H35" s="23" t="s">
        <v>16</v>
      </c>
    </row>
    <row r="36" spans="1:8">
      <c r="A36" s="14"/>
      <c r="B36" s="96"/>
      <c r="C36" s="82"/>
      <c r="D36" s="82"/>
      <c r="E36" s="23" t="s">
        <v>16</v>
      </c>
      <c r="F36" s="23" t="s">
        <v>16</v>
      </c>
      <c r="G36" s="23" t="s">
        <v>16</v>
      </c>
      <c r="H36" s="23" t="s">
        <v>16</v>
      </c>
    </row>
    <row r="37" spans="1:8">
      <c r="A37" s="14"/>
      <c r="B37" s="96"/>
      <c r="C37" s="82"/>
      <c r="D37" s="82"/>
      <c r="E37" s="23" t="s">
        <v>16</v>
      </c>
      <c r="F37" s="23" t="s">
        <v>16</v>
      </c>
      <c r="G37" s="23" t="s">
        <v>16</v>
      </c>
      <c r="H37" s="23" t="s">
        <v>16</v>
      </c>
    </row>
    <row r="38" spans="1:8">
      <c r="A38" s="14"/>
      <c r="B38" s="96"/>
      <c r="C38" s="82"/>
      <c r="D38" s="82"/>
      <c r="E38" s="23" t="s">
        <v>16</v>
      </c>
      <c r="F38" s="23" t="s">
        <v>16</v>
      </c>
      <c r="G38" s="23" t="s">
        <v>16</v>
      </c>
      <c r="H38" s="23" t="s">
        <v>16</v>
      </c>
    </row>
    <row r="39" spans="1:8">
      <c r="A39" s="14"/>
      <c r="B39" s="96"/>
      <c r="C39" s="82"/>
      <c r="D39" s="82"/>
      <c r="E39" s="23" t="s">
        <v>16</v>
      </c>
      <c r="F39" s="23" t="s">
        <v>16</v>
      </c>
      <c r="G39" s="23" t="s">
        <v>16</v>
      </c>
      <c r="H39" s="23" t="s">
        <v>16</v>
      </c>
    </row>
    <row r="40" spans="1:8">
      <c r="A40" s="14"/>
      <c r="B40" s="96"/>
      <c r="C40" s="82"/>
      <c r="D40" s="82"/>
      <c r="E40" s="23" t="s">
        <v>16</v>
      </c>
      <c r="F40" s="23" t="s">
        <v>16</v>
      </c>
      <c r="G40" s="23" t="s">
        <v>16</v>
      </c>
      <c r="H40" s="23" t="s">
        <v>16</v>
      </c>
    </row>
    <row r="41" spans="1:8">
      <c r="A41" s="14"/>
      <c r="B41" s="96"/>
      <c r="C41" s="82"/>
      <c r="D41" s="82"/>
      <c r="E41" s="23" t="s">
        <v>16</v>
      </c>
      <c r="F41" s="23" t="s">
        <v>16</v>
      </c>
      <c r="G41" s="23" t="s">
        <v>16</v>
      </c>
      <c r="H41" s="23" t="s">
        <v>16</v>
      </c>
    </row>
    <row r="42" spans="1:8">
      <c r="A42" s="14"/>
      <c r="B42" s="96"/>
      <c r="C42" s="82"/>
      <c r="D42" s="82"/>
      <c r="E42" s="23" t="s">
        <v>16</v>
      </c>
      <c r="F42" s="23" t="s">
        <v>16</v>
      </c>
      <c r="G42" s="23" t="s">
        <v>16</v>
      </c>
      <c r="H42" s="23" t="s">
        <v>16</v>
      </c>
    </row>
    <row r="43" spans="1:8">
      <c r="A43" s="14"/>
      <c r="B43" s="96"/>
      <c r="C43" s="82"/>
      <c r="D43" s="82"/>
      <c r="E43" s="23" t="s">
        <v>16</v>
      </c>
      <c r="F43" s="23" t="s">
        <v>16</v>
      </c>
      <c r="G43" s="23" t="s">
        <v>16</v>
      </c>
      <c r="H43" s="23" t="s">
        <v>16</v>
      </c>
    </row>
    <row r="44" spans="1:8">
      <c r="A44" s="14"/>
      <c r="B44" s="96"/>
      <c r="C44" s="82"/>
      <c r="D44" s="82"/>
      <c r="E44" s="23" t="s">
        <v>16</v>
      </c>
      <c r="F44" s="23" t="s">
        <v>16</v>
      </c>
      <c r="G44" s="23" t="s">
        <v>16</v>
      </c>
      <c r="H44" s="23" t="s">
        <v>16</v>
      </c>
    </row>
    <row r="45" spans="1:8">
      <c r="A45" s="14"/>
      <c r="B45" s="96"/>
      <c r="C45" s="82"/>
      <c r="D45" s="82"/>
      <c r="E45" s="23" t="s">
        <v>16</v>
      </c>
      <c r="F45" s="23" t="s">
        <v>16</v>
      </c>
      <c r="G45" s="23" t="s">
        <v>16</v>
      </c>
      <c r="H45" s="23" t="s">
        <v>16</v>
      </c>
    </row>
    <row r="46" spans="1:8">
      <c r="A46" s="14"/>
      <c r="B46" s="96"/>
      <c r="C46" s="82"/>
      <c r="D46" s="82"/>
      <c r="E46" s="23" t="s">
        <v>16</v>
      </c>
      <c r="F46" s="23" t="s">
        <v>16</v>
      </c>
      <c r="G46" s="23" t="s">
        <v>16</v>
      </c>
      <c r="H46" s="23" t="s">
        <v>16</v>
      </c>
    </row>
    <row r="47" spans="1:8">
      <c r="A47" s="14"/>
      <c r="B47" s="96"/>
      <c r="C47" s="82"/>
      <c r="D47" s="82"/>
      <c r="E47" s="23" t="s">
        <v>16</v>
      </c>
      <c r="F47" s="23" t="s">
        <v>16</v>
      </c>
      <c r="G47" s="23" t="s">
        <v>16</v>
      </c>
      <c r="H47" s="23" t="s">
        <v>16</v>
      </c>
    </row>
    <row r="48" spans="1:8">
      <c r="A48" s="14"/>
      <c r="B48" s="96"/>
      <c r="C48" s="82"/>
      <c r="D48" s="82"/>
      <c r="E48" s="23" t="s">
        <v>16</v>
      </c>
      <c r="F48" s="23" t="s">
        <v>16</v>
      </c>
      <c r="G48" s="23" t="s">
        <v>16</v>
      </c>
      <c r="H48" s="23" t="s">
        <v>16</v>
      </c>
    </row>
    <row r="49" spans="1:8">
      <c r="A49" s="14"/>
      <c r="B49" s="96"/>
      <c r="C49" s="82"/>
      <c r="D49" s="82"/>
      <c r="E49" s="23" t="s">
        <v>16</v>
      </c>
      <c r="F49" s="23" t="s">
        <v>16</v>
      </c>
      <c r="G49" s="23" t="s">
        <v>16</v>
      </c>
      <c r="H49" s="23" t="s">
        <v>16</v>
      </c>
    </row>
    <row r="50" spans="1:8">
      <c r="A50" s="14"/>
      <c r="B50" s="96"/>
      <c r="C50" s="82"/>
      <c r="D50" s="82"/>
      <c r="E50" s="23" t="s">
        <v>16</v>
      </c>
      <c r="F50" s="23" t="s">
        <v>16</v>
      </c>
      <c r="G50" s="23" t="s">
        <v>16</v>
      </c>
      <c r="H50" s="23" t="s">
        <v>16</v>
      </c>
    </row>
    <row r="51" spans="1:8">
      <c r="A51" s="14"/>
      <c r="B51" s="96"/>
      <c r="C51" s="82"/>
      <c r="D51" s="82"/>
      <c r="E51" s="23" t="s">
        <v>16</v>
      </c>
      <c r="F51" s="23" t="s">
        <v>16</v>
      </c>
      <c r="G51" s="23" t="s">
        <v>16</v>
      </c>
      <c r="H51" s="23" t="s">
        <v>16</v>
      </c>
    </row>
    <row r="52" spans="1:8">
      <c r="A52" s="14"/>
      <c r="B52" s="97"/>
      <c r="C52" s="98"/>
      <c r="D52" s="98"/>
      <c r="E52" s="23" t="s">
        <v>16</v>
      </c>
      <c r="F52" s="23" t="s">
        <v>16</v>
      </c>
      <c r="G52" s="23" t="s">
        <v>16</v>
      </c>
      <c r="H52" s="23" t="s">
        <v>16</v>
      </c>
    </row>
    <row r="53" spans="1:8">
      <c r="A53" s="14"/>
      <c r="B53" s="96"/>
      <c r="C53" s="82"/>
      <c r="D53" s="82"/>
      <c r="E53" s="23" t="s">
        <v>16</v>
      </c>
      <c r="F53" s="23" t="s">
        <v>16</v>
      </c>
      <c r="G53" s="23" t="s">
        <v>16</v>
      </c>
      <c r="H53" s="23" t="s">
        <v>16</v>
      </c>
    </row>
    <row r="54" spans="1:8">
      <c r="A54" s="14"/>
      <c r="B54" s="96"/>
      <c r="C54" s="82"/>
      <c r="D54" s="82"/>
      <c r="E54" s="23" t="s">
        <v>16</v>
      </c>
      <c r="F54" s="23" t="s">
        <v>16</v>
      </c>
      <c r="G54" s="23" t="s">
        <v>16</v>
      </c>
      <c r="H54" s="23" t="s">
        <v>16</v>
      </c>
    </row>
    <row r="55" spans="1:8">
      <c r="A55" s="14"/>
      <c r="B55" s="96"/>
      <c r="C55" s="82"/>
      <c r="D55" s="82"/>
      <c r="E55" s="23" t="s">
        <v>16</v>
      </c>
      <c r="F55" s="23" t="s">
        <v>16</v>
      </c>
      <c r="G55" s="23" t="s">
        <v>16</v>
      </c>
      <c r="H55" s="23" t="s">
        <v>16</v>
      </c>
    </row>
    <row r="56" spans="1:8">
      <c r="A56" s="14"/>
      <c r="B56" s="96"/>
      <c r="C56" s="82"/>
      <c r="D56" s="82"/>
      <c r="E56" s="23" t="s">
        <v>16</v>
      </c>
      <c r="F56" s="23" t="s">
        <v>16</v>
      </c>
      <c r="G56" s="23" t="s">
        <v>16</v>
      </c>
      <c r="H56" s="23" t="s">
        <v>16</v>
      </c>
    </row>
    <row r="57" spans="1:8">
      <c r="A57" s="14"/>
      <c r="B57" s="96"/>
      <c r="C57" s="82"/>
      <c r="D57" s="82"/>
      <c r="E57" s="23" t="s">
        <v>16</v>
      </c>
      <c r="F57" s="23" t="s">
        <v>16</v>
      </c>
      <c r="G57" s="23" t="s">
        <v>16</v>
      </c>
      <c r="H57" s="23" t="s">
        <v>16</v>
      </c>
    </row>
    <row r="58" spans="1:8">
      <c r="A58" s="14"/>
      <c r="B58" s="96"/>
      <c r="C58" s="82"/>
      <c r="D58" s="82"/>
      <c r="E58" s="23" t="s">
        <v>16</v>
      </c>
      <c r="F58" s="23" t="s">
        <v>16</v>
      </c>
      <c r="G58" s="23" t="s">
        <v>16</v>
      </c>
      <c r="H58" s="23" t="s">
        <v>16</v>
      </c>
    </row>
    <row r="59" spans="1:8">
      <c r="A59" s="14"/>
      <c r="B59" s="96"/>
      <c r="C59" s="82"/>
      <c r="D59" s="82"/>
      <c r="E59" s="23" t="s">
        <v>16</v>
      </c>
      <c r="F59" s="23" t="s">
        <v>16</v>
      </c>
      <c r="G59" s="23" t="s">
        <v>16</v>
      </c>
      <c r="H59" s="23" t="s">
        <v>16</v>
      </c>
    </row>
    <row r="60" spans="1:8">
      <c r="A60" s="14"/>
      <c r="B60" s="96"/>
      <c r="C60" s="82"/>
      <c r="D60" s="82"/>
      <c r="E60" s="23" t="s">
        <v>16</v>
      </c>
      <c r="F60" s="23" t="s">
        <v>16</v>
      </c>
      <c r="G60" s="23" t="s">
        <v>16</v>
      </c>
      <c r="H60" s="23" t="s">
        <v>16</v>
      </c>
    </row>
    <row r="61" spans="1:8">
      <c r="A61" s="14"/>
      <c r="B61" s="96"/>
      <c r="C61" s="82"/>
      <c r="D61" s="82"/>
      <c r="E61" s="23" t="s">
        <v>16</v>
      </c>
      <c r="F61" s="23" t="s">
        <v>16</v>
      </c>
      <c r="G61" s="23" t="s">
        <v>16</v>
      </c>
      <c r="H61" s="23" t="s">
        <v>16</v>
      </c>
    </row>
    <row r="62" spans="1:8">
      <c r="A62" s="14"/>
      <c r="B62" s="96"/>
      <c r="C62" s="82"/>
      <c r="D62" s="82"/>
      <c r="E62" s="23" t="s">
        <v>16</v>
      </c>
      <c r="F62" s="23" t="s">
        <v>16</v>
      </c>
      <c r="G62" s="23" t="s">
        <v>16</v>
      </c>
      <c r="H62" s="23" t="s">
        <v>16</v>
      </c>
    </row>
    <row r="63" spans="1:8">
      <c r="A63" s="14"/>
      <c r="B63" s="96"/>
      <c r="C63" s="82"/>
      <c r="D63" s="82"/>
      <c r="E63" s="23" t="s">
        <v>16</v>
      </c>
      <c r="F63" s="23" t="s">
        <v>16</v>
      </c>
      <c r="G63" s="23" t="s">
        <v>16</v>
      </c>
      <c r="H63" s="23" t="s">
        <v>16</v>
      </c>
    </row>
    <row r="64" spans="1:8">
      <c r="A64" s="14"/>
      <c r="B64" s="96"/>
      <c r="C64" s="82"/>
      <c r="D64" s="82"/>
      <c r="E64" s="23" t="s">
        <v>16</v>
      </c>
      <c r="F64" s="23" t="s">
        <v>16</v>
      </c>
      <c r="G64" s="23" t="s">
        <v>16</v>
      </c>
      <c r="H64" s="23" t="s">
        <v>16</v>
      </c>
    </row>
    <row r="65" spans="1:8">
      <c r="A65" s="14"/>
      <c r="B65" s="96"/>
      <c r="C65" s="82"/>
      <c r="D65" s="82"/>
      <c r="E65" s="23" t="s">
        <v>16</v>
      </c>
      <c r="F65" s="23" t="s">
        <v>16</v>
      </c>
      <c r="G65" s="23" t="s">
        <v>16</v>
      </c>
      <c r="H65" s="23" t="s">
        <v>16</v>
      </c>
    </row>
    <row r="66" spans="1:8">
      <c r="A66" s="14"/>
      <c r="B66" s="96"/>
      <c r="C66" s="82"/>
      <c r="D66" s="82"/>
      <c r="E66" s="23" t="s">
        <v>16</v>
      </c>
      <c r="F66" s="23" t="s">
        <v>16</v>
      </c>
      <c r="G66" s="23" t="s">
        <v>16</v>
      </c>
      <c r="H66" s="23" t="s">
        <v>16</v>
      </c>
    </row>
    <row r="67" spans="1:8">
      <c r="A67" s="14"/>
      <c r="B67" s="96"/>
      <c r="C67" s="82"/>
      <c r="D67" s="82"/>
      <c r="E67" s="23" t="s">
        <v>16</v>
      </c>
      <c r="F67" s="23" t="s">
        <v>16</v>
      </c>
      <c r="G67" s="23" t="s">
        <v>16</v>
      </c>
      <c r="H67" s="23" t="s">
        <v>16</v>
      </c>
    </row>
    <row r="68" spans="1:8">
      <c r="A68" s="14"/>
      <c r="B68" s="96"/>
      <c r="C68" s="82"/>
      <c r="D68" s="82"/>
      <c r="E68" s="23" t="s">
        <v>16</v>
      </c>
      <c r="F68" s="23" t="s">
        <v>16</v>
      </c>
      <c r="G68" s="23" t="s">
        <v>16</v>
      </c>
      <c r="H68" s="23" t="s">
        <v>16</v>
      </c>
    </row>
    <row r="69" spans="1:8">
      <c r="A69" s="14"/>
      <c r="B69" s="96"/>
      <c r="C69" s="82"/>
      <c r="D69" s="82"/>
      <c r="E69" s="23" t="s">
        <v>16</v>
      </c>
      <c r="F69" s="23" t="s">
        <v>16</v>
      </c>
      <c r="G69" s="23" t="s">
        <v>16</v>
      </c>
      <c r="H69" s="23" t="s">
        <v>16</v>
      </c>
    </row>
    <row r="70" spans="1:8">
      <c r="A70" s="14"/>
      <c r="B70" s="96"/>
      <c r="C70" s="82"/>
      <c r="D70" s="82"/>
      <c r="E70" s="23" t="s">
        <v>16</v>
      </c>
      <c r="F70" s="23" t="s">
        <v>16</v>
      </c>
      <c r="G70" s="23" t="s">
        <v>16</v>
      </c>
      <c r="H70" s="23" t="s">
        <v>16</v>
      </c>
    </row>
    <row r="71" spans="1:8">
      <c r="A71" s="14"/>
      <c r="B71" s="96"/>
      <c r="C71" s="82"/>
      <c r="D71" s="82"/>
      <c r="E71" s="23" t="s">
        <v>16</v>
      </c>
      <c r="F71" s="23" t="s">
        <v>16</v>
      </c>
      <c r="G71" s="23" t="s">
        <v>16</v>
      </c>
      <c r="H71" s="23" t="s">
        <v>16</v>
      </c>
    </row>
    <row r="72" spans="1:8">
      <c r="A72" s="14"/>
      <c r="B72" s="96"/>
      <c r="C72" s="82"/>
      <c r="D72" s="82"/>
      <c r="E72" s="23" t="s">
        <v>16</v>
      </c>
      <c r="F72" s="23" t="s">
        <v>16</v>
      </c>
      <c r="G72" s="23" t="s">
        <v>16</v>
      </c>
      <c r="H72" s="23" t="s">
        <v>16</v>
      </c>
    </row>
    <row r="73" spans="1:8">
      <c r="A73" s="14"/>
      <c r="B73" s="96"/>
      <c r="C73" s="82"/>
      <c r="D73" s="82"/>
      <c r="E73" s="23" t="s">
        <v>16</v>
      </c>
      <c r="F73" s="23" t="s">
        <v>16</v>
      </c>
      <c r="G73" s="23" t="s">
        <v>16</v>
      </c>
      <c r="H73" s="23" t="s">
        <v>16</v>
      </c>
    </row>
    <row r="74" spans="1:8">
      <c r="A74" s="14"/>
      <c r="B74" s="96"/>
      <c r="C74" s="82"/>
      <c r="D74" s="82"/>
      <c r="E74" s="23" t="s">
        <v>16</v>
      </c>
      <c r="F74" s="23" t="s">
        <v>16</v>
      </c>
      <c r="G74" s="23" t="s">
        <v>16</v>
      </c>
      <c r="H74" s="23" t="s">
        <v>16</v>
      </c>
    </row>
    <row r="75" spans="1:8">
      <c r="A75" s="14"/>
      <c r="B75" s="96"/>
      <c r="C75" s="82"/>
      <c r="D75" s="82"/>
      <c r="E75" s="23" t="s">
        <v>16</v>
      </c>
      <c r="F75" s="23" t="s">
        <v>16</v>
      </c>
      <c r="G75" s="23" t="s">
        <v>16</v>
      </c>
      <c r="H75" s="23" t="s">
        <v>16</v>
      </c>
    </row>
    <row r="76" spans="1:8">
      <c r="A76" s="14"/>
      <c r="B76" s="96"/>
      <c r="C76" s="82"/>
      <c r="D76" s="82"/>
      <c r="E76" s="23" t="s">
        <v>16</v>
      </c>
      <c r="F76" s="23" t="s">
        <v>16</v>
      </c>
      <c r="G76" s="23" t="s">
        <v>16</v>
      </c>
      <c r="H76" s="23" t="s">
        <v>16</v>
      </c>
    </row>
    <row r="77" spans="1:8">
      <c r="A77" s="14"/>
      <c r="B77" s="96"/>
      <c r="C77" s="82"/>
      <c r="D77" s="82"/>
      <c r="E77" s="23" t="s">
        <v>16</v>
      </c>
      <c r="F77" s="23" t="s">
        <v>16</v>
      </c>
      <c r="G77" s="23" t="s">
        <v>16</v>
      </c>
      <c r="H77" s="23" t="s">
        <v>16</v>
      </c>
    </row>
    <row r="78" spans="1:8">
      <c r="A78" s="14"/>
      <c r="B78" s="96"/>
      <c r="C78" s="82"/>
      <c r="D78" s="82"/>
      <c r="E78" s="23" t="s">
        <v>16</v>
      </c>
      <c r="F78" s="23" t="s">
        <v>16</v>
      </c>
      <c r="G78" s="23" t="s">
        <v>16</v>
      </c>
      <c r="H78" s="23" t="s">
        <v>16</v>
      </c>
    </row>
    <row r="79" spans="1:8">
      <c r="A79" s="14"/>
      <c r="B79" s="96"/>
      <c r="C79" s="82"/>
      <c r="D79" s="82"/>
      <c r="E79" s="23" t="s">
        <v>16</v>
      </c>
      <c r="F79" s="23" t="s">
        <v>16</v>
      </c>
      <c r="G79" s="23" t="s">
        <v>16</v>
      </c>
      <c r="H79" s="23" t="s">
        <v>16</v>
      </c>
    </row>
    <row r="80" spans="1:8">
      <c r="A80" s="14"/>
      <c r="B80" s="99"/>
      <c r="C80" s="100"/>
      <c r="D80" s="100"/>
      <c r="E80" s="23" t="s">
        <v>16</v>
      </c>
      <c r="F80" s="23" t="s">
        <v>16</v>
      </c>
      <c r="G80" s="23" t="s">
        <v>16</v>
      </c>
      <c r="H80" s="23" t="s">
        <v>16</v>
      </c>
    </row>
    <row r="81" spans="1:8">
      <c r="A81" s="14"/>
      <c r="B81" s="96"/>
      <c r="C81" s="82"/>
      <c r="D81" s="82"/>
      <c r="E81" s="23" t="s">
        <v>16</v>
      </c>
      <c r="F81" s="23" t="s">
        <v>16</v>
      </c>
      <c r="G81" s="23" t="s">
        <v>16</v>
      </c>
      <c r="H81" s="23" t="s">
        <v>16</v>
      </c>
    </row>
    <row r="82" spans="1:8">
      <c r="A82" s="14"/>
      <c r="B82" s="96"/>
      <c r="C82" s="82"/>
      <c r="D82" s="82"/>
      <c r="E82" s="23" t="s">
        <v>16</v>
      </c>
      <c r="F82" s="23" t="s">
        <v>16</v>
      </c>
      <c r="G82" s="23" t="s">
        <v>16</v>
      </c>
      <c r="H82" s="23" t="s">
        <v>16</v>
      </c>
    </row>
    <row r="83" spans="1:8">
      <c r="A83" s="14"/>
      <c r="B83" s="96"/>
      <c r="C83" s="82"/>
      <c r="D83" s="82"/>
      <c r="E83" s="23" t="s">
        <v>16</v>
      </c>
      <c r="F83" s="23" t="s">
        <v>16</v>
      </c>
      <c r="G83" s="23" t="s">
        <v>16</v>
      </c>
      <c r="H83" s="23" t="s">
        <v>16</v>
      </c>
    </row>
    <row r="84" spans="1:8">
      <c r="E84" s="23" t="s">
        <v>16</v>
      </c>
      <c r="F84" s="23" t="s">
        <v>16</v>
      </c>
      <c r="G84" s="23" t="s">
        <v>16</v>
      </c>
      <c r="H84" s="23" t="s">
        <v>16</v>
      </c>
    </row>
    <row r="85" spans="1:8">
      <c r="E85" s="23" t="s">
        <v>16</v>
      </c>
      <c r="F85" s="23" t="s">
        <v>16</v>
      </c>
      <c r="G85" s="23" t="s">
        <v>16</v>
      </c>
      <c r="H85" s="23" t="s">
        <v>16</v>
      </c>
    </row>
    <row r="86" spans="1:8">
      <c r="E86" s="23" t="s">
        <v>16</v>
      </c>
      <c r="F86" s="23" t="s">
        <v>16</v>
      </c>
      <c r="G86" s="23" t="s">
        <v>16</v>
      </c>
      <c r="H86" s="23" t="s">
        <v>16</v>
      </c>
    </row>
    <row r="87" spans="1:8">
      <c r="E87" s="23" t="s">
        <v>16</v>
      </c>
      <c r="F87" s="23" t="s">
        <v>16</v>
      </c>
      <c r="G87" s="23" t="s">
        <v>16</v>
      </c>
      <c r="H87" s="23" t="s">
        <v>16</v>
      </c>
    </row>
    <row r="88" spans="1:8">
      <c r="E88" s="23" t="s">
        <v>16</v>
      </c>
      <c r="F88" s="23" t="s">
        <v>16</v>
      </c>
      <c r="G88" s="23" t="s">
        <v>16</v>
      </c>
      <c r="H88" s="23" t="s">
        <v>16</v>
      </c>
    </row>
    <row r="89" spans="1:8">
      <c r="E89" s="23" t="s">
        <v>16</v>
      </c>
      <c r="F89" s="23" t="s">
        <v>16</v>
      </c>
      <c r="G89" s="23" t="s">
        <v>16</v>
      </c>
      <c r="H89" s="23" t="s">
        <v>16</v>
      </c>
    </row>
    <row r="90" spans="1:8">
      <c r="E90" s="23" t="s">
        <v>16</v>
      </c>
      <c r="F90" s="23" t="s">
        <v>16</v>
      </c>
      <c r="G90" s="23" t="s">
        <v>16</v>
      </c>
      <c r="H90" s="23" t="s">
        <v>16</v>
      </c>
    </row>
    <row r="91" spans="1:8">
      <c r="E91" s="23" t="s">
        <v>16</v>
      </c>
      <c r="F91" s="23" t="s">
        <v>16</v>
      </c>
      <c r="G91" s="23" t="s">
        <v>16</v>
      </c>
      <c r="H91" s="23" t="s">
        <v>16</v>
      </c>
    </row>
    <row r="92" spans="1:8">
      <c r="E92" s="23" t="s">
        <v>16</v>
      </c>
      <c r="F92" s="23" t="s">
        <v>16</v>
      </c>
      <c r="G92" s="23" t="s">
        <v>16</v>
      </c>
      <c r="H92" s="23" t="s">
        <v>16</v>
      </c>
    </row>
    <row r="93" spans="1:8">
      <c r="E93" s="23" t="s">
        <v>16</v>
      </c>
      <c r="F93" s="23" t="s">
        <v>16</v>
      </c>
      <c r="G93" s="23" t="s">
        <v>16</v>
      </c>
      <c r="H93" s="23" t="s">
        <v>16</v>
      </c>
    </row>
    <row r="94" spans="1:8">
      <c r="E94" s="23" t="s">
        <v>16</v>
      </c>
      <c r="F94" s="23" t="s">
        <v>16</v>
      </c>
      <c r="G94" s="23" t="s">
        <v>16</v>
      </c>
      <c r="H94" s="23" t="s">
        <v>16</v>
      </c>
    </row>
    <row r="95" spans="1:8">
      <c r="E95" s="23" t="s">
        <v>16</v>
      </c>
      <c r="F95" s="23" t="s">
        <v>16</v>
      </c>
      <c r="G95" s="23" t="s">
        <v>16</v>
      </c>
      <c r="H95" s="23" t="s">
        <v>16</v>
      </c>
    </row>
    <row r="96" spans="1:8">
      <c r="E96" s="23" t="s">
        <v>16</v>
      </c>
      <c r="F96" s="23" t="s">
        <v>16</v>
      </c>
      <c r="G96" s="23" t="s">
        <v>16</v>
      </c>
      <c r="H96" s="23" t="s">
        <v>16</v>
      </c>
    </row>
    <row r="97" spans="5:8">
      <c r="E97" s="23" t="s">
        <v>16</v>
      </c>
      <c r="F97" s="23" t="s">
        <v>16</v>
      </c>
      <c r="G97" s="23" t="s">
        <v>16</v>
      </c>
      <c r="H97" s="23" t="s">
        <v>16</v>
      </c>
    </row>
    <row r="98" spans="5:8">
      <c r="E98" s="23" t="s">
        <v>16</v>
      </c>
      <c r="F98" s="23" t="s">
        <v>16</v>
      </c>
      <c r="G98" s="23" t="s">
        <v>16</v>
      </c>
      <c r="H98" s="23" t="s">
        <v>16</v>
      </c>
    </row>
    <row r="99" spans="5:8">
      <c r="E99" s="23" t="s">
        <v>16</v>
      </c>
      <c r="F99" s="23" t="s">
        <v>16</v>
      </c>
      <c r="G99" s="23" t="s">
        <v>16</v>
      </c>
      <c r="H99" s="23" t="s">
        <v>16</v>
      </c>
    </row>
    <row r="100" spans="5:8">
      <c r="E100" s="23" t="s">
        <v>16</v>
      </c>
      <c r="F100" s="23" t="s">
        <v>16</v>
      </c>
      <c r="G100" s="23" t="s">
        <v>16</v>
      </c>
      <c r="H100" s="23" t="s">
        <v>16</v>
      </c>
    </row>
    <row r="101" spans="5:8">
      <c r="E101" s="23" t="s">
        <v>16</v>
      </c>
      <c r="F101" s="23" t="s">
        <v>16</v>
      </c>
      <c r="G101" s="23" t="s">
        <v>16</v>
      </c>
      <c r="H101" s="23" t="s">
        <v>16</v>
      </c>
    </row>
    <row r="102" spans="5:8">
      <c r="E102" s="23" t="s">
        <v>16</v>
      </c>
      <c r="F102" s="23" t="s">
        <v>16</v>
      </c>
      <c r="G102" s="23" t="s">
        <v>16</v>
      </c>
      <c r="H102" s="23" t="s">
        <v>16</v>
      </c>
    </row>
    <row r="103" spans="5:8">
      <c r="E103" s="23" t="s">
        <v>16</v>
      </c>
      <c r="F103" s="23" t="s">
        <v>16</v>
      </c>
      <c r="G103" s="23" t="s">
        <v>16</v>
      </c>
      <c r="H103" s="23" t="s">
        <v>16</v>
      </c>
    </row>
    <row r="104" spans="5:8">
      <c r="E104" s="23" t="s">
        <v>16</v>
      </c>
      <c r="F104" s="23" t="s">
        <v>16</v>
      </c>
      <c r="G104" s="23" t="s">
        <v>16</v>
      </c>
      <c r="H104" s="23" t="s">
        <v>16</v>
      </c>
    </row>
    <row r="105" spans="5:8">
      <c r="E105" s="23" t="s">
        <v>16</v>
      </c>
      <c r="F105" s="23" t="s">
        <v>16</v>
      </c>
      <c r="G105" s="23" t="s">
        <v>16</v>
      </c>
      <c r="H105" s="23" t="s">
        <v>16</v>
      </c>
    </row>
    <row r="106" spans="5:8">
      <c r="E106" s="23" t="s">
        <v>16</v>
      </c>
      <c r="F106" s="23" t="s">
        <v>16</v>
      </c>
      <c r="G106" s="23" t="s">
        <v>16</v>
      </c>
      <c r="H106" s="23" t="s">
        <v>16</v>
      </c>
    </row>
    <row r="107" spans="5:8">
      <c r="E107" s="23" t="s">
        <v>16</v>
      </c>
      <c r="F107" s="23" t="s">
        <v>16</v>
      </c>
      <c r="G107" s="23" t="s">
        <v>16</v>
      </c>
      <c r="H107" s="23" t="s">
        <v>16</v>
      </c>
    </row>
    <row r="108" spans="5:8">
      <c r="E108" s="23" t="s">
        <v>16</v>
      </c>
      <c r="F108" s="23" t="s">
        <v>16</v>
      </c>
      <c r="G108" s="23" t="s">
        <v>16</v>
      </c>
      <c r="H108" s="23" t="s">
        <v>16</v>
      </c>
    </row>
    <row r="109" spans="5:8">
      <c r="E109" s="23" t="s">
        <v>16</v>
      </c>
      <c r="F109" s="23" t="s">
        <v>16</v>
      </c>
      <c r="G109" s="23" t="s">
        <v>16</v>
      </c>
      <c r="H109" s="23" t="s">
        <v>16</v>
      </c>
    </row>
    <row r="110" spans="5:8">
      <c r="E110" s="23" t="s">
        <v>16</v>
      </c>
      <c r="F110" s="23" t="s">
        <v>16</v>
      </c>
      <c r="G110" s="23" t="s">
        <v>16</v>
      </c>
      <c r="H110" s="23" t="s">
        <v>16</v>
      </c>
    </row>
    <row r="111" spans="5:8">
      <c r="E111" s="23" t="s">
        <v>16</v>
      </c>
      <c r="F111" s="23" t="s">
        <v>16</v>
      </c>
      <c r="G111" s="23" t="s">
        <v>16</v>
      </c>
      <c r="H111" s="23" t="s">
        <v>16</v>
      </c>
    </row>
    <row r="112" spans="5:8">
      <c r="E112" s="23" t="s">
        <v>16</v>
      </c>
      <c r="F112" s="23" t="s">
        <v>16</v>
      </c>
      <c r="G112" s="23" t="s">
        <v>16</v>
      </c>
      <c r="H112" s="23" t="s">
        <v>16</v>
      </c>
    </row>
    <row r="113" spans="5:8">
      <c r="E113" s="23" t="s">
        <v>16</v>
      </c>
      <c r="F113" s="23" t="s">
        <v>16</v>
      </c>
      <c r="G113" s="23" t="s">
        <v>16</v>
      </c>
      <c r="H113" s="23" t="s">
        <v>16</v>
      </c>
    </row>
    <row r="114" spans="5:8">
      <c r="E114" s="23" t="s">
        <v>16</v>
      </c>
      <c r="F114" s="23" t="s">
        <v>16</v>
      </c>
      <c r="G114" s="23" t="s">
        <v>16</v>
      </c>
      <c r="H114" s="23" t="s">
        <v>16</v>
      </c>
    </row>
    <row r="115" spans="5:8">
      <c r="E115" s="23" t="s">
        <v>16</v>
      </c>
      <c r="F115" s="23" t="s">
        <v>16</v>
      </c>
      <c r="G115" s="23" t="s">
        <v>16</v>
      </c>
      <c r="H115" s="23" t="s">
        <v>16</v>
      </c>
    </row>
    <row r="116" spans="5:8">
      <c r="E116" s="23" t="s">
        <v>16</v>
      </c>
      <c r="F116" s="23" t="s">
        <v>16</v>
      </c>
      <c r="G116" s="23" t="s">
        <v>16</v>
      </c>
      <c r="H116" s="23" t="s">
        <v>16</v>
      </c>
    </row>
    <row r="117" spans="5:8">
      <c r="E117" s="23" t="s">
        <v>16</v>
      </c>
      <c r="F117" s="23" t="s">
        <v>16</v>
      </c>
      <c r="G117" s="23" t="s">
        <v>16</v>
      </c>
      <c r="H117" s="23" t="s">
        <v>16</v>
      </c>
    </row>
    <row r="118" spans="5:8">
      <c r="E118" s="23" t="s">
        <v>16</v>
      </c>
      <c r="F118" s="23" t="s">
        <v>16</v>
      </c>
      <c r="G118" s="23" t="s">
        <v>16</v>
      </c>
      <c r="H118" s="23" t="s">
        <v>16</v>
      </c>
    </row>
    <row r="119" spans="5:8">
      <c r="E119" s="23" t="s">
        <v>16</v>
      </c>
      <c r="F119" s="23" t="s">
        <v>16</v>
      </c>
      <c r="G119" s="23" t="s">
        <v>16</v>
      </c>
      <c r="H119" s="23" t="s">
        <v>16</v>
      </c>
    </row>
    <row r="120" spans="5:8">
      <c r="E120" s="23" t="s">
        <v>16</v>
      </c>
      <c r="F120" s="23" t="s">
        <v>16</v>
      </c>
      <c r="G120" s="23" t="s">
        <v>16</v>
      </c>
      <c r="H120" s="23" t="s">
        <v>16</v>
      </c>
    </row>
    <row r="121" spans="5:8">
      <c r="E121" s="23" t="s">
        <v>16</v>
      </c>
      <c r="F121" s="23" t="s">
        <v>16</v>
      </c>
      <c r="G121" s="23" t="s">
        <v>16</v>
      </c>
      <c r="H121" s="23" t="s">
        <v>16</v>
      </c>
    </row>
    <row r="122" spans="5:8">
      <c r="E122" s="23" t="s">
        <v>16</v>
      </c>
      <c r="F122" s="23" t="s">
        <v>16</v>
      </c>
      <c r="G122" s="23" t="s">
        <v>16</v>
      </c>
      <c r="H122" s="23" t="s">
        <v>16</v>
      </c>
    </row>
    <row r="123" spans="5:8">
      <c r="E123" s="23" t="s">
        <v>16</v>
      </c>
      <c r="F123" s="23" t="s">
        <v>16</v>
      </c>
      <c r="G123" s="23" t="s">
        <v>16</v>
      </c>
      <c r="H123" s="23" t="s">
        <v>16</v>
      </c>
    </row>
    <row r="124" spans="5:8">
      <c r="E124" s="23" t="s">
        <v>16</v>
      </c>
      <c r="F124" s="23" t="s">
        <v>16</v>
      </c>
      <c r="G124" s="23" t="s">
        <v>16</v>
      </c>
      <c r="H124" s="23" t="s">
        <v>16</v>
      </c>
    </row>
    <row r="125" spans="5:8">
      <c r="E125" s="23" t="s">
        <v>16</v>
      </c>
      <c r="F125" s="23" t="s">
        <v>16</v>
      </c>
      <c r="G125" s="23" t="s">
        <v>16</v>
      </c>
      <c r="H125" s="23" t="s">
        <v>16</v>
      </c>
    </row>
    <row r="126" spans="5:8">
      <c r="E126" s="23" t="s">
        <v>16</v>
      </c>
      <c r="F126" s="23" t="s">
        <v>16</v>
      </c>
      <c r="G126" s="23" t="s">
        <v>16</v>
      </c>
      <c r="H126" s="23" t="s">
        <v>16</v>
      </c>
    </row>
    <row r="127" spans="5:8">
      <c r="E127" s="23" t="s">
        <v>16</v>
      </c>
      <c r="F127" s="23" t="s">
        <v>16</v>
      </c>
      <c r="G127" s="23" t="s">
        <v>16</v>
      </c>
      <c r="H127" s="23" t="s">
        <v>16</v>
      </c>
    </row>
    <row r="128" spans="5:8">
      <c r="E128" s="23" t="s">
        <v>16</v>
      </c>
      <c r="F128" s="23" t="s">
        <v>16</v>
      </c>
      <c r="G128" s="23" t="s">
        <v>16</v>
      </c>
      <c r="H128" s="23" t="s">
        <v>16</v>
      </c>
    </row>
    <row r="129" spans="5:8">
      <c r="E129" s="23" t="s">
        <v>16</v>
      </c>
      <c r="F129" s="23" t="s">
        <v>16</v>
      </c>
      <c r="G129" s="23" t="s">
        <v>16</v>
      </c>
      <c r="H129" s="23" t="s">
        <v>16</v>
      </c>
    </row>
    <row r="130" spans="5:8">
      <c r="E130" s="23" t="s">
        <v>16</v>
      </c>
      <c r="F130" s="23" t="s">
        <v>16</v>
      </c>
      <c r="G130" s="23" t="s">
        <v>16</v>
      </c>
      <c r="H130" s="23" t="s">
        <v>16</v>
      </c>
    </row>
    <row r="131" spans="5:8">
      <c r="E131" s="23" t="s">
        <v>16</v>
      </c>
      <c r="F131" s="23" t="s">
        <v>16</v>
      </c>
      <c r="G131" s="23" t="s">
        <v>16</v>
      </c>
      <c r="H131" s="23" t="s">
        <v>16</v>
      </c>
    </row>
    <row r="132" spans="5:8">
      <c r="E132" s="23" t="s">
        <v>16</v>
      </c>
      <c r="F132" s="23" t="s">
        <v>16</v>
      </c>
      <c r="G132" s="23" t="s">
        <v>16</v>
      </c>
      <c r="H132" s="23" t="s">
        <v>16</v>
      </c>
    </row>
    <row r="133" spans="5:8">
      <c r="E133" s="23" t="s">
        <v>16</v>
      </c>
      <c r="F133" s="23" t="s">
        <v>16</v>
      </c>
      <c r="G133" s="23" t="s">
        <v>16</v>
      </c>
      <c r="H133" s="23" t="s">
        <v>16</v>
      </c>
    </row>
    <row r="134" spans="5:8">
      <c r="E134" s="23" t="s">
        <v>16</v>
      </c>
      <c r="F134" s="23" t="s">
        <v>16</v>
      </c>
      <c r="G134" s="23" t="s">
        <v>16</v>
      </c>
      <c r="H134" s="23" t="s">
        <v>16</v>
      </c>
    </row>
    <row r="135" spans="5:8">
      <c r="E135" s="23" t="s">
        <v>16</v>
      </c>
      <c r="F135" s="23" t="s">
        <v>16</v>
      </c>
      <c r="G135" s="23" t="s">
        <v>16</v>
      </c>
      <c r="H135" s="23" t="s">
        <v>16</v>
      </c>
    </row>
    <row r="136" spans="5:8">
      <c r="E136" s="23" t="s">
        <v>16</v>
      </c>
      <c r="F136" s="23" t="s">
        <v>16</v>
      </c>
      <c r="G136" s="23" t="s">
        <v>16</v>
      </c>
      <c r="H136" s="23" t="s">
        <v>16</v>
      </c>
    </row>
    <row r="137" spans="5:8">
      <c r="E137" s="23" t="s">
        <v>16</v>
      </c>
      <c r="F137" s="23" t="s">
        <v>16</v>
      </c>
      <c r="G137" s="23" t="s">
        <v>16</v>
      </c>
      <c r="H137" s="23" t="s">
        <v>16</v>
      </c>
    </row>
    <row r="138" spans="5:8">
      <c r="E138" s="23" t="s">
        <v>16</v>
      </c>
      <c r="F138" s="23" t="s">
        <v>16</v>
      </c>
      <c r="G138" s="23" t="s">
        <v>16</v>
      </c>
      <c r="H138" s="23" t="s">
        <v>16</v>
      </c>
    </row>
    <row r="139" spans="5:8">
      <c r="E139" s="23" t="s">
        <v>16</v>
      </c>
      <c r="F139" s="23" t="s">
        <v>16</v>
      </c>
      <c r="G139" s="23" t="s">
        <v>16</v>
      </c>
      <c r="H139" s="23" t="s">
        <v>16</v>
      </c>
    </row>
    <row r="140" spans="5:8">
      <c r="E140" s="23" t="s">
        <v>16</v>
      </c>
      <c r="F140" s="23" t="s">
        <v>16</v>
      </c>
      <c r="G140" s="23" t="s">
        <v>16</v>
      </c>
      <c r="H140" s="23" t="s">
        <v>16</v>
      </c>
    </row>
    <row r="141" spans="5:8">
      <c r="E141" s="23" t="s">
        <v>16</v>
      </c>
      <c r="F141" s="23" t="s">
        <v>16</v>
      </c>
      <c r="G141" s="23" t="s">
        <v>16</v>
      </c>
      <c r="H141" s="23" t="s">
        <v>16</v>
      </c>
    </row>
    <row r="142" spans="5:8">
      <c r="E142" s="23" t="s">
        <v>16</v>
      </c>
      <c r="F142" s="23" t="s">
        <v>16</v>
      </c>
      <c r="G142" s="23" t="s">
        <v>16</v>
      </c>
      <c r="H142" s="23" t="s">
        <v>16</v>
      </c>
    </row>
    <row r="143" spans="5:8">
      <c r="E143" s="23" t="s">
        <v>16</v>
      </c>
      <c r="F143" s="23" t="s">
        <v>16</v>
      </c>
      <c r="G143" s="23" t="s">
        <v>16</v>
      </c>
      <c r="H143" s="23" t="s">
        <v>16</v>
      </c>
    </row>
    <row r="144" spans="5:8">
      <c r="E144" s="23" t="s">
        <v>16</v>
      </c>
      <c r="F144" s="23" t="s">
        <v>16</v>
      </c>
      <c r="G144" s="23" t="s">
        <v>16</v>
      </c>
      <c r="H144" s="23" t="s">
        <v>16</v>
      </c>
    </row>
    <row r="145" spans="5:8">
      <c r="E145" s="23" t="s">
        <v>16</v>
      </c>
      <c r="F145" s="23" t="s">
        <v>16</v>
      </c>
      <c r="G145" s="23" t="s">
        <v>16</v>
      </c>
      <c r="H145" s="23" t="s">
        <v>16</v>
      </c>
    </row>
    <row r="146" spans="5:8">
      <c r="E146" s="23" t="s">
        <v>16</v>
      </c>
      <c r="F146" s="23" t="s">
        <v>16</v>
      </c>
      <c r="G146" s="23" t="s">
        <v>16</v>
      </c>
      <c r="H146" s="23" t="s">
        <v>16</v>
      </c>
    </row>
    <row r="147" spans="5:8">
      <c r="E147" s="23" t="s">
        <v>16</v>
      </c>
      <c r="F147" s="23" t="s">
        <v>16</v>
      </c>
      <c r="G147" s="23" t="s">
        <v>16</v>
      </c>
      <c r="H147" s="23" t="s">
        <v>16</v>
      </c>
    </row>
    <row r="148" spans="5:8">
      <c r="E148" s="23" t="s">
        <v>16</v>
      </c>
      <c r="F148" s="23" t="s">
        <v>16</v>
      </c>
      <c r="G148" s="23" t="s">
        <v>16</v>
      </c>
      <c r="H148" s="23" t="s">
        <v>16</v>
      </c>
    </row>
    <row r="149" spans="5:8">
      <c r="E149" s="23" t="s">
        <v>16</v>
      </c>
      <c r="F149" s="23" t="s">
        <v>16</v>
      </c>
      <c r="G149" s="23" t="s">
        <v>16</v>
      </c>
      <c r="H149" s="23" t="s">
        <v>16</v>
      </c>
    </row>
    <row r="150" spans="5:8">
      <c r="E150" s="23" t="s">
        <v>16</v>
      </c>
      <c r="F150" s="23" t="s">
        <v>16</v>
      </c>
      <c r="G150" s="23" t="s">
        <v>16</v>
      </c>
      <c r="H150" s="23" t="s">
        <v>16</v>
      </c>
    </row>
    <row r="151" spans="5:8">
      <c r="E151" s="23" t="s">
        <v>16</v>
      </c>
      <c r="F151" s="23" t="s">
        <v>16</v>
      </c>
      <c r="G151" s="23" t="s">
        <v>16</v>
      </c>
      <c r="H151" s="23" t="s">
        <v>16</v>
      </c>
    </row>
    <row r="152" spans="5:8">
      <c r="E152" s="23" t="s">
        <v>16</v>
      </c>
      <c r="F152" s="23" t="s">
        <v>16</v>
      </c>
      <c r="G152" s="23" t="s">
        <v>16</v>
      </c>
      <c r="H152" s="23" t="s">
        <v>16</v>
      </c>
    </row>
    <row r="153" spans="5:8">
      <c r="E153" s="23" t="s">
        <v>16</v>
      </c>
      <c r="F153" s="23" t="s">
        <v>16</v>
      </c>
      <c r="G153" s="23" t="s">
        <v>16</v>
      </c>
      <c r="H153" s="23" t="s">
        <v>16</v>
      </c>
    </row>
    <row r="154" spans="5:8">
      <c r="E154" s="23" t="s">
        <v>16</v>
      </c>
      <c r="F154" s="23" t="s">
        <v>16</v>
      </c>
      <c r="G154" s="23" t="s">
        <v>16</v>
      </c>
      <c r="H154" s="23" t="s">
        <v>16</v>
      </c>
    </row>
    <row r="155" spans="5:8">
      <c r="E155" s="23" t="s">
        <v>16</v>
      </c>
      <c r="F155" s="23" t="s">
        <v>16</v>
      </c>
      <c r="G155" s="23" t="s">
        <v>16</v>
      </c>
      <c r="H155" s="23" t="s">
        <v>16</v>
      </c>
    </row>
    <row r="156" spans="5:8">
      <c r="E156" s="23" t="s">
        <v>16</v>
      </c>
      <c r="F156" s="23" t="s">
        <v>16</v>
      </c>
      <c r="G156" s="23" t="s">
        <v>16</v>
      </c>
      <c r="H156" s="23" t="s">
        <v>16</v>
      </c>
    </row>
    <row r="157" spans="5:8">
      <c r="E157" s="23" t="s">
        <v>16</v>
      </c>
      <c r="F157" s="23" t="s">
        <v>16</v>
      </c>
      <c r="G157" s="23" t="s">
        <v>16</v>
      </c>
      <c r="H157" s="23" t="s">
        <v>16</v>
      </c>
    </row>
    <row r="158" spans="5:8">
      <c r="E158" s="23" t="s">
        <v>16</v>
      </c>
      <c r="F158" s="23" t="s">
        <v>16</v>
      </c>
      <c r="G158" s="23" t="s">
        <v>16</v>
      </c>
      <c r="H158" s="23" t="s">
        <v>16</v>
      </c>
    </row>
    <row r="159" spans="5:8">
      <c r="E159" s="23" t="s">
        <v>16</v>
      </c>
      <c r="F159" s="23" t="s">
        <v>16</v>
      </c>
      <c r="G159" s="23" t="s">
        <v>16</v>
      </c>
      <c r="H159" s="23" t="s">
        <v>16</v>
      </c>
    </row>
    <row r="160" spans="5:8">
      <c r="E160" s="23" t="s">
        <v>16</v>
      </c>
      <c r="F160" s="23" t="s">
        <v>16</v>
      </c>
      <c r="G160" s="23" t="s">
        <v>16</v>
      </c>
      <c r="H160" s="23" t="s">
        <v>16</v>
      </c>
    </row>
    <row r="161" spans="5:8">
      <c r="E161" s="23" t="s">
        <v>16</v>
      </c>
      <c r="F161" s="23" t="s">
        <v>16</v>
      </c>
      <c r="G161" s="23" t="s">
        <v>16</v>
      </c>
      <c r="H161" s="23" t="s">
        <v>16</v>
      </c>
    </row>
    <row r="162" spans="5:8">
      <c r="E162" s="23" t="s">
        <v>16</v>
      </c>
      <c r="F162" s="23" t="s">
        <v>16</v>
      </c>
      <c r="G162" s="23" t="s">
        <v>16</v>
      </c>
      <c r="H162" s="23" t="s">
        <v>16</v>
      </c>
    </row>
    <row r="163" spans="5:8">
      <c r="E163" s="23" t="s">
        <v>16</v>
      </c>
      <c r="F163" s="23" t="s">
        <v>16</v>
      </c>
      <c r="G163" s="23" t="s">
        <v>16</v>
      </c>
      <c r="H163" s="23" t="s">
        <v>16</v>
      </c>
    </row>
    <row r="164" spans="5:8">
      <c r="E164" s="23" t="s">
        <v>16</v>
      </c>
      <c r="F164" s="23" t="s">
        <v>16</v>
      </c>
      <c r="G164" s="23" t="s">
        <v>16</v>
      </c>
      <c r="H164" s="23" t="s">
        <v>16</v>
      </c>
    </row>
    <row r="165" spans="5:8">
      <c r="E165" s="23" t="s">
        <v>16</v>
      </c>
      <c r="F165" s="23" t="s">
        <v>16</v>
      </c>
      <c r="G165" s="23" t="s">
        <v>16</v>
      </c>
      <c r="H165" s="23" t="s">
        <v>16</v>
      </c>
    </row>
    <row r="166" spans="5:8">
      <c r="E166" s="23" t="s">
        <v>16</v>
      </c>
      <c r="F166" s="23" t="s">
        <v>16</v>
      </c>
      <c r="G166" s="23" t="s">
        <v>16</v>
      </c>
      <c r="H166" s="23" t="s">
        <v>16</v>
      </c>
    </row>
    <row r="167" spans="5:8">
      <c r="E167" s="23" t="s">
        <v>16</v>
      </c>
      <c r="F167" s="23" t="s">
        <v>16</v>
      </c>
      <c r="G167" s="23" t="s">
        <v>16</v>
      </c>
      <c r="H167" s="23" t="s">
        <v>16</v>
      </c>
    </row>
    <row r="168" spans="5:8">
      <c r="E168" s="23" t="s">
        <v>16</v>
      </c>
      <c r="F168" s="23" t="s">
        <v>16</v>
      </c>
      <c r="G168" s="23" t="s">
        <v>16</v>
      </c>
      <c r="H168" s="23" t="s">
        <v>16</v>
      </c>
    </row>
    <row r="169" spans="5:8">
      <c r="E169" s="23" t="s">
        <v>16</v>
      </c>
      <c r="F169" s="23" t="s">
        <v>16</v>
      </c>
      <c r="G169" s="23" t="s">
        <v>16</v>
      </c>
      <c r="H169" s="23" t="s">
        <v>16</v>
      </c>
    </row>
    <row r="170" spans="5:8">
      <c r="E170" s="23" t="s">
        <v>16</v>
      </c>
      <c r="F170" s="23" t="s">
        <v>16</v>
      </c>
      <c r="G170" s="23" t="s">
        <v>16</v>
      </c>
      <c r="H170" s="23" t="s">
        <v>16</v>
      </c>
    </row>
    <row r="171" spans="5:8">
      <c r="E171" s="23" t="s">
        <v>16</v>
      </c>
      <c r="F171" s="23" t="s">
        <v>16</v>
      </c>
      <c r="G171" s="23" t="s">
        <v>16</v>
      </c>
      <c r="H171" s="23" t="s">
        <v>16</v>
      </c>
    </row>
    <row r="172" spans="5:8">
      <c r="E172" s="23" t="s">
        <v>16</v>
      </c>
      <c r="F172" s="23" t="s">
        <v>16</v>
      </c>
      <c r="G172" s="23" t="s">
        <v>16</v>
      </c>
      <c r="H172" s="23" t="s">
        <v>16</v>
      </c>
    </row>
    <row r="173" spans="5:8">
      <c r="E173" s="23" t="s">
        <v>16</v>
      </c>
      <c r="F173" s="23" t="s">
        <v>16</v>
      </c>
      <c r="G173" s="23" t="s">
        <v>16</v>
      </c>
      <c r="H173" s="23" t="s">
        <v>16</v>
      </c>
    </row>
    <row r="174" spans="5:8">
      <c r="E174" s="23" t="s">
        <v>16</v>
      </c>
      <c r="F174" s="23" t="s">
        <v>16</v>
      </c>
      <c r="G174" s="23" t="s">
        <v>16</v>
      </c>
      <c r="H174" s="23" t="s">
        <v>16</v>
      </c>
    </row>
    <row r="175" spans="5:8">
      <c r="E175" s="23" t="s">
        <v>16</v>
      </c>
      <c r="F175" s="23" t="s">
        <v>16</v>
      </c>
      <c r="G175" s="23" t="s">
        <v>16</v>
      </c>
      <c r="H175" s="23" t="s">
        <v>16</v>
      </c>
    </row>
    <row r="176" spans="5:8">
      <c r="E176" s="23" t="s">
        <v>16</v>
      </c>
      <c r="F176" s="23" t="s">
        <v>16</v>
      </c>
      <c r="G176" s="23" t="s">
        <v>16</v>
      </c>
      <c r="H176" s="23" t="s">
        <v>16</v>
      </c>
    </row>
    <row r="177" spans="5:8">
      <c r="E177" s="23" t="s">
        <v>16</v>
      </c>
      <c r="F177" s="23" t="s">
        <v>16</v>
      </c>
      <c r="G177" s="23" t="s">
        <v>16</v>
      </c>
      <c r="H177" s="23" t="s">
        <v>16</v>
      </c>
    </row>
    <row r="178" spans="5:8">
      <c r="E178" s="23" t="s">
        <v>16</v>
      </c>
      <c r="F178" s="23" t="s">
        <v>16</v>
      </c>
      <c r="G178" s="23" t="s">
        <v>16</v>
      </c>
      <c r="H178" s="23" t="s">
        <v>16</v>
      </c>
    </row>
    <row r="179" spans="5:8">
      <c r="E179" s="23" t="s">
        <v>16</v>
      </c>
      <c r="F179" s="23" t="s">
        <v>16</v>
      </c>
      <c r="G179" s="23" t="s">
        <v>16</v>
      </c>
      <c r="H179" s="23" t="s">
        <v>16</v>
      </c>
    </row>
    <row r="180" spans="5:8">
      <c r="E180" s="23" t="s">
        <v>16</v>
      </c>
      <c r="F180" s="23" t="s">
        <v>16</v>
      </c>
      <c r="G180" s="23" t="s">
        <v>16</v>
      </c>
      <c r="H180" s="23" t="s">
        <v>16</v>
      </c>
    </row>
    <row r="181" spans="5:8">
      <c r="E181" s="23" t="s">
        <v>16</v>
      </c>
      <c r="F181" s="23" t="s">
        <v>16</v>
      </c>
      <c r="G181" s="23" t="s">
        <v>16</v>
      </c>
      <c r="H181" s="23" t="s">
        <v>16</v>
      </c>
    </row>
    <row r="182" spans="5:8">
      <c r="E182" s="23" t="s">
        <v>16</v>
      </c>
      <c r="F182" s="23" t="s">
        <v>16</v>
      </c>
      <c r="G182" s="23" t="s">
        <v>16</v>
      </c>
      <c r="H182" s="23" t="s">
        <v>16</v>
      </c>
    </row>
    <row r="183" spans="5:8">
      <c r="E183" s="23" t="s">
        <v>16</v>
      </c>
      <c r="F183" s="23" t="s">
        <v>16</v>
      </c>
      <c r="G183" s="23" t="s">
        <v>16</v>
      </c>
      <c r="H183" s="23" t="s">
        <v>16</v>
      </c>
    </row>
    <row r="184" spans="5:8">
      <c r="E184" s="23" t="s">
        <v>16</v>
      </c>
      <c r="F184" s="23" t="s">
        <v>16</v>
      </c>
      <c r="G184" s="23" t="s">
        <v>16</v>
      </c>
      <c r="H184" s="23" t="s">
        <v>16</v>
      </c>
    </row>
    <row r="185" spans="5:8">
      <c r="E185" s="23" t="s">
        <v>16</v>
      </c>
      <c r="F185" s="23" t="s">
        <v>16</v>
      </c>
      <c r="G185" s="23" t="s">
        <v>16</v>
      </c>
      <c r="H185" s="23" t="s">
        <v>16</v>
      </c>
    </row>
    <row r="186" spans="5:8">
      <c r="E186" s="23" t="s">
        <v>16</v>
      </c>
      <c r="F186" s="23" t="s">
        <v>16</v>
      </c>
      <c r="G186" s="23" t="s">
        <v>16</v>
      </c>
      <c r="H186" s="23" t="s">
        <v>16</v>
      </c>
    </row>
    <row r="187" spans="5:8">
      <c r="E187" s="23" t="s">
        <v>16</v>
      </c>
      <c r="F187" s="23" t="s">
        <v>16</v>
      </c>
      <c r="G187" s="23" t="s">
        <v>16</v>
      </c>
      <c r="H187" s="23" t="s">
        <v>16</v>
      </c>
    </row>
    <row r="188" spans="5:8">
      <c r="E188" s="23" t="s">
        <v>16</v>
      </c>
      <c r="F188" s="23" t="s">
        <v>16</v>
      </c>
      <c r="G188" s="23" t="s">
        <v>16</v>
      </c>
      <c r="H188" s="23" t="s">
        <v>16</v>
      </c>
    </row>
    <row r="189" spans="5:8">
      <c r="E189" s="23" t="s">
        <v>16</v>
      </c>
      <c r="F189" s="23" t="s">
        <v>16</v>
      </c>
      <c r="G189" s="23" t="s">
        <v>16</v>
      </c>
      <c r="H189" s="23" t="s">
        <v>16</v>
      </c>
    </row>
    <row r="190" spans="5:8">
      <c r="E190" s="23" t="s">
        <v>16</v>
      </c>
      <c r="F190" s="23" t="s">
        <v>16</v>
      </c>
      <c r="G190" s="23" t="s">
        <v>16</v>
      </c>
      <c r="H190" s="23" t="s">
        <v>16</v>
      </c>
    </row>
    <row r="191" spans="5:8">
      <c r="E191" s="23" t="s">
        <v>16</v>
      </c>
      <c r="F191" s="23" t="s">
        <v>16</v>
      </c>
      <c r="G191" s="23" t="s">
        <v>16</v>
      </c>
      <c r="H191" s="23" t="s">
        <v>16</v>
      </c>
    </row>
    <row r="192" spans="5:8">
      <c r="E192" s="23" t="s">
        <v>16</v>
      </c>
      <c r="F192" s="23" t="s">
        <v>16</v>
      </c>
      <c r="G192" s="23" t="s">
        <v>16</v>
      </c>
      <c r="H192" s="23" t="s">
        <v>16</v>
      </c>
    </row>
    <row r="193" spans="5:8">
      <c r="E193" s="23" t="s">
        <v>16</v>
      </c>
      <c r="F193" s="23" t="s">
        <v>16</v>
      </c>
      <c r="G193" s="23" t="s">
        <v>16</v>
      </c>
      <c r="H193" s="23" t="s">
        <v>16</v>
      </c>
    </row>
    <row r="194" spans="5:8">
      <c r="E194" s="23" t="s">
        <v>16</v>
      </c>
      <c r="F194" s="23" t="s">
        <v>16</v>
      </c>
      <c r="G194" s="23" t="s">
        <v>16</v>
      </c>
      <c r="H194" s="23" t="s">
        <v>16</v>
      </c>
    </row>
    <row r="195" spans="5:8">
      <c r="E195" s="23" t="s">
        <v>16</v>
      </c>
      <c r="F195" s="23" t="s">
        <v>16</v>
      </c>
      <c r="G195" s="23" t="s">
        <v>16</v>
      </c>
      <c r="H195" s="23" t="s">
        <v>16</v>
      </c>
    </row>
    <row r="196" spans="5:8">
      <c r="E196" s="23" t="s">
        <v>16</v>
      </c>
      <c r="F196" s="23" t="s">
        <v>16</v>
      </c>
      <c r="G196" s="23" t="s">
        <v>16</v>
      </c>
      <c r="H196" s="23" t="s">
        <v>16</v>
      </c>
    </row>
    <row r="197" spans="5:8">
      <c r="E197" s="23" t="s">
        <v>16</v>
      </c>
      <c r="F197" s="23" t="s">
        <v>16</v>
      </c>
      <c r="G197" s="23" t="s">
        <v>16</v>
      </c>
      <c r="H197" s="23" t="s">
        <v>16</v>
      </c>
    </row>
    <row r="198" spans="5:8">
      <c r="E198" s="23" t="s">
        <v>16</v>
      </c>
      <c r="F198" s="23" t="s">
        <v>16</v>
      </c>
      <c r="G198" s="23" t="s">
        <v>16</v>
      </c>
      <c r="H198" s="23" t="s">
        <v>16</v>
      </c>
    </row>
    <row r="199" spans="5:8">
      <c r="E199" s="23" t="s">
        <v>16</v>
      </c>
      <c r="F199" s="23" t="s">
        <v>16</v>
      </c>
      <c r="G199" s="23" t="s">
        <v>16</v>
      </c>
      <c r="H199" s="23" t="s">
        <v>16</v>
      </c>
    </row>
    <row r="200" spans="5:8">
      <c r="E200" s="23" t="s">
        <v>16</v>
      </c>
      <c r="F200" s="23" t="s">
        <v>16</v>
      </c>
      <c r="G200" s="23" t="s">
        <v>16</v>
      </c>
      <c r="H200" s="23" t="s">
        <v>16</v>
      </c>
    </row>
    <row r="201" spans="5:8">
      <c r="E201" s="23" t="s">
        <v>16</v>
      </c>
      <c r="F201" s="23" t="s">
        <v>16</v>
      </c>
      <c r="G201" s="23" t="s">
        <v>16</v>
      </c>
      <c r="H201" s="23" t="s">
        <v>16</v>
      </c>
    </row>
    <row r="202" spans="5:8">
      <c r="E202" s="23"/>
      <c r="F202" s="23"/>
      <c r="G202" s="23"/>
      <c r="H202" s="23"/>
    </row>
    <row r="203" spans="5:8">
      <c r="E203" s="23"/>
      <c r="F203" s="23"/>
      <c r="G203" s="23"/>
      <c r="H203" s="23"/>
    </row>
    <row r="204" spans="5:8">
      <c r="E204" s="23"/>
      <c r="F204" s="23"/>
      <c r="G204" s="23"/>
      <c r="H204" s="23"/>
    </row>
    <row r="205" spans="5:8">
      <c r="E205" s="23"/>
      <c r="F205" s="23"/>
      <c r="G205" s="23"/>
      <c r="H205" s="23"/>
    </row>
    <row r="206" spans="5:8">
      <c r="E206" s="23"/>
      <c r="F206" s="23"/>
      <c r="G206" s="23"/>
      <c r="H206" s="23"/>
    </row>
    <row r="207" spans="5:8">
      <c r="E207" s="23"/>
      <c r="F207" s="23"/>
      <c r="G207" s="23"/>
      <c r="H207" s="23"/>
    </row>
    <row r="208" spans="5:8">
      <c r="E208" s="23"/>
      <c r="F208" s="23"/>
      <c r="G208" s="23"/>
      <c r="H208" s="23"/>
    </row>
    <row r="209" spans="5:8">
      <c r="E209" s="23"/>
      <c r="F209" s="23"/>
      <c r="G209" s="23"/>
      <c r="H209" s="23"/>
    </row>
    <row r="210" spans="5:8">
      <c r="E210" s="23"/>
      <c r="F210" s="23"/>
      <c r="G210" s="23"/>
      <c r="H210" s="23"/>
    </row>
    <row r="211" spans="5:8">
      <c r="E211" s="23"/>
      <c r="F211" s="23"/>
      <c r="G211" s="23"/>
      <c r="H211" s="23"/>
    </row>
    <row r="212" spans="5:8">
      <c r="E212" s="23"/>
      <c r="F212" s="23"/>
      <c r="G212" s="23"/>
      <c r="H212" s="23"/>
    </row>
    <row r="213" spans="5:8">
      <c r="E213" s="23"/>
      <c r="F213" s="23"/>
      <c r="G213" s="23"/>
      <c r="H213" s="23"/>
    </row>
    <row r="214" spans="5:8">
      <c r="E214" s="23"/>
      <c r="F214" s="23"/>
      <c r="G214" s="23"/>
      <c r="H214" s="23"/>
    </row>
    <row r="215" spans="5:8">
      <c r="E215" s="23"/>
      <c r="F215" s="23"/>
      <c r="G215" s="23"/>
      <c r="H215" s="23"/>
    </row>
    <row r="216" spans="5:8">
      <c r="E216" s="23"/>
      <c r="F216" s="23"/>
      <c r="G216" s="23"/>
      <c r="H216" s="23"/>
    </row>
    <row r="217" spans="5:8">
      <c r="E217" s="23"/>
      <c r="F217" s="23"/>
      <c r="G217" s="23"/>
      <c r="H217" s="23"/>
    </row>
    <row r="218" spans="5:8">
      <c r="E218" s="23"/>
      <c r="F218" s="23"/>
      <c r="G218" s="23"/>
      <c r="H218" s="23"/>
    </row>
    <row r="219" spans="5:8">
      <c r="E219" s="23"/>
      <c r="F219" s="23"/>
      <c r="G219" s="23"/>
      <c r="H219" s="23"/>
    </row>
    <row r="220" spans="5:8">
      <c r="E220" s="23"/>
      <c r="F220" s="23"/>
      <c r="G220" s="23"/>
      <c r="H220" s="23"/>
    </row>
    <row r="221" spans="5:8">
      <c r="E221" s="23"/>
      <c r="F221" s="23"/>
      <c r="G221" s="23"/>
      <c r="H221" s="23"/>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16" max="7" man="1"/>
  </row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pageSetUpPr fitToPage="1"/>
  </sheetPr>
  <dimension ref="A1:J992"/>
  <sheetViews>
    <sheetView showGridLines="0" view="pageBreakPreview" zoomScale="90" zoomScaleNormal="90" topLeftCell="A67" workbookViewId="0">
      <selection activeCell="E27" sqref="E27"/>
    </sheetView>
  </sheetViews>
  <sheetFormatPr defaultColWidth="9.12962962962963" defaultRowHeight="13.8"/>
  <cols>
    <col min="1" max="1" width="7.62962962962963" style="3" customWidth="1"/>
    <col min="2" max="2" width="39.5" style="2" customWidth="1"/>
    <col min="3" max="3" width="30.75" style="4" customWidth="1"/>
    <col min="4" max="4" width="30.75" style="75" customWidth="1"/>
    <col min="5" max="8" width="13.8796296296296" style="76" customWidth="1"/>
    <col min="9" max="10" width="9.12962962962963" style="3" customWidth="1"/>
    <col min="11" max="16384" width="9.12962962962963" style="3"/>
  </cols>
  <sheetData>
    <row r="1" spans="1:10">
      <c r="A1" s="6" t="s">
        <v>2576</v>
      </c>
      <c r="B1" s="6"/>
      <c r="C1" s="7"/>
      <c r="D1" s="7"/>
      <c r="E1" s="6"/>
      <c r="F1" s="6"/>
      <c r="G1" s="6"/>
      <c r="H1" s="6"/>
    </row>
    <row r="2" spans="1:10">
      <c r="A2" s="8" t="s">
        <v>4</v>
      </c>
      <c r="B2" s="8"/>
      <c r="C2" s="8"/>
      <c r="D2" s="8"/>
      <c r="E2" s="8"/>
      <c r="F2" s="8"/>
      <c r="G2" s="8"/>
      <c r="H2" s="8"/>
    </row>
    <row r="3" spans="1:10">
      <c r="A3" s="9" t="s">
        <v>5</v>
      </c>
      <c r="B3" s="9" t="s">
        <v>6</v>
      </c>
      <c r="C3" s="9" t="s">
        <v>7</v>
      </c>
      <c r="D3" s="9"/>
      <c r="E3" s="9" t="s">
        <v>8</v>
      </c>
      <c r="F3" s="9"/>
      <c r="G3" s="9"/>
      <c r="H3" s="9"/>
    </row>
    <row r="4" spans="1:10">
      <c r="A4" s="11"/>
      <c r="B4" s="11"/>
      <c r="C4" s="9" t="s">
        <v>9</v>
      </c>
      <c r="D4" s="9" t="s">
        <v>10</v>
      </c>
      <c r="E4" s="10" t="s">
        <v>11</v>
      </c>
      <c r="F4" s="10" t="s">
        <v>12</v>
      </c>
      <c r="G4" s="10" t="s">
        <v>13</v>
      </c>
      <c r="H4" s="10" t="s">
        <v>14</v>
      </c>
    </row>
    <row r="5" spans="1:10">
      <c r="A5" s="13" t="s">
        <v>15</v>
      </c>
      <c r="B5" s="11"/>
      <c r="C5" s="15"/>
      <c r="D5" s="15"/>
      <c r="E5" s="11" t="s">
        <v>16</v>
      </c>
      <c r="F5" s="11" t="s">
        <v>16</v>
      </c>
      <c r="G5" s="11" t="s">
        <v>16</v>
      </c>
      <c r="H5" s="11" t="s">
        <v>16</v>
      </c>
      <c r="I5" s="77"/>
    </row>
    <row r="6" spans="1:10">
      <c r="A6" s="36">
        <v>1</v>
      </c>
      <c r="B6" s="18" t="s">
        <v>2577</v>
      </c>
      <c r="C6" s="18" t="s">
        <v>2578</v>
      </c>
      <c r="D6" s="18" t="s">
        <v>2579</v>
      </c>
      <c r="E6" s="21">
        <v>1300000</v>
      </c>
      <c r="F6" s="21">
        <v>850000</v>
      </c>
      <c r="G6" s="21">
        <v>600000</v>
      </c>
      <c r="H6" s="21">
        <v>345000</v>
      </c>
      <c r="I6" s="63"/>
      <c r="J6" s="78"/>
    </row>
    <row r="7" spans="1:10">
      <c r="A7" s="36"/>
      <c r="B7" s="18" t="s">
        <v>2577</v>
      </c>
      <c r="C7" s="18" t="s">
        <v>2579</v>
      </c>
      <c r="D7" s="18" t="s">
        <v>534</v>
      </c>
      <c r="E7" s="21">
        <v>470000</v>
      </c>
      <c r="F7" s="21">
        <v>270000</v>
      </c>
      <c r="G7" s="21">
        <v>155000</v>
      </c>
      <c r="H7" s="21">
        <v>90000</v>
      </c>
      <c r="I7" s="79"/>
    </row>
    <row r="8" spans="1:10">
      <c r="A8" s="36">
        <v>2</v>
      </c>
      <c r="B8" s="18" t="s">
        <v>2580</v>
      </c>
      <c r="C8" s="18" t="s">
        <v>2581</v>
      </c>
      <c r="D8" s="18" t="s">
        <v>2582</v>
      </c>
      <c r="E8" s="21">
        <v>1300000</v>
      </c>
      <c r="F8" s="21">
        <v>850000</v>
      </c>
      <c r="G8" s="21">
        <v>600000</v>
      </c>
      <c r="H8" s="21">
        <v>345000</v>
      </c>
    </row>
    <row r="9" ht="27.6" spans="1:10">
      <c r="A9" s="36">
        <v>3</v>
      </c>
      <c r="B9" s="18" t="s">
        <v>2583</v>
      </c>
      <c r="C9" s="18" t="s">
        <v>2584</v>
      </c>
      <c r="D9" s="18" t="s">
        <v>2585</v>
      </c>
      <c r="E9" s="23">
        <v>395000</v>
      </c>
      <c r="F9" s="23">
        <v>220000</v>
      </c>
      <c r="G9" s="23">
        <v>125000</v>
      </c>
      <c r="H9" s="23">
        <v>60000</v>
      </c>
    </row>
    <row r="10" spans="1:10">
      <c r="A10" s="36">
        <v>4</v>
      </c>
      <c r="B10" s="18" t="s">
        <v>2586</v>
      </c>
      <c r="C10" s="18" t="s">
        <v>2587</v>
      </c>
      <c r="D10" s="18" t="s">
        <v>534</v>
      </c>
      <c r="E10" s="23">
        <v>290000</v>
      </c>
      <c r="F10" s="23">
        <v>165000</v>
      </c>
      <c r="G10" s="23">
        <v>75000</v>
      </c>
      <c r="H10" s="23">
        <v>50000</v>
      </c>
    </row>
    <row r="11" spans="1:10">
      <c r="A11" s="36">
        <v>5</v>
      </c>
      <c r="B11" s="18" t="s">
        <v>2588</v>
      </c>
      <c r="C11" s="18" t="s">
        <v>2578</v>
      </c>
      <c r="D11" s="18" t="s">
        <v>2589</v>
      </c>
      <c r="E11" s="23">
        <v>850000</v>
      </c>
      <c r="F11" s="23">
        <v>425000</v>
      </c>
      <c r="G11" s="23">
        <v>215000</v>
      </c>
      <c r="H11" s="23">
        <v>120000</v>
      </c>
    </row>
    <row r="12" spans="1:10">
      <c r="A12" s="36"/>
      <c r="B12" s="18" t="s">
        <v>2588</v>
      </c>
      <c r="C12" s="18" t="s">
        <v>2590</v>
      </c>
      <c r="D12" s="18" t="s">
        <v>2591</v>
      </c>
      <c r="E12" s="23">
        <v>650000</v>
      </c>
      <c r="F12" s="23">
        <v>390000</v>
      </c>
      <c r="G12" s="23">
        <v>170000</v>
      </c>
      <c r="H12" s="23">
        <v>95000</v>
      </c>
    </row>
    <row r="13" spans="1:10">
      <c r="A13" s="36">
        <v>6</v>
      </c>
      <c r="B13" s="18" t="s">
        <v>2592</v>
      </c>
      <c r="C13" s="18" t="s">
        <v>2593</v>
      </c>
      <c r="D13" s="18" t="s">
        <v>2594</v>
      </c>
      <c r="E13" s="23">
        <v>500000</v>
      </c>
      <c r="F13" s="23">
        <v>275000</v>
      </c>
      <c r="G13" s="23">
        <v>150000</v>
      </c>
      <c r="H13" s="23">
        <v>85000</v>
      </c>
      <c r="I13" s="80"/>
    </row>
    <row r="14" spans="1:10">
      <c r="A14" s="36"/>
      <c r="B14" s="18" t="s">
        <v>2592</v>
      </c>
      <c r="C14" s="18" t="s">
        <v>2594</v>
      </c>
      <c r="D14" s="18" t="s">
        <v>2595</v>
      </c>
      <c r="E14" s="23">
        <v>470000</v>
      </c>
      <c r="F14" s="23">
        <v>270000</v>
      </c>
      <c r="G14" s="23">
        <v>155000</v>
      </c>
      <c r="H14" s="23">
        <v>90000</v>
      </c>
    </row>
    <row r="15" spans="1:10">
      <c r="A15" s="36">
        <v>7</v>
      </c>
      <c r="B15" s="18" t="s">
        <v>2596</v>
      </c>
      <c r="C15" s="18" t="s">
        <v>2597</v>
      </c>
      <c r="D15" s="18" t="s">
        <v>534</v>
      </c>
      <c r="E15" s="23">
        <v>850000</v>
      </c>
      <c r="F15" s="23">
        <v>425000</v>
      </c>
      <c r="G15" s="23">
        <v>215000</v>
      </c>
      <c r="H15" s="23">
        <v>120000</v>
      </c>
    </row>
    <row r="16" ht="27.6" spans="1:10">
      <c r="A16" s="36">
        <v>8</v>
      </c>
      <c r="B16" s="18" t="s">
        <v>2578</v>
      </c>
      <c r="C16" s="18" t="s">
        <v>2598</v>
      </c>
      <c r="D16" s="18" t="s">
        <v>2582</v>
      </c>
      <c r="E16" s="23">
        <v>850000</v>
      </c>
      <c r="F16" s="23">
        <v>425000</v>
      </c>
      <c r="G16" s="23">
        <v>215000</v>
      </c>
      <c r="H16" s="23">
        <v>120000</v>
      </c>
    </row>
    <row r="17" spans="1:9">
      <c r="A17" s="36"/>
      <c r="B17" s="18" t="s">
        <v>2578</v>
      </c>
      <c r="C17" s="18" t="s">
        <v>2582</v>
      </c>
      <c r="D17" s="18" t="s">
        <v>2580</v>
      </c>
      <c r="E17" s="23">
        <v>1300000</v>
      </c>
      <c r="F17" s="23">
        <v>850000</v>
      </c>
      <c r="G17" s="23">
        <v>600000</v>
      </c>
      <c r="H17" s="23">
        <v>345000</v>
      </c>
    </row>
    <row r="18" spans="1:9">
      <c r="A18" s="36"/>
      <c r="B18" s="18" t="s">
        <v>2578</v>
      </c>
      <c r="C18" s="18" t="s">
        <v>2580</v>
      </c>
      <c r="D18" s="18" t="s">
        <v>2577</v>
      </c>
      <c r="E18" s="23">
        <v>1300000</v>
      </c>
      <c r="F18" s="23">
        <v>850000</v>
      </c>
      <c r="G18" s="23">
        <v>600000</v>
      </c>
      <c r="H18" s="23">
        <v>345000</v>
      </c>
    </row>
    <row r="19" spans="1:9">
      <c r="A19" s="36"/>
      <c r="B19" s="18" t="s">
        <v>2578</v>
      </c>
      <c r="C19" s="18" t="s">
        <v>2577</v>
      </c>
      <c r="D19" s="18" t="s">
        <v>2599</v>
      </c>
      <c r="E19" s="23">
        <v>1450000</v>
      </c>
      <c r="F19" s="23">
        <v>1050000</v>
      </c>
      <c r="G19" s="23">
        <v>700000</v>
      </c>
      <c r="H19" s="23">
        <v>430000</v>
      </c>
      <c r="I19" s="80"/>
    </row>
    <row r="20" spans="1:9">
      <c r="A20" s="36"/>
      <c r="B20" s="18" t="s">
        <v>2578</v>
      </c>
      <c r="C20" s="18" t="s">
        <v>2600</v>
      </c>
      <c r="D20" s="18" t="s">
        <v>2601</v>
      </c>
      <c r="E20" s="23">
        <v>1300000</v>
      </c>
      <c r="F20" s="23">
        <v>850000</v>
      </c>
      <c r="G20" s="23">
        <v>600000</v>
      </c>
      <c r="H20" s="23">
        <v>345000</v>
      </c>
    </row>
    <row r="21" spans="1:9">
      <c r="A21" s="36"/>
      <c r="B21" s="18" t="s">
        <v>2578</v>
      </c>
      <c r="C21" s="18" t="s">
        <v>2602</v>
      </c>
      <c r="D21" s="18" t="s">
        <v>2603</v>
      </c>
      <c r="E21" s="23">
        <v>850000</v>
      </c>
      <c r="F21" s="23">
        <v>425000</v>
      </c>
      <c r="G21" s="23">
        <v>215000</v>
      </c>
      <c r="H21" s="23">
        <v>120000</v>
      </c>
    </row>
    <row r="22" spans="1:9">
      <c r="A22" s="36">
        <v>9</v>
      </c>
      <c r="B22" s="18" t="s">
        <v>2604</v>
      </c>
      <c r="C22" s="18" t="s">
        <v>2578</v>
      </c>
      <c r="D22" s="18" t="s">
        <v>2605</v>
      </c>
      <c r="E22" s="23">
        <v>1450000</v>
      </c>
      <c r="F22" s="23">
        <v>1050000</v>
      </c>
      <c r="G22" s="23">
        <v>700000</v>
      </c>
      <c r="H22" s="23">
        <v>430000</v>
      </c>
    </row>
    <row r="23" spans="1:9">
      <c r="A23" s="36"/>
      <c r="B23" s="18" t="s">
        <v>2604</v>
      </c>
      <c r="C23" s="18" t="s">
        <v>2605</v>
      </c>
      <c r="D23" s="18" t="s">
        <v>2606</v>
      </c>
      <c r="E23" s="23">
        <v>1300000</v>
      </c>
      <c r="F23" s="23">
        <v>850000</v>
      </c>
      <c r="G23" s="23">
        <v>600000</v>
      </c>
      <c r="H23" s="23">
        <v>345000</v>
      </c>
    </row>
    <row r="24" spans="1:9">
      <c r="A24" s="36"/>
      <c r="B24" s="18" t="s">
        <v>2604</v>
      </c>
      <c r="C24" s="18" t="s">
        <v>2606</v>
      </c>
      <c r="D24" s="18" t="s">
        <v>2591</v>
      </c>
      <c r="E24" s="23">
        <v>1300000</v>
      </c>
      <c r="F24" s="23">
        <v>850000</v>
      </c>
      <c r="G24" s="23">
        <v>600000</v>
      </c>
      <c r="H24" s="23">
        <v>345000</v>
      </c>
    </row>
    <row r="25" spans="1:9">
      <c r="A25" s="36">
        <v>10</v>
      </c>
      <c r="B25" s="18" t="s">
        <v>2607</v>
      </c>
      <c r="C25" s="18" t="s">
        <v>2580</v>
      </c>
      <c r="D25" s="18" t="s">
        <v>2582</v>
      </c>
      <c r="E25" s="23">
        <v>1300000</v>
      </c>
      <c r="F25" s="23">
        <v>850000</v>
      </c>
      <c r="G25" s="23">
        <v>600000</v>
      </c>
      <c r="H25" s="23">
        <v>345000</v>
      </c>
    </row>
    <row r="26" ht="27.6" spans="1:9">
      <c r="A26" s="36">
        <v>11</v>
      </c>
      <c r="B26" s="18" t="s">
        <v>2591</v>
      </c>
      <c r="C26" s="18" t="s">
        <v>2608</v>
      </c>
      <c r="D26" s="18" t="s">
        <v>2588</v>
      </c>
      <c r="E26" s="23">
        <v>500000</v>
      </c>
      <c r="F26" s="23">
        <v>275000</v>
      </c>
      <c r="G26" s="23">
        <v>150000</v>
      </c>
      <c r="H26" s="23">
        <v>85000</v>
      </c>
    </row>
    <row r="27" spans="1:9">
      <c r="A27" s="36">
        <v>12</v>
      </c>
      <c r="B27" s="18" t="s">
        <v>2609</v>
      </c>
      <c r="C27" s="18" t="s">
        <v>2581</v>
      </c>
      <c r="D27" s="18" t="s">
        <v>2610</v>
      </c>
      <c r="E27" s="23">
        <v>500000</v>
      </c>
      <c r="F27" s="23">
        <v>275000</v>
      </c>
      <c r="G27" s="23">
        <v>150000</v>
      </c>
      <c r="H27" s="23">
        <v>85000</v>
      </c>
    </row>
    <row r="28" spans="1:9">
      <c r="A28" s="36">
        <v>13</v>
      </c>
      <c r="B28" s="18" t="s">
        <v>2611</v>
      </c>
      <c r="C28" s="18" t="s">
        <v>2581</v>
      </c>
      <c r="D28" s="18" t="s">
        <v>2609</v>
      </c>
      <c r="E28" s="23">
        <v>500000</v>
      </c>
      <c r="F28" s="23">
        <v>275000</v>
      </c>
      <c r="G28" s="23">
        <v>150000</v>
      </c>
      <c r="H28" s="23">
        <v>85000</v>
      </c>
      <c r="I28" s="80"/>
    </row>
    <row r="29" spans="1:9">
      <c r="A29" s="36">
        <v>14</v>
      </c>
      <c r="B29" s="18" t="s">
        <v>2593</v>
      </c>
      <c r="C29" s="18" t="s">
        <v>2578</v>
      </c>
      <c r="D29" s="18" t="s">
        <v>2612</v>
      </c>
      <c r="E29" s="23">
        <v>1450000</v>
      </c>
      <c r="F29" s="23">
        <v>1050000</v>
      </c>
      <c r="G29" s="23">
        <v>700000</v>
      </c>
      <c r="H29" s="23">
        <v>430000</v>
      </c>
    </row>
    <row r="30" spans="1:9">
      <c r="A30" s="36"/>
      <c r="B30" s="18" t="s">
        <v>2593</v>
      </c>
      <c r="C30" s="18" t="s">
        <v>2613</v>
      </c>
      <c r="D30" s="18" t="s">
        <v>2592</v>
      </c>
      <c r="E30" s="23">
        <v>1300000</v>
      </c>
      <c r="F30" s="23">
        <v>850000</v>
      </c>
      <c r="G30" s="23">
        <v>600000</v>
      </c>
      <c r="H30" s="23">
        <v>345000</v>
      </c>
    </row>
    <row r="31" spans="1:9">
      <c r="A31" s="36"/>
      <c r="B31" s="18" t="s">
        <v>2593</v>
      </c>
      <c r="C31" s="18" t="s">
        <v>2592</v>
      </c>
      <c r="D31" s="18" t="s">
        <v>2594</v>
      </c>
      <c r="E31" s="23">
        <v>650000</v>
      </c>
      <c r="F31" s="23">
        <v>390000</v>
      </c>
      <c r="G31" s="23">
        <v>170000</v>
      </c>
      <c r="H31" s="23">
        <v>95000</v>
      </c>
    </row>
    <row r="32" spans="1:9">
      <c r="A32" s="36"/>
      <c r="B32" s="18" t="s">
        <v>2593</v>
      </c>
      <c r="C32" s="18" t="s">
        <v>2594</v>
      </c>
      <c r="D32" s="18" t="s">
        <v>2614</v>
      </c>
      <c r="E32" s="23">
        <v>470000</v>
      </c>
      <c r="F32" s="23">
        <v>270000</v>
      </c>
      <c r="G32" s="23">
        <v>155000</v>
      </c>
      <c r="H32" s="23">
        <v>90000</v>
      </c>
    </row>
    <row r="33" spans="1:9">
      <c r="A33" s="36">
        <v>15</v>
      </c>
      <c r="B33" s="18" t="s">
        <v>2615</v>
      </c>
      <c r="C33" s="18" t="s">
        <v>2578</v>
      </c>
      <c r="D33" s="18" t="s">
        <v>2597</v>
      </c>
      <c r="E33" s="23">
        <v>1300000</v>
      </c>
      <c r="F33" s="23">
        <v>850000</v>
      </c>
      <c r="G33" s="23">
        <v>600000</v>
      </c>
      <c r="H33" s="23">
        <v>345000</v>
      </c>
      <c r="I33" s="80"/>
    </row>
    <row r="34" spans="1:9">
      <c r="A34" s="36">
        <v>16</v>
      </c>
      <c r="B34" s="18" t="s">
        <v>2594</v>
      </c>
      <c r="C34" s="18" t="s">
        <v>2593</v>
      </c>
      <c r="D34" s="18" t="s">
        <v>2595</v>
      </c>
      <c r="E34" s="23">
        <v>395000</v>
      </c>
      <c r="F34" s="23">
        <v>220000</v>
      </c>
      <c r="G34" s="23">
        <v>125000</v>
      </c>
      <c r="H34" s="23">
        <v>60000</v>
      </c>
    </row>
    <row r="35" spans="1:9">
      <c r="A35" s="36">
        <v>17</v>
      </c>
      <c r="B35" s="18" t="s">
        <v>2616</v>
      </c>
      <c r="C35" s="18" t="s">
        <v>2578</v>
      </c>
      <c r="D35" s="18" t="s">
        <v>2617</v>
      </c>
      <c r="E35" s="23">
        <v>500000</v>
      </c>
      <c r="F35" s="23">
        <v>275000</v>
      </c>
      <c r="G35" s="23">
        <v>150000</v>
      </c>
      <c r="H35" s="23">
        <v>85000</v>
      </c>
    </row>
    <row r="36" spans="1:9">
      <c r="A36" s="36"/>
      <c r="B36" s="18" t="s">
        <v>2616</v>
      </c>
      <c r="C36" s="18" t="s">
        <v>2617</v>
      </c>
      <c r="D36" s="18" t="s">
        <v>2618</v>
      </c>
      <c r="E36" s="23">
        <v>500000</v>
      </c>
      <c r="F36" s="23">
        <v>275000</v>
      </c>
      <c r="G36" s="23">
        <v>150000</v>
      </c>
      <c r="H36" s="23">
        <v>85000</v>
      </c>
    </row>
    <row r="37" spans="1:9">
      <c r="A37" s="36">
        <v>18</v>
      </c>
      <c r="B37" s="18" t="s">
        <v>2619</v>
      </c>
      <c r="C37" s="18" t="s">
        <v>2604</v>
      </c>
      <c r="D37" s="18" t="s">
        <v>2620</v>
      </c>
      <c r="E37" s="23">
        <v>850000</v>
      </c>
      <c r="F37" s="23">
        <v>425000</v>
      </c>
      <c r="G37" s="23">
        <v>215000</v>
      </c>
      <c r="H37" s="23">
        <v>120000</v>
      </c>
    </row>
    <row r="38" spans="1:9">
      <c r="A38" s="36">
        <v>19</v>
      </c>
      <c r="B38" s="18" t="s">
        <v>2621</v>
      </c>
      <c r="C38" s="18" t="s">
        <v>2622</v>
      </c>
      <c r="D38" s="18" t="s">
        <v>2623</v>
      </c>
      <c r="E38" s="23">
        <v>470000</v>
      </c>
      <c r="F38" s="23">
        <v>270000</v>
      </c>
      <c r="G38" s="23">
        <v>155000</v>
      </c>
      <c r="H38" s="23">
        <v>90000</v>
      </c>
    </row>
    <row r="39" ht="27.6" spans="1:9">
      <c r="A39" s="36">
        <v>20</v>
      </c>
      <c r="B39" s="18" t="s">
        <v>2624</v>
      </c>
      <c r="C39" s="18" t="s">
        <v>2625</v>
      </c>
      <c r="D39" s="18" t="s">
        <v>2626</v>
      </c>
      <c r="E39" s="23">
        <v>500000</v>
      </c>
      <c r="F39" s="23">
        <v>275000</v>
      </c>
      <c r="G39" s="23">
        <v>150000</v>
      </c>
      <c r="H39" s="23">
        <v>85000</v>
      </c>
    </row>
    <row r="40" spans="1:9">
      <c r="A40" s="36">
        <v>21</v>
      </c>
      <c r="B40" s="18" t="s">
        <v>2627</v>
      </c>
      <c r="C40" s="18" t="s">
        <v>2606</v>
      </c>
      <c r="D40" s="18" t="s">
        <v>2588</v>
      </c>
      <c r="E40" s="23">
        <v>500000</v>
      </c>
      <c r="F40" s="23">
        <v>275000</v>
      </c>
      <c r="G40" s="23">
        <v>150000</v>
      </c>
      <c r="H40" s="23">
        <v>85000</v>
      </c>
      <c r="I40" s="80"/>
    </row>
    <row r="41" spans="1:9">
      <c r="A41" s="36">
        <v>22</v>
      </c>
      <c r="B41" s="18" t="s">
        <v>2628</v>
      </c>
      <c r="C41" s="18" t="s">
        <v>2629</v>
      </c>
      <c r="D41" s="18" t="s">
        <v>2630</v>
      </c>
      <c r="E41" s="23">
        <v>290000</v>
      </c>
      <c r="F41" s="23">
        <v>165000</v>
      </c>
      <c r="G41" s="23">
        <v>75000</v>
      </c>
      <c r="H41" s="23">
        <v>50000</v>
      </c>
    </row>
    <row r="42" ht="27.6" spans="1:9">
      <c r="A42" s="36">
        <v>23</v>
      </c>
      <c r="B42" s="18" t="s">
        <v>2631</v>
      </c>
      <c r="C42" s="18" t="s">
        <v>2632</v>
      </c>
      <c r="D42" s="18" t="s">
        <v>2633</v>
      </c>
      <c r="E42" s="23">
        <v>290000</v>
      </c>
      <c r="F42" s="23">
        <v>165000</v>
      </c>
      <c r="G42" s="23">
        <v>75000</v>
      </c>
      <c r="H42" s="23">
        <v>50000</v>
      </c>
    </row>
    <row r="43" ht="27.6" spans="1:9">
      <c r="A43" s="36">
        <v>24</v>
      </c>
      <c r="B43" s="18" t="s">
        <v>2597</v>
      </c>
      <c r="C43" s="18" t="s">
        <v>2582</v>
      </c>
      <c r="D43" s="18" t="s">
        <v>2634</v>
      </c>
      <c r="E43" s="23">
        <v>650000</v>
      </c>
      <c r="F43" s="23">
        <v>390000</v>
      </c>
      <c r="G43" s="23">
        <v>170000</v>
      </c>
      <c r="H43" s="23">
        <v>95000</v>
      </c>
    </row>
    <row r="44" spans="1:9">
      <c r="A44" s="36"/>
      <c r="B44" s="18" t="s">
        <v>2597</v>
      </c>
      <c r="C44" s="18" t="s">
        <v>2582</v>
      </c>
      <c r="D44" s="18" t="s">
        <v>2580</v>
      </c>
      <c r="E44" s="23">
        <v>1300000</v>
      </c>
      <c r="F44" s="23">
        <v>850000</v>
      </c>
      <c r="G44" s="23">
        <v>600000</v>
      </c>
      <c r="H44" s="23">
        <v>345000</v>
      </c>
    </row>
    <row r="45" spans="1:9">
      <c r="A45" s="36">
        <v>25</v>
      </c>
      <c r="B45" s="18" t="s">
        <v>2617</v>
      </c>
      <c r="C45" s="18" t="s">
        <v>2578</v>
      </c>
      <c r="D45" s="18" t="s">
        <v>2616</v>
      </c>
      <c r="E45" s="23">
        <v>500000</v>
      </c>
      <c r="F45" s="23">
        <v>275000</v>
      </c>
      <c r="G45" s="23">
        <v>150000</v>
      </c>
      <c r="H45" s="23">
        <v>85000</v>
      </c>
    </row>
    <row r="46" spans="1:9">
      <c r="A46" s="36">
        <v>26</v>
      </c>
      <c r="B46" s="18" t="s">
        <v>2582</v>
      </c>
      <c r="C46" s="18" t="s">
        <v>2578</v>
      </c>
      <c r="D46" s="18" t="s">
        <v>2635</v>
      </c>
      <c r="E46" s="23">
        <v>1300000</v>
      </c>
      <c r="F46" s="23">
        <v>850000</v>
      </c>
      <c r="G46" s="23">
        <v>600000</v>
      </c>
      <c r="H46" s="23">
        <v>345000</v>
      </c>
      <c r="I46" s="80"/>
    </row>
    <row r="47" spans="1:9">
      <c r="A47" s="36">
        <v>27</v>
      </c>
      <c r="B47" s="18" t="s">
        <v>2618</v>
      </c>
      <c r="C47" s="18" t="s">
        <v>2578</v>
      </c>
      <c r="D47" s="18" t="s">
        <v>2616</v>
      </c>
      <c r="E47" s="23">
        <v>500000</v>
      </c>
      <c r="F47" s="23">
        <v>275000</v>
      </c>
      <c r="G47" s="23">
        <v>150000</v>
      </c>
      <c r="H47" s="23">
        <v>85000</v>
      </c>
    </row>
    <row r="48" spans="1:9">
      <c r="A48" s="36">
        <v>28</v>
      </c>
      <c r="B48" s="18" t="s">
        <v>2636</v>
      </c>
      <c r="C48" s="18" t="s">
        <v>2604</v>
      </c>
      <c r="D48" s="18" t="s">
        <v>2577</v>
      </c>
      <c r="E48" s="23">
        <v>1300000</v>
      </c>
      <c r="F48" s="23">
        <v>850000</v>
      </c>
      <c r="G48" s="23">
        <v>600000</v>
      </c>
      <c r="H48" s="23">
        <v>345000</v>
      </c>
    </row>
    <row r="49" spans="1:10">
      <c r="A49" s="36"/>
      <c r="B49" s="18" t="s">
        <v>2636</v>
      </c>
      <c r="C49" s="18" t="s">
        <v>2577</v>
      </c>
      <c r="D49" s="18" t="s">
        <v>2582</v>
      </c>
      <c r="E49" s="23">
        <v>1300000</v>
      </c>
      <c r="F49" s="23">
        <v>850000</v>
      </c>
      <c r="G49" s="23">
        <v>600000</v>
      </c>
      <c r="H49" s="23">
        <v>345000</v>
      </c>
    </row>
    <row r="50" spans="1:10">
      <c r="A50" s="39" t="s">
        <v>136</v>
      </c>
      <c r="B50" s="18"/>
      <c r="C50" s="18"/>
      <c r="D50" s="18"/>
      <c r="E50" s="23"/>
      <c r="F50" s="23"/>
      <c r="G50" s="23"/>
      <c r="H50" s="23"/>
    </row>
    <row r="51" spans="1:10">
      <c r="A51" s="36">
        <v>29</v>
      </c>
      <c r="B51" s="20" t="s">
        <v>137</v>
      </c>
      <c r="C51" s="18"/>
      <c r="D51" s="18"/>
      <c r="E51" s="23">
        <v>290000</v>
      </c>
      <c r="F51" s="23">
        <v>165000</v>
      </c>
      <c r="G51" s="23">
        <v>75000</v>
      </c>
      <c r="H51" s="23">
        <v>50000</v>
      </c>
    </row>
    <row r="52" spans="1:10">
      <c r="A52" s="47" t="s">
        <v>205</v>
      </c>
      <c r="B52" s="58"/>
      <c r="C52" s="59"/>
      <c r="D52" s="59"/>
      <c r="E52" s="23" t="s">
        <v>16</v>
      </c>
      <c r="F52" s="23" t="s">
        <v>16</v>
      </c>
      <c r="G52" s="23" t="s">
        <v>16</v>
      </c>
      <c r="H52" s="23" t="s">
        <v>16</v>
      </c>
    </row>
    <row r="53" spans="1:10">
      <c r="A53" s="54">
        <v>30</v>
      </c>
      <c r="B53" s="41" t="s">
        <v>2637</v>
      </c>
      <c r="C53" s="81"/>
      <c r="D53" s="81"/>
      <c r="E53" s="23" t="s">
        <v>16</v>
      </c>
      <c r="F53" s="23" t="s">
        <v>16</v>
      </c>
      <c r="G53" s="23" t="s">
        <v>16</v>
      </c>
      <c r="H53" s="23" t="s">
        <v>16</v>
      </c>
    </row>
    <row r="54" ht="41.4" spans="1:10">
      <c r="A54" s="36"/>
      <c r="B54" s="18" t="s">
        <v>2638</v>
      </c>
      <c r="C54" s="18"/>
      <c r="D54" s="18"/>
      <c r="E54" s="23">
        <v>390000</v>
      </c>
      <c r="F54" s="23">
        <v>215000</v>
      </c>
      <c r="G54" s="23">
        <v>140000</v>
      </c>
      <c r="H54" s="23">
        <v>0</v>
      </c>
      <c r="I54" s="63"/>
      <c r="J54" s="65"/>
    </row>
    <row r="55" spans="1:10">
      <c r="A55" s="36"/>
      <c r="B55" s="18" t="s">
        <v>2639</v>
      </c>
      <c r="C55" s="82"/>
      <c r="D55" s="18"/>
      <c r="E55" s="23">
        <v>340000</v>
      </c>
      <c r="F55" s="23">
        <v>180000</v>
      </c>
      <c r="G55" s="23">
        <v>125000</v>
      </c>
      <c r="H55" s="23">
        <v>0</v>
      </c>
      <c r="I55" s="79"/>
    </row>
    <row r="56" spans="1:10">
      <c r="A56" s="36"/>
      <c r="B56" s="18" t="s">
        <v>2640</v>
      </c>
      <c r="C56" s="82"/>
      <c r="D56" s="18"/>
      <c r="E56" s="23">
        <v>130000</v>
      </c>
      <c r="F56" s="23">
        <v>90000</v>
      </c>
      <c r="G56" s="23">
        <v>60000</v>
      </c>
      <c r="H56" s="23">
        <v>0</v>
      </c>
    </row>
    <row r="57" ht="41.4" spans="1:10">
      <c r="A57" s="36"/>
      <c r="B57" s="18" t="s">
        <v>2641</v>
      </c>
      <c r="C57" s="82"/>
      <c r="D57" s="18"/>
      <c r="E57" s="23">
        <v>310000</v>
      </c>
      <c r="F57" s="23">
        <v>165000</v>
      </c>
      <c r="G57" s="23">
        <v>115000</v>
      </c>
      <c r="H57" s="23">
        <v>0</v>
      </c>
    </row>
    <row r="58" ht="27.6" spans="1:10">
      <c r="A58" s="36"/>
      <c r="B58" s="18" t="s">
        <v>2642</v>
      </c>
      <c r="C58" s="82"/>
      <c r="D58" s="83"/>
      <c r="E58" s="23">
        <v>140000</v>
      </c>
      <c r="F58" s="23">
        <v>95000</v>
      </c>
      <c r="G58" s="23">
        <v>70000</v>
      </c>
      <c r="H58" s="23">
        <v>0</v>
      </c>
    </row>
    <row r="59" ht="41.4" spans="1:10">
      <c r="A59" s="36"/>
      <c r="B59" s="18" t="s">
        <v>2643</v>
      </c>
      <c r="C59" s="82"/>
      <c r="D59" s="83"/>
      <c r="E59" s="23">
        <v>115000</v>
      </c>
      <c r="F59" s="23">
        <v>55000</v>
      </c>
      <c r="G59" s="23">
        <v>45000</v>
      </c>
      <c r="H59" s="23">
        <v>0</v>
      </c>
    </row>
    <row r="60" ht="41.4" spans="1:10">
      <c r="A60" s="36"/>
      <c r="B60" s="18" t="s">
        <v>2644</v>
      </c>
      <c r="C60" s="82"/>
      <c r="D60" s="82"/>
      <c r="E60" s="23">
        <v>330000</v>
      </c>
      <c r="F60" s="23">
        <v>170000</v>
      </c>
      <c r="G60" s="23">
        <v>100000</v>
      </c>
      <c r="H60" s="23">
        <v>0</v>
      </c>
    </row>
    <row r="61" ht="27.6" spans="1:10">
      <c r="A61" s="36"/>
      <c r="B61" s="18" t="s">
        <v>2645</v>
      </c>
      <c r="C61" s="82"/>
      <c r="D61" s="82"/>
      <c r="E61" s="23">
        <v>250000</v>
      </c>
      <c r="F61" s="23">
        <v>145000</v>
      </c>
      <c r="G61" s="23">
        <v>85000</v>
      </c>
      <c r="H61" s="23">
        <v>0</v>
      </c>
    </row>
    <row r="62" ht="41.4" spans="1:10">
      <c r="A62" s="36"/>
      <c r="B62" s="18" t="s">
        <v>2646</v>
      </c>
      <c r="C62" s="82"/>
      <c r="D62" s="82"/>
      <c r="E62" s="23">
        <v>295000</v>
      </c>
      <c r="F62" s="23">
        <v>165000</v>
      </c>
      <c r="G62" s="23">
        <v>80000</v>
      </c>
      <c r="H62" s="23">
        <v>0</v>
      </c>
    </row>
    <row r="63" ht="69" spans="1:10">
      <c r="A63" s="36"/>
      <c r="B63" s="18" t="s">
        <v>2647</v>
      </c>
      <c r="C63" s="18"/>
      <c r="D63" s="18"/>
      <c r="E63" s="23">
        <v>380000</v>
      </c>
      <c r="F63" s="23">
        <v>215000</v>
      </c>
      <c r="G63" s="23">
        <v>120000</v>
      </c>
      <c r="H63" s="23">
        <v>0</v>
      </c>
    </row>
    <row r="64" ht="27.6" spans="1:10">
      <c r="A64" s="36"/>
      <c r="B64" s="18" t="s">
        <v>2648</v>
      </c>
      <c r="C64" s="82"/>
      <c r="D64" s="84"/>
      <c r="E64" s="23">
        <v>120000</v>
      </c>
      <c r="F64" s="23">
        <v>90000</v>
      </c>
      <c r="G64" s="23">
        <v>65000</v>
      </c>
      <c r="H64" s="23">
        <v>0</v>
      </c>
    </row>
    <row r="65" ht="41.4" spans="1:10">
      <c r="A65" s="36">
        <v>31</v>
      </c>
      <c r="B65" s="18" t="s">
        <v>2649</v>
      </c>
      <c r="C65" s="82"/>
      <c r="D65" s="84"/>
      <c r="E65" s="23">
        <v>120000</v>
      </c>
      <c r="F65" s="23">
        <v>90000</v>
      </c>
      <c r="G65" s="23">
        <v>65000</v>
      </c>
      <c r="H65" s="23">
        <v>0</v>
      </c>
      <c r="I65" s="80" t="s">
        <v>1068</v>
      </c>
    </row>
    <row r="66" spans="1:10">
      <c r="A66" s="47" t="s">
        <v>217</v>
      </c>
      <c r="B66" s="47"/>
      <c r="C66" s="40"/>
      <c r="D66" s="59"/>
      <c r="E66" s="23" t="s">
        <v>16</v>
      </c>
      <c r="F66" s="23" t="s">
        <v>16</v>
      </c>
      <c r="G66" s="23"/>
      <c r="H66" s="23"/>
      <c r="I66" s="85"/>
    </row>
    <row r="67" ht="124.2" spans="1:10">
      <c r="A67" s="36">
        <v>32</v>
      </c>
      <c r="B67" s="20" t="s">
        <v>2650</v>
      </c>
      <c r="C67" s="18"/>
      <c r="D67" s="18"/>
      <c r="E67" s="23">
        <v>75000</v>
      </c>
      <c r="F67" s="23">
        <v>60000</v>
      </c>
      <c r="G67" s="23">
        <v>0</v>
      </c>
      <c r="H67" s="23">
        <v>0</v>
      </c>
      <c r="I67" s="78"/>
      <c r="J67" s="65"/>
    </row>
    <row r="68" ht="207" spans="1:10">
      <c r="A68" s="36">
        <v>33</v>
      </c>
      <c r="B68" s="20" t="s">
        <v>2651</v>
      </c>
      <c r="C68" s="18"/>
      <c r="D68" s="18"/>
      <c r="E68" s="23">
        <v>55000</v>
      </c>
      <c r="F68" s="23">
        <v>45000</v>
      </c>
      <c r="G68" s="23">
        <v>0</v>
      </c>
      <c r="H68" s="23">
        <v>0</v>
      </c>
      <c r="I68" s="80"/>
    </row>
    <row r="69" spans="1:10">
      <c r="A69" s="36">
        <v>34</v>
      </c>
      <c r="B69" s="20" t="s">
        <v>2652</v>
      </c>
      <c r="C69" s="18"/>
      <c r="D69" s="18"/>
      <c r="E69" s="23">
        <v>45000</v>
      </c>
      <c r="F69" s="23">
        <v>0</v>
      </c>
      <c r="G69" s="23">
        <v>0</v>
      </c>
      <c r="H69" s="23">
        <v>0</v>
      </c>
      <c r="I69" s="80"/>
    </row>
    <row r="70" spans="1:10">
      <c r="A70" s="20"/>
      <c r="B70" s="20"/>
      <c r="C70" s="18"/>
      <c r="D70" s="18"/>
      <c r="E70" s="23" t="s">
        <v>16</v>
      </c>
      <c r="F70" s="23" t="s">
        <v>16</v>
      </c>
      <c r="G70" s="23" t="s">
        <v>16</v>
      </c>
      <c r="H70" s="23" t="s">
        <v>16</v>
      </c>
    </row>
    <row r="71" spans="1:10">
      <c r="A71" s="20"/>
      <c r="B71" s="20"/>
      <c r="C71" s="18"/>
      <c r="D71" s="18"/>
      <c r="E71" s="23" t="s">
        <v>16</v>
      </c>
      <c r="F71" s="23" t="s">
        <v>16</v>
      </c>
      <c r="G71" s="23" t="s">
        <v>16</v>
      </c>
      <c r="H71" s="23" t="s">
        <v>16</v>
      </c>
    </row>
    <row r="72" spans="1:10">
      <c r="A72" s="20"/>
      <c r="B72" s="20"/>
      <c r="C72" s="18"/>
      <c r="D72" s="18"/>
      <c r="E72" s="23" t="s">
        <v>16</v>
      </c>
      <c r="F72" s="23" t="s">
        <v>16</v>
      </c>
      <c r="G72" s="23" t="s">
        <v>16</v>
      </c>
      <c r="H72" s="23" t="s">
        <v>16</v>
      </c>
    </row>
    <row r="73" spans="1:10">
      <c r="A73" s="27"/>
      <c r="B73" s="27"/>
      <c r="C73" s="28"/>
      <c r="D73" s="28"/>
      <c r="E73" s="23" t="s">
        <v>16</v>
      </c>
      <c r="F73" s="23" t="s">
        <v>16</v>
      </c>
      <c r="G73" s="23" t="s">
        <v>16</v>
      </c>
      <c r="H73" s="23" t="s">
        <v>16</v>
      </c>
    </row>
    <row r="74" spans="1:10">
      <c r="A74" s="27"/>
      <c r="B74" s="27"/>
      <c r="C74" s="28"/>
      <c r="D74" s="28"/>
      <c r="E74" s="23" t="s">
        <v>16</v>
      </c>
      <c r="F74" s="23" t="s">
        <v>16</v>
      </c>
      <c r="G74" s="23" t="s">
        <v>16</v>
      </c>
      <c r="H74" s="23" t="s">
        <v>16</v>
      </c>
    </row>
    <row r="75" spans="1:10">
      <c r="A75" s="27"/>
      <c r="B75" s="27"/>
      <c r="C75" s="28"/>
      <c r="D75" s="28"/>
      <c r="E75" s="23" t="s">
        <v>16</v>
      </c>
      <c r="F75" s="23" t="s">
        <v>16</v>
      </c>
      <c r="G75" s="23" t="s">
        <v>16</v>
      </c>
      <c r="H75" s="23" t="s">
        <v>16</v>
      </c>
    </row>
    <row r="76" spans="1:10">
      <c r="A76" s="27"/>
      <c r="B76" s="27"/>
      <c r="C76" s="28"/>
      <c r="D76" s="28"/>
      <c r="E76" s="23" t="s">
        <v>16</v>
      </c>
      <c r="F76" s="23" t="s">
        <v>16</v>
      </c>
      <c r="G76" s="23" t="s">
        <v>16</v>
      </c>
      <c r="H76" s="23" t="s">
        <v>16</v>
      </c>
    </row>
    <row r="77" spans="1:10">
      <c r="A77" s="27"/>
      <c r="B77" s="27"/>
      <c r="C77" s="28"/>
      <c r="D77" s="28"/>
      <c r="E77" s="23" t="s">
        <v>16</v>
      </c>
      <c r="F77" s="23" t="s">
        <v>16</v>
      </c>
      <c r="G77" s="23" t="s">
        <v>16</v>
      </c>
      <c r="H77" s="23" t="s">
        <v>16</v>
      </c>
    </row>
    <row r="78" spans="1:10">
      <c r="A78" s="27"/>
      <c r="B78" s="27"/>
      <c r="C78" s="28"/>
      <c r="D78" s="28"/>
      <c r="E78" s="23" t="s">
        <v>16</v>
      </c>
      <c r="F78" s="23" t="s">
        <v>16</v>
      </c>
      <c r="G78" s="23" t="s">
        <v>16</v>
      </c>
      <c r="H78" s="23" t="s">
        <v>16</v>
      </c>
    </row>
    <row r="79" spans="1:10">
      <c r="A79" s="27"/>
      <c r="B79" s="27"/>
      <c r="C79" s="28"/>
      <c r="D79" s="28"/>
      <c r="E79" s="23" t="s">
        <v>16</v>
      </c>
      <c r="F79" s="23" t="s">
        <v>16</v>
      </c>
      <c r="G79" s="23" t="s">
        <v>16</v>
      </c>
      <c r="H79" s="23" t="s">
        <v>16</v>
      </c>
    </row>
    <row r="80" spans="1:10">
      <c r="A80" s="27"/>
      <c r="B80" s="27"/>
      <c r="C80" s="28"/>
      <c r="D80" s="28"/>
      <c r="E80" s="23" t="s">
        <v>16</v>
      </c>
      <c r="F80" s="23" t="s">
        <v>16</v>
      </c>
      <c r="G80" s="23" t="s">
        <v>16</v>
      </c>
      <c r="H80" s="23" t="s">
        <v>16</v>
      </c>
    </row>
    <row r="81" spans="1:8">
      <c r="A81" s="27"/>
      <c r="B81" s="27"/>
      <c r="C81" s="28"/>
      <c r="D81" s="28"/>
      <c r="E81" s="23" t="s">
        <v>16</v>
      </c>
      <c r="F81" s="23" t="s">
        <v>16</v>
      </c>
      <c r="G81" s="23" t="s">
        <v>16</v>
      </c>
      <c r="H81" s="23" t="s">
        <v>16</v>
      </c>
    </row>
    <row r="82" spans="1:8">
      <c r="A82" s="27"/>
      <c r="B82" s="27"/>
      <c r="C82" s="28"/>
      <c r="D82" s="28"/>
      <c r="E82" s="23" t="s">
        <v>16</v>
      </c>
      <c r="F82" s="23" t="s">
        <v>16</v>
      </c>
      <c r="G82" s="23" t="s">
        <v>16</v>
      </c>
      <c r="H82" s="23" t="s">
        <v>16</v>
      </c>
    </row>
    <row r="83" spans="1:8">
      <c r="A83" s="27"/>
      <c r="B83" s="27"/>
      <c r="C83" s="28"/>
      <c r="D83" s="28"/>
      <c r="E83" s="23" t="s">
        <v>16</v>
      </c>
      <c r="F83" s="23" t="s">
        <v>16</v>
      </c>
      <c r="G83" s="23" t="s">
        <v>16</v>
      </c>
      <c r="H83" s="23" t="s">
        <v>16</v>
      </c>
    </row>
    <row r="84" spans="1:8">
      <c r="A84" s="27"/>
      <c r="B84" s="27"/>
      <c r="C84" s="28"/>
      <c r="D84" s="28"/>
      <c r="E84" s="23" t="s">
        <v>16</v>
      </c>
      <c r="F84" s="23" t="s">
        <v>16</v>
      </c>
      <c r="G84" s="23" t="s">
        <v>16</v>
      </c>
      <c r="H84" s="23" t="s">
        <v>16</v>
      </c>
    </row>
    <row r="85" spans="1:8">
      <c r="A85" s="27"/>
      <c r="B85" s="27"/>
      <c r="C85" s="28"/>
      <c r="D85" s="28"/>
      <c r="E85" s="23" t="s">
        <v>16</v>
      </c>
      <c r="F85" s="23" t="s">
        <v>16</v>
      </c>
      <c r="G85" s="23" t="s">
        <v>16</v>
      </c>
      <c r="H85" s="23" t="s">
        <v>16</v>
      </c>
    </row>
    <row r="86" spans="1:8">
      <c r="A86" s="27"/>
      <c r="B86" s="27"/>
      <c r="C86" s="28"/>
      <c r="D86" s="28"/>
      <c r="E86" s="23" t="s">
        <v>16</v>
      </c>
      <c r="F86" s="23" t="s">
        <v>16</v>
      </c>
      <c r="G86" s="23" t="s">
        <v>16</v>
      </c>
      <c r="H86" s="23" t="s">
        <v>16</v>
      </c>
    </row>
    <row r="87" spans="1:8">
      <c r="A87" s="27"/>
      <c r="B87" s="27"/>
      <c r="C87" s="28"/>
      <c r="D87" s="28"/>
      <c r="E87" s="23" t="s">
        <v>16</v>
      </c>
      <c r="F87" s="23" t="s">
        <v>16</v>
      </c>
      <c r="G87" s="23" t="s">
        <v>16</v>
      </c>
      <c r="H87" s="23" t="s">
        <v>16</v>
      </c>
    </row>
    <row r="88" spans="1:8">
      <c r="A88" s="27"/>
      <c r="B88" s="27"/>
      <c r="C88" s="28"/>
      <c r="D88" s="28"/>
      <c r="E88" s="23" t="s">
        <v>16</v>
      </c>
      <c r="F88" s="23" t="s">
        <v>16</v>
      </c>
      <c r="G88" s="23" t="s">
        <v>16</v>
      </c>
      <c r="H88" s="23" t="s">
        <v>16</v>
      </c>
    </row>
    <row r="89" spans="1:8">
      <c r="A89" s="27"/>
      <c r="B89" s="27"/>
      <c r="C89" s="28"/>
      <c r="D89" s="28"/>
      <c r="E89" s="23" t="s">
        <v>16</v>
      </c>
      <c r="F89" s="23" t="s">
        <v>16</v>
      </c>
      <c r="G89" s="23" t="s">
        <v>16</v>
      </c>
      <c r="H89" s="23" t="s">
        <v>16</v>
      </c>
    </row>
    <row r="90" spans="1:8">
      <c r="A90" s="27"/>
      <c r="B90" s="27"/>
      <c r="C90" s="28"/>
      <c r="D90" s="28"/>
      <c r="E90" s="23" t="s">
        <v>16</v>
      </c>
      <c r="F90" s="23" t="s">
        <v>16</v>
      </c>
      <c r="G90" s="23" t="s">
        <v>16</v>
      </c>
      <c r="H90" s="23" t="s">
        <v>16</v>
      </c>
    </row>
    <row r="91" spans="1:8">
      <c r="A91" s="27"/>
      <c r="B91" s="27"/>
      <c r="C91" s="28"/>
      <c r="D91" s="28"/>
      <c r="E91" s="23" t="s">
        <v>16</v>
      </c>
      <c r="F91" s="23" t="s">
        <v>16</v>
      </c>
      <c r="G91" s="23" t="s">
        <v>16</v>
      </c>
      <c r="H91" s="23" t="s">
        <v>16</v>
      </c>
    </row>
    <row r="92" spans="1:8">
      <c r="A92" s="27"/>
      <c r="B92" s="27"/>
      <c r="C92" s="28"/>
      <c r="D92" s="28"/>
      <c r="E92" s="23" t="s">
        <v>16</v>
      </c>
      <c r="F92" s="23" t="s">
        <v>16</v>
      </c>
      <c r="G92" s="23" t="s">
        <v>16</v>
      </c>
      <c r="H92" s="23" t="s">
        <v>16</v>
      </c>
    </row>
    <row r="93" spans="1:8">
      <c r="A93" s="27"/>
      <c r="B93" s="27"/>
      <c r="C93" s="28"/>
      <c r="D93" s="28"/>
      <c r="E93" s="23" t="s">
        <v>16</v>
      </c>
      <c r="F93" s="23" t="s">
        <v>16</v>
      </c>
      <c r="G93" s="23" t="s">
        <v>16</v>
      </c>
      <c r="H93" s="23" t="s">
        <v>16</v>
      </c>
    </row>
    <row r="94" spans="1:8">
      <c r="A94" s="27"/>
      <c r="B94" s="27"/>
      <c r="C94" s="28"/>
      <c r="D94" s="28"/>
      <c r="E94" s="23" t="s">
        <v>16</v>
      </c>
      <c r="F94" s="23" t="s">
        <v>16</v>
      </c>
      <c r="G94" s="23" t="s">
        <v>16</v>
      </c>
      <c r="H94" s="23" t="s">
        <v>16</v>
      </c>
    </row>
    <row r="95" spans="1:8">
      <c r="A95" s="27"/>
      <c r="B95" s="27"/>
      <c r="C95" s="28"/>
      <c r="D95" s="28"/>
      <c r="E95" s="23" t="s">
        <v>16</v>
      </c>
      <c r="F95" s="23" t="s">
        <v>16</v>
      </c>
      <c r="G95" s="23" t="s">
        <v>16</v>
      </c>
      <c r="H95" s="23" t="s">
        <v>16</v>
      </c>
    </row>
    <row r="96" spans="1:8">
      <c r="A96" s="27"/>
      <c r="B96" s="27"/>
      <c r="C96" s="28"/>
      <c r="D96" s="28"/>
      <c r="E96" s="23" t="s">
        <v>16</v>
      </c>
      <c r="F96" s="23" t="s">
        <v>16</v>
      </c>
      <c r="G96" s="23" t="s">
        <v>16</v>
      </c>
      <c r="H96" s="23" t="s">
        <v>16</v>
      </c>
    </row>
    <row r="97" spans="1:8">
      <c r="A97" s="27"/>
      <c r="B97" s="27"/>
      <c r="C97" s="28"/>
      <c r="D97" s="28"/>
      <c r="E97" s="23" t="s">
        <v>16</v>
      </c>
      <c r="F97" s="23" t="s">
        <v>16</v>
      </c>
      <c r="G97" s="23" t="s">
        <v>16</v>
      </c>
      <c r="H97" s="23" t="s">
        <v>16</v>
      </c>
    </row>
    <row r="98" spans="1:8">
      <c r="A98" s="27"/>
      <c r="B98" s="27"/>
      <c r="C98" s="28"/>
      <c r="D98" s="28"/>
      <c r="E98" s="23" t="s">
        <v>16</v>
      </c>
      <c r="F98" s="23" t="s">
        <v>16</v>
      </c>
      <c r="G98" s="23" t="s">
        <v>16</v>
      </c>
      <c r="H98" s="23" t="s">
        <v>16</v>
      </c>
    </row>
    <row r="99" spans="1:8">
      <c r="A99" s="27"/>
      <c r="B99" s="27"/>
      <c r="C99" s="28"/>
      <c r="D99" s="28"/>
      <c r="E99" s="23" t="s">
        <v>16</v>
      </c>
      <c r="F99" s="23" t="s">
        <v>16</v>
      </c>
      <c r="G99" s="23" t="s">
        <v>16</v>
      </c>
      <c r="H99" s="23" t="s">
        <v>16</v>
      </c>
    </row>
    <row r="100" spans="1:8">
      <c r="A100" s="27"/>
      <c r="B100" s="27"/>
      <c r="C100" s="28"/>
      <c r="D100" s="28"/>
      <c r="E100" s="23" t="s">
        <v>16</v>
      </c>
      <c r="F100" s="23" t="s">
        <v>16</v>
      </c>
      <c r="G100" s="23" t="s">
        <v>16</v>
      </c>
      <c r="H100" s="23" t="s">
        <v>16</v>
      </c>
    </row>
    <row r="101" spans="1:8">
      <c r="A101" s="27"/>
      <c r="B101" s="27"/>
      <c r="C101" s="28"/>
      <c r="D101" s="28"/>
      <c r="E101" s="23" t="s">
        <v>16</v>
      </c>
      <c r="F101" s="23" t="s">
        <v>16</v>
      </c>
      <c r="G101" s="23" t="s">
        <v>16</v>
      </c>
      <c r="H101" s="23" t="s">
        <v>16</v>
      </c>
    </row>
    <row r="102" spans="1:8">
      <c r="A102" s="27"/>
      <c r="B102" s="27"/>
      <c r="C102" s="28"/>
      <c r="D102" s="28"/>
      <c r="E102" s="23" t="s">
        <v>16</v>
      </c>
      <c r="F102" s="23" t="s">
        <v>16</v>
      </c>
      <c r="G102" s="23" t="s">
        <v>16</v>
      </c>
      <c r="H102" s="23" t="s">
        <v>16</v>
      </c>
    </row>
    <row r="103" spans="1:8">
      <c r="A103" s="27"/>
      <c r="B103" s="27"/>
      <c r="C103" s="28"/>
      <c r="D103" s="28"/>
      <c r="E103" s="23" t="s">
        <v>16</v>
      </c>
      <c r="F103" s="23" t="s">
        <v>16</v>
      </c>
      <c r="G103" s="23" t="s">
        <v>16</v>
      </c>
      <c r="H103" s="23" t="s">
        <v>16</v>
      </c>
    </row>
    <row r="104" spans="1:8">
      <c r="A104" s="27"/>
      <c r="B104" s="27"/>
      <c r="C104" s="28"/>
      <c r="D104" s="28"/>
      <c r="E104" s="23" t="s">
        <v>16</v>
      </c>
      <c r="F104" s="23" t="s">
        <v>16</v>
      </c>
      <c r="G104" s="23" t="s">
        <v>16</v>
      </c>
      <c r="H104" s="23" t="s">
        <v>16</v>
      </c>
    </row>
    <row r="105" spans="1:8">
      <c r="A105" s="27"/>
      <c r="B105" s="27"/>
      <c r="C105" s="28"/>
      <c r="D105" s="28"/>
      <c r="E105" s="23" t="s">
        <v>16</v>
      </c>
      <c r="F105" s="23" t="s">
        <v>16</v>
      </c>
      <c r="G105" s="23" t="s">
        <v>16</v>
      </c>
      <c r="H105" s="23" t="s">
        <v>16</v>
      </c>
    </row>
    <row r="106" spans="1:8">
      <c r="A106" s="27"/>
      <c r="B106" s="27"/>
      <c r="C106" s="28"/>
      <c r="D106" s="28"/>
      <c r="E106" s="23" t="s">
        <v>16</v>
      </c>
      <c r="F106" s="23" t="s">
        <v>16</v>
      </c>
      <c r="G106" s="23" t="s">
        <v>16</v>
      </c>
      <c r="H106" s="23" t="s">
        <v>16</v>
      </c>
    </row>
    <row r="107" spans="1:8">
      <c r="A107" s="27"/>
      <c r="B107" s="27"/>
      <c r="C107" s="28"/>
      <c r="D107" s="28"/>
      <c r="E107" s="23" t="s">
        <v>16</v>
      </c>
      <c r="F107" s="23" t="s">
        <v>16</v>
      </c>
      <c r="G107" s="23" t="s">
        <v>16</v>
      </c>
      <c r="H107" s="23" t="s">
        <v>16</v>
      </c>
    </row>
    <row r="108" spans="1:8">
      <c r="A108" s="27"/>
      <c r="B108" s="27"/>
      <c r="C108" s="28"/>
      <c r="D108" s="28"/>
      <c r="E108" s="23" t="s">
        <v>16</v>
      </c>
      <c r="F108" s="23" t="s">
        <v>16</v>
      </c>
      <c r="G108" s="23" t="s">
        <v>16</v>
      </c>
      <c r="H108" s="23" t="s">
        <v>16</v>
      </c>
    </row>
    <row r="109" spans="1:8">
      <c r="A109" s="27"/>
      <c r="B109" s="27"/>
      <c r="C109" s="28"/>
      <c r="D109" s="28"/>
      <c r="E109" s="23" t="s">
        <v>16</v>
      </c>
      <c r="F109" s="23" t="s">
        <v>16</v>
      </c>
      <c r="G109" s="23" t="s">
        <v>16</v>
      </c>
      <c r="H109" s="23" t="s">
        <v>16</v>
      </c>
    </row>
    <row r="110" spans="1:8">
      <c r="A110" s="27"/>
      <c r="B110" s="27"/>
      <c r="C110" s="28"/>
      <c r="D110" s="28"/>
      <c r="E110" s="23" t="s">
        <v>16</v>
      </c>
      <c r="F110" s="23" t="s">
        <v>16</v>
      </c>
      <c r="G110" s="23" t="s">
        <v>16</v>
      </c>
      <c r="H110" s="23" t="s">
        <v>16</v>
      </c>
    </row>
    <row r="111" spans="1:8">
      <c r="A111" s="27"/>
      <c r="B111" s="27"/>
      <c r="C111" s="28"/>
      <c r="D111" s="28"/>
      <c r="E111" s="23" t="s">
        <v>16</v>
      </c>
      <c r="F111" s="23" t="s">
        <v>16</v>
      </c>
      <c r="G111" s="23" t="s">
        <v>16</v>
      </c>
      <c r="H111" s="23" t="s">
        <v>16</v>
      </c>
    </row>
    <row r="112" spans="1:8">
      <c r="A112" s="27"/>
      <c r="B112" s="27"/>
      <c r="C112" s="28"/>
      <c r="D112" s="28"/>
      <c r="E112" s="23" t="s">
        <v>16</v>
      </c>
      <c r="F112" s="23" t="s">
        <v>16</v>
      </c>
      <c r="G112" s="23" t="s">
        <v>16</v>
      </c>
      <c r="H112" s="23" t="s">
        <v>16</v>
      </c>
    </row>
    <row r="113" spans="1:8">
      <c r="A113" s="27"/>
      <c r="B113" s="27"/>
      <c r="C113" s="28"/>
      <c r="D113" s="28"/>
      <c r="E113" s="23" t="s">
        <v>16</v>
      </c>
      <c r="F113" s="23" t="s">
        <v>16</v>
      </c>
      <c r="G113" s="23" t="s">
        <v>16</v>
      </c>
      <c r="H113" s="23" t="s">
        <v>16</v>
      </c>
    </row>
    <row r="114" spans="1:8">
      <c r="A114" s="27"/>
      <c r="B114" s="27"/>
      <c r="C114" s="28"/>
      <c r="D114" s="28"/>
      <c r="E114" s="23" t="s">
        <v>16</v>
      </c>
      <c r="F114" s="23" t="s">
        <v>16</v>
      </c>
      <c r="G114" s="23" t="s">
        <v>16</v>
      </c>
      <c r="H114" s="23" t="s">
        <v>16</v>
      </c>
    </row>
    <row r="115" spans="1:8">
      <c r="A115" s="27"/>
      <c r="B115" s="27"/>
      <c r="C115" s="28"/>
      <c r="D115" s="28"/>
      <c r="E115" s="23" t="s">
        <v>16</v>
      </c>
      <c r="F115" s="23" t="s">
        <v>16</v>
      </c>
      <c r="G115" s="23" t="s">
        <v>16</v>
      </c>
      <c r="H115" s="23" t="s">
        <v>16</v>
      </c>
    </row>
    <row r="116" spans="1:8">
      <c r="A116" s="27"/>
      <c r="B116" s="27"/>
      <c r="C116" s="28"/>
      <c r="D116" s="28"/>
      <c r="E116" s="23" t="s">
        <v>16</v>
      </c>
      <c r="F116" s="23" t="s">
        <v>16</v>
      </c>
      <c r="G116" s="23" t="s">
        <v>16</v>
      </c>
      <c r="H116" s="23" t="s">
        <v>16</v>
      </c>
    </row>
    <row r="117" spans="1:8">
      <c r="A117" s="27"/>
      <c r="B117" s="27"/>
      <c r="C117" s="28"/>
      <c r="D117" s="28"/>
      <c r="E117" s="23" t="s">
        <v>16</v>
      </c>
      <c r="F117" s="23" t="s">
        <v>16</v>
      </c>
      <c r="G117" s="23" t="s">
        <v>16</v>
      </c>
      <c r="H117" s="23" t="s">
        <v>16</v>
      </c>
    </row>
    <row r="118" spans="1:8">
      <c r="A118" s="27"/>
      <c r="B118" s="27"/>
      <c r="C118" s="28"/>
      <c r="D118" s="28"/>
      <c r="E118" s="23" t="s">
        <v>16</v>
      </c>
      <c r="F118" s="23" t="s">
        <v>16</v>
      </c>
      <c r="G118" s="23" t="s">
        <v>16</v>
      </c>
      <c r="H118" s="23" t="s">
        <v>16</v>
      </c>
    </row>
    <row r="119" spans="1:8">
      <c r="A119" s="27"/>
      <c r="B119" s="27"/>
      <c r="C119" s="28"/>
      <c r="D119" s="28"/>
      <c r="E119" s="23" t="s">
        <v>16</v>
      </c>
      <c r="F119" s="23" t="s">
        <v>16</v>
      </c>
      <c r="G119" s="23" t="s">
        <v>16</v>
      </c>
      <c r="H119" s="23" t="s">
        <v>16</v>
      </c>
    </row>
    <row r="120" spans="1:8">
      <c r="A120" s="27"/>
      <c r="B120" s="27"/>
      <c r="C120" s="28"/>
      <c r="D120" s="28"/>
      <c r="E120" s="23" t="s">
        <v>16</v>
      </c>
      <c r="F120" s="23" t="s">
        <v>16</v>
      </c>
      <c r="G120" s="23" t="s">
        <v>16</v>
      </c>
      <c r="H120" s="23" t="s">
        <v>16</v>
      </c>
    </row>
    <row r="121" spans="1:8">
      <c r="A121" s="27"/>
      <c r="B121" s="27"/>
      <c r="C121" s="28"/>
      <c r="D121" s="28"/>
      <c r="E121" s="23" t="s">
        <v>16</v>
      </c>
      <c r="F121" s="23" t="s">
        <v>16</v>
      </c>
      <c r="G121" s="23" t="s">
        <v>16</v>
      </c>
      <c r="H121" s="23" t="s">
        <v>16</v>
      </c>
    </row>
    <row r="122" spans="1:8">
      <c r="A122" s="27"/>
      <c r="B122" s="27"/>
      <c r="C122" s="28"/>
      <c r="D122" s="28"/>
      <c r="E122" s="23" t="s">
        <v>16</v>
      </c>
      <c r="F122" s="23" t="s">
        <v>16</v>
      </c>
      <c r="G122" s="23" t="s">
        <v>16</v>
      </c>
      <c r="H122" s="23" t="s">
        <v>16</v>
      </c>
    </row>
    <row r="123" spans="1:8">
      <c r="A123" s="27"/>
      <c r="B123" s="27"/>
      <c r="C123" s="28"/>
      <c r="D123" s="28"/>
      <c r="E123" s="23" t="s">
        <v>16</v>
      </c>
      <c r="F123" s="23" t="s">
        <v>16</v>
      </c>
      <c r="G123" s="23" t="s">
        <v>16</v>
      </c>
      <c r="H123" s="23" t="s">
        <v>16</v>
      </c>
    </row>
    <row r="124" spans="1:8">
      <c r="A124" s="27"/>
      <c r="B124" s="27"/>
      <c r="C124" s="28"/>
      <c r="D124" s="28"/>
      <c r="E124" s="23" t="s">
        <v>16</v>
      </c>
      <c r="F124" s="23" t="s">
        <v>16</v>
      </c>
      <c r="G124" s="23" t="s">
        <v>16</v>
      </c>
      <c r="H124" s="23" t="s">
        <v>16</v>
      </c>
    </row>
    <row r="125" spans="1:8">
      <c r="A125" s="27"/>
      <c r="B125" s="27"/>
      <c r="C125" s="28"/>
      <c r="D125" s="28"/>
      <c r="E125" s="23" t="s">
        <v>16</v>
      </c>
      <c r="F125" s="23" t="s">
        <v>16</v>
      </c>
      <c r="G125" s="23" t="s">
        <v>16</v>
      </c>
      <c r="H125" s="23" t="s">
        <v>16</v>
      </c>
    </row>
    <row r="126" spans="1:8">
      <c r="A126" s="27"/>
      <c r="B126" s="27"/>
      <c r="C126" s="28"/>
      <c r="D126" s="28"/>
      <c r="E126" s="23" t="s">
        <v>16</v>
      </c>
      <c r="F126" s="23" t="s">
        <v>16</v>
      </c>
      <c r="G126" s="23" t="s">
        <v>16</v>
      </c>
      <c r="H126" s="23" t="s">
        <v>16</v>
      </c>
    </row>
    <row r="127" spans="1:8">
      <c r="A127" s="27"/>
      <c r="B127" s="27"/>
      <c r="C127" s="28"/>
      <c r="D127" s="28"/>
      <c r="E127" s="23" t="s">
        <v>16</v>
      </c>
      <c r="F127" s="23" t="s">
        <v>16</v>
      </c>
      <c r="G127" s="23" t="s">
        <v>16</v>
      </c>
      <c r="H127" s="23" t="s">
        <v>16</v>
      </c>
    </row>
    <row r="128" spans="1:8">
      <c r="A128" s="27"/>
      <c r="B128" s="27"/>
      <c r="C128" s="28"/>
      <c r="D128" s="28"/>
      <c r="E128" s="23" t="s">
        <v>16</v>
      </c>
      <c r="F128" s="23" t="s">
        <v>16</v>
      </c>
      <c r="G128" s="23" t="s">
        <v>16</v>
      </c>
      <c r="H128" s="23" t="s">
        <v>16</v>
      </c>
    </row>
    <row r="129" spans="1:8">
      <c r="A129" s="27"/>
      <c r="B129" s="27"/>
      <c r="C129" s="28"/>
      <c r="D129" s="28"/>
      <c r="E129" s="23" t="s">
        <v>16</v>
      </c>
      <c r="F129" s="23" t="s">
        <v>16</v>
      </c>
      <c r="G129" s="23" t="s">
        <v>16</v>
      </c>
      <c r="H129" s="23" t="s">
        <v>16</v>
      </c>
    </row>
    <row r="130" spans="1:8">
      <c r="A130" s="27"/>
      <c r="B130" s="27"/>
      <c r="C130" s="28"/>
      <c r="D130" s="28"/>
      <c r="E130" s="23" t="s">
        <v>16</v>
      </c>
      <c r="F130" s="23" t="s">
        <v>16</v>
      </c>
      <c r="G130" s="23" t="s">
        <v>16</v>
      </c>
      <c r="H130" s="23" t="s">
        <v>16</v>
      </c>
    </row>
    <row r="131" spans="1:8">
      <c r="A131" s="27"/>
      <c r="B131" s="27"/>
      <c r="C131" s="28"/>
      <c r="D131" s="28"/>
      <c r="E131" s="23" t="s">
        <v>16</v>
      </c>
      <c r="F131" s="23" t="s">
        <v>16</v>
      </c>
      <c r="G131" s="23" t="s">
        <v>16</v>
      </c>
      <c r="H131" s="23" t="s">
        <v>16</v>
      </c>
    </row>
    <row r="132" spans="1:8">
      <c r="A132" s="27"/>
      <c r="B132" s="27"/>
      <c r="C132" s="28"/>
      <c r="D132" s="28"/>
      <c r="E132" s="23" t="s">
        <v>16</v>
      </c>
      <c r="F132" s="23" t="s">
        <v>16</v>
      </c>
      <c r="G132" s="23" t="s">
        <v>16</v>
      </c>
      <c r="H132" s="23" t="s">
        <v>16</v>
      </c>
    </row>
    <row r="133" spans="1:8">
      <c r="A133" s="27"/>
      <c r="B133" s="27"/>
      <c r="C133" s="28"/>
      <c r="D133" s="28"/>
      <c r="E133" s="23" t="s">
        <v>16</v>
      </c>
      <c r="F133" s="23" t="s">
        <v>16</v>
      </c>
      <c r="G133" s="23" t="s">
        <v>16</v>
      </c>
      <c r="H133" s="23" t="s">
        <v>16</v>
      </c>
    </row>
    <row r="134" spans="1:8">
      <c r="A134" s="27"/>
      <c r="B134" s="27"/>
      <c r="C134" s="28"/>
      <c r="D134" s="28"/>
      <c r="E134" s="23" t="s">
        <v>16</v>
      </c>
      <c r="F134" s="23" t="s">
        <v>16</v>
      </c>
      <c r="G134" s="23" t="s">
        <v>16</v>
      </c>
      <c r="H134" s="23" t="s">
        <v>16</v>
      </c>
    </row>
    <row r="135" spans="1:8">
      <c r="A135" s="27"/>
      <c r="B135" s="27"/>
      <c r="C135" s="28"/>
      <c r="D135" s="28"/>
      <c r="E135" s="23" t="s">
        <v>16</v>
      </c>
      <c r="F135" s="23" t="s">
        <v>16</v>
      </c>
      <c r="G135" s="23" t="s">
        <v>16</v>
      </c>
      <c r="H135" s="23" t="s">
        <v>16</v>
      </c>
    </row>
    <row r="136" spans="1:8">
      <c r="A136" s="27"/>
      <c r="B136" s="27"/>
      <c r="C136" s="28"/>
      <c r="D136" s="28"/>
      <c r="E136" s="23" t="s">
        <v>16</v>
      </c>
      <c r="F136" s="23" t="s">
        <v>16</v>
      </c>
      <c r="G136" s="23" t="s">
        <v>16</v>
      </c>
      <c r="H136" s="23" t="s">
        <v>16</v>
      </c>
    </row>
    <row r="137" spans="1:8">
      <c r="A137" s="27"/>
      <c r="B137" s="27"/>
      <c r="C137" s="28"/>
      <c r="D137" s="28"/>
      <c r="E137" s="23" t="s">
        <v>16</v>
      </c>
      <c r="F137" s="23" t="s">
        <v>16</v>
      </c>
      <c r="G137" s="23" t="s">
        <v>16</v>
      </c>
      <c r="H137" s="23" t="s">
        <v>16</v>
      </c>
    </row>
    <row r="138" spans="1:8">
      <c r="A138" s="27"/>
      <c r="B138" s="27"/>
      <c r="C138" s="28"/>
      <c r="D138" s="28"/>
      <c r="E138" s="23" t="s">
        <v>16</v>
      </c>
      <c r="F138" s="23" t="s">
        <v>16</v>
      </c>
      <c r="G138" s="23" t="s">
        <v>16</v>
      </c>
      <c r="H138" s="23" t="s">
        <v>16</v>
      </c>
    </row>
    <row r="139" spans="1:8">
      <c r="A139" s="27"/>
      <c r="B139" s="27"/>
      <c r="C139" s="28"/>
      <c r="D139" s="28"/>
      <c r="E139" s="23" t="s">
        <v>16</v>
      </c>
      <c r="F139" s="23" t="s">
        <v>16</v>
      </c>
      <c r="G139" s="23" t="s">
        <v>16</v>
      </c>
      <c r="H139" s="23" t="s">
        <v>16</v>
      </c>
    </row>
    <row r="140" spans="1:8">
      <c r="A140" s="27"/>
      <c r="B140" s="27"/>
      <c r="C140" s="28"/>
      <c r="D140" s="28"/>
      <c r="E140" s="23" t="s">
        <v>16</v>
      </c>
      <c r="F140" s="23" t="s">
        <v>16</v>
      </c>
      <c r="G140" s="23" t="s">
        <v>16</v>
      </c>
      <c r="H140" s="23" t="s">
        <v>16</v>
      </c>
    </row>
    <row r="141" spans="1:8">
      <c r="A141" s="27"/>
      <c r="B141" s="27"/>
      <c r="C141" s="28"/>
      <c r="D141" s="28"/>
      <c r="E141" s="23" t="s">
        <v>16</v>
      </c>
      <c r="F141" s="23" t="s">
        <v>16</v>
      </c>
      <c r="G141" s="23" t="s">
        <v>16</v>
      </c>
      <c r="H141" s="23" t="s">
        <v>16</v>
      </c>
    </row>
    <row r="142" spans="1:8">
      <c r="A142" s="27"/>
      <c r="B142" s="27"/>
      <c r="C142" s="28"/>
      <c r="D142" s="28"/>
      <c r="E142" s="23" t="s">
        <v>16</v>
      </c>
      <c r="F142" s="23" t="s">
        <v>16</v>
      </c>
      <c r="G142" s="23" t="s">
        <v>16</v>
      </c>
      <c r="H142" s="23" t="s">
        <v>16</v>
      </c>
    </row>
    <row r="143" spans="1:8">
      <c r="A143" s="27"/>
      <c r="B143" s="27"/>
      <c r="C143" s="28"/>
      <c r="D143" s="28"/>
      <c r="E143" s="23" t="s">
        <v>16</v>
      </c>
      <c r="F143" s="23" t="s">
        <v>16</v>
      </c>
      <c r="G143" s="23" t="s">
        <v>16</v>
      </c>
      <c r="H143" s="23" t="s">
        <v>16</v>
      </c>
    </row>
    <row r="144" spans="1:8">
      <c r="A144" s="27"/>
      <c r="B144" s="27"/>
      <c r="C144" s="28"/>
      <c r="D144" s="28"/>
      <c r="E144" s="23" t="s">
        <v>16</v>
      </c>
      <c r="F144" s="23" t="s">
        <v>16</v>
      </c>
      <c r="G144" s="23" t="s">
        <v>16</v>
      </c>
      <c r="H144" s="23" t="s">
        <v>16</v>
      </c>
    </row>
    <row r="145" spans="1:8">
      <c r="A145" s="27"/>
      <c r="B145" s="27"/>
      <c r="C145" s="28"/>
      <c r="D145" s="28"/>
      <c r="E145" s="23" t="s">
        <v>16</v>
      </c>
      <c r="F145" s="23" t="s">
        <v>16</v>
      </c>
      <c r="G145" s="23" t="s">
        <v>16</v>
      </c>
      <c r="H145" s="23" t="s">
        <v>16</v>
      </c>
    </row>
    <row r="146" spans="1:8">
      <c r="A146" s="27"/>
      <c r="B146" s="27"/>
      <c r="C146" s="28"/>
      <c r="D146" s="28"/>
      <c r="E146" s="23" t="s">
        <v>16</v>
      </c>
      <c r="F146" s="23" t="s">
        <v>16</v>
      </c>
      <c r="G146" s="23" t="s">
        <v>16</v>
      </c>
      <c r="H146" s="23" t="s">
        <v>16</v>
      </c>
    </row>
    <row r="147" spans="1:8">
      <c r="A147" s="27"/>
      <c r="B147" s="27"/>
      <c r="C147" s="28"/>
      <c r="D147" s="28"/>
      <c r="E147" s="23" t="s">
        <v>16</v>
      </c>
      <c r="F147" s="23" t="s">
        <v>16</v>
      </c>
      <c r="G147" s="23" t="s">
        <v>16</v>
      </c>
      <c r="H147" s="23" t="s">
        <v>16</v>
      </c>
    </row>
    <row r="148" spans="1:8">
      <c r="A148" s="27"/>
      <c r="B148" s="27"/>
      <c r="C148" s="28"/>
      <c r="D148" s="28"/>
      <c r="E148" s="23" t="s">
        <v>16</v>
      </c>
      <c r="F148" s="23" t="s">
        <v>16</v>
      </c>
      <c r="G148" s="23" t="s">
        <v>16</v>
      </c>
      <c r="H148" s="23" t="s">
        <v>16</v>
      </c>
    </row>
    <row r="149" spans="1:8">
      <c r="A149" s="27"/>
      <c r="B149" s="27"/>
      <c r="C149" s="28"/>
      <c r="D149" s="28"/>
      <c r="E149" s="23" t="s">
        <v>16</v>
      </c>
      <c r="F149" s="23" t="s">
        <v>16</v>
      </c>
      <c r="G149" s="23" t="s">
        <v>16</v>
      </c>
      <c r="H149" s="23" t="s">
        <v>16</v>
      </c>
    </row>
    <row r="150" spans="1:8">
      <c r="A150" s="27"/>
      <c r="B150" s="27"/>
      <c r="C150" s="28"/>
      <c r="D150" s="28"/>
      <c r="E150" s="23" t="s">
        <v>16</v>
      </c>
      <c r="F150" s="23" t="s">
        <v>16</v>
      </c>
      <c r="G150" s="23" t="s">
        <v>16</v>
      </c>
      <c r="H150" s="23" t="s">
        <v>16</v>
      </c>
    </row>
    <row r="151" spans="1:8">
      <c r="A151" s="27"/>
      <c r="B151" s="27"/>
      <c r="C151" s="28"/>
      <c r="D151" s="28"/>
      <c r="E151" s="23" t="s">
        <v>16</v>
      </c>
      <c r="F151" s="23" t="s">
        <v>16</v>
      </c>
      <c r="G151" s="23" t="s">
        <v>16</v>
      </c>
      <c r="H151" s="23" t="s">
        <v>16</v>
      </c>
    </row>
    <row r="152" spans="1:8">
      <c r="A152" s="27"/>
      <c r="B152" s="27"/>
      <c r="C152" s="28"/>
      <c r="D152" s="28"/>
      <c r="E152" s="23" t="s">
        <v>16</v>
      </c>
      <c r="F152" s="23" t="s">
        <v>16</v>
      </c>
      <c r="G152" s="23" t="s">
        <v>16</v>
      </c>
      <c r="H152" s="23" t="s">
        <v>16</v>
      </c>
    </row>
    <row r="153" spans="1:8">
      <c r="A153" s="27"/>
      <c r="B153" s="27"/>
      <c r="C153" s="28"/>
      <c r="D153" s="28"/>
      <c r="E153" s="23" t="s">
        <v>16</v>
      </c>
      <c r="F153" s="23" t="s">
        <v>16</v>
      </c>
      <c r="G153" s="23" t="s">
        <v>16</v>
      </c>
      <c r="H153" s="23" t="s">
        <v>16</v>
      </c>
    </row>
    <row r="154" spans="1:8">
      <c r="A154" s="27"/>
      <c r="B154" s="27"/>
      <c r="C154" s="28"/>
      <c r="D154" s="28"/>
      <c r="E154" s="23" t="s">
        <v>16</v>
      </c>
      <c r="F154" s="23" t="s">
        <v>16</v>
      </c>
      <c r="G154" s="23" t="s">
        <v>16</v>
      </c>
      <c r="H154" s="23" t="s">
        <v>16</v>
      </c>
    </row>
    <row r="155" spans="1:8">
      <c r="A155" s="27"/>
      <c r="B155" s="27"/>
      <c r="C155" s="28"/>
      <c r="D155" s="28"/>
      <c r="E155" s="23" t="s">
        <v>16</v>
      </c>
      <c r="F155" s="23" t="s">
        <v>16</v>
      </c>
      <c r="G155" s="23" t="s">
        <v>16</v>
      </c>
      <c r="H155" s="23" t="s">
        <v>16</v>
      </c>
    </row>
    <row r="156" spans="1:8">
      <c r="A156" s="27"/>
      <c r="B156" s="27"/>
      <c r="C156" s="28"/>
      <c r="D156" s="28"/>
      <c r="E156" s="23" t="s">
        <v>16</v>
      </c>
      <c r="F156" s="23" t="s">
        <v>16</v>
      </c>
      <c r="G156" s="23" t="s">
        <v>16</v>
      </c>
      <c r="H156" s="23" t="s">
        <v>16</v>
      </c>
    </row>
    <row r="157" spans="1:8">
      <c r="A157" s="27"/>
      <c r="B157" s="27"/>
      <c r="C157" s="28"/>
      <c r="D157" s="28"/>
      <c r="E157" s="23" t="s">
        <v>16</v>
      </c>
      <c r="F157" s="23" t="s">
        <v>16</v>
      </c>
      <c r="G157" s="23" t="s">
        <v>16</v>
      </c>
      <c r="H157" s="23" t="s">
        <v>16</v>
      </c>
    </row>
    <row r="158" spans="1:8">
      <c r="A158" s="27"/>
      <c r="B158" s="27"/>
      <c r="C158" s="28"/>
      <c r="D158" s="28"/>
      <c r="E158" s="23" t="s">
        <v>16</v>
      </c>
      <c r="F158" s="23" t="s">
        <v>16</v>
      </c>
      <c r="G158" s="23" t="s">
        <v>16</v>
      </c>
      <c r="H158" s="23" t="s">
        <v>16</v>
      </c>
    </row>
    <row r="159" spans="1:8">
      <c r="A159" s="27"/>
      <c r="B159" s="27"/>
      <c r="C159" s="28"/>
      <c r="D159" s="28"/>
      <c r="E159" s="23" t="s">
        <v>16</v>
      </c>
      <c r="F159" s="23" t="s">
        <v>16</v>
      </c>
      <c r="G159" s="23" t="s">
        <v>16</v>
      </c>
      <c r="H159" s="23" t="s">
        <v>16</v>
      </c>
    </row>
    <row r="160" spans="1:8">
      <c r="A160" s="27"/>
      <c r="B160" s="27"/>
      <c r="C160" s="28"/>
      <c r="D160" s="28"/>
      <c r="E160" s="23" t="s">
        <v>16</v>
      </c>
      <c r="F160" s="23" t="s">
        <v>16</v>
      </c>
      <c r="G160" s="23" t="s">
        <v>16</v>
      </c>
      <c r="H160" s="23" t="s">
        <v>16</v>
      </c>
    </row>
    <row r="161" spans="1:8">
      <c r="A161" s="27"/>
      <c r="B161" s="27"/>
      <c r="C161" s="28"/>
      <c r="D161" s="28"/>
      <c r="E161" s="23" t="s">
        <v>16</v>
      </c>
      <c r="F161" s="23" t="s">
        <v>16</v>
      </c>
      <c r="G161" s="23" t="s">
        <v>16</v>
      </c>
      <c r="H161" s="23" t="s">
        <v>16</v>
      </c>
    </row>
    <row r="162" spans="1:8">
      <c r="A162" s="27"/>
      <c r="B162" s="27"/>
      <c r="C162" s="28"/>
      <c r="D162" s="28"/>
      <c r="E162" s="23" t="s">
        <v>16</v>
      </c>
      <c r="F162" s="23" t="s">
        <v>16</v>
      </c>
      <c r="G162" s="23" t="s">
        <v>16</v>
      </c>
      <c r="H162" s="23" t="s">
        <v>16</v>
      </c>
    </row>
    <row r="163" spans="1:8">
      <c r="A163" s="27"/>
      <c r="B163" s="27"/>
      <c r="C163" s="28"/>
      <c r="D163" s="28"/>
      <c r="E163" s="23" t="s">
        <v>16</v>
      </c>
      <c r="F163" s="23" t="s">
        <v>16</v>
      </c>
      <c r="G163" s="23" t="s">
        <v>16</v>
      </c>
      <c r="H163" s="23" t="s">
        <v>16</v>
      </c>
    </row>
    <row r="164" spans="1:8">
      <c r="A164" s="27"/>
      <c r="B164" s="27"/>
      <c r="C164" s="28"/>
      <c r="D164" s="28"/>
      <c r="E164" s="23" t="s">
        <v>16</v>
      </c>
      <c r="F164" s="23" t="s">
        <v>16</v>
      </c>
      <c r="G164" s="23" t="s">
        <v>16</v>
      </c>
      <c r="H164" s="23" t="s">
        <v>16</v>
      </c>
    </row>
    <row r="165" spans="1:8">
      <c r="A165" s="27"/>
      <c r="B165" s="27"/>
      <c r="C165" s="28"/>
      <c r="D165" s="28"/>
      <c r="E165" s="23" t="s">
        <v>16</v>
      </c>
      <c r="F165" s="23" t="s">
        <v>16</v>
      </c>
      <c r="G165" s="23" t="s">
        <v>16</v>
      </c>
      <c r="H165" s="23" t="s">
        <v>16</v>
      </c>
    </row>
    <row r="166" spans="1:8">
      <c r="A166" s="27"/>
      <c r="B166" s="27"/>
      <c r="C166" s="28"/>
      <c r="D166" s="28"/>
      <c r="E166" s="23" t="s">
        <v>16</v>
      </c>
      <c r="F166" s="23" t="s">
        <v>16</v>
      </c>
      <c r="G166" s="23" t="s">
        <v>16</v>
      </c>
      <c r="H166" s="23" t="s">
        <v>16</v>
      </c>
    </row>
    <row r="167" spans="1:8">
      <c r="A167" s="27"/>
      <c r="B167" s="27"/>
      <c r="C167" s="28"/>
      <c r="D167" s="28"/>
      <c r="E167" s="23" t="s">
        <v>16</v>
      </c>
      <c r="F167" s="23" t="s">
        <v>16</v>
      </c>
      <c r="G167" s="23" t="s">
        <v>16</v>
      </c>
      <c r="H167" s="23" t="s">
        <v>16</v>
      </c>
    </row>
    <row r="168" spans="1:8">
      <c r="A168" s="27"/>
      <c r="B168" s="27"/>
      <c r="C168" s="28"/>
      <c r="D168" s="28"/>
      <c r="E168" s="23" t="s">
        <v>16</v>
      </c>
      <c r="F168" s="23" t="s">
        <v>16</v>
      </c>
      <c r="G168" s="23" t="s">
        <v>16</v>
      </c>
      <c r="H168" s="23" t="s">
        <v>16</v>
      </c>
    </row>
    <row r="169" spans="1:8">
      <c r="A169" s="27"/>
      <c r="B169" s="27"/>
      <c r="C169" s="28"/>
      <c r="D169" s="28"/>
      <c r="E169" s="23" t="s">
        <v>16</v>
      </c>
      <c r="F169" s="23" t="s">
        <v>16</v>
      </c>
      <c r="G169" s="23" t="s">
        <v>16</v>
      </c>
      <c r="H169" s="23" t="s">
        <v>16</v>
      </c>
    </row>
    <row r="170" spans="1:8">
      <c r="A170" s="27"/>
      <c r="B170" s="27"/>
      <c r="C170" s="28"/>
      <c r="D170" s="28"/>
      <c r="E170" s="23" t="s">
        <v>16</v>
      </c>
      <c r="F170" s="23" t="s">
        <v>16</v>
      </c>
      <c r="G170" s="23" t="s">
        <v>16</v>
      </c>
      <c r="H170" s="23" t="s">
        <v>16</v>
      </c>
    </row>
    <row r="171" spans="1:8">
      <c r="A171" s="27"/>
      <c r="B171" s="27"/>
      <c r="C171" s="28"/>
      <c r="D171" s="28"/>
      <c r="E171" s="23" t="s">
        <v>16</v>
      </c>
      <c r="F171" s="23" t="s">
        <v>16</v>
      </c>
      <c r="G171" s="23" t="s">
        <v>16</v>
      </c>
      <c r="H171" s="23" t="s">
        <v>16</v>
      </c>
    </row>
    <row r="172" spans="1:8">
      <c r="A172" s="27"/>
      <c r="B172" s="27"/>
      <c r="C172" s="28"/>
      <c r="D172" s="28"/>
      <c r="E172" s="23" t="s">
        <v>16</v>
      </c>
      <c r="F172" s="23" t="s">
        <v>16</v>
      </c>
      <c r="G172" s="23" t="s">
        <v>16</v>
      </c>
      <c r="H172" s="23" t="s">
        <v>16</v>
      </c>
    </row>
    <row r="173" spans="1:8">
      <c r="A173" s="27"/>
      <c r="B173" s="27"/>
      <c r="C173" s="28"/>
      <c r="D173" s="28"/>
      <c r="E173" s="23" t="s">
        <v>16</v>
      </c>
      <c r="F173" s="23" t="s">
        <v>16</v>
      </c>
      <c r="G173" s="23" t="s">
        <v>16</v>
      </c>
      <c r="H173" s="23" t="s">
        <v>16</v>
      </c>
    </row>
    <row r="174" spans="1:8">
      <c r="A174" s="27"/>
      <c r="B174" s="27"/>
      <c r="C174" s="28"/>
      <c r="D174" s="28"/>
      <c r="E174" s="23" t="s">
        <v>16</v>
      </c>
      <c r="F174" s="23" t="s">
        <v>16</v>
      </c>
      <c r="G174" s="23" t="s">
        <v>16</v>
      </c>
      <c r="H174" s="23" t="s">
        <v>16</v>
      </c>
    </row>
    <row r="175" spans="1:8">
      <c r="A175" s="27"/>
      <c r="B175" s="27"/>
      <c r="C175" s="28"/>
      <c r="D175" s="28"/>
      <c r="E175" s="23" t="s">
        <v>16</v>
      </c>
      <c r="F175" s="23" t="s">
        <v>16</v>
      </c>
      <c r="G175" s="23" t="s">
        <v>16</v>
      </c>
      <c r="H175" s="23" t="s">
        <v>16</v>
      </c>
    </row>
    <row r="176" spans="1:8">
      <c r="A176" s="27"/>
      <c r="B176" s="27"/>
      <c r="C176" s="28"/>
      <c r="D176" s="28"/>
      <c r="E176" s="23" t="s">
        <v>16</v>
      </c>
      <c r="F176" s="23" t="s">
        <v>16</v>
      </c>
      <c r="G176" s="23" t="s">
        <v>16</v>
      </c>
      <c r="H176" s="23" t="s">
        <v>16</v>
      </c>
    </row>
    <row r="177" spans="1:8">
      <c r="A177" s="27"/>
      <c r="B177" s="27"/>
      <c r="C177" s="28"/>
      <c r="D177" s="28"/>
      <c r="E177" s="23" t="s">
        <v>16</v>
      </c>
      <c r="F177" s="23" t="s">
        <v>16</v>
      </c>
      <c r="G177" s="23" t="s">
        <v>16</v>
      </c>
      <c r="H177" s="23" t="s">
        <v>16</v>
      </c>
    </row>
    <row r="178" spans="1:8">
      <c r="A178" s="27"/>
      <c r="B178" s="27"/>
      <c r="C178" s="28"/>
      <c r="D178" s="28"/>
      <c r="E178" s="23" t="s">
        <v>16</v>
      </c>
      <c r="F178" s="23" t="s">
        <v>16</v>
      </c>
      <c r="G178" s="23" t="s">
        <v>16</v>
      </c>
      <c r="H178" s="23" t="s">
        <v>16</v>
      </c>
    </row>
    <row r="179" spans="1:8">
      <c r="A179" s="27"/>
      <c r="B179" s="27"/>
      <c r="C179" s="28"/>
      <c r="D179" s="28"/>
      <c r="E179" s="23" t="s">
        <v>16</v>
      </c>
      <c r="F179" s="23" t="s">
        <v>16</v>
      </c>
      <c r="G179" s="23" t="s">
        <v>16</v>
      </c>
      <c r="H179" s="23" t="s">
        <v>16</v>
      </c>
    </row>
    <row r="180" spans="1:8">
      <c r="A180" s="27"/>
      <c r="B180" s="27"/>
      <c r="C180" s="28"/>
      <c r="D180" s="28"/>
      <c r="E180" s="23" t="s">
        <v>16</v>
      </c>
      <c r="F180" s="23" t="s">
        <v>16</v>
      </c>
      <c r="G180" s="23" t="s">
        <v>16</v>
      </c>
      <c r="H180" s="23" t="s">
        <v>16</v>
      </c>
    </row>
    <row r="181" spans="1:8">
      <c r="A181" s="27"/>
      <c r="B181" s="27"/>
      <c r="C181" s="28"/>
      <c r="D181" s="28"/>
      <c r="E181" s="23" t="s">
        <v>16</v>
      </c>
      <c r="F181" s="23" t="s">
        <v>16</v>
      </c>
      <c r="G181" s="23" t="s">
        <v>16</v>
      </c>
      <c r="H181" s="23" t="s">
        <v>16</v>
      </c>
    </row>
    <row r="182" spans="1:8">
      <c r="A182" s="27"/>
      <c r="B182" s="27"/>
      <c r="C182" s="28"/>
      <c r="D182" s="28"/>
      <c r="E182" s="23" t="s">
        <v>16</v>
      </c>
      <c r="F182" s="23" t="s">
        <v>16</v>
      </c>
      <c r="G182" s="23" t="s">
        <v>16</v>
      </c>
      <c r="H182" s="23" t="s">
        <v>16</v>
      </c>
    </row>
    <row r="183" spans="1:8">
      <c r="A183" s="27"/>
      <c r="B183" s="27"/>
      <c r="C183" s="28"/>
      <c r="D183" s="28"/>
      <c r="E183" s="23" t="s">
        <v>16</v>
      </c>
      <c r="F183" s="23" t="s">
        <v>16</v>
      </c>
      <c r="G183" s="23" t="s">
        <v>16</v>
      </c>
      <c r="H183" s="23" t="s">
        <v>16</v>
      </c>
    </row>
    <row r="184" spans="1:8">
      <c r="A184" s="27"/>
      <c r="B184" s="27"/>
      <c r="C184" s="28"/>
      <c r="D184" s="28"/>
      <c r="E184" s="23" t="s">
        <v>16</v>
      </c>
      <c r="F184" s="23" t="s">
        <v>16</v>
      </c>
      <c r="G184" s="23" t="s">
        <v>16</v>
      </c>
      <c r="H184" s="23" t="s">
        <v>16</v>
      </c>
    </row>
    <row r="185" spans="1:8">
      <c r="A185" s="27"/>
      <c r="B185" s="27"/>
      <c r="C185" s="28"/>
      <c r="D185" s="28"/>
      <c r="E185" s="23" t="s">
        <v>16</v>
      </c>
      <c r="F185" s="23" t="s">
        <v>16</v>
      </c>
      <c r="G185" s="23" t="s">
        <v>16</v>
      </c>
      <c r="H185" s="23" t="s">
        <v>16</v>
      </c>
    </row>
    <row r="186" spans="1:8">
      <c r="A186" s="27"/>
      <c r="B186" s="27"/>
      <c r="C186" s="28"/>
      <c r="D186" s="28"/>
      <c r="E186" s="23" t="s">
        <v>16</v>
      </c>
      <c r="F186" s="23" t="s">
        <v>16</v>
      </c>
      <c r="G186" s="23" t="s">
        <v>16</v>
      </c>
      <c r="H186" s="23" t="s">
        <v>16</v>
      </c>
    </row>
    <row r="187" spans="1:8">
      <c r="A187" s="27"/>
      <c r="B187" s="27"/>
      <c r="C187" s="28"/>
      <c r="D187" s="28"/>
      <c r="E187" s="23" t="s">
        <v>16</v>
      </c>
      <c r="F187" s="23" t="s">
        <v>16</v>
      </c>
      <c r="G187" s="23" t="s">
        <v>16</v>
      </c>
      <c r="H187" s="23" t="s">
        <v>16</v>
      </c>
    </row>
    <row r="188" spans="1:8">
      <c r="A188" s="27"/>
      <c r="B188" s="27"/>
      <c r="C188" s="28"/>
      <c r="D188" s="28"/>
      <c r="E188" s="23" t="s">
        <v>16</v>
      </c>
      <c r="F188" s="23" t="s">
        <v>16</v>
      </c>
      <c r="G188" s="23" t="s">
        <v>16</v>
      </c>
      <c r="H188" s="23" t="s">
        <v>16</v>
      </c>
    </row>
    <row r="189" spans="1:8">
      <c r="A189" s="27"/>
      <c r="B189" s="27"/>
      <c r="C189" s="28"/>
      <c r="D189" s="28"/>
      <c r="E189" s="23" t="s">
        <v>16</v>
      </c>
      <c r="F189" s="23" t="s">
        <v>16</v>
      </c>
      <c r="G189" s="23" t="s">
        <v>16</v>
      </c>
      <c r="H189" s="23" t="s">
        <v>16</v>
      </c>
    </row>
    <row r="190" spans="1:8">
      <c r="A190" s="27"/>
      <c r="B190" s="27"/>
      <c r="C190" s="28"/>
      <c r="D190" s="28"/>
      <c r="E190" s="23" t="s">
        <v>16</v>
      </c>
      <c r="F190" s="23" t="s">
        <v>16</v>
      </c>
      <c r="G190" s="23" t="s">
        <v>16</v>
      </c>
      <c r="H190" s="23" t="s">
        <v>16</v>
      </c>
    </row>
    <row r="191" spans="1:8">
      <c r="A191" s="27"/>
      <c r="B191" s="27"/>
      <c r="C191" s="28"/>
      <c r="D191" s="28"/>
      <c r="E191" s="23"/>
      <c r="F191" s="23"/>
      <c r="G191" s="23"/>
      <c r="H191" s="23"/>
    </row>
    <row r="192" spans="1:8">
      <c r="A192" s="27"/>
      <c r="B192" s="27"/>
      <c r="C192" s="28"/>
      <c r="D192" s="28"/>
      <c r="E192" s="23"/>
      <c r="F192" s="23"/>
      <c r="G192" s="23"/>
      <c r="H192" s="23"/>
    </row>
    <row r="193" spans="1:8">
      <c r="A193" s="27"/>
      <c r="B193" s="27"/>
      <c r="C193" s="28"/>
      <c r="D193" s="28"/>
      <c r="E193" s="23"/>
      <c r="F193" s="23"/>
      <c r="G193" s="23"/>
      <c r="H193" s="23"/>
    </row>
    <row r="194" spans="1:8">
      <c r="A194" s="27"/>
      <c r="B194" s="27"/>
      <c r="C194" s="28"/>
      <c r="D194" s="28"/>
      <c r="E194" s="23"/>
      <c r="F194" s="23"/>
      <c r="G194" s="23"/>
      <c r="H194" s="23"/>
    </row>
    <row r="195" spans="1:8">
      <c r="A195" s="27"/>
      <c r="B195" s="27"/>
      <c r="C195" s="28"/>
      <c r="D195" s="28"/>
      <c r="E195" s="23"/>
      <c r="F195" s="23"/>
      <c r="G195" s="23"/>
      <c r="H195" s="23"/>
    </row>
    <row r="196" spans="1:8">
      <c r="A196" s="27"/>
      <c r="B196" s="27"/>
      <c r="C196" s="28"/>
      <c r="D196" s="28"/>
      <c r="E196" s="23"/>
      <c r="F196" s="23"/>
      <c r="G196" s="23"/>
      <c r="H196" s="23"/>
    </row>
    <row r="197" spans="1:8">
      <c r="A197" s="27"/>
      <c r="B197" s="27"/>
      <c r="C197" s="28"/>
      <c r="D197" s="28"/>
      <c r="E197" s="23"/>
      <c r="F197" s="23"/>
      <c r="G197" s="23"/>
      <c r="H197" s="23"/>
    </row>
    <row r="198" spans="1:8">
      <c r="A198" s="27"/>
      <c r="B198" s="27"/>
      <c r="C198" s="28"/>
      <c r="D198" s="28"/>
      <c r="E198" s="23"/>
      <c r="F198" s="23"/>
      <c r="G198" s="23"/>
      <c r="H198" s="23"/>
    </row>
    <row r="199" spans="1:8">
      <c r="A199" s="27"/>
      <c r="B199" s="27"/>
      <c r="C199" s="28"/>
      <c r="D199" s="28"/>
      <c r="E199" s="23"/>
      <c r="F199" s="23"/>
      <c r="G199" s="23"/>
      <c r="H199" s="23"/>
    </row>
    <row r="200" spans="1:8">
      <c r="A200" s="27"/>
      <c r="B200" s="27"/>
      <c r="C200" s="28"/>
      <c r="D200" s="28"/>
      <c r="E200" s="23"/>
      <c r="F200" s="23"/>
      <c r="G200" s="23"/>
      <c r="H200" s="23"/>
    </row>
    <row r="201" spans="1:8">
      <c r="A201" s="27"/>
      <c r="B201" s="27"/>
      <c r="C201" s="28"/>
      <c r="D201" s="28"/>
      <c r="E201" s="23"/>
      <c r="F201" s="23"/>
      <c r="G201" s="23"/>
      <c r="H201" s="23"/>
    </row>
    <row r="202" spans="1:8">
      <c r="A202" s="27"/>
      <c r="B202" s="27"/>
      <c r="C202" s="28"/>
      <c r="D202" s="28"/>
      <c r="E202" s="23"/>
      <c r="F202" s="23"/>
      <c r="G202" s="23"/>
      <c r="H202" s="23"/>
    </row>
    <row r="203" spans="1:8">
      <c r="A203" s="27"/>
      <c r="B203" s="27"/>
      <c r="C203" s="28"/>
      <c r="D203" s="28"/>
      <c r="E203" s="23"/>
      <c r="F203" s="23"/>
      <c r="G203" s="23"/>
      <c r="H203" s="23"/>
    </row>
    <row r="204" spans="1:8">
      <c r="A204" s="27"/>
      <c r="B204" s="27"/>
      <c r="C204" s="28"/>
      <c r="D204" s="28"/>
      <c r="E204" s="23"/>
      <c r="F204" s="23"/>
      <c r="G204" s="23"/>
      <c r="H204" s="23"/>
    </row>
    <row r="205" spans="1:8">
      <c r="A205" s="27"/>
      <c r="B205" s="27"/>
      <c r="C205" s="28"/>
      <c r="D205" s="28"/>
      <c r="E205" s="23"/>
      <c r="F205" s="23"/>
      <c r="G205" s="23"/>
      <c r="H205" s="23"/>
    </row>
    <row r="206" spans="1:8">
      <c r="A206" s="27"/>
      <c r="B206" s="27"/>
      <c r="C206" s="28"/>
      <c r="D206" s="28"/>
      <c r="E206" s="23"/>
      <c r="F206" s="23"/>
      <c r="G206" s="23"/>
      <c r="H206" s="23"/>
    </row>
    <row r="207" spans="1:8">
      <c r="A207" s="27"/>
      <c r="B207" s="27"/>
      <c r="C207" s="28"/>
      <c r="D207" s="28"/>
      <c r="E207" s="23"/>
      <c r="F207" s="23"/>
      <c r="G207" s="23"/>
      <c r="H207" s="23"/>
    </row>
    <row r="208" spans="1:8">
      <c r="A208" s="27"/>
      <c r="B208" s="27"/>
      <c r="C208" s="28"/>
      <c r="D208" s="28"/>
      <c r="E208" s="23"/>
      <c r="F208" s="23"/>
      <c r="G208" s="23"/>
      <c r="H208" s="23"/>
    </row>
    <row r="209" spans="1:8">
      <c r="A209" s="27"/>
      <c r="B209" s="27"/>
      <c r="C209" s="28"/>
      <c r="D209" s="28"/>
      <c r="E209" s="23"/>
      <c r="F209" s="23"/>
      <c r="G209" s="23"/>
      <c r="H209" s="23"/>
    </row>
    <row r="210" spans="1:8">
      <c r="A210" s="27"/>
      <c r="B210" s="27"/>
      <c r="C210" s="28"/>
      <c r="D210" s="28"/>
      <c r="E210" s="23"/>
      <c r="F210" s="23"/>
      <c r="G210" s="23"/>
      <c r="H210" s="23"/>
    </row>
    <row r="211" spans="1:8">
      <c r="A211" s="27"/>
      <c r="B211" s="27"/>
      <c r="C211" s="28"/>
      <c r="D211" s="28"/>
      <c r="E211" s="23"/>
      <c r="F211" s="23"/>
      <c r="G211" s="23"/>
      <c r="H211" s="23"/>
    </row>
    <row r="212" spans="1:8">
      <c r="A212" s="27"/>
      <c r="B212" s="27"/>
      <c r="C212" s="28"/>
      <c r="D212" s="28"/>
      <c r="E212" s="23"/>
      <c r="F212" s="23"/>
      <c r="G212" s="23"/>
      <c r="H212" s="23"/>
    </row>
    <row r="213" spans="1:8">
      <c r="A213" s="27"/>
      <c r="B213" s="27"/>
      <c r="C213" s="28"/>
      <c r="D213" s="28"/>
      <c r="E213" s="23"/>
      <c r="F213" s="23"/>
      <c r="G213" s="23"/>
      <c r="H213" s="23"/>
    </row>
    <row r="214" spans="1:8">
      <c r="A214" s="27"/>
      <c r="B214" s="27"/>
      <c r="C214" s="28"/>
      <c r="D214" s="28"/>
      <c r="E214" s="23"/>
      <c r="F214" s="23"/>
      <c r="G214" s="23"/>
      <c r="H214" s="23"/>
    </row>
    <row r="215" spans="1:8">
      <c r="A215" s="27"/>
      <c r="B215" s="27"/>
      <c r="C215" s="28"/>
      <c r="D215" s="28"/>
      <c r="E215" s="23"/>
      <c r="F215" s="23"/>
      <c r="G215" s="23"/>
      <c r="H215" s="23"/>
    </row>
    <row r="216" spans="1:8">
      <c r="A216" s="27"/>
      <c r="B216" s="27"/>
      <c r="C216" s="28"/>
      <c r="D216" s="28"/>
      <c r="E216" s="23"/>
      <c r="F216" s="23"/>
      <c r="G216" s="23"/>
      <c r="H216" s="23"/>
    </row>
    <row r="217" spans="1:8">
      <c r="A217" s="27"/>
      <c r="B217" s="27"/>
      <c r="C217" s="28"/>
      <c r="D217" s="28"/>
      <c r="E217" s="23"/>
      <c r="F217" s="23"/>
      <c r="G217" s="23"/>
      <c r="H217" s="23"/>
    </row>
    <row r="218" spans="1:8">
      <c r="A218" s="27"/>
      <c r="B218" s="27"/>
      <c r="C218" s="28"/>
      <c r="D218" s="28"/>
      <c r="E218" s="23"/>
      <c r="F218" s="23"/>
      <c r="G218" s="23"/>
      <c r="H218" s="23"/>
    </row>
    <row r="219" spans="1:8">
      <c r="A219" s="27"/>
      <c r="B219" s="27"/>
      <c r="C219" s="28"/>
      <c r="D219" s="28"/>
      <c r="E219" s="23"/>
      <c r="F219" s="23"/>
      <c r="G219" s="23"/>
      <c r="H219" s="23"/>
    </row>
    <row r="220" spans="1:8">
      <c r="A220" s="27"/>
      <c r="B220" s="27"/>
      <c r="C220" s="28"/>
      <c r="D220" s="28"/>
      <c r="E220" s="23"/>
      <c r="F220" s="23"/>
      <c r="G220" s="23"/>
      <c r="H220" s="23"/>
    </row>
    <row r="221" spans="1:8">
      <c r="A221" s="27"/>
      <c r="B221" s="27"/>
      <c r="C221" s="28"/>
      <c r="D221" s="28"/>
      <c r="E221" s="23"/>
      <c r="F221" s="23"/>
      <c r="G221" s="23"/>
      <c r="H221" s="23"/>
    </row>
    <row r="222" spans="1:8">
      <c r="A222" s="27"/>
      <c r="B222" s="27"/>
      <c r="C222" s="28"/>
      <c r="D222" s="28"/>
      <c r="E222" s="86"/>
      <c r="F222" s="86"/>
      <c r="G222" s="86"/>
      <c r="H222" s="86"/>
    </row>
    <row r="223" spans="1:8">
      <c r="A223" s="27"/>
      <c r="B223" s="27"/>
      <c r="C223" s="28"/>
      <c r="D223" s="28"/>
      <c r="E223" s="86"/>
      <c r="F223" s="86"/>
      <c r="G223" s="86"/>
      <c r="H223" s="86"/>
    </row>
    <row r="224" spans="1:8">
      <c r="A224" s="27"/>
      <c r="B224" s="27"/>
      <c r="C224" s="28"/>
      <c r="D224" s="28"/>
      <c r="E224" s="86"/>
      <c r="F224" s="86"/>
      <c r="G224" s="86"/>
      <c r="H224" s="86"/>
    </row>
    <row r="225" spans="1:8">
      <c r="A225" s="27"/>
      <c r="B225" s="27"/>
      <c r="C225" s="28"/>
      <c r="D225" s="28"/>
      <c r="E225" s="86"/>
      <c r="F225" s="86"/>
      <c r="G225" s="86"/>
      <c r="H225" s="86"/>
    </row>
    <row r="226" spans="1:8">
      <c r="A226" s="27"/>
      <c r="B226" s="27"/>
      <c r="C226" s="28"/>
      <c r="D226" s="28"/>
      <c r="E226" s="86"/>
      <c r="F226" s="86"/>
      <c r="G226" s="86"/>
      <c r="H226" s="86"/>
    </row>
    <row r="227" spans="1:8">
      <c r="A227" s="27"/>
      <c r="B227" s="27"/>
      <c r="C227" s="28"/>
      <c r="D227" s="28"/>
      <c r="E227" s="86"/>
      <c r="F227" s="86"/>
      <c r="G227" s="86"/>
      <c r="H227" s="86"/>
    </row>
    <row r="228" spans="1:8">
      <c r="A228" s="27"/>
      <c r="B228" s="27"/>
      <c r="C228" s="28"/>
      <c r="D228" s="28"/>
      <c r="E228" s="86"/>
      <c r="F228" s="86"/>
      <c r="G228" s="86"/>
      <c r="H228" s="86"/>
    </row>
    <row r="229" spans="1:8">
      <c r="A229" s="27"/>
      <c r="B229" s="27"/>
      <c r="C229" s="28"/>
      <c r="D229" s="28"/>
      <c r="E229" s="86"/>
      <c r="F229" s="86"/>
      <c r="G229" s="86"/>
      <c r="H229" s="86"/>
    </row>
    <row r="230" spans="1:8">
      <c r="A230" s="27"/>
      <c r="B230" s="27"/>
      <c r="C230" s="28"/>
      <c r="D230" s="28"/>
      <c r="E230" s="86"/>
      <c r="F230" s="86"/>
      <c r="G230" s="86"/>
      <c r="H230" s="86"/>
    </row>
    <row r="231" spans="1:8">
      <c r="A231" s="27"/>
      <c r="B231" s="27"/>
      <c r="C231" s="28"/>
      <c r="D231" s="28"/>
      <c r="E231" s="86"/>
      <c r="F231" s="86"/>
      <c r="G231" s="86"/>
      <c r="H231" s="86"/>
    </row>
    <row r="232" spans="1:8">
      <c r="A232" s="27"/>
      <c r="B232" s="27"/>
      <c r="C232" s="28"/>
      <c r="D232" s="28"/>
      <c r="E232" s="86"/>
      <c r="F232" s="86"/>
      <c r="G232" s="86"/>
      <c r="H232" s="86"/>
    </row>
    <row r="233" spans="1:8">
      <c r="A233" s="27"/>
      <c r="B233" s="27"/>
      <c r="C233" s="28"/>
      <c r="D233" s="28"/>
      <c r="E233" s="86"/>
      <c r="F233" s="86"/>
      <c r="G233" s="86"/>
      <c r="H233" s="86"/>
    </row>
    <row r="234" spans="1:8">
      <c r="A234" s="27"/>
      <c r="B234" s="27"/>
      <c r="C234" s="28"/>
      <c r="D234" s="28"/>
      <c r="E234" s="86"/>
      <c r="F234" s="86"/>
      <c r="G234" s="86"/>
      <c r="H234" s="86"/>
    </row>
    <row r="235" spans="1:8">
      <c r="A235" s="27"/>
      <c r="B235" s="27"/>
      <c r="C235" s="28"/>
      <c r="D235" s="28"/>
      <c r="E235" s="86"/>
      <c r="F235" s="86"/>
      <c r="G235" s="86"/>
      <c r="H235" s="86"/>
    </row>
    <row r="236" spans="1:8">
      <c r="A236" s="27"/>
      <c r="B236" s="27"/>
      <c r="C236" s="28"/>
      <c r="D236" s="28"/>
      <c r="E236" s="86"/>
      <c r="F236" s="86"/>
      <c r="G236" s="86"/>
      <c r="H236" s="86"/>
    </row>
    <row r="237" spans="1:8">
      <c r="A237" s="27"/>
      <c r="B237" s="27"/>
      <c r="C237" s="28"/>
      <c r="D237" s="28"/>
      <c r="E237" s="86"/>
      <c r="F237" s="86"/>
      <c r="G237" s="86"/>
      <c r="H237" s="86"/>
    </row>
    <row r="238" spans="1:8">
      <c r="A238" s="27"/>
      <c r="B238" s="27"/>
      <c r="C238" s="28"/>
      <c r="D238" s="28"/>
      <c r="E238" s="86"/>
      <c r="F238" s="86"/>
      <c r="G238" s="86"/>
      <c r="H238" s="86"/>
    </row>
    <row r="239" spans="1:8">
      <c r="A239" s="27"/>
      <c r="B239" s="27"/>
      <c r="C239" s="28"/>
      <c r="D239" s="28"/>
      <c r="E239" s="86"/>
      <c r="F239" s="86"/>
      <c r="G239" s="86"/>
      <c r="H239" s="86"/>
    </row>
    <row r="240" spans="1:8">
      <c r="A240" s="27"/>
      <c r="B240" s="27"/>
      <c r="C240" s="28"/>
      <c r="D240" s="28"/>
      <c r="E240" s="86"/>
      <c r="F240" s="86"/>
      <c r="G240" s="86"/>
      <c r="H240" s="86"/>
    </row>
    <row r="241" spans="1:8">
      <c r="A241" s="27"/>
      <c r="B241" s="27"/>
      <c r="C241" s="28"/>
      <c r="D241" s="28"/>
      <c r="E241" s="86"/>
      <c r="F241" s="86"/>
      <c r="G241" s="86"/>
      <c r="H241" s="86"/>
    </row>
    <row r="242" spans="1:8">
      <c r="A242" s="27"/>
      <c r="B242" s="27"/>
      <c r="C242" s="28"/>
      <c r="D242" s="28"/>
      <c r="E242" s="86"/>
      <c r="F242" s="86"/>
      <c r="G242" s="86"/>
      <c r="H242" s="86"/>
    </row>
    <row r="243" spans="1:8">
      <c r="A243" s="27"/>
      <c r="B243" s="27"/>
      <c r="C243" s="28"/>
      <c r="D243" s="28"/>
      <c r="E243" s="86"/>
      <c r="F243" s="86"/>
      <c r="G243" s="86"/>
      <c r="H243" s="86"/>
    </row>
    <row r="244" spans="1:8">
      <c r="A244" s="27"/>
      <c r="B244" s="27"/>
      <c r="C244" s="28"/>
      <c r="D244" s="28"/>
      <c r="E244" s="86"/>
      <c r="F244" s="86"/>
      <c r="G244" s="86"/>
      <c r="H244" s="86"/>
    </row>
    <row r="245" spans="1:8">
      <c r="A245" s="27"/>
      <c r="B245" s="27"/>
      <c r="C245" s="28"/>
      <c r="D245" s="28"/>
      <c r="E245" s="86"/>
      <c r="F245" s="86"/>
      <c r="G245" s="86"/>
      <c r="H245" s="86"/>
    </row>
    <row r="246" spans="1:8">
      <c r="A246" s="27"/>
      <c r="B246" s="27"/>
      <c r="C246" s="28"/>
      <c r="D246" s="28"/>
      <c r="E246" s="86"/>
      <c r="F246" s="86"/>
      <c r="G246" s="86"/>
      <c r="H246" s="86"/>
    </row>
    <row r="247" spans="1:8">
      <c r="A247" s="27"/>
      <c r="B247" s="27"/>
      <c r="C247" s="28"/>
      <c r="D247" s="28"/>
      <c r="E247" s="86"/>
      <c r="F247" s="86"/>
      <c r="G247" s="86"/>
      <c r="H247" s="86"/>
    </row>
    <row r="248" spans="1:8">
      <c r="A248" s="27"/>
      <c r="B248" s="27"/>
      <c r="C248" s="28"/>
      <c r="D248" s="28"/>
      <c r="E248" s="86"/>
      <c r="F248" s="86"/>
      <c r="G248" s="86"/>
      <c r="H248" s="86"/>
    </row>
    <row r="249" spans="1:8">
      <c r="A249" s="27"/>
      <c r="B249" s="27"/>
      <c r="C249" s="28"/>
      <c r="D249" s="28"/>
      <c r="E249" s="86"/>
      <c r="F249" s="86"/>
      <c r="G249" s="86"/>
      <c r="H249" s="86"/>
    </row>
    <row r="250" spans="1:8">
      <c r="A250" s="27"/>
      <c r="B250" s="27"/>
      <c r="C250" s="28"/>
      <c r="D250" s="28"/>
      <c r="E250" s="86"/>
      <c r="F250" s="86"/>
      <c r="G250" s="86"/>
      <c r="H250" s="86"/>
    </row>
    <row r="251" spans="1:8">
      <c r="A251" s="27"/>
      <c r="B251" s="27"/>
      <c r="C251" s="28"/>
      <c r="D251" s="28"/>
      <c r="E251" s="86"/>
      <c r="F251" s="86"/>
      <c r="G251" s="86"/>
      <c r="H251" s="86"/>
    </row>
    <row r="252" spans="1:8">
      <c r="A252" s="27"/>
      <c r="B252" s="27"/>
      <c r="C252" s="28"/>
      <c r="D252" s="28"/>
      <c r="E252" s="86"/>
      <c r="F252" s="86"/>
      <c r="G252" s="86"/>
      <c r="H252" s="86"/>
    </row>
    <row r="253" spans="1:8">
      <c r="A253" s="27"/>
      <c r="B253" s="27"/>
      <c r="C253" s="28"/>
      <c r="D253" s="28"/>
      <c r="E253" s="86"/>
      <c r="F253" s="86"/>
      <c r="G253" s="86"/>
      <c r="H253" s="86"/>
    </row>
    <row r="254" spans="1:8">
      <c r="A254" s="27"/>
      <c r="B254" s="27"/>
      <c r="C254" s="28"/>
      <c r="D254" s="28"/>
      <c r="E254" s="86"/>
      <c r="F254" s="86"/>
      <c r="G254" s="86"/>
      <c r="H254" s="86"/>
    </row>
    <row r="255" spans="1:8">
      <c r="A255" s="27"/>
      <c r="B255" s="27"/>
      <c r="C255" s="28"/>
      <c r="D255" s="28"/>
      <c r="E255" s="86"/>
      <c r="F255" s="86"/>
      <c r="G255" s="86"/>
      <c r="H255" s="86"/>
    </row>
    <row r="256" spans="1:8">
      <c r="A256" s="27"/>
      <c r="B256" s="27"/>
      <c r="C256" s="28"/>
      <c r="D256" s="28"/>
      <c r="E256" s="86"/>
      <c r="F256" s="86"/>
      <c r="G256" s="86"/>
      <c r="H256" s="86"/>
    </row>
    <row r="257" spans="1:8">
      <c r="A257" s="27"/>
      <c r="B257" s="27"/>
      <c r="C257" s="28"/>
      <c r="D257" s="28"/>
      <c r="E257" s="86"/>
      <c r="F257" s="86"/>
      <c r="G257" s="86"/>
      <c r="H257" s="86"/>
    </row>
    <row r="258" spans="1:8">
      <c r="A258" s="27"/>
      <c r="B258" s="27"/>
      <c r="C258" s="28"/>
      <c r="D258" s="28"/>
      <c r="E258" s="86"/>
      <c r="F258" s="86"/>
      <c r="G258" s="86"/>
      <c r="H258" s="86"/>
    </row>
    <row r="259" spans="1:8">
      <c r="A259" s="27"/>
      <c r="B259" s="27"/>
      <c r="C259" s="28"/>
      <c r="D259" s="28"/>
      <c r="E259" s="86"/>
      <c r="F259" s="86"/>
      <c r="G259" s="86"/>
      <c r="H259" s="86"/>
    </row>
    <row r="260" spans="1:8">
      <c r="A260" s="27"/>
      <c r="B260" s="27"/>
      <c r="C260" s="28"/>
      <c r="D260" s="28"/>
      <c r="E260" s="86"/>
      <c r="F260" s="86"/>
      <c r="G260" s="86"/>
      <c r="H260" s="86"/>
    </row>
    <row r="261" spans="1:8">
      <c r="A261" s="27"/>
      <c r="B261" s="27"/>
      <c r="C261" s="28"/>
      <c r="D261" s="28"/>
      <c r="E261" s="86"/>
      <c r="F261" s="86"/>
      <c r="G261" s="86"/>
      <c r="H261" s="86"/>
    </row>
    <row r="262" spans="1:8">
      <c r="A262" s="27"/>
      <c r="B262" s="27"/>
      <c r="C262" s="28"/>
      <c r="D262" s="28"/>
      <c r="E262" s="86"/>
      <c r="F262" s="86"/>
      <c r="G262" s="86"/>
      <c r="H262" s="86"/>
    </row>
    <row r="263" spans="1:8">
      <c r="A263" s="27"/>
      <c r="B263" s="27"/>
      <c r="C263" s="28"/>
      <c r="D263" s="28"/>
      <c r="E263" s="86"/>
      <c r="F263" s="86"/>
      <c r="G263" s="86"/>
      <c r="H263" s="86"/>
    </row>
    <row r="264" spans="1:8">
      <c r="A264" s="27"/>
      <c r="B264" s="27"/>
      <c r="C264" s="28"/>
      <c r="D264" s="28"/>
      <c r="E264" s="86"/>
      <c r="F264" s="86"/>
      <c r="G264" s="86"/>
      <c r="H264" s="86"/>
    </row>
    <row r="265" spans="1:8">
      <c r="A265" s="27"/>
      <c r="B265" s="27"/>
      <c r="C265" s="28"/>
      <c r="D265" s="28"/>
      <c r="E265" s="86"/>
      <c r="F265" s="86"/>
      <c r="G265" s="86"/>
      <c r="H265" s="86"/>
    </row>
    <row r="266" spans="1:8">
      <c r="A266" s="27"/>
      <c r="B266" s="27"/>
      <c r="C266" s="28"/>
      <c r="D266" s="28"/>
      <c r="E266" s="86"/>
      <c r="F266" s="86"/>
      <c r="G266" s="86"/>
      <c r="H266" s="86"/>
    </row>
    <row r="267" spans="1:8">
      <c r="A267" s="27"/>
      <c r="B267" s="27"/>
      <c r="C267" s="28"/>
      <c r="D267" s="28"/>
      <c r="E267" s="86"/>
      <c r="F267" s="86"/>
      <c r="G267" s="86"/>
      <c r="H267" s="86"/>
    </row>
    <row r="268" spans="1:8">
      <c r="A268" s="27"/>
      <c r="B268" s="27"/>
      <c r="C268" s="28"/>
      <c r="D268" s="28"/>
      <c r="E268" s="86"/>
      <c r="F268" s="86"/>
      <c r="G268" s="86"/>
      <c r="H268" s="86"/>
    </row>
    <row r="269" spans="1:8">
      <c r="A269" s="27"/>
      <c r="B269" s="27"/>
      <c r="C269" s="28"/>
      <c r="D269" s="28"/>
      <c r="E269" s="86"/>
      <c r="F269" s="86"/>
      <c r="G269" s="86"/>
      <c r="H269" s="86"/>
    </row>
    <row r="270" spans="1:8">
      <c r="A270" s="27"/>
      <c r="B270" s="27"/>
      <c r="C270" s="28"/>
      <c r="D270" s="28"/>
      <c r="E270" s="86"/>
      <c r="F270" s="86"/>
      <c r="G270" s="86"/>
      <c r="H270" s="86"/>
    </row>
    <row r="271" spans="1:8">
      <c r="A271" s="27"/>
      <c r="B271" s="27"/>
      <c r="C271" s="28"/>
      <c r="D271" s="28"/>
      <c r="E271" s="86"/>
      <c r="F271" s="86"/>
      <c r="G271" s="86"/>
      <c r="H271" s="86"/>
    </row>
    <row r="272" spans="1:8">
      <c r="A272" s="27"/>
      <c r="B272" s="27"/>
      <c r="C272" s="28"/>
      <c r="D272" s="28"/>
      <c r="E272" s="86"/>
      <c r="F272" s="86"/>
      <c r="G272" s="86"/>
      <c r="H272" s="86"/>
    </row>
    <row r="273" spans="1:8">
      <c r="A273" s="27"/>
      <c r="B273" s="27"/>
      <c r="C273" s="28"/>
      <c r="D273" s="28"/>
      <c r="E273" s="86"/>
      <c r="F273" s="86"/>
      <c r="G273" s="86"/>
      <c r="H273" s="86"/>
    </row>
    <row r="274" spans="1:8">
      <c r="A274" s="27"/>
      <c r="B274" s="27"/>
      <c r="C274" s="28"/>
      <c r="D274" s="28"/>
      <c r="E274" s="86"/>
      <c r="F274" s="86"/>
      <c r="G274" s="86"/>
      <c r="H274" s="86"/>
    </row>
    <row r="275" spans="1:8">
      <c r="A275" s="27"/>
      <c r="B275" s="27"/>
      <c r="C275" s="28"/>
      <c r="D275" s="28"/>
      <c r="E275" s="86"/>
      <c r="F275" s="86"/>
      <c r="G275" s="86"/>
      <c r="H275" s="86"/>
    </row>
    <row r="276" spans="1:8">
      <c r="A276" s="27"/>
      <c r="B276" s="27"/>
      <c r="C276" s="28"/>
      <c r="D276" s="28"/>
      <c r="E276" s="86"/>
      <c r="F276" s="86"/>
      <c r="G276" s="86"/>
      <c r="H276" s="86"/>
    </row>
    <row r="277" spans="1:8">
      <c r="A277" s="27"/>
      <c r="B277" s="27"/>
      <c r="C277" s="28"/>
      <c r="D277" s="28"/>
      <c r="E277" s="86"/>
      <c r="F277" s="86"/>
      <c r="G277" s="86"/>
      <c r="H277" s="86"/>
    </row>
    <row r="278" spans="1:8">
      <c r="A278" s="27"/>
      <c r="B278" s="27"/>
      <c r="C278" s="28"/>
      <c r="D278" s="28"/>
      <c r="E278" s="86"/>
      <c r="F278" s="86"/>
      <c r="G278" s="86"/>
      <c r="H278" s="86"/>
    </row>
    <row r="279" spans="1:8">
      <c r="A279" s="27"/>
      <c r="B279" s="27"/>
      <c r="C279" s="28"/>
      <c r="D279" s="28"/>
      <c r="E279" s="86"/>
      <c r="F279" s="86"/>
      <c r="G279" s="86"/>
      <c r="H279" s="86"/>
    </row>
    <row r="280" spans="1:8">
      <c r="A280" s="27"/>
      <c r="B280" s="27"/>
      <c r="C280" s="28"/>
      <c r="D280" s="28"/>
      <c r="E280" s="86"/>
      <c r="F280" s="86"/>
      <c r="G280" s="86"/>
      <c r="H280" s="86"/>
    </row>
    <row r="281" spans="1:8">
      <c r="A281" s="27"/>
      <c r="B281" s="27"/>
      <c r="C281" s="28"/>
      <c r="D281" s="28"/>
      <c r="E281" s="86"/>
      <c r="F281" s="86"/>
      <c r="G281" s="86"/>
      <c r="H281" s="86"/>
    </row>
    <row r="282" spans="1:8">
      <c r="A282" s="27"/>
      <c r="B282" s="27"/>
      <c r="C282" s="28"/>
      <c r="D282" s="28"/>
      <c r="E282" s="86"/>
      <c r="F282" s="86"/>
      <c r="G282" s="86"/>
      <c r="H282" s="86"/>
    </row>
    <row r="283" spans="1:8">
      <c r="A283" s="27"/>
      <c r="B283" s="27"/>
      <c r="C283" s="28"/>
      <c r="D283" s="28"/>
      <c r="E283" s="86"/>
      <c r="F283" s="86"/>
      <c r="G283" s="86"/>
      <c r="H283" s="86"/>
    </row>
    <row r="284" spans="1:8">
      <c r="A284" s="27"/>
      <c r="B284" s="27"/>
      <c r="C284" s="28"/>
      <c r="D284" s="28"/>
      <c r="E284" s="86"/>
      <c r="F284" s="86"/>
      <c r="G284" s="86"/>
      <c r="H284" s="86"/>
    </row>
    <row r="285" spans="1:8">
      <c r="A285" s="27"/>
      <c r="B285" s="27"/>
      <c r="C285" s="28"/>
      <c r="D285" s="28"/>
      <c r="E285" s="86"/>
      <c r="F285" s="86"/>
      <c r="G285" s="86"/>
      <c r="H285" s="86"/>
    </row>
    <row r="286" spans="1:8">
      <c r="A286" s="27"/>
      <c r="B286" s="27"/>
      <c r="C286" s="28"/>
      <c r="D286" s="28"/>
      <c r="E286" s="86"/>
      <c r="F286" s="86"/>
      <c r="G286" s="86"/>
      <c r="H286" s="86"/>
    </row>
    <row r="287" spans="1:8">
      <c r="A287" s="27"/>
      <c r="B287" s="27"/>
      <c r="C287" s="28"/>
      <c r="D287" s="28"/>
      <c r="E287" s="86"/>
      <c r="F287" s="86"/>
      <c r="G287" s="86"/>
      <c r="H287" s="86"/>
    </row>
    <row r="288" spans="1:8">
      <c r="A288" s="27"/>
      <c r="B288" s="27"/>
      <c r="C288" s="28"/>
      <c r="D288" s="28"/>
      <c r="E288" s="86"/>
      <c r="F288" s="86"/>
      <c r="G288" s="86"/>
      <c r="H288" s="86"/>
    </row>
    <row r="289" spans="1:8">
      <c r="A289" s="27"/>
      <c r="B289" s="27"/>
      <c r="C289" s="28"/>
      <c r="D289" s="28"/>
      <c r="E289" s="86"/>
      <c r="F289" s="86"/>
      <c r="G289" s="86"/>
      <c r="H289" s="86"/>
    </row>
    <row r="290" spans="1:8">
      <c r="A290" s="27"/>
      <c r="B290" s="27"/>
      <c r="C290" s="28"/>
      <c r="D290" s="28"/>
      <c r="E290" s="86"/>
      <c r="F290" s="86"/>
      <c r="G290" s="86"/>
      <c r="H290" s="86"/>
    </row>
    <row r="291" spans="1:8">
      <c r="A291" s="27"/>
      <c r="B291" s="27"/>
      <c r="C291" s="28"/>
      <c r="D291" s="28"/>
      <c r="E291" s="86"/>
      <c r="F291" s="86"/>
      <c r="G291" s="86"/>
      <c r="H291" s="86"/>
    </row>
    <row r="292" spans="1:8">
      <c r="A292" s="27"/>
      <c r="B292" s="27"/>
      <c r="C292" s="28"/>
      <c r="D292" s="28"/>
      <c r="E292" s="86"/>
      <c r="F292" s="86"/>
      <c r="G292" s="86"/>
      <c r="H292" s="86"/>
    </row>
    <row r="293" spans="1:8">
      <c r="A293" s="27"/>
      <c r="B293" s="27"/>
      <c r="C293" s="28"/>
      <c r="D293" s="28"/>
      <c r="E293" s="86"/>
      <c r="F293" s="86"/>
      <c r="G293" s="86"/>
      <c r="H293" s="86"/>
    </row>
    <row r="294" spans="1:8">
      <c r="A294" s="27"/>
      <c r="B294" s="27"/>
      <c r="C294" s="28"/>
      <c r="D294" s="28"/>
      <c r="E294" s="86"/>
      <c r="F294" s="86"/>
      <c r="G294" s="86"/>
      <c r="H294" s="86"/>
    </row>
    <row r="295" spans="1:8">
      <c r="A295" s="27"/>
      <c r="B295" s="27"/>
      <c r="C295" s="28"/>
      <c r="D295" s="28"/>
      <c r="E295" s="86"/>
      <c r="F295" s="86"/>
      <c r="G295" s="86"/>
      <c r="H295" s="86"/>
    </row>
    <row r="296" spans="1:8">
      <c r="A296" s="27"/>
      <c r="B296" s="27"/>
      <c r="C296" s="28"/>
      <c r="D296" s="28"/>
      <c r="E296" s="86"/>
      <c r="F296" s="86"/>
      <c r="G296" s="86"/>
      <c r="H296" s="86"/>
    </row>
    <row r="297" spans="1:8">
      <c r="A297" s="27"/>
      <c r="B297" s="27"/>
      <c r="C297" s="28"/>
      <c r="D297" s="28"/>
      <c r="E297" s="86"/>
      <c r="F297" s="86"/>
      <c r="G297" s="86"/>
      <c r="H297" s="86"/>
    </row>
    <row r="298" spans="1:8">
      <c r="A298" s="27"/>
      <c r="B298" s="27"/>
      <c r="C298" s="28"/>
      <c r="D298" s="28"/>
      <c r="E298" s="86"/>
      <c r="F298" s="86"/>
      <c r="G298" s="86"/>
      <c r="H298" s="86"/>
    </row>
    <row r="299" spans="1:8">
      <c r="A299" s="27"/>
      <c r="B299" s="27"/>
      <c r="C299" s="28"/>
      <c r="D299" s="28"/>
      <c r="E299" s="86"/>
      <c r="F299" s="86"/>
      <c r="G299" s="86"/>
      <c r="H299" s="86"/>
    </row>
    <row r="300" spans="1:8">
      <c r="A300" s="27"/>
      <c r="B300" s="27"/>
      <c r="C300" s="28"/>
      <c r="D300" s="28"/>
      <c r="E300" s="86"/>
      <c r="F300" s="86"/>
      <c r="G300" s="86"/>
      <c r="H300" s="86"/>
    </row>
    <row r="301" spans="1:8">
      <c r="A301" s="27"/>
      <c r="B301" s="27"/>
      <c r="C301" s="28"/>
      <c r="D301" s="28"/>
      <c r="E301" s="86"/>
      <c r="F301" s="86"/>
      <c r="G301" s="86"/>
      <c r="H301" s="86"/>
    </row>
    <row r="302" spans="1:8">
      <c r="A302" s="27"/>
      <c r="B302" s="27"/>
      <c r="C302" s="28"/>
      <c r="D302" s="28"/>
      <c r="E302" s="86"/>
      <c r="F302" s="86"/>
      <c r="G302" s="86"/>
      <c r="H302" s="86"/>
    </row>
    <row r="303" spans="1:8">
      <c r="A303" s="27"/>
      <c r="B303" s="27"/>
      <c r="C303" s="28"/>
      <c r="D303" s="28"/>
      <c r="E303" s="86"/>
      <c r="F303" s="86"/>
      <c r="G303" s="86"/>
      <c r="H303" s="86"/>
    </row>
    <row r="304" spans="1:8">
      <c r="A304" s="27"/>
      <c r="B304" s="27"/>
      <c r="C304" s="28"/>
      <c r="D304" s="28"/>
      <c r="E304" s="86"/>
      <c r="F304" s="86"/>
      <c r="G304" s="86"/>
      <c r="H304" s="86"/>
    </row>
    <row r="305" spans="1:8">
      <c r="A305" s="27"/>
      <c r="B305" s="27"/>
      <c r="C305" s="28"/>
      <c r="D305" s="28"/>
      <c r="E305" s="86"/>
      <c r="F305" s="86"/>
      <c r="G305" s="86"/>
      <c r="H305" s="86"/>
    </row>
    <row r="306" spans="1:8">
      <c r="A306" s="27"/>
      <c r="B306" s="27"/>
      <c r="C306" s="28"/>
      <c r="D306" s="28"/>
      <c r="E306" s="86"/>
      <c r="F306" s="86"/>
      <c r="G306" s="86"/>
      <c r="H306" s="86"/>
    </row>
    <row r="307" spans="1:8">
      <c r="A307" s="27"/>
      <c r="B307" s="27"/>
      <c r="C307" s="28"/>
      <c r="D307" s="28"/>
      <c r="E307" s="86"/>
      <c r="F307" s="86"/>
      <c r="G307" s="86"/>
      <c r="H307" s="86"/>
    </row>
    <row r="308" spans="1:8">
      <c r="A308" s="27"/>
      <c r="B308" s="27"/>
      <c r="C308" s="28"/>
      <c r="D308" s="28"/>
      <c r="E308" s="86"/>
      <c r="F308" s="86"/>
      <c r="G308" s="86"/>
      <c r="H308" s="86"/>
    </row>
    <row r="309" spans="1:8">
      <c r="A309" s="27"/>
      <c r="B309" s="27"/>
      <c r="C309" s="28"/>
      <c r="D309" s="28"/>
      <c r="E309" s="86"/>
      <c r="F309" s="86"/>
      <c r="G309" s="86"/>
      <c r="H309" s="86"/>
    </row>
    <row r="310" spans="1:8">
      <c r="A310" s="27"/>
      <c r="B310" s="27"/>
      <c r="C310" s="28"/>
      <c r="D310" s="28"/>
      <c r="E310" s="86"/>
      <c r="F310" s="86"/>
      <c r="G310" s="86"/>
      <c r="H310" s="86"/>
    </row>
    <row r="311" spans="1:8">
      <c r="A311" s="27"/>
      <c r="B311" s="27"/>
      <c r="C311" s="28"/>
      <c r="D311" s="28"/>
      <c r="E311" s="86"/>
      <c r="F311" s="86"/>
      <c r="G311" s="86"/>
      <c r="H311" s="86"/>
    </row>
    <row r="312" spans="1:8">
      <c r="A312" s="27"/>
      <c r="B312" s="27"/>
      <c r="C312" s="28"/>
      <c r="D312" s="28"/>
      <c r="E312" s="86"/>
      <c r="F312" s="86"/>
      <c r="G312" s="86"/>
      <c r="H312" s="86"/>
    </row>
    <row r="313" spans="1:8">
      <c r="A313" s="27"/>
      <c r="B313" s="27"/>
      <c r="C313" s="28"/>
      <c r="D313" s="28"/>
      <c r="E313" s="86"/>
      <c r="F313" s="86"/>
      <c r="G313" s="86"/>
      <c r="H313" s="86"/>
    </row>
    <row r="314" spans="1:8">
      <c r="A314" s="27"/>
      <c r="B314" s="27"/>
      <c r="C314" s="28"/>
      <c r="D314" s="28"/>
      <c r="E314" s="86"/>
      <c r="F314" s="86"/>
      <c r="G314" s="86"/>
      <c r="H314" s="86"/>
    </row>
    <row r="315" spans="1:8">
      <c r="A315" s="27"/>
      <c r="B315" s="27"/>
      <c r="C315" s="28"/>
      <c r="D315" s="28"/>
      <c r="E315" s="86"/>
      <c r="F315" s="86"/>
      <c r="G315" s="86"/>
      <c r="H315" s="86"/>
    </row>
    <row r="316" spans="1:8">
      <c r="A316" s="27"/>
      <c r="B316" s="27"/>
      <c r="C316" s="28"/>
      <c r="D316" s="28"/>
      <c r="E316" s="86"/>
      <c r="F316" s="86"/>
      <c r="G316" s="86"/>
      <c r="H316" s="86"/>
    </row>
    <row r="317" spans="1:8">
      <c r="A317" s="27"/>
      <c r="B317" s="27"/>
      <c r="C317" s="28"/>
      <c r="D317" s="28"/>
      <c r="E317" s="86"/>
      <c r="F317" s="86"/>
      <c r="G317" s="86"/>
      <c r="H317" s="86"/>
    </row>
    <row r="318" spans="1:8">
      <c r="A318" s="27"/>
      <c r="B318" s="27"/>
      <c r="C318" s="28"/>
      <c r="D318" s="28"/>
      <c r="E318" s="86"/>
      <c r="F318" s="86"/>
      <c r="G318" s="86"/>
      <c r="H318" s="86"/>
    </row>
    <row r="319" spans="1:8">
      <c r="A319" s="27"/>
      <c r="B319" s="27"/>
      <c r="C319" s="28"/>
      <c r="D319" s="28"/>
      <c r="E319" s="86"/>
      <c r="F319" s="86"/>
      <c r="G319" s="86"/>
      <c r="H319" s="86"/>
    </row>
    <row r="320" spans="1:8">
      <c r="A320" s="27"/>
      <c r="B320" s="27"/>
      <c r="C320" s="28"/>
      <c r="D320" s="28"/>
      <c r="E320" s="86"/>
      <c r="F320" s="86"/>
      <c r="G320" s="86"/>
      <c r="H320" s="86"/>
    </row>
    <row r="321" spans="1:8">
      <c r="A321" s="27"/>
      <c r="B321" s="27"/>
      <c r="C321" s="28"/>
      <c r="D321" s="28"/>
      <c r="E321" s="86"/>
      <c r="F321" s="86"/>
      <c r="G321" s="86"/>
      <c r="H321" s="86"/>
    </row>
    <row r="322" spans="1:8">
      <c r="A322" s="27"/>
      <c r="B322" s="27"/>
      <c r="C322" s="28"/>
      <c r="D322" s="28"/>
      <c r="E322" s="86"/>
      <c r="F322" s="86"/>
      <c r="G322" s="86"/>
      <c r="H322" s="86"/>
    </row>
    <row r="323" spans="1:8">
      <c r="A323" s="27"/>
      <c r="B323" s="27"/>
      <c r="C323" s="28"/>
      <c r="D323" s="28"/>
      <c r="E323" s="86"/>
      <c r="F323" s="86"/>
      <c r="G323" s="86"/>
      <c r="H323" s="86"/>
    </row>
    <row r="324" spans="1:8">
      <c r="A324" s="27"/>
      <c r="B324" s="27"/>
      <c r="C324" s="28"/>
      <c r="D324" s="28"/>
      <c r="E324" s="86"/>
      <c r="F324" s="86"/>
      <c r="G324" s="86"/>
      <c r="H324" s="86"/>
    </row>
    <row r="325" spans="1:8">
      <c r="A325" s="27"/>
      <c r="B325" s="27"/>
      <c r="C325" s="28"/>
      <c r="D325" s="28"/>
      <c r="E325" s="86"/>
      <c r="F325" s="86"/>
      <c r="G325" s="86"/>
      <c r="H325" s="86"/>
    </row>
    <row r="326" spans="1:8">
      <c r="A326" s="27"/>
      <c r="B326" s="27"/>
      <c r="C326" s="28"/>
      <c r="D326" s="28"/>
      <c r="E326" s="86"/>
      <c r="F326" s="86"/>
      <c r="G326" s="86"/>
      <c r="H326" s="86"/>
    </row>
    <row r="327" spans="1:8">
      <c r="A327" s="27"/>
      <c r="B327" s="27"/>
      <c r="C327" s="28"/>
      <c r="D327" s="28"/>
      <c r="E327" s="86"/>
      <c r="F327" s="86"/>
      <c r="G327" s="86"/>
      <c r="H327" s="86"/>
    </row>
    <row r="328" spans="1:8">
      <c r="A328" s="27"/>
      <c r="B328" s="27"/>
      <c r="C328" s="28"/>
      <c r="D328" s="28"/>
      <c r="E328" s="86"/>
      <c r="F328" s="86"/>
      <c r="G328" s="86"/>
      <c r="H328" s="86"/>
    </row>
    <row r="329" spans="1:8">
      <c r="A329" s="27"/>
      <c r="B329" s="27"/>
      <c r="C329" s="28"/>
      <c r="D329" s="28"/>
      <c r="E329" s="86"/>
      <c r="F329" s="86"/>
      <c r="G329" s="86"/>
      <c r="H329" s="86"/>
    </row>
    <row r="330" spans="1:8">
      <c r="A330" s="27"/>
      <c r="B330" s="27"/>
      <c r="C330" s="28"/>
      <c r="D330" s="28"/>
      <c r="E330" s="86"/>
      <c r="F330" s="86"/>
      <c r="G330" s="86"/>
      <c r="H330" s="86"/>
    </row>
    <row r="331" spans="1:8">
      <c r="A331" s="27"/>
      <c r="B331" s="27"/>
      <c r="C331" s="28"/>
      <c r="D331" s="28"/>
      <c r="E331" s="86"/>
      <c r="F331" s="86"/>
      <c r="G331" s="86"/>
      <c r="H331" s="86"/>
    </row>
    <row r="332" spans="1:8">
      <c r="A332" s="27"/>
      <c r="B332" s="27"/>
      <c r="C332" s="28"/>
      <c r="D332" s="28"/>
      <c r="E332" s="86"/>
      <c r="F332" s="86"/>
      <c r="G332" s="86"/>
      <c r="H332" s="86"/>
    </row>
    <row r="333" spans="1:8">
      <c r="A333" s="27"/>
      <c r="B333" s="27"/>
      <c r="C333" s="28"/>
      <c r="D333" s="28"/>
      <c r="E333" s="86"/>
      <c r="F333" s="86"/>
      <c r="G333" s="86"/>
      <c r="H333" s="86"/>
    </row>
    <row r="334" spans="1:8">
      <c r="A334" s="27"/>
      <c r="B334" s="27"/>
      <c r="C334" s="28"/>
      <c r="D334" s="28"/>
      <c r="E334" s="86"/>
      <c r="F334" s="86"/>
      <c r="G334" s="86"/>
      <c r="H334" s="86"/>
    </row>
    <row r="335" spans="1:8">
      <c r="A335" s="27"/>
      <c r="B335" s="27"/>
      <c r="C335" s="28"/>
      <c r="D335" s="28"/>
      <c r="E335" s="86"/>
      <c r="F335" s="86"/>
      <c r="G335" s="86"/>
      <c r="H335" s="86"/>
    </row>
    <row r="336" spans="1:8">
      <c r="A336" s="27"/>
      <c r="B336" s="27"/>
      <c r="C336" s="28"/>
      <c r="D336" s="28"/>
      <c r="E336" s="86"/>
      <c r="F336" s="86"/>
      <c r="G336" s="86"/>
      <c r="H336" s="86"/>
    </row>
    <row r="337" spans="1:8">
      <c r="A337" s="27"/>
      <c r="B337" s="27"/>
      <c r="C337" s="28"/>
      <c r="D337" s="28"/>
      <c r="E337" s="86"/>
      <c r="F337" s="86"/>
      <c r="G337" s="86"/>
      <c r="H337" s="86"/>
    </row>
    <row r="338" spans="1:8">
      <c r="A338" s="27"/>
      <c r="B338" s="27"/>
      <c r="C338" s="28"/>
      <c r="D338" s="28"/>
      <c r="E338" s="86"/>
      <c r="F338" s="86"/>
      <c r="G338" s="86"/>
      <c r="H338" s="86"/>
    </row>
    <row r="339" spans="1:8">
      <c r="A339" s="27"/>
      <c r="B339" s="27"/>
      <c r="C339" s="28"/>
      <c r="D339" s="28"/>
      <c r="E339" s="86"/>
      <c r="F339" s="86"/>
      <c r="G339" s="86"/>
      <c r="H339" s="86"/>
    </row>
    <row r="340" spans="1:8">
      <c r="A340" s="27"/>
      <c r="B340" s="27"/>
      <c r="C340" s="28"/>
      <c r="D340" s="28"/>
      <c r="E340" s="86"/>
      <c r="F340" s="86"/>
      <c r="G340" s="86"/>
      <c r="H340" s="86"/>
    </row>
    <row r="341" spans="1:8">
      <c r="A341" s="27"/>
      <c r="B341" s="27"/>
      <c r="C341" s="28"/>
      <c r="D341" s="28"/>
      <c r="E341" s="86"/>
      <c r="F341" s="86"/>
      <c r="G341" s="86"/>
      <c r="H341" s="86"/>
    </row>
    <row r="342" spans="1:8">
      <c r="A342" s="27"/>
      <c r="B342" s="27"/>
      <c r="C342" s="28"/>
      <c r="D342" s="28"/>
      <c r="E342" s="86"/>
      <c r="F342" s="86"/>
      <c r="G342" s="86"/>
      <c r="H342" s="86"/>
    </row>
    <row r="343" spans="1:8">
      <c r="A343" s="27"/>
      <c r="B343" s="27"/>
      <c r="C343" s="28"/>
      <c r="D343" s="28"/>
      <c r="E343" s="86"/>
      <c r="F343" s="86"/>
      <c r="G343" s="86"/>
      <c r="H343" s="86"/>
    </row>
    <row r="344" spans="1:8">
      <c r="A344" s="27"/>
      <c r="B344" s="27"/>
      <c r="C344" s="28"/>
      <c r="D344" s="28"/>
      <c r="E344" s="86"/>
      <c r="F344" s="86"/>
      <c r="G344" s="86"/>
      <c r="H344" s="86"/>
    </row>
    <row r="345" spans="1:8">
      <c r="A345" s="27"/>
      <c r="B345" s="27"/>
      <c r="C345" s="28"/>
      <c r="D345" s="28"/>
      <c r="E345" s="86"/>
      <c r="F345" s="86"/>
      <c r="G345" s="86"/>
      <c r="H345" s="86"/>
    </row>
    <row r="346" spans="1:8">
      <c r="A346" s="27"/>
      <c r="B346" s="27"/>
      <c r="C346" s="28"/>
      <c r="D346" s="28"/>
      <c r="E346" s="86"/>
      <c r="F346" s="86"/>
      <c r="G346" s="86"/>
      <c r="H346" s="86"/>
    </row>
    <row r="347" spans="1:8">
      <c r="A347" s="27"/>
      <c r="B347" s="27"/>
      <c r="C347" s="28"/>
      <c r="D347" s="28"/>
      <c r="E347" s="86"/>
      <c r="F347" s="86"/>
      <c r="G347" s="86"/>
      <c r="H347" s="86"/>
    </row>
    <row r="348" spans="1:8">
      <c r="A348" s="27"/>
      <c r="B348" s="27"/>
      <c r="C348" s="28"/>
      <c r="D348" s="28"/>
      <c r="E348" s="86"/>
      <c r="F348" s="86"/>
      <c r="G348" s="86"/>
      <c r="H348" s="86"/>
    </row>
    <row r="349" spans="1:8">
      <c r="A349" s="27"/>
      <c r="B349" s="27"/>
      <c r="C349" s="28"/>
      <c r="D349" s="28"/>
      <c r="E349" s="86"/>
      <c r="F349" s="86"/>
      <c r="G349" s="86"/>
      <c r="H349" s="86"/>
    </row>
    <row r="350" spans="1:8">
      <c r="A350" s="27"/>
      <c r="B350" s="27"/>
      <c r="C350" s="28"/>
      <c r="D350" s="28"/>
      <c r="E350" s="86"/>
      <c r="F350" s="86"/>
      <c r="G350" s="86"/>
      <c r="H350" s="86"/>
    </row>
    <row r="351" spans="1:8">
      <c r="A351" s="27"/>
      <c r="B351" s="27"/>
      <c r="C351" s="28"/>
      <c r="D351" s="28"/>
      <c r="E351" s="86"/>
      <c r="F351" s="86"/>
      <c r="G351" s="86"/>
      <c r="H351" s="86"/>
    </row>
    <row r="352" spans="1:8">
      <c r="A352" s="27"/>
      <c r="B352" s="27"/>
      <c r="C352" s="28"/>
      <c r="D352" s="28"/>
      <c r="E352" s="86"/>
      <c r="F352" s="86"/>
      <c r="G352" s="86"/>
      <c r="H352" s="86"/>
    </row>
    <row r="353" spans="1:8">
      <c r="A353" s="27"/>
      <c r="B353" s="27"/>
      <c r="C353" s="28"/>
      <c r="D353" s="28"/>
      <c r="E353" s="86"/>
      <c r="F353" s="86"/>
      <c r="G353" s="86"/>
      <c r="H353" s="86"/>
    </row>
    <row r="354" spans="1:8">
      <c r="A354" s="27"/>
      <c r="B354" s="27"/>
      <c r="C354" s="28"/>
      <c r="D354" s="28"/>
      <c r="E354" s="86"/>
      <c r="F354" s="86"/>
      <c r="G354" s="86"/>
      <c r="H354" s="86"/>
    </row>
    <row r="355" spans="1:8">
      <c r="A355" s="27"/>
      <c r="B355" s="27"/>
      <c r="C355" s="28"/>
      <c r="D355" s="28"/>
      <c r="E355" s="86"/>
      <c r="F355" s="86"/>
      <c r="G355" s="86"/>
      <c r="H355" s="86"/>
    </row>
    <row r="356" spans="1:8">
      <c r="A356" s="27"/>
      <c r="B356" s="27"/>
      <c r="C356" s="28"/>
      <c r="D356" s="28"/>
      <c r="E356" s="86"/>
      <c r="F356" s="86"/>
      <c r="G356" s="86"/>
      <c r="H356" s="86"/>
    </row>
    <row r="357" spans="1:8">
      <c r="A357" s="27"/>
      <c r="B357" s="27"/>
      <c r="C357" s="28"/>
      <c r="D357" s="28"/>
      <c r="E357" s="86"/>
      <c r="F357" s="86"/>
      <c r="G357" s="86"/>
      <c r="H357" s="86"/>
    </row>
    <row r="358" spans="1:8">
      <c r="A358" s="27"/>
      <c r="B358" s="27"/>
      <c r="C358" s="28"/>
      <c r="D358" s="28"/>
      <c r="E358" s="86"/>
      <c r="F358" s="86"/>
      <c r="G358" s="86"/>
      <c r="H358" s="86"/>
    </row>
    <row r="359" spans="1:8">
      <c r="A359" s="27"/>
      <c r="B359" s="27"/>
      <c r="C359" s="28"/>
      <c r="D359" s="28"/>
      <c r="E359" s="86"/>
      <c r="F359" s="86"/>
      <c r="G359" s="86"/>
      <c r="H359" s="86"/>
    </row>
    <row r="360" spans="1:8">
      <c r="A360" s="27"/>
      <c r="B360" s="27"/>
      <c r="C360" s="28"/>
      <c r="D360" s="28"/>
      <c r="E360" s="86"/>
      <c r="F360" s="86"/>
      <c r="G360" s="86"/>
      <c r="H360" s="86"/>
    </row>
    <row r="361" spans="1:8">
      <c r="A361" s="27"/>
      <c r="B361" s="27"/>
      <c r="C361" s="28"/>
      <c r="D361" s="28"/>
      <c r="E361" s="86"/>
      <c r="F361" s="86"/>
      <c r="G361" s="86"/>
      <c r="H361" s="86"/>
    </row>
    <row r="362" spans="1:8">
      <c r="A362" s="27"/>
      <c r="B362" s="27"/>
      <c r="C362" s="28"/>
      <c r="D362" s="28"/>
      <c r="E362" s="86"/>
      <c r="F362" s="86"/>
      <c r="G362" s="86"/>
      <c r="H362" s="86"/>
    </row>
    <row r="363" spans="1:8">
      <c r="A363" s="27"/>
      <c r="B363" s="27"/>
      <c r="C363" s="28"/>
      <c r="D363" s="28"/>
      <c r="E363" s="86"/>
      <c r="F363" s="86"/>
      <c r="G363" s="86"/>
      <c r="H363" s="86"/>
    </row>
    <row r="364" spans="1:8">
      <c r="A364" s="27"/>
      <c r="B364" s="27"/>
      <c r="C364" s="28"/>
      <c r="D364" s="28"/>
      <c r="E364" s="86"/>
      <c r="F364" s="86"/>
      <c r="G364" s="86"/>
      <c r="H364" s="86"/>
    </row>
    <row r="365" spans="1:8">
      <c r="A365" s="27"/>
      <c r="B365" s="27"/>
      <c r="C365" s="28"/>
      <c r="D365" s="28"/>
      <c r="E365" s="86"/>
      <c r="F365" s="86"/>
      <c r="G365" s="86"/>
      <c r="H365" s="86"/>
    </row>
    <row r="366" spans="1:8">
      <c r="A366" s="27"/>
      <c r="B366" s="27"/>
      <c r="C366" s="28"/>
      <c r="D366" s="28"/>
      <c r="E366" s="86"/>
      <c r="F366" s="86"/>
      <c r="G366" s="86"/>
      <c r="H366" s="86"/>
    </row>
    <row r="367" spans="1:8">
      <c r="A367" s="27"/>
      <c r="B367" s="27"/>
      <c r="C367" s="28"/>
      <c r="D367" s="28"/>
      <c r="E367" s="86"/>
      <c r="F367" s="86"/>
      <c r="G367" s="86"/>
      <c r="H367" s="86"/>
    </row>
    <row r="368" spans="1:8">
      <c r="A368" s="27"/>
      <c r="B368" s="27"/>
      <c r="C368" s="28"/>
      <c r="D368" s="28"/>
      <c r="E368" s="86"/>
      <c r="F368" s="86"/>
      <c r="G368" s="86"/>
      <c r="H368" s="86"/>
    </row>
    <row r="369" spans="1:8">
      <c r="A369" s="27"/>
      <c r="B369" s="27"/>
      <c r="C369" s="28"/>
      <c r="D369" s="28"/>
      <c r="E369" s="86"/>
      <c r="F369" s="86"/>
      <c r="G369" s="86"/>
      <c r="H369" s="86"/>
    </row>
    <row r="370" spans="1:8">
      <c r="A370" s="27"/>
      <c r="B370" s="27"/>
      <c r="C370" s="28"/>
      <c r="D370" s="28"/>
      <c r="E370" s="86"/>
      <c r="F370" s="86"/>
      <c r="G370" s="86"/>
      <c r="H370" s="86"/>
    </row>
    <row r="371" spans="1:8">
      <c r="A371" s="27"/>
      <c r="B371" s="27"/>
      <c r="C371" s="28"/>
      <c r="D371" s="28"/>
      <c r="E371" s="86"/>
      <c r="F371" s="86"/>
      <c r="G371" s="86"/>
      <c r="H371" s="86"/>
    </row>
    <row r="372" spans="1:8">
      <c r="A372" s="27"/>
      <c r="B372" s="27"/>
      <c r="C372" s="28"/>
      <c r="D372" s="28"/>
      <c r="E372" s="86"/>
      <c r="F372" s="86"/>
      <c r="G372" s="86"/>
      <c r="H372" s="86"/>
    </row>
    <row r="373" spans="1:8">
      <c r="A373" s="27"/>
      <c r="B373" s="27"/>
      <c r="C373" s="28"/>
      <c r="D373" s="28"/>
      <c r="E373" s="86"/>
      <c r="F373" s="86"/>
      <c r="G373" s="86"/>
      <c r="H373" s="86"/>
    </row>
    <row r="374" spans="1:8">
      <c r="A374" s="27"/>
      <c r="B374" s="27"/>
      <c r="C374" s="28"/>
      <c r="D374" s="28"/>
      <c r="E374" s="86"/>
      <c r="F374" s="86"/>
      <c r="G374" s="86"/>
      <c r="H374" s="86"/>
    </row>
    <row r="375" spans="1:8">
      <c r="A375" s="27"/>
      <c r="B375" s="27"/>
      <c r="C375" s="28"/>
      <c r="D375" s="28"/>
      <c r="E375" s="86"/>
      <c r="F375" s="86"/>
      <c r="G375" s="86"/>
      <c r="H375" s="86"/>
    </row>
    <row r="376" spans="1:8">
      <c r="A376" s="27"/>
      <c r="B376" s="27"/>
      <c r="C376" s="28"/>
      <c r="D376" s="28"/>
      <c r="E376" s="86"/>
      <c r="F376" s="86"/>
      <c r="G376" s="86"/>
      <c r="H376" s="86"/>
    </row>
    <row r="377" spans="1:8">
      <c r="A377" s="27"/>
      <c r="B377" s="27"/>
      <c r="C377" s="28"/>
      <c r="D377" s="28"/>
      <c r="E377" s="86"/>
      <c r="F377" s="86"/>
      <c r="G377" s="86"/>
      <c r="H377" s="86"/>
    </row>
    <row r="378" spans="1:8">
      <c r="A378" s="27"/>
      <c r="B378" s="27"/>
      <c r="C378" s="28"/>
      <c r="D378" s="28"/>
      <c r="E378" s="86"/>
      <c r="F378" s="86"/>
      <c r="G378" s="86"/>
      <c r="H378" s="86"/>
    </row>
    <row r="379" spans="1:8">
      <c r="A379" s="27"/>
      <c r="B379" s="27"/>
      <c r="C379" s="28"/>
      <c r="D379" s="28"/>
      <c r="E379" s="86"/>
      <c r="F379" s="86"/>
      <c r="G379" s="86"/>
      <c r="H379" s="86"/>
    </row>
    <row r="380" spans="1:8">
      <c r="A380" s="27"/>
      <c r="B380" s="27"/>
      <c r="C380" s="28"/>
      <c r="D380" s="28"/>
      <c r="E380" s="86"/>
      <c r="F380" s="86"/>
      <c r="G380" s="86"/>
      <c r="H380" s="86"/>
    </row>
    <row r="381" spans="1:8">
      <c r="A381" s="27"/>
      <c r="B381" s="27"/>
      <c r="C381" s="28"/>
      <c r="D381" s="28"/>
      <c r="E381" s="86"/>
      <c r="F381" s="86"/>
      <c r="G381" s="86"/>
      <c r="H381" s="86"/>
    </row>
    <row r="382" spans="1:8">
      <c r="A382" s="27"/>
      <c r="B382" s="27"/>
      <c r="C382" s="28"/>
      <c r="D382" s="28"/>
      <c r="E382" s="86"/>
      <c r="F382" s="86"/>
      <c r="G382" s="86"/>
      <c r="H382" s="86"/>
    </row>
    <row r="383" spans="1:8">
      <c r="A383" s="27"/>
      <c r="B383" s="27"/>
      <c r="C383" s="28"/>
      <c r="D383" s="28"/>
      <c r="E383" s="86"/>
      <c r="F383" s="86"/>
      <c r="G383" s="86"/>
      <c r="H383" s="86"/>
    </row>
    <row r="384" spans="1:8">
      <c r="A384" s="27"/>
      <c r="B384" s="27"/>
      <c r="C384" s="28"/>
      <c r="D384" s="28"/>
      <c r="E384" s="86"/>
      <c r="F384" s="86"/>
      <c r="G384" s="86"/>
      <c r="H384" s="86"/>
    </row>
    <row r="385" spans="1:8">
      <c r="A385" s="27"/>
      <c r="B385" s="27"/>
      <c r="C385" s="28"/>
      <c r="D385" s="28"/>
      <c r="E385" s="86"/>
      <c r="F385" s="86"/>
      <c r="G385" s="86"/>
      <c r="H385" s="86"/>
    </row>
    <row r="386" spans="1:8">
      <c r="A386" s="27"/>
      <c r="B386" s="27"/>
      <c r="C386" s="28"/>
      <c r="D386" s="28"/>
      <c r="E386" s="86"/>
      <c r="F386" s="86"/>
      <c r="G386" s="86"/>
      <c r="H386" s="86"/>
    </row>
    <row r="387" spans="1:8">
      <c r="A387" s="27"/>
      <c r="B387" s="27"/>
      <c r="C387" s="28"/>
      <c r="D387" s="28"/>
      <c r="E387" s="86"/>
      <c r="F387" s="86"/>
      <c r="G387" s="86"/>
      <c r="H387" s="86"/>
    </row>
    <row r="388" spans="1:8">
      <c r="A388" s="27"/>
      <c r="B388" s="27"/>
      <c r="C388" s="28"/>
      <c r="D388" s="28"/>
      <c r="E388" s="86"/>
      <c r="F388" s="86"/>
      <c r="G388" s="86"/>
      <c r="H388" s="86"/>
    </row>
    <row r="389" spans="1:8">
      <c r="A389" s="27"/>
      <c r="B389" s="27"/>
      <c r="C389" s="28"/>
      <c r="D389" s="28"/>
      <c r="E389" s="86"/>
      <c r="F389" s="86"/>
      <c r="G389" s="86"/>
      <c r="H389" s="86"/>
    </row>
    <row r="390" spans="1:8">
      <c r="A390" s="27"/>
      <c r="B390" s="27"/>
      <c r="C390" s="28"/>
      <c r="D390" s="28"/>
      <c r="E390" s="86"/>
      <c r="F390" s="86"/>
      <c r="G390" s="86"/>
      <c r="H390" s="86"/>
    </row>
    <row r="391" spans="1:8">
      <c r="A391" s="27"/>
      <c r="B391" s="27"/>
      <c r="C391" s="28"/>
      <c r="D391" s="28"/>
      <c r="E391" s="86"/>
      <c r="F391" s="86"/>
      <c r="G391" s="86"/>
      <c r="H391" s="86"/>
    </row>
    <row r="392" spans="1:8">
      <c r="A392" s="27"/>
      <c r="B392" s="27"/>
      <c r="C392" s="28"/>
      <c r="D392" s="28"/>
      <c r="E392" s="86"/>
      <c r="F392" s="86"/>
      <c r="G392" s="86"/>
      <c r="H392" s="86"/>
    </row>
    <row r="393" spans="1:8">
      <c r="A393" s="27"/>
      <c r="B393" s="27"/>
      <c r="C393" s="28"/>
      <c r="D393" s="28"/>
      <c r="E393" s="86"/>
      <c r="F393" s="86"/>
      <c r="G393" s="86"/>
      <c r="H393" s="86"/>
    </row>
    <row r="394" spans="1:8">
      <c r="A394" s="27"/>
      <c r="B394" s="27"/>
      <c r="C394" s="28"/>
      <c r="D394" s="28"/>
      <c r="E394" s="86"/>
      <c r="F394" s="86"/>
      <c r="G394" s="86"/>
      <c r="H394" s="86"/>
    </row>
    <row r="395" spans="1:8">
      <c r="A395" s="27"/>
      <c r="B395" s="27"/>
      <c r="C395" s="28"/>
      <c r="D395" s="28"/>
      <c r="E395" s="86"/>
      <c r="F395" s="86"/>
      <c r="G395" s="86"/>
      <c r="H395" s="86"/>
    </row>
    <row r="396" spans="1:8">
      <c r="A396" s="27"/>
      <c r="B396" s="27"/>
      <c r="C396" s="28"/>
      <c r="D396" s="28"/>
      <c r="E396" s="86"/>
      <c r="F396" s="86"/>
      <c r="G396" s="86"/>
      <c r="H396" s="86"/>
    </row>
    <row r="397" spans="1:8">
      <c r="A397" s="27"/>
      <c r="B397" s="27"/>
      <c r="C397" s="28"/>
      <c r="D397" s="28"/>
      <c r="E397" s="86"/>
      <c r="F397" s="86"/>
      <c r="G397" s="86"/>
      <c r="H397" s="86"/>
    </row>
    <row r="398" spans="1:8">
      <c r="A398" s="27"/>
      <c r="B398" s="27"/>
      <c r="C398" s="28"/>
      <c r="D398" s="28"/>
      <c r="E398" s="86"/>
      <c r="F398" s="86"/>
      <c r="G398" s="86"/>
      <c r="H398" s="86"/>
    </row>
    <row r="399" spans="1:8">
      <c r="A399" s="27"/>
      <c r="B399" s="27"/>
      <c r="C399" s="28"/>
      <c r="D399" s="28"/>
      <c r="E399" s="86"/>
      <c r="F399" s="86"/>
      <c r="G399" s="86"/>
      <c r="H399" s="86"/>
    </row>
    <row r="400" spans="1:8">
      <c r="A400" s="27"/>
      <c r="B400" s="27"/>
      <c r="C400" s="28"/>
      <c r="D400" s="28"/>
      <c r="E400" s="86"/>
      <c r="F400" s="86"/>
      <c r="G400" s="86"/>
      <c r="H400" s="86"/>
    </row>
    <row r="401" spans="1:8">
      <c r="A401" s="27"/>
      <c r="B401" s="27"/>
      <c r="C401" s="28"/>
      <c r="D401" s="28"/>
      <c r="E401" s="86"/>
      <c r="F401" s="86"/>
      <c r="G401" s="86"/>
      <c r="H401" s="86"/>
    </row>
    <row r="402" spans="1:8">
      <c r="A402" s="27"/>
      <c r="B402" s="27"/>
      <c r="C402" s="28"/>
      <c r="D402" s="28"/>
      <c r="E402" s="86"/>
      <c r="F402" s="86"/>
      <c r="G402" s="86"/>
      <c r="H402" s="86"/>
    </row>
    <row r="403" spans="1:8">
      <c r="A403" s="27"/>
      <c r="B403" s="27"/>
      <c r="C403" s="28"/>
      <c r="D403" s="28"/>
      <c r="E403" s="86"/>
      <c r="F403" s="86"/>
      <c r="G403" s="86"/>
      <c r="H403" s="86"/>
    </row>
    <row r="404" spans="1:8">
      <c r="A404" s="27"/>
      <c r="B404" s="27"/>
      <c r="C404" s="28"/>
      <c r="D404" s="28"/>
      <c r="E404" s="86"/>
      <c r="F404" s="86"/>
      <c r="G404" s="86"/>
      <c r="H404" s="86"/>
    </row>
    <row r="405" spans="1:8">
      <c r="A405" s="27"/>
      <c r="B405" s="27"/>
      <c r="C405" s="28"/>
      <c r="D405" s="28"/>
      <c r="E405" s="86"/>
      <c r="F405" s="86"/>
      <c r="G405" s="86"/>
      <c r="H405" s="86"/>
    </row>
    <row r="406" spans="1:8">
      <c r="A406" s="27"/>
      <c r="B406" s="27"/>
      <c r="C406" s="28"/>
      <c r="D406" s="28"/>
      <c r="E406" s="86"/>
      <c r="F406" s="86"/>
      <c r="G406" s="86"/>
      <c r="H406" s="86"/>
    </row>
    <row r="407" spans="1:8">
      <c r="A407" s="27"/>
      <c r="B407" s="27"/>
      <c r="C407" s="28"/>
      <c r="D407" s="28"/>
      <c r="E407" s="86"/>
      <c r="F407" s="86"/>
      <c r="G407" s="86"/>
      <c r="H407" s="86"/>
    </row>
    <row r="408" spans="1:8">
      <c r="A408" s="27"/>
      <c r="B408" s="27"/>
      <c r="C408" s="28"/>
      <c r="D408" s="28"/>
      <c r="E408" s="86"/>
      <c r="F408" s="86"/>
      <c r="G408" s="86"/>
      <c r="H408" s="86"/>
    </row>
    <row r="409" spans="1:8">
      <c r="A409" s="27"/>
      <c r="B409" s="27"/>
      <c r="C409" s="28"/>
      <c r="D409" s="28"/>
      <c r="E409" s="86"/>
      <c r="F409" s="86"/>
      <c r="G409" s="86"/>
      <c r="H409" s="86"/>
    </row>
    <row r="410" spans="1:8">
      <c r="A410" s="27"/>
      <c r="B410" s="27"/>
      <c r="C410" s="28"/>
      <c r="D410" s="28"/>
      <c r="E410" s="86"/>
      <c r="F410" s="86"/>
      <c r="G410" s="86"/>
      <c r="H410" s="86"/>
    </row>
    <row r="411" spans="1:8">
      <c r="A411" s="27"/>
      <c r="B411" s="27"/>
      <c r="C411" s="28"/>
      <c r="D411" s="28"/>
      <c r="E411" s="86"/>
      <c r="F411" s="86"/>
      <c r="G411" s="86"/>
      <c r="H411" s="86"/>
    </row>
    <row r="412" spans="1:8">
      <c r="A412" s="27"/>
      <c r="B412" s="27"/>
      <c r="C412" s="28"/>
      <c r="D412" s="28"/>
      <c r="E412" s="86"/>
      <c r="F412" s="86"/>
      <c r="G412" s="86"/>
      <c r="H412" s="86"/>
    </row>
    <row r="413" spans="1:8">
      <c r="A413" s="27"/>
      <c r="B413" s="27"/>
      <c r="C413" s="28"/>
      <c r="D413" s="28"/>
      <c r="E413" s="86"/>
      <c r="F413" s="86"/>
      <c r="G413" s="86"/>
      <c r="H413" s="86"/>
    </row>
    <row r="414" spans="1:8">
      <c r="A414" s="27"/>
      <c r="B414" s="27"/>
      <c r="C414" s="28"/>
      <c r="D414" s="28"/>
      <c r="E414" s="86"/>
      <c r="F414" s="86"/>
      <c r="G414" s="86"/>
      <c r="H414" s="86"/>
    </row>
    <row r="415" spans="1:8">
      <c r="A415" s="27"/>
      <c r="B415" s="27"/>
      <c r="C415" s="28"/>
      <c r="D415" s="28"/>
      <c r="E415" s="86"/>
      <c r="F415" s="86"/>
      <c r="G415" s="86"/>
      <c r="H415" s="86"/>
    </row>
    <row r="416" spans="1:8">
      <c r="A416" s="27"/>
      <c r="B416" s="27"/>
      <c r="C416" s="28"/>
      <c r="D416" s="28"/>
      <c r="E416" s="86"/>
      <c r="F416" s="86"/>
      <c r="G416" s="86"/>
      <c r="H416" s="86"/>
    </row>
    <row r="417" spans="1:8">
      <c r="A417" s="27"/>
      <c r="B417" s="27"/>
      <c r="C417" s="28"/>
      <c r="D417" s="28"/>
      <c r="E417" s="86"/>
      <c r="F417" s="86"/>
      <c r="G417" s="86"/>
      <c r="H417" s="86"/>
    </row>
    <row r="418" spans="1:8">
      <c r="A418" s="27"/>
      <c r="B418" s="27"/>
      <c r="C418" s="28"/>
      <c r="D418" s="28"/>
      <c r="E418" s="86"/>
      <c r="F418" s="86"/>
      <c r="G418" s="86"/>
      <c r="H418" s="86"/>
    </row>
    <row r="419" spans="1:8">
      <c r="A419" s="27"/>
      <c r="B419" s="27"/>
      <c r="C419" s="28"/>
      <c r="D419" s="28"/>
      <c r="E419" s="86"/>
      <c r="F419" s="86"/>
      <c r="G419" s="86"/>
      <c r="H419" s="86"/>
    </row>
    <row r="420" spans="1:8">
      <c r="A420" s="27"/>
      <c r="B420" s="27"/>
      <c r="C420" s="28"/>
      <c r="D420" s="28"/>
      <c r="E420" s="86"/>
      <c r="F420" s="86"/>
      <c r="G420" s="86"/>
      <c r="H420" s="86"/>
    </row>
    <row r="421" spans="1:8">
      <c r="A421" s="27"/>
      <c r="B421" s="27"/>
      <c r="C421" s="28"/>
      <c r="D421" s="28"/>
      <c r="E421" s="86"/>
      <c r="F421" s="86"/>
      <c r="G421" s="86"/>
      <c r="H421" s="86"/>
    </row>
    <row r="422" spans="1:8">
      <c r="A422" s="27"/>
      <c r="B422" s="27"/>
      <c r="C422" s="28"/>
      <c r="D422" s="28"/>
      <c r="E422" s="86"/>
      <c r="F422" s="86"/>
      <c r="G422" s="86"/>
      <c r="H422" s="86"/>
    </row>
    <row r="423" spans="1:8">
      <c r="A423" s="27"/>
      <c r="B423" s="27"/>
      <c r="C423" s="28"/>
      <c r="D423" s="28"/>
      <c r="E423" s="86"/>
      <c r="F423" s="86"/>
      <c r="G423" s="86"/>
      <c r="H423" s="86"/>
    </row>
    <row r="424" spans="1:8">
      <c r="A424" s="27"/>
      <c r="B424" s="27"/>
      <c r="C424" s="28"/>
      <c r="D424" s="28"/>
      <c r="E424" s="86"/>
      <c r="F424" s="86"/>
      <c r="G424" s="86"/>
      <c r="H424" s="86"/>
    </row>
    <row r="425" spans="1:8">
      <c r="A425" s="27"/>
      <c r="B425" s="27"/>
      <c r="C425" s="28"/>
      <c r="D425" s="28"/>
      <c r="E425" s="86"/>
      <c r="F425" s="86"/>
      <c r="G425" s="86"/>
      <c r="H425" s="86"/>
    </row>
    <row r="426" spans="1:8">
      <c r="A426" s="27"/>
      <c r="B426" s="27"/>
      <c r="C426" s="28"/>
      <c r="D426" s="28"/>
      <c r="E426" s="86"/>
      <c r="F426" s="86"/>
      <c r="G426" s="86"/>
      <c r="H426" s="86"/>
    </row>
    <row r="427" spans="1:8">
      <c r="A427" s="27"/>
      <c r="B427" s="27"/>
      <c r="C427" s="28"/>
      <c r="D427" s="28"/>
      <c r="E427" s="86"/>
      <c r="F427" s="86"/>
      <c r="G427" s="86"/>
      <c r="H427" s="86"/>
    </row>
    <row r="428" spans="1:8">
      <c r="A428" s="27"/>
      <c r="B428" s="27"/>
      <c r="C428" s="28"/>
      <c r="D428" s="28"/>
      <c r="E428" s="86"/>
      <c r="F428" s="86"/>
      <c r="G428" s="86"/>
      <c r="H428" s="86"/>
    </row>
    <row r="429" spans="1:8">
      <c r="A429" s="27"/>
      <c r="B429" s="27"/>
      <c r="C429" s="28"/>
      <c r="D429" s="28"/>
      <c r="E429" s="86"/>
      <c r="F429" s="86"/>
      <c r="G429" s="86"/>
      <c r="H429" s="86"/>
    </row>
    <row r="430" spans="1:8">
      <c r="A430" s="27"/>
      <c r="B430" s="27"/>
      <c r="C430" s="28"/>
      <c r="D430" s="28"/>
      <c r="E430" s="86"/>
      <c r="F430" s="86"/>
      <c r="G430" s="86"/>
      <c r="H430" s="86"/>
    </row>
    <row r="431" spans="1:8">
      <c r="A431" s="27"/>
      <c r="B431" s="27"/>
      <c r="C431" s="28"/>
      <c r="D431" s="28"/>
      <c r="E431" s="86"/>
      <c r="F431" s="86"/>
      <c r="G431" s="86"/>
      <c r="H431" s="86"/>
    </row>
    <row r="432" spans="1:8">
      <c r="A432" s="27"/>
      <c r="B432" s="27"/>
      <c r="C432" s="28"/>
      <c r="D432" s="28"/>
      <c r="E432" s="86"/>
      <c r="F432" s="86"/>
      <c r="G432" s="86"/>
      <c r="H432" s="86"/>
    </row>
    <row r="433" spans="1:8">
      <c r="A433" s="27"/>
      <c r="B433" s="27"/>
      <c r="C433" s="28"/>
      <c r="D433" s="28"/>
      <c r="E433" s="86"/>
      <c r="F433" s="86"/>
      <c r="G433" s="86"/>
      <c r="H433" s="86"/>
    </row>
    <row r="434" spans="1:8">
      <c r="A434" s="27"/>
      <c r="B434" s="27"/>
      <c r="C434" s="28"/>
      <c r="D434" s="28"/>
      <c r="E434" s="86"/>
      <c r="F434" s="86"/>
      <c r="G434" s="86"/>
      <c r="H434" s="86"/>
    </row>
    <row r="435" spans="1:8">
      <c r="A435" s="27"/>
      <c r="B435" s="27"/>
      <c r="C435" s="28"/>
      <c r="D435" s="28"/>
      <c r="E435" s="86"/>
      <c r="F435" s="86"/>
      <c r="G435" s="86"/>
      <c r="H435" s="86"/>
    </row>
    <row r="436" spans="1:8">
      <c r="A436" s="27"/>
      <c r="B436" s="27"/>
      <c r="C436" s="28"/>
      <c r="D436" s="28"/>
      <c r="E436" s="86"/>
      <c r="F436" s="86"/>
      <c r="G436" s="86"/>
      <c r="H436" s="86"/>
    </row>
    <row r="437" spans="1:8">
      <c r="A437" s="27"/>
      <c r="B437" s="27"/>
      <c r="C437" s="28"/>
      <c r="D437" s="28"/>
      <c r="E437" s="86"/>
      <c r="F437" s="86"/>
      <c r="G437" s="86"/>
      <c r="H437" s="86"/>
    </row>
    <row r="438" spans="1:8">
      <c r="A438" s="27"/>
      <c r="B438" s="27"/>
      <c r="C438" s="28"/>
      <c r="D438" s="28"/>
      <c r="E438" s="86"/>
      <c r="F438" s="86"/>
      <c r="G438" s="86"/>
      <c r="H438" s="86"/>
    </row>
    <row r="439" spans="1:8">
      <c r="A439" s="27"/>
      <c r="B439" s="27"/>
      <c r="C439" s="28"/>
      <c r="D439" s="28"/>
      <c r="E439" s="86"/>
      <c r="F439" s="86"/>
      <c r="G439" s="86"/>
      <c r="H439" s="86"/>
    </row>
    <row r="440" spans="1:8">
      <c r="A440" s="27"/>
      <c r="B440" s="27"/>
      <c r="C440" s="28"/>
      <c r="D440" s="28"/>
      <c r="E440" s="86"/>
      <c r="F440" s="86"/>
      <c r="G440" s="86"/>
      <c r="H440" s="86"/>
    </row>
    <row r="441" spans="1:8">
      <c r="A441" s="27"/>
      <c r="B441" s="27"/>
      <c r="C441" s="28"/>
      <c r="D441" s="28"/>
      <c r="E441" s="86"/>
      <c r="F441" s="86"/>
      <c r="G441" s="86"/>
      <c r="H441" s="86"/>
    </row>
    <row r="442" spans="1:8">
      <c r="A442" s="27"/>
      <c r="B442" s="27"/>
      <c r="C442" s="28"/>
      <c r="D442" s="28"/>
      <c r="E442" s="86"/>
      <c r="F442" s="86"/>
      <c r="G442" s="86"/>
      <c r="H442" s="86"/>
    </row>
    <row r="443" spans="1:8">
      <c r="A443" s="27"/>
      <c r="B443" s="27"/>
      <c r="C443" s="28"/>
      <c r="D443" s="28"/>
      <c r="E443" s="86"/>
      <c r="F443" s="86"/>
      <c r="G443" s="86"/>
      <c r="H443" s="86"/>
    </row>
    <row r="444" spans="1:8">
      <c r="A444" s="27"/>
      <c r="B444" s="27"/>
      <c r="C444" s="28"/>
      <c r="D444" s="28"/>
      <c r="E444" s="86"/>
      <c r="F444" s="86"/>
      <c r="G444" s="86"/>
      <c r="H444" s="86"/>
    </row>
    <row r="445" spans="1:8">
      <c r="A445" s="27"/>
      <c r="B445" s="27"/>
      <c r="C445" s="28"/>
      <c r="D445" s="28"/>
      <c r="E445" s="86"/>
      <c r="F445" s="86"/>
      <c r="G445" s="86"/>
      <c r="H445" s="86"/>
    </row>
    <row r="446" spans="1:8">
      <c r="A446" s="27"/>
      <c r="B446" s="27"/>
      <c r="C446" s="28"/>
      <c r="D446" s="28"/>
      <c r="E446" s="86"/>
      <c r="F446" s="86"/>
      <c r="G446" s="86"/>
      <c r="H446" s="86"/>
    </row>
    <row r="447" spans="1:8">
      <c r="A447" s="27"/>
      <c r="B447" s="27"/>
      <c r="C447" s="28"/>
      <c r="D447" s="28"/>
      <c r="E447" s="86"/>
      <c r="F447" s="86"/>
      <c r="G447" s="86"/>
      <c r="H447" s="86"/>
    </row>
    <row r="448" spans="1:8">
      <c r="A448" s="27"/>
      <c r="B448" s="27"/>
      <c r="C448" s="28"/>
      <c r="D448" s="28"/>
      <c r="E448" s="86"/>
      <c r="F448" s="86"/>
      <c r="G448" s="86"/>
      <c r="H448" s="86"/>
    </row>
    <row r="449" spans="1:8">
      <c r="A449" s="27"/>
      <c r="B449" s="27"/>
      <c r="C449" s="28"/>
      <c r="D449" s="28"/>
      <c r="E449" s="86"/>
      <c r="F449" s="86"/>
      <c r="G449" s="86"/>
      <c r="H449" s="86"/>
    </row>
    <row r="450" spans="1:8">
      <c r="A450" s="27"/>
      <c r="B450" s="27"/>
      <c r="C450" s="28"/>
      <c r="D450" s="28"/>
      <c r="E450" s="86"/>
      <c r="F450" s="86"/>
      <c r="G450" s="86"/>
      <c r="H450" s="86"/>
    </row>
    <row r="451" spans="1:8">
      <c r="A451" s="27"/>
      <c r="B451" s="27"/>
      <c r="C451" s="28"/>
      <c r="D451" s="28"/>
      <c r="E451" s="86"/>
      <c r="F451" s="86"/>
      <c r="G451" s="86"/>
      <c r="H451" s="86"/>
    </row>
    <row r="452" spans="1:8">
      <c r="A452" s="27"/>
      <c r="B452" s="27"/>
      <c r="C452" s="28"/>
      <c r="D452" s="28"/>
      <c r="E452" s="86"/>
      <c r="F452" s="86"/>
      <c r="G452" s="86"/>
      <c r="H452" s="86"/>
    </row>
    <row r="453" spans="1:8">
      <c r="A453" s="27"/>
      <c r="B453" s="27"/>
      <c r="C453" s="28"/>
      <c r="D453" s="28"/>
      <c r="E453" s="86"/>
      <c r="F453" s="86"/>
      <c r="G453" s="86"/>
      <c r="H453" s="86"/>
    </row>
    <row r="454" spans="1:8">
      <c r="A454" s="27"/>
      <c r="B454" s="27"/>
      <c r="C454" s="28"/>
      <c r="D454" s="28"/>
      <c r="E454" s="86"/>
      <c r="F454" s="86"/>
      <c r="G454" s="86"/>
      <c r="H454" s="86"/>
    </row>
    <row r="455" spans="1:8">
      <c r="A455" s="27"/>
      <c r="B455" s="27"/>
      <c r="C455" s="28"/>
      <c r="D455" s="28"/>
      <c r="E455" s="86"/>
      <c r="F455" s="86"/>
      <c r="G455" s="86"/>
      <c r="H455" s="86"/>
    </row>
    <row r="456" spans="1:8">
      <c r="A456" s="27"/>
      <c r="B456" s="27"/>
      <c r="C456" s="28"/>
      <c r="D456" s="28"/>
      <c r="E456" s="86"/>
      <c r="F456" s="86"/>
      <c r="G456" s="86"/>
      <c r="H456" s="86"/>
    </row>
    <row r="457" spans="1:8">
      <c r="A457" s="27"/>
      <c r="B457" s="27"/>
      <c r="C457" s="28"/>
      <c r="D457" s="28"/>
      <c r="E457" s="86"/>
      <c r="F457" s="86"/>
      <c r="G457" s="86"/>
      <c r="H457" s="86"/>
    </row>
    <row r="458" spans="1:8">
      <c r="A458" s="27"/>
      <c r="B458" s="27"/>
      <c r="C458" s="28"/>
      <c r="D458" s="28"/>
      <c r="E458" s="86"/>
      <c r="F458" s="86"/>
      <c r="G458" s="86"/>
      <c r="H458" s="86"/>
    </row>
    <row r="459" spans="1:8">
      <c r="A459" s="27"/>
      <c r="B459" s="27"/>
      <c r="C459" s="28"/>
      <c r="D459" s="28"/>
      <c r="E459" s="86"/>
      <c r="F459" s="86"/>
      <c r="G459" s="86"/>
      <c r="H459" s="86"/>
    </row>
    <row r="460" spans="1:8">
      <c r="A460" s="27"/>
      <c r="B460" s="27"/>
      <c r="C460" s="28"/>
      <c r="D460" s="28"/>
      <c r="E460" s="86"/>
      <c r="F460" s="86"/>
      <c r="G460" s="86"/>
      <c r="H460" s="86"/>
    </row>
    <row r="461" spans="1:8">
      <c r="A461" s="27"/>
      <c r="B461" s="27"/>
      <c r="C461" s="28"/>
      <c r="D461" s="28"/>
      <c r="E461" s="86"/>
      <c r="F461" s="86"/>
      <c r="G461" s="86"/>
      <c r="H461" s="86"/>
    </row>
    <row r="462" spans="1:8">
      <c r="A462" s="27"/>
      <c r="B462" s="27"/>
      <c r="C462" s="28"/>
      <c r="D462" s="28"/>
      <c r="E462" s="86"/>
      <c r="F462" s="86"/>
      <c r="G462" s="86"/>
      <c r="H462" s="86"/>
    </row>
    <row r="463" spans="1:8">
      <c r="A463" s="27"/>
      <c r="B463" s="27"/>
      <c r="C463" s="28"/>
      <c r="D463" s="28"/>
      <c r="E463" s="86"/>
      <c r="F463" s="86"/>
      <c r="G463" s="86"/>
      <c r="H463" s="86"/>
    </row>
    <row r="464" spans="1:8">
      <c r="A464" s="27"/>
      <c r="B464" s="27"/>
      <c r="C464" s="28"/>
      <c r="D464" s="28"/>
      <c r="E464" s="86"/>
      <c r="F464" s="86"/>
      <c r="G464" s="86"/>
      <c r="H464" s="86"/>
    </row>
    <row r="465" spans="1:8">
      <c r="A465" s="27"/>
      <c r="B465" s="27"/>
      <c r="C465" s="28"/>
      <c r="D465" s="28"/>
      <c r="E465" s="86"/>
      <c r="F465" s="86"/>
      <c r="G465" s="86"/>
      <c r="H465" s="86"/>
    </row>
    <row r="466" spans="1:8">
      <c r="A466" s="27"/>
      <c r="B466" s="27"/>
      <c r="C466" s="28"/>
      <c r="D466" s="28"/>
      <c r="E466" s="86"/>
      <c r="F466" s="86"/>
      <c r="G466" s="86"/>
      <c r="H466" s="86"/>
    </row>
    <row r="467" spans="1:8">
      <c r="A467" s="27"/>
      <c r="B467" s="27"/>
      <c r="C467" s="28"/>
      <c r="D467" s="28"/>
      <c r="E467" s="86"/>
      <c r="F467" s="86"/>
      <c r="G467" s="86"/>
      <c r="H467" s="86"/>
    </row>
    <row r="468" spans="1:8">
      <c r="A468" s="27"/>
      <c r="B468" s="27"/>
      <c r="C468" s="28"/>
      <c r="D468" s="28"/>
      <c r="E468" s="86"/>
      <c r="F468" s="86"/>
      <c r="G468" s="86"/>
      <c r="H468" s="86"/>
    </row>
    <row r="469" spans="1:8">
      <c r="A469" s="27"/>
      <c r="B469" s="27"/>
      <c r="C469" s="28"/>
      <c r="D469" s="28"/>
      <c r="E469" s="86"/>
      <c r="F469" s="86"/>
      <c r="G469" s="86"/>
      <c r="H469" s="86"/>
    </row>
    <row r="470" spans="1:8">
      <c r="A470" s="27"/>
      <c r="B470" s="27"/>
      <c r="C470" s="28"/>
      <c r="D470" s="28"/>
      <c r="E470" s="86"/>
      <c r="F470" s="86"/>
      <c r="G470" s="86"/>
      <c r="H470" s="86"/>
    </row>
    <row r="471" spans="1:8">
      <c r="A471" s="27"/>
      <c r="B471" s="27"/>
      <c r="C471" s="28"/>
      <c r="D471" s="28"/>
      <c r="E471" s="86"/>
      <c r="F471" s="86"/>
      <c r="G471" s="86"/>
      <c r="H471" s="86"/>
    </row>
    <row r="472" spans="1:8">
      <c r="A472" s="27"/>
      <c r="B472" s="27"/>
      <c r="C472" s="28"/>
      <c r="D472" s="28"/>
      <c r="E472" s="86"/>
      <c r="F472" s="86"/>
      <c r="G472" s="86"/>
      <c r="H472" s="86"/>
    </row>
    <row r="473" spans="1:8">
      <c r="A473" s="27"/>
      <c r="B473" s="27"/>
      <c r="C473" s="28"/>
      <c r="D473" s="28"/>
      <c r="E473" s="86"/>
      <c r="F473" s="86"/>
      <c r="G473" s="86"/>
      <c r="H473" s="86"/>
    </row>
    <row r="474" spans="1:8">
      <c r="A474" s="27"/>
      <c r="B474" s="27"/>
      <c r="C474" s="28"/>
      <c r="D474" s="28"/>
      <c r="E474" s="86"/>
      <c r="F474" s="86"/>
      <c r="G474" s="86"/>
      <c r="H474" s="86"/>
    </row>
    <row r="475" spans="1:8">
      <c r="A475" s="27"/>
      <c r="B475" s="27"/>
      <c r="C475" s="28"/>
      <c r="D475" s="28"/>
      <c r="E475" s="86"/>
      <c r="F475" s="86"/>
      <c r="G475" s="86"/>
      <c r="H475" s="86"/>
    </row>
    <row r="476" spans="1:8">
      <c r="A476" s="27"/>
      <c r="B476" s="27"/>
      <c r="C476" s="28"/>
      <c r="D476" s="28"/>
      <c r="E476" s="86"/>
      <c r="F476" s="86"/>
      <c r="G476" s="86"/>
      <c r="H476" s="86"/>
    </row>
    <row r="477" spans="1:8">
      <c r="A477" s="27"/>
      <c r="B477" s="27"/>
      <c r="C477" s="28"/>
      <c r="D477" s="28"/>
      <c r="E477" s="86"/>
      <c r="F477" s="86"/>
      <c r="G477" s="86"/>
      <c r="H477" s="86"/>
    </row>
    <row r="478" spans="1:8">
      <c r="A478" s="27"/>
      <c r="B478" s="27"/>
      <c r="C478" s="28"/>
      <c r="D478" s="28"/>
      <c r="E478" s="86"/>
      <c r="F478" s="86"/>
      <c r="G478" s="86"/>
      <c r="H478" s="86"/>
    </row>
    <row r="479" spans="1:8">
      <c r="A479" s="27"/>
      <c r="B479" s="27"/>
      <c r="C479" s="28"/>
      <c r="D479" s="28"/>
      <c r="E479" s="86"/>
      <c r="F479" s="86"/>
      <c r="G479" s="86"/>
      <c r="H479" s="86"/>
    </row>
    <row r="480" spans="1:8">
      <c r="A480" s="27"/>
      <c r="B480" s="27"/>
      <c r="C480" s="28"/>
      <c r="D480" s="28"/>
      <c r="E480" s="86"/>
      <c r="F480" s="86"/>
      <c r="G480" s="86"/>
      <c r="H480" s="86"/>
    </row>
    <row r="481" spans="1:8">
      <c r="A481" s="27"/>
      <c r="B481" s="27"/>
      <c r="C481" s="28"/>
      <c r="D481" s="28"/>
      <c r="E481" s="86"/>
      <c r="F481" s="86"/>
      <c r="G481" s="86"/>
      <c r="H481" s="86"/>
    </row>
    <row r="482" spans="1:8">
      <c r="A482" s="27"/>
      <c r="B482" s="27"/>
      <c r="C482" s="28"/>
      <c r="D482" s="28"/>
      <c r="E482" s="86"/>
      <c r="F482" s="86"/>
      <c r="G482" s="86"/>
      <c r="H482" s="86"/>
    </row>
    <row r="483" spans="1:8">
      <c r="A483" s="27"/>
      <c r="B483" s="27"/>
      <c r="C483" s="28"/>
      <c r="D483" s="28"/>
      <c r="E483" s="86"/>
      <c r="F483" s="86"/>
      <c r="G483" s="86"/>
      <c r="H483" s="86"/>
    </row>
    <row r="484" spans="1:8">
      <c r="A484" s="27"/>
      <c r="B484" s="27"/>
      <c r="C484" s="28"/>
      <c r="D484" s="28"/>
      <c r="E484" s="86"/>
      <c r="F484" s="86"/>
      <c r="G484" s="86"/>
      <c r="H484" s="86"/>
    </row>
    <row r="485" spans="1:8">
      <c r="A485" s="27"/>
      <c r="B485" s="27"/>
      <c r="C485" s="28"/>
      <c r="D485" s="28"/>
      <c r="E485" s="86"/>
      <c r="F485" s="86"/>
      <c r="G485" s="86"/>
      <c r="H485" s="86"/>
    </row>
    <row r="486" spans="1:8">
      <c r="A486" s="27"/>
      <c r="B486" s="27"/>
      <c r="C486" s="28"/>
      <c r="D486" s="28"/>
      <c r="E486" s="86"/>
      <c r="F486" s="86"/>
      <c r="G486" s="86"/>
      <c r="H486" s="86"/>
    </row>
    <row r="487" spans="1:8">
      <c r="A487" s="27"/>
      <c r="B487" s="27"/>
      <c r="C487" s="28"/>
      <c r="D487" s="28"/>
      <c r="E487" s="86"/>
      <c r="F487" s="86"/>
      <c r="G487" s="86"/>
      <c r="H487" s="86"/>
    </row>
    <row r="488" spans="1:8">
      <c r="A488" s="27"/>
      <c r="B488" s="27"/>
      <c r="C488" s="28"/>
      <c r="D488" s="28"/>
      <c r="E488" s="86"/>
      <c r="F488" s="86"/>
      <c r="G488" s="86"/>
      <c r="H488" s="86"/>
    </row>
    <row r="489" spans="1:8">
      <c r="A489" s="27"/>
      <c r="B489" s="27"/>
      <c r="C489" s="28"/>
      <c r="D489" s="28"/>
      <c r="E489" s="86"/>
      <c r="F489" s="86"/>
      <c r="G489" s="86"/>
      <c r="H489" s="86"/>
    </row>
    <row r="490" spans="1:8">
      <c r="A490" s="27"/>
      <c r="B490" s="27"/>
      <c r="C490" s="28"/>
      <c r="D490" s="28"/>
      <c r="E490" s="86"/>
      <c r="F490" s="86"/>
      <c r="G490" s="86"/>
      <c r="H490" s="86"/>
    </row>
    <row r="491" spans="1:8">
      <c r="A491" s="27"/>
      <c r="B491" s="27"/>
      <c r="C491" s="28"/>
      <c r="D491" s="28"/>
      <c r="E491" s="86"/>
      <c r="F491" s="86"/>
      <c r="G491" s="86"/>
      <c r="H491" s="86"/>
    </row>
    <row r="492" spans="1:8">
      <c r="A492" s="27"/>
      <c r="B492" s="27"/>
      <c r="C492" s="28"/>
      <c r="D492" s="28"/>
      <c r="E492" s="86"/>
      <c r="F492" s="86"/>
      <c r="G492" s="86"/>
      <c r="H492" s="86"/>
    </row>
    <row r="493" spans="1:8">
      <c r="A493" s="27"/>
      <c r="B493" s="27"/>
      <c r="C493" s="28"/>
      <c r="D493" s="28"/>
      <c r="E493" s="86"/>
      <c r="F493" s="86"/>
      <c r="G493" s="86"/>
      <c r="H493" s="86"/>
    </row>
    <row r="494" spans="1:8">
      <c r="A494" s="27"/>
      <c r="B494" s="27"/>
      <c r="C494" s="28"/>
      <c r="D494" s="28"/>
      <c r="E494" s="86"/>
      <c r="F494" s="86"/>
      <c r="G494" s="86"/>
      <c r="H494" s="86"/>
    </row>
    <row r="495" spans="1:8">
      <c r="A495" s="27"/>
      <c r="B495" s="27"/>
      <c r="C495" s="28"/>
      <c r="D495" s="28"/>
      <c r="E495" s="86"/>
      <c r="F495" s="86"/>
      <c r="G495" s="86"/>
      <c r="H495" s="86"/>
    </row>
    <row r="496" spans="1:8">
      <c r="A496" s="27"/>
      <c r="B496" s="27"/>
      <c r="C496" s="28"/>
      <c r="D496" s="28"/>
      <c r="E496" s="86"/>
      <c r="F496" s="86"/>
      <c r="G496" s="86"/>
      <c r="H496" s="86"/>
    </row>
    <row r="497" spans="1:8">
      <c r="A497" s="27"/>
      <c r="B497" s="27"/>
      <c r="C497" s="28"/>
      <c r="D497" s="28"/>
      <c r="E497" s="86"/>
      <c r="F497" s="86"/>
      <c r="G497" s="86"/>
      <c r="H497" s="86"/>
    </row>
    <row r="498" spans="1:8">
      <c r="A498" s="27"/>
      <c r="B498" s="27"/>
      <c r="C498" s="28"/>
      <c r="D498" s="28"/>
      <c r="E498" s="86"/>
      <c r="F498" s="86"/>
      <c r="G498" s="86"/>
      <c r="H498" s="86"/>
    </row>
    <row r="499" spans="1:8">
      <c r="A499" s="27"/>
      <c r="B499" s="27"/>
      <c r="C499" s="28"/>
      <c r="D499" s="28"/>
      <c r="E499" s="86"/>
      <c r="F499" s="86"/>
      <c r="G499" s="86"/>
      <c r="H499" s="86"/>
    </row>
    <row r="500" spans="1:8">
      <c r="A500" s="27"/>
      <c r="B500" s="27"/>
      <c r="C500" s="28"/>
      <c r="D500" s="28"/>
      <c r="E500" s="86"/>
      <c r="F500" s="86"/>
      <c r="G500" s="86"/>
      <c r="H500" s="86"/>
    </row>
    <row r="501" spans="1:8">
      <c r="A501" s="27"/>
      <c r="B501" s="27"/>
      <c r="C501" s="28"/>
      <c r="D501" s="28"/>
      <c r="E501" s="86"/>
      <c r="F501" s="86"/>
      <c r="G501" s="86"/>
      <c r="H501" s="86"/>
    </row>
    <row r="502" spans="1:8">
      <c r="A502" s="27"/>
      <c r="B502" s="27"/>
      <c r="C502" s="28"/>
      <c r="D502" s="28"/>
      <c r="E502" s="86"/>
      <c r="F502" s="86"/>
      <c r="G502" s="86"/>
      <c r="H502" s="86"/>
    </row>
    <row r="503" spans="1:8">
      <c r="A503" s="27"/>
      <c r="B503" s="27"/>
      <c r="C503" s="28"/>
      <c r="D503" s="28"/>
      <c r="E503" s="86"/>
      <c r="F503" s="86"/>
      <c r="G503" s="86"/>
      <c r="H503" s="86"/>
    </row>
    <row r="504" spans="1:8">
      <c r="A504" s="27"/>
      <c r="B504" s="27"/>
      <c r="C504" s="28"/>
      <c r="D504" s="28"/>
      <c r="E504" s="86"/>
      <c r="F504" s="86"/>
      <c r="G504" s="86"/>
      <c r="H504" s="86"/>
    </row>
    <row r="505" spans="1:8">
      <c r="A505" s="27"/>
      <c r="B505" s="27"/>
      <c r="C505" s="28"/>
      <c r="D505" s="28"/>
      <c r="E505" s="86"/>
      <c r="F505" s="86"/>
      <c r="G505" s="86"/>
      <c r="H505" s="86"/>
    </row>
    <row r="506" spans="1:8">
      <c r="A506" s="27"/>
      <c r="B506" s="27"/>
      <c r="C506" s="28"/>
      <c r="D506" s="28"/>
      <c r="E506" s="86"/>
      <c r="F506" s="86"/>
      <c r="G506" s="86"/>
      <c r="H506" s="86"/>
    </row>
    <row r="507" spans="1:8">
      <c r="A507" s="27"/>
      <c r="B507" s="27"/>
      <c r="C507" s="28"/>
      <c r="D507" s="28"/>
      <c r="E507" s="86"/>
      <c r="F507" s="86"/>
      <c r="G507" s="86"/>
      <c r="H507" s="86"/>
    </row>
    <row r="508" spans="1:8">
      <c r="A508" s="27"/>
      <c r="B508" s="27"/>
      <c r="C508" s="28"/>
      <c r="D508" s="28"/>
      <c r="E508" s="86"/>
      <c r="F508" s="86"/>
      <c r="G508" s="86"/>
      <c r="H508" s="86"/>
    </row>
    <row r="509" spans="1:8">
      <c r="A509" s="27"/>
      <c r="B509" s="27"/>
      <c r="C509" s="28"/>
      <c r="D509" s="28"/>
      <c r="E509" s="86"/>
      <c r="F509" s="86"/>
      <c r="G509" s="86"/>
      <c r="H509" s="86"/>
    </row>
    <row r="510" spans="1:8">
      <c r="A510" s="27"/>
      <c r="B510" s="27"/>
      <c r="C510" s="28"/>
      <c r="D510" s="28"/>
      <c r="E510" s="86"/>
      <c r="F510" s="86"/>
      <c r="G510" s="86"/>
      <c r="H510" s="86"/>
    </row>
    <row r="511" spans="1:8">
      <c r="A511" s="27"/>
      <c r="B511" s="27"/>
      <c r="C511" s="28"/>
      <c r="D511" s="28"/>
      <c r="E511" s="86"/>
      <c r="F511" s="86"/>
      <c r="G511" s="86"/>
      <c r="H511" s="86"/>
    </row>
    <row r="512" spans="1:8">
      <c r="A512" s="27"/>
      <c r="B512" s="27"/>
      <c r="C512" s="28"/>
      <c r="D512" s="28"/>
      <c r="E512" s="86"/>
      <c r="F512" s="86"/>
      <c r="G512" s="86"/>
      <c r="H512" s="86"/>
    </row>
    <row r="513" spans="1:8">
      <c r="A513" s="27"/>
      <c r="B513" s="27"/>
      <c r="C513" s="28"/>
      <c r="D513" s="28"/>
      <c r="E513" s="86"/>
      <c r="F513" s="86"/>
      <c r="G513" s="86"/>
      <c r="H513" s="86"/>
    </row>
    <row r="514" spans="1:8">
      <c r="A514" s="27"/>
      <c r="B514" s="27"/>
      <c r="C514" s="28"/>
      <c r="D514" s="28"/>
      <c r="E514" s="86"/>
      <c r="F514" s="86"/>
      <c r="G514" s="86"/>
      <c r="H514" s="86"/>
    </row>
    <row r="515" spans="1:8">
      <c r="A515" s="27"/>
      <c r="B515" s="27"/>
      <c r="C515" s="28"/>
      <c r="D515" s="28"/>
      <c r="E515" s="86"/>
      <c r="F515" s="86"/>
      <c r="G515" s="86"/>
      <c r="H515" s="86"/>
    </row>
    <row r="516" spans="1:8">
      <c r="A516" s="27"/>
      <c r="B516" s="27"/>
      <c r="C516" s="28"/>
      <c r="D516" s="28"/>
      <c r="E516" s="86"/>
      <c r="F516" s="86"/>
      <c r="G516" s="86"/>
      <c r="H516" s="86"/>
    </row>
    <row r="517" spans="1:8">
      <c r="A517" s="27"/>
      <c r="B517" s="27"/>
      <c r="C517" s="28"/>
      <c r="D517" s="28"/>
      <c r="E517" s="86"/>
      <c r="F517" s="86"/>
      <c r="G517" s="86"/>
      <c r="H517" s="86"/>
    </row>
    <row r="518" spans="1:8">
      <c r="A518" s="27"/>
      <c r="B518" s="27"/>
      <c r="C518" s="28"/>
      <c r="D518" s="28"/>
      <c r="E518" s="86"/>
      <c r="F518" s="86"/>
      <c r="G518" s="86"/>
      <c r="H518" s="86"/>
    </row>
    <row r="519" spans="1:8">
      <c r="A519" s="27"/>
      <c r="B519" s="27"/>
      <c r="C519" s="28"/>
      <c r="D519" s="28"/>
      <c r="E519" s="86"/>
      <c r="F519" s="86"/>
      <c r="G519" s="86"/>
      <c r="H519" s="86"/>
    </row>
    <row r="520" spans="1:8">
      <c r="A520" s="27"/>
      <c r="B520" s="27"/>
      <c r="C520" s="28"/>
      <c r="D520" s="28"/>
      <c r="E520" s="86"/>
      <c r="F520" s="86"/>
      <c r="G520" s="86"/>
      <c r="H520" s="86"/>
    </row>
    <row r="521" spans="1:8">
      <c r="A521" s="27"/>
      <c r="B521" s="27"/>
      <c r="C521" s="28"/>
      <c r="D521" s="28"/>
      <c r="E521" s="86"/>
      <c r="F521" s="86"/>
      <c r="G521" s="86"/>
      <c r="H521" s="86"/>
    </row>
    <row r="522" spans="1:8">
      <c r="A522" s="27"/>
      <c r="B522" s="27"/>
      <c r="C522" s="28"/>
      <c r="D522" s="28"/>
      <c r="E522" s="86"/>
      <c r="F522" s="86"/>
      <c r="G522" s="86"/>
      <c r="H522" s="86"/>
    </row>
    <row r="523" spans="1:8">
      <c r="A523" s="27"/>
      <c r="B523" s="27"/>
      <c r="C523" s="28"/>
      <c r="D523" s="28"/>
      <c r="E523" s="86"/>
      <c r="F523" s="86"/>
      <c r="G523" s="86"/>
      <c r="H523" s="86"/>
    </row>
    <row r="524" spans="1:8">
      <c r="A524" s="27"/>
      <c r="B524" s="27"/>
      <c r="C524" s="28"/>
      <c r="D524" s="28"/>
      <c r="E524" s="86"/>
      <c r="F524" s="86"/>
      <c r="G524" s="86"/>
      <c r="H524" s="86"/>
    </row>
    <row r="525" spans="1:8">
      <c r="A525" s="27"/>
      <c r="B525" s="27"/>
      <c r="C525" s="28"/>
      <c r="D525" s="28"/>
      <c r="E525" s="86"/>
      <c r="F525" s="86"/>
      <c r="G525" s="86"/>
      <c r="H525" s="86"/>
    </row>
    <row r="526" spans="1:8">
      <c r="A526" s="27"/>
      <c r="B526" s="27"/>
      <c r="C526" s="28"/>
      <c r="D526" s="28"/>
      <c r="E526" s="86"/>
      <c r="F526" s="86"/>
      <c r="G526" s="86"/>
      <c r="H526" s="86"/>
    </row>
    <row r="527" spans="1:8">
      <c r="A527" s="27"/>
      <c r="B527" s="27"/>
      <c r="C527" s="28"/>
      <c r="D527" s="28"/>
      <c r="E527" s="86"/>
      <c r="F527" s="86"/>
      <c r="G527" s="86"/>
      <c r="H527" s="86"/>
    </row>
    <row r="528" spans="1:8">
      <c r="A528" s="27"/>
      <c r="B528" s="27"/>
      <c r="C528" s="28"/>
      <c r="D528" s="28"/>
      <c r="E528" s="86"/>
      <c r="F528" s="86"/>
      <c r="G528" s="86"/>
      <c r="H528" s="86"/>
    </row>
    <row r="529" spans="1:8">
      <c r="A529" s="27"/>
      <c r="B529" s="27"/>
      <c r="C529" s="28"/>
      <c r="D529" s="28"/>
      <c r="E529" s="86"/>
      <c r="F529" s="86"/>
      <c r="G529" s="86"/>
      <c r="H529" s="86"/>
    </row>
    <row r="530" spans="1:8">
      <c r="A530" s="27"/>
      <c r="B530" s="27"/>
      <c r="C530" s="28"/>
      <c r="D530" s="28"/>
      <c r="E530" s="86"/>
      <c r="F530" s="86"/>
      <c r="G530" s="86"/>
      <c r="H530" s="86"/>
    </row>
    <row r="531" spans="1:8">
      <c r="A531" s="27"/>
      <c r="B531" s="27"/>
      <c r="C531" s="28"/>
      <c r="D531" s="28"/>
      <c r="E531" s="86"/>
      <c r="F531" s="86"/>
      <c r="G531" s="86"/>
      <c r="H531" s="86"/>
    </row>
    <row r="532" spans="1:8">
      <c r="A532" s="27"/>
      <c r="B532" s="27"/>
      <c r="C532" s="28"/>
      <c r="D532" s="28"/>
      <c r="E532" s="86"/>
      <c r="F532" s="86"/>
      <c r="G532" s="86"/>
      <c r="H532" s="86"/>
    </row>
    <row r="533" spans="1:8">
      <c r="A533" s="27"/>
      <c r="B533" s="27"/>
      <c r="C533" s="28"/>
      <c r="D533" s="28"/>
      <c r="E533" s="86"/>
      <c r="F533" s="86"/>
      <c r="G533" s="86"/>
      <c r="H533" s="86"/>
    </row>
    <row r="534" spans="1:8">
      <c r="A534" s="27"/>
      <c r="B534" s="27"/>
      <c r="C534" s="28"/>
      <c r="D534" s="28"/>
      <c r="E534" s="86"/>
      <c r="F534" s="86"/>
      <c r="G534" s="86"/>
      <c r="H534" s="86"/>
    </row>
    <row r="535" spans="1:8">
      <c r="A535" s="27"/>
      <c r="B535" s="27"/>
      <c r="C535" s="28"/>
      <c r="D535" s="28"/>
      <c r="E535" s="86"/>
      <c r="F535" s="86"/>
      <c r="G535" s="86"/>
      <c r="H535" s="86"/>
    </row>
    <row r="536" spans="1:8">
      <c r="A536" s="27"/>
      <c r="B536" s="27"/>
      <c r="C536" s="28"/>
      <c r="D536" s="28"/>
      <c r="E536" s="86"/>
      <c r="F536" s="86"/>
      <c r="G536" s="86"/>
      <c r="H536" s="86"/>
    </row>
    <row r="537" spans="1:8">
      <c r="A537" s="27"/>
      <c r="B537" s="27"/>
      <c r="C537" s="28"/>
      <c r="D537" s="28"/>
      <c r="E537" s="86"/>
      <c r="F537" s="86"/>
      <c r="G537" s="86"/>
      <c r="H537" s="86"/>
    </row>
    <row r="538" spans="1:8">
      <c r="A538" s="27"/>
      <c r="B538" s="27"/>
      <c r="C538" s="28"/>
      <c r="D538" s="28"/>
      <c r="E538" s="86"/>
      <c r="F538" s="86"/>
      <c r="G538" s="86"/>
      <c r="H538" s="86"/>
    </row>
    <row r="539" spans="1:8">
      <c r="A539" s="27"/>
      <c r="B539" s="27"/>
      <c r="C539" s="28"/>
      <c r="D539" s="28"/>
      <c r="E539" s="86"/>
      <c r="F539" s="86"/>
      <c r="G539" s="86"/>
      <c r="H539" s="86"/>
    </row>
    <row r="540" spans="1:8">
      <c r="A540" s="27"/>
      <c r="B540" s="27"/>
      <c r="C540" s="28"/>
      <c r="D540" s="28"/>
      <c r="E540" s="86"/>
      <c r="F540" s="86"/>
      <c r="G540" s="86"/>
      <c r="H540" s="86"/>
    </row>
    <row r="541" spans="1:8">
      <c r="A541" s="27"/>
      <c r="B541" s="27"/>
      <c r="C541" s="28"/>
      <c r="D541" s="28"/>
      <c r="E541" s="86"/>
      <c r="F541" s="86"/>
      <c r="G541" s="86"/>
      <c r="H541" s="86"/>
    </row>
    <row r="542" spans="1:8">
      <c r="A542" s="27"/>
      <c r="B542" s="27"/>
      <c r="C542" s="28"/>
      <c r="D542" s="28"/>
      <c r="E542" s="86"/>
      <c r="F542" s="86"/>
      <c r="G542" s="86"/>
      <c r="H542" s="86"/>
    </row>
    <row r="543" spans="1:8">
      <c r="A543" s="27"/>
      <c r="B543" s="27"/>
      <c r="C543" s="28"/>
      <c r="D543" s="28"/>
      <c r="E543" s="86"/>
      <c r="F543" s="86"/>
      <c r="G543" s="86"/>
      <c r="H543" s="86"/>
    </row>
    <row r="544" spans="1:8">
      <c r="A544" s="27"/>
      <c r="B544" s="27"/>
      <c r="C544" s="28"/>
      <c r="D544" s="28"/>
      <c r="E544" s="86"/>
      <c r="F544" s="86"/>
      <c r="G544" s="86"/>
      <c r="H544" s="86"/>
    </row>
    <row r="545" spans="1:8">
      <c r="A545" s="27"/>
      <c r="B545" s="27"/>
      <c r="C545" s="28"/>
      <c r="D545" s="28"/>
      <c r="E545" s="86"/>
      <c r="F545" s="86"/>
      <c r="G545" s="86"/>
      <c r="H545" s="86"/>
    </row>
    <row r="546" spans="1:8">
      <c r="A546" s="27"/>
      <c r="B546" s="27"/>
      <c r="C546" s="28"/>
      <c r="D546" s="28"/>
      <c r="E546" s="86"/>
      <c r="F546" s="86"/>
      <c r="G546" s="86"/>
      <c r="H546" s="86"/>
    </row>
    <row r="547" spans="1:8">
      <c r="A547" s="27"/>
      <c r="B547" s="27"/>
      <c r="C547" s="28"/>
      <c r="D547" s="28"/>
      <c r="E547" s="86"/>
      <c r="F547" s="86"/>
      <c r="G547" s="86"/>
      <c r="H547" s="86"/>
    </row>
    <row r="548" spans="1:8">
      <c r="A548" s="27"/>
      <c r="B548" s="27"/>
      <c r="C548" s="28"/>
      <c r="D548" s="28"/>
      <c r="E548" s="86"/>
      <c r="F548" s="86"/>
      <c r="G548" s="86"/>
      <c r="H548" s="86"/>
    </row>
    <row r="549" spans="1:8">
      <c r="A549" s="27"/>
      <c r="B549" s="27"/>
      <c r="C549" s="28"/>
      <c r="D549" s="28"/>
      <c r="E549" s="86"/>
      <c r="F549" s="86"/>
      <c r="G549" s="86"/>
      <c r="H549" s="86"/>
    </row>
    <row r="550" spans="1:8">
      <c r="A550" s="27"/>
      <c r="B550" s="27"/>
      <c r="C550" s="28"/>
      <c r="D550" s="28"/>
      <c r="E550" s="86"/>
      <c r="F550" s="86"/>
      <c r="G550" s="86"/>
      <c r="H550" s="86"/>
    </row>
    <row r="551" spans="1:8">
      <c r="A551" s="27"/>
      <c r="B551" s="27"/>
      <c r="C551" s="28"/>
      <c r="D551" s="28"/>
      <c r="E551" s="86"/>
      <c r="F551" s="86"/>
      <c r="G551" s="86"/>
      <c r="H551" s="86"/>
    </row>
    <row r="552" spans="1:8">
      <c r="A552" s="27"/>
      <c r="B552" s="27"/>
      <c r="C552" s="28"/>
      <c r="D552" s="28"/>
      <c r="E552" s="86"/>
      <c r="F552" s="86"/>
      <c r="G552" s="86"/>
      <c r="H552" s="86"/>
    </row>
    <row r="553" spans="1:8">
      <c r="A553" s="27"/>
      <c r="B553" s="27"/>
      <c r="C553" s="28"/>
      <c r="D553" s="28"/>
      <c r="E553" s="86"/>
      <c r="F553" s="86"/>
      <c r="G553" s="86"/>
      <c r="H553" s="86"/>
    </row>
    <row r="554" spans="1:8">
      <c r="A554" s="27"/>
      <c r="B554" s="27"/>
      <c r="C554" s="28"/>
      <c r="D554" s="28"/>
      <c r="E554" s="86"/>
      <c r="F554" s="86"/>
      <c r="G554" s="86"/>
      <c r="H554" s="86"/>
    </row>
    <row r="555" spans="1:8">
      <c r="A555" s="27"/>
      <c r="B555" s="27"/>
      <c r="C555" s="28"/>
      <c r="D555" s="28"/>
      <c r="E555" s="86"/>
      <c r="F555" s="86"/>
      <c r="G555" s="86"/>
      <c r="H555" s="86"/>
    </row>
    <row r="556" spans="1:8">
      <c r="A556" s="27"/>
      <c r="B556" s="27"/>
      <c r="C556" s="28"/>
      <c r="D556" s="28"/>
      <c r="E556" s="86"/>
      <c r="F556" s="86"/>
      <c r="G556" s="86"/>
      <c r="H556" s="86"/>
    </row>
    <row r="557" spans="1:8">
      <c r="A557" s="27"/>
      <c r="B557" s="27"/>
      <c r="C557" s="28"/>
      <c r="D557" s="28"/>
      <c r="E557" s="86"/>
      <c r="F557" s="86"/>
      <c r="G557" s="86"/>
      <c r="H557" s="86"/>
    </row>
    <row r="558" spans="1:8">
      <c r="A558" s="27"/>
      <c r="B558" s="27"/>
      <c r="C558" s="28"/>
      <c r="D558" s="28"/>
      <c r="E558" s="86"/>
      <c r="F558" s="86"/>
      <c r="G558" s="86"/>
      <c r="H558" s="86"/>
    </row>
    <row r="559" spans="1:8">
      <c r="A559" s="27"/>
      <c r="B559" s="27"/>
      <c r="C559" s="28"/>
      <c r="D559" s="28"/>
      <c r="E559" s="86"/>
      <c r="F559" s="86"/>
      <c r="G559" s="86"/>
      <c r="H559" s="86"/>
    </row>
    <row r="560" spans="1:8">
      <c r="A560" s="27"/>
      <c r="B560" s="27"/>
      <c r="C560" s="28"/>
      <c r="D560" s="28"/>
      <c r="E560" s="86"/>
      <c r="F560" s="86"/>
      <c r="G560" s="86"/>
      <c r="H560" s="86"/>
    </row>
    <row r="561" spans="1:8">
      <c r="A561" s="27"/>
      <c r="B561" s="27"/>
      <c r="C561" s="28"/>
      <c r="D561" s="28"/>
      <c r="E561" s="86"/>
      <c r="F561" s="86"/>
      <c r="G561" s="86"/>
      <c r="H561" s="86"/>
    </row>
    <row r="562" spans="1:8">
      <c r="A562" s="27"/>
      <c r="B562" s="27"/>
      <c r="C562" s="28"/>
      <c r="D562" s="28"/>
      <c r="E562" s="86"/>
      <c r="F562" s="86"/>
      <c r="G562" s="86"/>
      <c r="H562" s="86"/>
    </row>
    <row r="563" spans="1:8">
      <c r="A563" s="27"/>
      <c r="B563" s="27"/>
      <c r="C563" s="28"/>
      <c r="D563" s="28"/>
      <c r="E563" s="86"/>
      <c r="F563" s="86"/>
      <c r="G563" s="86"/>
      <c r="H563" s="86"/>
    </row>
    <row r="564" spans="1:8">
      <c r="A564" s="27"/>
      <c r="B564" s="27"/>
      <c r="C564" s="28"/>
      <c r="D564" s="28"/>
      <c r="E564" s="86"/>
      <c r="F564" s="86"/>
      <c r="G564" s="86"/>
      <c r="H564" s="86"/>
    </row>
    <row r="565" spans="1:8">
      <c r="A565" s="27"/>
      <c r="B565" s="27"/>
      <c r="C565" s="28"/>
      <c r="D565" s="28"/>
      <c r="E565" s="86"/>
      <c r="F565" s="86"/>
      <c r="G565" s="86"/>
      <c r="H565" s="86"/>
    </row>
    <row r="566" spans="1:8">
      <c r="A566" s="27"/>
      <c r="B566" s="27"/>
      <c r="C566" s="28"/>
      <c r="D566" s="28"/>
      <c r="E566" s="86"/>
      <c r="F566" s="86"/>
      <c r="G566" s="86"/>
      <c r="H566" s="86"/>
    </row>
    <row r="567" spans="1:8">
      <c r="A567" s="27"/>
      <c r="B567" s="27"/>
      <c r="C567" s="28"/>
      <c r="D567" s="28"/>
      <c r="E567" s="86"/>
      <c r="F567" s="86"/>
      <c r="G567" s="86"/>
      <c r="H567" s="86"/>
    </row>
    <row r="568" spans="1:8">
      <c r="A568" s="27"/>
      <c r="B568" s="27"/>
      <c r="C568" s="28"/>
      <c r="D568" s="28"/>
      <c r="E568" s="86"/>
      <c r="F568" s="86"/>
      <c r="G568" s="86"/>
      <c r="H568" s="86"/>
    </row>
    <row r="569" spans="1:8">
      <c r="A569" s="27"/>
      <c r="B569" s="27"/>
      <c r="C569" s="28"/>
      <c r="D569" s="28"/>
      <c r="E569" s="86"/>
      <c r="F569" s="86"/>
      <c r="G569" s="86"/>
      <c r="H569" s="86"/>
    </row>
    <row r="570" spans="1:8">
      <c r="A570" s="27"/>
      <c r="B570" s="27"/>
      <c r="C570" s="28"/>
      <c r="D570" s="28"/>
      <c r="E570" s="86"/>
      <c r="F570" s="86"/>
      <c r="G570" s="86"/>
      <c r="H570" s="86"/>
    </row>
    <row r="571" spans="1:8">
      <c r="A571" s="27"/>
      <c r="B571" s="27"/>
      <c r="C571" s="28"/>
      <c r="D571" s="28"/>
      <c r="E571" s="86"/>
      <c r="F571" s="86"/>
      <c r="G571" s="86"/>
      <c r="H571" s="86"/>
    </row>
    <row r="572" spans="1:8">
      <c r="A572" s="27"/>
      <c r="B572" s="27"/>
      <c r="C572" s="28"/>
      <c r="D572" s="28"/>
      <c r="E572" s="86"/>
      <c r="F572" s="86"/>
      <c r="G572" s="86"/>
      <c r="H572" s="86"/>
    </row>
    <row r="573" spans="1:8">
      <c r="A573" s="27"/>
      <c r="B573" s="27"/>
      <c r="C573" s="28"/>
      <c r="D573" s="28"/>
      <c r="E573" s="86"/>
      <c r="F573" s="86"/>
      <c r="G573" s="86"/>
      <c r="H573" s="86"/>
    </row>
    <row r="574" spans="1:8">
      <c r="A574" s="27"/>
      <c r="B574" s="27"/>
      <c r="C574" s="28"/>
      <c r="D574" s="28"/>
      <c r="E574" s="86"/>
      <c r="F574" s="86"/>
      <c r="G574" s="86"/>
      <c r="H574" s="86"/>
    </row>
    <row r="575" spans="1:8">
      <c r="A575" s="27"/>
      <c r="B575" s="27"/>
      <c r="C575" s="28"/>
      <c r="D575" s="28"/>
      <c r="E575" s="86"/>
      <c r="F575" s="86"/>
      <c r="G575" s="86"/>
      <c r="H575" s="86"/>
    </row>
    <row r="576" spans="1:8">
      <c r="A576" s="27"/>
      <c r="B576" s="27"/>
      <c r="C576" s="28"/>
      <c r="D576" s="28"/>
      <c r="E576" s="86"/>
      <c r="F576" s="86"/>
      <c r="G576" s="86"/>
      <c r="H576" s="86"/>
    </row>
    <row r="577" spans="1:8">
      <c r="A577" s="27"/>
      <c r="B577" s="27"/>
      <c r="C577" s="28"/>
      <c r="D577" s="28"/>
      <c r="E577" s="86"/>
      <c r="F577" s="86"/>
      <c r="G577" s="86"/>
      <c r="H577" s="86"/>
    </row>
    <row r="578" spans="1:8">
      <c r="A578" s="27"/>
      <c r="B578" s="27"/>
      <c r="C578" s="28"/>
      <c r="D578" s="28"/>
      <c r="E578" s="86"/>
      <c r="F578" s="86"/>
      <c r="G578" s="86"/>
      <c r="H578" s="86"/>
    </row>
    <row r="579" spans="1:8">
      <c r="A579" s="27"/>
      <c r="B579" s="27"/>
      <c r="C579" s="28"/>
      <c r="D579" s="28"/>
      <c r="E579" s="86"/>
      <c r="F579" s="86"/>
      <c r="G579" s="86"/>
      <c r="H579" s="86"/>
    </row>
    <row r="580" spans="1:8">
      <c r="A580" s="27"/>
      <c r="B580" s="27"/>
      <c r="C580" s="28"/>
      <c r="D580" s="28"/>
      <c r="E580" s="86"/>
      <c r="F580" s="86"/>
      <c r="G580" s="86"/>
      <c r="H580" s="86"/>
    </row>
    <row r="581" spans="1:8">
      <c r="A581" s="27"/>
      <c r="B581" s="27"/>
      <c r="C581" s="28"/>
      <c r="D581" s="28"/>
      <c r="E581" s="86"/>
      <c r="F581" s="86"/>
      <c r="G581" s="86"/>
      <c r="H581" s="86"/>
    </row>
    <row r="582" spans="1:8">
      <c r="A582" s="27"/>
      <c r="B582" s="27"/>
      <c r="C582" s="28"/>
      <c r="D582" s="28"/>
      <c r="E582" s="86"/>
      <c r="F582" s="86"/>
      <c r="G582" s="86"/>
      <c r="H582" s="86"/>
    </row>
    <row r="583" spans="1:8">
      <c r="A583" s="27"/>
      <c r="B583" s="27"/>
      <c r="C583" s="28"/>
      <c r="D583" s="28"/>
      <c r="E583" s="86"/>
      <c r="F583" s="86"/>
      <c r="G583" s="86"/>
      <c r="H583" s="86"/>
    </row>
    <row r="584" spans="1:8">
      <c r="A584" s="27"/>
      <c r="B584" s="27"/>
      <c r="C584" s="28"/>
      <c r="D584" s="28"/>
      <c r="E584" s="86"/>
      <c r="F584" s="86"/>
      <c r="G584" s="86"/>
      <c r="H584" s="86"/>
    </row>
    <row r="585" spans="1:8">
      <c r="A585" s="27"/>
      <c r="B585" s="27"/>
      <c r="C585" s="28"/>
      <c r="D585" s="28"/>
      <c r="E585" s="86"/>
      <c r="F585" s="86"/>
      <c r="G585" s="86"/>
      <c r="H585" s="86"/>
    </row>
    <row r="586" spans="1:8">
      <c r="A586" s="27"/>
      <c r="B586" s="27"/>
      <c r="C586" s="28"/>
      <c r="D586" s="28"/>
      <c r="E586" s="86"/>
      <c r="F586" s="86"/>
      <c r="G586" s="86"/>
      <c r="H586" s="86"/>
    </row>
    <row r="587" spans="1:8">
      <c r="A587" s="27"/>
      <c r="B587" s="27"/>
      <c r="C587" s="28"/>
      <c r="D587" s="28"/>
      <c r="E587" s="86"/>
      <c r="F587" s="86"/>
      <c r="G587" s="86"/>
      <c r="H587" s="86"/>
    </row>
    <row r="588" spans="1:8">
      <c r="A588" s="27"/>
      <c r="B588" s="27"/>
      <c r="C588" s="28"/>
      <c r="D588" s="28"/>
      <c r="E588" s="86"/>
      <c r="F588" s="86"/>
      <c r="G588" s="86"/>
      <c r="H588" s="86"/>
    </row>
    <row r="589" spans="1:8">
      <c r="A589" s="27"/>
      <c r="B589" s="27"/>
      <c r="C589" s="28"/>
      <c r="D589" s="28"/>
      <c r="E589" s="86"/>
      <c r="F589" s="86"/>
      <c r="G589" s="86"/>
      <c r="H589" s="86"/>
    </row>
    <row r="590" spans="1:8">
      <c r="A590" s="27"/>
      <c r="B590" s="27"/>
      <c r="C590" s="28"/>
      <c r="D590" s="28"/>
      <c r="E590" s="86"/>
      <c r="F590" s="86"/>
      <c r="G590" s="86"/>
      <c r="H590" s="86"/>
    </row>
    <row r="591" spans="1:8">
      <c r="A591" s="27"/>
      <c r="B591" s="27"/>
      <c r="C591" s="28"/>
      <c r="D591" s="28"/>
      <c r="E591" s="86"/>
      <c r="F591" s="86"/>
      <c r="G591" s="86"/>
      <c r="H591" s="86"/>
    </row>
    <row r="592" spans="1:8">
      <c r="A592" s="27"/>
      <c r="B592" s="27"/>
      <c r="C592" s="28"/>
      <c r="D592" s="28"/>
      <c r="E592" s="86"/>
      <c r="F592" s="86"/>
      <c r="G592" s="86"/>
      <c r="H592" s="86"/>
    </row>
    <row r="593" spans="1:8">
      <c r="A593" s="27"/>
      <c r="B593" s="27"/>
      <c r="C593" s="28"/>
      <c r="D593" s="28"/>
      <c r="E593" s="86"/>
      <c r="F593" s="86"/>
      <c r="G593" s="86"/>
      <c r="H593" s="86"/>
    </row>
    <row r="594" spans="1:8">
      <c r="A594" s="27"/>
      <c r="B594" s="27"/>
      <c r="C594" s="28"/>
      <c r="D594" s="28"/>
      <c r="E594" s="86"/>
      <c r="F594" s="86"/>
      <c r="G594" s="86"/>
      <c r="H594" s="86"/>
    </row>
    <row r="595" spans="1:8">
      <c r="A595" s="27"/>
      <c r="B595" s="27"/>
      <c r="C595" s="28"/>
      <c r="D595" s="28"/>
      <c r="E595" s="86"/>
      <c r="F595" s="86"/>
      <c r="G595" s="86"/>
      <c r="H595" s="86"/>
    </row>
    <row r="596" spans="1:8">
      <c r="A596" s="27"/>
      <c r="B596" s="27"/>
      <c r="C596" s="28"/>
      <c r="D596" s="28"/>
      <c r="E596" s="86"/>
      <c r="F596" s="86"/>
      <c r="G596" s="86"/>
      <c r="H596" s="86"/>
    </row>
    <row r="597" spans="1:8">
      <c r="A597" s="27"/>
      <c r="B597" s="27"/>
      <c r="C597" s="28"/>
      <c r="D597" s="28"/>
      <c r="E597" s="86"/>
      <c r="F597" s="86"/>
      <c r="G597" s="86"/>
      <c r="H597" s="86"/>
    </row>
    <row r="598" spans="1:8">
      <c r="A598" s="27"/>
      <c r="B598" s="27"/>
      <c r="C598" s="28"/>
      <c r="D598" s="28"/>
      <c r="E598" s="86"/>
      <c r="F598" s="86"/>
      <c r="G598" s="86"/>
      <c r="H598" s="86"/>
    </row>
    <row r="599" spans="1:8">
      <c r="A599" s="27"/>
      <c r="B599" s="27"/>
      <c r="C599" s="28"/>
      <c r="D599" s="28"/>
      <c r="E599" s="86"/>
      <c r="F599" s="86"/>
      <c r="G599" s="86"/>
      <c r="H599" s="86"/>
    </row>
    <row r="600" spans="1:8">
      <c r="A600" s="27"/>
      <c r="B600" s="27"/>
      <c r="C600" s="28"/>
      <c r="D600" s="28"/>
      <c r="E600" s="86"/>
      <c r="F600" s="86"/>
      <c r="G600" s="86"/>
      <c r="H600" s="86"/>
    </row>
    <row r="601" spans="1:8">
      <c r="A601" s="27"/>
      <c r="B601" s="27"/>
      <c r="C601" s="28"/>
      <c r="D601" s="28"/>
      <c r="E601" s="86"/>
      <c r="F601" s="86"/>
      <c r="G601" s="86"/>
      <c r="H601" s="86"/>
    </row>
    <row r="602" spans="1:8">
      <c r="A602" s="27"/>
      <c r="B602" s="27"/>
      <c r="C602" s="28"/>
      <c r="D602" s="28"/>
      <c r="E602" s="86"/>
      <c r="F602" s="86"/>
      <c r="G602" s="86"/>
      <c r="H602" s="86"/>
    </row>
    <row r="603" spans="1:8">
      <c r="A603" s="27"/>
      <c r="B603" s="27"/>
      <c r="C603" s="28"/>
      <c r="D603" s="28"/>
      <c r="E603" s="86"/>
      <c r="F603" s="86"/>
      <c r="G603" s="86"/>
      <c r="H603" s="86"/>
    </row>
    <row r="604" spans="1:8">
      <c r="A604" s="27"/>
      <c r="B604" s="27"/>
      <c r="C604" s="28"/>
      <c r="D604" s="28"/>
      <c r="E604" s="86"/>
      <c r="F604" s="86"/>
      <c r="G604" s="86"/>
      <c r="H604" s="86"/>
    </row>
    <row r="605" spans="1:8">
      <c r="A605" s="27"/>
      <c r="B605" s="27"/>
      <c r="C605" s="28"/>
      <c r="D605" s="28"/>
      <c r="E605" s="86"/>
      <c r="F605" s="86"/>
      <c r="G605" s="86"/>
      <c r="H605" s="86"/>
    </row>
    <row r="606" spans="1:8">
      <c r="A606" s="27"/>
      <c r="B606" s="27"/>
      <c r="C606" s="28"/>
      <c r="D606" s="28"/>
      <c r="E606" s="86"/>
      <c r="F606" s="86"/>
      <c r="G606" s="86"/>
      <c r="H606" s="86"/>
    </row>
    <row r="607" spans="1:8">
      <c r="A607" s="27"/>
      <c r="B607" s="27"/>
      <c r="C607" s="28"/>
      <c r="D607" s="28"/>
      <c r="E607" s="86"/>
      <c r="F607" s="86"/>
      <c r="G607" s="86"/>
      <c r="H607" s="86"/>
    </row>
    <row r="608" spans="1:8">
      <c r="A608" s="27"/>
      <c r="B608" s="27"/>
      <c r="C608" s="28"/>
      <c r="D608" s="28"/>
      <c r="E608" s="86"/>
      <c r="F608" s="86"/>
      <c r="G608" s="86"/>
      <c r="H608" s="86"/>
    </row>
    <row r="609" spans="1:8">
      <c r="A609" s="27"/>
      <c r="B609" s="27"/>
      <c r="C609" s="28"/>
      <c r="D609" s="28"/>
      <c r="E609" s="86"/>
      <c r="F609" s="86"/>
      <c r="G609" s="86"/>
      <c r="H609" s="86"/>
    </row>
    <row r="610" spans="1:8">
      <c r="A610" s="27"/>
      <c r="B610" s="27"/>
      <c r="C610" s="28"/>
      <c r="D610" s="28"/>
      <c r="E610" s="86"/>
      <c r="F610" s="86"/>
      <c r="G610" s="86"/>
      <c r="H610" s="86"/>
    </row>
    <row r="611" spans="1:8">
      <c r="A611" s="27"/>
      <c r="B611" s="27"/>
      <c r="C611" s="28"/>
      <c r="D611" s="28"/>
      <c r="E611" s="86"/>
      <c r="F611" s="86"/>
      <c r="G611" s="86"/>
      <c r="H611" s="86"/>
    </row>
    <row r="612" spans="1:8">
      <c r="A612" s="27"/>
      <c r="B612" s="27"/>
      <c r="C612" s="28"/>
      <c r="D612" s="28"/>
      <c r="E612" s="86"/>
      <c r="F612" s="86"/>
      <c r="G612" s="86"/>
      <c r="H612" s="86"/>
    </row>
    <row r="613" spans="1:8">
      <c r="A613" s="27"/>
      <c r="B613" s="27"/>
      <c r="C613" s="28"/>
      <c r="D613" s="28"/>
      <c r="E613" s="86"/>
      <c r="F613" s="86"/>
      <c r="G613" s="86"/>
      <c r="H613" s="86"/>
    </row>
    <row r="614" spans="1:8">
      <c r="A614" s="27"/>
      <c r="B614" s="27"/>
      <c r="C614" s="28"/>
      <c r="D614" s="28"/>
      <c r="E614" s="86"/>
      <c r="F614" s="86"/>
      <c r="G614" s="86"/>
      <c r="H614" s="86"/>
    </row>
    <row r="615" spans="1:8">
      <c r="A615" s="27"/>
      <c r="B615" s="27"/>
      <c r="C615" s="28"/>
      <c r="D615" s="28"/>
      <c r="E615" s="86"/>
      <c r="F615" s="86"/>
      <c r="G615" s="86"/>
      <c r="H615" s="86"/>
    </row>
    <row r="616" spans="1:8">
      <c r="A616" s="27"/>
      <c r="B616" s="27"/>
      <c r="C616" s="28"/>
      <c r="D616" s="28"/>
      <c r="E616" s="86"/>
      <c r="F616" s="86"/>
      <c r="G616" s="86"/>
      <c r="H616" s="86"/>
    </row>
    <row r="617" spans="1:8">
      <c r="A617" s="27"/>
      <c r="B617" s="27"/>
      <c r="C617" s="28"/>
      <c r="D617" s="28"/>
      <c r="E617" s="86"/>
      <c r="F617" s="86"/>
      <c r="G617" s="86"/>
      <c r="H617" s="86"/>
    </row>
    <row r="618" spans="1:8">
      <c r="A618" s="27"/>
      <c r="B618" s="27"/>
      <c r="C618" s="28"/>
      <c r="D618" s="28"/>
      <c r="E618" s="86"/>
      <c r="F618" s="86"/>
      <c r="G618" s="86"/>
      <c r="H618" s="86"/>
    </row>
    <row r="619" spans="1:8">
      <c r="A619" s="27"/>
      <c r="B619" s="27"/>
      <c r="C619" s="28"/>
      <c r="D619" s="28"/>
      <c r="E619" s="86"/>
      <c r="F619" s="86"/>
      <c r="G619" s="86"/>
      <c r="H619" s="86"/>
    </row>
    <row r="620" spans="1:8">
      <c r="A620" s="27"/>
      <c r="B620" s="27"/>
      <c r="C620" s="28"/>
      <c r="D620" s="28"/>
      <c r="E620" s="86"/>
      <c r="F620" s="86"/>
      <c r="G620" s="86"/>
      <c r="H620" s="86"/>
    </row>
    <row r="621" spans="1:8">
      <c r="A621" s="27"/>
      <c r="B621" s="27"/>
      <c r="C621" s="28"/>
      <c r="D621" s="28"/>
      <c r="E621" s="86"/>
      <c r="F621" s="86"/>
      <c r="G621" s="86"/>
      <c r="H621" s="86"/>
    </row>
    <row r="622" spans="1:8">
      <c r="A622" s="27"/>
      <c r="B622" s="27"/>
      <c r="C622" s="28"/>
      <c r="D622" s="28"/>
      <c r="E622" s="86"/>
      <c r="F622" s="86"/>
      <c r="G622" s="86"/>
      <c r="H622" s="86"/>
    </row>
    <row r="623" spans="1:8">
      <c r="A623" s="27"/>
      <c r="B623" s="27"/>
      <c r="C623" s="28"/>
      <c r="D623" s="28"/>
      <c r="E623" s="86"/>
      <c r="F623" s="86"/>
      <c r="G623" s="86"/>
      <c r="H623" s="86"/>
    </row>
    <row r="624" spans="1:8">
      <c r="A624" s="27"/>
      <c r="B624" s="27"/>
      <c r="C624" s="28"/>
      <c r="D624" s="28"/>
      <c r="E624" s="86"/>
      <c r="F624" s="86"/>
      <c r="G624" s="86"/>
      <c r="H624" s="86"/>
    </row>
    <row r="625" spans="1:8">
      <c r="A625" s="27"/>
      <c r="B625" s="27"/>
      <c r="C625" s="28"/>
      <c r="D625" s="28"/>
      <c r="E625" s="86"/>
      <c r="F625" s="86"/>
      <c r="G625" s="86"/>
      <c r="H625" s="86"/>
    </row>
    <row r="626" spans="1:8">
      <c r="A626" s="27"/>
      <c r="B626" s="27"/>
      <c r="C626" s="28"/>
      <c r="D626" s="28"/>
      <c r="E626" s="86"/>
      <c r="F626" s="86"/>
      <c r="G626" s="86"/>
      <c r="H626" s="86"/>
    </row>
    <row r="627" spans="1:8">
      <c r="A627" s="27"/>
      <c r="B627" s="27"/>
      <c r="C627" s="28"/>
      <c r="D627" s="28"/>
      <c r="E627" s="86"/>
      <c r="F627" s="86"/>
      <c r="G627" s="86"/>
      <c r="H627" s="86"/>
    </row>
    <row r="628" spans="1:8">
      <c r="A628" s="27"/>
      <c r="B628" s="27"/>
      <c r="C628" s="28"/>
      <c r="D628" s="28"/>
      <c r="E628" s="86"/>
      <c r="F628" s="86"/>
      <c r="G628" s="86"/>
      <c r="H628" s="86"/>
    </row>
    <row r="629" spans="1:8">
      <c r="A629" s="27"/>
      <c r="B629" s="27"/>
      <c r="C629" s="28"/>
      <c r="D629" s="28"/>
      <c r="E629" s="86"/>
      <c r="F629" s="86"/>
      <c r="G629" s="86"/>
      <c r="H629" s="86"/>
    </row>
    <row r="630" spans="1:8">
      <c r="A630" s="27"/>
      <c r="B630" s="27"/>
      <c r="C630" s="28"/>
      <c r="D630" s="28"/>
      <c r="E630" s="86"/>
      <c r="F630" s="86"/>
      <c r="G630" s="86"/>
      <c r="H630" s="86"/>
    </row>
    <row r="631" spans="1:8">
      <c r="A631" s="27"/>
      <c r="B631" s="27"/>
      <c r="C631" s="28"/>
      <c r="D631" s="28"/>
      <c r="E631" s="86"/>
      <c r="F631" s="86"/>
      <c r="G631" s="86"/>
      <c r="H631" s="86"/>
    </row>
    <row r="632" spans="1:8">
      <c r="A632" s="27"/>
      <c r="B632" s="27"/>
      <c r="C632" s="28"/>
      <c r="D632" s="28"/>
      <c r="E632" s="86"/>
      <c r="F632" s="86"/>
      <c r="G632" s="86"/>
      <c r="H632" s="86"/>
    </row>
    <row r="633" spans="1:8">
      <c r="A633" s="27"/>
      <c r="B633" s="27"/>
      <c r="C633" s="28"/>
      <c r="D633" s="28"/>
      <c r="E633" s="86"/>
      <c r="F633" s="86"/>
      <c r="G633" s="86"/>
      <c r="H633" s="86"/>
    </row>
    <row r="634" spans="1:8">
      <c r="A634" s="27"/>
      <c r="B634" s="27"/>
      <c r="C634" s="28"/>
      <c r="D634" s="28"/>
      <c r="E634" s="86"/>
      <c r="F634" s="86"/>
      <c r="G634" s="86"/>
      <c r="H634" s="86"/>
    </row>
    <row r="635" spans="1:8">
      <c r="A635" s="27"/>
      <c r="B635" s="27"/>
      <c r="C635" s="28"/>
      <c r="D635" s="28"/>
      <c r="E635" s="86"/>
      <c r="F635" s="86"/>
      <c r="G635" s="86"/>
      <c r="H635" s="86"/>
    </row>
    <row r="636" spans="1:8">
      <c r="A636" s="27"/>
      <c r="B636" s="27"/>
      <c r="C636" s="28"/>
      <c r="D636" s="28"/>
      <c r="E636" s="86"/>
      <c r="F636" s="86"/>
      <c r="G636" s="86"/>
      <c r="H636" s="86"/>
    </row>
    <row r="637" spans="1:8">
      <c r="A637" s="27"/>
      <c r="B637" s="27"/>
      <c r="C637" s="28"/>
      <c r="D637" s="28"/>
      <c r="E637" s="86"/>
      <c r="F637" s="86"/>
      <c r="G637" s="86"/>
      <c r="H637" s="86"/>
    </row>
    <row r="638" spans="1:8">
      <c r="A638" s="27"/>
      <c r="B638" s="27"/>
      <c r="C638" s="28"/>
      <c r="D638" s="28"/>
      <c r="E638" s="86"/>
      <c r="F638" s="86"/>
      <c r="G638" s="86"/>
      <c r="H638" s="86"/>
    </row>
    <row r="639" spans="1:8">
      <c r="A639" s="27"/>
      <c r="B639" s="27"/>
      <c r="C639" s="28"/>
      <c r="D639" s="28"/>
      <c r="E639" s="86"/>
      <c r="F639" s="86"/>
      <c r="G639" s="86"/>
      <c r="H639" s="86"/>
    </row>
    <row r="640" spans="1:8">
      <c r="A640" s="27"/>
      <c r="B640" s="27"/>
      <c r="C640" s="28"/>
      <c r="D640" s="28"/>
      <c r="E640" s="86"/>
      <c r="F640" s="86"/>
      <c r="G640" s="86"/>
      <c r="H640" s="86"/>
    </row>
    <row r="641" spans="1:8">
      <c r="A641" s="27"/>
      <c r="B641" s="27"/>
      <c r="C641" s="28"/>
      <c r="D641" s="28"/>
      <c r="E641" s="86"/>
      <c r="F641" s="86"/>
      <c r="G641" s="86"/>
      <c r="H641" s="86"/>
    </row>
    <row r="642" spans="1:8">
      <c r="A642" s="27"/>
      <c r="B642" s="27"/>
      <c r="C642" s="28"/>
      <c r="D642" s="28"/>
      <c r="E642" s="86"/>
      <c r="F642" s="86"/>
      <c r="G642" s="86"/>
      <c r="H642" s="86"/>
    </row>
    <row r="643" spans="1:8">
      <c r="A643" s="27"/>
      <c r="B643" s="27"/>
      <c r="C643" s="28"/>
      <c r="D643" s="28"/>
      <c r="E643" s="86"/>
      <c r="F643" s="86"/>
      <c r="G643" s="86"/>
      <c r="H643" s="86"/>
    </row>
    <row r="644" spans="1:8">
      <c r="A644" s="27"/>
      <c r="B644" s="27"/>
      <c r="C644" s="28"/>
      <c r="D644" s="28"/>
      <c r="E644" s="86"/>
      <c r="F644" s="86"/>
      <c r="G644" s="86"/>
      <c r="H644" s="86"/>
    </row>
    <row r="645" spans="1:8">
      <c r="A645" s="27"/>
      <c r="B645" s="27"/>
      <c r="C645" s="28"/>
      <c r="D645" s="28"/>
      <c r="E645" s="86"/>
      <c r="F645" s="86"/>
      <c r="G645" s="86"/>
      <c r="H645" s="86"/>
    </row>
    <row r="646" spans="1:8">
      <c r="A646" s="27"/>
      <c r="B646" s="27"/>
      <c r="C646" s="28"/>
      <c r="D646" s="28"/>
      <c r="E646" s="86"/>
      <c r="F646" s="86"/>
      <c r="G646" s="86"/>
      <c r="H646" s="86"/>
    </row>
    <row r="647" spans="1:8">
      <c r="A647" s="27"/>
      <c r="B647" s="27"/>
      <c r="C647" s="28"/>
      <c r="D647" s="28"/>
      <c r="E647" s="86"/>
      <c r="F647" s="86"/>
      <c r="G647" s="86"/>
      <c r="H647" s="86"/>
    </row>
    <row r="648" spans="1:8">
      <c r="A648" s="27"/>
      <c r="B648" s="27"/>
      <c r="C648" s="28"/>
      <c r="D648" s="28"/>
      <c r="E648" s="86"/>
      <c r="F648" s="86"/>
      <c r="G648" s="86"/>
      <c r="H648" s="86"/>
    </row>
    <row r="649" spans="1:8">
      <c r="A649" s="27"/>
      <c r="B649" s="27"/>
      <c r="C649" s="28"/>
      <c r="D649" s="28"/>
      <c r="E649" s="86"/>
      <c r="F649" s="86"/>
      <c r="G649" s="86"/>
      <c r="H649" s="86"/>
    </row>
    <row r="650" spans="1:8">
      <c r="A650" s="27"/>
      <c r="B650" s="27"/>
      <c r="C650" s="28"/>
      <c r="D650" s="28"/>
      <c r="E650" s="86"/>
      <c r="F650" s="86"/>
      <c r="G650" s="86"/>
      <c r="H650" s="86"/>
    </row>
    <row r="651" spans="1:8">
      <c r="A651" s="27"/>
      <c r="B651" s="27"/>
      <c r="C651" s="28"/>
      <c r="D651" s="28"/>
      <c r="E651" s="86"/>
      <c r="F651" s="86"/>
      <c r="G651" s="86"/>
      <c r="H651" s="86"/>
    </row>
    <row r="652" spans="1:8">
      <c r="A652" s="27"/>
      <c r="B652" s="27"/>
      <c r="C652" s="28"/>
      <c r="D652" s="28"/>
      <c r="E652" s="86"/>
      <c r="F652" s="86"/>
      <c r="G652" s="86"/>
      <c r="H652" s="86"/>
    </row>
    <row r="653" spans="1:8">
      <c r="A653" s="27"/>
      <c r="B653" s="27"/>
      <c r="C653" s="28"/>
      <c r="D653" s="28"/>
      <c r="E653" s="86"/>
      <c r="F653" s="86"/>
      <c r="G653" s="86"/>
      <c r="H653" s="86"/>
    </row>
    <row r="654" spans="1:8">
      <c r="A654" s="27"/>
      <c r="B654" s="27"/>
      <c r="C654" s="28"/>
      <c r="D654" s="28"/>
      <c r="E654" s="86"/>
      <c r="F654" s="86"/>
      <c r="G654" s="86"/>
      <c r="H654" s="86"/>
    </row>
    <row r="655" spans="1:8">
      <c r="A655" s="27"/>
      <c r="B655" s="27"/>
      <c r="C655" s="28"/>
      <c r="D655" s="28"/>
      <c r="E655" s="86"/>
      <c r="F655" s="86"/>
      <c r="G655" s="86"/>
      <c r="H655" s="86"/>
    </row>
    <row r="656" spans="1:8">
      <c r="A656" s="27"/>
      <c r="B656" s="27"/>
      <c r="C656" s="28"/>
      <c r="D656" s="28"/>
      <c r="E656" s="86"/>
      <c r="F656" s="86"/>
      <c r="G656" s="86"/>
      <c r="H656" s="86"/>
    </row>
    <row r="657" spans="1:8">
      <c r="A657" s="27"/>
      <c r="B657" s="27"/>
      <c r="C657" s="28"/>
      <c r="D657" s="28"/>
      <c r="E657" s="86"/>
      <c r="F657" s="86"/>
      <c r="G657" s="86"/>
      <c r="H657" s="86"/>
    </row>
    <row r="658" spans="1:8">
      <c r="A658" s="27"/>
      <c r="B658" s="27"/>
      <c r="C658" s="28"/>
      <c r="D658" s="28"/>
      <c r="E658" s="86"/>
      <c r="F658" s="86"/>
      <c r="G658" s="86"/>
      <c r="H658" s="86"/>
    </row>
    <row r="659" spans="1:8">
      <c r="A659" s="27"/>
      <c r="B659" s="27"/>
      <c r="C659" s="28"/>
      <c r="D659" s="28"/>
      <c r="E659" s="86"/>
      <c r="F659" s="86"/>
      <c r="G659" s="86"/>
      <c r="H659" s="86"/>
    </row>
    <row r="660" spans="1:8">
      <c r="A660" s="27"/>
      <c r="B660" s="27"/>
      <c r="C660" s="28"/>
      <c r="D660" s="28"/>
      <c r="E660" s="86"/>
      <c r="F660" s="86"/>
      <c r="G660" s="86"/>
      <c r="H660" s="86"/>
    </row>
    <row r="661" spans="1:8">
      <c r="A661" s="27"/>
      <c r="B661" s="27"/>
      <c r="C661" s="28"/>
      <c r="D661" s="28"/>
      <c r="E661" s="86"/>
      <c r="F661" s="86"/>
      <c r="G661" s="86"/>
      <c r="H661" s="86"/>
    </row>
    <row r="662" spans="1:8">
      <c r="A662" s="27"/>
      <c r="B662" s="27"/>
      <c r="C662" s="28"/>
      <c r="D662" s="28"/>
      <c r="E662" s="86"/>
      <c r="F662" s="86"/>
      <c r="G662" s="86"/>
      <c r="H662" s="86"/>
    </row>
    <row r="663" spans="1:8">
      <c r="A663" s="27"/>
      <c r="B663" s="27"/>
      <c r="C663" s="28"/>
      <c r="D663" s="28"/>
      <c r="E663" s="86"/>
      <c r="F663" s="86"/>
      <c r="G663" s="86"/>
      <c r="H663" s="86"/>
    </row>
    <row r="664" spans="1:8">
      <c r="A664" s="27"/>
      <c r="B664" s="27"/>
      <c r="C664" s="28"/>
      <c r="D664" s="28"/>
      <c r="E664" s="86"/>
      <c r="F664" s="86"/>
      <c r="G664" s="86"/>
      <c r="H664" s="86"/>
    </row>
    <row r="665" spans="1:8">
      <c r="A665" s="27"/>
      <c r="B665" s="27"/>
      <c r="C665" s="28"/>
      <c r="D665" s="28"/>
      <c r="E665" s="86"/>
      <c r="F665" s="86"/>
      <c r="G665" s="86"/>
      <c r="H665" s="86"/>
    </row>
    <row r="666" spans="1:8">
      <c r="A666" s="27"/>
      <c r="B666" s="27"/>
      <c r="C666" s="28"/>
      <c r="D666" s="28"/>
      <c r="E666" s="86"/>
      <c r="F666" s="86"/>
      <c r="G666" s="86"/>
      <c r="H666" s="86"/>
    </row>
    <row r="667" spans="1:8">
      <c r="A667" s="27"/>
      <c r="B667" s="27"/>
      <c r="C667" s="28"/>
      <c r="D667" s="28"/>
      <c r="E667" s="86"/>
      <c r="F667" s="86"/>
      <c r="G667" s="86"/>
      <c r="H667" s="86"/>
    </row>
    <row r="668" spans="1:8">
      <c r="A668" s="27"/>
      <c r="B668" s="27"/>
      <c r="C668" s="28"/>
      <c r="D668" s="28"/>
      <c r="E668" s="86"/>
      <c r="F668" s="86"/>
      <c r="G668" s="86"/>
      <c r="H668" s="86"/>
    </row>
    <row r="669" spans="1:8">
      <c r="A669" s="27"/>
      <c r="B669" s="27"/>
      <c r="C669" s="28"/>
      <c r="D669" s="28"/>
      <c r="E669" s="86"/>
      <c r="F669" s="86"/>
      <c r="G669" s="86"/>
      <c r="H669" s="86"/>
    </row>
    <row r="670" spans="1:8">
      <c r="A670" s="27"/>
      <c r="B670" s="27"/>
      <c r="C670" s="28"/>
      <c r="D670" s="28"/>
      <c r="E670" s="86"/>
      <c r="F670" s="86"/>
      <c r="G670" s="86"/>
      <c r="H670" s="86"/>
    </row>
    <row r="671" spans="1:8">
      <c r="A671" s="27"/>
      <c r="B671" s="27"/>
      <c r="C671" s="28"/>
      <c r="D671" s="28"/>
      <c r="E671" s="86"/>
      <c r="F671" s="86"/>
      <c r="G671" s="86"/>
      <c r="H671" s="86"/>
    </row>
    <row r="672" spans="1:8">
      <c r="A672" s="27"/>
      <c r="B672" s="27"/>
      <c r="C672" s="28"/>
      <c r="D672" s="28"/>
      <c r="E672" s="86"/>
      <c r="F672" s="86"/>
      <c r="G672" s="86"/>
      <c r="H672" s="86"/>
    </row>
    <row r="673" spans="1:8">
      <c r="A673" s="27"/>
      <c r="B673" s="27"/>
      <c r="C673" s="28"/>
      <c r="D673" s="28"/>
      <c r="E673" s="86"/>
      <c r="F673" s="86"/>
      <c r="G673" s="86"/>
      <c r="H673" s="86"/>
    </row>
    <row r="674" spans="1:8">
      <c r="A674" s="27"/>
      <c r="B674" s="27"/>
      <c r="C674" s="28"/>
      <c r="D674" s="28"/>
      <c r="E674" s="86"/>
      <c r="F674" s="86"/>
      <c r="G674" s="86"/>
      <c r="H674" s="86"/>
    </row>
    <row r="675" spans="1:8">
      <c r="A675" s="27"/>
      <c r="B675" s="27"/>
      <c r="C675" s="28"/>
      <c r="D675" s="28"/>
      <c r="E675" s="86"/>
      <c r="F675" s="86"/>
      <c r="G675" s="86"/>
      <c r="H675" s="86"/>
    </row>
    <row r="676" spans="1:8">
      <c r="A676" s="27"/>
      <c r="B676" s="27"/>
      <c r="C676" s="28"/>
      <c r="D676" s="28"/>
      <c r="E676" s="86"/>
      <c r="F676" s="86"/>
      <c r="G676" s="86"/>
      <c r="H676" s="86"/>
    </row>
    <row r="677" spans="1:8">
      <c r="A677" s="27"/>
      <c r="B677" s="27"/>
      <c r="C677" s="28"/>
      <c r="D677" s="28"/>
      <c r="E677" s="86"/>
      <c r="F677" s="86"/>
      <c r="G677" s="86"/>
      <c r="H677" s="86"/>
    </row>
    <row r="678" spans="1:8">
      <c r="A678" s="27"/>
      <c r="B678" s="27"/>
      <c r="C678" s="28"/>
      <c r="D678" s="28"/>
      <c r="E678" s="86"/>
      <c r="F678" s="86"/>
      <c r="G678" s="86"/>
      <c r="H678" s="86"/>
    </row>
    <row r="679" spans="1:8">
      <c r="A679" s="27"/>
      <c r="B679" s="27"/>
      <c r="C679" s="28"/>
      <c r="D679" s="28"/>
      <c r="E679" s="86"/>
      <c r="F679" s="86"/>
      <c r="G679" s="86"/>
      <c r="H679" s="86"/>
    </row>
    <row r="680" spans="1:8">
      <c r="A680" s="27"/>
      <c r="B680" s="27"/>
      <c r="C680" s="28"/>
      <c r="D680" s="28"/>
      <c r="E680" s="86"/>
      <c r="F680" s="86"/>
      <c r="G680" s="86"/>
      <c r="H680" s="86"/>
    </row>
    <row r="681" spans="1:8">
      <c r="A681" s="27"/>
      <c r="B681" s="27"/>
      <c r="C681" s="28"/>
      <c r="D681" s="28"/>
      <c r="E681" s="86"/>
      <c r="F681" s="86"/>
      <c r="G681" s="86"/>
      <c r="H681" s="86"/>
    </row>
    <row r="682" spans="1:8">
      <c r="A682" s="27"/>
      <c r="B682" s="27"/>
      <c r="C682" s="28"/>
      <c r="D682" s="28"/>
      <c r="E682" s="86"/>
      <c r="F682" s="86"/>
      <c r="G682" s="86"/>
      <c r="H682" s="86"/>
    </row>
    <row r="683" spans="1:8">
      <c r="A683" s="27"/>
      <c r="B683" s="27"/>
      <c r="C683" s="28"/>
      <c r="D683" s="28"/>
      <c r="E683" s="86"/>
      <c r="F683" s="86"/>
      <c r="G683" s="86"/>
      <c r="H683" s="86"/>
    </row>
    <row r="684" spans="1:8">
      <c r="A684" s="27"/>
      <c r="B684" s="27"/>
      <c r="C684" s="28"/>
      <c r="D684" s="28"/>
      <c r="E684" s="86"/>
      <c r="F684" s="86"/>
      <c r="G684" s="86"/>
      <c r="H684" s="86"/>
    </row>
    <row r="685" spans="1:8">
      <c r="A685" s="27"/>
      <c r="B685" s="27"/>
      <c r="C685" s="28"/>
      <c r="D685" s="28"/>
      <c r="E685" s="86"/>
      <c r="F685" s="86"/>
      <c r="G685" s="86"/>
      <c r="H685" s="86"/>
    </row>
    <row r="686" spans="1:8">
      <c r="A686" s="27"/>
      <c r="B686" s="27"/>
      <c r="C686" s="28"/>
      <c r="D686" s="28"/>
      <c r="E686" s="86"/>
      <c r="F686" s="86"/>
      <c r="G686" s="86"/>
      <c r="H686" s="86"/>
    </row>
    <row r="687" spans="1:8">
      <c r="A687" s="27"/>
      <c r="B687" s="27"/>
      <c r="C687" s="28"/>
      <c r="D687" s="28"/>
      <c r="E687" s="86"/>
      <c r="F687" s="86"/>
      <c r="G687" s="86"/>
      <c r="H687" s="86"/>
    </row>
    <row r="688" spans="1:8">
      <c r="A688" s="27"/>
      <c r="B688" s="27"/>
      <c r="C688" s="28"/>
      <c r="D688" s="28"/>
      <c r="E688" s="86"/>
      <c r="F688" s="86"/>
      <c r="G688" s="86"/>
      <c r="H688" s="86"/>
    </row>
    <row r="689" spans="1:8">
      <c r="A689" s="27"/>
      <c r="B689" s="27"/>
      <c r="C689" s="28"/>
      <c r="D689" s="28"/>
      <c r="E689" s="86"/>
      <c r="F689" s="86"/>
      <c r="G689" s="86"/>
      <c r="H689" s="86"/>
    </row>
    <row r="690" spans="1:8">
      <c r="A690" s="27"/>
      <c r="B690" s="27"/>
      <c r="C690" s="28"/>
      <c r="D690" s="28"/>
      <c r="E690" s="86"/>
      <c r="F690" s="86"/>
      <c r="G690" s="86"/>
      <c r="H690" s="86"/>
    </row>
    <row r="691" spans="1:8">
      <c r="A691" s="27"/>
      <c r="B691" s="27"/>
      <c r="C691" s="28"/>
      <c r="D691" s="28"/>
      <c r="E691" s="86"/>
      <c r="F691" s="86"/>
      <c r="G691" s="86"/>
      <c r="H691" s="86"/>
    </row>
    <row r="692" spans="1:8">
      <c r="A692" s="27"/>
      <c r="B692" s="27"/>
      <c r="C692" s="28"/>
      <c r="D692" s="28"/>
      <c r="E692" s="86"/>
      <c r="F692" s="86"/>
      <c r="G692" s="86"/>
      <c r="H692" s="86"/>
    </row>
    <row r="693" spans="1:8">
      <c r="A693" s="27"/>
      <c r="B693" s="27"/>
      <c r="C693" s="28"/>
      <c r="D693" s="28"/>
      <c r="E693" s="86"/>
      <c r="F693" s="86"/>
      <c r="G693" s="86"/>
      <c r="H693" s="86"/>
    </row>
    <row r="694" spans="1:8">
      <c r="A694" s="27"/>
      <c r="B694" s="27"/>
      <c r="C694" s="28"/>
      <c r="D694" s="28"/>
      <c r="E694" s="86"/>
      <c r="F694" s="86"/>
      <c r="G694" s="86"/>
      <c r="H694" s="86"/>
    </row>
    <row r="695" spans="1:8">
      <c r="A695" s="27"/>
      <c r="B695" s="27"/>
      <c r="C695" s="28"/>
      <c r="D695" s="28"/>
      <c r="E695" s="86"/>
      <c r="F695" s="86"/>
      <c r="G695" s="86"/>
      <c r="H695" s="86"/>
    </row>
    <row r="696" spans="1:8">
      <c r="A696" s="27"/>
      <c r="B696" s="27"/>
      <c r="C696" s="28"/>
      <c r="D696" s="28"/>
      <c r="E696" s="86"/>
      <c r="F696" s="86"/>
      <c r="G696" s="86"/>
      <c r="H696" s="86"/>
    </row>
    <row r="697" spans="1:8">
      <c r="A697" s="27"/>
      <c r="B697" s="27"/>
      <c r="C697" s="28"/>
      <c r="D697" s="28"/>
      <c r="E697" s="86"/>
      <c r="F697" s="86"/>
      <c r="G697" s="86"/>
      <c r="H697" s="86"/>
    </row>
    <row r="698" spans="1:8">
      <c r="A698" s="27"/>
      <c r="B698" s="27"/>
      <c r="C698" s="28"/>
      <c r="D698" s="28"/>
      <c r="E698" s="86"/>
      <c r="F698" s="86"/>
      <c r="G698" s="86"/>
      <c r="H698" s="86"/>
    </row>
    <row r="699" spans="1:8">
      <c r="A699" s="27"/>
      <c r="B699" s="27"/>
      <c r="C699" s="28"/>
      <c r="D699" s="28"/>
      <c r="E699" s="86"/>
      <c r="F699" s="86"/>
      <c r="G699" s="86"/>
      <c r="H699" s="86"/>
    </row>
    <row r="700" spans="1:8">
      <c r="A700" s="27"/>
      <c r="B700" s="27"/>
      <c r="C700" s="28"/>
      <c r="D700" s="28"/>
      <c r="E700" s="86"/>
      <c r="F700" s="86"/>
      <c r="G700" s="86"/>
      <c r="H700" s="86"/>
    </row>
    <row r="701" spans="1:8">
      <c r="A701" s="27"/>
      <c r="B701" s="27"/>
      <c r="C701" s="28"/>
      <c r="D701" s="28"/>
      <c r="E701" s="86"/>
      <c r="F701" s="86"/>
      <c r="G701" s="86"/>
      <c r="H701" s="86"/>
    </row>
    <row r="702" spans="1:8">
      <c r="A702" s="27"/>
      <c r="B702" s="27"/>
      <c r="C702" s="28"/>
      <c r="D702" s="28"/>
      <c r="E702" s="86"/>
      <c r="F702" s="86"/>
      <c r="G702" s="86"/>
      <c r="H702" s="86"/>
    </row>
    <row r="703" spans="1:8">
      <c r="A703" s="27"/>
      <c r="B703" s="27"/>
      <c r="C703" s="28"/>
      <c r="D703" s="28"/>
      <c r="E703" s="86"/>
      <c r="F703" s="86"/>
      <c r="G703" s="86"/>
      <c r="H703" s="86"/>
    </row>
    <row r="704" spans="1:8">
      <c r="A704" s="27"/>
      <c r="B704" s="27"/>
      <c r="C704" s="28"/>
      <c r="D704" s="28"/>
      <c r="E704" s="86"/>
      <c r="F704" s="86"/>
      <c r="G704" s="86"/>
      <c r="H704" s="86"/>
    </row>
    <row r="705" spans="1:8">
      <c r="A705" s="27"/>
      <c r="B705" s="27"/>
      <c r="C705" s="28"/>
      <c r="D705" s="28"/>
      <c r="E705" s="86"/>
      <c r="F705" s="86"/>
      <c r="G705" s="86"/>
      <c r="H705" s="86"/>
    </row>
    <row r="706" spans="1:8">
      <c r="A706" s="27"/>
      <c r="B706" s="27"/>
      <c r="C706" s="28"/>
      <c r="D706" s="28"/>
      <c r="E706" s="86"/>
      <c r="F706" s="86"/>
      <c r="G706" s="86"/>
      <c r="H706" s="86"/>
    </row>
    <row r="707" spans="1:8">
      <c r="A707" s="27"/>
      <c r="B707" s="27"/>
      <c r="C707" s="28"/>
      <c r="D707" s="28"/>
      <c r="E707" s="86"/>
      <c r="F707" s="86"/>
      <c r="G707" s="86"/>
      <c r="H707" s="86"/>
    </row>
    <row r="708" spans="1:8">
      <c r="A708" s="27"/>
      <c r="B708" s="27"/>
      <c r="C708" s="28"/>
      <c r="D708" s="28"/>
      <c r="E708" s="86"/>
      <c r="F708" s="86"/>
      <c r="G708" s="86"/>
      <c r="H708" s="86"/>
    </row>
    <row r="709" spans="1:8">
      <c r="A709" s="27"/>
      <c r="B709" s="27"/>
      <c r="C709" s="28"/>
      <c r="D709" s="28"/>
      <c r="E709" s="86"/>
      <c r="F709" s="86"/>
      <c r="G709" s="86"/>
      <c r="H709" s="86"/>
    </row>
    <row r="710" spans="1:8">
      <c r="A710" s="27"/>
      <c r="B710" s="27"/>
      <c r="C710" s="28"/>
      <c r="D710" s="28"/>
      <c r="E710" s="86"/>
      <c r="F710" s="86"/>
      <c r="G710" s="86"/>
      <c r="H710" s="86"/>
    </row>
    <row r="711" spans="1:8">
      <c r="A711" s="27"/>
      <c r="B711" s="27"/>
      <c r="C711" s="28"/>
      <c r="D711" s="28"/>
      <c r="E711" s="86"/>
      <c r="F711" s="86"/>
      <c r="G711" s="86"/>
      <c r="H711" s="86"/>
    </row>
    <row r="712" spans="1:8">
      <c r="A712" s="27"/>
      <c r="B712" s="27"/>
      <c r="C712" s="28"/>
      <c r="D712" s="28"/>
      <c r="E712" s="86"/>
      <c r="F712" s="86"/>
      <c r="G712" s="86"/>
      <c r="H712" s="86"/>
    </row>
    <row r="713" spans="1:8">
      <c r="A713" s="27"/>
      <c r="B713" s="27"/>
      <c r="C713" s="28"/>
      <c r="D713" s="28"/>
      <c r="E713" s="86"/>
      <c r="F713" s="86"/>
      <c r="G713" s="86"/>
      <c r="H713" s="86"/>
    </row>
    <row r="714" spans="1:8">
      <c r="A714" s="27"/>
      <c r="B714" s="27"/>
      <c r="C714" s="28"/>
      <c r="D714" s="28"/>
      <c r="E714" s="86"/>
      <c r="F714" s="86"/>
      <c r="G714" s="86"/>
      <c r="H714" s="86"/>
    </row>
    <row r="715" spans="1:8">
      <c r="A715" s="27"/>
      <c r="B715" s="27"/>
      <c r="C715" s="28"/>
      <c r="D715" s="28"/>
      <c r="E715" s="86"/>
      <c r="F715" s="86"/>
      <c r="G715" s="86"/>
      <c r="H715" s="86"/>
    </row>
    <row r="716" spans="1:8">
      <c r="A716" s="27"/>
      <c r="B716" s="27"/>
      <c r="C716" s="28"/>
      <c r="D716" s="28"/>
      <c r="E716" s="86"/>
      <c r="F716" s="86"/>
      <c r="G716" s="86"/>
      <c r="H716" s="86"/>
    </row>
    <row r="717" spans="1:8">
      <c r="A717" s="27"/>
      <c r="B717" s="27"/>
      <c r="C717" s="28"/>
      <c r="D717" s="28"/>
      <c r="E717" s="86"/>
      <c r="F717" s="86"/>
      <c r="G717" s="86"/>
      <c r="H717" s="86"/>
    </row>
    <row r="718" spans="1:8">
      <c r="A718" s="27"/>
      <c r="B718" s="27"/>
      <c r="C718" s="28"/>
      <c r="D718" s="28"/>
      <c r="E718" s="86"/>
      <c r="F718" s="86"/>
      <c r="G718" s="86"/>
      <c r="H718" s="86"/>
    </row>
    <row r="719" spans="1:8">
      <c r="A719" s="27"/>
      <c r="B719" s="27"/>
      <c r="C719" s="28"/>
      <c r="D719" s="28"/>
      <c r="E719" s="86"/>
      <c r="F719" s="86"/>
      <c r="G719" s="86"/>
      <c r="H719" s="86"/>
    </row>
    <row r="720" spans="1:8">
      <c r="A720" s="27"/>
      <c r="B720" s="27"/>
      <c r="C720" s="28"/>
      <c r="D720" s="28"/>
      <c r="E720" s="86"/>
      <c r="F720" s="86"/>
      <c r="G720" s="86"/>
      <c r="H720" s="86"/>
    </row>
    <row r="721" spans="1:8">
      <c r="A721" s="27"/>
      <c r="B721" s="27"/>
      <c r="C721" s="28"/>
      <c r="D721" s="28"/>
      <c r="E721" s="86"/>
      <c r="F721" s="86"/>
      <c r="G721" s="86"/>
      <c r="H721" s="86"/>
    </row>
    <row r="722" spans="1:8">
      <c r="A722" s="27"/>
      <c r="B722" s="27"/>
      <c r="C722" s="28"/>
      <c r="D722" s="28"/>
      <c r="E722" s="86"/>
      <c r="F722" s="86"/>
      <c r="G722" s="86"/>
      <c r="H722" s="86"/>
    </row>
    <row r="723" spans="1:8">
      <c r="A723" s="27"/>
      <c r="B723" s="27"/>
      <c r="C723" s="28"/>
      <c r="D723" s="28"/>
      <c r="E723" s="86"/>
      <c r="F723" s="86"/>
      <c r="G723" s="86"/>
      <c r="H723" s="86"/>
    </row>
    <row r="724" spans="1:8">
      <c r="A724" s="27"/>
      <c r="B724" s="27"/>
      <c r="C724" s="28"/>
      <c r="D724" s="28"/>
      <c r="E724" s="86"/>
      <c r="F724" s="86"/>
      <c r="G724" s="86"/>
      <c r="H724" s="86"/>
    </row>
    <row r="725" spans="1:8">
      <c r="A725" s="27"/>
      <c r="B725" s="27"/>
      <c r="C725" s="28"/>
      <c r="D725" s="28"/>
      <c r="E725" s="86"/>
      <c r="F725" s="86"/>
      <c r="G725" s="86"/>
      <c r="H725" s="86"/>
    </row>
    <row r="726" spans="1:8">
      <c r="A726" s="27"/>
      <c r="B726" s="27"/>
      <c r="C726" s="28"/>
      <c r="D726" s="28"/>
      <c r="E726" s="86"/>
      <c r="F726" s="86"/>
      <c r="G726" s="86"/>
      <c r="H726" s="86"/>
    </row>
    <row r="727" spans="1:8">
      <c r="A727" s="27"/>
      <c r="B727" s="27"/>
      <c r="C727" s="28"/>
      <c r="D727" s="28"/>
      <c r="E727" s="86"/>
      <c r="F727" s="86"/>
      <c r="G727" s="86"/>
      <c r="H727" s="86"/>
    </row>
    <row r="728" spans="1:8">
      <c r="A728" s="27"/>
      <c r="B728" s="27"/>
      <c r="C728" s="28"/>
      <c r="D728" s="28"/>
      <c r="E728" s="86"/>
      <c r="F728" s="86"/>
      <c r="G728" s="86"/>
      <c r="H728" s="86"/>
    </row>
    <row r="729" spans="1:8">
      <c r="A729" s="27"/>
      <c r="B729" s="27"/>
      <c r="C729" s="28"/>
      <c r="D729" s="28"/>
      <c r="E729" s="86"/>
      <c r="F729" s="86"/>
      <c r="G729" s="86"/>
      <c r="H729" s="86"/>
    </row>
    <row r="730" spans="1:8">
      <c r="A730" s="27"/>
      <c r="B730" s="27"/>
      <c r="C730" s="28"/>
      <c r="D730" s="28"/>
      <c r="E730" s="86"/>
      <c r="F730" s="86"/>
      <c r="G730" s="86"/>
      <c r="H730" s="86"/>
    </row>
    <row r="731" spans="1:8">
      <c r="A731" s="27"/>
      <c r="B731" s="27"/>
      <c r="C731" s="28"/>
      <c r="D731" s="28"/>
      <c r="E731" s="86"/>
      <c r="F731" s="86"/>
      <c r="G731" s="86"/>
      <c r="H731" s="86"/>
    </row>
    <row r="732" spans="1:8">
      <c r="A732" s="27"/>
      <c r="B732" s="27"/>
      <c r="C732" s="28"/>
      <c r="D732" s="28"/>
      <c r="E732" s="86"/>
      <c r="F732" s="86"/>
      <c r="G732" s="86"/>
      <c r="H732" s="86"/>
    </row>
    <row r="733" spans="1:8">
      <c r="A733" s="27"/>
      <c r="B733" s="27"/>
      <c r="C733" s="28"/>
      <c r="D733" s="28"/>
      <c r="E733" s="86"/>
      <c r="F733" s="86"/>
      <c r="G733" s="86"/>
      <c r="H733" s="86"/>
    </row>
    <row r="734" spans="1:8">
      <c r="A734" s="27"/>
      <c r="B734" s="27"/>
      <c r="C734" s="28"/>
      <c r="D734" s="28"/>
      <c r="E734" s="86"/>
      <c r="F734" s="86"/>
      <c r="G734" s="86"/>
      <c r="H734" s="86"/>
    </row>
    <row r="735" spans="1:8">
      <c r="A735" s="27"/>
      <c r="B735" s="27"/>
      <c r="C735" s="28"/>
      <c r="D735" s="28"/>
      <c r="E735" s="86"/>
      <c r="F735" s="86"/>
      <c r="G735" s="86"/>
      <c r="H735" s="86"/>
    </row>
    <row r="736" spans="1:8">
      <c r="A736" s="27"/>
      <c r="B736" s="27"/>
      <c r="C736" s="28"/>
      <c r="D736" s="28"/>
      <c r="E736" s="86"/>
      <c r="F736" s="86"/>
      <c r="G736" s="86"/>
      <c r="H736" s="86"/>
    </row>
    <row r="737" spans="1:8">
      <c r="A737" s="27"/>
      <c r="B737" s="27"/>
      <c r="C737" s="28"/>
      <c r="D737" s="28"/>
      <c r="E737" s="86"/>
      <c r="F737" s="86"/>
      <c r="G737" s="86"/>
      <c r="H737" s="86"/>
    </row>
    <row r="738" spans="1:8">
      <c r="A738" s="27"/>
      <c r="B738" s="27"/>
      <c r="C738" s="28"/>
      <c r="D738" s="28"/>
      <c r="E738" s="86"/>
      <c r="F738" s="86"/>
      <c r="G738" s="86"/>
      <c r="H738" s="86"/>
    </row>
    <row r="739" spans="1:8">
      <c r="A739" s="27"/>
      <c r="B739" s="27"/>
      <c r="C739" s="28"/>
      <c r="D739" s="28"/>
      <c r="E739" s="86"/>
      <c r="F739" s="86"/>
      <c r="G739" s="86"/>
      <c r="H739" s="86"/>
    </row>
    <row r="740" spans="1:8">
      <c r="A740" s="27"/>
      <c r="B740" s="27"/>
      <c r="C740" s="28"/>
      <c r="D740" s="28"/>
      <c r="E740" s="86"/>
      <c r="F740" s="86"/>
      <c r="G740" s="86"/>
      <c r="H740" s="86"/>
    </row>
    <row r="741" spans="1:8">
      <c r="A741" s="27"/>
      <c r="B741" s="27"/>
      <c r="C741" s="28"/>
      <c r="D741" s="28"/>
      <c r="E741" s="86"/>
      <c r="F741" s="86"/>
      <c r="G741" s="86"/>
      <c r="H741" s="86"/>
    </row>
    <row r="742" spans="1:8">
      <c r="A742" s="27"/>
      <c r="B742" s="27"/>
      <c r="C742" s="28"/>
      <c r="D742" s="28"/>
      <c r="E742" s="86"/>
      <c r="F742" s="86"/>
      <c r="G742" s="86"/>
      <c r="H742" s="86"/>
    </row>
    <row r="743" spans="1:8">
      <c r="A743" s="27"/>
      <c r="B743" s="27"/>
      <c r="C743" s="28"/>
      <c r="D743" s="28"/>
      <c r="E743" s="86"/>
      <c r="F743" s="86"/>
      <c r="G743" s="86"/>
      <c r="H743" s="86"/>
    </row>
    <row r="744" spans="1:8">
      <c r="A744" s="27"/>
      <c r="B744" s="27"/>
      <c r="C744" s="28"/>
      <c r="D744" s="28"/>
      <c r="E744" s="86"/>
      <c r="F744" s="86"/>
      <c r="G744" s="86"/>
      <c r="H744" s="86"/>
    </row>
    <row r="745" spans="1:8">
      <c r="A745" s="27"/>
      <c r="B745" s="27"/>
      <c r="C745" s="28"/>
      <c r="D745" s="28"/>
      <c r="E745" s="86"/>
      <c r="F745" s="86"/>
      <c r="G745" s="86"/>
      <c r="H745" s="86"/>
    </row>
    <row r="746" spans="1:8">
      <c r="A746" s="27"/>
      <c r="B746" s="27"/>
      <c r="C746" s="28"/>
      <c r="D746" s="28"/>
      <c r="E746" s="86"/>
      <c r="F746" s="86"/>
      <c r="G746" s="86"/>
      <c r="H746" s="86"/>
    </row>
    <row r="747" spans="1:8">
      <c r="A747" s="27"/>
      <c r="B747" s="27"/>
      <c r="C747" s="28"/>
      <c r="D747" s="28"/>
      <c r="E747" s="86"/>
      <c r="F747" s="86"/>
      <c r="G747" s="86"/>
      <c r="H747" s="86"/>
    </row>
    <row r="748" spans="1:8">
      <c r="A748" s="27"/>
      <c r="B748" s="27"/>
      <c r="C748" s="28"/>
      <c r="D748" s="28"/>
      <c r="E748" s="86"/>
      <c r="F748" s="86"/>
      <c r="G748" s="86"/>
      <c r="H748" s="86"/>
    </row>
    <row r="749" spans="1:8">
      <c r="A749" s="27"/>
      <c r="B749" s="27"/>
      <c r="C749" s="28"/>
      <c r="D749" s="28"/>
      <c r="E749" s="86"/>
      <c r="F749" s="86"/>
      <c r="G749" s="86"/>
      <c r="H749" s="86"/>
    </row>
    <row r="750" spans="1:8">
      <c r="A750" s="27"/>
      <c r="B750" s="27"/>
      <c r="C750" s="28"/>
      <c r="D750" s="28"/>
      <c r="E750" s="86"/>
      <c r="F750" s="86"/>
      <c r="G750" s="86"/>
      <c r="H750" s="86"/>
    </row>
    <row r="751" spans="1:8">
      <c r="A751" s="27"/>
      <c r="B751" s="27"/>
      <c r="C751" s="28"/>
      <c r="D751" s="28"/>
      <c r="E751" s="86"/>
      <c r="F751" s="86"/>
      <c r="G751" s="86"/>
      <c r="H751" s="86"/>
    </row>
    <row r="752" spans="1:8">
      <c r="A752" s="27"/>
      <c r="B752" s="27"/>
      <c r="C752" s="28"/>
      <c r="D752" s="28"/>
      <c r="E752" s="86"/>
      <c r="F752" s="86"/>
      <c r="G752" s="86"/>
      <c r="H752" s="86"/>
    </row>
    <row r="753" spans="1:8">
      <c r="A753" s="27"/>
      <c r="B753" s="27"/>
      <c r="C753" s="28"/>
      <c r="D753" s="28"/>
      <c r="E753" s="86"/>
      <c r="F753" s="86"/>
      <c r="G753" s="86"/>
      <c r="H753" s="86"/>
    </row>
    <row r="754" spans="1:8">
      <c r="A754" s="27"/>
      <c r="B754" s="27"/>
      <c r="C754" s="28"/>
      <c r="D754" s="28"/>
      <c r="E754" s="86"/>
      <c r="F754" s="86"/>
      <c r="G754" s="86"/>
      <c r="H754" s="86"/>
    </row>
    <row r="755" spans="1:8">
      <c r="A755" s="27"/>
      <c r="B755" s="27"/>
      <c r="C755" s="28"/>
      <c r="D755" s="28"/>
      <c r="E755" s="86"/>
      <c r="F755" s="86"/>
      <c r="G755" s="86"/>
      <c r="H755" s="86"/>
    </row>
    <row r="756" spans="1:8">
      <c r="A756" s="27"/>
      <c r="B756" s="27"/>
      <c r="C756" s="28"/>
      <c r="D756" s="28"/>
      <c r="E756" s="86"/>
      <c r="F756" s="86"/>
      <c r="G756" s="86"/>
      <c r="H756" s="86"/>
    </row>
    <row r="757" spans="1:8">
      <c r="A757" s="27"/>
      <c r="B757" s="27"/>
      <c r="C757" s="28"/>
      <c r="D757" s="28"/>
      <c r="E757" s="86"/>
      <c r="F757" s="86"/>
      <c r="G757" s="86"/>
      <c r="H757" s="86"/>
    </row>
    <row r="758" spans="1:8">
      <c r="A758" s="27"/>
      <c r="B758" s="27"/>
      <c r="C758" s="28"/>
      <c r="D758" s="28"/>
      <c r="E758" s="86"/>
      <c r="F758" s="86"/>
      <c r="G758" s="86"/>
      <c r="H758" s="86"/>
    </row>
    <row r="759" spans="1:8">
      <c r="A759" s="27"/>
      <c r="B759" s="27"/>
      <c r="C759" s="28"/>
      <c r="D759" s="28"/>
      <c r="E759" s="86"/>
      <c r="F759" s="86"/>
      <c r="G759" s="86"/>
      <c r="H759" s="86"/>
    </row>
    <row r="760" spans="1:8">
      <c r="A760" s="27"/>
      <c r="B760" s="27"/>
      <c r="C760" s="28"/>
      <c r="D760" s="28"/>
      <c r="E760" s="86"/>
      <c r="F760" s="86"/>
      <c r="G760" s="86"/>
      <c r="H760" s="86"/>
    </row>
    <row r="761" spans="1:8">
      <c r="A761" s="27"/>
      <c r="B761" s="27"/>
      <c r="C761" s="28"/>
      <c r="D761" s="28"/>
      <c r="E761" s="86"/>
      <c r="F761" s="86"/>
      <c r="G761" s="86"/>
      <c r="H761" s="86"/>
    </row>
    <row r="762" spans="1:8">
      <c r="A762" s="27"/>
      <c r="B762" s="27"/>
      <c r="C762" s="28"/>
      <c r="D762" s="28"/>
      <c r="E762" s="86"/>
      <c r="F762" s="86"/>
      <c r="G762" s="86"/>
      <c r="H762" s="86"/>
    </row>
    <row r="763" spans="1:8">
      <c r="A763" s="27"/>
      <c r="B763" s="27"/>
      <c r="C763" s="28"/>
      <c r="D763" s="28"/>
      <c r="E763" s="86"/>
      <c r="F763" s="86"/>
      <c r="G763" s="86"/>
      <c r="H763" s="86"/>
    </row>
    <row r="764" spans="1:8">
      <c r="A764" s="27"/>
      <c r="B764" s="27"/>
      <c r="C764" s="28"/>
      <c r="D764" s="28"/>
      <c r="E764" s="86"/>
      <c r="F764" s="86"/>
      <c r="G764" s="86"/>
      <c r="H764" s="86"/>
    </row>
    <row r="765" spans="1:8">
      <c r="A765" s="27"/>
      <c r="B765" s="27"/>
      <c r="C765" s="28"/>
      <c r="D765" s="28"/>
      <c r="E765" s="86"/>
      <c r="F765" s="86"/>
      <c r="G765" s="86"/>
      <c r="H765" s="86"/>
    </row>
    <row r="766" spans="1:8">
      <c r="A766" s="27"/>
      <c r="B766" s="27"/>
      <c r="C766" s="28"/>
      <c r="D766" s="28"/>
      <c r="E766" s="86"/>
      <c r="F766" s="86"/>
      <c r="G766" s="86"/>
      <c r="H766" s="86"/>
    </row>
    <row r="767" spans="1:8">
      <c r="A767" s="27"/>
      <c r="B767" s="27"/>
      <c r="C767" s="28"/>
      <c r="D767" s="28"/>
      <c r="E767" s="86"/>
      <c r="F767" s="86"/>
      <c r="G767" s="86"/>
      <c r="H767" s="86"/>
    </row>
    <row r="768" spans="1:8">
      <c r="A768" s="27"/>
      <c r="B768" s="27"/>
      <c r="C768" s="28"/>
      <c r="D768" s="28"/>
      <c r="E768" s="86"/>
      <c r="F768" s="86"/>
      <c r="G768" s="86"/>
      <c r="H768" s="86"/>
    </row>
    <row r="769" spans="1:8">
      <c r="A769" s="27"/>
      <c r="B769" s="27"/>
      <c r="C769" s="28"/>
      <c r="D769" s="28"/>
      <c r="E769" s="86"/>
      <c r="F769" s="86"/>
      <c r="G769" s="86"/>
      <c r="H769" s="86"/>
    </row>
    <row r="770" spans="1:8">
      <c r="A770" s="27"/>
      <c r="B770" s="27"/>
      <c r="C770" s="28"/>
      <c r="D770" s="28"/>
      <c r="E770" s="86"/>
      <c r="F770" s="86"/>
      <c r="G770" s="86"/>
      <c r="H770" s="86"/>
    </row>
    <row r="771" spans="1:8">
      <c r="A771" s="27"/>
      <c r="B771" s="27"/>
      <c r="C771" s="28"/>
      <c r="D771" s="28"/>
      <c r="E771" s="86"/>
      <c r="F771" s="86"/>
      <c r="G771" s="86"/>
      <c r="H771" s="86"/>
    </row>
    <row r="772" spans="1:8">
      <c r="A772" s="27"/>
      <c r="B772" s="27"/>
      <c r="C772" s="28"/>
      <c r="D772" s="28"/>
      <c r="E772" s="86"/>
      <c r="F772" s="86"/>
      <c r="G772" s="86"/>
      <c r="H772" s="86"/>
    </row>
    <row r="773" spans="1:8">
      <c r="A773" s="27"/>
      <c r="B773" s="27"/>
      <c r="C773" s="28"/>
      <c r="D773" s="28"/>
      <c r="E773" s="86"/>
      <c r="F773" s="86"/>
      <c r="G773" s="86"/>
      <c r="H773" s="86"/>
    </row>
    <row r="774" spans="1:8">
      <c r="A774" s="27"/>
      <c r="B774" s="27"/>
      <c r="C774" s="28"/>
      <c r="D774" s="28"/>
      <c r="E774" s="86"/>
      <c r="F774" s="86"/>
      <c r="G774" s="86"/>
      <c r="H774" s="86"/>
    </row>
    <row r="775" spans="1:8">
      <c r="A775" s="27"/>
      <c r="B775" s="27"/>
      <c r="C775" s="28"/>
      <c r="D775" s="28"/>
      <c r="E775" s="86"/>
      <c r="F775" s="86"/>
      <c r="G775" s="86"/>
      <c r="H775" s="86"/>
    </row>
    <row r="776" spans="1:8">
      <c r="A776" s="27"/>
      <c r="B776" s="27"/>
      <c r="C776" s="28"/>
      <c r="D776" s="28"/>
      <c r="E776" s="86"/>
      <c r="F776" s="86"/>
      <c r="G776" s="86"/>
      <c r="H776" s="86"/>
    </row>
    <row r="777" spans="1:8">
      <c r="A777" s="27"/>
      <c r="B777" s="27"/>
      <c r="C777" s="28"/>
      <c r="D777" s="28"/>
      <c r="E777" s="86"/>
      <c r="F777" s="86"/>
      <c r="G777" s="86"/>
      <c r="H777" s="86"/>
    </row>
    <row r="778" spans="1:8">
      <c r="A778" s="27"/>
      <c r="B778" s="27"/>
      <c r="C778" s="28"/>
      <c r="D778" s="28"/>
      <c r="E778" s="86"/>
      <c r="F778" s="86"/>
      <c r="G778" s="86"/>
      <c r="H778" s="86"/>
    </row>
    <row r="779" spans="1:8">
      <c r="A779" s="27"/>
      <c r="B779" s="27"/>
      <c r="C779" s="28"/>
      <c r="D779" s="28"/>
      <c r="E779" s="86"/>
      <c r="F779" s="86"/>
      <c r="G779" s="86"/>
      <c r="H779" s="86"/>
    </row>
    <row r="780" spans="1:8">
      <c r="A780" s="27"/>
      <c r="B780" s="27"/>
      <c r="C780" s="28"/>
      <c r="D780" s="28"/>
      <c r="E780" s="86"/>
      <c r="F780" s="86"/>
      <c r="G780" s="86"/>
      <c r="H780" s="86"/>
    </row>
    <row r="781" spans="1:8">
      <c r="A781" s="27"/>
      <c r="B781" s="27"/>
      <c r="C781" s="28"/>
      <c r="D781" s="28"/>
      <c r="E781" s="86"/>
      <c r="F781" s="86"/>
      <c r="G781" s="86"/>
      <c r="H781" s="86"/>
    </row>
    <row r="782" spans="1:8">
      <c r="A782" s="27"/>
      <c r="B782" s="27"/>
      <c r="C782" s="28"/>
      <c r="D782" s="28"/>
      <c r="E782" s="86"/>
      <c r="F782" s="86"/>
      <c r="G782" s="86"/>
      <c r="H782" s="86"/>
    </row>
    <row r="783" spans="1:8">
      <c r="A783" s="27"/>
      <c r="B783" s="27"/>
      <c r="C783" s="28"/>
      <c r="D783" s="28"/>
      <c r="E783" s="86"/>
      <c r="F783" s="86"/>
      <c r="G783" s="86"/>
      <c r="H783" s="86"/>
    </row>
    <row r="784" spans="1:8">
      <c r="A784" s="27"/>
      <c r="B784" s="27"/>
      <c r="C784" s="28"/>
      <c r="D784" s="28"/>
      <c r="E784" s="86"/>
      <c r="F784" s="86"/>
      <c r="G784" s="86"/>
      <c r="H784" s="86"/>
    </row>
    <row r="785" spans="1:8">
      <c r="A785" s="27"/>
      <c r="B785" s="27"/>
      <c r="C785" s="28"/>
      <c r="D785" s="28"/>
      <c r="E785" s="86"/>
      <c r="F785" s="86"/>
      <c r="G785" s="86"/>
      <c r="H785" s="86"/>
    </row>
    <row r="786" spans="1:8">
      <c r="A786" s="27"/>
      <c r="B786" s="27"/>
      <c r="C786" s="28"/>
      <c r="D786" s="28"/>
      <c r="E786" s="86"/>
      <c r="F786" s="86"/>
      <c r="G786" s="86"/>
      <c r="H786" s="86"/>
    </row>
    <row r="787" spans="1:8">
      <c r="A787" s="27"/>
      <c r="B787" s="27"/>
      <c r="C787" s="28"/>
      <c r="D787" s="28"/>
      <c r="E787" s="86"/>
      <c r="F787" s="86"/>
      <c r="G787" s="86"/>
      <c r="H787" s="86"/>
    </row>
    <row r="788" spans="1:8">
      <c r="A788" s="27"/>
      <c r="B788" s="27"/>
      <c r="C788" s="28"/>
      <c r="D788" s="28"/>
      <c r="E788" s="86"/>
      <c r="F788" s="86"/>
      <c r="G788" s="86"/>
      <c r="H788" s="86"/>
    </row>
    <row r="789" spans="1:8">
      <c r="A789" s="27"/>
      <c r="B789" s="27"/>
      <c r="C789" s="28"/>
      <c r="D789" s="28"/>
      <c r="E789" s="86"/>
      <c r="F789" s="86"/>
      <c r="G789" s="86"/>
      <c r="H789" s="86"/>
    </row>
    <row r="790" spans="1:8">
      <c r="A790" s="27"/>
      <c r="B790" s="27"/>
      <c r="C790" s="28"/>
      <c r="D790" s="28"/>
      <c r="E790" s="86"/>
      <c r="F790" s="86"/>
      <c r="G790" s="86"/>
      <c r="H790" s="86"/>
    </row>
    <row r="791" spans="1:8">
      <c r="A791" s="27"/>
      <c r="B791" s="27"/>
      <c r="C791" s="28"/>
      <c r="D791" s="28"/>
      <c r="E791" s="86"/>
      <c r="F791" s="86"/>
      <c r="G791" s="86"/>
      <c r="H791" s="86"/>
    </row>
    <row r="792" spans="1:8">
      <c r="A792" s="27"/>
      <c r="B792" s="27"/>
      <c r="C792" s="28"/>
      <c r="D792" s="28"/>
      <c r="E792" s="86"/>
      <c r="F792" s="86"/>
      <c r="G792" s="86"/>
      <c r="H792" s="86"/>
    </row>
    <row r="793" spans="1:8">
      <c r="A793" s="27"/>
      <c r="B793" s="27"/>
      <c r="C793" s="28"/>
      <c r="D793" s="28"/>
      <c r="E793" s="86"/>
      <c r="F793" s="86"/>
      <c r="G793" s="86"/>
      <c r="H793" s="86"/>
    </row>
    <row r="794" spans="1:8">
      <c r="A794" s="27"/>
      <c r="B794" s="27"/>
      <c r="C794" s="28"/>
      <c r="D794" s="28"/>
      <c r="E794" s="86"/>
      <c r="F794" s="86"/>
      <c r="G794" s="86"/>
      <c r="H794" s="86"/>
    </row>
    <row r="795" spans="1:8">
      <c r="A795" s="27"/>
      <c r="B795" s="27"/>
      <c r="C795" s="28"/>
      <c r="D795" s="28"/>
      <c r="E795" s="86"/>
      <c r="F795" s="86"/>
      <c r="G795" s="86"/>
      <c r="H795" s="86"/>
    </row>
    <row r="796" spans="1:8">
      <c r="A796" s="27"/>
      <c r="B796" s="27"/>
      <c r="C796" s="28"/>
      <c r="D796" s="28"/>
      <c r="E796" s="86"/>
      <c r="F796" s="86"/>
      <c r="G796" s="86"/>
      <c r="H796" s="86"/>
    </row>
    <row r="797" spans="1:8">
      <c r="A797" s="27"/>
      <c r="B797" s="27"/>
      <c r="C797" s="28"/>
      <c r="D797" s="28"/>
      <c r="E797" s="86"/>
      <c r="F797" s="86"/>
      <c r="G797" s="86"/>
      <c r="H797" s="86"/>
    </row>
    <row r="798" spans="1:8">
      <c r="A798" s="27"/>
      <c r="B798" s="27"/>
      <c r="C798" s="28"/>
      <c r="D798" s="28"/>
      <c r="E798" s="86"/>
      <c r="F798" s="86"/>
      <c r="G798" s="86"/>
      <c r="H798" s="86"/>
    </row>
    <row r="799" spans="1:8">
      <c r="A799" s="27"/>
      <c r="B799" s="27"/>
      <c r="C799" s="28"/>
      <c r="D799" s="28"/>
      <c r="E799" s="86"/>
      <c r="F799" s="86"/>
      <c r="G799" s="86"/>
      <c r="H799" s="86"/>
    </row>
    <row r="800" spans="1:8">
      <c r="A800" s="27"/>
      <c r="B800" s="27"/>
      <c r="C800" s="28"/>
      <c r="D800" s="28"/>
      <c r="E800" s="86"/>
      <c r="F800" s="86"/>
      <c r="G800" s="86"/>
      <c r="H800" s="86"/>
    </row>
    <row r="801" spans="1:8">
      <c r="A801" s="27"/>
      <c r="B801" s="27"/>
      <c r="C801" s="28"/>
      <c r="D801" s="28"/>
      <c r="E801" s="86"/>
      <c r="F801" s="86"/>
      <c r="G801" s="86"/>
      <c r="H801" s="86"/>
    </row>
    <row r="802" spans="1:8">
      <c r="A802" s="27"/>
      <c r="B802" s="27"/>
      <c r="C802" s="28"/>
      <c r="D802" s="28"/>
      <c r="E802" s="86"/>
      <c r="F802" s="86"/>
      <c r="G802" s="86"/>
      <c r="H802" s="86"/>
    </row>
    <row r="803" spans="1:8">
      <c r="A803" s="27"/>
      <c r="B803" s="27"/>
      <c r="C803" s="28"/>
      <c r="D803" s="28"/>
      <c r="E803" s="86"/>
      <c r="F803" s="86"/>
      <c r="G803" s="86"/>
      <c r="H803" s="86"/>
    </row>
    <row r="804" spans="1:8">
      <c r="A804" s="27"/>
      <c r="B804" s="27"/>
      <c r="C804" s="28"/>
      <c r="D804" s="28"/>
      <c r="E804" s="86"/>
      <c r="F804" s="86"/>
      <c r="G804" s="86"/>
      <c r="H804" s="86"/>
    </row>
    <row r="805" spans="1:8">
      <c r="A805" s="27"/>
      <c r="B805" s="27"/>
      <c r="C805" s="28"/>
      <c r="D805" s="28"/>
      <c r="E805" s="86"/>
      <c r="F805" s="86"/>
      <c r="G805" s="86"/>
      <c r="H805" s="86"/>
    </row>
    <row r="806" spans="1:8">
      <c r="A806" s="27"/>
      <c r="B806" s="27"/>
      <c r="C806" s="28"/>
      <c r="D806" s="28"/>
      <c r="E806" s="86"/>
      <c r="F806" s="86"/>
      <c r="G806" s="86"/>
      <c r="H806" s="86"/>
    </row>
    <row r="807" spans="1:8">
      <c r="A807" s="27"/>
      <c r="B807" s="27"/>
      <c r="C807" s="28"/>
      <c r="D807" s="28"/>
      <c r="E807" s="86"/>
      <c r="F807" s="86"/>
      <c r="G807" s="86"/>
      <c r="H807" s="86"/>
    </row>
    <row r="808" spans="1:8">
      <c r="A808" s="27"/>
      <c r="B808" s="27"/>
      <c r="C808" s="28"/>
      <c r="D808" s="28"/>
      <c r="E808" s="86"/>
      <c r="F808" s="86"/>
      <c r="G808" s="86"/>
      <c r="H808" s="86"/>
    </row>
    <row r="809" spans="1:8">
      <c r="A809" s="27"/>
      <c r="B809" s="27"/>
      <c r="C809" s="28"/>
      <c r="D809" s="28"/>
      <c r="E809" s="86"/>
      <c r="F809" s="86"/>
      <c r="G809" s="86"/>
      <c r="H809" s="86"/>
    </row>
    <row r="810" spans="1:8">
      <c r="A810" s="27"/>
      <c r="B810" s="27"/>
      <c r="C810" s="28"/>
      <c r="D810" s="28"/>
      <c r="E810" s="86"/>
      <c r="F810" s="86"/>
      <c r="G810" s="86"/>
      <c r="H810" s="86"/>
    </row>
    <row r="811" spans="1:8">
      <c r="A811" s="27"/>
      <c r="B811" s="27"/>
      <c r="C811" s="28"/>
      <c r="D811" s="28"/>
      <c r="E811" s="86"/>
      <c r="F811" s="86"/>
      <c r="G811" s="86"/>
      <c r="H811" s="86"/>
    </row>
    <row r="812" spans="1:8">
      <c r="A812" s="27"/>
      <c r="B812" s="27"/>
      <c r="C812" s="28"/>
      <c r="D812" s="28"/>
      <c r="E812" s="86"/>
      <c r="F812" s="86"/>
      <c r="G812" s="86"/>
      <c r="H812" s="86"/>
    </row>
    <row r="813" spans="1:8">
      <c r="A813" s="27"/>
      <c r="B813" s="27"/>
      <c r="C813" s="28"/>
      <c r="D813" s="28"/>
      <c r="E813" s="86"/>
      <c r="F813" s="86"/>
      <c r="G813" s="86"/>
      <c r="H813" s="86"/>
    </row>
    <row r="814" spans="1:8">
      <c r="A814" s="27"/>
      <c r="B814" s="27"/>
      <c r="C814" s="28"/>
      <c r="D814" s="28"/>
      <c r="E814" s="86"/>
      <c r="F814" s="86"/>
      <c r="G814" s="86"/>
      <c r="H814" s="86"/>
    </row>
    <row r="815" spans="1:8">
      <c r="A815" s="27"/>
      <c r="B815" s="27"/>
      <c r="C815" s="28"/>
      <c r="D815" s="28"/>
      <c r="E815" s="86"/>
      <c r="F815" s="86"/>
      <c r="G815" s="86"/>
      <c r="H815" s="86"/>
    </row>
    <row r="816" spans="1:8">
      <c r="A816" s="27"/>
      <c r="B816" s="27"/>
      <c r="C816" s="28"/>
      <c r="D816" s="28"/>
      <c r="E816" s="86"/>
      <c r="F816" s="86"/>
      <c r="G816" s="86"/>
      <c r="H816" s="86"/>
    </row>
    <row r="817" spans="1:8">
      <c r="A817" s="27"/>
      <c r="B817" s="27"/>
      <c r="C817" s="28"/>
      <c r="D817" s="28"/>
      <c r="E817" s="86"/>
      <c r="F817" s="86"/>
      <c r="G817" s="86"/>
      <c r="H817" s="86"/>
    </row>
    <row r="818" spans="1:8">
      <c r="A818" s="27"/>
      <c r="B818" s="27"/>
      <c r="C818" s="28"/>
      <c r="D818" s="28"/>
      <c r="E818" s="86"/>
      <c r="F818" s="86"/>
      <c r="G818" s="86"/>
      <c r="H818" s="86"/>
    </row>
    <row r="819" spans="1:8">
      <c r="A819" s="27"/>
      <c r="B819" s="27"/>
      <c r="C819" s="28"/>
      <c r="D819" s="28"/>
      <c r="E819" s="86"/>
      <c r="F819" s="86"/>
      <c r="G819" s="86"/>
      <c r="H819" s="86"/>
    </row>
    <row r="820" spans="1:8">
      <c r="A820" s="27"/>
      <c r="B820" s="27"/>
      <c r="C820" s="28"/>
      <c r="D820" s="28"/>
      <c r="E820" s="86"/>
      <c r="F820" s="86"/>
      <c r="G820" s="86"/>
      <c r="H820" s="86"/>
    </row>
    <row r="821" spans="1:8">
      <c r="A821" s="27"/>
      <c r="B821" s="27"/>
      <c r="C821" s="28"/>
      <c r="D821" s="28"/>
      <c r="E821" s="86"/>
      <c r="F821" s="86"/>
      <c r="G821" s="86"/>
      <c r="H821" s="86"/>
    </row>
    <row r="822" spans="1:8">
      <c r="A822" s="27"/>
      <c r="B822" s="27"/>
      <c r="C822" s="28"/>
      <c r="D822" s="28"/>
      <c r="E822" s="86"/>
      <c r="F822" s="86"/>
      <c r="G822" s="86"/>
      <c r="H822" s="86"/>
    </row>
    <row r="823" spans="1:8">
      <c r="A823" s="27"/>
      <c r="B823" s="27"/>
      <c r="C823" s="28"/>
      <c r="D823" s="28"/>
      <c r="E823" s="86"/>
      <c r="F823" s="86"/>
      <c r="G823" s="86"/>
      <c r="H823" s="86"/>
    </row>
    <row r="824" spans="1:8">
      <c r="A824" s="27"/>
      <c r="B824" s="27"/>
      <c r="C824" s="28"/>
      <c r="D824" s="28"/>
      <c r="E824" s="86"/>
      <c r="F824" s="86"/>
      <c r="G824" s="86"/>
      <c r="H824" s="86"/>
    </row>
    <row r="825" spans="1:8">
      <c r="A825" s="27"/>
      <c r="B825" s="27"/>
      <c r="C825" s="28"/>
      <c r="D825" s="28"/>
      <c r="E825" s="86"/>
      <c r="F825" s="86"/>
      <c r="G825" s="86"/>
      <c r="H825" s="86"/>
    </row>
    <row r="826" spans="1:8">
      <c r="A826" s="27"/>
      <c r="B826" s="27"/>
      <c r="C826" s="28"/>
      <c r="D826" s="28"/>
      <c r="E826" s="86"/>
      <c r="F826" s="86"/>
      <c r="G826" s="86"/>
      <c r="H826" s="86"/>
    </row>
    <row r="827" spans="1:8">
      <c r="A827" s="27"/>
      <c r="B827" s="27"/>
      <c r="C827" s="28"/>
      <c r="D827" s="28"/>
      <c r="E827" s="86"/>
      <c r="F827" s="86"/>
      <c r="G827" s="86"/>
      <c r="H827" s="86"/>
    </row>
    <row r="828" spans="1:8">
      <c r="A828" s="27"/>
      <c r="B828" s="27"/>
      <c r="C828" s="28"/>
      <c r="D828" s="28"/>
      <c r="E828" s="86"/>
      <c r="F828" s="86"/>
      <c r="G828" s="86"/>
      <c r="H828" s="86"/>
    </row>
    <row r="829" spans="1:8">
      <c r="A829" s="27"/>
      <c r="B829" s="27"/>
      <c r="C829" s="28"/>
      <c r="D829" s="28"/>
      <c r="E829" s="86"/>
      <c r="F829" s="86"/>
      <c r="G829" s="86"/>
      <c r="H829" s="86"/>
    </row>
    <row r="830" spans="1:8">
      <c r="A830" s="27"/>
      <c r="B830" s="27"/>
      <c r="C830" s="28"/>
      <c r="D830" s="28"/>
      <c r="E830" s="86"/>
      <c r="F830" s="86"/>
      <c r="G830" s="86"/>
      <c r="H830" s="86"/>
    </row>
    <row r="831" spans="1:8">
      <c r="A831" s="27"/>
      <c r="B831" s="27"/>
      <c r="C831" s="28"/>
      <c r="D831" s="28"/>
      <c r="E831" s="86"/>
      <c r="F831" s="86"/>
      <c r="G831" s="86"/>
      <c r="H831" s="86"/>
    </row>
    <row r="832" spans="1:8">
      <c r="A832" s="27"/>
      <c r="B832" s="27"/>
      <c r="C832" s="28"/>
      <c r="D832" s="28"/>
      <c r="E832" s="86"/>
      <c r="F832" s="86"/>
      <c r="G832" s="86"/>
      <c r="H832" s="86"/>
    </row>
    <row r="833" spans="1:8">
      <c r="A833" s="27"/>
      <c r="B833" s="27"/>
      <c r="C833" s="28"/>
      <c r="D833" s="28"/>
      <c r="E833" s="86"/>
      <c r="F833" s="86"/>
      <c r="G833" s="86"/>
      <c r="H833" s="86"/>
    </row>
    <row r="834" spans="1:8">
      <c r="A834" s="27"/>
      <c r="B834" s="27"/>
      <c r="C834" s="28"/>
      <c r="D834" s="28"/>
      <c r="E834" s="86"/>
      <c r="F834" s="86"/>
      <c r="G834" s="86"/>
      <c r="H834" s="86"/>
    </row>
    <row r="835" spans="1:8">
      <c r="A835" s="27"/>
      <c r="B835" s="27"/>
      <c r="C835" s="28"/>
      <c r="D835" s="28"/>
      <c r="E835" s="86"/>
      <c r="F835" s="86"/>
      <c r="G835" s="86"/>
      <c r="H835" s="86"/>
    </row>
    <row r="836" spans="1:8">
      <c r="A836" s="27"/>
      <c r="B836" s="27"/>
      <c r="C836" s="28"/>
      <c r="D836" s="28"/>
      <c r="E836" s="86"/>
      <c r="F836" s="86"/>
      <c r="G836" s="86"/>
      <c r="H836" s="86"/>
    </row>
    <row r="837" spans="1:8">
      <c r="A837" s="27"/>
      <c r="B837" s="27"/>
      <c r="C837" s="28"/>
      <c r="D837" s="28"/>
      <c r="E837" s="86"/>
      <c r="F837" s="86"/>
      <c r="G837" s="86"/>
      <c r="H837" s="86"/>
    </row>
    <row r="838" spans="1:8">
      <c r="A838" s="27"/>
      <c r="B838" s="27"/>
      <c r="C838" s="28"/>
      <c r="D838" s="28"/>
      <c r="E838" s="86"/>
      <c r="F838" s="86"/>
      <c r="G838" s="86"/>
      <c r="H838" s="86"/>
    </row>
    <row r="839" spans="1:8">
      <c r="A839" s="27"/>
      <c r="B839" s="27"/>
      <c r="C839" s="28"/>
      <c r="D839" s="28"/>
      <c r="E839" s="86"/>
      <c r="F839" s="86"/>
      <c r="G839" s="86"/>
      <c r="H839" s="86"/>
    </row>
    <row r="840" spans="1:8">
      <c r="A840" s="27"/>
      <c r="B840" s="27"/>
      <c r="C840" s="28"/>
      <c r="D840" s="28"/>
      <c r="E840" s="86"/>
      <c r="F840" s="86"/>
      <c r="G840" s="86"/>
      <c r="H840" s="86"/>
    </row>
    <row r="841" spans="1:8">
      <c r="A841" s="27"/>
      <c r="B841" s="27"/>
      <c r="C841" s="28"/>
      <c r="D841" s="28"/>
      <c r="E841" s="86"/>
      <c r="F841" s="86"/>
      <c r="G841" s="86"/>
      <c r="H841" s="86"/>
    </row>
    <row r="842" spans="1:8">
      <c r="A842" s="27"/>
      <c r="B842" s="27"/>
      <c r="C842" s="28"/>
      <c r="D842" s="28"/>
      <c r="E842" s="86"/>
      <c r="F842" s="86"/>
      <c r="G842" s="86"/>
      <c r="H842" s="86"/>
    </row>
    <row r="843" spans="1:8">
      <c r="A843" s="27"/>
      <c r="B843" s="27"/>
      <c r="C843" s="28"/>
      <c r="D843" s="28"/>
      <c r="E843" s="86"/>
      <c r="F843" s="86"/>
      <c r="G843" s="86"/>
      <c r="H843" s="86"/>
    </row>
    <row r="844" spans="1:8">
      <c r="A844" s="27"/>
      <c r="B844" s="27"/>
      <c r="C844" s="28"/>
      <c r="D844" s="28"/>
      <c r="E844" s="86"/>
      <c r="F844" s="86"/>
      <c r="G844" s="86"/>
      <c r="H844" s="86"/>
    </row>
    <row r="845" spans="1:8">
      <c r="A845" s="27"/>
      <c r="B845" s="27"/>
      <c r="C845" s="28"/>
      <c r="D845" s="28"/>
      <c r="E845" s="86"/>
      <c r="F845" s="86"/>
      <c r="G845" s="86"/>
      <c r="H845" s="86"/>
    </row>
    <row r="846" spans="1:8">
      <c r="A846" s="27"/>
      <c r="B846" s="27"/>
      <c r="C846" s="28"/>
      <c r="D846" s="28"/>
      <c r="E846" s="86"/>
      <c r="F846" s="86"/>
      <c r="G846" s="86"/>
      <c r="H846" s="86"/>
    </row>
    <row r="847" spans="1:8">
      <c r="A847" s="27"/>
      <c r="B847" s="27"/>
      <c r="C847" s="28"/>
      <c r="D847" s="28"/>
      <c r="E847" s="86"/>
      <c r="F847" s="86"/>
      <c r="G847" s="86"/>
      <c r="H847" s="86"/>
    </row>
    <row r="848" spans="1:8">
      <c r="A848" s="27"/>
      <c r="B848" s="27"/>
      <c r="C848" s="28"/>
      <c r="D848" s="28"/>
      <c r="E848" s="86"/>
      <c r="F848" s="86"/>
      <c r="G848" s="86"/>
      <c r="H848" s="86"/>
    </row>
    <row r="849" spans="1:8">
      <c r="A849" s="27"/>
      <c r="B849" s="27"/>
      <c r="C849" s="28"/>
      <c r="D849" s="28"/>
      <c r="E849" s="86"/>
      <c r="F849" s="86"/>
      <c r="G849" s="86"/>
      <c r="H849" s="86"/>
    </row>
    <row r="850" spans="1:8">
      <c r="A850" s="27"/>
      <c r="B850" s="27"/>
      <c r="C850" s="28"/>
      <c r="D850" s="28"/>
      <c r="E850" s="86"/>
      <c r="F850" s="86"/>
      <c r="G850" s="86"/>
      <c r="H850" s="86"/>
    </row>
    <row r="851" spans="1:8">
      <c r="A851" s="27"/>
      <c r="B851" s="27"/>
      <c r="C851" s="28"/>
      <c r="D851" s="28"/>
      <c r="E851" s="86"/>
      <c r="F851" s="86"/>
      <c r="G851" s="86"/>
      <c r="H851" s="86"/>
    </row>
    <row r="852" spans="1:8">
      <c r="A852" s="27"/>
      <c r="B852" s="27"/>
      <c r="C852" s="28"/>
      <c r="D852" s="28"/>
      <c r="E852" s="86"/>
      <c r="F852" s="86"/>
      <c r="G852" s="86"/>
      <c r="H852" s="86"/>
    </row>
    <row r="853" spans="1:8">
      <c r="A853" s="27"/>
      <c r="B853" s="27"/>
      <c r="C853" s="28"/>
      <c r="D853" s="28"/>
      <c r="E853" s="86"/>
      <c r="F853" s="86"/>
      <c r="G853" s="86"/>
      <c r="H853" s="86"/>
    </row>
    <row r="854" spans="1:8">
      <c r="A854" s="27"/>
      <c r="B854" s="27"/>
      <c r="C854" s="28"/>
      <c r="D854" s="28"/>
      <c r="E854" s="86"/>
      <c r="F854" s="86"/>
      <c r="G854" s="86"/>
      <c r="H854" s="86"/>
    </row>
    <row r="855" spans="1:8">
      <c r="A855" s="27"/>
      <c r="B855" s="27"/>
      <c r="C855" s="28"/>
      <c r="D855" s="28"/>
      <c r="E855" s="86"/>
      <c r="F855" s="86"/>
      <c r="G855" s="86"/>
      <c r="H855" s="86"/>
    </row>
    <row r="856" spans="1:8">
      <c r="A856" s="27"/>
      <c r="B856" s="27"/>
      <c r="C856" s="28"/>
      <c r="D856" s="28"/>
      <c r="E856" s="86"/>
      <c r="F856" s="86"/>
      <c r="G856" s="86"/>
      <c r="H856" s="86"/>
    </row>
    <row r="857" spans="1:8">
      <c r="A857" s="27"/>
      <c r="B857" s="27"/>
      <c r="C857" s="28"/>
      <c r="D857" s="28"/>
      <c r="E857" s="86"/>
      <c r="F857" s="86"/>
      <c r="G857" s="86"/>
      <c r="H857" s="86"/>
    </row>
    <row r="858" spans="1:8">
      <c r="A858" s="27"/>
      <c r="B858" s="27"/>
      <c r="C858" s="28"/>
      <c r="D858" s="28"/>
      <c r="E858" s="86"/>
      <c r="F858" s="86"/>
      <c r="G858" s="86"/>
      <c r="H858" s="86"/>
    </row>
    <row r="859" spans="1:8">
      <c r="A859" s="27"/>
      <c r="B859" s="27"/>
      <c r="C859" s="28"/>
      <c r="D859" s="28"/>
      <c r="E859" s="86"/>
      <c r="F859" s="86"/>
      <c r="G859" s="86"/>
      <c r="H859" s="86"/>
    </row>
    <row r="860" spans="1:8">
      <c r="A860" s="27"/>
      <c r="B860" s="27"/>
      <c r="C860" s="28"/>
      <c r="D860" s="28"/>
      <c r="E860" s="86"/>
      <c r="F860" s="86"/>
      <c r="G860" s="86"/>
      <c r="H860" s="86"/>
    </row>
    <row r="861" spans="1:8">
      <c r="A861" s="27"/>
      <c r="B861" s="27"/>
      <c r="C861" s="28"/>
      <c r="D861" s="28"/>
      <c r="E861" s="86"/>
      <c r="F861" s="86"/>
      <c r="G861" s="86"/>
      <c r="H861" s="86"/>
    </row>
    <row r="862" spans="1:8">
      <c r="A862" s="27"/>
      <c r="B862" s="27"/>
      <c r="C862" s="28"/>
      <c r="D862" s="28"/>
      <c r="E862" s="86"/>
      <c r="F862" s="86"/>
      <c r="G862" s="86"/>
      <c r="H862" s="86"/>
    </row>
    <row r="863" spans="1:8">
      <c r="A863" s="27"/>
      <c r="B863" s="27"/>
      <c r="C863" s="28"/>
      <c r="D863" s="28"/>
      <c r="E863" s="86"/>
      <c r="F863" s="86"/>
      <c r="G863" s="86"/>
      <c r="H863" s="86"/>
    </row>
    <row r="864" spans="1:8">
      <c r="A864" s="27"/>
      <c r="B864" s="27"/>
      <c r="C864" s="28"/>
      <c r="D864" s="28"/>
      <c r="E864" s="86"/>
      <c r="F864" s="86"/>
      <c r="G864" s="86"/>
      <c r="H864" s="86"/>
    </row>
    <row r="865" spans="1:8">
      <c r="A865" s="27"/>
      <c r="B865" s="27"/>
      <c r="C865" s="28"/>
      <c r="D865" s="28"/>
      <c r="E865" s="86"/>
      <c r="F865" s="86"/>
      <c r="G865" s="86"/>
      <c r="H865" s="86"/>
    </row>
    <row r="866" spans="1:8">
      <c r="A866" s="27"/>
      <c r="B866" s="27"/>
      <c r="C866" s="28"/>
      <c r="D866" s="28"/>
      <c r="E866" s="86"/>
      <c r="F866" s="86"/>
      <c r="G866" s="86"/>
      <c r="H866" s="86"/>
    </row>
    <row r="867" spans="1:8">
      <c r="A867" s="27"/>
      <c r="B867" s="27"/>
      <c r="C867" s="28"/>
      <c r="D867" s="28"/>
      <c r="E867" s="86"/>
      <c r="F867" s="86"/>
      <c r="G867" s="86"/>
      <c r="H867" s="86"/>
    </row>
    <row r="868" spans="1:8">
      <c r="A868" s="27"/>
      <c r="B868" s="27"/>
      <c r="C868" s="28"/>
      <c r="D868" s="28"/>
      <c r="E868" s="86"/>
      <c r="F868" s="86"/>
      <c r="G868" s="86"/>
      <c r="H868" s="86"/>
    </row>
    <row r="869" spans="1:8">
      <c r="A869" s="27"/>
      <c r="B869" s="27"/>
      <c r="C869" s="28"/>
      <c r="D869" s="28"/>
      <c r="E869" s="86"/>
      <c r="F869" s="86"/>
      <c r="G869" s="86"/>
      <c r="H869" s="86"/>
    </row>
    <row r="870" spans="1:8">
      <c r="A870" s="27"/>
      <c r="B870" s="27"/>
      <c r="C870" s="28"/>
      <c r="D870" s="28"/>
      <c r="E870" s="86"/>
      <c r="F870" s="86"/>
      <c r="G870" s="86"/>
      <c r="H870" s="86"/>
    </row>
    <row r="871" spans="1:8">
      <c r="A871" s="27"/>
      <c r="B871" s="27"/>
      <c r="C871" s="28"/>
      <c r="D871" s="28"/>
      <c r="E871" s="86"/>
      <c r="F871" s="86"/>
      <c r="G871" s="86"/>
      <c r="H871" s="86"/>
    </row>
    <row r="872" spans="1:8">
      <c r="A872" s="27"/>
      <c r="B872" s="27"/>
      <c r="C872" s="28"/>
      <c r="D872" s="28"/>
      <c r="E872" s="86"/>
      <c r="F872" s="86"/>
      <c r="G872" s="86"/>
      <c r="H872" s="86"/>
    </row>
    <row r="873" spans="1:8">
      <c r="A873" s="27"/>
      <c r="B873" s="27"/>
      <c r="C873" s="28"/>
      <c r="D873" s="28"/>
      <c r="E873" s="86"/>
      <c r="F873" s="86"/>
      <c r="G873" s="86"/>
      <c r="H873" s="86"/>
    </row>
    <row r="874" spans="1:8">
      <c r="A874" s="27"/>
      <c r="B874" s="27"/>
      <c r="C874" s="28"/>
      <c r="D874" s="28"/>
      <c r="E874" s="86"/>
      <c r="F874" s="86"/>
      <c r="G874" s="86"/>
      <c r="H874" s="86"/>
    </row>
    <row r="875" spans="1:8">
      <c r="A875" s="27"/>
      <c r="B875" s="27"/>
      <c r="C875" s="28"/>
      <c r="D875" s="28"/>
      <c r="E875" s="86"/>
      <c r="F875" s="86"/>
      <c r="G875" s="86"/>
      <c r="H875" s="86"/>
    </row>
    <row r="876" spans="1:8">
      <c r="A876" s="27"/>
      <c r="B876" s="27"/>
      <c r="C876" s="28"/>
      <c r="D876" s="28"/>
      <c r="E876" s="86"/>
      <c r="F876" s="86"/>
      <c r="G876" s="86"/>
      <c r="H876" s="86"/>
    </row>
    <row r="877" spans="1:8">
      <c r="A877" s="27"/>
      <c r="B877" s="27"/>
      <c r="C877" s="28"/>
      <c r="D877" s="28"/>
      <c r="E877" s="86"/>
      <c r="F877" s="86"/>
      <c r="G877" s="86"/>
      <c r="H877" s="86"/>
    </row>
    <row r="878" spans="1:8">
      <c r="A878" s="27"/>
      <c r="B878" s="27"/>
      <c r="C878" s="28"/>
      <c r="D878" s="28"/>
      <c r="E878" s="86"/>
      <c r="F878" s="86"/>
      <c r="G878" s="86"/>
      <c r="H878" s="86"/>
    </row>
    <row r="879" spans="1:8">
      <c r="A879" s="27"/>
      <c r="B879" s="27"/>
      <c r="C879" s="28"/>
      <c r="D879" s="28"/>
      <c r="E879" s="86"/>
      <c r="F879" s="86"/>
      <c r="G879" s="86"/>
      <c r="H879" s="86"/>
    </row>
    <row r="880" spans="1:8">
      <c r="A880" s="27"/>
      <c r="B880" s="27"/>
      <c r="C880" s="28"/>
      <c r="D880" s="28"/>
      <c r="E880" s="86"/>
      <c r="F880" s="86"/>
      <c r="G880" s="86"/>
      <c r="H880" s="86"/>
    </row>
    <row r="881" spans="1:8">
      <c r="A881" s="27"/>
      <c r="B881" s="27"/>
      <c r="C881" s="28"/>
      <c r="D881" s="28"/>
      <c r="E881" s="86"/>
      <c r="F881" s="86"/>
      <c r="G881" s="86"/>
      <c r="H881" s="86"/>
    </row>
    <row r="882" spans="1:8">
      <c r="A882" s="27"/>
      <c r="B882" s="27"/>
      <c r="C882" s="28"/>
      <c r="D882" s="28"/>
      <c r="E882" s="86"/>
      <c r="F882" s="86"/>
      <c r="G882" s="86"/>
      <c r="H882" s="86"/>
    </row>
    <row r="883" spans="1:8">
      <c r="A883" s="27"/>
      <c r="B883" s="27"/>
      <c r="C883" s="28"/>
      <c r="D883" s="28"/>
      <c r="E883" s="86"/>
      <c r="F883" s="86"/>
      <c r="G883" s="86"/>
      <c r="H883" s="86"/>
    </row>
    <row r="884" spans="1:8">
      <c r="A884" s="27"/>
      <c r="B884" s="27"/>
      <c r="C884" s="28"/>
      <c r="D884" s="28"/>
      <c r="E884" s="86"/>
      <c r="F884" s="86"/>
      <c r="G884" s="86"/>
      <c r="H884" s="86"/>
    </row>
    <row r="885" spans="1:8">
      <c r="A885" s="27"/>
      <c r="B885" s="27"/>
      <c r="C885" s="28"/>
      <c r="D885" s="28"/>
      <c r="E885" s="86"/>
      <c r="F885" s="86"/>
      <c r="G885" s="86"/>
      <c r="H885" s="86"/>
    </row>
    <row r="886" spans="1:8">
      <c r="A886" s="27"/>
      <c r="B886" s="27"/>
      <c r="C886" s="28"/>
      <c r="D886" s="28"/>
      <c r="E886" s="86"/>
      <c r="F886" s="86"/>
      <c r="G886" s="86"/>
      <c r="H886" s="86"/>
    </row>
    <row r="887" spans="1:8">
      <c r="A887" s="27"/>
      <c r="B887" s="27"/>
      <c r="C887" s="28"/>
      <c r="D887" s="28"/>
      <c r="E887" s="86"/>
      <c r="F887" s="86"/>
      <c r="G887" s="86"/>
      <c r="H887" s="86"/>
    </row>
    <row r="888" spans="1:8">
      <c r="A888" s="27"/>
      <c r="B888" s="27"/>
      <c r="C888" s="28"/>
      <c r="D888" s="28"/>
      <c r="E888" s="86"/>
      <c r="F888" s="86"/>
      <c r="G888" s="86"/>
      <c r="H888" s="86"/>
    </row>
    <row r="889" spans="1:8">
      <c r="A889" s="27"/>
      <c r="B889" s="27"/>
      <c r="C889" s="28"/>
      <c r="D889" s="28"/>
      <c r="E889" s="86"/>
      <c r="F889" s="86"/>
      <c r="G889" s="86"/>
      <c r="H889" s="86"/>
    </row>
    <row r="890" spans="1:8">
      <c r="A890" s="27"/>
      <c r="B890" s="27"/>
      <c r="C890" s="28"/>
      <c r="D890" s="28"/>
      <c r="E890" s="86"/>
      <c r="F890" s="86"/>
      <c r="G890" s="86"/>
      <c r="H890" s="86"/>
    </row>
    <row r="891" spans="1:8">
      <c r="A891" s="27"/>
      <c r="B891" s="27"/>
      <c r="C891" s="28"/>
      <c r="D891" s="28"/>
      <c r="E891" s="86"/>
      <c r="F891" s="86"/>
      <c r="G891" s="86"/>
      <c r="H891" s="86"/>
    </row>
    <row r="892" spans="1:8">
      <c r="A892" s="27"/>
      <c r="B892" s="27"/>
      <c r="C892" s="28"/>
      <c r="D892" s="28"/>
      <c r="E892" s="86"/>
      <c r="F892" s="86"/>
      <c r="G892" s="86"/>
      <c r="H892" s="86"/>
    </row>
    <row r="893" spans="1:8">
      <c r="A893" s="27"/>
      <c r="B893" s="27"/>
      <c r="C893" s="28"/>
      <c r="D893" s="28"/>
      <c r="E893" s="86"/>
      <c r="F893" s="86"/>
      <c r="G893" s="86"/>
      <c r="H893" s="86"/>
    </row>
    <row r="894" spans="1:8">
      <c r="A894" s="27"/>
      <c r="B894" s="27"/>
      <c r="C894" s="28"/>
      <c r="D894" s="28"/>
      <c r="E894" s="86"/>
      <c r="F894" s="86"/>
      <c r="G894" s="86"/>
      <c r="H894" s="86"/>
    </row>
    <row r="895" spans="1:8">
      <c r="A895" s="27"/>
      <c r="B895" s="27"/>
      <c r="C895" s="28"/>
      <c r="D895" s="28"/>
      <c r="E895" s="86"/>
      <c r="F895" s="86"/>
      <c r="G895" s="86"/>
      <c r="H895" s="86"/>
    </row>
    <row r="896" spans="1:8">
      <c r="A896" s="27"/>
      <c r="B896" s="27"/>
      <c r="C896" s="28"/>
      <c r="D896" s="28"/>
      <c r="E896" s="86"/>
      <c r="F896" s="86"/>
      <c r="G896" s="86"/>
      <c r="H896" s="86"/>
    </row>
    <row r="897" spans="1:8">
      <c r="A897" s="27"/>
      <c r="B897" s="27"/>
      <c r="C897" s="28"/>
      <c r="D897" s="28"/>
      <c r="E897" s="86"/>
      <c r="F897" s="86"/>
      <c r="G897" s="86"/>
      <c r="H897" s="86"/>
    </row>
    <row r="898" spans="1:8">
      <c r="A898" s="27"/>
      <c r="B898" s="27"/>
      <c r="C898" s="28"/>
      <c r="D898" s="28"/>
      <c r="E898" s="86"/>
      <c r="F898" s="86"/>
      <c r="G898" s="86"/>
      <c r="H898" s="86"/>
    </row>
    <row r="899" spans="1:8">
      <c r="A899" s="27"/>
      <c r="B899" s="27"/>
      <c r="C899" s="28"/>
      <c r="D899" s="28"/>
      <c r="E899" s="86"/>
      <c r="F899" s="86"/>
      <c r="G899" s="86"/>
      <c r="H899" s="86"/>
    </row>
    <row r="900" spans="1:8">
      <c r="A900" s="27"/>
      <c r="B900" s="27"/>
      <c r="C900" s="28"/>
      <c r="D900" s="28"/>
      <c r="E900" s="86"/>
      <c r="F900" s="86"/>
      <c r="G900" s="86"/>
      <c r="H900" s="86"/>
    </row>
    <row r="901" spans="1:8">
      <c r="A901" s="27"/>
      <c r="B901" s="27"/>
      <c r="C901" s="28"/>
      <c r="D901" s="28"/>
      <c r="E901" s="86"/>
      <c r="F901" s="86"/>
      <c r="G901" s="86"/>
      <c r="H901" s="86"/>
    </row>
    <row r="902" spans="1:8">
      <c r="A902" s="27"/>
      <c r="B902" s="27"/>
      <c r="C902" s="28"/>
      <c r="D902" s="28"/>
      <c r="E902" s="86"/>
      <c r="F902" s="86"/>
      <c r="G902" s="86"/>
      <c r="H902" s="86"/>
    </row>
    <row r="903" spans="1:8">
      <c r="A903" s="27"/>
      <c r="B903" s="27"/>
      <c r="C903" s="28"/>
      <c r="D903" s="28"/>
      <c r="E903" s="86"/>
      <c r="F903" s="86"/>
      <c r="G903" s="86"/>
      <c r="H903" s="86"/>
    </row>
    <row r="904" spans="1:8">
      <c r="A904" s="27"/>
      <c r="B904" s="27"/>
      <c r="C904" s="28"/>
      <c r="D904" s="28"/>
      <c r="E904" s="86"/>
      <c r="F904" s="86"/>
      <c r="G904" s="86"/>
      <c r="H904" s="86"/>
    </row>
    <row r="905" spans="1:8">
      <c r="A905" s="27"/>
      <c r="B905" s="27"/>
      <c r="C905" s="28"/>
      <c r="D905" s="28"/>
      <c r="E905" s="86"/>
      <c r="F905" s="86"/>
      <c r="G905" s="86"/>
      <c r="H905" s="86"/>
    </row>
    <row r="906" spans="1:8">
      <c r="A906" s="27"/>
      <c r="B906" s="27"/>
      <c r="C906" s="28"/>
      <c r="D906" s="28"/>
      <c r="E906" s="86"/>
      <c r="F906" s="86"/>
      <c r="G906" s="86"/>
      <c r="H906" s="86"/>
    </row>
    <row r="907" spans="1:8">
      <c r="A907" s="27"/>
      <c r="B907" s="27"/>
      <c r="C907" s="28"/>
      <c r="D907" s="28"/>
      <c r="E907" s="86"/>
      <c r="F907" s="86"/>
      <c r="G907" s="86"/>
      <c r="H907" s="86"/>
    </row>
    <row r="908" spans="1:8">
      <c r="A908" s="27"/>
      <c r="B908" s="27"/>
      <c r="C908" s="28"/>
      <c r="D908" s="28"/>
      <c r="E908" s="86"/>
      <c r="F908" s="86"/>
      <c r="G908" s="86"/>
      <c r="H908" s="86"/>
    </row>
    <row r="909" spans="1:8">
      <c r="A909" s="27"/>
      <c r="B909" s="27"/>
      <c r="C909" s="28"/>
      <c r="D909" s="28"/>
      <c r="E909" s="86"/>
      <c r="F909" s="86"/>
      <c r="G909" s="86"/>
      <c r="H909" s="86"/>
    </row>
    <row r="910" spans="1:8">
      <c r="A910" s="27"/>
      <c r="B910" s="27"/>
      <c r="C910" s="28"/>
      <c r="D910" s="28"/>
      <c r="E910" s="86"/>
      <c r="F910" s="86"/>
      <c r="G910" s="86"/>
      <c r="H910" s="86"/>
    </row>
    <row r="911" spans="1:8">
      <c r="A911" s="27"/>
      <c r="B911" s="27"/>
      <c r="C911" s="28"/>
      <c r="D911" s="28"/>
      <c r="E911" s="86"/>
      <c r="F911" s="86"/>
      <c r="G911" s="86"/>
      <c r="H911" s="86"/>
    </row>
    <row r="912" spans="1:8">
      <c r="A912" s="27"/>
      <c r="B912" s="27"/>
      <c r="C912" s="28"/>
      <c r="D912" s="28"/>
      <c r="E912" s="86"/>
      <c r="F912" s="86"/>
      <c r="G912" s="86"/>
      <c r="H912" s="86"/>
    </row>
    <row r="913" spans="1:8">
      <c r="A913" s="27"/>
      <c r="B913" s="27"/>
      <c r="C913" s="28"/>
      <c r="D913" s="28"/>
      <c r="E913" s="86"/>
      <c r="F913" s="86"/>
      <c r="G913" s="86"/>
      <c r="H913" s="86"/>
    </row>
    <row r="914" spans="1:8">
      <c r="A914" s="27"/>
      <c r="B914" s="27"/>
      <c r="C914" s="28"/>
      <c r="D914" s="28"/>
      <c r="E914" s="86"/>
      <c r="F914" s="86"/>
      <c r="G914" s="86"/>
      <c r="H914" s="86"/>
    </row>
    <row r="915" spans="1:8">
      <c r="A915" s="27"/>
      <c r="B915" s="27"/>
      <c r="C915" s="28"/>
      <c r="D915" s="28"/>
      <c r="E915" s="86"/>
      <c r="F915" s="86"/>
      <c r="G915" s="86"/>
      <c r="H915" s="86"/>
    </row>
    <row r="916" spans="1:8">
      <c r="A916" s="27"/>
      <c r="B916" s="27"/>
      <c r="C916" s="28"/>
      <c r="D916" s="28"/>
      <c r="E916" s="86"/>
      <c r="F916" s="86"/>
      <c r="G916" s="86"/>
      <c r="H916" s="86"/>
    </row>
    <row r="917" spans="1:8">
      <c r="A917" s="27"/>
      <c r="B917" s="27"/>
      <c r="C917" s="28"/>
      <c r="D917" s="28"/>
      <c r="E917" s="86"/>
      <c r="F917" s="86"/>
      <c r="G917" s="86"/>
      <c r="H917" s="86"/>
    </row>
    <row r="918" spans="1:8">
      <c r="A918" s="27"/>
      <c r="B918" s="27"/>
      <c r="C918" s="28"/>
      <c r="D918" s="28"/>
      <c r="E918" s="86"/>
      <c r="F918" s="86"/>
      <c r="G918" s="86"/>
      <c r="H918" s="86"/>
    </row>
    <row r="919" spans="1:8">
      <c r="A919" s="27"/>
      <c r="B919" s="27"/>
      <c r="C919" s="28"/>
      <c r="D919" s="28"/>
      <c r="E919" s="86"/>
      <c r="F919" s="86"/>
      <c r="G919" s="86"/>
      <c r="H919" s="86"/>
    </row>
    <row r="920" spans="1:8">
      <c r="A920" s="27"/>
      <c r="B920" s="27"/>
      <c r="C920" s="28"/>
      <c r="D920" s="28"/>
      <c r="E920" s="86"/>
      <c r="F920" s="86"/>
      <c r="G920" s="86"/>
      <c r="H920" s="86"/>
    </row>
    <row r="921" spans="1:8">
      <c r="A921" s="27"/>
      <c r="B921" s="27"/>
      <c r="C921" s="28"/>
      <c r="D921" s="28"/>
      <c r="E921" s="86"/>
      <c r="F921" s="86"/>
      <c r="G921" s="86"/>
      <c r="H921" s="86"/>
    </row>
    <row r="922" spans="1:8">
      <c r="A922" s="27"/>
      <c r="B922" s="27"/>
      <c r="C922" s="28"/>
      <c r="D922" s="28"/>
      <c r="E922" s="86"/>
      <c r="F922" s="86"/>
      <c r="G922" s="86"/>
      <c r="H922" s="86"/>
    </row>
    <row r="923" spans="1:8">
      <c r="A923" s="27"/>
      <c r="B923" s="27"/>
      <c r="C923" s="28"/>
      <c r="D923" s="28"/>
      <c r="E923" s="86"/>
      <c r="F923" s="86"/>
      <c r="G923" s="86"/>
      <c r="H923" s="86"/>
    </row>
    <row r="924" spans="1:8">
      <c r="A924" s="27"/>
      <c r="B924" s="27"/>
      <c r="C924" s="28"/>
      <c r="D924" s="28"/>
      <c r="E924" s="86"/>
      <c r="F924" s="86"/>
      <c r="G924" s="86"/>
      <c r="H924" s="86"/>
    </row>
    <row r="925" spans="1:8">
      <c r="A925" s="27"/>
      <c r="B925" s="27"/>
      <c r="C925" s="28"/>
      <c r="D925" s="28"/>
      <c r="E925" s="86"/>
      <c r="F925" s="86"/>
      <c r="G925" s="86"/>
      <c r="H925" s="86"/>
    </row>
    <row r="926" spans="1:8">
      <c r="A926" s="27"/>
      <c r="B926" s="27"/>
      <c r="C926" s="28"/>
      <c r="D926" s="28"/>
      <c r="E926" s="86"/>
      <c r="F926" s="86"/>
      <c r="G926" s="86"/>
      <c r="H926" s="86"/>
    </row>
    <row r="927" spans="1:8">
      <c r="A927" s="27"/>
      <c r="B927" s="27"/>
      <c r="C927" s="28"/>
      <c r="D927" s="28"/>
      <c r="E927" s="86"/>
      <c r="F927" s="86"/>
      <c r="G927" s="86"/>
      <c r="H927" s="86"/>
    </row>
    <row r="928" spans="1:8">
      <c r="A928" s="27"/>
      <c r="B928" s="27"/>
      <c r="C928" s="28"/>
      <c r="D928" s="28"/>
      <c r="E928" s="86"/>
      <c r="F928" s="86"/>
      <c r="G928" s="86"/>
      <c r="H928" s="86"/>
    </row>
    <row r="929" spans="1:8">
      <c r="A929" s="27"/>
      <c r="B929" s="27"/>
      <c r="C929" s="28"/>
      <c r="D929" s="28"/>
      <c r="E929" s="86"/>
      <c r="F929" s="86"/>
      <c r="G929" s="86"/>
      <c r="H929" s="86"/>
    </row>
    <row r="930" spans="1:8">
      <c r="A930" s="27"/>
      <c r="B930" s="27"/>
      <c r="C930" s="28"/>
      <c r="D930" s="28"/>
      <c r="E930" s="86"/>
      <c r="F930" s="86"/>
      <c r="G930" s="86"/>
      <c r="H930" s="86"/>
    </row>
    <row r="931" spans="1:8">
      <c r="A931" s="27"/>
      <c r="B931" s="27"/>
      <c r="C931" s="28"/>
      <c r="D931" s="28"/>
      <c r="E931" s="86"/>
      <c r="F931" s="86"/>
      <c r="G931" s="86"/>
      <c r="H931" s="86"/>
    </row>
    <row r="932" spans="1:8">
      <c r="A932" s="27"/>
      <c r="B932" s="27"/>
      <c r="C932" s="28"/>
      <c r="D932" s="28"/>
      <c r="E932" s="86"/>
      <c r="F932" s="86"/>
      <c r="G932" s="86"/>
      <c r="H932" s="86"/>
    </row>
    <row r="933" spans="1:8">
      <c r="A933" s="27"/>
      <c r="B933" s="27"/>
      <c r="C933" s="28"/>
      <c r="D933" s="28"/>
      <c r="E933" s="86"/>
      <c r="F933" s="86"/>
      <c r="G933" s="86"/>
      <c r="H933" s="86"/>
    </row>
    <row r="934" spans="1:8">
      <c r="A934" s="27"/>
      <c r="B934" s="27"/>
      <c r="C934" s="28"/>
      <c r="D934" s="28"/>
      <c r="E934" s="86"/>
      <c r="F934" s="86"/>
      <c r="G934" s="86"/>
      <c r="H934" s="86"/>
    </row>
    <row r="935" spans="1:8">
      <c r="A935" s="27"/>
      <c r="B935" s="27"/>
      <c r="C935" s="28"/>
      <c r="D935" s="28"/>
      <c r="E935" s="86"/>
      <c r="F935" s="86"/>
      <c r="G935" s="86"/>
      <c r="H935" s="86"/>
    </row>
    <row r="936" spans="1:8">
      <c r="A936" s="27"/>
      <c r="B936" s="27"/>
      <c r="C936" s="28"/>
      <c r="D936" s="28"/>
      <c r="E936" s="86"/>
      <c r="F936" s="86"/>
      <c r="G936" s="86"/>
      <c r="H936" s="86"/>
    </row>
    <row r="937" spans="1:8">
      <c r="A937" s="27"/>
      <c r="B937" s="27"/>
      <c r="C937" s="28"/>
      <c r="D937" s="28"/>
      <c r="E937" s="86"/>
      <c r="F937" s="86"/>
      <c r="G937" s="86"/>
      <c r="H937" s="86"/>
    </row>
    <row r="938" spans="1:8">
      <c r="A938" s="27"/>
      <c r="B938" s="27"/>
      <c r="C938" s="28"/>
      <c r="D938" s="28"/>
      <c r="E938" s="86"/>
      <c r="F938" s="86"/>
      <c r="G938" s="86"/>
      <c r="H938" s="86"/>
    </row>
    <row r="939" spans="1:8">
      <c r="A939" s="27"/>
      <c r="B939" s="27"/>
      <c r="C939" s="28"/>
      <c r="D939" s="28"/>
      <c r="E939" s="86"/>
      <c r="F939" s="86"/>
      <c r="G939" s="86"/>
      <c r="H939" s="86"/>
    </row>
    <row r="940" spans="1:8">
      <c r="A940" s="27"/>
      <c r="B940" s="27"/>
      <c r="C940" s="28"/>
      <c r="D940" s="28"/>
      <c r="E940" s="86"/>
      <c r="F940" s="86"/>
      <c r="G940" s="86"/>
      <c r="H940" s="86"/>
    </row>
    <row r="941" spans="1:8">
      <c r="A941" s="27"/>
      <c r="B941" s="27"/>
      <c r="C941" s="28"/>
      <c r="D941" s="28"/>
      <c r="E941" s="86"/>
      <c r="F941" s="86"/>
      <c r="G941" s="86"/>
      <c r="H941" s="86"/>
    </row>
    <row r="942" spans="1:8">
      <c r="A942" s="27"/>
      <c r="B942" s="27"/>
      <c r="C942" s="28"/>
      <c r="D942" s="28"/>
      <c r="E942" s="86"/>
      <c r="F942" s="86"/>
      <c r="G942" s="86"/>
      <c r="H942" s="86"/>
    </row>
    <row r="943" spans="1:8">
      <c r="A943" s="27"/>
      <c r="B943" s="27"/>
      <c r="C943" s="28"/>
      <c r="D943" s="28"/>
      <c r="E943" s="86"/>
      <c r="F943" s="86"/>
      <c r="G943" s="86"/>
      <c r="H943" s="86"/>
    </row>
    <row r="944" spans="1:8">
      <c r="A944" s="27"/>
      <c r="B944" s="27"/>
      <c r="C944" s="28"/>
      <c r="D944" s="28"/>
      <c r="E944" s="86"/>
      <c r="F944" s="86"/>
      <c r="G944" s="86"/>
      <c r="H944" s="86"/>
    </row>
    <row r="945" spans="1:8">
      <c r="A945" s="27"/>
      <c r="B945" s="27"/>
      <c r="C945" s="28"/>
      <c r="D945" s="28"/>
      <c r="E945" s="86"/>
      <c r="F945" s="86"/>
      <c r="G945" s="86"/>
      <c r="H945" s="86"/>
    </row>
    <row r="946" spans="1:8">
      <c r="A946" s="27"/>
      <c r="B946" s="27"/>
      <c r="C946" s="28"/>
      <c r="D946" s="28"/>
      <c r="E946" s="86"/>
      <c r="F946" s="86"/>
      <c r="G946" s="86"/>
      <c r="H946" s="86"/>
    </row>
    <row r="947" spans="1:8">
      <c r="A947" s="27"/>
      <c r="B947" s="27"/>
      <c r="C947" s="28"/>
      <c r="D947" s="28"/>
      <c r="E947" s="86"/>
      <c r="F947" s="86"/>
      <c r="G947" s="86"/>
      <c r="H947" s="86"/>
    </row>
    <row r="948" spans="1:8">
      <c r="A948" s="27"/>
      <c r="B948" s="27"/>
      <c r="C948" s="28"/>
      <c r="D948" s="28"/>
      <c r="E948" s="86"/>
      <c r="F948" s="86"/>
      <c r="G948" s="86"/>
      <c r="H948" s="86"/>
    </row>
    <row r="949" spans="1:8">
      <c r="A949" s="27"/>
      <c r="B949" s="27"/>
      <c r="C949" s="28"/>
      <c r="D949" s="28"/>
      <c r="E949" s="86"/>
      <c r="F949" s="86"/>
      <c r="G949" s="86"/>
      <c r="H949" s="86"/>
    </row>
    <row r="950" spans="1:8">
      <c r="A950" s="27"/>
      <c r="B950" s="27"/>
      <c r="C950" s="28"/>
      <c r="D950" s="28"/>
      <c r="E950" s="86"/>
      <c r="F950" s="86"/>
      <c r="G950" s="86"/>
      <c r="H950" s="86"/>
    </row>
    <row r="951" spans="1:8">
      <c r="A951" s="27"/>
      <c r="B951" s="27"/>
      <c r="C951" s="28"/>
      <c r="D951" s="28"/>
      <c r="E951" s="86"/>
      <c r="F951" s="86"/>
      <c r="G951" s="86"/>
      <c r="H951" s="86"/>
    </row>
    <row r="952" spans="1:8">
      <c r="A952" s="27"/>
      <c r="B952" s="27"/>
      <c r="C952" s="28"/>
      <c r="D952" s="28"/>
      <c r="E952" s="86"/>
      <c r="F952" s="86"/>
      <c r="G952" s="86"/>
      <c r="H952" s="86"/>
    </row>
    <row r="953" spans="1:8">
      <c r="A953" s="27"/>
      <c r="B953" s="27"/>
      <c r="C953" s="28"/>
      <c r="D953" s="28"/>
      <c r="E953" s="86"/>
      <c r="F953" s="86"/>
      <c r="G953" s="86"/>
      <c r="H953" s="86"/>
    </row>
    <row r="954" spans="1:8">
      <c r="A954" s="27"/>
      <c r="B954" s="27"/>
      <c r="C954" s="28"/>
      <c r="D954" s="28"/>
      <c r="E954" s="86"/>
      <c r="F954" s="86"/>
      <c r="G954" s="86"/>
      <c r="H954" s="86"/>
    </row>
    <row r="955" spans="1:8">
      <c r="A955" s="27"/>
      <c r="B955" s="27"/>
      <c r="C955" s="28"/>
      <c r="D955" s="28"/>
      <c r="E955" s="86"/>
      <c r="F955" s="86"/>
      <c r="G955" s="86"/>
      <c r="H955" s="86"/>
    </row>
    <row r="956" spans="1:8">
      <c r="A956" s="27"/>
      <c r="B956" s="27"/>
      <c r="C956" s="28"/>
      <c r="D956" s="28"/>
      <c r="E956" s="86"/>
      <c r="F956" s="86"/>
      <c r="G956" s="86"/>
      <c r="H956" s="86"/>
    </row>
    <row r="957" spans="1:8">
      <c r="A957" s="27"/>
      <c r="B957" s="27"/>
      <c r="C957" s="28"/>
      <c r="D957" s="28"/>
      <c r="E957" s="86"/>
      <c r="F957" s="86"/>
      <c r="G957" s="86"/>
      <c r="H957" s="86"/>
    </row>
    <row r="958" spans="1:8">
      <c r="A958" s="27"/>
      <c r="B958" s="27"/>
      <c r="C958" s="28"/>
      <c r="D958" s="28"/>
      <c r="E958" s="86"/>
      <c r="F958" s="86"/>
      <c r="G958" s="86"/>
      <c r="H958" s="86"/>
    </row>
    <row r="959" spans="1:8">
      <c r="A959" s="27"/>
      <c r="B959" s="27"/>
      <c r="C959" s="28"/>
      <c r="D959" s="28"/>
      <c r="E959" s="86"/>
      <c r="F959" s="86"/>
      <c r="G959" s="86"/>
      <c r="H959" s="86"/>
    </row>
    <row r="960" spans="1:8">
      <c r="A960" s="27"/>
      <c r="B960" s="27"/>
      <c r="C960" s="28"/>
      <c r="D960" s="28"/>
      <c r="E960" s="86"/>
      <c r="F960" s="86"/>
      <c r="G960" s="86"/>
      <c r="H960" s="86"/>
    </row>
    <row r="961" spans="1:8">
      <c r="A961" s="27"/>
      <c r="B961" s="27"/>
      <c r="C961" s="28"/>
      <c r="D961" s="28"/>
      <c r="E961" s="86"/>
      <c r="F961" s="86"/>
      <c r="G961" s="86"/>
      <c r="H961" s="86"/>
    </row>
    <row r="962" spans="1:8">
      <c r="A962" s="27"/>
      <c r="B962" s="27"/>
      <c r="C962" s="28"/>
      <c r="D962" s="28"/>
      <c r="E962" s="86"/>
      <c r="F962" s="86"/>
      <c r="G962" s="86"/>
      <c r="H962" s="86"/>
    </row>
    <row r="963" spans="1:8">
      <c r="A963" s="27"/>
      <c r="B963" s="27"/>
      <c r="C963" s="28"/>
      <c r="D963" s="28"/>
      <c r="E963" s="86"/>
      <c r="F963" s="86"/>
      <c r="G963" s="86"/>
      <c r="H963" s="86"/>
    </row>
    <row r="964" spans="1:8">
      <c r="A964" s="27"/>
      <c r="B964" s="27"/>
      <c r="C964" s="28"/>
      <c r="D964" s="28"/>
      <c r="E964" s="86"/>
      <c r="F964" s="86"/>
      <c r="G964" s="86"/>
      <c r="H964" s="86"/>
    </row>
    <row r="965" spans="1:8">
      <c r="A965" s="27"/>
      <c r="B965" s="27"/>
      <c r="C965" s="28"/>
      <c r="D965" s="28"/>
      <c r="E965" s="86"/>
      <c r="F965" s="86"/>
      <c r="G965" s="86"/>
      <c r="H965" s="86"/>
    </row>
    <row r="966" spans="1:8">
      <c r="A966" s="27"/>
      <c r="B966" s="27"/>
      <c r="C966" s="28"/>
      <c r="D966" s="28"/>
      <c r="E966" s="86"/>
      <c r="F966" s="86"/>
      <c r="G966" s="86"/>
      <c r="H966" s="86"/>
    </row>
    <row r="967" spans="1:8">
      <c r="A967" s="27"/>
      <c r="B967" s="27"/>
      <c r="C967" s="28"/>
      <c r="D967" s="28"/>
      <c r="E967" s="86"/>
      <c r="F967" s="86"/>
      <c r="G967" s="86"/>
      <c r="H967" s="86"/>
    </row>
    <row r="968" spans="1:8">
      <c r="A968" s="27"/>
      <c r="B968" s="27"/>
      <c r="C968" s="28"/>
      <c r="D968" s="28"/>
      <c r="E968" s="86"/>
      <c r="F968" s="86"/>
      <c r="G968" s="86"/>
      <c r="H968" s="86"/>
    </row>
    <row r="969" spans="1:8">
      <c r="A969" s="27"/>
      <c r="B969" s="27"/>
      <c r="C969" s="28"/>
      <c r="D969" s="28"/>
      <c r="E969" s="86"/>
      <c r="F969" s="86"/>
      <c r="G969" s="86"/>
      <c r="H969" s="86"/>
    </row>
    <row r="970" spans="1:8">
      <c r="A970" s="27"/>
      <c r="B970" s="27"/>
      <c r="C970" s="28"/>
      <c r="D970" s="28"/>
      <c r="E970" s="86"/>
      <c r="F970" s="86"/>
      <c r="G970" s="86"/>
      <c r="H970" s="86"/>
    </row>
    <row r="971" spans="1:8">
      <c r="A971" s="27"/>
      <c r="B971" s="27"/>
      <c r="C971" s="28"/>
      <c r="D971" s="28"/>
      <c r="E971" s="86"/>
      <c r="F971" s="86"/>
      <c r="G971" s="86"/>
      <c r="H971" s="86"/>
    </row>
    <row r="972" spans="1:8">
      <c r="A972" s="27"/>
      <c r="B972" s="27"/>
      <c r="C972" s="28"/>
      <c r="D972" s="28"/>
      <c r="E972" s="86"/>
      <c r="F972" s="86"/>
      <c r="G972" s="86"/>
      <c r="H972" s="86"/>
    </row>
    <row r="973" spans="1:8">
      <c r="A973" s="27"/>
      <c r="B973" s="27"/>
      <c r="C973" s="28"/>
      <c r="D973" s="28"/>
      <c r="E973" s="86"/>
      <c r="F973" s="86"/>
      <c r="G973" s="86"/>
      <c r="H973" s="86"/>
    </row>
    <row r="974" spans="1:8">
      <c r="A974" s="27"/>
      <c r="B974" s="27"/>
      <c r="C974" s="28"/>
      <c r="D974" s="28"/>
      <c r="E974" s="86"/>
      <c r="F974" s="86"/>
      <c r="G974" s="86"/>
      <c r="H974" s="86"/>
    </row>
    <row r="975" spans="1:8">
      <c r="A975" s="27"/>
      <c r="B975" s="27"/>
      <c r="C975" s="28"/>
      <c r="D975" s="28"/>
      <c r="E975" s="86"/>
      <c r="F975" s="86"/>
      <c r="G975" s="86"/>
      <c r="H975" s="86"/>
    </row>
    <row r="976" spans="1:8">
      <c r="A976" s="27"/>
      <c r="B976" s="27"/>
      <c r="C976" s="28"/>
      <c r="D976" s="28"/>
      <c r="E976" s="86"/>
      <c r="F976" s="86"/>
      <c r="G976" s="86"/>
      <c r="H976" s="86"/>
    </row>
    <row r="977" spans="1:8">
      <c r="A977" s="27"/>
      <c r="B977" s="27"/>
      <c r="C977" s="28"/>
      <c r="D977" s="28"/>
      <c r="E977" s="86"/>
      <c r="F977" s="86"/>
      <c r="G977" s="86"/>
      <c r="H977" s="86"/>
    </row>
    <row r="978" spans="1:8">
      <c r="A978" s="27"/>
      <c r="B978" s="27"/>
      <c r="C978" s="28"/>
      <c r="D978" s="28"/>
      <c r="E978" s="86"/>
      <c r="F978" s="86"/>
      <c r="G978" s="86"/>
      <c r="H978" s="86"/>
    </row>
    <row r="979" spans="1:8">
      <c r="A979" s="27"/>
      <c r="B979" s="27"/>
      <c r="C979" s="28"/>
      <c r="D979" s="28"/>
      <c r="E979" s="86"/>
      <c r="F979" s="86"/>
      <c r="G979" s="86"/>
      <c r="H979" s="86"/>
    </row>
    <row r="980" spans="1:8">
      <c r="A980" s="27"/>
      <c r="B980" s="27"/>
      <c r="C980" s="28"/>
      <c r="D980" s="28"/>
      <c r="E980" s="86"/>
      <c r="F980" s="86"/>
      <c r="G980" s="86"/>
      <c r="H980" s="86"/>
    </row>
    <row r="981" spans="1:8">
      <c r="A981" s="27"/>
      <c r="B981" s="27"/>
      <c r="C981" s="28"/>
      <c r="D981" s="28"/>
      <c r="E981" s="86"/>
      <c r="F981" s="86"/>
      <c r="G981" s="86"/>
      <c r="H981" s="86"/>
    </row>
    <row r="982" spans="1:8">
      <c r="A982" s="27"/>
      <c r="B982" s="27"/>
      <c r="C982" s="28"/>
      <c r="D982" s="28"/>
      <c r="E982" s="86"/>
      <c r="F982" s="86"/>
      <c r="G982" s="86"/>
      <c r="H982" s="86"/>
    </row>
    <row r="983" spans="1:8">
      <c r="A983" s="27"/>
      <c r="B983" s="27"/>
      <c r="C983" s="28"/>
      <c r="D983" s="28"/>
      <c r="E983" s="86"/>
      <c r="F983" s="86"/>
      <c r="G983" s="86"/>
      <c r="H983" s="86"/>
    </row>
    <row r="984" spans="1:8">
      <c r="A984" s="27"/>
      <c r="B984" s="27"/>
      <c r="C984" s="28"/>
      <c r="D984" s="28"/>
      <c r="E984" s="86"/>
      <c r="F984" s="86"/>
      <c r="G984" s="86"/>
      <c r="H984" s="86"/>
    </row>
    <row r="985" spans="1:8">
      <c r="A985" s="27"/>
      <c r="B985" s="27"/>
      <c r="C985" s="28"/>
      <c r="D985" s="28"/>
      <c r="E985" s="86"/>
      <c r="F985" s="86"/>
      <c r="G985" s="86"/>
      <c r="H985" s="86"/>
    </row>
    <row r="986" spans="1:8">
      <c r="A986" s="27"/>
      <c r="B986" s="27"/>
      <c r="C986" s="28"/>
      <c r="D986" s="28"/>
      <c r="E986" s="86"/>
      <c r="F986" s="86"/>
      <c r="G986" s="86"/>
      <c r="H986" s="86"/>
    </row>
    <row r="987" spans="1:8">
      <c r="A987" s="27"/>
      <c r="B987" s="27"/>
      <c r="C987" s="28"/>
      <c r="D987" s="28"/>
      <c r="E987" s="86"/>
      <c r="F987" s="86"/>
      <c r="G987" s="86"/>
      <c r="H987" s="86"/>
    </row>
    <row r="988" spans="1:8">
      <c r="A988" s="27"/>
      <c r="B988" s="27"/>
      <c r="C988" s="28"/>
      <c r="D988" s="28"/>
      <c r="E988" s="86"/>
      <c r="F988" s="86"/>
      <c r="G988" s="86"/>
      <c r="H988" s="86"/>
    </row>
    <row r="989" spans="1:8">
      <c r="A989" s="27"/>
      <c r="B989" s="27"/>
      <c r="C989" s="28"/>
      <c r="D989" s="28"/>
      <c r="E989" s="86"/>
      <c r="F989" s="86"/>
      <c r="G989" s="86"/>
      <c r="H989" s="86"/>
    </row>
    <row r="990" spans="1:8">
      <c r="A990" s="27"/>
      <c r="B990" s="27"/>
      <c r="C990" s="28"/>
      <c r="D990" s="28"/>
      <c r="E990" s="86"/>
      <c r="F990" s="86"/>
      <c r="G990" s="86"/>
      <c r="H990" s="86"/>
    </row>
    <row r="991" spans="1:8">
      <c r="A991" s="27"/>
      <c r="B991" s="27"/>
      <c r="C991" s="28"/>
      <c r="D991" s="28"/>
      <c r="E991" s="86"/>
      <c r="F991" s="86"/>
      <c r="G991" s="86"/>
      <c r="H991" s="86"/>
    </row>
    <row r="992" spans="1:8">
      <c r="A992" s="27"/>
      <c r="B992" s="27"/>
      <c r="C992" s="28"/>
      <c r="D992" s="28"/>
      <c r="E992" s="86"/>
      <c r="F992" s="86"/>
      <c r="G992" s="86"/>
      <c r="H992" s="86"/>
    </row>
  </sheetData>
  <autoFilter xmlns:etc="http://www.wps.cn/officeDocument/2017/etCustomData" ref="A5:H190" etc:filterBottomFollowUsedRange="0">
    <sortState ref="A5:H190">
      <sortCondition ref="B5:B217"/>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65" max="7" man="1"/>
  </rowBreak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tabColor rgb="FFFFFF00"/>
    <pageSetUpPr fitToPage="1"/>
  </sheetPr>
  <dimension ref="A1:J762"/>
  <sheetViews>
    <sheetView view="pageBreakPreview" zoomScale="90" zoomScaleNormal="85" workbookViewId="0">
      <selection activeCell="E27" sqref="E27"/>
    </sheetView>
  </sheetViews>
  <sheetFormatPr defaultColWidth="9.25" defaultRowHeight="13.8"/>
  <cols>
    <col min="1" max="1" width="7.62962962962963" style="3" customWidth="1"/>
    <col min="2" max="2" width="39.5" style="3" customWidth="1"/>
    <col min="3" max="4" width="30.75" style="4" customWidth="1"/>
    <col min="5" max="8" width="13.8796296296296" style="1" customWidth="1"/>
    <col min="9" max="10" width="9.25" style="3"/>
    <col min="11" max="11" width="9.25" style="3" customWidth="1"/>
    <col min="12" max="16384" width="9.25" style="3"/>
  </cols>
  <sheetData>
    <row r="1" spans="1:10">
      <c r="A1" s="6" t="s">
        <v>2653</v>
      </c>
      <c r="B1" s="6"/>
      <c r="C1" s="7"/>
      <c r="D1" s="7"/>
      <c r="E1" s="6"/>
      <c r="F1" s="6"/>
      <c r="G1" s="6"/>
      <c r="H1" s="6"/>
    </row>
    <row r="2" spans="1:10">
      <c r="A2" s="8" t="s">
        <v>4</v>
      </c>
      <c r="B2" s="8"/>
      <c r="C2" s="8"/>
      <c r="D2" s="8"/>
      <c r="E2" s="8"/>
      <c r="F2" s="8"/>
      <c r="G2" s="8"/>
      <c r="H2" s="8"/>
    </row>
    <row r="3" s="1" customFormat="1" spans="1:10">
      <c r="A3" s="9" t="s">
        <v>5</v>
      </c>
      <c r="B3" s="9" t="s">
        <v>6</v>
      </c>
      <c r="C3" s="9" t="s">
        <v>7</v>
      </c>
      <c r="D3" s="9"/>
      <c r="E3" s="9" t="s">
        <v>8</v>
      </c>
      <c r="F3" s="9"/>
      <c r="G3" s="9"/>
      <c r="H3" s="9"/>
    </row>
    <row r="4" spans="1:10">
      <c r="A4" s="11"/>
      <c r="B4" s="11"/>
      <c r="C4" s="9" t="s">
        <v>9</v>
      </c>
      <c r="D4" s="9" t="s">
        <v>10</v>
      </c>
      <c r="E4" s="10" t="s">
        <v>11</v>
      </c>
      <c r="F4" s="10" t="s">
        <v>12</v>
      </c>
      <c r="G4" s="10" t="s">
        <v>13</v>
      </c>
      <c r="H4" s="10" t="s">
        <v>14</v>
      </c>
    </row>
    <row r="5" spans="1:10">
      <c r="A5" s="39" t="s">
        <v>2654</v>
      </c>
      <c r="B5" s="39"/>
      <c r="C5" s="15"/>
      <c r="D5" s="15"/>
      <c r="E5" s="21" t="s">
        <v>16</v>
      </c>
      <c r="F5" s="21" t="s">
        <v>16</v>
      </c>
      <c r="G5" s="21" t="s">
        <v>16</v>
      </c>
      <c r="H5" s="21" t="s">
        <v>16</v>
      </c>
      <c r="I5" s="73"/>
      <c r="J5" s="73"/>
    </row>
    <row r="6" ht="124.2" spans="1:10">
      <c r="A6" s="16">
        <v>1</v>
      </c>
      <c r="B6" s="20" t="s">
        <v>2655</v>
      </c>
      <c r="C6" s="18"/>
      <c r="D6" s="18"/>
      <c r="E6" s="21">
        <v>75000</v>
      </c>
      <c r="F6" s="21">
        <v>60000</v>
      </c>
      <c r="G6" s="74">
        <v>0</v>
      </c>
      <c r="H6" s="74">
        <v>0</v>
      </c>
      <c r="I6" s="73"/>
    </row>
    <row r="7" ht="220.8" spans="1:10">
      <c r="A7" s="16">
        <v>2</v>
      </c>
      <c r="B7" s="20" t="s">
        <v>2656</v>
      </c>
      <c r="C7" s="18"/>
      <c r="D7" s="18"/>
      <c r="E7" s="21">
        <v>60000</v>
      </c>
      <c r="F7" s="21">
        <v>50000</v>
      </c>
      <c r="G7" s="74">
        <v>0</v>
      </c>
      <c r="H7" s="74">
        <v>0</v>
      </c>
      <c r="I7" s="31" t="s">
        <v>82</v>
      </c>
    </row>
    <row r="8" spans="1:10">
      <c r="A8" s="16">
        <v>3</v>
      </c>
      <c r="B8" s="20" t="s">
        <v>2652</v>
      </c>
      <c r="C8" s="18"/>
      <c r="D8" s="18"/>
      <c r="E8" s="21">
        <v>45000</v>
      </c>
      <c r="F8" s="74">
        <v>0</v>
      </c>
      <c r="G8" s="74">
        <v>0</v>
      </c>
      <c r="H8" s="74">
        <v>0</v>
      </c>
    </row>
    <row r="9" spans="1:10">
      <c r="A9" s="27"/>
      <c r="B9" s="27"/>
      <c r="C9" s="28"/>
      <c r="D9" s="28"/>
      <c r="E9" s="23" t="s">
        <v>16</v>
      </c>
      <c r="F9" s="23" t="s">
        <v>16</v>
      </c>
      <c r="G9" s="23" t="s">
        <v>16</v>
      </c>
      <c r="H9" s="23" t="s">
        <v>16</v>
      </c>
    </row>
    <row r="10" spans="1:10">
      <c r="A10" s="27"/>
      <c r="B10" s="27"/>
      <c r="C10" s="28"/>
      <c r="D10" s="28"/>
      <c r="E10" s="23" t="s">
        <v>16</v>
      </c>
      <c r="F10" s="23" t="s">
        <v>16</v>
      </c>
      <c r="G10" s="23" t="s">
        <v>16</v>
      </c>
      <c r="H10" s="23" t="s">
        <v>16</v>
      </c>
    </row>
    <row r="11" spans="1:10">
      <c r="A11" s="27"/>
      <c r="B11" s="27"/>
      <c r="C11" s="28"/>
      <c r="D11" s="28"/>
      <c r="E11" s="23" t="s">
        <v>16</v>
      </c>
      <c r="F11" s="23" t="s">
        <v>16</v>
      </c>
      <c r="G11" s="23" t="s">
        <v>16</v>
      </c>
      <c r="H11" s="23" t="s">
        <v>16</v>
      </c>
    </row>
    <row r="12" spans="1:10">
      <c r="A12" s="27"/>
      <c r="B12" s="27"/>
      <c r="C12" s="28"/>
      <c r="D12" s="28"/>
      <c r="E12" s="23" t="s">
        <v>16</v>
      </c>
      <c r="F12" s="23" t="s">
        <v>16</v>
      </c>
      <c r="G12" s="23" t="s">
        <v>16</v>
      </c>
      <c r="H12" s="23" t="s">
        <v>16</v>
      </c>
    </row>
    <row r="13" spans="1:10">
      <c r="A13" s="27"/>
      <c r="B13" s="27"/>
      <c r="C13" s="28"/>
      <c r="D13" s="28"/>
      <c r="E13" s="23" t="s">
        <v>16</v>
      </c>
      <c r="F13" s="23" t="s">
        <v>16</v>
      </c>
      <c r="G13" s="23" t="s">
        <v>16</v>
      </c>
      <c r="H13" s="23" t="s">
        <v>16</v>
      </c>
    </row>
    <row r="14" spans="1:10">
      <c r="A14" s="27"/>
      <c r="B14" s="27"/>
      <c r="C14" s="28"/>
      <c r="D14" s="28"/>
      <c r="E14" s="23" t="s">
        <v>16</v>
      </c>
      <c r="F14" s="23" t="s">
        <v>16</v>
      </c>
      <c r="G14" s="23" t="s">
        <v>16</v>
      </c>
      <c r="H14" s="23" t="s">
        <v>16</v>
      </c>
    </row>
    <row r="15" spans="1:10">
      <c r="A15" s="27"/>
      <c r="B15" s="27"/>
      <c r="C15" s="28"/>
      <c r="D15" s="28"/>
      <c r="E15" s="23" t="s">
        <v>16</v>
      </c>
      <c r="F15" s="23" t="s">
        <v>16</v>
      </c>
      <c r="G15" s="23" t="s">
        <v>16</v>
      </c>
      <c r="H15" s="23" t="s">
        <v>16</v>
      </c>
    </row>
    <row r="16" spans="1:10">
      <c r="A16" s="27"/>
      <c r="B16" s="27"/>
      <c r="C16" s="28"/>
      <c r="D16" s="28"/>
      <c r="E16" s="23" t="s">
        <v>16</v>
      </c>
      <c r="F16" s="23" t="s">
        <v>16</v>
      </c>
      <c r="G16" s="23" t="s">
        <v>16</v>
      </c>
      <c r="H16" s="23" t="s">
        <v>16</v>
      </c>
    </row>
    <row r="17" spans="1:8">
      <c r="A17" s="27"/>
      <c r="B17" s="27"/>
      <c r="C17" s="28"/>
      <c r="D17" s="28"/>
      <c r="E17" s="23" t="s">
        <v>16</v>
      </c>
      <c r="F17" s="23" t="s">
        <v>16</v>
      </c>
      <c r="G17" s="23" t="s">
        <v>16</v>
      </c>
      <c r="H17" s="23" t="s">
        <v>16</v>
      </c>
    </row>
    <row r="18" spans="1:8">
      <c r="A18" s="27"/>
      <c r="B18" s="27"/>
      <c r="C18" s="28"/>
      <c r="D18" s="28"/>
      <c r="E18" s="23" t="s">
        <v>16</v>
      </c>
      <c r="F18" s="23" t="s">
        <v>16</v>
      </c>
      <c r="G18" s="23" t="s">
        <v>16</v>
      </c>
      <c r="H18" s="23" t="s">
        <v>16</v>
      </c>
    </row>
    <row r="19" spans="1:8">
      <c r="A19" s="27"/>
      <c r="B19" s="27"/>
      <c r="C19" s="28"/>
      <c r="D19" s="28"/>
      <c r="E19" s="23" t="s">
        <v>16</v>
      </c>
      <c r="F19" s="23" t="s">
        <v>16</v>
      </c>
      <c r="G19" s="23" t="s">
        <v>16</v>
      </c>
      <c r="H19" s="23" t="s">
        <v>16</v>
      </c>
    </row>
    <row r="20" spans="1:8">
      <c r="A20" s="27"/>
      <c r="B20" s="27"/>
      <c r="C20" s="28"/>
      <c r="D20" s="28"/>
      <c r="E20" s="23" t="s">
        <v>16</v>
      </c>
      <c r="F20" s="23" t="s">
        <v>16</v>
      </c>
      <c r="G20" s="23" t="s">
        <v>16</v>
      </c>
      <c r="H20" s="23" t="s">
        <v>16</v>
      </c>
    </row>
    <row r="21" spans="1:8">
      <c r="A21" s="27"/>
      <c r="B21" s="27"/>
      <c r="C21" s="28"/>
      <c r="D21" s="28"/>
      <c r="E21" s="23" t="s">
        <v>16</v>
      </c>
      <c r="F21" s="23" t="s">
        <v>16</v>
      </c>
      <c r="G21" s="23" t="s">
        <v>16</v>
      </c>
      <c r="H21" s="23" t="s">
        <v>16</v>
      </c>
    </row>
    <row r="22" spans="1:8">
      <c r="A22" s="27"/>
      <c r="B22" s="27"/>
      <c r="C22" s="28"/>
      <c r="D22" s="28"/>
      <c r="E22" s="23" t="s">
        <v>16</v>
      </c>
      <c r="F22" s="23" t="s">
        <v>16</v>
      </c>
      <c r="G22" s="23" t="s">
        <v>16</v>
      </c>
      <c r="H22" s="23" t="s">
        <v>16</v>
      </c>
    </row>
    <row r="23" spans="1:8">
      <c r="A23" s="27"/>
      <c r="B23" s="27"/>
      <c r="C23" s="28"/>
      <c r="D23" s="28"/>
      <c r="E23" s="23" t="s">
        <v>16</v>
      </c>
      <c r="F23" s="23" t="s">
        <v>16</v>
      </c>
      <c r="G23" s="23" t="s">
        <v>16</v>
      </c>
      <c r="H23" s="23" t="s">
        <v>16</v>
      </c>
    </row>
    <row r="24" spans="1:8">
      <c r="A24" s="27"/>
      <c r="B24" s="27"/>
      <c r="C24" s="28"/>
      <c r="D24" s="28"/>
      <c r="E24" s="23" t="s">
        <v>16</v>
      </c>
      <c r="F24" s="23" t="s">
        <v>16</v>
      </c>
      <c r="G24" s="23" t="s">
        <v>16</v>
      </c>
      <c r="H24" s="23" t="s">
        <v>16</v>
      </c>
    </row>
    <row r="25" spans="1:8">
      <c r="A25" s="27"/>
      <c r="B25" s="27"/>
      <c r="C25" s="28"/>
      <c r="D25" s="28"/>
      <c r="E25" s="23" t="s">
        <v>16</v>
      </c>
      <c r="F25" s="23" t="s">
        <v>16</v>
      </c>
      <c r="G25" s="23" t="s">
        <v>16</v>
      </c>
      <c r="H25" s="23" t="s">
        <v>16</v>
      </c>
    </row>
    <row r="26" spans="1:8">
      <c r="A26" s="27"/>
      <c r="B26" s="27"/>
      <c r="C26" s="28"/>
      <c r="D26" s="28"/>
      <c r="E26" s="23" t="s">
        <v>16</v>
      </c>
      <c r="F26" s="23" t="s">
        <v>16</v>
      </c>
      <c r="G26" s="23" t="s">
        <v>16</v>
      </c>
      <c r="H26" s="23" t="s">
        <v>16</v>
      </c>
    </row>
    <row r="27" spans="1:8">
      <c r="A27" s="27"/>
      <c r="B27" s="27"/>
      <c r="C27" s="28"/>
      <c r="D27" s="28"/>
      <c r="E27" s="23" t="s">
        <v>16</v>
      </c>
      <c r="F27" s="23" t="s">
        <v>16</v>
      </c>
      <c r="G27" s="23" t="s">
        <v>16</v>
      </c>
      <c r="H27" s="23" t="s">
        <v>16</v>
      </c>
    </row>
    <row r="28" spans="1:8">
      <c r="A28" s="27"/>
      <c r="B28" s="27"/>
      <c r="C28" s="28"/>
      <c r="D28" s="28"/>
      <c r="E28" s="23" t="s">
        <v>16</v>
      </c>
      <c r="F28" s="23" t="s">
        <v>16</v>
      </c>
      <c r="G28" s="23" t="s">
        <v>16</v>
      </c>
      <c r="H28" s="23" t="s">
        <v>16</v>
      </c>
    </row>
    <row r="29" spans="1:8">
      <c r="A29" s="27"/>
      <c r="B29" s="27"/>
      <c r="C29" s="28"/>
      <c r="D29" s="28"/>
      <c r="E29" s="23" t="s">
        <v>16</v>
      </c>
      <c r="F29" s="23" t="s">
        <v>16</v>
      </c>
      <c r="G29" s="23" t="s">
        <v>16</v>
      </c>
      <c r="H29" s="23" t="s">
        <v>16</v>
      </c>
    </row>
    <row r="30" spans="1:8">
      <c r="A30" s="27"/>
      <c r="B30" s="27"/>
      <c r="C30" s="28"/>
      <c r="D30" s="28"/>
      <c r="E30" s="23" t="s">
        <v>16</v>
      </c>
      <c r="F30" s="23" t="s">
        <v>16</v>
      </c>
      <c r="G30" s="23" t="s">
        <v>16</v>
      </c>
      <c r="H30" s="23" t="s">
        <v>16</v>
      </c>
    </row>
    <row r="31" spans="1:8">
      <c r="A31" s="27"/>
      <c r="B31" s="27"/>
      <c r="C31" s="28"/>
      <c r="D31" s="28"/>
      <c r="E31" s="23" t="s">
        <v>16</v>
      </c>
      <c r="F31" s="23" t="s">
        <v>16</v>
      </c>
      <c r="G31" s="23" t="s">
        <v>16</v>
      </c>
      <c r="H31" s="23" t="s">
        <v>16</v>
      </c>
    </row>
    <row r="32" spans="1:8">
      <c r="A32" s="27"/>
      <c r="B32" s="27"/>
      <c r="C32" s="28"/>
      <c r="D32" s="28"/>
      <c r="E32" s="23" t="s">
        <v>16</v>
      </c>
      <c r="F32" s="23" t="s">
        <v>16</v>
      </c>
      <c r="G32" s="23" t="s">
        <v>16</v>
      </c>
      <c r="H32" s="23" t="s">
        <v>16</v>
      </c>
    </row>
    <row r="33" spans="1:8">
      <c r="A33" s="27"/>
      <c r="B33" s="27"/>
      <c r="C33" s="28"/>
      <c r="D33" s="28"/>
      <c r="E33" s="23" t="s">
        <v>16</v>
      </c>
      <c r="F33" s="23" t="s">
        <v>16</v>
      </c>
      <c r="G33" s="23" t="s">
        <v>16</v>
      </c>
      <c r="H33" s="23" t="s">
        <v>16</v>
      </c>
    </row>
    <row r="34" spans="1:8">
      <c r="A34" s="27"/>
      <c r="B34" s="27"/>
      <c r="C34" s="28"/>
      <c r="D34" s="28"/>
      <c r="E34" s="23" t="s">
        <v>16</v>
      </c>
      <c r="F34" s="23" t="s">
        <v>16</v>
      </c>
      <c r="G34" s="23" t="s">
        <v>16</v>
      </c>
      <c r="H34" s="23" t="s">
        <v>16</v>
      </c>
    </row>
    <row r="35" spans="1:8">
      <c r="A35" s="27"/>
      <c r="B35" s="27"/>
      <c r="C35" s="28"/>
      <c r="D35" s="28"/>
      <c r="E35" s="23" t="s">
        <v>16</v>
      </c>
      <c r="F35" s="23" t="s">
        <v>16</v>
      </c>
      <c r="G35" s="23" t="s">
        <v>16</v>
      </c>
      <c r="H35" s="23" t="s">
        <v>16</v>
      </c>
    </row>
    <row r="36" spans="1:8">
      <c r="A36" s="27"/>
      <c r="B36" s="27"/>
      <c r="C36" s="28"/>
      <c r="D36" s="28"/>
      <c r="E36" s="23" t="s">
        <v>16</v>
      </c>
      <c r="F36" s="23" t="s">
        <v>16</v>
      </c>
      <c r="G36" s="23" t="s">
        <v>16</v>
      </c>
      <c r="H36" s="23" t="s">
        <v>16</v>
      </c>
    </row>
    <row r="37" spans="1:8">
      <c r="A37" s="27"/>
      <c r="B37" s="27"/>
      <c r="C37" s="28"/>
      <c r="D37" s="28"/>
      <c r="E37" s="23" t="s">
        <v>16</v>
      </c>
      <c r="F37" s="23" t="s">
        <v>16</v>
      </c>
      <c r="G37" s="23" t="s">
        <v>16</v>
      </c>
      <c r="H37" s="23" t="s">
        <v>16</v>
      </c>
    </row>
    <row r="38" spans="1:8">
      <c r="A38" s="27"/>
      <c r="B38" s="27"/>
      <c r="C38" s="28"/>
      <c r="D38" s="28"/>
      <c r="E38" s="23" t="s">
        <v>16</v>
      </c>
      <c r="F38" s="23" t="s">
        <v>16</v>
      </c>
      <c r="G38" s="23" t="s">
        <v>16</v>
      </c>
      <c r="H38" s="23" t="s">
        <v>16</v>
      </c>
    </row>
    <row r="39" spans="1:8">
      <c r="A39" s="27"/>
      <c r="B39" s="27"/>
      <c r="C39" s="28"/>
      <c r="D39" s="28"/>
      <c r="E39" s="23" t="s">
        <v>16</v>
      </c>
      <c r="F39" s="23" t="s">
        <v>16</v>
      </c>
      <c r="G39" s="23" t="s">
        <v>16</v>
      </c>
      <c r="H39" s="23" t="s">
        <v>16</v>
      </c>
    </row>
    <row r="40" spans="1:8">
      <c r="A40" s="27"/>
      <c r="B40" s="27"/>
      <c r="C40" s="28"/>
      <c r="D40" s="28"/>
      <c r="E40" s="23" t="s">
        <v>16</v>
      </c>
      <c r="F40" s="23" t="s">
        <v>16</v>
      </c>
      <c r="G40" s="23" t="s">
        <v>16</v>
      </c>
      <c r="H40" s="23" t="s">
        <v>16</v>
      </c>
    </row>
    <row r="41" spans="1:8">
      <c r="A41" s="27"/>
      <c r="B41" s="27"/>
      <c r="C41" s="28"/>
      <c r="D41" s="28"/>
      <c r="E41" s="23" t="s">
        <v>16</v>
      </c>
      <c r="F41" s="23" t="s">
        <v>16</v>
      </c>
      <c r="G41" s="23" t="s">
        <v>16</v>
      </c>
      <c r="H41" s="23" t="s">
        <v>16</v>
      </c>
    </row>
    <row r="42" spans="1:8">
      <c r="A42" s="27"/>
      <c r="B42" s="27"/>
      <c r="C42" s="28"/>
      <c r="D42" s="28"/>
      <c r="E42" s="23" t="s">
        <v>16</v>
      </c>
      <c r="F42" s="23" t="s">
        <v>16</v>
      </c>
      <c r="G42" s="23" t="s">
        <v>16</v>
      </c>
      <c r="H42" s="23" t="s">
        <v>16</v>
      </c>
    </row>
    <row r="43" spans="1:8">
      <c r="A43" s="27"/>
      <c r="B43" s="27"/>
      <c r="C43" s="28"/>
      <c r="D43" s="28"/>
      <c r="E43" s="23" t="s">
        <v>16</v>
      </c>
      <c r="F43" s="23" t="s">
        <v>16</v>
      </c>
      <c r="G43" s="23" t="s">
        <v>16</v>
      </c>
      <c r="H43" s="23" t="s">
        <v>16</v>
      </c>
    </row>
    <row r="44" spans="1:8">
      <c r="A44" s="27"/>
      <c r="B44" s="27"/>
      <c r="C44" s="28"/>
      <c r="D44" s="28"/>
      <c r="E44" s="23" t="s">
        <v>16</v>
      </c>
      <c r="F44" s="23" t="s">
        <v>16</v>
      </c>
      <c r="G44" s="23" t="s">
        <v>16</v>
      </c>
      <c r="H44" s="23" t="s">
        <v>16</v>
      </c>
    </row>
    <row r="45" spans="1:8">
      <c r="A45" s="27"/>
      <c r="B45" s="27"/>
      <c r="C45" s="28"/>
      <c r="D45" s="28"/>
      <c r="E45" s="23" t="s">
        <v>16</v>
      </c>
      <c r="F45" s="23" t="s">
        <v>16</v>
      </c>
      <c r="G45" s="23" t="s">
        <v>16</v>
      </c>
      <c r="H45" s="23" t="s">
        <v>16</v>
      </c>
    </row>
    <row r="46" spans="1:8">
      <c r="A46" s="27"/>
      <c r="B46" s="27"/>
      <c r="C46" s="28"/>
      <c r="D46" s="28"/>
      <c r="E46" s="23" t="s">
        <v>16</v>
      </c>
      <c r="F46" s="23" t="s">
        <v>16</v>
      </c>
      <c r="G46" s="23" t="s">
        <v>16</v>
      </c>
      <c r="H46" s="23" t="s">
        <v>16</v>
      </c>
    </row>
    <row r="47" spans="1:8">
      <c r="A47" s="27"/>
      <c r="B47" s="27"/>
      <c r="C47" s="28"/>
      <c r="D47" s="28"/>
      <c r="E47" s="23" t="s">
        <v>16</v>
      </c>
      <c r="F47" s="23" t="s">
        <v>16</v>
      </c>
      <c r="G47" s="23" t="s">
        <v>16</v>
      </c>
      <c r="H47" s="23" t="s">
        <v>16</v>
      </c>
    </row>
    <row r="48" spans="1:8">
      <c r="A48" s="27"/>
      <c r="B48" s="27"/>
      <c r="C48" s="28"/>
      <c r="D48" s="28"/>
      <c r="E48" s="23" t="s">
        <v>16</v>
      </c>
      <c r="F48" s="23" t="s">
        <v>16</v>
      </c>
      <c r="G48" s="23" t="s">
        <v>16</v>
      </c>
      <c r="H48" s="23" t="s">
        <v>16</v>
      </c>
    </row>
    <row r="49" spans="1:8">
      <c r="A49" s="27"/>
      <c r="B49" s="27"/>
      <c r="C49" s="28"/>
      <c r="D49" s="28"/>
      <c r="E49" s="23" t="s">
        <v>16</v>
      </c>
      <c r="F49" s="23" t="s">
        <v>16</v>
      </c>
      <c r="G49" s="23" t="s">
        <v>16</v>
      </c>
      <c r="H49" s="23" t="s">
        <v>16</v>
      </c>
    </row>
    <row r="50" spans="1:8">
      <c r="A50" s="27"/>
      <c r="B50" s="27"/>
      <c r="C50" s="28"/>
      <c r="D50" s="28"/>
      <c r="E50" s="23" t="s">
        <v>16</v>
      </c>
      <c r="F50" s="23" t="s">
        <v>16</v>
      </c>
      <c r="G50" s="23" t="s">
        <v>16</v>
      </c>
      <c r="H50" s="23" t="s">
        <v>16</v>
      </c>
    </row>
    <row r="51" spans="1:8">
      <c r="A51" s="27"/>
      <c r="B51" s="27"/>
      <c r="C51" s="28"/>
      <c r="D51" s="28"/>
      <c r="E51" s="23" t="s">
        <v>16</v>
      </c>
      <c r="F51" s="23" t="s">
        <v>16</v>
      </c>
      <c r="G51" s="23" t="s">
        <v>16</v>
      </c>
      <c r="H51" s="23" t="s">
        <v>16</v>
      </c>
    </row>
    <row r="52" spans="1:8">
      <c r="A52" s="27"/>
      <c r="B52" s="27"/>
      <c r="C52" s="28"/>
      <c r="D52" s="28"/>
      <c r="E52" s="23" t="s">
        <v>16</v>
      </c>
      <c r="F52" s="23" t="s">
        <v>16</v>
      </c>
      <c r="G52" s="23" t="s">
        <v>16</v>
      </c>
      <c r="H52" s="23" t="s">
        <v>16</v>
      </c>
    </row>
    <row r="53" spans="1:8">
      <c r="A53" s="27"/>
      <c r="B53" s="27"/>
      <c r="C53" s="28"/>
      <c r="D53" s="28"/>
      <c r="E53" s="23" t="s">
        <v>16</v>
      </c>
      <c r="F53" s="23" t="s">
        <v>16</v>
      </c>
      <c r="G53" s="23" t="s">
        <v>16</v>
      </c>
      <c r="H53" s="23" t="s">
        <v>16</v>
      </c>
    </row>
    <row r="54" spans="1:8">
      <c r="A54" s="27"/>
      <c r="B54" s="27"/>
      <c r="C54" s="28"/>
      <c r="D54" s="28"/>
      <c r="E54" s="23" t="s">
        <v>16</v>
      </c>
      <c r="F54" s="23" t="s">
        <v>16</v>
      </c>
      <c r="G54" s="23" t="s">
        <v>16</v>
      </c>
      <c r="H54" s="23" t="s">
        <v>16</v>
      </c>
    </row>
    <row r="55" spans="1:8">
      <c r="A55" s="27"/>
      <c r="B55" s="27"/>
      <c r="C55" s="28"/>
      <c r="D55" s="28"/>
      <c r="E55" s="23" t="s">
        <v>16</v>
      </c>
      <c r="F55" s="23" t="s">
        <v>16</v>
      </c>
      <c r="G55" s="23" t="s">
        <v>16</v>
      </c>
      <c r="H55" s="23" t="s">
        <v>16</v>
      </c>
    </row>
    <row r="56" spans="1:8">
      <c r="A56" s="27"/>
      <c r="B56" s="27"/>
      <c r="C56" s="28"/>
      <c r="D56" s="28"/>
      <c r="E56" s="23" t="s">
        <v>16</v>
      </c>
      <c r="F56" s="23" t="s">
        <v>16</v>
      </c>
      <c r="G56" s="23" t="s">
        <v>16</v>
      </c>
      <c r="H56" s="23" t="s">
        <v>16</v>
      </c>
    </row>
    <row r="57" spans="1:8">
      <c r="A57" s="27"/>
      <c r="B57" s="27"/>
      <c r="C57" s="28"/>
      <c r="D57" s="28"/>
      <c r="E57" s="23" t="s">
        <v>16</v>
      </c>
      <c r="F57" s="23" t="s">
        <v>16</v>
      </c>
      <c r="G57" s="23" t="s">
        <v>16</v>
      </c>
      <c r="H57" s="23" t="s">
        <v>16</v>
      </c>
    </row>
    <row r="58" spans="1:8">
      <c r="A58" s="27"/>
      <c r="B58" s="27"/>
      <c r="C58" s="28"/>
      <c r="D58" s="28"/>
      <c r="E58" s="23" t="s">
        <v>16</v>
      </c>
      <c r="F58" s="23" t="s">
        <v>16</v>
      </c>
      <c r="G58" s="23" t="s">
        <v>16</v>
      </c>
      <c r="H58" s="23" t="s">
        <v>16</v>
      </c>
    </row>
    <row r="59" spans="1:8">
      <c r="A59" s="27"/>
      <c r="B59" s="27"/>
      <c r="C59" s="28"/>
      <c r="D59" s="28"/>
      <c r="E59" s="23" t="s">
        <v>16</v>
      </c>
      <c r="F59" s="23" t="s">
        <v>16</v>
      </c>
      <c r="G59" s="23" t="s">
        <v>16</v>
      </c>
      <c r="H59" s="23" t="s">
        <v>16</v>
      </c>
    </row>
    <row r="60" spans="1:8">
      <c r="A60" s="27"/>
      <c r="B60" s="27"/>
      <c r="C60" s="28"/>
      <c r="D60" s="28"/>
      <c r="E60" s="23" t="s">
        <v>16</v>
      </c>
      <c r="F60" s="23" t="s">
        <v>16</v>
      </c>
      <c r="G60" s="23" t="s">
        <v>16</v>
      </c>
      <c r="H60" s="23" t="s">
        <v>16</v>
      </c>
    </row>
    <row r="61" spans="1:8">
      <c r="A61" s="27"/>
      <c r="B61" s="27"/>
      <c r="C61" s="28"/>
      <c r="D61" s="28"/>
      <c r="E61" s="23" t="s">
        <v>16</v>
      </c>
      <c r="F61" s="23" t="s">
        <v>16</v>
      </c>
      <c r="G61" s="23" t="s">
        <v>16</v>
      </c>
      <c r="H61" s="23" t="s">
        <v>16</v>
      </c>
    </row>
    <row r="62" spans="1:8">
      <c r="A62" s="27"/>
      <c r="B62" s="27"/>
      <c r="C62" s="28"/>
      <c r="D62" s="28"/>
      <c r="E62" s="23" t="s">
        <v>16</v>
      </c>
      <c r="F62" s="23" t="s">
        <v>16</v>
      </c>
      <c r="G62" s="23" t="s">
        <v>16</v>
      </c>
      <c r="H62" s="23" t="s">
        <v>16</v>
      </c>
    </row>
    <row r="63" spans="1:8">
      <c r="A63" s="27"/>
      <c r="B63" s="27"/>
      <c r="C63" s="28"/>
      <c r="D63" s="28"/>
      <c r="E63" s="23" t="s">
        <v>16</v>
      </c>
      <c r="F63" s="23" t="s">
        <v>16</v>
      </c>
      <c r="G63" s="23" t="s">
        <v>16</v>
      </c>
      <c r="H63" s="23" t="s">
        <v>16</v>
      </c>
    </row>
    <row r="64" spans="1:8">
      <c r="A64" s="27"/>
      <c r="B64" s="27"/>
      <c r="C64" s="28"/>
      <c r="D64" s="28"/>
      <c r="E64" s="23" t="s">
        <v>16</v>
      </c>
      <c r="F64" s="23" t="s">
        <v>16</v>
      </c>
      <c r="G64" s="23" t="s">
        <v>16</v>
      </c>
      <c r="H64" s="23" t="s">
        <v>16</v>
      </c>
    </row>
    <row r="65" spans="1:8">
      <c r="A65" s="27"/>
      <c r="B65" s="27"/>
      <c r="C65" s="28"/>
      <c r="D65" s="28"/>
      <c r="E65" s="23" t="s">
        <v>16</v>
      </c>
      <c r="F65" s="23" t="s">
        <v>16</v>
      </c>
      <c r="G65" s="23" t="s">
        <v>16</v>
      </c>
      <c r="H65" s="23" t="s">
        <v>16</v>
      </c>
    </row>
    <row r="66" spans="1:8">
      <c r="A66" s="27"/>
      <c r="B66" s="27"/>
      <c r="C66" s="28"/>
      <c r="D66" s="28"/>
      <c r="E66" s="23" t="s">
        <v>16</v>
      </c>
      <c r="F66" s="23" t="s">
        <v>16</v>
      </c>
      <c r="G66" s="23" t="s">
        <v>16</v>
      </c>
      <c r="H66" s="23" t="s">
        <v>16</v>
      </c>
    </row>
    <row r="67" spans="1:8">
      <c r="A67" s="27"/>
      <c r="B67" s="27"/>
      <c r="C67" s="28"/>
      <c r="D67" s="28"/>
      <c r="E67" s="23" t="s">
        <v>16</v>
      </c>
      <c r="F67" s="23" t="s">
        <v>16</v>
      </c>
      <c r="G67" s="23" t="s">
        <v>16</v>
      </c>
      <c r="H67" s="23" t="s">
        <v>16</v>
      </c>
    </row>
    <row r="68" spans="1:8">
      <c r="A68" s="27"/>
      <c r="B68" s="27"/>
      <c r="C68" s="28"/>
      <c r="D68" s="28"/>
      <c r="E68" s="23" t="s">
        <v>16</v>
      </c>
      <c r="F68" s="23" t="s">
        <v>16</v>
      </c>
      <c r="G68" s="23" t="s">
        <v>16</v>
      </c>
      <c r="H68" s="23" t="s">
        <v>16</v>
      </c>
    </row>
    <row r="69" spans="1:8">
      <c r="A69" s="27"/>
      <c r="B69" s="27"/>
      <c r="C69" s="28"/>
      <c r="D69" s="28"/>
      <c r="E69" s="23" t="s">
        <v>16</v>
      </c>
      <c r="F69" s="23" t="s">
        <v>16</v>
      </c>
      <c r="G69" s="23" t="s">
        <v>16</v>
      </c>
      <c r="H69" s="23" t="s">
        <v>16</v>
      </c>
    </row>
    <row r="70" spans="1:8">
      <c r="A70" s="27"/>
      <c r="B70" s="27"/>
      <c r="C70" s="28"/>
      <c r="D70" s="28"/>
      <c r="E70" s="23" t="s">
        <v>16</v>
      </c>
      <c r="F70" s="23" t="s">
        <v>16</v>
      </c>
      <c r="G70" s="23" t="s">
        <v>16</v>
      </c>
      <c r="H70" s="23" t="s">
        <v>16</v>
      </c>
    </row>
    <row r="71" spans="1:8">
      <c r="A71" s="27"/>
      <c r="B71" s="27"/>
      <c r="C71" s="28"/>
      <c r="D71" s="28"/>
      <c r="E71" s="23" t="s">
        <v>16</v>
      </c>
      <c r="F71" s="23" t="s">
        <v>16</v>
      </c>
      <c r="G71" s="23" t="s">
        <v>16</v>
      </c>
      <c r="H71" s="23" t="s">
        <v>16</v>
      </c>
    </row>
    <row r="72" spans="1:8">
      <c r="A72" s="27"/>
      <c r="B72" s="27"/>
      <c r="C72" s="28"/>
      <c r="D72" s="28"/>
      <c r="E72" s="23" t="s">
        <v>16</v>
      </c>
      <c r="F72" s="23" t="s">
        <v>16</v>
      </c>
      <c r="G72" s="23" t="s">
        <v>16</v>
      </c>
      <c r="H72" s="23" t="s">
        <v>16</v>
      </c>
    </row>
    <row r="73" spans="1:8">
      <c r="A73" s="27"/>
      <c r="B73" s="27"/>
      <c r="C73" s="28"/>
      <c r="D73" s="28"/>
      <c r="E73" s="23" t="s">
        <v>16</v>
      </c>
      <c r="F73" s="23" t="s">
        <v>16</v>
      </c>
      <c r="G73" s="23" t="s">
        <v>16</v>
      </c>
      <c r="H73" s="23" t="s">
        <v>16</v>
      </c>
    </row>
    <row r="74" spans="1:8">
      <c r="A74" s="27"/>
      <c r="B74" s="27"/>
      <c r="C74" s="28"/>
      <c r="D74" s="28"/>
      <c r="E74" s="23" t="s">
        <v>16</v>
      </c>
      <c r="F74" s="23" t="s">
        <v>16</v>
      </c>
      <c r="G74" s="23" t="s">
        <v>16</v>
      </c>
      <c r="H74" s="23" t="s">
        <v>16</v>
      </c>
    </row>
    <row r="75" spans="1:8">
      <c r="A75" s="27"/>
      <c r="B75" s="27"/>
      <c r="C75" s="28"/>
      <c r="D75" s="28"/>
      <c r="E75" s="23" t="s">
        <v>16</v>
      </c>
      <c r="F75" s="23" t="s">
        <v>16</v>
      </c>
      <c r="G75" s="23" t="s">
        <v>16</v>
      </c>
      <c r="H75" s="23" t="s">
        <v>16</v>
      </c>
    </row>
    <row r="76" spans="1:8">
      <c r="A76" s="27"/>
      <c r="B76" s="27"/>
      <c r="C76" s="28"/>
      <c r="D76" s="28"/>
      <c r="E76" s="23" t="s">
        <v>16</v>
      </c>
      <c r="F76" s="23" t="s">
        <v>16</v>
      </c>
      <c r="G76" s="23" t="s">
        <v>16</v>
      </c>
      <c r="H76" s="23" t="s">
        <v>16</v>
      </c>
    </row>
    <row r="77" spans="1:8">
      <c r="A77" s="27"/>
      <c r="B77" s="27"/>
      <c r="C77" s="28"/>
      <c r="D77" s="28"/>
      <c r="E77" s="23" t="s">
        <v>16</v>
      </c>
      <c r="F77" s="23" t="s">
        <v>16</v>
      </c>
      <c r="G77" s="23" t="s">
        <v>16</v>
      </c>
      <c r="H77" s="23" t="s">
        <v>16</v>
      </c>
    </row>
    <row r="78" spans="1:8">
      <c r="A78" s="27"/>
      <c r="B78" s="27"/>
      <c r="C78" s="28"/>
      <c r="D78" s="28"/>
      <c r="E78" s="23" t="s">
        <v>16</v>
      </c>
      <c r="F78" s="23" t="s">
        <v>16</v>
      </c>
      <c r="G78" s="23" t="s">
        <v>16</v>
      </c>
      <c r="H78" s="23" t="s">
        <v>16</v>
      </c>
    </row>
    <row r="79" spans="1:8">
      <c r="A79" s="27"/>
      <c r="B79" s="27"/>
      <c r="C79" s="28"/>
      <c r="D79" s="28"/>
      <c r="E79" s="23" t="s">
        <v>16</v>
      </c>
      <c r="F79" s="23" t="s">
        <v>16</v>
      </c>
      <c r="G79" s="23" t="s">
        <v>16</v>
      </c>
      <c r="H79" s="23" t="s">
        <v>16</v>
      </c>
    </row>
    <row r="80" spans="1:8">
      <c r="A80" s="27"/>
      <c r="B80" s="27"/>
      <c r="C80" s="28"/>
      <c r="D80" s="28"/>
      <c r="E80" s="23" t="s">
        <v>16</v>
      </c>
      <c r="F80" s="23" t="s">
        <v>16</v>
      </c>
      <c r="G80" s="23" t="s">
        <v>16</v>
      </c>
      <c r="H80" s="23" t="s">
        <v>16</v>
      </c>
    </row>
    <row r="81" spans="1:8">
      <c r="A81" s="27"/>
      <c r="B81" s="27"/>
      <c r="C81" s="28"/>
      <c r="D81" s="28"/>
      <c r="E81" s="23" t="s">
        <v>16</v>
      </c>
      <c r="F81" s="23" t="s">
        <v>16</v>
      </c>
      <c r="G81" s="23" t="s">
        <v>16</v>
      </c>
      <c r="H81" s="23" t="s">
        <v>16</v>
      </c>
    </row>
    <row r="82" spans="1:8">
      <c r="A82" s="27"/>
      <c r="B82" s="27"/>
      <c r="C82" s="28"/>
      <c r="D82" s="28"/>
      <c r="E82" s="23" t="s">
        <v>16</v>
      </c>
      <c r="F82" s="23" t="s">
        <v>16</v>
      </c>
      <c r="G82" s="23" t="s">
        <v>16</v>
      </c>
      <c r="H82" s="23" t="s">
        <v>16</v>
      </c>
    </row>
    <row r="83" spans="1:8">
      <c r="A83" s="27"/>
      <c r="B83" s="27"/>
      <c r="C83" s="28"/>
      <c r="D83" s="28"/>
      <c r="E83" s="23" t="s">
        <v>16</v>
      </c>
      <c r="F83" s="23" t="s">
        <v>16</v>
      </c>
      <c r="G83" s="23" t="s">
        <v>16</v>
      </c>
      <c r="H83" s="23" t="s">
        <v>16</v>
      </c>
    </row>
    <row r="84" spans="1:8">
      <c r="A84" s="27"/>
      <c r="B84" s="27"/>
      <c r="C84" s="28"/>
      <c r="D84" s="28"/>
      <c r="E84" s="23" t="s">
        <v>16</v>
      </c>
      <c r="F84" s="23" t="s">
        <v>16</v>
      </c>
      <c r="G84" s="23" t="s">
        <v>16</v>
      </c>
      <c r="H84" s="23" t="s">
        <v>16</v>
      </c>
    </row>
    <row r="85" spans="1:8">
      <c r="A85" s="27"/>
      <c r="B85" s="27"/>
      <c r="C85" s="28"/>
      <c r="D85" s="28"/>
      <c r="E85" s="23" t="s">
        <v>16</v>
      </c>
      <c r="F85" s="23" t="s">
        <v>16</v>
      </c>
      <c r="G85" s="23" t="s">
        <v>16</v>
      </c>
      <c r="H85" s="23" t="s">
        <v>16</v>
      </c>
    </row>
    <row r="86" spans="1:8">
      <c r="A86" s="27"/>
      <c r="B86" s="27"/>
      <c r="C86" s="28"/>
      <c r="D86" s="28"/>
      <c r="E86" s="23" t="s">
        <v>16</v>
      </c>
      <c r="F86" s="23" t="s">
        <v>16</v>
      </c>
      <c r="G86" s="23" t="s">
        <v>16</v>
      </c>
      <c r="H86" s="23" t="s">
        <v>16</v>
      </c>
    </row>
    <row r="87" spans="1:8">
      <c r="A87" s="27"/>
      <c r="B87" s="27"/>
      <c r="C87" s="28"/>
      <c r="D87" s="28"/>
      <c r="E87" s="23" t="s">
        <v>16</v>
      </c>
      <c r="F87" s="23" t="s">
        <v>16</v>
      </c>
      <c r="G87" s="23" t="s">
        <v>16</v>
      </c>
      <c r="H87" s="23" t="s">
        <v>16</v>
      </c>
    </row>
    <row r="88" spans="1:8">
      <c r="A88" s="27"/>
      <c r="B88" s="27"/>
      <c r="C88" s="28"/>
      <c r="D88" s="28"/>
      <c r="E88" s="23" t="s">
        <v>16</v>
      </c>
      <c r="F88" s="23" t="s">
        <v>16</v>
      </c>
      <c r="G88" s="23" t="s">
        <v>16</v>
      </c>
      <c r="H88" s="23" t="s">
        <v>16</v>
      </c>
    </row>
    <row r="89" spans="1:8">
      <c r="A89" s="27"/>
      <c r="B89" s="27"/>
      <c r="C89" s="28"/>
      <c r="D89" s="28"/>
      <c r="E89" s="23" t="s">
        <v>16</v>
      </c>
      <c r="F89" s="23" t="s">
        <v>16</v>
      </c>
      <c r="G89" s="23" t="s">
        <v>16</v>
      </c>
      <c r="H89" s="23" t="s">
        <v>16</v>
      </c>
    </row>
    <row r="90" spans="1:8">
      <c r="A90" s="27"/>
      <c r="B90" s="27"/>
      <c r="C90" s="28"/>
      <c r="D90" s="28"/>
      <c r="E90" s="23" t="s">
        <v>16</v>
      </c>
      <c r="F90" s="23" t="s">
        <v>16</v>
      </c>
      <c r="G90" s="23" t="s">
        <v>16</v>
      </c>
      <c r="H90" s="23" t="s">
        <v>16</v>
      </c>
    </row>
    <row r="91" spans="1:8">
      <c r="A91" s="27"/>
      <c r="B91" s="27"/>
      <c r="C91" s="28"/>
      <c r="D91" s="28"/>
      <c r="E91" s="23" t="s">
        <v>16</v>
      </c>
      <c r="F91" s="23" t="s">
        <v>16</v>
      </c>
      <c r="G91" s="23" t="s">
        <v>16</v>
      </c>
      <c r="H91" s="23" t="s">
        <v>16</v>
      </c>
    </row>
    <row r="92" spans="1:8">
      <c r="A92" s="27"/>
      <c r="B92" s="27"/>
      <c r="C92" s="28"/>
      <c r="D92" s="28"/>
      <c r="E92" s="23" t="s">
        <v>16</v>
      </c>
      <c r="F92" s="23" t="s">
        <v>16</v>
      </c>
      <c r="G92" s="23" t="s">
        <v>16</v>
      </c>
      <c r="H92" s="23" t="s">
        <v>16</v>
      </c>
    </row>
    <row r="93" spans="1:8">
      <c r="A93" s="27"/>
      <c r="B93" s="27"/>
      <c r="C93" s="28"/>
      <c r="D93" s="28"/>
      <c r="E93" s="23" t="s">
        <v>16</v>
      </c>
      <c r="F93" s="23" t="s">
        <v>16</v>
      </c>
      <c r="G93" s="23" t="s">
        <v>16</v>
      </c>
      <c r="H93" s="23" t="s">
        <v>16</v>
      </c>
    </row>
    <row r="94" spans="1:8">
      <c r="A94" s="27"/>
      <c r="B94" s="27"/>
      <c r="C94" s="28"/>
      <c r="D94" s="28"/>
      <c r="E94" s="23" t="s">
        <v>16</v>
      </c>
      <c r="F94" s="23" t="s">
        <v>16</v>
      </c>
      <c r="G94" s="23" t="s">
        <v>16</v>
      </c>
      <c r="H94" s="23" t="s">
        <v>16</v>
      </c>
    </row>
    <row r="95" spans="1:8">
      <c r="A95" s="27"/>
      <c r="B95" s="27"/>
      <c r="C95" s="28"/>
      <c r="D95" s="28"/>
      <c r="E95" s="23" t="s">
        <v>16</v>
      </c>
      <c r="F95" s="23" t="s">
        <v>16</v>
      </c>
      <c r="G95" s="23" t="s">
        <v>16</v>
      </c>
      <c r="H95" s="23" t="s">
        <v>16</v>
      </c>
    </row>
    <row r="96" spans="1:8">
      <c r="A96" s="27"/>
      <c r="B96" s="27"/>
      <c r="C96" s="28"/>
      <c r="D96" s="28"/>
      <c r="E96" s="23" t="s">
        <v>16</v>
      </c>
      <c r="F96" s="23" t="s">
        <v>16</v>
      </c>
      <c r="G96" s="23" t="s">
        <v>16</v>
      </c>
      <c r="H96" s="23" t="s">
        <v>16</v>
      </c>
    </row>
    <row r="97" spans="1:8">
      <c r="A97" s="27"/>
      <c r="B97" s="27"/>
      <c r="C97" s="28"/>
      <c r="D97" s="28"/>
      <c r="E97" s="23" t="s">
        <v>16</v>
      </c>
      <c r="F97" s="23" t="s">
        <v>16</v>
      </c>
      <c r="G97" s="23" t="s">
        <v>16</v>
      </c>
      <c r="H97" s="23" t="s">
        <v>16</v>
      </c>
    </row>
    <row r="98" spans="1:8">
      <c r="A98" s="27"/>
      <c r="B98" s="27"/>
      <c r="C98" s="28"/>
      <c r="D98" s="28"/>
      <c r="E98" s="23" t="s">
        <v>16</v>
      </c>
      <c r="F98" s="23" t="s">
        <v>16</v>
      </c>
      <c r="G98" s="23" t="s">
        <v>16</v>
      </c>
      <c r="H98" s="23" t="s">
        <v>16</v>
      </c>
    </row>
    <row r="99" spans="1:8">
      <c r="A99" s="27"/>
      <c r="B99" s="27"/>
      <c r="C99" s="28"/>
      <c r="D99" s="28"/>
      <c r="E99" s="23" t="s">
        <v>16</v>
      </c>
      <c r="F99" s="23" t="s">
        <v>16</v>
      </c>
      <c r="G99" s="23" t="s">
        <v>16</v>
      </c>
      <c r="H99" s="23" t="s">
        <v>16</v>
      </c>
    </row>
    <row r="100" spans="1:8">
      <c r="A100" s="27"/>
      <c r="B100" s="27"/>
      <c r="C100" s="28"/>
      <c r="D100" s="28"/>
      <c r="E100" s="23" t="s">
        <v>16</v>
      </c>
      <c r="F100" s="23" t="s">
        <v>16</v>
      </c>
      <c r="G100" s="23" t="s">
        <v>16</v>
      </c>
      <c r="H100" s="23" t="s">
        <v>16</v>
      </c>
    </row>
    <row r="101" spans="1:8">
      <c r="A101" s="27"/>
      <c r="B101" s="27"/>
      <c r="C101" s="28"/>
      <c r="D101" s="28"/>
      <c r="E101" s="23" t="s">
        <v>16</v>
      </c>
      <c r="F101" s="23" t="s">
        <v>16</v>
      </c>
      <c r="G101" s="23" t="s">
        <v>16</v>
      </c>
      <c r="H101" s="23" t="s">
        <v>16</v>
      </c>
    </row>
    <row r="102" spans="1:8">
      <c r="A102" s="27"/>
      <c r="B102" s="27"/>
      <c r="C102" s="28"/>
      <c r="D102" s="28"/>
      <c r="E102" s="23" t="s">
        <v>16</v>
      </c>
      <c r="F102" s="23" t="s">
        <v>16</v>
      </c>
      <c r="G102" s="23" t="s">
        <v>16</v>
      </c>
      <c r="H102" s="23" t="s">
        <v>16</v>
      </c>
    </row>
    <row r="103" spans="1:8">
      <c r="A103" s="27"/>
      <c r="B103" s="27"/>
      <c r="C103" s="28"/>
      <c r="D103" s="28"/>
      <c r="E103" s="23" t="s">
        <v>16</v>
      </c>
      <c r="F103" s="23" t="s">
        <v>16</v>
      </c>
      <c r="G103" s="23" t="s">
        <v>16</v>
      </c>
      <c r="H103" s="23" t="s">
        <v>16</v>
      </c>
    </row>
    <row r="104" spans="1:8">
      <c r="A104" s="27"/>
      <c r="B104" s="27"/>
      <c r="C104" s="28"/>
      <c r="D104" s="28"/>
      <c r="E104" s="23" t="s">
        <v>16</v>
      </c>
      <c r="F104" s="23" t="s">
        <v>16</v>
      </c>
      <c r="G104" s="23" t="s">
        <v>16</v>
      </c>
      <c r="H104" s="23" t="s">
        <v>16</v>
      </c>
    </row>
    <row r="105" spans="1:8">
      <c r="A105" s="27"/>
      <c r="B105" s="27"/>
      <c r="C105" s="28"/>
      <c r="D105" s="28"/>
      <c r="E105" s="23" t="s">
        <v>16</v>
      </c>
      <c r="F105" s="23" t="s">
        <v>16</v>
      </c>
      <c r="G105" s="23" t="s">
        <v>16</v>
      </c>
      <c r="H105" s="23" t="s">
        <v>16</v>
      </c>
    </row>
    <row r="106" spans="1:8">
      <c r="A106" s="27"/>
      <c r="B106" s="27"/>
      <c r="C106" s="28"/>
      <c r="D106" s="28"/>
      <c r="E106" s="23" t="s">
        <v>16</v>
      </c>
      <c r="F106" s="23" t="s">
        <v>16</v>
      </c>
      <c r="G106" s="23" t="s">
        <v>16</v>
      </c>
      <c r="H106" s="23" t="s">
        <v>16</v>
      </c>
    </row>
    <row r="107" spans="1:8">
      <c r="A107" s="27"/>
      <c r="B107" s="27"/>
      <c r="C107" s="28"/>
      <c r="D107" s="28"/>
      <c r="E107" s="23" t="s">
        <v>16</v>
      </c>
      <c r="F107" s="23" t="s">
        <v>16</v>
      </c>
      <c r="G107" s="23" t="s">
        <v>16</v>
      </c>
      <c r="H107" s="23" t="s">
        <v>16</v>
      </c>
    </row>
    <row r="108" spans="1:8">
      <c r="A108" s="27"/>
      <c r="B108" s="27"/>
      <c r="C108" s="28"/>
      <c r="D108" s="28"/>
      <c r="E108" s="23" t="s">
        <v>16</v>
      </c>
      <c r="F108" s="23" t="s">
        <v>16</v>
      </c>
      <c r="G108" s="23" t="s">
        <v>16</v>
      </c>
      <c r="H108" s="23" t="s">
        <v>16</v>
      </c>
    </row>
    <row r="109" spans="1:8">
      <c r="A109" s="27"/>
      <c r="B109" s="27"/>
      <c r="C109" s="28"/>
      <c r="D109" s="28"/>
      <c r="E109" s="23" t="s">
        <v>16</v>
      </c>
      <c r="F109" s="23" t="s">
        <v>16</v>
      </c>
      <c r="G109" s="23" t="s">
        <v>16</v>
      </c>
      <c r="H109" s="23" t="s">
        <v>16</v>
      </c>
    </row>
    <row r="110" spans="1:8">
      <c r="A110" s="27"/>
      <c r="B110" s="27"/>
      <c r="C110" s="28"/>
      <c r="D110" s="28"/>
      <c r="E110" s="23" t="s">
        <v>16</v>
      </c>
      <c r="F110" s="23" t="s">
        <v>16</v>
      </c>
      <c r="G110" s="23" t="s">
        <v>16</v>
      </c>
      <c r="H110" s="23" t="s">
        <v>16</v>
      </c>
    </row>
    <row r="111" spans="1:8">
      <c r="A111" s="27"/>
      <c r="B111" s="27"/>
      <c r="C111" s="28"/>
      <c r="D111" s="28"/>
      <c r="E111" s="23" t="s">
        <v>16</v>
      </c>
      <c r="F111" s="23" t="s">
        <v>16</v>
      </c>
      <c r="G111" s="23" t="s">
        <v>16</v>
      </c>
      <c r="H111" s="23" t="s">
        <v>16</v>
      </c>
    </row>
    <row r="112" spans="1:8">
      <c r="A112" s="27"/>
      <c r="B112" s="27"/>
      <c r="C112" s="28"/>
      <c r="D112" s="28"/>
      <c r="E112" s="23" t="s">
        <v>16</v>
      </c>
      <c r="F112" s="23" t="s">
        <v>16</v>
      </c>
      <c r="G112" s="23" t="s">
        <v>16</v>
      </c>
      <c r="H112" s="23" t="s">
        <v>16</v>
      </c>
    </row>
    <row r="113" spans="1:8">
      <c r="A113" s="27"/>
      <c r="B113" s="27"/>
      <c r="C113" s="28"/>
      <c r="D113" s="28"/>
      <c r="E113" s="23" t="s">
        <v>16</v>
      </c>
      <c r="F113" s="23" t="s">
        <v>16</v>
      </c>
      <c r="G113" s="23" t="s">
        <v>16</v>
      </c>
      <c r="H113" s="23" t="s">
        <v>16</v>
      </c>
    </row>
    <row r="114" spans="1:8">
      <c r="A114" s="27"/>
      <c r="B114" s="27"/>
      <c r="C114" s="28"/>
      <c r="D114" s="28"/>
      <c r="E114" s="23" t="s">
        <v>16</v>
      </c>
      <c r="F114" s="23" t="s">
        <v>16</v>
      </c>
      <c r="G114" s="23" t="s">
        <v>16</v>
      </c>
      <c r="H114" s="23" t="s">
        <v>16</v>
      </c>
    </row>
    <row r="115" spans="1:8">
      <c r="A115" s="27"/>
      <c r="B115" s="27"/>
      <c r="C115" s="28"/>
      <c r="D115" s="28"/>
      <c r="E115" s="23" t="s">
        <v>16</v>
      </c>
      <c r="F115" s="23" t="s">
        <v>16</v>
      </c>
      <c r="G115" s="23" t="s">
        <v>16</v>
      </c>
      <c r="H115" s="23" t="s">
        <v>16</v>
      </c>
    </row>
    <row r="116" spans="1:8">
      <c r="A116" s="27"/>
      <c r="B116" s="27"/>
      <c r="C116" s="28"/>
      <c r="D116" s="28"/>
      <c r="E116" s="23" t="s">
        <v>16</v>
      </c>
      <c r="F116" s="23" t="s">
        <v>16</v>
      </c>
      <c r="G116" s="23" t="s">
        <v>16</v>
      </c>
      <c r="H116" s="23" t="s">
        <v>16</v>
      </c>
    </row>
    <row r="117" spans="1:8">
      <c r="A117" s="27"/>
      <c r="B117" s="27"/>
      <c r="C117" s="28"/>
      <c r="D117" s="28"/>
      <c r="E117" s="23" t="s">
        <v>16</v>
      </c>
      <c r="F117" s="23" t="s">
        <v>16</v>
      </c>
      <c r="G117" s="23" t="s">
        <v>16</v>
      </c>
      <c r="H117" s="23" t="s">
        <v>16</v>
      </c>
    </row>
    <row r="118" spans="1:8">
      <c r="A118" s="27"/>
      <c r="B118" s="27"/>
      <c r="C118" s="28"/>
      <c r="D118" s="28"/>
      <c r="E118" s="23" t="s">
        <v>16</v>
      </c>
      <c r="F118" s="23" t="s">
        <v>16</v>
      </c>
      <c r="G118" s="23" t="s">
        <v>16</v>
      </c>
      <c r="H118" s="23" t="s">
        <v>16</v>
      </c>
    </row>
    <row r="119" spans="1:8">
      <c r="A119" s="27"/>
      <c r="B119" s="27"/>
      <c r="C119" s="28"/>
      <c r="D119" s="28"/>
      <c r="E119" s="23" t="s">
        <v>16</v>
      </c>
      <c r="F119" s="23" t="s">
        <v>16</v>
      </c>
      <c r="G119" s="23" t="s">
        <v>16</v>
      </c>
      <c r="H119" s="23" t="s">
        <v>16</v>
      </c>
    </row>
    <row r="120" spans="1:8">
      <c r="A120" s="27"/>
      <c r="B120" s="27"/>
      <c r="C120" s="28"/>
      <c r="D120" s="28"/>
      <c r="E120" s="23" t="s">
        <v>16</v>
      </c>
      <c r="F120" s="23" t="s">
        <v>16</v>
      </c>
      <c r="G120" s="23" t="s">
        <v>16</v>
      </c>
      <c r="H120" s="23" t="s">
        <v>16</v>
      </c>
    </row>
    <row r="121" spans="1:8">
      <c r="A121" s="27"/>
      <c r="B121" s="27"/>
      <c r="C121" s="28"/>
      <c r="D121" s="28"/>
      <c r="E121" s="23" t="s">
        <v>16</v>
      </c>
      <c r="F121" s="23" t="s">
        <v>16</v>
      </c>
      <c r="G121" s="23" t="s">
        <v>16</v>
      </c>
      <c r="H121" s="23" t="s">
        <v>16</v>
      </c>
    </row>
    <row r="122" spans="1:8">
      <c r="A122" s="27"/>
      <c r="B122" s="27"/>
      <c r="C122" s="28"/>
      <c r="D122" s="28"/>
      <c r="E122" s="23" t="s">
        <v>16</v>
      </c>
      <c r="F122" s="23" t="s">
        <v>16</v>
      </c>
      <c r="G122" s="23" t="s">
        <v>16</v>
      </c>
      <c r="H122" s="23" t="s">
        <v>16</v>
      </c>
    </row>
    <row r="123" spans="1:8">
      <c r="A123" s="27"/>
      <c r="B123" s="27"/>
      <c r="C123" s="28"/>
      <c r="D123" s="28"/>
      <c r="E123" s="23" t="s">
        <v>16</v>
      </c>
      <c r="F123" s="23" t="s">
        <v>16</v>
      </c>
      <c r="G123" s="23" t="s">
        <v>16</v>
      </c>
      <c r="H123" s="23" t="s">
        <v>16</v>
      </c>
    </row>
    <row r="124" spans="1:8">
      <c r="A124" s="27"/>
      <c r="B124" s="27"/>
      <c r="C124" s="28"/>
      <c r="D124" s="28"/>
      <c r="E124" s="23" t="s">
        <v>16</v>
      </c>
      <c r="F124" s="23" t="s">
        <v>16</v>
      </c>
      <c r="G124" s="23" t="s">
        <v>16</v>
      </c>
      <c r="H124" s="23" t="s">
        <v>16</v>
      </c>
    </row>
    <row r="125" spans="1:8">
      <c r="A125" s="27"/>
      <c r="B125" s="27"/>
      <c r="C125" s="28"/>
      <c r="D125" s="28"/>
      <c r="E125" s="23" t="s">
        <v>16</v>
      </c>
      <c r="F125" s="23" t="s">
        <v>16</v>
      </c>
      <c r="G125" s="23" t="s">
        <v>16</v>
      </c>
      <c r="H125" s="23" t="s">
        <v>16</v>
      </c>
    </row>
    <row r="126" spans="1:8">
      <c r="A126" s="27"/>
      <c r="B126" s="27"/>
      <c r="C126" s="28"/>
      <c r="D126" s="28"/>
      <c r="E126" s="23" t="s">
        <v>16</v>
      </c>
      <c r="F126" s="23" t="s">
        <v>16</v>
      </c>
      <c r="G126" s="23" t="s">
        <v>16</v>
      </c>
      <c r="H126" s="23" t="s">
        <v>16</v>
      </c>
    </row>
    <row r="127" spans="1:8">
      <c r="A127" s="27"/>
      <c r="B127" s="27"/>
      <c r="C127" s="28"/>
      <c r="D127" s="28"/>
      <c r="E127" s="23"/>
      <c r="F127" s="23"/>
      <c r="G127" s="23"/>
      <c r="H127" s="23"/>
    </row>
    <row r="128" spans="1:8">
      <c r="A128" s="27"/>
      <c r="B128" s="27"/>
      <c r="C128" s="28"/>
      <c r="D128" s="28"/>
      <c r="E128" s="23"/>
      <c r="F128" s="23"/>
      <c r="G128" s="23"/>
      <c r="H128" s="23"/>
    </row>
    <row r="129" spans="1:8">
      <c r="A129" s="27"/>
      <c r="B129" s="27"/>
      <c r="C129" s="28"/>
      <c r="D129" s="28"/>
      <c r="E129" s="23"/>
      <c r="F129" s="23"/>
      <c r="G129" s="23"/>
      <c r="H129" s="23"/>
    </row>
    <row r="130" spans="1:8">
      <c r="A130" s="27"/>
      <c r="B130" s="27"/>
      <c r="C130" s="28"/>
      <c r="D130" s="28"/>
      <c r="E130" s="23"/>
      <c r="F130" s="23"/>
      <c r="G130" s="23"/>
      <c r="H130" s="23"/>
    </row>
    <row r="131" spans="1:8">
      <c r="A131" s="27"/>
      <c r="B131" s="27"/>
      <c r="C131" s="28"/>
      <c r="D131" s="28"/>
      <c r="E131" s="23"/>
      <c r="F131" s="23"/>
      <c r="G131" s="23"/>
      <c r="H131" s="23"/>
    </row>
    <row r="132" spans="1:8">
      <c r="A132" s="27"/>
      <c r="B132" s="27"/>
      <c r="C132" s="28"/>
      <c r="D132" s="28"/>
      <c r="E132" s="23"/>
      <c r="F132" s="23"/>
      <c r="G132" s="23"/>
      <c r="H132" s="23"/>
    </row>
    <row r="133" spans="1:8">
      <c r="A133" s="27"/>
      <c r="B133" s="27"/>
      <c r="C133" s="28"/>
      <c r="D133" s="28"/>
      <c r="E133" s="23"/>
      <c r="F133" s="23"/>
      <c r="G133" s="23"/>
      <c r="H133" s="23"/>
    </row>
    <row r="134" spans="1:8">
      <c r="A134" s="27"/>
      <c r="B134" s="27"/>
      <c r="C134" s="28"/>
      <c r="D134" s="28"/>
      <c r="E134" s="23"/>
      <c r="F134" s="23"/>
      <c r="G134" s="23"/>
      <c r="H134" s="23"/>
    </row>
    <row r="135" spans="1:8">
      <c r="A135" s="27"/>
      <c r="B135" s="27"/>
      <c r="C135" s="28"/>
      <c r="D135" s="28"/>
      <c r="E135" s="23"/>
      <c r="F135" s="23"/>
      <c r="G135" s="23"/>
      <c r="H135" s="23"/>
    </row>
    <row r="136" spans="1:8">
      <c r="A136" s="27"/>
      <c r="B136" s="27"/>
      <c r="C136" s="28"/>
      <c r="D136" s="28"/>
      <c r="E136" s="23"/>
      <c r="F136" s="23"/>
      <c r="G136" s="23"/>
      <c r="H136" s="23"/>
    </row>
    <row r="137" spans="1:8">
      <c r="A137" s="27"/>
      <c r="B137" s="27"/>
      <c r="C137" s="28"/>
      <c r="D137" s="28"/>
      <c r="E137" s="23"/>
      <c r="F137" s="23"/>
      <c r="G137" s="23"/>
      <c r="H137" s="23"/>
    </row>
    <row r="138" spans="1:8">
      <c r="A138" s="27"/>
      <c r="B138" s="27"/>
      <c r="C138" s="28"/>
      <c r="D138" s="28"/>
      <c r="E138" s="23"/>
      <c r="F138" s="23"/>
      <c r="G138" s="23"/>
      <c r="H138" s="23"/>
    </row>
    <row r="139" spans="1:8">
      <c r="A139" s="27"/>
      <c r="B139" s="27"/>
      <c r="C139" s="28"/>
      <c r="D139" s="28"/>
      <c r="E139" s="23"/>
      <c r="F139" s="23"/>
      <c r="G139" s="23"/>
      <c r="H139" s="23"/>
    </row>
    <row r="140" spans="1:8">
      <c r="A140" s="27"/>
      <c r="B140" s="27"/>
      <c r="C140" s="28"/>
      <c r="D140" s="28"/>
      <c r="E140" s="23"/>
      <c r="F140" s="23"/>
      <c r="G140" s="23"/>
      <c r="H140" s="23"/>
    </row>
    <row r="141" spans="1:8">
      <c r="A141" s="27"/>
      <c r="B141" s="27"/>
      <c r="C141" s="28"/>
      <c r="D141" s="28"/>
      <c r="E141" s="23"/>
      <c r="F141" s="23"/>
      <c r="G141" s="23"/>
      <c r="H141" s="23"/>
    </row>
    <row r="142" spans="1:8">
      <c r="A142" s="27"/>
      <c r="B142" s="27"/>
      <c r="C142" s="28"/>
      <c r="D142" s="28"/>
      <c r="E142" s="23"/>
      <c r="F142" s="23"/>
      <c r="G142" s="23"/>
      <c r="H142" s="23"/>
    </row>
    <row r="143" spans="1:8">
      <c r="A143" s="27"/>
      <c r="B143" s="27"/>
      <c r="C143" s="28"/>
      <c r="D143" s="28"/>
      <c r="E143" s="23"/>
      <c r="F143" s="23"/>
      <c r="G143" s="23"/>
      <c r="H143" s="23"/>
    </row>
    <row r="144" spans="1:8">
      <c r="A144" s="27"/>
      <c r="B144" s="27"/>
      <c r="C144" s="28"/>
      <c r="D144" s="28"/>
      <c r="E144" s="23"/>
      <c r="F144" s="23"/>
      <c r="G144" s="23"/>
      <c r="H144" s="23"/>
    </row>
    <row r="145" spans="1:8">
      <c r="A145" s="27"/>
      <c r="B145" s="27"/>
      <c r="C145" s="28"/>
      <c r="D145" s="28"/>
      <c r="E145" s="23"/>
      <c r="F145" s="23"/>
      <c r="G145" s="23"/>
      <c r="H145" s="23"/>
    </row>
    <row r="146" spans="1:8">
      <c r="A146" s="27"/>
      <c r="B146" s="27"/>
      <c r="C146" s="28"/>
      <c r="D146" s="28"/>
      <c r="E146" s="23"/>
      <c r="F146" s="23"/>
      <c r="G146" s="23"/>
      <c r="H146" s="23"/>
    </row>
    <row r="147" spans="1:8">
      <c r="A147" s="27"/>
      <c r="B147" s="27"/>
      <c r="C147" s="28"/>
      <c r="D147" s="28"/>
      <c r="E147" s="23"/>
      <c r="F147" s="23"/>
      <c r="G147" s="23"/>
      <c r="H147" s="23"/>
    </row>
    <row r="148" spans="1:8">
      <c r="A148" s="27"/>
      <c r="B148" s="27"/>
      <c r="C148" s="28"/>
      <c r="D148" s="28"/>
      <c r="E148" s="23"/>
      <c r="F148" s="23"/>
      <c r="G148" s="23"/>
      <c r="H148" s="23"/>
    </row>
    <row r="149" spans="1:8">
      <c r="A149" s="27"/>
      <c r="B149" s="27"/>
      <c r="C149" s="28"/>
      <c r="D149" s="28"/>
      <c r="E149" s="23"/>
      <c r="F149" s="23"/>
      <c r="G149" s="23"/>
      <c r="H149" s="23"/>
    </row>
    <row r="150" spans="1:8">
      <c r="A150" s="27"/>
      <c r="B150" s="27"/>
      <c r="C150" s="28"/>
      <c r="D150" s="28"/>
      <c r="E150" s="23"/>
      <c r="F150" s="23"/>
      <c r="G150" s="23"/>
      <c r="H150" s="23"/>
    </row>
    <row r="151" spans="1:8">
      <c r="A151" s="27"/>
      <c r="B151" s="27"/>
      <c r="C151" s="28"/>
      <c r="D151" s="28"/>
      <c r="E151" s="23"/>
      <c r="F151" s="23"/>
      <c r="G151" s="23"/>
      <c r="H151" s="23"/>
    </row>
    <row r="152" spans="1:8">
      <c r="A152" s="27"/>
      <c r="B152" s="27"/>
      <c r="C152" s="28"/>
      <c r="D152" s="28"/>
      <c r="E152" s="23"/>
      <c r="F152" s="23"/>
      <c r="G152" s="23"/>
      <c r="H152" s="23"/>
    </row>
    <row r="153" spans="1:8">
      <c r="A153" s="27"/>
      <c r="B153" s="27"/>
      <c r="C153" s="28"/>
      <c r="D153" s="28"/>
      <c r="E153" s="23"/>
      <c r="F153" s="23"/>
      <c r="G153" s="23"/>
      <c r="H153" s="23"/>
    </row>
    <row r="154" spans="1:8">
      <c r="A154" s="27"/>
      <c r="B154" s="27"/>
      <c r="C154" s="28"/>
      <c r="D154" s="28"/>
      <c r="E154" s="23"/>
      <c r="F154" s="23"/>
      <c r="G154" s="23"/>
      <c r="H154" s="23"/>
    </row>
    <row r="155" spans="1:8">
      <c r="A155" s="27"/>
      <c r="B155" s="27"/>
      <c r="C155" s="28"/>
      <c r="D155" s="28"/>
      <c r="E155" s="23"/>
      <c r="F155" s="23"/>
      <c r="G155" s="23"/>
      <c r="H155" s="23"/>
    </row>
    <row r="156" spans="1:8">
      <c r="A156" s="27"/>
      <c r="B156" s="27"/>
      <c r="C156" s="28"/>
      <c r="D156" s="28"/>
      <c r="E156" s="23"/>
      <c r="F156" s="23"/>
      <c r="G156" s="23"/>
      <c r="H156" s="23"/>
    </row>
    <row r="157" spans="1:8">
      <c r="A157" s="27"/>
      <c r="B157" s="27"/>
      <c r="C157" s="28"/>
      <c r="D157" s="28"/>
      <c r="E157" s="23"/>
      <c r="F157" s="23"/>
      <c r="G157" s="23"/>
      <c r="H157" s="23"/>
    </row>
    <row r="158" spans="1:8">
      <c r="A158" s="27"/>
      <c r="B158" s="27"/>
      <c r="C158" s="28"/>
      <c r="D158" s="28"/>
      <c r="E158" s="23"/>
      <c r="F158" s="23"/>
      <c r="G158" s="23"/>
      <c r="H158" s="23"/>
    </row>
    <row r="159" spans="1:8">
      <c r="A159" s="27"/>
      <c r="B159" s="27"/>
      <c r="C159" s="28"/>
      <c r="D159" s="28"/>
      <c r="E159" s="23"/>
      <c r="F159" s="23"/>
      <c r="G159" s="23"/>
      <c r="H159" s="23"/>
    </row>
    <row r="160" spans="1:8">
      <c r="A160" s="27"/>
      <c r="B160" s="27"/>
      <c r="C160" s="28"/>
      <c r="D160" s="28"/>
      <c r="E160" s="23"/>
      <c r="F160" s="23"/>
      <c r="G160" s="23"/>
      <c r="H160" s="23"/>
    </row>
    <row r="161" spans="1:8">
      <c r="A161" s="27"/>
      <c r="B161" s="27"/>
      <c r="C161" s="28"/>
      <c r="D161" s="28"/>
      <c r="E161" s="23"/>
      <c r="F161" s="23"/>
      <c r="G161" s="23"/>
      <c r="H161" s="23"/>
    </row>
    <row r="162" spans="1:8">
      <c r="A162" s="27"/>
      <c r="B162" s="27"/>
      <c r="C162" s="28"/>
      <c r="D162" s="28"/>
      <c r="E162" s="23"/>
      <c r="F162" s="23"/>
      <c r="G162" s="23"/>
      <c r="H162" s="23"/>
    </row>
    <row r="163" spans="1:8">
      <c r="A163" s="27"/>
      <c r="B163" s="27"/>
      <c r="C163" s="28"/>
      <c r="D163" s="28"/>
      <c r="E163" s="23"/>
      <c r="F163" s="23"/>
      <c r="G163" s="23"/>
      <c r="H163" s="23"/>
    </row>
    <row r="164" spans="1:8">
      <c r="A164" s="27"/>
      <c r="B164" s="27"/>
      <c r="C164" s="28"/>
      <c r="D164" s="28"/>
      <c r="E164" s="23"/>
      <c r="F164" s="23"/>
      <c r="G164" s="23"/>
      <c r="H164" s="23"/>
    </row>
    <row r="165" spans="1:8">
      <c r="A165" s="27"/>
      <c r="B165" s="27"/>
      <c r="C165" s="28"/>
      <c r="D165" s="28"/>
      <c r="E165" s="23"/>
      <c r="F165" s="23"/>
      <c r="G165" s="23"/>
      <c r="H165" s="23"/>
    </row>
    <row r="166" spans="1:8">
      <c r="A166" s="27"/>
      <c r="B166" s="27"/>
      <c r="C166" s="28"/>
      <c r="D166" s="28"/>
      <c r="E166" s="23"/>
      <c r="F166" s="23"/>
      <c r="G166" s="23"/>
      <c r="H166" s="23"/>
    </row>
    <row r="167" spans="1:8">
      <c r="A167" s="27"/>
      <c r="B167" s="27"/>
      <c r="C167" s="28"/>
      <c r="D167" s="28"/>
      <c r="E167" s="23"/>
      <c r="F167" s="23"/>
      <c r="G167" s="23"/>
      <c r="H167" s="23"/>
    </row>
    <row r="168" spans="1:8">
      <c r="A168" s="27"/>
      <c r="B168" s="27"/>
      <c r="C168" s="28"/>
      <c r="D168" s="28"/>
      <c r="E168" s="23"/>
      <c r="F168" s="23"/>
      <c r="G168" s="23"/>
      <c r="H168" s="23"/>
    </row>
    <row r="169" spans="1:8">
      <c r="A169" s="27"/>
      <c r="B169" s="27"/>
      <c r="C169" s="28"/>
      <c r="D169" s="28"/>
      <c r="E169" s="23"/>
      <c r="F169" s="23"/>
      <c r="G169" s="23"/>
      <c r="H169" s="23"/>
    </row>
    <row r="170" spans="1:8">
      <c r="A170" s="27"/>
      <c r="B170" s="27"/>
      <c r="C170" s="28"/>
      <c r="D170" s="28"/>
      <c r="E170" s="23"/>
      <c r="F170" s="23"/>
      <c r="G170" s="23"/>
      <c r="H170" s="23"/>
    </row>
    <row r="171" spans="1:8">
      <c r="A171" s="27"/>
      <c r="B171" s="27"/>
      <c r="C171" s="28"/>
      <c r="D171" s="28"/>
      <c r="E171" s="23"/>
      <c r="F171" s="23"/>
      <c r="G171" s="23"/>
      <c r="H171" s="23"/>
    </row>
    <row r="172" spans="1:8">
      <c r="A172" s="27"/>
      <c r="B172" s="27"/>
      <c r="C172" s="28"/>
      <c r="D172" s="28"/>
      <c r="E172" s="23"/>
      <c r="F172" s="23"/>
      <c r="G172" s="23"/>
      <c r="H172" s="23"/>
    </row>
    <row r="173" spans="1:8">
      <c r="A173" s="27"/>
      <c r="B173" s="27"/>
      <c r="C173" s="28"/>
      <c r="D173" s="28"/>
      <c r="E173" s="23"/>
      <c r="F173" s="23"/>
      <c r="G173" s="23"/>
      <c r="H173" s="23"/>
    </row>
    <row r="174" spans="1:8">
      <c r="A174" s="27"/>
      <c r="B174" s="27"/>
      <c r="C174" s="28"/>
      <c r="D174" s="28"/>
      <c r="E174" s="23"/>
      <c r="F174" s="23"/>
      <c r="G174" s="23"/>
      <c r="H174" s="23"/>
    </row>
    <row r="175" spans="1:8">
      <c r="A175" s="27"/>
      <c r="B175" s="27"/>
      <c r="C175" s="28"/>
      <c r="D175" s="28"/>
      <c r="E175" s="23"/>
      <c r="F175" s="23"/>
      <c r="G175" s="23"/>
      <c r="H175" s="23"/>
    </row>
    <row r="176" spans="1:8">
      <c r="A176" s="27"/>
      <c r="B176" s="27"/>
      <c r="C176" s="28"/>
      <c r="D176" s="28"/>
      <c r="E176" s="23"/>
      <c r="F176" s="23"/>
      <c r="G176" s="23"/>
      <c r="H176" s="23"/>
    </row>
    <row r="177" spans="1:8">
      <c r="A177" s="27"/>
      <c r="B177" s="27"/>
      <c r="C177" s="28"/>
      <c r="D177" s="28"/>
      <c r="E177" s="23"/>
      <c r="F177" s="23"/>
      <c r="G177" s="23"/>
      <c r="H177" s="23"/>
    </row>
    <row r="178" spans="1:8">
      <c r="A178" s="27"/>
      <c r="B178" s="27"/>
      <c r="C178" s="28"/>
      <c r="D178" s="28"/>
      <c r="E178" s="23"/>
      <c r="F178" s="23"/>
      <c r="G178" s="23"/>
      <c r="H178" s="23"/>
    </row>
    <row r="179" spans="1:8">
      <c r="A179" s="27"/>
      <c r="B179" s="27"/>
      <c r="C179" s="28"/>
      <c r="D179" s="28"/>
      <c r="E179" s="23"/>
      <c r="F179" s="23"/>
      <c r="G179" s="23"/>
      <c r="H179" s="23"/>
    </row>
    <row r="180" spans="1:8">
      <c r="A180" s="27"/>
      <c r="B180" s="27"/>
      <c r="C180" s="28"/>
      <c r="D180" s="28"/>
      <c r="E180" s="23"/>
      <c r="F180" s="23"/>
      <c r="G180" s="23"/>
      <c r="H180" s="23"/>
    </row>
    <row r="181" spans="1:8">
      <c r="A181" s="27"/>
      <c r="B181" s="27"/>
      <c r="C181" s="28"/>
      <c r="D181" s="28"/>
      <c r="E181" s="23"/>
      <c r="F181" s="23"/>
      <c r="G181" s="23"/>
      <c r="H181" s="23"/>
    </row>
    <row r="182" spans="1:8">
      <c r="A182" s="27"/>
      <c r="B182" s="27"/>
      <c r="C182" s="28"/>
      <c r="D182" s="28"/>
      <c r="E182" s="23"/>
      <c r="F182" s="23"/>
      <c r="G182" s="23"/>
      <c r="H182" s="23"/>
    </row>
    <row r="183" spans="1:8">
      <c r="A183" s="27"/>
      <c r="B183" s="27"/>
      <c r="C183" s="28"/>
      <c r="D183" s="28"/>
      <c r="E183" s="23"/>
      <c r="F183" s="23"/>
      <c r="G183" s="23"/>
      <c r="H183" s="23"/>
    </row>
    <row r="184" spans="1:8">
      <c r="A184" s="27"/>
      <c r="B184" s="27"/>
      <c r="C184" s="28"/>
      <c r="D184" s="28"/>
      <c r="E184" s="23"/>
      <c r="F184" s="23"/>
      <c r="G184" s="23"/>
      <c r="H184" s="23"/>
    </row>
    <row r="185" spans="1:8">
      <c r="A185" s="27"/>
      <c r="B185" s="27"/>
      <c r="C185" s="28"/>
      <c r="D185" s="28"/>
      <c r="E185" s="23"/>
      <c r="F185" s="23"/>
      <c r="G185" s="23"/>
      <c r="H185" s="23"/>
    </row>
    <row r="186" spans="1:8">
      <c r="A186" s="27"/>
      <c r="B186" s="27"/>
      <c r="C186" s="28"/>
      <c r="D186" s="28"/>
      <c r="E186" s="23"/>
      <c r="F186" s="23"/>
      <c r="G186" s="23"/>
      <c r="H186" s="23"/>
    </row>
    <row r="187" spans="1:8">
      <c r="A187" s="27"/>
      <c r="B187" s="27"/>
      <c r="C187" s="28"/>
      <c r="D187" s="28"/>
      <c r="E187" s="23"/>
      <c r="F187" s="23"/>
      <c r="G187" s="23"/>
      <c r="H187" s="23"/>
    </row>
    <row r="188" spans="1:8">
      <c r="A188" s="27"/>
      <c r="B188" s="27"/>
      <c r="C188" s="28"/>
      <c r="D188" s="28"/>
      <c r="E188" s="23"/>
      <c r="F188" s="23"/>
      <c r="G188" s="23"/>
      <c r="H188" s="23"/>
    </row>
    <row r="189" spans="1:8">
      <c r="A189" s="27"/>
      <c r="B189" s="27"/>
      <c r="C189" s="28"/>
      <c r="D189" s="28"/>
      <c r="E189" s="23"/>
      <c r="F189" s="23"/>
      <c r="G189" s="23"/>
      <c r="H189" s="23"/>
    </row>
    <row r="190" spans="1:8">
      <c r="A190" s="27"/>
      <c r="B190" s="27"/>
      <c r="C190" s="28"/>
      <c r="D190" s="28"/>
      <c r="E190" s="23"/>
      <c r="F190" s="23"/>
      <c r="G190" s="23"/>
      <c r="H190" s="23"/>
    </row>
    <row r="191" spans="1:8">
      <c r="A191" s="27"/>
      <c r="B191" s="27"/>
      <c r="C191" s="28"/>
      <c r="D191" s="28"/>
      <c r="E191" s="23"/>
      <c r="F191" s="23"/>
      <c r="G191" s="23"/>
      <c r="H191" s="23"/>
    </row>
    <row r="192" spans="1:8">
      <c r="A192" s="27"/>
      <c r="B192" s="27"/>
      <c r="C192" s="28"/>
      <c r="D192" s="28"/>
      <c r="E192" s="23"/>
      <c r="F192" s="23"/>
      <c r="G192" s="23"/>
      <c r="H192" s="23"/>
    </row>
    <row r="193" spans="1:8">
      <c r="A193" s="27"/>
      <c r="B193" s="27"/>
      <c r="C193" s="28"/>
      <c r="D193" s="28"/>
      <c r="E193" s="23"/>
      <c r="F193" s="23"/>
      <c r="G193" s="23"/>
      <c r="H193" s="23"/>
    </row>
    <row r="194" spans="1:8">
      <c r="A194" s="27"/>
      <c r="B194" s="27"/>
      <c r="C194" s="28"/>
      <c r="D194" s="28"/>
      <c r="E194" s="23"/>
      <c r="F194" s="23"/>
      <c r="G194" s="23"/>
      <c r="H194" s="23"/>
    </row>
    <row r="195" spans="1:8">
      <c r="A195" s="27"/>
      <c r="B195" s="27"/>
      <c r="C195" s="28"/>
      <c r="D195" s="28"/>
      <c r="E195" s="23"/>
      <c r="F195" s="23"/>
      <c r="G195" s="23"/>
      <c r="H195" s="23"/>
    </row>
    <row r="196" spans="1:8">
      <c r="A196" s="27"/>
      <c r="B196" s="27"/>
      <c r="C196" s="28"/>
      <c r="D196" s="28"/>
      <c r="E196" s="23"/>
      <c r="F196" s="23"/>
      <c r="G196" s="23"/>
      <c r="H196" s="23"/>
    </row>
    <row r="197" spans="1:8">
      <c r="A197" s="27"/>
      <c r="B197" s="27"/>
      <c r="C197" s="28"/>
      <c r="D197" s="28"/>
      <c r="E197" s="23"/>
      <c r="F197" s="23"/>
      <c r="G197" s="23"/>
      <c r="H197" s="23"/>
    </row>
    <row r="198" spans="1:8">
      <c r="A198" s="27"/>
      <c r="B198" s="27"/>
      <c r="C198" s="28"/>
      <c r="D198" s="28"/>
      <c r="E198" s="23"/>
      <c r="F198" s="23"/>
      <c r="G198" s="23"/>
      <c r="H198" s="23"/>
    </row>
    <row r="199" spans="1:8">
      <c r="A199" s="27"/>
      <c r="B199" s="27"/>
      <c r="C199" s="28"/>
      <c r="D199" s="28"/>
      <c r="E199" s="23"/>
      <c r="F199" s="23"/>
      <c r="G199" s="23"/>
      <c r="H199" s="23"/>
    </row>
    <row r="200" spans="1:8">
      <c r="A200" s="27"/>
      <c r="B200" s="27"/>
      <c r="C200" s="28"/>
      <c r="D200" s="28"/>
      <c r="E200" s="23"/>
      <c r="F200" s="23"/>
      <c r="G200" s="23"/>
      <c r="H200" s="23"/>
    </row>
    <row r="201" spans="1:8">
      <c r="A201" s="27"/>
      <c r="B201" s="27"/>
      <c r="C201" s="28"/>
      <c r="D201" s="28"/>
      <c r="E201" s="23"/>
      <c r="F201" s="23"/>
      <c r="G201" s="23"/>
      <c r="H201" s="23"/>
    </row>
    <row r="202" spans="1:8">
      <c r="A202" s="27"/>
      <c r="B202" s="27"/>
      <c r="C202" s="28"/>
      <c r="D202" s="28"/>
      <c r="E202" s="23"/>
      <c r="F202" s="23"/>
      <c r="G202" s="23"/>
      <c r="H202" s="23"/>
    </row>
    <row r="203" spans="1:8">
      <c r="A203" s="27"/>
      <c r="B203" s="27"/>
      <c r="C203" s="28"/>
      <c r="D203" s="28"/>
      <c r="E203" s="23"/>
      <c r="F203" s="23"/>
      <c r="G203" s="23"/>
      <c r="H203" s="23"/>
    </row>
    <row r="204" spans="1:8">
      <c r="A204" s="27"/>
      <c r="B204" s="27"/>
      <c r="C204" s="28"/>
      <c r="D204" s="28"/>
      <c r="E204" s="23"/>
      <c r="F204" s="23"/>
      <c r="G204" s="23"/>
      <c r="H204" s="23"/>
    </row>
    <row r="205" spans="1:8">
      <c r="A205" s="27"/>
      <c r="B205" s="27"/>
      <c r="C205" s="28"/>
      <c r="D205" s="28"/>
      <c r="E205" s="23"/>
      <c r="F205" s="23"/>
      <c r="G205" s="23"/>
      <c r="H205" s="23"/>
    </row>
    <row r="206" spans="1:8">
      <c r="A206" s="27"/>
      <c r="B206" s="27"/>
      <c r="C206" s="28"/>
      <c r="D206" s="28"/>
      <c r="E206" s="23"/>
      <c r="F206" s="23"/>
      <c r="G206" s="23"/>
      <c r="H206" s="23"/>
    </row>
    <row r="207" spans="1:8">
      <c r="A207" s="27"/>
      <c r="B207" s="27"/>
      <c r="C207" s="28"/>
      <c r="D207" s="28"/>
      <c r="E207" s="23"/>
      <c r="F207" s="23"/>
      <c r="G207" s="23"/>
      <c r="H207" s="23"/>
    </row>
    <row r="208" spans="1:8">
      <c r="A208" s="27"/>
      <c r="B208" s="27"/>
      <c r="C208" s="28"/>
      <c r="D208" s="28"/>
      <c r="E208" s="23"/>
      <c r="F208" s="23"/>
      <c r="G208" s="23"/>
      <c r="H208" s="23"/>
    </row>
    <row r="209" spans="1:8">
      <c r="A209" s="27"/>
      <c r="B209" s="27"/>
      <c r="C209" s="28"/>
      <c r="D209" s="28"/>
      <c r="E209" s="23"/>
      <c r="F209" s="23"/>
      <c r="G209" s="23"/>
      <c r="H209" s="23"/>
    </row>
    <row r="210" spans="1:8">
      <c r="A210" s="27"/>
      <c r="B210" s="27"/>
      <c r="C210" s="28"/>
      <c r="D210" s="28"/>
      <c r="E210" s="23"/>
      <c r="F210" s="23"/>
      <c r="G210" s="23"/>
      <c r="H210" s="23"/>
    </row>
    <row r="211" spans="1:8">
      <c r="A211" s="27"/>
      <c r="B211" s="27"/>
      <c r="C211" s="28"/>
      <c r="D211" s="28"/>
      <c r="E211" s="23"/>
      <c r="F211" s="23"/>
      <c r="G211" s="23"/>
      <c r="H211" s="23"/>
    </row>
    <row r="212" spans="1:8">
      <c r="A212" s="27"/>
      <c r="B212" s="27"/>
      <c r="C212" s="28"/>
      <c r="D212" s="28"/>
      <c r="E212" s="23"/>
      <c r="F212" s="23"/>
      <c r="G212" s="23"/>
      <c r="H212" s="23"/>
    </row>
    <row r="213" spans="1:8">
      <c r="A213" s="27"/>
      <c r="B213" s="27"/>
      <c r="C213" s="28"/>
      <c r="D213" s="28"/>
      <c r="E213" s="23"/>
      <c r="F213" s="23"/>
      <c r="G213" s="23"/>
      <c r="H213" s="23"/>
    </row>
    <row r="214" spans="1:8">
      <c r="A214" s="27"/>
      <c r="B214" s="27"/>
      <c r="C214" s="28"/>
      <c r="D214" s="28"/>
      <c r="E214" s="23"/>
      <c r="F214" s="23"/>
      <c r="G214" s="23"/>
      <c r="H214" s="23"/>
    </row>
    <row r="215" spans="1:8">
      <c r="A215" s="27"/>
      <c r="B215" s="27"/>
      <c r="C215" s="28"/>
      <c r="D215" s="28"/>
      <c r="E215" s="23"/>
      <c r="F215" s="23"/>
      <c r="G215" s="23"/>
      <c r="H215" s="23"/>
    </row>
    <row r="216" spans="1:8">
      <c r="A216" s="27"/>
      <c r="B216" s="27"/>
      <c r="C216" s="28"/>
      <c r="D216" s="28"/>
      <c r="E216" s="23"/>
      <c r="F216" s="23"/>
      <c r="G216" s="23"/>
      <c r="H216" s="23"/>
    </row>
    <row r="217" spans="1:8">
      <c r="A217" s="27"/>
      <c r="B217" s="27"/>
      <c r="C217" s="28"/>
      <c r="D217" s="28"/>
      <c r="E217" s="23"/>
      <c r="F217" s="23"/>
      <c r="G217" s="23"/>
      <c r="H217" s="23"/>
    </row>
    <row r="218" spans="1:8">
      <c r="A218" s="27"/>
      <c r="B218" s="27"/>
      <c r="C218" s="28"/>
      <c r="D218" s="28"/>
      <c r="E218" s="23"/>
      <c r="F218" s="23"/>
      <c r="G218" s="23"/>
      <c r="H218" s="23"/>
    </row>
    <row r="219" spans="1:8">
      <c r="A219" s="27"/>
      <c r="B219" s="27"/>
      <c r="C219" s="28"/>
      <c r="D219" s="28"/>
      <c r="E219" s="23"/>
      <c r="F219" s="23"/>
      <c r="G219" s="23"/>
      <c r="H219" s="23"/>
    </row>
    <row r="220" spans="1:8">
      <c r="A220" s="27"/>
      <c r="B220" s="27"/>
      <c r="C220" s="28"/>
      <c r="D220" s="28"/>
      <c r="E220" s="23"/>
      <c r="F220" s="23"/>
      <c r="G220" s="23"/>
      <c r="H220" s="23"/>
    </row>
    <row r="221" spans="1:8">
      <c r="A221" s="27"/>
      <c r="B221" s="27"/>
      <c r="C221" s="28"/>
      <c r="D221" s="28"/>
      <c r="E221" s="23"/>
      <c r="F221" s="23"/>
      <c r="G221" s="23"/>
      <c r="H221" s="23"/>
    </row>
    <row r="222" spans="1:8">
      <c r="A222" s="27"/>
      <c r="B222" s="27"/>
      <c r="C222" s="28"/>
      <c r="D222" s="28"/>
      <c r="E222" s="53"/>
      <c r="F222" s="53"/>
      <c r="G222" s="53"/>
      <c r="H222" s="53"/>
    </row>
    <row r="223" spans="1:8">
      <c r="A223" s="27"/>
      <c r="B223" s="27"/>
      <c r="C223" s="28"/>
      <c r="D223" s="28"/>
      <c r="E223" s="53"/>
      <c r="F223" s="53"/>
      <c r="G223" s="53"/>
      <c r="H223" s="53"/>
    </row>
    <row r="224" spans="1:8">
      <c r="A224" s="27"/>
      <c r="B224" s="27"/>
      <c r="C224" s="28"/>
      <c r="D224" s="28"/>
      <c r="E224" s="53"/>
      <c r="F224" s="53"/>
      <c r="G224" s="53"/>
      <c r="H224" s="53"/>
    </row>
    <row r="225" spans="1:8">
      <c r="A225" s="27"/>
      <c r="B225" s="27"/>
      <c r="C225" s="28"/>
      <c r="D225" s="28"/>
      <c r="E225" s="53"/>
      <c r="F225" s="53"/>
      <c r="G225" s="53"/>
      <c r="H225" s="53"/>
    </row>
    <row r="226" spans="1:8">
      <c r="A226" s="27"/>
      <c r="B226" s="27"/>
      <c r="C226" s="28"/>
      <c r="D226" s="28"/>
      <c r="E226" s="53"/>
      <c r="F226" s="53"/>
      <c r="G226" s="53"/>
      <c r="H226" s="53"/>
    </row>
    <row r="227" spans="1:8">
      <c r="A227" s="27"/>
      <c r="B227" s="27"/>
      <c r="C227" s="28"/>
      <c r="D227" s="28"/>
      <c r="E227" s="53"/>
      <c r="F227" s="53"/>
      <c r="G227" s="53"/>
      <c r="H227" s="53"/>
    </row>
    <row r="228" spans="1:8">
      <c r="A228" s="27"/>
      <c r="B228" s="27"/>
      <c r="C228" s="28"/>
      <c r="D228" s="28"/>
      <c r="E228" s="53"/>
      <c r="F228" s="53"/>
      <c r="G228" s="53"/>
      <c r="H228" s="53"/>
    </row>
    <row r="229" spans="1:8">
      <c r="A229" s="27"/>
      <c r="B229" s="27"/>
      <c r="C229" s="28"/>
      <c r="D229" s="28"/>
      <c r="E229" s="53"/>
      <c r="F229" s="53"/>
      <c r="G229" s="53"/>
      <c r="H229" s="53"/>
    </row>
    <row r="230" spans="1:8">
      <c r="A230" s="27"/>
      <c r="B230" s="27"/>
      <c r="C230" s="28"/>
      <c r="D230" s="28"/>
      <c r="E230" s="53"/>
      <c r="F230" s="53"/>
      <c r="G230" s="53"/>
      <c r="H230" s="53"/>
    </row>
    <row r="231" spans="1:8">
      <c r="A231" s="27"/>
      <c r="B231" s="27"/>
      <c r="C231" s="28"/>
      <c r="D231" s="28"/>
      <c r="E231" s="53"/>
      <c r="F231" s="53"/>
      <c r="G231" s="53"/>
      <c r="H231" s="53"/>
    </row>
    <row r="232" spans="1:8">
      <c r="A232" s="27"/>
      <c r="B232" s="27"/>
      <c r="C232" s="28"/>
      <c r="D232" s="28"/>
      <c r="E232" s="53"/>
      <c r="F232" s="53"/>
      <c r="G232" s="53"/>
      <c r="H232" s="53"/>
    </row>
    <row r="233" spans="1:8">
      <c r="A233" s="27"/>
      <c r="B233" s="27"/>
      <c r="C233" s="28"/>
      <c r="D233" s="28"/>
      <c r="E233" s="53"/>
      <c r="F233" s="53"/>
      <c r="G233" s="53"/>
      <c r="H233" s="53"/>
    </row>
    <row r="234" spans="1:8">
      <c r="A234" s="27"/>
      <c r="B234" s="27"/>
      <c r="C234" s="28"/>
      <c r="D234" s="28"/>
      <c r="E234" s="53"/>
      <c r="F234" s="53"/>
      <c r="G234" s="53"/>
      <c r="H234" s="53"/>
    </row>
    <row r="235" spans="1:8">
      <c r="A235" s="27"/>
      <c r="B235" s="27"/>
      <c r="C235" s="28"/>
      <c r="D235" s="28"/>
      <c r="E235" s="53"/>
      <c r="F235" s="53"/>
      <c r="G235" s="53"/>
      <c r="H235" s="53"/>
    </row>
    <row r="236" spans="1:8">
      <c r="A236" s="27"/>
      <c r="B236" s="27"/>
      <c r="C236" s="28"/>
      <c r="D236" s="28"/>
      <c r="E236" s="53"/>
      <c r="F236" s="53"/>
      <c r="G236" s="53"/>
      <c r="H236" s="53"/>
    </row>
    <row r="237" spans="1:8">
      <c r="A237" s="27"/>
      <c r="B237" s="27"/>
      <c r="C237" s="28"/>
      <c r="D237" s="28"/>
      <c r="E237" s="53"/>
      <c r="F237" s="53"/>
      <c r="G237" s="53"/>
      <c r="H237" s="53"/>
    </row>
    <row r="238" spans="1:8">
      <c r="A238" s="27"/>
      <c r="B238" s="27"/>
      <c r="C238" s="28"/>
      <c r="D238" s="28"/>
      <c r="E238" s="53"/>
      <c r="F238" s="53"/>
      <c r="G238" s="53"/>
      <c r="H238" s="53"/>
    </row>
    <row r="239" spans="1:8">
      <c r="A239" s="27"/>
      <c r="B239" s="27"/>
      <c r="C239" s="28"/>
      <c r="D239" s="28"/>
      <c r="E239" s="53"/>
      <c r="F239" s="53"/>
      <c r="G239" s="53"/>
      <c r="H239" s="53"/>
    </row>
    <row r="240" spans="1:8">
      <c r="A240" s="27"/>
      <c r="B240" s="27"/>
      <c r="C240" s="28"/>
      <c r="D240" s="28"/>
      <c r="E240" s="53"/>
      <c r="F240" s="53"/>
      <c r="G240" s="53"/>
      <c r="H240" s="53"/>
    </row>
    <row r="241" spans="1:8">
      <c r="A241" s="27"/>
      <c r="B241" s="27"/>
      <c r="C241" s="28"/>
      <c r="D241" s="28"/>
      <c r="E241" s="53"/>
      <c r="F241" s="53"/>
      <c r="G241" s="53"/>
      <c r="H241" s="53"/>
    </row>
    <row r="242" spans="1:8">
      <c r="A242" s="27"/>
      <c r="B242" s="27"/>
      <c r="C242" s="28"/>
      <c r="D242" s="28"/>
      <c r="E242" s="53"/>
      <c r="F242" s="53"/>
      <c r="G242" s="53"/>
      <c r="H242" s="53"/>
    </row>
    <row r="243" spans="1:8">
      <c r="A243" s="27"/>
      <c r="B243" s="27"/>
      <c r="C243" s="28"/>
      <c r="D243" s="28"/>
      <c r="E243" s="53"/>
      <c r="F243" s="53"/>
      <c r="G243" s="53"/>
      <c r="H243" s="53"/>
    </row>
    <row r="244" spans="1:8">
      <c r="A244" s="27"/>
      <c r="B244" s="27"/>
      <c r="C244" s="28"/>
      <c r="D244" s="28"/>
      <c r="E244" s="53"/>
      <c r="F244" s="53"/>
      <c r="G244" s="53"/>
      <c r="H244" s="53"/>
    </row>
    <row r="245" spans="1:8">
      <c r="A245" s="27"/>
      <c r="B245" s="27"/>
      <c r="C245" s="28"/>
      <c r="D245" s="28"/>
      <c r="E245" s="53"/>
      <c r="F245" s="53"/>
      <c r="G245" s="53"/>
      <c r="H245" s="53"/>
    </row>
    <row r="246" spans="1:8">
      <c r="A246" s="27"/>
      <c r="B246" s="27"/>
      <c r="C246" s="28"/>
      <c r="D246" s="28"/>
      <c r="E246" s="53"/>
      <c r="F246" s="53"/>
      <c r="G246" s="53"/>
      <c r="H246" s="53"/>
    </row>
    <row r="247" spans="1:8">
      <c r="A247" s="27"/>
      <c r="B247" s="27"/>
      <c r="C247" s="28"/>
      <c r="D247" s="28"/>
      <c r="E247" s="53"/>
      <c r="F247" s="53"/>
      <c r="G247" s="53"/>
      <c r="H247" s="53"/>
    </row>
    <row r="248" spans="1:8">
      <c r="A248" s="27"/>
      <c r="B248" s="27"/>
      <c r="C248" s="28"/>
      <c r="D248" s="28"/>
      <c r="E248" s="53"/>
      <c r="F248" s="53"/>
      <c r="G248" s="53"/>
      <c r="H248" s="53"/>
    </row>
    <row r="249" spans="1:8">
      <c r="A249" s="27"/>
      <c r="B249" s="27"/>
      <c r="C249" s="28"/>
      <c r="D249" s="28"/>
      <c r="E249" s="53"/>
      <c r="F249" s="53"/>
      <c r="G249" s="53"/>
      <c r="H249" s="53"/>
    </row>
    <row r="250" spans="1:8">
      <c r="A250" s="27"/>
      <c r="B250" s="27"/>
      <c r="C250" s="28"/>
      <c r="D250" s="28"/>
      <c r="E250" s="53"/>
      <c r="F250" s="53"/>
      <c r="G250" s="53"/>
      <c r="H250" s="53"/>
    </row>
    <row r="251" spans="1:8">
      <c r="A251" s="27"/>
      <c r="B251" s="27"/>
      <c r="C251" s="28"/>
      <c r="D251" s="28"/>
      <c r="E251" s="53"/>
      <c r="F251" s="53"/>
      <c r="G251" s="53"/>
      <c r="H251" s="53"/>
    </row>
    <row r="252" spans="1:8">
      <c r="A252" s="27"/>
      <c r="B252" s="27"/>
      <c r="C252" s="28"/>
      <c r="D252" s="28"/>
      <c r="E252" s="53"/>
      <c r="F252" s="53"/>
      <c r="G252" s="53"/>
      <c r="H252" s="53"/>
    </row>
    <row r="253" spans="1:8">
      <c r="A253" s="27"/>
      <c r="B253" s="27"/>
      <c r="C253" s="28"/>
      <c r="D253" s="28"/>
      <c r="E253" s="53"/>
      <c r="F253" s="53"/>
      <c r="G253" s="53"/>
      <c r="H253" s="53"/>
    </row>
    <row r="254" spans="1:8">
      <c r="A254" s="27"/>
      <c r="B254" s="27"/>
      <c r="C254" s="28"/>
      <c r="D254" s="28"/>
      <c r="E254" s="53"/>
      <c r="F254" s="53"/>
      <c r="G254" s="53"/>
      <c r="H254" s="53"/>
    </row>
    <row r="255" spans="1:8">
      <c r="A255" s="27"/>
      <c r="B255" s="27"/>
      <c r="C255" s="28"/>
      <c r="D255" s="28"/>
      <c r="E255" s="53"/>
      <c r="F255" s="53"/>
      <c r="G255" s="53"/>
      <c r="H255" s="53"/>
    </row>
    <row r="256" spans="1:8">
      <c r="A256" s="27"/>
      <c r="B256" s="27"/>
      <c r="C256" s="28"/>
      <c r="D256" s="28"/>
      <c r="E256" s="53"/>
      <c r="F256" s="53"/>
      <c r="G256" s="53"/>
      <c r="H256" s="53"/>
    </row>
    <row r="257" spans="1:8">
      <c r="A257" s="27"/>
      <c r="B257" s="27"/>
      <c r="C257" s="28"/>
      <c r="D257" s="28"/>
      <c r="E257" s="53"/>
      <c r="F257" s="53"/>
      <c r="G257" s="53"/>
      <c r="H257" s="53"/>
    </row>
    <row r="258" spans="1:8">
      <c r="A258" s="27"/>
      <c r="B258" s="27"/>
      <c r="C258" s="28"/>
      <c r="D258" s="28"/>
      <c r="E258" s="53"/>
      <c r="F258" s="53"/>
      <c r="G258" s="53"/>
      <c r="H258" s="53"/>
    </row>
    <row r="259" spans="1:8">
      <c r="A259" s="27"/>
      <c r="B259" s="27"/>
      <c r="C259" s="28"/>
      <c r="D259" s="28"/>
      <c r="E259" s="53"/>
      <c r="F259" s="53"/>
      <c r="G259" s="53"/>
      <c r="H259" s="53"/>
    </row>
    <row r="260" spans="1:8">
      <c r="A260" s="27"/>
      <c r="B260" s="27"/>
      <c r="C260" s="28"/>
      <c r="D260" s="28"/>
      <c r="E260" s="53"/>
      <c r="F260" s="53"/>
      <c r="G260" s="53"/>
      <c r="H260" s="53"/>
    </row>
    <row r="261" spans="1:8">
      <c r="A261" s="27"/>
      <c r="B261" s="27"/>
      <c r="C261" s="28"/>
      <c r="D261" s="28"/>
      <c r="E261" s="53"/>
      <c r="F261" s="53"/>
      <c r="G261" s="53"/>
      <c r="H261" s="53"/>
    </row>
    <row r="262" spans="1:8">
      <c r="A262" s="27"/>
      <c r="B262" s="27"/>
      <c r="C262" s="28"/>
      <c r="D262" s="28"/>
      <c r="E262" s="53"/>
      <c r="F262" s="53"/>
      <c r="G262" s="53"/>
      <c r="H262" s="53"/>
    </row>
    <row r="263" spans="1:8">
      <c r="A263" s="27"/>
      <c r="B263" s="27"/>
      <c r="C263" s="28"/>
      <c r="D263" s="28"/>
      <c r="E263" s="53"/>
      <c r="F263" s="53"/>
      <c r="G263" s="53"/>
      <c r="H263" s="53"/>
    </row>
    <row r="264" spans="1:8">
      <c r="A264" s="27"/>
      <c r="B264" s="27"/>
      <c r="C264" s="28"/>
      <c r="D264" s="28"/>
      <c r="E264" s="53"/>
      <c r="F264" s="53"/>
      <c r="G264" s="53"/>
      <c r="H264" s="53"/>
    </row>
    <row r="265" spans="1:8">
      <c r="A265" s="27"/>
      <c r="B265" s="27"/>
      <c r="C265" s="28"/>
      <c r="D265" s="28"/>
      <c r="E265" s="53"/>
      <c r="F265" s="53"/>
      <c r="G265" s="53"/>
      <c r="H265" s="53"/>
    </row>
    <row r="266" spans="1:8">
      <c r="A266" s="27"/>
      <c r="B266" s="27"/>
      <c r="C266" s="28"/>
      <c r="D266" s="28"/>
      <c r="E266" s="53"/>
      <c r="F266" s="53"/>
      <c r="G266" s="53"/>
      <c r="H266" s="53"/>
    </row>
    <row r="267" spans="1:8">
      <c r="A267" s="27"/>
      <c r="B267" s="27"/>
      <c r="C267" s="28"/>
      <c r="D267" s="28"/>
      <c r="E267" s="53"/>
      <c r="F267" s="53"/>
      <c r="G267" s="53"/>
      <c r="H267" s="53"/>
    </row>
    <row r="268" spans="1:8">
      <c r="A268" s="27"/>
      <c r="B268" s="27"/>
      <c r="C268" s="28"/>
      <c r="D268" s="28"/>
      <c r="E268" s="53"/>
      <c r="F268" s="53"/>
      <c r="G268" s="53"/>
      <c r="H268" s="53"/>
    </row>
    <row r="269" spans="1:8">
      <c r="A269" s="27"/>
      <c r="B269" s="27"/>
      <c r="C269" s="28"/>
      <c r="D269" s="28"/>
      <c r="E269" s="53"/>
      <c r="F269" s="53"/>
      <c r="G269" s="53"/>
      <c r="H269" s="53"/>
    </row>
    <row r="270" spans="1:8">
      <c r="A270" s="27"/>
      <c r="B270" s="27"/>
      <c r="C270" s="28"/>
      <c r="D270" s="28"/>
      <c r="E270" s="53"/>
      <c r="F270" s="53"/>
      <c r="G270" s="53"/>
      <c r="H270" s="53"/>
    </row>
    <row r="271" spans="1:8">
      <c r="A271" s="27"/>
      <c r="B271" s="27"/>
      <c r="C271" s="28"/>
      <c r="D271" s="28"/>
      <c r="E271" s="53"/>
      <c r="F271" s="53"/>
      <c r="G271" s="53"/>
      <c r="H271" s="53"/>
    </row>
    <row r="272" spans="1:8">
      <c r="A272" s="27"/>
      <c r="B272" s="27"/>
      <c r="C272" s="28"/>
      <c r="D272" s="28"/>
      <c r="E272" s="53"/>
      <c r="F272" s="53"/>
      <c r="G272" s="53"/>
      <c r="H272" s="53"/>
    </row>
    <row r="273" spans="1:8">
      <c r="A273" s="27"/>
      <c r="B273" s="27"/>
      <c r="C273" s="28"/>
      <c r="D273" s="28"/>
      <c r="E273" s="53"/>
      <c r="F273" s="53"/>
      <c r="G273" s="53"/>
      <c r="H273" s="53"/>
    </row>
    <row r="274" spans="1:8">
      <c r="A274" s="27"/>
      <c r="B274" s="27"/>
      <c r="C274" s="28"/>
      <c r="D274" s="28"/>
      <c r="E274" s="53"/>
      <c r="F274" s="53"/>
      <c r="G274" s="53"/>
      <c r="H274" s="53"/>
    </row>
    <row r="275" spans="1:8">
      <c r="A275" s="27"/>
      <c r="B275" s="27"/>
      <c r="C275" s="28"/>
      <c r="D275" s="28"/>
      <c r="E275" s="53"/>
      <c r="F275" s="53"/>
      <c r="G275" s="53"/>
      <c r="H275" s="53"/>
    </row>
    <row r="276" spans="1:8">
      <c r="A276" s="27"/>
      <c r="B276" s="27"/>
      <c r="C276" s="28"/>
      <c r="D276" s="28"/>
      <c r="E276" s="53"/>
      <c r="F276" s="53"/>
      <c r="G276" s="53"/>
      <c r="H276" s="53"/>
    </row>
    <row r="277" spans="1:8">
      <c r="A277" s="27"/>
      <c r="B277" s="27"/>
      <c r="C277" s="28"/>
      <c r="D277" s="28"/>
      <c r="E277" s="53"/>
      <c r="F277" s="53"/>
      <c r="G277" s="53"/>
      <c r="H277" s="53"/>
    </row>
    <row r="278" spans="1:8">
      <c r="A278" s="27"/>
      <c r="B278" s="27"/>
      <c r="C278" s="28"/>
      <c r="D278" s="28"/>
      <c r="E278" s="53"/>
      <c r="F278" s="53"/>
      <c r="G278" s="53"/>
      <c r="H278" s="53"/>
    </row>
    <row r="279" spans="1:8">
      <c r="A279" s="27"/>
      <c r="B279" s="27"/>
      <c r="C279" s="28"/>
      <c r="D279" s="28"/>
      <c r="E279" s="53"/>
      <c r="F279" s="53"/>
      <c r="G279" s="53"/>
      <c r="H279" s="53"/>
    </row>
    <row r="280" spans="1:8">
      <c r="A280" s="27"/>
      <c r="B280" s="27"/>
      <c r="C280" s="28"/>
      <c r="D280" s="28"/>
      <c r="E280" s="53"/>
      <c r="F280" s="53"/>
      <c r="G280" s="53"/>
      <c r="H280" s="53"/>
    </row>
    <row r="281" spans="1:8">
      <c r="A281" s="27"/>
      <c r="B281" s="27"/>
      <c r="C281" s="28"/>
      <c r="D281" s="28"/>
      <c r="E281" s="53"/>
      <c r="F281" s="53"/>
      <c r="G281" s="53"/>
      <c r="H281" s="53"/>
    </row>
    <row r="282" spans="1:8">
      <c r="A282" s="27"/>
      <c r="B282" s="27"/>
      <c r="C282" s="28"/>
      <c r="D282" s="28"/>
      <c r="E282" s="53"/>
      <c r="F282" s="53"/>
      <c r="G282" s="53"/>
      <c r="H282" s="53"/>
    </row>
    <row r="283" spans="1:8">
      <c r="A283" s="27"/>
      <c r="B283" s="27"/>
      <c r="C283" s="28"/>
      <c r="D283" s="28"/>
      <c r="E283" s="53"/>
      <c r="F283" s="53"/>
      <c r="G283" s="53"/>
      <c r="H283" s="53"/>
    </row>
    <row r="284" spans="1:8">
      <c r="A284" s="27"/>
      <c r="B284" s="27"/>
      <c r="C284" s="28"/>
      <c r="D284" s="28"/>
      <c r="E284" s="53"/>
      <c r="F284" s="53"/>
      <c r="G284" s="53"/>
      <c r="H284" s="53"/>
    </row>
    <row r="285" spans="1:8">
      <c r="A285" s="27"/>
      <c r="B285" s="27"/>
      <c r="C285" s="28"/>
      <c r="D285" s="28"/>
      <c r="E285" s="53"/>
      <c r="F285" s="53"/>
      <c r="G285" s="53"/>
      <c r="H285" s="53"/>
    </row>
    <row r="286" spans="1:8">
      <c r="A286" s="27"/>
      <c r="B286" s="27"/>
      <c r="C286" s="28"/>
      <c r="D286" s="28"/>
      <c r="E286" s="53"/>
      <c r="F286" s="53"/>
      <c r="G286" s="53"/>
      <c r="H286" s="53"/>
    </row>
    <row r="287" spans="1:8">
      <c r="A287" s="27"/>
      <c r="B287" s="27"/>
      <c r="C287" s="28"/>
      <c r="D287" s="28"/>
      <c r="E287" s="53"/>
      <c r="F287" s="53"/>
      <c r="G287" s="53"/>
      <c r="H287" s="53"/>
    </row>
    <row r="288" spans="1:8">
      <c r="A288" s="27"/>
      <c r="B288" s="27"/>
      <c r="C288" s="28"/>
      <c r="D288" s="28"/>
      <c r="E288" s="53"/>
      <c r="F288" s="53"/>
      <c r="G288" s="53"/>
      <c r="H288" s="53"/>
    </row>
    <row r="289" spans="1:8">
      <c r="A289" s="27"/>
      <c r="B289" s="27"/>
      <c r="C289" s="28"/>
      <c r="D289" s="28"/>
      <c r="E289" s="53"/>
      <c r="F289" s="53"/>
      <c r="G289" s="53"/>
      <c r="H289" s="53"/>
    </row>
    <row r="290" spans="1:8">
      <c r="A290" s="27"/>
      <c r="B290" s="27"/>
      <c r="C290" s="28"/>
      <c r="D290" s="28"/>
      <c r="E290" s="53"/>
      <c r="F290" s="53"/>
      <c r="G290" s="53"/>
      <c r="H290" s="53"/>
    </row>
    <row r="291" spans="1:8">
      <c r="A291" s="27"/>
      <c r="B291" s="27"/>
      <c r="C291" s="28"/>
      <c r="D291" s="28"/>
      <c r="E291" s="53"/>
      <c r="F291" s="53"/>
      <c r="G291" s="53"/>
      <c r="H291" s="53"/>
    </row>
    <row r="292" spans="1:8">
      <c r="A292" s="27"/>
      <c r="B292" s="27"/>
      <c r="C292" s="28"/>
      <c r="D292" s="28"/>
      <c r="E292" s="53"/>
      <c r="F292" s="53"/>
      <c r="G292" s="53"/>
      <c r="H292" s="53"/>
    </row>
    <row r="293" spans="1:8">
      <c r="A293" s="27"/>
      <c r="B293" s="27"/>
      <c r="C293" s="28"/>
      <c r="D293" s="28"/>
      <c r="E293" s="53"/>
      <c r="F293" s="53"/>
      <c r="G293" s="53"/>
      <c r="H293" s="53"/>
    </row>
    <row r="294" spans="1:8">
      <c r="A294" s="27"/>
      <c r="B294" s="27"/>
      <c r="C294" s="28"/>
      <c r="D294" s="28"/>
      <c r="E294" s="53"/>
      <c r="F294" s="53"/>
      <c r="G294" s="53"/>
      <c r="H294" s="53"/>
    </row>
    <row r="295" spans="1:8">
      <c r="A295" s="27"/>
      <c r="B295" s="27"/>
      <c r="C295" s="28"/>
      <c r="D295" s="28"/>
      <c r="E295" s="53"/>
      <c r="F295" s="53"/>
      <c r="G295" s="53"/>
      <c r="H295" s="53"/>
    </row>
    <row r="296" spans="1:8">
      <c r="A296" s="27"/>
      <c r="B296" s="27"/>
      <c r="C296" s="28"/>
      <c r="D296" s="28"/>
      <c r="E296" s="53"/>
      <c r="F296" s="53"/>
      <c r="G296" s="53"/>
      <c r="H296" s="53"/>
    </row>
    <row r="297" spans="1:8">
      <c r="A297" s="27"/>
      <c r="B297" s="27"/>
      <c r="C297" s="28"/>
      <c r="D297" s="28"/>
      <c r="E297" s="53"/>
      <c r="F297" s="53"/>
      <c r="G297" s="53"/>
      <c r="H297" s="53"/>
    </row>
    <row r="298" spans="1:8">
      <c r="A298" s="27"/>
      <c r="B298" s="27"/>
      <c r="C298" s="28"/>
      <c r="D298" s="28"/>
      <c r="E298" s="53"/>
      <c r="F298" s="53"/>
      <c r="G298" s="53"/>
      <c r="H298" s="53"/>
    </row>
    <row r="299" spans="1:8">
      <c r="A299" s="27"/>
      <c r="B299" s="27"/>
      <c r="C299" s="28"/>
      <c r="D299" s="28"/>
      <c r="E299" s="53"/>
      <c r="F299" s="53"/>
      <c r="G299" s="53"/>
      <c r="H299" s="53"/>
    </row>
    <row r="300" spans="1:8">
      <c r="A300" s="27"/>
      <c r="B300" s="27"/>
      <c r="C300" s="28"/>
      <c r="D300" s="28"/>
      <c r="E300" s="53"/>
      <c r="F300" s="53"/>
      <c r="G300" s="53"/>
      <c r="H300" s="53"/>
    </row>
    <row r="301" spans="1:8">
      <c r="A301" s="27"/>
      <c r="B301" s="27"/>
      <c r="C301" s="28"/>
      <c r="D301" s="28"/>
      <c r="E301" s="53"/>
      <c r="F301" s="53"/>
      <c r="G301" s="53"/>
      <c r="H301" s="53"/>
    </row>
    <row r="302" spans="1:8">
      <c r="A302" s="27"/>
      <c r="B302" s="27"/>
      <c r="C302" s="28"/>
      <c r="D302" s="28"/>
      <c r="E302" s="53"/>
      <c r="F302" s="53"/>
      <c r="G302" s="53"/>
      <c r="H302" s="53"/>
    </row>
    <row r="303" spans="1:8">
      <c r="A303" s="27"/>
      <c r="B303" s="27"/>
      <c r="C303" s="28"/>
      <c r="D303" s="28"/>
      <c r="E303" s="53"/>
      <c r="F303" s="53"/>
      <c r="G303" s="53"/>
      <c r="H303" s="53"/>
    </row>
    <row r="304" spans="1:8">
      <c r="A304" s="27"/>
      <c r="B304" s="27"/>
      <c r="C304" s="28"/>
      <c r="D304" s="28"/>
      <c r="E304" s="53"/>
      <c r="F304" s="53"/>
      <c r="G304" s="53"/>
      <c r="H304" s="53"/>
    </row>
    <row r="305" spans="1:8">
      <c r="A305" s="27"/>
      <c r="B305" s="27"/>
      <c r="C305" s="28"/>
      <c r="D305" s="28"/>
      <c r="E305" s="53"/>
      <c r="F305" s="53"/>
      <c r="G305" s="53"/>
      <c r="H305" s="53"/>
    </row>
    <row r="306" spans="1:8">
      <c r="A306" s="27"/>
      <c r="B306" s="27"/>
      <c r="C306" s="28"/>
      <c r="D306" s="28"/>
      <c r="E306" s="53"/>
      <c r="F306" s="53"/>
      <c r="G306" s="53"/>
      <c r="H306" s="53"/>
    </row>
    <row r="307" spans="1:8">
      <c r="A307" s="27"/>
      <c r="B307" s="27"/>
      <c r="C307" s="28"/>
      <c r="D307" s="28"/>
      <c r="E307" s="53"/>
      <c r="F307" s="53"/>
      <c r="G307" s="53"/>
      <c r="H307" s="53"/>
    </row>
    <row r="308" spans="1:8">
      <c r="A308" s="27"/>
      <c r="B308" s="27"/>
      <c r="C308" s="28"/>
      <c r="D308" s="28"/>
      <c r="E308" s="53"/>
      <c r="F308" s="53"/>
      <c r="G308" s="53"/>
      <c r="H308" s="53"/>
    </row>
    <row r="309" spans="1:8">
      <c r="A309" s="27"/>
      <c r="B309" s="27"/>
      <c r="C309" s="28"/>
      <c r="D309" s="28"/>
      <c r="E309" s="53"/>
      <c r="F309" s="53"/>
      <c r="G309" s="53"/>
      <c r="H309" s="53"/>
    </row>
    <row r="310" spans="1:8">
      <c r="A310" s="27"/>
      <c r="B310" s="27"/>
      <c r="C310" s="28"/>
      <c r="D310" s="28"/>
      <c r="E310" s="53"/>
      <c r="F310" s="53"/>
      <c r="G310" s="53"/>
      <c r="H310" s="53"/>
    </row>
    <row r="311" spans="1:8">
      <c r="A311" s="27"/>
      <c r="B311" s="27"/>
      <c r="C311" s="28"/>
      <c r="D311" s="28"/>
      <c r="E311" s="53"/>
      <c r="F311" s="53"/>
      <c r="G311" s="53"/>
      <c r="H311" s="53"/>
    </row>
    <row r="312" spans="1:8">
      <c r="A312" s="27"/>
      <c r="B312" s="27"/>
      <c r="C312" s="28"/>
      <c r="D312" s="28"/>
      <c r="E312" s="53"/>
      <c r="F312" s="53"/>
      <c r="G312" s="53"/>
      <c r="H312" s="53"/>
    </row>
    <row r="313" spans="1:8">
      <c r="A313" s="27"/>
      <c r="B313" s="27"/>
      <c r="C313" s="28"/>
      <c r="D313" s="28"/>
      <c r="E313" s="53"/>
      <c r="F313" s="53"/>
      <c r="G313" s="53"/>
      <c r="H313" s="53"/>
    </row>
    <row r="314" spans="1:8">
      <c r="A314" s="27"/>
      <c r="B314" s="27"/>
      <c r="C314" s="28"/>
      <c r="D314" s="28"/>
      <c r="E314" s="53"/>
      <c r="F314" s="53"/>
      <c r="G314" s="53"/>
      <c r="H314" s="53"/>
    </row>
    <row r="315" spans="1:8">
      <c r="A315" s="27"/>
      <c r="B315" s="27"/>
      <c r="C315" s="28"/>
      <c r="D315" s="28"/>
      <c r="E315" s="53"/>
      <c r="F315" s="53"/>
      <c r="G315" s="53"/>
      <c r="H315" s="53"/>
    </row>
    <row r="316" spans="1:8">
      <c r="A316" s="27"/>
      <c r="B316" s="27"/>
      <c r="C316" s="28"/>
      <c r="D316" s="28"/>
      <c r="E316" s="53"/>
      <c r="F316" s="53"/>
      <c r="G316" s="53"/>
      <c r="H316" s="53"/>
    </row>
    <row r="317" spans="1:8">
      <c r="A317" s="27"/>
      <c r="B317" s="27"/>
      <c r="C317" s="28"/>
      <c r="D317" s="28"/>
      <c r="E317" s="53"/>
      <c r="F317" s="53"/>
      <c r="G317" s="53"/>
      <c r="H317" s="53"/>
    </row>
    <row r="318" spans="1:8">
      <c r="A318" s="27"/>
      <c r="B318" s="27"/>
      <c r="C318" s="28"/>
      <c r="D318" s="28"/>
      <c r="E318" s="53"/>
      <c r="F318" s="53"/>
      <c r="G318" s="53"/>
      <c r="H318" s="53"/>
    </row>
    <row r="319" spans="1:8">
      <c r="A319" s="27"/>
      <c r="B319" s="27"/>
      <c r="C319" s="28"/>
      <c r="D319" s="28"/>
      <c r="E319" s="53"/>
      <c r="F319" s="53"/>
      <c r="G319" s="53"/>
      <c r="H319" s="53"/>
    </row>
    <row r="320" spans="1:8">
      <c r="A320" s="27"/>
      <c r="B320" s="27"/>
      <c r="C320" s="28"/>
      <c r="D320" s="28"/>
      <c r="E320" s="53"/>
      <c r="F320" s="53"/>
      <c r="G320" s="53"/>
      <c r="H320" s="53"/>
    </row>
    <row r="321" spans="1:8">
      <c r="A321" s="27"/>
      <c r="B321" s="27"/>
      <c r="C321" s="28"/>
      <c r="D321" s="28"/>
      <c r="E321" s="53"/>
      <c r="F321" s="53"/>
      <c r="G321" s="53"/>
      <c r="H321" s="53"/>
    </row>
    <row r="322" spans="1:8">
      <c r="A322" s="27"/>
      <c r="B322" s="27"/>
      <c r="C322" s="28"/>
      <c r="D322" s="28"/>
      <c r="E322" s="53"/>
      <c r="F322" s="53"/>
      <c r="G322" s="53"/>
      <c r="H322" s="53"/>
    </row>
    <row r="323" spans="1:8">
      <c r="A323" s="27"/>
      <c r="B323" s="27"/>
      <c r="C323" s="28"/>
      <c r="D323" s="28"/>
      <c r="E323" s="53"/>
      <c r="F323" s="53"/>
      <c r="G323" s="53"/>
      <c r="H323" s="53"/>
    </row>
    <row r="324" spans="1:8">
      <c r="A324" s="27"/>
      <c r="B324" s="27"/>
      <c r="C324" s="28"/>
      <c r="D324" s="28"/>
      <c r="E324" s="53"/>
      <c r="F324" s="53"/>
      <c r="G324" s="53"/>
      <c r="H324" s="53"/>
    </row>
    <row r="325" spans="1:8">
      <c r="A325" s="27"/>
      <c r="B325" s="27"/>
      <c r="C325" s="28"/>
      <c r="D325" s="28"/>
      <c r="E325" s="53"/>
      <c r="F325" s="53"/>
      <c r="G325" s="53"/>
      <c r="H325" s="53"/>
    </row>
    <row r="326" spans="1:8">
      <c r="A326" s="27"/>
      <c r="B326" s="27"/>
      <c r="C326" s="28"/>
      <c r="D326" s="28"/>
      <c r="E326" s="53"/>
      <c r="F326" s="53"/>
      <c r="G326" s="53"/>
      <c r="H326" s="53"/>
    </row>
    <row r="327" spans="1:8">
      <c r="A327" s="27"/>
      <c r="B327" s="27"/>
      <c r="C327" s="28"/>
      <c r="D327" s="28"/>
      <c r="E327" s="53"/>
      <c r="F327" s="53"/>
      <c r="G327" s="53"/>
      <c r="H327" s="53"/>
    </row>
    <row r="328" spans="1:8">
      <c r="A328" s="27"/>
      <c r="B328" s="27"/>
      <c r="C328" s="28"/>
      <c r="D328" s="28"/>
      <c r="E328" s="53"/>
      <c r="F328" s="53"/>
      <c r="G328" s="53"/>
      <c r="H328" s="53"/>
    </row>
    <row r="329" spans="1:8">
      <c r="A329" s="27"/>
      <c r="B329" s="27"/>
      <c r="C329" s="28"/>
      <c r="D329" s="28"/>
      <c r="E329" s="53"/>
      <c r="F329" s="53"/>
      <c r="G329" s="53"/>
      <c r="H329" s="53"/>
    </row>
    <row r="330" spans="1:8">
      <c r="A330" s="27"/>
      <c r="B330" s="27"/>
      <c r="C330" s="28"/>
      <c r="D330" s="28"/>
      <c r="E330" s="53"/>
      <c r="F330" s="53"/>
      <c r="G330" s="53"/>
      <c r="H330" s="53"/>
    </row>
    <row r="331" spans="1:8">
      <c r="A331" s="27"/>
      <c r="B331" s="27"/>
      <c r="C331" s="28"/>
      <c r="D331" s="28"/>
      <c r="E331" s="53"/>
      <c r="F331" s="53"/>
      <c r="G331" s="53"/>
      <c r="H331" s="53"/>
    </row>
    <row r="332" spans="1:8">
      <c r="A332" s="27"/>
      <c r="B332" s="27"/>
      <c r="C332" s="28"/>
      <c r="D332" s="28"/>
      <c r="E332" s="53"/>
      <c r="F332" s="53"/>
      <c r="G332" s="53"/>
      <c r="H332" s="53"/>
    </row>
    <row r="333" spans="1:8">
      <c r="A333" s="27"/>
      <c r="B333" s="27"/>
      <c r="C333" s="28"/>
      <c r="D333" s="28"/>
      <c r="E333" s="53"/>
      <c r="F333" s="53"/>
      <c r="G333" s="53"/>
      <c r="H333" s="53"/>
    </row>
    <row r="334" spans="1:8">
      <c r="A334" s="27"/>
      <c r="B334" s="27"/>
      <c r="C334" s="28"/>
      <c r="D334" s="28"/>
      <c r="E334" s="53"/>
      <c r="F334" s="53"/>
      <c r="G334" s="53"/>
      <c r="H334" s="53"/>
    </row>
    <row r="335" spans="1:8">
      <c r="A335" s="27"/>
      <c r="B335" s="27"/>
      <c r="C335" s="28"/>
      <c r="D335" s="28"/>
      <c r="E335" s="53"/>
      <c r="F335" s="53"/>
      <c r="G335" s="53"/>
      <c r="H335" s="53"/>
    </row>
    <row r="336" spans="1:8">
      <c r="A336" s="27"/>
      <c r="B336" s="27"/>
      <c r="C336" s="28"/>
      <c r="D336" s="28"/>
      <c r="E336" s="53"/>
      <c r="F336" s="53"/>
      <c r="G336" s="53"/>
      <c r="H336" s="53"/>
    </row>
    <row r="337" spans="1:8">
      <c r="A337" s="27"/>
      <c r="B337" s="27"/>
      <c r="C337" s="28"/>
      <c r="D337" s="28"/>
      <c r="E337" s="53"/>
      <c r="F337" s="53"/>
      <c r="G337" s="53"/>
      <c r="H337" s="53"/>
    </row>
    <row r="338" spans="1:8">
      <c r="A338" s="27"/>
      <c r="B338" s="27"/>
      <c r="C338" s="28"/>
      <c r="D338" s="28"/>
      <c r="E338" s="53"/>
      <c r="F338" s="53"/>
      <c r="G338" s="53"/>
      <c r="H338" s="53"/>
    </row>
    <row r="339" spans="1:8">
      <c r="A339" s="27"/>
      <c r="B339" s="27"/>
      <c r="C339" s="28"/>
      <c r="D339" s="28"/>
      <c r="E339" s="53"/>
      <c r="F339" s="53"/>
      <c r="G339" s="53"/>
      <c r="H339" s="53"/>
    </row>
    <row r="340" spans="1:8">
      <c r="A340" s="27"/>
      <c r="B340" s="27"/>
      <c r="C340" s="28"/>
      <c r="D340" s="28"/>
      <c r="E340" s="53"/>
      <c r="F340" s="53"/>
      <c r="G340" s="53"/>
      <c r="H340" s="53"/>
    </row>
    <row r="341" spans="1:8">
      <c r="A341" s="27"/>
      <c r="B341" s="27"/>
      <c r="C341" s="28"/>
      <c r="D341" s="28"/>
      <c r="E341" s="53"/>
      <c r="F341" s="53"/>
      <c r="G341" s="53"/>
      <c r="H341" s="53"/>
    </row>
    <row r="342" spans="1:8">
      <c r="A342" s="27"/>
      <c r="B342" s="27"/>
      <c r="C342" s="28"/>
      <c r="D342" s="28"/>
      <c r="E342" s="53"/>
      <c r="F342" s="53"/>
      <c r="G342" s="53"/>
      <c r="H342" s="53"/>
    </row>
    <row r="343" spans="1:8">
      <c r="A343" s="27"/>
      <c r="B343" s="27"/>
      <c r="C343" s="28"/>
      <c r="D343" s="28"/>
      <c r="E343" s="53"/>
      <c r="F343" s="53"/>
      <c r="G343" s="53"/>
      <c r="H343" s="53"/>
    </row>
    <row r="344" spans="1:8">
      <c r="A344" s="27"/>
      <c r="B344" s="27"/>
      <c r="C344" s="28"/>
      <c r="D344" s="28"/>
      <c r="E344" s="53"/>
      <c r="F344" s="53"/>
      <c r="G344" s="53"/>
      <c r="H344" s="53"/>
    </row>
    <row r="345" spans="1:8">
      <c r="A345" s="27"/>
      <c r="B345" s="27"/>
      <c r="C345" s="28"/>
      <c r="D345" s="28"/>
      <c r="E345" s="53"/>
      <c r="F345" s="53"/>
      <c r="G345" s="53"/>
      <c r="H345" s="53"/>
    </row>
    <row r="346" spans="1:8">
      <c r="A346" s="27"/>
      <c r="B346" s="27"/>
      <c r="C346" s="28"/>
      <c r="D346" s="28"/>
      <c r="E346" s="53"/>
      <c r="F346" s="53"/>
      <c r="G346" s="53"/>
      <c r="H346" s="53"/>
    </row>
    <row r="347" spans="1:8">
      <c r="A347" s="27"/>
      <c r="B347" s="27"/>
      <c r="C347" s="28"/>
      <c r="D347" s="28"/>
      <c r="E347" s="53"/>
      <c r="F347" s="53"/>
      <c r="G347" s="53"/>
      <c r="H347" s="53"/>
    </row>
    <row r="348" spans="1:8">
      <c r="A348" s="27"/>
      <c r="B348" s="27"/>
      <c r="C348" s="28"/>
      <c r="D348" s="28"/>
      <c r="E348" s="53"/>
      <c r="F348" s="53"/>
      <c r="G348" s="53"/>
      <c r="H348" s="53"/>
    </row>
    <row r="349" spans="1:8">
      <c r="A349" s="27"/>
      <c r="B349" s="27"/>
      <c r="C349" s="28"/>
      <c r="D349" s="28"/>
      <c r="E349" s="53"/>
      <c r="F349" s="53"/>
      <c r="G349" s="53"/>
      <c r="H349" s="53"/>
    </row>
    <row r="350" spans="1:8">
      <c r="A350" s="27"/>
      <c r="B350" s="27"/>
      <c r="C350" s="28"/>
      <c r="D350" s="28"/>
      <c r="E350" s="53"/>
      <c r="F350" s="53"/>
      <c r="G350" s="53"/>
      <c r="H350" s="53"/>
    </row>
    <row r="351" spans="1:8">
      <c r="A351" s="27"/>
      <c r="B351" s="27"/>
      <c r="C351" s="28"/>
      <c r="D351" s="28"/>
      <c r="E351" s="53"/>
      <c r="F351" s="53"/>
      <c r="G351" s="53"/>
      <c r="H351" s="53"/>
    </row>
    <row r="352" spans="1:8">
      <c r="A352" s="27"/>
      <c r="B352" s="27"/>
      <c r="C352" s="28"/>
      <c r="D352" s="28"/>
      <c r="E352" s="53"/>
      <c r="F352" s="53"/>
      <c r="G352" s="53"/>
      <c r="H352" s="53"/>
    </row>
    <row r="353" spans="1:8">
      <c r="A353" s="27"/>
      <c r="B353" s="27"/>
      <c r="C353" s="28"/>
      <c r="D353" s="28"/>
      <c r="E353" s="53"/>
      <c r="F353" s="53"/>
      <c r="G353" s="53"/>
      <c r="H353" s="53"/>
    </row>
    <row r="354" spans="1:8">
      <c r="A354" s="27"/>
      <c r="B354" s="27"/>
      <c r="C354" s="28"/>
      <c r="D354" s="28"/>
      <c r="E354" s="53"/>
      <c r="F354" s="53"/>
      <c r="G354" s="53"/>
      <c r="H354" s="53"/>
    </row>
    <row r="355" spans="1:8">
      <c r="A355" s="27"/>
      <c r="B355" s="27"/>
      <c r="C355" s="28"/>
      <c r="D355" s="28"/>
      <c r="E355" s="53"/>
      <c r="F355" s="53"/>
      <c r="G355" s="53"/>
      <c r="H355" s="53"/>
    </row>
    <row r="356" spans="1:8">
      <c r="A356" s="27"/>
      <c r="B356" s="27"/>
      <c r="C356" s="28"/>
      <c r="D356" s="28"/>
      <c r="E356" s="53"/>
      <c r="F356" s="53"/>
      <c r="G356" s="53"/>
      <c r="H356" s="53"/>
    </row>
    <row r="357" spans="1:8">
      <c r="A357" s="27"/>
      <c r="B357" s="27"/>
      <c r="C357" s="28"/>
      <c r="D357" s="28"/>
      <c r="E357" s="53"/>
      <c r="F357" s="53"/>
      <c r="G357" s="53"/>
      <c r="H357" s="53"/>
    </row>
    <row r="358" spans="1:8">
      <c r="A358" s="27"/>
      <c r="B358" s="27"/>
      <c r="C358" s="28"/>
      <c r="D358" s="28"/>
      <c r="E358" s="53"/>
      <c r="F358" s="53"/>
      <c r="G358" s="53"/>
      <c r="H358" s="53"/>
    </row>
    <row r="359" spans="1:8">
      <c r="A359" s="27"/>
      <c r="B359" s="27"/>
      <c r="C359" s="28"/>
      <c r="D359" s="28"/>
      <c r="E359" s="53"/>
      <c r="F359" s="53"/>
      <c r="G359" s="53"/>
      <c r="H359" s="53"/>
    </row>
    <row r="360" spans="1:8">
      <c r="A360" s="27"/>
      <c r="B360" s="27"/>
      <c r="C360" s="28"/>
      <c r="D360" s="28"/>
      <c r="E360" s="53"/>
      <c r="F360" s="53"/>
      <c r="G360" s="53"/>
      <c r="H360" s="53"/>
    </row>
    <row r="361" spans="1:8">
      <c r="A361" s="27"/>
      <c r="B361" s="27"/>
      <c r="C361" s="28"/>
      <c r="D361" s="28"/>
      <c r="E361" s="53"/>
      <c r="F361" s="53"/>
      <c r="G361" s="53"/>
      <c r="H361" s="53"/>
    </row>
    <row r="362" spans="1:8">
      <c r="A362" s="27"/>
      <c r="B362" s="27"/>
      <c r="C362" s="28"/>
      <c r="D362" s="28"/>
      <c r="E362" s="53"/>
      <c r="F362" s="53"/>
      <c r="G362" s="53"/>
      <c r="H362" s="53"/>
    </row>
    <row r="363" spans="1:8">
      <c r="A363" s="27"/>
      <c r="B363" s="27"/>
      <c r="C363" s="28"/>
      <c r="D363" s="28"/>
      <c r="E363" s="53"/>
      <c r="F363" s="53"/>
      <c r="G363" s="53"/>
      <c r="H363" s="53"/>
    </row>
    <row r="364" spans="1:8">
      <c r="A364" s="27"/>
      <c r="B364" s="27"/>
      <c r="C364" s="28"/>
      <c r="D364" s="28"/>
      <c r="E364" s="53"/>
      <c r="F364" s="53"/>
      <c r="G364" s="53"/>
      <c r="H364" s="53"/>
    </row>
    <row r="365" spans="1:8">
      <c r="A365" s="27"/>
      <c r="B365" s="27"/>
      <c r="C365" s="28"/>
      <c r="D365" s="28"/>
      <c r="E365" s="53"/>
      <c r="F365" s="53"/>
      <c r="G365" s="53"/>
      <c r="H365" s="53"/>
    </row>
    <row r="366" spans="1:8">
      <c r="A366" s="27"/>
      <c r="B366" s="27"/>
      <c r="C366" s="28"/>
      <c r="D366" s="28"/>
      <c r="E366" s="53"/>
      <c r="F366" s="53"/>
      <c r="G366" s="53"/>
      <c r="H366" s="53"/>
    </row>
    <row r="367" spans="1:8">
      <c r="A367" s="27"/>
      <c r="B367" s="27"/>
      <c r="C367" s="28"/>
      <c r="D367" s="28"/>
      <c r="E367" s="53"/>
      <c r="F367" s="53"/>
      <c r="G367" s="53"/>
      <c r="H367" s="53"/>
    </row>
    <row r="368" spans="1:8">
      <c r="A368" s="27"/>
      <c r="B368" s="27"/>
      <c r="C368" s="28"/>
      <c r="D368" s="28"/>
      <c r="E368" s="53"/>
      <c r="F368" s="53"/>
      <c r="G368" s="53"/>
      <c r="H368" s="53"/>
    </row>
    <row r="369" spans="1:8">
      <c r="A369" s="27"/>
      <c r="B369" s="27"/>
      <c r="C369" s="28"/>
      <c r="D369" s="28"/>
      <c r="E369" s="53"/>
      <c r="F369" s="53"/>
      <c r="G369" s="53"/>
      <c r="H369" s="53"/>
    </row>
    <row r="370" spans="1:8">
      <c r="A370" s="27"/>
      <c r="B370" s="27"/>
      <c r="C370" s="28"/>
      <c r="D370" s="28"/>
      <c r="E370" s="53"/>
      <c r="F370" s="53"/>
      <c r="G370" s="53"/>
      <c r="H370" s="53"/>
    </row>
    <row r="371" spans="1:8">
      <c r="A371" s="27"/>
      <c r="B371" s="27"/>
      <c r="C371" s="28"/>
      <c r="D371" s="28"/>
      <c r="E371" s="53"/>
      <c r="F371" s="53"/>
      <c r="G371" s="53"/>
      <c r="H371" s="53"/>
    </row>
    <row r="372" spans="1:8">
      <c r="A372" s="27"/>
      <c r="B372" s="27"/>
      <c r="C372" s="28"/>
      <c r="D372" s="28"/>
      <c r="E372" s="53"/>
      <c r="F372" s="53"/>
      <c r="G372" s="53"/>
      <c r="H372" s="53"/>
    </row>
    <row r="373" spans="1:8">
      <c r="A373" s="27"/>
      <c r="B373" s="27"/>
      <c r="C373" s="28"/>
      <c r="D373" s="28"/>
      <c r="E373" s="53"/>
      <c r="F373" s="53"/>
      <c r="G373" s="53"/>
      <c r="H373" s="53"/>
    </row>
    <row r="374" spans="1:8">
      <c r="A374" s="27"/>
      <c r="B374" s="27"/>
      <c r="C374" s="28"/>
      <c r="D374" s="28"/>
      <c r="E374" s="53"/>
      <c r="F374" s="53"/>
      <c r="G374" s="53"/>
      <c r="H374" s="53"/>
    </row>
    <row r="375" spans="1:8">
      <c r="A375" s="27"/>
      <c r="B375" s="27"/>
      <c r="C375" s="28"/>
      <c r="D375" s="28"/>
      <c r="E375" s="53"/>
      <c r="F375" s="53"/>
      <c r="G375" s="53"/>
      <c r="H375" s="53"/>
    </row>
    <row r="376" spans="1:8">
      <c r="A376" s="27"/>
      <c r="B376" s="27"/>
      <c r="C376" s="28"/>
      <c r="D376" s="28"/>
      <c r="E376" s="53"/>
      <c r="F376" s="53"/>
      <c r="G376" s="53"/>
      <c r="H376" s="53"/>
    </row>
    <row r="377" spans="1:8">
      <c r="A377" s="27"/>
      <c r="B377" s="27"/>
      <c r="C377" s="28"/>
      <c r="D377" s="28"/>
      <c r="E377" s="53"/>
      <c r="F377" s="53"/>
      <c r="G377" s="53"/>
      <c r="H377" s="53"/>
    </row>
    <row r="378" spans="1:8">
      <c r="A378" s="27"/>
      <c r="B378" s="27"/>
      <c r="C378" s="28"/>
      <c r="D378" s="28"/>
      <c r="E378" s="53"/>
      <c r="F378" s="53"/>
      <c r="G378" s="53"/>
      <c r="H378" s="53"/>
    </row>
    <row r="379" spans="1:8">
      <c r="A379" s="27"/>
      <c r="B379" s="27"/>
      <c r="C379" s="28"/>
      <c r="D379" s="28"/>
      <c r="E379" s="53"/>
      <c r="F379" s="53"/>
      <c r="G379" s="53"/>
      <c r="H379" s="53"/>
    </row>
    <row r="380" spans="1:8">
      <c r="A380" s="27"/>
      <c r="B380" s="27"/>
      <c r="C380" s="28"/>
      <c r="D380" s="28"/>
      <c r="E380" s="53"/>
      <c r="F380" s="53"/>
      <c r="G380" s="53"/>
      <c r="H380" s="53"/>
    </row>
    <row r="381" spans="1:8">
      <c r="A381" s="27"/>
      <c r="B381" s="27"/>
      <c r="C381" s="28"/>
      <c r="D381" s="28"/>
      <c r="E381" s="53"/>
      <c r="F381" s="53"/>
      <c r="G381" s="53"/>
      <c r="H381" s="53"/>
    </row>
    <row r="382" spans="1:8">
      <c r="A382" s="27"/>
      <c r="B382" s="27"/>
      <c r="C382" s="28"/>
      <c r="D382" s="28"/>
      <c r="E382" s="53"/>
      <c r="F382" s="53"/>
      <c r="G382" s="53"/>
      <c r="H382" s="53"/>
    </row>
    <row r="383" spans="1:8">
      <c r="A383" s="27"/>
      <c r="B383" s="27"/>
      <c r="C383" s="28"/>
      <c r="D383" s="28"/>
      <c r="E383" s="53"/>
      <c r="F383" s="53"/>
      <c r="G383" s="53"/>
      <c r="H383" s="53"/>
    </row>
    <row r="384" spans="1:8">
      <c r="A384" s="27"/>
      <c r="B384" s="27"/>
      <c r="C384" s="28"/>
      <c r="D384" s="28"/>
      <c r="E384" s="53"/>
      <c r="F384" s="53"/>
      <c r="G384" s="53"/>
      <c r="H384" s="53"/>
    </row>
    <row r="385" spans="1:8">
      <c r="A385" s="27"/>
      <c r="B385" s="27"/>
      <c r="C385" s="28"/>
      <c r="D385" s="28"/>
      <c r="E385" s="53"/>
      <c r="F385" s="53"/>
      <c r="G385" s="53"/>
      <c r="H385" s="53"/>
    </row>
    <row r="386" spans="1:8">
      <c r="A386" s="27"/>
      <c r="B386" s="27"/>
      <c r="C386" s="28"/>
      <c r="D386" s="28"/>
      <c r="E386" s="53"/>
      <c r="F386" s="53"/>
      <c r="G386" s="53"/>
      <c r="H386" s="53"/>
    </row>
    <row r="387" spans="1:8">
      <c r="A387" s="27"/>
      <c r="B387" s="27"/>
      <c r="C387" s="28"/>
      <c r="D387" s="28"/>
      <c r="E387" s="53"/>
      <c r="F387" s="53"/>
      <c r="G387" s="53"/>
      <c r="H387" s="53"/>
    </row>
    <row r="388" spans="1:8">
      <c r="A388" s="27"/>
      <c r="B388" s="27"/>
      <c r="C388" s="28"/>
      <c r="D388" s="28"/>
      <c r="E388" s="53"/>
      <c r="F388" s="53"/>
      <c r="G388" s="53"/>
      <c r="H388" s="53"/>
    </row>
    <row r="389" spans="1:8">
      <c r="A389" s="27"/>
      <c r="B389" s="27"/>
      <c r="C389" s="28"/>
      <c r="D389" s="28"/>
      <c r="E389" s="53"/>
      <c r="F389" s="53"/>
      <c r="G389" s="53"/>
      <c r="H389" s="53"/>
    </row>
    <row r="390" spans="1:8">
      <c r="A390" s="27"/>
      <c r="B390" s="27"/>
      <c r="C390" s="28"/>
      <c r="D390" s="28"/>
      <c r="E390" s="53"/>
      <c r="F390" s="53"/>
      <c r="G390" s="53"/>
      <c r="H390" s="53"/>
    </row>
    <row r="391" spans="1:8">
      <c r="A391" s="27"/>
      <c r="B391" s="27"/>
      <c r="C391" s="28"/>
      <c r="D391" s="28"/>
      <c r="E391" s="53"/>
      <c r="F391" s="53"/>
      <c r="G391" s="53"/>
      <c r="H391" s="53"/>
    </row>
    <row r="392" spans="1:8">
      <c r="A392" s="27"/>
      <c r="B392" s="27"/>
      <c r="C392" s="28"/>
      <c r="D392" s="28"/>
      <c r="E392" s="53"/>
      <c r="F392" s="53"/>
      <c r="G392" s="53"/>
      <c r="H392" s="53"/>
    </row>
    <row r="393" spans="1:8">
      <c r="A393" s="27"/>
      <c r="B393" s="27"/>
      <c r="C393" s="28"/>
      <c r="D393" s="28"/>
      <c r="E393" s="53"/>
      <c r="F393" s="53"/>
      <c r="G393" s="53"/>
      <c r="H393" s="53"/>
    </row>
    <row r="394" spans="1:8">
      <c r="A394" s="27"/>
      <c r="B394" s="27"/>
      <c r="C394" s="28"/>
      <c r="D394" s="28"/>
      <c r="E394" s="53"/>
      <c r="F394" s="53"/>
      <c r="G394" s="53"/>
      <c r="H394" s="53"/>
    </row>
    <row r="395" spans="1:8">
      <c r="A395" s="27"/>
      <c r="B395" s="27"/>
      <c r="C395" s="28"/>
      <c r="D395" s="28"/>
      <c r="E395" s="53"/>
      <c r="F395" s="53"/>
      <c r="G395" s="53"/>
      <c r="H395" s="53"/>
    </row>
    <row r="396" spans="1:8">
      <c r="A396" s="27"/>
      <c r="B396" s="27"/>
      <c r="C396" s="28"/>
      <c r="D396" s="28"/>
      <c r="E396" s="53"/>
      <c r="F396" s="53"/>
      <c r="G396" s="53"/>
      <c r="H396" s="53"/>
    </row>
    <row r="397" spans="1:8">
      <c r="A397" s="27"/>
      <c r="B397" s="27"/>
      <c r="C397" s="28"/>
      <c r="D397" s="28"/>
      <c r="E397" s="53"/>
      <c r="F397" s="53"/>
      <c r="G397" s="53"/>
      <c r="H397" s="53"/>
    </row>
    <row r="398" spans="1:8">
      <c r="A398" s="27"/>
      <c r="B398" s="27"/>
      <c r="C398" s="28"/>
      <c r="D398" s="28"/>
      <c r="E398" s="53"/>
      <c r="F398" s="53"/>
      <c r="G398" s="53"/>
      <c r="H398" s="53"/>
    </row>
    <row r="399" spans="1:8">
      <c r="A399" s="27"/>
      <c r="B399" s="27"/>
      <c r="C399" s="28"/>
      <c r="D399" s="28"/>
      <c r="E399" s="53"/>
      <c r="F399" s="53"/>
      <c r="G399" s="53"/>
      <c r="H399" s="53"/>
    </row>
    <row r="400" spans="1:8">
      <c r="A400" s="27"/>
      <c r="B400" s="27"/>
      <c r="C400" s="28"/>
      <c r="D400" s="28"/>
      <c r="E400" s="53"/>
      <c r="F400" s="53"/>
      <c r="G400" s="53"/>
      <c r="H400" s="53"/>
    </row>
    <row r="401" spans="1:8">
      <c r="A401" s="27"/>
      <c r="B401" s="27"/>
      <c r="C401" s="28"/>
      <c r="D401" s="28"/>
      <c r="E401" s="53"/>
      <c r="F401" s="53"/>
      <c r="G401" s="53"/>
      <c r="H401" s="53"/>
    </row>
    <row r="402" spans="1:8">
      <c r="A402" s="27"/>
      <c r="B402" s="27"/>
      <c r="C402" s="28"/>
      <c r="D402" s="28"/>
      <c r="E402" s="53"/>
      <c r="F402" s="53"/>
      <c r="G402" s="53"/>
      <c r="H402" s="53"/>
    </row>
    <row r="403" spans="1:8">
      <c r="A403" s="27"/>
      <c r="B403" s="27"/>
      <c r="C403" s="28"/>
      <c r="D403" s="28"/>
      <c r="E403" s="53"/>
      <c r="F403" s="53"/>
      <c r="G403" s="53"/>
      <c r="H403" s="53"/>
    </row>
    <row r="404" spans="1:8">
      <c r="A404" s="27"/>
      <c r="B404" s="27"/>
      <c r="C404" s="28"/>
      <c r="D404" s="28"/>
      <c r="E404" s="53"/>
      <c r="F404" s="53"/>
      <c r="G404" s="53"/>
      <c r="H404" s="53"/>
    </row>
    <row r="405" spans="1:8">
      <c r="A405" s="27"/>
      <c r="B405" s="27"/>
      <c r="C405" s="28"/>
      <c r="D405" s="28"/>
      <c r="E405" s="53"/>
      <c r="F405" s="53"/>
      <c r="G405" s="53"/>
      <c r="H405" s="53"/>
    </row>
    <row r="406" spans="1:8">
      <c r="A406" s="27"/>
      <c r="B406" s="27"/>
      <c r="C406" s="28"/>
      <c r="D406" s="28"/>
      <c r="E406" s="53"/>
      <c r="F406" s="53"/>
      <c r="G406" s="53"/>
      <c r="H406" s="53"/>
    </row>
    <row r="407" spans="1:8">
      <c r="A407" s="27"/>
      <c r="B407" s="27"/>
      <c r="C407" s="28"/>
      <c r="D407" s="28"/>
      <c r="E407" s="53"/>
      <c r="F407" s="53"/>
      <c r="G407" s="53"/>
      <c r="H407" s="53"/>
    </row>
    <row r="408" spans="1:8">
      <c r="A408" s="27"/>
      <c r="B408" s="27"/>
      <c r="C408" s="28"/>
      <c r="D408" s="28"/>
      <c r="E408" s="53"/>
      <c r="F408" s="53"/>
      <c r="G408" s="53"/>
      <c r="H408" s="53"/>
    </row>
    <row r="409" spans="1:8">
      <c r="A409" s="27"/>
      <c r="B409" s="27"/>
      <c r="C409" s="28"/>
      <c r="D409" s="28"/>
      <c r="E409" s="53"/>
      <c r="F409" s="53"/>
      <c r="G409" s="53"/>
      <c r="H409" s="53"/>
    </row>
    <row r="410" spans="1:8">
      <c r="A410" s="27"/>
      <c r="B410" s="27"/>
      <c r="C410" s="28"/>
      <c r="D410" s="28"/>
      <c r="E410" s="53"/>
      <c r="F410" s="53"/>
      <c r="G410" s="53"/>
      <c r="H410" s="53"/>
    </row>
    <row r="411" spans="1:8">
      <c r="A411" s="27"/>
      <c r="B411" s="27"/>
      <c r="C411" s="28"/>
      <c r="D411" s="28"/>
      <c r="E411" s="53"/>
      <c r="F411" s="53"/>
      <c r="G411" s="53"/>
      <c r="H411" s="53"/>
    </row>
    <row r="412" spans="1:8">
      <c r="A412" s="27"/>
      <c r="B412" s="27"/>
      <c r="C412" s="28"/>
      <c r="D412" s="28"/>
      <c r="E412" s="53"/>
      <c r="F412" s="53"/>
      <c r="G412" s="53"/>
      <c r="H412" s="53"/>
    </row>
    <row r="413" spans="1:8">
      <c r="A413" s="27"/>
      <c r="B413" s="27"/>
      <c r="C413" s="28"/>
      <c r="D413" s="28"/>
      <c r="E413" s="53"/>
      <c r="F413" s="53"/>
      <c r="G413" s="53"/>
      <c r="H413" s="53"/>
    </row>
    <row r="414" spans="1:8">
      <c r="A414" s="27"/>
      <c r="B414" s="27"/>
      <c r="C414" s="28"/>
      <c r="D414" s="28"/>
      <c r="E414" s="53"/>
      <c r="F414" s="53"/>
      <c r="G414" s="53"/>
      <c r="H414" s="53"/>
    </row>
    <row r="415" spans="1:8">
      <c r="A415" s="27"/>
      <c r="B415" s="27"/>
      <c r="C415" s="28"/>
      <c r="D415" s="28"/>
      <c r="E415" s="53"/>
      <c r="F415" s="53"/>
      <c r="G415" s="53"/>
      <c r="H415" s="53"/>
    </row>
    <row r="416" spans="1:8">
      <c r="A416" s="27"/>
      <c r="B416" s="27"/>
      <c r="C416" s="28"/>
      <c r="D416" s="28"/>
      <c r="E416" s="53"/>
      <c r="F416" s="53"/>
      <c r="G416" s="53"/>
      <c r="H416" s="53"/>
    </row>
    <row r="417" spans="1:8">
      <c r="A417" s="27"/>
      <c r="B417" s="27"/>
      <c r="C417" s="28"/>
      <c r="D417" s="28"/>
      <c r="E417" s="53"/>
      <c r="F417" s="53"/>
      <c r="G417" s="53"/>
      <c r="H417" s="53"/>
    </row>
    <row r="418" spans="1:8">
      <c r="A418" s="27"/>
      <c r="B418" s="27"/>
      <c r="C418" s="28"/>
      <c r="D418" s="28"/>
      <c r="E418" s="53"/>
      <c r="F418" s="53"/>
      <c r="G418" s="53"/>
      <c r="H418" s="53"/>
    </row>
    <row r="419" spans="1:8">
      <c r="A419" s="27"/>
      <c r="B419" s="27"/>
      <c r="C419" s="28"/>
      <c r="D419" s="28"/>
      <c r="E419" s="53"/>
      <c r="F419" s="53"/>
      <c r="G419" s="53"/>
      <c r="H419" s="53"/>
    </row>
    <row r="420" spans="1:8">
      <c r="A420" s="27"/>
      <c r="B420" s="27"/>
      <c r="C420" s="28"/>
      <c r="D420" s="28"/>
      <c r="E420" s="53"/>
      <c r="F420" s="53"/>
      <c r="G420" s="53"/>
      <c r="H420" s="53"/>
    </row>
    <row r="421" spans="1:8">
      <c r="A421" s="27"/>
      <c r="B421" s="27"/>
      <c r="C421" s="28"/>
      <c r="D421" s="28"/>
      <c r="E421" s="53"/>
      <c r="F421" s="53"/>
      <c r="G421" s="53"/>
      <c r="H421" s="53"/>
    </row>
    <row r="422" spans="1:8">
      <c r="A422" s="27"/>
      <c r="B422" s="27"/>
      <c r="C422" s="28"/>
      <c r="D422" s="28"/>
      <c r="E422" s="53"/>
      <c r="F422" s="53"/>
      <c r="G422" s="53"/>
      <c r="H422" s="53"/>
    </row>
    <row r="423" spans="1:8">
      <c r="A423" s="27"/>
      <c r="B423" s="27"/>
      <c r="C423" s="28"/>
      <c r="D423" s="28"/>
      <c r="E423" s="53"/>
      <c r="F423" s="53"/>
      <c r="G423" s="53"/>
      <c r="H423" s="53"/>
    </row>
    <row r="424" spans="1:8">
      <c r="A424" s="27"/>
      <c r="B424" s="27"/>
      <c r="C424" s="28"/>
      <c r="D424" s="28"/>
      <c r="E424" s="53"/>
      <c r="F424" s="53"/>
      <c r="G424" s="53"/>
      <c r="H424" s="53"/>
    </row>
    <row r="425" spans="1:8">
      <c r="A425" s="27"/>
      <c r="B425" s="27"/>
      <c r="C425" s="28"/>
      <c r="D425" s="28"/>
      <c r="E425" s="53"/>
      <c r="F425" s="53"/>
      <c r="G425" s="53"/>
      <c r="H425" s="53"/>
    </row>
    <row r="426" spans="1:8">
      <c r="A426" s="27"/>
      <c r="B426" s="27"/>
      <c r="C426" s="28"/>
      <c r="D426" s="28"/>
      <c r="E426" s="53"/>
      <c r="F426" s="53"/>
      <c r="G426" s="53"/>
      <c r="H426" s="53"/>
    </row>
    <row r="427" spans="1:8">
      <c r="A427" s="27"/>
      <c r="B427" s="27"/>
      <c r="C427" s="28"/>
      <c r="D427" s="28"/>
      <c r="E427" s="53"/>
      <c r="F427" s="53"/>
      <c r="G427" s="53"/>
      <c r="H427" s="53"/>
    </row>
    <row r="428" spans="1:8">
      <c r="A428" s="27"/>
      <c r="B428" s="27"/>
      <c r="C428" s="28"/>
      <c r="D428" s="28"/>
      <c r="E428" s="53"/>
      <c r="F428" s="53"/>
      <c r="G428" s="53"/>
      <c r="H428" s="53"/>
    </row>
    <row r="429" spans="1:8">
      <c r="A429" s="27"/>
      <c r="B429" s="27"/>
      <c r="C429" s="28"/>
      <c r="D429" s="28"/>
      <c r="E429" s="53"/>
      <c r="F429" s="53"/>
      <c r="G429" s="53"/>
      <c r="H429" s="53"/>
    </row>
    <row r="430" spans="1:8">
      <c r="A430" s="27"/>
      <c r="B430" s="27"/>
      <c r="C430" s="28"/>
      <c r="D430" s="28"/>
      <c r="E430" s="53"/>
      <c r="F430" s="53"/>
      <c r="G430" s="53"/>
      <c r="H430" s="53"/>
    </row>
    <row r="431" spans="1:8">
      <c r="A431" s="27"/>
      <c r="B431" s="27"/>
      <c r="C431" s="28"/>
      <c r="D431" s="28"/>
      <c r="E431" s="53"/>
      <c r="F431" s="53"/>
      <c r="G431" s="53"/>
      <c r="H431" s="53"/>
    </row>
    <row r="432" spans="1:8">
      <c r="A432" s="27"/>
      <c r="B432" s="27"/>
      <c r="C432" s="28"/>
      <c r="D432" s="28"/>
      <c r="E432" s="53"/>
      <c r="F432" s="53"/>
      <c r="G432" s="53"/>
      <c r="H432" s="53"/>
    </row>
    <row r="433" spans="1:8">
      <c r="A433" s="27"/>
      <c r="B433" s="27"/>
      <c r="C433" s="28"/>
      <c r="D433" s="28"/>
      <c r="E433" s="53"/>
      <c r="F433" s="53"/>
      <c r="G433" s="53"/>
      <c r="H433" s="53"/>
    </row>
    <row r="434" spans="1:8">
      <c r="A434" s="27"/>
      <c r="B434" s="27"/>
      <c r="C434" s="28"/>
      <c r="D434" s="28"/>
      <c r="E434" s="53"/>
      <c r="F434" s="53"/>
      <c r="G434" s="53"/>
      <c r="H434" s="53"/>
    </row>
    <row r="435" spans="1:8">
      <c r="A435" s="27"/>
      <c r="B435" s="27"/>
      <c r="C435" s="28"/>
      <c r="D435" s="28"/>
      <c r="E435" s="53"/>
      <c r="F435" s="53"/>
      <c r="G435" s="53"/>
      <c r="H435" s="53"/>
    </row>
    <row r="436" spans="1:8">
      <c r="A436" s="27"/>
      <c r="B436" s="27"/>
      <c r="C436" s="28"/>
      <c r="D436" s="28"/>
      <c r="E436" s="53"/>
      <c r="F436" s="53"/>
      <c r="G436" s="53"/>
      <c r="H436" s="53"/>
    </row>
    <row r="437" spans="1:8">
      <c r="A437" s="27"/>
      <c r="B437" s="27"/>
      <c r="C437" s="28"/>
      <c r="D437" s="28"/>
      <c r="E437" s="53"/>
      <c r="F437" s="53"/>
      <c r="G437" s="53"/>
      <c r="H437" s="53"/>
    </row>
    <row r="438" spans="1:8">
      <c r="A438" s="27"/>
      <c r="B438" s="27"/>
      <c r="C438" s="28"/>
      <c r="D438" s="28"/>
      <c r="E438" s="53"/>
      <c r="F438" s="53"/>
      <c r="G438" s="53"/>
      <c r="H438" s="53"/>
    </row>
    <row r="439" spans="1:8">
      <c r="A439" s="27"/>
      <c r="B439" s="27"/>
      <c r="C439" s="28"/>
      <c r="D439" s="28"/>
      <c r="E439" s="53"/>
      <c r="F439" s="53"/>
      <c r="G439" s="53"/>
      <c r="H439" s="53"/>
    </row>
    <row r="440" spans="1:8">
      <c r="A440" s="27"/>
      <c r="B440" s="27"/>
      <c r="C440" s="28"/>
      <c r="D440" s="28"/>
      <c r="E440" s="53"/>
      <c r="F440" s="53"/>
      <c r="G440" s="53"/>
      <c r="H440" s="53"/>
    </row>
    <row r="441" spans="1:8">
      <c r="A441" s="27"/>
      <c r="B441" s="27"/>
      <c r="C441" s="28"/>
      <c r="D441" s="28"/>
      <c r="E441" s="53"/>
      <c r="F441" s="53"/>
      <c r="G441" s="53"/>
      <c r="H441" s="53"/>
    </row>
    <row r="442" spans="1:8">
      <c r="A442" s="27"/>
      <c r="B442" s="27"/>
      <c r="C442" s="28"/>
      <c r="D442" s="28"/>
      <c r="E442" s="53"/>
      <c r="F442" s="53"/>
      <c r="G442" s="53"/>
      <c r="H442" s="53"/>
    </row>
    <row r="443" spans="1:8">
      <c r="A443" s="27"/>
      <c r="B443" s="27"/>
      <c r="C443" s="28"/>
      <c r="D443" s="28"/>
      <c r="E443" s="53"/>
      <c r="F443" s="53"/>
      <c r="G443" s="53"/>
      <c r="H443" s="53"/>
    </row>
    <row r="444" spans="1:8">
      <c r="A444" s="27"/>
      <c r="B444" s="27"/>
      <c r="C444" s="28"/>
      <c r="D444" s="28"/>
      <c r="E444" s="53"/>
      <c r="F444" s="53"/>
      <c r="G444" s="53"/>
      <c r="H444" s="53"/>
    </row>
    <row r="445" spans="1:8">
      <c r="A445" s="27"/>
      <c r="B445" s="27"/>
      <c r="C445" s="28"/>
      <c r="D445" s="28"/>
      <c r="E445" s="53"/>
      <c r="F445" s="53"/>
      <c r="G445" s="53"/>
      <c r="H445" s="53"/>
    </row>
    <row r="446" spans="1:8">
      <c r="A446" s="27"/>
      <c r="B446" s="27"/>
      <c r="C446" s="28"/>
      <c r="D446" s="28"/>
      <c r="E446" s="53"/>
      <c r="F446" s="53"/>
      <c r="G446" s="53"/>
      <c r="H446" s="53"/>
    </row>
    <row r="447" spans="1:8">
      <c r="A447" s="27"/>
      <c r="B447" s="27"/>
      <c r="C447" s="28"/>
      <c r="D447" s="28"/>
      <c r="E447" s="53"/>
      <c r="F447" s="53"/>
      <c r="G447" s="53"/>
      <c r="H447" s="53"/>
    </row>
    <row r="448" spans="1:8">
      <c r="A448" s="27"/>
      <c r="B448" s="27"/>
      <c r="C448" s="28"/>
      <c r="D448" s="28"/>
      <c r="E448" s="53"/>
      <c r="F448" s="53"/>
      <c r="G448" s="53"/>
      <c r="H448" s="53"/>
    </row>
    <row r="449" spans="1:8">
      <c r="A449" s="27"/>
      <c r="B449" s="27"/>
      <c r="C449" s="28"/>
      <c r="D449" s="28"/>
      <c r="E449" s="53"/>
      <c r="F449" s="53"/>
      <c r="G449" s="53"/>
      <c r="H449" s="53"/>
    </row>
    <row r="450" spans="1:8">
      <c r="A450" s="27"/>
      <c r="B450" s="27"/>
      <c r="C450" s="28"/>
      <c r="D450" s="28"/>
      <c r="E450" s="53"/>
      <c r="F450" s="53"/>
      <c r="G450" s="53"/>
      <c r="H450" s="53"/>
    </row>
    <row r="451" spans="1:8">
      <c r="A451" s="27"/>
      <c r="B451" s="27"/>
      <c r="C451" s="28"/>
      <c r="D451" s="28"/>
      <c r="E451" s="53"/>
      <c r="F451" s="53"/>
      <c r="G451" s="53"/>
      <c r="H451" s="53"/>
    </row>
    <row r="452" spans="1:8">
      <c r="A452" s="27"/>
      <c r="B452" s="27"/>
      <c r="C452" s="28"/>
      <c r="D452" s="28"/>
      <c r="E452" s="53"/>
      <c r="F452" s="53"/>
      <c r="G452" s="53"/>
      <c r="H452" s="53"/>
    </row>
    <row r="453" spans="1:8">
      <c r="A453" s="27"/>
      <c r="B453" s="27"/>
      <c r="C453" s="28"/>
      <c r="D453" s="28"/>
      <c r="E453" s="53"/>
      <c r="F453" s="53"/>
      <c r="G453" s="53"/>
      <c r="H453" s="53"/>
    </row>
    <row r="454" spans="1:8">
      <c r="A454" s="27"/>
      <c r="B454" s="27"/>
      <c r="C454" s="28"/>
      <c r="D454" s="28"/>
      <c r="E454" s="53"/>
      <c r="F454" s="53"/>
      <c r="G454" s="53"/>
      <c r="H454" s="53"/>
    </row>
    <row r="455" spans="1:8">
      <c r="A455" s="27"/>
      <c r="B455" s="27"/>
      <c r="C455" s="28"/>
      <c r="D455" s="28"/>
      <c r="E455" s="53"/>
      <c r="F455" s="53"/>
      <c r="G455" s="53"/>
      <c r="H455" s="53"/>
    </row>
    <row r="456" spans="1:8">
      <c r="A456" s="27"/>
      <c r="B456" s="27"/>
      <c r="C456" s="28"/>
      <c r="D456" s="28"/>
      <c r="E456" s="53"/>
      <c r="F456" s="53"/>
      <c r="G456" s="53"/>
      <c r="H456" s="53"/>
    </row>
    <row r="457" spans="1:8">
      <c r="A457" s="27"/>
      <c r="B457" s="27"/>
      <c r="C457" s="28"/>
      <c r="D457" s="28"/>
      <c r="E457" s="53"/>
      <c r="F457" s="53"/>
      <c r="G457" s="53"/>
      <c r="H457" s="53"/>
    </row>
    <row r="458" spans="1:8">
      <c r="A458" s="27"/>
      <c r="B458" s="27"/>
      <c r="C458" s="28"/>
      <c r="D458" s="28"/>
      <c r="E458" s="53"/>
      <c r="F458" s="53"/>
      <c r="G458" s="53"/>
      <c r="H458" s="53"/>
    </row>
    <row r="459" spans="1:8">
      <c r="A459" s="27"/>
      <c r="B459" s="27"/>
      <c r="C459" s="28"/>
      <c r="D459" s="28"/>
      <c r="E459" s="53"/>
      <c r="F459" s="53"/>
      <c r="G459" s="53"/>
      <c r="H459" s="53"/>
    </row>
    <row r="460" spans="1:8">
      <c r="A460" s="27"/>
      <c r="B460" s="27"/>
      <c r="C460" s="28"/>
      <c r="D460" s="28"/>
      <c r="E460" s="53"/>
      <c r="F460" s="53"/>
      <c r="G460" s="53"/>
      <c r="H460" s="53"/>
    </row>
    <row r="461" spans="1:8">
      <c r="A461" s="27"/>
      <c r="B461" s="27"/>
      <c r="C461" s="28"/>
      <c r="D461" s="28"/>
      <c r="E461" s="53"/>
      <c r="F461" s="53"/>
      <c r="G461" s="53"/>
      <c r="H461" s="53"/>
    </row>
    <row r="462" spans="1:8">
      <c r="A462" s="27"/>
      <c r="B462" s="27"/>
      <c r="C462" s="28"/>
      <c r="D462" s="28"/>
      <c r="E462" s="53"/>
      <c r="F462" s="53"/>
      <c r="G462" s="53"/>
      <c r="H462" s="53"/>
    </row>
    <row r="463" spans="1:8">
      <c r="A463" s="27"/>
      <c r="B463" s="27"/>
      <c r="C463" s="28"/>
      <c r="D463" s="28"/>
      <c r="E463" s="53"/>
      <c r="F463" s="53"/>
      <c r="G463" s="53"/>
      <c r="H463" s="53"/>
    </row>
    <row r="464" spans="1:8">
      <c r="A464" s="27"/>
      <c r="B464" s="27"/>
      <c r="C464" s="28"/>
      <c r="D464" s="28"/>
      <c r="E464" s="53"/>
      <c r="F464" s="53"/>
      <c r="G464" s="53"/>
      <c r="H464" s="53"/>
    </row>
    <row r="465" spans="1:8">
      <c r="A465" s="27"/>
      <c r="B465" s="27"/>
      <c r="C465" s="28"/>
      <c r="D465" s="28"/>
      <c r="E465" s="53"/>
      <c r="F465" s="53"/>
      <c r="G465" s="53"/>
      <c r="H465" s="53"/>
    </row>
    <row r="466" spans="1:8">
      <c r="A466" s="27"/>
      <c r="B466" s="27"/>
      <c r="C466" s="28"/>
      <c r="D466" s="28"/>
      <c r="E466" s="53"/>
      <c r="F466" s="53"/>
      <c r="G466" s="53"/>
      <c r="H466" s="53"/>
    </row>
    <row r="467" spans="1:8">
      <c r="A467" s="27"/>
      <c r="B467" s="27"/>
      <c r="C467" s="28"/>
      <c r="D467" s="28"/>
      <c r="E467" s="53"/>
      <c r="F467" s="53"/>
      <c r="G467" s="53"/>
      <c r="H467" s="53"/>
    </row>
    <row r="468" spans="1:8">
      <c r="A468" s="27"/>
      <c r="B468" s="27"/>
      <c r="C468" s="28"/>
      <c r="D468" s="28"/>
      <c r="E468" s="53"/>
      <c r="F468" s="53"/>
      <c r="G468" s="53"/>
      <c r="H468" s="53"/>
    </row>
    <row r="469" spans="1:8">
      <c r="A469" s="27"/>
      <c r="B469" s="27"/>
      <c r="C469" s="28"/>
      <c r="D469" s="28"/>
      <c r="E469" s="53"/>
      <c r="F469" s="53"/>
      <c r="G469" s="53"/>
      <c r="H469" s="53"/>
    </row>
    <row r="470" spans="1:8">
      <c r="A470" s="27"/>
      <c r="B470" s="27"/>
      <c r="C470" s="28"/>
      <c r="D470" s="28"/>
      <c r="E470" s="53"/>
      <c r="F470" s="53"/>
      <c r="G470" s="53"/>
      <c r="H470" s="53"/>
    </row>
    <row r="471" spans="1:8">
      <c r="A471" s="27"/>
      <c r="B471" s="27"/>
      <c r="C471" s="28"/>
      <c r="D471" s="28"/>
      <c r="E471" s="53"/>
      <c r="F471" s="53"/>
      <c r="G471" s="53"/>
      <c r="H471" s="53"/>
    </row>
    <row r="472" spans="1:8">
      <c r="A472" s="27"/>
      <c r="B472" s="27"/>
      <c r="C472" s="28"/>
      <c r="D472" s="28"/>
      <c r="E472" s="53"/>
      <c r="F472" s="53"/>
      <c r="G472" s="53"/>
      <c r="H472" s="53"/>
    </row>
    <row r="473" spans="1:8">
      <c r="A473" s="27"/>
      <c r="B473" s="27"/>
      <c r="C473" s="28"/>
      <c r="D473" s="28"/>
      <c r="E473" s="53"/>
      <c r="F473" s="53"/>
      <c r="G473" s="53"/>
      <c r="H473" s="53"/>
    </row>
    <row r="474" spans="1:8">
      <c r="A474" s="27"/>
      <c r="B474" s="27"/>
      <c r="C474" s="28"/>
      <c r="D474" s="28"/>
      <c r="E474" s="53"/>
      <c r="F474" s="53"/>
      <c r="G474" s="53"/>
      <c r="H474" s="53"/>
    </row>
    <row r="475" spans="1:8">
      <c r="A475" s="27"/>
      <c r="B475" s="27"/>
      <c r="C475" s="28"/>
      <c r="D475" s="28"/>
      <c r="E475" s="53"/>
      <c r="F475" s="53"/>
      <c r="G475" s="53"/>
      <c r="H475" s="53"/>
    </row>
    <row r="476" spans="1:8">
      <c r="A476" s="27"/>
      <c r="B476" s="27"/>
      <c r="C476" s="28"/>
      <c r="D476" s="28"/>
      <c r="E476" s="53"/>
      <c r="F476" s="53"/>
      <c r="G476" s="53"/>
      <c r="H476" s="53"/>
    </row>
    <row r="477" spans="1:8">
      <c r="A477" s="27"/>
      <c r="B477" s="27"/>
      <c r="C477" s="28"/>
      <c r="D477" s="28"/>
      <c r="E477" s="53"/>
      <c r="F477" s="53"/>
      <c r="G477" s="53"/>
      <c r="H477" s="53"/>
    </row>
    <row r="478" spans="1:8">
      <c r="A478" s="27"/>
      <c r="B478" s="27"/>
      <c r="C478" s="28"/>
      <c r="D478" s="28"/>
      <c r="E478" s="53"/>
      <c r="F478" s="53"/>
      <c r="G478" s="53"/>
      <c r="H478" s="53"/>
    </row>
    <row r="479" spans="1:8">
      <c r="A479" s="27"/>
      <c r="B479" s="27"/>
      <c r="C479" s="28"/>
      <c r="D479" s="28"/>
      <c r="E479" s="53"/>
      <c r="F479" s="53"/>
      <c r="G479" s="53"/>
      <c r="H479" s="53"/>
    </row>
    <row r="480" spans="1:8">
      <c r="A480" s="27"/>
      <c r="B480" s="27"/>
      <c r="C480" s="28"/>
      <c r="D480" s="28"/>
      <c r="E480" s="53"/>
      <c r="F480" s="53"/>
      <c r="G480" s="53"/>
      <c r="H480" s="53"/>
    </row>
    <row r="481" spans="1:8">
      <c r="A481" s="27"/>
      <c r="B481" s="27"/>
      <c r="C481" s="28"/>
      <c r="D481" s="28"/>
      <c r="E481" s="53"/>
      <c r="F481" s="53"/>
      <c r="G481" s="53"/>
      <c r="H481" s="53"/>
    </row>
    <row r="482" spans="1:8">
      <c r="A482" s="27"/>
      <c r="B482" s="27"/>
      <c r="C482" s="28"/>
      <c r="D482" s="28"/>
      <c r="E482" s="53"/>
      <c r="F482" s="53"/>
      <c r="G482" s="53"/>
      <c r="H482" s="53"/>
    </row>
    <row r="483" spans="1:8">
      <c r="A483" s="27"/>
      <c r="B483" s="27"/>
      <c r="C483" s="28"/>
      <c r="D483" s="28"/>
      <c r="E483" s="53"/>
      <c r="F483" s="53"/>
      <c r="G483" s="53"/>
      <c r="H483" s="53"/>
    </row>
    <row r="484" spans="1:8">
      <c r="A484" s="27"/>
      <c r="B484" s="27"/>
      <c r="C484" s="28"/>
      <c r="D484" s="28"/>
      <c r="E484" s="53"/>
      <c r="F484" s="53"/>
      <c r="G484" s="53"/>
      <c r="H484" s="53"/>
    </row>
    <row r="485" spans="1:8">
      <c r="A485" s="27"/>
      <c r="B485" s="27"/>
      <c r="C485" s="28"/>
      <c r="D485" s="28"/>
      <c r="E485" s="53"/>
      <c r="F485" s="53"/>
      <c r="G485" s="53"/>
      <c r="H485" s="53"/>
    </row>
    <row r="486" spans="1:8">
      <c r="A486" s="27"/>
      <c r="B486" s="27"/>
      <c r="C486" s="28"/>
      <c r="D486" s="28"/>
      <c r="E486" s="53"/>
      <c r="F486" s="53"/>
      <c r="G486" s="53"/>
      <c r="H486" s="53"/>
    </row>
    <row r="487" spans="1:8">
      <c r="A487" s="27"/>
      <c r="B487" s="27"/>
      <c r="C487" s="28"/>
      <c r="D487" s="28"/>
      <c r="E487" s="53"/>
      <c r="F487" s="53"/>
      <c r="G487" s="53"/>
      <c r="H487" s="53"/>
    </row>
    <row r="488" spans="1:8">
      <c r="A488" s="27"/>
      <c r="B488" s="27"/>
      <c r="C488" s="28"/>
      <c r="D488" s="28"/>
      <c r="E488" s="53"/>
      <c r="F488" s="53"/>
      <c r="G488" s="53"/>
      <c r="H488" s="53"/>
    </row>
    <row r="489" spans="1:8">
      <c r="A489" s="27"/>
      <c r="B489" s="27"/>
      <c r="C489" s="28"/>
      <c r="D489" s="28"/>
      <c r="E489" s="53"/>
      <c r="F489" s="53"/>
      <c r="G489" s="53"/>
      <c r="H489" s="53"/>
    </row>
    <row r="490" spans="1:8">
      <c r="A490" s="27"/>
      <c r="B490" s="27"/>
      <c r="C490" s="28"/>
      <c r="D490" s="28"/>
      <c r="E490" s="53"/>
      <c r="F490" s="53"/>
      <c r="G490" s="53"/>
      <c r="H490" s="53"/>
    </row>
    <row r="491" spans="1:8">
      <c r="A491" s="27"/>
      <c r="B491" s="27"/>
      <c r="C491" s="28"/>
      <c r="D491" s="28"/>
      <c r="E491" s="53"/>
      <c r="F491" s="53"/>
      <c r="G491" s="53"/>
      <c r="H491" s="53"/>
    </row>
    <row r="492" spans="1:8">
      <c r="A492" s="27"/>
      <c r="B492" s="27"/>
      <c r="C492" s="28"/>
      <c r="D492" s="28"/>
      <c r="E492" s="53"/>
      <c r="F492" s="53"/>
      <c r="G492" s="53"/>
      <c r="H492" s="53"/>
    </row>
    <row r="493" spans="1:8">
      <c r="A493" s="27"/>
      <c r="B493" s="27"/>
      <c r="C493" s="28"/>
      <c r="D493" s="28"/>
      <c r="E493" s="53"/>
      <c r="F493" s="53"/>
      <c r="G493" s="53"/>
      <c r="H493" s="53"/>
    </row>
    <row r="494" spans="1:8">
      <c r="A494" s="27"/>
      <c r="B494" s="27"/>
      <c r="C494" s="28"/>
      <c r="D494" s="28"/>
      <c r="E494" s="53"/>
      <c r="F494" s="53"/>
      <c r="G494" s="53"/>
      <c r="H494" s="53"/>
    </row>
    <row r="495" spans="1:8">
      <c r="A495" s="27"/>
      <c r="B495" s="27"/>
      <c r="C495" s="28"/>
      <c r="D495" s="28"/>
      <c r="E495" s="53"/>
      <c r="F495" s="53"/>
      <c r="G495" s="53"/>
      <c r="H495" s="53"/>
    </row>
    <row r="496" spans="1:8">
      <c r="A496" s="27"/>
      <c r="B496" s="27"/>
      <c r="C496" s="28"/>
      <c r="D496" s="28"/>
      <c r="E496" s="53"/>
      <c r="F496" s="53"/>
      <c r="G496" s="53"/>
      <c r="H496" s="53"/>
    </row>
    <row r="497" spans="1:8">
      <c r="A497" s="27"/>
      <c r="B497" s="27"/>
      <c r="C497" s="28"/>
      <c r="D497" s="28"/>
      <c r="E497" s="53"/>
      <c r="F497" s="53"/>
      <c r="G497" s="53"/>
      <c r="H497" s="53"/>
    </row>
    <row r="498" spans="1:8">
      <c r="A498" s="27"/>
      <c r="B498" s="27"/>
      <c r="C498" s="28"/>
      <c r="D498" s="28"/>
      <c r="E498" s="53"/>
      <c r="F498" s="53"/>
      <c r="G498" s="53"/>
      <c r="H498" s="53"/>
    </row>
    <row r="499" spans="1:8">
      <c r="A499" s="27"/>
      <c r="B499" s="27"/>
      <c r="C499" s="28"/>
      <c r="D499" s="28"/>
      <c r="E499" s="53"/>
      <c r="F499" s="53"/>
      <c r="G499" s="53"/>
      <c r="H499" s="53"/>
    </row>
    <row r="500" spans="1:8">
      <c r="A500" s="27"/>
      <c r="B500" s="27"/>
      <c r="C500" s="28"/>
      <c r="D500" s="28"/>
      <c r="E500" s="53"/>
      <c r="F500" s="53"/>
      <c r="G500" s="53"/>
      <c r="H500" s="53"/>
    </row>
    <row r="501" spans="1:8">
      <c r="A501" s="27"/>
      <c r="B501" s="27"/>
      <c r="C501" s="28"/>
      <c r="D501" s="28"/>
      <c r="E501" s="53"/>
      <c r="F501" s="53"/>
      <c r="G501" s="53"/>
      <c r="H501" s="53"/>
    </row>
    <row r="502" spans="1:8">
      <c r="A502" s="27"/>
      <c r="B502" s="27"/>
      <c r="C502" s="28"/>
      <c r="D502" s="28"/>
      <c r="E502" s="53"/>
      <c r="F502" s="53"/>
      <c r="G502" s="53"/>
      <c r="H502" s="53"/>
    </row>
    <row r="503" spans="1:8">
      <c r="A503" s="27"/>
      <c r="B503" s="27"/>
      <c r="C503" s="28"/>
      <c r="D503" s="28"/>
      <c r="E503" s="53"/>
      <c r="F503" s="53"/>
      <c r="G503" s="53"/>
      <c r="H503" s="53"/>
    </row>
    <row r="504" spans="1:8">
      <c r="A504" s="27"/>
      <c r="B504" s="27"/>
      <c r="C504" s="28"/>
      <c r="D504" s="28"/>
      <c r="E504" s="53"/>
      <c r="F504" s="53"/>
      <c r="G504" s="53"/>
      <c r="H504" s="53"/>
    </row>
    <row r="505" spans="1:8">
      <c r="A505" s="27"/>
      <c r="B505" s="27"/>
      <c r="C505" s="28"/>
      <c r="D505" s="28"/>
      <c r="E505" s="53"/>
      <c r="F505" s="53"/>
      <c r="G505" s="53"/>
      <c r="H505" s="53"/>
    </row>
    <row r="506" spans="1:8">
      <c r="A506" s="27"/>
      <c r="B506" s="27"/>
      <c r="C506" s="28"/>
      <c r="D506" s="28"/>
      <c r="E506" s="53"/>
      <c r="F506" s="53"/>
      <c r="G506" s="53"/>
      <c r="H506" s="53"/>
    </row>
    <row r="507" spans="1:8">
      <c r="A507" s="27"/>
      <c r="B507" s="27"/>
      <c r="C507" s="28"/>
      <c r="D507" s="28"/>
      <c r="E507" s="53"/>
      <c r="F507" s="53"/>
      <c r="G507" s="53"/>
      <c r="H507" s="53"/>
    </row>
    <row r="508" spans="1:8">
      <c r="A508" s="27"/>
      <c r="B508" s="27"/>
      <c r="C508" s="28"/>
      <c r="D508" s="28"/>
      <c r="E508" s="53"/>
      <c r="F508" s="53"/>
      <c r="G508" s="53"/>
      <c r="H508" s="53"/>
    </row>
    <row r="509" spans="1:8">
      <c r="A509" s="27"/>
      <c r="B509" s="27"/>
      <c r="C509" s="28"/>
      <c r="D509" s="28"/>
      <c r="E509" s="53"/>
      <c r="F509" s="53"/>
      <c r="G509" s="53"/>
      <c r="H509" s="53"/>
    </row>
    <row r="510" spans="1:8">
      <c r="A510" s="27"/>
      <c r="B510" s="27"/>
      <c r="C510" s="28"/>
      <c r="D510" s="28"/>
      <c r="E510" s="53"/>
      <c r="F510" s="53"/>
      <c r="G510" s="53"/>
      <c r="H510" s="53"/>
    </row>
    <row r="511" spans="1:8">
      <c r="A511" s="27"/>
      <c r="B511" s="27"/>
      <c r="C511" s="28"/>
      <c r="D511" s="28"/>
      <c r="E511" s="53"/>
      <c r="F511" s="53"/>
      <c r="G511" s="53"/>
      <c r="H511" s="53"/>
    </row>
    <row r="512" spans="1:8">
      <c r="A512" s="27"/>
      <c r="B512" s="27"/>
      <c r="C512" s="28"/>
      <c r="D512" s="28"/>
      <c r="E512" s="53"/>
      <c r="F512" s="53"/>
      <c r="G512" s="53"/>
      <c r="H512" s="53"/>
    </row>
    <row r="513" spans="1:8">
      <c r="A513" s="27"/>
      <c r="B513" s="27"/>
      <c r="C513" s="28"/>
      <c r="D513" s="28"/>
      <c r="E513" s="53"/>
      <c r="F513" s="53"/>
      <c r="G513" s="53"/>
      <c r="H513" s="53"/>
    </row>
    <row r="514" spans="1:8">
      <c r="A514" s="27"/>
      <c r="B514" s="27"/>
      <c r="C514" s="28"/>
      <c r="D514" s="28"/>
      <c r="E514" s="53"/>
      <c r="F514" s="53"/>
      <c r="G514" s="53"/>
      <c r="H514" s="53"/>
    </row>
    <row r="515" spans="1:8">
      <c r="A515" s="27"/>
      <c r="B515" s="27"/>
      <c r="C515" s="28"/>
      <c r="D515" s="28"/>
      <c r="E515" s="53"/>
      <c r="F515" s="53"/>
      <c r="G515" s="53"/>
      <c r="H515" s="53"/>
    </row>
    <row r="516" spans="1:8">
      <c r="A516" s="27"/>
      <c r="B516" s="27"/>
      <c r="C516" s="28"/>
      <c r="D516" s="28"/>
      <c r="E516" s="53"/>
      <c r="F516" s="53"/>
      <c r="G516" s="53"/>
      <c r="H516" s="53"/>
    </row>
    <row r="517" spans="1:8">
      <c r="A517" s="27"/>
      <c r="B517" s="27"/>
      <c r="C517" s="28"/>
      <c r="D517" s="28"/>
      <c r="E517" s="53"/>
      <c r="F517" s="53"/>
      <c r="G517" s="53"/>
      <c r="H517" s="53"/>
    </row>
    <row r="518" spans="1:8">
      <c r="A518" s="27"/>
      <c r="B518" s="27"/>
      <c r="C518" s="28"/>
      <c r="D518" s="28"/>
      <c r="E518" s="53"/>
      <c r="F518" s="53"/>
      <c r="G518" s="53"/>
      <c r="H518" s="53"/>
    </row>
    <row r="519" spans="1:8">
      <c r="A519" s="27"/>
      <c r="B519" s="27"/>
      <c r="C519" s="28"/>
      <c r="D519" s="28"/>
      <c r="E519" s="53"/>
      <c r="F519" s="53"/>
      <c r="G519" s="53"/>
      <c r="H519" s="53"/>
    </row>
    <row r="520" spans="1:8">
      <c r="A520" s="27"/>
      <c r="B520" s="27"/>
      <c r="C520" s="28"/>
      <c r="D520" s="28"/>
      <c r="E520" s="53"/>
      <c r="F520" s="53"/>
      <c r="G520" s="53"/>
      <c r="H520" s="53"/>
    </row>
    <row r="521" spans="1:8">
      <c r="A521" s="27"/>
      <c r="B521" s="27"/>
      <c r="C521" s="28"/>
      <c r="D521" s="28"/>
      <c r="E521" s="53"/>
      <c r="F521" s="53"/>
      <c r="G521" s="53"/>
      <c r="H521" s="53"/>
    </row>
    <row r="522" spans="1:8">
      <c r="A522" s="27"/>
      <c r="B522" s="27"/>
      <c r="C522" s="28"/>
      <c r="D522" s="28"/>
      <c r="E522" s="53"/>
      <c r="F522" s="53"/>
      <c r="G522" s="53"/>
      <c r="H522" s="53"/>
    </row>
    <row r="523" spans="1:8">
      <c r="A523" s="27"/>
      <c r="B523" s="27"/>
      <c r="C523" s="28"/>
      <c r="D523" s="28"/>
      <c r="E523" s="53"/>
      <c r="F523" s="53"/>
      <c r="G523" s="53"/>
      <c r="H523" s="53"/>
    </row>
    <row r="524" spans="1:8">
      <c r="A524" s="27"/>
      <c r="B524" s="27"/>
      <c r="C524" s="28"/>
      <c r="D524" s="28"/>
      <c r="E524" s="53"/>
      <c r="F524" s="53"/>
      <c r="G524" s="53"/>
      <c r="H524" s="53"/>
    </row>
    <row r="525" spans="1:8">
      <c r="A525" s="27"/>
      <c r="B525" s="27"/>
      <c r="C525" s="28"/>
      <c r="D525" s="28"/>
      <c r="E525" s="53"/>
      <c r="F525" s="53"/>
      <c r="G525" s="53"/>
      <c r="H525" s="53"/>
    </row>
    <row r="526" spans="1:8">
      <c r="A526" s="27"/>
      <c r="B526" s="27"/>
      <c r="C526" s="28"/>
      <c r="D526" s="28"/>
      <c r="E526" s="53"/>
      <c r="F526" s="53"/>
      <c r="G526" s="53"/>
      <c r="H526" s="53"/>
    </row>
    <row r="527" spans="1:8">
      <c r="A527" s="27"/>
      <c r="B527" s="27"/>
      <c r="C527" s="28"/>
      <c r="D527" s="28"/>
      <c r="E527" s="53"/>
      <c r="F527" s="53"/>
      <c r="G527" s="53"/>
      <c r="H527" s="53"/>
    </row>
    <row r="528" spans="1:8">
      <c r="A528" s="27"/>
      <c r="B528" s="27"/>
      <c r="C528" s="28"/>
      <c r="D528" s="28"/>
      <c r="E528" s="53"/>
      <c r="F528" s="53"/>
      <c r="G528" s="53"/>
      <c r="H528" s="53"/>
    </row>
    <row r="529" spans="1:8">
      <c r="A529" s="27"/>
      <c r="B529" s="27"/>
      <c r="C529" s="28"/>
      <c r="D529" s="28"/>
      <c r="E529" s="53"/>
      <c r="F529" s="53"/>
      <c r="G529" s="53"/>
      <c r="H529" s="53"/>
    </row>
    <row r="530" spans="1:8">
      <c r="A530" s="27"/>
      <c r="B530" s="27"/>
      <c r="C530" s="28"/>
      <c r="D530" s="28"/>
      <c r="E530" s="53"/>
      <c r="F530" s="53"/>
      <c r="G530" s="53"/>
      <c r="H530" s="53"/>
    </row>
    <row r="531" spans="1:8">
      <c r="A531" s="27"/>
      <c r="B531" s="27"/>
      <c r="C531" s="28"/>
      <c r="D531" s="28"/>
      <c r="E531" s="53"/>
      <c r="F531" s="53"/>
      <c r="G531" s="53"/>
      <c r="H531" s="53"/>
    </row>
    <row r="532" spans="1:8">
      <c r="A532" s="27"/>
      <c r="B532" s="27"/>
      <c r="C532" s="28"/>
      <c r="D532" s="28"/>
      <c r="E532" s="53"/>
      <c r="F532" s="53"/>
      <c r="G532" s="53"/>
      <c r="H532" s="53"/>
    </row>
    <row r="533" spans="1:8">
      <c r="A533" s="27"/>
      <c r="B533" s="27"/>
      <c r="C533" s="28"/>
      <c r="D533" s="28"/>
      <c r="E533" s="53"/>
      <c r="F533" s="53"/>
      <c r="G533" s="53"/>
      <c r="H533" s="53"/>
    </row>
    <row r="534" spans="1:8">
      <c r="A534" s="27"/>
      <c r="B534" s="27"/>
      <c r="C534" s="28"/>
      <c r="D534" s="28"/>
      <c r="E534" s="53"/>
      <c r="F534" s="53"/>
      <c r="G534" s="53"/>
      <c r="H534" s="53"/>
    </row>
    <row r="535" spans="1:8">
      <c r="A535" s="27"/>
      <c r="B535" s="27"/>
      <c r="C535" s="28"/>
      <c r="D535" s="28"/>
      <c r="E535" s="53"/>
      <c r="F535" s="53"/>
      <c r="G535" s="53"/>
      <c r="H535" s="53"/>
    </row>
    <row r="536" spans="1:8">
      <c r="A536" s="27"/>
      <c r="B536" s="27"/>
      <c r="C536" s="28"/>
      <c r="D536" s="28"/>
      <c r="E536" s="53"/>
      <c r="F536" s="53"/>
      <c r="G536" s="53"/>
      <c r="H536" s="53"/>
    </row>
    <row r="537" spans="1:8">
      <c r="A537" s="27"/>
      <c r="B537" s="27"/>
      <c r="C537" s="28"/>
      <c r="D537" s="28"/>
      <c r="E537" s="53"/>
      <c r="F537" s="53"/>
      <c r="G537" s="53"/>
      <c r="H537" s="53"/>
    </row>
    <row r="538" spans="1:8">
      <c r="A538" s="27"/>
      <c r="B538" s="27"/>
      <c r="C538" s="28"/>
      <c r="D538" s="28"/>
      <c r="E538" s="53"/>
      <c r="F538" s="53"/>
      <c r="G538" s="53"/>
      <c r="H538" s="53"/>
    </row>
    <row r="539" spans="1:8">
      <c r="A539" s="27"/>
      <c r="B539" s="27"/>
      <c r="C539" s="28"/>
      <c r="D539" s="28"/>
      <c r="E539" s="53"/>
      <c r="F539" s="53"/>
      <c r="G539" s="53"/>
      <c r="H539" s="53"/>
    </row>
    <row r="540" spans="1:8">
      <c r="A540" s="27"/>
      <c r="B540" s="27"/>
      <c r="C540" s="28"/>
      <c r="D540" s="28"/>
      <c r="E540" s="53"/>
      <c r="F540" s="53"/>
      <c r="G540" s="53"/>
      <c r="H540" s="53"/>
    </row>
    <row r="541" spans="1:8">
      <c r="A541" s="27"/>
      <c r="B541" s="27"/>
      <c r="C541" s="28"/>
      <c r="D541" s="28"/>
      <c r="E541" s="53"/>
      <c r="F541" s="53"/>
      <c r="G541" s="53"/>
      <c r="H541" s="53"/>
    </row>
    <row r="542" spans="1:8">
      <c r="A542" s="27"/>
      <c r="B542" s="27"/>
      <c r="C542" s="28"/>
      <c r="D542" s="28"/>
      <c r="E542" s="53"/>
      <c r="F542" s="53"/>
      <c r="G542" s="53"/>
      <c r="H542" s="53"/>
    </row>
    <row r="543" spans="1:8">
      <c r="A543" s="27"/>
      <c r="B543" s="27"/>
      <c r="C543" s="28"/>
      <c r="D543" s="28"/>
      <c r="E543" s="53"/>
      <c r="F543" s="53"/>
      <c r="G543" s="53"/>
      <c r="H543" s="53"/>
    </row>
    <row r="544" spans="1:8">
      <c r="A544" s="27"/>
      <c r="B544" s="27"/>
      <c r="C544" s="28"/>
      <c r="D544" s="28"/>
      <c r="E544" s="53"/>
      <c r="F544" s="53"/>
      <c r="G544" s="53"/>
      <c r="H544" s="53"/>
    </row>
    <row r="545" spans="1:8">
      <c r="A545" s="27"/>
      <c r="B545" s="27"/>
      <c r="C545" s="28"/>
      <c r="D545" s="28"/>
      <c r="E545" s="53"/>
      <c r="F545" s="53"/>
      <c r="G545" s="53"/>
      <c r="H545" s="53"/>
    </row>
    <row r="546" spans="1:8">
      <c r="A546" s="27"/>
      <c r="B546" s="27"/>
      <c r="C546" s="28"/>
      <c r="D546" s="28"/>
      <c r="E546" s="53"/>
      <c r="F546" s="53"/>
      <c r="G546" s="53"/>
      <c r="H546" s="53"/>
    </row>
    <row r="547" spans="1:8">
      <c r="A547" s="27"/>
      <c r="B547" s="27"/>
      <c r="C547" s="28"/>
      <c r="D547" s="28"/>
      <c r="E547" s="53"/>
      <c r="F547" s="53"/>
      <c r="G547" s="53"/>
      <c r="H547" s="53"/>
    </row>
    <row r="548" spans="1:8">
      <c r="A548" s="27"/>
      <c r="B548" s="27"/>
      <c r="C548" s="28"/>
      <c r="D548" s="28"/>
      <c r="E548" s="53"/>
      <c r="F548" s="53"/>
      <c r="G548" s="53"/>
      <c r="H548" s="53"/>
    </row>
    <row r="549" spans="1:8">
      <c r="A549" s="27"/>
      <c r="B549" s="27"/>
      <c r="C549" s="28"/>
      <c r="D549" s="28"/>
      <c r="E549" s="53"/>
      <c r="F549" s="53"/>
      <c r="G549" s="53"/>
      <c r="H549" s="53"/>
    </row>
    <row r="550" spans="1:8">
      <c r="A550" s="27"/>
      <c r="B550" s="27"/>
      <c r="C550" s="28"/>
      <c r="D550" s="28"/>
      <c r="E550" s="53"/>
      <c r="F550" s="53"/>
      <c r="G550" s="53"/>
      <c r="H550" s="53"/>
    </row>
    <row r="551" spans="1:8">
      <c r="A551" s="27"/>
      <c r="B551" s="27"/>
      <c r="C551" s="28"/>
      <c r="D551" s="28"/>
      <c r="E551" s="53"/>
      <c r="F551" s="53"/>
      <c r="G551" s="53"/>
      <c r="H551" s="53"/>
    </row>
    <row r="552" spans="1:8">
      <c r="A552" s="27"/>
      <c r="B552" s="27"/>
      <c r="C552" s="28"/>
      <c r="D552" s="28"/>
      <c r="E552" s="53"/>
      <c r="F552" s="53"/>
      <c r="G552" s="53"/>
      <c r="H552" s="53"/>
    </row>
    <row r="553" spans="1:8">
      <c r="A553" s="27"/>
      <c r="B553" s="27"/>
      <c r="C553" s="28"/>
      <c r="D553" s="28"/>
      <c r="E553" s="53"/>
      <c r="F553" s="53"/>
      <c r="G553" s="53"/>
      <c r="H553" s="53"/>
    </row>
    <row r="554" spans="1:8">
      <c r="A554" s="27"/>
      <c r="B554" s="27"/>
      <c r="C554" s="28"/>
      <c r="D554" s="28"/>
      <c r="E554" s="53"/>
      <c r="F554" s="53"/>
      <c r="G554" s="53"/>
      <c r="H554" s="53"/>
    </row>
    <row r="555" spans="1:8">
      <c r="A555" s="27"/>
      <c r="B555" s="27"/>
      <c r="C555" s="28"/>
      <c r="D555" s="28"/>
      <c r="E555" s="53"/>
      <c r="F555" s="53"/>
      <c r="G555" s="53"/>
      <c r="H555" s="53"/>
    </row>
    <row r="556" spans="1:8">
      <c r="A556" s="27"/>
      <c r="B556" s="27"/>
      <c r="C556" s="28"/>
      <c r="D556" s="28"/>
      <c r="E556" s="53"/>
      <c r="F556" s="53"/>
      <c r="G556" s="53"/>
      <c r="H556" s="53"/>
    </row>
    <row r="557" spans="1:8">
      <c r="A557" s="27"/>
      <c r="B557" s="27"/>
      <c r="C557" s="28"/>
      <c r="D557" s="28"/>
      <c r="E557" s="53"/>
      <c r="F557" s="53"/>
      <c r="G557" s="53"/>
      <c r="H557" s="53"/>
    </row>
    <row r="558" spans="1:8">
      <c r="A558" s="27"/>
      <c r="B558" s="27"/>
      <c r="C558" s="28"/>
      <c r="D558" s="28"/>
      <c r="E558" s="53"/>
      <c r="F558" s="53"/>
      <c r="G558" s="53"/>
      <c r="H558" s="53"/>
    </row>
    <row r="559" spans="1:8">
      <c r="A559" s="27"/>
      <c r="B559" s="27"/>
      <c r="C559" s="28"/>
      <c r="D559" s="28"/>
      <c r="E559" s="53"/>
      <c r="F559" s="53"/>
      <c r="G559" s="53"/>
      <c r="H559" s="53"/>
    </row>
    <row r="560" spans="1:8">
      <c r="A560" s="27"/>
      <c r="B560" s="27"/>
      <c r="C560" s="28"/>
      <c r="D560" s="28"/>
      <c r="E560" s="53"/>
      <c r="F560" s="53"/>
      <c r="G560" s="53"/>
      <c r="H560" s="53"/>
    </row>
    <row r="561" spans="1:8">
      <c r="A561" s="27"/>
      <c r="B561" s="27"/>
      <c r="C561" s="28"/>
      <c r="D561" s="28"/>
      <c r="E561" s="53"/>
      <c r="F561" s="53"/>
      <c r="G561" s="53"/>
      <c r="H561" s="53"/>
    </row>
    <row r="562" spans="1:8">
      <c r="A562" s="27"/>
      <c r="B562" s="27"/>
      <c r="C562" s="28"/>
      <c r="D562" s="28"/>
      <c r="E562" s="53"/>
      <c r="F562" s="53"/>
      <c r="G562" s="53"/>
      <c r="H562" s="53"/>
    </row>
    <row r="563" spans="1:8">
      <c r="A563" s="27"/>
      <c r="B563" s="27"/>
      <c r="C563" s="28"/>
      <c r="D563" s="28"/>
      <c r="E563" s="53"/>
      <c r="F563" s="53"/>
      <c r="G563" s="53"/>
      <c r="H563" s="53"/>
    </row>
    <row r="564" spans="1:8">
      <c r="A564" s="27"/>
      <c r="B564" s="27"/>
      <c r="C564" s="28"/>
      <c r="D564" s="28"/>
      <c r="E564" s="53"/>
      <c r="F564" s="53"/>
      <c r="G564" s="53"/>
      <c r="H564" s="53"/>
    </row>
    <row r="565" spans="1:8">
      <c r="A565" s="27"/>
      <c r="B565" s="27"/>
      <c r="C565" s="28"/>
      <c r="D565" s="28"/>
      <c r="E565" s="53"/>
      <c r="F565" s="53"/>
      <c r="G565" s="53"/>
      <c r="H565" s="53"/>
    </row>
    <row r="566" spans="1:8">
      <c r="A566" s="27"/>
      <c r="B566" s="27"/>
      <c r="C566" s="28"/>
      <c r="D566" s="28"/>
      <c r="E566" s="53"/>
      <c r="F566" s="53"/>
      <c r="G566" s="53"/>
      <c r="H566" s="53"/>
    </row>
    <row r="567" spans="1:8">
      <c r="A567" s="27"/>
      <c r="B567" s="27"/>
      <c r="C567" s="28"/>
      <c r="D567" s="28"/>
      <c r="E567" s="53"/>
      <c r="F567" s="53"/>
      <c r="G567" s="53"/>
      <c r="H567" s="53"/>
    </row>
    <row r="568" spans="1:8">
      <c r="A568" s="27"/>
      <c r="B568" s="27"/>
      <c r="C568" s="28"/>
      <c r="D568" s="28"/>
      <c r="E568" s="53"/>
      <c r="F568" s="53"/>
      <c r="G568" s="53"/>
      <c r="H568" s="53"/>
    </row>
    <row r="569" spans="1:8">
      <c r="A569" s="27"/>
      <c r="B569" s="27"/>
      <c r="C569" s="28"/>
      <c r="D569" s="28"/>
      <c r="E569" s="53"/>
      <c r="F569" s="53"/>
      <c r="G569" s="53"/>
      <c r="H569" s="53"/>
    </row>
    <row r="570" spans="1:8">
      <c r="A570" s="27"/>
      <c r="B570" s="27"/>
      <c r="C570" s="28"/>
      <c r="D570" s="28"/>
      <c r="E570" s="53"/>
      <c r="F570" s="53"/>
      <c r="G570" s="53"/>
      <c r="H570" s="53"/>
    </row>
    <row r="571" spans="1:8">
      <c r="A571" s="27"/>
      <c r="B571" s="27"/>
      <c r="C571" s="28"/>
      <c r="D571" s="28"/>
      <c r="E571" s="53"/>
      <c r="F571" s="53"/>
      <c r="G571" s="53"/>
      <c r="H571" s="53"/>
    </row>
    <row r="572" spans="1:8">
      <c r="A572" s="27"/>
      <c r="B572" s="27"/>
      <c r="C572" s="28"/>
      <c r="D572" s="28"/>
      <c r="E572" s="53"/>
      <c r="F572" s="53"/>
      <c r="G572" s="53"/>
      <c r="H572" s="53"/>
    </row>
    <row r="573" spans="1:8">
      <c r="A573" s="27"/>
      <c r="B573" s="27"/>
      <c r="C573" s="28"/>
      <c r="D573" s="28"/>
      <c r="E573" s="53"/>
      <c r="F573" s="53"/>
      <c r="G573" s="53"/>
      <c r="H573" s="53"/>
    </row>
    <row r="574" spans="1:8">
      <c r="A574" s="27"/>
      <c r="B574" s="27"/>
      <c r="C574" s="28"/>
      <c r="D574" s="28"/>
      <c r="E574" s="53"/>
      <c r="F574" s="53"/>
      <c r="G574" s="53"/>
      <c r="H574" s="53"/>
    </row>
    <row r="575" spans="1:8">
      <c r="A575" s="27"/>
      <c r="B575" s="27"/>
      <c r="C575" s="28"/>
      <c r="D575" s="28"/>
      <c r="E575" s="53"/>
      <c r="F575" s="53"/>
      <c r="G575" s="53"/>
      <c r="H575" s="53"/>
    </row>
    <row r="576" spans="1:8">
      <c r="A576" s="27"/>
      <c r="B576" s="27"/>
      <c r="C576" s="28"/>
      <c r="D576" s="28"/>
      <c r="E576" s="53"/>
      <c r="F576" s="53"/>
      <c r="G576" s="53"/>
      <c r="H576" s="53"/>
    </row>
    <row r="577" spans="1:8">
      <c r="A577" s="27"/>
      <c r="B577" s="27"/>
      <c r="C577" s="28"/>
      <c r="D577" s="28"/>
      <c r="E577" s="53"/>
      <c r="F577" s="53"/>
      <c r="G577" s="53"/>
      <c r="H577" s="53"/>
    </row>
    <row r="578" spans="1:8">
      <c r="A578" s="27"/>
      <c r="B578" s="27"/>
      <c r="C578" s="28"/>
      <c r="D578" s="28"/>
      <c r="E578" s="53"/>
      <c r="F578" s="53"/>
      <c r="G578" s="53"/>
      <c r="H578" s="53"/>
    </row>
    <row r="579" spans="1:8">
      <c r="A579" s="27"/>
      <c r="B579" s="27"/>
      <c r="C579" s="28"/>
      <c r="D579" s="28"/>
      <c r="E579" s="53"/>
      <c r="F579" s="53"/>
      <c r="G579" s="53"/>
      <c r="H579" s="53"/>
    </row>
    <row r="580" spans="1:8">
      <c r="A580" s="27"/>
      <c r="B580" s="27"/>
      <c r="C580" s="28"/>
      <c r="D580" s="28"/>
      <c r="E580" s="53"/>
      <c r="F580" s="53"/>
      <c r="G580" s="53"/>
      <c r="H580" s="53"/>
    </row>
    <row r="581" spans="1:8">
      <c r="A581" s="27"/>
      <c r="B581" s="27"/>
      <c r="C581" s="28"/>
      <c r="D581" s="28"/>
      <c r="E581" s="53"/>
      <c r="F581" s="53"/>
      <c r="G581" s="53"/>
      <c r="H581" s="53"/>
    </row>
    <row r="582" spans="1:8">
      <c r="A582" s="27"/>
      <c r="B582" s="27"/>
      <c r="C582" s="28"/>
      <c r="D582" s="28"/>
      <c r="E582" s="53"/>
      <c r="F582" s="53"/>
      <c r="G582" s="53"/>
      <c r="H582" s="53"/>
    </row>
    <row r="583" spans="1:8">
      <c r="A583" s="27"/>
      <c r="B583" s="27"/>
      <c r="C583" s="28"/>
      <c r="D583" s="28"/>
      <c r="E583" s="53"/>
      <c r="F583" s="53"/>
      <c r="G583" s="53"/>
      <c r="H583" s="53"/>
    </row>
    <row r="584" spans="1:8">
      <c r="A584" s="27"/>
      <c r="B584" s="27"/>
      <c r="C584" s="28"/>
      <c r="D584" s="28"/>
      <c r="E584" s="53"/>
      <c r="F584" s="53"/>
      <c r="G584" s="53"/>
      <c r="H584" s="53"/>
    </row>
    <row r="585" spans="1:8">
      <c r="A585" s="27"/>
      <c r="B585" s="27"/>
      <c r="C585" s="28"/>
      <c r="D585" s="28"/>
      <c r="E585" s="53"/>
      <c r="F585" s="53"/>
      <c r="G585" s="53"/>
      <c r="H585" s="53"/>
    </row>
    <row r="586" spans="1:8">
      <c r="A586" s="27"/>
      <c r="B586" s="27"/>
      <c r="C586" s="28"/>
      <c r="D586" s="28"/>
      <c r="E586" s="53"/>
      <c r="F586" s="53"/>
      <c r="G586" s="53"/>
      <c r="H586" s="53"/>
    </row>
    <row r="587" spans="1:8">
      <c r="A587" s="27"/>
      <c r="B587" s="27"/>
      <c r="C587" s="28"/>
      <c r="D587" s="28"/>
      <c r="E587" s="53"/>
      <c r="F587" s="53"/>
      <c r="G587" s="53"/>
      <c r="H587" s="53"/>
    </row>
    <row r="588" spans="1:8">
      <c r="A588" s="27"/>
      <c r="B588" s="27"/>
      <c r="C588" s="28"/>
      <c r="D588" s="28"/>
      <c r="E588" s="53"/>
      <c r="F588" s="53"/>
      <c r="G588" s="53"/>
      <c r="H588" s="53"/>
    </row>
    <row r="589" spans="1:8">
      <c r="A589" s="27"/>
      <c r="B589" s="27"/>
      <c r="C589" s="28"/>
      <c r="D589" s="28"/>
      <c r="E589" s="53"/>
      <c r="F589" s="53"/>
      <c r="G589" s="53"/>
      <c r="H589" s="53"/>
    </row>
    <row r="590" spans="1:8">
      <c r="A590" s="27"/>
      <c r="B590" s="27"/>
      <c r="C590" s="28"/>
      <c r="D590" s="28"/>
      <c r="E590" s="53"/>
      <c r="F590" s="53"/>
      <c r="G590" s="53"/>
      <c r="H590" s="53"/>
    </row>
    <row r="591" spans="1:8">
      <c r="A591" s="27"/>
      <c r="B591" s="27"/>
      <c r="C591" s="28"/>
      <c r="D591" s="28"/>
      <c r="E591" s="53"/>
      <c r="F591" s="53"/>
      <c r="G591" s="53"/>
      <c r="H591" s="53"/>
    </row>
    <row r="592" spans="1:8">
      <c r="A592" s="27"/>
      <c r="B592" s="27"/>
      <c r="C592" s="28"/>
      <c r="D592" s="28"/>
      <c r="E592" s="53"/>
      <c r="F592" s="53"/>
      <c r="G592" s="53"/>
      <c r="H592" s="53"/>
    </row>
    <row r="593" spans="1:8">
      <c r="A593" s="27"/>
      <c r="B593" s="27"/>
      <c r="C593" s="28"/>
      <c r="D593" s="28"/>
      <c r="E593" s="53"/>
      <c r="F593" s="53"/>
      <c r="G593" s="53"/>
      <c r="H593" s="53"/>
    </row>
    <row r="594" spans="1:8">
      <c r="A594" s="27"/>
      <c r="B594" s="27"/>
      <c r="C594" s="28"/>
      <c r="D594" s="28"/>
      <c r="E594" s="53"/>
      <c r="F594" s="53"/>
      <c r="G594" s="53"/>
      <c r="H594" s="53"/>
    </row>
    <row r="595" spans="1:8">
      <c r="A595" s="27"/>
      <c r="B595" s="27"/>
      <c r="C595" s="28"/>
      <c r="D595" s="28"/>
      <c r="E595" s="53"/>
      <c r="F595" s="53"/>
      <c r="G595" s="53"/>
      <c r="H595" s="53"/>
    </row>
    <row r="596" spans="1:8">
      <c r="A596" s="27"/>
      <c r="B596" s="27"/>
      <c r="C596" s="28"/>
      <c r="D596" s="28"/>
      <c r="E596" s="53"/>
      <c r="F596" s="53"/>
      <c r="G596" s="53"/>
      <c r="H596" s="53"/>
    </row>
    <row r="597" spans="1:8">
      <c r="A597" s="27"/>
      <c r="B597" s="27"/>
      <c r="C597" s="28"/>
      <c r="D597" s="28"/>
      <c r="E597" s="53"/>
      <c r="F597" s="53"/>
      <c r="G597" s="53"/>
      <c r="H597" s="53"/>
    </row>
    <row r="598" spans="1:8">
      <c r="A598" s="27"/>
      <c r="B598" s="27"/>
      <c r="C598" s="28"/>
      <c r="D598" s="28"/>
      <c r="E598" s="53"/>
      <c r="F598" s="53"/>
      <c r="G598" s="53"/>
      <c r="H598" s="53"/>
    </row>
    <row r="599" spans="1:8">
      <c r="A599" s="27"/>
      <c r="B599" s="27"/>
      <c r="C599" s="28"/>
      <c r="D599" s="28"/>
      <c r="E599" s="53"/>
      <c r="F599" s="53"/>
      <c r="G599" s="53"/>
      <c r="H599" s="53"/>
    </row>
    <row r="600" spans="1:8">
      <c r="A600" s="27"/>
      <c r="B600" s="27"/>
      <c r="C600" s="28"/>
      <c r="D600" s="28"/>
      <c r="E600" s="53"/>
      <c r="F600" s="53"/>
      <c r="G600" s="53"/>
      <c r="H600" s="53"/>
    </row>
    <row r="601" spans="1:8">
      <c r="A601" s="27"/>
      <c r="B601" s="27"/>
      <c r="C601" s="28"/>
      <c r="D601" s="28"/>
      <c r="E601" s="53"/>
      <c r="F601" s="53"/>
      <c r="G601" s="53"/>
      <c r="H601" s="53"/>
    </row>
    <row r="602" spans="1:8">
      <c r="A602" s="27"/>
      <c r="B602" s="27"/>
      <c r="C602" s="28"/>
      <c r="D602" s="28"/>
      <c r="E602" s="53"/>
      <c r="F602" s="53"/>
      <c r="G602" s="53"/>
      <c r="H602" s="53"/>
    </row>
    <row r="603" spans="1:8">
      <c r="A603" s="27"/>
      <c r="B603" s="27"/>
      <c r="C603" s="28"/>
      <c r="D603" s="28"/>
      <c r="E603" s="53"/>
      <c r="F603" s="53"/>
      <c r="G603" s="53"/>
      <c r="H603" s="53"/>
    </row>
    <row r="604" spans="1:8">
      <c r="A604" s="27"/>
      <c r="B604" s="27"/>
      <c r="C604" s="28"/>
      <c r="D604" s="28"/>
      <c r="E604" s="53"/>
      <c r="F604" s="53"/>
      <c r="G604" s="53"/>
      <c r="H604" s="53"/>
    </row>
    <row r="605" spans="1:8">
      <c r="A605" s="27"/>
      <c r="B605" s="27"/>
      <c r="C605" s="28"/>
      <c r="D605" s="28"/>
      <c r="E605" s="53"/>
      <c r="F605" s="53"/>
      <c r="G605" s="53"/>
      <c r="H605" s="53"/>
    </row>
    <row r="606" spans="1:8">
      <c r="A606" s="27"/>
      <c r="B606" s="27"/>
      <c r="C606" s="28"/>
      <c r="D606" s="28"/>
      <c r="E606" s="53"/>
      <c r="F606" s="53"/>
      <c r="G606" s="53"/>
      <c r="H606" s="53"/>
    </row>
    <row r="607" spans="1:8">
      <c r="A607" s="27"/>
      <c r="B607" s="27"/>
      <c r="C607" s="28"/>
      <c r="D607" s="28"/>
      <c r="E607" s="53"/>
      <c r="F607" s="53"/>
      <c r="G607" s="53"/>
      <c r="H607" s="53"/>
    </row>
    <row r="608" spans="1:8">
      <c r="A608" s="27"/>
      <c r="B608" s="27"/>
      <c r="C608" s="28"/>
      <c r="D608" s="28"/>
      <c r="E608" s="53"/>
      <c r="F608" s="53"/>
      <c r="G608" s="53"/>
      <c r="H608" s="53"/>
    </row>
    <row r="609" spans="1:8">
      <c r="A609" s="27"/>
      <c r="B609" s="27"/>
      <c r="C609" s="28"/>
      <c r="D609" s="28"/>
      <c r="E609" s="53"/>
      <c r="F609" s="53"/>
      <c r="G609" s="53"/>
      <c r="H609" s="53"/>
    </row>
    <row r="610" spans="1:8">
      <c r="A610" s="27"/>
      <c r="B610" s="27"/>
      <c r="C610" s="28"/>
      <c r="D610" s="28"/>
      <c r="E610" s="53"/>
      <c r="F610" s="53"/>
      <c r="G610" s="53"/>
      <c r="H610" s="53"/>
    </row>
    <row r="611" spans="1:8">
      <c r="A611" s="27"/>
      <c r="B611" s="27"/>
      <c r="C611" s="28"/>
      <c r="D611" s="28"/>
      <c r="E611" s="53"/>
      <c r="F611" s="53"/>
      <c r="G611" s="53"/>
      <c r="H611" s="53"/>
    </row>
    <row r="612" spans="1:8">
      <c r="A612" s="27"/>
      <c r="B612" s="27"/>
      <c r="C612" s="28"/>
      <c r="D612" s="28"/>
      <c r="E612" s="53"/>
      <c r="F612" s="53"/>
      <c r="G612" s="53"/>
      <c r="H612" s="53"/>
    </row>
    <row r="613" spans="1:8">
      <c r="A613" s="27"/>
      <c r="B613" s="27"/>
      <c r="C613" s="28"/>
      <c r="D613" s="28"/>
      <c r="E613" s="53"/>
      <c r="F613" s="53"/>
      <c r="G613" s="53"/>
      <c r="H613" s="53"/>
    </row>
    <row r="614" spans="1:8">
      <c r="A614" s="27"/>
      <c r="B614" s="27"/>
      <c r="C614" s="28"/>
      <c r="D614" s="28"/>
      <c r="E614" s="53"/>
      <c r="F614" s="53"/>
      <c r="G614" s="53"/>
      <c r="H614" s="53"/>
    </row>
    <row r="615" spans="1:8">
      <c r="A615" s="27"/>
      <c r="B615" s="27"/>
      <c r="C615" s="28"/>
      <c r="D615" s="28"/>
      <c r="E615" s="53"/>
      <c r="F615" s="53"/>
      <c r="G615" s="53"/>
      <c r="H615" s="53"/>
    </row>
    <row r="616" spans="1:8">
      <c r="A616" s="27"/>
      <c r="B616" s="27"/>
      <c r="C616" s="28"/>
      <c r="D616" s="28"/>
      <c r="E616" s="53"/>
      <c r="F616" s="53"/>
      <c r="G616" s="53"/>
      <c r="H616" s="53"/>
    </row>
    <row r="617" spans="1:8">
      <c r="A617" s="27"/>
      <c r="B617" s="27"/>
      <c r="C617" s="28"/>
      <c r="D617" s="28"/>
      <c r="E617" s="53"/>
      <c r="F617" s="53"/>
      <c r="G617" s="53"/>
      <c r="H617" s="53"/>
    </row>
    <row r="618" spans="1:8">
      <c r="A618" s="27"/>
      <c r="B618" s="27"/>
      <c r="C618" s="28"/>
      <c r="D618" s="28"/>
      <c r="E618" s="53"/>
      <c r="F618" s="53"/>
      <c r="G618" s="53"/>
      <c r="H618" s="53"/>
    </row>
    <row r="619" spans="1:8">
      <c r="A619" s="27"/>
      <c r="B619" s="27"/>
      <c r="C619" s="28"/>
      <c r="D619" s="28"/>
      <c r="E619" s="53"/>
      <c r="F619" s="53"/>
      <c r="G619" s="53"/>
      <c r="H619" s="53"/>
    </row>
    <row r="620" spans="1:8">
      <c r="A620" s="27"/>
      <c r="B620" s="27"/>
      <c r="C620" s="28"/>
      <c r="D620" s="28"/>
      <c r="E620" s="53"/>
      <c r="F620" s="53"/>
      <c r="G620" s="53"/>
      <c r="H620" s="53"/>
    </row>
    <row r="621" spans="1:8">
      <c r="A621" s="27"/>
      <c r="B621" s="27"/>
      <c r="C621" s="28"/>
      <c r="D621" s="28"/>
      <c r="E621" s="53"/>
      <c r="F621" s="53"/>
      <c r="G621" s="53"/>
      <c r="H621" s="53"/>
    </row>
    <row r="622" spans="1:8">
      <c r="A622" s="27"/>
      <c r="B622" s="27"/>
      <c r="C622" s="28"/>
      <c r="D622" s="28"/>
      <c r="E622" s="53"/>
      <c r="F622" s="53"/>
      <c r="G622" s="53"/>
      <c r="H622" s="53"/>
    </row>
    <row r="623" spans="1:8">
      <c r="A623" s="27"/>
      <c r="B623" s="27"/>
      <c r="C623" s="28"/>
      <c r="D623" s="28"/>
      <c r="E623" s="53"/>
      <c r="F623" s="53"/>
      <c r="G623" s="53"/>
      <c r="H623" s="53"/>
    </row>
    <row r="624" spans="1:8">
      <c r="A624" s="27"/>
      <c r="B624" s="27"/>
      <c r="C624" s="28"/>
      <c r="D624" s="28"/>
      <c r="E624" s="53"/>
      <c r="F624" s="53"/>
      <c r="G624" s="53"/>
      <c r="H624" s="53"/>
    </row>
    <row r="625" spans="1:8">
      <c r="A625" s="27"/>
      <c r="B625" s="27"/>
      <c r="C625" s="28"/>
      <c r="D625" s="28"/>
      <c r="E625" s="53"/>
      <c r="F625" s="53"/>
      <c r="G625" s="53"/>
      <c r="H625" s="53"/>
    </row>
    <row r="626" spans="1:8">
      <c r="A626" s="27"/>
      <c r="B626" s="27"/>
      <c r="C626" s="28"/>
      <c r="D626" s="28"/>
      <c r="E626" s="53"/>
      <c r="F626" s="53"/>
      <c r="G626" s="53"/>
      <c r="H626" s="53"/>
    </row>
    <row r="627" spans="1:8">
      <c r="A627" s="27"/>
      <c r="B627" s="27"/>
      <c r="C627" s="28"/>
      <c r="D627" s="28"/>
      <c r="E627" s="53"/>
      <c r="F627" s="53"/>
      <c r="G627" s="53"/>
      <c r="H627" s="53"/>
    </row>
    <row r="628" spans="1:8">
      <c r="A628" s="27"/>
      <c r="B628" s="27"/>
      <c r="C628" s="28"/>
      <c r="D628" s="28"/>
      <c r="E628" s="53"/>
      <c r="F628" s="53"/>
      <c r="G628" s="53"/>
      <c r="H628" s="53"/>
    </row>
    <row r="629" spans="1:8">
      <c r="A629" s="27"/>
      <c r="B629" s="27"/>
      <c r="C629" s="28"/>
      <c r="D629" s="28"/>
      <c r="E629" s="53"/>
      <c r="F629" s="53"/>
      <c r="G629" s="53"/>
      <c r="H629" s="53"/>
    </row>
    <row r="630" spans="1:8">
      <c r="A630" s="27"/>
      <c r="B630" s="27"/>
      <c r="C630" s="28"/>
      <c r="D630" s="28"/>
      <c r="E630" s="53"/>
      <c r="F630" s="53"/>
      <c r="G630" s="53"/>
      <c r="H630" s="53"/>
    </row>
    <row r="631" spans="1:8">
      <c r="A631" s="27"/>
      <c r="B631" s="27"/>
      <c r="C631" s="28"/>
      <c r="D631" s="28"/>
      <c r="E631" s="53"/>
      <c r="F631" s="53"/>
      <c r="G631" s="53"/>
      <c r="H631" s="53"/>
    </row>
    <row r="632" spans="1:8">
      <c r="A632" s="27"/>
      <c r="B632" s="27"/>
      <c r="C632" s="28"/>
      <c r="D632" s="28"/>
      <c r="E632" s="53"/>
      <c r="F632" s="53"/>
      <c r="G632" s="53"/>
      <c r="H632" s="53"/>
    </row>
    <row r="633" spans="1:8">
      <c r="A633" s="27"/>
      <c r="B633" s="27"/>
      <c r="C633" s="28"/>
      <c r="D633" s="28"/>
      <c r="E633" s="53"/>
      <c r="F633" s="53"/>
      <c r="G633" s="53"/>
      <c r="H633" s="53"/>
    </row>
    <row r="634" spans="1:8">
      <c r="A634" s="27"/>
      <c r="B634" s="27"/>
      <c r="C634" s="28"/>
      <c r="D634" s="28"/>
      <c r="E634" s="53"/>
      <c r="F634" s="53"/>
      <c r="G634" s="53"/>
      <c r="H634" s="53"/>
    </row>
    <row r="635" spans="1:8">
      <c r="A635" s="27"/>
      <c r="B635" s="27"/>
      <c r="C635" s="28"/>
      <c r="D635" s="28"/>
      <c r="E635" s="53"/>
      <c r="F635" s="53"/>
      <c r="G635" s="53"/>
      <c r="H635" s="53"/>
    </row>
    <row r="636" spans="1:8">
      <c r="A636" s="27"/>
      <c r="B636" s="27"/>
      <c r="C636" s="28"/>
      <c r="D636" s="28"/>
      <c r="E636" s="53"/>
      <c r="F636" s="53"/>
      <c r="G636" s="53"/>
      <c r="H636" s="53"/>
    </row>
    <row r="637" spans="1:8">
      <c r="A637" s="27"/>
      <c r="B637" s="27"/>
      <c r="C637" s="28"/>
      <c r="D637" s="28"/>
      <c r="E637" s="53"/>
      <c r="F637" s="53"/>
      <c r="G637" s="53"/>
      <c r="H637" s="53"/>
    </row>
    <row r="638" spans="1:8">
      <c r="A638" s="27"/>
      <c r="B638" s="27"/>
      <c r="C638" s="28"/>
      <c r="D638" s="28"/>
      <c r="E638" s="53"/>
      <c r="F638" s="53"/>
      <c r="G638" s="53"/>
      <c r="H638" s="53"/>
    </row>
    <row r="639" spans="1:8">
      <c r="A639" s="27"/>
      <c r="B639" s="27"/>
      <c r="C639" s="28"/>
      <c r="D639" s="28"/>
      <c r="E639" s="53"/>
      <c r="F639" s="53"/>
      <c r="G639" s="53"/>
      <c r="H639" s="53"/>
    </row>
    <row r="640" spans="1:8">
      <c r="A640" s="27"/>
      <c r="B640" s="27"/>
      <c r="C640" s="28"/>
      <c r="D640" s="28"/>
      <c r="E640" s="53"/>
      <c r="F640" s="53"/>
      <c r="G640" s="53"/>
      <c r="H640" s="53"/>
    </row>
    <row r="641" spans="1:8">
      <c r="A641" s="27"/>
      <c r="B641" s="27"/>
      <c r="C641" s="28"/>
      <c r="D641" s="28"/>
      <c r="E641" s="53"/>
      <c r="F641" s="53"/>
      <c r="G641" s="53"/>
      <c r="H641" s="53"/>
    </row>
    <row r="642" spans="1:8">
      <c r="A642" s="27"/>
      <c r="B642" s="27"/>
      <c r="C642" s="28"/>
      <c r="D642" s="28"/>
      <c r="E642" s="53"/>
      <c r="F642" s="53"/>
      <c r="G642" s="53"/>
      <c r="H642" s="53"/>
    </row>
    <row r="643" spans="1:8">
      <c r="A643" s="27"/>
      <c r="B643" s="27"/>
      <c r="C643" s="28"/>
      <c r="D643" s="28"/>
      <c r="E643" s="53"/>
      <c r="F643" s="53"/>
      <c r="G643" s="53"/>
      <c r="H643" s="53"/>
    </row>
    <row r="644" spans="1:8">
      <c r="A644" s="27"/>
      <c r="B644" s="27"/>
      <c r="C644" s="28"/>
      <c r="D644" s="28"/>
      <c r="E644" s="53"/>
      <c r="F644" s="53"/>
      <c r="G644" s="53"/>
      <c r="H644" s="53"/>
    </row>
    <row r="645" spans="1:8">
      <c r="A645" s="27"/>
      <c r="B645" s="27"/>
      <c r="C645" s="28"/>
      <c r="D645" s="28"/>
      <c r="E645" s="53"/>
      <c r="F645" s="53"/>
      <c r="G645" s="53"/>
      <c r="H645" s="53"/>
    </row>
    <row r="646" spans="1:8">
      <c r="A646" s="27"/>
      <c r="B646" s="27"/>
      <c r="C646" s="28"/>
      <c r="D646" s="28"/>
      <c r="E646" s="53"/>
      <c r="F646" s="53"/>
      <c r="G646" s="53"/>
      <c r="H646" s="53"/>
    </row>
    <row r="647" spans="1:8">
      <c r="A647" s="27"/>
      <c r="B647" s="27"/>
      <c r="C647" s="28"/>
      <c r="D647" s="28"/>
      <c r="E647" s="53"/>
      <c r="F647" s="53"/>
      <c r="G647" s="53"/>
      <c r="H647" s="53"/>
    </row>
    <row r="648" spans="1:8">
      <c r="A648" s="27"/>
      <c r="B648" s="27"/>
      <c r="C648" s="28"/>
      <c r="D648" s="28"/>
      <c r="E648" s="53"/>
      <c r="F648" s="53"/>
      <c r="G648" s="53"/>
      <c r="H648" s="53"/>
    </row>
    <row r="649" spans="1:8">
      <c r="A649" s="27"/>
      <c r="B649" s="27"/>
      <c r="C649" s="28"/>
      <c r="D649" s="28"/>
      <c r="E649" s="53"/>
      <c r="F649" s="53"/>
      <c r="G649" s="53"/>
      <c r="H649" s="53"/>
    </row>
    <row r="650" spans="1:8">
      <c r="A650" s="27"/>
      <c r="B650" s="27"/>
      <c r="C650" s="28"/>
      <c r="D650" s="28"/>
      <c r="E650" s="53"/>
      <c r="F650" s="53"/>
      <c r="G650" s="53"/>
      <c r="H650" s="53"/>
    </row>
    <row r="651" spans="1:8">
      <c r="A651" s="27"/>
      <c r="B651" s="27"/>
      <c r="C651" s="28"/>
      <c r="D651" s="28"/>
      <c r="E651" s="53"/>
      <c r="F651" s="53"/>
      <c r="G651" s="53"/>
      <c r="H651" s="53"/>
    </row>
    <row r="652" spans="1:8">
      <c r="A652" s="27"/>
      <c r="B652" s="27"/>
      <c r="C652" s="28"/>
      <c r="D652" s="28"/>
      <c r="E652" s="53"/>
      <c r="F652" s="53"/>
      <c r="G652" s="53"/>
      <c r="H652" s="53"/>
    </row>
    <row r="653" spans="1:8">
      <c r="A653" s="27"/>
      <c r="B653" s="27"/>
      <c r="C653" s="28"/>
      <c r="D653" s="28"/>
      <c r="E653" s="53"/>
      <c r="F653" s="53"/>
      <c r="G653" s="53"/>
      <c r="H653" s="53"/>
    </row>
    <row r="654" spans="1:8">
      <c r="A654" s="27"/>
      <c r="B654" s="27"/>
      <c r="C654" s="28"/>
      <c r="D654" s="28"/>
      <c r="E654" s="53"/>
      <c r="F654" s="53"/>
      <c r="G654" s="53"/>
      <c r="H654" s="53"/>
    </row>
    <row r="655" spans="1:8">
      <c r="A655" s="27"/>
      <c r="B655" s="27"/>
      <c r="C655" s="28"/>
      <c r="D655" s="28"/>
      <c r="E655" s="53"/>
      <c r="F655" s="53"/>
      <c r="G655" s="53"/>
      <c r="H655" s="53"/>
    </row>
    <row r="656" spans="1:8">
      <c r="A656" s="27"/>
      <c r="B656" s="27"/>
      <c r="C656" s="28"/>
      <c r="D656" s="28"/>
      <c r="E656" s="53"/>
      <c r="F656" s="53"/>
      <c r="G656" s="53"/>
      <c r="H656" s="53"/>
    </row>
    <row r="657" spans="1:8">
      <c r="A657" s="27"/>
      <c r="B657" s="27"/>
      <c r="C657" s="28"/>
      <c r="D657" s="28"/>
      <c r="E657" s="53"/>
      <c r="F657" s="53"/>
      <c r="G657" s="53"/>
      <c r="H657" s="53"/>
    </row>
    <row r="658" spans="1:8">
      <c r="A658" s="27"/>
      <c r="B658" s="27"/>
      <c r="C658" s="28"/>
      <c r="D658" s="28"/>
      <c r="E658" s="53"/>
      <c r="F658" s="53"/>
      <c r="G658" s="53"/>
      <c r="H658" s="53"/>
    </row>
    <row r="659" spans="1:8">
      <c r="A659" s="27"/>
      <c r="B659" s="27"/>
      <c r="C659" s="28"/>
      <c r="D659" s="28"/>
      <c r="E659" s="53"/>
      <c r="F659" s="53"/>
      <c r="G659" s="53"/>
      <c r="H659" s="53"/>
    </row>
    <row r="660" spans="1:8">
      <c r="A660" s="27"/>
      <c r="B660" s="27"/>
      <c r="C660" s="28"/>
      <c r="D660" s="28"/>
      <c r="E660" s="53"/>
      <c r="F660" s="53"/>
      <c r="G660" s="53"/>
      <c r="H660" s="53"/>
    </row>
    <row r="661" spans="1:8">
      <c r="A661" s="27"/>
      <c r="B661" s="27"/>
      <c r="C661" s="28"/>
      <c r="D661" s="28"/>
      <c r="E661" s="53"/>
      <c r="F661" s="53"/>
      <c r="G661" s="53"/>
      <c r="H661" s="53"/>
    </row>
    <row r="662" spans="1:8">
      <c r="A662" s="27"/>
      <c r="B662" s="27"/>
      <c r="C662" s="28"/>
      <c r="D662" s="28"/>
      <c r="E662" s="53"/>
      <c r="F662" s="53"/>
      <c r="G662" s="53"/>
      <c r="H662" s="53"/>
    </row>
    <row r="663" spans="1:8">
      <c r="A663" s="27"/>
      <c r="B663" s="27"/>
      <c r="C663" s="28"/>
      <c r="D663" s="28"/>
      <c r="E663" s="53"/>
      <c r="F663" s="53"/>
      <c r="G663" s="53"/>
      <c r="H663" s="53"/>
    </row>
    <row r="664" spans="1:8">
      <c r="A664" s="27"/>
      <c r="B664" s="27"/>
      <c r="C664" s="28"/>
      <c r="D664" s="28"/>
      <c r="E664" s="53"/>
      <c r="F664" s="53"/>
      <c r="G664" s="53"/>
      <c r="H664" s="53"/>
    </row>
    <row r="665" spans="1:8">
      <c r="A665" s="27"/>
      <c r="B665" s="27"/>
      <c r="C665" s="28"/>
      <c r="D665" s="28"/>
      <c r="E665" s="53"/>
      <c r="F665" s="53"/>
      <c r="G665" s="53"/>
      <c r="H665" s="53"/>
    </row>
    <row r="666" spans="1:8">
      <c r="A666" s="27"/>
      <c r="B666" s="27"/>
      <c r="C666" s="28"/>
      <c r="D666" s="28"/>
      <c r="E666" s="53"/>
      <c r="F666" s="53"/>
      <c r="G666" s="53"/>
      <c r="H666" s="53"/>
    </row>
    <row r="667" spans="1:8">
      <c r="A667" s="27"/>
      <c r="B667" s="27"/>
      <c r="C667" s="28"/>
      <c r="D667" s="28"/>
      <c r="E667" s="53"/>
      <c r="F667" s="53"/>
      <c r="G667" s="53"/>
      <c r="H667" s="53"/>
    </row>
    <row r="668" spans="1:8">
      <c r="A668" s="27"/>
      <c r="B668" s="27"/>
      <c r="C668" s="28"/>
      <c r="D668" s="28"/>
      <c r="E668" s="53"/>
      <c r="F668" s="53"/>
      <c r="G668" s="53"/>
      <c r="H668" s="53"/>
    </row>
    <row r="669" spans="1:8">
      <c r="A669" s="27"/>
      <c r="B669" s="27"/>
      <c r="C669" s="28"/>
      <c r="D669" s="28"/>
      <c r="E669" s="53"/>
      <c r="F669" s="53"/>
      <c r="G669" s="53"/>
      <c r="H669" s="53"/>
    </row>
    <row r="670" spans="1:8">
      <c r="A670" s="27"/>
      <c r="B670" s="27"/>
      <c r="C670" s="28"/>
      <c r="D670" s="28"/>
      <c r="E670" s="53"/>
      <c r="F670" s="53"/>
      <c r="G670" s="53"/>
      <c r="H670" s="53"/>
    </row>
    <row r="671" spans="1:8">
      <c r="A671" s="27"/>
      <c r="B671" s="27"/>
      <c r="C671" s="28"/>
      <c r="D671" s="28"/>
      <c r="E671" s="53"/>
      <c r="F671" s="53"/>
      <c r="G671" s="53"/>
      <c r="H671" s="53"/>
    </row>
    <row r="672" spans="1:8">
      <c r="A672" s="27"/>
      <c r="B672" s="27"/>
      <c r="C672" s="28"/>
      <c r="D672" s="28"/>
      <c r="E672" s="53"/>
      <c r="F672" s="53"/>
      <c r="G672" s="53"/>
      <c r="H672" s="53"/>
    </row>
    <row r="673" spans="1:8">
      <c r="A673" s="27"/>
      <c r="B673" s="27"/>
      <c r="C673" s="28"/>
      <c r="D673" s="28"/>
      <c r="E673" s="53"/>
      <c r="F673" s="53"/>
      <c r="G673" s="53"/>
      <c r="H673" s="53"/>
    </row>
    <row r="674" spans="1:8">
      <c r="A674" s="27"/>
      <c r="B674" s="27"/>
      <c r="C674" s="28"/>
      <c r="D674" s="28"/>
      <c r="E674" s="53"/>
      <c r="F674" s="53"/>
      <c r="G674" s="53"/>
      <c r="H674" s="53"/>
    </row>
    <row r="675" spans="1:8">
      <c r="A675" s="27"/>
      <c r="B675" s="27"/>
      <c r="C675" s="28"/>
      <c r="D675" s="28"/>
      <c r="E675" s="53"/>
      <c r="F675" s="53"/>
      <c r="G675" s="53"/>
      <c r="H675" s="53"/>
    </row>
    <row r="676" spans="1:8">
      <c r="A676" s="27"/>
      <c r="B676" s="27"/>
      <c r="C676" s="28"/>
      <c r="D676" s="28"/>
      <c r="E676" s="53"/>
      <c r="F676" s="53"/>
      <c r="G676" s="53"/>
      <c r="H676" s="53"/>
    </row>
    <row r="677" spans="1:8">
      <c r="A677" s="27"/>
      <c r="B677" s="27"/>
      <c r="C677" s="28"/>
      <c r="D677" s="28"/>
      <c r="E677" s="53"/>
      <c r="F677" s="53"/>
      <c r="G677" s="53"/>
      <c r="H677" s="53"/>
    </row>
    <row r="678" spans="1:8">
      <c r="A678" s="27"/>
      <c r="B678" s="27"/>
      <c r="C678" s="28"/>
      <c r="D678" s="28"/>
      <c r="E678" s="53"/>
      <c r="F678" s="53"/>
      <c r="G678" s="53"/>
      <c r="H678" s="53"/>
    </row>
    <row r="679" spans="1:8">
      <c r="A679" s="27"/>
      <c r="B679" s="27"/>
      <c r="C679" s="28"/>
      <c r="D679" s="28"/>
      <c r="E679" s="53"/>
      <c r="F679" s="53"/>
      <c r="G679" s="53"/>
      <c r="H679" s="53"/>
    </row>
    <row r="680" spans="1:8">
      <c r="A680" s="27"/>
      <c r="B680" s="27"/>
      <c r="C680" s="28"/>
      <c r="D680" s="28"/>
      <c r="E680" s="53"/>
      <c r="F680" s="53"/>
      <c r="G680" s="53"/>
      <c r="H680" s="53"/>
    </row>
    <row r="681" spans="1:8">
      <c r="A681" s="27"/>
      <c r="B681" s="27"/>
      <c r="C681" s="28"/>
      <c r="D681" s="28"/>
      <c r="E681" s="53"/>
      <c r="F681" s="53"/>
      <c r="G681" s="53"/>
      <c r="H681" s="53"/>
    </row>
    <row r="682" spans="1:8">
      <c r="A682" s="27"/>
      <c r="B682" s="27"/>
      <c r="C682" s="28"/>
      <c r="D682" s="28"/>
      <c r="E682" s="53"/>
      <c r="F682" s="53"/>
      <c r="G682" s="53"/>
      <c r="H682" s="53"/>
    </row>
    <row r="683" spans="1:8">
      <c r="A683" s="27"/>
      <c r="B683" s="27"/>
      <c r="C683" s="28"/>
      <c r="D683" s="28"/>
      <c r="E683" s="53"/>
      <c r="F683" s="53"/>
      <c r="G683" s="53"/>
      <c r="H683" s="53"/>
    </row>
    <row r="684" spans="1:8">
      <c r="A684" s="27"/>
      <c r="B684" s="27"/>
      <c r="C684" s="28"/>
      <c r="D684" s="28"/>
      <c r="E684" s="53"/>
      <c r="F684" s="53"/>
      <c r="G684" s="53"/>
      <c r="H684" s="53"/>
    </row>
    <row r="685" spans="1:8">
      <c r="A685" s="27"/>
      <c r="B685" s="27"/>
      <c r="C685" s="28"/>
      <c r="D685" s="28"/>
      <c r="E685" s="53"/>
      <c r="F685" s="53"/>
      <c r="G685" s="53"/>
      <c r="H685" s="53"/>
    </row>
    <row r="686" spans="1:8">
      <c r="A686" s="27"/>
      <c r="B686" s="27"/>
      <c r="C686" s="28"/>
      <c r="D686" s="28"/>
      <c r="E686" s="53"/>
      <c r="F686" s="53"/>
      <c r="G686" s="53"/>
      <c r="H686" s="53"/>
    </row>
    <row r="687" spans="1:8">
      <c r="A687" s="27"/>
      <c r="B687" s="27"/>
      <c r="C687" s="28"/>
      <c r="D687" s="28"/>
      <c r="E687" s="53"/>
      <c r="F687" s="53"/>
      <c r="G687" s="53"/>
      <c r="H687" s="53"/>
    </row>
    <row r="688" spans="1:8">
      <c r="A688" s="27"/>
      <c r="B688" s="27"/>
      <c r="C688" s="28"/>
      <c r="D688" s="28"/>
      <c r="E688" s="53"/>
      <c r="F688" s="53"/>
      <c r="G688" s="53"/>
      <c r="H688" s="53"/>
    </row>
    <row r="689" spans="1:8">
      <c r="A689" s="27"/>
      <c r="B689" s="27"/>
      <c r="C689" s="28"/>
      <c r="D689" s="28"/>
      <c r="E689" s="53"/>
      <c r="F689" s="53"/>
      <c r="G689" s="53"/>
      <c r="H689" s="53"/>
    </row>
    <row r="690" spans="1:8">
      <c r="A690" s="27"/>
      <c r="B690" s="27"/>
      <c r="C690" s="28"/>
      <c r="D690" s="28"/>
      <c r="E690" s="53"/>
      <c r="F690" s="53"/>
      <c r="G690" s="53"/>
      <c r="H690" s="53"/>
    </row>
    <row r="691" spans="1:8">
      <c r="A691" s="27"/>
      <c r="B691" s="27"/>
      <c r="C691" s="28"/>
      <c r="D691" s="28"/>
      <c r="E691" s="53"/>
      <c r="F691" s="53"/>
      <c r="G691" s="53"/>
      <c r="H691" s="53"/>
    </row>
    <row r="692" spans="1:8">
      <c r="A692" s="27"/>
      <c r="B692" s="27"/>
      <c r="C692" s="28"/>
      <c r="D692" s="28"/>
      <c r="E692" s="53"/>
      <c r="F692" s="53"/>
      <c r="G692" s="53"/>
      <c r="H692" s="53"/>
    </row>
    <row r="693" spans="1:8">
      <c r="A693" s="27"/>
      <c r="B693" s="27"/>
      <c r="C693" s="28"/>
      <c r="D693" s="28"/>
      <c r="E693" s="53"/>
      <c r="F693" s="53"/>
      <c r="G693" s="53"/>
      <c r="H693" s="53"/>
    </row>
    <row r="694" spans="1:8">
      <c r="A694" s="27"/>
      <c r="B694" s="27"/>
      <c r="C694" s="28"/>
      <c r="D694" s="28"/>
      <c r="E694" s="53"/>
      <c r="F694" s="53"/>
      <c r="G694" s="53"/>
      <c r="H694" s="53"/>
    </row>
    <row r="695" spans="1:8">
      <c r="A695" s="27"/>
      <c r="B695" s="27"/>
      <c r="C695" s="28"/>
      <c r="D695" s="28"/>
      <c r="E695" s="53"/>
      <c r="F695" s="53"/>
      <c r="G695" s="53"/>
      <c r="H695" s="53"/>
    </row>
    <row r="696" spans="1:8">
      <c r="A696" s="27"/>
      <c r="B696" s="27"/>
      <c r="C696" s="28"/>
      <c r="D696" s="28"/>
      <c r="E696" s="53"/>
      <c r="F696" s="53"/>
      <c r="G696" s="53"/>
      <c r="H696" s="53"/>
    </row>
    <row r="697" spans="1:8">
      <c r="A697" s="27"/>
      <c r="B697" s="27"/>
      <c r="C697" s="28"/>
      <c r="D697" s="28"/>
      <c r="E697" s="53"/>
      <c r="F697" s="53"/>
      <c r="G697" s="53"/>
      <c r="H697" s="53"/>
    </row>
    <row r="698" spans="1:8">
      <c r="A698" s="27"/>
      <c r="B698" s="27"/>
      <c r="C698" s="28"/>
      <c r="D698" s="28"/>
      <c r="E698" s="53"/>
      <c r="F698" s="53"/>
      <c r="G698" s="53"/>
      <c r="H698" s="53"/>
    </row>
    <row r="699" spans="1:8">
      <c r="A699" s="27"/>
      <c r="B699" s="27"/>
      <c r="C699" s="28"/>
      <c r="D699" s="28"/>
      <c r="E699" s="53"/>
      <c r="F699" s="53"/>
      <c r="G699" s="53"/>
      <c r="H699" s="53"/>
    </row>
    <row r="700" spans="1:8">
      <c r="A700" s="27"/>
      <c r="B700" s="27"/>
      <c r="C700" s="28"/>
      <c r="D700" s="28"/>
      <c r="E700" s="53"/>
      <c r="F700" s="53"/>
      <c r="G700" s="53"/>
      <c r="H700" s="53"/>
    </row>
    <row r="701" spans="1:8">
      <c r="A701" s="27"/>
      <c r="B701" s="27"/>
      <c r="C701" s="28"/>
      <c r="D701" s="28"/>
      <c r="E701" s="53"/>
      <c r="F701" s="53"/>
      <c r="G701" s="53"/>
      <c r="H701" s="53"/>
    </row>
    <row r="702" spans="1:8">
      <c r="A702" s="27"/>
      <c r="B702" s="27"/>
      <c r="C702" s="28"/>
      <c r="D702" s="28"/>
      <c r="E702" s="53"/>
      <c r="F702" s="53"/>
      <c r="G702" s="53"/>
      <c r="H702" s="53"/>
    </row>
    <row r="703" spans="1:8">
      <c r="A703" s="27"/>
      <c r="B703" s="27"/>
      <c r="C703" s="28"/>
      <c r="D703" s="28"/>
      <c r="E703" s="53"/>
      <c r="F703" s="53"/>
      <c r="G703" s="53"/>
      <c r="H703" s="53"/>
    </row>
    <row r="704" spans="1:8">
      <c r="A704" s="27"/>
      <c r="B704" s="27"/>
      <c r="C704" s="28"/>
      <c r="D704" s="28"/>
      <c r="E704" s="53"/>
      <c r="F704" s="53"/>
      <c r="G704" s="53"/>
      <c r="H704" s="53"/>
    </row>
    <row r="705" spans="1:8">
      <c r="A705" s="27"/>
      <c r="B705" s="27"/>
      <c r="C705" s="28"/>
      <c r="D705" s="28"/>
      <c r="E705" s="53"/>
      <c r="F705" s="53"/>
      <c r="G705" s="53"/>
      <c r="H705" s="53"/>
    </row>
    <row r="706" spans="1:8">
      <c r="A706" s="27"/>
      <c r="B706" s="27"/>
      <c r="C706" s="28"/>
      <c r="D706" s="28"/>
      <c r="E706" s="53"/>
      <c r="F706" s="53"/>
      <c r="G706" s="53"/>
      <c r="H706" s="53"/>
    </row>
    <row r="707" spans="1:8">
      <c r="A707" s="27"/>
      <c r="B707" s="27"/>
      <c r="C707" s="28"/>
      <c r="D707" s="28"/>
      <c r="E707" s="53"/>
      <c r="F707" s="53"/>
      <c r="G707" s="53"/>
      <c r="H707" s="53"/>
    </row>
    <row r="708" spans="1:8">
      <c r="A708" s="27"/>
      <c r="B708" s="27"/>
      <c r="C708" s="28"/>
      <c r="D708" s="28"/>
      <c r="E708" s="53"/>
      <c r="F708" s="53"/>
      <c r="G708" s="53"/>
      <c r="H708" s="53"/>
    </row>
    <row r="709" spans="1:8">
      <c r="A709" s="27"/>
      <c r="B709" s="27"/>
      <c r="C709" s="28"/>
      <c r="D709" s="28"/>
      <c r="E709" s="53"/>
      <c r="F709" s="53"/>
      <c r="G709" s="53"/>
      <c r="H709" s="53"/>
    </row>
    <row r="710" spans="1:8">
      <c r="A710" s="27"/>
      <c r="B710" s="27"/>
      <c r="C710" s="28"/>
      <c r="D710" s="28"/>
      <c r="E710" s="53"/>
      <c r="F710" s="53"/>
      <c r="G710" s="53"/>
      <c r="H710" s="53"/>
    </row>
    <row r="711" spans="1:8">
      <c r="A711" s="27"/>
      <c r="B711" s="27"/>
      <c r="C711" s="28"/>
      <c r="D711" s="28"/>
      <c r="E711" s="53"/>
      <c r="F711" s="53"/>
      <c r="G711" s="53"/>
      <c r="H711" s="53"/>
    </row>
    <row r="712" spans="1:8">
      <c r="A712" s="27"/>
      <c r="B712" s="27"/>
      <c r="C712" s="28"/>
      <c r="D712" s="28"/>
      <c r="E712" s="53"/>
      <c r="F712" s="53"/>
      <c r="G712" s="53"/>
      <c r="H712" s="53"/>
    </row>
    <row r="713" spans="1:8">
      <c r="A713" s="27"/>
      <c r="B713" s="27"/>
      <c r="C713" s="28"/>
      <c r="D713" s="28"/>
      <c r="E713" s="53"/>
      <c r="F713" s="53"/>
      <c r="G713" s="53"/>
      <c r="H713" s="53"/>
    </row>
    <row r="714" spans="1:8">
      <c r="A714" s="27"/>
      <c r="B714" s="27"/>
      <c r="C714" s="28"/>
      <c r="D714" s="28"/>
      <c r="E714" s="53"/>
      <c r="F714" s="53"/>
      <c r="G714" s="53"/>
      <c r="H714" s="53"/>
    </row>
    <row r="715" spans="1:8">
      <c r="A715" s="27"/>
      <c r="B715" s="27"/>
      <c r="C715" s="28"/>
      <c r="D715" s="28"/>
      <c r="E715" s="53"/>
      <c r="F715" s="53"/>
      <c r="G715" s="53"/>
      <c r="H715" s="53"/>
    </row>
    <row r="716" spans="1:8">
      <c r="A716" s="27"/>
      <c r="B716" s="27"/>
      <c r="C716" s="28"/>
      <c r="D716" s="28"/>
      <c r="E716" s="53"/>
      <c r="F716" s="53"/>
      <c r="G716" s="53"/>
      <c r="H716" s="53"/>
    </row>
    <row r="717" spans="1:8">
      <c r="A717" s="27"/>
      <c r="B717" s="27"/>
      <c r="C717" s="28"/>
      <c r="D717" s="28"/>
      <c r="E717" s="53"/>
      <c r="F717" s="53"/>
      <c r="G717" s="53"/>
      <c r="H717" s="53"/>
    </row>
    <row r="718" spans="1:8">
      <c r="A718" s="27"/>
      <c r="B718" s="27"/>
      <c r="C718" s="28"/>
      <c r="D718" s="28"/>
      <c r="E718" s="53"/>
      <c r="F718" s="53"/>
      <c r="G718" s="53"/>
      <c r="H718" s="53"/>
    </row>
    <row r="719" spans="1:8">
      <c r="A719" s="27"/>
      <c r="B719" s="27"/>
      <c r="C719" s="28"/>
      <c r="D719" s="28"/>
      <c r="E719" s="53"/>
      <c r="F719" s="53"/>
      <c r="G719" s="53"/>
      <c r="H719" s="53"/>
    </row>
    <row r="720" spans="1:8">
      <c r="A720" s="27"/>
      <c r="B720" s="27"/>
      <c r="C720" s="28"/>
      <c r="D720" s="28"/>
      <c r="E720" s="53"/>
      <c r="F720" s="53"/>
      <c r="G720" s="53"/>
      <c r="H720" s="53"/>
    </row>
    <row r="721" spans="1:8">
      <c r="A721" s="27"/>
      <c r="B721" s="27"/>
      <c r="C721" s="28"/>
      <c r="D721" s="28"/>
      <c r="E721" s="53"/>
      <c r="F721" s="53"/>
      <c r="G721" s="53"/>
      <c r="H721" s="53"/>
    </row>
    <row r="722" spans="1:8">
      <c r="A722" s="27"/>
      <c r="B722" s="27"/>
      <c r="C722" s="28"/>
      <c r="D722" s="28"/>
      <c r="E722" s="53"/>
      <c r="F722" s="53"/>
      <c r="G722" s="53"/>
      <c r="H722" s="53"/>
    </row>
    <row r="723" spans="1:8">
      <c r="A723" s="27"/>
      <c r="B723" s="27"/>
      <c r="C723" s="28"/>
      <c r="D723" s="28"/>
      <c r="E723" s="53"/>
      <c r="F723" s="53"/>
      <c r="G723" s="53"/>
      <c r="H723" s="53"/>
    </row>
    <row r="724" spans="1:8">
      <c r="A724" s="27"/>
      <c r="B724" s="27"/>
      <c r="C724" s="28"/>
      <c r="D724" s="28"/>
      <c r="E724" s="53"/>
      <c r="F724" s="53"/>
      <c r="G724" s="53"/>
      <c r="H724" s="53"/>
    </row>
    <row r="725" spans="1:8">
      <c r="A725" s="27"/>
      <c r="B725" s="27"/>
      <c r="C725" s="28"/>
      <c r="D725" s="28"/>
      <c r="E725" s="53"/>
      <c r="F725" s="53"/>
      <c r="G725" s="53"/>
      <c r="H725" s="53"/>
    </row>
    <row r="726" spans="1:8">
      <c r="A726" s="27"/>
      <c r="B726" s="27"/>
      <c r="C726" s="28"/>
      <c r="D726" s="28"/>
      <c r="E726" s="53"/>
      <c r="F726" s="53"/>
      <c r="G726" s="53"/>
      <c r="H726" s="53"/>
    </row>
    <row r="727" spans="1:8">
      <c r="A727" s="27"/>
      <c r="B727" s="27"/>
      <c r="C727" s="28"/>
      <c r="D727" s="28"/>
      <c r="E727" s="53"/>
      <c r="F727" s="53"/>
      <c r="G727" s="53"/>
      <c r="H727" s="53"/>
    </row>
    <row r="728" spans="1:8">
      <c r="A728" s="27"/>
      <c r="B728" s="27"/>
      <c r="C728" s="28"/>
      <c r="D728" s="28"/>
      <c r="E728" s="53"/>
      <c r="F728" s="53"/>
      <c r="G728" s="53"/>
      <c r="H728" s="53"/>
    </row>
    <row r="729" spans="1:8">
      <c r="A729" s="27"/>
      <c r="B729" s="27"/>
      <c r="C729" s="28"/>
      <c r="D729" s="28"/>
      <c r="E729" s="53"/>
      <c r="F729" s="53"/>
      <c r="G729" s="53"/>
      <c r="H729" s="53"/>
    </row>
    <row r="730" spans="1:8">
      <c r="A730" s="27"/>
      <c r="B730" s="27"/>
      <c r="C730" s="28"/>
      <c r="D730" s="28"/>
      <c r="E730" s="53"/>
      <c r="F730" s="53"/>
      <c r="G730" s="53"/>
      <c r="H730" s="53"/>
    </row>
    <row r="731" spans="1:8">
      <c r="A731" s="27"/>
      <c r="B731" s="27"/>
      <c r="C731" s="28"/>
      <c r="D731" s="28"/>
      <c r="E731" s="53"/>
      <c r="F731" s="53"/>
      <c r="G731" s="53"/>
      <c r="H731" s="53"/>
    </row>
    <row r="732" spans="1:8">
      <c r="A732" s="27"/>
      <c r="B732" s="27"/>
      <c r="C732" s="28"/>
      <c r="D732" s="28"/>
      <c r="E732" s="53"/>
      <c r="F732" s="53"/>
      <c r="G732" s="53"/>
      <c r="H732" s="53"/>
    </row>
    <row r="733" spans="1:8">
      <c r="A733" s="27"/>
      <c r="B733" s="27"/>
      <c r="C733" s="28"/>
      <c r="D733" s="28"/>
      <c r="E733" s="53"/>
      <c r="F733" s="53"/>
      <c r="G733" s="53"/>
      <c r="H733" s="53"/>
    </row>
    <row r="734" spans="1:8">
      <c r="A734" s="27"/>
      <c r="B734" s="27"/>
      <c r="C734" s="28"/>
      <c r="D734" s="28"/>
      <c r="E734" s="53"/>
      <c r="F734" s="53"/>
      <c r="G734" s="53"/>
      <c r="H734" s="53"/>
    </row>
    <row r="735" spans="1:8">
      <c r="A735" s="27"/>
      <c r="B735" s="27"/>
      <c r="C735" s="28"/>
      <c r="D735" s="28"/>
      <c r="E735" s="53"/>
      <c r="F735" s="53"/>
      <c r="G735" s="53"/>
      <c r="H735" s="53"/>
    </row>
    <row r="736" spans="1:8">
      <c r="A736" s="27"/>
      <c r="B736" s="27"/>
      <c r="C736" s="28"/>
      <c r="D736" s="28"/>
      <c r="E736" s="53"/>
      <c r="F736" s="53"/>
      <c r="G736" s="53"/>
      <c r="H736" s="53"/>
    </row>
    <row r="737" spans="1:8">
      <c r="A737" s="27"/>
      <c r="B737" s="27"/>
      <c r="C737" s="28"/>
      <c r="D737" s="28"/>
      <c r="E737" s="53"/>
      <c r="F737" s="53"/>
      <c r="G737" s="53"/>
      <c r="H737" s="53"/>
    </row>
    <row r="738" spans="1:8">
      <c r="A738" s="27"/>
      <c r="B738" s="27"/>
      <c r="C738" s="28"/>
      <c r="D738" s="28"/>
      <c r="E738" s="53"/>
      <c r="F738" s="53"/>
      <c r="G738" s="53"/>
      <c r="H738" s="53"/>
    </row>
    <row r="739" spans="1:8">
      <c r="A739" s="27"/>
      <c r="B739" s="27"/>
      <c r="C739" s="28"/>
      <c r="D739" s="28"/>
      <c r="E739" s="53"/>
      <c r="F739" s="53"/>
      <c r="G739" s="53"/>
      <c r="H739" s="53"/>
    </row>
    <row r="740" spans="1:8">
      <c r="A740" s="27"/>
      <c r="B740" s="27"/>
      <c r="C740" s="28"/>
      <c r="D740" s="28"/>
      <c r="E740" s="53"/>
      <c r="F740" s="53"/>
      <c r="G740" s="53"/>
      <c r="H740" s="53"/>
    </row>
    <row r="741" spans="1:8">
      <c r="A741" s="27"/>
      <c r="B741" s="27"/>
      <c r="C741" s="28"/>
      <c r="D741" s="28"/>
      <c r="E741" s="53"/>
      <c r="F741" s="53"/>
      <c r="G741" s="53"/>
      <c r="H741" s="53"/>
    </row>
    <row r="742" spans="1:8">
      <c r="A742" s="27"/>
      <c r="B742" s="27"/>
      <c r="C742" s="28"/>
      <c r="D742" s="28"/>
      <c r="E742" s="53"/>
      <c r="F742" s="53"/>
      <c r="G742" s="53"/>
      <c r="H742" s="53"/>
    </row>
    <row r="743" spans="1:8">
      <c r="A743" s="27"/>
      <c r="B743" s="27"/>
      <c r="C743" s="28"/>
      <c r="D743" s="28"/>
      <c r="E743" s="53"/>
      <c r="F743" s="53"/>
      <c r="G743" s="53"/>
      <c r="H743" s="53"/>
    </row>
    <row r="744" spans="1:8">
      <c r="A744" s="27"/>
      <c r="B744" s="27"/>
      <c r="C744" s="28"/>
      <c r="D744" s="28"/>
      <c r="E744" s="53"/>
      <c r="F744" s="53"/>
      <c r="G744" s="53"/>
      <c r="H744" s="53"/>
    </row>
    <row r="745" spans="1:8">
      <c r="A745" s="27"/>
      <c r="B745" s="27"/>
      <c r="C745" s="28"/>
      <c r="D745" s="28"/>
      <c r="E745" s="53"/>
      <c r="F745" s="53"/>
      <c r="G745" s="53"/>
      <c r="H745" s="53"/>
    </row>
    <row r="746" spans="1:8">
      <c r="A746" s="27"/>
      <c r="B746" s="27"/>
      <c r="C746" s="28"/>
      <c r="D746" s="28"/>
      <c r="E746" s="53"/>
      <c r="F746" s="53"/>
      <c r="G746" s="53"/>
      <c r="H746" s="53"/>
    </row>
    <row r="747" spans="1:8">
      <c r="A747" s="27"/>
      <c r="B747" s="27"/>
      <c r="C747" s="28"/>
      <c r="D747" s="28"/>
      <c r="E747" s="53"/>
      <c r="F747" s="53"/>
      <c r="G747" s="53"/>
      <c r="H747" s="53"/>
    </row>
    <row r="748" spans="1:8">
      <c r="A748" s="27"/>
      <c r="B748" s="27"/>
      <c r="C748" s="28"/>
      <c r="D748" s="28"/>
      <c r="E748" s="53"/>
      <c r="F748" s="53"/>
      <c r="G748" s="53"/>
      <c r="H748" s="53"/>
    </row>
    <row r="749" spans="1:8">
      <c r="A749" s="27"/>
      <c r="B749" s="27"/>
      <c r="C749" s="28"/>
      <c r="D749" s="28"/>
      <c r="E749" s="53"/>
      <c r="F749" s="53"/>
      <c r="G749" s="53"/>
      <c r="H749" s="53"/>
    </row>
    <row r="750" spans="1:8">
      <c r="A750" s="27"/>
      <c r="B750" s="27"/>
      <c r="C750" s="28"/>
      <c r="D750" s="28"/>
      <c r="E750" s="53"/>
      <c r="F750" s="53"/>
      <c r="G750" s="53"/>
      <c r="H750" s="53"/>
    </row>
    <row r="751" spans="1:8">
      <c r="A751" s="27"/>
      <c r="B751" s="27"/>
      <c r="C751" s="28"/>
      <c r="D751" s="28"/>
      <c r="E751" s="53"/>
      <c r="F751" s="53"/>
      <c r="G751" s="53"/>
      <c r="H751" s="53"/>
    </row>
    <row r="752" spans="1:8">
      <c r="A752" s="27"/>
      <c r="B752" s="27"/>
      <c r="C752" s="28"/>
      <c r="D752" s="28"/>
      <c r="E752" s="53"/>
      <c r="F752" s="53"/>
      <c r="G752" s="53"/>
      <c r="H752" s="53"/>
    </row>
    <row r="753" spans="1:8">
      <c r="A753" s="27"/>
      <c r="B753" s="27"/>
      <c r="C753" s="28"/>
      <c r="D753" s="28"/>
      <c r="E753" s="53"/>
      <c r="F753" s="53"/>
      <c r="G753" s="53"/>
      <c r="H753" s="53"/>
    </row>
    <row r="754" spans="1:8">
      <c r="A754" s="27"/>
      <c r="B754" s="27"/>
      <c r="C754" s="28"/>
      <c r="D754" s="28"/>
      <c r="E754" s="53"/>
      <c r="F754" s="53"/>
      <c r="G754" s="53"/>
      <c r="H754" s="53"/>
    </row>
    <row r="755" spans="1:8">
      <c r="A755" s="27"/>
      <c r="B755" s="27"/>
      <c r="C755" s="28"/>
      <c r="D755" s="28"/>
      <c r="E755" s="53"/>
      <c r="F755" s="53"/>
      <c r="G755" s="53"/>
      <c r="H755" s="53"/>
    </row>
    <row r="756" spans="1:8">
      <c r="A756" s="27"/>
      <c r="B756" s="27"/>
      <c r="C756" s="28"/>
      <c r="D756" s="28"/>
      <c r="E756" s="53"/>
      <c r="F756" s="53"/>
      <c r="G756" s="53"/>
      <c r="H756" s="53"/>
    </row>
    <row r="757" spans="1:8">
      <c r="A757" s="27"/>
      <c r="B757" s="27"/>
      <c r="C757" s="28"/>
      <c r="D757" s="28"/>
      <c r="E757" s="53"/>
      <c r="F757" s="53"/>
      <c r="G757" s="53"/>
      <c r="H757" s="53"/>
    </row>
    <row r="758" spans="1:8">
      <c r="A758" s="27"/>
      <c r="B758" s="27"/>
      <c r="C758" s="28"/>
      <c r="D758" s="28"/>
      <c r="E758" s="53"/>
      <c r="F758" s="53"/>
      <c r="G758" s="53"/>
      <c r="H758" s="53"/>
    </row>
    <row r="759" spans="1:8">
      <c r="A759" s="27"/>
      <c r="B759" s="27"/>
      <c r="C759" s="28"/>
      <c r="D759" s="28"/>
      <c r="E759" s="53"/>
      <c r="F759" s="53"/>
      <c r="G759" s="53"/>
      <c r="H759" s="53"/>
    </row>
    <row r="760" spans="1:8">
      <c r="A760" s="27"/>
      <c r="B760" s="27"/>
      <c r="C760" s="28"/>
      <c r="D760" s="28"/>
      <c r="E760" s="53"/>
      <c r="F760" s="53"/>
      <c r="G760" s="53"/>
      <c r="H760" s="53"/>
    </row>
    <row r="761" spans="1:8">
      <c r="A761" s="27"/>
      <c r="B761" s="27"/>
      <c r="C761" s="28"/>
      <c r="D761" s="28"/>
      <c r="E761" s="53"/>
      <c r="F761" s="53"/>
      <c r="G761" s="53"/>
      <c r="H761" s="53"/>
    </row>
    <row r="762" spans="1:8">
      <c r="A762" s="27"/>
      <c r="B762" s="27"/>
      <c r="C762" s="28"/>
      <c r="D762" s="28"/>
      <c r="E762" s="53"/>
      <c r="F762" s="53"/>
      <c r="G762" s="53"/>
      <c r="H762" s="53"/>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tabColor rgb="FF00B0F0"/>
    <pageSetUpPr fitToPage="1"/>
  </sheetPr>
  <dimension ref="A1:I902"/>
  <sheetViews>
    <sheetView showGridLines="0" view="pageBreakPreview" zoomScale="80" zoomScaleNormal="100" workbookViewId="0">
      <pane xSplit="2" ySplit="4" topLeftCell="C5" activePane="bottomRight" state="frozen"/>
      <selection/>
      <selection pane="topRight"/>
      <selection pane="bottomLeft"/>
      <selection pane="bottomRight" activeCell="E27" sqref="E27"/>
    </sheetView>
  </sheetViews>
  <sheetFormatPr defaultColWidth="9.25" defaultRowHeight="13.8"/>
  <cols>
    <col min="1" max="1" width="7.62962962962963" style="3" customWidth="1"/>
    <col min="2" max="2" width="39.5" style="2" customWidth="1"/>
    <col min="3" max="4" width="30.75" style="4" customWidth="1"/>
    <col min="5" max="8" width="13.8796296296296" style="67" customWidth="1"/>
    <col min="9" max="9" width="0.25" style="68" customWidth="1"/>
    <col min="10" max="10" width="9.25" style="3" hidden="1" customWidth="1"/>
    <col min="11" max="16384" width="9.25" style="3"/>
  </cols>
  <sheetData>
    <row r="1" spans="1:9">
      <c r="A1" s="6" t="s">
        <v>2657</v>
      </c>
      <c r="B1" s="6"/>
      <c r="C1" s="7"/>
      <c r="D1" s="7"/>
      <c r="E1" s="6"/>
      <c r="F1" s="6"/>
      <c r="G1" s="6"/>
      <c r="H1" s="6"/>
    </row>
    <row r="2" spans="1:9">
      <c r="A2" s="69" t="s">
        <v>4</v>
      </c>
      <c r="B2" s="69"/>
      <c r="C2" s="69"/>
      <c r="D2" s="69"/>
      <c r="E2" s="69"/>
      <c r="F2" s="69"/>
      <c r="G2" s="69"/>
      <c r="H2" s="69"/>
      <c r="I2" s="70"/>
    </row>
    <row r="3" spans="1:9">
      <c r="A3" s="9" t="s">
        <v>5</v>
      </c>
      <c r="B3" s="9" t="s">
        <v>6</v>
      </c>
      <c r="C3" s="9" t="s">
        <v>7</v>
      </c>
      <c r="D3" s="9"/>
      <c r="E3" s="35" t="s">
        <v>8</v>
      </c>
      <c r="F3" s="35"/>
      <c r="G3" s="35"/>
      <c r="H3" s="35"/>
    </row>
    <row r="4" spans="1:9">
      <c r="A4" s="11"/>
      <c r="B4" s="11"/>
      <c r="C4" s="9" t="s">
        <v>9</v>
      </c>
      <c r="D4" s="9" t="s">
        <v>10</v>
      </c>
      <c r="E4" s="71" t="s">
        <v>11</v>
      </c>
      <c r="F4" s="71" t="s">
        <v>12</v>
      </c>
      <c r="G4" s="35" t="s">
        <v>13</v>
      </c>
      <c r="H4" s="35" t="s">
        <v>14</v>
      </c>
    </row>
    <row r="5" spans="1:9">
      <c r="A5" s="13" t="s">
        <v>140</v>
      </c>
      <c r="B5" s="13"/>
      <c r="C5" s="15"/>
      <c r="D5" s="15"/>
      <c r="E5" s="35" t="s">
        <v>16</v>
      </c>
      <c r="F5" s="35" t="s">
        <v>16</v>
      </c>
      <c r="G5" s="35" t="s">
        <v>16</v>
      </c>
      <c r="H5" s="35" t="s">
        <v>16</v>
      </c>
    </row>
    <row r="6" spans="1:9">
      <c r="A6" s="36">
        <v>1</v>
      </c>
      <c r="B6" s="17" t="s">
        <v>1400</v>
      </c>
      <c r="C6" s="15"/>
      <c r="D6" s="15"/>
      <c r="E6" s="35" t="s">
        <v>16</v>
      </c>
      <c r="F6" s="35" t="s">
        <v>16</v>
      </c>
      <c r="G6" s="35" t="s">
        <v>16</v>
      </c>
      <c r="H6" s="35" t="s">
        <v>16</v>
      </c>
    </row>
    <row r="7" ht="27.6" spans="1:9">
      <c r="A7" s="14"/>
      <c r="B7" s="20" t="s">
        <v>2658</v>
      </c>
      <c r="C7" s="18"/>
      <c r="D7" s="18"/>
      <c r="E7" s="38">
        <v>2000000</v>
      </c>
      <c r="F7" s="38">
        <v>1400000</v>
      </c>
      <c r="G7" s="38">
        <v>1000000</v>
      </c>
      <c r="H7" s="22">
        <v>0</v>
      </c>
    </row>
    <row r="8" ht="27.6" spans="1:9">
      <c r="A8" s="36"/>
      <c r="B8" s="18" t="s">
        <v>2659</v>
      </c>
      <c r="C8" s="18"/>
      <c r="D8" s="18"/>
      <c r="E8" s="38">
        <v>1500000</v>
      </c>
      <c r="F8" s="38">
        <v>1050000</v>
      </c>
      <c r="G8" s="38">
        <v>750000</v>
      </c>
      <c r="H8" s="22">
        <v>0</v>
      </c>
    </row>
    <row r="9" spans="1:9">
      <c r="A9" s="47" t="s">
        <v>167</v>
      </c>
      <c r="B9" s="47"/>
      <c r="C9" s="40"/>
      <c r="D9" s="57"/>
      <c r="E9" s="23" t="s">
        <v>16</v>
      </c>
      <c r="F9" s="23" t="s">
        <v>16</v>
      </c>
      <c r="G9" s="23" t="s">
        <v>16</v>
      </c>
      <c r="H9" s="23" t="s">
        <v>16</v>
      </c>
    </row>
    <row r="10" spans="1:9">
      <c r="A10" s="14"/>
      <c r="B10" s="40" t="s">
        <v>2660</v>
      </c>
      <c r="C10" s="59"/>
      <c r="D10" s="18"/>
      <c r="E10" s="23" t="s">
        <v>16</v>
      </c>
      <c r="F10" s="23" t="s">
        <v>16</v>
      </c>
      <c r="G10" s="23" t="s">
        <v>16</v>
      </c>
      <c r="H10" s="23" t="s">
        <v>16</v>
      </c>
    </row>
    <row r="11" ht="124.2" spans="1:9">
      <c r="A11" s="54">
        <v>2</v>
      </c>
      <c r="B11" s="72" t="s">
        <v>2661</v>
      </c>
      <c r="C11" s="48"/>
      <c r="D11" s="48"/>
      <c r="E11" s="23">
        <v>295000</v>
      </c>
      <c r="F11" s="23">
        <v>235000</v>
      </c>
      <c r="G11" s="23">
        <v>0</v>
      </c>
      <c r="H11" s="23">
        <v>0</v>
      </c>
    </row>
    <row r="12" ht="96.6" spans="1:9">
      <c r="A12" s="54">
        <v>3</v>
      </c>
      <c r="B12" s="72" t="s">
        <v>2662</v>
      </c>
      <c r="C12" s="48"/>
      <c r="D12" s="48"/>
      <c r="E12" s="23">
        <v>235000</v>
      </c>
      <c r="F12" s="23">
        <v>190000</v>
      </c>
      <c r="G12" s="23">
        <v>0</v>
      </c>
      <c r="H12" s="23">
        <v>0</v>
      </c>
    </row>
    <row r="13" ht="55.2" spans="1:9">
      <c r="A13" s="54">
        <v>4</v>
      </c>
      <c r="B13" s="72" t="s">
        <v>2663</v>
      </c>
      <c r="C13" s="48"/>
      <c r="D13" s="48"/>
      <c r="E13" s="23">
        <v>125000</v>
      </c>
      <c r="F13" s="23">
        <v>0</v>
      </c>
      <c r="G13" s="23">
        <v>0</v>
      </c>
      <c r="H13" s="23">
        <v>0</v>
      </c>
    </row>
    <row r="14" spans="1:9">
      <c r="A14" s="14"/>
      <c r="B14" s="40" t="s">
        <v>2664</v>
      </c>
      <c r="C14" s="59"/>
      <c r="D14" s="18"/>
      <c r="E14" s="23" t="s">
        <v>16</v>
      </c>
      <c r="F14" s="23" t="s">
        <v>16</v>
      </c>
      <c r="G14" s="23" t="s">
        <v>16</v>
      </c>
      <c r="H14" s="23" t="s">
        <v>16</v>
      </c>
    </row>
    <row r="15" ht="41.4" spans="1:9">
      <c r="A15" s="54">
        <v>5</v>
      </c>
      <c r="B15" s="72" t="s">
        <v>2665</v>
      </c>
      <c r="C15" s="48"/>
      <c r="D15" s="48"/>
      <c r="E15" s="23">
        <v>115000</v>
      </c>
      <c r="F15" s="23">
        <v>90000</v>
      </c>
      <c r="G15" s="23">
        <v>0</v>
      </c>
      <c r="H15" s="23">
        <v>0</v>
      </c>
    </row>
    <row r="16" ht="41.4" spans="1:9">
      <c r="A16" s="54">
        <v>6</v>
      </c>
      <c r="B16" s="72" t="s">
        <v>2500</v>
      </c>
      <c r="C16" s="48"/>
      <c r="D16" s="48"/>
      <c r="E16" s="23">
        <v>85000</v>
      </c>
      <c r="F16" s="23">
        <v>70000</v>
      </c>
      <c r="G16" s="23">
        <v>0</v>
      </c>
      <c r="H16" s="23">
        <v>0</v>
      </c>
    </row>
    <row r="17" ht="41.4" spans="1:8">
      <c r="A17" s="54">
        <v>7</v>
      </c>
      <c r="B17" s="72" t="s">
        <v>2666</v>
      </c>
      <c r="C17" s="48"/>
      <c r="D17" s="48"/>
      <c r="E17" s="23">
        <v>50000</v>
      </c>
      <c r="F17" s="23">
        <v>0</v>
      </c>
      <c r="G17" s="23">
        <v>0</v>
      </c>
      <c r="H17" s="23">
        <v>0</v>
      </c>
    </row>
    <row r="18" spans="1:8">
      <c r="A18" s="20"/>
      <c r="B18" s="20"/>
      <c r="C18" s="18"/>
      <c r="D18" s="18"/>
      <c r="E18" s="23" t="s">
        <v>16</v>
      </c>
      <c r="F18" s="23" t="s">
        <v>16</v>
      </c>
      <c r="G18" s="23" t="s">
        <v>16</v>
      </c>
      <c r="H18" s="23" t="s">
        <v>16</v>
      </c>
    </row>
    <row r="19" spans="1:8">
      <c r="A19" s="20"/>
      <c r="B19" s="20"/>
      <c r="C19" s="18"/>
      <c r="D19" s="18"/>
      <c r="E19" s="23" t="s">
        <v>16</v>
      </c>
      <c r="F19" s="23" t="s">
        <v>16</v>
      </c>
      <c r="G19" s="23" t="s">
        <v>16</v>
      </c>
      <c r="H19" s="23" t="s">
        <v>16</v>
      </c>
    </row>
    <row r="20" spans="1:8">
      <c r="A20" s="20"/>
      <c r="B20" s="20"/>
      <c r="C20" s="18"/>
      <c r="D20" s="18"/>
      <c r="E20" s="23" t="s">
        <v>16</v>
      </c>
      <c r="F20" s="23" t="s">
        <v>16</v>
      </c>
      <c r="G20" s="23" t="s">
        <v>16</v>
      </c>
      <c r="H20" s="23" t="s">
        <v>16</v>
      </c>
    </row>
    <row r="21" spans="1:8">
      <c r="A21" s="20"/>
      <c r="B21" s="20"/>
      <c r="C21" s="18"/>
      <c r="D21" s="18"/>
      <c r="E21" s="23" t="s">
        <v>16</v>
      </c>
      <c r="F21" s="23" t="s">
        <v>16</v>
      </c>
      <c r="G21" s="23" t="s">
        <v>16</v>
      </c>
      <c r="H21" s="23" t="s">
        <v>16</v>
      </c>
    </row>
    <row r="22" spans="1:8">
      <c r="A22" s="20"/>
      <c r="B22" s="20"/>
      <c r="C22" s="18"/>
      <c r="D22" s="18"/>
      <c r="E22" s="23" t="s">
        <v>16</v>
      </c>
      <c r="F22" s="23" t="s">
        <v>16</v>
      </c>
      <c r="G22" s="23" t="s">
        <v>16</v>
      </c>
      <c r="H22" s="23" t="s">
        <v>16</v>
      </c>
    </row>
    <row r="23" spans="1:8">
      <c r="A23" s="20"/>
      <c r="B23" s="20"/>
      <c r="C23" s="18"/>
      <c r="D23" s="18"/>
      <c r="E23" s="23" t="s">
        <v>16</v>
      </c>
      <c r="F23" s="23" t="s">
        <v>16</v>
      </c>
      <c r="G23" s="23" t="s">
        <v>16</v>
      </c>
      <c r="H23" s="23" t="s">
        <v>16</v>
      </c>
    </row>
    <row r="24" spans="1:8">
      <c r="A24" s="20"/>
      <c r="B24" s="20"/>
      <c r="C24" s="18"/>
      <c r="D24" s="18"/>
      <c r="E24" s="23" t="s">
        <v>16</v>
      </c>
      <c r="F24" s="23" t="s">
        <v>16</v>
      </c>
      <c r="G24" s="23" t="s">
        <v>16</v>
      </c>
      <c r="H24" s="23" t="s">
        <v>16</v>
      </c>
    </row>
    <row r="25" spans="1:8">
      <c r="A25" s="20"/>
      <c r="B25" s="20"/>
      <c r="C25" s="18"/>
      <c r="D25" s="18"/>
      <c r="E25" s="23" t="s">
        <v>16</v>
      </c>
      <c r="F25" s="23" t="s">
        <v>16</v>
      </c>
      <c r="G25" s="23" t="s">
        <v>16</v>
      </c>
      <c r="H25" s="23" t="s">
        <v>16</v>
      </c>
    </row>
    <row r="26" spans="1:8">
      <c r="A26" s="20"/>
      <c r="B26" s="20"/>
      <c r="C26" s="18"/>
      <c r="D26" s="18"/>
      <c r="E26" s="23" t="s">
        <v>16</v>
      </c>
      <c r="F26" s="23" t="s">
        <v>16</v>
      </c>
      <c r="G26" s="23" t="s">
        <v>16</v>
      </c>
      <c r="H26" s="23" t="s">
        <v>16</v>
      </c>
    </row>
    <row r="27" spans="1:8">
      <c r="A27" s="20"/>
      <c r="B27" s="20"/>
      <c r="C27" s="18"/>
      <c r="D27" s="18"/>
      <c r="E27" s="23" t="s">
        <v>16</v>
      </c>
      <c r="F27" s="23" t="s">
        <v>16</v>
      </c>
      <c r="G27" s="23" t="s">
        <v>16</v>
      </c>
      <c r="H27" s="23" t="s">
        <v>16</v>
      </c>
    </row>
    <row r="28" spans="1:8">
      <c r="A28" s="20"/>
      <c r="B28" s="20"/>
      <c r="C28" s="18"/>
      <c r="D28" s="18"/>
      <c r="E28" s="23" t="s">
        <v>16</v>
      </c>
      <c r="F28" s="23" t="s">
        <v>16</v>
      </c>
      <c r="G28" s="23" t="s">
        <v>16</v>
      </c>
      <c r="H28" s="23" t="s">
        <v>16</v>
      </c>
    </row>
    <row r="29" spans="1:8">
      <c r="A29" s="20"/>
      <c r="B29" s="20"/>
      <c r="C29" s="18"/>
      <c r="D29" s="18"/>
      <c r="E29" s="23" t="s">
        <v>16</v>
      </c>
      <c r="F29" s="23" t="s">
        <v>16</v>
      </c>
      <c r="G29" s="23" t="s">
        <v>16</v>
      </c>
      <c r="H29" s="23" t="s">
        <v>16</v>
      </c>
    </row>
    <row r="30" spans="1:8">
      <c r="A30" s="16"/>
      <c r="B30" s="20"/>
      <c r="C30" s="18"/>
      <c r="D30" s="18"/>
      <c r="E30" s="23" t="s">
        <v>16</v>
      </c>
      <c r="F30" s="23" t="s">
        <v>16</v>
      </c>
      <c r="G30" s="23" t="s">
        <v>16</v>
      </c>
      <c r="H30" s="23" t="s">
        <v>16</v>
      </c>
    </row>
    <row r="31" spans="1:8">
      <c r="A31" s="20"/>
      <c r="B31" s="20"/>
      <c r="C31" s="18"/>
      <c r="D31" s="18"/>
      <c r="E31" s="23" t="s">
        <v>16</v>
      </c>
      <c r="F31" s="23" t="s">
        <v>16</v>
      </c>
      <c r="G31" s="23" t="s">
        <v>16</v>
      </c>
      <c r="H31" s="23" t="s">
        <v>16</v>
      </c>
    </row>
    <row r="32" spans="1:8">
      <c r="A32" s="20"/>
      <c r="B32" s="20"/>
      <c r="C32" s="18"/>
      <c r="D32" s="18"/>
      <c r="E32" s="23" t="s">
        <v>16</v>
      </c>
      <c r="F32" s="23" t="s">
        <v>16</v>
      </c>
      <c r="G32" s="23" t="s">
        <v>16</v>
      </c>
      <c r="H32" s="23" t="s">
        <v>16</v>
      </c>
    </row>
    <row r="33" spans="1:8">
      <c r="A33" s="20"/>
      <c r="B33" s="20"/>
      <c r="C33" s="18"/>
      <c r="D33" s="18"/>
      <c r="E33" s="23" t="s">
        <v>16</v>
      </c>
      <c r="F33" s="23" t="s">
        <v>16</v>
      </c>
      <c r="G33" s="23" t="s">
        <v>16</v>
      </c>
      <c r="H33" s="23" t="s">
        <v>16</v>
      </c>
    </row>
    <row r="34" spans="1:8">
      <c r="A34" s="20"/>
      <c r="B34" s="20"/>
      <c r="C34" s="18"/>
      <c r="D34" s="18"/>
      <c r="E34" s="23" t="s">
        <v>16</v>
      </c>
      <c r="F34" s="23" t="s">
        <v>16</v>
      </c>
      <c r="G34" s="23" t="s">
        <v>16</v>
      </c>
      <c r="H34" s="23" t="s">
        <v>16</v>
      </c>
    </row>
    <row r="35" spans="1:8">
      <c r="A35" s="20"/>
      <c r="B35" s="20"/>
      <c r="C35" s="18"/>
      <c r="D35" s="18"/>
      <c r="E35" s="23" t="s">
        <v>16</v>
      </c>
      <c r="F35" s="23" t="s">
        <v>16</v>
      </c>
      <c r="G35" s="23" t="s">
        <v>16</v>
      </c>
      <c r="H35" s="23" t="s">
        <v>16</v>
      </c>
    </row>
    <row r="36" spans="1:8">
      <c r="A36" s="20"/>
      <c r="B36" s="20"/>
      <c r="C36" s="18"/>
      <c r="D36" s="18"/>
      <c r="E36" s="23" t="s">
        <v>16</v>
      </c>
      <c r="F36" s="23" t="s">
        <v>16</v>
      </c>
      <c r="G36" s="23" t="s">
        <v>16</v>
      </c>
      <c r="H36" s="23" t="s">
        <v>16</v>
      </c>
    </row>
    <row r="37" spans="1:8">
      <c r="A37" s="20"/>
      <c r="B37" s="20"/>
      <c r="C37" s="18"/>
      <c r="D37" s="18"/>
      <c r="E37" s="23" t="s">
        <v>16</v>
      </c>
      <c r="F37" s="23" t="s">
        <v>16</v>
      </c>
      <c r="G37" s="23" t="s">
        <v>16</v>
      </c>
      <c r="H37" s="23" t="s">
        <v>16</v>
      </c>
    </row>
    <row r="38" spans="1:8">
      <c r="A38" s="20"/>
      <c r="B38" s="20"/>
      <c r="C38" s="18"/>
      <c r="D38" s="18"/>
      <c r="E38" s="23" t="s">
        <v>16</v>
      </c>
      <c r="F38" s="23" t="s">
        <v>16</v>
      </c>
      <c r="G38" s="23" t="s">
        <v>16</v>
      </c>
      <c r="H38" s="23" t="s">
        <v>16</v>
      </c>
    </row>
    <row r="39" spans="1:8">
      <c r="A39" s="20"/>
      <c r="B39" s="20"/>
      <c r="C39" s="18"/>
      <c r="D39" s="18"/>
      <c r="E39" s="23" t="s">
        <v>16</v>
      </c>
      <c r="F39" s="23" t="s">
        <v>16</v>
      </c>
      <c r="G39" s="23" t="s">
        <v>16</v>
      </c>
      <c r="H39" s="23" t="s">
        <v>16</v>
      </c>
    </row>
    <row r="40" spans="1:8">
      <c r="A40" s="20"/>
      <c r="B40" s="20"/>
      <c r="C40" s="18"/>
      <c r="D40" s="18"/>
      <c r="E40" s="23" t="s">
        <v>16</v>
      </c>
      <c r="F40" s="23" t="s">
        <v>16</v>
      </c>
      <c r="G40" s="23" t="s">
        <v>16</v>
      </c>
      <c r="H40" s="23" t="s">
        <v>16</v>
      </c>
    </row>
    <row r="41" spans="1:8">
      <c r="A41" s="20"/>
      <c r="B41" s="20"/>
      <c r="C41" s="18"/>
      <c r="D41" s="18"/>
      <c r="E41" s="23" t="s">
        <v>16</v>
      </c>
      <c r="F41" s="23" t="s">
        <v>16</v>
      </c>
      <c r="G41" s="23" t="s">
        <v>16</v>
      </c>
      <c r="H41" s="23" t="s">
        <v>16</v>
      </c>
    </row>
    <row r="42" spans="1:8">
      <c r="A42" s="20"/>
      <c r="B42" s="20"/>
      <c r="C42" s="18"/>
      <c r="D42" s="18"/>
      <c r="E42" s="23" t="s">
        <v>16</v>
      </c>
      <c r="F42" s="23" t="s">
        <v>16</v>
      </c>
      <c r="G42" s="23" t="s">
        <v>16</v>
      </c>
      <c r="H42" s="23" t="s">
        <v>16</v>
      </c>
    </row>
    <row r="43" spans="1:8">
      <c r="A43" s="20"/>
      <c r="B43" s="20"/>
      <c r="C43" s="18"/>
      <c r="D43" s="18"/>
      <c r="E43" s="23" t="s">
        <v>16</v>
      </c>
      <c r="F43" s="23" t="s">
        <v>16</v>
      </c>
      <c r="G43" s="23" t="s">
        <v>16</v>
      </c>
      <c r="H43" s="23" t="s">
        <v>16</v>
      </c>
    </row>
    <row r="44" spans="1:8">
      <c r="A44" s="20"/>
      <c r="B44" s="20"/>
      <c r="C44" s="18"/>
      <c r="D44" s="18"/>
      <c r="E44" s="23" t="s">
        <v>16</v>
      </c>
      <c r="F44" s="23" t="s">
        <v>16</v>
      </c>
      <c r="G44" s="23" t="s">
        <v>16</v>
      </c>
      <c r="H44" s="23" t="s">
        <v>16</v>
      </c>
    </row>
    <row r="45" spans="1:8">
      <c r="A45" s="20"/>
      <c r="B45" s="20"/>
      <c r="C45" s="18"/>
      <c r="D45" s="18"/>
      <c r="E45" s="23" t="s">
        <v>16</v>
      </c>
      <c r="F45" s="23" t="s">
        <v>16</v>
      </c>
      <c r="G45" s="23" t="s">
        <v>16</v>
      </c>
      <c r="H45" s="23" t="s">
        <v>16</v>
      </c>
    </row>
    <row r="46" spans="1:8">
      <c r="A46" s="20"/>
      <c r="B46" s="20"/>
      <c r="C46" s="18"/>
      <c r="D46" s="18"/>
      <c r="E46" s="23" t="s">
        <v>16</v>
      </c>
      <c r="F46" s="23" t="s">
        <v>16</v>
      </c>
      <c r="G46" s="23" t="s">
        <v>16</v>
      </c>
      <c r="H46" s="23" t="s">
        <v>16</v>
      </c>
    </row>
    <row r="47" spans="1:8">
      <c r="A47" s="20"/>
      <c r="B47" s="20"/>
      <c r="C47" s="18"/>
      <c r="D47" s="18"/>
      <c r="E47" s="23" t="s">
        <v>16</v>
      </c>
      <c r="F47" s="23" t="s">
        <v>16</v>
      </c>
      <c r="G47" s="23" t="s">
        <v>16</v>
      </c>
      <c r="H47" s="23" t="s">
        <v>16</v>
      </c>
    </row>
    <row r="48" spans="1:8">
      <c r="A48" s="20"/>
      <c r="B48" s="20"/>
      <c r="C48" s="18"/>
      <c r="D48" s="18"/>
      <c r="E48" s="23" t="s">
        <v>16</v>
      </c>
      <c r="F48" s="23" t="s">
        <v>16</v>
      </c>
      <c r="G48" s="23" t="s">
        <v>16</v>
      </c>
      <c r="H48" s="23" t="s">
        <v>16</v>
      </c>
    </row>
    <row r="49" spans="1:8">
      <c r="A49" s="20"/>
      <c r="B49" s="20"/>
      <c r="C49" s="18"/>
      <c r="D49" s="18"/>
      <c r="E49" s="23" t="s">
        <v>16</v>
      </c>
      <c r="F49" s="23" t="s">
        <v>16</v>
      </c>
      <c r="G49" s="23" t="s">
        <v>16</v>
      </c>
      <c r="H49" s="23" t="s">
        <v>16</v>
      </c>
    </row>
    <row r="50" spans="1:8">
      <c r="A50" s="20"/>
      <c r="B50" s="20"/>
      <c r="C50" s="18"/>
      <c r="D50" s="18"/>
      <c r="E50" s="23" t="s">
        <v>16</v>
      </c>
      <c r="F50" s="23" t="s">
        <v>16</v>
      </c>
      <c r="G50" s="23" t="s">
        <v>16</v>
      </c>
      <c r="H50" s="23" t="s">
        <v>16</v>
      </c>
    </row>
    <row r="51" spans="1:8">
      <c r="A51" s="20"/>
      <c r="B51" s="49"/>
      <c r="C51" s="41"/>
      <c r="D51" s="41"/>
      <c r="E51" s="23" t="s">
        <v>16</v>
      </c>
      <c r="F51" s="23" t="s">
        <v>16</v>
      </c>
      <c r="G51" s="23" t="s">
        <v>16</v>
      </c>
      <c r="H51" s="23" t="s">
        <v>16</v>
      </c>
    </row>
    <row r="52" spans="1:8">
      <c r="A52" s="20"/>
      <c r="B52" s="20"/>
      <c r="C52" s="18"/>
      <c r="D52" s="18"/>
      <c r="E52" s="23" t="s">
        <v>16</v>
      </c>
      <c r="F52" s="23" t="s">
        <v>16</v>
      </c>
      <c r="G52" s="23" t="s">
        <v>16</v>
      </c>
      <c r="H52" s="23" t="s">
        <v>16</v>
      </c>
    </row>
    <row r="53" spans="1:8">
      <c r="A53" s="20"/>
      <c r="B53" s="20"/>
      <c r="C53" s="18"/>
      <c r="D53" s="18"/>
      <c r="E53" s="23" t="s">
        <v>16</v>
      </c>
      <c r="F53" s="23" t="s">
        <v>16</v>
      </c>
      <c r="G53" s="23" t="s">
        <v>16</v>
      </c>
      <c r="H53" s="23" t="s">
        <v>16</v>
      </c>
    </row>
    <row r="54" spans="1:8">
      <c r="A54" s="20"/>
      <c r="B54" s="20"/>
      <c r="C54" s="18"/>
      <c r="D54" s="18"/>
      <c r="E54" s="23" t="s">
        <v>16</v>
      </c>
      <c r="F54" s="23" t="s">
        <v>16</v>
      </c>
      <c r="G54" s="23" t="s">
        <v>16</v>
      </c>
      <c r="H54" s="23" t="s">
        <v>16</v>
      </c>
    </row>
    <row r="55" spans="1:8">
      <c r="A55" s="20"/>
      <c r="B55" s="20"/>
      <c r="C55" s="18"/>
      <c r="D55" s="18"/>
      <c r="E55" s="23" t="s">
        <v>16</v>
      </c>
      <c r="F55" s="23" t="s">
        <v>16</v>
      </c>
      <c r="G55" s="23" t="s">
        <v>16</v>
      </c>
      <c r="H55" s="23" t="s">
        <v>16</v>
      </c>
    </row>
    <row r="56" spans="1:8">
      <c r="A56" s="20"/>
      <c r="B56" s="20"/>
      <c r="C56" s="18"/>
      <c r="D56" s="18"/>
      <c r="E56" s="23" t="s">
        <v>16</v>
      </c>
      <c r="F56" s="23" t="s">
        <v>16</v>
      </c>
      <c r="G56" s="23" t="s">
        <v>16</v>
      </c>
      <c r="H56" s="23" t="s">
        <v>16</v>
      </c>
    </row>
    <row r="57" spans="1:8">
      <c r="A57" s="20"/>
      <c r="B57" s="20"/>
      <c r="C57" s="18"/>
      <c r="D57" s="18"/>
      <c r="E57" s="23" t="s">
        <v>16</v>
      </c>
      <c r="F57" s="23" t="s">
        <v>16</v>
      </c>
      <c r="G57" s="23" t="s">
        <v>16</v>
      </c>
      <c r="H57" s="23" t="s">
        <v>16</v>
      </c>
    </row>
    <row r="58" spans="1:8">
      <c r="A58" s="20"/>
      <c r="B58" s="20"/>
      <c r="C58" s="18"/>
      <c r="D58" s="18"/>
      <c r="E58" s="23" t="s">
        <v>16</v>
      </c>
      <c r="F58" s="23" t="s">
        <v>16</v>
      </c>
      <c r="G58" s="23" t="s">
        <v>16</v>
      </c>
      <c r="H58" s="23" t="s">
        <v>16</v>
      </c>
    </row>
    <row r="59" spans="1:8">
      <c r="A59" s="20"/>
      <c r="B59" s="20"/>
      <c r="C59" s="18"/>
      <c r="D59" s="18"/>
      <c r="E59" s="23" t="s">
        <v>16</v>
      </c>
      <c r="F59" s="23" t="s">
        <v>16</v>
      </c>
      <c r="G59" s="23" t="s">
        <v>16</v>
      </c>
      <c r="H59" s="23" t="s">
        <v>16</v>
      </c>
    </row>
    <row r="60" spans="1:8">
      <c r="A60" s="20"/>
      <c r="B60" s="20"/>
      <c r="C60" s="18"/>
      <c r="D60" s="18"/>
      <c r="E60" s="23" t="s">
        <v>16</v>
      </c>
      <c r="F60" s="23" t="s">
        <v>16</v>
      </c>
      <c r="G60" s="23" t="s">
        <v>16</v>
      </c>
      <c r="H60" s="23" t="s">
        <v>16</v>
      </c>
    </row>
    <row r="61" spans="1:8">
      <c r="A61" s="20"/>
      <c r="B61" s="20"/>
      <c r="C61" s="18"/>
      <c r="D61" s="18"/>
      <c r="E61" s="23" t="s">
        <v>16</v>
      </c>
      <c r="F61" s="23" t="s">
        <v>16</v>
      </c>
      <c r="G61" s="23" t="s">
        <v>16</v>
      </c>
      <c r="H61" s="23" t="s">
        <v>16</v>
      </c>
    </row>
    <row r="62" spans="1:8">
      <c r="A62" s="20"/>
      <c r="B62" s="20"/>
      <c r="C62" s="18"/>
      <c r="D62" s="18"/>
      <c r="E62" s="23" t="s">
        <v>16</v>
      </c>
      <c r="F62" s="23" t="s">
        <v>16</v>
      </c>
      <c r="G62" s="23" t="s">
        <v>16</v>
      </c>
      <c r="H62" s="23" t="s">
        <v>16</v>
      </c>
    </row>
    <row r="63" spans="1:8">
      <c r="A63" s="20"/>
      <c r="B63" s="20"/>
      <c r="C63" s="18"/>
      <c r="D63" s="18"/>
      <c r="E63" s="23" t="s">
        <v>16</v>
      </c>
      <c r="F63" s="23" t="s">
        <v>16</v>
      </c>
      <c r="G63" s="23" t="s">
        <v>16</v>
      </c>
      <c r="H63" s="23" t="s">
        <v>16</v>
      </c>
    </row>
    <row r="64" spans="1:8">
      <c r="A64" s="20"/>
      <c r="B64" s="20"/>
      <c r="C64" s="18"/>
      <c r="D64" s="18"/>
      <c r="E64" s="23" t="s">
        <v>16</v>
      </c>
      <c r="F64" s="23" t="s">
        <v>16</v>
      </c>
      <c r="G64" s="23" t="s">
        <v>16</v>
      </c>
      <c r="H64" s="23" t="s">
        <v>16</v>
      </c>
    </row>
    <row r="65" spans="1:8">
      <c r="A65" s="20"/>
      <c r="B65" s="20"/>
      <c r="C65" s="18"/>
      <c r="D65" s="18"/>
      <c r="E65" s="23" t="s">
        <v>16</v>
      </c>
      <c r="F65" s="23" t="s">
        <v>16</v>
      </c>
      <c r="G65" s="23" t="s">
        <v>16</v>
      </c>
      <c r="H65" s="23" t="s">
        <v>16</v>
      </c>
    </row>
    <row r="66" spans="1:8">
      <c r="A66" s="20"/>
      <c r="B66" s="20"/>
      <c r="C66" s="18"/>
      <c r="D66" s="18"/>
      <c r="E66" s="23" t="s">
        <v>16</v>
      </c>
      <c r="F66" s="23" t="s">
        <v>16</v>
      </c>
      <c r="G66" s="23" t="s">
        <v>16</v>
      </c>
      <c r="H66" s="23" t="s">
        <v>16</v>
      </c>
    </row>
    <row r="67" spans="1:8">
      <c r="A67" s="20"/>
      <c r="B67" s="20"/>
      <c r="C67" s="18"/>
      <c r="D67" s="18"/>
      <c r="E67" s="23" t="s">
        <v>16</v>
      </c>
      <c r="F67" s="23" t="s">
        <v>16</v>
      </c>
      <c r="G67" s="23" t="s">
        <v>16</v>
      </c>
      <c r="H67" s="23" t="s">
        <v>16</v>
      </c>
    </row>
    <row r="68" spans="1:8">
      <c r="A68" s="20"/>
      <c r="B68" s="20"/>
      <c r="C68" s="18"/>
      <c r="D68" s="18"/>
      <c r="E68" s="23" t="s">
        <v>16</v>
      </c>
      <c r="F68" s="23" t="s">
        <v>16</v>
      </c>
      <c r="G68" s="23" t="s">
        <v>16</v>
      </c>
      <c r="H68" s="23" t="s">
        <v>16</v>
      </c>
    </row>
    <row r="69" spans="1:8">
      <c r="A69" s="20"/>
      <c r="B69" s="20"/>
      <c r="C69" s="18"/>
      <c r="D69" s="18"/>
      <c r="E69" s="23" t="s">
        <v>16</v>
      </c>
      <c r="F69" s="23" t="s">
        <v>16</v>
      </c>
      <c r="G69" s="23" t="s">
        <v>16</v>
      </c>
      <c r="H69" s="23" t="s">
        <v>16</v>
      </c>
    </row>
    <row r="70" spans="1:8">
      <c r="A70" s="20"/>
      <c r="B70" s="20"/>
      <c r="C70" s="18"/>
      <c r="D70" s="18"/>
      <c r="E70" s="23" t="s">
        <v>16</v>
      </c>
      <c r="F70" s="23" t="s">
        <v>16</v>
      </c>
      <c r="G70" s="23" t="s">
        <v>16</v>
      </c>
      <c r="H70" s="23" t="s">
        <v>16</v>
      </c>
    </row>
    <row r="71" spans="1:8">
      <c r="A71" s="20"/>
      <c r="B71" s="20"/>
      <c r="C71" s="18"/>
      <c r="D71" s="18"/>
      <c r="E71" s="23" t="s">
        <v>16</v>
      </c>
      <c r="F71" s="23" t="s">
        <v>16</v>
      </c>
      <c r="G71" s="23" t="s">
        <v>16</v>
      </c>
      <c r="H71" s="23" t="s">
        <v>16</v>
      </c>
    </row>
    <row r="72" spans="1:8">
      <c r="A72" s="20"/>
      <c r="B72" s="20"/>
      <c r="C72" s="18"/>
      <c r="D72" s="18"/>
      <c r="E72" s="23" t="s">
        <v>16</v>
      </c>
      <c r="F72" s="23" t="s">
        <v>16</v>
      </c>
      <c r="G72" s="23" t="s">
        <v>16</v>
      </c>
      <c r="H72" s="23" t="s">
        <v>16</v>
      </c>
    </row>
    <row r="73" spans="1:8">
      <c r="A73" s="20"/>
      <c r="B73" s="20"/>
      <c r="C73" s="18"/>
      <c r="D73" s="18"/>
      <c r="E73" s="23" t="s">
        <v>16</v>
      </c>
      <c r="F73" s="23" t="s">
        <v>16</v>
      </c>
      <c r="G73" s="23" t="s">
        <v>16</v>
      </c>
      <c r="H73" s="23" t="s">
        <v>16</v>
      </c>
    </row>
    <row r="74" spans="1:8">
      <c r="A74" s="20"/>
      <c r="B74" s="20"/>
      <c r="C74" s="18"/>
      <c r="D74" s="18"/>
      <c r="E74" s="23" t="s">
        <v>16</v>
      </c>
      <c r="F74" s="23" t="s">
        <v>16</v>
      </c>
      <c r="G74" s="23" t="s">
        <v>16</v>
      </c>
      <c r="H74" s="23" t="s">
        <v>16</v>
      </c>
    </row>
    <row r="75" spans="1:8">
      <c r="A75" s="20"/>
      <c r="B75" s="20"/>
      <c r="C75" s="18"/>
      <c r="D75" s="18"/>
      <c r="E75" s="23" t="s">
        <v>16</v>
      </c>
      <c r="F75" s="23" t="s">
        <v>16</v>
      </c>
      <c r="G75" s="23" t="s">
        <v>16</v>
      </c>
      <c r="H75" s="23" t="s">
        <v>16</v>
      </c>
    </row>
    <row r="76" spans="1:8">
      <c r="A76" s="20"/>
      <c r="B76" s="20"/>
      <c r="C76" s="18"/>
      <c r="D76" s="18"/>
      <c r="E76" s="23" t="s">
        <v>16</v>
      </c>
      <c r="F76" s="23" t="s">
        <v>16</v>
      </c>
      <c r="G76" s="23" t="s">
        <v>16</v>
      </c>
      <c r="H76" s="23" t="s">
        <v>16</v>
      </c>
    </row>
    <row r="77" spans="1:8">
      <c r="A77" s="20"/>
      <c r="B77" s="20"/>
      <c r="C77" s="18"/>
      <c r="D77" s="18"/>
      <c r="E77" s="23" t="s">
        <v>16</v>
      </c>
      <c r="F77" s="23" t="s">
        <v>16</v>
      </c>
      <c r="G77" s="23" t="s">
        <v>16</v>
      </c>
      <c r="H77" s="23" t="s">
        <v>16</v>
      </c>
    </row>
    <row r="78" spans="1:8">
      <c r="A78" s="20"/>
      <c r="B78" s="20"/>
      <c r="C78" s="18"/>
      <c r="D78" s="18"/>
      <c r="E78" s="23" t="s">
        <v>16</v>
      </c>
      <c r="F78" s="23" t="s">
        <v>16</v>
      </c>
      <c r="G78" s="23" t="s">
        <v>16</v>
      </c>
      <c r="H78" s="23" t="s">
        <v>16</v>
      </c>
    </row>
    <row r="79" spans="1:8">
      <c r="A79" s="20"/>
      <c r="B79" s="42"/>
      <c r="C79" s="43"/>
      <c r="D79" s="43"/>
      <c r="E79" s="23" t="s">
        <v>16</v>
      </c>
      <c r="F79" s="23" t="s">
        <v>16</v>
      </c>
      <c r="G79" s="23" t="s">
        <v>16</v>
      </c>
      <c r="H79" s="23" t="s">
        <v>16</v>
      </c>
    </row>
    <row r="80" spans="1:8">
      <c r="A80" s="20"/>
      <c r="B80" s="20"/>
      <c r="C80" s="18"/>
      <c r="D80" s="18"/>
      <c r="E80" s="23" t="s">
        <v>16</v>
      </c>
      <c r="F80" s="23" t="s">
        <v>16</v>
      </c>
      <c r="G80" s="23" t="s">
        <v>16</v>
      </c>
      <c r="H80" s="23" t="s">
        <v>16</v>
      </c>
    </row>
    <row r="81" spans="1:8">
      <c r="A81" s="20"/>
      <c r="B81" s="20"/>
      <c r="C81" s="18"/>
      <c r="D81" s="18"/>
      <c r="E81" s="23" t="s">
        <v>16</v>
      </c>
      <c r="F81" s="23" t="s">
        <v>16</v>
      </c>
      <c r="G81" s="23" t="s">
        <v>16</v>
      </c>
      <c r="H81" s="23" t="s">
        <v>16</v>
      </c>
    </row>
    <row r="82" spans="1:8">
      <c r="A82" s="20"/>
      <c r="B82" s="20"/>
      <c r="C82" s="18"/>
      <c r="D82" s="18"/>
      <c r="E82" s="23" t="s">
        <v>16</v>
      </c>
      <c r="F82" s="23" t="s">
        <v>16</v>
      </c>
      <c r="G82" s="23" t="s">
        <v>16</v>
      </c>
      <c r="H82" s="23" t="s">
        <v>16</v>
      </c>
    </row>
    <row r="83" spans="1:8">
      <c r="A83" s="27"/>
      <c r="B83" s="27"/>
      <c r="C83" s="28"/>
      <c r="D83" s="28"/>
      <c r="E83" s="23" t="s">
        <v>16</v>
      </c>
      <c r="F83" s="23" t="s">
        <v>16</v>
      </c>
      <c r="G83" s="23" t="s">
        <v>16</v>
      </c>
      <c r="H83" s="23" t="s">
        <v>16</v>
      </c>
    </row>
    <row r="84" spans="1:8">
      <c r="A84" s="27"/>
      <c r="B84" s="27"/>
      <c r="C84" s="28"/>
      <c r="D84" s="28"/>
      <c r="E84" s="23" t="s">
        <v>16</v>
      </c>
      <c r="F84" s="23" t="s">
        <v>16</v>
      </c>
      <c r="G84" s="23" t="s">
        <v>16</v>
      </c>
      <c r="H84" s="23" t="s">
        <v>16</v>
      </c>
    </row>
    <row r="85" spans="1:8">
      <c r="A85" s="27"/>
      <c r="B85" s="27"/>
      <c r="C85" s="28"/>
      <c r="D85" s="28"/>
      <c r="E85" s="23" t="s">
        <v>16</v>
      </c>
      <c r="F85" s="23" t="s">
        <v>16</v>
      </c>
      <c r="G85" s="23" t="s">
        <v>16</v>
      </c>
      <c r="H85" s="23" t="s">
        <v>16</v>
      </c>
    </row>
    <row r="86" spans="1:8">
      <c r="A86" s="27"/>
      <c r="B86" s="27"/>
      <c r="C86" s="28"/>
      <c r="D86" s="28"/>
      <c r="E86" s="23" t="s">
        <v>16</v>
      </c>
      <c r="F86" s="23" t="s">
        <v>16</v>
      </c>
      <c r="G86" s="23" t="s">
        <v>16</v>
      </c>
      <c r="H86" s="23" t="s">
        <v>16</v>
      </c>
    </row>
    <row r="87" spans="1:8">
      <c r="A87" s="27"/>
      <c r="B87" s="27"/>
      <c r="C87" s="28"/>
      <c r="D87" s="28"/>
      <c r="E87" s="23" t="s">
        <v>16</v>
      </c>
      <c r="F87" s="23" t="s">
        <v>16</v>
      </c>
      <c r="G87" s="23" t="s">
        <v>16</v>
      </c>
      <c r="H87" s="23" t="s">
        <v>16</v>
      </c>
    </row>
    <row r="88" spans="1:8">
      <c r="A88" s="27"/>
      <c r="B88" s="27"/>
      <c r="C88" s="28"/>
      <c r="D88" s="28"/>
      <c r="E88" s="23" t="s">
        <v>16</v>
      </c>
      <c r="F88" s="23" t="s">
        <v>16</v>
      </c>
      <c r="G88" s="23" t="s">
        <v>16</v>
      </c>
      <c r="H88" s="23" t="s">
        <v>16</v>
      </c>
    </row>
    <row r="89" spans="1:8">
      <c r="A89" s="27"/>
      <c r="B89" s="27"/>
      <c r="C89" s="28"/>
      <c r="D89" s="28"/>
      <c r="E89" s="23" t="s">
        <v>16</v>
      </c>
      <c r="F89" s="23" t="s">
        <v>16</v>
      </c>
      <c r="G89" s="23" t="s">
        <v>16</v>
      </c>
      <c r="H89" s="23" t="s">
        <v>16</v>
      </c>
    </row>
    <row r="90" spans="1:8">
      <c r="A90" s="27"/>
      <c r="B90" s="27"/>
      <c r="C90" s="28"/>
      <c r="D90" s="28"/>
      <c r="E90" s="23" t="s">
        <v>16</v>
      </c>
      <c r="F90" s="23" t="s">
        <v>16</v>
      </c>
      <c r="G90" s="23" t="s">
        <v>16</v>
      </c>
      <c r="H90" s="23" t="s">
        <v>16</v>
      </c>
    </row>
    <row r="91" spans="1:8">
      <c r="A91" s="27"/>
      <c r="B91" s="27"/>
      <c r="C91" s="28"/>
      <c r="D91" s="28"/>
      <c r="E91" s="23" t="s">
        <v>16</v>
      </c>
      <c r="F91" s="23" t="s">
        <v>16</v>
      </c>
      <c r="G91" s="23" t="s">
        <v>16</v>
      </c>
      <c r="H91" s="23" t="s">
        <v>16</v>
      </c>
    </row>
    <row r="92" spans="1:8">
      <c r="A92" s="27"/>
      <c r="B92" s="27"/>
      <c r="C92" s="28"/>
      <c r="D92" s="28"/>
      <c r="E92" s="23" t="s">
        <v>16</v>
      </c>
      <c r="F92" s="23" t="s">
        <v>16</v>
      </c>
      <c r="G92" s="23" t="s">
        <v>16</v>
      </c>
      <c r="H92" s="23" t="s">
        <v>16</v>
      </c>
    </row>
    <row r="93" spans="1:8">
      <c r="A93" s="27"/>
      <c r="B93" s="27"/>
      <c r="C93" s="28"/>
      <c r="D93" s="28"/>
      <c r="E93" s="23" t="s">
        <v>16</v>
      </c>
      <c r="F93" s="23" t="s">
        <v>16</v>
      </c>
      <c r="G93" s="23" t="s">
        <v>16</v>
      </c>
      <c r="H93" s="23" t="s">
        <v>16</v>
      </c>
    </row>
    <row r="94" spans="1:8">
      <c r="A94" s="27"/>
      <c r="B94" s="27"/>
      <c r="C94" s="28"/>
      <c r="D94" s="28"/>
      <c r="E94" s="23" t="s">
        <v>16</v>
      </c>
      <c r="F94" s="23" t="s">
        <v>16</v>
      </c>
      <c r="G94" s="23" t="s">
        <v>16</v>
      </c>
      <c r="H94" s="23" t="s">
        <v>16</v>
      </c>
    </row>
    <row r="95" spans="1:8">
      <c r="A95" s="27"/>
      <c r="B95" s="27"/>
      <c r="C95" s="28"/>
      <c r="D95" s="28"/>
      <c r="E95" s="23" t="s">
        <v>16</v>
      </c>
      <c r="F95" s="23" t="s">
        <v>16</v>
      </c>
      <c r="G95" s="23" t="s">
        <v>16</v>
      </c>
      <c r="H95" s="23" t="s">
        <v>16</v>
      </c>
    </row>
    <row r="96" spans="1:8">
      <c r="A96" s="27"/>
      <c r="B96" s="27"/>
      <c r="C96" s="28"/>
      <c r="D96" s="28"/>
      <c r="E96" s="23" t="s">
        <v>16</v>
      </c>
      <c r="F96" s="23" t="s">
        <v>16</v>
      </c>
      <c r="G96" s="23" t="s">
        <v>16</v>
      </c>
      <c r="H96" s="23" t="s">
        <v>16</v>
      </c>
    </row>
    <row r="97" spans="1:8">
      <c r="A97" s="27"/>
      <c r="B97" s="27"/>
      <c r="C97" s="28"/>
      <c r="D97" s="28"/>
      <c r="E97" s="23" t="s">
        <v>16</v>
      </c>
      <c r="F97" s="23" t="s">
        <v>16</v>
      </c>
      <c r="G97" s="23" t="s">
        <v>16</v>
      </c>
      <c r="H97" s="23" t="s">
        <v>16</v>
      </c>
    </row>
    <row r="98" spans="1:8">
      <c r="A98" s="27"/>
      <c r="B98" s="27"/>
      <c r="C98" s="28"/>
      <c r="D98" s="28"/>
      <c r="E98" s="23" t="s">
        <v>16</v>
      </c>
      <c r="F98" s="23" t="s">
        <v>16</v>
      </c>
      <c r="G98" s="23" t="s">
        <v>16</v>
      </c>
      <c r="H98" s="23" t="s">
        <v>16</v>
      </c>
    </row>
    <row r="99" spans="1:8">
      <c r="A99" s="27"/>
      <c r="B99" s="27"/>
      <c r="C99" s="28"/>
      <c r="D99" s="28"/>
      <c r="E99" s="23" t="s">
        <v>16</v>
      </c>
      <c r="F99" s="23" t="s">
        <v>16</v>
      </c>
      <c r="G99" s="23" t="s">
        <v>16</v>
      </c>
      <c r="H99" s="23" t="s">
        <v>16</v>
      </c>
    </row>
    <row r="100" spans="1:8">
      <c r="A100" s="27"/>
      <c r="B100" s="27"/>
      <c r="C100" s="28"/>
      <c r="D100" s="28"/>
      <c r="E100" s="23" t="s">
        <v>16</v>
      </c>
      <c r="F100" s="23" t="s">
        <v>16</v>
      </c>
      <c r="G100" s="23" t="s">
        <v>16</v>
      </c>
      <c r="H100" s="23" t="s">
        <v>16</v>
      </c>
    </row>
    <row r="101" spans="1:8">
      <c r="A101" s="27"/>
      <c r="B101" s="27"/>
      <c r="C101" s="28"/>
      <c r="D101" s="28"/>
      <c r="E101" s="23" t="s">
        <v>16</v>
      </c>
      <c r="F101" s="23" t="s">
        <v>16</v>
      </c>
      <c r="G101" s="23" t="s">
        <v>16</v>
      </c>
      <c r="H101" s="23" t="s">
        <v>16</v>
      </c>
    </row>
    <row r="102" spans="1:8">
      <c r="A102" s="27"/>
      <c r="B102" s="27"/>
      <c r="C102" s="28"/>
      <c r="D102" s="28"/>
      <c r="E102" s="23" t="s">
        <v>16</v>
      </c>
      <c r="F102" s="23" t="s">
        <v>16</v>
      </c>
      <c r="G102" s="23" t="s">
        <v>16</v>
      </c>
      <c r="H102" s="23" t="s">
        <v>16</v>
      </c>
    </row>
    <row r="103" spans="1:8">
      <c r="A103" s="27"/>
      <c r="B103" s="27"/>
      <c r="C103" s="28"/>
      <c r="D103" s="28"/>
      <c r="E103" s="23" t="s">
        <v>16</v>
      </c>
      <c r="F103" s="23" t="s">
        <v>16</v>
      </c>
      <c r="G103" s="23" t="s">
        <v>16</v>
      </c>
      <c r="H103" s="23" t="s">
        <v>16</v>
      </c>
    </row>
    <row r="104" spans="1:8">
      <c r="A104" s="27"/>
      <c r="B104" s="27"/>
      <c r="C104" s="28"/>
      <c r="D104" s="28"/>
      <c r="E104" s="23" t="s">
        <v>16</v>
      </c>
      <c r="F104" s="23" t="s">
        <v>16</v>
      </c>
      <c r="G104" s="23" t="s">
        <v>16</v>
      </c>
      <c r="H104" s="23" t="s">
        <v>16</v>
      </c>
    </row>
    <row r="105" spans="1:8">
      <c r="A105" s="27"/>
      <c r="B105" s="27"/>
      <c r="C105" s="28"/>
      <c r="D105" s="28"/>
      <c r="E105" s="23" t="s">
        <v>16</v>
      </c>
      <c r="F105" s="23" t="s">
        <v>16</v>
      </c>
      <c r="G105" s="23" t="s">
        <v>16</v>
      </c>
      <c r="H105" s="23" t="s">
        <v>16</v>
      </c>
    </row>
    <row r="106" spans="1:8">
      <c r="A106" s="27"/>
      <c r="B106" s="27"/>
      <c r="C106" s="28"/>
      <c r="D106" s="28"/>
      <c r="E106" s="23" t="s">
        <v>16</v>
      </c>
      <c r="F106" s="23" t="s">
        <v>16</v>
      </c>
      <c r="G106" s="23" t="s">
        <v>16</v>
      </c>
      <c r="H106" s="23" t="s">
        <v>16</v>
      </c>
    </row>
    <row r="107" spans="1:8">
      <c r="A107" s="27"/>
      <c r="B107" s="27"/>
      <c r="C107" s="28"/>
      <c r="D107" s="28"/>
      <c r="E107" s="23" t="s">
        <v>16</v>
      </c>
      <c r="F107" s="23" t="s">
        <v>16</v>
      </c>
      <c r="G107" s="23" t="s">
        <v>16</v>
      </c>
      <c r="H107" s="23" t="s">
        <v>16</v>
      </c>
    </row>
    <row r="108" spans="1:8">
      <c r="A108" s="27"/>
      <c r="B108" s="27"/>
      <c r="C108" s="28"/>
      <c r="D108" s="28"/>
      <c r="E108" s="23" t="s">
        <v>16</v>
      </c>
      <c r="F108" s="23" t="s">
        <v>16</v>
      </c>
      <c r="G108" s="23" t="s">
        <v>16</v>
      </c>
      <c r="H108" s="23" t="s">
        <v>16</v>
      </c>
    </row>
    <row r="109" spans="1:8">
      <c r="A109" s="27"/>
      <c r="B109" s="27"/>
      <c r="C109" s="28"/>
      <c r="D109" s="28"/>
      <c r="E109" s="23" t="s">
        <v>16</v>
      </c>
      <c r="F109" s="23" t="s">
        <v>16</v>
      </c>
      <c r="G109" s="23" t="s">
        <v>16</v>
      </c>
      <c r="H109" s="23" t="s">
        <v>16</v>
      </c>
    </row>
    <row r="110" spans="1:8">
      <c r="A110" s="27"/>
      <c r="B110" s="27"/>
      <c r="C110" s="28"/>
      <c r="D110" s="28"/>
      <c r="E110" s="23" t="s">
        <v>16</v>
      </c>
      <c r="F110" s="23" t="s">
        <v>16</v>
      </c>
      <c r="G110" s="23" t="s">
        <v>16</v>
      </c>
      <c r="H110" s="23" t="s">
        <v>16</v>
      </c>
    </row>
    <row r="111" spans="1:8">
      <c r="A111" s="27"/>
      <c r="B111" s="27"/>
      <c r="C111" s="28"/>
      <c r="D111" s="28"/>
      <c r="E111" s="23" t="s">
        <v>16</v>
      </c>
      <c r="F111" s="23" t="s">
        <v>16</v>
      </c>
      <c r="G111" s="23" t="s">
        <v>16</v>
      </c>
      <c r="H111" s="23" t="s">
        <v>16</v>
      </c>
    </row>
    <row r="112" spans="1:8">
      <c r="A112" s="27"/>
      <c r="B112" s="27"/>
      <c r="C112" s="28"/>
      <c r="D112" s="28"/>
      <c r="E112" s="23" t="s">
        <v>16</v>
      </c>
      <c r="F112" s="23" t="s">
        <v>16</v>
      </c>
      <c r="G112" s="23" t="s">
        <v>16</v>
      </c>
      <c r="H112" s="23" t="s">
        <v>16</v>
      </c>
    </row>
    <row r="113" spans="1:8">
      <c r="A113" s="27"/>
      <c r="B113" s="27"/>
      <c r="C113" s="28"/>
      <c r="D113" s="28"/>
      <c r="E113" s="23" t="s">
        <v>16</v>
      </c>
      <c r="F113" s="23" t="s">
        <v>16</v>
      </c>
      <c r="G113" s="23" t="s">
        <v>16</v>
      </c>
      <c r="H113" s="23" t="s">
        <v>16</v>
      </c>
    </row>
    <row r="114" spans="1:8">
      <c r="A114" s="27"/>
      <c r="B114" s="27"/>
      <c r="C114" s="28"/>
      <c r="D114" s="28"/>
      <c r="E114" s="23" t="s">
        <v>16</v>
      </c>
      <c r="F114" s="23" t="s">
        <v>16</v>
      </c>
      <c r="G114" s="23" t="s">
        <v>16</v>
      </c>
      <c r="H114" s="23" t="s">
        <v>16</v>
      </c>
    </row>
    <row r="115" spans="1:8">
      <c r="A115" s="27"/>
      <c r="B115" s="27"/>
      <c r="C115" s="28"/>
      <c r="D115" s="28"/>
      <c r="E115" s="23" t="s">
        <v>16</v>
      </c>
      <c r="F115" s="23" t="s">
        <v>16</v>
      </c>
      <c r="G115" s="23" t="s">
        <v>16</v>
      </c>
      <c r="H115" s="23" t="s">
        <v>16</v>
      </c>
    </row>
    <row r="116" spans="1:8">
      <c r="A116" s="27"/>
      <c r="B116" s="27"/>
      <c r="C116" s="28"/>
      <c r="D116" s="28"/>
      <c r="E116" s="23" t="s">
        <v>16</v>
      </c>
      <c r="F116" s="23" t="s">
        <v>16</v>
      </c>
      <c r="G116" s="23" t="s">
        <v>16</v>
      </c>
      <c r="H116" s="23" t="s">
        <v>16</v>
      </c>
    </row>
    <row r="117" spans="1:8">
      <c r="A117" s="27"/>
      <c r="B117" s="27"/>
      <c r="C117" s="28"/>
      <c r="D117" s="28"/>
      <c r="E117" s="23" t="s">
        <v>16</v>
      </c>
      <c r="F117" s="23" t="s">
        <v>16</v>
      </c>
      <c r="G117" s="23" t="s">
        <v>16</v>
      </c>
      <c r="H117" s="23" t="s">
        <v>16</v>
      </c>
    </row>
    <row r="118" spans="1:8">
      <c r="A118" s="27"/>
      <c r="B118" s="27"/>
      <c r="C118" s="28"/>
      <c r="D118" s="28"/>
      <c r="E118" s="23" t="s">
        <v>16</v>
      </c>
      <c r="F118" s="23" t="s">
        <v>16</v>
      </c>
      <c r="G118" s="23" t="s">
        <v>16</v>
      </c>
      <c r="H118" s="23" t="s">
        <v>16</v>
      </c>
    </row>
    <row r="119" spans="1:8">
      <c r="A119" s="27"/>
      <c r="B119" s="27"/>
      <c r="C119" s="28"/>
      <c r="D119" s="28"/>
      <c r="E119" s="23" t="s">
        <v>16</v>
      </c>
      <c r="F119" s="23" t="s">
        <v>16</v>
      </c>
      <c r="G119" s="23" t="s">
        <v>16</v>
      </c>
      <c r="H119" s="23" t="s">
        <v>16</v>
      </c>
    </row>
    <row r="120" spans="1:8">
      <c r="A120" s="27"/>
      <c r="B120" s="27"/>
      <c r="C120" s="28"/>
      <c r="D120" s="28"/>
      <c r="E120" s="23" t="s">
        <v>16</v>
      </c>
      <c r="F120" s="23" t="s">
        <v>16</v>
      </c>
      <c r="G120" s="23" t="s">
        <v>16</v>
      </c>
      <c r="H120" s="23" t="s">
        <v>16</v>
      </c>
    </row>
    <row r="121" spans="1:8">
      <c r="A121" s="27"/>
      <c r="B121" s="27"/>
      <c r="C121" s="28"/>
      <c r="D121" s="28"/>
      <c r="E121" s="23" t="s">
        <v>16</v>
      </c>
      <c r="F121" s="23" t="s">
        <v>16</v>
      </c>
      <c r="G121" s="23" t="s">
        <v>16</v>
      </c>
      <c r="H121" s="23" t="s">
        <v>16</v>
      </c>
    </row>
    <row r="122" spans="1:8">
      <c r="A122" s="27"/>
      <c r="B122" s="27"/>
      <c r="C122" s="28"/>
      <c r="D122" s="28"/>
      <c r="E122" s="23" t="s">
        <v>16</v>
      </c>
      <c r="F122" s="23" t="s">
        <v>16</v>
      </c>
      <c r="G122" s="23" t="s">
        <v>16</v>
      </c>
      <c r="H122" s="23" t="s">
        <v>16</v>
      </c>
    </row>
    <row r="123" spans="1:8">
      <c r="A123" s="27"/>
      <c r="B123" s="27"/>
      <c r="C123" s="28"/>
      <c r="D123" s="28"/>
      <c r="E123" s="23" t="s">
        <v>16</v>
      </c>
      <c r="F123" s="23" t="s">
        <v>16</v>
      </c>
      <c r="G123" s="23" t="s">
        <v>16</v>
      </c>
      <c r="H123" s="23" t="s">
        <v>16</v>
      </c>
    </row>
    <row r="124" spans="1:8">
      <c r="A124" s="27"/>
      <c r="B124" s="27"/>
      <c r="C124" s="28"/>
      <c r="D124" s="28"/>
      <c r="E124" s="23" t="s">
        <v>16</v>
      </c>
      <c r="F124" s="23" t="s">
        <v>16</v>
      </c>
      <c r="G124" s="23" t="s">
        <v>16</v>
      </c>
      <c r="H124" s="23" t="s">
        <v>16</v>
      </c>
    </row>
    <row r="125" spans="1:8">
      <c r="A125" s="27"/>
      <c r="B125" s="27"/>
      <c r="C125" s="28"/>
      <c r="D125" s="28"/>
      <c r="E125" s="23" t="s">
        <v>16</v>
      </c>
      <c r="F125" s="23" t="s">
        <v>16</v>
      </c>
      <c r="G125" s="23" t="s">
        <v>16</v>
      </c>
      <c r="H125" s="23" t="s">
        <v>16</v>
      </c>
    </row>
    <row r="126" spans="1:8">
      <c r="A126" s="27"/>
      <c r="B126" s="27"/>
      <c r="C126" s="28"/>
      <c r="D126" s="28"/>
      <c r="E126" s="23" t="s">
        <v>16</v>
      </c>
      <c r="F126" s="23" t="s">
        <v>16</v>
      </c>
      <c r="G126" s="23" t="s">
        <v>16</v>
      </c>
      <c r="H126" s="23" t="s">
        <v>16</v>
      </c>
    </row>
    <row r="127" spans="1:8">
      <c r="A127" s="27"/>
      <c r="B127" s="27"/>
      <c r="C127" s="28"/>
      <c r="D127" s="28"/>
      <c r="E127" s="23" t="s">
        <v>16</v>
      </c>
      <c r="F127" s="23" t="s">
        <v>16</v>
      </c>
      <c r="G127" s="23" t="s">
        <v>16</v>
      </c>
      <c r="H127" s="23" t="s">
        <v>16</v>
      </c>
    </row>
    <row r="128" spans="1:8">
      <c r="A128" s="27"/>
      <c r="B128" s="27"/>
      <c r="C128" s="28"/>
      <c r="D128" s="28"/>
      <c r="E128" s="23" t="s">
        <v>16</v>
      </c>
      <c r="F128" s="23" t="s">
        <v>16</v>
      </c>
      <c r="G128" s="23" t="s">
        <v>16</v>
      </c>
      <c r="H128" s="23" t="s">
        <v>16</v>
      </c>
    </row>
    <row r="129" spans="1:8">
      <c r="A129" s="27"/>
      <c r="B129" s="27"/>
      <c r="C129" s="28"/>
      <c r="D129" s="28"/>
      <c r="E129" s="23" t="s">
        <v>16</v>
      </c>
      <c r="F129" s="23" t="s">
        <v>16</v>
      </c>
      <c r="G129" s="23" t="s">
        <v>16</v>
      </c>
      <c r="H129" s="23" t="s">
        <v>16</v>
      </c>
    </row>
    <row r="130" spans="1:8">
      <c r="A130" s="27"/>
      <c r="B130" s="27"/>
      <c r="C130" s="28"/>
      <c r="D130" s="28"/>
      <c r="E130" s="23" t="s">
        <v>16</v>
      </c>
      <c r="F130" s="23" t="s">
        <v>16</v>
      </c>
      <c r="G130" s="23" t="s">
        <v>16</v>
      </c>
      <c r="H130" s="23" t="s">
        <v>16</v>
      </c>
    </row>
    <row r="131" spans="1:8">
      <c r="A131" s="27"/>
      <c r="B131" s="27"/>
      <c r="C131" s="28"/>
      <c r="D131" s="28"/>
      <c r="E131" s="23" t="s">
        <v>16</v>
      </c>
      <c r="F131" s="23" t="s">
        <v>16</v>
      </c>
      <c r="G131" s="23" t="s">
        <v>16</v>
      </c>
      <c r="H131" s="23" t="s">
        <v>16</v>
      </c>
    </row>
    <row r="132" spans="1:8">
      <c r="A132" s="27"/>
      <c r="B132" s="27"/>
      <c r="C132" s="28"/>
      <c r="D132" s="28"/>
      <c r="E132" s="23" t="s">
        <v>16</v>
      </c>
      <c r="F132" s="23" t="s">
        <v>16</v>
      </c>
      <c r="G132" s="23" t="s">
        <v>16</v>
      </c>
      <c r="H132" s="23" t="s">
        <v>16</v>
      </c>
    </row>
    <row r="133" spans="1:8">
      <c r="A133" s="27"/>
      <c r="B133" s="27"/>
      <c r="C133" s="28"/>
      <c r="D133" s="28"/>
      <c r="E133" s="23" t="s">
        <v>16</v>
      </c>
      <c r="F133" s="23" t="s">
        <v>16</v>
      </c>
      <c r="G133" s="23" t="s">
        <v>16</v>
      </c>
      <c r="H133" s="23" t="s">
        <v>16</v>
      </c>
    </row>
    <row r="134" spans="1:8">
      <c r="A134" s="27"/>
      <c r="B134" s="27"/>
      <c r="C134" s="28"/>
      <c r="D134" s="28"/>
      <c r="E134" s="23" t="s">
        <v>16</v>
      </c>
      <c r="F134" s="23" t="s">
        <v>16</v>
      </c>
      <c r="G134" s="23" t="s">
        <v>16</v>
      </c>
      <c r="H134" s="23" t="s">
        <v>16</v>
      </c>
    </row>
    <row r="135" spans="1:8">
      <c r="A135" s="27"/>
      <c r="B135" s="27"/>
      <c r="C135" s="28"/>
      <c r="D135" s="28"/>
      <c r="E135" s="23" t="s">
        <v>16</v>
      </c>
      <c r="F135" s="23" t="s">
        <v>16</v>
      </c>
      <c r="G135" s="23" t="s">
        <v>16</v>
      </c>
      <c r="H135" s="23" t="s">
        <v>16</v>
      </c>
    </row>
    <row r="136" spans="1:8">
      <c r="A136" s="27"/>
      <c r="B136" s="27"/>
      <c r="C136" s="28"/>
      <c r="D136" s="28"/>
      <c r="E136" s="23" t="s">
        <v>16</v>
      </c>
      <c r="F136" s="23" t="s">
        <v>16</v>
      </c>
      <c r="G136" s="23" t="s">
        <v>16</v>
      </c>
      <c r="H136" s="23" t="s">
        <v>16</v>
      </c>
    </row>
    <row r="137" spans="1:8">
      <c r="A137" s="27"/>
      <c r="B137" s="27"/>
      <c r="C137" s="28"/>
      <c r="D137" s="28"/>
      <c r="E137" s="23" t="s">
        <v>16</v>
      </c>
      <c r="F137" s="23" t="s">
        <v>16</v>
      </c>
      <c r="G137" s="23" t="s">
        <v>16</v>
      </c>
      <c r="H137" s="23" t="s">
        <v>16</v>
      </c>
    </row>
    <row r="138" spans="1:8">
      <c r="A138" s="27"/>
      <c r="B138" s="27"/>
      <c r="C138" s="28"/>
      <c r="D138" s="28"/>
      <c r="E138" s="23" t="s">
        <v>16</v>
      </c>
      <c r="F138" s="23" t="s">
        <v>16</v>
      </c>
      <c r="G138" s="23" t="s">
        <v>16</v>
      </c>
      <c r="H138" s="23" t="s">
        <v>16</v>
      </c>
    </row>
    <row r="139" spans="1:8">
      <c r="A139" s="27"/>
      <c r="B139" s="27"/>
      <c r="C139" s="28"/>
      <c r="D139" s="28"/>
      <c r="E139" s="23" t="s">
        <v>16</v>
      </c>
      <c r="F139" s="23" t="s">
        <v>16</v>
      </c>
      <c r="G139" s="23" t="s">
        <v>16</v>
      </c>
      <c r="H139" s="23" t="s">
        <v>16</v>
      </c>
    </row>
    <row r="140" spans="1:8">
      <c r="A140" s="27"/>
      <c r="B140" s="27"/>
      <c r="C140" s="28"/>
      <c r="D140" s="28"/>
      <c r="E140" s="23" t="s">
        <v>16</v>
      </c>
      <c r="F140" s="23" t="s">
        <v>16</v>
      </c>
      <c r="G140" s="23" t="s">
        <v>16</v>
      </c>
      <c r="H140" s="23" t="s">
        <v>16</v>
      </c>
    </row>
    <row r="141" spans="1:8">
      <c r="A141" s="27"/>
      <c r="B141" s="27"/>
      <c r="C141" s="28"/>
      <c r="D141" s="28"/>
      <c r="E141" s="23" t="s">
        <v>16</v>
      </c>
      <c r="F141" s="23" t="s">
        <v>16</v>
      </c>
      <c r="G141" s="23" t="s">
        <v>16</v>
      </c>
      <c r="H141" s="23" t="s">
        <v>16</v>
      </c>
    </row>
    <row r="142" spans="1:8">
      <c r="A142" s="27"/>
      <c r="B142" s="27"/>
      <c r="C142" s="28"/>
      <c r="D142" s="28"/>
      <c r="E142" s="23" t="s">
        <v>16</v>
      </c>
      <c r="F142" s="23" t="s">
        <v>16</v>
      </c>
      <c r="G142" s="23" t="s">
        <v>16</v>
      </c>
      <c r="H142" s="23" t="s">
        <v>16</v>
      </c>
    </row>
    <row r="143" spans="1:8">
      <c r="A143" s="27"/>
      <c r="B143" s="27"/>
      <c r="C143" s="28"/>
      <c r="D143" s="28"/>
      <c r="E143" s="23" t="s">
        <v>16</v>
      </c>
      <c r="F143" s="23" t="s">
        <v>16</v>
      </c>
      <c r="G143" s="23" t="s">
        <v>16</v>
      </c>
      <c r="H143" s="23" t="s">
        <v>16</v>
      </c>
    </row>
    <row r="144" spans="1:8">
      <c r="A144" s="27"/>
      <c r="B144" s="27"/>
      <c r="C144" s="28"/>
      <c r="D144" s="28"/>
      <c r="E144" s="23" t="s">
        <v>16</v>
      </c>
      <c r="F144" s="23" t="s">
        <v>16</v>
      </c>
      <c r="G144" s="23" t="s">
        <v>16</v>
      </c>
      <c r="H144" s="23" t="s">
        <v>16</v>
      </c>
    </row>
    <row r="145" spans="1:8">
      <c r="A145" s="27"/>
      <c r="B145" s="27"/>
      <c r="C145" s="28"/>
      <c r="D145" s="28"/>
      <c r="E145" s="23" t="s">
        <v>16</v>
      </c>
      <c r="F145" s="23" t="s">
        <v>16</v>
      </c>
      <c r="G145" s="23" t="s">
        <v>16</v>
      </c>
      <c r="H145" s="23" t="s">
        <v>16</v>
      </c>
    </row>
    <row r="146" spans="1:8">
      <c r="A146" s="27"/>
      <c r="B146" s="27"/>
      <c r="C146" s="28"/>
      <c r="D146" s="28"/>
      <c r="E146" s="23" t="s">
        <v>16</v>
      </c>
      <c r="F146" s="23" t="s">
        <v>16</v>
      </c>
      <c r="G146" s="23" t="s">
        <v>16</v>
      </c>
      <c r="H146" s="23" t="s">
        <v>16</v>
      </c>
    </row>
    <row r="147" spans="1:8">
      <c r="A147" s="27"/>
      <c r="B147" s="27"/>
      <c r="C147" s="28"/>
      <c r="D147" s="28"/>
      <c r="E147" s="23" t="s">
        <v>16</v>
      </c>
      <c r="F147" s="23" t="s">
        <v>16</v>
      </c>
      <c r="G147" s="23" t="s">
        <v>16</v>
      </c>
      <c r="H147" s="23" t="s">
        <v>16</v>
      </c>
    </row>
    <row r="148" spans="1:8">
      <c r="A148" s="27"/>
      <c r="B148" s="27"/>
      <c r="C148" s="28"/>
      <c r="D148" s="28"/>
      <c r="E148" s="23" t="s">
        <v>16</v>
      </c>
      <c r="F148" s="23" t="s">
        <v>16</v>
      </c>
      <c r="G148" s="23" t="s">
        <v>16</v>
      </c>
      <c r="H148" s="23" t="s">
        <v>16</v>
      </c>
    </row>
    <row r="149" spans="1:8">
      <c r="A149" s="27"/>
      <c r="B149" s="27"/>
      <c r="C149" s="28"/>
      <c r="D149" s="28"/>
      <c r="E149" s="23" t="s">
        <v>16</v>
      </c>
      <c r="F149" s="23" t="s">
        <v>16</v>
      </c>
      <c r="G149" s="23" t="s">
        <v>16</v>
      </c>
      <c r="H149" s="23" t="s">
        <v>16</v>
      </c>
    </row>
    <row r="150" spans="1:8">
      <c r="A150" s="27"/>
      <c r="B150" s="27"/>
      <c r="C150" s="28"/>
      <c r="D150" s="28"/>
      <c r="E150" s="23" t="s">
        <v>16</v>
      </c>
      <c r="F150" s="23" t="s">
        <v>16</v>
      </c>
      <c r="G150" s="23" t="s">
        <v>16</v>
      </c>
      <c r="H150" s="23" t="s">
        <v>16</v>
      </c>
    </row>
    <row r="151" spans="1:8">
      <c r="A151" s="27"/>
      <c r="B151" s="27"/>
      <c r="C151" s="28"/>
      <c r="D151" s="28"/>
      <c r="E151" s="23" t="s">
        <v>16</v>
      </c>
      <c r="F151" s="23" t="s">
        <v>16</v>
      </c>
      <c r="G151" s="23" t="s">
        <v>16</v>
      </c>
      <c r="H151" s="23" t="s">
        <v>16</v>
      </c>
    </row>
    <row r="152" spans="1:8">
      <c r="A152" s="27"/>
      <c r="B152" s="27"/>
      <c r="C152" s="28"/>
      <c r="D152" s="28"/>
      <c r="E152" s="23" t="s">
        <v>16</v>
      </c>
      <c r="F152" s="23" t="s">
        <v>16</v>
      </c>
      <c r="G152" s="23" t="s">
        <v>16</v>
      </c>
      <c r="H152" s="23" t="s">
        <v>16</v>
      </c>
    </row>
    <row r="153" spans="1:8">
      <c r="A153" s="27"/>
      <c r="B153" s="27"/>
      <c r="C153" s="28"/>
      <c r="D153" s="28"/>
      <c r="E153" s="23" t="s">
        <v>16</v>
      </c>
      <c r="F153" s="23" t="s">
        <v>16</v>
      </c>
      <c r="G153" s="23" t="s">
        <v>16</v>
      </c>
      <c r="H153" s="23" t="s">
        <v>16</v>
      </c>
    </row>
    <row r="154" spans="1:8">
      <c r="A154" s="27"/>
      <c r="B154" s="27"/>
      <c r="C154" s="28"/>
      <c r="D154" s="28"/>
      <c r="E154" s="23" t="s">
        <v>16</v>
      </c>
      <c r="F154" s="23" t="s">
        <v>16</v>
      </c>
      <c r="G154" s="23" t="s">
        <v>16</v>
      </c>
      <c r="H154" s="23" t="s">
        <v>16</v>
      </c>
    </row>
    <row r="155" spans="1:8">
      <c r="A155" s="27"/>
      <c r="B155" s="27"/>
      <c r="C155" s="28"/>
      <c r="D155" s="28"/>
      <c r="E155" s="23" t="s">
        <v>16</v>
      </c>
      <c r="F155" s="23" t="s">
        <v>16</v>
      </c>
      <c r="G155" s="23" t="s">
        <v>16</v>
      </c>
      <c r="H155" s="23" t="s">
        <v>16</v>
      </c>
    </row>
    <row r="156" spans="1:8">
      <c r="A156" s="27"/>
      <c r="B156" s="27"/>
      <c r="C156" s="28"/>
      <c r="D156" s="28"/>
      <c r="E156" s="23" t="s">
        <v>16</v>
      </c>
      <c r="F156" s="23" t="s">
        <v>16</v>
      </c>
      <c r="G156" s="23" t="s">
        <v>16</v>
      </c>
      <c r="H156" s="23" t="s">
        <v>16</v>
      </c>
    </row>
    <row r="157" spans="1:8">
      <c r="A157" s="27"/>
      <c r="B157" s="27"/>
      <c r="C157" s="28"/>
      <c r="D157" s="28"/>
      <c r="E157" s="23" t="s">
        <v>16</v>
      </c>
      <c r="F157" s="23" t="s">
        <v>16</v>
      </c>
      <c r="G157" s="23" t="s">
        <v>16</v>
      </c>
      <c r="H157" s="23" t="s">
        <v>16</v>
      </c>
    </row>
    <row r="158" spans="1:8">
      <c r="A158" s="27"/>
      <c r="B158" s="27"/>
      <c r="C158" s="28"/>
      <c r="D158" s="28"/>
      <c r="E158" s="23" t="s">
        <v>16</v>
      </c>
      <c r="F158" s="23" t="s">
        <v>16</v>
      </c>
      <c r="G158" s="23" t="s">
        <v>16</v>
      </c>
      <c r="H158" s="23" t="s">
        <v>16</v>
      </c>
    </row>
    <row r="159" spans="1:8">
      <c r="A159" s="27"/>
      <c r="B159" s="27"/>
      <c r="C159" s="28"/>
      <c r="D159" s="28"/>
      <c r="E159" s="23" t="s">
        <v>16</v>
      </c>
      <c r="F159" s="23" t="s">
        <v>16</v>
      </c>
      <c r="G159" s="23" t="s">
        <v>16</v>
      </c>
      <c r="H159" s="23" t="s">
        <v>16</v>
      </c>
    </row>
    <row r="160" spans="1:8">
      <c r="A160" s="27"/>
      <c r="B160" s="27"/>
      <c r="C160" s="28"/>
      <c r="D160" s="28"/>
      <c r="E160" s="23" t="s">
        <v>16</v>
      </c>
      <c r="F160" s="23" t="s">
        <v>16</v>
      </c>
      <c r="G160" s="23" t="s">
        <v>16</v>
      </c>
      <c r="H160" s="23" t="s">
        <v>16</v>
      </c>
    </row>
    <row r="161" spans="1:8">
      <c r="A161" s="27"/>
      <c r="B161" s="27"/>
      <c r="C161" s="28"/>
      <c r="D161" s="28"/>
      <c r="E161" s="23" t="s">
        <v>16</v>
      </c>
      <c r="F161" s="23" t="s">
        <v>16</v>
      </c>
      <c r="G161" s="23" t="s">
        <v>16</v>
      </c>
      <c r="H161" s="23" t="s">
        <v>16</v>
      </c>
    </row>
    <row r="162" spans="1:8">
      <c r="A162" s="27"/>
      <c r="B162" s="27"/>
      <c r="C162" s="28"/>
      <c r="D162" s="28"/>
      <c r="E162" s="23" t="s">
        <v>16</v>
      </c>
      <c r="F162" s="23" t="s">
        <v>16</v>
      </c>
      <c r="G162" s="23" t="s">
        <v>16</v>
      </c>
      <c r="H162" s="23" t="s">
        <v>16</v>
      </c>
    </row>
    <row r="163" spans="1:8">
      <c r="A163" s="27"/>
      <c r="B163" s="27"/>
      <c r="C163" s="28"/>
      <c r="D163" s="28"/>
      <c r="E163" s="23" t="s">
        <v>16</v>
      </c>
      <c r="F163" s="23" t="s">
        <v>16</v>
      </c>
      <c r="G163" s="23" t="s">
        <v>16</v>
      </c>
      <c r="H163" s="23" t="s">
        <v>16</v>
      </c>
    </row>
    <row r="164" spans="1:8">
      <c r="A164" s="27"/>
      <c r="B164" s="27"/>
      <c r="C164" s="28"/>
      <c r="D164" s="28"/>
      <c r="E164" s="23" t="s">
        <v>16</v>
      </c>
      <c r="F164" s="23" t="s">
        <v>16</v>
      </c>
      <c r="G164" s="23" t="s">
        <v>16</v>
      </c>
      <c r="H164" s="23" t="s">
        <v>16</v>
      </c>
    </row>
    <row r="165" spans="1:8">
      <c r="A165" s="27"/>
      <c r="B165" s="27"/>
      <c r="C165" s="28"/>
      <c r="D165" s="28"/>
      <c r="E165" s="23" t="s">
        <v>16</v>
      </c>
      <c r="F165" s="23" t="s">
        <v>16</v>
      </c>
      <c r="G165" s="23" t="s">
        <v>16</v>
      </c>
      <c r="H165" s="23" t="s">
        <v>16</v>
      </c>
    </row>
    <row r="166" spans="1:8">
      <c r="A166" s="27"/>
      <c r="B166" s="27"/>
      <c r="C166" s="28"/>
      <c r="D166" s="28"/>
      <c r="E166" s="23" t="s">
        <v>16</v>
      </c>
      <c r="F166" s="23" t="s">
        <v>16</v>
      </c>
      <c r="G166" s="23" t="s">
        <v>16</v>
      </c>
      <c r="H166" s="23" t="s">
        <v>16</v>
      </c>
    </row>
    <row r="167" spans="1:8">
      <c r="A167" s="27"/>
      <c r="B167" s="27"/>
      <c r="C167" s="28"/>
      <c r="D167" s="28"/>
      <c r="E167" s="23" t="s">
        <v>16</v>
      </c>
      <c r="F167" s="23" t="s">
        <v>16</v>
      </c>
      <c r="G167" s="23" t="s">
        <v>16</v>
      </c>
      <c r="H167" s="23" t="s">
        <v>16</v>
      </c>
    </row>
    <row r="168" spans="1:8">
      <c r="A168" s="27"/>
      <c r="B168" s="27"/>
      <c r="C168" s="28"/>
      <c r="D168" s="28"/>
      <c r="E168" s="23" t="s">
        <v>16</v>
      </c>
      <c r="F168" s="23" t="s">
        <v>16</v>
      </c>
      <c r="G168" s="23" t="s">
        <v>16</v>
      </c>
      <c r="H168" s="23" t="s">
        <v>16</v>
      </c>
    </row>
    <row r="169" spans="1:8">
      <c r="A169" s="27"/>
      <c r="B169" s="27"/>
      <c r="C169" s="28"/>
      <c r="D169" s="28"/>
      <c r="E169" s="23" t="s">
        <v>16</v>
      </c>
      <c r="F169" s="23" t="s">
        <v>16</v>
      </c>
      <c r="G169" s="23" t="s">
        <v>16</v>
      </c>
      <c r="H169" s="23" t="s">
        <v>16</v>
      </c>
    </row>
    <row r="170" spans="1:8">
      <c r="A170" s="27"/>
      <c r="B170" s="27"/>
      <c r="C170" s="28"/>
      <c r="D170" s="28"/>
      <c r="E170" s="23" t="s">
        <v>16</v>
      </c>
      <c r="F170" s="23" t="s">
        <v>16</v>
      </c>
      <c r="G170" s="23" t="s">
        <v>16</v>
      </c>
      <c r="H170" s="23" t="s">
        <v>16</v>
      </c>
    </row>
    <row r="171" spans="1:8">
      <c r="A171" s="27"/>
      <c r="B171" s="27"/>
      <c r="C171" s="28"/>
      <c r="D171" s="28"/>
      <c r="E171" s="23" t="s">
        <v>16</v>
      </c>
      <c r="F171" s="23" t="s">
        <v>16</v>
      </c>
      <c r="G171" s="23" t="s">
        <v>16</v>
      </c>
      <c r="H171" s="23" t="s">
        <v>16</v>
      </c>
    </row>
    <row r="172" spans="1:8">
      <c r="A172" s="27"/>
      <c r="B172" s="27"/>
      <c r="C172" s="28"/>
      <c r="D172" s="28"/>
      <c r="E172" s="23" t="s">
        <v>16</v>
      </c>
      <c r="F172" s="23" t="s">
        <v>16</v>
      </c>
      <c r="G172" s="23" t="s">
        <v>16</v>
      </c>
      <c r="H172" s="23" t="s">
        <v>16</v>
      </c>
    </row>
    <row r="173" spans="1:8">
      <c r="A173" s="27"/>
      <c r="B173" s="27"/>
      <c r="C173" s="28"/>
      <c r="D173" s="28"/>
      <c r="E173" s="23" t="s">
        <v>16</v>
      </c>
      <c r="F173" s="23" t="s">
        <v>16</v>
      </c>
      <c r="G173" s="23" t="s">
        <v>16</v>
      </c>
      <c r="H173" s="23" t="s">
        <v>16</v>
      </c>
    </row>
    <row r="174" spans="1:8">
      <c r="A174" s="27"/>
      <c r="B174" s="27"/>
      <c r="C174" s="28"/>
      <c r="D174" s="28"/>
      <c r="E174" s="23" t="s">
        <v>16</v>
      </c>
      <c r="F174" s="23" t="s">
        <v>16</v>
      </c>
      <c r="G174" s="23" t="s">
        <v>16</v>
      </c>
      <c r="H174" s="23" t="s">
        <v>16</v>
      </c>
    </row>
    <row r="175" spans="1:8">
      <c r="A175" s="27"/>
      <c r="B175" s="27"/>
      <c r="C175" s="28"/>
      <c r="D175" s="28"/>
      <c r="E175" s="23" t="s">
        <v>16</v>
      </c>
      <c r="F175" s="23" t="s">
        <v>16</v>
      </c>
      <c r="G175" s="23" t="s">
        <v>16</v>
      </c>
      <c r="H175" s="23" t="s">
        <v>16</v>
      </c>
    </row>
    <row r="176" spans="1:8">
      <c r="A176" s="27"/>
      <c r="B176" s="27"/>
      <c r="C176" s="28"/>
      <c r="D176" s="28"/>
      <c r="E176" s="23" t="s">
        <v>16</v>
      </c>
      <c r="F176" s="23" t="s">
        <v>16</v>
      </c>
      <c r="G176" s="23" t="s">
        <v>16</v>
      </c>
      <c r="H176" s="23" t="s">
        <v>16</v>
      </c>
    </row>
    <row r="177" spans="1:8">
      <c r="A177" s="27"/>
      <c r="B177" s="27"/>
      <c r="C177" s="28"/>
      <c r="D177" s="28"/>
      <c r="E177" s="23" t="s">
        <v>16</v>
      </c>
      <c r="F177" s="23" t="s">
        <v>16</v>
      </c>
      <c r="G177" s="23" t="s">
        <v>16</v>
      </c>
      <c r="H177" s="23" t="s">
        <v>16</v>
      </c>
    </row>
    <row r="178" spans="1:8">
      <c r="A178" s="27"/>
      <c r="B178" s="27"/>
      <c r="C178" s="28"/>
      <c r="D178" s="28"/>
      <c r="E178" s="23" t="s">
        <v>16</v>
      </c>
      <c r="F178" s="23" t="s">
        <v>16</v>
      </c>
      <c r="G178" s="23" t="s">
        <v>16</v>
      </c>
      <c r="H178" s="23" t="s">
        <v>16</v>
      </c>
    </row>
    <row r="179" spans="1:8">
      <c r="A179" s="27"/>
      <c r="B179" s="27"/>
      <c r="C179" s="28"/>
      <c r="D179" s="28"/>
      <c r="E179" s="23" t="s">
        <v>16</v>
      </c>
      <c r="F179" s="23" t="s">
        <v>16</v>
      </c>
      <c r="G179" s="23" t="s">
        <v>16</v>
      </c>
      <c r="H179" s="23" t="s">
        <v>16</v>
      </c>
    </row>
    <row r="180" spans="1:8">
      <c r="A180" s="27"/>
      <c r="B180" s="27"/>
      <c r="C180" s="28"/>
      <c r="D180" s="28"/>
      <c r="E180" s="23" t="s">
        <v>16</v>
      </c>
      <c r="F180" s="23" t="s">
        <v>16</v>
      </c>
      <c r="G180" s="23" t="s">
        <v>16</v>
      </c>
      <c r="H180" s="23" t="s">
        <v>16</v>
      </c>
    </row>
    <row r="181" spans="1:8">
      <c r="A181" s="27"/>
      <c r="B181" s="27"/>
      <c r="C181" s="28"/>
      <c r="D181" s="28"/>
      <c r="E181" s="23" t="s">
        <v>16</v>
      </c>
      <c r="F181" s="23" t="s">
        <v>16</v>
      </c>
      <c r="G181" s="23" t="s">
        <v>16</v>
      </c>
      <c r="H181" s="23" t="s">
        <v>16</v>
      </c>
    </row>
    <row r="182" spans="1:8">
      <c r="A182" s="27"/>
      <c r="B182" s="27"/>
      <c r="C182" s="28"/>
      <c r="D182" s="28"/>
      <c r="E182" s="23" t="s">
        <v>16</v>
      </c>
      <c r="F182" s="23" t="s">
        <v>16</v>
      </c>
      <c r="G182" s="23" t="s">
        <v>16</v>
      </c>
      <c r="H182" s="23" t="s">
        <v>16</v>
      </c>
    </row>
    <row r="183" spans="1:8">
      <c r="A183" s="27"/>
      <c r="B183" s="27"/>
      <c r="C183" s="28"/>
      <c r="D183" s="28"/>
      <c r="E183" s="23" t="s">
        <v>16</v>
      </c>
      <c r="F183" s="23" t="s">
        <v>16</v>
      </c>
      <c r="G183" s="23" t="s">
        <v>16</v>
      </c>
      <c r="H183" s="23" t="s">
        <v>16</v>
      </c>
    </row>
    <row r="184" spans="1:8">
      <c r="A184" s="27"/>
      <c r="B184" s="27"/>
      <c r="C184" s="28"/>
      <c r="D184" s="28"/>
      <c r="E184" s="23" t="s">
        <v>16</v>
      </c>
      <c r="F184" s="23" t="s">
        <v>16</v>
      </c>
      <c r="G184" s="23" t="s">
        <v>16</v>
      </c>
      <c r="H184" s="23" t="s">
        <v>16</v>
      </c>
    </row>
    <row r="185" spans="1:8">
      <c r="A185" s="27"/>
      <c r="B185" s="27"/>
      <c r="C185" s="28"/>
      <c r="D185" s="28"/>
      <c r="E185" s="23" t="s">
        <v>16</v>
      </c>
      <c r="F185" s="23" t="s">
        <v>16</v>
      </c>
      <c r="G185" s="23" t="s">
        <v>16</v>
      </c>
      <c r="H185" s="23" t="s">
        <v>16</v>
      </c>
    </row>
    <row r="186" spans="1:8">
      <c r="A186" s="27"/>
      <c r="B186" s="27"/>
      <c r="C186" s="28"/>
      <c r="D186" s="28"/>
      <c r="E186" s="23" t="s">
        <v>16</v>
      </c>
      <c r="F186" s="23" t="s">
        <v>16</v>
      </c>
      <c r="G186" s="23" t="s">
        <v>16</v>
      </c>
      <c r="H186" s="23" t="s">
        <v>16</v>
      </c>
    </row>
    <row r="187" spans="1:8">
      <c r="A187" s="27"/>
      <c r="B187" s="27"/>
      <c r="C187" s="28"/>
      <c r="D187" s="28"/>
      <c r="E187" s="23" t="s">
        <v>16</v>
      </c>
      <c r="F187" s="23" t="s">
        <v>16</v>
      </c>
      <c r="G187" s="23" t="s">
        <v>16</v>
      </c>
      <c r="H187" s="23" t="s">
        <v>16</v>
      </c>
    </row>
    <row r="188" spans="1:8">
      <c r="A188" s="27"/>
      <c r="B188" s="27"/>
      <c r="C188" s="28"/>
      <c r="D188" s="28"/>
      <c r="E188" s="23" t="s">
        <v>16</v>
      </c>
      <c r="F188" s="23" t="s">
        <v>16</v>
      </c>
      <c r="G188" s="23" t="s">
        <v>16</v>
      </c>
      <c r="H188" s="23" t="s">
        <v>16</v>
      </c>
    </row>
    <row r="189" spans="1:8">
      <c r="A189" s="27"/>
      <c r="B189" s="27"/>
      <c r="C189" s="28"/>
      <c r="D189" s="28"/>
      <c r="E189" s="23" t="s">
        <v>16</v>
      </c>
      <c r="F189" s="23" t="s">
        <v>16</v>
      </c>
      <c r="G189" s="23" t="s">
        <v>16</v>
      </c>
      <c r="H189" s="23" t="s">
        <v>16</v>
      </c>
    </row>
    <row r="190" spans="1:8">
      <c r="A190" s="27"/>
      <c r="B190" s="27"/>
      <c r="C190" s="28"/>
      <c r="D190" s="28"/>
      <c r="E190" s="23" t="s">
        <v>16</v>
      </c>
      <c r="F190" s="23" t="s">
        <v>16</v>
      </c>
      <c r="G190" s="23" t="s">
        <v>16</v>
      </c>
      <c r="H190" s="23" t="s">
        <v>16</v>
      </c>
    </row>
    <row r="191" spans="1:8">
      <c r="A191" s="27"/>
      <c r="B191" s="27"/>
      <c r="C191" s="28"/>
      <c r="D191" s="28"/>
      <c r="E191" s="23" t="s">
        <v>16</v>
      </c>
      <c r="F191" s="23" t="s">
        <v>16</v>
      </c>
      <c r="G191" s="23" t="s">
        <v>16</v>
      </c>
      <c r="H191" s="23" t="s">
        <v>16</v>
      </c>
    </row>
    <row r="192" spans="1:8">
      <c r="A192" s="27"/>
      <c r="B192" s="27"/>
      <c r="C192" s="28"/>
      <c r="D192" s="28"/>
      <c r="E192" s="23" t="s">
        <v>16</v>
      </c>
      <c r="F192" s="23" t="s">
        <v>16</v>
      </c>
      <c r="G192" s="23" t="s">
        <v>16</v>
      </c>
      <c r="H192" s="23" t="s">
        <v>16</v>
      </c>
    </row>
    <row r="193" spans="1:8">
      <c r="A193" s="27"/>
      <c r="B193" s="27"/>
      <c r="C193" s="28"/>
      <c r="D193" s="28"/>
      <c r="E193" s="23" t="s">
        <v>16</v>
      </c>
      <c r="F193" s="23" t="s">
        <v>16</v>
      </c>
      <c r="G193" s="23" t="s">
        <v>16</v>
      </c>
      <c r="H193" s="23" t="s">
        <v>16</v>
      </c>
    </row>
    <row r="194" spans="1:8">
      <c r="A194" s="27"/>
      <c r="B194" s="27"/>
      <c r="C194" s="28"/>
      <c r="D194" s="28"/>
      <c r="E194" s="23" t="s">
        <v>16</v>
      </c>
      <c r="F194" s="23" t="s">
        <v>16</v>
      </c>
      <c r="G194" s="23" t="s">
        <v>16</v>
      </c>
      <c r="H194" s="23" t="s">
        <v>16</v>
      </c>
    </row>
    <row r="195" spans="1:8">
      <c r="A195" s="27"/>
      <c r="B195" s="27"/>
      <c r="C195" s="28"/>
      <c r="D195" s="28"/>
      <c r="E195" s="23" t="s">
        <v>16</v>
      </c>
      <c r="F195" s="23" t="s">
        <v>16</v>
      </c>
      <c r="G195" s="23" t="s">
        <v>16</v>
      </c>
      <c r="H195" s="23" t="s">
        <v>16</v>
      </c>
    </row>
    <row r="196" spans="1:8">
      <c r="A196" s="27"/>
      <c r="B196" s="27"/>
      <c r="C196" s="28"/>
      <c r="D196" s="28"/>
      <c r="E196" s="23" t="s">
        <v>16</v>
      </c>
      <c r="F196" s="23" t="s">
        <v>16</v>
      </c>
      <c r="G196" s="23" t="s">
        <v>16</v>
      </c>
      <c r="H196" s="23" t="s">
        <v>16</v>
      </c>
    </row>
    <row r="197" spans="1:8">
      <c r="A197" s="27"/>
      <c r="B197" s="27"/>
      <c r="C197" s="28"/>
      <c r="D197" s="28"/>
      <c r="E197" s="23" t="s">
        <v>16</v>
      </c>
      <c r="F197" s="23" t="s">
        <v>16</v>
      </c>
      <c r="G197" s="23" t="s">
        <v>16</v>
      </c>
      <c r="H197" s="23" t="s">
        <v>16</v>
      </c>
    </row>
    <row r="198" spans="1:8">
      <c r="A198" s="27"/>
      <c r="B198" s="27"/>
      <c r="C198" s="28"/>
      <c r="D198" s="28"/>
      <c r="E198" s="23" t="s">
        <v>16</v>
      </c>
      <c r="F198" s="23" t="s">
        <v>16</v>
      </c>
      <c r="G198" s="23" t="s">
        <v>16</v>
      </c>
      <c r="H198" s="23" t="s">
        <v>16</v>
      </c>
    </row>
    <row r="199" spans="1:8">
      <c r="A199" s="27"/>
      <c r="B199" s="27"/>
      <c r="C199" s="28"/>
      <c r="D199" s="28"/>
      <c r="E199" s="23" t="s">
        <v>16</v>
      </c>
      <c r="F199" s="23" t="s">
        <v>16</v>
      </c>
      <c r="G199" s="23" t="s">
        <v>16</v>
      </c>
      <c r="H199" s="23" t="s">
        <v>16</v>
      </c>
    </row>
    <row r="200" spans="1:8">
      <c r="A200" s="27"/>
      <c r="B200" s="27"/>
      <c r="C200" s="28"/>
      <c r="D200" s="28"/>
      <c r="E200" s="23" t="s">
        <v>16</v>
      </c>
      <c r="F200" s="23" t="s">
        <v>16</v>
      </c>
      <c r="G200" s="23" t="s">
        <v>16</v>
      </c>
      <c r="H200" s="23" t="s">
        <v>16</v>
      </c>
    </row>
    <row r="201" spans="1:8">
      <c r="A201" s="27"/>
      <c r="B201" s="27"/>
      <c r="C201" s="28"/>
      <c r="D201" s="28"/>
      <c r="E201" s="23"/>
      <c r="F201" s="23"/>
      <c r="G201" s="23"/>
      <c r="H201" s="23"/>
    </row>
    <row r="202" spans="1:8">
      <c r="A202" s="27"/>
      <c r="B202" s="27"/>
      <c r="C202" s="28"/>
      <c r="D202" s="28"/>
      <c r="E202" s="23"/>
      <c r="F202" s="23"/>
      <c r="G202" s="23"/>
      <c r="H202" s="23"/>
    </row>
    <row r="203" spans="1:8">
      <c r="A203" s="27"/>
      <c r="B203" s="27"/>
      <c r="C203" s="28"/>
      <c r="D203" s="28"/>
      <c r="E203" s="23"/>
      <c r="F203" s="23"/>
      <c r="G203" s="23"/>
      <c r="H203" s="23"/>
    </row>
    <row r="204" spans="1:8">
      <c r="A204" s="27"/>
      <c r="B204" s="27"/>
      <c r="C204" s="28"/>
      <c r="D204" s="28"/>
      <c r="E204" s="23"/>
      <c r="F204" s="23"/>
      <c r="G204" s="23"/>
      <c r="H204" s="23"/>
    </row>
    <row r="205" spans="1:8">
      <c r="A205" s="27"/>
      <c r="B205" s="27"/>
      <c r="C205" s="28"/>
      <c r="D205" s="28"/>
      <c r="E205" s="23"/>
      <c r="F205" s="23"/>
      <c r="G205" s="23"/>
      <c r="H205" s="23"/>
    </row>
    <row r="206" spans="1:8">
      <c r="A206" s="27"/>
      <c r="B206" s="27"/>
      <c r="C206" s="28"/>
      <c r="D206" s="28"/>
      <c r="E206" s="23"/>
      <c r="F206" s="23"/>
      <c r="G206" s="23"/>
      <c r="H206" s="23"/>
    </row>
    <row r="207" spans="1:8">
      <c r="A207" s="27"/>
      <c r="B207" s="27"/>
      <c r="C207" s="28"/>
      <c r="D207" s="28"/>
      <c r="E207" s="23"/>
      <c r="F207" s="23"/>
      <c r="G207" s="23"/>
      <c r="H207" s="23"/>
    </row>
    <row r="208" spans="1:8">
      <c r="A208" s="27"/>
      <c r="B208" s="27"/>
      <c r="C208" s="28"/>
      <c r="D208" s="28"/>
      <c r="E208" s="23"/>
      <c r="F208" s="23"/>
      <c r="G208" s="23"/>
      <c r="H208" s="23"/>
    </row>
    <row r="209" spans="1:8">
      <c r="A209" s="27"/>
      <c r="B209" s="27"/>
      <c r="C209" s="28"/>
      <c r="D209" s="28"/>
      <c r="E209" s="23"/>
      <c r="F209" s="23"/>
      <c r="G209" s="23"/>
      <c r="H209" s="23"/>
    </row>
    <row r="210" spans="1:8">
      <c r="A210" s="27"/>
      <c r="B210" s="27"/>
      <c r="C210" s="28"/>
      <c r="D210" s="28"/>
      <c r="E210" s="23"/>
      <c r="F210" s="23"/>
      <c r="G210" s="23"/>
      <c r="H210" s="23"/>
    </row>
    <row r="211" spans="1:8">
      <c r="A211" s="27"/>
      <c r="B211" s="27"/>
      <c r="C211" s="28"/>
      <c r="D211" s="28"/>
      <c r="E211" s="23"/>
      <c r="F211" s="23"/>
      <c r="G211" s="23"/>
      <c r="H211" s="23"/>
    </row>
    <row r="212" spans="1:8">
      <c r="A212" s="27"/>
      <c r="B212" s="27"/>
      <c r="C212" s="28"/>
      <c r="D212" s="28"/>
      <c r="E212" s="23"/>
      <c r="F212" s="23"/>
      <c r="G212" s="23"/>
      <c r="H212" s="23"/>
    </row>
    <row r="213" spans="1:8">
      <c r="A213" s="27"/>
      <c r="B213" s="27"/>
      <c r="C213" s="28"/>
      <c r="D213" s="28"/>
      <c r="E213" s="23"/>
      <c r="F213" s="23"/>
      <c r="G213" s="23"/>
      <c r="H213" s="23"/>
    </row>
    <row r="214" spans="1:8">
      <c r="A214" s="27"/>
      <c r="B214" s="27"/>
      <c r="C214" s="28"/>
      <c r="D214" s="28"/>
      <c r="E214" s="23"/>
      <c r="F214" s="23"/>
      <c r="G214" s="23"/>
      <c r="H214" s="23"/>
    </row>
    <row r="215" spans="1:8">
      <c r="A215" s="27"/>
      <c r="B215" s="27"/>
      <c r="C215" s="28"/>
      <c r="D215" s="28"/>
      <c r="E215" s="23"/>
      <c r="F215" s="23"/>
      <c r="G215" s="23"/>
      <c r="H215" s="23"/>
    </row>
    <row r="216" spans="1:8">
      <c r="A216" s="27"/>
      <c r="B216" s="27"/>
      <c r="C216" s="28"/>
      <c r="D216" s="28"/>
      <c r="E216" s="23"/>
      <c r="F216" s="23"/>
      <c r="G216" s="23"/>
      <c r="H216" s="23"/>
    </row>
    <row r="217" spans="1:8">
      <c r="A217" s="27"/>
      <c r="B217" s="27"/>
      <c r="C217" s="28"/>
      <c r="D217" s="28"/>
      <c r="E217" s="23"/>
      <c r="F217" s="23"/>
      <c r="G217" s="23"/>
      <c r="H217" s="23"/>
    </row>
    <row r="218" spans="1:8">
      <c r="A218" s="27"/>
      <c r="B218" s="27"/>
      <c r="C218" s="28"/>
      <c r="D218" s="28"/>
      <c r="E218" s="23"/>
      <c r="F218" s="23"/>
      <c r="G218" s="23"/>
      <c r="H218" s="23"/>
    </row>
    <row r="219" spans="1:8">
      <c r="A219" s="27"/>
      <c r="B219" s="27"/>
      <c r="C219" s="28"/>
      <c r="D219" s="28"/>
      <c r="E219" s="23"/>
      <c r="F219" s="23"/>
      <c r="G219" s="23"/>
      <c r="H219" s="23"/>
    </row>
    <row r="220" spans="1:8">
      <c r="A220" s="27"/>
      <c r="B220" s="27"/>
      <c r="C220" s="28"/>
      <c r="D220" s="28"/>
      <c r="E220" s="23"/>
      <c r="F220" s="23"/>
      <c r="G220" s="23"/>
      <c r="H220" s="23"/>
    </row>
    <row r="221" spans="1:8">
      <c r="A221" s="27"/>
      <c r="B221" s="27"/>
      <c r="C221" s="28"/>
      <c r="D221" s="28"/>
      <c r="E221" s="23"/>
      <c r="F221" s="23"/>
      <c r="G221" s="23"/>
      <c r="H221" s="23"/>
    </row>
    <row r="222" spans="1:8">
      <c r="A222" s="27"/>
      <c r="B222" s="27"/>
      <c r="C222" s="28"/>
      <c r="D222" s="28"/>
      <c r="E222" s="44"/>
      <c r="F222" s="44"/>
      <c r="G222" s="44"/>
      <c r="H222" s="44"/>
    </row>
    <row r="223" spans="1:8">
      <c r="A223" s="27"/>
      <c r="B223" s="27"/>
      <c r="C223" s="28"/>
      <c r="D223" s="28"/>
      <c r="E223" s="44"/>
      <c r="F223" s="44"/>
      <c r="G223" s="44"/>
      <c r="H223" s="44"/>
    </row>
    <row r="224" spans="1:8">
      <c r="A224" s="27"/>
      <c r="B224" s="27"/>
      <c r="C224" s="28"/>
      <c r="D224" s="28"/>
      <c r="E224" s="44"/>
      <c r="F224" s="44"/>
      <c r="G224" s="44"/>
      <c r="H224" s="44"/>
    </row>
    <row r="225" spans="1:8">
      <c r="A225" s="27"/>
      <c r="B225" s="27"/>
      <c r="C225" s="28"/>
      <c r="D225" s="28"/>
      <c r="E225" s="44"/>
      <c r="F225" s="44"/>
      <c r="G225" s="44"/>
      <c r="H225" s="44"/>
    </row>
    <row r="226" spans="1:8">
      <c r="A226" s="27"/>
      <c r="B226" s="27"/>
      <c r="C226" s="28"/>
      <c r="D226" s="28"/>
      <c r="E226" s="44"/>
      <c r="F226" s="44"/>
      <c r="G226" s="44"/>
      <c r="H226" s="44"/>
    </row>
    <row r="227" spans="1:8">
      <c r="A227" s="27"/>
      <c r="B227" s="27"/>
      <c r="C227" s="28"/>
      <c r="D227" s="28"/>
      <c r="E227" s="44"/>
      <c r="F227" s="44"/>
      <c r="G227" s="44"/>
      <c r="H227" s="44"/>
    </row>
    <row r="228" spans="1:8">
      <c r="A228" s="27"/>
      <c r="B228" s="27"/>
      <c r="C228" s="28"/>
      <c r="D228" s="28"/>
      <c r="E228" s="44"/>
      <c r="F228" s="44"/>
      <c r="G228" s="44"/>
      <c r="H228" s="44"/>
    </row>
    <row r="229" spans="1:8">
      <c r="A229" s="27"/>
      <c r="B229" s="27"/>
      <c r="C229" s="28"/>
      <c r="D229" s="28"/>
      <c r="E229" s="44"/>
      <c r="F229" s="44"/>
      <c r="G229" s="44"/>
      <c r="H229" s="44"/>
    </row>
    <row r="230" spans="1:8">
      <c r="A230" s="27"/>
      <c r="B230" s="27"/>
      <c r="C230" s="28"/>
      <c r="D230" s="28"/>
      <c r="E230" s="44"/>
      <c r="F230" s="44"/>
      <c r="G230" s="44"/>
      <c r="H230" s="44"/>
    </row>
    <row r="231" spans="1:8">
      <c r="A231" s="27"/>
      <c r="B231" s="27"/>
      <c r="C231" s="28"/>
      <c r="D231" s="28"/>
      <c r="E231" s="44"/>
      <c r="F231" s="44"/>
      <c r="G231" s="44"/>
      <c r="H231" s="44"/>
    </row>
    <row r="232" spans="1:8">
      <c r="A232" s="27"/>
      <c r="B232" s="27"/>
      <c r="C232" s="28"/>
      <c r="D232" s="28"/>
      <c r="E232" s="44"/>
      <c r="F232" s="44"/>
      <c r="G232" s="44"/>
      <c r="H232" s="44"/>
    </row>
    <row r="233" spans="1:8">
      <c r="A233" s="27"/>
      <c r="B233" s="27"/>
      <c r="C233" s="28"/>
      <c r="D233" s="28"/>
      <c r="E233" s="44"/>
      <c r="F233" s="44"/>
      <c r="G233" s="44"/>
      <c r="H233" s="44"/>
    </row>
    <row r="234" spans="1:8">
      <c r="A234" s="27"/>
      <c r="B234" s="27"/>
      <c r="C234" s="28"/>
      <c r="D234" s="28"/>
      <c r="E234" s="44"/>
      <c r="F234" s="44"/>
      <c r="G234" s="44"/>
      <c r="H234" s="44"/>
    </row>
    <row r="235" spans="1:8">
      <c r="A235" s="27"/>
      <c r="B235" s="27"/>
      <c r="C235" s="28"/>
      <c r="D235" s="28"/>
      <c r="E235" s="44"/>
      <c r="F235" s="44"/>
      <c r="G235" s="44"/>
      <c r="H235" s="44"/>
    </row>
    <row r="236" spans="1:8">
      <c r="A236" s="27"/>
      <c r="B236" s="27"/>
      <c r="C236" s="28"/>
      <c r="D236" s="28"/>
      <c r="E236" s="44"/>
      <c r="F236" s="44"/>
      <c r="G236" s="44"/>
      <c r="H236" s="44"/>
    </row>
    <row r="237" spans="1:8">
      <c r="A237" s="27"/>
      <c r="B237" s="27"/>
      <c r="C237" s="28"/>
      <c r="D237" s="28"/>
      <c r="E237" s="44"/>
      <c r="F237" s="44"/>
      <c r="G237" s="44"/>
      <c r="H237" s="44"/>
    </row>
    <row r="238" spans="1:8">
      <c r="A238" s="27"/>
      <c r="B238" s="27"/>
      <c r="C238" s="28"/>
      <c r="D238" s="28"/>
      <c r="E238" s="44"/>
      <c r="F238" s="44"/>
      <c r="G238" s="44"/>
      <c r="H238" s="44"/>
    </row>
    <row r="239" spans="1:8">
      <c r="A239" s="27"/>
      <c r="B239" s="27"/>
      <c r="C239" s="28"/>
      <c r="D239" s="28"/>
      <c r="E239" s="44"/>
      <c r="F239" s="44"/>
      <c r="G239" s="44"/>
      <c r="H239" s="44"/>
    </row>
    <row r="240" spans="1:8">
      <c r="A240" s="27"/>
      <c r="B240" s="27"/>
      <c r="C240" s="28"/>
      <c r="D240" s="28"/>
      <c r="E240" s="44"/>
      <c r="F240" s="44"/>
      <c r="G240" s="44"/>
      <c r="H240" s="44"/>
    </row>
    <row r="241" spans="1:8">
      <c r="A241" s="27"/>
      <c r="B241" s="27"/>
      <c r="C241" s="28"/>
      <c r="D241" s="28"/>
      <c r="E241" s="44"/>
      <c r="F241" s="44"/>
      <c r="G241" s="44"/>
      <c r="H241" s="44"/>
    </row>
    <row r="242" spans="1:8">
      <c r="A242" s="27"/>
      <c r="B242" s="27"/>
      <c r="C242" s="28"/>
      <c r="D242" s="28"/>
      <c r="E242" s="44"/>
      <c r="F242" s="44"/>
      <c r="G242" s="44"/>
      <c r="H242" s="44"/>
    </row>
    <row r="243" spans="1:8">
      <c r="A243" s="27"/>
      <c r="B243" s="27"/>
      <c r="C243" s="28"/>
      <c r="D243" s="28"/>
      <c r="E243" s="44"/>
      <c r="F243" s="44"/>
      <c r="G243" s="44"/>
      <c r="H243" s="44"/>
    </row>
    <row r="244" spans="1:8">
      <c r="A244" s="27"/>
      <c r="B244" s="27"/>
      <c r="C244" s="28"/>
      <c r="D244" s="28"/>
      <c r="E244" s="44"/>
      <c r="F244" s="44"/>
      <c r="G244" s="44"/>
      <c r="H244" s="44"/>
    </row>
    <row r="245" spans="1:8">
      <c r="A245" s="27"/>
      <c r="B245" s="27"/>
      <c r="C245" s="28"/>
      <c r="D245" s="28"/>
      <c r="E245" s="44"/>
      <c r="F245" s="44"/>
      <c r="G245" s="44"/>
      <c r="H245" s="44"/>
    </row>
    <row r="246" spans="1:8">
      <c r="A246" s="27"/>
      <c r="B246" s="27"/>
      <c r="C246" s="28"/>
      <c r="D246" s="28"/>
      <c r="E246" s="44"/>
      <c r="F246" s="44"/>
      <c r="G246" s="44"/>
      <c r="H246" s="44"/>
    </row>
    <row r="247" spans="1:8">
      <c r="A247" s="27"/>
      <c r="B247" s="27"/>
      <c r="C247" s="28"/>
      <c r="D247" s="28"/>
      <c r="E247" s="44"/>
      <c r="F247" s="44"/>
      <c r="G247" s="44"/>
      <c r="H247" s="44"/>
    </row>
    <row r="248" spans="1:8">
      <c r="A248" s="27"/>
      <c r="B248" s="27"/>
      <c r="C248" s="28"/>
      <c r="D248" s="28"/>
      <c r="E248" s="44"/>
      <c r="F248" s="44"/>
      <c r="G248" s="44"/>
      <c r="H248" s="44"/>
    </row>
    <row r="249" spans="1:8">
      <c r="A249" s="27"/>
      <c r="B249" s="27"/>
      <c r="C249" s="28"/>
      <c r="D249" s="28"/>
      <c r="E249" s="44"/>
      <c r="F249" s="44"/>
      <c r="G249" s="44"/>
      <c r="H249" s="44"/>
    </row>
    <row r="250" spans="1:8">
      <c r="A250" s="27"/>
      <c r="B250" s="27"/>
      <c r="C250" s="28"/>
      <c r="D250" s="28"/>
      <c r="E250" s="44"/>
      <c r="F250" s="44"/>
      <c r="G250" s="44"/>
      <c r="H250" s="44"/>
    </row>
    <row r="251" spans="1:8">
      <c r="A251" s="27"/>
      <c r="B251" s="27"/>
      <c r="C251" s="28"/>
      <c r="D251" s="28"/>
      <c r="E251" s="44"/>
      <c r="F251" s="44"/>
      <c r="G251" s="44"/>
      <c r="H251" s="44"/>
    </row>
    <row r="252" spans="1:8">
      <c r="A252" s="27"/>
      <c r="B252" s="27"/>
      <c r="C252" s="28"/>
      <c r="D252" s="28"/>
      <c r="E252" s="44"/>
      <c r="F252" s="44"/>
      <c r="G252" s="44"/>
      <c r="H252" s="44"/>
    </row>
    <row r="253" spans="1:8">
      <c r="A253" s="27"/>
      <c r="B253" s="27"/>
      <c r="C253" s="28"/>
      <c r="D253" s="28"/>
      <c r="E253" s="44"/>
      <c r="F253" s="44"/>
      <c r="G253" s="44"/>
      <c r="H253" s="44"/>
    </row>
    <row r="254" spans="1:8">
      <c r="A254" s="27"/>
      <c r="B254" s="27"/>
      <c r="C254" s="28"/>
      <c r="D254" s="28"/>
      <c r="E254" s="44"/>
      <c r="F254" s="44"/>
      <c r="G254" s="44"/>
      <c r="H254" s="44"/>
    </row>
    <row r="255" spans="1:8">
      <c r="A255" s="27"/>
      <c r="B255" s="27"/>
      <c r="C255" s="28"/>
      <c r="D255" s="28"/>
      <c r="E255" s="44"/>
      <c r="F255" s="44"/>
      <c r="G255" s="44"/>
      <c r="H255" s="44"/>
    </row>
    <row r="256" spans="1:8">
      <c r="A256" s="27"/>
      <c r="B256" s="27"/>
      <c r="C256" s="28"/>
      <c r="D256" s="28"/>
      <c r="E256" s="44"/>
      <c r="F256" s="44"/>
      <c r="G256" s="44"/>
      <c r="H256" s="44"/>
    </row>
    <row r="257" spans="1:8">
      <c r="A257" s="27"/>
      <c r="B257" s="27"/>
      <c r="C257" s="28"/>
      <c r="D257" s="28"/>
      <c r="E257" s="44"/>
      <c r="F257" s="44"/>
      <c r="G257" s="44"/>
      <c r="H257" s="44"/>
    </row>
    <row r="258" spans="1:8">
      <c r="A258" s="27"/>
      <c r="B258" s="27"/>
      <c r="C258" s="28"/>
      <c r="D258" s="28"/>
      <c r="E258" s="44"/>
      <c r="F258" s="44"/>
      <c r="G258" s="44"/>
      <c r="H258" s="44"/>
    </row>
    <row r="259" spans="1:8">
      <c r="A259" s="27"/>
      <c r="B259" s="27"/>
      <c r="C259" s="28"/>
      <c r="D259" s="28"/>
      <c r="E259" s="44"/>
      <c r="F259" s="44"/>
      <c r="G259" s="44"/>
      <c r="H259" s="44"/>
    </row>
    <row r="260" spans="1:8">
      <c r="A260" s="27"/>
      <c r="B260" s="27"/>
      <c r="C260" s="28"/>
      <c r="D260" s="28"/>
      <c r="E260" s="44"/>
      <c r="F260" s="44"/>
      <c r="G260" s="44"/>
      <c r="H260" s="44"/>
    </row>
    <row r="261" spans="1:8">
      <c r="A261" s="27"/>
      <c r="B261" s="27"/>
      <c r="C261" s="28"/>
      <c r="D261" s="28"/>
      <c r="E261" s="44"/>
      <c r="F261" s="44"/>
      <c r="G261" s="44"/>
      <c r="H261" s="44"/>
    </row>
    <row r="262" spans="1:8">
      <c r="A262" s="27"/>
      <c r="B262" s="27"/>
      <c r="C262" s="28"/>
      <c r="D262" s="28"/>
      <c r="E262" s="44"/>
      <c r="F262" s="44"/>
      <c r="G262" s="44"/>
      <c r="H262" s="44"/>
    </row>
    <row r="263" spans="1:8">
      <c r="A263" s="27"/>
      <c r="B263" s="27"/>
      <c r="C263" s="28"/>
      <c r="D263" s="28"/>
      <c r="E263" s="44"/>
      <c r="F263" s="44"/>
      <c r="G263" s="44"/>
      <c r="H263" s="44"/>
    </row>
    <row r="264" spans="1:8">
      <c r="A264" s="27"/>
      <c r="B264" s="27"/>
      <c r="C264" s="28"/>
      <c r="D264" s="28"/>
      <c r="E264" s="44"/>
      <c r="F264" s="44"/>
      <c r="G264" s="44"/>
      <c r="H264" s="44"/>
    </row>
    <row r="265" spans="1:8">
      <c r="A265" s="27"/>
      <c r="B265" s="27"/>
      <c r="C265" s="28"/>
      <c r="D265" s="28"/>
      <c r="E265" s="44"/>
      <c r="F265" s="44"/>
      <c r="G265" s="44"/>
      <c r="H265" s="44"/>
    </row>
    <row r="266" spans="1:8">
      <c r="A266" s="27"/>
      <c r="B266" s="27"/>
      <c r="C266" s="28"/>
      <c r="D266" s="28"/>
      <c r="E266" s="44"/>
      <c r="F266" s="44"/>
      <c r="G266" s="44"/>
      <c r="H266" s="44"/>
    </row>
    <row r="267" spans="1:8">
      <c r="A267" s="27"/>
      <c r="B267" s="27"/>
      <c r="C267" s="28"/>
      <c r="D267" s="28"/>
      <c r="E267" s="44"/>
      <c r="F267" s="44"/>
      <c r="G267" s="44"/>
      <c r="H267" s="44"/>
    </row>
    <row r="268" spans="1:8">
      <c r="A268" s="27"/>
      <c r="B268" s="27"/>
      <c r="C268" s="28"/>
      <c r="D268" s="28"/>
      <c r="E268" s="44"/>
      <c r="F268" s="44"/>
      <c r="G268" s="44"/>
      <c r="H268" s="44"/>
    </row>
    <row r="269" spans="1:8">
      <c r="A269" s="27"/>
      <c r="B269" s="27"/>
      <c r="C269" s="28"/>
      <c r="D269" s="28"/>
      <c r="E269" s="44"/>
      <c r="F269" s="44"/>
      <c r="G269" s="44"/>
      <c r="H269" s="44"/>
    </row>
    <row r="270" spans="1:8">
      <c r="A270" s="27"/>
      <c r="B270" s="27"/>
      <c r="C270" s="28"/>
      <c r="D270" s="28"/>
      <c r="E270" s="44"/>
      <c r="F270" s="44"/>
      <c r="G270" s="44"/>
      <c r="H270" s="44"/>
    </row>
    <row r="271" spans="1:8">
      <c r="A271" s="27"/>
      <c r="B271" s="27"/>
      <c r="C271" s="28"/>
      <c r="D271" s="28"/>
      <c r="E271" s="44"/>
      <c r="F271" s="44"/>
      <c r="G271" s="44"/>
      <c r="H271" s="44"/>
    </row>
    <row r="272" spans="1:8">
      <c r="A272" s="27"/>
      <c r="B272" s="27"/>
      <c r="C272" s="28"/>
      <c r="D272" s="28"/>
      <c r="E272" s="44"/>
      <c r="F272" s="44"/>
      <c r="G272" s="44"/>
      <c r="H272" s="44"/>
    </row>
    <row r="273" spans="1:8">
      <c r="A273" s="27"/>
      <c r="B273" s="27"/>
      <c r="C273" s="28"/>
      <c r="D273" s="28"/>
      <c r="E273" s="44"/>
      <c r="F273" s="44"/>
      <c r="G273" s="44"/>
      <c r="H273" s="44"/>
    </row>
    <row r="274" spans="1:8">
      <c r="A274" s="27"/>
      <c r="B274" s="27"/>
      <c r="C274" s="28"/>
      <c r="D274" s="28"/>
      <c r="E274" s="44"/>
      <c r="F274" s="44"/>
      <c r="G274" s="44"/>
      <c r="H274" s="44"/>
    </row>
    <row r="275" spans="1:8">
      <c r="A275" s="27"/>
      <c r="B275" s="27"/>
      <c r="C275" s="28"/>
      <c r="D275" s="28"/>
      <c r="E275" s="44"/>
      <c r="F275" s="44"/>
      <c r="G275" s="44"/>
      <c r="H275" s="44"/>
    </row>
    <row r="276" spans="1:8">
      <c r="A276" s="27"/>
      <c r="B276" s="27"/>
      <c r="C276" s="28"/>
      <c r="D276" s="28"/>
      <c r="E276" s="44"/>
      <c r="F276" s="44"/>
      <c r="G276" s="44"/>
      <c r="H276" s="44"/>
    </row>
    <row r="277" spans="1:8">
      <c r="A277" s="27"/>
      <c r="B277" s="27"/>
      <c r="C277" s="28"/>
      <c r="D277" s="28"/>
      <c r="E277" s="44"/>
      <c r="F277" s="44"/>
      <c r="G277" s="44"/>
      <c r="H277" s="44"/>
    </row>
    <row r="278" spans="1:8">
      <c r="A278" s="27"/>
      <c r="B278" s="27"/>
      <c r="C278" s="28"/>
      <c r="D278" s="28"/>
      <c r="E278" s="44"/>
      <c r="F278" s="44"/>
      <c r="G278" s="44"/>
      <c r="H278" s="44"/>
    </row>
    <row r="279" spans="1:8">
      <c r="A279" s="27"/>
      <c r="B279" s="27"/>
      <c r="C279" s="28"/>
      <c r="D279" s="28"/>
      <c r="E279" s="44"/>
      <c r="F279" s="44"/>
      <c r="G279" s="44"/>
      <c r="H279" s="44"/>
    </row>
    <row r="280" spans="1:8">
      <c r="A280" s="27"/>
      <c r="B280" s="27"/>
      <c r="C280" s="28"/>
      <c r="D280" s="28"/>
      <c r="E280" s="44"/>
      <c r="F280" s="44"/>
      <c r="G280" s="44"/>
      <c r="H280" s="44"/>
    </row>
    <row r="281" spans="1:8">
      <c r="A281" s="27"/>
      <c r="B281" s="27"/>
      <c r="C281" s="28"/>
      <c r="D281" s="28"/>
      <c r="E281" s="44"/>
      <c r="F281" s="44"/>
      <c r="G281" s="44"/>
      <c r="H281" s="44"/>
    </row>
    <row r="282" spans="1:8">
      <c r="A282" s="27"/>
      <c r="B282" s="27"/>
      <c r="C282" s="28"/>
      <c r="D282" s="28"/>
      <c r="E282" s="44"/>
      <c r="F282" s="44"/>
      <c r="G282" s="44"/>
      <c r="H282" s="44"/>
    </row>
    <row r="283" spans="1:8">
      <c r="A283" s="27"/>
      <c r="B283" s="27"/>
      <c r="C283" s="28"/>
      <c r="D283" s="28"/>
      <c r="E283" s="44"/>
      <c r="F283" s="44"/>
      <c r="G283" s="44"/>
      <c r="H283" s="44"/>
    </row>
    <row r="284" spans="1:8">
      <c r="A284" s="27"/>
      <c r="B284" s="27"/>
      <c r="C284" s="28"/>
      <c r="D284" s="28"/>
      <c r="E284" s="44"/>
      <c r="F284" s="44"/>
      <c r="G284" s="44"/>
      <c r="H284" s="44"/>
    </row>
    <row r="285" spans="1:8">
      <c r="A285" s="27"/>
      <c r="B285" s="27"/>
      <c r="C285" s="28"/>
      <c r="D285" s="28"/>
      <c r="E285" s="44"/>
      <c r="F285" s="44"/>
      <c r="G285" s="44"/>
      <c r="H285" s="44"/>
    </row>
    <row r="286" spans="1:8">
      <c r="A286" s="27"/>
      <c r="B286" s="27"/>
      <c r="C286" s="28"/>
      <c r="D286" s="28"/>
      <c r="E286" s="44"/>
      <c r="F286" s="44"/>
      <c r="G286" s="44"/>
      <c r="H286" s="44"/>
    </row>
    <row r="287" spans="1:8">
      <c r="A287" s="27"/>
      <c r="B287" s="27"/>
      <c r="C287" s="28"/>
      <c r="D287" s="28"/>
      <c r="E287" s="44"/>
      <c r="F287" s="44"/>
      <c r="G287" s="44"/>
      <c r="H287" s="44"/>
    </row>
    <row r="288" spans="1:8">
      <c r="A288" s="27"/>
      <c r="B288" s="27"/>
      <c r="C288" s="28"/>
      <c r="D288" s="28"/>
      <c r="E288" s="44"/>
      <c r="F288" s="44"/>
      <c r="G288" s="44"/>
      <c r="H288" s="44"/>
    </row>
    <row r="289" spans="1:8">
      <c r="A289" s="27"/>
      <c r="B289" s="27"/>
      <c r="C289" s="28"/>
      <c r="D289" s="28"/>
      <c r="E289" s="44"/>
      <c r="F289" s="44"/>
      <c r="G289" s="44"/>
      <c r="H289" s="44"/>
    </row>
    <row r="290" spans="1:8">
      <c r="A290" s="27"/>
      <c r="B290" s="27"/>
      <c r="C290" s="28"/>
      <c r="D290" s="28"/>
      <c r="E290" s="44"/>
      <c r="F290" s="44"/>
      <c r="G290" s="44"/>
      <c r="H290" s="44"/>
    </row>
    <row r="291" spans="1:8">
      <c r="A291" s="27"/>
      <c r="B291" s="27"/>
      <c r="C291" s="28"/>
      <c r="D291" s="28"/>
      <c r="E291" s="44"/>
      <c r="F291" s="44"/>
      <c r="G291" s="44"/>
      <c r="H291" s="44"/>
    </row>
    <row r="292" spans="1:8">
      <c r="A292" s="27"/>
      <c r="B292" s="27"/>
      <c r="C292" s="28"/>
      <c r="D292" s="28"/>
      <c r="E292" s="44"/>
      <c r="F292" s="44"/>
      <c r="G292" s="44"/>
      <c r="H292" s="44"/>
    </row>
    <row r="293" spans="1:8">
      <c r="A293" s="27"/>
      <c r="B293" s="27"/>
      <c r="C293" s="28"/>
      <c r="D293" s="28"/>
      <c r="E293" s="44"/>
      <c r="F293" s="44"/>
      <c r="G293" s="44"/>
      <c r="H293" s="44"/>
    </row>
    <row r="294" spans="1:8">
      <c r="A294" s="27"/>
      <c r="B294" s="27"/>
      <c r="C294" s="28"/>
      <c r="D294" s="28"/>
      <c r="E294" s="44"/>
      <c r="F294" s="44"/>
      <c r="G294" s="44"/>
      <c r="H294" s="44"/>
    </row>
    <row r="295" spans="1:8">
      <c r="A295" s="27"/>
      <c r="B295" s="27"/>
      <c r="C295" s="28"/>
      <c r="D295" s="28"/>
      <c r="E295" s="44"/>
      <c r="F295" s="44"/>
      <c r="G295" s="44"/>
      <c r="H295" s="44"/>
    </row>
    <row r="296" spans="1:8">
      <c r="A296" s="27"/>
      <c r="B296" s="27"/>
      <c r="C296" s="28"/>
      <c r="D296" s="28"/>
      <c r="E296" s="44"/>
      <c r="F296" s="44"/>
      <c r="G296" s="44"/>
      <c r="H296" s="44"/>
    </row>
    <row r="297" spans="1:8">
      <c r="A297" s="27"/>
      <c r="B297" s="27"/>
      <c r="C297" s="28"/>
      <c r="D297" s="28"/>
      <c r="E297" s="44"/>
      <c r="F297" s="44"/>
      <c r="G297" s="44"/>
      <c r="H297" s="44"/>
    </row>
    <row r="298" spans="1:8">
      <c r="A298" s="27"/>
      <c r="B298" s="27"/>
      <c r="C298" s="28"/>
      <c r="D298" s="28"/>
      <c r="E298" s="44"/>
      <c r="F298" s="44"/>
      <c r="G298" s="44"/>
      <c r="H298" s="44"/>
    </row>
    <row r="299" spans="1:8">
      <c r="A299" s="27"/>
      <c r="B299" s="27"/>
      <c r="C299" s="28"/>
      <c r="D299" s="28"/>
      <c r="E299" s="44"/>
      <c r="F299" s="44"/>
      <c r="G299" s="44"/>
      <c r="H299" s="44"/>
    </row>
    <row r="300" spans="1:8">
      <c r="A300" s="27"/>
      <c r="B300" s="27"/>
      <c r="C300" s="28"/>
      <c r="D300" s="28"/>
      <c r="E300" s="44"/>
      <c r="F300" s="44"/>
      <c r="G300" s="44"/>
      <c r="H300" s="44"/>
    </row>
    <row r="301" spans="1:8">
      <c r="A301" s="27"/>
      <c r="B301" s="27"/>
      <c r="C301" s="28"/>
      <c r="D301" s="28"/>
      <c r="E301" s="44"/>
      <c r="F301" s="44"/>
      <c r="G301" s="44"/>
      <c r="H301" s="44"/>
    </row>
    <row r="302" spans="1:8">
      <c r="A302" s="27"/>
      <c r="B302" s="27"/>
      <c r="C302" s="28"/>
      <c r="D302" s="28"/>
      <c r="E302" s="44"/>
      <c r="F302" s="44"/>
      <c r="G302" s="44"/>
      <c r="H302" s="44"/>
    </row>
    <row r="303" spans="1:8">
      <c r="A303" s="27"/>
      <c r="B303" s="27"/>
      <c r="C303" s="28"/>
      <c r="D303" s="28"/>
      <c r="E303" s="44"/>
      <c r="F303" s="44"/>
      <c r="G303" s="44"/>
      <c r="H303" s="44"/>
    </row>
    <row r="304" spans="1:8">
      <c r="A304" s="27"/>
      <c r="B304" s="27"/>
      <c r="C304" s="28"/>
      <c r="D304" s="28"/>
      <c r="E304" s="44"/>
      <c r="F304" s="44"/>
      <c r="G304" s="44"/>
      <c r="H304" s="44"/>
    </row>
    <row r="305" spans="1:8">
      <c r="A305" s="27"/>
      <c r="B305" s="27"/>
      <c r="C305" s="28"/>
      <c r="D305" s="28"/>
      <c r="E305" s="44"/>
      <c r="F305" s="44"/>
      <c r="G305" s="44"/>
      <c r="H305" s="44"/>
    </row>
    <row r="306" spans="1:8">
      <c r="A306" s="27"/>
      <c r="B306" s="27"/>
      <c r="C306" s="28"/>
      <c r="D306" s="28"/>
      <c r="E306" s="44"/>
      <c r="F306" s="44"/>
      <c r="G306" s="44"/>
      <c r="H306" s="44"/>
    </row>
    <row r="307" spans="1:8">
      <c r="A307" s="27"/>
      <c r="B307" s="27"/>
      <c r="C307" s="28"/>
      <c r="D307" s="28"/>
      <c r="E307" s="44"/>
      <c r="F307" s="44"/>
      <c r="G307" s="44"/>
      <c r="H307" s="44"/>
    </row>
    <row r="308" spans="1:8">
      <c r="A308" s="27"/>
      <c r="B308" s="27"/>
      <c r="C308" s="28"/>
      <c r="D308" s="28"/>
      <c r="E308" s="44"/>
      <c r="F308" s="44"/>
      <c r="G308" s="44"/>
      <c r="H308" s="44"/>
    </row>
    <row r="309" spans="1:8">
      <c r="A309" s="27"/>
      <c r="B309" s="27"/>
      <c r="C309" s="28"/>
      <c r="D309" s="28"/>
      <c r="E309" s="44"/>
      <c r="F309" s="44"/>
      <c r="G309" s="44"/>
      <c r="H309" s="44"/>
    </row>
    <row r="310" spans="1:8">
      <c r="A310" s="27"/>
      <c r="B310" s="27"/>
      <c r="C310" s="28"/>
      <c r="D310" s="28"/>
      <c r="E310" s="44"/>
      <c r="F310" s="44"/>
      <c r="G310" s="44"/>
      <c r="H310" s="44"/>
    </row>
    <row r="311" spans="1:8">
      <c r="A311" s="27"/>
      <c r="B311" s="27"/>
      <c r="C311" s="28"/>
      <c r="D311" s="28"/>
      <c r="E311" s="44"/>
      <c r="F311" s="44"/>
      <c r="G311" s="44"/>
      <c r="H311" s="44"/>
    </row>
    <row r="312" spans="1:8">
      <c r="A312" s="27"/>
      <c r="B312" s="27"/>
      <c r="C312" s="28"/>
      <c r="D312" s="28"/>
      <c r="E312" s="44"/>
      <c r="F312" s="44"/>
      <c r="G312" s="44"/>
      <c r="H312" s="44"/>
    </row>
    <row r="313" spans="1:8">
      <c r="A313" s="27"/>
      <c r="B313" s="27"/>
      <c r="C313" s="28"/>
      <c r="D313" s="28"/>
      <c r="E313" s="44"/>
      <c r="F313" s="44"/>
      <c r="G313" s="44"/>
      <c r="H313" s="44"/>
    </row>
    <row r="314" spans="1:8">
      <c r="A314" s="27"/>
      <c r="B314" s="27"/>
      <c r="C314" s="28"/>
      <c r="D314" s="28"/>
      <c r="E314" s="44"/>
      <c r="F314" s="44"/>
      <c r="G314" s="44"/>
      <c r="H314" s="44"/>
    </row>
    <row r="315" spans="1:8">
      <c r="A315" s="27"/>
      <c r="B315" s="27"/>
      <c r="C315" s="28"/>
      <c r="D315" s="28"/>
      <c r="E315" s="44"/>
      <c r="F315" s="44"/>
      <c r="G315" s="44"/>
      <c r="H315" s="44"/>
    </row>
    <row r="316" spans="1:8">
      <c r="A316" s="27"/>
      <c r="B316" s="27"/>
      <c r="C316" s="28"/>
      <c r="D316" s="28"/>
      <c r="E316" s="44"/>
      <c r="F316" s="44"/>
      <c r="G316" s="44"/>
      <c r="H316" s="44"/>
    </row>
    <row r="317" spans="1:8">
      <c r="A317" s="27"/>
      <c r="B317" s="27"/>
      <c r="C317" s="28"/>
      <c r="D317" s="28"/>
      <c r="E317" s="44"/>
      <c r="F317" s="44"/>
      <c r="G317" s="44"/>
      <c r="H317" s="44"/>
    </row>
    <row r="318" spans="1:8">
      <c r="A318" s="27"/>
      <c r="B318" s="27"/>
      <c r="C318" s="28"/>
      <c r="D318" s="28"/>
      <c r="E318" s="44"/>
      <c r="F318" s="44"/>
      <c r="G318" s="44"/>
      <c r="H318" s="44"/>
    </row>
    <row r="319" spans="1:8">
      <c r="A319" s="27"/>
      <c r="B319" s="27"/>
      <c r="C319" s="28"/>
      <c r="D319" s="28"/>
      <c r="E319" s="44"/>
      <c r="F319" s="44"/>
      <c r="G319" s="44"/>
      <c r="H319" s="44"/>
    </row>
    <row r="320" spans="1:8">
      <c r="A320" s="27"/>
      <c r="B320" s="27"/>
      <c r="C320" s="28"/>
      <c r="D320" s="28"/>
      <c r="E320" s="44"/>
      <c r="F320" s="44"/>
      <c r="G320" s="44"/>
      <c r="H320" s="44"/>
    </row>
    <row r="321" spans="1:8">
      <c r="A321" s="27"/>
      <c r="B321" s="27"/>
      <c r="C321" s="28"/>
      <c r="D321" s="28"/>
      <c r="E321" s="44"/>
      <c r="F321" s="44"/>
      <c r="G321" s="44"/>
      <c r="H321" s="44"/>
    </row>
    <row r="322" spans="1:8">
      <c r="A322" s="27"/>
      <c r="B322" s="27"/>
      <c r="C322" s="28"/>
      <c r="D322" s="28"/>
      <c r="E322" s="44"/>
      <c r="F322" s="44"/>
      <c r="G322" s="44"/>
      <c r="H322" s="44"/>
    </row>
    <row r="323" spans="1:8">
      <c r="A323" s="27"/>
      <c r="B323" s="27"/>
      <c r="C323" s="28"/>
      <c r="D323" s="28"/>
      <c r="E323" s="44"/>
      <c r="F323" s="44"/>
      <c r="G323" s="44"/>
      <c r="H323" s="44"/>
    </row>
    <row r="324" spans="1:8">
      <c r="A324" s="27"/>
      <c r="B324" s="27"/>
      <c r="C324" s="28"/>
      <c r="D324" s="28"/>
      <c r="E324" s="44"/>
      <c r="F324" s="44"/>
      <c r="G324" s="44"/>
      <c r="H324" s="44"/>
    </row>
    <row r="325" spans="1:8">
      <c r="A325" s="27"/>
      <c r="B325" s="27"/>
      <c r="C325" s="28"/>
      <c r="D325" s="28"/>
      <c r="E325" s="44"/>
      <c r="F325" s="44"/>
      <c r="G325" s="44"/>
      <c r="H325" s="44"/>
    </row>
    <row r="326" spans="1:8">
      <c r="A326" s="27"/>
      <c r="B326" s="27"/>
      <c r="C326" s="28"/>
      <c r="D326" s="28"/>
      <c r="E326" s="44"/>
      <c r="F326" s="44"/>
      <c r="G326" s="44"/>
      <c r="H326" s="44"/>
    </row>
    <row r="327" spans="1:8">
      <c r="A327" s="27"/>
      <c r="B327" s="27"/>
      <c r="C327" s="28"/>
      <c r="D327" s="28"/>
      <c r="E327" s="44"/>
      <c r="F327" s="44"/>
      <c r="G327" s="44"/>
      <c r="H327" s="44"/>
    </row>
    <row r="328" spans="1:8">
      <c r="A328" s="27"/>
      <c r="B328" s="27"/>
      <c r="C328" s="28"/>
      <c r="D328" s="28"/>
      <c r="E328" s="44"/>
      <c r="F328" s="44"/>
      <c r="G328" s="44"/>
      <c r="H328" s="44"/>
    </row>
    <row r="329" spans="1:8">
      <c r="A329" s="27"/>
      <c r="B329" s="27"/>
      <c r="C329" s="28"/>
      <c r="D329" s="28"/>
      <c r="E329" s="44"/>
      <c r="F329" s="44"/>
      <c r="G329" s="44"/>
      <c r="H329" s="44"/>
    </row>
    <row r="330" spans="1:8">
      <c r="A330" s="27"/>
      <c r="B330" s="27"/>
      <c r="C330" s="28"/>
      <c r="D330" s="28"/>
      <c r="E330" s="44"/>
      <c r="F330" s="44"/>
      <c r="G330" s="44"/>
      <c r="H330" s="44"/>
    </row>
    <row r="331" spans="1:8">
      <c r="A331" s="27"/>
      <c r="B331" s="27"/>
      <c r="C331" s="28"/>
      <c r="D331" s="28"/>
      <c r="E331" s="44"/>
      <c r="F331" s="44"/>
      <c r="G331" s="44"/>
      <c r="H331" s="44"/>
    </row>
    <row r="332" spans="1:8">
      <c r="A332" s="27"/>
      <c r="B332" s="27"/>
      <c r="C332" s="28"/>
      <c r="D332" s="28"/>
      <c r="E332" s="44"/>
      <c r="F332" s="44"/>
      <c r="G332" s="44"/>
      <c r="H332" s="44"/>
    </row>
    <row r="333" spans="1:8">
      <c r="A333" s="27"/>
      <c r="B333" s="27"/>
      <c r="C333" s="28"/>
      <c r="D333" s="28"/>
      <c r="E333" s="44"/>
      <c r="F333" s="44"/>
      <c r="G333" s="44"/>
      <c r="H333" s="44"/>
    </row>
    <row r="334" spans="1:8">
      <c r="A334" s="27"/>
      <c r="B334" s="27"/>
      <c r="C334" s="28"/>
      <c r="D334" s="28"/>
      <c r="E334" s="44"/>
      <c r="F334" s="44"/>
      <c r="G334" s="44"/>
      <c r="H334" s="44"/>
    </row>
    <row r="335" spans="1:8">
      <c r="A335" s="27"/>
      <c r="B335" s="27"/>
      <c r="C335" s="28"/>
      <c r="D335" s="28"/>
      <c r="E335" s="44"/>
      <c r="F335" s="44"/>
      <c r="G335" s="44"/>
      <c r="H335" s="44"/>
    </row>
    <row r="336" spans="1:8">
      <c r="A336" s="27"/>
      <c r="B336" s="27"/>
      <c r="C336" s="28"/>
      <c r="D336" s="28"/>
      <c r="E336" s="44"/>
      <c r="F336" s="44"/>
      <c r="G336" s="44"/>
      <c r="H336" s="44"/>
    </row>
    <row r="337" spans="1:8">
      <c r="A337" s="27"/>
      <c r="B337" s="27"/>
      <c r="C337" s="28"/>
      <c r="D337" s="28"/>
      <c r="E337" s="44"/>
      <c r="F337" s="44"/>
      <c r="G337" s="44"/>
      <c r="H337" s="44"/>
    </row>
    <row r="338" spans="1:8">
      <c r="A338" s="27"/>
      <c r="B338" s="27"/>
      <c r="C338" s="28"/>
      <c r="D338" s="28"/>
      <c r="E338" s="44"/>
      <c r="F338" s="44"/>
      <c r="G338" s="44"/>
      <c r="H338" s="44"/>
    </row>
    <row r="339" spans="1:8">
      <c r="A339" s="27"/>
      <c r="B339" s="27"/>
      <c r="C339" s="28"/>
      <c r="D339" s="28"/>
      <c r="E339" s="44"/>
      <c r="F339" s="44"/>
      <c r="G339" s="44"/>
      <c r="H339" s="44"/>
    </row>
    <row r="340" spans="1:8">
      <c r="A340" s="27"/>
      <c r="B340" s="27"/>
      <c r="C340" s="28"/>
      <c r="D340" s="28"/>
      <c r="E340" s="44"/>
      <c r="F340" s="44"/>
      <c r="G340" s="44"/>
      <c r="H340" s="44"/>
    </row>
    <row r="341" spans="1:8">
      <c r="A341" s="27"/>
      <c r="B341" s="27"/>
      <c r="C341" s="28"/>
      <c r="D341" s="28"/>
      <c r="E341" s="44"/>
      <c r="F341" s="44"/>
      <c r="G341" s="44"/>
      <c r="H341" s="44"/>
    </row>
    <row r="342" spans="1:8">
      <c r="A342" s="27"/>
      <c r="B342" s="27"/>
      <c r="C342" s="28"/>
      <c r="D342" s="28"/>
      <c r="E342" s="44"/>
      <c r="F342" s="44"/>
      <c r="G342" s="44"/>
      <c r="H342" s="44"/>
    </row>
    <row r="343" spans="1:8">
      <c r="A343" s="27"/>
      <c r="B343" s="27"/>
      <c r="C343" s="28"/>
      <c r="D343" s="28"/>
      <c r="E343" s="44"/>
      <c r="F343" s="44"/>
      <c r="G343" s="44"/>
      <c r="H343" s="44"/>
    </row>
    <row r="344" spans="1:8">
      <c r="A344" s="27"/>
      <c r="B344" s="27"/>
      <c r="C344" s="28"/>
      <c r="D344" s="28"/>
      <c r="E344" s="44"/>
      <c r="F344" s="44"/>
      <c r="G344" s="44"/>
      <c r="H344" s="44"/>
    </row>
    <row r="345" spans="1:8">
      <c r="A345" s="27"/>
      <c r="B345" s="27"/>
      <c r="C345" s="28"/>
      <c r="D345" s="28"/>
      <c r="E345" s="44"/>
      <c r="F345" s="44"/>
      <c r="G345" s="44"/>
      <c r="H345" s="44"/>
    </row>
    <row r="346" spans="1:8">
      <c r="A346" s="27"/>
      <c r="B346" s="27"/>
      <c r="C346" s="28"/>
      <c r="D346" s="28"/>
      <c r="E346" s="44"/>
      <c r="F346" s="44"/>
      <c r="G346" s="44"/>
      <c r="H346" s="44"/>
    </row>
    <row r="347" spans="1:8">
      <c r="A347" s="27"/>
      <c r="B347" s="27"/>
      <c r="C347" s="28"/>
      <c r="D347" s="28"/>
      <c r="E347" s="44"/>
      <c r="F347" s="44"/>
      <c r="G347" s="44"/>
      <c r="H347" s="44"/>
    </row>
    <row r="348" spans="1:8">
      <c r="A348" s="27"/>
      <c r="B348" s="27"/>
      <c r="C348" s="28"/>
      <c r="D348" s="28"/>
      <c r="E348" s="44"/>
      <c r="F348" s="44"/>
      <c r="G348" s="44"/>
      <c r="H348" s="44"/>
    </row>
    <row r="349" spans="1:8">
      <c r="A349" s="27"/>
      <c r="B349" s="27"/>
      <c r="C349" s="28"/>
      <c r="D349" s="28"/>
      <c r="E349" s="44"/>
      <c r="F349" s="44"/>
      <c r="G349" s="44"/>
      <c r="H349" s="44"/>
    </row>
    <row r="350" spans="1:8">
      <c r="A350" s="27"/>
      <c r="B350" s="27"/>
      <c r="C350" s="28"/>
      <c r="D350" s="28"/>
      <c r="E350" s="44"/>
      <c r="F350" s="44"/>
      <c r="G350" s="44"/>
      <c r="H350" s="44"/>
    </row>
    <row r="351" spans="1:8">
      <c r="A351" s="27"/>
      <c r="B351" s="27"/>
      <c r="C351" s="28"/>
      <c r="D351" s="28"/>
      <c r="E351" s="44"/>
      <c r="F351" s="44"/>
      <c r="G351" s="44"/>
      <c r="H351" s="44"/>
    </row>
    <row r="352" spans="1:8">
      <c r="A352" s="27"/>
      <c r="B352" s="27"/>
      <c r="C352" s="28"/>
      <c r="D352" s="28"/>
      <c r="E352" s="44"/>
      <c r="F352" s="44"/>
      <c r="G352" s="44"/>
      <c r="H352" s="44"/>
    </row>
    <row r="353" spans="1:8">
      <c r="A353" s="27"/>
      <c r="B353" s="27"/>
      <c r="C353" s="28"/>
      <c r="D353" s="28"/>
      <c r="E353" s="44"/>
      <c r="F353" s="44"/>
      <c r="G353" s="44"/>
      <c r="H353" s="44"/>
    </row>
    <row r="354" spans="1:8">
      <c r="A354" s="27"/>
      <c r="B354" s="27"/>
      <c r="C354" s="28"/>
      <c r="D354" s="28"/>
      <c r="E354" s="44"/>
      <c r="F354" s="44"/>
      <c r="G354" s="44"/>
      <c r="H354" s="44"/>
    </row>
    <row r="355" spans="1:8">
      <c r="A355" s="27"/>
      <c r="B355" s="27"/>
      <c r="C355" s="28"/>
      <c r="D355" s="28"/>
      <c r="E355" s="44"/>
      <c r="F355" s="44"/>
      <c r="G355" s="44"/>
      <c r="H355" s="44"/>
    </row>
    <row r="356" spans="1:8">
      <c r="A356" s="27"/>
      <c r="B356" s="27"/>
      <c r="C356" s="28"/>
      <c r="D356" s="28"/>
      <c r="E356" s="44"/>
      <c r="F356" s="44"/>
      <c r="G356" s="44"/>
      <c r="H356" s="44"/>
    </row>
    <row r="357" spans="1:8">
      <c r="A357" s="27"/>
      <c r="B357" s="27"/>
      <c r="C357" s="28"/>
      <c r="D357" s="28"/>
      <c r="E357" s="44"/>
      <c r="F357" s="44"/>
      <c r="G357" s="44"/>
      <c r="H357" s="44"/>
    </row>
    <row r="358" spans="1:8">
      <c r="A358" s="27"/>
      <c r="B358" s="27"/>
      <c r="C358" s="28"/>
      <c r="D358" s="28"/>
      <c r="E358" s="44"/>
      <c r="F358" s="44"/>
      <c r="G358" s="44"/>
      <c r="H358" s="44"/>
    </row>
    <row r="359" spans="1:8">
      <c r="A359" s="27"/>
      <c r="B359" s="27"/>
      <c r="C359" s="28"/>
      <c r="D359" s="28"/>
      <c r="E359" s="44"/>
      <c r="F359" s="44"/>
      <c r="G359" s="44"/>
      <c r="H359" s="44"/>
    </row>
    <row r="360" spans="1:8">
      <c r="A360" s="27"/>
      <c r="B360" s="27"/>
      <c r="C360" s="28"/>
      <c r="D360" s="28"/>
      <c r="E360" s="44"/>
      <c r="F360" s="44"/>
      <c r="G360" s="44"/>
      <c r="H360" s="44"/>
    </row>
    <row r="361" spans="1:8">
      <c r="A361" s="27"/>
      <c r="B361" s="27"/>
      <c r="C361" s="28"/>
      <c r="D361" s="28"/>
      <c r="E361" s="44"/>
      <c r="F361" s="44"/>
      <c r="G361" s="44"/>
      <c r="H361" s="44"/>
    </row>
    <row r="362" spans="1:8">
      <c r="A362" s="27"/>
      <c r="B362" s="27"/>
      <c r="C362" s="28"/>
      <c r="D362" s="28"/>
      <c r="E362" s="44"/>
      <c r="F362" s="44"/>
      <c r="G362" s="44"/>
      <c r="H362" s="44"/>
    </row>
    <row r="363" spans="1:8">
      <c r="A363" s="27"/>
      <c r="B363" s="27"/>
      <c r="C363" s="28"/>
      <c r="D363" s="28"/>
      <c r="E363" s="44"/>
      <c r="F363" s="44"/>
      <c r="G363" s="44"/>
      <c r="H363" s="44"/>
    </row>
    <row r="364" spans="1:8">
      <c r="A364" s="27"/>
      <c r="B364" s="27"/>
      <c r="C364" s="28"/>
      <c r="D364" s="28"/>
      <c r="E364" s="44"/>
      <c r="F364" s="44"/>
      <c r="G364" s="44"/>
      <c r="H364" s="44"/>
    </row>
    <row r="365" spans="1:8">
      <c r="A365" s="27"/>
      <c r="B365" s="27"/>
      <c r="C365" s="28"/>
      <c r="D365" s="28"/>
      <c r="E365" s="44"/>
      <c r="F365" s="44"/>
      <c r="G365" s="44"/>
      <c r="H365" s="44"/>
    </row>
    <row r="366" spans="1:8">
      <c r="A366" s="27"/>
      <c r="B366" s="27"/>
      <c r="C366" s="28"/>
      <c r="D366" s="28"/>
      <c r="E366" s="44"/>
      <c r="F366" s="44"/>
      <c r="G366" s="44"/>
      <c r="H366" s="44"/>
    </row>
    <row r="367" spans="1:8">
      <c r="A367" s="27"/>
      <c r="B367" s="27"/>
      <c r="C367" s="28"/>
      <c r="D367" s="28"/>
      <c r="E367" s="44"/>
      <c r="F367" s="44"/>
      <c r="G367" s="44"/>
      <c r="H367" s="44"/>
    </row>
    <row r="368" spans="1:8">
      <c r="A368" s="27"/>
      <c r="B368" s="27"/>
      <c r="C368" s="28"/>
      <c r="D368" s="28"/>
      <c r="E368" s="44"/>
      <c r="F368" s="44"/>
      <c r="G368" s="44"/>
      <c r="H368" s="44"/>
    </row>
    <row r="369" spans="1:8">
      <c r="A369" s="27"/>
      <c r="B369" s="27"/>
      <c r="C369" s="28"/>
      <c r="D369" s="28"/>
      <c r="E369" s="44"/>
      <c r="F369" s="44"/>
      <c r="G369" s="44"/>
      <c r="H369" s="44"/>
    </row>
    <row r="370" spans="1:8">
      <c r="A370" s="27"/>
      <c r="B370" s="27"/>
      <c r="C370" s="28"/>
      <c r="D370" s="28"/>
      <c r="E370" s="44"/>
      <c r="F370" s="44"/>
      <c r="G370" s="44"/>
      <c r="H370" s="44"/>
    </row>
    <row r="371" spans="1:8">
      <c r="A371" s="27"/>
      <c r="B371" s="27"/>
      <c r="C371" s="28"/>
      <c r="D371" s="28"/>
      <c r="E371" s="44"/>
      <c r="F371" s="44"/>
      <c r="G371" s="44"/>
      <c r="H371" s="44"/>
    </row>
    <row r="372" spans="1:8">
      <c r="A372" s="27"/>
      <c r="B372" s="27"/>
      <c r="C372" s="28"/>
      <c r="D372" s="28"/>
      <c r="E372" s="44"/>
      <c r="F372" s="44"/>
      <c r="G372" s="44"/>
      <c r="H372" s="44"/>
    </row>
    <row r="373" spans="1:8">
      <c r="A373" s="27"/>
      <c r="B373" s="27"/>
      <c r="C373" s="28"/>
      <c r="D373" s="28"/>
      <c r="E373" s="44"/>
      <c r="F373" s="44"/>
      <c r="G373" s="44"/>
      <c r="H373" s="44"/>
    </row>
    <row r="374" spans="1:8">
      <c r="A374" s="27"/>
      <c r="B374" s="27"/>
      <c r="C374" s="28"/>
      <c r="D374" s="28"/>
      <c r="E374" s="44"/>
      <c r="F374" s="44"/>
      <c r="G374" s="44"/>
      <c r="H374" s="44"/>
    </row>
    <row r="375" spans="1:8">
      <c r="A375" s="27"/>
      <c r="B375" s="27"/>
      <c r="C375" s="28"/>
      <c r="D375" s="28"/>
      <c r="E375" s="44"/>
      <c r="F375" s="44"/>
      <c r="G375" s="44"/>
      <c r="H375" s="44"/>
    </row>
    <row r="376" spans="1:8">
      <c r="A376" s="27"/>
      <c r="B376" s="27"/>
      <c r="C376" s="28"/>
      <c r="D376" s="28"/>
      <c r="E376" s="44"/>
      <c r="F376" s="44"/>
      <c r="G376" s="44"/>
      <c r="H376" s="44"/>
    </row>
    <row r="377" spans="1:8">
      <c r="A377" s="27"/>
      <c r="B377" s="27"/>
      <c r="C377" s="28"/>
      <c r="D377" s="28"/>
      <c r="E377" s="44"/>
      <c r="F377" s="44"/>
      <c r="G377" s="44"/>
      <c r="H377" s="44"/>
    </row>
    <row r="378" spans="1:8">
      <c r="A378" s="27"/>
      <c r="B378" s="27"/>
      <c r="C378" s="28"/>
      <c r="D378" s="28"/>
      <c r="E378" s="44"/>
      <c r="F378" s="44"/>
      <c r="G378" s="44"/>
      <c r="H378" s="44"/>
    </row>
    <row r="379" spans="1:8">
      <c r="A379" s="27"/>
      <c r="B379" s="27"/>
      <c r="C379" s="28"/>
      <c r="D379" s="28"/>
      <c r="E379" s="44"/>
      <c r="F379" s="44"/>
      <c r="G379" s="44"/>
      <c r="H379" s="44"/>
    </row>
    <row r="380" spans="1:8">
      <c r="A380" s="27"/>
      <c r="B380" s="27"/>
      <c r="C380" s="28"/>
      <c r="D380" s="28"/>
      <c r="E380" s="44"/>
      <c r="F380" s="44"/>
      <c r="G380" s="44"/>
      <c r="H380" s="44"/>
    </row>
    <row r="381" spans="1:8">
      <c r="A381" s="27"/>
      <c r="B381" s="27"/>
      <c r="C381" s="28"/>
      <c r="D381" s="28"/>
      <c r="E381" s="44"/>
      <c r="F381" s="44"/>
      <c r="G381" s="44"/>
      <c r="H381" s="44"/>
    </row>
    <row r="382" spans="1:8">
      <c r="A382" s="27"/>
      <c r="B382" s="27"/>
      <c r="C382" s="28"/>
      <c r="D382" s="28"/>
      <c r="E382" s="44"/>
      <c r="F382" s="44"/>
      <c r="G382" s="44"/>
      <c r="H382" s="44"/>
    </row>
    <row r="383" spans="1:8">
      <c r="A383" s="27"/>
      <c r="B383" s="27"/>
      <c r="C383" s="28"/>
      <c r="D383" s="28"/>
      <c r="E383" s="44"/>
      <c r="F383" s="44"/>
      <c r="G383" s="44"/>
      <c r="H383" s="44"/>
    </row>
    <row r="384" spans="1:8">
      <c r="A384" s="27"/>
      <c r="B384" s="27"/>
      <c r="C384" s="28"/>
      <c r="D384" s="28"/>
      <c r="E384" s="44"/>
      <c r="F384" s="44"/>
      <c r="G384" s="44"/>
      <c r="H384" s="44"/>
    </row>
    <row r="385" spans="1:8">
      <c r="A385" s="27"/>
      <c r="B385" s="27"/>
      <c r="C385" s="28"/>
      <c r="D385" s="28"/>
      <c r="E385" s="44"/>
      <c r="F385" s="44"/>
      <c r="G385" s="44"/>
      <c r="H385" s="44"/>
    </row>
    <row r="386" spans="1:8">
      <c r="A386" s="27"/>
      <c r="B386" s="27"/>
      <c r="C386" s="28"/>
      <c r="D386" s="28"/>
      <c r="E386" s="44"/>
      <c r="F386" s="44"/>
      <c r="G386" s="44"/>
      <c r="H386" s="44"/>
    </row>
    <row r="387" spans="1:8">
      <c r="A387" s="27"/>
      <c r="B387" s="27"/>
      <c r="C387" s="28"/>
      <c r="D387" s="28"/>
      <c r="E387" s="44"/>
      <c r="F387" s="44"/>
      <c r="G387" s="44"/>
      <c r="H387" s="44"/>
    </row>
    <row r="388" spans="1:8">
      <c r="A388" s="27"/>
      <c r="B388" s="27"/>
      <c r="C388" s="28"/>
      <c r="D388" s="28"/>
      <c r="E388" s="44"/>
      <c r="F388" s="44"/>
      <c r="G388" s="44"/>
      <c r="H388" s="44"/>
    </row>
    <row r="389" spans="1:8">
      <c r="A389" s="27"/>
      <c r="B389" s="27"/>
      <c r="C389" s="28"/>
      <c r="D389" s="28"/>
      <c r="E389" s="44"/>
      <c r="F389" s="44"/>
      <c r="G389" s="44"/>
      <c r="H389" s="44"/>
    </row>
    <row r="390" spans="1:8">
      <c r="A390" s="27"/>
      <c r="B390" s="27"/>
      <c r="C390" s="28"/>
      <c r="D390" s="28"/>
      <c r="E390" s="44"/>
      <c r="F390" s="44"/>
      <c r="G390" s="44"/>
      <c r="H390" s="44"/>
    </row>
    <row r="391" spans="1:8">
      <c r="A391" s="27"/>
      <c r="B391" s="27"/>
      <c r="C391" s="28"/>
      <c r="D391" s="28"/>
      <c r="E391" s="44"/>
      <c r="F391" s="44"/>
      <c r="G391" s="44"/>
      <c r="H391" s="44"/>
    </row>
    <row r="392" spans="1:8">
      <c r="A392" s="27"/>
      <c r="B392" s="27"/>
      <c r="C392" s="28"/>
      <c r="D392" s="28"/>
      <c r="E392" s="44"/>
      <c r="F392" s="44"/>
      <c r="G392" s="44"/>
      <c r="H392" s="44"/>
    </row>
    <row r="393" spans="1:8">
      <c r="A393" s="27"/>
      <c r="B393" s="27"/>
      <c r="C393" s="28"/>
      <c r="D393" s="28"/>
      <c r="E393" s="44"/>
      <c r="F393" s="44"/>
      <c r="G393" s="44"/>
      <c r="H393" s="44"/>
    </row>
    <row r="394" spans="1:8">
      <c r="A394" s="27"/>
      <c r="B394" s="27"/>
      <c r="C394" s="28"/>
      <c r="D394" s="28"/>
      <c r="E394" s="44"/>
      <c r="F394" s="44"/>
      <c r="G394" s="44"/>
      <c r="H394" s="44"/>
    </row>
    <row r="395" spans="1:8">
      <c r="A395" s="27"/>
      <c r="B395" s="27"/>
      <c r="C395" s="28"/>
      <c r="D395" s="28"/>
      <c r="E395" s="44"/>
      <c r="F395" s="44"/>
      <c r="G395" s="44"/>
      <c r="H395" s="44"/>
    </row>
    <row r="396" spans="1:8">
      <c r="A396" s="27"/>
      <c r="B396" s="27"/>
      <c r="C396" s="28"/>
      <c r="D396" s="28"/>
      <c r="E396" s="44"/>
      <c r="F396" s="44"/>
      <c r="G396" s="44"/>
      <c r="H396" s="44"/>
    </row>
    <row r="397" spans="1:8">
      <c r="A397" s="27"/>
      <c r="B397" s="27"/>
      <c r="C397" s="28"/>
      <c r="D397" s="28"/>
      <c r="E397" s="44"/>
      <c r="F397" s="44"/>
      <c r="G397" s="44"/>
      <c r="H397" s="44"/>
    </row>
    <row r="398" spans="1:8">
      <c r="A398" s="27"/>
      <c r="B398" s="27"/>
      <c r="C398" s="28"/>
      <c r="D398" s="28"/>
      <c r="E398" s="44"/>
      <c r="F398" s="44"/>
      <c r="G398" s="44"/>
      <c r="H398" s="44"/>
    </row>
    <row r="399" spans="1:8">
      <c r="A399" s="27"/>
      <c r="B399" s="27"/>
      <c r="C399" s="28"/>
      <c r="D399" s="28"/>
      <c r="E399" s="44"/>
      <c r="F399" s="44"/>
      <c r="G399" s="44"/>
      <c r="H399" s="44"/>
    </row>
    <row r="400" spans="1:8">
      <c r="A400" s="27"/>
      <c r="B400" s="27"/>
      <c r="C400" s="28"/>
      <c r="D400" s="28"/>
      <c r="E400" s="44"/>
      <c r="F400" s="44"/>
      <c r="G400" s="44"/>
      <c r="H400" s="44"/>
    </row>
    <row r="401" spans="1:8">
      <c r="A401" s="27"/>
      <c r="B401" s="27"/>
      <c r="C401" s="28"/>
      <c r="D401" s="28"/>
      <c r="E401" s="44"/>
      <c r="F401" s="44"/>
      <c r="G401" s="44"/>
      <c r="H401" s="44"/>
    </row>
    <row r="402" spans="1:8">
      <c r="A402" s="27"/>
      <c r="B402" s="27"/>
      <c r="C402" s="28"/>
      <c r="D402" s="28"/>
      <c r="E402" s="44"/>
      <c r="F402" s="44"/>
      <c r="G402" s="44"/>
      <c r="H402" s="44"/>
    </row>
    <row r="403" spans="1:8">
      <c r="A403" s="27"/>
      <c r="B403" s="27"/>
      <c r="C403" s="28"/>
      <c r="D403" s="28"/>
      <c r="E403" s="44"/>
      <c r="F403" s="44"/>
      <c r="G403" s="44"/>
      <c r="H403" s="44"/>
    </row>
    <row r="404" spans="1:8">
      <c r="A404" s="27"/>
      <c r="B404" s="27"/>
      <c r="C404" s="28"/>
      <c r="D404" s="28"/>
      <c r="E404" s="44"/>
      <c r="F404" s="44"/>
      <c r="G404" s="44"/>
      <c r="H404" s="44"/>
    </row>
    <row r="405" spans="1:8">
      <c r="A405" s="27"/>
      <c r="B405" s="27"/>
      <c r="C405" s="28"/>
      <c r="D405" s="28"/>
      <c r="E405" s="44"/>
      <c r="F405" s="44"/>
      <c r="G405" s="44"/>
      <c r="H405" s="44"/>
    </row>
    <row r="406" spans="1:8">
      <c r="A406" s="27"/>
      <c r="B406" s="27"/>
      <c r="C406" s="28"/>
      <c r="D406" s="28"/>
      <c r="E406" s="44"/>
      <c r="F406" s="44"/>
      <c r="G406" s="44"/>
      <c r="H406" s="44"/>
    </row>
    <row r="407" spans="1:8">
      <c r="A407" s="27"/>
      <c r="B407" s="27"/>
      <c r="C407" s="28"/>
      <c r="D407" s="28"/>
      <c r="E407" s="44"/>
      <c r="F407" s="44"/>
      <c r="G407" s="44"/>
      <c r="H407" s="44"/>
    </row>
    <row r="408" spans="1:8">
      <c r="A408" s="27"/>
      <c r="B408" s="27"/>
      <c r="C408" s="28"/>
      <c r="D408" s="28"/>
      <c r="E408" s="44"/>
      <c r="F408" s="44"/>
      <c r="G408" s="44"/>
      <c r="H408" s="44"/>
    </row>
    <row r="409" spans="1:8">
      <c r="A409" s="27"/>
      <c r="B409" s="27"/>
      <c r="C409" s="28"/>
      <c r="D409" s="28"/>
      <c r="E409" s="44"/>
      <c r="F409" s="44"/>
      <c r="G409" s="44"/>
      <c r="H409" s="44"/>
    </row>
    <row r="410" spans="1:8">
      <c r="A410" s="27"/>
      <c r="B410" s="27"/>
      <c r="C410" s="28"/>
      <c r="D410" s="28"/>
      <c r="E410" s="44"/>
      <c r="F410" s="44"/>
      <c r="G410" s="44"/>
      <c r="H410" s="44"/>
    </row>
    <row r="411" spans="1:8">
      <c r="A411" s="27"/>
      <c r="B411" s="27"/>
      <c r="C411" s="28"/>
      <c r="D411" s="28"/>
      <c r="E411" s="44"/>
      <c r="F411" s="44"/>
      <c r="G411" s="44"/>
      <c r="H411" s="44"/>
    </row>
    <row r="412" spans="1:8">
      <c r="A412" s="27"/>
      <c r="B412" s="27"/>
      <c r="C412" s="28"/>
      <c r="D412" s="28"/>
      <c r="E412" s="44"/>
      <c r="F412" s="44"/>
      <c r="G412" s="44"/>
      <c r="H412" s="44"/>
    </row>
    <row r="413" spans="1:8">
      <c r="A413" s="27"/>
      <c r="B413" s="27"/>
      <c r="C413" s="28"/>
      <c r="D413" s="28"/>
      <c r="E413" s="44"/>
      <c r="F413" s="44"/>
      <c r="G413" s="44"/>
      <c r="H413" s="44"/>
    </row>
    <row r="414" spans="1:8">
      <c r="A414" s="27"/>
      <c r="B414" s="27"/>
      <c r="C414" s="28"/>
      <c r="D414" s="28"/>
      <c r="E414" s="44"/>
      <c r="F414" s="44"/>
      <c r="G414" s="44"/>
      <c r="H414" s="44"/>
    </row>
    <row r="415" spans="1:8">
      <c r="A415" s="27"/>
      <c r="B415" s="27"/>
      <c r="C415" s="28"/>
      <c r="D415" s="28"/>
      <c r="E415" s="44"/>
      <c r="F415" s="44"/>
      <c r="G415" s="44"/>
      <c r="H415" s="44"/>
    </row>
    <row r="416" spans="1:8">
      <c r="A416" s="27"/>
      <c r="B416" s="27"/>
      <c r="C416" s="28"/>
      <c r="D416" s="28"/>
      <c r="E416" s="44"/>
      <c r="F416" s="44"/>
      <c r="G416" s="44"/>
      <c r="H416" s="44"/>
    </row>
    <row r="417" spans="1:8">
      <c r="A417" s="27"/>
      <c r="B417" s="27"/>
      <c r="C417" s="28"/>
      <c r="D417" s="28"/>
      <c r="E417" s="44"/>
      <c r="F417" s="44"/>
      <c r="G417" s="44"/>
      <c r="H417" s="44"/>
    </row>
    <row r="418" spans="1:8">
      <c r="A418" s="27"/>
      <c r="B418" s="27"/>
      <c r="C418" s="28"/>
      <c r="D418" s="28"/>
      <c r="E418" s="44"/>
      <c r="F418" s="44"/>
      <c r="G418" s="44"/>
      <c r="H418" s="44"/>
    </row>
    <row r="419" spans="1:8">
      <c r="A419" s="27"/>
      <c r="B419" s="27"/>
      <c r="C419" s="28"/>
      <c r="D419" s="28"/>
      <c r="E419" s="44"/>
      <c r="F419" s="44"/>
      <c r="G419" s="44"/>
      <c r="H419" s="44"/>
    </row>
    <row r="420" spans="1:8">
      <c r="A420" s="27"/>
      <c r="B420" s="27"/>
      <c r="C420" s="28"/>
      <c r="D420" s="28"/>
      <c r="E420" s="44"/>
      <c r="F420" s="44"/>
      <c r="G420" s="44"/>
      <c r="H420" s="44"/>
    </row>
    <row r="421" spans="1:8">
      <c r="A421" s="27"/>
      <c r="B421" s="27"/>
      <c r="C421" s="28"/>
      <c r="D421" s="28"/>
      <c r="E421" s="44"/>
      <c r="F421" s="44"/>
      <c r="G421" s="44"/>
      <c r="H421" s="44"/>
    </row>
    <row r="422" spans="1:8">
      <c r="A422" s="27"/>
      <c r="B422" s="27"/>
      <c r="C422" s="28"/>
      <c r="D422" s="28"/>
      <c r="E422" s="44"/>
      <c r="F422" s="44"/>
      <c r="G422" s="44"/>
      <c r="H422" s="44"/>
    </row>
    <row r="423" spans="1:8">
      <c r="A423" s="27"/>
      <c r="B423" s="27"/>
      <c r="C423" s="28"/>
      <c r="D423" s="28"/>
      <c r="E423" s="44"/>
      <c r="F423" s="44"/>
      <c r="G423" s="44"/>
      <c r="H423" s="44"/>
    </row>
    <row r="424" spans="1:8">
      <c r="A424" s="27"/>
      <c r="B424" s="27"/>
      <c r="C424" s="28"/>
      <c r="D424" s="28"/>
      <c r="E424" s="44"/>
      <c r="F424" s="44"/>
      <c r="G424" s="44"/>
      <c r="H424" s="44"/>
    </row>
    <row r="425" spans="1:8">
      <c r="A425" s="27"/>
      <c r="B425" s="27"/>
      <c r="C425" s="28"/>
      <c r="D425" s="28"/>
      <c r="E425" s="44"/>
      <c r="F425" s="44"/>
      <c r="G425" s="44"/>
      <c r="H425" s="44"/>
    </row>
    <row r="426" spans="1:8">
      <c r="A426" s="27"/>
      <c r="B426" s="27"/>
      <c r="C426" s="28"/>
      <c r="D426" s="28"/>
      <c r="E426" s="44"/>
      <c r="F426" s="44"/>
      <c r="G426" s="44"/>
      <c r="H426" s="44"/>
    </row>
    <row r="427" spans="1:8">
      <c r="A427" s="27"/>
      <c r="B427" s="27"/>
      <c r="C427" s="28"/>
      <c r="D427" s="28"/>
      <c r="E427" s="44"/>
      <c r="F427" s="44"/>
      <c r="G427" s="44"/>
      <c r="H427" s="44"/>
    </row>
    <row r="428" spans="1:8">
      <c r="A428" s="27"/>
      <c r="B428" s="27"/>
      <c r="C428" s="28"/>
      <c r="D428" s="28"/>
      <c r="E428" s="44"/>
      <c r="F428" s="44"/>
      <c r="G428" s="44"/>
      <c r="H428" s="44"/>
    </row>
    <row r="429" spans="1:8">
      <c r="A429" s="27"/>
      <c r="B429" s="27"/>
      <c r="C429" s="28"/>
      <c r="D429" s="28"/>
      <c r="E429" s="44"/>
      <c r="F429" s="44"/>
      <c r="G429" s="44"/>
      <c r="H429" s="44"/>
    </row>
    <row r="430" spans="1:8">
      <c r="A430" s="27"/>
      <c r="B430" s="27"/>
      <c r="C430" s="28"/>
      <c r="D430" s="28"/>
      <c r="E430" s="44"/>
      <c r="F430" s="44"/>
      <c r="G430" s="44"/>
      <c r="H430" s="44"/>
    </row>
    <row r="431" spans="1:8">
      <c r="A431" s="27"/>
      <c r="B431" s="27"/>
      <c r="C431" s="28"/>
      <c r="D431" s="28"/>
      <c r="E431" s="44"/>
      <c r="F431" s="44"/>
      <c r="G431" s="44"/>
      <c r="H431" s="44"/>
    </row>
    <row r="432" spans="1:8">
      <c r="A432" s="27"/>
      <c r="B432" s="27"/>
      <c r="C432" s="28"/>
      <c r="D432" s="28"/>
      <c r="E432" s="44"/>
      <c r="F432" s="44"/>
      <c r="G432" s="44"/>
      <c r="H432" s="44"/>
    </row>
    <row r="433" spans="1:8">
      <c r="A433" s="27"/>
      <c r="B433" s="27"/>
      <c r="C433" s="28"/>
      <c r="D433" s="28"/>
      <c r="E433" s="44"/>
      <c r="F433" s="44"/>
      <c r="G433" s="44"/>
      <c r="H433" s="44"/>
    </row>
    <row r="434" spans="1:8">
      <c r="A434" s="27"/>
      <c r="B434" s="27"/>
      <c r="C434" s="28"/>
      <c r="D434" s="28"/>
      <c r="E434" s="44"/>
      <c r="F434" s="44"/>
      <c r="G434" s="44"/>
      <c r="H434" s="44"/>
    </row>
    <row r="435" spans="1:8">
      <c r="A435" s="27"/>
      <c r="B435" s="27"/>
      <c r="C435" s="28"/>
      <c r="D435" s="28"/>
      <c r="E435" s="44"/>
      <c r="F435" s="44"/>
      <c r="G435" s="44"/>
      <c r="H435" s="44"/>
    </row>
    <row r="436" spans="1:8">
      <c r="A436" s="27"/>
      <c r="B436" s="27"/>
      <c r="C436" s="28"/>
      <c r="D436" s="28"/>
      <c r="E436" s="44"/>
      <c r="F436" s="44"/>
      <c r="G436" s="44"/>
      <c r="H436" s="44"/>
    </row>
    <row r="437" spans="1:8">
      <c r="A437" s="27"/>
      <c r="B437" s="27"/>
      <c r="C437" s="28"/>
      <c r="D437" s="28"/>
      <c r="E437" s="44"/>
      <c r="F437" s="44"/>
      <c r="G437" s="44"/>
      <c r="H437" s="44"/>
    </row>
    <row r="438" spans="1:8">
      <c r="A438" s="27"/>
      <c r="B438" s="27"/>
      <c r="C438" s="28"/>
      <c r="D438" s="28"/>
      <c r="E438" s="44"/>
      <c r="F438" s="44"/>
      <c r="G438" s="44"/>
      <c r="H438" s="44"/>
    </row>
    <row r="439" spans="1:8">
      <c r="A439" s="27"/>
      <c r="B439" s="27"/>
      <c r="C439" s="28"/>
      <c r="D439" s="28"/>
      <c r="E439" s="44"/>
      <c r="F439" s="44"/>
      <c r="G439" s="44"/>
      <c r="H439" s="44"/>
    </row>
    <row r="440" spans="1:8">
      <c r="A440" s="27"/>
      <c r="B440" s="27"/>
      <c r="C440" s="28"/>
      <c r="D440" s="28"/>
      <c r="E440" s="44"/>
      <c r="F440" s="44"/>
      <c r="G440" s="44"/>
      <c r="H440" s="44"/>
    </row>
    <row r="441" spans="1:8">
      <c r="A441" s="27"/>
      <c r="B441" s="27"/>
      <c r="C441" s="28"/>
      <c r="D441" s="28"/>
      <c r="E441" s="44"/>
      <c r="F441" s="44"/>
      <c r="G441" s="44"/>
      <c r="H441" s="44"/>
    </row>
    <row r="442" spans="1:8">
      <c r="A442" s="27"/>
      <c r="B442" s="27"/>
      <c r="C442" s="28"/>
      <c r="D442" s="28"/>
      <c r="E442" s="44"/>
      <c r="F442" s="44"/>
      <c r="G442" s="44"/>
      <c r="H442" s="44"/>
    </row>
    <row r="443" spans="1:8">
      <c r="A443" s="27"/>
      <c r="B443" s="27"/>
      <c r="C443" s="28"/>
      <c r="D443" s="28"/>
      <c r="E443" s="44"/>
      <c r="F443" s="44"/>
      <c r="G443" s="44"/>
      <c r="H443" s="44"/>
    </row>
    <row r="444" spans="1:8">
      <c r="A444" s="27"/>
      <c r="B444" s="27"/>
      <c r="C444" s="28"/>
      <c r="D444" s="28"/>
      <c r="E444" s="44"/>
      <c r="F444" s="44"/>
      <c r="G444" s="44"/>
      <c r="H444" s="44"/>
    </row>
    <row r="445" spans="1:8">
      <c r="A445" s="27"/>
      <c r="B445" s="27"/>
      <c r="C445" s="28"/>
      <c r="D445" s="28"/>
      <c r="E445" s="44"/>
      <c r="F445" s="44"/>
      <c r="G445" s="44"/>
      <c r="H445" s="44"/>
    </row>
    <row r="446" spans="1:8">
      <c r="A446" s="27"/>
      <c r="B446" s="27"/>
      <c r="C446" s="28"/>
      <c r="D446" s="28"/>
      <c r="E446" s="44"/>
      <c r="F446" s="44"/>
      <c r="G446" s="44"/>
      <c r="H446" s="44"/>
    </row>
    <row r="447" spans="1:8">
      <c r="A447" s="27"/>
      <c r="B447" s="27"/>
      <c r="C447" s="28"/>
      <c r="D447" s="28"/>
      <c r="E447" s="44"/>
      <c r="F447" s="44"/>
      <c r="G447" s="44"/>
      <c r="H447" s="44"/>
    </row>
    <row r="448" spans="1:8">
      <c r="A448" s="27"/>
      <c r="B448" s="27"/>
      <c r="C448" s="28"/>
      <c r="D448" s="28"/>
      <c r="E448" s="44"/>
      <c r="F448" s="44"/>
      <c r="G448" s="44"/>
      <c r="H448" s="44"/>
    </row>
    <row r="449" spans="1:8">
      <c r="A449" s="27"/>
      <c r="B449" s="27"/>
      <c r="C449" s="28"/>
      <c r="D449" s="28"/>
      <c r="E449" s="44"/>
      <c r="F449" s="44"/>
      <c r="G449" s="44"/>
      <c r="H449" s="44"/>
    </row>
    <row r="450" spans="1:8">
      <c r="A450" s="27"/>
      <c r="B450" s="27"/>
      <c r="C450" s="28"/>
      <c r="D450" s="28"/>
      <c r="E450" s="44"/>
      <c r="F450" s="44"/>
      <c r="G450" s="44"/>
      <c r="H450" s="44"/>
    </row>
    <row r="451" spans="1:8">
      <c r="A451" s="27"/>
      <c r="B451" s="27"/>
      <c r="C451" s="28"/>
      <c r="D451" s="28"/>
      <c r="E451" s="44"/>
      <c r="F451" s="44"/>
      <c r="G451" s="44"/>
      <c r="H451" s="44"/>
    </row>
    <row r="452" spans="1:8">
      <c r="A452" s="27"/>
      <c r="B452" s="27"/>
      <c r="C452" s="28"/>
      <c r="D452" s="28"/>
      <c r="E452" s="44"/>
      <c r="F452" s="44"/>
      <c r="G452" s="44"/>
      <c r="H452" s="44"/>
    </row>
    <row r="453" spans="1:8">
      <c r="A453" s="27"/>
      <c r="B453" s="27"/>
      <c r="C453" s="28"/>
      <c r="D453" s="28"/>
      <c r="E453" s="44"/>
      <c r="F453" s="44"/>
      <c r="G453" s="44"/>
      <c r="H453" s="44"/>
    </row>
    <row r="454" spans="1:8">
      <c r="A454" s="27"/>
      <c r="B454" s="27"/>
      <c r="C454" s="28"/>
      <c r="D454" s="28"/>
      <c r="E454" s="44"/>
      <c r="F454" s="44"/>
      <c r="G454" s="44"/>
      <c r="H454" s="44"/>
    </row>
    <row r="455" spans="1:8">
      <c r="A455" s="27"/>
      <c r="B455" s="27"/>
      <c r="C455" s="28"/>
      <c r="D455" s="28"/>
      <c r="E455" s="44"/>
      <c r="F455" s="44"/>
      <c r="G455" s="44"/>
      <c r="H455" s="44"/>
    </row>
    <row r="456" spans="1:8">
      <c r="A456" s="27"/>
      <c r="B456" s="27"/>
      <c r="C456" s="28"/>
      <c r="D456" s="28"/>
      <c r="E456" s="44"/>
      <c r="F456" s="44"/>
      <c r="G456" s="44"/>
      <c r="H456" s="44"/>
    </row>
    <row r="457" spans="1:8">
      <c r="A457" s="27"/>
      <c r="B457" s="27"/>
      <c r="C457" s="28"/>
      <c r="D457" s="28"/>
      <c r="E457" s="44"/>
      <c r="F457" s="44"/>
      <c r="G457" s="44"/>
      <c r="H457" s="44"/>
    </row>
    <row r="458" spans="1:8">
      <c r="A458" s="27"/>
      <c r="B458" s="27"/>
      <c r="C458" s="28"/>
      <c r="D458" s="28"/>
      <c r="E458" s="44"/>
      <c r="F458" s="44"/>
      <c r="G458" s="44"/>
      <c r="H458" s="44"/>
    </row>
    <row r="459" spans="1:8">
      <c r="A459" s="27"/>
      <c r="B459" s="27"/>
      <c r="C459" s="28"/>
      <c r="D459" s="28"/>
      <c r="E459" s="44"/>
      <c r="F459" s="44"/>
      <c r="G459" s="44"/>
      <c r="H459" s="44"/>
    </row>
    <row r="460" spans="1:8">
      <c r="A460" s="27"/>
      <c r="B460" s="27"/>
      <c r="C460" s="28"/>
      <c r="D460" s="28"/>
      <c r="E460" s="44"/>
      <c r="F460" s="44"/>
      <c r="G460" s="44"/>
      <c r="H460" s="44"/>
    </row>
    <row r="461" spans="1:8">
      <c r="A461" s="27"/>
      <c r="B461" s="27"/>
      <c r="C461" s="28"/>
      <c r="D461" s="28"/>
      <c r="E461" s="44"/>
      <c r="F461" s="44"/>
      <c r="G461" s="44"/>
      <c r="H461" s="44"/>
    </row>
    <row r="462" spans="1:8">
      <c r="A462" s="27"/>
      <c r="B462" s="27"/>
      <c r="C462" s="28"/>
      <c r="D462" s="28"/>
      <c r="E462" s="44"/>
      <c r="F462" s="44"/>
      <c r="G462" s="44"/>
      <c r="H462" s="44"/>
    </row>
    <row r="463" spans="1:8">
      <c r="A463" s="27"/>
      <c r="B463" s="27"/>
      <c r="C463" s="28"/>
      <c r="D463" s="28"/>
      <c r="E463" s="44"/>
      <c r="F463" s="44"/>
      <c r="G463" s="44"/>
      <c r="H463" s="44"/>
    </row>
    <row r="464" spans="1:8">
      <c r="A464" s="27"/>
      <c r="B464" s="27"/>
      <c r="C464" s="28"/>
      <c r="D464" s="28"/>
      <c r="E464" s="44"/>
      <c r="F464" s="44"/>
      <c r="G464" s="44"/>
      <c r="H464" s="44"/>
    </row>
    <row r="465" spans="1:8">
      <c r="A465" s="27"/>
      <c r="B465" s="27"/>
      <c r="C465" s="28"/>
      <c r="D465" s="28"/>
      <c r="E465" s="44"/>
      <c r="F465" s="44"/>
      <c r="G465" s="44"/>
      <c r="H465" s="44"/>
    </row>
    <row r="466" spans="1:8">
      <c r="A466" s="27"/>
      <c r="B466" s="27"/>
      <c r="C466" s="28"/>
      <c r="D466" s="28"/>
      <c r="E466" s="44"/>
      <c r="F466" s="44"/>
      <c r="G466" s="44"/>
      <c r="H466" s="44"/>
    </row>
    <row r="467" spans="1:8">
      <c r="A467" s="27"/>
      <c r="B467" s="27"/>
      <c r="C467" s="28"/>
      <c r="D467" s="28"/>
      <c r="E467" s="44"/>
      <c r="F467" s="44"/>
      <c r="G467" s="44"/>
      <c r="H467" s="44"/>
    </row>
    <row r="468" spans="1:8">
      <c r="A468" s="27"/>
      <c r="B468" s="27"/>
      <c r="C468" s="28"/>
      <c r="D468" s="28"/>
      <c r="E468" s="44"/>
      <c r="F468" s="44"/>
      <c r="G468" s="44"/>
      <c r="H468" s="44"/>
    </row>
    <row r="469" spans="1:8">
      <c r="A469" s="27"/>
      <c r="B469" s="27"/>
      <c r="C469" s="28"/>
      <c r="D469" s="28"/>
      <c r="E469" s="44"/>
      <c r="F469" s="44"/>
      <c r="G469" s="44"/>
      <c r="H469" s="44"/>
    </row>
    <row r="470" spans="1:8">
      <c r="A470" s="27"/>
      <c r="B470" s="27"/>
      <c r="C470" s="28"/>
      <c r="D470" s="28"/>
      <c r="E470" s="44"/>
      <c r="F470" s="44"/>
      <c r="G470" s="44"/>
      <c r="H470" s="44"/>
    </row>
    <row r="471" spans="1:8">
      <c r="A471" s="27"/>
      <c r="B471" s="27"/>
      <c r="C471" s="28"/>
      <c r="D471" s="28"/>
      <c r="E471" s="44"/>
      <c r="F471" s="44"/>
      <c r="G471" s="44"/>
      <c r="H471" s="44"/>
    </row>
    <row r="472" spans="1:8">
      <c r="A472" s="27"/>
      <c r="B472" s="27"/>
      <c r="C472" s="28"/>
      <c r="D472" s="28"/>
      <c r="E472" s="44"/>
      <c r="F472" s="44"/>
      <c r="G472" s="44"/>
      <c r="H472" s="44"/>
    </row>
    <row r="473" spans="1:8">
      <c r="A473" s="27"/>
      <c r="B473" s="27"/>
      <c r="C473" s="28"/>
      <c r="D473" s="28"/>
      <c r="E473" s="44"/>
      <c r="F473" s="44"/>
      <c r="G473" s="44"/>
      <c r="H473" s="44"/>
    </row>
    <row r="474" spans="1:8">
      <c r="A474" s="27"/>
      <c r="B474" s="27"/>
      <c r="C474" s="28"/>
      <c r="D474" s="28"/>
      <c r="E474" s="44"/>
      <c r="F474" s="44"/>
      <c r="G474" s="44"/>
      <c r="H474" s="44"/>
    </row>
    <row r="475" spans="1:8">
      <c r="A475" s="27"/>
      <c r="B475" s="27"/>
      <c r="C475" s="28"/>
      <c r="D475" s="28"/>
      <c r="E475" s="44"/>
      <c r="F475" s="44"/>
      <c r="G475" s="44"/>
      <c r="H475" s="44"/>
    </row>
    <row r="476" spans="1:8">
      <c r="A476" s="27"/>
      <c r="B476" s="27"/>
      <c r="C476" s="28"/>
      <c r="D476" s="28"/>
      <c r="E476" s="44"/>
      <c r="F476" s="44"/>
      <c r="G476" s="44"/>
      <c r="H476" s="44"/>
    </row>
    <row r="477" spans="1:8">
      <c r="A477" s="27"/>
      <c r="B477" s="27"/>
      <c r="C477" s="28"/>
      <c r="D477" s="28"/>
      <c r="E477" s="44"/>
      <c r="F477" s="44"/>
      <c r="G477" s="44"/>
      <c r="H477" s="44"/>
    </row>
    <row r="478" spans="1:8">
      <c r="A478" s="27"/>
      <c r="B478" s="27"/>
      <c r="C478" s="28"/>
      <c r="D478" s="28"/>
      <c r="E478" s="44"/>
      <c r="F478" s="44"/>
      <c r="G478" s="44"/>
      <c r="H478" s="44"/>
    </row>
    <row r="479" spans="1:8">
      <c r="A479" s="27"/>
      <c r="B479" s="27"/>
      <c r="C479" s="28"/>
      <c r="D479" s="28"/>
      <c r="E479" s="44"/>
      <c r="F479" s="44"/>
      <c r="G479" s="44"/>
      <c r="H479" s="44"/>
    </row>
    <row r="480" spans="1:8">
      <c r="A480" s="27"/>
      <c r="B480" s="27"/>
      <c r="C480" s="28"/>
      <c r="D480" s="28"/>
      <c r="E480" s="44"/>
      <c r="F480" s="44"/>
      <c r="G480" s="44"/>
      <c r="H480" s="44"/>
    </row>
    <row r="481" spans="1:8">
      <c r="A481" s="27"/>
      <c r="B481" s="27"/>
      <c r="C481" s="28"/>
      <c r="D481" s="28"/>
      <c r="E481" s="44"/>
      <c r="F481" s="44"/>
      <c r="G481" s="44"/>
      <c r="H481" s="44"/>
    </row>
    <row r="482" spans="1:8">
      <c r="A482" s="27"/>
      <c r="B482" s="27"/>
      <c r="C482" s="28"/>
      <c r="D482" s="28"/>
      <c r="E482" s="44"/>
      <c r="F482" s="44"/>
      <c r="G482" s="44"/>
      <c r="H482" s="44"/>
    </row>
    <row r="483" spans="1:8">
      <c r="A483" s="27"/>
      <c r="B483" s="27"/>
      <c r="C483" s="28"/>
      <c r="D483" s="28"/>
      <c r="E483" s="44"/>
      <c r="F483" s="44"/>
      <c r="G483" s="44"/>
      <c r="H483" s="44"/>
    </row>
    <row r="484" spans="1:8">
      <c r="A484" s="27"/>
      <c r="B484" s="27"/>
      <c r="C484" s="28"/>
      <c r="D484" s="28"/>
      <c r="E484" s="44"/>
      <c r="F484" s="44"/>
      <c r="G484" s="44"/>
      <c r="H484" s="44"/>
    </row>
    <row r="485" spans="1:8">
      <c r="A485" s="27"/>
      <c r="B485" s="27"/>
      <c r="C485" s="28"/>
      <c r="D485" s="28"/>
      <c r="E485" s="44"/>
      <c r="F485" s="44"/>
      <c r="G485" s="44"/>
      <c r="H485" s="44"/>
    </row>
    <row r="486" spans="1:8">
      <c r="A486" s="27"/>
      <c r="B486" s="27"/>
      <c r="C486" s="28"/>
      <c r="D486" s="28"/>
      <c r="E486" s="44"/>
      <c r="F486" s="44"/>
      <c r="G486" s="44"/>
      <c r="H486" s="44"/>
    </row>
    <row r="487" spans="1:8">
      <c r="A487" s="27"/>
      <c r="B487" s="27"/>
      <c r="C487" s="28"/>
      <c r="D487" s="28"/>
      <c r="E487" s="44"/>
      <c r="F487" s="44"/>
      <c r="G487" s="44"/>
      <c r="H487" s="44"/>
    </row>
    <row r="488" spans="1:8">
      <c r="A488" s="27"/>
      <c r="B488" s="27"/>
      <c r="C488" s="28"/>
      <c r="D488" s="28"/>
      <c r="E488" s="44"/>
      <c r="F488" s="44"/>
      <c r="G488" s="44"/>
      <c r="H488" s="44"/>
    </row>
    <row r="489" spans="1:8">
      <c r="A489" s="27"/>
      <c r="B489" s="27"/>
      <c r="C489" s="28"/>
      <c r="D489" s="28"/>
      <c r="E489" s="44"/>
      <c r="F489" s="44"/>
      <c r="G489" s="44"/>
      <c r="H489" s="44"/>
    </row>
    <row r="490" spans="1:8">
      <c r="A490" s="27"/>
      <c r="B490" s="27"/>
      <c r="C490" s="28"/>
      <c r="D490" s="28"/>
      <c r="E490" s="44"/>
      <c r="F490" s="44"/>
      <c r="G490" s="44"/>
      <c r="H490" s="44"/>
    </row>
    <row r="491" spans="1:8">
      <c r="A491" s="27"/>
      <c r="B491" s="27"/>
      <c r="C491" s="28"/>
      <c r="D491" s="28"/>
      <c r="E491" s="44"/>
      <c r="F491" s="44"/>
      <c r="G491" s="44"/>
      <c r="H491" s="44"/>
    </row>
    <row r="492" spans="1:8">
      <c r="A492" s="27"/>
      <c r="B492" s="27"/>
      <c r="C492" s="28"/>
      <c r="D492" s="28"/>
      <c r="E492" s="44"/>
      <c r="F492" s="44"/>
      <c r="G492" s="44"/>
      <c r="H492" s="44"/>
    </row>
    <row r="493" spans="1:8">
      <c r="A493" s="27"/>
      <c r="B493" s="27"/>
      <c r="C493" s="28"/>
      <c r="D493" s="28"/>
      <c r="E493" s="44"/>
      <c r="F493" s="44"/>
      <c r="G493" s="44"/>
      <c r="H493" s="44"/>
    </row>
    <row r="494" spans="1:8">
      <c r="A494" s="27"/>
      <c r="B494" s="27"/>
      <c r="C494" s="28"/>
      <c r="D494" s="28"/>
      <c r="E494" s="44"/>
      <c r="F494" s="44"/>
      <c r="G494" s="44"/>
      <c r="H494" s="44"/>
    </row>
    <row r="495" spans="1:8">
      <c r="A495" s="27"/>
      <c r="B495" s="27"/>
      <c r="C495" s="28"/>
      <c r="D495" s="28"/>
      <c r="E495" s="44"/>
      <c r="F495" s="44"/>
      <c r="G495" s="44"/>
      <c r="H495" s="44"/>
    </row>
    <row r="496" spans="1:8">
      <c r="A496" s="27"/>
      <c r="B496" s="27"/>
      <c r="C496" s="28"/>
      <c r="D496" s="28"/>
      <c r="E496" s="44"/>
      <c r="F496" s="44"/>
      <c r="G496" s="44"/>
      <c r="H496" s="44"/>
    </row>
    <row r="497" spans="1:8">
      <c r="A497" s="27"/>
      <c r="B497" s="27"/>
      <c r="C497" s="28"/>
      <c r="D497" s="28"/>
      <c r="E497" s="44"/>
      <c r="F497" s="44"/>
      <c r="G497" s="44"/>
      <c r="H497" s="44"/>
    </row>
    <row r="498" spans="1:8">
      <c r="A498" s="27"/>
      <c r="B498" s="27"/>
      <c r="C498" s="28"/>
      <c r="D498" s="28"/>
      <c r="E498" s="44"/>
      <c r="F498" s="44"/>
      <c r="G498" s="44"/>
      <c r="H498" s="44"/>
    </row>
    <row r="499" spans="1:8">
      <c r="A499" s="27"/>
      <c r="B499" s="27"/>
      <c r="C499" s="28"/>
      <c r="D499" s="28"/>
      <c r="E499" s="44"/>
      <c r="F499" s="44"/>
      <c r="G499" s="44"/>
      <c r="H499" s="44"/>
    </row>
    <row r="500" spans="1:8">
      <c r="A500" s="27"/>
      <c r="B500" s="27"/>
      <c r="C500" s="28"/>
      <c r="D500" s="28"/>
      <c r="E500" s="44"/>
      <c r="F500" s="44"/>
      <c r="G500" s="44"/>
      <c r="H500" s="44"/>
    </row>
    <row r="501" spans="1:8">
      <c r="A501" s="27"/>
      <c r="B501" s="27"/>
      <c r="C501" s="28"/>
      <c r="D501" s="28"/>
      <c r="E501" s="44"/>
      <c r="F501" s="44"/>
      <c r="G501" s="44"/>
      <c r="H501" s="44"/>
    </row>
    <row r="502" spans="1:8">
      <c r="A502" s="27"/>
      <c r="B502" s="27"/>
      <c r="C502" s="28"/>
      <c r="D502" s="28"/>
      <c r="E502" s="44"/>
      <c r="F502" s="44"/>
      <c r="G502" s="44"/>
      <c r="H502" s="44"/>
    </row>
    <row r="503" spans="1:8">
      <c r="A503" s="27"/>
      <c r="B503" s="27"/>
      <c r="C503" s="28"/>
      <c r="D503" s="28"/>
      <c r="E503" s="44"/>
      <c r="F503" s="44"/>
      <c r="G503" s="44"/>
      <c r="H503" s="44"/>
    </row>
    <row r="504" spans="1:8">
      <c r="A504" s="27"/>
      <c r="B504" s="27"/>
      <c r="C504" s="28"/>
      <c r="D504" s="28"/>
      <c r="E504" s="44"/>
      <c r="F504" s="44"/>
      <c r="G504" s="44"/>
      <c r="H504" s="44"/>
    </row>
    <row r="505" spans="1:8">
      <c r="A505" s="27"/>
      <c r="B505" s="27"/>
      <c r="C505" s="28"/>
      <c r="D505" s="28"/>
      <c r="E505" s="44"/>
      <c r="F505" s="44"/>
      <c r="G505" s="44"/>
      <c r="H505" s="44"/>
    </row>
    <row r="506" spans="1:8">
      <c r="A506" s="27"/>
      <c r="B506" s="27"/>
      <c r="C506" s="28"/>
      <c r="D506" s="28"/>
      <c r="E506" s="44"/>
      <c r="F506" s="44"/>
      <c r="G506" s="44"/>
      <c r="H506" s="44"/>
    </row>
    <row r="507" spans="1:8">
      <c r="A507" s="27"/>
      <c r="B507" s="27"/>
      <c r="C507" s="28"/>
      <c r="D507" s="28"/>
      <c r="E507" s="44"/>
      <c r="F507" s="44"/>
      <c r="G507" s="44"/>
      <c r="H507" s="44"/>
    </row>
    <row r="508" spans="1:8">
      <c r="A508" s="27"/>
      <c r="B508" s="27"/>
      <c r="C508" s="28"/>
      <c r="D508" s="28"/>
      <c r="E508" s="44"/>
      <c r="F508" s="44"/>
      <c r="G508" s="44"/>
      <c r="H508" s="44"/>
    </row>
    <row r="509" spans="1:8">
      <c r="A509" s="27"/>
      <c r="B509" s="27"/>
      <c r="C509" s="28"/>
      <c r="D509" s="28"/>
      <c r="E509" s="44"/>
      <c r="F509" s="44"/>
      <c r="G509" s="44"/>
      <c r="H509" s="44"/>
    </row>
    <row r="510" spans="1:8">
      <c r="A510" s="27"/>
      <c r="B510" s="27"/>
      <c r="C510" s="28"/>
      <c r="D510" s="28"/>
      <c r="E510" s="44"/>
      <c r="F510" s="44"/>
      <c r="G510" s="44"/>
      <c r="H510" s="44"/>
    </row>
    <row r="511" spans="1:8">
      <c r="A511" s="27"/>
      <c r="B511" s="27"/>
      <c r="C511" s="28"/>
      <c r="D511" s="28"/>
      <c r="E511" s="44"/>
      <c r="F511" s="44"/>
      <c r="G511" s="44"/>
      <c r="H511" s="44"/>
    </row>
    <row r="512" spans="1:8">
      <c r="A512" s="27"/>
      <c r="B512" s="27"/>
      <c r="C512" s="28"/>
      <c r="D512" s="28"/>
      <c r="E512" s="44"/>
      <c r="F512" s="44"/>
      <c r="G512" s="44"/>
      <c r="H512" s="44"/>
    </row>
    <row r="513" spans="1:8">
      <c r="A513" s="27"/>
      <c r="B513" s="27"/>
      <c r="C513" s="28"/>
      <c r="D513" s="28"/>
      <c r="E513" s="44"/>
      <c r="F513" s="44"/>
      <c r="G513" s="44"/>
      <c r="H513" s="44"/>
    </row>
    <row r="514" spans="1:8">
      <c r="A514" s="27"/>
      <c r="B514" s="27"/>
      <c r="C514" s="28"/>
      <c r="D514" s="28"/>
      <c r="E514" s="44"/>
      <c r="F514" s="44"/>
      <c r="G514" s="44"/>
      <c r="H514" s="44"/>
    </row>
    <row r="515" spans="1:8">
      <c r="A515" s="27"/>
      <c r="B515" s="27"/>
      <c r="C515" s="28"/>
      <c r="D515" s="28"/>
      <c r="E515" s="44"/>
      <c r="F515" s="44"/>
      <c r="G515" s="44"/>
      <c r="H515" s="44"/>
    </row>
    <row r="516" spans="1:8">
      <c r="A516" s="27"/>
      <c r="B516" s="27"/>
      <c r="C516" s="28"/>
      <c r="D516" s="28"/>
      <c r="E516" s="44"/>
      <c r="F516" s="44"/>
      <c r="G516" s="44"/>
      <c r="H516" s="44"/>
    </row>
    <row r="517" spans="1:8">
      <c r="A517" s="27"/>
      <c r="B517" s="27"/>
      <c r="C517" s="28"/>
      <c r="D517" s="28"/>
      <c r="E517" s="44"/>
      <c r="F517" s="44"/>
      <c r="G517" s="44"/>
      <c r="H517" s="44"/>
    </row>
    <row r="518" spans="1:8">
      <c r="A518" s="27"/>
      <c r="B518" s="27"/>
      <c r="C518" s="28"/>
      <c r="D518" s="28"/>
      <c r="E518" s="44"/>
      <c r="F518" s="44"/>
      <c r="G518" s="44"/>
      <c r="H518" s="44"/>
    </row>
    <row r="519" spans="1:8">
      <c r="A519" s="27"/>
      <c r="B519" s="27"/>
      <c r="C519" s="28"/>
      <c r="D519" s="28"/>
      <c r="E519" s="44"/>
      <c r="F519" s="44"/>
      <c r="G519" s="44"/>
      <c r="H519" s="44"/>
    </row>
    <row r="520" spans="1:8">
      <c r="A520" s="27"/>
      <c r="B520" s="27"/>
      <c r="C520" s="28"/>
      <c r="D520" s="28"/>
      <c r="E520" s="44"/>
      <c r="F520" s="44"/>
      <c r="G520" s="44"/>
      <c r="H520" s="44"/>
    </row>
    <row r="521" spans="1:8">
      <c r="A521" s="27"/>
      <c r="B521" s="27"/>
      <c r="C521" s="28"/>
      <c r="D521" s="28"/>
      <c r="E521" s="44"/>
      <c r="F521" s="44"/>
      <c r="G521" s="44"/>
      <c r="H521" s="44"/>
    </row>
    <row r="522" spans="1:8">
      <c r="A522" s="27"/>
      <c r="B522" s="27"/>
      <c r="C522" s="28"/>
      <c r="D522" s="28"/>
      <c r="E522" s="44"/>
      <c r="F522" s="44"/>
      <c r="G522" s="44"/>
      <c r="H522" s="44"/>
    </row>
    <row r="523" spans="1:8">
      <c r="A523" s="27"/>
      <c r="B523" s="27"/>
      <c r="C523" s="28"/>
      <c r="D523" s="28"/>
      <c r="E523" s="44"/>
      <c r="F523" s="44"/>
      <c r="G523" s="44"/>
      <c r="H523" s="44"/>
    </row>
    <row r="524" spans="1:8">
      <c r="A524" s="27"/>
      <c r="B524" s="27"/>
      <c r="C524" s="28"/>
      <c r="D524" s="28"/>
      <c r="E524" s="44"/>
      <c r="F524" s="44"/>
      <c r="G524" s="44"/>
      <c r="H524" s="44"/>
    </row>
    <row r="525" spans="1:8">
      <c r="A525" s="27"/>
      <c r="B525" s="27"/>
      <c r="C525" s="28"/>
      <c r="D525" s="28"/>
      <c r="E525" s="44"/>
      <c r="F525" s="44"/>
      <c r="G525" s="44"/>
      <c r="H525" s="44"/>
    </row>
    <row r="526" spans="1:8">
      <c r="A526" s="27"/>
      <c r="B526" s="27"/>
      <c r="C526" s="28"/>
      <c r="D526" s="28"/>
      <c r="E526" s="44"/>
      <c r="F526" s="44"/>
      <c r="G526" s="44"/>
      <c r="H526" s="44"/>
    </row>
    <row r="527" spans="1:8">
      <c r="A527" s="27"/>
      <c r="B527" s="27"/>
      <c r="C527" s="28"/>
      <c r="D527" s="28"/>
      <c r="E527" s="44"/>
      <c r="F527" s="44"/>
      <c r="G527" s="44"/>
      <c r="H527" s="44"/>
    </row>
    <row r="528" spans="1:8">
      <c r="A528" s="27"/>
      <c r="B528" s="27"/>
      <c r="C528" s="28"/>
      <c r="D528" s="28"/>
      <c r="E528" s="44"/>
      <c r="F528" s="44"/>
      <c r="G528" s="44"/>
      <c r="H528" s="44"/>
    </row>
    <row r="529" spans="1:8">
      <c r="A529" s="27"/>
      <c r="B529" s="27"/>
      <c r="C529" s="28"/>
      <c r="D529" s="28"/>
      <c r="E529" s="44"/>
      <c r="F529" s="44"/>
      <c r="G529" s="44"/>
      <c r="H529" s="44"/>
    </row>
    <row r="530" spans="1:8">
      <c r="A530" s="27"/>
      <c r="B530" s="27"/>
      <c r="C530" s="28"/>
      <c r="D530" s="28"/>
      <c r="E530" s="44"/>
      <c r="F530" s="44"/>
      <c r="G530" s="44"/>
      <c r="H530" s="44"/>
    </row>
    <row r="531" spans="1:8">
      <c r="A531" s="27"/>
      <c r="B531" s="27"/>
      <c r="C531" s="28"/>
      <c r="D531" s="28"/>
      <c r="E531" s="44"/>
      <c r="F531" s="44"/>
      <c r="G531" s="44"/>
      <c r="H531" s="44"/>
    </row>
    <row r="532" spans="1:8">
      <c r="A532" s="27"/>
      <c r="B532" s="27"/>
      <c r="C532" s="28"/>
      <c r="D532" s="28"/>
      <c r="E532" s="44"/>
      <c r="F532" s="44"/>
      <c r="G532" s="44"/>
      <c r="H532" s="44"/>
    </row>
    <row r="533" spans="1:8">
      <c r="A533" s="27"/>
      <c r="B533" s="27"/>
      <c r="C533" s="28"/>
      <c r="D533" s="28"/>
      <c r="E533" s="44"/>
      <c r="F533" s="44"/>
      <c r="G533" s="44"/>
      <c r="H533" s="44"/>
    </row>
    <row r="534" spans="1:8">
      <c r="A534" s="27"/>
      <c r="B534" s="27"/>
      <c r="C534" s="28"/>
      <c r="D534" s="28"/>
      <c r="E534" s="44"/>
      <c r="F534" s="44"/>
      <c r="G534" s="44"/>
      <c r="H534" s="44"/>
    </row>
    <row r="535" spans="1:8">
      <c r="A535" s="27"/>
      <c r="B535" s="27"/>
      <c r="C535" s="28"/>
      <c r="D535" s="28"/>
      <c r="E535" s="44"/>
      <c r="F535" s="44"/>
      <c r="G535" s="44"/>
      <c r="H535" s="44"/>
    </row>
    <row r="536" spans="1:8">
      <c r="A536" s="27"/>
      <c r="B536" s="27"/>
      <c r="C536" s="28"/>
      <c r="D536" s="28"/>
      <c r="E536" s="44"/>
      <c r="F536" s="44"/>
      <c r="G536" s="44"/>
      <c r="H536" s="44"/>
    </row>
    <row r="537" spans="1:8">
      <c r="A537" s="27"/>
      <c r="B537" s="27"/>
      <c r="C537" s="28"/>
      <c r="D537" s="28"/>
      <c r="E537" s="44"/>
      <c r="F537" s="44"/>
      <c r="G537" s="44"/>
      <c r="H537" s="44"/>
    </row>
    <row r="538" spans="1:8">
      <c r="A538" s="27"/>
      <c r="B538" s="27"/>
      <c r="C538" s="28"/>
      <c r="D538" s="28"/>
      <c r="E538" s="44"/>
      <c r="F538" s="44"/>
      <c r="G538" s="44"/>
      <c r="H538" s="44"/>
    </row>
    <row r="539" spans="1:8">
      <c r="A539" s="27"/>
      <c r="B539" s="27"/>
      <c r="C539" s="28"/>
      <c r="D539" s="28"/>
      <c r="E539" s="44"/>
      <c r="F539" s="44"/>
      <c r="G539" s="44"/>
      <c r="H539" s="44"/>
    </row>
    <row r="540" spans="1:8">
      <c r="A540" s="27"/>
      <c r="B540" s="27"/>
      <c r="C540" s="28"/>
      <c r="D540" s="28"/>
      <c r="E540" s="44"/>
      <c r="F540" s="44"/>
      <c r="G540" s="44"/>
      <c r="H540" s="44"/>
    </row>
    <row r="541" spans="1:8">
      <c r="A541" s="27"/>
      <c r="B541" s="27"/>
      <c r="C541" s="28"/>
      <c r="D541" s="28"/>
      <c r="E541" s="44"/>
      <c r="F541" s="44"/>
      <c r="G541" s="44"/>
      <c r="H541" s="44"/>
    </row>
    <row r="542" spans="1:8">
      <c r="A542" s="27"/>
      <c r="B542" s="27"/>
      <c r="C542" s="28"/>
      <c r="D542" s="28"/>
      <c r="E542" s="44"/>
      <c r="F542" s="44"/>
      <c r="G542" s="44"/>
      <c r="H542" s="44"/>
    </row>
    <row r="543" spans="1:8">
      <c r="A543" s="27"/>
      <c r="B543" s="27"/>
      <c r="C543" s="28"/>
      <c r="D543" s="28"/>
      <c r="E543" s="44"/>
      <c r="F543" s="44"/>
      <c r="G543" s="44"/>
      <c r="H543" s="44"/>
    </row>
    <row r="544" spans="1:8">
      <c r="A544" s="27"/>
      <c r="B544" s="27"/>
      <c r="C544" s="28"/>
      <c r="D544" s="28"/>
      <c r="E544" s="44"/>
      <c r="F544" s="44"/>
      <c r="G544" s="44"/>
      <c r="H544" s="44"/>
    </row>
    <row r="545" spans="1:8">
      <c r="A545" s="27"/>
      <c r="B545" s="27"/>
      <c r="C545" s="28"/>
      <c r="D545" s="28"/>
      <c r="E545" s="44"/>
      <c r="F545" s="44"/>
      <c r="G545" s="44"/>
      <c r="H545" s="44"/>
    </row>
    <row r="546" spans="1:8">
      <c r="A546" s="27"/>
      <c r="B546" s="27"/>
      <c r="C546" s="28"/>
      <c r="D546" s="28"/>
      <c r="E546" s="44"/>
      <c r="F546" s="44"/>
      <c r="G546" s="44"/>
      <c r="H546" s="44"/>
    </row>
    <row r="547" spans="1:8">
      <c r="A547" s="27"/>
      <c r="B547" s="27"/>
      <c r="C547" s="28"/>
      <c r="D547" s="28"/>
      <c r="E547" s="44"/>
      <c r="F547" s="44"/>
      <c r="G547" s="44"/>
      <c r="H547" s="44"/>
    </row>
    <row r="548" spans="1:8">
      <c r="A548" s="27"/>
      <c r="B548" s="27"/>
      <c r="C548" s="28"/>
      <c r="D548" s="28"/>
      <c r="E548" s="44"/>
      <c r="F548" s="44"/>
      <c r="G548" s="44"/>
      <c r="H548" s="44"/>
    </row>
    <row r="549" spans="1:8">
      <c r="A549" s="27"/>
      <c r="B549" s="27"/>
      <c r="C549" s="28"/>
      <c r="D549" s="28"/>
      <c r="E549" s="44"/>
      <c r="F549" s="44"/>
      <c r="G549" s="44"/>
      <c r="H549" s="44"/>
    </row>
    <row r="550" spans="1:8">
      <c r="A550" s="27"/>
      <c r="B550" s="27"/>
      <c r="C550" s="28"/>
      <c r="D550" s="28"/>
      <c r="E550" s="44"/>
      <c r="F550" s="44"/>
      <c r="G550" s="44"/>
      <c r="H550" s="44"/>
    </row>
    <row r="551" spans="1:8">
      <c r="A551" s="27"/>
      <c r="B551" s="27"/>
      <c r="C551" s="28"/>
      <c r="D551" s="28"/>
      <c r="E551" s="44"/>
      <c r="F551" s="44"/>
      <c r="G551" s="44"/>
      <c r="H551" s="44"/>
    </row>
    <row r="552" spans="1:8">
      <c r="A552" s="27"/>
      <c r="B552" s="27"/>
      <c r="C552" s="28"/>
      <c r="D552" s="28"/>
      <c r="E552" s="44"/>
      <c r="F552" s="44"/>
      <c r="G552" s="44"/>
      <c r="H552" s="44"/>
    </row>
    <row r="553" spans="1:8">
      <c r="A553" s="27"/>
      <c r="B553" s="27"/>
      <c r="C553" s="28"/>
      <c r="D553" s="28"/>
      <c r="E553" s="44"/>
      <c r="F553" s="44"/>
      <c r="G553" s="44"/>
      <c r="H553" s="44"/>
    </row>
    <row r="554" spans="1:8">
      <c r="A554" s="27"/>
      <c r="B554" s="27"/>
      <c r="C554" s="28"/>
      <c r="D554" s="28"/>
      <c r="E554" s="44"/>
      <c r="F554" s="44"/>
      <c r="G554" s="44"/>
      <c r="H554" s="44"/>
    </row>
    <row r="555" spans="1:8">
      <c r="A555" s="27"/>
      <c r="B555" s="27"/>
      <c r="C555" s="28"/>
      <c r="D555" s="28"/>
      <c r="E555" s="44"/>
      <c r="F555" s="44"/>
      <c r="G555" s="44"/>
      <c r="H555" s="44"/>
    </row>
    <row r="556" spans="1:8">
      <c r="A556" s="27"/>
      <c r="B556" s="27"/>
      <c r="C556" s="28"/>
      <c r="D556" s="28"/>
      <c r="E556" s="44"/>
      <c r="F556" s="44"/>
      <c r="G556" s="44"/>
      <c r="H556" s="44"/>
    </row>
    <row r="557" spans="1:8">
      <c r="A557" s="27"/>
      <c r="B557" s="27"/>
      <c r="C557" s="28"/>
      <c r="D557" s="28"/>
      <c r="E557" s="44"/>
      <c r="F557" s="44"/>
      <c r="G557" s="44"/>
      <c r="H557" s="44"/>
    </row>
    <row r="558" spans="1:8">
      <c r="A558" s="27"/>
      <c r="B558" s="27"/>
      <c r="C558" s="28"/>
      <c r="D558" s="28"/>
      <c r="E558" s="44"/>
      <c r="F558" s="44"/>
      <c r="G558" s="44"/>
      <c r="H558" s="44"/>
    </row>
    <row r="559" spans="1:8">
      <c r="A559" s="27"/>
      <c r="B559" s="27"/>
      <c r="C559" s="28"/>
      <c r="D559" s="28"/>
      <c r="E559" s="44"/>
      <c r="F559" s="44"/>
      <c r="G559" s="44"/>
      <c r="H559" s="44"/>
    </row>
    <row r="560" spans="1:8">
      <c r="A560" s="27"/>
      <c r="B560" s="27"/>
      <c r="C560" s="28"/>
      <c r="D560" s="28"/>
      <c r="E560" s="44"/>
      <c r="F560" s="44"/>
      <c r="G560" s="44"/>
      <c r="H560" s="44"/>
    </row>
    <row r="561" spans="1:8">
      <c r="A561" s="27"/>
      <c r="B561" s="27"/>
      <c r="C561" s="28"/>
      <c r="D561" s="28"/>
      <c r="E561" s="44"/>
      <c r="F561" s="44"/>
      <c r="G561" s="44"/>
      <c r="H561" s="44"/>
    </row>
    <row r="562" spans="1:8">
      <c r="A562" s="27"/>
      <c r="B562" s="27"/>
      <c r="C562" s="28"/>
      <c r="D562" s="28"/>
      <c r="E562" s="44"/>
      <c r="F562" s="44"/>
      <c r="G562" s="44"/>
      <c r="H562" s="44"/>
    </row>
    <row r="563" spans="1:8">
      <c r="A563" s="27"/>
      <c r="B563" s="27"/>
      <c r="C563" s="28"/>
      <c r="D563" s="28"/>
      <c r="E563" s="44"/>
      <c r="F563" s="44"/>
      <c r="G563" s="44"/>
      <c r="H563" s="44"/>
    </row>
    <row r="564" spans="1:8">
      <c r="A564" s="27"/>
      <c r="B564" s="27"/>
      <c r="C564" s="28"/>
      <c r="D564" s="28"/>
      <c r="E564" s="44"/>
      <c r="F564" s="44"/>
      <c r="G564" s="44"/>
      <c r="H564" s="44"/>
    </row>
    <row r="565" spans="1:8">
      <c r="A565" s="27"/>
      <c r="B565" s="27"/>
      <c r="C565" s="28"/>
      <c r="D565" s="28"/>
      <c r="E565" s="44"/>
      <c r="F565" s="44"/>
      <c r="G565" s="44"/>
      <c r="H565" s="44"/>
    </row>
    <row r="566" spans="1:8">
      <c r="A566" s="27"/>
      <c r="B566" s="27"/>
      <c r="C566" s="28"/>
      <c r="D566" s="28"/>
      <c r="E566" s="44"/>
      <c r="F566" s="44"/>
      <c r="G566" s="44"/>
      <c r="H566" s="44"/>
    </row>
    <row r="567" spans="1:8">
      <c r="A567" s="27"/>
      <c r="B567" s="27"/>
      <c r="C567" s="28"/>
      <c r="D567" s="28"/>
      <c r="E567" s="44"/>
      <c r="F567" s="44"/>
      <c r="G567" s="44"/>
      <c r="H567" s="44"/>
    </row>
    <row r="568" spans="1:8">
      <c r="A568" s="27"/>
      <c r="B568" s="27"/>
      <c r="C568" s="28"/>
      <c r="D568" s="28"/>
      <c r="E568" s="44"/>
      <c r="F568" s="44"/>
      <c r="G568" s="44"/>
      <c r="H568" s="44"/>
    </row>
    <row r="569" spans="1:8">
      <c r="A569" s="27"/>
      <c r="B569" s="27"/>
      <c r="C569" s="28"/>
      <c r="D569" s="28"/>
      <c r="E569" s="44"/>
      <c r="F569" s="44"/>
      <c r="G569" s="44"/>
      <c r="H569" s="44"/>
    </row>
    <row r="570" spans="1:8">
      <c r="A570" s="27"/>
      <c r="B570" s="27"/>
      <c r="C570" s="28"/>
      <c r="D570" s="28"/>
      <c r="E570" s="44"/>
      <c r="F570" s="44"/>
      <c r="G570" s="44"/>
      <c r="H570" s="44"/>
    </row>
    <row r="571" spans="1:8">
      <c r="A571" s="27"/>
      <c r="B571" s="27"/>
      <c r="C571" s="28"/>
      <c r="D571" s="28"/>
      <c r="E571" s="44"/>
      <c r="F571" s="44"/>
      <c r="G571" s="44"/>
      <c r="H571" s="44"/>
    </row>
    <row r="572" spans="1:8">
      <c r="A572" s="27"/>
      <c r="B572" s="27"/>
      <c r="C572" s="28"/>
      <c r="D572" s="28"/>
      <c r="E572" s="44"/>
      <c r="F572" s="44"/>
      <c r="G572" s="44"/>
      <c r="H572" s="44"/>
    </row>
    <row r="573" spans="1:8">
      <c r="A573" s="27"/>
      <c r="B573" s="27"/>
      <c r="C573" s="28"/>
      <c r="D573" s="28"/>
      <c r="E573" s="44"/>
      <c r="F573" s="44"/>
      <c r="G573" s="44"/>
      <c r="H573" s="44"/>
    </row>
    <row r="574" spans="1:8">
      <c r="A574" s="27"/>
      <c r="B574" s="27"/>
      <c r="C574" s="28"/>
      <c r="D574" s="28"/>
      <c r="E574" s="44"/>
      <c r="F574" s="44"/>
      <c r="G574" s="44"/>
      <c r="H574" s="44"/>
    </row>
    <row r="575" spans="1:8">
      <c r="A575" s="27"/>
      <c r="B575" s="27"/>
      <c r="C575" s="28"/>
      <c r="D575" s="28"/>
      <c r="E575" s="44"/>
      <c r="F575" s="44"/>
      <c r="G575" s="44"/>
      <c r="H575" s="44"/>
    </row>
    <row r="576" spans="1:8">
      <c r="A576" s="27"/>
      <c r="B576" s="27"/>
      <c r="C576" s="28"/>
      <c r="D576" s="28"/>
      <c r="E576" s="44"/>
      <c r="F576" s="44"/>
      <c r="G576" s="44"/>
      <c r="H576" s="44"/>
    </row>
    <row r="577" spans="1:8">
      <c r="A577" s="27"/>
      <c r="B577" s="27"/>
      <c r="C577" s="28"/>
      <c r="D577" s="28"/>
      <c r="E577" s="44"/>
      <c r="F577" s="44"/>
      <c r="G577" s="44"/>
      <c r="H577" s="44"/>
    </row>
    <row r="578" spans="1:8">
      <c r="A578" s="27"/>
      <c r="B578" s="27"/>
      <c r="C578" s="28"/>
      <c r="D578" s="28"/>
      <c r="E578" s="44"/>
      <c r="F578" s="44"/>
      <c r="G578" s="44"/>
      <c r="H578" s="44"/>
    </row>
    <row r="579" spans="1:8">
      <c r="A579" s="27"/>
      <c r="B579" s="27"/>
      <c r="C579" s="28"/>
      <c r="D579" s="28"/>
      <c r="E579" s="44"/>
      <c r="F579" s="44"/>
      <c r="G579" s="44"/>
      <c r="H579" s="44"/>
    </row>
    <row r="580" spans="1:8">
      <c r="A580" s="27"/>
      <c r="B580" s="27"/>
      <c r="C580" s="28"/>
      <c r="D580" s="28"/>
      <c r="E580" s="44"/>
      <c r="F580" s="44"/>
      <c r="G580" s="44"/>
      <c r="H580" s="44"/>
    </row>
    <row r="581" spans="1:8">
      <c r="A581" s="27"/>
      <c r="B581" s="27"/>
      <c r="C581" s="28"/>
      <c r="D581" s="28"/>
      <c r="E581" s="44"/>
      <c r="F581" s="44"/>
      <c r="G581" s="44"/>
      <c r="H581" s="44"/>
    </row>
    <row r="582" spans="1:8">
      <c r="A582" s="27"/>
      <c r="B582" s="27"/>
      <c r="C582" s="28"/>
      <c r="D582" s="28"/>
      <c r="E582" s="44"/>
      <c r="F582" s="44"/>
      <c r="G582" s="44"/>
      <c r="H582" s="44"/>
    </row>
    <row r="583" spans="1:8">
      <c r="A583" s="27"/>
      <c r="B583" s="27"/>
      <c r="C583" s="28"/>
      <c r="D583" s="28"/>
      <c r="E583" s="44"/>
      <c r="F583" s="44"/>
      <c r="G583" s="44"/>
      <c r="H583" s="44"/>
    </row>
    <row r="584" spans="1:8">
      <c r="A584" s="27"/>
      <c r="B584" s="27"/>
      <c r="C584" s="28"/>
      <c r="D584" s="28"/>
      <c r="E584" s="44"/>
      <c r="F584" s="44"/>
      <c r="G584" s="44"/>
      <c r="H584" s="44"/>
    </row>
    <row r="585" spans="1:8">
      <c r="A585" s="27"/>
      <c r="B585" s="27"/>
      <c r="C585" s="28"/>
      <c r="D585" s="28"/>
      <c r="E585" s="44"/>
      <c r="F585" s="44"/>
      <c r="G585" s="44"/>
      <c r="H585" s="44"/>
    </row>
    <row r="586" spans="1:8">
      <c r="A586" s="27"/>
      <c r="B586" s="27"/>
      <c r="C586" s="28"/>
      <c r="D586" s="28"/>
      <c r="E586" s="44"/>
      <c r="F586" s="44"/>
      <c r="G586" s="44"/>
      <c r="H586" s="44"/>
    </row>
    <row r="587" spans="1:8">
      <c r="A587" s="27"/>
      <c r="B587" s="27"/>
      <c r="C587" s="28"/>
      <c r="D587" s="28"/>
      <c r="E587" s="44"/>
      <c r="F587" s="44"/>
      <c r="G587" s="44"/>
      <c r="H587" s="44"/>
    </row>
    <row r="588" spans="1:8">
      <c r="A588" s="27"/>
      <c r="B588" s="27"/>
      <c r="C588" s="28"/>
      <c r="D588" s="28"/>
      <c r="E588" s="44"/>
      <c r="F588" s="44"/>
      <c r="G588" s="44"/>
      <c r="H588" s="44"/>
    </row>
    <row r="589" spans="1:8">
      <c r="A589" s="27"/>
      <c r="B589" s="27"/>
      <c r="C589" s="28"/>
      <c r="D589" s="28"/>
      <c r="E589" s="44"/>
      <c r="F589" s="44"/>
      <c r="G589" s="44"/>
      <c r="H589" s="44"/>
    </row>
    <row r="590" spans="1:8">
      <c r="A590" s="27"/>
      <c r="B590" s="27"/>
      <c r="C590" s="28"/>
      <c r="D590" s="28"/>
      <c r="E590" s="44"/>
      <c r="F590" s="44"/>
      <c r="G590" s="44"/>
      <c r="H590" s="44"/>
    </row>
    <row r="591" spans="1:8">
      <c r="A591" s="27"/>
      <c r="B591" s="27"/>
      <c r="C591" s="28"/>
      <c r="D591" s="28"/>
      <c r="E591" s="44"/>
      <c r="F591" s="44"/>
      <c r="G591" s="44"/>
      <c r="H591" s="44"/>
    </row>
    <row r="592" spans="1:8">
      <c r="A592" s="27"/>
      <c r="B592" s="27"/>
      <c r="C592" s="28"/>
      <c r="D592" s="28"/>
      <c r="E592" s="44"/>
      <c r="F592" s="44"/>
      <c r="G592" s="44"/>
      <c r="H592" s="44"/>
    </row>
    <row r="593" spans="1:8">
      <c r="A593" s="27"/>
      <c r="B593" s="27"/>
      <c r="C593" s="28"/>
      <c r="D593" s="28"/>
      <c r="E593" s="44"/>
      <c r="F593" s="44"/>
      <c r="G593" s="44"/>
      <c r="H593" s="44"/>
    </row>
    <row r="594" spans="1:8">
      <c r="A594" s="27"/>
      <c r="B594" s="27"/>
      <c r="C594" s="28"/>
      <c r="D594" s="28"/>
      <c r="E594" s="44"/>
      <c r="F594" s="44"/>
      <c r="G594" s="44"/>
      <c r="H594" s="44"/>
    </row>
    <row r="595" spans="1:8">
      <c r="A595" s="27"/>
      <c r="B595" s="27"/>
      <c r="C595" s="28"/>
      <c r="D595" s="28"/>
      <c r="E595" s="44"/>
      <c r="F595" s="44"/>
      <c r="G595" s="44"/>
      <c r="H595" s="44"/>
    </row>
    <row r="596" spans="1:8">
      <c r="A596" s="27"/>
      <c r="B596" s="27"/>
      <c r="C596" s="28"/>
      <c r="D596" s="28"/>
      <c r="E596" s="44"/>
      <c r="F596" s="44"/>
      <c r="G596" s="44"/>
      <c r="H596" s="44"/>
    </row>
    <row r="597" spans="1:8">
      <c r="A597" s="27"/>
      <c r="B597" s="27"/>
      <c r="C597" s="28"/>
      <c r="D597" s="28"/>
      <c r="E597" s="44"/>
      <c r="F597" s="44"/>
      <c r="G597" s="44"/>
      <c r="H597" s="44"/>
    </row>
    <row r="598" spans="1:8">
      <c r="A598" s="27"/>
      <c r="B598" s="27"/>
      <c r="C598" s="28"/>
      <c r="D598" s="28"/>
      <c r="E598" s="44"/>
      <c r="F598" s="44"/>
      <c r="G598" s="44"/>
      <c r="H598" s="44"/>
    </row>
    <row r="599" spans="1:8">
      <c r="A599" s="27"/>
      <c r="B599" s="27"/>
      <c r="C599" s="28"/>
      <c r="D599" s="28"/>
      <c r="E599" s="44"/>
      <c r="F599" s="44"/>
      <c r="G599" s="44"/>
      <c r="H599" s="44"/>
    </row>
    <row r="600" spans="1:8">
      <c r="A600" s="27"/>
      <c r="B600" s="27"/>
      <c r="C600" s="28"/>
      <c r="D600" s="28"/>
      <c r="E600" s="44"/>
      <c r="F600" s="44"/>
      <c r="G600" s="44"/>
      <c r="H600" s="44"/>
    </row>
    <row r="601" spans="1:8">
      <c r="A601" s="27"/>
      <c r="B601" s="27"/>
      <c r="C601" s="28"/>
      <c r="D601" s="28"/>
      <c r="E601" s="44"/>
      <c r="F601" s="44"/>
      <c r="G601" s="44"/>
      <c r="H601" s="44"/>
    </row>
    <row r="602" spans="1:8">
      <c r="A602" s="27"/>
      <c r="B602" s="27"/>
      <c r="C602" s="28"/>
      <c r="D602" s="28"/>
      <c r="E602" s="44"/>
      <c r="F602" s="44"/>
      <c r="G602" s="44"/>
      <c r="H602" s="44"/>
    </row>
    <row r="603" spans="1:8">
      <c r="A603" s="27"/>
      <c r="B603" s="27"/>
      <c r="C603" s="28"/>
      <c r="D603" s="28"/>
      <c r="E603" s="44"/>
      <c r="F603" s="44"/>
      <c r="G603" s="44"/>
      <c r="H603" s="44"/>
    </row>
    <row r="604" spans="1:8">
      <c r="A604" s="27"/>
      <c r="B604" s="27"/>
      <c r="C604" s="28"/>
      <c r="D604" s="28"/>
      <c r="E604" s="44"/>
      <c r="F604" s="44"/>
      <c r="G604" s="44"/>
      <c r="H604" s="44"/>
    </row>
    <row r="605" spans="1:8">
      <c r="A605" s="27"/>
      <c r="B605" s="27"/>
      <c r="C605" s="28"/>
      <c r="D605" s="28"/>
      <c r="E605" s="44"/>
      <c r="F605" s="44"/>
      <c r="G605" s="44"/>
      <c r="H605" s="44"/>
    </row>
    <row r="606" spans="1:8">
      <c r="A606" s="27"/>
      <c r="B606" s="27"/>
      <c r="C606" s="28"/>
      <c r="D606" s="28"/>
      <c r="E606" s="44"/>
      <c r="F606" s="44"/>
      <c r="G606" s="44"/>
      <c r="H606" s="44"/>
    </row>
    <row r="607" spans="1:8">
      <c r="A607" s="27"/>
      <c r="B607" s="27"/>
      <c r="C607" s="28"/>
      <c r="D607" s="28"/>
      <c r="E607" s="44"/>
      <c r="F607" s="44"/>
      <c r="G607" s="44"/>
      <c r="H607" s="44"/>
    </row>
    <row r="608" spans="1:8">
      <c r="A608" s="27"/>
      <c r="B608" s="27"/>
      <c r="C608" s="28"/>
      <c r="D608" s="28"/>
      <c r="E608" s="44"/>
      <c r="F608" s="44"/>
      <c r="G608" s="44"/>
      <c r="H608" s="44"/>
    </row>
    <row r="609" spans="1:8">
      <c r="A609" s="27"/>
      <c r="B609" s="27"/>
      <c r="C609" s="28"/>
      <c r="D609" s="28"/>
      <c r="E609" s="44"/>
      <c r="F609" s="44"/>
      <c r="G609" s="44"/>
      <c r="H609" s="44"/>
    </row>
    <row r="610" spans="1:8">
      <c r="A610" s="27"/>
      <c r="B610" s="27"/>
      <c r="C610" s="28"/>
      <c r="D610" s="28"/>
      <c r="E610" s="44"/>
      <c r="F610" s="44"/>
      <c r="G610" s="44"/>
      <c r="H610" s="44"/>
    </row>
    <row r="611" spans="1:8">
      <c r="A611" s="27"/>
      <c r="B611" s="27"/>
      <c r="C611" s="28"/>
      <c r="D611" s="28"/>
      <c r="E611" s="44"/>
      <c r="F611" s="44"/>
      <c r="G611" s="44"/>
      <c r="H611" s="44"/>
    </row>
    <row r="612" spans="1:8">
      <c r="A612" s="27"/>
      <c r="B612" s="27"/>
      <c r="C612" s="28"/>
      <c r="D612" s="28"/>
      <c r="E612" s="44"/>
      <c r="F612" s="44"/>
      <c r="G612" s="44"/>
      <c r="H612" s="44"/>
    </row>
    <row r="613" spans="1:8">
      <c r="A613" s="27"/>
      <c r="B613" s="27"/>
      <c r="C613" s="28"/>
      <c r="D613" s="28"/>
      <c r="E613" s="44"/>
      <c r="F613" s="44"/>
      <c r="G613" s="44"/>
      <c r="H613" s="44"/>
    </row>
    <row r="614" spans="1:8">
      <c r="A614" s="27"/>
      <c r="B614" s="27"/>
      <c r="C614" s="28"/>
      <c r="D614" s="28"/>
      <c r="E614" s="44"/>
      <c r="F614" s="44"/>
      <c r="G614" s="44"/>
      <c r="H614" s="44"/>
    </row>
    <row r="615" spans="1:8">
      <c r="A615" s="27"/>
      <c r="B615" s="27"/>
      <c r="C615" s="28"/>
      <c r="D615" s="28"/>
      <c r="E615" s="44"/>
      <c r="F615" s="44"/>
      <c r="G615" s="44"/>
      <c r="H615" s="44"/>
    </row>
    <row r="616" spans="1:8">
      <c r="A616" s="27"/>
      <c r="B616" s="27"/>
      <c r="C616" s="28"/>
      <c r="D616" s="28"/>
      <c r="E616" s="44"/>
      <c r="F616" s="44"/>
      <c r="G616" s="44"/>
      <c r="H616" s="44"/>
    </row>
    <row r="617" spans="1:8">
      <c r="A617" s="27"/>
      <c r="B617" s="27"/>
      <c r="C617" s="28"/>
      <c r="D617" s="28"/>
      <c r="E617" s="44"/>
      <c r="F617" s="44"/>
      <c r="G617" s="44"/>
      <c r="H617" s="44"/>
    </row>
    <row r="618" spans="1:8">
      <c r="A618" s="27"/>
      <c r="B618" s="27"/>
      <c r="C618" s="28"/>
      <c r="D618" s="28"/>
      <c r="E618" s="44"/>
      <c r="F618" s="44"/>
      <c r="G618" s="44"/>
      <c r="H618" s="44"/>
    </row>
    <row r="619" spans="1:8">
      <c r="A619" s="27"/>
      <c r="B619" s="27"/>
      <c r="C619" s="28"/>
      <c r="D619" s="28"/>
      <c r="E619" s="44"/>
      <c r="F619" s="44"/>
      <c r="G619" s="44"/>
      <c r="H619" s="44"/>
    </row>
    <row r="620" spans="1:8">
      <c r="A620" s="27"/>
      <c r="B620" s="27"/>
      <c r="C620" s="28"/>
      <c r="D620" s="28"/>
      <c r="E620" s="44"/>
      <c r="F620" s="44"/>
      <c r="G620" s="44"/>
      <c r="H620" s="44"/>
    </row>
    <row r="621" spans="1:8">
      <c r="A621" s="27"/>
      <c r="B621" s="27"/>
      <c r="C621" s="28"/>
      <c r="D621" s="28"/>
      <c r="E621" s="44"/>
      <c r="F621" s="44"/>
      <c r="G621" s="44"/>
      <c r="H621" s="44"/>
    </row>
    <row r="622" spans="1:8">
      <c r="A622" s="27"/>
      <c r="B622" s="27"/>
      <c r="C622" s="28"/>
      <c r="D622" s="28"/>
      <c r="E622" s="44"/>
      <c r="F622" s="44"/>
      <c r="G622" s="44"/>
      <c r="H622" s="44"/>
    </row>
    <row r="623" spans="1:8">
      <c r="A623" s="27"/>
      <c r="B623" s="27"/>
      <c r="C623" s="28"/>
      <c r="D623" s="28"/>
      <c r="E623" s="44"/>
      <c r="F623" s="44"/>
      <c r="G623" s="44"/>
      <c r="H623" s="44"/>
    </row>
    <row r="624" spans="1:8">
      <c r="A624" s="27"/>
      <c r="B624" s="27"/>
      <c r="C624" s="28"/>
      <c r="D624" s="28"/>
      <c r="E624" s="44"/>
      <c r="F624" s="44"/>
      <c r="G624" s="44"/>
      <c r="H624" s="44"/>
    </row>
    <row r="625" spans="1:8">
      <c r="A625" s="27"/>
      <c r="B625" s="27"/>
      <c r="C625" s="28"/>
      <c r="D625" s="28"/>
      <c r="E625" s="44"/>
      <c r="F625" s="44"/>
      <c r="G625" s="44"/>
      <c r="H625" s="44"/>
    </row>
    <row r="626" spans="1:8">
      <c r="A626" s="27"/>
      <c r="B626" s="27"/>
      <c r="C626" s="28"/>
      <c r="D626" s="28"/>
      <c r="E626" s="44"/>
      <c r="F626" s="44"/>
      <c r="G626" s="44"/>
      <c r="H626" s="44"/>
    </row>
    <row r="627" spans="1:8">
      <c r="A627" s="27"/>
      <c r="B627" s="27"/>
      <c r="C627" s="28"/>
      <c r="D627" s="28"/>
      <c r="E627" s="44"/>
      <c r="F627" s="44"/>
      <c r="G627" s="44"/>
      <c r="H627" s="44"/>
    </row>
    <row r="628" spans="1:8">
      <c r="A628" s="27"/>
      <c r="B628" s="27"/>
      <c r="C628" s="28"/>
      <c r="D628" s="28"/>
      <c r="E628" s="44"/>
      <c r="F628" s="44"/>
      <c r="G628" s="44"/>
      <c r="H628" s="44"/>
    </row>
    <row r="629" spans="1:8">
      <c r="A629" s="27"/>
      <c r="B629" s="27"/>
      <c r="C629" s="28"/>
      <c r="D629" s="28"/>
      <c r="E629" s="44"/>
      <c r="F629" s="44"/>
      <c r="G629" s="44"/>
      <c r="H629" s="44"/>
    </row>
    <row r="630" spans="1:8">
      <c r="A630" s="27"/>
      <c r="B630" s="27"/>
      <c r="C630" s="28"/>
      <c r="D630" s="28"/>
      <c r="E630" s="44"/>
      <c r="F630" s="44"/>
      <c r="G630" s="44"/>
      <c r="H630" s="44"/>
    </row>
    <row r="631" spans="1:8">
      <c r="A631" s="27"/>
      <c r="B631" s="27"/>
      <c r="C631" s="28"/>
      <c r="D631" s="28"/>
      <c r="E631" s="44"/>
      <c r="F631" s="44"/>
      <c r="G631" s="44"/>
      <c r="H631" s="44"/>
    </row>
    <row r="632" spans="1:8">
      <c r="A632" s="27"/>
      <c r="B632" s="27"/>
      <c r="C632" s="28"/>
      <c r="D632" s="28"/>
      <c r="E632" s="44"/>
      <c r="F632" s="44"/>
      <c r="G632" s="44"/>
      <c r="H632" s="44"/>
    </row>
    <row r="633" spans="1:8">
      <c r="A633" s="27"/>
      <c r="B633" s="27"/>
      <c r="C633" s="28"/>
      <c r="D633" s="28"/>
      <c r="E633" s="44"/>
      <c r="F633" s="44"/>
      <c r="G633" s="44"/>
      <c r="H633" s="44"/>
    </row>
    <row r="634" spans="1:8">
      <c r="A634" s="27"/>
      <c r="B634" s="27"/>
      <c r="C634" s="28"/>
      <c r="D634" s="28"/>
      <c r="E634" s="44"/>
      <c r="F634" s="44"/>
      <c r="G634" s="44"/>
      <c r="H634" s="44"/>
    </row>
    <row r="635" spans="1:8">
      <c r="A635" s="27"/>
      <c r="B635" s="27"/>
      <c r="C635" s="28"/>
      <c r="D635" s="28"/>
      <c r="E635" s="44"/>
      <c r="F635" s="44"/>
      <c r="G635" s="44"/>
      <c r="H635" s="44"/>
    </row>
    <row r="636" spans="1:8">
      <c r="A636" s="27"/>
      <c r="B636" s="27"/>
      <c r="C636" s="28"/>
      <c r="D636" s="28"/>
      <c r="E636" s="44"/>
      <c r="F636" s="44"/>
      <c r="G636" s="44"/>
      <c r="H636" s="44"/>
    </row>
    <row r="637" spans="1:8">
      <c r="A637" s="27"/>
      <c r="B637" s="27"/>
      <c r="C637" s="28"/>
      <c r="D637" s="28"/>
      <c r="E637" s="44"/>
      <c r="F637" s="44"/>
      <c r="G637" s="44"/>
      <c r="H637" s="44"/>
    </row>
    <row r="638" spans="1:8">
      <c r="A638" s="27"/>
      <c r="B638" s="27"/>
      <c r="C638" s="28"/>
      <c r="D638" s="28"/>
      <c r="E638" s="44"/>
      <c r="F638" s="44"/>
      <c r="G638" s="44"/>
      <c r="H638" s="44"/>
    </row>
    <row r="639" spans="1:8">
      <c r="A639" s="27"/>
      <c r="B639" s="27"/>
      <c r="C639" s="28"/>
      <c r="D639" s="28"/>
      <c r="E639" s="44"/>
      <c r="F639" s="44"/>
      <c r="G639" s="44"/>
      <c r="H639" s="44"/>
    </row>
    <row r="640" spans="1:8">
      <c r="A640" s="27"/>
      <c r="B640" s="27"/>
      <c r="C640" s="28"/>
      <c r="D640" s="28"/>
      <c r="E640" s="44"/>
      <c r="F640" s="44"/>
      <c r="G640" s="44"/>
      <c r="H640" s="44"/>
    </row>
    <row r="641" spans="1:8">
      <c r="A641" s="27"/>
      <c r="B641" s="27"/>
      <c r="C641" s="28"/>
      <c r="D641" s="28"/>
      <c r="E641" s="44"/>
      <c r="F641" s="44"/>
      <c r="G641" s="44"/>
      <c r="H641" s="44"/>
    </row>
    <row r="642" spans="1:8">
      <c r="A642" s="27"/>
      <c r="B642" s="27"/>
      <c r="C642" s="28"/>
      <c r="D642" s="28"/>
      <c r="E642" s="44"/>
      <c r="F642" s="44"/>
      <c r="G642" s="44"/>
      <c r="H642" s="44"/>
    </row>
    <row r="643" spans="1:8">
      <c r="A643" s="27"/>
      <c r="B643" s="27"/>
      <c r="C643" s="28"/>
      <c r="D643" s="28"/>
      <c r="E643" s="44"/>
      <c r="F643" s="44"/>
      <c r="G643" s="44"/>
      <c r="H643" s="44"/>
    </row>
    <row r="644" spans="1:8">
      <c r="A644" s="27"/>
      <c r="B644" s="27"/>
      <c r="C644" s="28"/>
      <c r="D644" s="28"/>
      <c r="E644" s="44"/>
      <c r="F644" s="44"/>
      <c r="G644" s="44"/>
      <c r="H644" s="44"/>
    </row>
    <row r="645" spans="1:8">
      <c r="A645" s="27"/>
      <c r="B645" s="27"/>
      <c r="C645" s="28"/>
      <c r="D645" s="28"/>
      <c r="E645" s="44"/>
      <c r="F645" s="44"/>
      <c r="G645" s="44"/>
      <c r="H645" s="44"/>
    </row>
    <row r="646" spans="1:8">
      <c r="A646" s="27"/>
      <c r="B646" s="27"/>
      <c r="C646" s="28"/>
      <c r="D646" s="28"/>
      <c r="E646" s="44"/>
      <c r="F646" s="44"/>
      <c r="G646" s="44"/>
      <c r="H646" s="44"/>
    </row>
    <row r="647" spans="1:8">
      <c r="A647" s="27"/>
      <c r="B647" s="27"/>
      <c r="C647" s="28"/>
      <c r="D647" s="28"/>
      <c r="E647" s="44"/>
      <c r="F647" s="44"/>
      <c r="G647" s="44"/>
      <c r="H647" s="44"/>
    </row>
    <row r="648" spans="1:8">
      <c r="A648" s="27"/>
      <c r="B648" s="27"/>
      <c r="C648" s="28"/>
      <c r="D648" s="28"/>
      <c r="E648" s="44"/>
      <c r="F648" s="44"/>
      <c r="G648" s="44"/>
      <c r="H648" s="44"/>
    </row>
    <row r="649" spans="1:8">
      <c r="A649" s="27"/>
      <c r="B649" s="27"/>
      <c r="C649" s="28"/>
      <c r="D649" s="28"/>
      <c r="E649" s="44"/>
      <c r="F649" s="44"/>
      <c r="G649" s="44"/>
      <c r="H649" s="44"/>
    </row>
    <row r="650" spans="1:8">
      <c r="A650" s="27"/>
      <c r="B650" s="27"/>
      <c r="C650" s="28"/>
      <c r="D650" s="28"/>
      <c r="E650" s="44"/>
      <c r="F650" s="44"/>
      <c r="G650" s="44"/>
      <c r="H650" s="44"/>
    </row>
    <row r="651" spans="1:8">
      <c r="A651" s="27"/>
      <c r="B651" s="27"/>
      <c r="C651" s="28"/>
      <c r="D651" s="28"/>
      <c r="E651" s="44"/>
      <c r="F651" s="44"/>
      <c r="G651" s="44"/>
      <c r="H651" s="44"/>
    </row>
    <row r="652" spans="1:8">
      <c r="A652" s="27"/>
      <c r="B652" s="27"/>
      <c r="C652" s="28"/>
      <c r="D652" s="28"/>
      <c r="E652" s="44"/>
      <c r="F652" s="44"/>
      <c r="G652" s="44"/>
      <c r="H652" s="44"/>
    </row>
    <row r="653" spans="1:8">
      <c r="A653" s="27"/>
      <c r="B653" s="27"/>
      <c r="C653" s="28"/>
      <c r="D653" s="28"/>
      <c r="E653" s="44"/>
      <c r="F653" s="44"/>
      <c r="G653" s="44"/>
      <c r="H653" s="44"/>
    </row>
    <row r="654" spans="1:8">
      <c r="A654" s="27"/>
      <c r="B654" s="27"/>
      <c r="C654" s="28"/>
      <c r="D654" s="28"/>
      <c r="E654" s="44"/>
      <c r="F654" s="44"/>
      <c r="G654" s="44"/>
      <c r="H654" s="44"/>
    </row>
    <row r="655" spans="1:8">
      <c r="A655" s="27"/>
      <c r="B655" s="27"/>
      <c r="C655" s="28"/>
      <c r="D655" s="28"/>
      <c r="E655" s="44"/>
      <c r="F655" s="44"/>
      <c r="G655" s="44"/>
      <c r="H655" s="44"/>
    </row>
    <row r="656" spans="1:8">
      <c r="A656" s="27"/>
      <c r="B656" s="27"/>
      <c r="C656" s="28"/>
      <c r="D656" s="28"/>
      <c r="E656" s="44"/>
      <c r="F656" s="44"/>
      <c r="G656" s="44"/>
      <c r="H656" s="44"/>
    </row>
    <row r="657" spans="1:8">
      <c r="A657" s="27"/>
      <c r="B657" s="27"/>
      <c r="C657" s="28"/>
      <c r="D657" s="28"/>
      <c r="E657" s="44"/>
      <c r="F657" s="44"/>
      <c r="G657" s="44"/>
      <c r="H657" s="44"/>
    </row>
    <row r="658" spans="1:8">
      <c r="A658" s="27"/>
      <c r="B658" s="27"/>
      <c r="C658" s="28"/>
      <c r="D658" s="28"/>
      <c r="E658" s="44"/>
      <c r="F658" s="44"/>
      <c r="G658" s="44"/>
      <c r="H658" s="44"/>
    </row>
    <row r="659" spans="1:8">
      <c r="A659" s="27"/>
      <c r="B659" s="27"/>
      <c r="C659" s="28"/>
      <c r="D659" s="28"/>
      <c r="E659" s="44"/>
      <c r="F659" s="44"/>
      <c r="G659" s="44"/>
      <c r="H659" s="44"/>
    </row>
    <row r="660" spans="1:8">
      <c r="A660" s="27"/>
      <c r="B660" s="27"/>
      <c r="C660" s="28"/>
      <c r="D660" s="28"/>
      <c r="E660" s="44"/>
      <c r="F660" s="44"/>
      <c r="G660" s="44"/>
      <c r="H660" s="44"/>
    </row>
    <row r="661" spans="1:8">
      <c r="A661" s="27"/>
      <c r="B661" s="27"/>
      <c r="C661" s="28"/>
      <c r="D661" s="28"/>
      <c r="E661" s="44"/>
      <c r="F661" s="44"/>
      <c r="G661" s="44"/>
      <c r="H661" s="44"/>
    </row>
    <row r="662" spans="1:8">
      <c r="A662" s="27"/>
      <c r="B662" s="27"/>
      <c r="C662" s="28"/>
      <c r="D662" s="28"/>
      <c r="E662" s="44"/>
      <c r="F662" s="44"/>
      <c r="G662" s="44"/>
      <c r="H662" s="44"/>
    </row>
    <row r="663" spans="1:8">
      <c r="A663" s="27"/>
      <c r="B663" s="27"/>
      <c r="C663" s="28"/>
      <c r="D663" s="28"/>
      <c r="E663" s="44"/>
      <c r="F663" s="44"/>
      <c r="G663" s="44"/>
      <c r="H663" s="44"/>
    </row>
    <row r="664" spans="1:8">
      <c r="A664" s="27"/>
      <c r="B664" s="27"/>
      <c r="C664" s="28"/>
      <c r="D664" s="28"/>
      <c r="E664" s="44"/>
      <c r="F664" s="44"/>
      <c r="G664" s="44"/>
      <c r="H664" s="44"/>
    </row>
    <row r="665" spans="1:8">
      <c r="A665" s="27"/>
      <c r="B665" s="27"/>
      <c r="C665" s="28"/>
      <c r="D665" s="28"/>
      <c r="E665" s="44"/>
      <c r="F665" s="44"/>
      <c r="G665" s="44"/>
      <c r="H665" s="44"/>
    </row>
    <row r="666" spans="1:8">
      <c r="A666" s="27"/>
      <c r="B666" s="27"/>
      <c r="C666" s="28"/>
      <c r="D666" s="28"/>
      <c r="E666" s="44"/>
      <c r="F666" s="44"/>
      <c r="G666" s="44"/>
      <c r="H666" s="44"/>
    </row>
    <row r="667" spans="1:8">
      <c r="A667" s="27"/>
      <c r="B667" s="27"/>
      <c r="C667" s="28"/>
      <c r="D667" s="28"/>
      <c r="E667" s="44"/>
      <c r="F667" s="44"/>
      <c r="G667" s="44"/>
      <c r="H667" s="44"/>
    </row>
    <row r="668" spans="1:8">
      <c r="A668" s="27"/>
      <c r="B668" s="27"/>
      <c r="C668" s="28"/>
      <c r="D668" s="28"/>
      <c r="E668" s="44"/>
      <c r="F668" s="44"/>
      <c r="G668" s="44"/>
      <c r="H668" s="44"/>
    </row>
    <row r="669" spans="1:8">
      <c r="A669" s="27"/>
      <c r="B669" s="27"/>
      <c r="C669" s="28"/>
      <c r="D669" s="28"/>
      <c r="E669" s="44"/>
      <c r="F669" s="44"/>
      <c r="G669" s="44"/>
      <c r="H669" s="44"/>
    </row>
    <row r="670" spans="1:8">
      <c r="A670" s="27"/>
      <c r="B670" s="27"/>
      <c r="C670" s="28"/>
      <c r="D670" s="28"/>
      <c r="E670" s="44"/>
      <c r="F670" s="44"/>
      <c r="G670" s="44"/>
      <c r="H670" s="44"/>
    </row>
    <row r="671" spans="1:8">
      <c r="A671" s="27"/>
      <c r="B671" s="27"/>
      <c r="C671" s="28"/>
      <c r="D671" s="28"/>
      <c r="E671" s="44"/>
      <c r="F671" s="44"/>
      <c r="G671" s="44"/>
      <c r="H671" s="44"/>
    </row>
    <row r="672" spans="1:8">
      <c r="A672" s="27"/>
      <c r="B672" s="27"/>
      <c r="C672" s="28"/>
      <c r="D672" s="28"/>
      <c r="E672" s="44"/>
      <c r="F672" s="44"/>
      <c r="G672" s="44"/>
      <c r="H672" s="44"/>
    </row>
    <row r="673" spans="1:8">
      <c r="A673" s="27"/>
      <c r="B673" s="27"/>
      <c r="C673" s="28"/>
      <c r="D673" s="28"/>
      <c r="E673" s="44"/>
      <c r="F673" s="44"/>
      <c r="G673" s="44"/>
      <c r="H673" s="44"/>
    </row>
    <row r="674" spans="1:8">
      <c r="A674" s="27"/>
      <c r="B674" s="27"/>
      <c r="C674" s="28"/>
      <c r="D674" s="28"/>
      <c r="E674" s="44"/>
      <c r="F674" s="44"/>
      <c r="G674" s="44"/>
      <c r="H674" s="44"/>
    </row>
    <row r="675" spans="1:8">
      <c r="A675" s="27"/>
      <c r="B675" s="27"/>
      <c r="C675" s="28"/>
      <c r="D675" s="28"/>
      <c r="E675" s="44"/>
      <c r="F675" s="44"/>
      <c r="G675" s="44"/>
      <c r="H675" s="44"/>
    </row>
    <row r="676" spans="1:8">
      <c r="A676" s="27"/>
      <c r="B676" s="27"/>
      <c r="C676" s="28"/>
      <c r="D676" s="28"/>
      <c r="E676" s="44"/>
      <c r="F676" s="44"/>
      <c r="G676" s="44"/>
      <c r="H676" s="44"/>
    </row>
    <row r="677" spans="1:8">
      <c r="A677" s="27"/>
      <c r="B677" s="27"/>
      <c r="C677" s="28"/>
      <c r="D677" s="28"/>
      <c r="E677" s="44"/>
      <c r="F677" s="44"/>
      <c r="G677" s="44"/>
      <c r="H677" s="44"/>
    </row>
    <row r="678" spans="1:8">
      <c r="A678" s="27"/>
      <c r="B678" s="27"/>
      <c r="C678" s="28"/>
      <c r="D678" s="28"/>
      <c r="E678" s="44"/>
      <c r="F678" s="44"/>
      <c r="G678" s="44"/>
      <c r="H678" s="44"/>
    </row>
    <row r="679" spans="1:8">
      <c r="A679" s="27"/>
      <c r="B679" s="27"/>
      <c r="C679" s="28"/>
      <c r="D679" s="28"/>
      <c r="E679" s="44"/>
      <c r="F679" s="44"/>
      <c r="G679" s="44"/>
      <c r="H679" s="44"/>
    </row>
    <row r="680" spans="1:8">
      <c r="A680" s="27"/>
      <c r="B680" s="27"/>
      <c r="C680" s="28"/>
      <c r="D680" s="28"/>
      <c r="E680" s="44"/>
      <c r="F680" s="44"/>
      <c r="G680" s="44"/>
      <c r="H680" s="44"/>
    </row>
    <row r="681" spans="1:8">
      <c r="A681" s="27"/>
      <c r="B681" s="27"/>
      <c r="C681" s="28"/>
      <c r="D681" s="28"/>
      <c r="E681" s="44"/>
      <c r="F681" s="44"/>
      <c r="G681" s="44"/>
      <c r="H681" s="44"/>
    </row>
    <row r="682" spans="1:8">
      <c r="A682" s="27"/>
      <c r="B682" s="27"/>
      <c r="C682" s="28"/>
      <c r="D682" s="28"/>
      <c r="E682" s="44"/>
      <c r="F682" s="44"/>
      <c r="G682" s="44"/>
      <c r="H682" s="44"/>
    </row>
    <row r="683" spans="1:8">
      <c r="A683" s="27"/>
      <c r="B683" s="27"/>
      <c r="C683" s="28"/>
      <c r="D683" s="28"/>
      <c r="E683" s="44"/>
      <c r="F683" s="44"/>
      <c r="G683" s="44"/>
      <c r="H683" s="44"/>
    </row>
    <row r="684" spans="1:8">
      <c r="A684" s="27"/>
      <c r="B684" s="27"/>
      <c r="C684" s="28"/>
      <c r="D684" s="28"/>
      <c r="E684" s="44"/>
      <c r="F684" s="44"/>
      <c r="G684" s="44"/>
      <c r="H684" s="44"/>
    </row>
    <row r="685" spans="1:8">
      <c r="A685" s="27"/>
      <c r="B685" s="27"/>
      <c r="C685" s="28"/>
      <c r="D685" s="28"/>
      <c r="E685" s="44"/>
      <c r="F685" s="44"/>
      <c r="G685" s="44"/>
      <c r="H685" s="44"/>
    </row>
    <row r="686" spans="1:8">
      <c r="A686" s="27"/>
      <c r="B686" s="27"/>
      <c r="C686" s="28"/>
      <c r="D686" s="28"/>
      <c r="E686" s="44"/>
      <c r="F686" s="44"/>
      <c r="G686" s="44"/>
      <c r="H686" s="44"/>
    </row>
    <row r="687" spans="1:8">
      <c r="A687" s="27"/>
      <c r="B687" s="27"/>
      <c r="C687" s="28"/>
      <c r="D687" s="28"/>
      <c r="E687" s="44"/>
      <c r="F687" s="44"/>
      <c r="G687" s="44"/>
      <c r="H687" s="44"/>
    </row>
    <row r="688" spans="1:8">
      <c r="A688" s="27"/>
      <c r="B688" s="27"/>
      <c r="C688" s="28"/>
      <c r="D688" s="28"/>
      <c r="E688" s="44"/>
      <c r="F688" s="44"/>
      <c r="G688" s="44"/>
      <c r="H688" s="44"/>
    </row>
    <row r="689" spans="1:8">
      <c r="A689" s="27"/>
      <c r="B689" s="27"/>
      <c r="C689" s="28"/>
      <c r="D689" s="28"/>
      <c r="E689" s="44"/>
      <c r="F689" s="44"/>
      <c r="G689" s="44"/>
      <c r="H689" s="44"/>
    </row>
    <row r="690" spans="1:8">
      <c r="A690" s="27"/>
      <c r="B690" s="27"/>
      <c r="C690" s="28"/>
      <c r="D690" s="28"/>
      <c r="E690" s="44"/>
      <c r="F690" s="44"/>
      <c r="G690" s="44"/>
      <c r="H690" s="44"/>
    </row>
    <row r="691" spans="1:8">
      <c r="A691" s="27"/>
      <c r="B691" s="27"/>
      <c r="C691" s="28"/>
      <c r="D691" s="28"/>
      <c r="E691" s="44"/>
      <c r="F691" s="44"/>
      <c r="G691" s="44"/>
      <c r="H691" s="44"/>
    </row>
    <row r="692" spans="1:8">
      <c r="A692" s="27"/>
      <c r="B692" s="27"/>
      <c r="C692" s="28"/>
      <c r="D692" s="28"/>
      <c r="E692" s="44"/>
      <c r="F692" s="44"/>
      <c r="G692" s="44"/>
      <c r="H692" s="44"/>
    </row>
    <row r="693" spans="1:8">
      <c r="A693" s="27"/>
      <c r="B693" s="27"/>
      <c r="C693" s="28"/>
      <c r="D693" s="28"/>
      <c r="E693" s="44"/>
      <c r="F693" s="44"/>
      <c r="G693" s="44"/>
      <c r="H693" s="44"/>
    </row>
    <row r="694" spans="1:8">
      <c r="A694" s="27"/>
      <c r="B694" s="27"/>
      <c r="C694" s="28"/>
      <c r="D694" s="28"/>
      <c r="E694" s="44"/>
      <c r="F694" s="44"/>
      <c r="G694" s="44"/>
      <c r="H694" s="44"/>
    </row>
    <row r="695" spans="1:8">
      <c r="A695" s="27"/>
      <c r="B695" s="27"/>
      <c r="C695" s="28"/>
      <c r="D695" s="28"/>
      <c r="E695" s="44"/>
      <c r="F695" s="44"/>
      <c r="G695" s="44"/>
      <c r="H695" s="44"/>
    </row>
    <row r="696" spans="1:8">
      <c r="A696" s="27"/>
      <c r="B696" s="27"/>
      <c r="C696" s="28"/>
      <c r="D696" s="28"/>
      <c r="E696" s="44"/>
      <c r="F696" s="44"/>
      <c r="G696" s="44"/>
      <c r="H696" s="44"/>
    </row>
    <row r="697" spans="1:8">
      <c r="A697" s="27"/>
      <c r="B697" s="27"/>
      <c r="C697" s="28"/>
      <c r="D697" s="28"/>
      <c r="E697" s="44"/>
      <c r="F697" s="44"/>
      <c r="G697" s="44"/>
      <c r="H697" s="44"/>
    </row>
    <row r="698" spans="1:8">
      <c r="A698" s="27"/>
      <c r="B698" s="27"/>
      <c r="C698" s="28"/>
      <c r="D698" s="28"/>
      <c r="E698" s="44"/>
      <c r="F698" s="44"/>
      <c r="G698" s="44"/>
      <c r="H698" s="44"/>
    </row>
    <row r="699" spans="1:8">
      <c r="A699" s="27"/>
      <c r="B699" s="27"/>
      <c r="C699" s="28"/>
      <c r="D699" s="28"/>
      <c r="E699" s="44"/>
      <c r="F699" s="44"/>
      <c r="G699" s="44"/>
      <c r="H699" s="44"/>
    </row>
    <row r="700" spans="1:8">
      <c r="A700" s="27"/>
      <c r="B700" s="27"/>
      <c r="C700" s="28"/>
      <c r="D700" s="28"/>
      <c r="E700" s="44"/>
      <c r="F700" s="44"/>
      <c r="G700" s="44"/>
      <c r="H700" s="44"/>
    </row>
    <row r="701" spans="1:8">
      <c r="A701" s="27"/>
      <c r="B701" s="27"/>
      <c r="C701" s="28"/>
      <c r="D701" s="28"/>
      <c r="E701" s="44"/>
      <c r="F701" s="44"/>
      <c r="G701" s="44"/>
      <c r="H701" s="44"/>
    </row>
    <row r="702" spans="1:8">
      <c r="A702" s="27"/>
      <c r="B702" s="27"/>
      <c r="C702" s="28"/>
      <c r="D702" s="28"/>
      <c r="E702" s="44"/>
      <c r="F702" s="44"/>
      <c r="G702" s="44"/>
      <c r="H702" s="44"/>
    </row>
    <row r="703" spans="1:8">
      <c r="A703" s="27"/>
      <c r="B703" s="27"/>
      <c r="C703" s="28"/>
      <c r="D703" s="28"/>
      <c r="E703" s="44"/>
      <c r="F703" s="44"/>
      <c r="G703" s="44"/>
      <c r="H703" s="44"/>
    </row>
    <row r="704" spans="1:8">
      <c r="A704" s="27"/>
      <c r="B704" s="27"/>
      <c r="C704" s="28"/>
      <c r="D704" s="28"/>
      <c r="E704" s="44"/>
      <c r="F704" s="44"/>
      <c r="G704" s="44"/>
      <c r="H704" s="44"/>
    </row>
    <row r="705" spans="1:8">
      <c r="A705" s="27"/>
      <c r="B705" s="27"/>
      <c r="C705" s="28"/>
      <c r="D705" s="28"/>
      <c r="E705" s="44"/>
      <c r="F705" s="44"/>
      <c r="G705" s="44"/>
      <c r="H705" s="44"/>
    </row>
    <row r="706" spans="1:8">
      <c r="A706" s="27"/>
      <c r="B706" s="27"/>
      <c r="C706" s="28"/>
      <c r="D706" s="28"/>
      <c r="E706" s="44"/>
      <c r="F706" s="44"/>
      <c r="G706" s="44"/>
      <c r="H706" s="44"/>
    </row>
    <row r="707" spans="1:8">
      <c r="A707" s="27"/>
      <c r="B707" s="27"/>
      <c r="C707" s="28"/>
      <c r="D707" s="28"/>
      <c r="E707" s="44"/>
      <c r="F707" s="44"/>
      <c r="G707" s="44"/>
      <c r="H707" s="44"/>
    </row>
    <row r="708" spans="1:8">
      <c r="A708" s="27"/>
      <c r="B708" s="27"/>
      <c r="C708" s="28"/>
      <c r="D708" s="28"/>
      <c r="E708" s="44"/>
      <c r="F708" s="44"/>
      <c r="G708" s="44"/>
      <c r="H708" s="44"/>
    </row>
    <row r="709" spans="1:8">
      <c r="A709" s="27"/>
      <c r="B709" s="27"/>
      <c r="C709" s="28"/>
      <c r="D709" s="28"/>
      <c r="E709" s="44"/>
      <c r="F709" s="44"/>
      <c r="G709" s="44"/>
      <c r="H709" s="44"/>
    </row>
    <row r="710" spans="1:8">
      <c r="A710" s="27"/>
      <c r="B710" s="27"/>
      <c r="C710" s="28"/>
      <c r="D710" s="28"/>
      <c r="E710" s="44"/>
      <c r="F710" s="44"/>
      <c r="G710" s="44"/>
      <c r="H710" s="44"/>
    </row>
    <row r="711" spans="1:8">
      <c r="A711" s="27"/>
      <c r="B711" s="27"/>
      <c r="C711" s="28"/>
      <c r="D711" s="28"/>
      <c r="E711" s="44"/>
      <c r="F711" s="44"/>
      <c r="G711" s="44"/>
      <c r="H711" s="44"/>
    </row>
    <row r="712" spans="1:8">
      <c r="A712" s="27"/>
      <c r="B712" s="27"/>
      <c r="C712" s="28"/>
      <c r="D712" s="28"/>
      <c r="E712" s="44"/>
      <c r="F712" s="44"/>
      <c r="G712" s="44"/>
      <c r="H712" s="44"/>
    </row>
    <row r="713" spans="1:8">
      <c r="A713" s="27"/>
      <c r="B713" s="27"/>
      <c r="C713" s="28"/>
      <c r="D713" s="28"/>
      <c r="E713" s="44"/>
      <c r="F713" s="44"/>
      <c r="G713" s="44"/>
      <c r="H713" s="44"/>
    </row>
    <row r="714" spans="1:8">
      <c r="A714" s="27"/>
      <c r="B714" s="27"/>
      <c r="C714" s="28"/>
      <c r="D714" s="28"/>
      <c r="E714" s="44"/>
      <c r="F714" s="44"/>
      <c r="G714" s="44"/>
      <c r="H714" s="44"/>
    </row>
    <row r="715" spans="1:8">
      <c r="A715" s="27"/>
      <c r="B715" s="27"/>
      <c r="C715" s="28"/>
      <c r="D715" s="28"/>
      <c r="E715" s="44"/>
      <c r="F715" s="44"/>
      <c r="G715" s="44"/>
      <c r="H715" s="44"/>
    </row>
    <row r="716" spans="1:8">
      <c r="A716" s="27"/>
      <c r="B716" s="27"/>
      <c r="C716" s="28"/>
      <c r="D716" s="28"/>
      <c r="E716" s="44"/>
      <c r="F716" s="44"/>
      <c r="G716" s="44"/>
      <c r="H716" s="44"/>
    </row>
    <row r="717" spans="1:8">
      <c r="A717" s="27"/>
      <c r="B717" s="27"/>
      <c r="C717" s="28"/>
      <c r="D717" s="28"/>
      <c r="E717" s="44"/>
      <c r="F717" s="44"/>
      <c r="G717" s="44"/>
      <c r="H717" s="44"/>
    </row>
    <row r="718" spans="1:8">
      <c r="A718" s="27"/>
      <c r="B718" s="27"/>
      <c r="C718" s="28"/>
      <c r="D718" s="28"/>
      <c r="E718" s="44"/>
      <c r="F718" s="44"/>
      <c r="G718" s="44"/>
      <c r="H718" s="44"/>
    </row>
    <row r="719" spans="1:8">
      <c r="A719" s="27"/>
      <c r="B719" s="27"/>
      <c r="C719" s="28"/>
      <c r="D719" s="28"/>
      <c r="E719" s="44"/>
      <c r="F719" s="44"/>
      <c r="G719" s="44"/>
      <c r="H719" s="44"/>
    </row>
    <row r="720" spans="1:8">
      <c r="A720" s="27"/>
      <c r="B720" s="27"/>
      <c r="C720" s="28"/>
      <c r="D720" s="28"/>
      <c r="E720" s="44"/>
      <c r="F720" s="44"/>
      <c r="G720" s="44"/>
      <c r="H720" s="44"/>
    </row>
    <row r="721" spans="1:8">
      <c r="A721" s="27"/>
      <c r="B721" s="27"/>
      <c r="C721" s="28"/>
      <c r="D721" s="28"/>
      <c r="E721" s="44"/>
      <c r="F721" s="44"/>
      <c r="G721" s="44"/>
      <c r="H721" s="44"/>
    </row>
    <row r="722" spans="1:8">
      <c r="A722" s="27"/>
      <c r="B722" s="27"/>
      <c r="C722" s="28"/>
      <c r="D722" s="28"/>
      <c r="E722" s="44"/>
      <c r="F722" s="44"/>
      <c r="G722" s="44"/>
      <c r="H722" s="44"/>
    </row>
    <row r="723" spans="1:8">
      <c r="A723" s="27"/>
      <c r="B723" s="27"/>
      <c r="C723" s="28"/>
      <c r="D723" s="28"/>
      <c r="E723" s="44"/>
      <c r="F723" s="44"/>
      <c r="G723" s="44"/>
      <c r="H723" s="44"/>
    </row>
    <row r="724" spans="1:8">
      <c r="A724" s="27"/>
      <c r="B724" s="27"/>
      <c r="C724" s="28"/>
      <c r="D724" s="28"/>
      <c r="E724" s="44"/>
      <c r="F724" s="44"/>
      <c r="G724" s="44"/>
      <c r="H724" s="44"/>
    </row>
    <row r="725" spans="1:8">
      <c r="A725" s="27"/>
      <c r="B725" s="27"/>
      <c r="C725" s="28"/>
      <c r="D725" s="28"/>
      <c r="E725" s="44"/>
      <c r="F725" s="44"/>
      <c r="G725" s="44"/>
      <c r="H725" s="44"/>
    </row>
    <row r="726" spans="1:8">
      <c r="A726" s="27"/>
      <c r="B726" s="27"/>
      <c r="C726" s="28"/>
      <c r="D726" s="28"/>
      <c r="E726" s="44"/>
      <c r="F726" s="44"/>
      <c r="G726" s="44"/>
      <c r="H726" s="44"/>
    </row>
    <row r="727" spans="1:8">
      <c r="A727" s="27"/>
      <c r="B727" s="27"/>
      <c r="C727" s="28"/>
      <c r="D727" s="28"/>
      <c r="E727" s="44"/>
      <c r="F727" s="44"/>
      <c r="G727" s="44"/>
      <c r="H727" s="44"/>
    </row>
    <row r="728" spans="1:8">
      <c r="A728" s="27"/>
      <c r="B728" s="27"/>
      <c r="C728" s="28"/>
      <c r="D728" s="28"/>
      <c r="E728" s="44"/>
      <c r="F728" s="44"/>
      <c r="G728" s="44"/>
      <c r="H728" s="44"/>
    </row>
    <row r="729" spans="1:8">
      <c r="A729" s="27"/>
      <c r="B729" s="27"/>
      <c r="C729" s="28"/>
      <c r="D729" s="28"/>
      <c r="E729" s="44"/>
      <c r="F729" s="44"/>
      <c r="G729" s="44"/>
      <c r="H729" s="44"/>
    </row>
    <row r="730" spans="1:8">
      <c r="A730" s="27"/>
      <c r="B730" s="27"/>
      <c r="C730" s="28"/>
      <c r="D730" s="28"/>
      <c r="E730" s="44"/>
      <c r="F730" s="44"/>
      <c r="G730" s="44"/>
      <c r="H730" s="44"/>
    </row>
    <row r="731" spans="1:8">
      <c r="A731" s="27"/>
      <c r="B731" s="27"/>
      <c r="C731" s="28"/>
      <c r="D731" s="28"/>
      <c r="E731" s="44"/>
      <c r="F731" s="44"/>
      <c r="G731" s="44"/>
      <c r="H731" s="44"/>
    </row>
    <row r="732" spans="1:8">
      <c r="A732" s="27"/>
      <c r="B732" s="27"/>
      <c r="C732" s="28"/>
      <c r="D732" s="28"/>
      <c r="E732" s="44"/>
      <c r="F732" s="44"/>
      <c r="G732" s="44"/>
      <c r="H732" s="44"/>
    </row>
    <row r="733" spans="1:8">
      <c r="A733" s="27"/>
      <c r="B733" s="27"/>
      <c r="C733" s="28"/>
      <c r="D733" s="28"/>
      <c r="E733" s="44"/>
      <c r="F733" s="44"/>
      <c r="G733" s="44"/>
      <c r="H733" s="44"/>
    </row>
    <row r="734" spans="1:8">
      <c r="A734" s="27"/>
      <c r="B734" s="27"/>
      <c r="C734" s="28"/>
      <c r="D734" s="28"/>
      <c r="E734" s="44"/>
      <c r="F734" s="44"/>
      <c r="G734" s="44"/>
      <c r="H734" s="44"/>
    </row>
    <row r="735" spans="1:8">
      <c r="A735" s="27"/>
      <c r="B735" s="27"/>
      <c r="C735" s="28"/>
      <c r="D735" s="28"/>
      <c r="E735" s="44"/>
      <c r="F735" s="44"/>
      <c r="G735" s="44"/>
      <c r="H735" s="44"/>
    </row>
    <row r="736" spans="1:8">
      <c r="A736" s="27"/>
      <c r="B736" s="27"/>
      <c r="C736" s="28"/>
      <c r="D736" s="28"/>
      <c r="E736" s="44"/>
      <c r="F736" s="44"/>
      <c r="G736" s="44"/>
      <c r="H736" s="44"/>
    </row>
    <row r="737" spans="1:8">
      <c r="A737" s="27"/>
      <c r="B737" s="27"/>
      <c r="C737" s="28"/>
      <c r="D737" s="28"/>
      <c r="E737" s="44"/>
      <c r="F737" s="44"/>
      <c r="G737" s="44"/>
      <c r="H737" s="44"/>
    </row>
    <row r="738" spans="1:8">
      <c r="A738" s="27"/>
      <c r="B738" s="27"/>
      <c r="C738" s="28"/>
      <c r="D738" s="28"/>
      <c r="E738" s="44"/>
      <c r="F738" s="44"/>
      <c r="G738" s="44"/>
      <c r="H738" s="44"/>
    </row>
    <row r="739" spans="1:8">
      <c r="A739" s="27"/>
      <c r="B739" s="27"/>
      <c r="C739" s="28"/>
      <c r="D739" s="28"/>
      <c r="E739" s="44"/>
      <c r="F739" s="44"/>
      <c r="G739" s="44"/>
      <c r="H739" s="44"/>
    </row>
    <row r="740" spans="1:8">
      <c r="A740" s="27"/>
      <c r="B740" s="27"/>
      <c r="C740" s="28"/>
      <c r="D740" s="28"/>
      <c r="E740" s="44"/>
      <c r="F740" s="44"/>
      <c r="G740" s="44"/>
      <c r="H740" s="44"/>
    </row>
    <row r="741" spans="1:8">
      <c r="A741" s="27"/>
      <c r="B741" s="27"/>
      <c r="C741" s="28"/>
      <c r="D741" s="28"/>
      <c r="E741" s="44"/>
      <c r="F741" s="44"/>
      <c r="G741" s="44"/>
      <c r="H741" s="44"/>
    </row>
    <row r="742" spans="1:8">
      <c r="A742" s="27"/>
      <c r="B742" s="27"/>
      <c r="C742" s="28"/>
      <c r="D742" s="28"/>
      <c r="E742" s="44"/>
      <c r="F742" s="44"/>
      <c r="G742" s="44"/>
      <c r="H742" s="44"/>
    </row>
    <row r="743" spans="1:8">
      <c r="A743" s="27"/>
      <c r="B743" s="27"/>
      <c r="C743" s="28"/>
      <c r="D743" s="28"/>
      <c r="E743" s="44"/>
      <c r="F743" s="44"/>
      <c r="G743" s="44"/>
      <c r="H743" s="44"/>
    </row>
    <row r="744" spans="1:8">
      <c r="A744" s="27"/>
      <c r="B744" s="27"/>
      <c r="C744" s="28"/>
      <c r="D744" s="28"/>
      <c r="E744" s="44"/>
      <c r="F744" s="44"/>
      <c r="G744" s="44"/>
      <c r="H744" s="44"/>
    </row>
    <row r="745" spans="1:8">
      <c r="A745" s="27"/>
      <c r="B745" s="27"/>
      <c r="C745" s="28"/>
      <c r="D745" s="28"/>
      <c r="E745" s="44"/>
      <c r="F745" s="44"/>
      <c r="G745" s="44"/>
      <c r="H745" s="44"/>
    </row>
    <row r="746" spans="1:8">
      <c r="A746" s="27"/>
      <c r="B746" s="27"/>
      <c r="C746" s="28"/>
      <c r="D746" s="28"/>
      <c r="E746" s="44"/>
      <c r="F746" s="44"/>
      <c r="G746" s="44"/>
      <c r="H746" s="44"/>
    </row>
    <row r="747" spans="1:8">
      <c r="A747" s="27"/>
      <c r="B747" s="27"/>
      <c r="C747" s="28"/>
      <c r="D747" s="28"/>
      <c r="E747" s="44"/>
      <c r="F747" s="44"/>
      <c r="G747" s="44"/>
      <c r="H747" s="44"/>
    </row>
    <row r="748" spans="1:8">
      <c r="A748" s="27"/>
      <c r="B748" s="27"/>
      <c r="C748" s="28"/>
      <c r="D748" s="28"/>
      <c r="E748" s="44"/>
      <c r="F748" s="44"/>
      <c r="G748" s="44"/>
      <c r="H748" s="44"/>
    </row>
    <row r="749" spans="1:8">
      <c r="A749" s="27"/>
      <c r="B749" s="27"/>
      <c r="C749" s="28"/>
      <c r="D749" s="28"/>
      <c r="E749" s="44"/>
      <c r="F749" s="44"/>
      <c r="G749" s="44"/>
      <c r="H749" s="44"/>
    </row>
    <row r="750" spans="1:8">
      <c r="A750" s="27"/>
      <c r="B750" s="27"/>
      <c r="C750" s="28"/>
      <c r="D750" s="28"/>
      <c r="E750" s="44"/>
      <c r="F750" s="44"/>
      <c r="G750" s="44"/>
      <c r="H750" s="44"/>
    </row>
    <row r="751" spans="1:8">
      <c r="A751" s="27"/>
      <c r="B751" s="27"/>
      <c r="C751" s="28"/>
      <c r="D751" s="28"/>
      <c r="E751" s="44"/>
      <c r="F751" s="44"/>
      <c r="G751" s="44"/>
      <c r="H751" s="44"/>
    </row>
    <row r="752" spans="1:8">
      <c r="A752" s="27"/>
      <c r="B752" s="27"/>
      <c r="C752" s="28"/>
      <c r="D752" s="28"/>
      <c r="E752" s="44"/>
      <c r="F752" s="44"/>
      <c r="G752" s="44"/>
      <c r="H752" s="44"/>
    </row>
    <row r="753" spans="1:8">
      <c r="A753" s="27"/>
      <c r="B753" s="27"/>
      <c r="C753" s="28"/>
      <c r="D753" s="28"/>
      <c r="E753" s="44"/>
      <c r="F753" s="44"/>
      <c r="G753" s="44"/>
      <c r="H753" s="44"/>
    </row>
    <row r="754" spans="1:8">
      <c r="A754" s="27"/>
      <c r="B754" s="27"/>
      <c r="C754" s="28"/>
      <c r="D754" s="28"/>
      <c r="E754" s="44"/>
      <c r="F754" s="44"/>
      <c r="G754" s="44"/>
      <c r="H754" s="44"/>
    </row>
    <row r="755" spans="1:8">
      <c r="A755" s="27"/>
      <c r="B755" s="27"/>
      <c r="C755" s="28"/>
      <c r="D755" s="28"/>
      <c r="E755" s="44"/>
      <c r="F755" s="44"/>
      <c r="G755" s="44"/>
      <c r="H755" s="44"/>
    </row>
    <row r="756" spans="1:8">
      <c r="A756" s="27"/>
      <c r="B756" s="27"/>
      <c r="C756" s="28"/>
      <c r="D756" s="28"/>
      <c r="E756" s="44"/>
      <c r="F756" s="44"/>
      <c r="G756" s="44"/>
      <c r="H756" s="44"/>
    </row>
    <row r="757" spans="1:8">
      <c r="A757" s="27"/>
      <c r="B757" s="27"/>
      <c r="C757" s="28"/>
      <c r="D757" s="28"/>
      <c r="E757" s="44"/>
      <c r="F757" s="44"/>
      <c r="G757" s="44"/>
      <c r="H757" s="44"/>
    </row>
    <row r="758" spans="1:8">
      <c r="A758" s="27"/>
      <c r="B758" s="27"/>
      <c r="C758" s="28"/>
      <c r="D758" s="28"/>
      <c r="E758" s="44"/>
      <c r="F758" s="44"/>
      <c r="G758" s="44"/>
      <c r="H758" s="44"/>
    </row>
    <row r="759" spans="1:8">
      <c r="A759" s="27"/>
      <c r="B759" s="27"/>
      <c r="C759" s="28"/>
      <c r="D759" s="28"/>
      <c r="E759" s="44"/>
      <c r="F759" s="44"/>
      <c r="G759" s="44"/>
      <c r="H759" s="44"/>
    </row>
    <row r="760" spans="1:8">
      <c r="A760" s="27"/>
      <c r="B760" s="27"/>
      <c r="C760" s="28"/>
      <c r="D760" s="28"/>
      <c r="E760" s="44"/>
      <c r="F760" s="44"/>
      <c r="G760" s="44"/>
      <c r="H760" s="44"/>
    </row>
    <row r="761" spans="1:8">
      <c r="A761" s="27"/>
      <c r="B761" s="27"/>
      <c r="C761" s="28"/>
      <c r="D761" s="28"/>
      <c r="E761" s="44"/>
      <c r="F761" s="44"/>
      <c r="G761" s="44"/>
      <c r="H761" s="44"/>
    </row>
    <row r="762" spans="1:8">
      <c r="A762" s="27"/>
      <c r="B762" s="27"/>
      <c r="C762" s="28"/>
      <c r="D762" s="28"/>
      <c r="E762" s="44"/>
      <c r="F762" s="44"/>
      <c r="G762" s="44"/>
      <c r="H762" s="44"/>
    </row>
    <row r="763" spans="1:8">
      <c r="A763" s="27"/>
      <c r="B763" s="27"/>
      <c r="C763" s="28"/>
      <c r="D763" s="28"/>
      <c r="E763" s="44"/>
      <c r="F763" s="44"/>
      <c r="G763" s="44"/>
      <c r="H763" s="44"/>
    </row>
    <row r="764" spans="1:8">
      <c r="A764" s="27"/>
      <c r="B764" s="27"/>
      <c r="C764" s="28"/>
      <c r="D764" s="28"/>
      <c r="E764" s="44"/>
      <c r="F764" s="44"/>
      <c r="G764" s="44"/>
      <c r="H764" s="44"/>
    </row>
    <row r="765" spans="1:8">
      <c r="A765" s="27"/>
      <c r="B765" s="27"/>
      <c r="C765" s="28"/>
      <c r="D765" s="28"/>
      <c r="E765" s="44"/>
      <c r="F765" s="44"/>
      <c r="G765" s="44"/>
      <c r="H765" s="44"/>
    </row>
    <row r="766" spans="1:8">
      <c r="A766" s="27"/>
      <c r="B766" s="27"/>
      <c r="C766" s="28"/>
      <c r="D766" s="28"/>
      <c r="E766" s="44"/>
      <c r="F766" s="44"/>
      <c r="G766" s="44"/>
      <c r="H766" s="44"/>
    </row>
    <row r="767" spans="1:8">
      <c r="A767" s="27"/>
      <c r="B767" s="27"/>
      <c r="C767" s="28"/>
      <c r="D767" s="28"/>
      <c r="E767" s="44"/>
      <c r="F767" s="44"/>
      <c r="G767" s="44"/>
      <c r="H767" s="44"/>
    </row>
    <row r="768" spans="1:8">
      <c r="A768" s="27"/>
      <c r="B768" s="27"/>
      <c r="C768" s="28"/>
      <c r="D768" s="28"/>
      <c r="E768" s="44"/>
      <c r="F768" s="44"/>
      <c r="G768" s="44"/>
      <c r="H768" s="44"/>
    </row>
    <row r="769" spans="1:8">
      <c r="A769" s="27"/>
      <c r="B769" s="27"/>
      <c r="C769" s="28"/>
      <c r="D769" s="28"/>
      <c r="E769" s="44"/>
      <c r="F769" s="44"/>
      <c r="G769" s="44"/>
      <c r="H769" s="44"/>
    </row>
    <row r="770" spans="1:8">
      <c r="A770" s="27"/>
      <c r="B770" s="27"/>
      <c r="C770" s="28"/>
      <c r="D770" s="28"/>
      <c r="E770" s="44"/>
      <c r="F770" s="44"/>
      <c r="G770" s="44"/>
      <c r="H770" s="44"/>
    </row>
    <row r="771" spans="1:8">
      <c r="A771" s="27"/>
      <c r="B771" s="27"/>
      <c r="C771" s="28"/>
      <c r="D771" s="28"/>
      <c r="E771" s="44"/>
      <c r="F771" s="44"/>
      <c r="G771" s="44"/>
      <c r="H771" s="44"/>
    </row>
    <row r="772" spans="1:8">
      <c r="A772" s="27"/>
      <c r="B772" s="27"/>
      <c r="C772" s="28"/>
      <c r="D772" s="28"/>
      <c r="E772" s="44"/>
      <c r="F772" s="44"/>
      <c r="G772" s="44"/>
      <c r="H772" s="44"/>
    </row>
    <row r="773" spans="1:8">
      <c r="A773" s="27"/>
      <c r="B773" s="27"/>
      <c r="C773" s="28"/>
      <c r="D773" s="28"/>
      <c r="E773" s="44"/>
      <c r="F773" s="44"/>
      <c r="G773" s="44"/>
      <c r="H773" s="44"/>
    </row>
    <row r="774" spans="1:8">
      <c r="A774" s="27"/>
      <c r="B774" s="27"/>
      <c r="C774" s="28"/>
      <c r="D774" s="28"/>
      <c r="E774" s="44"/>
      <c r="F774" s="44"/>
      <c r="G774" s="44"/>
      <c r="H774" s="44"/>
    </row>
    <row r="775" spans="1:8">
      <c r="A775" s="27"/>
      <c r="B775" s="27"/>
      <c r="C775" s="28"/>
      <c r="D775" s="28"/>
      <c r="E775" s="44"/>
      <c r="F775" s="44"/>
      <c r="G775" s="44"/>
      <c r="H775" s="44"/>
    </row>
    <row r="776" spans="1:8">
      <c r="A776" s="27"/>
      <c r="B776" s="27"/>
      <c r="C776" s="28"/>
      <c r="D776" s="28"/>
      <c r="E776" s="44"/>
      <c r="F776" s="44"/>
      <c r="G776" s="44"/>
      <c r="H776" s="44"/>
    </row>
    <row r="777" spans="1:8">
      <c r="A777" s="27"/>
      <c r="B777" s="27"/>
      <c r="C777" s="28"/>
      <c r="D777" s="28"/>
      <c r="E777" s="44"/>
      <c r="F777" s="44"/>
      <c r="G777" s="44"/>
      <c r="H777" s="44"/>
    </row>
    <row r="778" spans="1:8">
      <c r="A778" s="27"/>
      <c r="B778" s="27"/>
      <c r="C778" s="28"/>
      <c r="D778" s="28"/>
      <c r="E778" s="44"/>
      <c r="F778" s="44"/>
      <c r="G778" s="44"/>
      <c r="H778" s="44"/>
    </row>
    <row r="779" spans="1:8">
      <c r="A779" s="27"/>
      <c r="B779" s="27"/>
      <c r="C779" s="28"/>
      <c r="D779" s="28"/>
      <c r="E779" s="44"/>
      <c r="F779" s="44"/>
      <c r="G779" s="44"/>
      <c r="H779" s="44"/>
    </row>
    <row r="780" spans="1:8">
      <c r="A780" s="27"/>
      <c r="B780" s="27"/>
      <c r="C780" s="28"/>
      <c r="D780" s="28"/>
      <c r="E780" s="44"/>
      <c r="F780" s="44"/>
      <c r="G780" s="44"/>
      <c r="H780" s="44"/>
    </row>
    <row r="781" spans="1:8">
      <c r="A781" s="27"/>
      <c r="B781" s="27"/>
      <c r="C781" s="28"/>
      <c r="D781" s="28"/>
      <c r="E781" s="44"/>
      <c r="F781" s="44"/>
      <c r="G781" s="44"/>
      <c r="H781" s="44"/>
    </row>
    <row r="782" spans="1:8">
      <c r="A782" s="27"/>
      <c r="B782" s="27"/>
      <c r="C782" s="28"/>
      <c r="D782" s="28"/>
      <c r="E782" s="44"/>
      <c r="F782" s="44"/>
      <c r="G782" s="44"/>
      <c r="H782" s="44"/>
    </row>
    <row r="783" spans="1:8">
      <c r="A783" s="27"/>
      <c r="B783" s="27"/>
      <c r="C783" s="28"/>
      <c r="D783" s="28"/>
      <c r="E783" s="44"/>
      <c r="F783" s="44"/>
      <c r="G783" s="44"/>
      <c r="H783" s="44"/>
    </row>
    <row r="784" spans="1:8">
      <c r="A784" s="27"/>
      <c r="B784" s="27"/>
      <c r="C784" s="28"/>
      <c r="D784" s="28"/>
      <c r="E784" s="44"/>
      <c r="F784" s="44"/>
      <c r="G784" s="44"/>
      <c r="H784" s="44"/>
    </row>
    <row r="785" spans="1:8">
      <c r="A785" s="27"/>
      <c r="B785" s="27"/>
      <c r="C785" s="28"/>
      <c r="D785" s="28"/>
      <c r="E785" s="44"/>
      <c r="F785" s="44"/>
      <c r="G785" s="44"/>
      <c r="H785" s="44"/>
    </row>
    <row r="786" spans="1:8">
      <c r="A786" s="27"/>
      <c r="B786" s="27"/>
      <c r="C786" s="28"/>
      <c r="D786" s="28"/>
      <c r="E786" s="44"/>
      <c r="F786" s="44"/>
      <c r="G786" s="44"/>
      <c r="H786" s="44"/>
    </row>
    <row r="787" spans="1:8">
      <c r="A787" s="27"/>
      <c r="B787" s="27"/>
      <c r="C787" s="28"/>
      <c r="D787" s="28"/>
      <c r="E787" s="44"/>
      <c r="F787" s="44"/>
      <c r="G787" s="44"/>
      <c r="H787" s="44"/>
    </row>
    <row r="788" spans="1:8">
      <c r="A788" s="27"/>
      <c r="B788" s="27"/>
      <c r="C788" s="28"/>
      <c r="D788" s="28"/>
      <c r="E788" s="44"/>
      <c r="F788" s="44"/>
      <c r="G788" s="44"/>
      <c r="H788" s="44"/>
    </row>
    <row r="789" spans="1:8">
      <c r="A789" s="27"/>
      <c r="B789" s="27"/>
      <c r="C789" s="28"/>
      <c r="D789" s="28"/>
      <c r="E789" s="44"/>
      <c r="F789" s="44"/>
      <c r="G789" s="44"/>
      <c r="H789" s="44"/>
    </row>
    <row r="790" spans="1:8">
      <c r="A790" s="27"/>
      <c r="B790" s="27"/>
      <c r="C790" s="28"/>
      <c r="D790" s="28"/>
      <c r="E790" s="44"/>
      <c r="F790" s="44"/>
      <c r="G790" s="44"/>
      <c r="H790" s="44"/>
    </row>
    <row r="791" spans="1:8">
      <c r="A791" s="27"/>
      <c r="B791" s="27"/>
      <c r="C791" s="28"/>
      <c r="D791" s="28"/>
      <c r="E791" s="44"/>
      <c r="F791" s="44"/>
      <c r="G791" s="44"/>
      <c r="H791" s="44"/>
    </row>
    <row r="792" spans="1:8">
      <c r="A792" s="27"/>
      <c r="B792" s="27"/>
      <c r="C792" s="28"/>
      <c r="D792" s="28"/>
      <c r="E792" s="44"/>
      <c r="F792" s="44"/>
      <c r="G792" s="44"/>
      <c r="H792" s="44"/>
    </row>
    <row r="793" spans="1:8">
      <c r="A793" s="27"/>
      <c r="B793" s="27"/>
      <c r="C793" s="28"/>
      <c r="D793" s="28"/>
      <c r="E793" s="44"/>
      <c r="F793" s="44"/>
      <c r="G793" s="44"/>
      <c r="H793" s="44"/>
    </row>
    <row r="794" spans="1:8">
      <c r="A794" s="27"/>
      <c r="B794" s="27"/>
      <c r="C794" s="28"/>
      <c r="D794" s="28"/>
      <c r="E794" s="44"/>
      <c r="F794" s="44"/>
      <c r="G794" s="44"/>
      <c r="H794" s="44"/>
    </row>
    <row r="795" spans="1:8">
      <c r="A795" s="27"/>
      <c r="B795" s="27"/>
      <c r="C795" s="28"/>
      <c r="D795" s="28"/>
      <c r="E795" s="44"/>
      <c r="F795" s="44"/>
      <c r="G795" s="44"/>
      <c r="H795" s="44"/>
    </row>
    <row r="796" spans="1:8">
      <c r="A796" s="27"/>
      <c r="B796" s="27"/>
      <c r="C796" s="28"/>
      <c r="D796" s="28"/>
      <c r="E796" s="44"/>
      <c r="F796" s="44"/>
      <c r="G796" s="44"/>
      <c r="H796" s="44"/>
    </row>
    <row r="797" spans="1:8">
      <c r="A797" s="27"/>
      <c r="B797" s="27"/>
      <c r="C797" s="28"/>
      <c r="D797" s="28"/>
      <c r="E797" s="44"/>
      <c r="F797" s="44"/>
      <c r="G797" s="44"/>
      <c r="H797" s="44"/>
    </row>
    <row r="798" spans="1:8">
      <c r="A798" s="27"/>
      <c r="B798" s="27"/>
      <c r="C798" s="28"/>
      <c r="D798" s="28"/>
      <c r="E798" s="44"/>
      <c r="F798" s="44"/>
      <c r="G798" s="44"/>
      <c r="H798" s="44"/>
    </row>
    <row r="799" spans="1:8">
      <c r="A799" s="27"/>
      <c r="B799" s="27"/>
      <c r="C799" s="28"/>
      <c r="D799" s="28"/>
      <c r="E799" s="44"/>
      <c r="F799" s="44"/>
      <c r="G799" s="44"/>
      <c r="H799" s="44"/>
    </row>
    <row r="800" spans="1:8">
      <c r="A800" s="27"/>
      <c r="B800" s="27"/>
      <c r="C800" s="28"/>
      <c r="D800" s="28"/>
      <c r="E800" s="44"/>
      <c r="F800" s="44"/>
      <c r="G800" s="44"/>
      <c r="H800" s="44"/>
    </row>
    <row r="801" spans="1:8">
      <c r="A801" s="27"/>
      <c r="B801" s="27"/>
      <c r="C801" s="28"/>
      <c r="D801" s="28"/>
      <c r="E801" s="44"/>
      <c r="F801" s="44"/>
      <c r="G801" s="44"/>
      <c r="H801" s="44"/>
    </row>
    <row r="802" spans="1:8">
      <c r="A802" s="27"/>
      <c r="B802" s="27"/>
      <c r="C802" s="28"/>
      <c r="D802" s="28"/>
      <c r="E802" s="44"/>
      <c r="F802" s="44"/>
      <c r="G802" s="44"/>
      <c r="H802" s="44"/>
    </row>
    <row r="803" spans="1:8">
      <c r="A803" s="27"/>
      <c r="B803" s="27"/>
      <c r="C803" s="28"/>
      <c r="D803" s="28"/>
      <c r="E803" s="44"/>
      <c r="F803" s="44"/>
      <c r="G803" s="44"/>
      <c r="H803" s="44"/>
    </row>
    <row r="804" spans="1:8">
      <c r="A804" s="27"/>
      <c r="B804" s="27"/>
      <c r="C804" s="28"/>
      <c r="D804" s="28"/>
      <c r="E804" s="44"/>
      <c r="F804" s="44"/>
      <c r="G804" s="44"/>
      <c r="H804" s="44"/>
    </row>
    <row r="805" spans="1:8">
      <c r="A805" s="27"/>
      <c r="B805" s="27"/>
      <c r="C805" s="28"/>
      <c r="D805" s="28"/>
      <c r="E805" s="44"/>
      <c r="F805" s="44"/>
      <c r="G805" s="44"/>
      <c r="H805" s="44"/>
    </row>
    <row r="806" spans="1:8">
      <c r="A806" s="27"/>
      <c r="B806" s="27"/>
      <c r="C806" s="28"/>
      <c r="D806" s="28"/>
      <c r="E806" s="44"/>
      <c r="F806" s="44"/>
      <c r="G806" s="44"/>
      <c r="H806" s="44"/>
    </row>
    <row r="807" spans="1:8">
      <c r="A807" s="27"/>
      <c r="B807" s="27"/>
      <c r="C807" s="28"/>
      <c r="D807" s="28"/>
      <c r="E807" s="44"/>
      <c r="F807" s="44"/>
      <c r="G807" s="44"/>
      <c r="H807" s="44"/>
    </row>
    <row r="808" spans="1:8">
      <c r="A808" s="27"/>
      <c r="B808" s="27"/>
      <c r="C808" s="28"/>
      <c r="D808" s="28"/>
      <c r="E808" s="44"/>
      <c r="F808" s="44"/>
      <c r="G808" s="44"/>
      <c r="H808" s="44"/>
    </row>
    <row r="809" spans="1:8">
      <c r="A809" s="27"/>
      <c r="B809" s="27"/>
      <c r="C809" s="28"/>
      <c r="D809" s="28"/>
      <c r="E809" s="44"/>
      <c r="F809" s="44"/>
      <c r="G809" s="44"/>
      <c r="H809" s="44"/>
    </row>
    <row r="810" spans="1:8">
      <c r="A810" s="27"/>
      <c r="B810" s="27"/>
      <c r="C810" s="28"/>
      <c r="D810" s="28"/>
      <c r="E810" s="44"/>
      <c r="F810" s="44"/>
      <c r="G810" s="44"/>
      <c r="H810" s="44"/>
    </row>
    <row r="811" spans="1:8">
      <c r="A811" s="27"/>
      <c r="B811" s="27"/>
      <c r="C811" s="28"/>
      <c r="D811" s="28"/>
      <c r="E811" s="44"/>
      <c r="F811" s="44"/>
      <c r="G811" s="44"/>
      <c r="H811" s="44"/>
    </row>
    <row r="812" spans="1:8">
      <c r="A812" s="27"/>
      <c r="B812" s="27"/>
      <c r="C812" s="28"/>
      <c r="D812" s="28"/>
      <c r="E812" s="44"/>
      <c r="F812" s="44"/>
      <c r="G812" s="44"/>
      <c r="H812" s="44"/>
    </row>
    <row r="813" spans="1:8">
      <c r="A813" s="27"/>
      <c r="B813" s="27"/>
      <c r="C813" s="28"/>
      <c r="D813" s="28"/>
      <c r="E813" s="44"/>
      <c r="F813" s="44"/>
      <c r="G813" s="44"/>
      <c r="H813" s="44"/>
    </row>
    <row r="814" spans="1:8">
      <c r="A814" s="27"/>
      <c r="B814" s="27"/>
      <c r="C814" s="28"/>
      <c r="D814" s="28"/>
      <c r="E814" s="44"/>
      <c r="F814" s="44"/>
      <c r="G814" s="44"/>
      <c r="H814" s="44"/>
    </row>
    <row r="815" spans="1:8">
      <c r="A815" s="27"/>
      <c r="B815" s="27"/>
      <c r="C815" s="28"/>
      <c r="D815" s="28"/>
      <c r="E815" s="44"/>
      <c r="F815" s="44"/>
      <c r="G815" s="44"/>
      <c r="H815" s="44"/>
    </row>
    <row r="816" spans="1:8">
      <c r="A816" s="27"/>
      <c r="B816" s="27"/>
      <c r="C816" s="28"/>
      <c r="D816" s="28"/>
      <c r="E816" s="44"/>
      <c r="F816" s="44"/>
      <c r="G816" s="44"/>
      <c r="H816" s="44"/>
    </row>
    <row r="817" spans="1:8">
      <c r="A817" s="27"/>
      <c r="B817" s="27"/>
      <c r="C817" s="28"/>
      <c r="D817" s="28"/>
      <c r="E817" s="44"/>
      <c r="F817" s="44"/>
      <c r="G817" s="44"/>
      <c r="H817" s="44"/>
    </row>
    <row r="818" spans="1:8">
      <c r="A818" s="27"/>
      <c r="B818" s="27"/>
      <c r="C818" s="28"/>
      <c r="D818" s="28"/>
      <c r="E818" s="44"/>
      <c r="F818" s="44"/>
      <c r="G818" s="44"/>
      <c r="H818" s="44"/>
    </row>
    <row r="819" spans="1:8">
      <c r="A819" s="27"/>
      <c r="B819" s="27"/>
      <c r="C819" s="28"/>
      <c r="D819" s="28"/>
      <c r="E819" s="44"/>
      <c r="F819" s="44"/>
      <c r="G819" s="44"/>
      <c r="H819" s="44"/>
    </row>
    <row r="820" spans="1:8">
      <c r="A820" s="27"/>
      <c r="B820" s="27"/>
      <c r="C820" s="28"/>
      <c r="D820" s="28"/>
      <c r="E820" s="44"/>
      <c r="F820" s="44"/>
      <c r="G820" s="44"/>
      <c r="H820" s="44"/>
    </row>
    <row r="821" spans="1:8">
      <c r="A821" s="27"/>
      <c r="B821" s="27"/>
      <c r="C821" s="28"/>
      <c r="D821" s="28"/>
      <c r="E821" s="44"/>
      <c r="F821" s="44"/>
      <c r="G821" s="44"/>
      <c r="H821" s="44"/>
    </row>
    <row r="822" spans="1:8">
      <c r="A822" s="27"/>
      <c r="B822" s="27"/>
      <c r="C822" s="28"/>
      <c r="D822" s="28"/>
      <c r="E822" s="44"/>
      <c r="F822" s="44"/>
      <c r="G822" s="44"/>
      <c r="H822" s="44"/>
    </row>
    <row r="823" spans="1:8">
      <c r="A823" s="27"/>
      <c r="B823" s="27"/>
      <c r="C823" s="28"/>
      <c r="D823" s="28"/>
      <c r="E823" s="44"/>
      <c r="F823" s="44"/>
      <c r="G823" s="44"/>
      <c r="H823" s="44"/>
    </row>
    <row r="824" spans="1:8">
      <c r="A824" s="27"/>
      <c r="B824" s="27"/>
      <c r="C824" s="28"/>
      <c r="D824" s="28"/>
      <c r="E824" s="44"/>
      <c r="F824" s="44"/>
      <c r="G824" s="44"/>
      <c r="H824" s="44"/>
    </row>
    <row r="825" spans="1:8">
      <c r="A825" s="27"/>
      <c r="B825" s="27"/>
      <c r="C825" s="28"/>
      <c r="D825" s="28"/>
      <c r="E825" s="44"/>
      <c r="F825" s="44"/>
      <c r="G825" s="44"/>
      <c r="H825" s="44"/>
    </row>
    <row r="826" spans="1:8">
      <c r="A826" s="27"/>
      <c r="B826" s="27"/>
      <c r="C826" s="28"/>
      <c r="D826" s="28"/>
      <c r="E826" s="44"/>
      <c r="F826" s="44"/>
      <c r="G826" s="44"/>
      <c r="H826" s="44"/>
    </row>
    <row r="827" spans="1:8">
      <c r="A827" s="27"/>
      <c r="B827" s="27"/>
      <c r="C827" s="28"/>
      <c r="D827" s="28"/>
      <c r="E827" s="44"/>
      <c r="F827" s="44"/>
      <c r="G827" s="44"/>
      <c r="H827" s="44"/>
    </row>
    <row r="828" spans="1:8">
      <c r="A828" s="27"/>
      <c r="B828" s="27"/>
      <c r="C828" s="28"/>
      <c r="D828" s="28"/>
      <c r="E828" s="44"/>
      <c r="F828" s="44"/>
      <c r="G828" s="44"/>
      <c r="H828" s="44"/>
    </row>
    <row r="829" spans="1:8">
      <c r="A829" s="27"/>
      <c r="B829" s="27"/>
      <c r="C829" s="28"/>
      <c r="D829" s="28"/>
      <c r="E829" s="44"/>
      <c r="F829" s="44"/>
      <c r="G829" s="44"/>
      <c r="H829" s="44"/>
    </row>
    <row r="830" spans="1:8">
      <c r="A830" s="27"/>
      <c r="B830" s="27"/>
      <c r="C830" s="28"/>
      <c r="D830" s="28"/>
      <c r="E830" s="44"/>
      <c r="F830" s="44"/>
      <c r="G830" s="44"/>
      <c r="H830" s="44"/>
    </row>
    <row r="831" spans="1:8">
      <c r="A831" s="27"/>
      <c r="B831" s="27"/>
      <c r="C831" s="28"/>
      <c r="D831" s="28"/>
      <c r="E831" s="44"/>
      <c r="F831" s="44"/>
      <c r="G831" s="44"/>
      <c r="H831" s="44"/>
    </row>
    <row r="832" spans="1:8">
      <c r="A832" s="27"/>
      <c r="B832" s="27"/>
      <c r="C832" s="28"/>
      <c r="D832" s="28"/>
      <c r="E832" s="44"/>
      <c r="F832" s="44"/>
      <c r="G832" s="44"/>
      <c r="H832" s="44"/>
    </row>
    <row r="833" spans="1:8">
      <c r="A833" s="27"/>
      <c r="B833" s="27"/>
      <c r="C833" s="28"/>
      <c r="D833" s="28"/>
      <c r="E833" s="44"/>
      <c r="F833" s="44"/>
      <c r="G833" s="44"/>
      <c r="H833" s="44"/>
    </row>
    <row r="834" spans="1:8">
      <c r="A834" s="27"/>
      <c r="B834" s="27"/>
      <c r="C834" s="28"/>
      <c r="D834" s="28"/>
      <c r="E834" s="44"/>
      <c r="F834" s="44"/>
      <c r="G834" s="44"/>
      <c r="H834" s="44"/>
    </row>
    <row r="835" spans="1:8">
      <c r="A835" s="27"/>
      <c r="B835" s="27"/>
      <c r="C835" s="28"/>
      <c r="D835" s="28"/>
      <c r="E835" s="44"/>
      <c r="F835" s="44"/>
      <c r="G835" s="44"/>
      <c r="H835" s="44"/>
    </row>
    <row r="836" spans="1:8">
      <c r="A836" s="27"/>
      <c r="B836" s="27"/>
      <c r="C836" s="28"/>
      <c r="D836" s="28"/>
      <c r="E836" s="44"/>
      <c r="F836" s="44"/>
      <c r="G836" s="44"/>
      <c r="H836" s="44"/>
    </row>
    <row r="837" spans="1:8">
      <c r="A837" s="27"/>
      <c r="B837" s="27"/>
      <c r="C837" s="28"/>
      <c r="D837" s="28"/>
      <c r="E837" s="44"/>
      <c r="F837" s="44"/>
      <c r="G837" s="44"/>
      <c r="H837" s="44"/>
    </row>
    <row r="838" spans="1:8">
      <c r="A838" s="27"/>
      <c r="B838" s="27"/>
      <c r="C838" s="28"/>
      <c r="D838" s="28"/>
      <c r="E838" s="44"/>
      <c r="F838" s="44"/>
      <c r="G838" s="44"/>
      <c r="H838" s="44"/>
    </row>
    <row r="839" spans="1:8">
      <c r="A839" s="27"/>
      <c r="B839" s="27"/>
      <c r="C839" s="28"/>
      <c r="D839" s="28"/>
      <c r="E839" s="44"/>
      <c r="F839" s="44"/>
      <c r="G839" s="44"/>
      <c r="H839" s="44"/>
    </row>
    <row r="840" spans="1:8">
      <c r="A840" s="27"/>
      <c r="B840" s="27"/>
      <c r="C840" s="28"/>
      <c r="D840" s="28"/>
      <c r="E840" s="44"/>
      <c r="F840" s="44"/>
      <c r="G840" s="44"/>
      <c r="H840" s="44"/>
    </row>
    <row r="841" spans="1:8">
      <c r="A841" s="27"/>
      <c r="B841" s="27"/>
      <c r="C841" s="28"/>
      <c r="D841" s="28"/>
      <c r="E841" s="44"/>
      <c r="F841" s="44"/>
      <c r="G841" s="44"/>
      <c r="H841" s="44"/>
    </row>
    <row r="842" spans="1:8">
      <c r="A842" s="27"/>
      <c r="B842" s="27"/>
      <c r="C842" s="28"/>
      <c r="D842" s="28"/>
      <c r="E842" s="44"/>
      <c r="F842" s="44"/>
      <c r="G842" s="44"/>
      <c r="H842" s="44"/>
    </row>
    <row r="843" spans="1:8">
      <c r="A843" s="27"/>
      <c r="B843" s="27"/>
      <c r="C843" s="28"/>
      <c r="D843" s="28"/>
      <c r="E843" s="44"/>
      <c r="F843" s="44"/>
      <c r="G843" s="44"/>
      <c r="H843" s="44"/>
    </row>
    <row r="844" spans="1:8">
      <c r="A844" s="27"/>
      <c r="B844" s="27"/>
      <c r="C844" s="28"/>
      <c r="D844" s="28"/>
      <c r="E844" s="44"/>
      <c r="F844" s="44"/>
      <c r="G844" s="44"/>
      <c r="H844" s="44"/>
    </row>
    <row r="845" spans="1:8">
      <c r="A845" s="27"/>
      <c r="B845" s="27"/>
      <c r="C845" s="28"/>
      <c r="D845" s="28"/>
      <c r="E845" s="44"/>
      <c r="F845" s="44"/>
      <c r="G845" s="44"/>
      <c r="H845" s="44"/>
    </row>
    <row r="846" spans="1:8">
      <c r="A846" s="27"/>
      <c r="B846" s="27"/>
      <c r="C846" s="28"/>
      <c r="D846" s="28"/>
      <c r="E846" s="44"/>
      <c r="F846" s="44"/>
      <c r="G846" s="44"/>
      <c r="H846" s="44"/>
    </row>
    <row r="847" spans="1:8">
      <c r="A847" s="27"/>
      <c r="B847" s="27"/>
      <c r="C847" s="28"/>
      <c r="D847" s="28"/>
      <c r="E847" s="44"/>
      <c r="F847" s="44"/>
      <c r="G847" s="44"/>
      <c r="H847" s="44"/>
    </row>
    <row r="848" spans="1:8">
      <c r="A848" s="27"/>
      <c r="B848" s="27"/>
      <c r="C848" s="28"/>
      <c r="D848" s="28"/>
      <c r="E848" s="44"/>
      <c r="F848" s="44"/>
      <c r="G848" s="44"/>
      <c r="H848" s="44"/>
    </row>
    <row r="849" spans="1:8">
      <c r="A849" s="27"/>
      <c r="B849" s="27"/>
      <c r="C849" s="28"/>
      <c r="D849" s="28"/>
      <c r="E849" s="44"/>
      <c r="F849" s="44"/>
      <c r="G849" s="44"/>
      <c r="H849" s="44"/>
    </row>
    <row r="850" spans="1:8">
      <c r="A850" s="27"/>
      <c r="B850" s="27"/>
      <c r="C850" s="28"/>
      <c r="D850" s="28"/>
      <c r="E850" s="44"/>
      <c r="F850" s="44"/>
      <c r="G850" s="44"/>
      <c r="H850" s="44"/>
    </row>
    <row r="851" spans="1:8">
      <c r="A851" s="27"/>
      <c r="B851" s="27"/>
      <c r="C851" s="28"/>
      <c r="D851" s="28"/>
      <c r="E851" s="44"/>
      <c r="F851" s="44"/>
      <c r="G851" s="44"/>
      <c r="H851" s="44"/>
    </row>
    <row r="852" spans="1:8">
      <c r="A852" s="27"/>
      <c r="B852" s="27"/>
      <c r="C852" s="28"/>
      <c r="D852" s="28"/>
      <c r="E852" s="44"/>
      <c r="F852" s="44"/>
      <c r="G852" s="44"/>
      <c r="H852" s="44"/>
    </row>
    <row r="853" spans="1:8">
      <c r="A853" s="27"/>
      <c r="B853" s="27"/>
      <c r="C853" s="28"/>
      <c r="D853" s="28"/>
      <c r="E853" s="44"/>
      <c r="F853" s="44"/>
      <c r="G853" s="44"/>
      <c r="H853" s="44"/>
    </row>
    <row r="854" spans="1:8">
      <c r="A854" s="27"/>
      <c r="B854" s="27"/>
      <c r="C854" s="28"/>
      <c r="D854" s="28"/>
      <c r="E854" s="44"/>
      <c r="F854" s="44"/>
      <c r="G854" s="44"/>
      <c r="H854" s="44"/>
    </row>
    <row r="855" spans="1:8">
      <c r="A855" s="27"/>
      <c r="B855" s="27"/>
      <c r="C855" s="28"/>
      <c r="D855" s="28"/>
      <c r="E855" s="44"/>
      <c r="F855" s="44"/>
      <c r="G855" s="44"/>
      <c r="H855" s="44"/>
    </row>
    <row r="856" spans="1:8">
      <c r="A856" s="27"/>
      <c r="B856" s="27"/>
      <c r="C856" s="28"/>
      <c r="D856" s="28"/>
      <c r="E856" s="44"/>
      <c r="F856" s="44"/>
      <c r="G856" s="44"/>
      <c r="H856" s="44"/>
    </row>
    <row r="857" spans="1:8">
      <c r="A857" s="27"/>
      <c r="B857" s="27"/>
      <c r="C857" s="28"/>
      <c r="D857" s="28"/>
      <c r="E857" s="44"/>
      <c r="F857" s="44"/>
      <c r="G857" s="44"/>
      <c r="H857" s="44"/>
    </row>
    <row r="858" spans="1:8">
      <c r="A858" s="27"/>
      <c r="B858" s="27"/>
      <c r="C858" s="28"/>
      <c r="D858" s="28"/>
      <c r="E858" s="44"/>
      <c r="F858" s="44"/>
      <c r="G858" s="44"/>
      <c r="H858" s="44"/>
    </row>
    <row r="859" spans="1:8">
      <c r="A859" s="27"/>
      <c r="B859" s="27"/>
      <c r="C859" s="28"/>
      <c r="D859" s="28"/>
      <c r="E859" s="44"/>
      <c r="F859" s="44"/>
      <c r="G859" s="44"/>
      <c r="H859" s="44"/>
    </row>
    <row r="860" spans="1:8">
      <c r="A860" s="27"/>
      <c r="B860" s="27"/>
      <c r="C860" s="28"/>
      <c r="D860" s="28"/>
      <c r="E860" s="44"/>
      <c r="F860" s="44"/>
      <c r="G860" s="44"/>
      <c r="H860" s="44"/>
    </row>
    <row r="861" spans="1:8">
      <c r="A861" s="27"/>
      <c r="B861" s="27"/>
      <c r="C861" s="28"/>
      <c r="D861" s="28"/>
      <c r="E861" s="44"/>
      <c r="F861" s="44"/>
      <c r="G861" s="44"/>
      <c r="H861" s="44"/>
    </row>
    <row r="862" spans="1:8">
      <c r="A862" s="27"/>
      <c r="B862" s="27"/>
      <c r="C862" s="28"/>
      <c r="D862" s="28"/>
      <c r="E862" s="44"/>
      <c r="F862" s="44"/>
      <c r="G862" s="44"/>
      <c r="H862" s="44"/>
    </row>
    <row r="863" spans="1:8">
      <c r="A863" s="27"/>
      <c r="B863" s="27"/>
      <c r="C863" s="28"/>
      <c r="D863" s="28"/>
      <c r="E863" s="44"/>
      <c r="F863" s="44"/>
      <c r="G863" s="44"/>
      <c r="H863" s="44"/>
    </row>
    <row r="864" spans="1:8">
      <c r="A864" s="27"/>
      <c r="B864" s="27"/>
      <c r="C864" s="28"/>
      <c r="D864" s="28"/>
      <c r="E864" s="44"/>
      <c r="F864" s="44"/>
      <c r="G864" s="44"/>
      <c r="H864" s="44"/>
    </row>
    <row r="865" spans="1:8">
      <c r="A865" s="27"/>
      <c r="B865" s="27"/>
      <c r="C865" s="28"/>
      <c r="D865" s="28"/>
      <c r="E865" s="44"/>
      <c r="F865" s="44"/>
      <c r="G865" s="44"/>
      <c r="H865" s="44"/>
    </row>
    <row r="866" spans="1:8">
      <c r="A866" s="27"/>
      <c r="B866" s="27"/>
      <c r="C866" s="28"/>
      <c r="D866" s="28"/>
      <c r="E866" s="44"/>
      <c r="F866" s="44"/>
      <c r="G866" s="44"/>
      <c r="H866" s="44"/>
    </row>
    <row r="867" spans="1:8">
      <c r="A867" s="27"/>
      <c r="B867" s="27"/>
      <c r="C867" s="28"/>
      <c r="D867" s="28"/>
      <c r="E867" s="44"/>
      <c r="F867" s="44"/>
      <c r="G867" s="44"/>
      <c r="H867" s="44"/>
    </row>
    <row r="868" spans="1:8">
      <c r="A868" s="27"/>
      <c r="B868" s="27"/>
      <c r="C868" s="28"/>
      <c r="D868" s="28"/>
      <c r="E868" s="44"/>
      <c r="F868" s="44"/>
      <c r="G868" s="44"/>
      <c r="H868" s="44"/>
    </row>
    <row r="869" spans="1:8">
      <c r="A869" s="27"/>
      <c r="B869" s="27"/>
      <c r="C869" s="28"/>
      <c r="D869" s="28"/>
      <c r="E869" s="44"/>
      <c r="F869" s="44"/>
      <c r="G869" s="44"/>
      <c r="H869" s="44"/>
    </row>
    <row r="870" spans="1:8">
      <c r="A870" s="27"/>
      <c r="B870" s="27"/>
      <c r="C870" s="28"/>
      <c r="D870" s="28"/>
      <c r="E870" s="44"/>
      <c r="F870" s="44"/>
      <c r="G870" s="44"/>
      <c r="H870" s="44"/>
    </row>
    <row r="871" spans="1:8">
      <c r="A871" s="27"/>
      <c r="B871" s="27"/>
      <c r="C871" s="28"/>
      <c r="D871" s="28"/>
      <c r="E871" s="44"/>
      <c r="F871" s="44"/>
      <c r="G871" s="44"/>
      <c r="H871" s="44"/>
    </row>
    <row r="872" spans="1:8">
      <c r="A872" s="27"/>
      <c r="B872" s="27"/>
      <c r="C872" s="28"/>
      <c r="D872" s="28"/>
      <c r="E872" s="44"/>
      <c r="F872" s="44"/>
      <c r="G872" s="44"/>
      <c r="H872" s="44"/>
    </row>
    <row r="873" spans="1:8">
      <c r="A873" s="27"/>
      <c r="B873" s="27"/>
      <c r="C873" s="28"/>
      <c r="D873" s="28"/>
      <c r="E873" s="44"/>
      <c r="F873" s="44"/>
      <c r="G873" s="44"/>
      <c r="H873" s="44"/>
    </row>
    <row r="874" spans="1:8">
      <c r="A874" s="27"/>
      <c r="B874" s="27"/>
      <c r="C874" s="28"/>
      <c r="D874" s="28"/>
      <c r="E874" s="44"/>
      <c r="F874" s="44"/>
      <c r="G874" s="44"/>
      <c r="H874" s="44"/>
    </row>
    <row r="875" spans="1:8">
      <c r="A875" s="27"/>
      <c r="B875" s="27"/>
      <c r="C875" s="28"/>
      <c r="D875" s="28"/>
      <c r="E875" s="44"/>
      <c r="F875" s="44"/>
      <c r="G875" s="44"/>
      <c r="H875" s="44"/>
    </row>
    <row r="876" spans="1:8">
      <c r="A876" s="27"/>
      <c r="B876" s="27"/>
      <c r="C876" s="28"/>
      <c r="D876" s="28"/>
      <c r="E876" s="44"/>
      <c r="F876" s="44"/>
      <c r="G876" s="44"/>
      <c r="H876" s="44"/>
    </row>
    <row r="877" spans="1:8">
      <c r="A877" s="27"/>
      <c r="B877" s="27"/>
      <c r="C877" s="28"/>
      <c r="D877" s="28"/>
      <c r="E877" s="44"/>
      <c r="F877" s="44"/>
      <c r="G877" s="44"/>
      <c r="H877" s="44"/>
    </row>
    <row r="878" spans="1:8">
      <c r="A878" s="27"/>
      <c r="B878" s="27"/>
      <c r="C878" s="28"/>
      <c r="D878" s="28"/>
      <c r="E878" s="44"/>
      <c r="F878" s="44"/>
      <c r="G878" s="44"/>
      <c r="H878" s="44"/>
    </row>
    <row r="879" spans="1:8">
      <c r="A879" s="27"/>
      <c r="B879" s="27"/>
      <c r="C879" s="28"/>
      <c r="D879" s="28"/>
      <c r="E879" s="44"/>
      <c r="F879" s="44"/>
      <c r="G879" s="44"/>
      <c r="H879" s="44"/>
    </row>
    <row r="880" spans="1:8">
      <c r="A880" s="27"/>
      <c r="B880" s="27"/>
      <c r="C880" s="28"/>
      <c r="D880" s="28"/>
      <c r="E880" s="44"/>
      <c r="F880" s="44"/>
      <c r="G880" s="44"/>
      <c r="H880" s="44"/>
    </row>
    <row r="881" spans="1:8">
      <c r="A881" s="27"/>
      <c r="B881" s="27"/>
      <c r="C881" s="28"/>
      <c r="D881" s="28"/>
      <c r="E881" s="44"/>
      <c r="F881" s="44"/>
      <c r="G881" s="44"/>
      <c r="H881" s="44"/>
    </row>
    <row r="882" spans="1:8">
      <c r="A882" s="27"/>
      <c r="B882" s="27"/>
      <c r="C882" s="28"/>
      <c r="D882" s="28"/>
      <c r="E882" s="44"/>
      <c r="F882" s="44"/>
      <c r="G882" s="44"/>
      <c r="H882" s="44"/>
    </row>
    <row r="883" spans="1:8">
      <c r="A883" s="27"/>
      <c r="B883" s="27"/>
      <c r="C883" s="28"/>
      <c r="D883" s="28"/>
      <c r="E883" s="44"/>
      <c r="F883" s="44"/>
      <c r="G883" s="44"/>
      <c r="H883" s="44"/>
    </row>
    <row r="884" spans="1:8">
      <c r="A884" s="27"/>
      <c r="B884" s="27"/>
      <c r="C884" s="28"/>
      <c r="D884" s="28"/>
      <c r="E884" s="44"/>
      <c r="F884" s="44"/>
      <c r="G884" s="44"/>
      <c r="H884" s="44"/>
    </row>
    <row r="885" spans="1:8">
      <c r="A885" s="27"/>
      <c r="B885" s="27"/>
      <c r="C885" s="28"/>
      <c r="D885" s="28"/>
      <c r="E885" s="44"/>
      <c r="F885" s="44"/>
      <c r="G885" s="44"/>
      <c r="H885" s="44"/>
    </row>
    <row r="886" spans="1:8">
      <c r="A886" s="27"/>
      <c r="B886" s="27"/>
      <c r="C886" s="28"/>
      <c r="D886" s="28"/>
      <c r="E886" s="44"/>
      <c r="F886" s="44"/>
      <c r="G886" s="44"/>
      <c r="H886" s="44"/>
    </row>
    <row r="887" spans="1:8">
      <c r="A887" s="27"/>
      <c r="B887" s="27"/>
      <c r="C887" s="28"/>
      <c r="D887" s="28"/>
      <c r="E887" s="44"/>
      <c r="F887" s="44"/>
      <c r="G887" s="44"/>
      <c r="H887" s="44"/>
    </row>
    <row r="888" spans="1:8">
      <c r="A888" s="27"/>
      <c r="B888" s="27"/>
      <c r="C888" s="28"/>
      <c r="D888" s="28"/>
      <c r="E888" s="44"/>
      <c r="F888" s="44"/>
      <c r="G888" s="44"/>
      <c r="H888" s="44"/>
    </row>
    <row r="889" spans="1:8">
      <c r="A889" s="27"/>
      <c r="B889" s="27"/>
      <c r="C889" s="28"/>
      <c r="D889" s="28"/>
      <c r="E889" s="44"/>
      <c r="F889" s="44"/>
      <c r="G889" s="44"/>
      <c r="H889" s="44"/>
    </row>
    <row r="890" spans="1:8">
      <c r="A890" s="27"/>
      <c r="B890" s="27"/>
      <c r="C890" s="28"/>
      <c r="D890" s="28"/>
      <c r="E890" s="44"/>
      <c r="F890" s="44"/>
      <c r="G890" s="44"/>
      <c r="H890" s="44"/>
    </row>
    <row r="891" spans="1:8">
      <c r="A891" s="27"/>
      <c r="B891" s="27"/>
      <c r="C891" s="28"/>
      <c r="D891" s="28"/>
      <c r="E891" s="44"/>
      <c r="F891" s="44"/>
      <c r="G891" s="44"/>
      <c r="H891" s="44"/>
    </row>
    <row r="892" spans="1:8">
      <c r="A892" s="27"/>
      <c r="B892" s="27"/>
      <c r="C892" s="28"/>
      <c r="D892" s="28"/>
      <c r="E892" s="44"/>
      <c r="F892" s="44"/>
      <c r="G892" s="44"/>
      <c r="H892" s="44"/>
    </row>
    <row r="893" spans="1:8">
      <c r="A893" s="27"/>
      <c r="B893" s="27"/>
      <c r="C893" s="28"/>
      <c r="D893" s="28"/>
      <c r="E893" s="44"/>
      <c r="F893" s="44"/>
      <c r="G893" s="44"/>
      <c r="H893" s="44"/>
    </row>
    <row r="894" spans="1:8">
      <c r="A894" s="27"/>
      <c r="B894" s="27"/>
      <c r="C894" s="28"/>
      <c r="D894" s="28"/>
      <c r="E894" s="44"/>
      <c r="F894" s="44"/>
      <c r="G894" s="44"/>
      <c r="H894" s="44"/>
    </row>
    <row r="895" spans="1:8">
      <c r="A895" s="27"/>
      <c r="B895" s="27"/>
      <c r="C895" s="28"/>
      <c r="D895" s="28"/>
      <c r="E895" s="44"/>
      <c r="F895" s="44"/>
      <c r="G895" s="44"/>
      <c r="H895" s="44"/>
    </row>
    <row r="896" spans="1:8">
      <c r="A896" s="27"/>
      <c r="B896" s="27"/>
      <c r="C896" s="28"/>
      <c r="D896" s="28"/>
      <c r="E896" s="44"/>
      <c r="F896" s="44"/>
      <c r="G896" s="44"/>
      <c r="H896" s="44"/>
    </row>
    <row r="897" spans="1:8">
      <c r="A897" s="27"/>
      <c r="B897" s="27"/>
      <c r="C897" s="28"/>
      <c r="D897" s="28"/>
      <c r="E897" s="44"/>
      <c r="F897" s="44"/>
      <c r="G897" s="44"/>
      <c r="H897" s="44"/>
    </row>
    <row r="898" spans="1:8">
      <c r="A898" s="27"/>
      <c r="B898" s="27"/>
      <c r="C898" s="28"/>
      <c r="D898" s="28"/>
      <c r="E898" s="44"/>
      <c r="F898" s="44"/>
      <c r="G898" s="44"/>
      <c r="H898" s="44"/>
    </row>
    <row r="899" spans="1:8">
      <c r="A899" s="27"/>
      <c r="B899" s="27"/>
      <c r="C899" s="28"/>
      <c r="D899" s="28"/>
      <c r="E899" s="44"/>
      <c r="F899" s="44"/>
      <c r="G899" s="44"/>
      <c r="H899" s="44"/>
    </row>
    <row r="900" spans="1:8">
      <c r="A900" s="27"/>
      <c r="B900" s="27"/>
      <c r="C900" s="28"/>
      <c r="D900" s="28"/>
      <c r="E900" s="44"/>
      <c r="F900" s="44"/>
      <c r="G900" s="44"/>
      <c r="H900" s="44"/>
    </row>
    <row r="901" spans="1:8">
      <c r="A901" s="27"/>
      <c r="B901" s="27"/>
      <c r="C901" s="28"/>
      <c r="D901" s="28"/>
      <c r="E901" s="44"/>
      <c r="F901" s="44"/>
      <c r="G901" s="44"/>
      <c r="H901" s="44"/>
    </row>
    <row r="902" spans="1:8">
      <c r="A902" s="27"/>
      <c r="B902" s="27"/>
      <c r="C902" s="28"/>
      <c r="D902" s="28"/>
      <c r="E902" s="44"/>
      <c r="F902" s="44"/>
      <c r="G902" s="44"/>
      <c r="H902" s="44"/>
    </row>
  </sheetData>
  <autoFilter xmlns:etc="http://www.wps.cn/officeDocument/2017/etCustomData" ref="A3:H200"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tabColor theme="1"/>
    <pageSetUpPr fitToPage="1"/>
  </sheetPr>
  <dimension ref="A1:K899"/>
  <sheetViews>
    <sheetView view="pageBreakPreview" zoomScale="90" zoomScaleNormal="85" workbookViewId="0">
      <pane ySplit="4" topLeftCell="A16" activePane="bottomLeft" state="frozen"/>
      <selection/>
      <selection pane="bottomLeft" activeCell="E27" sqref="E27"/>
    </sheetView>
  </sheetViews>
  <sheetFormatPr defaultColWidth="9.25" defaultRowHeight="13.8"/>
  <cols>
    <col min="1" max="1" width="7.62962962962963" style="3" customWidth="1"/>
    <col min="2" max="2" width="39.5" style="27" customWidth="1"/>
    <col min="3" max="4" width="30.75" style="4" customWidth="1"/>
    <col min="5" max="8" width="13.8796296296296" style="62" customWidth="1"/>
    <col min="9" max="9" width="9.25" style="31"/>
    <col min="10" max="16384" width="9.25" style="3"/>
  </cols>
  <sheetData>
    <row r="1" spans="1:10">
      <c r="A1" s="6" t="s">
        <v>2667</v>
      </c>
      <c r="B1" s="6"/>
      <c r="C1" s="7"/>
      <c r="D1" s="7"/>
      <c r="E1" s="6"/>
      <c r="F1" s="6"/>
      <c r="G1" s="6"/>
      <c r="H1" s="6"/>
    </row>
    <row r="2" spans="1:10">
      <c r="A2" s="8" t="s">
        <v>4</v>
      </c>
      <c r="B2" s="8"/>
      <c r="C2" s="8"/>
      <c r="D2" s="8"/>
      <c r="E2" s="8"/>
      <c r="F2" s="8"/>
      <c r="G2" s="8"/>
      <c r="H2" s="8"/>
    </row>
    <row r="3" s="1" customFormat="1" spans="1:10">
      <c r="A3" s="9" t="s">
        <v>5</v>
      </c>
      <c r="B3" s="9" t="s">
        <v>6</v>
      </c>
      <c r="C3" s="9" t="s">
        <v>7</v>
      </c>
      <c r="D3" s="9"/>
      <c r="E3" s="35" t="s">
        <v>8</v>
      </c>
      <c r="F3" s="35"/>
      <c r="G3" s="35"/>
      <c r="H3" s="35"/>
    </row>
    <row r="4" spans="1:10">
      <c r="A4" s="11"/>
      <c r="B4" s="11"/>
      <c r="C4" s="9" t="s">
        <v>9</v>
      </c>
      <c r="D4" s="9" t="s">
        <v>10</v>
      </c>
      <c r="E4" s="35" t="s">
        <v>11</v>
      </c>
      <c r="F4" s="35" t="s">
        <v>12</v>
      </c>
      <c r="G4" s="35" t="s">
        <v>13</v>
      </c>
      <c r="H4" s="35" t="s">
        <v>14</v>
      </c>
      <c r="I4" s="1" t="s">
        <v>2423</v>
      </c>
      <c r="J4" s="1" t="s">
        <v>2424</v>
      </c>
    </row>
    <row r="5" spans="1:10">
      <c r="A5" s="39" t="s">
        <v>140</v>
      </c>
      <c r="B5" s="20"/>
      <c r="C5" s="15"/>
      <c r="D5" s="15"/>
      <c r="E5" s="35" t="s">
        <v>16</v>
      </c>
      <c r="F5" s="35" t="s">
        <v>16</v>
      </c>
      <c r="G5" s="35" t="s">
        <v>16</v>
      </c>
      <c r="H5" s="35" t="s">
        <v>16</v>
      </c>
      <c r="I5" s="63">
        <v>0.00511073253833039</v>
      </c>
      <c r="J5" s="63">
        <v>0.574803149606299</v>
      </c>
    </row>
    <row r="6" spans="1:10">
      <c r="A6" s="16">
        <v>1</v>
      </c>
      <c r="B6" s="20" t="s">
        <v>2668</v>
      </c>
      <c r="C6" s="64"/>
      <c r="D6" s="64"/>
      <c r="E6" s="38">
        <v>425000</v>
      </c>
      <c r="F6" s="38">
        <v>225000</v>
      </c>
      <c r="G6" s="38">
        <v>130000</v>
      </c>
      <c r="H6" s="22">
        <v>0</v>
      </c>
    </row>
    <row r="7" ht="27.6" spans="1:10">
      <c r="A7" s="16">
        <v>2</v>
      </c>
      <c r="B7" s="20" t="s">
        <v>2669</v>
      </c>
      <c r="C7" s="18"/>
      <c r="D7" s="18"/>
      <c r="E7" s="38">
        <v>295000</v>
      </c>
      <c r="F7" s="38">
        <v>170000</v>
      </c>
      <c r="G7" s="38">
        <v>80000</v>
      </c>
      <c r="H7" s="22">
        <v>0</v>
      </c>
    </row>
    <row r="8" ht="27.6" spans="1:10">
      <c r="A8" s="16">
        <v>3</v>
      </c>
      <c r="B8" s="20" t="s">
        <v>2670</v>
      </c>
      <c r="C8" s="64"/>
      <c r="D8" s="64"/>
      <c r="E8" s="38">
        <v>250000</v>
      </c>
      <c r="F8" s="38">
        <v>155000</v>
      </c>
      <c r="G8" s="38">
        <v>95000</v>
      </c>
      <c r="H8" s="22">
        <v>0</v>
      </c>
    </row>
    <row r="9" ht="27.6" spans="1:10">
      <c r="A9" s="16">
        <v>4</v>
      </c>
      <c r="B9" s="20" t="s">
        <v>2671</v>
      </c>
      <c r="C9" s="18"/>
      <c r="D9" s="18"/>
      <c r="E9" s="23">
        <v>105000</v>
      </c>
      <c r="F9" s="23">
        <v>75000</v>
      </c>
      <c r="G9" s="23">
        <v>60000</v>
      </c>
      <c r="H9" s="23">
        <v>0</v>
      </c>
    </row>
    <row r="10" ht="55.2" spans="1:10">
      <c r="A10" s="16">
        <v>5</v>
      </c>
      <c r="B10" s="20" t="s">
        <v>2672</v>
      </c>
      <c r="C10" s="18"/>
      <c r="D10" s="18"/>
      <c r="E10" s="23">
        <v>230000</v>
      </c>
      <c r="F10" s="23">
        <v>150000</v>
      </c>
      <c r="G10" s="23">
        <v>110000</v>
      </c>
      <c r="H10" s="23">
        <v>0</v>
      </c>
    </row>
    <row r="11" ht="69" spans="1:10">
      <c r="A11" s="16">
        <v>6</v>
      </c>
      <c r="B11" s="20" t="s">
        <v>2673</v>
      </c>
      <c r="C11" s="18"/>
      <c r="D11" s="18"/>
      <c r="E11" s="23">
        <v>240000</v>
      </c>
      <c r="F11" s="23">
        <v>155000</v>
      </c>
      <c r="G11" s="23">
        <v>100000</v>
      </c>
      <c r="H11" s="23">
        <v>0</v>
      </c>
    </row>
    <row r="12" ht="41.4" spans="1:10">
      <c r="A12" s="16">
        <v>7</v>
      </c>
      <c r="B12" s="20" t="s">
        <v>2674</v>
      </c>
      <c r="C12" s="18"/>
      <c r="D12" s="18"/>
      <c r="E12" s="23">
        <v>390000</v>
      </c>
      <c r="F12" s="23">
        <v>210000</v>
      </c>
      <c r="G12" s="23">
        <v>115000</v>
      </c>
      <c r="H12" s="23">
        <v>0</v>
      </c>
    </row>
    <row r="13" ht="27.6" spans="1:10">
      <c r="A13" s="16">
        <v>8</v>
      </c>
      <c r="B13" s="20" t="s">
        <v>2675</v>
      </c>
      <c r="C13" s="18"/>
      <c r="D13" s="18"/>
      <c r="E13" s="23">
        <v>135000</v>
      </c>
      <c r="F13" s="23">
        <v>90000</v>
      </c>
      <c r="G13" s="23">
        <v>65000</v>
      </c>
      <c r="H13" s="23">
        <v>0</v>
      </c>
    </row>
    <row r="14" ht="69" spans="1:10">
      <c r="A14" s="16">
        <v>9</v>
      </c>
      <c r="B14" s="20" t="s">
        <v>2676</v>
      </c>
      <c r="C14" s="18"/>
      <c r="D14" s="18"/>
      <c r="E14" s="23">
        <v>115000</v>
      </c>
      <c r="F14" s="23">
        <v>80000</v>
      </c>
      <c r="G14" s="23">
        <v>55000</v>
      </c>
      <c r="H14" s="23">
        <v>0</v>
      </c>
    </row>
    <row r="15" ht="55.2" spans="1:10">
      <c r="A15" s="16">
        <v>10</v>
      </c>
      <c r="B15" s="20" t="s">
        <v>2677</v>
      </c>
      <c r="C15" s="18"/>
      <c r="D15" s="18"/>
      <c r="E15" s="23">
        <v>120000</v>
      </c>
      <c r="F15" s="23">
        <v>90000</v>
      </c>
      <c r="G15" s="23">
        <v>65000</v>
      </c>
      <c r="H15" s="23">
        <v>0</v>
      </c>
    </row>
    <row r="16" ht="27.6" spans="1:10">
      <c r="A16" s="16">
        <v>11</v>
      </c>
      <c r="B16" s="20" t="s">
        <v>2678</v>
      </c>
      <c r="C16" s="18"/>
      <c r="D16" s="18"/>
      <c r="E16" s="23">
        <v>100000</v>
      </c>
      <c r="F16" s="23">
        <v>80000</v>
      </c>
      <c r="G16" s="23">
        <v>70000</v>
      </c>
      <c r="H16" s="23">
        <v>0</v>
      </c>
    </row>
    <row r="17" ht="27.6" spans="1:11">
      <c r="A17" s="16">
        <v>12</v>
      </c>
      <c r="B17" s="20" t="s">
        <v>2679</v>
      </c>
      <c r="C17" s="18"/>
      <c r="D17" s="18"/>
      <c r="E17" s="23">
        <v>115000</v>
      </c>
      <c r="F17" s="23">
        <v>85000</v>
      </c>
      <c r="G17" s="23">
        <v>65000</v>
      </c>
      <c r="H17" s="23">
        <v>0</v>
      </c>
    </row>
    <row r="18" ht="27.6" spans="1:11">
      <c r="A18" s="16">
        <v>13</v>
      </c>
      <c r="B18" s="20" t="s">
        <v>2680</v>
      </c>
      <c r="C18" s="18"/>
      <c r="D18" s="18"/>
      <c r="E18" s="23">
        <v>120000</v>
      </c>
      <c r="F18" s="23">
        <v>95000</v>
      </c>
      <c r="G18" s="23">
        <v>75000</v>
      </c>
      <c r="H18" s="23">
        <v>0</v>
      </c>
    </row>
    <row r="19" spans="1:11">
      <c r="A19" s="13" t="s">
        <v>167</v>
      </c>
      <c r="B19" s="20"/>
      <c r="C19" s="15"/>
      <c r="D19" s="15"/>
      <c r="E19" s="23" t="s">
        <v>16</v>
      </c>
      <c r="F19" s="23" t="s">
        <v>16</v>
      </c>
      <c r="G19" s="23" t="s">
        <v>16</v>
      </c>
      <c r="H19" s="23" t="s">
        <v>16</v>
      </c>
      <c r="I19" s="1" t="s">
        <v>2423</v>
      </c>
      <c r="J19" s="1" t="s">
        <v>2424</v>
      </c>
    </row>
    <row r="20" ht="345" spans="1:11">
      <c r="A20" s="16">
        <v>14</v>
      </c>
      <c r="B20" s="221" t="s">
        <v>2681</v>
      </c>
      <c r="C20" s="18"/>
      <c r="D20" s="18"/>
      <c r="E20" s="23">
        <v>65000</v>
      </c>
      <c r="F20" s="23">
        <v>60000</v>
      </c>
      <c r="G20" s="23">
        <v>0</v>
      </c>
      <c r="H20" s="23">
        <v>0</v>
      </c>
      <c r="I20" s="65">
        <v>0.0236220472440944</v>
      </c>
      <c r="J20" s="65">
        <v>0.25</v>
      </c>
      <c r="K20" s="31">
        <v>160000</v>
      </c>
    </row>
    <row r="21" ht="165.6" spans="1:11">
      <c r="A21" s="16">
        <v>15</v>
      </c>
      <c r="B21" s="221" t="s">
        <v>2682</v>
      </c>
      <c r="C21" s="18"/>
      <c r="D21" s="18"/>
      <c r="E21" s="23">
        <v>60000</v>
      </c>
      <c r="F21" s="23">
        <v>50000</v>
      </c>
      <c r="G21" s="23">
        <v>0</v>
      </c>
      <c r="H21" s="23">
        <v>0</v>
      </c>
      <c r="I21" s="3"/>
    </row>
    <row r="22" spans="1:11">
      <c r="A22" s="16">
        <v>16</v>
      </c>
      <c r="B22" s="221" t="s">
        <v>843</v>
      </c>
      <c r="C22" s="18"/>
      <c r="D22" s="18"/>
      <c r="E22" s="23">
        <v>50000</v>
      </c>
      <c r="F22" s="23">
        <v>0</v>
      </c>
      <c r="G22" s="23">
        <v>0</v>
      </c>
      <c r="H22" s="23">
        <v>0</v>
      </c>
    </row>
    <row r="23" spans="1:11">
      <c r="A23" s="20"/>
      <c r="B23" s="20"/>
      <c r="C23" s="18"/>
      <c r="D23" s="18"/>
      <c r="E23" s="23" t="s">
        <v>16</v>
      </c>
      <c r="F23" s="23" t="s">
        <v>16</v>
      </c>
      <c r="G23" s="23" t="s">
        <v>16</v>
      </c>
      <c r="H23" s="23" t="s">
        <v>16</v>
      </c>
    </row>
    <row r="24" spans="1:11">
      <c r="A24" s="20"/>
      <c r="B24" s="20"/>
      <c r="C24" s="18"/>
      <c r="D24" s="18"/>
      <c r="E24" s="23" t="s">
        <v>16</v>
      </c>
      <c r="F24" s="23" t="s">
        <v>16</v>
      </c>
      <c r="G24" s="23" t="s">
        <v>16</v>
      </c>
      <c r="H24" s="23" t="s">
        <v>16</v>
      </c>
    </row>
    <row r="25" spans="1:11">
      <c r="A25" s="20"/>
      <c r="B25" s="20"/>
      <c r="C25" s="18"/>
      <c r="D25" s="18"/>
      <c r="E25" s="23" t="s">
        <v>16</v>
      </c>
      <c r="F25" s="23" t="s">
        <v>16</v>
      </c>
      <c r="G25" s="23" t="s">
        <v>16</v>
      </c>
      <c r="H25" s="23" t="s">
        <v>16</v>
      </c>
    </row>
    <row r="26" spans="1:11">
      <c r="A26" s="20"/>
      <c r="B26" s="20"/>
      <c r="C26" s="18"/>
      <c r="D26" s="18"/>
      <c r="E26" s="23" t="s">
        <v>16</v>
      </c>
      <c r="F26" s="23" t="s">
        <v>16</v>
      </c>
      <c r="G26" s="23" t="s">
        <v>16</v>
      </c>
      <c r="H26" s="23" t="s">
        <v>16</v>
      </c>
    </row>
    <row r="27" spans="1:11">
      <c r="A27" s="20"/>
      <c r="B27" s="20"/>
      <c r="C27" s="18"/>
      <c r="D27" s="18"/>
      <c r="E27" s="23" t="s">
        <v>16</v>
      </c>
      <c r="F27" s="23" t="s">
        <v>16</v>
      </c>
      <c r="G27" s="23" t="s">
        <v>16</v>
      </c>
      <c r="H27" s="23" t="s">
        <v>16</v>
      </c>
    </row>
    <row r="28" spans="1:11">
      <c r="A28" s="20"/>
      <c r="B28" s="20"/>
      <c r="C28" s="18"/>
      <c r="D28" s="18"/>
      <c r="E28" s="23" t="s">
        <v>16</v>
      </c>
      <c r="F28" s="23" t="s">
        <v>16</v>
      </c>
      <c r="G28" s="23" t="s">
        <v>16</v>
      </c>
      <c r="H28" s="23" t="s">
        <v>16</v>
      </c>
    </row>
    <row r="29" spans="1:11">
      <c r="A29" s="16"/>
      <c r="B29" s="20"/>
      <c r="C29" s="18"/>
      <c r="D29" s="18"/>
      <c r="E29" s="23" t="s">
        <v>16</v>
      </c>
      <c r="F29" s="23" t="s">
        <v>16</v>
      </c>
      <c r="G29" s="23" t="s">
        <v>16</v>
      </c>
      <c r="H29" s="23" t="s">
        <v>16</v>
      </c>
    </row>
    <row r="30" spans="1:11">
      <c r="A30" s="20"/>
      <c r="B30" s="20"/>
      <c r="C30" s="18"/>
      <c r="D30" s="18"/>
      <c r="E30" s="23" t="s">
        <v>16</v>
      </c>
      <c r="F30" s="23" t="s">
        <v>16</v>
      </c>
      <c r="G30" s="23" t="s">
        <v>16</v>
      </c>
      <c r="H30" s="23" t="s">
        <v>16</v>
      </c>
    </row>
    <row r="31" spans="1:11">
      <c r="A31" s="20"/>
      <c r="B31" s="20"/>
      <c r="C31" s="18"/>
      <c r="D31" s="18"/>
      <c r="E31" s="23" t="s">
        <v>16</v>
      </c>
      <c r="F31" s="23" t="s">
        <v>16</v>
      </c>
      <c r="G31" s="23" t="s">
        <v>16</v>
      </c>
      <c r="H31" s="23" t="s">
        <v>16</v>
      </c>
    </row>
    <row r="32" spans="1:11">
      <c r="A32" s="20"/>
      <c r="B32" s="20"/>
      <c r="C32" s="18"/>
      <c r="D32" s="18"/>
      <c r="E32" s="23" t="s">
        <v>16</v>
      </c>
      <c r="F32" s="23" t="s">
        <v>16</v>
      </c>
      <c r="G32" s="23" t="s">
        <v>16</v>
      </c>
      <c r="H32" s="23" t="s">
        <v>16</v>
      </c>
    </row>
    <row r="33" spans="1:8">
      <c r="A33" s="20"/>
      <c r="B33" s="20"/>
      <c r="C33" s="18"/>
      <c r="D33" s="18"/>
      <c r="E33" s="23" t="s">
        <v>16</v>
      </c>
      <c r="F33" s="23" t="s">
        <v>16</v>
      </c>
      <c r="G33" s="23" t="s">
        <v>16</v>
      </c>
      <c r="H33" s="23" t="s">
        <v>16</v>
      </c>
    </row>
    <row r="34" spans="1:8">
      <c r="A34" s="20"/>
      <c r="B34" s="20"/>
      <c r="C34" s="18"/>
      <c r="D34" s="18"/>
      <c r="E34" s="23" t="s">
        <v>16</v>
      </c>
      <c r="F34" s="23" t="s">
        <v>16</v>
      </c>
      <c r="G34" s="23" t="s">
        <v>16</v>
      </c>
      <c r="H34" s="23" t="s">
        <v>16</v>
      </c>
    </row>
    <row r="35" spans="1:8">
      <c r="A35" s="20"/>
      <c r="B35" s="20"/>
      <c r="C35" s="18"/>
      <c r="D35" s="18"/>
      <c r="E35" s="23" t="s">
        <v>16</v>
      </c>
      <c r="F35" s="23" t="s">
        <v>16</v>
      </c>
      <c r="G35" s="23" t="s">
        <v>16</v>
      </c>
      <c r="H35" s="23" t="s">
        <v>16</v>
      </c>
    </row>
    <row r="36" spans="1:8">
      <c r="A36" s="20"/>
      <c r="B36" s="20"/>
      <c r="C36" s="18"/>
      <c r="D36" s="18"/>
      <c r="E36" s="23" t="s">
        <v>16</v>
      </c>
      <c r="F36" s="23" t="s">
        <v>16</v>
      </c>
      <c r="G36" s="23" t="s">
        <v>16</v>
      </c>
      <c r="H36" s="23" t="s">
        <v>16</v>
      </c>
    </row>
    <row r="37" spans="1:8">
      <c r="A37" s="20"/>
      <c r="B37" s="20"/>
      <c r="C37" s="18"/>
      <c r="D37" s="18"/>
      <c r="E37" s="23" t="s">
        <v>16</v>
      </c>
      <c r="F37" s="23" t="s">
        <v>16</v>
      </c>
      <c r="G37" s="23" t="s">
        <v>16</v>
      </c>
      <c r="H37" s="23" t="s">
        <v>16</v>
      </c>
    </row>
    <row r="38" spans="1:8">
      <c r="A38" s="20"/>
      <c r="B38" s="20"/>
      <c r="C38" s="18"/>
      <c r="D38" s="18"/>
      <c r="E38" s="23" t="s">
        <v>16</v>
      </c>
      <c r="F38" s="23" t="s">
        <v>16</v>
      </c>
      <c r="G38" s="23" t="s">
        <v>16</v>
      </c>
      <c r="H38" s="23" t="s">
        <v>16</v>
      </c>
    </row>
    <row r="39" spans="1:8">
      <c r="A39" s="20"/>
      <c r="B39" s="20"/>
      <c r="C39" s="18"/>
      <c r="D39" s="18"/>
      <c r="E39" s="23" t="s">
        <v>16</v>
      </c>
      <c r="F39" s="23" t="s">
        <v>16</v>
      </c>
      <c r="G39" s="23" t="s">
        <v>16</v>
      </c>
      <c r="H39" s="23" t="s">
        <v>16</v>
      </c>
    </row>
    <row r="40" spans="1:8">
      <c r="A40" s="20"/>
      <c r="B40" s="20"/>
      <c r="C40" s="18"/>
      <c r="D40" s="18"/>
      <c r="E40" s="23" t="s">
        <v>16</v>
      </c>
      <c r="F40" s="23" t="s">
        <v>16</v>
      </c>
      <c r="G40" s="23" t="s">
        <v>16</v>
      </c>
      <c r="H40" s="23" t="s">
        <v>16</v>
      </c>
    </row>
    <row r="41" spans="1:8">
      <c r="A41" s="20"/>
      <c r="B41" s="20"/>
      <c r="C41" s="18"/>
      <c r="D41" s="18"/>
      <c r="E41" s="23" t="s">
        <v>16</v>
      </c>
      <c r="F41" s="23" t="s">
        <v>16</v>
      </c>
      <c r="G41" s="23" t="s">
        <v>16</v>
      </c>
      <c r="H41" s="23" t="s">
        <v>16</v>
      </c>
    </row>
    <row r="42" spans="1:8">
      <c r="A42" s="20"/>
      <c r="B42" s="20"/>
      <c r="C42" s="18"/>
      <c r="D42" s="18"/>
      <c r="E42" s="23" t="s">
        <v>16</v>
      </c>
      <c r="F42" s="23" t="s">
        <v>16</v>
      </c>
      <c r="G42" s="23" t="s">
        <v>16</v>
      </c>
      <c r="H42" s="23" t="s">
        <v>16</v>
      </c>
    </row>
    <row r="43" spans="1:8">
      <c r="A43" s="20"/>
      <c r="B43" s="20"/>
      <c r="C43" s="18"/>
      <c r="D43" s="18"/>
      <c r="E43" s="23" t="s">
        <v>16</v>
      </c>
      <c r="F43" s="23" t="s">
        <v>16</v>
      </c>
      <c r="G43" s="23" t="s">
        <v>16</v>
      </c>
      <c r="H43" s="23" t="s">
        <v>16</v>
      </c>
    </row>
    <row r="44" spans="1:8">
      <c r="A44" s="20"/>
      <c r="B44" s="20"/>
      <c r="C44" s="18"/>
      <c r="D44" s="18"/>
      <c r="E44" s="23" t="s">
        <v>16</v>
      </c>
      <c r="F44" s="23" t="s">
        <v>16</v>
      </c>
      <c r="G44" s="23" t="s">
        <v>16</v>
      </c>
      <c r="H44" s="23" t="s">
        <v>16</v>
      </c>
    </row>
    <row r="45" spans="1:8">
      <c r="A45" s="20"/>
      <c r="B45" s="20"/>
      <c r="C45" s="18"/>
      <c r="D45" s="18"/>
      <c r="E45" s="23" t="s">
        <v>16</v>
      </c>
      <c r="F45" s="23" t="s">
        <v>16</v>
      </c>
      <c r="G45" s="23" t="s">
        <v>16</v>
      </c>
      <c r="H45" s="23" t="s">
        <v>16</v>
      </c>
    </row>
    <row r="46" spans="1:8">
      <c r="A46" s="20"/>
      <c r="B46" s="20"/>
      <c r="C46" s="18"/>
      <c r="D46" s="18"/>
      <c r="E46" s="23" t="s">
        <v>16</v>
      </c>
      <c r="F46" s="23" t="s">
        <v>16</v>
      </c>
      <c r="G46" s="23" t="s">
        <v>16</v>
      </c>
      <c r="H46" s="23" t="s">
        <v>16</v>
      </c>
    </row>
    <row r="47" spans="1:8">
      <c r="A47" s="20"/>
      <c r="B47" s="20"/>
      <c r="C47" s="18"/>
      <c r="D47" s="18"/>
      <c r="E47" s="23" t="s">
        <v>16</v>
      </c>
      <c r="F47" s="23" t="s">
        <v>16</v>
      </c>
      <c r="G47" s="23" t="s">
        <v>16</v>
      </c>
      <c r="H47" s="23" t="s">
        <v>16</v>
      </c>
    </row>
    <row r="48" spans="1:8">
      <c r="A48" s="20"/>
      <c r="B48" s="20"/>
      <c r="C48" s="18"/>
      <c r="D48" s="18"/>
      <c r="E48" s="23" t="s">
        <v>16</v>
      </c>
      <c r="F48" s="23" t="s">
        <v>16</v>
      </c>
      <c r="G48" s="23" t="s">
        <v>16</v>
      </c>
      <c r="H48" s="23" t="s">
        <v>16</v>
      </c>
    </row>
    <row r="49" spans="1:8">
      <c r="A49" s="20"/>
      <c r="B49" s="20"/>
      <c r="C49" s="18"/>
      <c r="D49" s="18"/>
      <c r="E49" s="23" t="s">
        <v>16</v>
      </c>
      <c r="F49" s="23" t="s">
        <v>16</v>
      </c>
      <c r="G49" s="23" t="s">
        <v>16</v>
      </c>
      <c r="H49" s="23" t="s">
        <v>16</v>
      </c>
    </row>
    <row r="50" spans="1:8">
      <c r="A50" s="20"/>
      <c r="B50" s="49"/>
      <c r="C50" s="41"/>
      <c r="D50" s="41"/>
      <c r="E50" s="23" t="s">
        <v>16</v>
      </c>
      <c r="F50" s="23" t="s">
        <v>16</v>
      </c>
      <c r="G50" s="23" t="s">
        <v>16</v>
      </c>
      <c r="H50" s="23" t="s">
        <v>16</v>
      </c>
    </row>
    <row r="51" spans="1:8">
      <c r="A51" s="20"/>
      <c r="B51" s="20"/>
      <c r="C51" s="18"/>
      <c r="D51" s="18"/>
      <c r="E51" s="23" t="s">
        <v>16</v>
      </c>
      <c r="F51" s="23" t="s">
        <v>16</v>
      </c>
      <c r="G51" s="23" t="s">
        <v>16</v>
      </c>
      <c r="H51" s="23" t="s">
        <v>16</v>
      </c>
    </row>
    <row r="52" spans="1:8">
      <c r="A52" s="20"/>
      <c r="B52" s="20"/>
      <c r="C52" s="18"/>
      <c r="D52" s="18"/>
      <c r="E52" s="23" t="s">
        <v>16</v>
      </c>
      <c r="F52" s="23" t="s">
        <v>16</v>
      </c>
      <c r="G52" s="23" t="s">
        <v>16</v>
      </c>
      <c r="H52" s="23" t="s">
        <v>16</v>
      </c>
    </row>
    <row r="53" spans="1:8">
      <c r="A53" s="20"/>
      <c r="B53" s="20"/>
      <c r="C53" s="18"/>
      <c r="D53" s="18"/>
      <c r="E53" s="23" t="s">
        <v>16</v>
      </c>
      <c r="F53" s="23" t="s">
        <v>16</v>
      </c>
      <c r="G53" s="23" t="s">
        <v>16</v>
      </c>
      <c r="H53" s="23" t="s">
        <v>16</v>
      </c>
    </row>
    <row r="54" spans="1:8">
      <c r="A54" s="20"/>
      <c r="B54" s="20"/>
      <c r="C54" s="18"/>
      <c r="D54" s="18"/>
      <c r="E54" s="23" t="s">
        <v>16</v>
      </c>
      <c r="F54" s="23" t="s">
        <v>16</v>
      </c>
      <c r="G54" s="23" t="s">
        <v>16</v>
      </c>
      <c r="H54" s="23" t="s">
        <v>16</v>
      </c>
    </row>
    <row r="55" spans="1:8">
      <c r="A55" s="20"/>
      <c r="B55" s="20"/>
      <c r="C55" s="18"/>
      <c r="D55" s="18"/>
      <c r="E55" s="23" t="s">
        <v>16</v>
      </c>
      <c r="F55" s="23" t="s">
        <v>16</v>
      </c>
      <c r="G55" s="23" t="s">
        <v>16</v>
      </c>
      <c r="H55" s="23" t="s">
        <v>16</v>
      </c>
    </row>
    <row r="56" spans="1:8">
      <c r="A56" s="20"/>
      <c r="B56" s="20"/>
      <c r="C56" s="18"/>
      <c r="D56" s="18"/>
      <c r="E56" s="23" t="s">
        <v>16</v>
      </c>
      <c r="F56" s="23" t="s">
        <v>16</v>
      </c>
      <c r="G56" s="23" t="s">
        <v>16</v>
      </c>
      <c r="H56" s="23" t="s">
        <v>16</v>
      </c>
    </row>
    <row r="57" spans="1:8">
      <c r="A57" s="20"/>
      <c r="B57" s="20"/>
      <c r="C57" s="18"/>
      <c r="D57" s="18"/>
      <c r="E57" s="23" t="s">
        <v>16</v>
      </c>
      <c r="F57" s="23" t="s">
        <v>16</v>
      </c>
      <c r="G57" s="23" t="s">
        <v>16</v>
      </c>
      <c r="H57" s="23" t="s">
        <v>16</v>
      </c>
    </row>
    <row r="58" spans="1:8">
      <c r="A58" s="20"/>
      <c r="B58" s="20"/>
      <c r="C58" s="18"/>
      <c r="D58" s="18"/>
      <c r="E58" s="23" t="s">
        <v>16</v>
      </c>
      <c r="F58" s="23" t="s">
        <v>16</v>
      </c>
      <c r="G58" s="23" t="s">
        <v>16</v>
      </c>
      <c r="H58" s="23" t="s">
        <v>16</v>
      </c>
    </row>
    <row r="59" spans="1:8">
      <c r="A59" s="20"/>
      <c r="B59" s="20"/>
      <c r="C59" s="18"/>
      <c r="D59" s="18"/>
      <c r="E59" s="23" t="s">
        <v>16</v>
      </c>
      <c r="F59" s="23" t="s">
        <v>16</v>
      </c>
      <c r="G59" s="23" t="s">
        <v>16</v>
      </c>
      <c r="H59" s="23" t="s">
        <v>16</v>
      </c>
    </row>
    <row r="60" spans="1:8">
      <c r="A60" s="20"/>
      <c r="B60" s="20"/>
      <c r="C60" s="18"/>
      <c r="D60" s="18"/>
      <c r="E60" s="23" t="s">
        <v>16</v>
      </c>
      <c r="F60" s="23" t="s">
        <v>16</v>
      </c>
      <c r="G60" s="23" t="s">
        <v>16</v>
      </c>
      <c r="H60" s="23" t="s">
        <v>16</v>
      </c>
    </row>
    <row r="61" spans="1:8">
      <c r="A61" s="20"/>
      <c r="B61" s="20"/>
      <c r="C61" s="18"/>
      <c r="D61" s="18"/>
      <c r="E61" s="23" t="s">
        <v>16</v>
      </c>
      <c r="F61" s="23" t="s">
        <v>16</v>
      </c>
      <c r="G61" s="23" t="s">
        <v>16</v>
      </c>
      <c r="H61" s="23" t="s">
        <v>16</v>
      </c>
    </row>
    <row r="62" spans="1:8">
      <c r="A62" s="20"/>
      <c r="B62" s="20"/>
      <c r="C62" s="18"/>
      <c r="D62" s="18"/>
      <c r="E62" s="23" t="s">
        <v>16</v>
      </c>
      <c r="F62" s="23" t="s">
        <v>16</v>
      </c>
      <c r="G62" s="23" t="s">
        <v>16</v>
      </c>
      <c r="H62" s="23" t="s">
        <v>16</v>
      </c>
    </row>
    <row r="63" spans="1:8">
      <c r="A63" s="20"/>
      <c r="B63" s="20"/>
      <c r="C63" s="18"/>
      <c r="D63" s="18"/>
      <c r="E63" s="23" t="s">
        <v>16</v>
      </c>
      <c r="F63" s="23" t="s">
        <v>16</v>
      </c>
      <c r="G63" s="23" t="s">
        <v>16</v>
      </c>
      <c r="H63" s="23" t="s">
        <v>16</v>
      </c>
    </row>
    <row r="64" spans="1:8">
      <c r="A64" s="20"/>
      <c r="B64" s="20"/>
      <c r="C64" s="18"/>
      <c r="D64" s="18"/>
      <c r="E64" s="23" t="s">
        <v>16</v>
      </c>
      <c r="F64" s="23" t="s">
        <v>16</v>
      </c>
      <c r="G64" s="23" t="s">
        <v>16</v>
      </c>
      <c r="H64" s="23" t="s">
        <v>16</v>
      </c>
    </row>
    <row r="65" spans="1:8">
      <c r="A65" s="20"/>
      <c r="B65" s="20"/>
      <c r="C65" s="18"/>
      <c r="D65" s="18"/>
      <c r="E65" s="23" t="s">
        <v>16</v>
      </c>
      <c r="F65" s="23" t="s">
        <v>16</v>
      </c>
      <c r="G65" s="23" t="s">
        <v>16</v>
      </c>
      <c r="H65" s="23" t="s">
        <v>16</v>
      </c>
    </row>
    <row r="66" spans="1:8">
      <c r="A66" s="20"/>
      <c r="B66" s="20"/>
      <c r="C66" s="18"/>
      <c r="D66" s="18"/>
      <c r="E66" s="23" t="s">
        <v>16</v>
      </c>
      <c r="F66" s="23" t="s">
        <v>16</v>
      </c>
      <c r="G66" s="23" t="s">
        <v>16</v>
      </c>
      <c r="H66" s="23" t="s">
        <v>16</v>
      </c>
    </row>
    <row r="67" spans="1:8">
      <c r="A67" s="20"/>
      <c r="B67" s="20"/>
      <c r="C67" s="18"/>
      <c r="D67" s="18"/>
      <c r="E67" s="23" t="s">
        <v>16</v>
      </c>
      <c r="F67" s="23" t="s">
        <v>16</v>
      </c>
      <c r="G67" s="23" t="s">
        <v>16</v>
      </c>
      <c r="H67" s="23" t="s">
        <v>16</v>
      </c>
    </row>
    <row r="68" spans="1:8">
      <c r="A68" s="20"/>
      <c r="B68" s="20"/>
      <c r="C68" s="18"/>
      <c r="D68" s="18"/>
      <c r="E68" s="23" t="s">
        <v>16</v>
      </c>
      <c r="F68" s="23" t="s">
        <v>16</v>
      </c>
      <c r="G68" s="23" t="s">
        <v>16</v>
      </c>
      <c r="H68" s="23" t="s">
        <v>16</v>
      </c>
    </row>
    <row r="69" spans="1:8">
      <c r="A69" s="20"/>
      <c r="B69" s="20"/>
      <c r="C69" s="18"/>
      <c r="D69" s="18"/>
      <c r="E69" s="23" t="s">
        <v>16</v>
      </c>
      <c r="F69" s="23" t="s">
        <v>16</v>
      </c>
      <c r="G69" s="23" t="s">
        <v>16</v>
      </c>
      <c r="H69" s="23" t="s">
        <v>16</v>
      </c>
    </row>
    <row r="70" spans="1:8">
      <c r="A70" s="20"/>
      <c r="B70" s="20"/>
      <c r="C70" s="18"/>
      <c r="D70" s="18"/>
      <c r="E70" s="23" t="s">
        <v>16</v>
      </c>
      <c r="F70" s="23" t="s">
        <v>16</v>
      </c>
      <c r="G70" s="23" t="s">
        <v>16</v>
      </c>
      <c r="H70" s="23" t="s">
        <v>16</v>
      </c>
    </row>
    <row r="71" spans="1:8">
      <c r="A71" s="20"/>
      <c r="B71" s="20"/>
      <c r="C71" s="18"/>
      <c r="D71" s="18"/>
      <c r="E71" s="23" t="s">
        <v>16</v>
      </c>
      <c r="F71" s="23" t="s">
        <v>16</v>
      </c>
      <c r="G71" s="23" t="s">
        <v>16</v>
      </c>
      <c r="H71" s="23" t="s">
        <v>16</v>
      </c>
    </row>
    <row r="72" spans="1:8">
      <c r="A72" s="20"/>
      <c r="B72" s="20"/>
      <c r="C72" s="18"/>
      <c r="D72" s="18"/>
      <c r="E72" s="23" t="s">
        <v>16</v>
      </c>
      <c r="F72" s="23" t="s">
        <v>16</v>
      </c>
      <c r="G72" s="23" t="s">
        <v>16</v>
      </c>
      <c r="H72" s="23" t="s">
        <v>16</v>
      </c>
    </row>
    <row r="73" spans="1:8">
      <c r="A73" s="20"/>
      <c r="B73" s="20"/>
      <c r="C73" s="18"/>
      <c r="D73" s="18"/>
      <c r="E73" s="23" t="s">
        <v>16</v>
      </c>
      <c r="F73" s="23" t="s">
        <v>16</v>
      </c>
      <c r="G73" s="23" t="s">
        <v>16</v>
      </c>
      <c r="H73" s="23" t="s">
        <v>16</v>
      </c>
    </row>
    <row r="74" spans="1:8">
      <c r="A74" s="20"/>
      <c r="B74" s="20"/>
      <c r="C74" s="18"/>
      <c r="D74" s="18"/>
      <c r="E74" s="23" t="s">
        <v>16</v>
      </c>
      <c r="F74" s="23" t="s">
        <v>16</v>
      </c>
      <c r="G74" s="23" t="s">
        <v>16</v>
      </c>
      <c r="H74" s="23" t="s">
        <v>16</v>
      </c>
    </row>
    <row r="75" spans="1:8">
      <c r="A75" s="20"/>
      <c r="B75" s="20"/>
      <c r="C75" s="18"/>
      <c r="D75" s="18"/>
      <c r="E75" s="23" t="s">
        <v>16</v>
      </c>
      <c r="F75" s="23" t="s">
        <v>16</v>
      </c>
      <c r="G75" s="23" t="s">
        <v>16</v>
      </c>
      <c r="H75" s="23" t="s">
        <v>16</v>
      </c>
    </row>
    <row r="76" spans="1:8">
      <c r="A76" s="20"/>
      <c r="B76" s="20"/>
      <c r="C76" s="18"/>
      <c r="D76" s="18"/>
      <c r="E76" s="23" t="s">
        <v>16</v>
      </c>
      <c r="F76" s="23" t="s">
        <v>16</v>
      </c>
      <c r="G76" s="23" t="s">
        <v>16</v>
      </c>
      <c r="H76" s="23" t="s">
        <v>16</v>
      </c>
    </row>
    <row r="77" spans="1:8">
      <c r="A77" s="20"/>
      <c r="B77" s="20"/>
      <c r="C77" s="18"/>
      <c r="D77" s="18"/>
      <c r="E77" s="23" t="s">
        <v>16</v>
      </c>
      <c r="F77" s="23" t="s">
        <v>16</v>
      </c>
      <c r="G77" s="23" t="s">
        <v>16</v>
      </c>
      <c r="H77" s="23" t="s">
        <v>16</v>
      </c>
    </row>
    <row r="78" spans="1:8">
      <c r="A78" s="20"/>
      <c r="B78" s="42"/>
      <c r="C78" s="43"/>
      <c r="D78" s="43"/>
      <c r="E78" s="23" t="s">
        <v>16</v>
      </c>
      <c r="F78" s="23" t="s">
        <v>16</v>
      </c>
      <c r="G78" s="23" t="s">
        <v>16</v>
      </c>
      <c r="H78" s="23" t="s">
        <v>16</v>
      </c>
    </row>
    <row r="79" spans="1:8">
      <c r="A79" s="20"/>
      <c r="B79" s="20"/>
      <c r="C79" s="18"/>
      <c r="D79" s="18"/>
      <c r="E79" s="23" t="s">
        <v>16</v>
      </c>
      <c r="F79" s="23" t="s">
        <v>16</v>
      </c>
      <c r="G79" s="23" t="s">
        <v>16</v>
      </c>
      <c r="H79" s="23" t="s">
        <v>16</v>
      </c>
    </row>
    <row r="80" spans="1:8">
      <c r="A80" s="20"/>
      <c r="B80" s="20"/>
      <c r="C80" s="18"/>
      <c r="D80" s="18"/>
      <c r="E80" s="23" t="s">
        <v>16</v>
      </c>
      <c r="F80" s="23" t="s">
        <v>16</v>
      </c>
      <c r="G80" s="23" t="s">
        <v>16</v>
      </c>
      <c r="H80" s="23" t="s">
        <v>16</v>
      </c>
    </row>
    <row r="81" spans="1:8">
      <c r="A81" s="20"/>
      <c r="B81" s="20"/>
      <c r="C81" s="18"/>
      <c r="D81" s="18"/>
      <c r="E81" s="23" t="s">
        <v>16</v>
      </c>
      <c r="F81" s="23" t="s">
        <v>16</v>
      </c>
      <c r="G81" s="23" t="s">
        <v>16</v>
      </c>
      <c r="H81" s="23" t="s">
        <v>16</v>
      </c>
    </row>
    <row r="82" spans="1:8">
      <c r="A82" s="27"/>
      <c r="C82" s="28"/>
      <c r="D82" s="28"/>
      <c r="E82" s="23" t="s">
        <v>16</v>
      </c>
      <c r="F82" s="23" t="s">
        <v>16</v>
      </c>
      <c r="G82" s="23" t="s">
        <v>16</v>
      </c>
      <c r="H82" s="23" t="s">
        <v>16</v>
      </c>
    </row>
    <row r="83" spans="1:8">
      <c r="A83" s="27"/>
      <c r="C83" s="28"/>
      <c r="D83" s="28"/>
      <c r="E83" s="23" t="s">
        <v>16</v>
      </c>
      <c r="F83" s="23" t="s">
        <v>16</v>
      </c>
      <c r="G83" s="23" t="s">
        <v>16</v>
      </c>
      <c r="H83" s="23" t="s">
        <v>16</v>
      </c>
    </row>
    <row r="84" spans="1:8">
      <c r="A84" s="27"/>
      <c r="C84" s="28"/>
      <c r="D84" s="28"/>
      <c r="E84" s="23" t="s">
        <v>16</v>
      </c>
      <c r="F84" s="23" t="s">
        <v>16</v>
      </c>
      <c r="G84" s="23" t="s">
        <v>16</v>
      </c>
      <c r="H84" s="23" t="s">
        <v>16</v>
      </c>
    </row>
    <row r="85" spans="1:8">
      <c r="A85" s="27"/>
      <c r="C85" s="28"/>
      <c r="D85" s="28"/>
      <c r="E85" s="23" t="s">
        <v>16</v>
      </c>
      <c r="F85" s="23" t="s">
        <v>16</v>
      </c>
      <c r="G85" s="23" t="s">
        <v>16</v>
      </c>
      <c r="H85" s="23" t="s">
        <v>16</v>
      </c>
    </row>
    <row r="86" spans="1:8">
      <c r="A86" s="27"/>
      <c r="C86" s="28"/>
      <c r="D86" s="28"/>
      <c r="E86" s="23" t="s">
        <v>16</v>
      </c>
      <c r="F86" s="23" t="s">
        <v>16</v>
      </c>
      <c r="G86" s="23" t="s">
        <v>16</v>
      </c>
      <c r="H86" s="23" t="s">
        <v>16</v>
      </c>
    </row>
    <row r="87" spans="1:8">
      <c r="A87" s="27"/>
      <c r="C87" s="28"/>
      <c r="D87" s="28"/>
      <c r="E87" s="23" t="s">
        <v>16</v>
      </c>
      <c r="F87" s="23" t="s">
        <v>16</v>
      </c>
      <c r="G87" s="23" t="s">
        <v>16</v>
      </c>
      <c r="H87" s="23" t="s">
        <v>16</v>
      </c>
    </row>
    <row r="88" spans="1:8">
      <c r="A88" s="27"/>
      <c r="C88" s="28"/>
      <c r="D88" s="28"/>
      <c r="E88" s="23" t="s">
        <v>16</v>
      </c>
      <c r="F88" s="23" t="s">
        <v>16</v>
      </c>
      <c r="G88" s="23" t="s">
        <v>16</v>
      </c>
      <c r="H88" s="23" t="s">
        <v>16</v>
      </c>
    </row>
    <row r="89" spans="1:8">
      <c r="A89" s="27"/>
      <c r="C89" s="28"/>
      <c r="D89" s="28"/>
      <c r="E89" s="23" t="s">
        <v>16</v>
      </c>
      <c r="F89" s="23" t="s">
        <v>16</v>
      </c>
      <c r="G89" s="23" t="s">
        <v>16</v>
      </c>
      <c r="H89" s="23" t="s">
        <v>16</v>
      </c>
    </row>
    <row r="90" spans="1:8">
      <c r="A90" s="27"/>
      <c r="C90" s="28"/>
      <c r="D90" s="2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c r="F200" s="23"/>
      <c r="G200" s="23"/>
      <c r="H200" s="23"/>
    </row>
    <row r="201" spans="1:8">
      <c r="A201" s="27"/>
      <c r="C201" s="28"/>
      <c r="D201" s="28"/>
      <c r="E201" s="23"/>
      <c r="F201" s="23"/>
      <c r="G201" s="23"/>
      <c r="H201" s="23"/>
    </row>
    <row r="202" spans="1:8">
      <c r="A202" s="27"/>
      <c r="C202" s="28"/>
      <c r="D202" s="28"/>
      <c r="E202" s="23"/>
      <c r="F202" s="23"/>
      <c r="G202" s="23"/>
      <c r="H202" s="23"/>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66"/>
      <c r="F222" s="66"/>
      <c r="G222" s="66"/>
      <c r="H222" s="66"/>
    </row>
    <row r="223" spans="1:8">
      <c r="A223" s="27"/>
      <c r="C223" s="28"/>
      <c r="D223" s="28"/>
      <c r="E223" s="66"/>
      <c r="F223" s="66"/>
      <c r="G223" s="66"/>
      <c r="H223" s="66"/>
    </row>
    <row r="224" spans="1:8">
      <c r="A224" s="27"/>
      <c r="C224" s="28"/>
      <c r="D224" s="28"/>
      <c r="E224" s="66"/>
      <c r="F224" s="66"/>
      <c r="G224" s="66"/>
      <c r="H224" s="66"/>
    </row>
    <row r="225" spans="1:8">
      <c r="A225" s="27"/>
      <c r="C225" s="28"/>
      <c r="D225" s="28"/>
      <c r="E225" s="66"/>
      <c r="F225" s="66"/>
      <c r="G225" s="66"/>
      <c r="H225" s="66"/>
    </row>
    <row r="226" spans="1:8">
      <c r="A226" s="27"/>
      <c r="C226" s="28"/>
      <c r="D226" s="28"/>
      <c r="E226" s="66"/>
      <c r="F226" s="66"/>
      <c r="G226" s="66"/>
      <c r="H226" s="66"/>
    </row>
    <row r="227" spans="1:8">
      <c r="A227" s="27"/>
      <c r="C227" s="28"/>
      <c r="D227" s="28"/>
      <c r="E227" s="66"/>
      <c r="F227" s="66"/>
      <c r="G227" s="66"/>
      <c r="H227" s="66"/>
    </row>
    <row r="228" spans="1:8">
      <c r="A228" s="27"/>
      <c r="C228" s="28"/>
      <c r="D228" s="28"/>
      <c r="E228" s="66"/>
      <c r="F228" s="66"/>
      <c r="G228" s="66"/>
      <c r="H228" s="66"/>
    </row>
    <row r="229" spans="1:8">
      <c r="A229" s="27"/>
      <c r="C229" s="28"/>
      <c r="D229" s="28"/>
      <c r="E229" s="66"/>
      <c r="F229" s="66"/>
      <c r="G229" s="66"/>
      <c r="H229" s="66"/>
    </row>
    <row r="230" spans="1:8">
      <c r="A230" s="27"/>
      <c r="C230" s="28"/>
      <c r="D230" s="28"/>
      <c r="E230" s="66"/>
      <c r="F230" s="66"/>
      <c r="G230" s="66"/>
      <c r="H230" s="66"/>
    </row>
    <row r="231" spans="1:8">
      <c r="A231" s="27"/>
      <c r="C231" s="28"/>
      <c r="D231" s="28"/>
      <c r="E231" s="66"/>
      <c r="F231" s="66"/>
      <c r="G231" s="66"/>
      <c r="H231" s="66"/>
    </row>
    <row r="232" spans="1:8">
      <c r="A232" s="27"/>
      <c r="C232" s="28"/>
      <c r="D232" s="28"/>
      <c r="E232" s="66"/>
      <c r="F232" s="66"/>
      <c r="G232" s="66"/>
      <c r="H232" s="66"/>
    </row>
    <row r="233" spans="1:8">
      <c r="A233" s="27"/>
      <c r="C233" s="28"/>
      <c r="D233" s="28"/>
      <c r="E233" s="66"/>
      <c r="F233" s="66"/>
      <c r="G233" s="66"/>
      <c r="H233" s="66"/>
    </row>
    <row r="234" spans="1:8">
      <c r="A234" s="27"/>
      <c r="C234" s="28"/>
      <c r="D234" s="28"/>
      <c r="E234" s="66"/>
      <c r="F234" s="66"/>
      <c r="G234" s="66"/>
      <c r="H234" s="66"/>
    </row>
    <row r="235" spans="1:8">
      <c r="A235" s="27"/>
      <c r="C235" s="28"/>
      <c r="D235" s="28"/>
      <c r="E235" s="66"/>
      <c r="F235" s="66"/>
      <c r="G235" s="66"/>
      <c r="H235" s="66"/>
    </row>
    <row r="236" spans="1:8">
      <c r="A236" s="27"/>
      <c r="C236" s="28"/>
      <c r="D236" s="28"/>
      <c r="E236" s="66"/>
      <c r="F236" s="66"/>
      <c r="G236" s="66"/>
      <c r="H236" s="66"/>
    </row>
    <row r="237" spans="1:8">
      <c r="A237" s="27"/>
      <c r="C237" s="28"/>
      <c r="D237" s="28"/>
      <c r="E237" s="66"/>
      <c r="F237" s="66"/>
      <c r="G237" s="66"/>
      <c r="H237" s="66"/>
    </row>
    <row r="238" spans="1:8">
      <c r="A238" s="27"/>
      <c r="C238" s="28"/>
      <c r="D238" s="28"/>
      <c r="E238" s="66"/>
      <c r="F238" s="66"/>
      <c r="G238" s="66"/>
      <c r="H238" s="66"/>
    </row>
    <row r="239" spans="1:8">
      <c r="A239" s="27"/>
      <c r="C239" s="28"/>
      <c r="D239" s="28"/>
      <c r="E239" s="66"/>
      <c r="F239" s="66"/>
      <c r="G239" s="66"/>
      <c r="H239" s="66"/>
    </row>
    <row r="240" spans="1:8">
      <c r="A240" s="27"/>
      <c r="C240" s="28"/>
      <c r="D240" s="28"/>
      <c r="E240" s="66"/>
      <c r="F240" s="66"/>
      <c r="G240" s="66"/>
      <c r="H240" s="66"/>
    </row>
    <row r="241" spans="1:8">
      <c r="A241" s="27"/>
      <c r="C241" s="28"/>
      <c r="D241" s="28"/>
      <c r="E241" s="66"/>
      <c r="F241" s="66"/>
      <c r="G241" s="66"/>
      <c r="H241" s="66"/>
    </row>
    <row r="242" spans="1:8">
      <c r="A242" s="27"/>
      <c r="C242" s="28"/>
      <c r="D242" s="28"/>
      <c r="E242" s="66"/>
      <c r="F242" s="66"/>
      <c r="G242" s="66"/>
      <c r="H242" s="66"/>
    </row>
    <row r="243" spans="1:8">
      <c r="A243" s="27"/>
      <c r="C243" s="28"/>
      <c r="D243" s="28"/>
      <c r="E243" s="66"/>
      <c r="F243" s="66"/>
      <c r="G243" s="66"/>
      <c r="H243" s="66"/>
    </row>
    <row r="244" spans="1:8">
      <c r="A244" s="27"/>
      <c r="C244" s="28"/>
      <c r="D244" s="28"/>
      <c r="E244" s="66"/>
      <c r="F244" s="66"/>
      <c r="G244" s="66"/>
      <c r="H244" s="66"/>
    </row>
    <row r="245" spans="1:8">
      <c r="A245" s="27"/>
      <c r="C245" s="28"/>
      <c r="D245" s="28"/>
      <c r="E245" s="66"/>
      <c r="F245" s="66"/>
      <c r="G245" s="66"/>
      <c r="H245" s="66"/>
    </row>
    <row r="246" spans="1:8">
      <c r="A246" s="27"/>
      <c r="C246" s="28"/>
      <c r="D246" s="28"/>
      <c r="E246" s="66"/>
      <c r="F246" s="66"/>
      <c r="G246" s="66"/>
      <c r="H246" s="66"/>
    </row>
    <row r="247" spans="1:8">
      <c r="A247" s="27"/>
      <c r="C247" s="28"/>
      <c r="D247" s="28"/>
      <c r="E247" s="66"/>
      <c r="F247" s="66"/>
      <c r="G247" s="66"/>
      <c r="H247" s="66"/>
    </row>
    <row r="248" spans="1:8">
      <c r="A248" s="27"/>
      <c r="C248" s="28"/>
      <c r="D248" s="28"/>
      <c r="E248" s="66"/>
      <c r="F248" s="66"/>
      <c r="G248" s="66"/>
      <c r="H248" s="66"/>
    </row>
    <row r="249" spans="1:8">
      <c r="A249" s="27"/>
      <c r="C249" s="28"/>
      <c r="D249" s="28"/>
      <c r="E249" s="66"/>
      <c r="F249" s="66"/>
      <c r="G249" s="66"/>
      <c r="H249" s="66"/>
    </row>
    <row r="250" spans="1:8">
      <c r="A250" s="27"/>
      <c r="C250" s="28"/>
      <c r="D250" s="28"/>
      <c r="E250" s="66"/>
      <c r="F250" s="66"/>
      <c r="G250" s="66"/>
      <c r="H250" s="66"/>
    </row>
    <row r="251" spans="1:8">
      <c r="A251" s="27"/>
      <c r="C251" s="28"/>
      <c r="D251" s="28"/>
      <c r="E251" s="66"/>
      <c r="F251" s="66"/>
      <c r="G251" s="66"/>
      <c r="H251" s="66"/>
    </row>
    <row r="252" spans="1:8">
      <c r="A252" s="27"/>
      <c r="C252" s="28"/>
      <c r="D252" s="28"/>
      <c r="E252" s="66"/>
      <c r="F252" s="66"/>
      <c r="G252" s="66"/>
      <c r="H252" s="66"/>
    </row>
    <row r="253" spans="1:8">
      <c r="A253" s="27"/>
      <c r="C253" s="28"/>
      <c r="D253" s="28"/>
      <c r="E253" s="66"/>
      <c r="F253" s="66"/>
      <c r="G253" s="66"/>
      <c r="H253" s="66"/>
    </row>
    <row r="254" spans="1:8">
      <c r="A254" s="27"/>
      <c r="C254" s="28"/>
      <c r="D254" s="28"/>
      <c r="E254" s="66"/>
      <c r="F254" s="66"/>
      <c r="G254" s="66"/>
      <c r="H254" s="66"/>
    </row>
    <row r="255" spans="1:8">
      <c r="A255" s="27"/>
      <c r="C255" s="28"/>
      <c r="D255" s="28"/>
      <c r="E255" s="66"/>
      <c r="F255" s="66"/>
      <c r="G255" s="66"/>
      <c r="H255" s="66"/>
    </row>
    <row r="256" spans="1:8">
      <c r="A256" s="27"/>
      <c r="C256" s="28"/>
      <c r="D256" s="28"/>
      <c r="E256" s="66"/>
      <c r="F256" s="66"/>
      <c r="G256" s="66"/>
      <c r="H256" s="66"/>
    </row>
    <row r="257" spans="1:8">
      <c r="A257" s="27"/>
      <c r="C257" s="28"/>
      <c r="D257" s="28"/>
      <c r="E257" s="66"/>
      <c r="F257" s="66"/>
      <c r="G257" s="66"/>
      <c r="H257" s="66"/>
    </row>
    <row r="258" spans="1:8">
      <c r="A258" s="27"/>
      <c r="C258" s="28"/>
      <c r="D258" s="28"/>
      <c r="E258" s="66"/>
      <c r="F258" s="66"/>
      <c r="G258" s="66"/>
      <c r="H258" s="66"/>
    </row>
    <row r="259" spans="1:8">
      <c r="A259" s="27"/>
      <c r="C259" s="28"/>
      <c r="D259" s="28"/>
      <c r="E259" s="66"/>
      <c r="F259" s="66"/>
      <c r="G259" s="66"/>
      <c r="H259" s="66"/>
    </row>
    <row r="260" spans="1:8">
      <c r="A260" s="27"/>
      <c r="C260" s="28"/>
      <c r="D260" s="28"/>
      <c r="E260" s="66"/>
      <c r="F260" s="66"/>
      <c r="G260" s="66"/>
      <c r="H260" s="66"/>
    </row>
    <row r="261" spans="1:8">
      <c r="A261" s="27"/>
      <c r="C261" s="28"/>
      <c r="D261" s="28"/>
      <c r="E261" s="66"/>
      <c r="F261" s="66"/>
      <c r="G261" s="66"/>
      <c r="H261" s="66"/>
    </row>
    <row r="262" spans="1:8">
      <c r="A262" s="27"/>
      <c r="C262" s="28"/>
      <c r="D262" s="28"/>
      <c r="E262" s="66"/>
      <c r="F262" s="66"/>
      <c r="G262" s="66"/>
      <c r="H262" s="66"/>
    </row>
    <row r="263" spans="1:8">
      <c r="A263" s="27"/>
      <c r="C263" s="28"/>
      <c r="D263" s="28"/>
      <c r="E263" s="66"/>
      <c r="F263" s="66"/>
      <c r="G263" s="66"/>
      <c r="H263" s="66"/>
    </row>
    <row r="264" spans="1:8">
      <c r="A264" s="27"/>
      <c r="C264" s="28"/>
      <c r="D264" s="28"/>
      <c r="E264" s="66"/>
      <c r="F264" s="66"/>
      <c r="G264" s="66"/>
      <c r="H264" s="66"/>
    </row>
    <row r="265" spans="1:8">
      <c r="A265" s="27"/>
      <c r="C265" s="28"/>
      <c r="D265" s="28"/>
      <c r="E265" s="66"/>
      <c r="F265" s="66"/>
      <c r="G265" s="66"/>
      <c r="H265" s="66"/>
    </row>
    <row r="266" spans="1:8">
      <c r="A266" s="27"/>
      <c r="C266" s="28"/>
      <c r="D266" s="28"/>
      <c r="E266" s="66"/>
      <c r="F266" s="66"/>
      <c r="G266" s="66"/>
      <c r="H266" s="66"/>
    </row>
    <row r="267" spans="1:8">
      <c r="A267" s="27"/>
      <c r="C267" s="28"/>
      <c r="D267" s="28"/>
      <c r="E267" s="66"/>
      <c r="F267" s="66"/>
      <c r="G267" s="66"/>
      <c r="H267" s="66"/>
    </row>
    <row r="268" spans="1:8">
      <c r="A268" s="27"/>
      <c r="C268" s="28"/>
      <c r="D268" s="28"/>
      <c r="E268" s="66"/>
      <c r="F268" s="66"/>
      <c r="G268" s="66"/>
      <c r="H268" s="66"/>
    </row>
    <row r="269" spans="1:8">
      <c r="A269" s="27"/>
      <c r="C269" s="28"/>
      <c r="D269" s="28"/>
      <c r="E269" s="66"/>
      <c r="F269" s="66"/>
      <c r="G269" s="66"/>
      <c r="H269" s="66"/>
    </row>
    <row r="270" spans="1:8">
      <c r="A270" s="27"/>
      <c r="C270" s="28"/>
      <c r="D270" s="28"/>
      <c r="E270" s="66"/>
      <c r="F270" s="66"/>
      <c r="G270" s="66"/>
      <c r="H270" s="66"/>
    </row>
    <row r="271" spans="1:8">
      <c r="A271" s="27"/>
      <c r="C271" s="28"/>
      <c r="D271" s="28"/>
      <c r="E271" s="66"/>
      <c r="F271" s="66"/>
      <c r="G271" s="66"/>
      <c r="H271" s="66"/>
    </row>
    <row r="272" spans="1:8">
      <c r="A272" s="27"/>
      <c r="C272" s="28"/>
      <c r="D272" s="28"/>
      <c r="E272" s="66"/>
      <c r="F272" s="66"/>
      <c r="G272" s="66"/>
      <c r="H272" s="66"/>
    </row>
    <row r="273" spans="1:8">
      <c r="A273" s="27"/>
      <c r="C273" s="28"/>
      <c r="D273" s="28"/>
      <c r="E273" s="66"/>
      <c r="F273" s="66"/>
      <c r="G273" s="66"/>
      <c r="H273" s="66"/>
    </row>
    <row r="274" spans="1:8">
      <c r="A274" s="27"/>
      <c r="C274" s="28"/>
      <c r="D274" s="28"/>
      <c r="E274" s="66"/>
      <c r="F274" s="66"/>
      <c r="G274" s="66"/>
      <c r="H274" s="66"/>
    </row>
    <row r="275" spans="1:8">
      <c r="A275" s="27"/>
      <c r="C275" s="28"/>
      <c r="D275" s="28"/>
      <c r="E275" s="66"/>
      <c r="F275" s="66"/>
      <c r="G275" s="66"/>
      <c r="H275" s="66"/>
    </row>
    <row r="276" spans="1:8">
      <c r="A276" s="27"/>
      <c r="C276" s="28"/>
      <c r="D276" s="28"/>
      <c r="E276" s="66"/>
      <c r="F276" s="66"/>
      <c r="G276" s="66"/>
      <c r="H276" s="66"/>
    </row>
    <row r="277" spans="1:8">
      <c r="A277" s="27"/>
      <c r="C277" s="28"/>
      <c r="D277" s="28"/>
      <c r="E277" s="66"/>
      <c r="F277" s="66"/>
      <c r="G277" s="66"/>
      <c r="H277" s="66"/>
    </row>
    <row r="278" spans="1:8">
      <c r="A278" s="27"/>
      <c r="C278" s="28"/>
      <c r="D278" s="28"/>
      <c r="E278" s="66"/>
      <c r="F278" s="66"/>
      <c r="G278" s="66"/>
      <c r="H278" s="66"/>
    </row>
    <row r="279" spans="1:8">
      <c r="A279" s="27"/>
      <c r="C279" s="28"/>
      <c r="D279" s="28"/>
      <c r="E279" s="66"/>
      <c r="F279" s="66"/>
      <c r="G279" s="66"/>
      <c r="H279" s="66"/>
    </row>
    <row r="280" spans="1:8">
      <c r="A280" s="27"/>
      <c r="C280" s="28"/>
      <c r="D280" s="28"/>
      <c r="E280" s="66"/>
      <c r="F280" s="66"/>
      <c r="G280" s="66"/>
      <c r="H280" s="66"/>
    </row>
    <row r="281" spans="1:8">
      <c r="A281" s="27"/>
      <c r="C281" s="28"/>
      <c r="D281" s="28"/>
      <c r="E281" s="66"/>
      <c r="F281" s="66"/>
      <c r="G281" s="66"/>
      <c r="H281" s="66"/>
    </row>
    <row r="282" spans="1:8">
      <c r="A282" s="27"/>
      <c r="C282" s="28"/>
      <c r="D282" s="28"/>
      <c r="E282" s="66"/>
      <c r="F282" s="66"/>
      <c r="G282" s="66"/>
      <c r="H282" s="66"/>
    </row>
    <row r="283" spans="1:8">
      <c r="A283" s="27"/>
      <c r="C283" s="28"/>
      <c r="D283" s="28"/>
      <c r="E283" s="66"/>
      <c r="F283" s="66"/>
      <c r="G283" s="66"/>
      <c r="H283" s="66"/>
    </row>
    <row r="284" spans="1:8">
      <c r="A284" s="27"/>
      <c r="C284" s="28"/>
      <c r="D284" s="28"/>
      <c r="E284" s="66"/>
      <c r="F284" s="66"/>
      <c r="G284" s="66"/>
      <c r="H284" s="66"/>
    </row>
    <row r="285" spans="1:8">
      <c r="A285" s="27"/>
      <c r="C285" s="28"/>
      <c r="D285" s="28"/>
      <c r="E285" s="66"/>
      <c r="F285" s="66"/>
      <c r="G285" s="66"/>
      <c r="H285" s="66"/>
    </row>
    <row r="286" spans="1:8">
      <c r="A286" s="27"/>
      <c r="C286" s="28"/>
      <c r="D286" s="28"/>
      <c r="E286" s="66"/>
      <c r="F286" s="66"/>
      <c r="G286" s="66"/>
      <c r="H286" s="66"/>
    </row>
    <row r="287" spans="1:8">
      <c r="A287" s="27"/>
      <c r="C287" s="28"/>
      <c r="D287" s="28"/>
      <c r="E287" s="66"/>
      <c r="F287" s="66"/>
      <c r="G287" s="66"/>
      <c r="H287" s="66"/>
    </row>
    <row r="288" spans="1:8">
      <c r="A288" s="27"/>
      <c r="C288" s="28"/>
      <c r="D288" s="28"/>
      <c r="E288" s="66"/>
      <c r="F288" s="66"/>
      <c r="G288" s="66"/>
      <c r="H288" s="66"/>
    </row>
    <row r="289" spans="1:8">
      <c r="A289" s="27"/>
      <c r="C289" s="28"/>
      <c r="D289" s="28"/>
      <c r="E289" s="66"/>
      <c r="F289" s="66"/>
      <c r="G289" s="66"/>
      <c r="H289" s="66"/>
    </row>
    <row r="290" spans="1:8">
      <c r="A290" s="27"/>
      <c r="C290" s="28"/>
      <c r="D290" s="28"/>
      <c r="E290" s="66"/>
      <c r="F290" s="66"/>
      <c r="G290" s="66"/>
      <c r="H290" s="66"/>
    </row>
    <row r="291" spans="1:8">
      <c r="A291" s="27"/>
      <c r="C291" s="28"/>
      <c r="D291" s="28"/>
      <c r="E291" s="66"/>
      <c r="F291" s="66"/>
      <c r="G291" s="66"/>
      <c r="H291" s="66"/>
    </row>
    <row r="292" spans="1:8">
      <c r="A292" s="27"/>
      <c r="C292" s="28"/>
      <c r="D292" s="28"/>
      <c r="E292" s="66"/>
      <c r="F292" s="66"/>
      <c r="G292" s="66"/>
      <c r="H292" s="66"/>
    </row>
    <row r="293" spans="1:8">
      <c r="A293" s="27"/>
      <c r="C293" s="28"/>
      <c r="D293" s="28"/>
      <c r="E293" s="66"/>
      <c r="F293" s="66"/>
      <c r="G293" s="66"/>
      <c r="H293" s="66"/>
    </row>
    <row r="294" spans="1:8">
      <c r="A294" s="27"/>
      <c r="C294" s="28"/>
      <c r="D294" s="28"/>
      <c r="E294" s="66"/>
      <c r="F294" s="66"/>
      <c r="G294" s="66"/>
      <c r="H294" s="66"/>
    </row>
    <row r="295" spans="1:8">
      <c r="A295" s="27"/>
      <c r="C295" s="28"/>
      <c r="D295" s="28"/>
      <c r="E295" s="66"/>
      <c r="F295" s="66"/>
      <c r="G295" s="66"/>
      <c r="H295" s="66"/>
    </row>
    <row r="296" spans="1:8">
      <c r="A296" s="27"/>
      <c r="C296" s="28"/>
      <c r="D296" s="28"/>
      <c r="E296" s="66"/>
      <c r="F296" s="66"/>
      <c r="G296" s="66"/>
      <c r="H296" s="66"/>
    </row>
    <row r="297" spans="1:8">
      <c r="A297" s="27"/>
      <c r="C297" s="28"/>
      <c r="D297" s="28"/>
      <c r="E297" s="66"/>
      <c r="F297" s="66"/>
      <c r="G297" s="66"/>
      <c r="H297" s="66"/>
    </row>
    <row r="298" spans="1:8">
      <c r="A298" s="27"/>
      <c r="C298" s="28"/>
      <c r="D298" s="28"/>
      <c r="E298" s="66"/>
      <c r="F298" s="66"/>
      <c r="G298" s="66"/>
      <c r="H298" s="66"/>
    </row>
    <row r="299" spans="1:8">
      <c r="A299" s="27"/>
      <c r="C299" s="28"/>
      <c r="D299" s="28"/>
      <c r="E299" s="66"/>
      <c r="F299" s="66"/>
      <c r="G299" s="66"/>
      <c r="H299" s="66"/>
    </row>
    <row r="300" spans="1:8">
      <c r="A300" s="27"/>
      <c r="C300" s="28"/>
      <c r="D300" s="28"/>
      <c r="E300" s="66"/>
      <c r="F300" s="66"/>
      <c r="G300" s="66"/>
      <c r="H300" s="66"/>
    </row>
    <row r="301" spans="1:8">
      <c r="A301" s="27"/>
      <c r="C301" s="28"/>
      <c r="D301" s="28"/>
      <c r="E301" s="66"/>
      <c r="F301" s="66"/>
      <c r="G301" s="66"/>
      <c r="H301" s="66"/>
    </row>
    <row r="302" spans="1:8">
      <c r="A302" s="27"/>
      <c r="C302" s="28"/>
      <c r="D302" s="28"/>
      <c r="E302" s="66"/>
      <c r="F302" s="66"/>
      <c r="G302" s="66"/>
      <c r="H302" s="66"/>
    </row>
    <row r="303" spans="1:8">
      <c r="A303" s="27"/>
      <c r="C303" s="28"/>
      <c r="D303" s="28"/>
      <c r="E303" s="66"/>
      <c r="F303" s="66"/>
      <c r="G303" s="66"/>
      <c r="H303" s="66"/>
    </row>
    <row r="304" spans="1:8">
      <c r="A304" s="27"/>
      <c r="C304" s="28"/>
      <c r="D304" s="28"/>
      <c r="E304" s="66"/>
      <c r="F304" s="66"/>
      <c r="G304" s="66"/>
      <c r="H304" s="66"/>
    </row>
    <row r="305" spans="1:8">
      <c r="A305" s="27"/>
      <c r="C305" s="28"/>
      <c r="D305" s="28"/>
      <c r="E305" s="66"/>
      <c r="F305" s="66"/>
      <c r="G305" s="66"/>
      <c r="H305" s="66"/>
    </row>
    <row r="306" spans="1:8">
      <c r="A306" s="27"/>
      <c r="C306" s="28"/>
      <c r="D306" s="28"/>
      <c r="E306" s="66"/>
      <c r="F306" s="66"/>
      <c r="G306" s="66"/>
      <c r="H306" s="66"/>
    </row>
    <row r="307" spans="1:8">
      <c r="A307" s="27"/>
      <c r="C307" s="28"/>
      <c r="D307" s="28"/>
      <c r="E307" s="66"/>
      <c r="F307" s="66"/>
      <c r="G307" s="66"/>
      <c r="H307" s="66"/>
    </row>
    <row r="308" spans="1:8">
      <c r="A308" s="27"/>
      <c r="C308" s="28"/>
      <c r="D308" s="28"/>
      <c r="E308" s="66"/>
      <c r="F308" s="66"/>
      <c r="G308" s="66"/>
      <c r="H308" s="66"/>
    </row>
    <row r="309" spans="1:8">
      <c r="A309" s="27"/>
      <c r="C309" s="28"/>
      <c r="D309" s="28"/>
      <c r="E309" s="66"/>
      <c r="F309" s="66"/>
      <c r="G309" s="66"/>
      <c r="H309" s="66"/>
    </row>
    <row r="310" spans="1:8">
      <c r="A310" s="27"/>
      <c r="C310" s="28"/>
      <c r="D310" s="28"/>
      <c r="E310" s="66"/>
      <c r="F310" s="66"/>
      <c r="G310" s="66"/>
      <c r="H310" s="66"/>
    </row>
    <row r="311" spans="1:8">
      <c r="A311" s="27"/>
      <c r="C311" s="28"/>
      <c r="D311" s="28"/>
      <c r="E311" s="66"/>
      <c r="F311" s="66"/>
      <c r="G311" s="66"/>
      <c r="H311" s="66"/>
    </row>
    <row r="312" spans="1:8">
      <c r="A312" s="27"/>
      <c r="C312" s="28"/>
      <c r="D312" s="28"/>
      <c r="E312" s="66"/>
      <c r="F312" s="66"/>
      <c r="G312" s="66"/>
      <c r="H312" s="66"/>
    </row>
    <row r="313" spans="1:8">
      <c r="A313" s="27"/>
      <c r="C313" s="28"/>
      <c r="D313" s="28"/>
      <c r="E313" s="66"/>
      <c r="F313" s="66"/>
      <c r="G313" s="66"/>
      <c r="H313" s="66"/>
    </row>
    <row r="314" spans="1:8">
      <c r="A314" s="27"/>
      <c r="C314" s="28"/>
      <c r="D314" s="28"/>
      <c r="E314" s="66"/>
      <c r="F314" s="66"/>
      <c r="G314" s="66"/>
      <c r="H314" s="66"/>
    </row>
    <row r="315" spans="1:8">
      <c r="A315" s="27"/>
      <c r="C315" s="28"/>
      <c r="D315" s="28"/>
      <c r="E315" s="66"/>
      <c r="F315" s="66"/>
      <c r="G315" s="66"/>
      <c r="H315" s="66"/>
    </row>
    <row r="316" spans="1:8">
      <c r="A316" s="27"/>
      <c r="C316" s="28"/>
      <c r="D316" s="28"/>
      <c r="E316" s="66"/>
      <c r="F316" s="66"/>
      <c r="G316" s="66"/>
      <c r="H316" s="66"/>
    </row>
    <row r="317" spans="1:8">
      <c r="A317" s="27"/>
      <c r="C317" s="28"/>
      <c r="D317" s="28"/>
      <c r="E317" s="66"/>
      <c r="F317" s="66"/>
      <c r="G317" s="66"/>
      <c r="H317" s="66"/>
    </row>
    <row r="318" spans="1:8">
      <c r="A318" s="27"/>
      <c r="C318" s="28"/>
      <c r="D318" s="28"/>
      <c r="E318" s="66"/>
      <c r="F318" s="66"/>
      <c r="G318" s="66"/>
      <c r="H318" s="66"/>
    </row>
    <row r="319" spans="1:8">
      <c r="A319" s="27"/>
      <c r="C319" s="28"/>
      <c r="D319" s="28"/>
      <c r="E319" s="66"/>
      <c r="F319" s="66"/>
      <c r="G319" s="66"/>
      <c r="H319" s="66"/>
    </row>
    <row r="320" spans="1:8">
      <c r="A320" s="27"/>
      <c r="C320" s="28"/>
      <c r="D320" s="28"/>
      <c r="E320" s="66"/>
      <c r="F320" s="66"/>
      <c r="G320" s="66"/>
      <c r="H320" s="66"/>
    </row>
    <row r="321" spans="1:8">
      <c r="A321" s="27"/>
      <c r="C321" s="28"/>
      <c r="D321" s="28"/>
      <c r="E321" s="66"/>
      <c r="F321" s="66"/>
      <c r="G321" s="66"/>
      <c r="H321" s="66"/>
    </row>
    <row r="322" spans="1:8">
      <c r="A322" s="27"/>
      <c r="C322" s="28"/>
      <c r="D322" s="28"/>
      <c r="E322" s="66"/>
      <c r="F322" s="66"/>
      <c r="G322" s="66"/>
      <c r="H322" s="66"/>
    </row>
    <row r="323" spans="1:8">
      <c r="A323" s="27"/>
      <c r="C323" s="28"/>
      <c r="D323" s="28"/>
      <c r="E323" s="66"/>
      <c r="F323" s="66"/>
      <c r="G323" s="66"/>
      <c r="H323" s="66"/>
    </row>
    <row r="324" spans="1:8">
      <c r="A324" s="27"/>
      <c r="C324" s="28"/>
      <c r="D324" s="28"/>
      <c r="E324" s="66"/>
      <c r="F324" s="66"/>
      <c r="G324" s="66"/>
      <c r="H324" s="66"/>
    </row>
    <row r="325" spans="1:8">
      <c r="A325" s="27"/>
      <c r="C325" s="28"/>
      <c r="D325" s="28"/>
      <c r="E325" s="66"/>
      <c r="F325" s="66"/>
      <c r="G325" s="66"/>
      <c r="H325" s="66"/>
    </row>
    <row r="326" spans="1:8">
      <c r="A326" s="27"/>
      <c r="C326" s="28"/>
      <c r="D326" s="28"/>
      <c r="E326" s="66"/>
      <c r="F326" s="66"/>
      <c r="G326" s="66"/>
      <c r="H326" s="66"/>
    </row>
    <row r="327" spans="1:8">
      <c r="A327" s="27"/>
      <c r="C327" s="28"/>
      <c r="D327" s="28"/>
      <c r="E327" s="66"/>
      <c r="F327" s="66"/>
      <c r="G327" s="66"/>
      <c r="H327" s="66"/>
    </row>
    <row r="328" spans="1:8">
      <c r="A328" s="27"/>
      <c r="C328" s="28"/>
      <c r="D328" s="28"/>
      <c r="E328" s="66"/>
      <c r="F328" s="66"/>
      <c r="G328" s="66"/>
      <c r="H328" s="66"/>
    </row>
    <row r="329" spans="1:8">
      <c r="A329" s="27"/>
      <c r="C329" s="28"/>
      <c r="D329" s="28"/>
      <c r="E329" s="66"/>
      <c r="F329" s="66"/>
      <c r="G329" s="66"/>
      <c r="H329" s="66"/>
    </row>
    <row r="330" spans="1:8">
      <c r="A330" s="27"/>
      <c r="C330" s="28"/>
      <c r="D330" s="28"/>
      <c r="E330" s="66"/>
      <c r="F330" s="66"/>
      <c r="G330" s="66"/>
      <c r="H330" s="66"/>
    </row>
    <row r="331" spans="1:8">
      <c r="A331" s="27"/>
      <c r="C331" s="28"/>
      <c r="D331" s="28"/>
      <c r="E331" s="66"/>
      <c r="F331" s="66"/>
      <c r="G331" s="66"/>
      <c r="H331" s="66"/>
    </row>
    <row r="332" spans="1:8">
      <c r="A332" s="27"/>
      <c r="C332" s="28"/>
      <c r="D332" s="28"/>
      <c r="E332" s="66"/>
      <c r="F332" s="66"/>
      <c r="G332" s="66"/>
      <c r="H332" s="66"/>
    </row>
    <row r="333" spans="1:8">
      <c r="A333" s="27"/>
      <c r="C333" s="28"/>
      <c r="D333" s="28"/>
      <c r="E333" s="66"/>
      <c r="F333" s="66"/>
      <c r="G333" s="66"/>
      <c r="H333" s="66"/>
    </row>
    <row r="334" spans="1:8">
      <c r="A334" s="27"/>
      <c r="C334" s="28"/>
      <c r="D334" s="28"/>
      <c r="E334" s="66"/>
      <c r="F334" s="66"/>
      <c r="G334" s="66"/>
      <c r="H334" s="66"/>
    </row>
    <row r="335" spans="1:8">
      <c r="A335" s="27"/>
      <c r="C335" s="28"/>
      <c r="D335" s="28"/>
      <c r="E335" s="66"/>
      <c r="F335" s="66"/>
      <c r="G335" s="66"/>
      <c r="H335" s="66"/>
    </row>
    <row r="336" spans="1:8">
      <c r="A336" s="27"/>
      <c r="C336" s="28"/>
      <c r="D336" s="28"/>
      <c r="E336" s="66"/>
      <c r="F336" s="66"/>
      <c r="G336" s="66"/>
      <c r="H336" s="66"/>
    </row>
    <row r="337" spans="1:8">
      <c r="A337" s="27"/>
      <c r="C337" s="28"/>
      <c r="D337" s="28"/>
      <c r="E337" s="66"/>
      <c r="F337" s="66"/>
      <c r="G337" s="66"/>
      <c r="H337" s="66"/>
    </row>
    <row r="338" spans="1:8">
      <c r="A338" s="27"/>
      <c r="C338" s="28"/>
      <c r="D338" s="28"/>
      <c r="E338" s="66"/>
      <c r="F338" s="66"/>
      <c r="G338" s="66"/>
      <c r="H338" s="66"/>
    </row>
    <row r="339" spans="1:8">
      <c r="A339" s="27"/>
      <c r="C339" s="28"/>
      <c r="D339" s="28"/>
      <c r="E339" s="66"/>
      <c r="F339" s="66"/>
      <c r="G339" s="66"/>
      <c r="H339" s="66"/>
    </row>
    <row r="340" spans="1:8">
      <c r="A340" s="27"/>
      <c r="C340" s="28"/>
      <c r="D340" s="28"/>
      <c r="E340" s="66"/>
      <c r="F340" s="66"/>
      <c r="G340" s="66"/>
      <c r="H340" s="66"/>
    </row>
    <row r="341" spans="1:8">
      <c r="A341" s="27"/>
      <c r="C341" s="28"/>
      <c r="D341" s="28"/>
      <c r="E341" s="66"/>
      <c r="F341" s="66"/>
      <c r="G341" s="66"/>
      <c r="H341" s="66"/>
    </row>
    <row r="342" spans="1:8">
      <c r="A342" s="27"/>
      <c r="C342" s="28"/>
      <c r="D342" s="28"/>
      <c r="E342" s="66"/>
      <c r="F342" s="66"/>
      <c r="G342" s="66"/>
      <c r="H342" s="66"/>
    </row>
    <row r="343" spans="1:8">
      <c r="A343" s="27"/>
      <c r="C343" s="28"/>
      <c r="D343" s="28"/>
      <c r="E343" s="66"/>
      <c r="F343" s="66"/>
      <c r="G343" s="66"/>
      <c r="H343" s="66"/>
    </row>
    <row r="344" spans="1:8">
      <c r="A344" s="27"/>
      <c r="C344" s="28"/>
      <c r="D344" s="28"/>
      <c r="E344" s="66"/>
      <c r="F344" s="66"/>
      <c r="G344" s="66"/>
      <c r="H344" s="66"/>
    </row>
    <row r="345" spans="1:8">
      <c r="A345" s="27"/>
      <c r="C345" s="28"/>
      <c r="D345" s="28"/>
      <c r="E345" s="66"/>
      <c r="F345" s="66"/>
      <c r="G345" s="66"/>
      <c r="H345" s="66"/>
    </row>
    <row r="346" spans="1:8">
      <c r="A346" s="27"/>
      <c r="C346" s="28"/>
      <c r="D346" s="28"/>
      <c r="E346" s="66"/>
      <c r="F346" s="66"/>
      <c r="G346" s="66"/>
      <c r="H346" s="66"/>
    </row>
    <row r="347" spans="1:8">
      <c r="A347" s="27"/>
      <c r="C347" s="28"/>
      <c r="D347" s="28"/>
      <c r="E347" s="66"/>
      <c r="F347" s="66"/>
      <c r="G347" s="66"/>
      <c r="H347" s="66"/>
    </row>
    <row r="348" spans="1:8">
      <c r="A348" s="27"/>
      <c r="C348" s="28"/>
      <c r="D348" s="28"/>
      <c r="E348" s="66"/>
      <c r="F348" s="66"/>
      <c r="G348" s="66"/>
      <c r="H348" s="66"/>
    </row>
    <row r="349" spans="1:8">
      <c r="A349" s="27"/>
      <c r="C349" s="28"/>
      <c r="D349" s="28"/>
      <c r="E349" s="66"/>
      <c r="F349" s="66"/>
      <c r="G349" s="66"/>
      <c r="H349" s="66"/>
    </row>
    <row r="350" spans="1:8">
      <c r="A350" s="27"/>
      <c r="C350" s="28"/>
      <c r="D350" s="28"/>
      <c r="E350" s="66"/>
      <c r="F350" s="66"/>
      <c r="G350" s="66"/>
      <c r="H350" s="66"/>
    </row>
    <row r="351" spans="1:8">
      <c r="A351" s="27"/>
      <c r="C351" s="28"/>
      <c r="D351" s="28"/>
      <c r="E351" s="66"/>
      <c r="F351" s="66"/>
      <c r="G351" s="66"/>
      <c r="H351" s="66"/>
    </row>
    <row r="352" spans="1:8">
      <c r="A352" s="27"/>
      <c r="C352" s="28"/>
      <c r="D352" s="28"/>
      <c r="E352" s="66"/>
      <c r="F352" s="66"/>
      <c r="G352" s="66"/>
      <c r="H352" s="66"/>
    </row>
    <row r="353" spans="1:8">
      <c r="A353" s="27"/>
      <c r="C353" s="28"/>
      <c r="D353" s="28"/>
      <c r="E353" s="66"/>
      <c r="F353" s="66"/>
      <c r="G353" s="66"/>
      <c r="H353" s="66"/>
    </row>
    <row r="354" spans="1:8">
      <c r="A354" s="27"/>
      <c r="C354" s="28"/>
      <c r="D354" s="28"/>
      <c r="E354" s="66"/>
      <c r="F354" s="66"/>
      <c r="G354" s="66"/>
      <c r="H354" s="66"/>
    </row>
    <row r="355" spans="1:8">
      <c r="A355" s="27"/>
      <c r="C355" s="28"/>
      <c r="D355" s="28"/>
      <c r="E355" s="66"/>
      <c r="F355" s="66"/>
      <c r="G355" s="66"/>
      <c r="H355" s="66"/>
    </row>
    <row r="356" spans="1:8">
      <c r="A356" s="27"/>
      <c r="C356" s="28"/>
      <c r="D356" s="28"/>
      <c r="E356" s="66"/>
      <c r="F356" s="66"/>
      <c r="G356" s="66"/>
      <c r="H356" s="66"/>
    </row>
    <row r="357" spans="1:8">
      <c r="A357" s="27"/>
      <c r="C357" s="28"/>
      <c r="D357" s="28"/>
      <c r="E357" s="66"/>
      <c r="F357" s="66"/>
      <c r="G357" s="66"/>
      <c r="H357" s="66"/>
    </row>
    <row r="358" spans="1:8">
      <c r="A358" s="27"/>
      <c r="C358" s="28"/>
      <c r="D358" s="28"/>
      <c r="E358" s="66"/>
      <c r="F358" s="66"/>
      <c r="G358" s="66"/>
      <c r="H358" s="66"/>
    </row>
    <row r="359" spans="1:8">
      <c r="A359" s="27"/>
      <c r="C359" s="28"/>
      <c r="D359" s="28"/>
      <c r="E359" s="66"/>
      <c r="F359" s="66"/>
      <c r="G359" s="66"/>
      <c r="H359" s="66"/>
    </row>
    <row r="360" spans="1:8">
      <c r="A360" s="27"/>
      <c r="C360" s="28"/>
      <c r="D360" s="28"/>
      <c r="E360" s="66"/>
      <c r="F360" s="66"/>
      <c r="G360" s="66"/>
      <c r="H360" s="66"/>
    </row>
    <row r="361" spans="1:8">
      <c r="A361" s="27"/>
      <c r="C361" s="28"/>
      <c r="D361" s="28"/>
      <c r="E361" s="66"/>
      <c r="F361" s="66"/>
      <c r="G361" s="66"/>
      <c r="H361" s="66"/>
    </row>
    <row r="362" spans="1:8">
      <c r="A362" s="27"/>
      <c r="C362" s="28"/>
      <c r="D362" s="28"/>
      <c r="E362" s="66"/>
      <c r="F362" s="66"/>
      <c r="G362" s="66"/>
      <c r="H362" s="66"/>
    </row>
    <row r="363" spans="1:8">
      <c r="A363" s="27"/>
      <c r="C363" s="28"/>
      <c r="D363" s="28"/>
      <c r="E363" s="66"/>
      <c r="F363" s="66"/>
      <c r="G363" s="66"/>
      <c r="H363" s="66"/>
    </row>
    <row r="364" spans="1:8">
      <c r="A364" s="27"/>
      <c r="C364" s="28"/>
      <c r="D364" s="28"/>
      <c r="E364" s="66"/>
      <c r="F364" s="66"/>
      <c r="G364" s="66"/>
      <c r="H364" s="66"/>
    </row>
    <row r="365" spans="1:8">
      <c r="A365" s="27"/>
      <c r="C365" s="28"/>
      <c r="D365" s="28"/>
      <c r="E365" s="66"/>
      <c r="F365" s="66"/>
      <c r="G365" s="66"/>
      <c r="H365" s="66"/>
    </row>
    <row r="366" spans="1:8">
      <c r="A366" s="27"/>
      <c r="C366" s="28"/>
      <c r="D366" s="28"/>
      <c r="E366" s="66"/>
      <c r="F366" s="66"/>
      <c r="G366" s="66"/>
      <c r="H366" s="66"/>
    </row>
    <row r="367" spans="1:8">
      <c r="A367" s="27"/>
      <c r="C367" s="28"/>
      <c r="D367" s="28"/>
      <c r="E367" s="66"/>
      <c r="F367" s="66"/>
      <c r="G367" s="66"/>
      <c r="H367" s="66"/>
    </row>
    <row r="368" spans="1:8">
      <c r="A368" s="27"/>
      <c r="C368" s="28"/>
      <c r="D368" s="28"/>
      <c r="E368" s="66"/>
      <c r="F368" s="66"/>
      <c r="G368" s="66"/>
      <c r="H368" s="66"/>
    </row>
    <row r="369" spans="1:8">
      <c r="A369" s="27"/>
      <c r="C369" s="28"/>
      <c r="D369" s="28"/>
      <c r="E369" s="66"/>
      <c r="F369" s="66"/>
      <c r="G369" s="66"/>
      <c r="H369" s="66"/>
    </row>
    <row r="370" spans="1:8">
      <c r="A370" s="27"/>
      <c r="C370" s="28"/>
      <c r="D370" s="28"/>
      <c r="E370" s="66"/>
      <c r="F370" s="66"/>
      <c r="G370" s="66"/>
      <c r="H370" s="66"/>
    </row>
    <row r="371" spans="1:8">
      <c r="A371" s="27"/>
      <c r="C371" s="28"/>
      <c r="D371" s="28"/>
      <c r="E371" s="66"/>
      <c r="F371" s="66"/>
      <c r="G371" s="66"/>
      <c r="H371" s="66"/>
    </row>
    <row r="372" spans="1:8">
      <c r="A372" s="27"/>
      <c r="C372" s="28"/>
      <c r="D372" s="28"/>
      <c r="E372" s="66"/>
      <c r="F372" s="66"/>
      <c r="G372" s="66"/>
      <c r="H372" s="66"/>
    </row>
    <row r="373" spans="1:8">
      <c r="A373" s="27"/>
      <c r="C373" s="28"/>
      <c r="D373" s="28"/>
      <c r="E373" s="66"/>
      <c r="F373" s="66"/>
      <c r="G373" s="66"/>
      <c r="H373" s="66"/>
    </row>
    <row r="374" spans="1:8">
      <c r="A374" s="27"/>
      <c r="C374" s="28"/>
      <c r="D374" s="28"/>
      <c r="E374" s="66"/>
      <c r="F374" s="66"/>
      <c r="G374" s="66"/>
      <c r="H374" s="66"/>
    </row>
    <row r="375" spans="1:8">
      <c r="A375" s="27"/>
      <c r="C375" s="28"/>
      <c r="D375" s="28"/>
      <c r="E375" s="66"/>
      <c r="F375" s="66"/>
      <c r="G375" s="66"/>
      <c r="H375" s="66"/>
    </row>
    <row r="376" spans="1:8">
      <c r="A376" s="27"/>
      <c r="C376" s="28"/>
      <c r="D376" s="28"/>
      <c r="E376" s="66"/>
      <c r="F376" s="66"/>
      <c r="G376" s="66"/>
      <c r="H376" s="66"/>
    </row>
    <row r="377" spans="1:8">
      <c r="A377" s="27"/>
      <c r="C377" s="28"/>
      <c r="D377" s="28"/>
      <c r="E377" s="66"/>
      <c r="F377" s="66"/>
      <c r="G377" s="66"/>
      <c r="H377" s="66"/>
    </row>
    <row r="378" spans="1:8">
      <c r="A378" s="27"/>
      <c r="C378" s="28"/>
      <c r="D378" s="28"/>
      <c r="E378" s="66"/>
      <c r="F378" s="66"/>
      <c r="G378" s="66"/>
      <c r="H378" s="66"/>
    </row>
    <row r="379" spans="1:8">
      <c r="A379" s="27"/>
      <c r="C379" s="28"/>
      <c r="D379" s="28"/>
      <c r="E379" s="66"/>
      <c r="F379" s="66"/>
      <c r="G379" s="66"/>
      <c r="H379" s="66"/>
    </row>
    <row r="380" spans="1:8">
      <c r="A380" s="27"/>
      <c r="C380" s="28"/>
      <c r="D380" s="28"/>
      <c r="E380" s="66"/>
      <c r="F380" s="66"/>
      <c r="G380" s="66"/>
      <c r="H380" s="66"/>
    </row>
    <row r="381" spans="1:8">
      <c r="A381" s="27"/>
      <c r="C381" s="28"/>
      <c r="D381" s="28"/>
      <c r="E381" s="66"/>
      <c r="F381" s="66"/>
      <c r="G381" s="66"/>
      <c r="H381" s="66"/>
    </row>
    <row r="382" spans="1:8">
      <c r="A382" s="27"/>
      <c r="C382" s="28"/>
      <c r="D382" s="28"/>
      <c r="E382" s="66"/>
      <c r="F382" s="66"/>
      <c r="G382" s="66"/>
      <c r="H382" s="66"/>
    </row>
    <row r="383" spans="1:8">
      <c r="A383" s="27"/>
      <c r="C383" s="28"/>
      <c r="D383" s="28"/>
      <c r="E383" s="66"/>
      <c r="F383" s="66"/>
      <c r="G383" s="66"/>
      <c r="H383" s="66"/>
    </row>
    <row r="384" spans="1:8">
      <c r="A384" s="27"/>
      <c r="C384" s="28"/>
      <c r="D384" s="28"/>
      <c r="E384" s="66"/>
      <c r="F384" s="66"/>
      <c r="G384" s="66"/>
      <c r="H384" s="66"/>
    </row>
    <row r="385" spans="1:8">
      <c r="A385" s="27"/>
      <c r="C385" s="28"/>
      <c r="D385" s="28"/>
      <c r="E385" s="66"/>
      <c r="F385" s="66"/>
      <c r="G385" s="66"/>
      <c r="H385" s="66"/>
    </row>
    <row r="386" spans="1:8">
      <c r="A386" s="27"/>
      <c r="C386" s="28"/>
      <c r="D386" s="28"/>
      <c r="E386" s="66"/>
      <c r="F386" s="66"/>
      <c r="G386" s="66"/>
      <c r="H386" s="66"/>
    </row>
    <row r="387" spans="1:8">
      <c r="A387" s="27"/>
      <c r="C387" s="28"/>
      <c r="D387" s="28"/>
      <c r="E387" s="66"/>
      <c r="F387" s="66"/>
      <c r="G387" s="66"/>
      <c r="H387" s="66"/>
    </row>
    <row r="388" spans="1:8">
      <c r="A388" s="27"/>
      <c r="C388" s="28"/>
      <c r="D388" s="28"/>
      <c r="E388" s="66"/>
      <c r="F388" s="66"/>
      <c r="G388" s="66"/>
      <c r="H388" s="66"/>
    </row>
    <row r="389" spans="1:8">
      <c r="A389" s="27"/>
      <c r="C389" s="28"/>
      <c r="D389" s="28"/>
      <c r="E389" s="66"/>
      <c r="F389" s="66"/>
      <c r="G389" s="66"/>
      <c r="H389" s="66"/>
    </row>
    <row r="390" spans="1:8">
      <c r="A390" s="27"/>
      <c r="C390" s="28"/>
      <c r="D390" s="28"/>
      <c r="E390" s="66"/>
      <c r="F390" s="66"/>
      <c r="G390" s="66"/>
      <c r="H390" s="66"/>
    </row>
    <row r="391" spans="1:8">
      <c r="A391" s="27"/>
      <c r="C391" s="28"/>
      <c r="D391" s="28"/>
      <c r="E391" s="66"/>
      <c r="F391" s="66"/>
      <c r="G391" s="66"/>
      <c r="H391" s="66"/>
    </row>
    <row r="392" spans="1:8">
      <c r="A392" s="27"/>
      <c r="C392" s="28"/>
      <c r="D392" s="28"/>
      <c r="E392" s="66"/>
      <c r="F392" s="66"/>
      <c r="G392" s="66"/>
      <c r="H392" s="66"/>
    </row>
    <row r="393" spans="1:8">
      <c r="A393" s="27"/>
      <c r="C393" s="28"/>
      <c r="D393" s="28"/>
      <c r="E393" s="66"/>
      <c r="F393" s="66"/>
      <c r="G393" s="66"/>
      <c r="H393" s="66"/>
    </row>
    <row r="394" spans="1:8">
      <c r="A394" s="27"/>
      <c r="C394" s="28"/>
      <c r="D394" s="28"/>
      <c r="E394" s="66"/>
      <c r="F394" s="66"/>
      <c r="G394" s="66"/>
      <c r="H394" s="66"/>
    </row>
    <row r="395" spans="1:8">
      <c r="A395" s="27"/>
      <c r="C395" s="28"/>
      <c r="D395" s="28"/>
      <c r="E395" s="66"/>
      <c r="F395" s="66"/>
      <c r="G395" s="66"/>
      <c r="H395" s="66"/>
    </row>
    <row r="396" spans="1:8">
      <c r="A396" s="27"/>
      <c r="C396" s="28"/>
      <c r="D396" s="28"/>
      <c r="E396" s="66"/>
      <c r="F396" s="66"/>
      <c r="G396" s="66"/>
      <c r="H396" s="66"/>
    </row>
    <row r="397" spans="1:8">
      <c r="A397" s="27"/>
      <c r="C397" s="28"/>
      <c r="D397" s="28"/>
      <c r="E397" s="66"/>
      <c r="F397" s="66"/>
      <c r="G397" s="66"/>
      <c r="H397" s="66"/>
    </row>
    <row r="398" spans="1:8">
      <c r="A398" s="27"/>
      <c r="C398" s="28"/>
      <c r="D398" s="28"/>
      <c r="E398" s="66"/>
      <c r="F398" s="66"/>
      <c r="G398" s="66"/>
      <c r="H398" s="66"/>
    </row>
    <row r="399" spans="1:8">
      <c r="A399" s="27"/>
      <c r="C399" s="28"/>
      <c r="D399" s="28"/>
      <c r="E399" s="66"/>
      <c r="F399" s="66"/>
      <c r="G399" s="66"/>
      <c r="H399" s="66"/>
    </row>
    <row r="400" spans="1:8">
      <c r="A400" s="27"/>
      <c r="C400" s="28"/>
      <c r="D400" s="28"/>
      <c r="E400" s="66"/>
      <c r="F400" s="66"/>
      <c r="G400" s="66"/>
      <c r="H400" s="66"/>
    </row>
    <row r="401" spans="1:8">
      <c r="A401" s="27"/>
      <c r="C401" s="28"/>
      <c r="D401" s="28"/>
      <c r="E401" s="66"/>
      <c r="F401" s="66"/>
      <c r="G401" s="66"/>
      <c r="H401" s="66"/>
    </row>
    <row r="402" spans="1:8">
      <c r="A402" s="27"/>
      <c r="C402" s="28"/>
      <c r="D402" s="28"/>
      <c r="E402" s="66"/>
      <c r="F402" s="66"/>
      <c r="G402" s="66"/>
      <c r="H402" s="66"/>
    </row>
    <row r="403" spans="1:8">
      <c r="A403" s="27"/>
      <c r="C403" s="28"/>
      <c r="D403" s="28"/>
      <c r="E403" s="66"/>
      <c r="F403" s="66"/>
      <c r="G403" s="66"/>
      <c r="H403" s="66"/>
    </row>
    <row r="404" spans="1:8">
      <c r="A404" s="27"/>
      <c r="C404" s="28"/>
      <c r="D404" s="28"/>
      <c r="E404" s="66"/>
      <c r="F404" s="66"/>
      <c r="G404" s="66"/>
      <c r="H404" s="66"/>
    </row>
    <row r="405" spans="1:8">
      <c r="A405" s="27"/>
      <c r="C405" s="28"/>
      <c r="D405" s="28"/>
      <c r="E405" s="66"/>
      <c r="F405" s="66"/>
      <c r="G405" s="66"/>
      <c r="H405" s="66"/>
    </row>
    <row r="406" spans="1:8">
      <c r="A406" s="27"/>
      <c r="C406" s="28"/>
      <c r="D406" s="28"/>
      <c r="E406" s="66"/>
      <c r="F406" s="66"/>
      <c r="G406" s="66"/>
      <c r="H406" s="66"/>
    </row>
    <row r="407" spans="1:8">
      <c r="A407" s="27"/>
      <c r="C407" s="28"/>
      <c r="D407" s="28"/>
      <c r="E407" s="66"/>
      <c r="F407" s="66"/>
      <c r="G407" s="66"/>
      <c r="H407" s="66"/>
    </row>
    <row r="408" spans="1:8">
      <c r="A408" s="27"/>
      <c r="C408" s="28"/>
      <c r="D408" s="28"/>
      <c r="E408" s="66"/>
      <c r="F408" s="66"/>
      <c r="G408" s="66"/>
      <c r="H408" s="66"/>
    </row>
    <row r="409" spans="1:8">
      <c r="A409" s="27"/>
      <c r="C409" s="28"/>
      <c r="D409" s="28"/>
      <c r="E409" s="66"/>
      <c r="F409" s="66"/>
      <c r="G409" s="66"/>
      <c r="H409" s="66"/>
    </row>
    <row r="410" spans="1:8">
      <c r="A410" s="27"/>
      <c r="C410" s="28"/>
      <c r="D410" s="28"/>
      <c r="E410" s="66"/>
      <c r="F410" s="66"/>
      <c r="G410" s="66"/>
      <c r="H410" s="66"/>
    </row>
    <row r="411" spans="1:8">
      <c r="A411" s="27"/>
      <c r="C411" s="28"/>
      <c r="D411" s="28"/>
      <c r="E411" s="66"/>
      <c r="F411" s="66"/>
      <c r="G411" s="66"/>
      <c r="H411" s="66"/>
    </row>
    <row r="412" spans="1:8">
      <c r="A412" s="27"/>
      <c r="C412" s="28"/>
      <c r="D412" s="28"/>
      <c r="E412" s="66"/>
      <c r="F412" s="66"/>
      <c r="G412" s="66"/>
      <c r="H412" s="66"/>
    </row>
    <row r="413" spans="1:8">
      <c r="A413" s="27"/>
      <c r="C413" s="28"/>
      <c r="D413" s="28"/>
      <c r="E413" s="66"/>
      <c r="F413" s="66"/>
      <c r="G413" s="66"/>
      <c r="H413" s="66"/>
    </row>
    <row r="414" spans="1:8">
      <c r="A414" s="27"/>
      <c r="C414" s="28"/>
      <c r="D414" s="28"/>
      <c r="E414" s="66"/>
      <c r="F414" s="66"/>
      <c r="G414" s="66"/>
      <c r="H414" s="66"/>
    </row>
    <row r="415" spans="1:8">
      <c r="A415" s="27"/>
      <c r="C415" s="28"/>
      <c r="D415" s="28"/>
      <c r="E415" s="66"/>
      <c r="F415" s="66"/>
      <c r="G415" s="66"/>
      <c r="H415" s="66"/>
    </row>
    <row r="416" spans="1:8">
      <c r="A416" s="27"/>
      <c r="C416" s="28"/>
      <c r="D416" s="28"/>
      <c r="E416" s="66"/>
      <c r="F416" s="66"/>
      <c r="G416" s="66"/>
      <c r="H416" s="66"/>
    </row>
    <row r="417" spans="1:8">
      <c r="A417" s="27"/>
      <c r="C417" s="28"/>
      <c r="D417" s="28"/>
      <c r="E417" s="66"/>
      <c r="F417" s="66"/>
      <c r="G417" s="66"/>
      <c r="H417" s="66"/>
    </row>
    <row r="418" spans="1:8">
      <c r="A418" s="27"/>
      <c r="C418" s="28"/>
      <c r="D418" s="28"/>
      <c r="E418" s="66"/>
      <c r="F418" s="66"/>
      <c r="G418" s="66"/>
      <c r="H418" s="66"/>
    </row>
    <row r="419" spans="1:8">
      <c r="A419" s="27"/>
      <c r="C419" s="28"/>
      <c r="D419" s="28"/>
      <c r="E419" s="66"/>
      <c r="F419" s="66"/>
      <c r="G419" s="66"/>
      <c r="H419" s="66"/>
    </row>
    <row r="420" spans="1:8">
      <c r="A420" s="27"/>
      <c r="C420" s="28"/>
      <c r="D420" s="28"/>
      <c r="E420" s="66"/>
      <c r="F420" s="66"/>
      <c r="G420" s="66"/>
      <c r="H420" s="66"/>
    </row>
    <row r="421" spans="1:8">
      <c r="A421" s="27"/>
      <c r="C421" s="28"/>
      <c r="D421" s="28"/>
      <c r="E421" s="66"/>
      <c r="F421" s="66"/>
      <c r="G421" s="66"/>
      <c r="H421" s="66"/>
    </row>
    <row r="422" spans="1:8">
      <c r="A422" s="27"/>
      <c r="C422" s="28"/>
      <c r="D422" s="28"/>
      <c r="E422" s="66"/>
      <c r="F422" s="66"/>
      <c r="G422" s="66"/>
      <c r="H422" s="66"/>
    </row>
    <row r="423" spans="1:8">
      <c r="A423" s="27"/>
      <c r="C423" s="28"/>
      <c r="D423" s="28"/>
      <c r="E423" s="66"/>
      <c r="F423" s="66"/>
      <c r="G423" s="66"/>
      <c r="H423" s="66"/>
    </row>
    <row r="424" spans="1:8">
      <c r="A424" s="27"/>
      <c r="C424" s="28"/>
      <c r="D424" s="28"/>
      <c r="E424" s="66"/>
      <c r="F424" s="66"/>
      <c r="G424" s="66"/>
      <c r="H424" s="66"/>
    </row>
    <row r="425" spans="1:8">
      <c r="A425" s="27"/>
      <c r="C425" s="28"/>
      <c r="D425" s="28"/>
      <c r="E425" s="66"/>
      <c r="F425" s="66"/>
      <c r="G425" s="66"/>
      <c r="H425" s="66"/>
    </row>
    <row r="426" spans="1:8">
      <c r="A426" s="27"/>
      <c r="C426" s="28"/>
      <c r="D426" s="28"/>
      <c r="E426" s="66"/>
      <c r="F426" s="66"/>
      <c r="G426" s="66"/>
      <c r="H426" s="66"/>
    </row>
    <row r="427" spans="1:8">
      <c r="A427" s="27"/>
      <c r="C427" s="28"/>
      <c r="D427" s="28"/>
      <c r="E427" s="66"/>
      <c r="F427" s="66"/>
      <c r="G427" s="66"/>
      <c r="H427" s="66"/>
    </row>
    <row r="428" spans="1:8">
      <c r="A428" s="27"/>
      <c r="C428" s="28"/>
      <c r="D428" s="28"/>
      <c r="E428" s="66"/>
      <c r="F428" s="66"/>
      <c r="G428" s="66"/>
      <c r="H428" s="66"/>
    </row>
    <row r="429" spans="1:8">
      <c r="A429" s="27"/>
      <c r="C429" s="28"/>
      <c r="D429" s="28"/>
      <c r="E429" s="66"/>
      <c r="F429" s="66"/>
      <c r="G429" s="66"/>
      <c r="H429" s="66"/>
    </row>
    <row r="430" spans="1:8">
      <c r="A430" s="27"/>
      <c r="C430" s="28"/>
      <c r="D430" s="28"/>
      <c r="E430" s="66"/>
      <c r="F430" s="66"/>
      <c r="G430" s="66"/>
      <c r="H430" s="66"/>
    </row>
    <row r="431" spans="1:8">
      <c r="A431" s="27"/>
      <c r="C431" s="28"/>
      <c r="D431" s="28"/>
      <c r="E431" s="66"/>
      <c r="F431" s="66"/>
      <c r="G431" s="66"/>
      <c r="H431" s="66"/>
    </row>
    <row r="432" spans="1:8">
      <c r="A432" s="27"/>
      <c r="C432" s="28"/>
      <c r="D432" s="28"/>
      <c r="E432" s="66"/>
      <c r="F432" s="66"/>
      <c r="G432" s="66"/>
      <c r="H432" s="66"/>
    </row>
    <row r="433" spans="1:8">
      <c r="A433" s="27"/>
      <c r="C433" s="28"/>
      <c r="D433" s="28"/>
      <c r="E433" s="66"/>
      <c r="F433" s="66"/>
      <c r="G433" s="66"/>
      <c r="H433" s="66"/>
    </row>
    <row r="434" spans="1:8">
      <c r="A434" s="27"/>
      <c r="C434" s="28"/>
      <c r="D434" s="28"/>
      <c r="E434" s="66"/>
      <c r="F434" s="66"/>
      <c r="G434" s="66"/>
      <c r="H434" s="66"/>
    </row>
    <row r="435" spans="1:8">
      <c r="A435" s="27"/>
      <c r="C435" s="28"/>
      <c r="D435" s="28"/>
      <c r="E435" s="66"/>
      <c r="F435" s="66"/>
      <c r="G435" s="66"/>
      <c r="H435" s="66"/>
    </row>
    <row r="436" spans="1:8">
      <c r="A436" s="27"/>
      <c r="C436" s="28"/>
      <c r="D436" s="28"/>
      <c r="E436" s="66"/>
      <c r="F436" s="66"/>
      <c r="G436" s="66"/>
      <c r="H436" s="66"/>
    </row>
    <row r="437" spans="1:8">
      <c r="A437" s="27"/>
      <c r="C437" s="28"/>
      <c r="D437" s="28"/>
      <c r="E437" s="66"/>
      <c r="F437" s="66"/>
      <c r="G437" s="66"/>
      <c r="H437" s="66"/>
    </row>
    <row r="438" spans="1:8">
      <c r="A438" s="27"/>
      <c r="C438" s="28"/>
      <c r="D438" s="28"/>
      <c r="E438" s="66"/>
      <c r="F438" s="66"/>
      <c r="G438" s="66"/>
      <c r="H438" s="66"/>
    </row>
    <row r="439" spans="1:8">
      <c r="A439" s="27"/>
      <c r="C439" s="28"/>
      <c r="D439" s="28"/>
      <c r="E439" s="66"/>
      <c r="F439" s="66"/>
      <c r="G439" s="66"/>
      <c r="H439" s="66"/>
    </row>
    <row r="440" spans="1:8">
      <c r="A440" s="27"/>
      <c r="C440" s="28"/>
      <c r="D440" s="28"/>
      <c r="E440" s="66"/>
      <c r="F440" s="66"/>
      <c r="G440" s="66"/>
      <c r="H440" s="66"/>
    </row>
    <row r="441" spans="1:8">
      <c r="A441" s="27"/>
      <c r="C441" s="28"/>
      <c r="D441" s="28"/>
      <c r="E441" s="66"/>
      <c r="F441" s="66"/>
      <c r="G441" s="66"/>
      <c r="H441" s="66"/>
    </row>
    <row r="442" spans="1:8">
      <c r="A442" s="27"/>
      <c r="C442" s="28"/>
      <c r="D442" s="28"/>
      <c r="E442" s="66"/>
      <c r="F442" s="66"/>
      <c r="G442" s="66"/>
      <c r="H442" s="66"/>
    </row>
    <row r="443" spans="1:8">
      <c r="A443" s="27"/>
      <c r="C443" s="28"/>
      <c r="D443" s="28"/>
      <c r="E443" s="66"/>
      <c r="F443" s="66"/>
      <c r="G443" s="66"/>
      <c r="H443" s="66"/>
    </row>
    <row r="444" spans="1:8">
      <c r="A444" s="27"/>
      <c r="C444" s="28"/>
      <c r="D444" s="28"/>
      <c r="E444" s="66"/>
      <c r="F444" s="66"/>
      <c r="G444" s="66"/>
      <c r="H444" s="66"/>
    </row>
    <row r="445" spans="1:8">
      <c r="A445" s="27"/>
      <c r="C445" s="28"/>
      <c r="D445" s="28"/>
      <c r="E445" s="66"/>
      <c r="F445" s="66"/>
      <c r="G445" s="66"/>
      <c r="H445" s="66"/>
    </row>
    <row r="446" spans="1:8">
      <c r="A446" s="27"/>
      <c r="C446" s="28"/>
      <c r="D446" s="28"/>
      <c r="E446" s="66"/>
      <c r="F446" s="66"/>
      <c r="G446" s="66"/>
      <c r="H446" s="66"/>
    </row>
    <row r="447" spans="1:8">
      <c r="A447" s="27"/>
      <c r="C447" s="28"/>
      <c r="D447" s="28"/>
      <c r="E447" s="66"/>
      <c r="F447" s="66"/>
      <c r="G447" s="66"/>
      <c r="H447" s="66"/>
    </row>
    <row r="448" spans="1:8">
      <c r="A448" s="27"/>
      <c r="C448" s="28"/>
      <c r="D448" s="28"/>
      <c r="E448" s="66"/>
      <c r="F448" s="66"/>
      <c r="G448" s="66"/>
      <c r="H448" s="66"/>
    </row>
    <row r="449" spans="1:8">
      <c r="A449" s="27"/>
      <c r="C449" s="28"/>
      <c r="D449" s="28"/>
      <c r="E449" s="66"/>
      <c r="F449" s="66"/>
      <c r="G449" s="66"/>
      <c r="H449" s="66"/>
    </row>
    <row r="450" spans="1:8">
      <c r="A450" s="27"/>
      <c r="C450" s="28"/>
      <c r="D450" s="28"/>
      <c r="E450" s="66"/>
      <c r="F450" s="66"/>
      <c r="G450" s="66"/>
      <c r="H450" s="66"/>
    </row>
    <row r="451" spans="1:8">
      <c r="A451" s="27"/>
      <c r="C451" s="28"/>
      <c r="D451" s="28"/>
      <c r="E451" s="66"/>
      <c r="F451" s="66"/>
      <c r="G451" s="66"/>
      <c r="H451" s="66"/>
    </row>
    <row r="452" spans="1:8">
      <c r="A452" s="27"/>
      <c r="C452" s="28"/>
      <c r="D452" s="28"/>
      <c r="E452" s="66"/>
      <c r="F452" s="66"/>
      <c r="G452" s="66"/>
      <c r="H452" s="66"/>
    </row>
    <row r="453" spans="1:8">
      <c r="A453" s="27"/>
      <c r="C453" s="28"/>
      <c r="D453" s="28"/>
      <c r="E453" s="66"/>
      <c r="F453" s="66"/>
      <c r="G453" s="66"/>
      <c r="H453" s="66"/>
    </row>
    <row r="454" spans="1:8">
      <c r="A454" s="27"/>
      <c r="C454" s="28"/>
      <c r="D454" s="28"/>
      <c r="E454" s="66"/>
      <c r="F454" s="66"/>
      <c r="G454" s="66"/>
      <c r="H454" s="66"/>
    </row>
    <row r="455" spans="1:8">
      <c r="A455" s="27"/>
      <c r="C455" s="28"/>
      <c r="D455" s="28"/>
      <c r="E455" s="66"/>
      <c r="F455" s="66"/>
      <c r="G455" s="66"/>
      <c r="H455" s="66"/>
    </row>
    <row r="456" spans="1:8">
      <c r="A456" s="27"/>
      <c r="C456" s="28"/>
      <c r="D456" s="28"/>
      <c r="E456" s="66"/>
      <c r="F456" s="66"/>
      <c r="G456" s="66"/>
      <c r="H456" s="66"/>
    </row>
    <row r="457" spans="1:8">
      <c r="A457" s="27"/>
      <c r="C457" s="28"/>
      <c r="D457" s="28"/>
      <c r="E457" s="66"/>
      <c r="F457" s="66"/>
      <c r="G457" s="66"/>
      <c r="H457" s="66"/>
    </row>
    <row r="458" spans="1:8">
      <c r="A458" s="27"/>
      <c r="C458" s="28"/>
      <c r="D458" s="28"/>
      <c r="E458" s="66"/>
      <c r="F458" s="66"/>
      <c r="G458" s="66"/>
      <c r="H458" s="66"/>
    </row>
    <row r="459" spans="1:8">
      <c r="A459" s="27"/>
      <c r="C459" s="28"/>
      <c r="D459" s="28"/>
      <c r="E459" s="66"/>
      <c r="F459" s="66"/>
      <c r="G459" s="66"/>
      <c r="H459" s="66"/>
    </row>
    <row r="460" spans="1:8">
      <c r="A460" s="27"/>
      <c r="C460" s="28"/>
      <c r="D460" s="28"/>
      <c r="E460" s="66"/>
      <c r="F460" s="66"/>
      <c r="G460" s="66"/>
      <c r="H460" s="66"/>
    </row>
    <row r="461" spans="1:8">
      <c r="A461" s="27"/>
      <c r="C461" s="28"/>
      <c r="D461" s="28"/>
      <c r="E461" s="66"/>
      <c r="F461" s="66"/>
      <c r="G461" s="66"/>
      <c r="H461" s="66"/>
    </row>
    <row r="462" spans="1:8">
      <c r="A462" s="27"/>
      <c r="C462" s="28"/>
      <c r="D462" s="28"/>
      <c r="E462" s="66"/>
      <c r="F462" s="66"/>
      <c r="G462" s="66"/>
      <c r="H462" s="66"/>
    </row>
    <row r="463" spans="1:8">
      <c r="A463" s="27"/>
      <c r="C463" s="28"/>
      <c r="D463" s="28"/>
      <c r="E463" s="66"/>
      <c r="F463" s="66"/>
      <c r="G463" s="66"/>
      <c r="H463" s="66"/>
    </row>
    <row r="464" spans="1:8">
      <c r="A464" s="27"/>
      <c r="C464" s="28"/>
      <c r="D464" s="28"/>
      <c r="E464" s="66"/>
      <c r="F464" s="66"/>
      <c r="G464" s="66"/>
      <c r="H464" s="66"/>
    </row>
    <row r="465" spans="1:8">
      <c r="A465" s="27"/>
      <c r="C465" s="28"/>
      <c r="D465" s="28"/>
      <c r="E465" s="66"/>
      <c r="F465" s="66"/>
      <c r="G465" s="66"/>
      <c r="H465" s="66"/>
    </row>
    <row r="466" spans="1:8">
      <c r="A466" s="27"/>
      <c r="C466" s="28"/>
      <c r="D466" s="28"/>
      <c r="E466" s="66"/>
      <c r="F466" s="66"/>
      <c r="G466" s="66"/>
      <c r="H466" s="66"/>
    </row>
    <row r="467" spans="1:8">
      <c r="A467" s="27"/>
      <c r="C467" s="28"/>
      <c r="D467" s="28"/>
      <c r="E467" s="66"/>
      <c r="F467" s="66"/>
      <c r="G467" s="66"/>
      <c r="H467" s="66"/>
    </row>
    <row r="468" spans="1:8">
      <c r="A468" s="27"/>
      <c r="C468" s="28"/>
      <c r="D468" s="28"/>
      <c r="E468" s="66"/>
      <c r="F468" s="66"/>
      <c r="G468" s="66"/>
      <c r="H468" s="66"/>
    </row>
    <row r="469" spans="1:8">
      <c r="A469" s="27"/>
      <c r="C469" s="28"/>
      <c r="D469" s="28"/>
      <c r="E469" s="66"/>
      <c r="F469" s="66"/>
      <c r="G469" s="66"/>
      <c r="H469" s="66"/>
    </row>
    <row r="470" spans="1:8">
      <c r="A470" s="27"/>
      <c r="C470" s="28"/>
      <c r="D470" s="28"/>
      <c r="E470" s="66"/>
      <c r="F470" s="66"/>
      <c r="G470" s="66"/>
      <c r="H470" s="66"/>
    </row>
    <row r="471" spans="1:8">
      <c r="A471" s="27"/>
      <c r="C471" s="28"/>
      <c r="D471" s="28"/>
      <c r="E471" s="66"/>
      <c r="F471" s="66"/>
      <c r="G471" s="66"/>
      <c r="H471" s="66"/>
    </row>
    <row r="472" spans="1:8">
      <c r="A472" s="27"/>
      <c r="C472" s="28"/>
      <c r="D472" s="28"/>
      <c r="E472" s="66"/>
      <c r="F472" s="66"/>
      <c r="G472" s="66"/>
      <c r="H472" s="66"/>
    </row>
    <row r="473" spans="1:8">
      <c r="A473" s="27"/>
      <c r="C473" s="28"/>
      <c r="D473" s="28"/>
      <c r="E473" s="66"/>
      <c r="F473" s="66"/>
      <c r="G473" s="66"/>
      <c r="H473" s="66"/>
    </row>
    <row r="474" spans="1:8">
      <c r="A474" s="27"/>
      <c r="C474" s="28"/>
      <c r="D474" s="28"/>
      <c r="E474" s="66"/>
      <c r="F474" s="66"/>
      <c r="G474" s="66"/>
      <c r="H474" s="66"/>
    </row>
    <row r="475" spans="1:8">
      <c r="A475" s="27"/>
      <c r="C475" s="28"/>
      <c r="D475" s="28"/>
      <c r="E475" s="66"/>
      <c r="F475" s="66"/>
      <c r="G475" s="66"/>
      <c r="H475" s="66"/>
    </row>
    <row r="476" spans="1:8">
      <c r="A476" s="27"/>
      <c r="C476" s="28"/>
      <c r="D476" s="28"/>
      <c r="E476" s="66"/>
      <c r="F476" s="66"/>
      <c r="G476" s="66"/>
      <c r="H476" s="66"/>
    </row>
    <row r="477" spans="1:8">
      <c r="A477" s="27"/>
      <c r="C477" s="28"/>
      <c r="D477" s="28"/>
      <c r="E477" s="66"/>
      <c r="F477" s="66"/>
      <c r="G477" s="66"/>
      <c r="H477" s="66"/>
    </row>
    <row r="478" spans="1:8">
      <c r="A478" s="27"/>
      <c r="C478" s="28"/>
      <c r="D478" s="28"/>
      <c r="E478" s="66"/>
      <c r="F478" s="66"/>
      <c r="G478" s="66"/>
      <c r="H478" s="66"/>
    </row>
    <row r="479" spans="1:8">
      <c r="A479" s="27"/>
      <c r="C479" s="28"/>
      <c r="D479" s="28"/>
      <c r="E479" s="66"/>
      <c r="F479" s="66"/>
      <c r="G479" s="66"/>
      <c r="H479" s="66"/>
    </row>
    <row r="480" spans="1:8">
      <c r="A480" s="27"/>
      <c r="C480" s="28"/>
      <c r="D480" s="28"/>
      <c r="E480" s="66"/>
      <c r="F480" s="66"/>
      <c r="G480" s="66"/>
      <c r="H480" s="66"/>
    </row>
    <row r="481" spans="1:8">
      <c r="A481" s="27"/>
      <c r="C481" s="28"/>
      <c r="D481" s="28"/>
      <c r="E481" s="66"/>
      <c r="F481" s="66"/>
      <c r="G481" s="66"/>
      <c r="H481" s="66"/>
    </row>
    <row r="482" spans="1:8">
      <c r="A482" s="27"/>
      <c r="C482" s="28"/>
      <c r="D482" s="28"/>
      <c r="E482" s="66"/>
      <c r="F482" s="66"/>
      <c r="G482" s="66"/>
      <c r="H482" s="66"/>
    </row>
    <row r="483" spans="1:8">
      <c r="A483" s="27"/>
      <c r="C483" s="28"/>
      <c r="D483" s="28"/>
      <c r="E483" s="66"/>
      <c r="F483" s="66"/>
      <c r="G483" s="66"/>
      <c r="H483" s="66"/>
    </row>
    <row r="484" spans="1:8">
      <c r="A484" s="27"/>
      <c r="C484" s="28"/>
      <c r="D484" s="28"/>
      <c r="E484" s="66"/>
      <c r="F484" s="66"/>
      <c r="G484" s="66"/>
      <c r="H484" s="66"/>
    </row>
    <row r="485" spans="1:8">
      <c r="A485" s="27"/>
      <c r="C485" s="28"/>
      <c r="D485" s="28"/>
      <c r="E485" s="66"/>
      <c r="F485" s="66"/>
      <c r="G485" s="66"/>
      <c r="H485" s="66"/>
    </row>
    <row r="486" spans="1:8">
      <c r="A486" s="27"/>
      <c r="C486" s="28"/>
      <c r="D486" s="28"/>
      <c r="E486" s="66"/>
      <c r="F486" s="66"/>
      <c r="G486" s="66"/>
      <c r="H486" s="66"/>
    </row>
    <row r="487" spans="1:8">
      <c r="A487" s="27"/>
      <c r="C487" s="28"/>
      <c r="D487" s="28"/>
      <c r="E487" s="66"/>
      <c r="F487" s="66"/>
      <c r="G487" s="66"/>
      <c r="H487" s="66"/>
    </row>
    <row r="488" spans="1:8">
      <c r="A488" s="27"/>
      <c r="C488" s="28"/>
      <c r="D488" s="28"/>
      <c r="E488" s="66"/>
      <c r="F488" s="66"/>
      <c r="G488" s="66"/>
      <c r="H488" s="66"/>
    </row>
    <row r="489" spans="1:8">
      <c r="A489" s="27"/>
      <c r="C489" s="28"/>
      <c r="D489" s="28"/>
      <c r="E489" s="66"/>
      <c r="F489" s="66"/>
      <c r="G489" s="66"/>
      <c r="H489" s="66"/>
    </row>
    <row r="490" spans="1:8">
      <c r="A490" s="27"/>
      <c r="C490" s="28"/>
      <c r="D490" s="28"/>
      <c r="E490" s="66"/>
      <c r="F490" s="66"/>
      <c r="G490" s="66"/>
      <c r="H490" s="66"/>
    </row>
    <row r="491" spans="1:8">
      <c r="A491" s="27"/>
      <c r="C491" s="28"/>
      <c r="D491" s="28"/>
      <c r="E491" s="66"/>
      <c r="F491" s="66"/>
      <c r="G491" s="66"/>
      <c r="H491" s="66"/>
    </row>
    <row r="492" spans="1:8">
      <c r="A492" s="27"/>
      <c r="C492" s="28"/>
      <c r="D492" s="28"/>
      <c r="E492" s="66"/>
      <c r="F492" s="66"/>
      <c r="G492" s="66"/>
      <c r="H492" s="66"/>
    </row>
    <row r="493" spans="1:8">
      <c r="A493" s="27"/>
      <c r="C493" s="28"/>
      <c r="D493" s="28"/>
      <c r="E493" s="66"/>
      <c r="F493" s="66"/>
      <c r="G493" s="66"/>
      <c r="H493" s="66"/>
    </row>
    <row r="494" spans="1:8">
      <c r="A494" s="27"/>
      <c r="C494" s="28"/>
      <c r="D494" s="28"/>
      <c r="E494" s="66"/>
      <c r="F494" s="66"/>
      <c r="G494" s="66"/>
      <c r="H494" s="66"/>
    </row>
    <row r="495" spans="1:8">
      <c r="A495" s="27"/>
      <c r="C495" s="28"/>
      <c r="D495" s="28"/>
      <c r="E495" s="66"/>
      <c r="F495" s="66"/>
      <c r="G495" s="66"/>
      <c r="H495" s="66"/>
    </row>
    <row r="496" spans="1:8">
      <c r="A496" s="27"/>
      <c r="C496" s="28"/>
      <c r="D496" s="28"/>
      <c r="E496" s="66"/>
      <c r="F496" s="66"/>
      <c r="G496" s="66"/>
      <c r="H496" s="66"/>
    </row>
    <row r="497" spans="1:8">
      <c r="A497" s="27"/>
      <c r="C497" s="28"/>
      <c r="D497" s="28"/>
      <c r="E497" s="66"/>
      <c r="F497" s="66"/>
      <c r="G497" s="66"/>
      <c r="H497" s="66"/>
    </row>
    <row r="498" spans="1:8">
      <c r="A498" s="27"/>
      <c r="C498" s="28"/>
      <c r="D498" s="28"/>
      <c r="E498" s="66"/>
      <c r="F498" s="66"/>
      <c r="G498" s="66"/>
      <c r="H498" s="66"/>
    </row>
    <row r="499" spans="1:8">
      <c r="A499" s="27"/>
      <c r="C499" s="28"/>
      <c r="D499" s="28"/>
      <c r="E499" s="66"/>
      <c r="F499" s="66"/>
      <c r="G499" s="66"/>
      <c r="H499" s="66"/>
    </row>
    <row r="500" spans="1:8">
      <c r="A500" s="27"/>
      <c r="C500" s="28"/>
      <c r="D500" s="28"/>
      <c r="E500" s="66"/>
      <c r="F500" s="66"/>
      <c r="G500" s="66"/>
      <c r="H500" s="66"/>
    </row>
    <row r="501" spans="1:8">
      <c r="A501" s="27"/>
      <c r="C501" s="28"/>
      <c r="D501" s="28"/>
      <c r="E501" s="66"/>
      <c r="F501" s="66"/>
      <c r="G501" s="66"/>
      <c r="H501" s="66"/>
    </row>
    <row r="502" spans="1:8">
      <c r="A502" s="27"/>
      <c r="C502" s="28"/>
      <c r="D502" s="28"/>
      <c r="E502" s="66"/>
      <c r="F502" s="66"/>
      <c r="G502" s="66"/>
      <c r="H502" s="66"/>
    </row>
    <row r="503" spans="1:8">
      <c r="A503" s="27"/>
      <c r="C503" s="28"/>
      <c r="D503" s="28"/>
      <c r="E503" s="66"/>
      <c r="F503" s="66"/>
      <c r="G503" s="66"/>
      <c r="H503" s="66"/>
    </row>
    <row r="504" spans="1:8">
      <c r="A504" s="27"/>
      <c r="C504" s="28"/>
      <c r="D504" s="28"/>
      <c r="E504" s="66"/>
      <c r="F504" s="66"/>
      <c r="G504" s="66"/>
      <c r="H504" s="66"/>
    </row>
    <row r="505" spans="1:8">
      <c r="A505" s="27"/>
      <c r="C505" s="28"/>
      <c r="D505" s="28"/>
      <c r="E505" s="66"/>
      <c r="F505" s="66"/>
      <c r="G505" s="66"/>
      <c r="H505" s="66"/>
    </row>
    <row r="506" spans="1:8">
      <c r="A506" s="27"/>
      <c r="C506" s="28"/>
      <c r="D506" s="28"/>
      <c r="E506" s="66"/>
      <c r="F506" s="66"/>
      <c r="G506" s="66"/>
      <c r="H506" s="66"/>
    </row>
    <row r="507" spans="1:8">
      <c r="A507" s="27"/>
      <c r="C507" s="28"/>
      <c r="D507" s="28"/>
      <c r="E507" s="66"/>
      <c r="F507" s="66"/>
      <c r="G507" s="66"/>
      <c r="H507" s="66"/>
    </row>
    <row r="508" spans="1:8">
      <c r="A508" s="27"/>
      <c r="C508" s="28"/>
      <c r="D508" s="28"/>
      <c r="E508" s="66"/>
      <c r="F508" s="66"/>
      <c r="G508" s="66"/>
      <c r="H508" s="66"/>
    </row>
    <row r="509" spans="1:8">
      <c r="A509" s="27"/>
      <c r="C509" s="28"/>
      <c r="D509" s="28"/>
      <c r="E509" s="66"/>
      <c r="F509" s="66"/>
      <c r="G509" s="66"/>
      <c r="H509" s="66"/>
    </row>
    <row r="510" spans="1:8">
      <c r="A510" s="27"/>
      <c r="C510" s="28"/>
      <c r="D510" s="28"/>
      <c r="E510" s="66"/>
      <c r="F510" s="66"/>
      <c r="G510" s="66"/>
      <c r="H510" s="66"/>
    </row>
    <row r="511" spans="1:8">
      <c r="A511" s="27"/>
      <c r="C511" s="28"/>
      <c r="D511" s="28"/>
      <c r="E511" s="66"/>
      <c r="F511" s="66"/>
      <c r="G511" s="66"/>
      <c r="H511" s="66"/>
    </row>
    <row r="512" spans="1:8">
      <c r="A512" s="27"/>
      <c r="C512" s="28"/>
      <c r="D512" s="28"/>
      <c r="E512" s="66"/>
      <c r="F512" s="66"/>
      <c r="G512" s="66"/>
      <c r="H512" s="66"/>
    </row>
    <row r="513" spans="1:8">
      <c r="A513" s="27"/>
      <c r="C513" s="28"/>
      <c r="D513" s="28"/>
      <c r="E513" s="66"/>
      <c r="F513" s="66"/>
      <c r="G513" s="66"/>
      <c r="H513" s="66"/>
    </row>
    <row r="514" spans="1:8">
      <c r="A514" s="27"/>
      <c r="C514" s="28"/>
      <c r="D514" s="28"/>
      <c r="E514" s="66"/>
      <c r="F514" s="66"/>
      <c r="G514" s="66"/>
      <c r="H514" s="66"/>
    </row>
    <row r="515" spans="1:8">
      <c r="A515" s="27"/>
      <c r="C515" s="28"/>
      <c r="D515" s="28"/>
      <c r="E515" s="66"/>
      <c r="F515" s="66"/>
      <c r="G515" s="66"/>
      <c r="H515" s="66"/>
    </row>
    <row r="516" spans="1:8">
      <c r="A516" s="27"/>
      <c r="C516" s="28"/>
      <c r="D516" s="28"/>
      <c r="E516" s="66"/>
      <c r="F516" s="66"/>
      <c r="G516" s="66"/>
      <c r="H516" s="66"/>
    </row>
    <row r="517" spans="1:8">
      <c r="A517" s="27"/>
      <c r="C517" s="28"/>
      <c r="D517" s="28"/>
      <c r="E517" s="66"/>
      <c r="F517" s="66"/>
      <c r="G517" s="66"/>
      <c r="H517" s="66"/>
    </row>
    <row r="518" spans="1:8">
      <c r="A518" s="27"/>
      <c r="C518" s="28"/>
      <c r="D518" s="28"/>
      <c r="E518" s="66"/>
      <c r="F518" s="66"/>
      <c r="G518" s="66"/>
      <c r="H518" s="66"/>
    </row>
    <row r="519" spans="1:8">
      <c r="A519" s="27"/>
      <c r="C519" s="28"/>
      <c r="D519" s="28"/>
      <c r="E519" s="66"/>
      <c r="F519" s="66"/>
      <c r="G519" s="66"/>
      <c r="H519" s="66"/>
    </row>
    <row r="520" spans="1:8">
      <c r="A520" s="27"/>
      <c r="C520" s="28"/>
      <c r="D520" s="28"/>
      <c r="E520" s="66"/>
      <c r="F520" s="66"/>
      <c r="G520" s="66"/>
      <c r="H520" s="66"/>
    </row>
    <row r="521" spans="1:8">
      <c r="A521" s="27"/>
      <c r="C521" s="28"/>
      <c r="D521" s="28"/>
      <c r="E521" s="66"/>
      <c r="F521" s="66"/>
      <c r="G521" s="66"/>
      <c r="H521" s="66"/>
    </row>
    <row r="522" spans="1:8">
      <c r="A522" s="27"/>
      <c r="C522" s="28"/>
      <c r="D522" s="28"/>
      <c r="E522" s="66"/>
      <c r="F522" s="66"/>
      <c r="G522" s="66"/>
      <c r="H522" s="66"/>
    </row>
    <row r="523" spans="1:8">
      <c r="A523" s="27"/>
      <c r="C523" s="28"/>
      <c r="D523" s="28"/>
      <c r="E523" s="66"/>
      <c r="F523" s="66"/>
      <c r="G523" s="66"/>
      <c r="H523" s="66"/>
    </row>
    <row r="524" spans="1:8">
      <c r="A524" s="27"/>
      <c r="C524" s="28"/>
      <c r="D524" s="28"/>
      <c r="E524" s="66"/>
      <c r="F524" s="66"/>
      <c r="G524" s="66"/>
      <c r="H524" s="66"/>
    </row>
    <row r="525" spans="1:8">
      <c r="A525" s="27"/>
      <c r="C525" s="28"/>
      <c r="D525" s="28"/>
      <c r="E525" s="66"/>
      <c r="F525" s="66"/>
      <c r="G525" s="66"/>
      <c r="H525" s="66"/>
    </row>
    <row r="526" spans="1:8">
      <c r="A526" s="27"/>
      <c r="C526" s="28"/>
      <c r="D526" s="28"/>
      <c r="E526" s="66"/>
      <c r="F526" s="66"/>
      <c r="G526" s="66"/>
      <c r="H526" s="66"/>
    </row>
    <row r="527" spans="1:8">
      <c r="A527" s="27"/>
      <c r="C527" s="28"/>
      <c r="D527" s="28"/>
      <c r="E527" s="66"/>
      <c r="F527" s="66"/>
      <c r="G527" s="66"/>
      <c r="H527" s="66"/>
    </row>
    <row r="528" spans="1:8">
      <c r="A528" s="27"/>
      <c r="C528" s="28"/>
      <c r="D528" s="28"/>
      <c r="E528" s="66"/>
      <c r="F528" s="66"/>
      <c r="G528" s="66"/>
      <c r="H528" s="66"/>
    </row>
    <row r="529" spans="1:8">
      <c r="A529" s="27"/>
      <c r="C529" s="28"/>
      <c r="D529" s="28"/>
      <c r="E529" s="66"/>
      <c r="F529" s="66"/>
      <c r="G529" s="66"/>
      <c r="H529" s="66"/>
    </row>
    <row r="530" spans="1:8">
      <c r="A530" s="27"/>
      <c r="C530" s="28"/>
      <c r="D530" s="28"/>
      <c r="E530" s="66"/>
      <c r="F530" s="66"/>
      <c r="G530" s="66"/>
      <c r="H530" s="66"/>
    </row>
    <row r="531" spans="1:8">
      <c r="A531" s="27"/>
      <c r="C531" s="28"/>
      <c r="D531" s="28"/>
      <c r="E531" s="66"/>
      <c r="F531" s="66"/>
      <c r="G531" s="66"/>
      <c r="H531" s="66"/>
    </row>
    <row r="532" spans="1:8">
      <c r="A532" s="27"/>
      <c r="C532" s="28"/>
      <c r="D532" s="28"/>
      <c r="E532" s="66"/>
      <c r="F532" s="66"/>
      <c r="G532" s="66"/>
      <c r="H532" s="66"/>
    </row>
    <row r="533" spans="1:8">
      <c r="A533" s="27"/>
      <c r="C533" s="28"/>
      <c r="D533" s="28"/>
      <c r="E533" s="66"/>
      <c r="F533" s="66"/>
      <c r="G533" s="66"/>
      <c r="H533" s="66"/>
    </row>
    <row r="534" spans="1:8">
      <c r="A534" s="27"/>
      <c r="C534" s="28"/>
      <c r="D534" s="28"/>
      <c r="E534" s="66"/>
      <c r="F534" s="66"/>
      <c r="G534" s="66"/>
      <c r="H534" s="66"/>
    </row>
    <row r="535" spans="1:8">
      <c r="A535" s="27"/>
      <c r="C535" s="28"/>
      <c r="D535" s="28"/>
      <c r="E535" s="66"/>
      <c r="F535" s="66"/>
      <c r="G535" s="66"/>
      <c r="H535" s="66"/>
    </row>
    <row r="536" spans="1:8">
      <c r="A536" s="27"/>
      <c r="C536" s="28"/>
      <c r="D536" s="28"/>
      <c r="E536" s="66"/>
      <c r="F536" s="66"/>
      <c r="G536" s="66"/>
      <c r="H536" s="66"/>
    </row>
    <row r="537" spans="1:8">
      <c r="A537" s="27"/>
      <c r="C537" s="28"/>
      <c r="D537" s="28"/>
      <c r="E537" s="66"/>
      <c r="F537" s="66"/>
      <c r="G537" s="66"/>
      <c r="H537" s="66"/>
    </row>
    <row r="538" spans="1:8">
      <c r="A538" s="27"/>
      <c r="C538" s="28"/>
      <c r="D538" s="28"/>
      <c r="E538" s="66"/>
      <c r="F538" s="66"/>
      <c r="G538" s="66"/>
      <c r="H538" s="66"/>
    </row>
    <row r="539" spans="1:8">
      <c r="A539" s="27"/>
      <c r="C539" s="28"/>
      <c r="D539" s="28"/>
      <c r="E539" s="66"/>
      <c r="F539" s="66"/>
      <c r="G539" s="66"/>
      <c r="H539" s="66"/>
    </row>
    <row r="540" spans="1:8">
      <c r="A540" s="27"/>
      <c r="C540" s="28"/>
      <c r="D540" s="28"/>
      <c r="E540" s="66"/>
      <c r="F540" s="66"/>
      <c r="G540" s="66"/>
      <c r="H540" s="66"/>
    </row>
    <row r="541" spans="1:8">
      <c r="A541" s="27"/>
      <c r="C541" s="28"/>
      <c r="D541" s="28"/>
      <c r="E541" s="66"/>
      <c r="F541" s="66"/>
      <c r="G541" s="66"/>
      <c r="H541" s="66"/>
    </row>
    <row r="542" spans="1:8">
      <c r="A542" s="27"/>
      <c r="C542" s="28"/>
      <c r="D542" s="28"/>
      <c r="E542" s="66"/>
      <c r="F542" s="66"/>
      <c r="G542" s="66"/>
      <c r="H542" s="66"/>
    </row>
    <row r="543" spans="1:8">
      <c r="A543" s="27"/>
      <c r="C543" s="28"/>
      <c r="D543" s="28"/>
      <c r="E543" s="66"/>
      <c r="F543" s="66"/>
      <c r="G543" s="66"/>
      <c r="H543" s="66"/>
    </row>
    <row r="544" spans="1:8">
      <c r="A544" s="27"/>
      <c r="C544" s="28"/>
      <c r="D544" s="28"/>
      <c r="E544" s="66"/>
      <c r="F544" s="66"/>
      <c r="G544" s="66"/>
      <c r="H544" s="66"/>
    </row>
    <row r="545" spans="1:8">
      <c r="A545" s="27"/>
      <c r="C545" s="28"/>
      <c r="D545" s="28"/>
      <c r="E545" s="66"/>
      <c r="F545" s="66"/>
      <c r="G545" s="66"/>
      <c r="H545" s="66"/>
    </row>
    <row r="546" spans="1:8">
      <c r="A546" s="27"/>
      <c r="C546" s="28"/>
      <c r="D546" s="28"/>
      <c r="E546" s="66"/>
      <c r="F546" s="66"/>
      <c r="G546" s="66"/>
      <c r="H546" s="66"/>
    </row>
    <row r="547" spans="1:8">
      <c r="A547" s="27"/>
      <c r="C547" s="28"/>
      <c r="D547" s="28"/>
      <c r="E547" s="66"/>
      <c r="F547" s="66"/>
      <c r="G547" s="66"/>
      <c r="H547" s="66"/>
    </row>
    <row r="548" spans="1:8">
      <c r="A548" s="27"/>
      <c r="C548" s="28"/>
      <c r="D548" s="28"/>
      <c r="E548" s="66"/>
      <c r="F548" s="66"/>
      <c r="G548" s="66"/>
      <c r="H548" s="66"/>
    </row>
    <row r="549" spans="1:8">
      <c r="A549" s="27"/>
      <c r="C549" s="28"/>
      <c r="D549" s="28"/>
      <c r="E549" s="66"/>
      <c r="F549" s="66"/>
      <c r="G549" s="66"/>
      <c r="H549" s="66"/>
    </row>
    <row r="550" spans="1:8">
      <c r="A550" s="27"/>
      <c r="C550" s="28"/>
      <c r="D550" s="28"/>
      <c r="E550" s="66"/>
      <c r="F550" s="66"/>
      <c r="G550" s="66"/>
      <c r="H550" s="66"/>
    </row>
    <row r="551" spans="1:8">
      <c r="A551" s="27"/>
      <c r="C551" s="28"/>
      <c r="D551" s="28"/>
      <c r="E551" s="66"/>
      <c r="F551" s="66"/>
      <c r="G551" s="66"/>
      <c r="H551" s="66"/>
    </row>
    <row r="552" spans="1:8">
      <c r="A552" s="27"/>
      <c r="C552" s="28"/>
      <c r="D552" s="28"/>
      <c r="E552" s="66"/>
      <c r="F552" s="66"/>
      <c r="G552" s="66"/>
      <c r="H552" s="66"/>
    </row>
    <row r="553" spans="1:8">
      <c r="A553" s="27"/>
      <c r="C553" s="28"/>
      <c r="D553" s="28"/>
      <c r="E553" s="66"/>
      <c r="F553" s="66"/>
      <c r="G553" s="66"/>
      <c r="H553" s="66"/>
    </row>
    <row r="554" spans="1:8">
      <c r="A554" s="27"/>
      <c r="C554" s="28"/>
      <c r="D554" s="28"/>
      <c r="E554" s="66"/>
      <c r="F554" s="66"/>
      <c r="G554" s="66"/>
      <c r="H554" s="66"/>
    </row>
    <row r="555" spans="1:8">
      <c r="A555" s="27"/>
      <c r="C555" s="28"/>
      <c r="D555" s="28"/>
      <c r="E555" s="66"/>
      <c r="F555" s="66"/>
      <c r="G555" s="66"/>
      <c r="H555" s="66"/>
    </row>
    <row r="556" spans="1:8">
      <c r="A556" s="27"/>
      <c r="C556" s="28"/>
      <c r="D556" s="28"/>
      <c r="E556" s="66"/>
      <c r="F556" s="66"/>
      <c r="G556" s="66"/>
      <c r="H556" s="66"/>
    </row>
    <row r="557" spans="1:8">
      <c r="A557" s="27"/>
      <c r="C557" s="28"/>
      <c r="D557" s="28"/>
      <c r="E557" s="66"/>
      <c r="F557" s="66"/>
      <c r="G557" s="66"/>
      <c r="H557" s="66"/>
    </row>
    <row r="558" spans="1:8">
      <c r="A558" s="27"/>
      <c r="C558" s="28"/>
      <c r="D558" s="28"/>
      <c r="E558" s="66"/>
      <c r="F558" s="66"/>
      <c r="G558" s="66"/>
      <c r="H558" s="66"/>
    </row>
    <row r="559" spans="1:8">
      <c r="A559" s="27"/>
      <c r="C559" s="28"/>
      <c r="D559" s="28"/>
      <c r="E559" s="66"/>
      <c r="F559" s="66"/>
      <c r="G559" s="66"/>
      <c r="H559" s="66"/>
    </row>
    <row r="560" spans="1:8">
      <c r="A560" s="27"/>
      <c r="C560" s="28"/>
      <c r="D560" s="28"/>
      <c r="E560" s="66"/>
      <c r="F560" s="66"/>
      <c r="G560" s="66"/>
      <c r="H560" s="66"/>
    </row>
    <row r="561" spans="1:8">
      <c r="A561" s="27"/>
      <c r="C561" s="28"/>
      <c r="D561" s="28"/>
      <c r="E561" s="66"/>
      <c r="F561" s="66"/>
      <c r="G561" s="66"/>
      <c r="H561" s="66"/>
    </row>
    <row r="562" spans="1:8">
      <c r="A562" s="27"/>
      <c r="C562" s="28"/>
      <c r="D562" s="28"/>
      <c r="E562" s="66"/>
      <c r="F562" s="66"/>
      <c r="G562" s="66"/>
      <c r="H562" s="66"/>
    </row>
    <row r="563" spans="1:8">
      <c r="A563" s="27"/>
      <c r="C563" s="28"/>
      <c r="D563" s="28"/>
      <c r="E563" s="66"/>
      <c r="F563" s="66"/>
      <c r="G563" s="66"/>
      <c r="H563" s="66"/>
    </row>
    <row r="564" spans="1:8">
      <c r="A564" s="27"/>
      <c r="C564" s="28"/>
      <c r="D564" s="28"/>
      <c r="E564" s="66"/>
      <c r="F564" s="66"/>
      <c r="G564" s="66"/>
      <c r="H564" s="66"/>
    </row>
    <row r="565" spans="1:8">
      <c r="A565" s="27"/>
      <c r="C565" s="28"/>
      <c r="D565" s="28"/>
      <c r="E565" s="66"/>
      <c r="F565" s="66"/>
      <c r="G565" s="66"/>
      <c r="H565" s="66"/>
    </row>
    <row r="566" spans="1:8">
      <c r="A566" s="27"/>
      <c r="C566" s="28"/>
      <c r="D566" s="28"/>
      <c r="E566" s="66"/>
      <c r="F566" s="66"/>
      <c r="G566" s="66"/>
      <c r="H566" s="66"/>
    </row>
    <row r="567" spans="1:8">
      <c r="A567" s="27"/>
      <c r="C567" s="28"/>
      <c r="D567" s="28"/>
      <c r="E567" s="66"/>
      <c r="F567" s="66"/>
      <c r="G567" s="66"/>
      <c r="H567" s="66"/>
    </row>
    <row r="568" spans="1:8">
      <c r="A568" s="27"/>
      <c r="C568" s="28"/>
      <c r="D568" s="28"/>
      <c r="E568" s="66"/>
      <c r="F568" s="66"/>
      <c r="G568" s="66"/>
      <c r="H568" s="66"/>
    </row>
    <row r="569" spans="1:8">
      <c r="A569" s="27"/>
      <c r="C569" s="28"/>
      <c r="D569" s="28"/>
      <c r="E569" s="66"/>
      <c r="F569" s="66"/>
      <c r="G569" s="66"/>
      <c r="H569" s="66"/>
    </row>
    <row r="570" spans="1:8">
      <c r="A570" s="27"/>
      <c r="C570" s="28"/>
      <c r="D570" s="28"/>
      <c r="E570" s="66"/>
      <c r="F570" s="66"/>
      <c r="G570" s="66"/>
      <c r="H570" s="66"/>
    </row>
    <row r="571" spans="1:8">
      <c r="A571" s="27"/>
      <c r="C571" s="28"/>
      <c r="D571" s="28"/>
      <c r="E571" s="66"/>
      <c r="F571" s="66"/>
      <c r="G571" s="66"/>
      <c r="H571" s="66"/>
    </row>
    <row r="572" spans="1:8">
      <c r="A572" s="27"/>
      <c r="C572" s="28"/>
      <c r="D572" s="28"/>
      <c r="E572" s="66"/>
      <c r="F572" s="66"/>
      <c r="G572" s="66"/>
      <c r="H572" s="66"/>
    </row>
    <row r="573" spans="1:8">
      <c r="A573" s="27"/>
      <c r="C573" s="28"/>
      <c r="D573" s="28"/>
      <c r="E573" s="66"/>
      <c r="F573" s="66"/>
      <c r="G573" s="66"/>
      <c r="H573" s="66"/>
    </row>
    <row r="574" spans="1:8">
      <c r="A574" s="27"/>
      <c r="C574" s="28"/>
      <c r="D574" s="28"/>
      <c r="E574" s="66"/>
      <c r="F574" s="66"/>
      <c r="G574" s="66"/>
      <c r="H574" s="66"/>
    </row>
    <row r="575" spans="1:8">
      <c r="A575" s="27"/>
      <c r="C575" s="28"/>
      <c r="D575" s="28"/>
      <c r="E575" s="66"/>
      <c r="F575" s="66"/>
      <c r="G575" s="66"/>
      <c r="H575" s="66"/>
    </row>
    <row r="576" spans="1:8">
      <c r="A576" s="27"/>
      <c r="C576" s="28"/>
      <c r="D576" s="28"/>
      <c r="E576" s="66"/>
      <c r="F576" s="66"/>
      <c r="G576" s="66"/>
      <c r="H576" s="66"/>
    </row>
    <row r="577" spans="1:8">
      <c r="A577" s="27"/>
      <c r="C577" s="28"/>
      <c r="D577" s="28"/>
      <c r="E577" s="66"/>
      <c r="F577" s="66"/>
      <c r="G577" s="66"/>
      <c r="H577" s="66"/>
    </row>
    <row r="578" spans="1:8">
      <c r="A578" s="27"/>
      <c r="C578" s="28"/>
      <c r="D578" s="28"/>
      <c r="E578" s="66"/>
      <c r="F578" s="66"/>
      <c r="G578" s="66"/>
      <c r="H578" s="66"/>
    </row>
    <row r="579" spans="1:8">
      <c r="A579" s="27"/>
      <c r="C579" s="28"/>
      <c r="D579" s="28"/>
      <c r="E579" s="66"/>
      <c r="F579" s="66"/>
      <c r="G579" s="66"/>
      <c r="H579" s="66"/>
    </row>
    <row r="580" spans="1:8">
      <c r="A580" s="27"/>
      <c r="C580" s="28"/>
      <c r="D580" s="28"/>
      <c r="E580" s="66"/>
      <c r="F580" s="66"/>
      <c r="G580" s="66"/>
      <c r="H580" s="66"/>
    </row>
    <row r="581" spans="1:8">
      <c r="A581" s="27"/>
      <c r="C581" s="28"/>
      <c r="D581" s="28"/>
      <c r="E581" s="66"/>
      <c r="F581" s="66"/>
      <c r="G581" s="66"/>
      <c r="H581" s="66"/>
    </row>
    <row r="582" spans="1:8">
      <c r="A582" s="27"/>
      <c r="C582" s="28"/>
      <c r="D582" s="28"/>
      <c r="E582" s="66"/>
      <c r="F582" s="66"/>
      <c r="G582" s="66"/>
      <c r="H582" s="66"/>
    </row>
    <row r="583" spans="1:8">
      <c r="A583" s="27"/>
      <c r="C583" s="28"/>
      <c r="D583" s="28"/>
      <c r="E583" s="66"/>
      <c r="F583" s="66"/>
      <c r="G583" s="66"/>
      <c r="H583" s="66"/>
    </row>
    <row r="584" spans="1:8">
      <c r="A584" s="27"/>
      <c r="C584" s="28"/>
      <c r="D584" s="28"/>
      <c r="E584" s="66"/>
      <c r="F584" s="66"/>
      <c r="G584" s="66"/>
      <c r="H584" s="66"/>
    </row>
    <row r="585" spans="1:8">
      <c r="A585" s="27"/>
      <c r="C585" s="28"/>
      <c r="D585" s="28"/>
      <c r="E585" s="66"/>
      <c r="F585" s="66"/>
      <c r="G585" s="66"/>
      <c r="H585" s="66"/>
    </row>
    <row r="586" spans="1:8">
      <c r="A586" s="27"/>
      <c r="C586" s="28"/>
      <c r="D586" s="28"/>
      <c r="E586" s="66"/>
      <c r="F586" s="66"/>
      <c r="G586" s="66"/>
      <c r="H586" s="66"/>
    </row>
    <row r="587" spans="1:8">
      <c r="A587" s="27"/>
      <c r="C587" s="28"/>
      <c r="D587" s="28"/>
      <c r="E587" s="66"/>
      <c r="F587" s="66"/>
      <c r="G587" s="66"/>
      <c r="H587" s="66"/>
    </row>
    <row r="588" spans="1:8">
      <c r="A588" s="27"/>
      <c r="C588" s="28"/>
      <c r="D588" s="28"/>
      <c r="E588" s="66"/>
      <c r="F588" s="66"/>
      <c r="G588" s="66"/>
      <c r="H588" s="66"/>
    </row>
    <row r="589" spans="1:8">
      <c r="A589" s="27"/>
      <c r="C589" s="28"/>
      <c r="D589" s="28"/>
      <c r="E589" s="66"/>
      <c r="F589" s="66"/>
      <c r="G589" s="66"/>
      <c r="H589" s="66"/>
    </row>
    <row r="590" spans="1:8">
      <c r="A590" s="27"/>
      <c r="C590" s="28"/>
      <c r="D590" s="28"/>
      <c r="E590" s="66"/>
      <c r="F590" s="66"/>
      <c r="G590" s="66"/>
      <c r="H590" s="66"/>
    </row>
    <row r="591" spans="1:8">
      <c r="A591" s="27"/>
      <c r="C591" s="28"/>
      <c r="D591" s="28"/>
      <c r="E591" s="66"/>
      <c r="F591" s="66"/>
      <c r="G591" s="66"/>
      <c r="H591" s="66"/>
    </row>
    <row r="592" spans="1:8">
      <c r="A592" s="27"/>
      <c r="C592" s="28"/>
      <c r="D592" s="28"/>
      <c r="E592" s="66"/>
      <c r="F592" s="66"/>
      <c r="G592" s="66"/>
      <c r="H592" s="66"/>
    </row>
    <row r="593" spans="1:8">
      <c r="A593" s="27"/>
      <c r="C593" s="28"/>
      <c r="D593" s="28"/>
      <c r="E593" s="66"/>
      <c r="F593" s="66"/>
      <c r="G593" s="66"/>
      <c r="H593" s="66"/>
    </row>
    <row r="594" spans="1:8">
      <c r="A594" s="27"/>
      <c r="C594" s="28"/>
      <c r="D594" s="28"/>
      <c r="E594" s="66"/>
      <c r="F594" s="66"/>
      <c r="G594" s="66"/>
      <c r="H594" s="66"/>
    </row>
    <row r="595" spans="1:8">
      <c r="A595" s="27"/>
      <c r="C595" s="28"/>
      <c r="D595" s="28"/>
      <c r="E595" s="66"/>
      <c r="F595" s="66"/>
      <c r="G595" s="66"/>
      <c r="H595" s="66"/>
    </row>
    <row r="596" spans="1:8">
      <c r="A596" s="27"/>
      <c r="C596" s="28"/>
      <c r="D596" s="28"/>
      <c r="E596" s="66"/>
      <c r="F596" s="66"/>
      <c r="G596" s="66"/>
      <c r="H596" s="66"/>
    </row>
    <row r="597" spans="1:8">
      <c r="A597" s="27"/>
      <c r="C597" s="28"/>
      <c r="D597" s="28"/>
      <c r="E597" s="66"/>
      <c r="F597" s="66"/>
      <c r="G597" s="66"/>
      <c r="H597" s="66"/>
    </row>
    <row r="598" spans="1:8">
      <c r="A598" s="27"/>
      <c r="C598" s="28"/>
      <c r="D598" s="28"/>
      <c r="E598" s="66"/>
      <c r="F598" s="66"/>
      <c r="G598" s="66"/>
      <c r="H598" s="66"/>
    </row>
    <row r="599" spans="1:8">
      <c r="A599" s="27"/>
      <c r="C599" s="28"/>
      <c r="D599" s="28"/>
      <c r="E599" s="66"/>
      <c r="F599" s="66"/>
      <c r="G599" s="66"/>
      <c r="H599" s="66"/>
    </row>
    <row r="600" spans="1:8">
      <c r="A600" s="27"/>
      <c r="C600" s="28"/>
      <c r="D600" s="28"/>
      <c r="E600" s="66"/>
      <c r="F600" s="66"/>
      <c r="G600" s="66"/>
      <c r="H600" s="66"/>
    </row>
    <row r="601" spans="1:8">
      <c r="A601" s="27"/>
      <c r="C601" s="28"/>
      <c r="D601" s="28"/>
      <c r="E601" s="66"/>
      <c r="F601" s="66"/>
      <c r="G601" s="66"/>
      <c r="H601" s="66"/>
    </row>
    <row r="602" spans="1:8">
      <c r="A602" s="27"/>
      <c r="C602" s="28"/>
      <c r="D602" s="28"/>
      <c r="E602" s="66"/>
      <c r="F602" s="66"/>
      <c r="G602" s="66"/>
      <c r="H602" s="66"/>
    </row>
    <row r="603" spans="1:8">
      <c r="A603" s="27"/>
      <c r="C603" s="28"/>
      <c r="D603" s="28"/>
      <c r="E603" s="66"/>
      <c r="F603" s="66"/>
      <c r="G603" s="66"/>
      <c r="H603" s="66"/>
    </row>
    <row r="604" spans="1:8">
      <c r="A604" s="27"/>
      <c r="C604" s="28"/>
      <c r="D604" s="28"/>
      <c r="E604" s="66"/>
      <c r="F604" s="66"/>
      <c r="G604" s="66"/>
      <c r="H604" s="66"/>
    </row>
    <row r="605" spans="1:8">
      <c r="A605" s="27"/>
      <c r="C605" s="28"/>
      <c r="D605" s="28"/>
      <c r="E605" s="66"/>
      <c r="F605" s="66"/>
      <c r="G605" s="66"/>
      <c r="H605" s="66"/>
    </row>
    <row r="606" spans="1:8">
      <c r="A606" s="27"/>
      <c r="C606" s="28"/>
      <c r="D606" s="28"/>
      <c r="E606" s="66"/>
      <c r="F606" s="66"/>
      <c r="G606" s="66"/>
      <c r="H606" s="66"/>
    </row>
    <row r="607" spans="1:8">
      <c r="A607" s="27"/>
      <c r="C607" s="28"/>
      <c r="D607" s="28"/>
      <c r="E607" s="66"/>
      <c r="F607" s="66"/>
      <c r="G607" s="66"/>
      <c r="H607" s="66"/>
    </row>
    <row r="608" spans="1:8">
      <c r="A608" s="27"/>
      <c r="C608" s="28"/>
      <c r="D608" s="28"/>
      <c r="E608" s="66"/>
      <c r="F608" s="66"/>
      <c r="G608" s="66"/>
      <c r="H608" s="66"/>
    </row>
    <row r="609" spans="1:8">
      <c r="A609" s="27"/>
      <c r="C609" s="28"/>
      <c r="D609" s="28"/>
      <c r="E609" s="66"/>
      <c r="F609" s="66"/>
      <c r="G609" s="66"/>
      <c r="H609" s="66"/>
    </row>
    <row r="610" spans="1:8">
      <c r="A610" s="27"/>
      <c r="C610" s="28"/>
      <c r="D610" s="28"/>
      <c r="E610" s="66"/>
      <c r="F610" s="66"/>
      <c r="G610" s="66"/>
      <c r="H610" s="66"/>
    </row>
    <row r="611" spans="1:8">
      <c r="A611" s="27"/>
      <c r="C611" s="28"/>
      <c r="D611" s="28"/>
      <c r="E611" s="66"/>
      <c r="F611" s="66"/>
      <c r="G611" s="66"/>
      <c r="H611" s="66"/>
    </row>
    <row r="612" spans="1:8">
      <c r="A612" s="27"/>
      <c r="C612" s="28"/>
      <c r="D612" s="28"/>
      <c r="E612" s="66"/>
      <c r="F612" s="66"/>
      <c r="G612" s="66"/>
      <c r="H612" s="66"/>
    </row>
    <row r="613" spans="1:8">
      <c r="A613" s="27"/>
      <c r="C613" s="28"/>
      <c r="D613" s="28"/>
      <c r="E613" s="66"/>
      <c r="F613" s="66"/>
      <c r="G613" s="66"/>
      <c r="H613" s="66"/>
    </row>
    <row r="614" spans="1:8">
      <c r="A614" s="27"/>
      <c r="C614" s="28"/>
      <c r="D614" s="28"/>
      <c r="E614" s="66"/>
      <c r="F614" s="66"/>
      <c r="G614" s="66"/>
      <c r="H614" s="66"/>
    </row>
    <row r="615" spans="1:8">
      <c r="A615" s="27"/>
      <c r="C615" s="28"/>
      <c r="D615" s="28"/>
      <c r="E615" s="66"/>
      <c r="F615" s="66"/>
      <c r="G615" s="66"/>
      <c r="H615" s="66"/>
    </row>
    <row r="616" spans="1:8">
      <c r="A616" s="27"/>
      <c r="C616" s="28"/>
      <c r="D616" s="28"/>
      <c r="E616" s="66"/>
      <c r="F616" s="66"/>
      <c r="G616" s="66"/>
      <c r="H616" s="66"/>
    </row>
    <row r="617" spans="1:8">
      <c r="A617" s="27"/>
      <c r="C617" s="28"/>
      <c r="D617" s="28"/>
      <c r="E617" s="66"/>
      <c r="F617" s="66"/>
      <c r="G617" s="66"/>
      <c r="H617" s="66"/>
    </row>
    <row r="618" spans="1:8">
      <c r="A618" s="27"/>
      <c r="C618" s="28"/>
      <c r="D618" s="28"/>
      <c r="E618" s="66"/>
      <c r="F618" s="66"/>
      <c r="G618" s="66"/>
      <c r="H618" s="66"/>
    </row>
    <row r="619" spans="1:8">
      <c r="A619" s="27"/>
      <c r="C619" s="28"/>
      <c r="D619" s="28"/>
      <c r="E619" s="66"/>
      <c r="F619" s="66"/>
      <c r="G619" s="66"/>
      <c r="H619" s="66"/>
    </row>
    <row r="620" spans="1:8">
      <c r="A620" s="27"/>
      <c r="C620" s="28"/>
      <c r="D620" s="28"/>
      <c r="E620" s="66"/>
      <c r="F620" s="66"/>
      <c r="G620" s="66"/>
      <c r="H620" s="66"/>
    </row>
    <row r="621" spans="1:8">
      <c r="A621" s="27"/>
      <c r="C621" s="28"/>
      <c r="D621" s="28"/>
      <c r="E621" s="66"/>
      <c r="F621" s="66"/>
      <c r="G621" s="66"/>
      <c r="H621" s="66"/>
    </row>
    <row r="622" spans="1:8">
      <c r="A622" s="27"/>
      <c r="C622" s="28"/>
      <c r="D622" s="28"/>
      <c r="E622" s="66"/>
      <c r="F622" s="66"/>
      <c r="G622" s="66"/>
      <c r="H622" s="66"/>
    </row>
    <row r="623" spans="1:8">
      <c r="A623" s="27"/>
      <c r="C623" s="28"/>
      <c r="D623" s="28"/>
      <c r="E623" s="66"/>
      <c r="F623" s="66"/>
      <c r="G623" s="66"/>
      <c r="H623" s="66"/>
    </row>
    <row r="624" spans="1:8">
      <c r="A624" s="27"/>
      <c r="C624" s="28"/>
      <c r="D624" s="28"/>
      <c r="E624" s="66"/>
      <c r="F624" s="66"/>
      <c r="G624" s="66"/>
      <c r="H624" s="66"/>
    </row>
    <row r="625" spans="1:8">
      <c r="A625" s="27"/>
      <c r="C625" s="28"/>
      <c r="D625" s="28"/>
      <c r="E625" s="66"/>
      <c r="F625" s="66"/>
      <c r="G625" s="66"/>
      <c r="H625" s="66"/>
    </row>
    <row r="626" spans="1:8">
      <c r="A626" s="27"/>
      <c r="C626" s="28"/>
      <c r="D626" s="28"/>
      <c r="E626" s="66"/>
      <c r="F626" s="66"/>
      <c r="G626" s="66"/>
      <c r="H626" s="66"/>
    </row>
    <row r="627" spans="1:8">
      <c r="A627" s="27"/>
      <c r="C627" s="28"/>
      <c r="D627" s="28"/>
      <c r="E627" s="66"/>
      <c r="F627" s="66"/>
      <c r="G627" s="66"/>
      <c r="H627" s="66"/>
    </row>
    <row r="628" spans="1:8">
      <c r="A628" s="27"/>
      <c r="C628" s="28"/>
      <c r="D628" s="28"/>
      <c r="E628" s="66"/>
      <c r="F628" s="66"/>
      <c r="G628" s="66"/>
      <c r="H628" s="66"/>
    </row>
    <row r="629" spans="1:8">
      <c r="A629" s="27"/>
      <c r="C629" s="28"/>
      <c r="D629" s="28"/>
      <c r="E629" s="66"/>
      <c r="F629" s="66"/>
      <c r="G629" s="66"/>
      <c r="H629" s="66"/>
    </row>
    <row r="630" spans="1:8">
      <c r="A630" s="27"/>
      <c r="C630" s="28"/>
      <c r="D630" s="28"/>
      <c r="E630" s="66"/>
      <c r="F630" s="66"/>
      <c r="G630" s="66"/>
      <c r="H630" s="66"/>
    </row>
    <row r="631" spans="1:8">
      <c r="A631" s="27"/>
      <c r="C631" s="28"/>
      <c r="D631" s="28"/>
      <c r="E631" s="66"/>
      <c r="F631" s="66"/>
      <c r="G631" s="66"/>
      <c r="H631" s="66"/>
    </row>
    <row r="632" spans="1:8">
      <c r="A632" s="27"/>
      <c r="C632" s="28"/>
      <c r="D632" s="28"/>
      <c r="E632" s="66"/>
      <c r="F632" s="66"/>
      <c r="G632" s="66"/>
      <c r="H632" s="66"/>
    </row>
    <row r="633" spans="1:8">
      <c r="A633" s="27"/>
      <c r="C633" s="28"/>
      <c r="D633" s="28"/>
      <c r="E633" s="66"/>
      <c r="F633" s="66"/>
      <c r="G633" s="66"/>
      <c r="H633" s="66"/>
    </row>
    <row r="634" spans="1:8">
      <c r="A634" s="27"/>
      <c r="C634" s="28"/>
      <c r="D634" s="28"/>
      <c r="E634" s="66"/>
      <c r="F634" s="66"/>
      <c r="G634" s="66"/>
      <c r="H634" s="66"/>
    </row>
    <row r="635" spans="1:8">
      <c r="A635" s="27"/>
      <c r="C635" s="28"/>
      <c r="D635" s="28"/>
      <c r="E635" s="66"/>
      <c r="F635" s="66"/>
      <c r="G635" s="66"/>
      <c r="H635" s="66"/>
    </row>
    <row r="636" spans="1:8">
      <c r="A636" s="27"/>
      <c r="C636" s="28"/>
      <c r="D636" s="28"/>
      <c r="E636" s="66"/>
      <c r="F636" s="66"/>
      <c r="G636" s="66"/>
      <c r="H636" s="66"/>
    </row>
    <row r="637" spans="1:8">
      <c r="A637" s="27"/>
      <c r="C637" s="28"/>
      <c r="D637" s="28"/>
      <c r="E637" s="66"/>
      <c r="F637" s="66"/>
      <c r="G637" s="66"/>
      <c r="H637" s="66"/>
    </row>
    <row r="638" spans="1:8">
      <c r="A638" s="27"/>
      <c r="C638" s="28"/>
      <c r="D638" s="28"/>
      <c r="E638" s="66"/>
      <c r="F638" s="66"/>
      <c r="G638" s="66"/>
      <c r="H638" s="66"/>
    </row>
    <row r="639" spans="1:8">
      <c r="A639" s="27"/>
      <c r="C639" s="28"/>
      <c r="D639" s="28"/>
      <c r="E639" s="66"/>
      <c r="F639" s="66"/>
      <c r="G639" s="66"/>
      <c r="H639" s="66"/>
    </row>
    <row r="640" spans="1:8">
      <c r="A640" s="27"/>
      <c r="C640" s="28"/>
      <c r="D640" s="28"/>
      <c r="E640" s="66"/>
      <c r="F640" s="66"/>
      <c r="G640" s="66"/>
      <c r="H640" s="66"/>
    </row>
    <row r="641" spans="1:8">
      <c r="A641" s="27"/>
      <c r="C641" s="28"/>
      <c r="D641" s="28"/>
      <c r="E641" s="66"/>
      <c r="F641" s="66"/>
      <c r="G641" s="66"/>
      <c r="H641" s="66"/>
    </row>
    <row r="642" spans="1:8">
      <c r="A642" s="27"/>
      <c r="C642" s="28"/>
      <c r="D642" s="28"/>
      <c r="E642" s="66"/>
      <c r="F642" s="66"/>
      <c r="G642" s="66"/>
      <c r="H642" s="66"/>
    </row>
    <row r="643" spans="1:8">
      <c r="A643" s="27"/>
      <c r="C643" s="28"/>
      <c r="D643" s="28"/>
      <c r="E643" s="66"/>
      <c r="F643" s="66"/>
      <c r="G643" s="66"/>
      <c r="H643" s="66"/>
    </row>
    <row r="644" spans="1:8">
      <c r="A644" s="27"/>
      <c r="C644" s="28"/>
      <c r="D644" s="28"/>
      <c r="E644" s="66"/>
      <c r="F644" s="66"/>
      <c r="G644" s="66"/>
      <c r="H644" s="66"/>
    </row>
    <row r="645" spans="1:8">
      <c r="A645" s="27"/>
      <c r="C645" s="28"/>
      <c r="D645" s="28"/>
      <c r="E645" s="66"/>
      <c r="F645" s="66"/>
      <c r="G645" s="66"/>
      <c r="H645" s="66"/>
    </row>
    <row r="646" spans="1:8">
      <c r="A646" s="27"/>
      <c r="C646" s="28"/>
      <c r="D646" s="28"/>
      <c r="E646" s="66"/>
      <c r="F646" s="66"/>
      <c r="G646" s="66"/>
      <c r="H646" s="66"/>
    </row>
    <row r="647" spans="1:8">
      <c r="A647" s="27"/>
      <c r="C647" s="28"/>
      <c r="D647" s="28"/>
      <c r="E647" s="66"/>
      <c r="F647" s="66"/>
      <c r="G647" s="66"/>
      <c r="H647" s="66"/>
    </row>
    <row r="648" spans="1:8">
      <c r="A648" s="27"/>
      <c r="C648" s="28"/>
      <c r="D648" s="28"/>
      <c r="E648" s="66"/>
      <c r="F648" s="66"/>
      <c r="G648" s="66"/>
      <c r="H648" s="66"/>
    </row>
    <row r="649" spans="1:8">
      <c r="A649" s="27"/>
      <c r="C649" s="28"/>
      <c r="D649" s="28"/>
      <c r="E649" s="66"/>
      <c r="F649" s="66"/>
      <c r="G649" s="66"/>
      <c r="H649" s="66"/>
    </row>
    <row r="650" spans="1:8">
      <c r="A650" s="27"/>
      <c r="C650" s="28"/>
      <c r="D650" s="28"/>
      <c r="E650" s="66"/>
      <c r="F650" s="66"/>
      <c r="G650" s="66"/>
      <c r="H650" s="66"/>
    </row>
    <row r="651" spans="1:8">
      <c r="A651" s="27"/>
      <c r="C651" s="28"/>
      <c r="D651" s="28"/>
      <c r="E651" s="66"/>
      <c r="F651" s="66"/>
      <c r="G651" s="66"/>
      <c r="H651" s="66"/>
    </row>
    <row r="652" spans="1:8">
      <c r="A652" s="27"/>
      <c r="C652" s="28"/>
      <c r="D652" s="28"/>
      <c r="E652" s="66"/>
      <c r="F652" s="66"/>
      <c r="G652" s="66"/>
      <c r="H652" s="66"/>
    </row>
    <row r="653" spans="1:8">
      <c r="A653" s="27"/>
      <c r="C653" s="28"/>
      <c r="D653" s="28"/>
      <c r="E653" s="66"/>
      <c r="F653" s="66"/>
      <c r="G653" s="66"/>
      <c r="H653" s="66"/>
    </row>
    <row r="654" spans="1:8">
      <c r="A654" s="27"/>
      <c r="C654" s="28"/>
      <c r="D654" s="28"/>
      <c r="E654" s="66"/>
      <c r="F654" s="66"/>
      <c r="G654" s="66"/>
      <c r="H654" s="66"/>
    </row>
    <row r="655" spans="1:8">
      <c r="A655" s="27"/>
      <c r="C655" s="28"/>
      <c r="D655" s="28"/>
      <c r="E655" s="66"/>
      <c r="F655" s="66"/>
      <c r="G655" s="66"/>
      <c r="H655" s="66"/>
    </row>
    <row r="656" spans="1:8">
      <c r="A656" s="27"/>
      <c r="C656" s="28"/>
      <c r="D656" s="28"/>
      <c r="E656" s="66"/>
      <c r="F656" s="66"/>
      <c r="G656" s="66"/>
      <c r="H656" s="66"/>
    </row>
    <row r="657" spans="1:8">
      <c r="A657" s="27"/>
      <c r="C657" s="28"/>
      <c r="D657" s="28"/>
      <c r="E657" s="66"/>
      <c r="F657" s="66"/>
      <c r="G657" s="66"/>
      <c r="H657" s="66"/>
    </row>
    <row r="658" spans="1:8">
      <c r="A658" s="27"/>
      <c r="C658" s="28"/>
      <c r="D658" s="28"/>
      <c r="E658" s="66"/>
      <c r="F658" s="66"/>
      <c r="G658" s="66"/>
      <c r="H658" s="66"/>
    </row>
    <row r="659" spans="1:8">
      <c r="A659" s="27"/>
      <c r="C659" s="28"/>
      <c r="D659" s="28"/>
      <c r="E659" s="66"/>
      <c r="F659" s="66"/>
      <c r="G659" s="66"/>
      <c r="H659" s="66"/>
    </row>
    <row r="660" spans="1:8">
      <c r="A660" s="27"/>
      <c r="C660" s="28"/>
      <c r="D660" s="28"/>
      <c r="E660" s="66"/>
      <c r="F660" s="66"/>
      <c r="G660" s="66"/>
      <c r="H660" s="66"/>
    </row>
    <row r="661" spans="1:8">
      <c r="A661" s="27"/>
      <c r="C661" s="28"/>
      <c r="D661" s="28"/>
      <c r="E661" s="66"/>
      <c r="F661" s="66"/>
      <c r="G661" s="66"/>
      <c r="H661" s="66"/>
    </row>
    <row r="662" spans="1:8">
      <c r="A662" s="27"/>
      <c r="C662" s="28"/>
      <c r="D662" s="28"/>
      <c r="E662" s="66"/>
      <c r="F662" s="66"/>
      <c r="G662" s="66"/>
      <c r="H662" s="66"/>
    </row>
    <row r="663" spans="1:8">
      <c r="A663" s="27"/>
      <c r="C663" s="28"/>
      <c r="D663" s="28"/>
      <c r="E663" s="66"/>
      <c r="F663" s="66"/>
      <c r="G663" s="66"/>
      <c r="H663" s="66"/>
    </row>
    <row r="664" spans="1:8">
      <c r="A664" s="27"/>
      <c r="C664" s="28"/>
      <c r="D664" s="28"/>
      <c r="E664" s="66"/>
      <c r="F664" s="66"/>
      <c r="G664" s="66"/>
      <c r="H664" s="66"/>
    </row>
    <row r="665" spans="1:8">
      <c r="A665" s="27"/>
      <c r="C665" s="28"/>
      <c r="D665" s="28"/>
      <c r="E665" s="66"/>
      <c r="F665" s="66"/>
      <c r="G665" s="66"/>
      <c r="H665" s="66"/>
    </row>
    <row r="666" spans="1:8">
      <c r="A666" s="27"/>
      <c r="C666" s="28"/>
      <c r="D666" s="28"/>
      <c r="E666" s="66"/>
      <c r="F666" s="66"/>
      <c r="G666" s="66"/>
      <c r="H666" s="66"/>
    </row>
    <row r="667" spans="1:8">
      <c r="A667" s="27"/>
      <c r="C667" s="28"/>
      <c r="D667" s="28"/>
      <c r="E667" s="66"/>
      <c r="F667" s="66"/>
      <c r="G667" s="66"/>
      <c r="H667" s="66"/>
    </row>
    <row r="668" spans="1:8">
      <c r="A668" s="27"/>
      <c r="C668" s="28"/>
      <c r="D668" s="28"/>
      <c r="E668" s="66"/>
      <c r="F668" s="66"/>
      <c r="G668" s="66"/>
      <c r="H668" s="66"/>
    </row>
    <row r="669" spans="1:8">
      <c r="A669" s="27"/>
      <c r="C669" s="28"/>
      <c r="D669" s="28"/>
      <c r="E669" s="66"/>
      <c r="F669" s="66"/>
      <c r="G669" s="66"/>
      <c r="H669" s="66"/>
    </row>
    <row r="670" spans="1:8">
      <c r="A670" s="27"/>
      <c r="C670" s="28"/>
      <c r="D670" s="28"/>
      <c r="E670" s="66"/>
      <c r="F670" s="66"/>
      <c r="G670" s="66"/>
      <c r="H670" s="66"/>
    </row>
    <row r="671" spans="1:8">
      <c r="A671" s="27"/>
      <c r="C671" s="28"/>
      <c r="D671" s="28"/>
      <c r="E671" s="66"/>
      <c r="F671" s="66"/>
      <c r="G671" s="66"/>
      <c r="H671" s="66"/>
    </row>
    <row r="672" spans="1:8">
      <c r="A672" s="27"/>
      <c r="C672" s="28"/>
      <c r="D672" s="28"/>
      <c r="E672" s="66"/>
      <c r="F672" s="66"/>
      <c r="G672" s="66"/>
      <c r="H672" s="66"/>
    </row>
    <row r="673" spans="1:8">
      <c r="A673" s="27"/>
      <c r="C673" s="28"/>
      <c r="D673" s="28"/>
      <c r="E673" s="66"/>
      <c r="F673" s="66"/>
      <c r="G673" s="66"/>
      <c r="H673" s="66"/>
    </row>
    <row r="674" spans="1:8">
      <c r="A674" s="27"/>
      <c r="C674" s="28"/>
      <c r="D674" s="28"/>
      <c r="E674" s="66"/>
      <c r="F674" s="66"/>
      <c r="G674" s="66"/>
      <c r="H674" s="66"/>
    </row>
    <row r="675" spans="1:8">
      <c r="A675" s="27"/>
      <c r="C675" s="28"/>
      <c r="D675" s="28"/>
      <c r="E675" s="66"/>
      <c r="F675" s="66"/>
      <c r="G675" s="66"/>
      <c r="H675" s="66"/>
    </row>
    <row r="676" spans="1:8">
      <c r="A676" s="27"/>
      <c r="C676" s="28"/>
      <c r="D676" s="28"/>
      <c r="E676" s="66"/>
      <c r="F676" s="66"/>
      <c r="G676" s="66"/>
      <c r="H676" s="66"/>
    </row>
    <row r="677" spans="1:8">
      <c r="A677" s="27"/>
      <c r="C677" s="28"/>
      <c r="D677" s="28"/>
      <c r="E677" s="66"/>
      <c r="F677" s="66"/>
      <c r="G677" s="66"/>
      <c r="H677" s="66"/>
    </row>
    <row r="678" spans="1:8">
      <c r="A678" s="27"/>
      <c r="C678" s="28"/>
      <c r="D678" s="28"/>
      <c r="E678" s="66"/>
      <c r="F678" s="66"/>
      <c r="G678" s="66"/>
      <c r="H678" s="66"/>
    </row>
    <row r="679" spans="1:8">
      <c r="A679" s="27"/>
      <c r="C679" s="28"/>
      <c r="D679" s="28"/>
      <c r="E679" s="66"/>
      <c r="F679" s="66"/>
      <c r="G679" s="66"/>
      <c r="H679" s="66"/>
    </row>
    <row r="680" spans="1:8">
      <c r="A680" s="27"/>
      <c r="C680" s="28"/>
      <c r="D680" s="28"/>
      <c r="E680" s="66"/>
      <c r="F680" s="66"/>
      <c r="G680" s="66"/>
      <c r="H680" s="66"/>
    </row>
    <row r="681" spans="1:8">
      <c r="A681" s="27"/>
      <c r="C681" s="28"/>
      <c r="D681" s="28"/>
      <c r="E681" s="66"/>
      <c r="F681" s="66"/>
      <c r="G681" s="66"/>
      <c r="H681" s="66"/>
    </row>
    <row r="682" spans="1:8">
      <c r="A682" s="27"/>
      <c r="C682" s="28"/>
      <c r="D682" s="28"/>
      <c r="E682" s="66"/>
      <c r="F682" s="66"/>
      <c r="G682" s="66"/>
      <c r="H682" s="66"/>
    </row>
    <row r="683" spans="1:8">
      <c r="A683" s="27"/>
      <c r="C683" s="28"/>
      <c r="D683" s="28"/>
      <c r="E683" s="66"/>
      <c r="F683" s="66"/>
      <c r="G683" s="66"/>
      <c r="H683" s="66"/>
    </row>
    <row r="684" spans="1:8">
      <c r="A684" s="27"/>
      <c r="C684" s="28"/>
      <c r="D684" s="28"/>
      <c r="E684" s="66"/>
      <c r="F684" s="66"/>
      <c r="G684" s="66"/>
      <c r="H684" s="66"/>
    </row>
    <row r="685" spans="1:8">
      <c r="A685" s="27"/>
      <c r="C685" s="28"/>
      <c r="D685" s="28"/>
      <c r="E685" s="66"/>
      <c r="F685" s="66"/>
      <c r="G685" s="66"/>
      <c r="H685" s="66"/>
    </row>
    <row r="686" spans="1:8">
      <c r="A686" s="27"/>
      <c r="C686" s="28"/>
      <c r="D686" s="28"/>
      <c r="E686" s="66"/>
      <c r="F686" s="66"/>
      <c r="G686" s="66"/>
      <c r="H686" s="66"/>
    </row>
    <row r="687" spans="1:8">
      <c r="A687" s="27"/>
      <c r="C687" s="28"/>
      <c r="D687" s="28"/>
      <c r="E687" s="66"/>
      <c r="F687" s="66"/>
      <c r="G687" s="66"/>
      <c r="H687" s="66"/>
    </row>
    <row r="688" spans="1:8">
      <c r="A688" s="27"/>
      <c r="C688" s="28"/>
      <c r="D688" s="28"/>
      <c r="E688" s="66"/>
      <c r="F688" s="66"/>
      <c r="G688" s="66"/>
      <c r="H688" s="66"/>
    </row>
    <row r="689" spans="1:8">
      <c r="A689" s="27"/>
      <c r="C689" s="28"/>
      <c r="D689" s="28"/>
      <c r="E689" s="66"/>
      <c r="F689" s="66"/>
      <c r="G689" s="66"/>
      <c r="H689" s="66"/>
    </row>
    <row r="690" spans="1:8">
      <c r="A690" s="27"/>
      <c r="C690" s="28"/>
      <c r="D690" s="28"/>
      <c r="E690" s="66"/>
      <c r="F690" s="66"/>
      <c r="G690" s="66"/>
      <c r="H690" s="66"/>
    </row>
    <row r="691" spans="1:8">
      <c r="A691" s="27"/>
      <c r="C691" s="28"/>
      <c r="D691" s="28"/>
      <c r="E691" s="66"/>
      <c r="F691" s="66"/>
      <c r="G691" s="66"/>
      <c r="H691" s="66"/>
    </row>
    <row r="692" spans="1:8">
      <c r="A692" s="27"/>
      <c r="C692" s="28"/>
      <c r="D692" s="28"/>
      <c r="E692" s="66"/>
      <c r="F692" s="66"/>
      <c r="G692" s="66"/>
      <c r="H692" s="66"/>
    </row>
    <row r="693" spans="1:8">
      <c r="A693" s="27"/>
      <c r="C693" s="28"/>
      <c r="D693" s="28"/>
      <c r="E693" s="66"/>
      <c r="F693" s="66"/>
      <c r="G693" s="66"/>
      <c r="H693" s="66"/>
    </row>
    <row r="694" spans="1:8">
      <c r="A694" s="27"/>
      <c r="C694" s="28"/>
      <c r="D694" s="28"/>
      <c r="E694" s="66"/>
      <c r="F694" s="66"/>
      <c r="G694" s="66"/>
      <c r="H694" s="66"/>
    </row>
    <row r="695" spans="1:8">
      <c r="A695" s="27"/>
      <c r="C695" s="28"/>
      <c r="D695" s="28"/>
      <c r="E695" s="66"/>
      <c r="F695" s="66"/>
      <c r="G695" s="66"/>
      <c r="H695" s="66"/>
    </row>
    <row r="696" spans="1:8">
      <c r="A696" s="27"/>
      <c r="C696" s="28"/>
      <c r="D696" s="28"/>
      <c r="E696" s="66"/>
      <c r="F696" s="66"/>
      <c r="G696" s="66"/>
      <c r="H696" s="66"/>
    </row>
    <row r="697" spans="1:8">
      <c r="A697" s="27"/>
      <c r="C697" s="28"/>
      <c r="D697" s="28"/>
      <c r="E697" s="66"/>
      <c r="F697" s="66"/>
      <c r="G697" s="66"/>
      <c r="H697" s="66"/>
    </row>
    <row r="698" spans="1:8">
      <c r="A698" s="27"/>
      <c r="C698" s="28"/>
      <c r="D698" s="28"/>
      <c r="E698" s="66"/>
      <c r="F698" s="66"/>
      <c r="G698" s="66"/>
      <c r="H698" s="66"/>
    </row>
    <row r="699" spans="1:8">
      <c r="A699" s="27"/>
      <c r="C699" s="28"/>
      <c r="D699" s="28"/>
      <c r="E699" s="66"/>
      <c r="F699" s="66"/>
      <c r="G699" s="66"/>
      <c r="H699" s="66"/>
    </row>
    <row r="700" spans="1:8">
      <c r="A700" s="27"/>
      <c r="C700" s="28"/>
      <c r="D700" s="28"/>
      <c r="E700" s="66"/>
      <c r="F700" s="66"/>
      <c r="G700" s="66"/>
      <c r="H700" s="66"/>
    </row>
    <row r="701" spans="1:8">
      <c r="A701" s="27"/>
      <c r="C701" s="28"/>
      <c r="D701" s="28"/>
      <c r="E701" s="66"/>
      <c r="F701" s="66"/>
      <c r="G701" s="66"/>
      <c r="H701" s="66"/>
    </row>
    <row r="702" spans="1:8">
      <c r="A702" s="27"/>
      <c r="C702" s="28"/>
      <c r="D702" s="28"/>
      <c r="E702" s="66"/>
      <c r="F702" s="66"/>
      <c r="G702" s="66"/>
      <c r="H702" s="66"/>
    </row>
    <row r="703" spans="1:8">
      <c r="A703" s="27"/>
      <c r="C703" s="28"/>
      <c r="D703" s="28"/>
      <c r="E703" s="66"/>
      <c r="F703" s="66"/>
      <c r="G703" s="66"/>
      <c r="H703" s="66"/>
    </row>
    <row r="704" spans="1:8">
      <c r="A704" s="27"/>
      <c r="C704" s="28"/>
      <c r="D704" s="28"/>
      <c r="E704" s="66"/>
      <c r="F704" s="66"/>
      <c r="G704" s="66"/>
      <c r="H704" s="66"/>
    </row>
    <row r="705" spans="1:8">
      <c r="A705" s="27"/>
      <c r="C705" s="28"/>
      <c r="D705" s="28"/>
      <c r="E705" s="66"/>
      <c r="F705" s="66"/>
      <c r="G705" s="66"/>
      <c r="H705" s="66"/>
    </row>
    <row r="706" spans="1:8">
      <c r="A706" s="27"/>
      <c r="C706" s="28"/>
      <c r="D706" s="28"/>
      <c r="E706" s="66"/>
      <c r="F706" s="66"/>
      <c r="G706" s="66"/>
      <c r="H706" s="66"/>
    </row>
    <row r="707" spans="1:8">
      <c r="A707" s="27"/>
      <c r="C707" s="28"/>
      <c r="D707" s="28"/>
      <c r="E707" s="66"/>
      <c r="F707" s="66"/>
      <c r="G707" s="66"/>
      <c r="H707" s="66"/>
    </row>
    <row r="708" spans="1:8">
      <c r="A708" s="27"/>
      <c r="C708" s="28"/>
      <c r="D708" s="28"/>
      <c r="E708" s="66"/>
      <c r="F708" s="66"/>
      <c r="G708" s="66"/>
      <c r="H708" s="66"/>
    </row>
    <row r="709" spans="1:8">
      <c r="A709" s="27"/>
      <c r="C709" s="28"/>
      <c r="D709" s="28"/>
      <c r="E709" s="66"/>
      <c r="F709" s="66"/>
      <c r="G709" s="66"/>
      <c r="H709" s="66"/>
    </row>
    <row r="710" spans="1:8">
      <c r="A710" s="27"/>
      <c r="C710" s="28"/>
      <c r="D710" s="28"/>
      <c r="E710" s="66"/>
      <c r="F710" s="66"/>
      <c r="G710" s="66"/>
      <c r="H710" s="66"/>
    </row>
    <row r="711" spans="1:8">
      <c r="A711" s="27"/>
      <c r="C711" s="28"/>
      <c r="D711" s="28"/>
      <c r="E711" s="66"/>
      <c r="F711" s="66"/>
      <c r="G711" s="66"/>
      <c r="H711" s="66"/>
    </row>
    <row r="712" spans="1:8">
      <c r="A712" s="27"/>
      <c r="C712" s="28"/>
      <c r="D712" s="28"/>
      <c r="E712" s="66"/>
      <c r="F712" s="66"/>
      <c r="G712" s="66"/>
      <c r="H712" s="66"/>
    </row>
    <row r="713" spans="1:8">
      <c r="A713" s="27"/>
      <c r="C713" s="28"/>
      <c r="D713" s="28"/>
      <c r="E713" s="66"/>
      <c r="F713" s="66"/>
      <c r="G713" s="66"/>
      <c r="H713" s="66"/>
    </row>
    <row r="714" spans="1:8">
      <c r="A714" s="27"/>
      <c r="C714" s="28"/>
      <c r="D714" s="28"/>
      <c r="E714" s="66"/>
      <c r="F714" s="66"/>
      <c r="G714" s="66"/>
      <c r="H714" s="66"/>
    </row>
    <row r="715" spans="1:8">
      <c r="A715" s="27"/>
      <c r="C715" s="28"/>
      <c r="D715" s="28"/>
      <c r="E715" s="66"/>
      <c r="F715" s="66"/>
      <c r="G715" s="66"/>
      <c r="H715" s="66"/>
    </row>
    <row r="716" spans="1:8">
      <c r="A716" s="27"/>
      <c r="C716" s="28"/>
      <c r="D716" s="28"/>
      <c r="E716" s="66"/>
      <c r="F716" s="66"/>
      <c r="G716" s="66"/>
      <c r="H716" s="66"/>
    </row>
    <row r="717" spans="1:8">
      <c r="A717" s="27"/>
      <c r="C717" s="28"/>
      <c r="D717" s="28"/>
      <c r="E717" s="66"/>
      <c r="F717" s="66"/>
      <c r="G717" s="66"/>
      <c r="H717" s="66"/>
    </row>
    <row r="718" spans="1:8">
      <c r="A718" s="27"/>
      <c r="C718" s="28"/>
      <c r="D718" s="28"/>
      <c r="E718" s="66"/>
      <c r="F718" s="66"/>
      <c r="G718" s="66"/>
      <c r="H718" s="66"/>
    </row>
    <row r="719" spans="1:8">
      <c r="A719" s="27"/>
      <c r="C719" s="28"/>
      <c r="D719" s="28"/>
      <c r="E719" s="66"/>
      <c r="F719" s="66"/>
      <c r="G719" s="66"/>
      <c r="H719" s="66"/>
    </row>
    <row r="720" spans="1:8">
      <c r="A720" s="27"/>
      <c r="C720" s="28"/>
      <c r="D720" s="28"/>
      <c r="E720" s="66"/>
      <c r="F720" s="66"/>
      <c r="G720" s="66"/>
      <c r="H720" s="66"/>
    </row>
    <row r="721" spans="1:8">
      <c r="A721" s="27"/>
      <c r="C721" s="28"/>
      <c r="D721" s="28"/>
      <c r="E721" s="66"/>
      <c r="F721" s="66"/>
      <c r="G721" s="66"/>
      <c r="H721" s="66"/>
    </row>
    <row r="722" spans="1:8">
      <c r="A722" s="27"/>
      <c r="C722" s="28"/>
      <c r="D722" s="28"/>
      <c r="E722" s="66"/>
      <c r="F722" s="66"/>
      <c r="G722" s="66"/>
      <c r="H722" s="66"/>
    </row>
    <row r="723" spans="1:8">
      <c r="A723" s="27"/>
      <c r="C723" s="28"/>
      <c r="D723" s="28"/>
      <c r="E723" s="66"/>
      <c r="F723" s="66"/>
      <c r="G723" s="66"/>
      <c r="H723" s="66"/>
    </row>
    <row r="724" spans="1:8">
      <c r="A724" s="27"/>
      <c r="C724" s="28"/>
      <c r="D724" s="28"/>
      <c r="E724" s="66"/>
      <c r="F724" s="66"/>
      <c r="G724" s="66"/>
      <c r="H724" s="66"/>
    </row>
    <row r="725" spans="1:8">
      <c r="A725" s="27"/>
      <c r="C725" s="28"/>
      <c r="D725" s="28"/>
      <c r="E725" s="66"/>
      <c r="F725" s="66"/>
      <c r="G725" s="66"/>
      <c r="H725" s="66"/>
    </row>
    <row r="726" spans="1:8">
      <c r="A726" s="27"/>
      <c r="C726" s="28"/>
      <c r="D726" s="28"/>
      <c r="E726" s="66"/>
      <c r="F726" s="66"/>
      <c r="G726" s="66"/>
      <c r="H726" s="66"/>
    </row>
    <row r="727" spans="1:8">
      <c r="A727" s="27"/>
      <c r="C727" s="28"/>
      <c r="D727" s="28"/>
      <c r="E727" s="66"/>
      <c r="F727" s="66"/>
      <c r="G727" s="66"/>
      <c r="H727" s="66"/>
    </row>
    <row r="728" spans="1:8">
      <c r="A728" s="27"/>
      <c r="C728" s="28"/>
      <c r="D728" s="28"/>
      <c r="E728" s="66"/>
      <c r="F728" s="66"/>
      <c r="G728" s="66"/>
      <c r="H728" s="66"/>
    </row>
    <row r="729" spans="1:8">
      <c r="A729" s="27"/>
      <c r="C729" s="28"/>
      <c r="D729" s="28"/>
      <c r="E729" s="66"/>
      <c r="F729" s="66"/>
      <c r="G729" s="66"/>
      <c r="H729" s="66"/>
    </row>
    <row r="730" spans="1:8">
      <c r="A730" s="27"/>
      <c r="C730" s="28"/>
      <c r="D730" s="28"/>
      <c r="E730" s="66"/>
      <c r="F730" s="66"/>
      <c r="G730" s="66"/>
      <c r="H730" s="66"/>
    </row>
    <row r="731" spans="1:8">
      <c r="A731" s="27"/>
      <c r="C731" s="28"/>
      <c r="D731" s="28"/>
      <c r="E731" s="66"/>
      <c r="F731" s="66"/>
      <c r="G731" s="66"/>
      <c r="H731" s="66"/>
    </row>
    <row r="732" spans="1:8">
      <c r="A732" s="27"/>
      <c r="C732" s="28"/>
      <c r="D732" s="28"/>
      <c r="E732" s="66"/>
      <c r="F732" s="66"/>
      <c r="G732" s="66"/>
      <c r="H732" s="66"/>
    </row>
    <row r="733" spans="1:8">
      <c r="A733" s="27"/>
      <c r="C733" s="28"/>
      <c r="D733" s="28"/>
      <c r="E733" s="66"/>
      <c r="F733" s="66"/>
      <c r="G733" s="66"/>
      <c r="H733" s="66"/>
    </row>
    <row r="734" spans="1:8">
      <c r="A734" s="27"/>
      <c r="C734" s="28"/>
      <c r="D734" s="28"/>
      <c r="E734" s="66"/>
      <c r="F734" s="66"/>
      <c r="G734" s="66"/>
      <c r="H734" s="66"/>
    </row>
    <row r="735" spans="1:8">
      <c r="A735" s="27"/>
      <c r="C735" s="28"/>
      <c r="D735" s="28"/>
      <c r="E735" s="66"/>
      <c r="F735" s="66"/>
      <c r="G735" s="66"/>
      <c r="H735" s="66"/>
    </row>
    <row r="736" spans="1:8">
      <c r="A736" s="27"/>
      <c r="C736" s="28"/>
      <c r="D736" s="28"/>
      <c r="E736" s="66"/>
      <c r="F736" s="66"/>
      <c r="G736" s="66"/>
      <c r="H736" s="66"/>
    </row>
    <row r="737" spans="1:8">
      <c r="A737" s="27"/>
      <c r="C737" s="28"/>
      <c r="D737" s="28"/>
      <c r="E737" s="66"/>
      <c r="F737" s="66"/>
      <c r="G737" s="66"/>
      <c r="H737" s="66"/>
    </row>
    <row r="738" spans="1:8">
      <c r="A738" s="27"/>
      <c r="C738" s="28"/>
      <c r="D738" s="28"/>
      <c r="E738" s="66"/>
      <c r="F738" s="66"/>
      <c r="G738" s="66"/>
      <c r="H738" s="66"/>
    </row>
    <row r="739" spans="1:8">
      <c r="A739" s="27"/>
      <c r="C739" s="28"/>
      <c r="D739" s="28"/>
      <c r="E739" s="66"/>
      <c r="F739" s="66"/>
      <c r="G739" s="66"/>
      <c r="H739" s="66"/>
    </row>
    <row r="740" spans="1:8">
      <c r="A740" s="27"/>
      <c r="C740" s="28"/>
      <c r="D740" s="28"/>
      <c r="E740" s="66"/>
      <c r="F740" s="66"/>
      <c r="G740" s="66"/>
      <c r="H740" s="66"/>
    </row>
    <row r="741" spans="1:8">
      <c r="A741" s="27"/>
      <c r="C741" s="28"/>
      <c r="D741" s="28"/>
      <c r="E741" s="66"/>
      <c r="F741" s="66"/>
      <c r="G741" s="66"/>
      <c r="H741" s="66"/>
    </row>
    <row r="742" spans="1:8">
      <c r="A742" s="27"/>
      <c r="C742" s="28"/>
      <c r="D742" s="28"/>
      <c r="E742" s="66"/>
      <c r="F742" s="66"/>
      <c r="G742" s="66"/>
      <c r="H742" s="66"/>
    </row>
    <row r="743" spans="1:8">
      <c r="A743" s="27"/>
      <c r="C743" s="28"/>
      <c r="D743" s="28"/>
      <c r="E743" s="66"/>
      <c r="F743" s="66"/>
      <c r="G743" s="66"/>
      <c r="H743" s="66"/>
    </row>
    <row r="744" spans="1:8">
      <c r="A744" s="27"/>
      <c r="C744" s="28"/>
      <c r="D744" s="28"/>
      <c r="E744" s="66"/>
      <c r="F744" s="66"/>
      <c r="G744" s="66"/>
      <c r="H744" s="66"/>
    </row>
    <row r="745" spans="1:8">
      <c r="A745" s="27"/>
      <c r="C745" s="28"/>
      <c r="D745" s="28"/>
      <c r="E745" s="66"/>
      <c r="F745" s="66"/>
      <c r="G745" s="66"/>
      <c r="H745" s="66"/>
    </row>
    <row r="746" spans="1:8">
      <c r="A746" s="27"/>
      <c r="C746" s="28"/>
      <c r="D746" s="28"/>
      <c r="E746" s="66"/>
      <c r="F746" s="66"/>
      <c r="G746" s="66"/>
      <c r="H746" s="66"/>
    </row>
    <row r="747" spans="1:8">
      <c r="A747" s="27"/>
      <c r="C747" s="28"/>
      <c r="D747" s="28"/>
      <c r="E747" s="66"/>
      <c r="F747" s="66"/>
      <c r="G747" s="66"/>
      <c r="H747" s="66"/>
    </row>
    <row r="748" spans="1:8">
      <c r="A748" s="27"/>
      <c r="C748" s="28"/>
      <c r="D748" s="28"/>
      <c r="E748" s="66"/>
      <c r="F748" s="66"/>
      <c r="G748" s="66"/>
      <c r="H748" s="66"/>
    </row>
    <row r="749" spans="1:8">
      <c r="A749" s="27"/>
      <c r="C749" s="28"/>
      <c r="D749" s="28"/>
      <c r="E749" s="66"/>
      <c r="F749" s="66"/>
      <c r="G749" s="66"/>
      <c r="H749" s="66"/>
    </row>
    <row r="750" spans="1:8">
      <c r="A750" s="27"/>
      <c r="C750" s="28"/>
      <c r="D750" s="28"/>
      <c r="E750" s="66"/>
      <c r="F750" s="66"/>
      <c r="G750" s="66"/>
      <c r="H750" s="66"/>
    </row>
    <row r="751" spans="1:8">
      <c r="A751" s="27"/>
      <c r="C751" s="28"/>
      <c r="D751" s="28"/>
      <c r="E751" s="66"/>
      <c r="F751" s="66"/>
      <c r="G751" s="66"/>
      <c r="H751" s="66"/>
    </row>
    <row r="752" spans="1:8">
      <c r="A752" s="27"/>
      <c r="C752" s="28"/>
      <c r="D752" s="28"/>
      <c r="E752" s="66"/>
      <c r="F752" s="66"/>
      <c r="G752" s="66"/>
      <c r="H752" s="66"/>
    </row>
    <row r="753" spans="1:8">
      <c r="A753" s="27"/>
      <c r="C753" s="28"/>
      <c r="D753" s="28"/>
      <c r="E753" s="66"/>
      <c r="F753" s="66"/>
      <c r="G753" s="66"/>
      <c r="H753" s="66"/>
    </row>
    <row r="754" spans="1:8">
      <c r="A754" s="27"/>
      <c r="C754" s="28"/>
      <c r="D754" s="28"/>
      <c r="E754" s="66"/>
      <c r="F754" s="66"/>
      <c r="G754" s="66"/>
      <c r="H754" s="66"/>
    </row>
    <row r="755" spans="1:8">
      <c r="A755" s="27"/>
      <c r="C755" s="28"/>
      <c r="D755" s="28"/>
      <c r="E755" s="66"/>
      <c r="F755" s="66"/>
      <c r="G755" s="66"/>
      <c r="H755" s="66"/>
    </row>
    <row r="756" spans="1:8">
      <c r="A756" s="27"/>
      <c r="C756" s="28"/>
      <c r="D756" s="28"/>
      <c r="E756" s="66"/>
      <c r="F756" s="66"/>
      <c r="G756" s="66"/>
      <c r="H756" s="66"/>
    </row>
    <row r="757" spans="1:8">
      <c r="A757" s="27"/>
      <c r="C757" s="28"/>
      <c r="D757" s="28"/>
      <c r="E757" s="66"/>
      <c r="F757" s="66"/>
      <c r="G757" s="66"/>
      <c r="H757" s="66"/>
    </row>
    <row r="758" spans="1:8">
      <c r="A758" s="27"/>
      <c r="C758" s="28"/>
      <c r="D758" s="28"/>
      <c r="E758" s="66"/>
      <c r="F758" s="66"/>
      <c r="G758" s="66"/>
      <c r="H758" s="66"/>
    </row>
    <row r="759" spans="1:8">
      <c r="A759" s="27"/>
      <c r="C759" s="28"/>
      <c r="D759" s="28"/>
      <c r="E759" s="66"/>
      <c r="F759" s="66"/>
      <c r="G759" s="66"/>
      <c r="H759" s="66"/>
    </row>
    <row r="760" spans="1:8">
      <c r="A760" s="27"/>
      <c r="C760" s="28"/>
      <c r="D760" s="28"/>
      <c r="E760" s="66"/>
      <c r="F760" s="66"/>
      <c r="G760" s="66"/>
      <c r="H760" s="66"/>
    </row>
    <row r="761" spans="1:8">
      <c r="A761" s="27"/>
      <c r="C761" s="28"/>
      <c r="D761" s="28"/>
      <c r="E761" s="66"/>
      <c r="F761" s="66"/>
      <c r="G761" s="66"/>
      <c r="H761" s="66"/>
    </row>
    <row r="762" spans="1:8">
      <c r="A762" s="27"/>
      <c r="C762" s="28"/>
      <c r="D762" s="28"/>
      <c r="E762" s="66"/>
      <c r="F762" s="66"/>
      <c r="G762" s="66"/>
      <c r="H762" s="66"/>
    </row>
    <row r="763" spans="1:8">
      <c r="A763" s="27"/>
      <c r="C763" s="28"/>
      <c r="D763" s="28"/>
      <c r="E763" s="66"/>
      <c r="F763" s="66"/>
      <c r="G763" s="66"/>
      <c r="H763" s="66"/>
    </row>
    <row r="764" spans="1:8">
      <c r="A764" s="27"/>
      <c r="C764" s="28"/>
      <c r="D764" s="28"/>
      <c r="E764" s="66"/>
      <c r="F764" s="66"/>
      <c r="G764" s="66"/>
      <c r="H764" s="66"/>
    </row>
    <row r="765" spans="1:8">
      <c r="A765" s="27"/>
      <c r="C765" s="28"/>
      <c r="D765" s="28"/>
      <c r="E765" s="66"/>
      <c r="F765" s="66"/>
      <c r="G765" s="66"/>
      <c r="H765" s="66"/>
    </row>
    <row r="766" spans="1:8">
      <c r="A766" s="27"/>
      <c r="C766" s="28"/>
      <c r="D766" s="28"/>
      <c r="E766" s="66"/>
      <c r="F766" s="66"/>
      <c r="G766" s="66"/>
      <c r="H766" s="66"/>
    </row>
    <row r="767" spans="1:8">
      <c r="A767" s="27"/>
      <c r="C767" s="28"/>
      <c r="D767" s="28"/>
      <c r="E767" s="66"/>
      <c r="F767" s="66"/>
      <c r="G767" s="66"/>
      <c r="H767" s="66"/>
    </row>
    <row r="768" spans="1:8">
      <c r="A768" s="27"/>
      <c r="C768" s="28"/>
      <c r="D768" s="28"/>
      <c r="E768" s="66"/>
      <c r="F768" s="66"/>
      <c r="G768" s="66"/>
      <c r="H768" s="66"/>
    </row>
    <row r="769" spans="1:8">
      <c r="A769" s="27"/>
      <c r="C769" s="28"/>
      <c r="D769" s="28"/>
      <c r="E769" s="66"/>
      <c r="F769" s="66"/>
      <c r="G769" s="66"/>
      <c r="H769" s="66"/>
    </row>
    <row r="770" spans="1:8">
      <c r="A770" s="27"/>
      <c r="C770" s="28"/>
      <c r="D770" s="28"/>
      <c r="E770" s="66"/>
      <c r="F770" s="66"/>
      <c r="G770" s="66"/>
      <c r="H770" s="66"/>
    </row>
    <row r="771" spans="1:8">
      <c r="A771" s="27"/>
      <c r="C771" s="28"/>
      <c r="D771" s="28"/>
      <c r="E771" s="66"/>
      <c r="F771" s="66"/>
      <c r="G771" s="66"/>
      <c r="H771" s="66"/>
    </row>
    <row r="772" spans="1:8">
      <c r="A772" s="27"/>
      <c r="C772" s="28"/>
      <c r="D772" s="28"/>
      <c r="E772" s="66"/>
      <c r="F772" s="66"/>
      <c r="G772" s="66"/>
      <c r="H772" s="66"/>
    </row>
    <row r="773" spans="1:8">
      <c r="A773" s="27"/>
      <c r="C773" s="28"/>
      <c r="D773" s="28"/>
      <c r="E773" s="66"/>
      <c r="F773" s="66"/>
      <c r="G773" s="66"/>
      <c r="H773" s="66"/>
    </row>
    <row r="774" spans="1:8">
      <c r="A774" s="27"/>
      <c r="C774" s="28"/>
      <c r="D774" s="28"/>
      <c r="E774" s="66"/>
      <c r="F774" s="66"/>
      <c r="G774" s="66"/>
      <c r="H774" s="66"/>
    </row>
    <row r="775" spans="1:8">
      <c r="A775" s="27"/>
      <c r="C775" s="28"/>
      <c r="D775" s="28"/>
      <c r="E775" s="66"/>
      <c r="F775" s="66"/>
      <c r="G775" s="66"/>
      <c r="H775" s="66"/>
    </row>
    <row r="776" spans="1:8">
      <c r="A776" s="27"/>
      <c r="C776" s="28"/>
      <c r="D776" s="28"/>
      <c r="E776" s="66"/>
      <c r="F776" s="66"/>
      <c r="G776" s="66"/>
      <c r="H776" s="66"/>
    </row>
    <row r="777" spans="1:8">
      <c r="A777" s="27"/>
      <c r="C777" s="28"/>
      <c r="D777" s="28"/>
      <c r="E777" s="66"/>
      <c r="F777" s="66"/>
      <c r="G777" s="66"/>
      <c r="H777" s="66"/>
    </row>
    <row r="778" spans="1:8">
      <c r="A778" s="27"/>
      <c r="C778" s="28"/>
      <c r="D778" s="28"/>
      <c r="E778" s="66"/>
      <c r="F778" s="66"/>
      <c r="G778" s="66"/>
      <c r="H778" s="66"/>
    </row>
    <row r="779" spans="1:8">
      <c r="A779" s="27"/>
      <c r="C779" s="28"/>
      <c r="D779" s="28"/>
      <c r="E779" s="66"/>
      <c r="F779" s="66"/>
      <c r="G779" s="66"/>
      <c r="H779" s="66"/>
    </row>
    <row r="780" spans="1:8">
      <c r="A780" s="27"/>
      <c r="C780" s="28"/>
      <c r="D780" s="28"/>
      <c r="E780" s="66"/>
      <c r="F780" s="66"/>
      <c r="G780" s="66"/>
      <c r="H780" s="66"/>
    </row>
    <row r="781" spans="1:8">
      <c r="A781" s="27"/>
      <c r="C781" s="28"/>
      <c r="D781" s="28"/>
      <c r="E781" s="66"/>
      <c r="F781" s="66"/>
      <c r="G781" s="66"/>
      <c r="H781" s="66"/>
    </row>
    <row r="782" spans="1:8">
      <c r="A782" s="27"/>
      <c r="C782" s="28"/>
      <c r="D782" s="28"/>
      <c r="E782" s="66"/>
      <c r="F782" s="66"/>
      <c r="G782" s="66"/>
      <c r="H782" s="66"/>
    </row>
    <row r="783" spans="1:8">
      <c r="A783" s="27"/>
      <c r="C783" s="28"/>
      <c r="D783" s="28"/>
      <c r="E783" s="66"/>
      <c r="F783" s="66"/>
      <c r="G783" s="66"/>
      <c r="H783" s="66"/>
    </row>
    <row r="784" spans="1:8">
      <c r="A784" s="27"/>
      <c r="C784" s="28"/>
      <c r="D784" s="28"/>
      <c r="E784" s="66"/>
      <c r="F784" s="66"/>
      <c r="G784" s="66"/>
      <c r="H784" s="66"/>
    </row>
    <row r="785" spans="1:8">
      <c r="A785" s="27"/>
      <c r="C785" s="28"/>
      <c r="D785" s="28"/>
      <c r="E785" s="66"/>
      <c r="F785" s="66"/>
      <c r="G785" s="66"/>
      <c r="H785" s="66"/>
    </row>
    <row r="786" spans="1:8">
      <c r="A786" s="27"/>
      <c r="C786" s="28"/>
      <c r="D786" s="28"/>
      <c r="E786" s="66"/>
      <c r="F786" s="66"/>
      <c r="G786" s="66"/>
      <c r="H786" s="66"/>
    </row>
    <row r="787" spans="1:8">
      <c r="A787" s="27"/>
      <c r="C787" s="28"/>
      <c r="D787" s="28"/>
      <c r="E787" s="66"/>
      <c r="F787" s="66"/>
      <c r="G787" s="66"/>
      <c r="H787" s="66"/>
    </row>
    <row r="788" spans="1:8">
      <c r="A788" s="27"/>
      <c r="C788" s="28"/>
      <c r="D788" s="28"/>
      <c r="E788" s="66"/>
      <c r="F788" s="66"/>
      <c r="G788" s="66"/>
      <c r="H788" s="66"/>
    </row>
    <row r="789" spans="1:8">
      <c r="A789" s="27"/>
      <c r="C789" s="28"/>
      <c r="D789" s="28"/>
      <c r="E789" s="66"/>
      <c r="F789" s="66"/>
      <c r="G789" s="66"/>
      <c r="H789" s="66"/>
    </row>
    <row r="790" spans="1:8">
      <c r="A790" s="27"/>
      <c r="C790" s="28"/>
      <c r="D790" s="28"/>
      <c r="E790" s="66"/>
      <c r="F790" s="66"/>
      <c r="G790" s="66"/>
      <c r="H790" s="66"/>
    </row>
    <row r="791" spans="1:8">
      <c r="A791" s="27"/>
      <c r="C791" s="28"/>
      <c r="D791" s="28"/>
      <c r="E791" s="66"/>
      <c r="F791" s="66"/>
      <c r="G791" s="66"/>
      <c r="H791" s="66"/>
    </row>
    <row r="792" spans="1:8">
      <c r="A792" s="27"/>
      <c r="C792" s="28"/>
      <c r="D792" s="28"/>
      <c r="E792" s="66"/>
      <c r="F792" s="66"/>
      <c r="G792" s="66"/>
      <c r="H792" s="66"/>
    </row>
    <row r="793" spans="1:8">
      <c r="A793" s="27"/>
      <c r="C793" s="28"/>
      <c r="D793" s="28"/>
      <c r="E793" s="66"/>
      <c r="F793" s="66"/>
      <c r="G793" s="66"/>
      <c r="H793" s="66"/>
    </row>
    <row r="794" spans="1:8">
      <c r="A794" s="27"/>
      <c r="C794" s="28"/>
      <c r="D794" s="28"/>
      <c r="E794" s="66"/>
      <c r="F794" s="66"/>
      <c r="G794" s="66"/>
      <c r="H794" s="66"/>
    </row>
    <row r="795" spans="1:8">
      <c r="A795" s="27"/>
      <c r="C795" s="28"/>
      <c r="D795" s="28"/>
      <c r="E795" s="66"/>
      <c r="F795" s="66"/>
      <c r="G795" s="66"/>
      <c r="H795" s="66"/>
    </row>
    <row r="796" spans="1:8">
      <c r="A796" s="27"/>
      <c r="C796" s="28"/>
      <c r="D796" s="28"/>
      <c r="E796" s="66"/>
      <c r="F796" s="66"/>
      <c r="G796" s="66"/>
      <c r="H796" s="66"/>
    </row>
    <row r="797" spans="1:8">
      <c r="A797" s="27"/>
      <c r="C797" s="28"/>
      <c r="D797" s="28"/>
      <c r="E797" s="66"/>
      <c r="F797" s="66"/>
      <c r="G797" s="66"/>
      <c r="H797" s="66"/>
    </row>
    <row r="798" spans="1:8">
      <c r="A798" s="27"/>
      <c r="C798" s="28"/>
      <c r="D798" s="28"/>
      <c r="E798" s="66"/>
      <c r="F798" s="66"/>
      <c r="G798" s="66"/>
      <c r="H798" s="66"/>
    </row>
    <row r="799" spans="1:8">
      <c r="A799" s="27"/>
      <c r="C799" s="28"/>
      <c r="D799" s="28"/>
      <c r="E799" s="66"/>
      <c r="F799" s="66"/>
      <c r="G799" s="66"/>
      <c r="H799" s="66"/>
    </row>
    <row r="800" spans="1:8">
      <c r="A800" s="27"/>
      <c r="C800" s="28"/>
      <c r="D800" s="28"/>
      <c r="E800" s="66"/>
      <c r="F800" s="66"/>
      <c r="G800" s="66"/>
      <c r="H800" s="66"/>
    </row>
    <row r="801" spans="1:8">
      <c r="A801" s="27"/>
      <c r="C801" s="28"/>
      <c r="D801" s="28"/>
      <c r="E801" s="66"/>
      <c r="F801" s="66"/>
      <c r="G801" s="66"/>
      <c r="H801" s="66"/>
    </row>
    <row r="802" spans="1:8">
      <c r="A802" s="27"/>
      <c r="C802" s="28"/>
      <c r="D802" s="28"/>
      <c r="E802" s="66"/>
      <c r="F802" s="66"/>
      <c r="G802" s="66"/>
      <c r="H802" s="66"/>
    </row>
    <row r="803" spans="1:8">
      <c r="A803" s="27"/>
      <c r="C803" s="28"/>
      <c r="D803" s="28"/>
      <c r="E803" s="66"/>
      <c r="F803" s="66"/>
      <c r="G803" s="66"/>
      <c r="H803" s="66"/>
    </row>
    <row r="804" spans="1:8">
      <c r="A804" s="27"/>
      <c r="C804" s="28"/>
      <c r="D804" s="28"/>
      <c r="E804" s="66"/>
      <c r="F804" s="66"/>
      <c r="G804" s="66"/>
      <c r="H804" s="66"/>
    </row>
    <row r="805" spans="1:8">
      <c r="A805" s="27"/>
      <c r="C805" s="28"/>
      <c r="D805" s="28"/>
      <c r="E805" s="66"/>
      <c r="F805" s="66"/>
      <c r="G805" s="66"/>
      <c r="H805" s="66"/>
    </row>
    <row r="806" spans="1:8">
      <c r="A806" s="27"/>
      <c r="C806" s="28"/>
      <c r="D806" s="28"/>
      <c r="E806" s="66"/>
      <c r="F806" s="66"/>
      <c r="G806" s="66"/>
      <c r="H806" s="66"/>
    </row>
    <row r="807" spans="1:8">
      <c r="A807" s="27"/>
      <c r="C807" s="28"/>
      <c r="D807" s="28"/>
      <c r="E807" s="66"/>
      <c r="F807" s="66"/>
      <c r="G807" s="66"/>
      <c r="H807" s="66"/>
    </row>
    <row r="808" spans="1:8">
      <c r="A808" s="27"/>
      <c r="C808" s="28"/>
      <c r="D808" s="28"/>
      <c r="E808" s="66"/>
      <c r="F808" s="66"/>
      <c r="G808" s="66"/>
      <c r="H808" s="66"/>
    </row>
    <row r="809" spans="1:8">
      <c r="A809" s="27"/>
      <c r="C809" s="28"/>
      <c r="D809" s="28"/>
      <c r="E809" s="66"/>
      <c r="F809" s="66"/>
      <c r="G809" s="66"/>
      <c r="H809" s="66"/>
    </row>
    <row r="810" spans="1:8">
      <c r="A810" s="27"/>
      <c r="C810" s="28"/>
      <c r="D810" s="28"/>
      <c r="E810" s="66"/>
      <c r="F810" s="66"/>
      <c r="G810" s="66"/>
      <c r="H810" s="66"/>
    </row>
    <row r="811" spans="1:8">
      <c r="A811" s="27"/>
      <c r="C811" s="28"/>
      <c r="D811" s="28"/>
      <c r="E811" s="66"/>
      <c r="F811" s="66"/>
      <c r="G811" s="66"/>
      <c r="H811" s="66"/>
    </row>
    <row r="812" spans="1:8">
      <c r="A812" s="27"/>
      <c r="C812" s="28"/>
      <c r="D812" s="28"/>
      <c r="E812" s="66"/>
      <c r="F812" s="66"/>
      <c r="G812" s="66"/>
      <c r="H812" s="66"/>
    </row>
    <row r="813" spans="1:8">
      <c r="A813" s="27"/>
      <c r="C813" s="28"/>
      <c r="D813" s="28"/>
      <c r="E813" s="66"/>
      <c r="F813" s="66"/>
      <c r="G813" s="66"/>
      <c r="H813" s="66"/>
    </row>
    <row r="814" spans="1:8">
      <c r="A814" s="27"/>
      <c r="C814" s="28"/>
      <c r="D814" s="28"/>
      <c r="E814" s="66"/>
      <c r="F814" s="66"/>
      <c r="G814" s="66"/>
      <c r="H814" s="66"/>
    </row>
    <row r="815" spans="1:8">
      <c r="A815" s="27"/>
      <c r="C815" s="28"/>
      <c r="D815" s="28"/>
      <c r="E815" s="66"/>
      <c r="F815" s="66"/>
      <c r="G815" s="66"/>
      <c r="H815" s="66"/>
    </row>
    <row r="816" spans="1:8">
      <c r="A816" s="27"/>
      <c r="C816" s="28"/>
      <c r="D816" s="28"/>
      <c r="E816" s="66"/>
      <c r="F816" s="66"/>
      <c r="G816" s="66"/>
      <c r="H816" s="66"/>
    </row>
    <row r="817" spans="1:8">
      <c r="A817" s="27"/>
      <c r="C817" s="28"/>
      <c r="D817" s="28"/>
      <c r="E817" s="66"/>
      <c r="F817" s="66"/>
      <c r="G817" s="66"/>
      <c r="H817" s="66"/>
    </row>
    <row r="818" spans="1:8">
      <c r="A818" s="27"/>
      <c r="C818" s="28"/>
      <c r="D818" s="28"/>
      <c r="E818" s="66"/>
      <c r="F818" s="66"/>
      <c r="G818" s="66"/>
      <c r="H818" s="66"/>
    </row>
    <row r="819" spans="1:8">
      <c r="A819" s="27"/>
      <c r="C819" s="28"/>
      <c r="D819" s="28"/>
      <c r="E819" s="66"/>
      <c r="F819" s="66"/>
      <c r="G819" s="66"/>
      <c r="H819" s="66"/>
    </row>
    <row r="820" spans="1:8">
      <c r="A820" s="27"/>
      <c r="C820" s="28"/>
      <c r="D820" s="28"/>
      <c r="E820" s="66"/>
      <c r="F820" s="66"/>
      <c r="G820" s="66"/>
      <c r="H820" s="66"/>
    </row>
    <row r="821" spans="1:8">
      <c r="A821" s="27"/>
      <c r="C821" s="28"/>
      <c r="D821" s="28"/>
      <c r="E821" s="66"/>
      <c r="F821" s="66"/>
      <c r="G821" s="66"/>
      <c r="H821" s="66"/>
    </row>
    <row r="822" spans="1:8">
      <c r="A822" s="27"/>
      <c r="C822" s="28"/>
      <c r="D822" s="28"/>
      <c r="E822" s="66"/>
      <c r="F822" s="66"/>
      <c r="G822" s="66"/>
      <c r="H822" s="66"/>
    </row>
    <row r="823" spans="1:8">
      <c r="A823" s="27"/>
      <c r="C823" s="28"/>
      <c r="D823" s="28"/>
      <c r="E823" s="66"/>
      <c r="F823" s="66"/>
      <c r="G823" s="66"/>
      <c r="H823" s="66"/>
    </row>
    <row r="824" spans="1:8">
      <c r="A824" s="27"/>
      <c r="C824" s="28"/>
      <c r="D824" s="28"/>
      <c r="E824" s="66"/>
      <c r="F824" s="66"/>
      <c r="G824" s="66"/>
      <c r="H824" s="66"/>
    </row>
    <row r="825" spans="1:8">
      <c r="A825" s="27"/>
      <c r="C825" s="28"/>
      <c r="D825" s="28"/>
      <c r="E825" s="66"/>
      <c r="F825" s="66"/>
      <c r="G825" s="66"/>
      <c r="H825" s="66"/>
    </row>
    <row r="826" spans="1:8">
      <c r="A826" s="27"/>
      <c r="C826" s="28"/>
      <c r="D826" s="28"/>
      <c r="E826" s="66"/>
      <c r="F826" s="66"/>
      <c r="G826" s="66"/>
      <c r="H826" s="66"/>
    </row>
    <row r="827" spans="1:8">
      <c r="A827" s="27"/>
      <c r="C827" s="28"/>
      <c r="D827" s="28"/>
      <c r="E827" s="66"/>
      <c r="F827" s="66"/>
      <c r="G827" s="66"/>
      <c r="H827" s="66"/>
    </row>
    <row r="828" spans="1:8">
      <c r="A828" s="27"/>
      <c r="C828" s="28"/>
      <c r="D828" s="28"/>
      <c r="E828" s="66"/>
      <c r="F828" s="66"/>
      <c r="G828" s="66"/>
      <c r="H828" s="66"/>
    </row>
    <row r="829" spans="1:8">
      <c r="A829" s="27"/>
      <c r="C829" s="28"/>
      <c r="D829" s="28"/>
      <c r="E829" s="66"/>
      <c r="F829" s="66"/>
      <c r="G829" s="66"/>
      <c r="H829" s="66"/>
    </row>
    <row r="830" spans="1:8">
      <c r="A830" s="27"/>
      <c r="C830" s="28"/>
      <c r="D830" s="28"/>
      <c r="E830" s="66"/>
      <c r="F830" s="66"/>
      <c r="G830" s="66"/>
      <c r="H830" s="66"/>
    </row>
    <row r="831" spans="1:8">
      <c r="A831" s="27"/>
      <c r="C831" s="28"/>
      <c r="D831" s="28"/>
      <c r="E831" s="66"/>
      <c r="F831" s="66"/>
      <c r="G831" s="66"/>
      <c r="H831" s="66"/>
    </row>
    <row r="832" spans="1:8">
      <c r="A832" s="27"/>
      <c r="C832" s="28"/>
      <c r="D832" s="28"/>
      <c r="E832" s="66"/>
      <c r="F832" s="66"/>
      <c r="G832" s="66"/>
      <c r="H832" s="66"/>
    </row>
    <row r="833" spans="1:8">
      <c r="A833" s="27"/>
      <c r="C833" s="28"/>
      <c r="D833" s="28"/>
      <c r="E833" s="66"/>
      <c r="F833" s="66"/>
      <c r="G833" s="66"/>
      <c r="H833" s="66"/>
    </row>
    <row r="834" spans="1:8">
      <c r="A834" s="27"/>
      <c r="C834" s="28"/>
      <c r="D834" s="28"/>
      <c r="E834" s="66"/>
      <c r="F834" s="66"/>
      <c r="G834" s="66"/>
      <c r="H834" s="66"/>
    </row>
    <row r="835" spans="1:8">
      <c r="A835" s="27"/>
      <c r="C835" s="28"/>
      <c r="D835" s="28"/>
      <c r="E835" s="66"/>
      <c r="F835" s="66"/>
      <c r="G835" s="66"/>
      <c r="H835" s="66"/>
    </row>
    <row r="836" spans="1:8">
      <c r="A836" s="27"/>
      <c r="C836" s="28"/>
      <c r="D836" s="28"/>
      <c r="E836" s="66"/>
      <c r="F836" s="66"/>
      <c r="G836" s="66"/>
      <c r="H836" s="66"/>
    </row>
    <row r="837" spans="1:8">
      <c r="A837" s="27"/>
      <c r="C837" s="28"/>
      <c r="D837" s="28"/>
      <c r="E837" s="66"/>
      <c r="F837" s="66"/>
      <c r="G837" s="66"/>
      <c r="H837" s="66"/>
    </row>
    <row r="838" spans="1:8">
      <c r="A838" s="27"/>
      <c r="C838" s="28"/>
      <c r="D838" s="28"/>
      <c r="E838" s="66"/>
      <c r="F838" s="66"/>
      <c r="G838" s="66"/>
      <c r="H838" s="66"/>
    </row>
    <row r="839" spans="1:8">
      <c r="A839" s="27"/>
      <c r="C839" s="28"/>
      <c r="D839" s="28"/>
      <c r="E839" s="66"/>
      <c r="F839" s="66"/>
      <c r="G839" s="66"/>
      <c r="H839" s="66"/>
    </row>
    <row r="840" spans="1:8">
      <c r="A840" s="27"/>
      <c r="C840" s="28"/>
      <c r="D840" s="28"/>
      <c r="E840" s="66"/>
      <c r="F840" s="66"/>
      <c r="G840" s="66"/>
      <c r="H840" s="66"/>
    </row>
    <row r="841" spans="1:8">
      <c r="A841" s="27"/>
      <c r="C841" s="28"/>
      <c r="D841" s="28"/>
      <c r="E841" s="66"/>
      <c r="F841" s="66"/>
      <c r="G841" s="66"/>
      <c r="H841" s="66"/>
    </row>
    <row r="842" spans="1:8">
      <c r="A842" s="27"/>
      <c r="C842" s="28"/>
      <c r="D842" s="28"/>
      <c r="E842" s="66"/>
      <c r="F842" s="66"/>
      <c r="G842" s="66"/>
      <c r="H842" s="66"/>
    </row>
    <row r="843" spans="1:8">
      <c r="A843" s="27"/>
      <c r="C843" s="28"/>
      <c r="D843" s="28"/>
      <c r="E843" s="66"/>
      <c r="F843" s="66"/>
      <c r="G843" s="66"/>
      <c r="H843" s="66"/>
    </row>
    <row r="844" spans="1:8">
      <c r="A844" s="27"/>
      <c r="C844" s="28"/>
      <c r="D844" s="28"/>
      <c r="E844" s="66"/>
      <c r="F844" s="66"/>
      <c r="G844" s="66"/>
      <c r="H844" s="66"/>
    </row>
    <row r="845" spans="1:8">
      <c r="A845" s="27"/>
      <c r="C845" s="28"/>
      <c r="D845" s="28"/>
      <c r="E845" s="66"/>
      <c r="F845" s="66"/>
      <c r="G845" s="66"/>
      <c r="H845" s="66"/>
    </row>
    <row r="846" spans="1:8">
      <c r="A846" s="27"/>
      <c r="C846" s="28"/>
      <c r="D846" s="28"/>
      <c r="E846" s="66"/>
      <c r="F846" s="66"/>
      <c r="G846" s="66"/>
      <c r="H846" s="66"/>
    </row>
    <row r="847" spans="1:8">
      <c r="A847" s="27"/>
      <c r="C847" s="28"/>
      <c r="D847" s="28"/>
      <c r="E847" s="66"/>
      <c r="F847" s="66"/>
      <c r="G847" s="66"/>
      <c r="H847" s="66"/>
    </row>
    <row r="848" spans="1:8">
      <c r="A848" s="27"/>
      <c r="C848" s="28"/>
      <c r="D848" s="28"/>
      <c r="E848" s="66"/>
      <c r="F848" s="66"/>
      <c r="G848" s="66"/>
      <c r="H848" s="66"/>
    </row>
    <row r="849" spans="1:8">
      <c r="A849" s="27"/>
      <c r="C849" s="28"/>
      <c r="D849" s="28"/>
      <c r="E849" s="66"/>
      <c r="F849" s="66"/>
      <c r="G849" s="66"/>
      <c r="H849" s="66"/>
    </row>
    <row r="850" spans="1:8">
      <c r="A850" s="27"/>
      <c r="C850" s="28"/>
      <c r="D850" s="28"/>
      <c r="E850" s="66"/>
      <c r="F850" s="66"/>
      <c r="G850" s="66"/>
      <c r="H850" s="66"/>
    </row>
    <row r="851" spans="1:8">
      <c r="A851" s="27"/>
      <c r="C851" s="28"/>
      <c r="D851" s="28"/>
      <c r="E851" s="66"/>
      <c r="F851" s="66"/>
      <c r="G851" s="66"/>
      <c r="H851" s="66"/>
    </row>
    <row r="852" spans="1:8">
      <c r="A852" s="27"/>
      <c r="C852" s="28"/>
      <c r="D852" s="28"/>
      <c r="E852" s="66"/>
      <c r="F852" s="66"/>
      <c r="G852" s="66"/>
      <c r="H852" s="66"/>
    </row>
    <row r="853" spans="1:8">
      <c r="A853" s="27"/>
      <c r="C853" s="28"/>
      <c r="D853" s="28"/>
      <c r="E853" s="66"/>
      <c r="F853" s="66"/>
      <c r="G853" s="66"/>
      <c r="H853" s="66"/>
    </row>
    <row r="854" spans="1:8">
      <c r="A854" s="27"/>
      <c r="C854" s="28"/>
      <c r="D854" s="28"/>
      <c r="E854" s="66"/>
      <c r="F854" s="66"/>
      <c r="G854" s="66"/>
      <c r="H854" s="66"/>
    </row>
    <row r="855" spans="1:8">
      <c r="A855" s="27"/>
      <c r="C855" s="28"/>
      <c r="D855" s="28"/>
      <c r="E855" s="66"/>
      <c r="F855" s="66"/>
      <c r="G855" s="66"/>
      <c r="H855" s="66"/>
    </row>
    <row r="856" spans="1:8">
      <c r="A856" s="27"/>
      <c r="C856" s="28"/>
      <c r="D856" s="28"/>
      <c r="E856" s="66"/>
      <c r="F856" s="66"/>
      <c r="G856" s="66"/>
      <c r="H856" s="66"/>
    </row>
    <row r="857" spans="1:8">
      <c r="A857" s="27"/>
      <c r="C857" s="28"/>
      <c r="D857" s="28"/>
      <c r="E857" s="66"/>
      <c r="F857" s="66"/>
      <c r="G857" s="66"/>
      <c r="H857" s="66"/>
    </row>
    <row r="858" spans="1:8">
      <c r="A858" s="27"/>
      <c r="C858" s="28"/>
      <c r="D858" s="28"/>
      <c r="E858" s="66"/>
      <c r="F858" s="66"/>
      <c r="G858" s="66"/>
      <c r="H858" s="66"/>
    </row>
    <row r="859" spans="1:8">
      <c r="A859" s="27"/>
      <c r="C859" s="28"/>
      <c r="D859" s="28"/>
      <c r="E859" s="66"/>
      <c r="F859" s="66"/>
      <c r="G859" s="66"/>
      <c r="H859" s="66"/>
    </row>
    <row r="860" spans="1:8">
      <c r="A860" s="27"/>
      <c r="C860" s="28"/>
      <c r="D860" s="28"/>
      <c r="E860" s="66"/>
      <c r="F860" s="66"/>
      <c r="G860" s="66"/>
      <c r="H860" s="66"/>
    </row>
    <row r="861" spans="1:8">
      <c r="A861" s="27"/>
      <c r="C861" s="28"/>
      <c r="D861" s="28"/>
      <c r="E861" s="66"/>
      <c r="F861" s="66"/>
      <c r="G861" s="66"/>
      <c r="H861" s="66"/>
    </row>
    <row r="862" spans="1:8">
      <c r="A862" s="27"/>
      <c r="C862" s="28"/>
      <c r="D862" s="28"/>
      <c r="E862" s="66"/>
      <c r="F862" s="66"/>
      <c r="G862" s="66"/>
      <c r="H862" s="66"/>
    </row>
    <row r="863" spans="1:8">
      <c r="A863" s="27"/>
      <c r="C863" s="28"/>
      <c r="D863" s="28"/>
      <c r="E863" s="66"/>
      <c r="F863" s="66"/>
      <c r="G863" s="66"/>
      <c r="H863" s="66"/>
    </row>
    <row r="864" spans="1:8">
      <c r="A864" s="27"/>
      <c r="C864" s="28"/>
      <c r="D864" s="28"/>
      <c r="E864" s="66"/>
      <c r="F864" s="66"/>
      <c r="G864" s="66"/>
      <c r="H864" s="66"/>
    </row>
    <row r="865" spans="1:8">
      <c r="A865" s="27"/>
      <c r="C865" s="28"/>
      <c r="D865" s="28"/>
      <c r="E865" s="66"/>
      <c r="F865" s="66"/>
      <c r="G865" s="66"/>
      <c r="H865" s="66"/>
    </row>
    <row r="866" spans="1:8">
      <c r="A866" s="27"/>
      <c r="C866" s="28"/>
      <c r="D866" s="28"/>
      <c r="E866" s="66"/>
      <c r="F866" s="66"/>
      <c r="G866" s="66"/>
      <c r="H866" s="66"/>
    </row>
    <row r="867" spans="1:8">
      <c r="A867" s="27"/>
      <c r="C867" s="28"/>
      <c r="D867" s="28"/>
      <c r="E867" s="66"/>
      <c r="F867" s="66"/>
      <c r="G867" s="66"/>
      <c r="H867" s="66"/>
    </row>
    <row r="868" spans="1:8">
      <c r="A868" s="27"/>
      <c r="C868" s="28"/>
      <c r="D868" s="28"/>
      <c r="E868" s="66"/>
      <c r="F868" s="66"/>
      <c r="G868" s="66"/>
      <c r="H868" s="66"/>
    </row>
    <row r="869" spans="1:8">
      <c r="A869" s="27"/>
      <c r="C869" s="28"/>
      <c r="D869" s="28"/>
      <c r="E869" s="66"/>
      <c r="F869" s="66"/>
      <c r="G869" s="66"/>
      <c r="H869" s="66"/>
    </row>
    <row r="870" spans="1:8">
      <c r="A870" s="27"/>
      <c r="C870" s="28"/>
      <c r="D870" s="28"/>
      <c r="E870" s="66"/>
      <c r="F870" s="66"/>
      <c r="G870" s="66"/>
      <c r="H870" s="66"/>
    </row>
    <row r="871" spans="1:8">
      <c r="A871" s="27"/>
      <c r="C871" s="28"/>
      <c r="D871" s="28"/>
      <c r="E871" s="66"/>
      <c r="F871" s="66"/>
      <c r="G871" s="66"/>
      <c r="H871" s="66"/>
    </row>
    <row r="872" spans="1:8">
      <c r="A872" s="27"/>
      <c r="C872" s="28"/>
      <c r="D872" s="28"/>
      <c r="E872" s="66"/>
      <c r="F872" s="66"/>
      <c r="G872" s="66"/>
      <c r="H872" s="66"/>
    </row>
    <row r="873" spans="1:8">
      <c r="A873" s="27"/>
      <c r="C873" s="28"/>
      <c r="D873" s="28"/>
      <c r="E873" s="66"/>
      <c r="F873" s="66"/>
      <c r="G873" s="66"/>
      <c r="H873" s="66"/>
    </row>
    <row r="874" spans="1:8">
      <c r="A874" s="27"/>
      <c r="C874" s="28"/>
      <c r="D874" s="28"/>
      <c r="E874" s="66"/>
      <c r="F874" s="66"/>
      <c r="G874" s="66"/>
      <c r="H874" s="66"/>
    </row>
    <row r="875" spans="1:8">
      <c r="A875" s="27"/>
      <c r="C875" s="28"/>
      <c r="D875" s="28"/>
      <c r="E875" s="66"/>
      <c r="F875" s="66"/>
      <c r="G875" s="66"/>
      <c r="H875" s="66"/>
    </row>
    <row r="876" spans="1:8">
      <c r="A876" s="27"/>
      <c r="C876" s="28"/>
      <c r="D876" s="28"/>
      <c r="E876" s="66"/>
      <c r="F876" s="66"/>
      <c r="G876" s="66"/>
      <c r="H876" s="66"/>
    </row>
    <row r="877" spans="1:8">
      <c r="A877" s="27"/>
      <c r="C877" s="28"/>
      <c r="D877" s="28"/>
      <c r="E877" s="66"/>
      <c r="F877" s="66"/>
      <c r="G877" s="66"/>
      <c r="H877" s="66"/>
    </row>
    <row r="878" spans="1:8">
      <c r="A878" s="27"/>
      <c r="C878" s="28"/>
      <c r="D878" s="28"/>
      <c r="E878" s="66"/>
      <c r="F878" s="66"/>
      <c r="G878" s="66"/>
      <c r="H878" s="66"/>
    </row>
    <row r="879" spans="1:8">
      <c r="A879" s="27"/>
      <c r="C879" s="28"/>
      <c r="D879" s="28"/>
      <c r="E879" s="66"/>
      <c r="F879" s="66"/>
      <c r="G879" s="66"/>
      <c r="H879" s="66"/>
    </row>
    <row r="880" spans="1:8">
      <c r="A880" s="27"/>
      <c r="C880" s="28"/>
      <c r="D880" s="28"/>
      <c r="E880" s="66"/>
      <c r="F880" s="66"/>
      <c r="G880" s="66"/>
      <c r="H880" s="66"/>
    </row>
    <row r="881" spans="1:8">
      <c r="A881" s="27"/>
      <c r="C881" s="28"/>
      <c r="D881" s="28"/>
      <c r="E881" s="66"/>
      <c r="F881" s="66"/>
      <c r="G881" s="66"/>
      <c r="H881" s="66"/>
    </row>
    <row r="882" spans="1:8">
      <c r="A882" s="27"/>
      <c r="C882" s="28"/>
      <c r="D882" s="28"/>
      <c r="E882" s="66"/>
      <c r="F882" s="66"/>
      <c r="G882" s="66"/>
      <c r="H882" s="66"/>
    </row>
    <row r="883" spans="1:8">
      <c r="A883" s="27"/>
      <c r="C883" s="28"/>
      <c r="D883" s="28"/>
      <c r="E883" s="66"/>
      <c r="F883" s="66"/>
      <c r="G883" s="66"/>
      <c r="H883" s="66"/>
    </row>
    <row r="884" spans="1:8">
      <c r="A884" s="27"/>
      <c r="C884" s="28"/>
      <c r="D884" s="28"/>
      <c r="E884" s="66"/>
      <c r="F884" s="66"/>
      <c r="G884" s="66"/>
      <c r="H884" s="66"/>
    </row>
    <row r="885" spans="1:8">
      <c r="A885" s="27"/>
      <c r="C885" s="28"/>
      <c r="D885" s="28"/>
      <c r="E885" s="66"/>
      <c r="F885" s="66"/>
      <c r="G885" s="66"/>
      <c r="H885" s="66"/>
    </row>
    <row r="886" spans="1:8">
      <c r="A886" s="27"/>
      <c r="C886" s="28"/>
      <c r="D886" s="28"/>
      <c r="E886" s="66"/>
      <c r="F886" s="66"/>
      <c r="G886" s="66"/>
      <c r="H886" s="66"/>
    </row>
    <row r="887" spans="1:8">
      <c r="A887" s="27"/>
      <c r="C887" s="28"/>
      <c r="D887" s="28"/>
      <c r="E887" s="66"/>
      <c r="F887" s="66"/>
      <c r="G887" s="66"/>
      <c r="H887" s="66"/>
    </row>
    <row r="888" spans="1:8">
      <c r="A888" s="27"/>
      <c r="C888" s="28"/>
      <c r="D888" s="28"/>
      <c r="E888" s="66"/>
      <c r="F888" s="66"/>
      <c r="G888" s="66"/>
      <c r="H888" s="66"/>
    </row>
    <row r="889" spans="1:8">
      <c r="A889" s="27"/>
      <c r="C889" s="28"/>
      <c r="D889" s="28"/>
      <c r="E889" s="66"/>
      <c r="F889" s="66"/>
      <c r="G889" s="66"/>
      <c r="H889" s="66"/>
    </row>
    <row r="890" spans="1:8">
      <c r="A890" s="27"/>
      <c r="C890" s="28"/>
      <c r="D890" s="28"/>
      <c r="E890" s="66"/>
      <c r="F890" s="66"/>
      <c r="G890" s="66"/>
      <c r="H890" s="66"/>
    </row>
    <row r="891" spans="1:8">
      <c r="A891" s="27"/>
      <c r="C891" s="28"/>
      <c r="D891" s="28"/>
      <c r="E891" s="66"/>
      <c r="F891" s="66"/>
      <c r="G891" s="66"/>
      <c r="H891" s="66"/>
    </row>
    <row r="892" spans="1:8">
      <c r="A892" s="27"/>
      <c r="C892" s="28"/>
      <c r="D892" s="28"/>
      <c r="E892" s="66"/>
      <c r="F892" s="66"/>
      <c r="G892" s="66"/>
      <c r="H892" s="66"/>
    </row>
    <row r="893" spans="1:8">
      <c r="A893" s="27"/>
      <c r="C893" s="28"/>
      <c r="D893" s="28"/>
      <c r="E893" s="66"/>
      <c r="F893" s="66"/>
      <c r="G893" s="66"/>
      <c r="H893" s="66"/>
    </row>
    <row r="894" spans="1:8">
      <c r="A894" s="27"/>
      <c r="C894" s="28"/>
      <c r="D894" s="28"/>
      <c r="E894" s="66"/>
      <c r="F894" s="66"/>
      <c r="G894" s="66"/>
      <c r="H894" s="66"/>
    </row>
    <row r="895" spans="1:8">
      <c r="A895" s="27"/>
      <c r="C895" s="28"/>
      <c r="D895" s="28"/>
      <c r="E895" s="66"/>
      <c r="F895" s="66"/>
      <c r="G895" s="66"/>
      <c r="H895" s="66"/>
    </row>
    <row r="896" spans="1:8">
      <c r="A896" s="27"/>
      <c r="C896" s="28"/>
      <c r="D896" s="28"/>
      <c r="E896" s="66"/>
      <c r="F896" s="66"/>
      <c r="G896" s="66"/>
      <c r="H896" s="66"/>
    </row>
    <row r="897" spans="1:8">
      <c r="A897" s="27"/>
      <c r="C897" s="28"/>
      <c r="D897" s="28"/>
      <c r="E897" s="66"/>
      <c r="F897" s="66"/>
      <c r="G897" s="66"/>
      <c r="H897" s="66"/>
    </row>
    <row r="898" spans="1:8">
      <c r="A898" s="27"/>
      <c r="C898" s="28"/>
      <c r="D898" s="28"/>
      <c r="E898" s="66"/>
      <c r="F898" s="66"/>
      <c r="G898" s="66"/>
      <c r="H898" s="66"/>
    </row>
    <row r="899" spans="1:8">
      <c r="A899" s="27"/>
      <c r="C899" s="28"/>
      <c r="D899" s="28"/>
      <c r="E899" s="66"/>
      <c r="F899" s="66"/>
      <c r="G899" s="66"/>
      <c r="H899" s="66"/>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18" max="7" man="1"/>
  </rowBreak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pageSetUpPr fitToPage="1"/>
  </sheetPr>
  <dimension ref="A1:H892"/>
  <sheetViews>
    <sheetView showGridLines="0" view="pageBreakPreview" zoomScaleNormal="76" workbookViewId="0">
      <selection activeCell="E27" sqref="E27"/>
    </sheetView>
  </sheetViews>
  <sheetFormatPr defaultColWidth="9.25" defaultRowHeight="13.8" outlineLevelCol="7"/>
  <cols>
    <col min="1" max="1" width="7.62962962962963" style="31" customWidth="1"/>
    <col min="2" max="2" width="39.5" style="27" customWidth="1"/>
    <col min="3" max="4" width="30.75" style="32" customWidth="1"/>
    <col min="5" max="8" width="13.8796296296296" style="45" customWidth="1"/>
    <col min="9" max="16384" width="9.25" style="31"/>
  </cols>
  <sheetData>
    <row r="1" s="6" customFormat="1" spans="1:8">
      <c r="A1" s="6" t="s">
        <v>2683</v>
      </c>
      <c r="C1" s="7"/>
      <c r="D1" s="7"/>
    </row>
    <row r="2" spans="1:8">
      <c r="A2" s="8" t="s">
        <v>4</v>
      </c>
      <c r="B2" s="8"/>
      <c r="C2" s="8"/>
      <c r="D2" s="8"/>
      <c r="E2" s="34"/>
      <c r="F2" s="34"/>
      <c r="G2" s="34"/>
      <c r="H2" s="34"/>
    </row>
    <row r="3" spans="1:8">
      <c r="A3" s="9" t="s">
        <v>5</v>
      </c>
      <c r="B3" s="9" t="s">
        <v>6</v>
      </c>
      <c r="C3" s="9" t="s">
        <v>7</v>
      </c>
      <c r="D3" s="9"/>
      <c r="E3" s="10" t="s">
        <v>8</v>
      </c>
      <c r="F3" s="10"/>
      <c r="G3" s="10"/>
      <c r="H3" s="10"/>
    </row>
    <row r="4" spans="1:8">
      <c r="A4" s="11"/>
      <c r="B4" s="11"/>
      <c r="C4" s="9" t="s">
        <v>9</v>
      </c>
      <c r="D4" s="9" t="s">
        <v>10</v>
      </c>
      <c r="E4" s="10" t="s">
        <v>11</v>
      </c>
      <c r="F4" s="10" t="s">
        <v>12</v>
      </c>
      <c r="G4" s="10" t="s">
        <v>13</v>
      </c>
      <c r="H4" s="10" t="s">
        <v>14</v>
      </c>
    </row>
    <row r="5" spans="1:8">
      <c r="A5" s="47" t="s">
        <v>140</v>
      </c>
      <c r="B5" s="58"/>
      <c r="C5" s="59"/>
      <c r="D5" s="59"/>
      <c r="E5" s="10" t="s">
        <v>16</v>
      </c>
      <c r="F5" s="10" t="s">
        <v>16</v>
      </c>
      <c r="G5" s="10" t="s">
        <v>16</v>
      </c>
      <c r="H5" s="10" t="s">
        <v>16</v>
      </c>
    </row>
    <row r="6" spans="1:8">
      <c r="A6" s="36">
        <v>1</v>
      </c>
      <c r="B6" s="20" t="s">
        <v>2684</v>
      </c>
      <c r="C6" s="15"/>
      <c r="D6" s="15"/>
      <c r="E6" s="60" t="s">
        <v>16</v>
      </c>
      <c r="F6" s="61" t="s">
        <v>16</v>
      </c>
      <c r="G6" s="61" t="s">
        <v>16</v>
      </c>
      <c r="H6" s="19" t="s">
        <v>16</v>
      </c>
    </row>
    <row r="7" ht="27.6" spans="1:8">
      <c r="A7" s="36"/>
      <c r="B7" s="20" t="s">
        <v>2685</v>
      </c>
      <c r="C7" s="15"/>
      <c r="D7" s="15"/>
      <c r="E7" s="60">
        <v>650000</v>
      </c>
      <c r="F7" s="61">
        <v>455000</v>
      </c>
      <c r="G7" s="61">
        <v>320000</v>
      </c>
      <c r="H7" s="22">
        <v>0</v>
      </c>
    </row>
    <row r="8" ht="27.6" spans="1:8">
      <c r="A8" s="36"/>
      <c r="B8" s="20" t="s">
        <v>2686</v>
      </c>
      <c r="C8" s="15"/>
      <c r="D8" s="15"/>
      <c r="E8" s="60">
        <v>300000</v>
      </c>
      <c r="F8" s="61">
        <v>210000</v>
      </c>
      <c r="G8" s="61">
        <v>145000</v>
      </c>
      <c r="H8" s="22">
        <v>0</v>
      </c>
    </row>
    <row r="9" spans="1:8">
      <c r="A9" s="36">
        <v>2</v>
      </c>
      <c r="B9" s="20" t="s">
        <v>2687</v>
      </c>
      <c r="C9" s="15"/>
      <c r="D9" s="15"/>
      <c r="E9" s="23">
        <v>600000</v>
      </c>
      <c r="F9" s="23">
        <v>420000</v>
      </c>
      <c r="G9" s="23">
        <v>295000</v>
      </c>
      <c r="H9" s="23">
        <v>0</v>
      </c>
    </row>
    <row r="10" ht="27.6" spans="1:8">
      <c r="A10" s="36">
        <v>3</v>
      </c>
      <c r="B10" s="20" t="s">
        <v>2688</v>
      </c>
      <c r="C10" s="15"/>
      <c r="D10" s="15"/>
      <c r="E10" s="23">
        <v>500000</v>
      </c>
      <c r="F10" s="23">
        <v>350000</v>
      </c>
      <c r="G10" s="23">
        <v>250000</v>
      </c>
      <c r="H10" s="23">
        <v>0</v>
      </c>
    </row>
    <row r="11" ht="27.6" spans="1:8">
      <c r="A11" s="36">
        <v>4</v>
      </c>
      <c r="B11" s="20" t="s">
        <v>2689</v>
      </c>
      <c r="C11" s="15"/>
      <c r="D11" s="15"/>
      <c r="E11" s="23">
        <v>350000</v>
      </c>
      <c r="F11" s="23">
        <v>245000</v>
      </c>
      <c r="G11" s="23">
        <v>175000</v>
      </c>
      <c r="H11" s="23">
        <v>0</v>
      </c>
    </row>
    <row r="12" spans="1:8">
      <c r="A12" s="47" t="s">
        <v>167</v>
      </c>
      <c r="B12" s="58"/>
      <c r="C12" s="59"/>
      <c r="D12" s="59"/>
      <c r="E12" s="23" t="s">
        <v>16</v>
      </c>
      <c r="F12" s="23" t="s">
        <v>16</v>
      </c>
      <c r="G12" s="23" t="s">
        <v>16</v>
      </c>
      <c r="H12" s="23" t="s">
        <v>16</v>
      </c>
    </row>
    <row r="13" ht="138" spans="1:8">
      <c r="A13" s="36">
        <v>5</v>
      </c>
      <c r="B13" s="20" t="s">
        <v>2690</v>
      </c>
      <c r="C13" s="15"/>
      <c r="D13" s="15"/>
      <c r="E13" s="23">
        <v>200000</v>
      </c>
      <c r="F13" s="23">
        <v>135000</v>
      </c>
      <c r="G13" s="23">
        <v>0</v>
      </c>
      <c r="H13" s="23">
        <v>0</v>
      </c>
    </row>
    <row r="14" ht="55.2" spans="1:8">
      <c r="A14" s="36">
        <v>6</v>
      </c>
      <c r="B14" s="20" t="s">
        <v>2691</v>
      </c>
      <c r="C14" s="15"/>
      <c r="D14" s="15"/>
      <c r="E14" s="23">
        <v>140000</v>
      </c>
      <c r="F14" s="23">
        <v>95000</v>
      </c>
      <c r="G14" s="23">
        <v>0</v>
      </c>
      <c r="H14" s="23">
        <v>0</v>
      </c>
    </row>
    <row r="15" spans="1:8">
      <c r="A15" s="36">
        <v>7</v>
      </c>
      <c r="B15" s="20" t="s">
        <v>843</v>
      </c>
      <c r="C15" s="15"/>
      <c r="D15" s="15"/>
      <c r="E15" s="23">
        <v>90000</v>
      </c>
      <c r="F15" s="23">
        <v>0</v>
      </c>
      <c r="G15" s="23">
        <v>0</v>
      </c>
      <c r="H15" s="23">
        <v>0</v>
      </c>
    </row>
    <row r="16" spans="1:8">
      <c r="A16" s="20"/>
      <c r="B16" s="20"/>
      <c r="C16" s="18"/>
      <c r="D16" s="18"/>
      <c r="E16" s="23" t="s">
        <v>16</v>
      </c>
      <c r="F16" s="23" t="s">
        <v>16</v>
      </c>
      <c r="G16" s="23" t="s">
        <v>16</v>
      </c>
      <c r="H16" s="23" t="s">
        <v>16</v>
      </c>
    </row>
    <row r="17" spans="1:8">
      <c r="A17" s="20"/>
      <c r="B17" s="20"/>
      <c r="C17" s="18"/>
      <c r="D17" s="18"/>
      <c r="E17" s="23" t="s">
        <v>16</v>
      </c>
      <c r="F17" s="23" t="s">
        <v>16</v>
      </c>
      <c r="G17" s="23" t="s">
        <v>16</v>
      </c>
      <c r="H17" s="23" t="s">
        <v>16</v>
      </c>
    </row>
    <row r="18" spans="1:8">
      <c r="A18" s="20"/>
      <c r="B18" s="20"/>
      <c r="C18" s="18"/>
      <c r="D18" s="18"/>
      <c r="E18" s="23" t="s">
        <v>16</v>
      </c>
      <c r="F18" s="23" t="s">
        <v>16</v>
      </c>
      <c r="G18" s="23" t="s">
        <v>16</v>
      </c>
      <c r="H18" s="23" t="s">
        <v>16</v>
      </c>
    </row>
    <row r="19" spans="1:8">
      <c r="A19" s="20"/>
      <c r="B19" s="20"/>
      <c r="C19" s="18"/>
      <c r="D19" s="18"/>
      <c r="E19" s="23" t="s">
        <v>16</v>
      </c>
      <c r="F19" s="23" t="s">
        <v>16</v>
      </c>
      <c r="G19" s="23" t="s">
        <v>16</v>
      </c>
      <c r="H19" s="23" t="s">
        <v>16</v>
      </c>
    </row>
    <row r="20" spans="1:8">
      <c r="A20" s="20"/>
      <c r="B20" s="20"/>
      <c r="C20" s="18"/>
      <c r="D20" s="18"/>
      <c r="E20" s="23" t="s">
        <v>16</v>
      </c>
      <c r="F20" s="23" t="s">
        <v>16</v>
      </c>
      <c r="G20" s="23" t="s">
        <v>16</v>
      </c>
      <c r="H20" s="23" t="s">
        <v>16</v>
      </c>
    </row>
    <row r="21" spans="1:8">
      <c r="A21" s="20"/>
      <c r="B21" s="20"/>
      <c r="C21" s="18"/>
      <c r="D21" s="18"/>
      <c r="E21" s="23" t="s">
        <v>16</v>
      </c>
      <c r="F21" s="23" t="s">
        <v>16</v>
      </c>
      <c r="G21" s="23" t="s">
        <v>16</v>
      </c>
      <c r="H21" s="23" t="s">
        <v>16</v>
      </c>
    </row>
    <row r="22" spans="1:8">
      <c r="A22" s="20"/>
      <c r="B22" s="20"/>
      <c r="C22" s="18"/>
      <c r="D22" s="18"/>
      <c r="E22" s="23" t="s">
        <v>16</v>
      </c>
      <c r="F22" s="23" t="s">
        <v>16</v>
      </c>
      <c r="G22" s="23" t="s">
        <v>16</v>
      </c>
      <c r="H22" s="23" t="s">
        <v>16</v>
      </c>
    </row>
    <row r="23" spans="1:8">
      <c r="A23" s="20"/>
      <c r="B23" s="20"/>
      <c r="C23" s="18"/>
      <c r="D23" s="18"/>
      <c r="E23" s="23" t="s">
        <v>16</v>
      </c>
      <c r="F23" s="23" t="s">
        <v>16</v>
      </c>
      <c r="G23" s="23" t="s">
        <v>16</v>
      </c>
      <c r="H23" s="23" t="s">
        <v>16</v>
      </c>
    </row>
    <row r="24" spans="1:8">
      <c r="A24" s="20"/>
      <c r="B24" s="20"/>
      <c r="C24" s="18"/>
      <c r="D24" s="18"/>
      <c r="E24" s="23" t="s">
        <v>16</v>
      </c>
      <c r="F24" s="23" t="s">
        <v>16</v>
      </c>
      <c r="G24" s="23" t="s">
        <v>16</v>
      </c>
      <c r="H24" s="23" t="s">
        <v>16</v>
      </c>
    </row>
    <row r="25" spans="1:8">
      <c r="A25" s="20"/>
      <c r="B25" s="20"/>
      <c r="C25" s="18"/>
      <c r="D25" s="18"/>
      <c r="E25" s="23" t="s">
        <v>16</v>
      </c>
      <c r="F25" s="23" t="s">
        <v>16</v>
      </c>
      <c r="G25" s="23" t="s">
        <v>16</v>
      </c>
      <c r="H25" s="23" t="s">
        <v>16</v>
      </c>
    </row>
    <row r="26" spans="1:8">
      <c r="A26" s="20"/>
      <c r="B26" s="20"/>
      <c r="C26" s="18"/>
      <c r="D26" s="18"/>
      <c r="E26" s="23" t="s">
        <v>16</v>
      </c>
      <c r="F26" s="23" t="s">
        <v>16</v>
      </c>
      <c r="G26" s="23" t="s">
        <v>16</v>
      </c>
      <c r="H26" s="23" t="s">
        <v>16</v>
      </c>
    </row>
    <row r="27" spans="1:8">
      <c r="A27" s="20"/>
      <c r="B27" s="20"/>
      <c r="C27" s="18"/>
      <c r="D27" s="18"/>
      <c r="E27" s="23" t="s">
        <v>16</v>
      </c>
      <c r="F27" s="23" t="s">
        <v>16</v>
      </c>
      <c r="G27" s="23" t="s">
        <v>16</v>
      </c>
      <c r="H27" s="23" t="s">
        <v>16</v>
      </c>
    </row>
    <row r="28" spans="1:8">
      <c r="A28" s="20"/>
      <c r="B28" s="20"/>
      <c r="C28" s="18"/>
      <c r="D28" s="18"/>
      <c r="E28" s="23" t="s">
        <v>16</v>
      </c>
      <c r="F28" s="23" t="s">
        <v>16</v>
      </c>
      <c r="G28" s="23" t="s">
        <v>16</v>
      </c>
      <c r="H28" s="23" t="s">
        <v>16</v>
      </c>
    </row>
    <row r="29" spans="1:8">
      <c r="A29" s="20"/>
      <c r="B29" s="20"/>
      <c r="C29" s="18"/>
      <c r="D29" s="18"/>
      <c r="E29" s="23" t="s">
        <v>16</v>
      </c>
      <c r="F29" s="23" t="s">
        <v>16</v>
      </c>
      <c r="G29" s="23" t="s">
        <v>16</v>
      </c>
      <c r="H29" s="23" t="s">
        <v>16</v>
      </c>
    </row>
    <row r="30" spans="1:8">
      <c r="A30" s="16"/>
      <c r="B30" s="20"/>
      <c r="C30" s="18"/>
      <c r="D30" s="18"/>
      <c r="E30" s="23" t="s">
        <v>16</v>
      </c>
      <c r="F30" s="23" t="s">
        <v>16</v>
      </c>
      <c r="G30" s="23" t="s">
        <v>16</v>
      </c>
      <c r="H30" s="23" t="s">
        <v>16</v>
      </c>
    </row>
    <row r="31" spans="1:8">
      <c r="A31" s="20"/>
      <c r="B31" s="20"/>
      <c r="C31" s="18"/>
      <c r="D31" s="18"/>
      <c r="E31" s="23" t="s">
        <v>16</v>
      </c>
      <c r="F31" s="23" t="s">
        <v>16</v>
      </c>
      <c r="G31" s="23" t="s">
        <v>16</v>
      </c>
      <c r="H31" s="23" t="s">
        <v>16</v>
      </c>
    </row>
    <row r="32" spans="1:8">
      <c r="A32" s="20"/>
      <c r="B32" s="20"/>
      <c r="C32" s="18"/>
      <c r="D32" s="18"/>
      <c r="E32" s="23" t="s">
        <v>16</v>
      </c>
      <c r="F32" s="23" t="s">
        <v>16</v>
      </c>
      <c r="G32" s="23" t="s">
        <v>16</v>
      </c>
      <c r="H32" s="23" t="s">
        <v>16</v>
      </c>
    </row>
    <row r="33" spans="1:8">
      <c r="A33" s="20"/>
      <c r="B33" s="20"/>
      <c r="C33" s="18"/>
      <c r="D33" s="18"/>
      <c r="E33" s="23" t="s">
        <v>16</v>
      </c>
      <c r="F33" s="23" t="s">
        <v>16</v>
      </c>
      <c r="G33" s="23" t="s">
        <v>16</v>
      </c>
      <c r="H33" s="23" t="s">
        <v>16</v>
      </c>
    </row>
    <row r="34" spans="1:8">
      <c r="A34" s="20"/>
      <c r="B34" s="20"/>
      <c r="C34" s="18"/>
      <c r="D34" s="18"/>
      <c r="E34" s="23" t="s">
        <v>16</v>
      </c>
      <c r="F34" s="23" t="s">
        <v>16</v>
      </c>
      <c r="G34" s="23" t="s">
        <v>16</v>
      </c>
      <c r="H34" s="23" t="s">
        <v>16</v>
      </c>
    </row>
    <row r="35" spans="1:8">
      <c r="A35" s="20"/>
      <c r="B35" s="20"/>
      <c r="C35" s="18"/>
      <c r="D35" s="18"/>
      <c r="E35" s="23" t="s">
        <v>16</v>
      </c>
      <c r="F35" s="23" t="s">
        <v>16</v>
      </c>
      <c r="G35" s="23" t="s">
        <v>16</v>
      </c>
      <c r="H35" s="23" t="s">
        <v>16</v>
      </c>
    </row>
    <row r="36" spans="1:8">
      <c r="A36" s="20"/>
      <c r="B36" s="20"/>
      <c r="C36" s="18"/>
      <c r="D36" s="18"/>
      <c r="E36" s="23" t="s">
        <v>16</v>
      </c>
      <c r="F36" s="23" t="s">
        <v>16</v>
      </c>
      <c r="G36" s="23" t="s">
        <v>16</v>
      </c>
      <c r="H36" s="23" t="s">
        <v>16</v>
      </c>
    </row>
    <row r="37" spans="1:8">
      <c r="A37" s="20"/>
      <c r="B37" s="20"/>
      <c r="C37" s="18"/>
      <c r="D37" s="18"/>
      <c r="E37" s="23" t="s">
        <v>16</v>
      </c>
      <c r="F37" s="23" t="s">
        <v>16</v>
      </c>
      <c r="G37" s="23" t="s">
        <v>16</v>
      </c>
      <c r="H37" s="23" t="s">
        <v>16</v>
      </c>
    </row>
    <row r="38" spans="1:8">
      <c r="A38" s="20"/>
      <c r="B38" s="20"/>
      <c r="C38" s="18"/>
      <c r="D38" s="18"/>
      <c r="E38" s="23" t="s">
        <v>16</v>
      </c>
      <c r="F38" s="23" t="s">
        <v>16</v>
      </c>
      <c r="G38" s="23" t="s">
        <v>16</v>
      </c>
      <c r="H38" s="23" t="s">
        <v>16</v>
      </c>
    </row>
    <row r="39" spans="1:8">
      <c r="A39" s="20"/>
      <c r="B39" s="20"/>
      <c r="C39" s="18"/>
      <c r="D39" s="18"/>
      <c r="E39" s="23" t="s">
        <v>16</v>
      </c>
      <c r="F39" s="23" t="s">
        <v>16</v>
      </c>
      <c r="G39" s="23" t="s">
        <v>16</v>
      </c>
      <c r="H39" s="23" t="s">
        <v>16</v>
      </c>
    </row>
    <row r="40" spans="1:8">
      <c r="A40" s="20"/>
      <c r="B40" s="20"/>
      <c r="C40" s="18"/>
      <c r="D40" s="18"/>
      <c r="E40" s="23" t="s">
        <v>16</v>
      </c>
      <c r="F40" s="23" t="s">
        <v>16</v>
      </c>
      <c r="G40" s="23" t="s">
        <v>16</v>
      </c>
      <c r="H40" s="23" t="s">
        <v>16</v>
      </c>
    </row>
    <row r="41" spans="1:8">
      <c r="A41" s="20"/>
      <c r="B41" s="20"/>
      <c r="C41" s="18"/>
      <c r="D41" s="18"/>
      <c r="E41" s="23" t="s">
        <v>16</v>
      </c>
      <c r="F41" s="23" t="s">
        <v>16</v>
      </c>
      <c r="G41" s="23" t="s">
        <v>16</v>
      </c>
      <c r="H41" s="23" t="s">
        <v>16</v>
      </c>
    </row>
    <row r="42" spans="1:8">
      <c r="A42" s="20"/>
      <c r="B42" s="20"/>
      <c r="C42" s="18"/>
      <c r="D42" s="18"/>
      <c r="E42" s="23" t="s">
        <v>16</v>
      </c>
      <c r="F42" s="23" t="s">
        <v>16</v>
      </c>
      <c r="G42" s="23" t="s">
        <v>16</v>
      </c>
      <c r="H42" s="23" t="s">
        <v>16</v>
      </c>
    </row>
    <row r="43" spans="1:8">
      <c r="A43" s="20"/>
      <c r="B43" s="20"/>
      <c r="C43" s="18"/>
      <c r="D43" s="18"/>
      <c r="E43" s="23" t="s">
        <v>16</v>
      </c>
      <c r="F43" s="23" t="s">
        <v>16</v>
      </c>
      <c r="G43" s="23" t="s">
        <v>16</v>
      </c>
      <c r="H43" s="23" t="s">
        <v>16</v>
      </c>
    </row>
    <row r="44" spans="1:8">
      <c r="A44" s="20"/>
      <c r="B44" s="20"/>
      <c r="C44" s="18"/>
      <c r="D44" s="18"/>
      <c r="E44" s="23" t="s">
        <v>16</v>
      </c>
      <c r="F44" s="23" t="s">
        <v>16</v>
      </c>
      <c r="G44" s="23" t="s">
        <v>16</v>
      </c>
      <c r="H44" s="23" t="s">
        <v>16</v>
      </c>
    </row>
    <row r="45" spans="1:8">
      <c r="A45" s="20"/>
      <c r="B45" s="20"/>
      <c r="C45" s="18"/>
      <c r="D45" s="18"/>
      <c r="E45" s="23" t="s">
        <v>16</v>
      </c>
      <c r="F45" s="23" t="s">
        <v>16</v>
      </c>
      <c r="G45" s="23" t="s">
        <v>16</v>
      </c>
      <c r="H45" s="23" t="s">
        <v>16</v>
      </c>
    </row>
    <row r="46" spans="1:8">
      <c r="A46" s="20"/>
      <c r="B46" s="20"/>
      <c r="C46" s="18"/>
      <c r="D46" s="18"/>
      <c r="E46" s="23" t="s">
        <v>16</v>
      </c>
      <c r="F46" s="23" t="s">
        <v>16</v>
      </c>
      <c r="G46" s="23" t="s">
        <v>16</v>
      </c>
      <c r="H46" s="23" t="s">
        <v>16</v>
      </c>
    </row>
    <row r="47" spans="1:8">
      <c r="A47" s="20"/>
      <c r="B47" s="20"/>
      <c r="C47" s="18"/>
      <c r="D47" s="18"/>
      <c r="E47" s="23" t="s">
        <v>16</v>
      </c>
      <c r="F47" s="23" t="s">
        <v>16</v>
      </c>
      <c r="G47" s="23" t="s">
        <v>16</v>
      </c>
      <c r="H47" s="23" t="s">
        <v>16</v>
      </c>
    </row>
    <row r="48" spans="1:8">
      <c r="A48" s="20"/>
      <c r="B48" s="20"/>
      <c r="C48" s="18"/>
      <c r="D48" s="18"/>
      <c r="E48" s="23" t="s">
        <v>16</v>
      </c>
      <c r="F48" s="23" t="s">
        <v>16</v>
      </c>
      <c r="G48" s="23" t="s">
        <v>16</v>
      </c>
      <c r="H48" s="23" t="s">
        <v>16</v>
      </c>
    </row>
    <row r="49" spans="1:8">
      <c r="A49" s="20"/>
      <c r="B49" s="20"/>
      <c r="C49" s="18"/>
      <c r="D49" s="18"/>
      <c r="E49" s="23" t="s">
        <v>16</v>
      </c>
      <c r="F49" s="23" t="s">
        <v>16</v>
      </c>
      <c r="G49" s="23" t="s">
        <v>16</v>
      </c>
      <c r="H49" s="23" t="s">
        <v>16</v>
      </c>
    </row>
    <row r="50" spans="1:8">
      <c r="A50" s="20"/>
      <c r="B50" s="20"/>
      <c r="C50" s="18"/>
      <c r="D50" s="18"/>
      <c r="E50" s="23" t="s">
        <v>16</v>
      </c>
      <c r="F50" s="23" t="s">
        <v>16</v>
      </c>
      <c r="G50" s="23" t="s">
        <v>16</v>
      </c>
      <c r="H50" s="23" t="s">
        <v>16</v>
      </c>
    </row>
    <row r="51" spans="1:8">
      <c r="A51" s="20"/>
      <c r="B51" s="49"/>
      <c r="C51" s="41"/>
      <c r="D51" s="41"/>
      <c r="E51" s="23" t="s">
        <v>16</v>
      </c>
      <c r="F51" s="23" t="s">
        <v>16</v>
      </c>
      <c r="G51" s="23" t="s">
        <v>16</v>
      </c>
      <c r="H51" s="23" t="s">
        <v>16</v>
      </c>
    </row>
    <row r="52" spans="1:8">
      <c r="A52" s="20"/>
      <c r="B52" s="20"/>
      <c r="C52" s="18"/>
      <c r="D52" s="18"/>
      <c r="E52" s="23" t="s">
        <v>16</v>
      </c>
      <c r="F52" s="23" t="s">
        <v>16</v>
      </c>
      <c r="G52" s="23" t="s">
        <v>16</v>
      </c>
      <c r="H52" s="23" t="s">
        <v>16</v>
      </c>
    </row>
    <row r="53" spans="1:8">
      <c r="A53" s="20"/>
      <c r="B53" s="20"/>
      <c r="C53" s="18"/>
      <c r="D53" s="18"/>
      <c r="E53" s="23" t="s">
        <v>16</v>
      </c>
      <c r="F53" s="23" t="s">
        <v>16</v>
      </c>
      <c r="G53" s="23" t="s">
        <v>16</v>
      </c>
      <c r="H53" s="23" t="s">
        <v>16</v>
      </c>
    </row>
    <row r="54" spans="1:8">
      <c r="A54" s="20"/>
      <c r="B54" s="20"/>
      <c r="C54" s="18"/>
      <c r="D54" s="18"/>
      <c r="E54" s="23" t="s">
        <v>16</v>
      </c>
      <c r="F54" s="23" t="s">
        <v>16</v>
      </c>
      <c r="G54" s="23" t="s">
        <v>16</v>
      </c>
      <c r="H54" s="23" t="s">
        <v>16</v>
      </c>
    </row>
    <row r="55" spans="1:8">
      <c r="A55" s="20"/>
      <c r="B55" s="20"/>
      <c r="C55" s="18"/>
      <c r="D55" s="18"/>
      <c r="E55" s="23" t="s">
        <v>16</v>
      </c>
      <c r="F55" s="23" t="s">
        <v>16</v>
      </c>
      <c r="G55" s="23" t="s">
        <v>16</v>
      </c>
      <c r="H55" s="23" t="s">
        <v>16</v>
      </c>
    </row>
    <row r="56" spans="1:8">
      <c r="A56" s="20"/>
      <c r="B56" s="20"/>
      <c r="C56" s="18"/>
      <c r="D56" s="18"/>
      <c r="E56" s="23" t="s">
        <v>16</v>
      </c>
      <c r="F56" s="23" t="s">
        <v>16</v>
      </c>
      <c r="G56" s="23" t="s">
        <v>16</v>
      </c>
      <c r="H56" s="23" t="s">
        <v>16</v>
      </c>
    </row>
    <row r="57" spans="1:8">
      <c r="A57" s="20"/>
      <c r="B57" s="20"/>
      <c r="C57" s="18"/>
      <c r="D57" s="18"/>
      <c r="E57" s="23" t="s">
        <v>16</v>
      </c>
      <c r="F57" s="23" t="s">
        <v>16</v>
      </c>
      <c r="G57" s="23" t="s">
        <v>16</v>
      </c>
      <c r="H57" s="23" t="s">
        <v>16</v>
      </c>
    </row>
    <row r="58" spans="1:8">
      <c r="A58" s="20"/>
      <c r="B58" s="20"/>
      <c r="C58" s="18"/>
      <c r="D58" s="18"/>
      <c r="E58" s="23" t="s">
        <v>16</v>
      </c>
      <c r="F58" s="23" t="s">
        <v>16</v>
      </c>
      <c r="G58" s="23" t="s">
        <v>16</v>
      </c>
      <c r="H58" s="23" t="s">
        <v>16</v>
      </c>
    </row>
    <row r="59" spans="1:8">
      <c r="A59" s="20"/>
      <c r="B59" s="20"/>
      <c r="C59" s="18"/>
      <c r="D59" s="18"/>
      <c r="E59" s="23" t="s">
        <v>16</v>
      </c>
      <c r="F59" s="23" t="s">
        <v>16</v>
      </c>
      <c r="G59" s="23" t="s">
        <v>16</v>
      </c>
      <c r="H59" s="23" t="s">
        <v>16</v>
      </c>
    </row>
    <row r="60" spans="1:8">
      <c r="A60" s="20"/>
      <c r="B60" s="20"/>
      <c r="C60" s="18"/>
      <c r="D60" s="18"/>
      <c r="E60" s="23" t="s">
        <v>16</v>
      </c>
      <c r="F60" s="23" t="s">
        <v>16</v>
      </c>
      <c r="G60" s="23" t="s">
        <v>16</v>
      </c>
      <c r="H60" s="23" t="s">
        <v>16</v>
      </c>
    </row>
    <row r="61" spans="1:8">
      <c r="A61" s="20"/>
      <c r="B61" s="20"/>
      <c r="C61" s="18"/>
      <c r="D61" s="18"/>
      <c r="E61" s="23" t="s">
        <v>16</v>
      </c>
      <c r="F61" s="23" t="s">
        <v>16</v>
      </c>
      <c r="G61" s="23" t="s">
        <v>16</v>
      </c>
      <c r="H61" s="23" t="s">
        <v>16</v>
      </c>
    </row>
    <row r="62" spans="1:8">
      <c r="A62" s="20"/>
      <c r="B62" s="20"/>
      <c r="C62" s="18"/>
      <c r="D62" s="18"/>
      <c r="E62" s="23" t="s">
        <v>16</v>
      </c>
      <c r="F62" s="23" t="s">
        <v>16</v>
      </c>
      <c r="G62" s="23" t="s">
        <v>16</v>
      </c>
      <c r="H62" s="23" t="s">
        <v>16</v>
      </c>
    </row>
    <row r="63" spans="1:8">
      <c r="A63" s="20"/>
      <c r="B63" s="20"/>
      <c r="C63" s="18"/>
      <c r="D63" s="18"/>
      <c r="E63" s="23" t="s">
        <v>16</v>
      </c>
      <c r="F63" s="23" t="s">
        <v>16</v>
      </c>
      <c r="G63" s="23" t="s">
        <v>16</v>
      </c>
      <c r="H63" s="23" t="s">
        <v>16</v>
      </c>
    </row>
    <row r="64" spans="1:8">
      <c r="A64" s="20"/>
      <c r="B64" s="20"/>
      <c r="C64" s="18"/>
      <c r="D64" s="18"/>
      <c r="E64" s="23" t="s">
        <v>16</v>
      </c>
      <c r="F64" s="23" t="s">
        <v>16</v>
      </c>
      <c r="G64" s="23" t="s">
        <v>16</v>
      </c>
      <c r="H64" s="23" t="s">
        <v>16</v>
      </c>
    </row>
    <row r="65" spans="1:8">
      <c r="A65" s="20"/>
      <c r="B65" s="20"/>
      <c r="C65" s="18"/>
      <c r="D65" s="18"/>
      <c r="E65" s="23" t="s">
        <v>16</v>
      </c>
      <c r="F65" s="23" t="s">
        <v>16</v>
      </c>
      <c r="G65" s="23" t="s">
        <v>16</v>
      </c>
      <c r="H65" s="23" t="s">
        <v>16</v>
      </c>
    </row>
    <row r="66" spans="1:8">
      <c r="A66" s="20"/>
      <c r="B66" s="20"/>
      <c r="C66" s="18"/>
      <c r="D66" s="18"/>
      <c r="E66" s="23" t="s">
        <v>16</v>
      </c>
      <c r="F66" s="23" t="s">
        <v>16</v>
      </c>
      <c r="G66" s="23" t="s">
        <v>16</v>
      </c>
      <c r="H66" s="23" t="s">
        <v>16</v>
      </c>
    </row>
    <row r="67" spans="1:8">
      <c r="A67" s="20"/>
      <c r="B67" s="20"/>
      <c r="C67" s="18"/>
      <c r="D67" s="18"/>
      <c r="E67" s="23" t="s">
        <v>16</v>
      </c>
      <c r="F67" s="23" t="s">
        <v>16</v>
      </c>
      <c r="G67" s="23" t="s">
        <v>16</v>
      </c>
      <c r="H67" s="23" t="s">
        <v>16</v>
      </c>
    </row>
    <row r="68" spans="1:8">
      <c r="A68" s="20"/>
      <c r="B68" s="20"/>
      <c r="C68" s="18"/>
      <c r="D68" s="18"/>
      <c r="E68" s="23" t="s">
        <v>16</v>
      </c>
      <c r="F68" s="23" t="s">
        <v>16</v>
      </c>
      <c r="G68" s="23" t="s">
        <v>16</v>
      </c>
      <c r="H68" s="23" t="s">
        <v>16</v>
      </c>
    </row>
    <row r="69" spans="1:8">
      <c r="A69" s="20"/>
      <c r="B69" s="20"/>
      <c r="C69" s="18"/>
      <c r="D69" s="18"/>
      <c r="E69" s="23" t="s">
        <v>16</v>
      </c>
      <c r="F69" s="23" t="s">
        <v>16</v>
      </c>
      <c r="G69" s="23" t="s">
        <v>16</v>
      </c>
      <c r="H69" s="23" t="s">
        <v>16</v>
      </c>
    </row>
    <row r="70" spans="1:8">
      <c r="A70" s="20"/>
      <c r="B70" s="20"/>
      <c r="C70" s="18"/>
      <c r="D70" s="18"/>
      <c r="E70" s="23" t="s">
        <v>16</v>
      </c>
      <c r="F70" s="23" t="s">
        <v>16</v>
      </c>
      <c r="G70" s="23" t="s">
        <v>16</v>
      </c>
      <c r="H70" s="23" t="s">
        <v>16</v>
      </c>
    </row>
    <row r="71" spans="1:8">
      <c r="A71" s="20"/>
      <c r="B71" s="20"/>
      <c r="C71" s="18"/>
      <c r="D71" s="18"/>
      <c r="E71" s="23" t="s">
        <v>16</v>
      </c>
      <c r="F71" s="23" t="s">
        <v>16</v>
      </c>
      <c r="G71" s="23" t="s">
        <v>16</v>
      </c>
      <c r="H71" s="23" t="s">
        <v>16</v>
      </c>
    </row>
    <row r="72" spans="1:8">
      <c r="A72" s="20"/>
      <c r="B72" s="20"/>
      <c r="C72" s="18"/>
      <c r="D72" s="18"/>
      <c r="E72" s="23" t="s">
        <v>16</v>
      </c>
      <c r="F72" s="23" t="s">
        <v>16</v>
      </c>
      <c r="G72" s="23" t="s">
        <v>16</v>
      </c>
      <c r="H72" s="23" t="s">
        <v>16</v>
      </c>
    </row>
    <row r="73" spans="1:8">
      <c r="A73" s="20"/>
      <c r="B73" s="20"/>
      <c r="C73" s="18"/>
      <c r="D73" s="18"/>
      <c r="E73" s="23" t="s">
        <v>16</v>
      </c>
      <c r="F73" s="23" t="s">
        <v>16</v>
      </c>
      <c r="G73" s="23" t="s">
        <v>16</v>
      </c>
      <c r="H73" s="23" t="s">
        <v>16</v>
      </c>
    </row>
    <row r="74" spans="1:8">
      <c r="A74" s="20"/>
      <c r="B74" s="20"/>
      <c r="C74" s="18"/>
      <c r="D74" s="18"/>
      <c r="E74" s="23" t="s">
        <v>16</v>
      </c>
      <c r="F74" s="23" t="s">
        <v>16</v>
      </c>
      <c r="G74" s="23" t="s">
        <v>16</v>
      </c>
      <c r="H74" s="23" t="s">
        <v>16</v>
      </c>
    </row>
    <row r="75" spans="1:8">
      <c r="A75" s="20"/>
      <c r="B75" s="20"/>
      <c r="C75" s="18"/>
      <c r="D75" s="18"/>
      <c r="E75" s="23" t="s">
        <v>16</v>
      </c>
      <c r="F75" s="23" t="s">
        <v>16</v>
      </c>
      <c r="G75" s="23" t="s">
        <v>16</v>
      </c>
      <c r="H75" s="23" t="s">
        <v>16</v>
      </c>
    </row>
    <row r="76" spans="1:8">
      <c r="A76" s="20"/>
      <c r="B76" s="20"/>
      <c r="C76" s="18"/>
      <c r="D76" s="18"/>
      <c r="E76" s="23" t="s">
        <v>16</v>
      </c>
      <c r="F76" s="23" t="s">
        <v>16</v>
      </c>
      <c r="G76" s="23" t="s">
        <v>16</v>
      </c>
      <c r="H76" s="23" t="s">
        <v>16</v>
      </c>
    </row>
    <row r="77" spans="1:8">
      <c r="A77" s="20"/>
      <c r="B77" s="20"/>
      <c r="C77" s="18"/>
      <c r="D77" s="18"/>
      <c r="E77" s="23" t="s">
        <v>16</v>
      </c>
      <c r="F77" s="23" t="s">
        <v>16</v>
      </c>
      <c r="G77" s="23" t="s">
        <v>16</v>
      </c>
      <c r="H77" s="23" t="s">
        <v>16</v>
      </c>
    </row>
    <row r="78" spans="1:8">
      <c r="A78" s="20"/>
      <c r="B78" s="20"/>
      <c r="C78" s="18"/>
      <c r="D78" s="18"/>
      <c r="E78" s="23" t="s">
        <v>16</v>
      </c>
      <c r="F78" s="23" t="s">
        <v>16</v>
      </c>
      <c r="G78" s="23" t="s">
        <v>16</v>
      </c>
      <c r="H78" s="23" t="s">
        <v>16</v>
      </c>
    </row>
    <row r="79" spans="1:8">
      <c r="A79" s="20"/>
      <c r="B79" s="42"/>
      <c r="C79" s="43"/>
      <c r="D79" s="43"/>
      <c r="E79" s="23" t="s">
        <v>16</v>
      </c>
      <c r="F79" s="23" t="s">
        <v>16</v>
      </c>
      <c r="G79" s="23" t="s">
        <v>16</v>
      </c>
      <c r="H79" s="23" t="s">
        <v>16</v>
      </c>
    </row>
    <row r="80" spans="1:8">
      <c r="A80" s="20"/>
      <c r="B80" s="20"/>
      <c r="C80" s="18"/>
      <c r="D80" s="18"/>
      <c r="E80" s="23" t="s">
        <v>16</v>
      </c>
      <c r="F80" s="23" t="s">
        <v>16</v>
      </c>
      <c r="G80" s="23" t="s">
        <v>16</v>
      </c>
      <c r="H80" s="23" t="s">
        <v>16</v>
      </c>
    </row>
    <row r="81" spans="1:8">
      <c r="A81" s="20"/>
      <c r="B81" s="20"/>
      <c r="C81" s="18"/>
      <c r="D81" s="18"/>
      <c r="E81" s="23" t="s">
        <v>16</v>
      </c>
      <c r="F81" s="23" t="s">
        <v>16</v>
      </c>
      <c r="G81" s="23" t="s">
        <v>16</v>
      </c>
      <c r="H81" s="23" t="s">
        <v>16</v>
      </c>
    </row>
    <row r="82" spans="1:8">
      <c r="A82" s="20"/>
      <c r="B82" s="20"/>
      <c r="C82" s="18"/>
      <c r="D82" s="18"/>
      <c r="E82" s="23" t="s">
        <v>16</v>
      </c>
      <c r="F82" s="23" t="s">
        <v>16</v>
      </c>
      <c r="G82" s="23" t="s">
        <v>16</v>
      </c>
      <c r="H82" s="23" t="s">
        <v>16</v>
      </c>
    </row>
    <row r="83" spans="1:8">
      <c r="A83" s="27"/>
      <c r="C83" s="28"/>
      <c r="D83" s="28"/>
      <c r="E83" s="23" t="s">
        <v>16</v>
      </c>
      <c r="F83" s="23" t="s">
        <v>16</v>
      </c>
      <c r="G83" s="23" t="s">
        <v>16</v>
      </c>
      <c r="H83" s="23" t="s">
        <v>16</v>
      </c>
    </row>
    <row r="84" spans="1:8">
      <c r="A84" s="27"/>
      <c r="C84" s="28"/>
      <c r="D84" s="28"/>
      <c r="E84" s="23" t="s">
        <v>16</v>
      </c>
      <c r="F84" s="23" t="s">
        <v>16</v>
      </c>
      <c r="G84" s="23" t="s">
        <v>16</v>
      </c>
      <c r="H84" s="23" t="s">
        <v>16</v>
      </c>
    </row>
    <row r="85" spans="1:8">
      <c r="A85" s="27"/>
      <c r="C85" s="28"/>
      <c r="D85" s="28"/>
      <c r="E85" s="23" t="s">
        <v>16</v>
      </c>
      <c r="F85" s="23" t="s">
        <v>16</v>
      </c>
      <c r="G85" s="23" t="s">
        <v>16</v>
      </c>
      <c r="H85" s="23" t="s">
        <v>16</v>
      </c>
    </row>
    <row r="86" spans="1:8">
      <c r="A86" s="27"/>
      <c r="C86" s="28"/>
      <c r="D86" s="28"/>
      <c r="E86" s="23" t="s">
        <v>16</v>
      </c>
      <c r="F86" s="23" t="s">
        <v>16</v>
      </c>
      <c r="G86" s="23" t="s">
        <v>16</v>
      </c>
      <c r="H86" s="23" t="s">
        <v>16</v>
      </c>
    </row>
    <row r="87" spans="1:8">
      <c r="A87" s="27"/>
      <c r="C87" s="28"/>
      <c r="D87" s="28"/>
      <c r="E87" s="23" t="s">
        <v>16</v>
      </c>
      <c r="F87" s="23" t="s">
        <v>16</v>
      </c>
      <c r="G87" s="23" t="s">
        <v>16</v>
      </c>
      <c r="H87" s="23" t="s">
        <v>16</v>
      </c>
    </row>
    <row r="88" spans="1:8">
      <c r="A88" s="27"/>
      <c r="C88" s="28"/>
      <c r="D88" s="28"/>
      <c r="E88" s="23" t="s">
        <v>16</v>
      </c>
      <c r="F88" s="23" t="s">
        <v>16</v>
      </c>
      <c r="G88" s="23" t="s">
        <v>16</v>
      </c>
      <c r="H88" s="23" t="s">
        <v>16</v>
      </c>
    </row>
    <row r="89" spans="1:8">
      <c r="A89" s="27"/>
      <c r="C89" s="28"/>
      <c r="D89" s="28"/>
      <c r="E89" s="23" t="s">
        <v>16</v>
      </c>
      <c r="F89" s="23" t="s">
        <v>16</v>
      </c>
      <c r="G89" s="23" t="s">
        <v>16</v>
      </c>
      <c r="H89" s="23" t="s">
        <v>16</v>
      </c>
    </row>
    <row r="90" spans="1:8">
      <c r="A90" s="27"/>
      <c r="C90" s="28"/>
      <c r="D90" s="2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c r="F201" s="23"/>
      <c r="G201" s="23"/>
      <c r="H201" s="23"/>
    </row>
    <row r="202" spans="1:8">
      <c r="A202" s="27"/>
      <c r="C202" s="28"/>
      <c r="D202" s="28"/>
      <c r="E202" s="23"/>
      <c r="F202" s="23"/>
      <c r="G202" s="23"/>
      <c r="H202" s="23"/>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row r="860" spans="1:8">
      <c r="A860" s="27"/>
      <c r="C860" s="28"/>
      <c r="D860" s="28"/>
      <c r="E860" s="50"/>
      <c r="F860" s="50"/>
      <c r="G860" s="50"/>
      <c r="H860" s="50"/>
    </row>
    <row r="861" spans="1:8">
      <c r="A861" s="27"/>
      <c r="C861" s="28"/>
      <c r="D861" s="28"/>
      <c r="E861" s="50"/>
      <c r="F861" s="50"/>
      <c r="G861" s="50"/>
      <c r="H861" s="50"/>
    </row>
    <row r="862" spans="1:8">
      <c r="A862" s="27"/>
      <c r="C862" s="28"/>
      <c r="D862" s="28"/>
      <c r="E862" s="50"/>
      <c r="F862" s="50"/>
      <c r="G862" s="50"/>
      <c r="H862" s="50"/>
    </row>
    <row r="863" spans="1:8">
      <c r="A863" s="27"/>
      <c r="C863" s="28"/>
      <c r="D863" s="28"/>
      <c r="E863" s="50"/>
      <c r="F863" s="50"/>
      <c r="G863" s="50"/>
      <c r="H863" s="50"/>
    </row>
    <row r="864" spans="1:8">
      <c r="A864" s="27"/>
      <c r="C864" s="28"/>
      <c r="D864" s="28"/>
      <c r="E864" s="50"/>
      <c r="F864" s="50"/>
      <c r="G864" s="50"/>
      <c r="H864" s="50"/>
    </row>
    <row r="865" spans="1:8">
      <c r="A865" s="27"/>
      <c r="C865" s="28"/>
      <c r="D865" s="28"/>
      <c r="E865" s="50"/>
      <c r="F865" s="50"/>
      <c r="G865" s="50"/>
      <c r="H865" s="50"/>
    </row>
    <row r="866" spans="1:8">
      <c r="A866" s="27"/>
      <c r="C866" s="28"/>
      <c r="D866" s="28"/>
      <c r="E866" s="50"/>
      <c r="F866" s="50"/>
      <c r="G866" s="50"/>
      <c r="H866" s="50"/>
    </row>
    <row r="867" spans="1:8">
      <c r="A867" s="27"/>
      <c r="C867" s="28"/>
      <c r="D867" s="28"/>
      <c r="E867" s="50"/>
      <c r="F867" s="50"/>
      <c r="G867" s="50"/>
      <c r="H867" s="50"/>
    </row>
    <row r="868" spans="1:8">
      <c r="A868" s="27"/>
      <c r="C868" s="28"/>
      <c r="D868" s="28"/>
      <c r="E868" s="50"/>
      <c r="F868" s="50"/>
      <c r="G868" s="50"/>
      <c r="H868" s="50"/>
    </row>
    <row r="869" spans="1:8">
      <c r="A869" s="27"/>
      <c r="C869" s="28"/>
      <c r="D869" s="28"/>
      <c r="E869" s="50"/>
      <c r="F869" s="50"/>
      <c r="G869" s="50"/>
      <c r="H869" s="50"/>
    </row>
    <row r="870" spans="1:8">
      <c r="A870" s="27"/>
      <c r="C870" s="28"/>
      <c r="D870" s="28"/>
      <c r="E870" s="50"/>
      <c r="F870" s="50"/>
      <c r="G870" s="50"/>
      <c r="H870" s="50"/>
    </row>
    <row r="871" spans="1:8">
      <c r="A871" s="27"/>
      <c r="C871" s="28"/>
      <c r="D871" s="28"/>
      <c r="E871" s="50"/>
      <c r="F871" s="50"/>
      <c r="G871" s="50"/>
      <c r="H871" s="50"/>
    </row>
    <row r="872" spans="1:8">
      <c r="A872" s="27"/>
      <c r="C872" s="28"/>
      <c r="D872" s="28"/>
      <c r="E872" s="50"/>
      <c r="F872" s="50"/>
      <c r="G872" s="50"/>
      <c r="H872" s="50"/>
    </row>
    <row r="873" spans="1:8">
      <c r="A873" s="27"/>
      <c r="C873" s="28"/>
      <c r="D873" s="28"/>
      <c r="E873" s="50"/>
      <c r="F873" s="50"/>
      <c r="G873" s="50"/>
      <c r="H873" s="50"/>
    </row>
    <row r="874" spans="1:8">
      <c r="A874" s="27"/>
      <c r="C874" s="28"/>
      <c r="D874" s="28"/>
      <c r="E874" s="50"/>
      <c r="F874" s="50"/>
      <c r="G874" s="50"/>
      <c r="H874" s="50"/>
    </row>
    <row r="875" spans="1:8">
      <c r="A875" s="27"/>
      <c r="C875" s="28"/>
      <c r="D875" s="28"/>
      <c r="E875" s="50"/>
      <c r="F875" s="50"/>
      <c r="G875" s="50"/>
      <c r="H875" s="50"/>
    </row>
    <row r="876" spans="1:8">
      <c r="A876" s="27"/>
      <c r="C876" s="28"/>
      <c r="D876" s="28"/>
      <c r="E876" s="50"/>
      <c r="F876" s="50"/>
      <c r="G876" s="50"/>
      <c r="H876" s="50"/>
    </row>
    <row r="877" spans="1:8">
      <c r="A877" s="27"/>
      <c r="C877" s="28"/>
      <c r="D877" s="28"/>
      <c r="E877" s="50"/>
      <c r="F877" s="50"/>
      <c r="G877" s="50"/>
      <c r="H877" s="50"/>
    </row>
    <row r="878" spans="1:8">
      <c r="A878" s="27"/>
      <c r="C878" s="28"/>
      <c r="D878" s="28"/>
      <c r="E878" s="50"/>
      <c r="F878" s="50"/>
      <c r="G878" s="50"/>
      <c r="H878" s="50"/>
    </row>
    <row r="879" spans="1:8">
      <c r="A879" s="27"/>
      <c r="C879" s="28"/>
      <c r="D879" s="28"/>
      <c r="E879" s="50"/>
      <c r="F879" s="50"/>
      <c r="G879" s="50"/>
      <c r="H879" s="50"/>
    </row>
    <row r="880" spans="1:8">
      <c r="A880" s="27"/>
      <c r="C880" s="28"/>
      <c r="D880" s="28"/>
      <c r="E880" s="50"/>
      <c r="F880" s="50"/>
      <c r="G880" s="50"/>
      <c r="H880" s="50"/>
    </row>
    <row r="881" spans="1:8">
      <c r="A881" s="27"/>
      <c r="C881" s="28"/>
      <c r="D881" s="28"/>
      <c r="E881" s="50"/>
      <c r="F881" s="50"/>
      <c r="G881" s="50"/>
      <c r="H881" s="50"/>
    </row>
    <row r="882" spans="1:8">
      <c r="A882" s="27"/>
      <c r="C882" s="28"/>
      <c r="D882" s="28"/>
      <c r="E882" s="50"/>
      <c r="F882" s="50"/>
      <c r="G882" s="50"/>
      <c r="H882" s="50"/>
    </row>
    <row r="883" spans="1:8">
      <c r="A883" s="27"/>
      <c r="C883" s="28"/>
      <c r="D883" s="28"/>
      <c r="E883" s="50"/>
      <c r="F883" s="50"/>
      <c r="G883" s="50"/>
      <c r="H883" s="50"/>
    </row>
    <row r="884" spans="1:8">
      <c r="A884" s="27"/>
      <c r="C884" s="28"/>
      <c r="D884" s="28"/>
      <c r="E884" s="50"/>
      <c r="F884" s="50"/>
      <c r="G884" s="50"/>
      <c r="H884" s="50"/>
    </row>
    <row r="885" spans="1:8">
      <c r="A885" s="27"/>
      <c r="C885" s="28"/>
      <c r="D885" s="28"/>
      <c r="E885" s="50"/>
      <c r="F885" s="50"/>
      <c r="G885" s="50"/>
      <c r="H885" s="50"/>
    </row>
    <row r="886" spans="1:8">
      <c r="A886" s="27"/>
      <c r="C886" s="28"/>
      <c r="D886" s="28"/>
      <c r="E886" s="50"/>
      <c r="F886" s="50"/>
      <c r="G886" s="50"/>
      <c r="H886" s="50"/>
    </row>
    <row r="887" spans="1:8">
      <c r="A887" s="27"/>
      <c r="C887" s="28"/>
      <c r="D887" s="28"/>
      <c r="E887" s="50"/>
      <c r="F887" s="50"/>
      <c r="G887" s="50"/>
      <c r="H887" s="50"/>
    </row>
    <row r="888" spans="1:8">
      <c r="A888" s="27"/>
      <c r="C888" s="28"/>
      <c r="D888" s="28"/>
      <c r="E888" s="50"/>
      <c r="F888" s="50"/>
      <c r="G888" s="50"/>
      <c r="H888" s="50"/>
    </row>
    <row r="889" spans="1:8">
      <c r="A889" s="27"/>
      <c r="C889" s="28"/>
      <c r="D889" s="28"/>
      <c r="E889" s="50"/>
      <c r="F889" s="50"/>
      <c r="G889" s="50"/>
      <c r="H889" s="50"/>
    </row>
    <row r="890" spans="1:8">
      <c r="A890" s="27"/>
      <c r="C890" s="28"/>
      <c r="D890" s="28"/>
      <c r="E890" s="50"/>
      <c r="F890" s="50"/>
      <c r="G890" s="50"/>
      <c r="H890" s="50"/>
    </row>
    <row r="891" spans="1:8">
      <c r="A891" s="27"/>
      <c r="C891" s="28"/>
      <c r="D891" s="28"/>
      <c r="E891" s="50"/>
      <c r="F891" s="50"/>
      <c r="G891" s="50"/>
      <c r="H891" s="50"/>
    </row>
    <row r="892" spans="1:8">
      <c r="A892" s="27"/>
      <c r="C892" s="28"/>
      <c r="D892" s="28"/>
      <c r="E892" s="50"/>
      <c r="F892" s="50"/>
      <c r="G892" s="50"/>
      <c r="H892" s="50"/>
    </row>
  </sheetData>
  <autoFilter xmlns:etc="http://www.wps.cn/officeDocument/2017/etCustomData" ref="A4:H200"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6">
    <tabColor rgb="FFFFFF00"/>
    <pageSetUpPr fitToPage="1"/>
  </sheetPr>
  <dimension ref="A1:I898"/>
  <sheetViews>
    <sheetView showGridLines="0" view="pageBreakPreview" zoomScale="90" zoomScaleNormal="100" topLeftCell="A51" workbookViewId="0">
      <selection activeCell="E27" sqref="E27"/>
    </sheetView>
  </sheetViews>
  <sheetFormatPr defaultColWidth="9.12962962962963" defaultRowHeight="13.8"/>
  <cols>
    <col min="1" max="1" width="7.62962962962963" style="31" customWidth="1"/>
    <col min="2" max="2" width="39.5" style="27" customWidth="1"/>
    <col min="3" max="4" width="30.75" style="32" customWidth="1"/>
    <col min="5" max="8" width="13.8796296296296" style="45" customWidth="1"/>
    <col min="9" max="10" width="9.12962962962963" style="31" customWidth="1"/>
    <col min="11" max="16384" width="9.12962962962963" style="31"/>
  </cols>
  <sheetData>
    <row r="1" spans="1:9">
      <c r="A1" s="6" t="s">
        <v>2692</v>
      </c>
      <c r="B1" s="6"/>
      <c r="C1" s="7"/>
      <c r="D1" s="7"/>
      <c r="E1" s="6"/>
      <c r="F1" s="6"/>
      <c r="G1" s="6"/>
      <c r="H1" s="6"/>
    </row>
    <row r="2" spans="1:9">
      <c r="A2" s="8" t="s">
        <v>4</v>
      </c>
      <c r="B2" s="8"/>
      <c r="C2" s="8"/>
      <c r="D2" s="8"/>
      <c r="E2" s="34"/>
      <c r="F2" s="34"/>
      <c r="G2" s="34"/>
      <c r="H2" s="34"/>
    </row>
    <row r="3" spans="1:9">
      <c r="A3" s="9" t="s">
        <v>5</v>
      </c>
      <c r="B3" s="9" t="s">
        <v>6</v>
      </c>
      <c r="C3" s="9" t="s">
        <v>7</v>
      </c>
      <c r="D3" s="9"/>
      <c r="E3" s="10" t="s">
        <v>8</v>
      </c>
      <c r="F3" s="10"/>
      <c r="G3" s="10"/>
      <c r="H3" s="10"/>
    </row>
    <row r="4" spans="1:9">
      <c r="A4" s="11"/>
      <c r="B4" s="11"/>
      <c r="C4" s="9" t="s">
        <v>9</v>
      </c>
      <c r="D4" s="9" t="s">
        <v>10</v>
      </c>
      <c r="E4" s="10" t="s">
        <v>11</v>
      </c>
      <c r="F4" s="10" t="s">
        <v>12</v>
      </c>
      <c r="G4" s="10" t="s">
        <v>13</v>
      </c>
      <c r="H4" s="10" t="s">
        <v>14</v>
      </c>
    </row>
    <row r="5" spans="1:9">
      <c r="A5" s="39" t="s">
        <v>2693</v>
      </c>
      <c r="B5" s="13"/>
      <c r="C5" s="39"/>
      <c r="D5" s="15"/>
      <c r="E5" s="10" t="s">
        <v>16</v>
      </c>
      <c r="F5" s="10" t="s">
        <v>16</v>
      </c>
      <c r="G5" s="10" t="s">
        <v>16</v>
      </c>
      <c r="H5" s="10" t="s">
        <v>16</v>
      </c>
    </row>
    <row r="6" spans="1:9">
      <c r="A6" s="54">
        <f>MAX($A$3:A5)+1</f>
        <v>1</v>
      </c>
      <c r="B6" s="20" t="s">
        <v>2694</v>
      </c>
      <c r="C6" s="20" t="s">
        <v>2695</v>
      </c>
      <c r="D6" s="20" t="s">
        <v>2696</v>
      </c>
      <c r="E6" s="55">
        <v>1300000</v>
      </c>
      <c r="F6" s="56">
        <v>900000</v>
      </c>
      <c r="G6" s="56">
        <v>650000</v>
      </c>
      <c r="H6" s="56">
        <v>445000</v>
      </c>
      <c r="I6" s="31" t="s">
        <v>2697</v>
      </c>
    </row>
    <row r="7" spans="1:9">
      <c r="A7" s="54">
        <f>MAX($A$3:A6)+1</f>
        <v>2</v>
      </c>
      <c r="B7" s="20" t="s">
        <v>2698</v>
      </c>
      <c r="C7" s="20" t="s">
        <v>2695</v>
      </c>
      <c r="D7" s="20" t="s">
        <v>2699</v>
      </c>
      <c r="E7" s="55">
        <v>450000</v>
      </c>
      <c r="F7" s="56">
        <v>315000</v>
      </c>
      <c r="G7" s="56">
        <v>220000</v>
      </c>
      <c r="H7" s="56">
        <v>155000</v>
      </c>
      <c r="I7" s="31" t="s">
        <v>2697</v>
      </c>
    </row>
    <row r="8" spans="1:9">
      <c r="A8" s="54">
        <f>MAX($A$3:A7)+1</f>
        <v>3</v>
      </c>
      <c r="B8" s="20" t="s">
        <v>2700</v>
      </c>
      <c r="C8" s="18" t="s">
        <v>2695</v>
      </c>
      <c r="D8" s="18" t="s">
        <v>2701</v>
      </c>
      <c r="E8" s="55">
        <v>750000</v>
      </c>
      <c r="F8" s="56">
        <v>550000</v>
      </c>
      <c r="G8" s="56">
        <v>365000</v>
      </c>
      <c r="H8" s="56">
        <v>255000</v>
      </c>
    </row>
    <row r="9" spans="1:9">
      <c r="A9" s="54">
        <f>MAX($A$3:A8)+1</f>
        <v>4</v>
      </c>
      <c r="B9" s="20" t="s">
        <v>2702</v>
      </c>
      <c r="C9" s="18" t="s">
        <v>2703</v>
      </c>
      <c r="D9" s="18" t="s">
        <v>2704</v>
      </c>
      <c r="E9" s="23">
        <v>450000</v>
      </c>
      <c r="F9" s="23">
        <v>315000</v>
      </c>
      <c r="G9" s="23">
        <v>220000</v>
      </c>
      <c r="H9" s="23">
        <v>155000</v>
      </c>
    </row>
    <row r="10" spans="1:9">
      <c r="A10" s="54">
        <f>MAX($A$3:A9)+1</f>
        <v>5</v>
      </c>
      <c r="B10" s="20" t="s">
        <v>2705</v>
      </c>
      <c r="C10" s="20" t="s">
        <v>2695</v>
      </c>
      <c r="D10" s="20" t="s">
        <v>2706</v>
      </c>
      <c r="E10" s="23">
        <v>650000</v>
      </c>
      <c r="F10" s="23">
        <v>450000</v>
      </c>
      <c r="G10" s="23">
        <v>325000</v>
      </c>
      <c r="H10" s="23">
        <v>215000</v>
      </c>
      <c r="I10" s="31" t="s">
        <v>2697</v>
      </c>
    </row>
    <row r="11" spans="1:9">
      <c r="A11" s="54">
        <f>MAX($A$3:A10)+1</f>
        <v>6</v>
      </c>
      <c r="B11" s="20" t="s">
        <v>2707</v>
      </c>
      <c r="C11" s="18" t="s">
        <v>2705</v>
      </c>
      <c r="D11" s="18" t="s">
        <v>2708</v>
      </c>
      <c r="E11" s="23">
        <v>1300000</v>
      </c>
      <c r="F11" s="23">
        <v>900000</v>
      </c>
      <c r="G11" s="23">
        <v>650000</v>
      </c>
      <c r="H11" s="23">
        <v>445000</v>
      </c>
    </row>
    <row r="12" spans="1:9">
      <c r="A12" s="54">
        <f>MAX($A$3:A11)+1</f>
        <v>7</v>
      </c>
      <c r="B12" s="20" t="s">
        <v>2699</v>
      </c>
      <c r="C12" s="20" t="s">
        <v>2709</v>
      </c>
      <c r="D12" s="20" t="s">
        <v>2710</v>
      </c>
      <c r="E12" s="23">
        <v>1000000</v>
      </c>
      <c r="F12" s="23">
        <v>700000</v>
      </c>
      <c r="G12" s="23">
        <v>490000</v>
      </c>
      <c r="H12" s="23">
        <v>340000</v>
      </c>
      <c r="I12" s="31" t="s">
        <v>2697</v>
      </c>
    </row>
    <row r="13" spans="1:9">
      <c r="A13" s="54">
        <f>MAX($A$3:A12)+1</f>
        <v>8</v>
      </c>
      <c r="B13" s="20" t="s">
        <v>2711</v>
      </c>
      <c r="C13" s="18" t="s">
        <v>2695</v>
      </c>
      <c r="D13" s="18" t="s">
        <v>2712</v>
      </c>
      <c r="E13" s="23">
        <v>1050000</v>
      </c>
      <c r="F13" s="23">
        <v>750000</v>
      </c>
      <c r="G13" s="23">
        <v>500000</v>
      </c>
      <c r="H13" s="23">
        <v>355000</v>
      </c>
    </row>
    <row r="14" spans="1:9">
      <c r="A14" s="54">
        <f>MAX($A$3:A13)+1</f>
        <v>9</v>
      </c>
      <c r="B14" s="20" t="s">
        <v>2713</v>
      </c>
      <c r="C14" s="20" t="s">
        <v>2714</v>
      </c>
      <c r="D14" s="20" t="s">
        <v>2715</v>
      </c>
      <c r="E14" s="23">
        <v>450000</v>
      </c>
      <c r="F14" s="23">
        <v>315000</v>
      </c>
      <c r="G14" s="23">
        <v>220000</v>
      </c>
      <c r="H14" s="23">
        <v>155000</v>
      </c>
      <c r="I14" s="31" t="s">
        <v>2697</v>
      </c>
    </row>
    <row r="15" spans="1:9">
      <c r="A15" s="54">
        <f>MAX($A$3:A14)+1</f>
        <v>10</v>
      </c>
      <c r="B15" s="20" t="s">
        <v>2716</v>
      </c>
      <c r="C15" s="18" t="s">
        <v>2717</v>
      </c>
      <c r="D15" s="18" t="s">
        <v>2718</v>
      </c>
      <c r="E15" s="23">
        <v>450000</v>
      </c>
      <c r="F15" s="23">
        <v>315000</v>
      </c>
      <c r="G15" s="23">
        <v>220000</v>
      </c>
      <c r="H15" s="23">
        <v>155000</v>
      </c>
    </row>
    <row r="16" ht="27.6" spans="1:9">
      <c r="A16" s="54">
        <f>MAX($A$3:A15)+1</f>
        <v>11</v>
      </c>
      <c r="B16" s="20" t="s">
        <v>2719</v>
      </c>
      <c r="C16" s="18" t="s">
        <v>2695</v>
      </c>
      <c r="D16" s="18" t="s">
        <v>2720</v>
      </c>
      <c r="E16" s="23">
        <v>1000000</v>
      </c>
      <c r="F16" s="23">
        <v>700000</v>
      </c>
      <c r="G16" s="23">
        <v>490000</v>
      </c>
      <c r="H16" s="23">
        <v>340000</v>
      </c>
    </row>
    <row r="17" spans="1:9">
      <c r="A17" s="54">
        <f>MAX($A$3:A16)+1</f>
        <v>12</v>
      </c>
      <c r="B17" s="20" t="s">
        <v>2721</v>
      </c>
      <c r="C17" s="20" t="s">
        <v>2699</v>
      </c>
      <c r="D17" s="20" t="s">
        <v>534</v>
      </c>
      <c r="E17" s="23">
        <v>1000000</v>
      </c>
      <c r="F17" s="23">
        <v>700000</v>
      </c>
      <c r="G17" s="23">
        <v>490000</v>
      </c>
      <c r="H17" s="23">
        <v>340000</v>
      </c>
      <c r="I17" s="31" t="s">
        <v>2697</v>
      </c>
    </row>
    <row r="18" spans="1:9">
      <c r="A18" s="54">
        <f>MAX($A$3:A17)+1</f>
        <v>13</v>
      </c>
      <c r="B18" s="20" t="s">
        <v>2708</v>
      </c>
      <c r="C18" s="18" t="s">
        <v>2722</v>
      </c>
      <c r="D18" s="18" t="s">
        <v>2710</v>
      </c>
      <c r="E18" s="23">
        <v>900000</v>
      </c>
      <c r="F18" s="23">
        <v>650000</v>
      </c>
      <c r="G18" s="23">
        <v>440000</v>
      </c>
      <c r="H18" s="23">
        <v>310000</v>
      </c>
    </row>
    <row r="19" spans="1:9">
      <c r="A19" s="54">
        <f>MAX($A$3:A18)+1</f>
        <v>14</v>
      </c>
      <c r="B19" s="20" t="s">
        <v>2723</v>
      </c>
      <c r="C19" s="18" t="s">
        <v>2695</v>
      </c>
      <c r="D19" s="18" t="s">
        <v>2724</v>
      </c>
      <c r="E19" s="23">
        <v>750000</v>
      </c>
      <c r="F19" s="23">
        <v>550000</v>
      </c>
      <c r="G19" s="23">
        <v>365000</v>
      </c>
      <c r="H19" s="23">
        <v>255000</v>
      </c>
    </row>
    <row r="20" spans="1:9">
      <c r="A20" s="54">
        <f>MAX($A$3:A19)+1</f>
        <v>15</v>
      </c>
      <c r="B20" s="20" t="s">
        <v>2725</v>
      </c>
      <c r="C20" s="18" t="s">
        <v>2726</v>
      </c>
      <c r="D20" s="18" t="s">
        <v>2700</v>
      </c>
      <c r="E20" s="23">
        <v>450000</v>
      </c>
      <c r="F20" s="23">
        <v>315000</v>
      </c>
      <c r="G20" s="23">
        <v>220000</v>
      </c>
      <c r="H20" s="23">
        <v>155000</v>
      </c>
    </row>
    <row r="21" spans="1:9">
      <c r="A21" s="54">
        <f>MAX($A$3:A20)+1</f>
        <v>16</v>
      </c>
      <c r="B21" s="20" t="s">
        <v>2727</v>
      </c>
      <c r="C21" s="18" t="s">
        <v>2695</v>
      </c>
      <c r="D21" s="18" t="s">
        <v>2724</v>
      </c>
      <c r="E21" s="23">
        <v>750000</v>
      </c>
      <c r="F21" s="23">
        <v>550000</v>
      </c>
      <c r="G21" s="23">
        <v>365000</v>
      </c>
      <c r="H21" s="23">
        <v>255000</v>
      </c>
    </row>
    <row r="22" spans="1:9">
      <c r="A22" s="54">
        <f>MAX($A$3:A21)+1</f>
        <v>17</v>
      </c>
      <c r="B22" s="20" t="s">
        <v>2712</v>
      </c>
      <c r="C22" s="18" t="s">
        <v>2695</v>
      </c>
      <c r="D22" s="18" t="s">
        <v>2726</v>
      </c>
      <c r="E22" s="23">
        <v>1050000</v>
      </c>
      <c r="F22" s="23">
        <v>750000</v>
      </c>
      <c r="G22" s="23">
        <v>500000</v>
      </c>
      <c r="H22" s="23">
        <v>355000</v>
      </c>
    </row>
    <row r="23" spans="1:9">
      <c r="A23" s="54">
        <f>MAX($A$3:A22)+1</f>
        <v>18</v>
      </c>
      <c r="B23" s="20" t="s">
        <v>2696</v>
      </c>
      <c r="C23" s="18" t="s">
        <v>2726</v>
      </c>
      <c r="D23" s="18" t="s">
        <v>2700</v>
      </c>
      <c r="E23" s="23">
        <v>750000</v>
      </c>
      <c r="F23" s="23">
        <v>550000</v>
      </c>
      <c r="G23" s="23">
        <v>365000</v>
      </c>
      <c r="H23" s="23">
        <v>255000</v>
      </c>
    </row>
    <row r="24" spans="1:9">
      <c r="A24" s="54">
        <f>MAX($A$3:A23)+1</f>
        <v>19</v>
      </c>
      <c r="B24" s="20" t="s">
        <v>2728</v>
      </c>
      <c r="C24" s="18" t="s">
        <v>2695</v>
      </c>
      <c r="D24" s="18" t="s">
        <v>2708</v>
      </c>
      <c r="E24" s="23">
        <v>750000</v>
      </c>
      <c r="F24" s="23">
        <v>550000</v>
      </c>
      <c r="G24" s="23">
        <v>365000</v>
      </c>
      <c r="H24" s="23">
        <v>255000</v>
      </c>
    </row>
    <row r="25" spans="1:9">
      <c r="A25" s="54">
        <f>MAX($A$3:A24)+1</f>
        <v>20</v>
      </c>
      <c r="B25" s="20" t="s">
        <v>2695</v>
      </c>
      <c r="C25" s="18" t="s">
        <v>2729</v>
      </c>
      <c r="D25" s="18" t="s">
        <v>2730</v>
      </c>
      <c r="E25" s="23">
        <v>2150000</v>
      </c>
      <c r="F25" s="23">
        <v>1500000</v>
      </c>
      <c r="G25" s="23">
        <v>1050000</v>
      </c>
      <c r="H25" s="23">
        <v>750000</v>
      </c>
    </row>
    <row r="26" spans="1:9">
      <c r="A26" s="54">
        <f>MAX($A$3:A25)+1</f>
        <v>21</v>
      </c>
      <c r="B26" s="20" t="s">
        <v>2731</v>
      </c>
      <c r="C26" s="20" t="s">
        <v>2709</v>
      </c>
      <c r="D26" s="20" t="s">
        <v>2732</v>
      </c>
      <c r="E26" s="23">
        <v>450000</v>
      </c>
      <c r="F26" s="23">
        <v>315000</v>
      </c>
      <c r="G26" s="23">
        <v>220000</v>
      </c>
      <c r="H26" s="23">
        <v>155000</v>
      </c>
      <c r="I26" s="31" t="s">
        <v>2697</v>
      </c>
    </row>
    <row r="27" spans="1:9">
      <c r="A27" s="54">
        <f>MAX($A$3:A26)+1</f>
        <v>22</v>
      </c>
      <c r="B27" s="20" t="s">
        <v>2724</v>
      </c>
      <c r="C27" s="18" t="s">
        <v>2695</v>
      </c>
      <c r="D27" s="18" t="s">
        <v>2726</v>
      </c>
      <c r="E27" s="23">
        <v>750000</v>
      </c>
      <c r="F27" s="23">
        <v>550000</v>
      </c>
      <c r="G27" s="23">
        <v>365000</v>
      </c>
      <c r="H27" s="23">
        <v>255000</v>
      </c>
    </row>
    <row r="28" spans="1:9">
      <c r="A28" s="54">
        <f>MAX($A$3:A27)+1</f>
        <v>23</v>
      </c>
      <c r="B28" s="20" t="s">
        <v>2733</v>
      </c>
      <c r="C28" s="18" t="s">
        <v>2700</v>
      </c>
      <c r="D28" s="18" t="s">
        <v>2726</v>
      </c>
      <c r="E28" s="23">
        <v>450000</v>
      </c>
      <c r="F28" s="23">
        <v>315000</v>
      </c>
      <c r="G28" s="23">
        <v>220000</v>
      </c>
      <c r="H28" s="23">
        <v>155000</v>
      </c>
    </row>
    <row r="29" spans="1:9">
      <c r="A29" s="54">
        <f>MAX($A$3:A28)+1</f>
        <v>24</v>
      </c>
      <c r="B29" s="20" t="s">
        <v>2734</v>
      </c>
      <c r="C29" s="18" t="s">
        <v>2695</v>
      </c>
      <c r="D29" s="18" t="s">
        <v>2724</v>
      </c>
      <c r="E29" s="23">
        <v>750000</v>
      </c>
      <c r="F29" s="23">
        <v>550000</v>
      </c>
      <c r="G29" s="23">
        <v>365000</v>
      </c>
      <c r="H29" s="23">
        <v>255000</v>
      </c>
    </row>
    <row r="30" spans="1:9">
      <c r="A30" s="36">
        <f>MAX($A$3:A29)+1</f>
        <v>25</v>
      </c>
      <c r="B30" s="20" t="s">
        <v>2735</v>
      </c>
      <c r="C30" s="18" t="s">
        <v>2700</v>
      </c>
      <c r="D30" s="18" t="s">
        <v>2725</v>
      </c>
      <c r="E30" s="23">
        <v>450000</v>
      </c>
      <c r="F30" s="23">
        <v>315000</v>
      </c>
      <c r="G30" s="23">
        <v>220000</v>
      </c>
      <c r="H30" s="23">
        <v>155000</v>
      </c>
    </row>
    <row r="31" spans="1:9">
      <c r="A31" s="54">
        <f>MAX($A$3:A30)+1</f>
        <v>26</v>
      </c>
      <c r="B31" s="20" t="s">
        <v>2736</v>
      </c>
      <c r="C31" s="18" t="s">
        <v>2695</v>
      </c>
      <c r="D31" s="18" t="s">
        <v>2737</v>
      </c>
      <c r="E31" s="23">
        <v>750000</v>
      </c>
      <c r="F31" s="23">
        <v>550000</v>
      </c>
      <c r="G31" s="23">
        <v>365000</v>
      </c>
      <c r="H31" s="23">
        <v>255000</v>
      </c>
    </row>
    <row r="32" spans="1:9">
      <c r="A32" s="54">
        <f>MAX($A$3:A31)+1</f>
        <v>27</v>
      </c>
      <c r="B32" s="20" t="s">
        <v>2738</v>
      </c>
      <c r="C32" s="18" t="s">
        <v>2695</v>
      </c>
      <c r="D32" s="18" t="s">
        <v>2724</v>
      </c>
      <c r="E32" s="23">
        <v>750000</v>
      </c>
      <c r="F32" s="23">
        <v>550000</v>
      </c>
      <c r="G32" s="23">
        <v>365000</v>
      </c>
      <c r="H32" s="23">
        <v>255000</v>
      </c>
    </row>
    <row r="33" spans="1:9">
      <c r="A33" s="54">
        <f>MAX($A$3:A32)+1</f>
        <v>28</v>
      </c>
      <c r="B33" s="20" t="s">
        <v>2739</v>
      </c>
      <c r="C33" s="18" t="s">
        <v>2695</v>
      </c>
      <c r="D33" s="18" t="s">
        <v>2724</v>
      </c>
      <c r="E33" s="23">
        <v>750000</v>
      </c>
      <c r="F33" s="23">
        <v>550000</v>
      </c>
      <c r="G33" s="23">
        <v>365000</v>
      </c>
      <c r="H33" s="23">
        <v>255000</v>
      </c>
    </row>
    <row r="34" spans="1:9">
      <c r="A34" s="54">
        <f>MAX($A$3:A33)+1</f>
        <v>29</v>
      </c>
      <c r="B34" s="20" t="s">
        <v>2726</v>
      </c>
      <c r="C34" s="18" t="s">
        <v>2695</v>
      </c>
      <c r="D34" s="18" t="s">
        <v>2708</v>
      </c>
      <c r="E34" s="23">
        <v>1050000</v>
      </c>
      <c r="F34" s="23">
        <v>750000</v>
      </c>
      <c r="G34" s="23">
        <v>500000</v>
      </c>
      <c r="H34" s="23">
        <v>355000</v>
      </c>
    </row>
    <row r="35" spans="1:9">
      <c r="A35" s="54">
        <f>MAX($A$3:A34)+1</f>
        <v>30</v>
      </c>
      <c r="B35" s="20" t="s">
        <v>2740</v>
      </c>
      <c r="C35" s="18" t="s">
        <v>2708</v>
      </c>
      <c r="D35" s="18" t="s">
        <v>2700</v>
      </c>
      <c r="E35" s="23">
        <v>450000</v>
      </c>
      <c r="F35" s="23">
        <v>315000</v>
      </c>
      <c r="G35" s="23">
        <v>220000</v>
      </c>
      <c r="H35" s="23">
        <v>155000</v>
      </c>
    </row>
    <row r="36" spans="1:9">
      <c r="A36" s="54">
        <f>MAX($A$3:A35)+1</f>
        <v>31</v>
      </c>
      <c r="B36" s="20" t="s">
        <v>2741</v>
      </c>
      <c r="C36" s="18" t="s">
        <v>2695</v>
      </c>
      <c r="D36" s="18" t="s">
        <v>2724</v>
      </c>
      <c r="E36" s="23">
        <v>750000</v>
      </c>
      <c r="F36" s="23">
        <v>550000</v>
      </c>
      <c r="G36" s="23">
        <v>365000</v>
      </c>
      <c r="H36" s="23">
        <v>255000</v>
      </c>
    </row>
    <row r="37" spans="1:9">
      <c r="A37" s="54">
        <f>MAX($A$3:A36)+1</f>
        <v>32</v>
      </c>
      <c r="B37" s="20" t="s">
        <v>2742</v>
      </c>
      <c r="C37" s="18" t="s">
        <v>2695</v>
      </c>
      <c r="D37" s="18" t="s">
        <v>2708</v>
      </c>
      <c r="E37" s="23">
        <v>1000000</v>
      </c>
      <c r="F37" s="23">
        <v>700000</v>
      </c>
      <c r="G37" s="23">
        <v>490000</v>
      </c>
      <c r="H37" s="23">
        <v>340000</v>
      </c>
    </row>
    <row r="38" spans="1:9">
      <c r="A38" s="54">
        <f>MAX($A$3:A37)+1</f>
        <v>33</v>
      </c>
      <c r="B38" s="20" t="s">
        <v>2743</v>
      </c>
      <c r="C38" s="18" t="s">
        <v>2712</v>
      </c>
      <c r="D38" s="18" t="s">
        <v>2744</v>
      </c>
      <c r="E38" s="23">
        <v>1050000</v>
      </c>
      <c r="F38" s="23">
        <v>750000</v>
      </c>
      <c r="G38" s="23">
        <v>500000</v>
      </c>
      <c r="H38" s="23">
        <v>355000</v>
      </c>
    </row>
    <row r="39" s="30" customFormat="1" ht="14.4" spans="1:9">
      <c r="A39" s="39" t="s">
        <v>136</v>
      </c>
      <c r="B39" s="20"/>
      <c r="C39" s="18"/>
      <c r="D39" s="18"/>
      <c r="E39" s="23"/>
      <c r="F39" s="23"/>
      <c r="G39" s="23"/>
      <c r="H39" s="23"/>
      <c r="I39" s="31"/>
    </row>
    <row r="40" spans="1:9">
      <c r="A40" s="54">
        <v>34</v>
      </c>
      <c r="B40" s="20" t="s">
        <v>137</v>
      </c>
      <c r="C40" s="20"/>
      <c r="D40" s="20"/>
      <c r="E40" s="23">
        <v>450000</v>
      </c>
      <c r="F40" s="23">
        <v>315000</v>
      </c>
      <c r="G40" s="23">
        <v>220000</v>
      </c>
      <c r="H40" s="23">
        <v>155000</v>
      </c>
      <c r="I40" s="31" t="s">
        <v>147</v>
      </c>
    </row>
    <row r="41" spans="1:9">
      <c r="A41" s="40" t="s">
        <v>205</v>
      </c>
      <c r="B41" s="20"/>
      <c r="C41" s="18"/>
      <c r="D41" s="18"/>
      <c r="E41" s="23" t="s">
        <v>16</v>
      </c>
      <c r="F41" s="23" t="s">
        <v>16</v>
      </c>
      <c r="G41" s="23" t="s">
        <v>16</v>
      </c>
      <c r="H41" s="23" t="s">
        <v>16</v>
      </c>
    </row>
    <row r="42" spans="1:9">
      <c r="A42" s="54">
        <v>35</v>
      </c>
      <c r="B42" s="20" t="s">
        <v>1400</v>
      </c>
      <c r="C42" s="18"/>
      <c r="D42" s="18"/>
      <c r="E42" s="23" t="s">
        <v>16</v>
      </c>
      <c r="F42" s="23" t="s">
        <v>16</v>
      </c>
      <c r="G42" s="23" t="s">
        <v>16</v>
      </c>
      <c r="H42" s="23" t="s">
        <v>16</v>
      </c>
    </row>
    <row r="43" ht="27.6" spans="1:9">
      <c r="A43" s="54"/>
      <c r="B43" s="20" t="s">
        <v>2745</v>
      </c>
      <c r="C43" s="18"/>
      <c r="D43" s="18"/>
      <c r="E43" s="23">
        <v>1400000</v>
      </c>
      <c r="F43" s="23">
        <v>1000000</v>
      </c>
      <c r="G43" s="23">
        <v>700000</v>
      </c>
      <c r="H43" s="23">
        <v>0</v>
      </c>
    </row>
    <row r="44" ht="41.4" spans="1:9">
      <c r="A44" s="54"/>
      <c r="B44" s="20" t="s">
        <v>2746</v>
      </c>
      <c r="C44" s="18"/>
      <c r="D44" s="18"/>
      <c r="E44" s="23">
        <v>1200000</v>
      </c>
      <c r="F44" s="23">
        <v>850000</v>
      </c>
      <c r="G44" s="23">
        <v>600000</v>
      </c>
      <c r="H44" s="23">
        <v>0</v>
      </c>
    </row>
    <row r="45" ht="27.6" spans="1:9">
      <c r="A45" s="54"/>
      <c r="B45" s="20" t="s">
        <v>2747</v>
      </c>
      <c r="C45" s="18"/>
      <c r="D45" s="18"/>
      <c r="E45" s="23">
        <v>850000</v>
      </c>
      <c r="F45" s="23">
        <v>600000</v>
      </c>
      <c r="G45" s="23">
        <v>420000</v>
      </c>
      <c r="H45" s="23">
        <v>0</v>
      </c>
    </row>
    <row r="46" spans="1:9">
      <c r="A46" s="54">
        <v>36</v>
      </c>
      <c r="B46" s="20" t="s">
        <v>1093</v>
      </c>
      <c r="C46" s="18"/>
      <c r="D46" s="18"/>
      <c r="E46" s="23" t="s">
        <v>16</v>
      </c>
      <c r="F46" s="23" t="s">
        <v>16</v>
      </c>
      <c r="G46" s="23" t="s">
        <v>16</v>
      </c>
      <c r="H46" s="23"/>
    </row>
    <row r="47" ht="27.6" spans="1:9">
      <c r="A47" s="54"/>
      <c r="B47" s="20" t="s">
        <v>2748</v>
      </c>
      <c r="C47" s="18"/>
      <c r="D47" s="18"/>
      <c r="E47" s="23">
        <v>265000</v>
      </c>
      <c r="F47" s="23">
        <v>185000</v>
      </c>
      <c r="G47" s="23">
        <v>135000</v>
      </c>
      <c r="H47" s="23">
        <v>0</v>
      </c>
    </row>
    <row r="48" ht="27.6" spans="1:9">
      <c r="A48" s="54"/>
      <c r="B48" s="20" t="s">
        <v>2749</v>
      </c>
      <c r="C48" s="57"/>
      <c r="D48" s="57"/>
      <c r="E48" s="23">
        <v>240000</v>
      </c>
      <c r="F48" s="23">
        <v>170000</v>
      </c>
      <c r="G48" s="23">
        <v>120000</v>
      </c>
      <c r="H48" s="23">
        <v>0</v>
      </c>
    </row>
    <row r="49" spans="1:8">
      <c r="A49" s="40" t="s">
        <v>217</v>
      </c>
      <c r="B49" s="13"/>
      <c r="C49" s="57"/>
      <c r="D49" s="57"/>
      <c r="E49" s="23" t="s">
        <v>16</v>
      </c>
      <c r="F49" s="23" t="s">
        <v>16</v>
      </c>
      <c r="G49" s="23" t="s">
        <v>16</v>
      </c>
      <c r="H49" s="23" t="s">
        <v>16</v>
      </c>
    </row>
    <row r="50" ht="110.4" spans="1:8">
      <c r="A50" s="54">
        <v>37</v>
      </c>
      <c r="B50" s="20" t="s">
        <v>2750</v>
      </c>
      <c r="C50" s="18"/>
      <c r="D50" s="18"/>
      <c r="E50" s="23">
        <v>250000</v>
      </c>
      <c r="F50" s="23">
        <v>195000</v>
      </c>
      <c r="G50" s="23">
        <v>0</v>
      </c>
      <c r="H50" s="23">
        <v>0</v>
      </c>
    </row>
    <row r="51" ht="41.4" spans="1:8">
      <c r="A51" s="54">
        <v>38</v>
      </c>
      <c r="B51" s="20" t="s">
        <v>2751</v>
      </c>
      <c r="C51" s="18"/>
      <c r="D51" s="18"/>
      <c r="E51" s="23">
        <v>195000</v>
      </c>
      <c r="F51" s="23">
        <v>155000</v>
      </c>
      <c r="G51" s="23">
        <v>0</v>
      </c>
      <c r="H51" s="23">
        <v>0</v>
      </c>
    </row>
    <row r="52" ht="55.2" spans="1:8">
      <c r="A52" s="54">
        <v>39</v>
      </c>
      <c r="B52" s="220" t="s">
        <v>2752</v>
      </c>
      <c r="C52" s="18"/>
      <c r="D52" s="18"/>
      <c r="E52" s="23">
        <v>100000</v>
      </c>
      <c r="F52" s="23">
        <v>0</v>
      </c>
      <c r="G52" s="23">
        <v>0</v>
      </c>
      <c r="H52" s="23">
        <v>0</v>
      </c>
    </row>
    <row r="53" spans="1:8">
      <c r="A53" s="27"/>
      <c r="C53" s="28"/>
      <c r="D53" s="28"/>
      <c r="E53" s="23" t="s">
        <v>16</v>
      </c>
      <c r="F53" s="23" t="s">
        <v>16</v>
      </c>
      <c r="G53" s="23" t="s">
        <v>16</v>
      </c>
      <c r="H53" s="23" t="s">
        <v>16</v>
      </c>
    </row>
    <row r="54" spans="1:8">
      <c r="A54" s="27"/>
      <c r="C54" s="28"/>
      <c r="D54" s="28"/>
      <c r="E54" s="23" t="s">
        <v>16</v>
      </c>
      <c r="F54" s="23" t="s">
        <v>16</v>
      </c>
      <c r="G54" s="23" t="s">
        <v>16</v>
      </c>
      <c r="H54" s="23" t="s">
        <v>16</v>
      </c>
    </row>
    <row r="55" spans="1:8">
      <c r="A55" s="27"/>
      <c r="C55" s="28"/>
      <c r="D55" s="28"/>
      <c r="E55" s="23" t="s">
        <v>16</v>
      </c>
      <c r="F55" s="23" t="s">
        <v>16</v>
      </c>
      <c r="G55" s="23" t="s">
        <v>16</v>
      </c>
      <c r="H55" s="23" t="s">
        <v>16</v>
      </c>
    </row>
    <row r="56" spans="1:8">
      <c r="A56" s="27"/>
      <c r="C56" s="28"/>
      <c r="D56" s="28"/>
      <c r="E56" s="23" t="s">
        <v>16</v>
      </c>
      <c r="F56" s="23" t="s">
        <v>16</v>
      </c>
      <c r="G56" s="23" t="s">
        <v>16</v>
      </c>
      <c r="H56" s="23" t="s">
        <v>16</v>
      </c>
    </row>
    <row r="57" spans="1:8">
      <c r="A57" s="27"/>
      <c r="C57" s="28"/>
      <c r="D57" s="28"/>
      <c r="E57" s="23" t="s">
        <v>16</v>
      </c>
      <c r="F57" s="23" t="s">
        <v>16</v>
      </c>
      <c r="G57" s="23" t="s">
        <v>16</v>
      </c>
      <c r="H57" s="23" t="s">
        <v>16</v>
      </c>
    </row>
    <row r="58" spans="1:8">
      <c r="A58" s="27"/>
      <c r="C58" s="28"/>
      <c r="D58" s="28"/>
      <c r="E58" s="23" t="s">
        <v>16</v>
      </c>
      <c r="F58" s="23" t="s">
        <v>16</v>
      </c>
      <c r="G58" s="23" t="s">
        <v>16</v>
      </c>
      <c r="H58" s="23" t="s">
        <v>16</v>
      </c>
    </row>
    <row r="59" spans="1:8">
      <c r="A59" s="27"/>
      <c r="C59" s="28"/>
      <c r="D59" s="28"/>
      <c r="E59" s="23" t="s">
        <v>16</v>
      </c>
      <c r="F59" s="23" t="s">
        <v>16</v>
      </c>
      <c r="G59" s="23" t="s">
        <v>16</v>
      </c>
      <c r="H59" s="23" t="s">
        <v>16</v>
      </c>
    </row>
    <row r="60" spans="1:8">
      <c r="A60" s="27"/>
      <c r="C60" s="28"/>
      <c r="D60" s="28"/>
      <c r="E60" s="23" t="s">
        <v>16</v>
      </c>
      <c r="F60" s="23" t="s">
        <v>16</v>
      </c>
      <c r="G60" s="23" t="s">
        <v>16</v>
      </c>
      <c r="H60" s="23" t="s">
        <v>16</v>
      </c>
    </row>
    <row r="61" spans="1:8">
      <c r="A61" s="27"/>
      <c r="C61" s="28"/>
      <c r="D61" s="28"/>
      <c r="E61" s="23" t="s">
        <v>16</v>
      </c>
      <c r="F61" s="23" t="s">
        <v>16</v>
      </c>
      <c r="G61" s="23" t="s">
        <v>16</v>
      </c>
      <c r="H61" s="23" t="s">
        <v>16</v>
      </c>
    </row>
    <row r="62" spans="1:8">
      <c r="A62" s="27"/>
      <c r="C62" s="28"/>
      <c r="D62" s="28"/>
      <c r="E62" s="23" t="s">
        <v>16</v>
      </c>
      <c r="F62" s="23" t="s">
        <v>16</v>
      </c>
      <c r="G62" s="23" t="s">
        <v>16</v>
      </c>
      <c r="H62" s="23" t="s">
        <v>16</v>
      </c>
    </row>
    <row r="63" spans="1:8">
      <c r="A63" s="27"/>
      <c r="C63" s="28"/>
      <c r="D63" s="28"/>
      <c r="E63" s="23" t="s">
        <v>16</v>
      </c>
      <c r="F63" s="23" t="s">
        <v>16</v>
      </c>
      <c r="G63" s="23" t="s">
        <v>16</v>
      </c>
      <c r="H63" s="23" t="s">
        <v>16</v>
      </c>
    </row>
    <row r="64" spans="1:8">
      <c r="A64" s="27"/>
      <c r="C64" s="28"/>
      <c r="D64" s="28"/>
      <c r="E64" s="23" t="s">
        <v>16</v>
      </c>
      <c r="F64" s="23" t="s">
        <v>16</v>
      </c>
      <c r="G64" s="23" t="s">
        <v>16</v>
      </c>
      <c r="H64" s="23" t="s">
        <v>16</v>
      </c>
    </row>
    <row r="65" spans="1:8">
      <c r="A65" s="27"/>
      <c r="C65" s="28"/>
      <c r="D65" s="28"/>
      <c r="E65" s="23" t="s">
        <v>16</v>
      </c>
      <c r="F65" s="23" t="s">
        <v>16</v>
      </c>
      <c r="G65" s="23" t="s">
        <v>16</v>
      </c>
      <c r="H65" s="23" t="s">
        <v>16</v>
      </c>
    </row>
    <row r="66" spans="1:8">
      <c r="A66" s="27"/>
      <c r="C66" s="28"/>
      <c r="D66" s="28"/>
      <c r="E66" s="23" t="s">
        <v>16</v>
      </c>
      <c r="F66" s="23" t="s">
        <v>16</v>
      </c>
      <c r="G66" s="23" t="s">
        <v>16</v>
      </c>
      <c r="H66" s="23" t="s">
        <v>16</v>
      </c>
    </row>
    <row r="67" spans="1:8">
      <c r="A67" s="27"/>
      <c r="C67" s="28"/>
      <c r="D67" s="28"/>
      <c r="E67" s="23" t="s">
        <v>16</v>
      </c>
      <c r="F67" s="23" t="s">
        <v>16</v>
      </c>
      <c r="G67" s="23" t="s">
        <v>16</v>
      </c>
      <c r="H67" s="23" t="s">
        <v>16</v>
      </c>
    </row>
    <row r="68" spans="1:8">
      <c r="A68" s="27"/>
      <c r="C68" s="28"/>
      <c r="D68" s="28"/>
      <c r="E68" s="23" t="s">
        <v>16</v>
      </c>
      <c r="F68" s="23" t="s">
        <v>16</v>
      </c>
      <c r="G68" s="23" t="s">
        <v>16</v>
      </c>
      <c r="H68" s="23" t="s">
        <v>16</v>
      </c>
    </row>
    <row r="69" spans="1:8">
      <c r="A69" s="27"/>
      <c r="C69" s="28"/>
      <c r="D69" s="28"/>
      <c r="E69" s="23" t="s">
        <v>16</v>
      </c>
      <c r="F69" s="23" t="s">
        <v>16</v>
      </c>
      <c r="G69" s="23" t="s">
        <v>16</v>
      </c>
      <c r="H69" s="23" t="s">
        <v>16</v>
      </c>
    </row>
    <row r="70" spans="1:8">
      <c r="A70" s="27"/>
      <c r="C70" s="28"/>
      <c r="D70" s="28"/>
      <c r="E70" s="23" t="s">
        <v>16</v>
      </c>
      <c r="F70" s="23" t="s">
        <v>16</v>
      </c>
      <c r="G70" s="23" t="s">
        <v>16</v>
      </c>
      <c r="H70" s="23" t="s">
        <v>16</v>
      </c>
    </row>
    <row r="71" spans="1:8">
      <c r="A71" s="27"/>
      <c r="C71" s="28"/>
      <c r="D71" s="28"/>
      <c r="E71" s="23" t="s">
        <v>16</v>
      </c>
      <c r="F71" s="23" t="s">
        <v>16</v>
      </c>
      <c r="G71" s="23" t="s">
        <v>16</v>
      </c>
      <c r="H71" s="23" t="s">
        <v>16</v>
      </c>
    </row>
    <row r="72" spans="1:8">
      <c r="A72" s="27"/>
      <c r="C72" s="28"/>
      <c r="D72" s="28"/>
      <c r="E72" s="23" t="s">
        <v>16</v>
      </c>
      <c r="F72" s="23" t="s">
        <v>16</v>
      </c>
      <c r="G72" s="23" t="s">
        <v>16</v>
      </c>
      <c r="H72" s="23" t="s">
        <v>16</v>
      </c>
    </row>
    <row r="73" spans="1:8">
      <c r="A73" s="27"/>
      <c r="C73" s="28"/>
      <c r="D73" s="28"/>
      <c r="E73" s="23" t="s">
        <v>16</v>
      </c>
      <c r="F73" s="23" t="s">
        <v>16</v>
      </c>
      <c r="G73" s="23" t="s">
        <v>16</v>
      </c>
      <c r="H73" s="23" t="s">
        <v>16</v>
      </c>
    </row>
    <row r="74" spans="1:8">
      <c r="A74" s="27"/>
      <c r="C74" s="28"/>
      <c r="D74" s="28"/>
      <c r="E74" s="23" t="s">
        <v>16</v>
      </c>
      <c r="F74" s="23" t="s">
        <v>16</v>
      </c>
      <c r="G74" s="23" t="s">
        <v>16</v>
      </c>
      <c r="H74" s="23" t="s">
        <v>16</v>
      </c>
    </row>
    <row r="75" spans="1:8">
      <c r="A75" s="27"/>
      <c r="C75" s="28"/>
      <c r="D75" s="28"/>
      <c r="E75" s="23" t="s">
        <v>16</v>
      </c>
      <c r="F75" s="23" t="s">
        <v>16</v>
      </c>
      <c r="G75" s="23" t="s">
        <v>16</v>
      </c>
      <c r="H75" s="23" t="s">
        <v>16</v>
      </c>
    </row>
    <row r="76" spans="1:8">
      <c r="A76" s="27"/>
      <c r="C76" s="28"/>
      <c r="D76" s="28"/>
      <c r="E76" s="23" t="s">
        <v>16</v>
      </c>
      <c r="F76" s="23" t="s">
        <v>16</v>
      </c>
      <c r="G76" s="23" t="s">
        <v>16</v>
      </c>
      <c r="H76" s="23" t="s">
        <v>16</v>
      </c>
    </row>
    <row r="77" spans="1:8">
      <c r="A77" s="27"/>
      <c r="C77" s="28"/>
      <c r="D77" s="28"/>
      <c r="E77" s="23" t="s">
        <v>16</v>
      </c>
      <c r="F77" s="23" t="s">
        <v>16</v>
      </c>
      <c r="G77" s="23" t="s">
        <v>16</v>
      </c>
      <c r="H77" s="23" t="s">
        <v>16</v>
      </c>
    </row>
    <row r="78" spans="1:8">
      <c r="A78" s="27"/>
      <c r="C78" s="28"/>
      <c r="D78" s="28"/>
      <c r="E78" s="23" t="s">
        <v>16</v>
      </c>
      <c r="F78" s="23" t="s">
        <v>16</v>
      </c>
      <c r="G78" s="23" t="s">
        <v>16</v>
      </c>
      <c r="H78" s="23" t="s">
        <v>16</v>
      </c>
    </row>
    <row r="79" spans="1:8">
      <c r="A79" s="27"/>
      <c r="C79" s="28"/>
      <c r="D79" s="28"/>
      <c r="E79" s="23" t="s">
        <v>16</v>
      </c>
      <c r="F79" s="23" t="s">
        <v>16</v>
      </c>
      <c r="G79" s="23" t="s">
        <v>16</v>
      </c>
      <c r="H79" s="23" t="s">
        <v>16</v>
      </c>
    </row>
    <row r="80" spans="1:8">
      <c r="A80" s="27"/>
      <c r="C80" s="28"/>
      <c r="D80" s="28"/>
      <c r="E80" s="23" t="s">
        <v>16</v>
      </c>
      <c r="F80" s="23" t="s">
        <v>16</v>
      </c>
      <c r="G80" s="23" t="s">
        <v>16</v>
      </c>
      <c r="H80" s="23" t="s">
        <v>16</v>
      </c>
    </row>
    <row r="81" spans="1:8">
      <c r="A81" s="27"/>
      <c r="C81" s="28"/>
      <c r="D81" s="28"/>
      <c r="E81" s="23" t="s">
        <v>16</v>
      </c>
      <c r="F81" s="23" t="s">
        <v>16</v>
      </c>
      <c r="G81" s="23" t="s">
        <v>16</v>
      </c>
      <c r="H81" s="23" t="s">
        <v>16</v>
      </c>
    </row>
    <row r="82" spans="1:8">
      <c r="A82" s="27"/>
      <c r="C82" s="28"/>
      <c r="D82" s="28"/>
      <c r="E82" s="23" t="s">
        <v>16</v>
      </c>
      <c r="F82" s="23" t="s">
        <v>16</v>
      </c>
      <c r="G82" s="23" t="s">
        <v>16</v>
      </c>
      <c r="H82" s="23" t="s">
        <v>16</v>
      </c>
    </row>
    <row r="83" spans="1:8">
      <c r="A83" s="27"/>
      <c r="C83" s="28"/>
      <c r="D83" s="28"/>
      <c r="E83" s="23" t="s">
        <v>16</v>
      </c>
      <c r="F83" s="23" t="s">
        <v>16</v>
      </c>
      <c r="G83" s="23" t="s">
        <v>16</v>
      </c>
      <c r="H83" s="23" t="s">
        <v>16</v>
      </c>
    </row>
    <row r="84" spans="1:8">
      <c r="A84" s="27"/>
      <c r="C84" s="28"/>
      <c r="D84" s="28"/>
      <c r="E84" s="23" t="s">
        <v>16</v>
      </c>
      <c r="F84" s="23" t="s">
        <v>16</v>
      </c>
      <c r="G84" s="23" t="s">
        <v>16</v>
      </c>
      <c r="H84" s="23" t="s">
        <v>16</v>
      </c>
    </row>
    <row r="85" spans="1:8">
      <c r="A85" s="27"/>
      <c r="C85" s="28"/>
      <c r="D85" s="28"/>
      <c r="E85" s="23" t="s">
        <v>16</v>
      </c>
      <c r="F85" s="23" t="s">
        <v>16</v>
      </c>
      <c r="G85" s="23" t="s">
        <v>16</v>
      </c>
      <c r="H85" s="23" t="s">
        <v>16</v>
      </c>
    </row>
    <row r="86" spans="1:8">
      <c r="A86" s="27"/>
      <c r="C86" s="28"/>
      <c r="D86" s="28"/>
      <c r="E86" s="23" t="s">
        <v>16</v>
      </c>
      <c r="F86" s="23" t="s">
        <v>16</v>
      </c>
      <c r="G86" s="23" t="s">
        <v>16</v>
      </c>
      <c r="H86" s="23" t="s">
        <v>16</v>
      </c>
    </row>
    <row r="87" spans="1:8">
      <c r="A87" s="27"/>
      <c r="C87" s="28"/>
      <c r="D87" s="28"/>
      <c r="E87" s="23" t="s">
        <v>16</v>
      </c>
      <c r="F87" s="23" t="s">
        <v>16</v>
      </c>
      <c r="G87" s="23" t="s">
        <v>16</v>
      </c>
      <c r="H87" s="23" t="s">
        <v>16</v>
      </c>
    </row>
    <row r="88" spans="1:8">
      <c r="A88" s="27"/>
      <c r="C88" s="28"/>
      <c r="D88" s="28"/>
      <c r="E88" s="23" t="s">
        <v>16</v>
      </c>
      <c r="F88" s="23" t="s">
        <v>16</v>
      </c>
      <c r="G88" s="23" t="s">
        <v>16</v>
      </c>
      <c r="H88" s="23" t="s">
        <v>16</v>
      </c>
    </row>
    <row r="89" spans="1:8">
      <c r="A89" s="27"/>
      <c r="C89" s="28"/>
      <c r="D89" s="28"/>
      <c r="E89" s="23" t="s">
        <v>16</v>
      </c>
      <c r="F89" s="23" t="s">
        <v>16</v>
      </c>
      <c r="G89" s="23" t="s">
        <v>16</v>
      </c>
      <c r="H89" s="23" t="s">
        <v>16</v>
      </c>
    </row>
    <row r="90" spans="1:8">
      <c r="A90" s="27"/>
      <c r="C90" s="28"/>
      <c r="D90" s="2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c r="F171" s="23"/>
      <c r="G171" s="23"/>
      <c r="H171" s="23"/>
    </row>
    <row r="172" spans="1:8">
      <c r="A172" s="27"/>
      <c r="C172" s="28"/>
      <c r="D172" s="28"/>
      <c r="E172" s="23"/>
      <c r="F172" s="23"/>
      <c r="G172" s="23"/>
      <c r="H172" s="23"/>
    </row>
    <row r="173" spans="1:8">
      <c r="A173" s="27"/>
      <c r="C173" s="28"/>
      <c r="D173" s="28"/>
      <c r="E173" s="23"/>
      <c r="F173" s="23"/>
      <c r="G173" s="23"/>
      <c r="H173" s="23"/>
    </row>
    <row r="174" spans="1:8">
      <c r="A174" s="27"/>
      <c r="C174" s="28"/>
      <c r="D174" s="28"/>
      <c r="E174" s="23"/>
      <c r="F174" s="23"/>
      <c r="G174" s="23"/>
      <c r="H174" s="23"/>
    </row>
    <row r="175" spans="1:8">
      <c r="A175" s="27"/>
      <c r="C175" s="28"/>
      <c r="D175" s="28"/>
      <c r="E175" s="23"/>
      <c r="F175" s="23"/>
      <c r="G175" s="23"/>
      <c r="H175" s="23"/>
    </row>
    <row r="176" spans="1:8">
      <c r="A176" s="27"/>
      <c r="C176" s="28"/>
      <c r="D176" s="28"/>
      <c r="E176" s="23"/>
      <c r="F176" s="23"/>
      <c r="G176" s="23"/>
      <c r="H176" s="23"/>
    </row>
    <row r="177" spans="1:8">
      <c r="A177" s="27"/>
      <c r="C177" s="28"/>
      <c r="D177" s="28"/>
      <c r="E177" s="23"/>
      <c r="F177" s="23"/>
      <c r="G177" s="23"/>
      <c r="H177" s="23"/>
    </row>
    <row r="178" spans="1:8">
      <c r="A178" s="27"/>
      <c r="C178" s="28"/>
      <c r="D178" s="28"/>
      <c r="E178" s="23"/>
      <c r="F178" s="23"/>
      <c r="G178" s="23"/>
      <c r="H178" s="23"/>
    </row>
    <row r="179" spans="1:8">
      <c r="A179" s="27"/>
      <c r="C179" s="28"/>
      <c r="D179" s="28"/>
      <c r="E179" s="23"/>
      <c r="F179" s="23"/>
      <c r="G179" s="23"/>
      <c r="H179" s="23"/>
    </row>
    <row r="180" spans="1:8">
      <c r="A180" s="27"/>
      <c r="C180" s="28"/>
      <c r="D180" s="28"/>
      <c r="E180" s="23"/>
      <c r="F180" s="23"/>
      <c r="G180" s="23"/>
      <c r="H180" s="23"/>
    </row>
    <row r="181" spans="1:8">
      <c r="A181" s="27"/>
      <c r="C181" s="28"/>
      <c r="D181" s="28"/>
      <c r="E181" s="23"/>
      <c r="F181" s="23"/>
      <c r="G181" s="23"/>
      <c r="H181" s="23"/>
    </row>
    <row r="182" spans="1:8">
      <c r="A182" s="27"/>
      <c r="C182" s="28"/>
      <c r="D182" s="28"/>
      <c r="E182" s="23"/>
      <c r="F182" s="23"/>
      <c r="G182" s="23"/>
      <c r="H182" s="23"/>
    </row>
    <row r="183" spans="1:8">
      <c r="A183" s="27"/>
      <c r="C183" s="28"/>
      <c r="D183" s="28"/>
      <c r="E183" s="23"/>
      <c r="F183" s="23"/>
      <c r="G183" s="23"/>
      <c r="H183" s="23"/>
    </row>
    <row r="184" spans="1:8">
      <c r="A184" s="27"/>
      <c r="C184" s="28"/>
      <c r="D184" s="28"/>
      <c r="E184" s="23"/>
      <c r="F184" s="23"/>
      <c r="G184" s="23"/>
      <c r="H184" s="23"/>
    </row>
    <row r="185" spans="1:8">
      <c r="A185" s="27"/>
      <c r="C185" s="28"/>
      <c r="D185" s="28"/>
      <c r="E185" s="23"/>
      <c r="F185" s="23"/>
      <c r="G185" s="23"/>
      <c r="H185" s="23"/>
    </row>
    <row r="186" spans="1:8">
      <c r="A186" s="27"/>
      <c r="C186" s="28"/>
      <c r="D186" s="28"/>
      <c r="E186" s="23"/>
      <c r="F186" s="23"/>
      <c r="G186" s="23"/>
      <c r="H186" s="23"/>
    </row>
    <row r="187" spans="1:8">
      <c r="A187" s="27"/>
      <c r="C187" s="28"/>
      <c r="D187" s="28"/>
      <c r="E187" s="23"/>
      <c r="F187" s="23"/>
      <c r="G187" s="23"/>
      <c r="H187" s="23"/>
    </row>
    <row r="188" spans="1:8">
      <c r="A188" s="27"/>
      <c r="C188" s="28"/>
      <c r="D188" s="28"/>
      <c r="E188" s="23"/>
      <c r="F188" s="23"/>
      <c r="G188" s="23"/>
      <c r="H188" s="23"/>
    </row>
    <row r="189" spans="1:8">
      <c r="A189" s="27"/>
      <c r="C189" s="28"/>
      <c r="D189" s="28"/>
      <c r="E189" s="23"/>
      <c r="F189" s="23"/>
      <c r="G189" s="23"/>
      <c r="H189" s="23"/>
    </row>
    <row r="190" spans="1:8">
      <c r="A190" s="27"/>
      <c r="C190" s="28"/>
      <c r="D190" s="28"/>
      <c r="E190" s="23"/>
      <c r="F190" s="23"/>
      <c r="G190" s="23"/>
      <c r="H190" s="23"/>
    </row>
    <row r="191" spans="1:8">
      <c r="A191" s="27"/>
      <c r="C191" s="28"/>
      <c r="D191" s="28"/>
      <c r="E191" s="23"/>
      <c r="F191" s="23"/>
      <c r="G191" s="23"/>
      <c r="H191" s="23"/>
    </row>
    <row r="192" spans="1:8">
      <c r="A192" s="27"/>
      <c r="C192" s="28"/>
      <c r="D192" s="28"/>
      <c r="E192" s="23"/>
      <c r="F192" s="23"/>
      <c r="G192" s="23"/>
      <c r="H192" s="23"/>
    </row>
    <row r="193" spans="1:8">
      <c r="A193" s="27"/>
      <c r="C193" s="28"/>
      <c r="D193" s="28"/>
      <c r="E193" s="23"/>
      <c r="F193" s="23"/>
      <c r="G193" s="23"/>
      <c r="H193" s="23"/>
    </row>
    <row r="194" spans="1:8">
      <c r="A194" s="27"/>
      <c r="C194" s="28"/>
      <c r="D194" s="28"/>
      <c r="E194" s="23"/>
      <c r="F194" s="23"/>
      <c r="G194" s="23"/>
      <c r="H194" s="23"/>
    </row>
    <row r="195" spans="1:8">
      <c r="A195" s="27"/>
      <c r="C195" s="28"/>
      <c r="D195" s="28"/>
      <c r="E195" s="23"/>
      <c r="F195" s="23"/>
      <c r="G195" s="23"/>
      <c r="H195" s="23"/>
    </row>
    <row r="196" spans="1:8">
      <c r="A196" s="27"/>
      <c r="C196" s="28"/>
      <c r="D196" s="28"/>
      <c r="E196" s="23"/>
      <c r="F196" s="23"/>
      <c r="G196" s="23"/>
      <c r="H196" s="23"/>
    </row>
    <row r="197" spans="1:8">
      <c r="A197" s="27"/>
      <c r="C197" s="28"/>
      <c r="D197" s="28"/>
      <c r="E197" s="23"/>
      <c r="F197" s="23"/>
      <c r="G197" s="23"/>
      <c r="H197" s="23"/>
    </row>
    <row r="198" spans="1:8">
      <c r="A198" s="27"/>
      <c r="C198" s="28"/>
      <c r="D198" s="28"/>
      <c r="E198" s="23"/>
      <c r="F198" s="23"/>
      <c r="G198" s="23"/>
      <c r="H198" s="23"/>
    </row>
    <row r="199" spans="1:8">
      <c r="A199" s="27"/>
      <c r="C199" s="28"/>
      <c r="D199" s="28"/>
      <c r="E199" s="23"/>
      <c r="F199" s="23"/>
      <c r="G199" s="23"/>
      <c r="H199" s="23"/>
    </row>
    <row r="200" spans="1:8">
      <c r="A200" s="27"/>
      <c r="C200" s="28"/>
      <c r="D200" s="28"/>
      <c r="E200" s="23"/>
      <c r="F200" s="23"/>
      <c r="G200" s="23"/>
      <c r="H200" s="23"/>
    </row>
    <row r="201" spans="1:8">
      <c r="A201" s="27"/>
      <c r="C201" s="28"/>
      <c r="D201" s="28"/>
      <c r="E201" s="23"/>
      <c r="F201" s="23"/>
      <c r="G201" s="23"/>
      <c r="H201" s="23"/>
    </row>
    <row r="202" spans="1:8">
      <c r="A202" s="27"/>
      <c r="C202" s="28"/>
      <c r="D202" s="28"/>
      <c r="E202" s="23"/>
      <c r="F202" s="23"/>
      <c r="G202" s="23"/>
      <c r="H202" s="23"/>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row r="860" spans="1:8">
      <c r="A860" s="27"/>
      <c r="C860" s="28"/>
      <c r="D860" s="28"/>
      <c r="E860" s="50"/>
      <c r="F860" s="50"/>
      <c r="G860" s="50"/>
      <c r="H860" s="50"/>
    </row>
    <row r="861" spans="1:8">
      <c r="A861" s="27"/>
      <c r="C861" s="28"/>
      <c r="D861" s="28"/>
      <c r="E861" s="50"/>
      <c r="F861" s="50"/>
      <c r="G861" s="50"/>
      <c r="H861" s="50"/>
    </row>
    <row r="862" spans="1:8">
      <c r="A862" s="27"/>
      <c r="C862" s="28"/>
      <c r="D862" s="28"/>
      <c r="E862" s="50"/>
      <c r="F862" s="50"/>
      <c r="G862" s="50"/>
      <c r="H862" s="50"/>
    </row>
    <row r="863" spans="1:8">
      <c r="A863" s="27"/>
      <c r="C863" s="28"/>
      <c r="D863" s="28"/>
      <c r="E863" s="50"/>
      <c r="F863" s="50"/>
      <c r="G863" s="50"/>
      <c r="H863" s="50"/>
    </row>
    <row r="864" spans="1:8">
      <c r="A864" s="27"/>
      <c r="C864" s="28"/>
      <c r="D864" s="28"/>
      <c r="E864" s="50"/>
      <c r="F864" s="50"/>
      <c r="G864" s="50"/>
      <c r="H864" s="50"/>
    </row>
    <row r="865" spans="1:8">
      <c r="A865" s="27"/>
      <c r="C865" s="28"/>
      <c r="D865" s="28"/>
      <c r="E865" s="50"/>
      <c r="F865" s="50"/>
      <c r="G865" s="50"/>
      <c r="H865" s="50"/>
    </row>
    <row r="866" spans="1:8">
      <c r="A866" s="27"/>
      <c r="C866" s="28"/>
      <c r="D866" s="28"/>
      <c r="E866" s="50"/>
      <c r="F866" s="50"/>
      <c r="G866" s="50"/>
      <c r="H866" s="50"/>
    </row>
    <row r="867" spans="1:8">
      <c r="A867" s="27"/>
      <c r="C867" s="28"/>
      <c r="D867" s="28"/>
      <c r="E867" s="50"/>
      <c r="F867" s="50"/>
      <c r="G867" s="50"/>
      <c r="H867" s="50"/>
    </row>
    <row r="868" spans="1:8">
      <c r="A868" s="27"/>
      <c r="C868" s="28"/>
      <c r="D868" s="28"/>
      <c r="E868" s="50"/>
      <c r="F868" s="50"/>
      <c r="G868" s="50"/>
      <c r="H868" s="50"/>
    </row>
    <row r="869" spans="1:8">
      <c r="A869" s="27"/>
      <c r="C869" s="28"/>
      <c r="D869" s="28"/>
      <c r="E869" s="50"/>
      <c r="F869" s="50"/>
      <c r="G869" s="50"/>
      <c r="H869" s="50"/>
    </row>
    <row r="870" spans="1:8">
      <c r="A870" s="27"/>
      <c r="C870" s="28"/>
      <c r="D870" s="28"/>
      <c r="E870" s="50"/>
      <c r="F870" s="50"/>
      <c r="G870" s="50"/>
      <c r="H870" s="50"/>
    </row>
    <row r="871" spans="1:8">
      <c r="A871" s="27"/>
      <c r="C871" s="28"/>
      <c r="D871" s="28"/>
      <c r="E871" s="50"/>
      <c r="F871" s="50"/>
      <c r="G871" s="50"/>
      <c r="H871" s="50"/>
    </row>
    <row r="872" spans="1:8">
      <c r="A872" s="27"/>
      <c r="C872" s="28"/>
      <c r="D872" s="28"/>
      <c r="E872" s="50"/>
      <c r="F872" s="50"/>
      <c r="G872" s="50"/>
      <c r="H872" s="50"/>
    </row>
    <row r="873" spans="1:8">
      <c r="A873" s="27"/>
      <c r="C873" s="28"/>
      <c r="D873" s="28"/>
      <c r="E873" s="50"/>
      <c r="F873" s="50"/>
      <c r="G873" s="50"/>
      <c r="H873" s="50"/>
    </row>
    <row r="874" spans="1:8">
      <c r="A874" s="27"/>
      <c r="C874" s="28"/>
      <c r="D874" s="28"/>
      <c r="E874" s="50"/>
      <c r="F874" s="50"/>
      <c r="G874" s="50"/>
      <c r="H874" s="50"/>
    </row>
    <row r="875" spans="1:8">
      <c r="A875" s="27"/>
      <c r="C875" s="28"/>
      <c r="D875" s="28"/>
      <c r="E875" s="50"/>
      <c r="F875" s="50"/>
      <c r="G875" s="50"/>
      <c r="H875" s="50"/>
    </row>
    <row r="876" spans="1:8">
      <c r="A876" s="27"/>
      <c r="C876" s="28"/>
      <c r="D876" s="28"/>
      <c r="E876" s="50"/>
      <c r="F876" s="50"/>
      <c r="G876" s="50"/>
      <c r="H876" s="50"/>
    </row>
    <row r="877" spans="1:8">
      <c r="A877" s="27"/>
      <c r="C877" s="28"/>
      <c r="D877" s="28"/>
      <c r="E877" s="50"/>
      <c r="F877" s="50"/>
      <c r="G877" s="50"/>
      <c r="H877" s="50"/>
    </row>
    <row r="878" spans="1:8">
      <c r="A878" s="27"/>
      <c r="C878" s="28"/>
      <c r="D878" s="28"/>
      <c r="E878" s="50"/>
      <c r="F878" s="50"/>
      <c r="G878" s="50"/>
      <c r="H878" s="50"/>
    </row>
    <row r="879" spans="1:8">
      <c r="A879" s="27"/>
      <c r="C879" s="28"/>
      <c r="D879" s="28"/>
      <c r="E879" s="50"/>
      <c r="F879" s="50"/>
      <c r="G879" s="50"/>
      <c r="H879" s="50"/>
    </row>
    <row r="880" spans="1:8">
      <c r="A880" s="27"/>
      <c r="C880" s="28"/>
      <c r="D880" s="28"/>
      <c r="E880" s="50"/>
      <c r="F880" s="50"/>
      <c r="G880" s="50"/>
      <c r="H880" s="50"/>
    </row>
    <row r="881" spans="1:8">
      <c r="A881" s="27"/>
      <c r="C881" s="28"/>
      <c r="D881" s="28"/>
      <c r="E881" s="50"/>
      <c r="F881" s="50"/>
      <c r="G881" s="50"/>
      <c r="H881" s="50"/>
    </row>
    <row r="882" spans="1:8">
      <c r="A882" s="27"/>
      <c r="C882" s="28"/>
      <c r="D882" s="28"/>
      <c r="E882" s="50"/>
      <c r="F882" s="50"/>
      <c r="G882" s="50"/>
      <c r="H882" s="50"/>
    </row>
    <row r="883" spans="1:8">
      <c r="A883" s="27"/>
      <c r="C883" s="28"/>
      <c r="D883" s="28"/>
      <c r="E883" s="50"/>
      <c r="F883" s="50"/>
      <c r="G883" s="50"/>
      <c r="H883" s="50"/>
    </row>
    <row r="884" spans="1:8">
      <c r="A884" s="27"/>
      <c r="C884" s="28"/>
      <c r="D884" s="28"/>
      <c r="E884" s="50"/>
      <c r="F884" s="50"/>
      <c r="G884" s="50"/>
      <c r="H884" s="50"/>
    </row>
    <row r="885" spans="1:8">
      <c r="A885" s="27"/>
      <c r="C885" s="28"/>
      <c r="D885" s="28"/>
      <c r="E885" s="50"/>
      <c r="F885" s="50"/>
      <c r="G885" s="50"/>
      <c r="H885" s="50"/>
    </row>
    <row r="886" spans="1:8">
      <c r="A886" s="27"/>
      <c r="C886" s="28"/>
      <c r="D886" s="28"/>
      <c r="E886" s="50"/>
      <c r="F886" s="50"/>
      <c r="G886" s="50"/>
      <c r="H886" s="50"/>
    </row>
    <row r="887" spans="1:8">
      <c r="A887" s="27"/>
      <c r="C887" s="28"/>
      <c r="D887" s="28"/>
      <c r="E887" s="50"/>
      <c r="F887" s="50"/>
      <c r="G887" s="50"/>
      <c r="H887" s="50"/>
    </row>
    <row r="888" spans="1:8">
      <c r="A888" s="27"/>
      <c r="C888" s="28"/>
      <c r="D888" s="28"/>
      <c r="E888" s="50"/>
      <c r="F888" s="50"/>
      <c r="G888" s="50"/>
      <c r="H888" s="50"/>
    </row>
    <row r="889" spans="1:8">
      <c r="A889" s="27"/>
      <c r="C889" s="28"/>
      <c r="D889" s="28"/>
      <c r="E889" s="50"/>
      <c r="F889" s="50"/>
      <c r="G889" s="50"/>
      <c r="H889" s="50"/>
    </row>
    <row r="890" spans="1:8">
      <c r="A890" s="27"/>
      <c r="C890" s="28"/>
      <c r="D890" s="28"/>
      <c r="E890" s="50"/>
      <c r="F890" s="50"/>
      <c r="G890" s="50"/>
      <c r="H890" s="50"/>
    </row>
    <row r="891" spans="1:8">
      <c r="A891" s="27"/>
      <c r="C891" s="28"/>
      <c r="D891" s="28"/>
      <c r="E891" s="50"/>
      <c r="F891" s="50"/>
      <c r="G891" s="50"/>
      <c r="H891" s="50"/>
    </row>
    <row r="892" spans="1:8">
      <c r="A892" s="27"/>
      <c r="C892" s="28"/>
      <c r="D892" s="28"/>
      <c r="E892" s="50"/>
      <c r="F892" s="50"/>
      <c r="G892" s="50"/>
      <c r="H892" s="50"/>
    </row>
    <row r="893" spans="1:8">
      <c r="A893" s="27"/>
      <c r="C893" s="28"/>
      <c r="D893" s="28"/>
      <c r="E893" s="50"/>
      <c r="F893" s="50"/>
      <c r="G893" s="50"/>
      <c r="H893" s="50"/>
    </row>
    <row r="894" spans="1:8">
      <c r="A894" s="27"/>
      <c r="C894" s="28"/>
      <c r="D894" s="28"/>
      <c r="E894" s="50"/>
      <c r="F894" s="50"/>
      <c r="G894" s="50"/>
      <c r="H894" s="50"/>
    </row>
    <row r="895" spans="1:8">
      <c r="A895" s="27"/>
      <c r="C895" s="28"/>
      <c r="D895" s="28"/>
      <c r="E895" s="50"/>
      <c r="F895" s="50"/>
      <c r="G895" s="50"/>
      <c r="H895" s="50"/>
    </row>
    <row r="896" spans="1:8">
      <c r="A896" s="27"/>
      <c r="C896" s="28"/>
      <c r="D896" s="28"/>
      <c r="E896" s="50"/>
      <c r="F896" s="50"/>
      <c r="G896" s="50"/>
      <c r="H896" s="50"/>
    </row>
    <row r="897" spans="1:8">
      <c r="A897" s="27"/>
      <c r="C897" s="28"/>
      <c r="D897" s="28"/>
      <c r="E897" s="50"/>
      <c r="F897" s="50"/>
      <c r="G897" s="50"/>
      <c r="H897" s="50"/>
    </row>
    <row r="898" spans="1:8">
      <c r="A898" s="27"/>
      <c r="C898" s="28"/>
      <c r="D898" s="28"/>
      <c r="E898" s="50"/>
      <c r="F898" s="50"/>
      <c r="G898" s="50"/>
      <c r="H898" s="50"/>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7">
    <pageSetUpPr fitToPage="1"/>
  </sheetPr>
  <dimension ref="A1:I708"/>
  <sheetViews>
    <sheetView showGridLines="0" view="pageBreakPreview" zoomScale="90" zoomScaleNormal="100" topLeftCell="A67" workbookViewId="0">
      <selection activeCell="E27" sqref="E27"/>
    </sheetView>
  </sheetViews>
  <sheetFormatPr defaultColWidth="9.12962962962963" defaultRowHeight="13.8"/>
  <cols>
    <col min="1" max="1" width="7.62962962962963" style="1" customWidth="1"/>
    <col min="2" max="2" width="39.5" style="27" customWidth="1"/>
    <col min="3" max="4" width="30.75" style="32" customWidth="1"/>
    <col min="5" max="8" width="13.8796296296296" style="45" customWidth="1"/>
    <col min="9" max="16384" width="9.12962962962963" style="31"/>
  </cols>
  <sheetData>
    <row r="1" spans="1:8">
      <c r="A1" s="6" t="s">
        <v>2753</v>
      </c>
      <c r="B1" s="6"/>
      <c r="C1" s="7"/>
      <c r="D1" s="7"/>
      <c r="E1" s="6"/>
      <c r="F1" s="6"/>
      <c r="G1" s="6"/>
      <c r="H1" s="6"/>
    </row>
    <row r="2" spans="1:8">
      <c r="A2" s="8" t="s">
        <v>4</v>
      </c>
      <c r="B2" s="8"/>
      <c r="C2" s="8"/>
      <c r="D2" s="8"/>
      <c r="E2" s="34"/>
      <c r="F2" s="34"/>
      <c r="G2" s="34"/>
      <c r="H2" s="34"/>
    </row>
    <row r="3" spans="1:8">
      <c r="A3" s="9" t="s">
        <v>5</v>
      </c>
      <c r="B3" s="9" t="s">
        <v>6</v>
      </c>
      <c r="C3" s="9" t="s">
        <v>7</v>
      </c>
      <c r="D3" s="9"/>
      <c r="E3" s="10" t="s">
        <v>8</v>
      </c>
      <c r="F3" s="10"/>
      <c r="G3" s="10"/>
      <c r="H3" s="10"/>
    </row>
    <row r="4" spans="1:8">
      <c r="A4" s="11"/>
      <c r="B4" s="11"/>
      <c r="C4" s="9" t="s">
        <v>9</v>
      </c>
      <c r="D4" s="9" t="s">
        <v>10</v>
      </c>
      <c r="E4" s="10" t="s">
        <v>11</v>
      </c>
      <c r="F4" s="10" t="s">
        <v>12</v>
      </c>
      <c r="G4" s="10" t="s">
        <v>13</v>
      </c>
      <c r="H4" s="10" t="s">
        <v>14</v>
      </c>
    </row>
    <row r="5" spans="1:8">
      <c r="A5" s="13" t="s">
        <v>15</v>
      </c>
      <c r="B5" s="11"/>
      <c r="C5" s="15"/>
      <c r="D5" s="15"/>
      <c r="E5" s="10" t="s">
        <v>16</v>
      </c>
      <c r="F5" s="10" t="s">
        <v>16</v>
      </c>
      <c r="G5" s="10" t="s">
        <v>16</v>
      </c>
      <c r="H5" s="10" t="s">
        <v>16</v>
      </c>
    </row>
    <row r="6" ht="27.6" spans="1:8">
      <c r="A6" s="16">
        <v>1</v>
      </c>
      <c r="B6" s="18" t="s">
        <v>2754</v>
      </c>
      <c r="C6" s="18" t="s">
        <v>2755</v>
      </c>
      <c r="D6" s="18" t="s">
        <v>2756</v>
      </c>
      <c r="E6" s="51">
        <v>335000</v>
      </c>
      <c r="F6" s="52">
        <v>240000</v>
      </c>
      <c r="G6" s="52">
        <v>175000</v>
      </c>
      <c r="H6" s="52">
        <v>160000</v>
      </c>
    </row>
    <row r="7" spans="1:8">
      <c r="A7" s="16">
        <v>2</v>
      </c>
      <c r="B7" s="18" t="s">
        <v>2757</v>
      </c>
      <c r="C7" s="18" t="s">
        <v>243</v>
      </c>
      <c r="D7" s="18" t="s">
        <v>243</v>
      </c>
      <c r="E7" s="51">
        <v>285000</v>
      </c>
      <c r="F7" s="52">
        <v>190000</v>
      </c>
      <c r="G7" s="52">
        <v>160000</v>
      </c>
      <c r="H7" s="52">
        <v>135000</v>
      </c>
    </row>
    <row r="8" spans="1:8">
      <c r="A8" s="16">
        <v>3</v>
      </c>
      <c r="B8" s="18" t="s">
        <v>2758</v>
      </c>
      <c r="C8" s="18" t="s">
        <v>2759</v>
      </c>
      <c r="D8" s="18" t="s">
        <v>2760</v>
      </c>
      <c r="E8" s="51">
        <v>415000</v>
      </c>
      <c r="F8" s="52">
        <v>270000</v>
      </c>
      <c r="G8" s="52">
        <v>195000</v>
      </c>
      <c r="H8" s="52">
        <v>175000</v>
      </c>
    </row>
    <row r="9" spans="1:8">
      <c r="A9" s="16">
        <v>4</v>
      </c>
      <c r="B9" s="18" t="s">
        <v>2761</v>
      </c>
      <c r="C9" s="18" t="s">
        <v>2762</v>
      </c>
      <c r="D9" s="18" t="s">
        <v>2763</v>
      </c>
      <c r="E9" s="23">
        <v>485000</v>
      </c>
      <c r="F9" s="23">
        <v>315000</v>
      </c>
      <c r="G9" s="23">
        <v>220000</v>
      </c>
      <c r="H9" s="23">
        <v>165000</v>
      </c>
    </row>
    <row r="10" ht="27.6" spans="1:8">
      <c r="A10" s="16">
        <v>5</v>
      </c>
      <c r="B10" s="18" t="s">
        <v>2764</v>
      </c>
      <c r="C10" s="18" t="s">
        <v>2755</v>
      </c>
      <c r="D10" s="18" t="s">
        <v>2756</v>
      </c>
      <c r="E10" s="23">
        <v>335000</v>
      </c>
      <c r="F10" s="23">
        <v>240000</v>
      </c>
      <c r="G10" s="23">
        <v>175000</v>
      </c>
      <c r="H10" s="23">
        <v>160000</v>
      </c>
    </row>
    <row r="11" spans="1:8">
      <c r="A11" s="16">
        <v>6</v>
      </c>
      <c r="B11" s="18" t="s">
        <v>2765</v>
      </c>
      <c r="C11" s="18" t="s">
        <v>2766</v>
      </c>
      <c r="D11" s="18" t="s">
        <v>2767</v>
      </c>
      <c r="E11" s="23">
        <v>335000</v>
      </c>
      <c r="F11" s="23">
        <v>240000</v>
      </c>
      <c r="G11" s="23">
        <v>175000</v>
      </c>
      <c r="H11" s="23">
        <v>160000</v>
      </c>
    </row>
    <row r="12" spans="1:8">
      <c r="A12" s="16">
        <v>7</v>
      </c>
      <c r="B12" s="18" t="s">
        <v>2768</v>
      </c>
      <c r="C12" s="18" t="s">
        <v>2769</v>
      </c>
      <c r="D12" s="18" t="s">
        <v>2770</v>
      </c>
      <c r="E12" s="23">
        <v>650000</v>
      </c>
      <c r="F12" s="23">
        <v>425000</v>
      </c>
      <c r="G12" s="23">
        <v>295000</v>
      </c>
      <c r="H12" s="23">
        <v>230000</v>
      </c>
    </row>
    <row r="13" spans="1:8">
      <c r="A13" s="16">
        <v>8</v>
      </c>
      <c r="B13" s="18" t="s">
        <v>2771</v>
      </c>
      <c r="C13" s="18" t="s">
        <v>2772</v>
      </c>
      <c r="D13" s="18" t="s">
        <v>2773</v>
      </c>
      <c r="E13" s="23">
        <v>650000</v>
      </c>
      <c r="F13" s="23">
        <v>425000</v>
      </c>
      <c r="G13" s="23">
        <v>295000</v>
      </c>
      <c r="H13" s="23">
        <v>230000</v>
      </c>
    </row>
    <row r="14" spans="1:8">
      <c r="A14" s="16">
        <v>9</v>
      </c>
      <c r="B14" s="18" t="s">
        <v>2774</v>
      </c>
      <c r="C14" s="18" t="s">
        <v>2775</v>
      </c>
      <c r="D14" s="18" t="s">
        <v>2776</v>
      </c>
      <c r="E14" s="23">
        <v>415000</v>
      </c>
      <c r="F14" s="23">
        <v>270000</v>
      </c>
      <c r="G14" s="23">
        <v>195000</v>
      </c>
      <c r="H14" s="23">
        <v>175000</v>
      </c>
    </row>
    <row r="15" ht="27.6" spans="1:8">
      <c r="A15" s="16">
        <v>10</v>
      </c>
      <c r="B15" s="18" t="s">
        <v>2777</v>
      </c>
      <c r="C15" s="18" t="s">
        <v>2778</v>
      </c>
      <c r="D15" s="18" t="s">
        <v>2779</v>
      </c>
      <c r="E15" s="23">
        <v>390000</v>
      </c>
      <c r="F15" s="23">
        <v>260000</v>
      </c>
      <c r="G15" s="23">
        <v>185000</v>
      </c>
      <c r="H15" s="23">
        <v>170000</v>
      </c>
    </row>
    <row r="16" spans="1:8">
      <c r="A16" s="16">
        <v>11</v>
      </c>
      <c r="B16" s="18" t="s">
        <v>2780</v>
      </c>
      <c r="C16" s="18" t="s">
        <v>2769</v>
      </c>
      <c r="D16" s="18" t="s">
        <v>2770</v>
      </c>
      <c r="E16" s="23">
        <v>650000</v>
      </c>
      <c r="F16" s="23">
        <v>425000</v>
      </c>
      <c r="G16" s="23">
        <v>295000</v>
      </c>
      <c r="H16" s="23">
        <v>230000</v>
      </c>
    </row>
    <row r="17" ht="27.6" spans="1:8">
      <c r="A17" s="16">
        <v>12</v>
      </c>
      <c r="B17" s="18" t="s">
        <v>2781</v>
      </c>
      <c r="C17" s="18" t="s">
        <v>2782</v>
      </c>
      <c r="D17" s="18" t="s">
        <v>2773</v>
      </c>
      <c r="E17" s="23">
        <v>650000</v>
      </c>
      <c r="F17" s="23">
        <v>425000</v>
      </c>
      <c r="G17" s="23">
        <v>295000</v>
      </c>
      <c r="H17" s="23">
        <v>230000</v>
      </c>
    </row>
    <row r="18" spans="1:8">
      <c r="A18" s="16">
        <v>13</v>
      </c>
      <c r="B18" s="18" t="s">
        <v>2783</v>
      </c>
      <c r="C18" s="18" t="s">
        <v>2772</v>
      </c>
      <c r="D18" s="18" t="s">
        <v>2784</v>
      </c>
      <c r="E18" s="23">
        <v>485000</v>
      </c>
      <c r="F18" s="23">
        <v>315000</v>
      </c>
      <c r="G18" s="23">
        <v>220000</v>
      </c>
      <c r="H18" s="23">
        <v>165000</v>
      </c>
    </row>
    <row r="19" ht="41.4" spans="1:8">
      <c r="A19" s="16">
        <v>14</v>
      </c>
      <c r="B19" s="18" t="s">
        <v>2785</v>
      </c>
      <c r="C19" s="18" t="s">
        <v>2786</v>
      </c>
      <c r="D19" s="18" t="s">
        <v>2787</v>
      </c>
      <c r="E19" s="23">
        <v>485000</v>
      </c>
      <c r="F19" s="23">
        <v>315000</v>
      </c>
      <c r="G19" s="23">
        <v>220000</v>
      </c>
      <c r="H19" s="23">
        <v>185000</v>
      </c>
    </row>
    <row r="20" ht="27.6" spans="1:8">
      <c r="A20" s="16"/>
      <c r="B20" s="18" t="s">
        <v>2785</v>
      </c>
      <c r="C20" s="18" t="s">
        <v>2787</v>
      </c>
      <c r="D20" s="18" t="s">
        <v>2788</v>
      </c>
      <c r="E20" s="23">
        <v>550000</v>
      </c>
      <c r="F20" s="23">
        <v>355000</v>
      </c>
      <c r="G20" s="23">
        <v>260000</v>
      </c>
      <c r="H20" s="23">
        <v>210000</v>
      </c>
    </row>
    <row r="21" spans="1:8">
      <c r="A21" s="16">
        <v>15</v>
      </c>
      <c r="B21" s="18" t="s">
        <v>2789</v>
      </c>
      <c r="C21" s="18" t="s">
        <v>2769</v>
      </c>
      <c r="D21" s="18" t="s">
        <v>2763</v>
      </c>
      <c r="E21" s="23">
        <v>485000</v>
      </c>
      <c r="F21" s="23">
        <v>315000</v>
      </c>
      <c r="G21" s="23">
        <v>220000</v>
      </c>
      <c r="H21" s="23">
        <v>185000</v>
      </c>
    </row>
    <row r="22" ht="27.6" spans="1:8">
      <c r="A22" s="16">
        <v>16</v>
      </c>
      <c r="B22" s="18" t="s">
        <v>2790</v>
      </c>
      <c r="C22" s="18" t="s">
        <v>2791</v>
      </c>
      <c r="D22" s="18" t="s">
        <v>2792</v>
      </c>
      <c r="E22" s="23">
        <v>650000</v>
      </c>
      <c r="F22" s="23">
        <v>425000</v>
      </c>
      <c r="G22" s="23">
        <v>295000</v>
      </c>
      <c r="H22" s="23">
        <v>230000</v>
      </c>
    </row>
    <row r="23" ht="27.6" spans="1:8">
      <c r="A23" s="16">
        <v>17</v>
      </c>
      <c r="B23" s="18" t="s">
        <v>2793</v>
      </c>
      <c r="C23" s="18" t="s">
        <v>2794</v>
      </c>
      <c r="D23" s="18" t="s">
        <v>2795</v>
      </c>
      <c r="E23" s="23">
        <v>415000</v>
      </c>
      <c r="F23" s="23">
        <v>270000</v>
      </c>
      <c r="G23" s="23">
        <v>195000</v>
      </c>
      <c r="H23" s="23">
        <v>175000</v>
      </c>
    </row>
    <row r="24" ht="27.6" spans="1:8">
      <c r="A24" s="16">
        <v>18</v>
      </c>
      <c r="B24" s="18" t="s">
        <v>2796</v>
      </c>
      <c r="C24" s="18" t="s">
        <v>2797</v>
      </c>
      <c r="D24" s="18" t="s">
        <v>2798</v>
      </c>
      <c r="E24" s="23">
        <v>415000</v>
      </c>
      <c r="F24" s="23">
        <v>270000</v>
      </c>
      <c r="G24" s="23">
        <v>195000</v>
      </c>
      <c r="H24" s="23">
        <v>175000</v>
      </c>
    </row>
    <row r="25" ht="27.6" spans="1:8">
      <c r="A25" s="16"/>
      <c r="B25" s="18" t="s">
        <v>2796</v>
      </c>
      <c r="C25" s="18" t="s">
        <v>2798</v>
      </c>
      <c r="D25" s="18" t="s">
        <v>2799</v>
      </c>
      <c r="E25" s="23">
        <v>390000</v>
      </c>
      <c r="F25" s="23">
        <v>260000</v>
      </c>
      <c r="G25" s="23">
        <v>185000</v>
      </c>
      <c r="H25" s="23">
        <v>170000</v>
      </c>
    </row>
    <row r="26" spans="1:8">
      <c r="A26" s="16">
        <v>19</v>
      </c>
      <c r="B26" s="18" t="s">
        <v>2800</v>
      </c>
      <c r="C26" s="18" t="s">
        <v>2801</v>
      </c>
      <c r="D26" s="18" t="s">
        <v>2802</v>
      </c>
      <c r="E26" s="23">
        <v>390000</v>
      </c>
      <c r="F26" s="23">
        <v>260000</v>
      </c>
      <c r="G26" s="23">
        <v>185000</v>
      </c>
      <c r="H26" s="23">
        <v>170000</v>
      </c>
    </row>
    <row r="27" ht="27.6" spans="1:8">
      <c r="A27" s="16">
        <v>20</v>
      </c>
      <c r="B27" s="18" t="s">
        <v>2803</v>
      </c>
      <c r="C27" s="18" t="s">
        <v>2804</v>
      </c>
      <c r="D27" s="18" t="s">
        <v>2805</v>
      </c>
      <c r="E27" s="23">
        <v>485000</v>
      </c>
      <c r="F27" s="23">
        <v>315000</v>
      </c>
      <c r="G27" s="23">
        <v>220000</v>
      </c>
      <c r="H27" s="23">
        <v>185000</v>
      </c>
    </row>
    <row r="28" ht="27.6" spans="1:8">
      <c r="A28" s="16"/>
      <c r="B28" s="18" t="s">
        <v>2803</v>
      </c>
      <c r="C28" s="18" t="s">
        <v>2805</v>
      </c>
      <c r="D28" s="18" t="s">
        <v>2806</v>
      </c>
      <c r="E28" s="23">
        <v>650000</v>
      </c>
      <c r="F28" s="23">
        <v>425000</v>
      </c>
      <c r="G28" s="23">
        <v>295000</v>
      </c>
      <c r="H28" s="23">
        <v>230000</v>
      </c>
    </row>
    <row r="29" ht="27.6" spans="1:8">
      <c r="A29" s="16"/>
      <c r="B29" s="18" t="s">
        <v>2803</v>
      </c>
      <c r="C29" s="18" t="s">
        <v>2806</v>
      </c>
      <c r="D29" s="18" t="s">
        <v>2807</v>
      </c>
      <c r="E29" s="23">
        <v>485000</v>
      </c>
      <c r="F29" s="23">
        <v>315000</v>
      </c>
      <c r="G29" s="23">
        <v>220000</v>
      </c>
      <c r="H29" s="23">
        <v>185000</v>
      </c>
    </row>
    <row r="30" ht="27.6" spans="1:8">
      <c r="A30" s="16">
        <v>21</v>
      </c>
      <c r="B30" s="18" t="s">
        <v>2808</v>
      </c>
      <c r="C30" s="18" t="s">
        <v>2809</v>
      </c>
      <c r="D30" s="18" t="s">
        <v>2779</v>
      </c>
      <c r="E30" s="23">
        <v>335000</v>
      </c>
      <c r="F30" s="23">
        <v>240000</v>
      </c>
      <c r="G30" s="23">
        <v>175000</v>
      </c>
      <c r="H30" s="23">
        <v>160000</v>
      </c>
    </row>
    <row r="31" spans="1:8">
      <c r="A31" s="16">
        <v>22</v>
      </c>
      <c r="B31" s="18" t="s">
        <v>2810</v>
      </c>
      <c r="C31" s="18" t="s">
        <v>2811</v>
      </c>
      <c r="D31" s="18" t="s">
        <v>2812</v>
      </c>
      <c r="E31" s="23">
        <v>335000</v>
      </c>
      <c r="F31" s="23">
        <v>240000</v>
      </c>
      <c r="G31" s="23">
        <v>175000</v>
      </c>
      <c r="H31" s="23">
        <v>160000</v>
      </c>
    </row>
    <row r="32" spans="1:8">
      <c r="A32" s="16">
        <v>23</v>
      </c>
      <c r="B32" s="18" t="s">
        <v>2813</v>
      </c>
      <c r="C32" s="18" t="s">
        <v>2775</v>
      </c>
      <c r="D32" s="18" t="s">
        <v>2760</v>
      </c>
      <c r="E32" s="23">
        <v>335000</v>
      </c>
      <c r="F32" s="23">
        <v>240000</v>
      </c>
      <c r="G32" s="23">
        <v>175000</v>
      </c>
      <c r="H32" s="23">
        <v>160000</v>
      </c>
    </row>
    <row r="33" spans="1:8">
      <c r="A33" s="16">
        <v>24</v>
      </c>
      <c r="B33" s="18" t="s">
        <v>2814</v>
      </c>
      <c r="C33" s="18" t="s">
        <v>2815</v>
      </c>
      <c r="D33" s="18" t="s">
        <v>2816</v>
      </c>
      <c r="E33" s="23">
        <v>485000</v>
      </c>
      <c r="F33" s="23">
        <v>315000</v>
      </c>
      <c r="G33" s="23">
        <v>220000</v>
      </c>
      <c r="H33" s="23">
        <v>165000</v>
      </c>
    </row>
    <row r="34" ht="27.6" spans="1:8">
      <c r="A34" s="16">
        <v>25</v>
      </c>
      <c r="B34" s="18" t="s">
        <v>2817</v>
      </c>
      <c r="C34" s="18" t="s">
        <v>2818</v>
      </c>
      <c r="D34" s="18" t="s">
        <v>2819</v>
      </c>
      <c r="E34" s="23">
        <v>335000</v>
      </c>
      <c r="F34" s="23">
        <v>240000</v>
      </c>
      <c r="G34" s="23">
        <v>175000</v>
      </c>
      <c r="H34" s="23">
        <v>160000</v>
      </c>
    </row>
    <row r="35" spans="1:8">
      <c r="A35" s="16">
        <v>26</v>
      </c>
      <c r="B35" s="18" t="s">
        <v>2820</v>
      </c>
      <c r="C35" s="18" t="s">
        <v>2821</v>
      </c>
      <c r="D35" s="18" t="s">
        <v>2822</v>
      </c>
      <c r="E35" s="23">
        <v>550000</v>
      </c>
      <c r="F35" s="23">
        <v>355000</v>
      </c>
      <c r="G35" s="23">
        <v>260000</v>
      </c>
      <c r="H35" s="23">
        <v>210000</v>
      </c>
    </row>
    <row r="36" spans="1:8">
      <c r="A36" s="16"/>
      <c r="B36" s="18" t="s">
        <v>2820</v>
      </c>
      <c r="C36" s="18" t="s">
        <v>2822</v>
      </c>
      <c r="D36" s="18" t="s">
        <v>2823</v>
      </c>
      <c r="E36" s="23">
        <v>485000</v>
      </c>
      <c r="F36" s="23">
        <v>315000</v>
      </c>
      <c r="G36" s="23">
        <v>220000</v>
      </c>
      <c r="H36" s="23">
        <v>185000</v>
      </c>
    </row>
    <row r="37" ht="27.6" spans="1:8">
      <c r="A37" s="16">
        <v>27</v>
      </c>
      <c r="B37" s="18" t="s">
        <v>2824</v>
      </c>
      <c r="C37" s="18" t="s">
        <v>2825</v>
      </c>
      <c r="D37" s="18" t="s">
        <v>2826</v>
      </c>
      <c r="E37" s="23">
        <v>390000</v>
      </c>
      <c r="F37" s="23">
        <v>260000</v>
      </c>
      <c r="G37" s="23">
        <v>185000</v>
      </c>
      <c r="H37" s="23">
        <v>170000</v>
      </c>
    </row>
    <row r="38" spans="1:8">
      <c r="A38" s="16">
        <v>28</v>
      </c>
      <c r="B38" s="18" t="s">
        <v>2827</v>
      </c>
      <c r="C38" s="18" t="s">
        <v>2828</v>
      </c>
      <c r="D38" s="18" t="s">
        <v>2760</v>
      </c>
      <c r="E38" s="23">
        <v>415000</v>
      </c>
      <c r="F38" s="23">
        <v>270000</v>
      </c>
      <c r="G38" s="23">
        <v>195000</v>
      </c>
      <c r="H38" s="23">
        <v>175000</v>
      </c>
    </row>
    <row r="39" ht="27.6" spans="1:8">
      <c r="A39" s="16">
        <v>29</v>
      </c>
      <c r="B39" s="18" t="s">
        <v>2829</v>
      </c>
      <c r="C39" s="18" t="s">
        <v>2830</v>
      </c>
      <c r="D39" s="18" t="s">
        <v>2831</v>
      </c>
      <c r="E39" s="23">
        <v>335000</v>
      </c>
      <c r="F39" s="23">
        <v>240000</v>
      </c>
      <c r="G39" s="23">
        <v>175000</v>
      </c>
      <c r="H39" s="23">
        <v>160000</v>
      </c>
    </row>
    <row r="40" spans="1:8">
      <c r="A40" s="16">
        <v>30</v>
      </c>
      <c r="B40" s="18" t="s">
        <v>2832</v>
      </c>
      <c r="C40" s="18" t="s">
        <v>2766</v>
      </c>
      <c r="D40" s="18" t="s">
        <v>2833</v>
      </c>
      <c r="E40" s="23">
        <v>485000</v>
      </c>
      <c r="F40" s="23">
        <v>315000</v>
      </c>
      <c r="G40" s="23">
        <v>220000</v>
      </c>
      <c r="H40" s="23">
        <v>185000</v>
      </c>
    </row>
    <row r="41" ht="27.6" spans="1:8">
      <c r="A41" s="16"/>
      <c r="B41" s="18" t="s">
        <v>2832</v>
      </c>
      <c r="C41" s="18" t="s">
        <v>2833</v>
      </c>
      <c r="D41" s="18" t="s">
        <v>2805</v>
      </c>
      <c r="E41" s="23">
        <v>650000</v>
      </c>
      <c r="F41" s="23">
        <v>425000</v>
      </c>
      <c r="G41" s="23">
        <v>295000</v>
      </c>
      <c r="H41" s="23">
        <v>230000</v>
      </c>
    </row>
    <row r="42" spans="1:8">
      <c r="A42" s="16">
        <v>31</v>
      </c>
      <c r="B42" s="18" t="s">
        <v>2834</v>
      </c>
      <c r="C42" s="18" t="s">
        <v>2772</v>
      </c>
      <c r="D42" s="18" t="s">
        <v>2835</v>
      </c>
      <c r="E42" s="23">
        <v>485000</v>
      </c>
      <c r="F42" s="23">
        <v>315000</v>
      </c>
      <c r="G42" s="23">
        <v>220000</v>
      </c>
      <c r="H42" s="23">
        <v>165000</v>
      </c>
    </row>
    <row r="43" spans="1:8">
      <c r="A43" s="16">
        <v>32</v>
      </c>
      <c r="B43" s="18" t="s">
        <v>2836</v>
      </c>
      <c r="C43" s="18" t="s">
        <v>2801</v>
      </c>
      <c r="D43" s="18" t="s">
        <v>2837</v>
      </c>
      <c r="E43" s="23">
        <v>390000</v>
      </c>
      <c r="F43" s="23">
        <v>260000</v>
      </c>
      <c r="G43" s="23">
        <v>185000</v>
      </c>
      <c r="H43" s="23">
        <v>170000</v>
      </c>
    </row>
    <row r="44" ht="27.6" spans="1:8">
      <c r="A44" s="16">
        <v>33</v>
      </c>
      <c r="B44" s="18" t="s">
        <v>2838</v>
      </c>
      <c r="C44" s="18" t="s">
        <v>2755</v>
      </c>
      <c r="D44" s="18" t="s">
        <v>2839</v>
      </c>
      <c r="E44" s="23">
        <v>335000</v>
      </c>
      <c r="F44" s="23">
        <v>240000</v>
      </c>
      <c r="G44" s="23">
        <v>175000</v>
      </c>
      <c r="H44" s="23">
        <v>160000</v>
      </c>
    </row>
    <row r="45" ht="27.6" spans="1:8">
      <c r="A45" s="16">
        <v>34</v>
      </c>
      <c r="B45" s="18" t="s">
        <v>2840</v>
      </c>
      <c r="C45" s="18" t="s">
        <v>2841</v>
      </c>
      <c r="D45" s="18" t="s">
        <v>2842</v>
      </c>
      <c r="E45" s="23">
        <v>335000</v>
      </c>
      <c r="F45" s="23">
        <v>240000</v>
      </c>
      <c r="G45" s="23">
        <v>175000</v>
      </c>
      <c r="H45" s="23">
        <v>160000</v>
      </c>
    </row>
    <row r="46" ht="27.6" spans="1:8">
      <c r="A46" s="16">
        <v>35</v>
      </c>
      <c r="B46" s="18" t="s">
        <v>2843</v>
      </c>
      <c r="C46" s="18" t="s">
        <v>2755</v>
      </c>
      <c r="D46" s="18" t="s">
        <v>2756</v>
      </c>
      <c r="E46" s="23">
        <v>335000</v>
      </c>
      <c r="F46" s="23">
        <v>240000</v>
      </c>
      <c r="G46" s="23">
        <v>175000</v>
      </c>
      <c r="H46" s="23">
        <v>160000</v>
      </c>
    </row>
    <row r="47" spans="1:8">
      <c r="A47" s="16">
        <v>36</v>
      </c>
      <c r="B47" s="18" t="s">
        <v>2844</v>
      </c>
      <c r="C47" s="18" t="s">
        <v>2811</v>
      </c>
      <c r="D47" s="18" t="s">
        <v>2845</v>
      </c>
      <c r="E47" s="23">
        <v>415000</v>
      </c>
      <c r="F47" s="23">
        <v>270000</v>
      </c>
      <c r="G47" s="23">
        <v>195000</v>
      </c>
      <c r="H47" s="23">
        <v>175000</v>
      </c>
    </row>
    <row r="48" spans="1:8">
      <c r="A48" s="16">
        <v>37</v>
      </c>
      <c r="B48" s="18" t="s">
        <v>2846</v>
      </c>
      <c r="C48" s="18" t="s">
        <v>2845</v>
      </c>
      <c r="D48" s="18" t="s">
        <v>2847</v>
      </c>
      <c r="E48" s="23">
        <v>390000</v>
      </c>
      <c r="F48" s="23">
        <v>260000</v>
      </c>
      <c r="G48" s="23">
        <v>185000</v>
      </c>
      <c r="H48" s="23">
        <v>170000</v>
      </c>
    </row>
    <row r="49" spans="1:9">
      <c r="A49" s="16">
        <v>38</v>
      </c>
      <c r="B49" s="18" t="s">
        <v>2848</v>
      </c>
      <c r="C49" s="18" t="s">
        <v>2770</v>
      </c>
      <c r="D49" s="18" t="s">
        <v>2773</v>
      </c>
      <c r="E49" s="23">
        <v>550000</v>
      </c>
      <c r="F49" s="23">
        <v>355000</v>
      </c>
      <c r="G49" s="23">
        <v>260000</v>
      </c>
      <c r="H49" s="23">
        <v>210000</v>
      </c>
    </row>
    <row r="50" ht="27.6" spans="1:9">
      <c r="A50" s="16">
        <v>39</v>
      </c>
      <c r="B50" s="18" t="s">
        <v>2849</v>
      </c>
      <c r="C50" s="18" t="s">
        <v>2788</v>
      </c>
      <c r="D50" s="18" t="s">
        <v>2850</v>
      </c>
      <c r="E50" s="23">
        <v>800000</v>
      </c>
      <c r="F50" s="23">
        <v>550000</v>
      </c>
      <c r="G50" s="23">
        <v>365000</v>
      </c>
      <c r="H50" s="23">
        <v>290000</v>
      </c>
    </row>
    <row r="51" ht="27.6" spans="1:9">
      <c r="A51" s="16"/>
      <c r="B51" s="41" t="s">
        <v>2849</v>
      </c>
      <c r="C51" s="41" t="s">
        <v>2850</v>
      </c>
      <c r="D51" s="41" t="s">
        <v>2851</v>
      </c>
      <c r="E51" s="23">
        <v>485000</v>
      </c>
      <c r="F51" s="23">
        <v>315000</v>
      </c>
      <c r="G51" s="23">
        <v>220000</v>
      </c>
      <c r="H51" s="23">
        <v>185000</v>
      </c>
    </row>
    <row r="52" ht="27.6" spans="1:9">
      <c r="A52" s="16"/>
      <c r="B52" s="18" t="s">
        <v>2849</v>
      </c>
      <c r="C52" s="18" t="s">
        <v>2851</v>
      </c>
      <c r="D52" s="18" t="s">
        <v>2852</v>
      </c>
      <c r="E52" s="23">
        <v>390000</v>
      </c>
      <c r="F52" s="23">
        <v>260000</v>
      </c>
      <c r="G52" s="23">
        <v>185000</v>
      </c>
      <c r="H52" s="23">
        <v>170000</v>
      </c>
    </row>
    <row r="53" s="30" customFormat="1" ht="14.4" spans="1:9">
      <c r="A53" s="39" t="s">
        <v>136</v>
      </c>
      <c r="B53" s="18"/>
      <c r="C53" s="18"/>
      <c r="D53" s="18"/>
      <c r="E53" s="23"/>
      <c r="F53" s="23"/>
      <c r="G53" s="23"/>
      <c r="H53" s="23"/>
      <c r="I53" s="31"/>
    </row>
    <row r="54" spans="1:9">
      <c r="A54" s="16">
        <v>40</v>
      </c>
      <c r="B54" s="17" t="s">
        <v>137</v>
      </c>
      <c r="C54" s="18"/>
      <c r="D54" s="18"/>
      <c r="E54" s="23">
        <v>285000</v>
      </c>
      <c r="F54" s="23">
        <v>190000</v>
      </c>
      <c r="G54" s="23">
        <v>160000</v>
      </c>
      <c r="H54" s="23">
        <v>135000</v>
      </c>
      <c r="I54" s="31" t="s">
        <v>1068</v>
      </c>
    </row>
    <row r="55" spans="1:9">
      <c r="A55" s="39" t="s">
        <v>205</v>
      </c>
      <c r="B55" s="11"/>
      <c r="C55" s="15"/>
      <c r="D55" s="15"/>
      <c r="E55" s="23" t="s">
        <v>16</v>
      </c>
      <c r="F55" s="23" t="s">
        <v>16</v>
      </c>
      <c r="G55" s="23" t="s">
        <v>16</v>
      </c>
      <c r="H55" s="23" t="s">
        <v>16</v>
      </c>
    </row>
    <row r="56" spans="1:9">
      <c r="A56" s="16">
        <v>41</v>
      </c>
      <c r="B56" s="18" t="s">
        <v>2853</v>
      </c>
      <c r="C56" s="18"/>
      <c r="D56" s="18"/>
      <c r="E56" s="23">
        <v>325000</v>
      </c>
      <c r="F56" s="23">
        <v>230000</v>
      </c>
      <c r="G56" s="23">
        <v>160000</v>
      </c>
      <c r="H56" s="23">
        <v>0</v>
      </c>
    </row>
    <row r="57" spans="1:9">
      <c r="A57" s="16">
        <v>42</v>
      </c>
      <c r="B57" s="18" t="s">
        <v>2854</v>
      </c>
      <c r="C57" s="18"/>
      <c r="D57" s="18"/>
      <c r="E57" s="23" t="s">
        <v>16</v>
      </c>
      <c r="F57" s="23" t="s">
        <v>16</v>
      </c>
      <c r="G57" s="23" t="s">
        <v>16</v>
      </c>
      <c r="H57" s="23" t="s">
        <v>16</v>
      </c>
    </row>
    <row r="58" ht="27.6" spans="1:9">
      <c r="A58" s="16"/>
      <c r="B58" s="18" t="s">
        <v>2855</v>
      </c>
      <c r="C58" s="18"/>
      <c r="D58" s="18"/>
      <c r="E58" s="23">
        <v>325000</v>
      </c>
      <c r="F58" s="23">
        <v>230000</v>
      </c>
      <c r="G58" s="23">
        <v>160000</v>
      </c>
      <c r="H58" s="23">
        <v>0</v>
      </c>
    </row>
    <row r="59" ht="27.6" spans="1:9">
      <c r="A59" s="16"/>
      <c r="B59" s="18" t="s">
        <v>2856</v>
      </c>
      <c r="C59" s="18"/>
      <c r="D59" s="18"/>
      <c r="E59" s="23">
        <v>295000</v>
      </c>
      <c r="F59" s="23">
        <v>210000</v>
      </c>
      <c r="G59" s="23">
        <v>145000</v>
      </c>
      <c r="H59" s="23">
        <v>0</v>
      </c>
    </row>
    <row r="60" ht="27.6" spans="1:9">
      <c r="A60" s="16"/>
      <c r="B60" s="18" t="s">
        <v>2857</v>
      </c>
      <c r="C60" s="18"/>
      <c r="D60" s="18"/>
      <c r="E60" s="23">
        <v>325000</v>
      </c>
      <c r="F60" s="23">
        <v>230000</v>
      </c>
      <c r="G60" s="23">
        <v>160000</v>
      </c>
      <c r="H60" s="23">
        <v>0</v>
      </c>
    </row>
    <row r="61" ht="27.6" spans="1:9">
      <c r="A61" s="16"/>
      <c r="B61" s="18" t="s">
        <v>2858</v>
      </c>
      <c r="C61" s="18"/>
      <c r="D61" s="18"/>
      <c r="E61" s="23">
        <v>295000</v>
      </c>
      <c r="F61" s="23">
        <v>210000</v>
      </c>
      <c r="G61" s="23">
        <v>145000</v>
      </c>
      <c r="H61" s="23">
        <v>0</v>
      </c>
    </row>
    <row r="62" spans="1:9">
      <c r="A62" s="16">
        <v>43</v>
      </c>
      <c r="B62" s="18" t="s">
        <v>2859</v>
      </c>
      <c r="C62" s="18"/>
      <c r="D62" s="18"/>
      <c r="E62" s="23" t="s">
        <v>16</v>
      </c>
      <c r="F62" s="23" t="s">
        <v>16</v>
      </c>
      <c r="G62" s="23" t="s">
        <v>16</v>
      </c>
      <c r="H62" s="23">
        <v>0</v>
      </c>
    </row>
    <row r="63" ht="27.6" spans="1:9">
      <c r="A63" s="16"/>
      <c r="B63" s="18" t="s">
        <v>2860</v>
      </c>
      <c r="C63" s="18"/>
      <c r="D63" s="18"/>
      <c r="E63" s="23">
        <v>325000</v>
      </c>
      <c r="F63" s="23">
        <v>230000</v>
      </c>
      <c r="G63" s="23">
        <v>160000</v>
      </c>
      <c r="H63" s="23">
        <v>0</v>
      </c>
    </row>
    <row r="64" ht="27.6" spans="1:9">
      <c r="A64" s="16"/>
      <c r="B64" s="18" t="s">
        <v>2861</v>
      </c>
      <c r="C64" s="18"/>
      <c r="D64" s="18"/>
      <c r="E64" s="23">
        <v>295000</v>
      </c>
      <c r="F64" s="23">
        <v>210000</v>
      </c>
      <c r="G64" s="23">
        <v>145000</v>
      </c>
      <c r="H64" s="23">
        <v>0</v>
      </c>
    </row>
    <row r="65" spans="1:8">
      <c r="A65" s="16">
        <v>44</v>
      </c>
      <c r="B65" s="18" t="s">
        <v>2859</v>
      </c>
      <c r="C65" s="18"/>
      <c r="D65" s="18"/>
      <c r="E65" s="23">
        <v>295000</v>
      </c>
      <c r="F65" s="23">
        <v>210000</v>
      </c>
      <c r="G65" s="23">
        <v>145000</v>
      </c>
      <c r="H65" s="23">
        <v>0</v>
      </c>
    </row>
    <row r="66" spans="1:8">
      <c r="A66" s="39" t="s">
        <v>217</v>
      </c>
      <c r="B66" s="20"/>
      <c r="C66" s="18"/>
      <c r="D66" s="18"/>
      <c r="E66" s="23" t="s">
        <v>16</v>
      </c>
      <c r="F66" s="23" t="s">
        <v>16</v>
      </c>
      <c r="G66" s="23" t="s">
        <v>16</v>
      </c>
      <c r="H66" s="23" t="s">
        <v>16</v>
      </c>
    </row>
    <row r="67" ht="220.8" spans="1:8">
      <c r="A67" s="16">
        <v>45</v>
      </c>
      <c r="B67" s="220" t="s">
        <v>2862</v>
      </c>
      <c r="C67" s="18"/>
      <c r="D67" s="18"/>
      <c r="E67" s="23">
        <v>200000</v>
      </c>
      <c r="F67" s="23">
        <v>135000</v>
      </c>
      <c r="G67" s="23">
        <v>0</v>
      </c>
      <c r="H67" s="23">
        <v>0</v>
      </c>
    </row>
    <row r="68" ht="193.2" spans="1:8">
      <c r="A68" s="16">
        <v>46</v>
      </c>
      <c r="B68" s="220" t="s">
        <v>2863</v>
      </c>
      <c r="C68" s="18"/>
      <c r="D68" s="18"/>
      <c r="E68" s="23">
        <v>155000</v>
      </c>
      <c r="F68" s="23">
        <v>105000</v>
      </c>
      <c r="G68" s="23">
        <v>0</v>
      </c>
      <c r="H68" s="23">
        <v>0</v>
      </c>
    </row>
    <row r="69" spans="1:8">
      <c r="A69" s="16">
        <v>47</v>
      </c>
      <c r="B69" s="220" t="s">
        <v>843</v>
      </c>
      <c r="C69" s="18"/>
      <c r="D69" s="18"/>
      <c r="E69" s="23">
        <v>95000</v>
      </c>
      <c r="F69" s="23">
        <v>0</v>
      </c>
      <c r="G69" s="23">
        <v>0</v>
      </c>
      <c r="H69" s="23">
        <v>0</v>
      </c>
    </row>
    <row r="70" spans="1:8">
      <c r="A70" s="16"/>
      <c r="B70" s="20"/>
      <c r="C70" s="18"/>
      <c r="D70" s="18"/>
      <c r="E70" s="23" t="s">
        <v>16</v>
      </c>
      <c r="F70" s="23" t="s">
        <v>16</v>
      </c>
      <c r="G70" s="23" t="s">
        <v>16</v>
      </c>
      <c r="H70" s="23" t="s">
        <v>16</v>
      </c>
    </row>
    <row r="71" spans="1:8">
      <c r="A71" s="16"/>
      <c r="B71" s="20"/>
      <c r="C71" s="18"/>
      <c r="D71" s="18"/>
      <c r="E71" s="23" t="s">
        <v>16</v>
      </c>
      <c r="F71" s="23" t="s">
        <v>16</v>
      </c>
      <c r="G71" s="23" t="s">
        <v>16</v>
      </c>
      <c r="H71" s="23" t="s">
        <v>16</v>
      </c>
    </row>
    <row r="72" spans="1:8">
      <c r="A72" s="16"/>
      <c r="B72" s="20"/>
      <c r="C72" s="18"/>
      <c r="D72" s="18"/>
      <c r="E72" s="23" t="s">
        <v>16</v>
      </c>
      <c r="F72" s="23" t="s">
        <v>16</v>
      </c>
      <c r="G72" s="23" t="s">
        <v>16</v>
      </c>
      <c r="H72" s="23" t="s">
        <v>16</v>
      </c>
    </row>
    <row r="73" spans="1:8">
      <c r="A73" s="16"/>
      <c r="B73" s="20"/>
      <c r="C73" s="18"/>
      <c r="D73" s="18"/>
      <c r="E73" s="23" t="s">
        <v>16</v>
      </c>
      <c r="F73" s="23" t="s">
        <v>16</v>
      </c>
      <c r="G73" s="23" t="s">
        <v>16</v>
      </c>
      <c r="H73" s="23" t="s">
        <v>16</v>
      </c>
    </row>
    <row r="74" spans="1:8">
      <c r="A74" s="16"/>
      <c r="B74" s="20"/>
      <c r="C74" s="18"/>
      <c r="D74" s="18"/>
      <c r="E74" s="23" t="s">
        <v>16</v>
      </c>
      <c r="F74" s="23" t="s">
        <v>16</v>
      </c>
      <c r="G74" s="23" t="s">
        <v>16</v>
      </c>
      <c r="H74" s="23" t="s">
        <v>16</v>
      </c>
    </row>
    <row r="75" spans="1:8">
      <c r="A75" s="16"/>
      <c r="B75" s="20"/>
      <c r="C75" s="18"/>
      <c r="D75" s="18"/>
      <c r="E75" s="23" t="s">
        <v>16</v>
      </c>
      <c r="F75" s="23" t="s">
        <v>16</v>
      </c>
      <c r="G75" s="23" t="s">
        <v>16</v>
      </c>
      <c r="H75" s="23" t="s">
        <v>16</v>
      </c>
    </row>
    <row r="76" spans="1:8">
      <c r="A76" s="16"/>
      <c r="B76" s="20"/>
      <c r="C76" s="18"/>
      <c r="D76" s="18"/>
      <c r="E76" s="23" t="s">
        <v>16</v>
      </c>
      <c r="F76" s="23" t="s">
        <v>16</v>
      </c>
      <c r="G76" s="23" t="s">
        <v>16</v>
      </c>
      <c r="H76" s="23" t="s">
        <v>16</v>
      </c>
    </row>
    <row r="77" spans="1:8">
      <c r="A77" s="16"/>
      <c r="B77" s="20"/>
      <c r="C77" s="18"/>
      <c r="D77" s="18"/>
      <c r="E77" s="23" t="s">
        <v>16</v>
      </c>
      <c r="F77" s="23" t="s">
        <v>16</v>
      </c>
      <c r="G77" s="23" t="s">
        <v>16</v>
      </c>
      <c r="H77" s="23" t="s">
        <v>16</v>
      </c>
    </row>
    <row r="78" spans="1:8">
      <c r="A78" s="16"/>
      <c r="B78" s="20"/>
      <c r="C78" s="18"/>
      <c r="D78" s="18"/>
      <c r="E78" s="23" t="s">
        <v>16</v>
      </c>
      <c r="F78" s="23" t="s">
        <v>16</v>
      </c>
      <c r="G78" s="23" t="s">
        <v>16</v>
      </c>
      <c r="H78" s="23" t="s">
        <v>16</v>
      </c>
    </row>
    <row r="79" spans="1:8">
      <c r="A79" s="16"/>
      <c r="B79" s="20"/>
      <c r="C79" s="18"/>
      <c r="D79" s="18"/>
      <c r="E79" s="23" t="s">
        <v>16</v>
      </c>
      <c r="F79" s="23" t="s">
        <v>16</v>
      </c>
      <c r="G79" s="23" t="s">
        <v>16</v>
      </c>
      <c r="H79" s="23" t="s">
        <v>16</v>
      </c>
    </row>
    <row r="80" spans="1:8">
      <c r="A80" s="16"/>
      <c r="B80" s="20"/>
      <c r="C80" s="18"/>
      <c r="D80" s="18"/>
      <c r="E80" s="23" t="s">
        <v>16</v>
      </c>
      <c r="F80" s="23" t="s">
        <v>16</v>
      </c>
      <c r="G80" s="23" t="s">
        <v>16</v>
      </c>
      <c r="H80" s="23" t="s">
        <v>16</v>
      </c>
    </row>
    <row r="81" spans="1:8">
      <c r="A81" s="16"/>
      <c r="B81" s="42"/>
      <c r="C81" s="43"/>
      <c r="D81" s="43"/>
      <c r="E81" s="23" t="s">
        <v>16</v>
      </c>
      <c r="F81" s="23" t="s">
        <v>16</v>
      </c>
      <c r="G81" s="23" t="s">
        <v>16</v>
      </c>
      <c r="H81" s="23" t="s">
        <v>16</v>
      </c>
    </row>
    <row r="82" spans="1:8">
      <c r="A82" s="16"/>
      <c r="B82" s="20"/>
      <c r="C82" s="18"/>
      <c r="D82" s="18"/>
      <c r="E82" s="23" t="s">
        <v>16</v>
      </c>
      <c r="F82" s="23" t="s">
        <v>16</v>
      </c>
      <c r="G82" s="23" t="s">
        <v>16</v>
      </c>
      <c r="H82" s="23" t="s">
        <v>16</v>
      </c>
    </row>
    <row r="83" spans="1:8">
      <c r="A83" s="16"/>
      <c r="B83" s="20"/>
      <c r="C83" s="18"/>
      <c r="D83" s="18"/>
      <c r="E83" s="23" t="s">
        <v>16</v>
      </c>
      <c r="F83" s="23" t="s">
        <v>16</v>
      </c>
      <c r="G83" s="23" t="s">
        <v>16</v>
      </c>
      <c r="H83" s="23" t="s">
        <v>16</v>
      </c>
    </row>
    <row r="84" spans="1:8">
      <c r="A84" s="16"/>
      <c r="B84" s="20"/>
      <c r="C84" s="18"/>
      <c r="D84" s="18"/>
      <c r="E84" s="23" t="s">
        <v>16</v>
      </c>
      <c r="F84" s="23" t="s">
        <v>16</v>
      </c>
      <c r="G84" s="23" t="s">
        <v>16</v>
      </c>
      <c r="H84" s="23" t="s">
        <v>16</v>
      </c>
    </row>
    <row r="85" spans="1:8">
      <c r="A85" s="53"/>
      <c r="C85" s="28"/>
      <c r="D85" s="28"/>
      <c r="E85" s="23" t="s">
        <v>16</v>
      </c>
      <c r="F85" s="23" t="s">
        <v>16</v>
      </c>
      <c r="G85" s="23" t="s">
        <v>16</v>
      </c>
      <c r="H85" s="23" t="s">
        <v>16</v>
      </c>
    </row>
    <row r="86" spans="1:8">
      <c r="A86" s="53"/>
      <c r="C86" s="28"/>
      <c r="D86" s="28"/>
      <c r="E86" s="23" t="s">
        <v>16</v>
      </c>
      <c r="F86" s="23" t="s">
        <v>16</v>
      </c>
      <c r="G86" s="23" t="s">
        <v>16</v>
      </c>
      <c r="H86" s="23" t="s">
        <v>16</v>
      </c>
    </row>
    <row r="87" spans="1:8">
      <c r="A87" s="53"/>
      <c r="C87" s="28"/>
      <c r="D87" s="28"/>
      <c r="E87" s="23" t="s">
        <v>16</v>
      </c>
      <c r="F87" s="23" t="s">
        <v>16</v>
      </c>
      <c r="G87" s="23" t="s">
        <v>16</v>
      </c>
      <c r="H87" s="23" t="s">
        <v>16</v>
      </c>
    </row>
    <row r="88" spans="1:8">
      <c r="A88" s="53"/>
      <c r="C88" s="28"/>
      <c r="D88" s="28"/>
      <c r="E88" s="23" t="s">
        <v>16</v>
      </c>
      <c r="F88" s="23" t="s">
        <v>16</v>
      </c>
      <c r="G88" s="23" t="s">
        <v>16</v>
      </c>
      <c r="H88" s="23" t="s">
        <v>16</v>
      </c>
    </row>
    <row r="89" spans="1:8">
      <c r="A89" s="53"/>
      <c r="C89" s="28"/>
      <c r="D89" s="28"/>
      <c r="E89" s="23" t="s">
        <v>16</v>
      </c>
      <c r="F89" s="23" t="s">
        <v>16</v>
      </c>
      <c r="G89" s="23" t="s">
        <v>16</v>
      </c>
      <c r="H89" s="23" t="s">
        <v>16</v>
      </c>
    </row>
    <row r="90" spans="1:8">
      <c r="A90" s="53"/>
      <c r="C90" s="28"/>
      <c r="D90" s="28"/>
      <c r="E90" s="23" t="s">
        <v>16</v>
      </c>
      <c r="F90" s="23" t="s">
        <v>16</v>
      </c>
      <c r="G90" s="23" t="s">
        <v>16</v>
      </c>
      <c r="H90" s="23" t="s">
        <v>16</v>
      </c>
    </row>
    <row r="91" spans="1:8">
      <c r="A91" s="53"/>
      <c r="C91" s="28"/>
      <c r="D91" s="28"/>
      <c r="E91" s="23" t="s">
        <v>16</v>
      </c>
      <c r="F91" s="23" t="s">
        <v>16</v>
      </c>
      <c r="G91" s="23" t="s">
        <v>16</v>
      </c>
      <c r="H91" s="23" t="s">
        <v>16</v>
      </c>
    </row>
    <row r="92" spans="1:8">
      <c r="A92" s="53"/>
      <c r="C92" s="28"/>
      <c r="D92" s="28"/>
      <c r="E92" s="23" t="s">
        <v>16</v>
      </c>
      <c r="F92" s="23" t="s">
        <v>16</v>
      </c>
      <c r="G92" s="23" t="s">
        <v>16</v>
      </c>
      <c r="H92" s="23" t="s">
        <v>16</v>
      </c>
    </row>
    <row r="93" spans="1:8">
      <c r="A93" s="53"/>
      <c r="C93" s="28"/>
      <c r="D93" s="28"/>
      <c r="E93" s="23" t="s">
        <v>16</v>
      </c>
      <c r="F93" s="23" t="s">
        <v>16</v>
      </c>
      <c r="G93" s="23" t="s">
        <v>16</v>
      </c>
      <c r="H93" s="23" t="s">
        <v>16</v>
      </c>
    </row>
    <row r="94" spans="1:8">
      <c r="A94" s="53"/>
      <c r="C94" s="28"/>
      <c r="D94" s="28"/>
      <c r="E94" s="23" t="s">
        <v>16</v>
      </c>
      <c r="F94" s="23" t="s">
        <v>16</v>
      </c>
      <c r="G94" s="23" t="s">
        <v>16</v>
      </c>
      <c r="H94" s="23" t="s">
        <v>16</v>
      </c>
    </row>
    <row r="95" spans="1:8">
      <c r="A95" s="53"/>
      <c r="C95" s="28"/>
      <c r="D95" s="28"/>
      <c r="E95" s="23" t="s">
        <v>16</v>
      </c>
      <c r="F95" s="23" t="s">
        <v>16</v>
      </c>
      <c r="G95" s="23" t="s">
        <v>16</v>
      </c>
      <c r="H95" s="23" t="s">
        <v>16</v>
      </c>
    </row>
    <row r="96" spans="1:8">
      <c r="A96" s="53"/>
      <c r="C96" s="28"/>
      <c r="D96" s="28"/>
      <c r="E96" s="23" t="s">
        <v>16</v>
      </c>
      <c r="F96" s="23" t="s">
        <v>16</v>
      </c>
      <c r="G96" s="23" t="s">
        <v>16</v>
      </c>
      <c r="H96" s="23" t="s">
        <v>16</v>
      </c>
    </row>
    <row r="97" spans="1:8">
      <c r="A97" s="53"/>
      <c r="C97" s="28"/>
      <c r="D97" s="28"/>
      <c r="E97" s="23" t="s">
        <v>16</v>
      </c>
      <c r="F97" s="23" t="s">
        <v>16</v>
      </c>
      <c r="G97" s="23" t="s">
        <v>16</v>
      </c>
      <c r="H97" s="23" t="s">
        <v>16</v>
      </c>
    </row>
    <row r="98" spans="1:8">
      <c r="A98" s="53"/>
      <c r="C98" s="28"/>
      <c r="D98" s="28"/>
      <c r="E98" s="23" t="s">
        <v>16</v>
      </c>
      <c r="F98" s="23" t="s">
        <v>16</v>
      </c>
      <c r="G98" s="23" t="s">
        <v>16</v>
      </c>
      <c r="H98" s="23" t="s">
        <v>16</v>
      </c>
    </row>
    <row r="99" spans="1:8">
      <c r="A99" s="53"/>
      <c r="C99" s="28"/>
      <c r="D99" s="28"/>
      <c r="E99" s="23" t="s">
        <v>16</v>
      </c>
      <c r="F99" s="23" t="s">
        <v>16</v>
      </c>
      <c r="G99" s="23" t="s">
        <v>16</v>
      </c>
      <c r="H99" s="23" t="s">
        <v>16</v>
      </c>
    </row>
    <row r="100" spans="1:8">
      <c r="A100" s="53"/>
      <c r="C100" s="28"/>
      <c r="D100" s="28"/>
      <c r="E100" s="23" t="s">
        <v>16</v>
      </c>
      <c r="F100" s="23" t="s">
        <v>16</v>
      </c>
      <c r="G100" s="23" t="s">
        <v>16</v>
      </c>
      <c r="H100" s="23" t="s">
        <v>16</v>
      </c>
    </row>
    <row r="101" spans="1:8">
      <c r="A101" s="53"/>
      <c r="C101" s="28"/>
      <c r="D101" s="28"/>
      <c r="E101" s="23" t="s">
        <v>16</v>
      </c>
      <c r="F101" s="23" t="s">
        <v>16</v>
      </c>
      <c r="G101" s="23" t="s">
        <v>16</v>
      </c>
      <c r="H101" s="23" t="s">
        <v>16</v>
      </c>
    </row>
    <row r="102" spans="1:8">
      <c r="A102" s="53"/>
      <c r="C102" s="28"/>
      <c r="D102" s="28"/>
      <c r="E102" s="23" t="s">
        <v>16</v>
      </c>
      <c r="F102" s="23" t="s">
        <v>16</v>
      </c>
      <c r="G102" s="23" t="s">
        <v>16</v>
      </c>
      <c r="H102" s="23" t="s">
        <v>16</v>
      </c>
    </row>
    <row r="103" spans="1:8">
      <c r="A103" s="53"/>
      <c r="C103" s="28"/>
      <c r="D103" s="28"/>
      <c r="E103" s="23" t="s">
        <v>16</v>
      </c>
      <c r="F103" s="23" t="s">
        <v>16</v>
      </c>
      <c r="G103" s="23" t="s">
        <v>16</v>
      </c>
      <c r="H103" s="23" t="s">
        <v>16</v>
      </c>
    </row>
    <row r="104" spans="1:8">
      <c r="A104" s="53"/>
      <c r="C104" s="28"/>
      <c r="D104" s="28"/>
      <c r="E104" s="23" t="s">
        <v>16</v>
      </c>
      <c r="F104" s="23" t="s">
        <v>16</v>
      </c>
      <c r="G104" s="23" t="s">
        <v>16</v>
      </c>
      <c r="H104" s="23" t="s">
        <v>16</v>
      </c>
    </row>
    <row r="105" spans="1:8">
      <c r="A105" s="53"/>
      <c r="C105" s="28"/>
      <c r="D105" s="28"/>
      <c r="E105" s="23" t="s">
        <v>16</v>
      </c>
      <c r="F105" s="23" t="s">
        <v>16</v>
      </c>
      <c r="G105" s="23" t="s">
        <v>16</v>
      </c>
      <c r="H105" s="23" t="s">
        <v>16</v>
      </c>
    </row>
    <row r="106" spans="1:8">
      <c r="A106" s="53"/>
      <c r="C106" s="28"/>
      <c r="D106" s="28"/>
      <c r="E106" s="23" t="s">
        <v>16</v>
      </c>
      <c r="F106" s="23" t="s">
        <v>16</v>
      </c>
      <c r="G106" s="23" t="s">
        <v>16</v>
      </c>
      <c r="H106" s="23" t="s">
        <v>16</v>
      </c>
    </row>
    <row r="107" spans="1:8">
      <c r="A107" s="53"/>
      <c r="C107" s="28"/>
      <c r="D107" s="28"/>
      <c r="E107" s="23" t="s">
        <v>16</v>
      </c>
      <c r="F107" s="23" t="s">
        <v>16</v>
      </c>
      <c r="G107" s="23" t="s">
        <v>16</v>
      </c>
      <c r="H107" s="23" t="s">
        <v>16</v>
      </c>
    </row>
    <row r="108" spans="1:8">
      <c r="A108" s="53"/>
      <c r="C108" s="28"/>
      <c r="D108" s="28"/>
      <c r="E108" s="23" t="s">
        <v>16</v>
      </c>
      <c r="F108" s="23" t="s">
        <v>16</v>
      </c>
      <c r="G108" s="23" t="s">
        <v>16</v>
      </c>
      <c r="H108" s="23" t="s">
        <v>16</v>
      </c>
    </row>
    <row r="109" spans="1:8">
      <c r="A109" s="53"/>
      <c r="C109" s="28"/>
      <c r="D109" s="28"/>
      <c r="E109" s="23" t="s">
        <v>16</v>
      </c>
      <c r="F109" s="23" t="s">
        <v>16</v>
      </c>
      <c r="G109" s="23" t="s">
        <v>16</v>
      </c>
      <c r="H109" s="23" t="s">
        <v>16</v>
      </c>
    </row>
    <row r="110" spans="1:8">
      <c r="A110" s="53"/>
      <c r="C110" s="28"/>
      <c r="D110" s="28"/>
      <c r="E110" s="23" t="s">
        <v>16</v>
      </c>
      <c r="F110" s="23" t="s">
        <v>16</v>
      </c>
      <c r="G110" s="23" t="s">
        <v>16</v>
      </c>
      <c r="H110" s="23" t="s">
        <v>16</v>
      </c>
    </row>
    <row r="111" spans="1:8">
      <c r="A111" s="53"/>
      <c r="C111" s="28"/>
      <c r="D111" s="28"/>
      <c r="E111" s="23" t="s">
        <v>16</v>
      </c>
      <c r="F111" s="23" t="s">
        <v>16</v>
      </c>
      <c r="G111" s="23" t="s">
        <v>16</v>
      </c>
      <c r="H111" s="23" t="s">
        <v>16</v>
      </c>
    </row>
    <row r="112" spans="1:8">
      <c r="A112" s="53"/>
      <c r="C112" s="28"/>
      <c r="D112" s="28"/>
      <c r="E112" s="23" t="s">
        <v>16</v>
      </c>
      <c r="F112" s="23" t="s">
        <v>16</v>
      </c>
      <c r="G112" s="23" t="s">
        <v>16</v>
      </c>
      <c r="H112" s="23" t="s">
        <v>16</v>
      </c>
    </row>
    <row r="113" spans="1:8">
      <c r="A113" s="53"/>
      <c r="C113" s="28"/>
      <c r="D113" s="28"/>
      <c r="E113" s="23" t="s">
        <v>16</v>
      </c>
      <c r="F113" s="23" t="s">
        <v>16</v>
      </c>
      <c r="G113" s="23" t="s">
        <v>16</v>
      </c>
      <c r="H113" s="23" t="s">
        <v>16</v>
      </c>
    </row>
    <row r="114" spans="1:8">
      <c r="A114" s="53"/>
      <c r="C114" s="28"/>
      <c r="D114" s="28"/>
      <c r="E114" s="23" t="s">
        <v>16</v>
      </c>
      <c r="F114" s="23" t="s">
        <v>16</v>
      </c>
      <c r="G114" s="23" t="s">
        <v>16</v>
      </c>
      <c r="H114" s="23" t="s">
        <v>16</v>
      </c>
    </row>
    <row r="115" spans="1:8">
      <c r="A115" s="53"/>
      <c r="C115" s="28"/>
      <c r="D115" s="28"/>
      <c r="E115" s="23" t="s">
        <v>16</v>
      </c>
      <c r="F115" s="23" t="s">
        <v>16</v>
      </c>
      <c r="G115" s="23" t="s">
        <v>16</v>
      </c>
      <c r="H115" s="23" t="s">
        <v>16</v>
      </c>
    </row>
    <row r="116" spans="1:8">
      <c r="A116" s="53"/>
      <c r="C116" s="28"/>
      <c r="D116" s="28"/>
      <c r="E116" s="23" t="s">
        <v>16</v>
      </c>
      <c r="F116" s="23" t="s">
        <v>16</v>
      </c>
      <c r="G116" s="23" t="s">
        <v>16</v>
      </c>
      <c r="H116" s="23" t="s">
        <v>16</v>
      </c>
    </row>
    <row r="117" spans="1:8">
      <c r="A117" s="53"/>
      <c r="C117" s="28"/>
      <c r="D117" s="28"/>
      <c r="E117" s="23" t="s">
        <v>16</v>
      </c>
      <c r="F117" s="23" t="s">
        <v>16</v>
      </c>
      <c r="G117" s="23" t="s">
        <v>16</v>
      </c>
      <c r="H117" s="23" t="s">
        <v>16</v>
      </c>
    </row>
    <row r="118" spans="1:8">
      <c r="A118" s="53"/>
      <c r="C118" s="28"/>
      <c r="D118" s="28"/>
      <c r="E118" s="23" t="s">
        <v>16</v>
      </c>
      <c r="F118" s="23" t="s">
        <v>16</v>
      </c>
      <c r="G118" s="23" t="s">
        <v>16</v>
      </c>
      <c r="H118" s="23" t="s">
        <v>16</v>
      </c>
    </row>
    <row r="119" spans="1:8">
      <c r="A119" s="53"/>
      <c r="C119" s="28"/>
      <c r="D119" s="28"/>
      <c r="E119" s="23" t="s">
        <v>16</v>
      </c>
      <c r="F119" s="23" t="s">
        <v>16</v>
      </c>
      <c r="G119" s="23" t="s">
        <v>16</v>
      </c>
      <c r="H119" s="23" t="s">
        <v>16</v>
      </c>
    </row>
    <row r="120" spans="1:8">
      <c r="A120" s="53"/>
      <c r="C120" s="28"/>
      <c r="D120" s="28"/>
      <c r="E120" s="23" t="s">
        <v>16</v>
      </c>
      <c r="F120" s="23" t="s">
        <v>16</v>
      </c>
      <c r="G120" s="23" t="s">
        <v>16</v>
      </c>
      <c r="H120" s="23" t="s">
        <v>16</v>
      </c>
    </row>
    <row r="121" spans="1:8">
      <c r="A121" s="53"/>
      <c r="C121" s="28"/>
      <c r="D121" s="28"/>
      <c r="E121" s="23" t="s">
        <v>16</v>
      </c>
      <c r="F121" s="23" t="s">
        <v>16</v>
      </c>
      <c r="G121" s="23" t="s">
        <v>16</v>
      </c>
      <c r="H121" s="23" t="s">
        <v>16</v>
      </c>
    </row>
    <row r="122" spans="1:8">
      <c r="A122" s="53"/>
      <c r="C122" s="28"/>
      <c r="D122" s="28"/>
      <c r="E122" s="23" t="s">
        <v>16</v>
      </c>
      <c r="F122" s="23" t="s">
        <v>16</v>
      </c>
      <c r="G122" s="23" t="s">
        <v>16</v>
      </c>
      <c r="H122" s="23" t="s">
        <v>16</v>
      </c>
    </row>
    <row r="123" spans="1:8">
      <c r="A123" s="53"/>
      <c r="C123" s="28"/>
      <c r="D123" s="28"/>
      <c r="E123" s="23" t="s">
        <v>16</v>
      </c>
      <c r="F123" s="23" t="s">
        <v>16</v>
      </c>
      <c r="G123" s="23" t="s">
        <v>16</v>
      </c>
      <c r="H123" s="23" t="s">
        <v>16</v>
      </c>
    </row>
    <row r="124" spans="1:8">
      <c r="A124" s="53"/>
      <c r="C124" s="28"/>
      <c r="D124" s="28"/>
      <c r="E124" s="23" t="s">
        <v>16</v>
      </c>
      <c r="F124" s="23" t="s">
        <v>16</v>
      </c>
      <c r="G124" s="23" t="s">
        <v>16</v>
      </c>
      <c r="H124" s="23" t="s">
        <v>16</v>
      </c>
    </row>
    <row r="125" spans="1:8">
      <c r="A125" s="53"/>
      <c r="C125" s="28"/>
      <c r="D125" s="28"/>
      <c r="E125" s="23" t="s">
        <v>16</v>
      </c>
      <c r="F125" s="23" t="s">
        <v>16</v>
      </c>
      <c r="G125" s="23" t="s">
        <v>16</v>
      </c>
      <c r="H125" s="23" t="s">
        <v>16</v>
      </c>
    </row>
    <row r="126" spans="1:8">
      <c r="A126" s="53"/>
      <c r="C126" s="28"/>
      <c r="D126" s="28"/>
      <c r="E126" s="23" t="s">
        <v>16</v>
      </c>
      <c r="F126" s="23" t="s">
        <v>16</v>
      </c>
      <c r="G126" s="23" t="s">
        <v>16</v>
      </c>
      <c r="H126" s="23" t="s">
        <v>16</v>
      </c>
    </row>
    <row r="127" spans="1:8">
      <c r="A127" s="53"/>
      <c r="C127" s="28"/>
      <c r="D127" s="28"/>
      <c r="E127" s="23" t="s">
        <v>16</v>
      </c>
      <c r="F127" s="23" t="s">
        <v>16</v>
      </c>
      <c r="G127" s="23" t="s">
        <v>16</v>
      </c>
      <c r="H127" s="23" t="s">
        <v>16</v>
      </c>
    </row>
    <row r="128" spans="1:8">
      <c r="A128" s="53"/>
      <c r="C128" s="28"/>
      <c r="D128" s="28"/>
      <c r="E128" s="23" t="s">
        <v>16</v>
      </c>
      <c r="F128" s="23" t="s">
        <v>16</v>
      </c>
      <c r="G128" s="23" t="s">
        <v>16</v>
      </c>
      <c r="H128" s="23" t="s">
        <v>16</v>
      </c>
    </row>
    <row r="129" spans="1:8">
      <c r="A129" s="53"/>
      <c r="C129" s="28"/>
      <c r="D129" s="28"/>
      <c r="E129" s="23" t="s">
        <v>16</v>
      </c>
      <c r="F129" s="23" t="s">
        <v>16</v>
      </c>
      <c r="G129" s="23" t="s">
        <v>16</v>
      </c>
      <c r="H129" s="23" t="s">
        <v>16</v>
      </c>
    </row>
    <row r="130" spans="1:8">
      <c r="A130" s="53"/>
      <c r="C130" s="28"/>
      <c r="D130" s="28"/>
      <c r="E130" s="23" t="s">
        <v>16</v>
      </c>
      <c r="F130" s="23" t="s">
        <v>16</v>
      </c>
      <c r="G130" s="23" t="s">
        <v>16</v>
      </c>
      <c r="H130" s="23" t="s">
        <v>16</v>
      </c>
    </row>
    <row r="131" spans="1:8">
      <c r="A131" s="53"/>
      <c r="C131" s="28"/>
      <c r="D131" s="28"/>
      <c r="E131" s="23" t="s">
        <v>16</v>
      </c>
      <c r="F131" s="23" t="s">
        <v>16</v>
      </c>
      <c r="G131" s="23" t="s">
        <v>16</v>
      </c>
      <c r="H131" s="23" t="s">
        <v>16</v>
      </c>
    </row>
    <row r="132" spans="1:8">
      <c r="A132" s="53"/>
      <c r="C132" s="28"/>
      <c r="D132" s="28"/>
      <c r="E132" s="23" t="s">
        <v>16</v>
      </c>
      <c r="F132" s="23" t="s">
        <v>16</v>
      </c>
      <c r="G132" s="23" t="s">
        <v>16</v>
      </c>
      <c r="H132" s="23" t="s">
        <v>16</v>
      </c>
    </row>
    <row r="133" spans="1:8">
      <c r="A133" s="53"/>
      <c r="C133" s="28"/>
      <c r="D133" s="28"/>
      <c r="E133" s="23" t="s">
        <v>16</v>
      </c>
      <c r="F133" s="23" t="s">
        <v>16</v>
      </c>
      <c r="G133" s="23" t="s">
        <v>16</v>
      </c>
      <c r="H133" s="23" t="s">
        <v>16</v>
      </c>
    </row>
    <row r="134" spans="1:8">
      <c r="A134" s="53"/>
      <c r="C134" s="28"/>
      <c r="D134" s="28"/>
      <c r="E134" s="23" t="s">
        <v>16</v>
      </c>
      <c r="F134" s="23" t="s">
        <v>16</v>
      </c>
      <c r="G134" s="23" t="s">
        <v>16</v>
      </c>
      <c r="H134" s="23" t="s">
        <v>16</v>
      </c>
    </row>
    <row r="135" spans="1:8">
      <c r="A135" s="53"/>
      <c r="C135" s="28"/>
      <c r="D135" s="28"/>
      <c r="E135" s="23" t="s">
        <v>16</v>
      </c>
      <c r="F135" s="23" t="s">
        <v>16</v>
      </c>
      <c r="G135" s="23" t="s">
        <v>16</v>
      </c>
      <c r="H135" s="23" t="s">
        <v>16</v>
      </c>
    </row>
    <row r="136" spans="1:8">
      <c r="A136" s="53"/>
      <c r="C136" s="28"/>
      <c r="D136" s="28"/>
      <c r="E136" s="23" t="s">
        <v>16</v>
      </c>
      <c r="F136" s="23" t="s">
        <v>16</v>
      </c>
      <c r="G136" s="23" t="s">
        <v>16</v>
      </c>
      <c r="H136" s="23" t="s">
        <v>16</v>
      </c>
    </row>
    <row r="137" spans="1:8">
      <c r="A137" s="53"/>
      <c r="C137" s="28"/>
      <c r="D137" s="28"/>
      <c r="E137" s="23" t="s">
        <v>16</v>
      </c>
      <c r="F137" s="23" t="s">
        <v>16</v>
      </c>
      <c r="G137" s="23" t="s">
        <v>16</v>
      </c>
      <c r="H137" s="23" t="s">
        <v>16</v>
      </c>
    </row>
    <row r="138" spans="1:8">
      <c r="A138" s="53"/>
      <c r="C138" s="28"/>
      <c r="D138" s="28"/>
      <c r="E138" s="23" t="s">
        <v>16</v>
      </c>
      <c r="F138" s="23" t="s">
        <v>16</v>
      </c>
      <c r="G138" s="23" t="s">
        <v>16</v>
      </c>
      <c r="H138" s="23" t="s">
        <v>16</v>
      </c>
    </row>
    <row r="139" spans="1:8">
      <c r="A139" s="53"/>
      <c r="C139" s="28"/>
      <c r="D139" s="28"/>
      <c r="E139" s="23" t="s">
        <v>16</v>
      </c>
      <c r="F139" s="23" t="s">
        <v>16</v>
      </c>
      <c r="G139" s="23" t="s">
        <v>16</v>
      </c>
      <c r="H139" s="23" t="s">
        <v>16</v>
      </c>
    </row>
    <row r="140" spans="1:8">
      <c r="A140" s="53"/>
      <c r="C140" s="28"/>
      <c r="D140" s="28"/>
      <c r="E140" s="23" t="s">
        <v>16</v>
      </c>
      <c r="F140" s="23" t="s">
        <v>16</v>
      </c>
      <c r="G140" s="23" t="s">
        <v>16</v>
      </c>
      <c r="H140" s="23" t="s">
        <v>16</v>
      </c>
    </row>
    <row r="141" spans="1:8">
      <c r="A141" s="53"/>
      <c r="C141" s="28"/>
      <c r="D141" s="28"/>
      <c r="E141" s="23" t="s">
        <v>16</v>
      </c>
      <c r="F141" s="23" t="s">
        <v>16</v>
      </c>
      <c r="G141" s="23" t="s">
        <v>16</v>
      </c>
      <c r="H141" s="23" t="s">
        <v>16</v>
      </c>
    </row>
    <row r="142" spans="1:8">
      <c r="A142" s="53"/>
      <c r="C142" s="28"/>
      <c r="D142" s="28"/>
      <c r="E142" s="23" t="s">
        <v>16</v>
      </c>
      <c r="F142" s="23" t="s">
        <v>16</v>
      </c>
      <c r="G142" s="23" t="s">
        <v>16</v>
      </c>
      <c r="H142" s="23" t="s">
        <v>16</v>
      </c>
    </row>
    <row r="143" spans="1:8">
      <c r="A143" s="53"/>
      <c r="C143" s="28"/>
      <c r="D143" s="28"/>
      <c r="E143" s="23" t="s">
        <v>16</v>
      </c>
      <c r="F143" s="23" t="s">
        <v>16</v>
      </c>
      <c r="G143" s="23" t="s">
        <v>16</v>
      </c>
      <c r="H143" s="23" t="s">
        <v>16</v>
      </c>
    </row>
    <row r="144" spans="1:8">
      <c r="A144" s="53"/>
      <c r="C144" s="28"/>
      <c r="D144" s="28"/>
      <c r="E144" s="23" t="s">
        <v>16</v>
      </c>
      <c r="F144" s="23" t="s">
        <v>16</v>
      </c>
      <c r="G144" s="23" t="s">
        <v>16</v>
      </c>
      <c r="H144" s="23" t="s">
        <v>16</v>
      </c>
    </row>
    <row r="145" spans="1:8">
      <c r="A145" s="53"/>
      <c r="C145" s="28"/>
      <c r="D145" s="28"/>
      <c r="E145" s="23" t="s">
        <v>16</v>
      </c>
      <c r="F145" s="23" t="s">
        <v>16</v>
      </c>
      <c r="G145" s="23" t="s">
        <v>16</v>
      </c>
      <c r="H145" s="23" t="s">
        <v>16</v>
      </c>
    </row>
    <row r="146" spans="1:8">
      <c r="A146" s="53"/>
      <c r="C146" s="28"/>
      <c r="D146" s="28"/>
      <c r="E146" s="23" t="s">
        <v>16</v>
      </c>
      <c r="F146" s="23" t="s">
        <v>16</v>
      </c>
      <c r="G146" s="23" t="s">
        <v>16</v>
      </c>
      <c r="H146" s="23" t="s">
        <v>16</v>
      </c>
    </row>
    <row r="147" spans="1:8">
      <c r="A147" s="53"/>
      <c r="C147" s="28"/>
      <c r="D147" s="28"/>
      <c r="E147" s="23" t="s">
        <v>16</v>
      </c>
      <c r="F147" s="23" t="s">
        <v>16</v>
      </c>
      <c r="G147" s="23" t="s">
        <v>16</v>
      </c>
      <c r="H147" s="23" t="s">
        <v>16</v>
      </c>
    </row>
    <row r="148" spans="1:8">
      <c r="A148" s="53"/>
      <c r="C148" s="28"/>
      <c r="D148" s="28"/>
      <c r="E148" s="23" t="s">
        <v>16</v>
      </c>
      <c r="F148" s="23" t="s">
        <v>16</v>
      </c>
      <c r="G148" s="23" t="s">
        <v>16</v>
      </c>
      <c r="H148" s="23" t="s">
        <v>16</v>
      </c>
    </row>
    <row r="149" spans="1:8">
      <c r="A149" s="53"/>
      <c r="C149" s="28"/>
      <c r="D149" s="28"/>
      <c r="E149" s="23" t="s">
        <v>16</v>
      </c>
      <c r="F149" s="23" t="s">
        <v>16</v>
      </c>
      <c r="G149" s="23" t="s">
        <v>16</v>
      </c>
      <c r="H149" s="23" t="s">
        <v>16</v>
      </c>
    </row>
    <row r="150" spans="1:8">
      <c r="A150" s="53"/>
      <c r="C150" s="28"/>
      <c r="D150" s="28"/>
      <c r="E150" s="23" t="s">
        <v>16</v>
      </c>
      <c r="F150" s="23" t="s">
        <v>16</v>
      </c>
      <c r="G150" s="23" t="s">
        <v>16</v>
      </c>
      <c r="H150" s="23" t="s">
        <v>16</v>
      </c>
    </row>
    <row r="151" spans="1:8">
      <c r="A151" s="53"/>
      <c r="C151" s="28"/>
      <c r="D151" s="28"/>
      <c r="E151" s="23" t="s">
        <v>16</v>
      </c>
      <c r="F151" s="23" t="s">
        <v>16</v>
      </c>
      <c r="G151" s="23" t="s">
        <v>16</v>
      </c>
      <c r="H151" s="23" t="s">
        <v>16</v>
      </c>
    </row>
    <row r="152" spans="1:8">
      <c r="A152" s="53"/>
      <c r="C152" s="28"/>
      <c r="D152" s="28"/>
      <c r="E152" s="23" t="s">
        <v>16</v>
      </c>
      <c r="F152" s="23" t="s">
        <v>16</v>
      </c>
      <c r="G152" s="23" t="s">
        <v>16</v>
      </c>
      <c r="H152" s="23" t="s">
        <v>16</v>
      </c>
    </row>
    <row r="153" spans="1:8">
      <c r="A153" s="53"/>
      <c r="C153" s="28"/>
      <c r="D153" s="28"/>
      <c r="E153" s="23" t="s">
        <v>16</v>
      </c>
      <c r="F153" s="23" t="s">
        <v>16</v>
      </c>
      <c r="G153" s="23" t="s">
        <v>16</v>
      </c>
      <c r="H153" s="23" t="s">
        <v>16</v>
      </c>
    </row>
    <row r="154" spans="1:8">
      <c r="A154" s="53"/>
      <c r="C154" s="28"/>
      <c r="D154" s="28"/>
      <c r="E154" s="23" t="s">
        <v>16</v>
      </c>
      <c r="F154" s="23" t="s">
        <v>16</v>
      </c>
      <c r="G154" s="23" t="s">
        <v>16</v>
      </c>
      <c r="H154" s="23" t="s">
        <v>16</v>
      </c>
    </row>
    <row r="155" spans="1:8">
      <c r="A155" s="53"/>
      <c r="C155" s="28"/>
      <c r="D155" s="28"/>
      <c r="E155" s="23" t="s">
        <v>16</v>
      </c>
      <c r="F155" s="23" t="s">
        <v>16</v>
      </c>
      <c r="G155" s="23" t="s">
        <v>16</v>
      </c>
      <c r="H155" s="23" t="s">
        <v>16</v>
      </c>
    </row>
    <row r="156" spans="1:8">
      <c r="A156" s="53"/>
      <c r="C156" s="28"/>
      <c r="D156" s="28"/>
      <c r="E156" s="23" t="s">
        <v>16</v>
      </c>
      <c r="F156" s="23" t="s">
        <v>16</v>
      </c>
      <c r="G156" s="23" t="s">
        <v>16</v>
      </c>
      <c r="H156" s="23" t="s">
        <v>16</v>
      </c>
    </row>
    <row r="157" spans="1:8">
      <c r="A157" s="53"/>
      <c r="C157" s="28"/>
      <c r="D157" s="28"/>
      <c r="E157" s="23" t="s">
        <v>16</v>
      </c>
      <c r="F157" s="23" t="s">
        <v>16</v>
      </c>
      <c r="G157" s="23" t="s">
        <v>16</v>
      </c>
      <c r="H157" s="23" t="s">
        <v>16</v>
      </c>
    </row>
    <row r="158" spans="1:8">
      <c r="A158" s="53"/>
      <c r="C158" s="28"/>
      <c r="D158" s="28"/>
      <c r="E158" s="23" t="s">
        <v>16</v>
      </c>
      <c r="F158" s="23" t="s">
        <v>16</v>
      </c>
      <c r="G158" s="23" t="s">
        <v>16</v>
      </c>
      <c r="H158" s="23" t="s">
        <v>16</v>
      </c>
    </row>
    <row r="159" spans="1:8">
      <c r="A159" s="53"/>
      <c r="C159" s="28"/>
      <c r="D159" s="28"/>
      <c r="E159" s="23" t="s">
        <v>16</v>
      </c>
      <c r="F159" s="23" t="s">
        <v>16</v>
      </c>
      <c r="G159" s="23" t="s">
        <v>16</v>
      </c>
      <c r="H159" s="23" t="s">
        <v>16</v>
      </c>
    </row>
    <row r="160" spans="1:8">
      <c r="A160" s="53"/>
      <c r="C160" s="28"/>
      <c r="D160" s="28"/>
      <c r="E160" s="23" t="s">
        <v>16</v>
      </c>
      <c r="F160" s="23" t="s">
        <v>16</v>
      </c>
      <c r="G160" s="23" t="s">
        <v>16</v>
      </c>
      <c r="H160" s="23" t="s">
        <v>16</v>
      </c>
    </row>
    <row r="161" spans="1:8">
      <c r="A161" s="53"/>
      <c r="C161" s="28"/>
      <c r="D161" s="28"/>
      <c r="E161" s="23" t="s">
        <v>16</v>
      </c>
      <c r="F161" s="23" t="s">
        <v>16</v>
      </c>
      <c r="G161" s="23" t="s">
        <v>16</v>
      </c>
      <c r="H161" s="23" t="s">
        <v>16</v>
      </c>
    </row>
    <row r="162" spans="1:8">
      <c r="A162" s="53"/>
      <c r="C162" s="28"/>
      <c r="D162" s="28"/>
      <c r="E162" s="23" t="s">
        <v>16</v>
      </c>
      <c r="F162" s="23" t="s">
        <v>16</v>
      </c>
      <c r="G162" s="23" t="s">
        <v>16</v>
      </c>
      <c r="H162" s="23" t="s">
        <v>16</v>
      </c>
    </row>
    <row r="163" spans="1:8">
      <c r="A163" s="53"/>
      <c r="C163" s="28"/>
      <c r="D163" s="28"/>
      <c r="E163" s="23" t="s">
        <v>16</v>
      </c>
      <c r="F163" s="23" t="s">
        <v>16</v>
      </c>
      <c r="G163" s="23" t="s">
        <v>16</v>
      </c>
      <c r="H163" s="23" t="s">
        <v>16</v>
      </c>
    </row>
    <row r="164" spans="1:8">
      <c r="A164" s="53"/>
      <c r="C164" s="28"/>
      <c r="D164" s="28"/>
      <c r="E164" s="23" t="s">
        <v>16</v>
      </c>
      <c r="F164" s="23" t="s">
        <v>16</v>
      </c>
      <c r="G164" s="23" t="s">
        <v>16</v>
      </c>
      <c r="H164" s="23" t="s">
        <v>16</v>
      </c>
    </row>
    <row r="165" spans="1:8">
      <c r="A165" s="53"/>
      <c r="C165" s="28"/>
      <c r="D165" s="28"/>
      <c r="E165" s="23" t="s">
        <v>16</v>
      </c>
      <c r="F165" s="23" t="s">
        <v>16</v>
      </c>
      <c r="G165" s="23" t="s">
        <v>16</v>
      </c>
      <c r="H165" s="23" t="s">
        <v>16</v>
      </c>
    </row>
    <row r="166" spans="1:8">
      <c r="A166" s="53"/>
      <c r="C166" s="28"/>
      <c r="D166" s="28"/>
      <c r="E166" s="23" t="s">
        <v>16</v>
      </c>
      <c r="F166" s="23" t="s">
        <v>16</v>
      </c>
      <c r="G166" s="23" t="s">
        <v>16</v>
      </c>
      <c r="H166" s="23" t="s">
        <v>16</v>
      </c>
    </row>
    <row r="167" spans="1:8">
      <c r="A167" s="53"/>
      <c r="C167" s="28"/>
      <c r="D167" s="28"/>
      <c r="E167" s="23" t="s">
        <v>16</v>
      </c>
      <c r="F167" s="23" t="s">
        <v>16</v>
      </c>
      <c r="G167" s="23" t="s">
        <v>16</v>
      </c>
      <c r="H167" s="23" t="s">
        <v>16</v>
      </c>
    </row>
    <row r="168" spans="1:8">
      <c r="A168" s="53"/>
      <c r="C168" s="28"/>
      <c r="D168" s="28"/>
      <c r="E168" s="23" t="s">
        <v>16</v>
      </c>
      <c r="F168" s="23" t="s">
        <v>16</v>
      </c>
      <c r="G168" s="23" t="s">
        <v>16</v>
      </c>
      <c r="H168" s="23" t="s">
        <v>16</v>
      </c>
    </row>
    <row r="169" spans="1:8">
      <c r="A169" s="53"/>
      <c r="C169" s="28"/>
      <c r="D169" s="28"/>
      <c r="E169" s="23" t="s">
        <v>16</v>
      </c>
      <c r="F169" s="23" t="s">
        <v>16</v>
      </c>
      <c r="G169" s="23" t="s">
        <v>16</v>
      </c>
      <c r="H169" s="23" t="s">
        <v>16</v>
      </c>
    </row>
    <row r="170" spans="1:8">
      <c r="A170" s="53"/>
      <c r="C170" s="28"/>
      <c r="D170" s="28"/>
      <c r="E170" s="23" t="s">
        <v>16</v>
      </c>
      <c r="F170" s="23" t="s">
        <v>16</v>
      </c>
      <c r="G170" s="23" t="s">
        <v>16</v>
      </c>
      <c r="H170" s="23" t="s">
        <v>16</v>
      </c>
    </row>
    <row r="171" spans="1:8">
      <c r="A171" s="53"/>
      <c r="C171" s="28"/>
      <c r="D171" s="28"/>
      <c r="E171" s="23" t="s">
        <v>16</v>
      </c>
      <c r="F171" s="23" t="s">
        <v>16</v>
      </c>
      <c r="G171" s="23" t="s">
        <v>16</v>
      </c>
      <c r="H171" s="23" t="s">
        <v>16</v>
      </c>
    </row>
    <row r="172" spans="1:8">
      <c r="A172" s="53"/>
      <c r="C172" s="28"/>
      <c r="D172" s="28"/>
      <c r="E172" s="23" t="s">
        <v>16</v>
      </c>
      <c r="F172" s="23" t="s">
        <v>16</v>
      </c>
      <c r="G172" s="23" t="s">
        <v>16</v>
      </c>
      <c r="H172" s="23" t="s">
        <v>16</v>
      </c>
    </row>
    <row r="173" spans="1:8">
      <c r="A173" s="53"/>
      <c r="C173" s="28"/>
      <c r="D173" s="28"/>
      <c r="E173" s="23" t="s">
        <v>16</v>
      </c>
      <c r="F173" s="23" t="s">
        <v>16</v>
      </c>
      <c r="G173" s="23" t="s">
        <v>16</v>
      </c>
      <c r="H173" s="23" t="s">
        <v>16</v>
      </c>
    </row>
    <row r="174" spans="1:8">
      <c r="A174" s="53"/>
      <c r="C174" s="28"/>
      <c r="D174" s="28"/>
      <c r="E174" s="23" t="s">
        <v>16</v>
      </c>
      <c r="F174" s="23" t="s">
        <v>16</v>
      </c>
      <c r="G174" s="23" t="s">
        <v>16</v>
      </c>
      <c r="H174" s="23" t="s">
        <v>16</v>
      </c>
    </row>
    <row r="175" spans="1:8">
      <c r="A175" s="53"/>
      <c r="C175" s="28"/>
      <c r="D175" s="28"/>
      <c r="E175" s="23" t="s">
        <v>16</v>
      </c>
      <c r="F175" s="23" t="s">
        <v>16</v>
      </c>
      <c r="G175" s="23" t="s">
        <v>16</v>
      </c>
      <c r="H175" s="23" t="s">
        <v>16</v>
      </c>
    </row>
    <row r="176" spans="1:8">
      <c r="A176" s="53"/>
      <c r="C176" s="28"/>
      <c r="D176" s="28"/>
      <c r="E176" s="23" t="s">
        <v>16</v>
      </c>
      <c r="F176" s="23" t="s">
        <v>16</v>
      </c>
      <c r="G176" s="23" t="s">
        <v>16</v>
      </c>
      <c r="H176" s="23" t="s">
        <v>16</v>
      </c>
    </row>
    <row r="177" spans="1:8">
      <c r="A177" s="53"/>
      <c r="C177" s="28"/>
      <c r="D177" s="28"/>
      <c r="E177" s="23" t="s">
        <v>16</v>
      </c>
      <c r="F177" s="23" t="s">
        <v>16</v>
      </c>
      <c r="G177" s="23" t="s">
        <v>16</v>
      </c>
      <c r="H177" s="23" t="s">
        <v>16</v>
      </c>
    </row>
    <row r="178" spans="1:8">
      <c r="A178" s="53"/>
      <c r="C178" s="28"/>
      <c r="D178" s="28"/>
      <c r="E178" s="23" t="s">
        <v>16</v>
      </c>
      <c r="F178" s="23" t="s">
        <v>16</v>
      </c>
      <c r="G178" s="23" t="s">
        <v>16</v>
      </c>
      <c r="H178" s="23" t="s">
        <v>16</v>
      </c>
    </row>
    <row r="179" spans="1:8">
      <c r="A179" s="53"/>
      <c r="C179" s="28"/>
      <c r="D179" s="28"/>
      <c r="E179" s="23" t="s">
        <v>16</v>
      </c>
      <c r="F179" s="23" t="s">
        <v>16</v>
      </c>
      <c r="G179" s="23" t="s">
        <v>16</v>
      </c>
      <c r="H179" s="23" t="s">
        <v>16</v>
      </c>
    </row>
    <row r="180" spans="1:8">
      <c r="A180" s="53"/>
      <c r="C180" s="28"/>
      <c r="D180" s="28"/>
      <c r="E180" s="23" t="s">
        <v>16</v>
      </c>
      <c r="F180" s="23" t="s">
        <v>16</v>
      </c>
      <c r="G180" s="23" t="s">
        <v>16</v>
      </c>
      <c r="H180" s="23" t="s">
        <v>16</v>
      </c>
    </row>
    <row r="181" spans="1:8">
      <c r="A181" s="53"/>
      <c r="C181" s="28"/>
      <c r="D181" s="28"/>
      <c r="E181" s="23" t="s">
        <v>16</v>
      </c>
      <c r="F181" s="23" t="s">
        <v>16</v>
      </c>
      <c r="G181" s="23" t="s">
        <v>16</v>
      </c>
      <c r="H181" s="23" t="s">
        <v>16</v>
      </c>
    </row>
    <row r="182" spans="1:8">
      <c r="A182" s="53"/>
      <c r="C182" s="28"/>
      <c r="D182" s="28"/>
      <c r="E182" s="23" t="s">
        <v>16</v>
      </c>
      <c r="F182" s="23" t="s">
        <v>16</v>
      </c>
      <c r="G182" s="23" t="s">
        <v>16</v>
      </c>
      <c r="H182" s="23" t="s">
        <v>16</v>
      </c>
    </row>
    <row r="183" spans="1:8">
      <c r="A183" s="53"/>
      <c r="C183" s="28"/>
      <c r="D183" s="28"/>
      <c r="E183" s="23" t="s">
        <v>16</v>
      </c>
      <c r="F183" s="23" t="s">
        <v>16</v>
      </c>
      <c r="G183" s="23" t="s">
        <v>16</v>
      </c>
      <c r="H183" s="23" t="s">
        <v>16</v>
      </c>
    </row>
    <row r="184" spans="1:8">
      <c r="A184" s="53"/>
      <c r="C184" s="28"/>
      <c r="D184" s="28"/>
      <c r="E184" s="23" t="s">
        <v>16</v>
      </c>
      <c r="F184" s="23" t="s">
        <v>16</v>
      </c>
      <c r="G184" s="23" t="s">
        <v>16</v>
      </c>
      <c r="H184" s="23" t="s">
        <v>16</v>
      </c>
    </row>
    <row r="185" spans="1:8">
      <c r="A185" s="53"/>
      <c r="C185" s="28"/>
      <c r="D185" s="28"/>
      <c r="E185" s="23" t="s">
        <v>16</v>
      </c>
      <c r="F185" s="23" t="s">
        <v>16</v>
      </c>
      <c r="G185" s="23" t="s">
        <v>16</v>
      </c>
      <c r="H185" s="23" t="s">
        <v>16</v>
      </c>
    </row>
    <row r="186" spans="1:8">
      <c r="A186" s="53"/>
      <c r="C186" s="28"/>
      <c r="D186" s="28"/>
      <c r="E186" s="23" t="s">
        <v>16</v>
      </c>
      <c r="F186" s="23" t="s">
        <v>16</v>
      </c>
      <c r="G186" s="23" t="s">
        <v>16</v>
      </c>
      <c r="H186" s="23" t="s">
        <v>16</v>
      </c>
    </row>
    <row r="187" spans="1:8">
      <c r="A187" s="53"/>
      <c r="C187" s="28"/>
      <c r="D187" s="28"/>
      <c r="E187" s="23" t="s">
        <v>16</v>
      </c>
      <c r="F187" s="23" t="s">
        <v>16</v>
      </c>
      <c r="G187" s="23" t="s">
        <v>16</v>
      </c>
      <c r="H187" s="23" t="s">
        <v>16</v>
      </c>
    </row>
    <row r="188" spans="1:8">
      <c r="A188" s="53"/>
      <c r="C188" s="28"/>
      <c r="D188" s="28"/>
      <c r="E188" s="23" t="s">
        <v>16</v>
      </c>
      <c r="F188" s="23" t="s">
        <v>16</v>
      </c>
      <c r="G188" s="23" t="s">
        <v>16</v>
      </c>
      <c r="H188" s="23" t="s">
        <v>16</v>
      </c>
    </row>
    <row r="189" spans="1:8">
      <c r="A189" s="53"/>
      <c r="C189" s="28"/>
      <c r="D189" s="28"/>
      <c r="E189" s="23" t="s">
        <v>16</v>
      </c>
      <c r="F189" s="23" t="s">
        <v>16</v>
      </c>
      <c r="G189" s="23" t="s">
        <v>16</v>
      </c>
      <c r="H189" s="23" t="s">
        <v>16</v>
      </c>
    </row>
    <row r="190" spans="1:8">
      <c r="A190" s="53"/>
      <c r="C190" s="28"/>
      <c r="D190" s="28"/>
      <c r="E190" s="23" t="s">
        <v>16</v>
      </c>
      <c r="F190" s="23" t="s">
        <v>16</v>
      </c>
      <c r="G190" s="23" t="s">
        <v>16</v>
      </c>
      <c r="H190" s="23" t="s">
        <v>16</v>
      </c>
    </row>
    <row r="191" spans="1:8">
      <c r="A191" s="53"/>
      <c r="C191" s="28"/>
      <c r="D191" s="28"/>
      <c r="E191" s="23" t="s">
        <v>16</v>
      </c>
      <c r="F191" s="23" t="s">
        <v>16</v>
      </c>
      <c r="G191" s="23" t="s">
        <v>16</v>
      </c>
      <c r="H191" s="23" t="s">
        <v>16</v>
      </c>
    </row>
    <row r="192" spans="1:8">
      <c r="A192" s="53"/>
      <c r="C192" s="28"/>
      <c r="D192" s="28"/>
      <c r="E192" s="23" t="s">
        <v>16</v>
      </c>
      <c r="F192" s="23" t="s">
        <v>16</v>
      </c>
      <c r="G192" s="23" t="s">
        <v>16</v>
      </c>
      <c r="H192" s="23" t="s">
        <v>16</v>
      </c>
    </row>
    <row r="193" spans="1:8">
      <c r="A193" s="53"/>
      <c r="C193" s="28"/>
      <c r="D193" s="28"/>
      <c r="E193" s="23" t="s">
        <v>16</v>
      </c>
      <c r="F193" s="23" t="s">
        <v>16</v>
      </c>
      <c r="G193" s="23" t="s">
        <v>16</v>
      </c>
      <c r="H193" s="23" t="s">
        <v>16</v>
      </c>
    </row>
    <row r="194" spans="1:8">
      <c r="A194" s="53"/>
      <c r="C194" s="28"/>
      <c r="D194" s="28"/>
      <c r="E194" s="23" t="s">
        <v>16</v>
      </c>
      <c r="F194" s="23" t="s">
        <v>16</v>
      </c>
      <c r="G194" s="23" t="s">
        <v>16</v>
      </c>
      <c r="H194" s="23" t="s">
        <v>16</v>
      </c>
    </row>
    <row r="195" spans="1:8">
      <c r="A195" s="53"/>
      <c r="C195" s="28"/>
      <c r="D195" s="28"/>
      <c r="E195" s="23" t="s">
        <v>16</v>
      </c>
      <c r="F195" s="23" t="s">
        <v>16</v>
      </c>
      <c r="G195" s="23" t="s">
        <v>16</v>
      </c>
      <c r="H195" s="23" t="s">
        <v>16</v>
      </c>
    </row>
    <row r="196" spans="1:8">
      <c r="A196" s="53"/>
      <c r="C196" s="28"/>
      <c r="D196" s="28"/>
      <c r="E196" s="23" t="s">
        <v>16</v>
      </c>
      <c r="F196" s="23" t="s">
        <v>16</v>
      </c>
      <c r="G196" s="23" t="s">
        <v>16</v>
      </c>
      <c r="H196" s="23" t="s">
        <v>16</v>
      </c>
    </row>
    <row r="197" spans="1:8">
      <c r="A197" s="53"/>
      <c r="C197" s="28"/>
      <c r="D197" s="28"/>
      <c r="E197" s="23" t="s">
        <v>16</v>
      </c>
      <c r="F197" s="23" t="s">
        <v>16</v>
      </c>
      <c r="G197" s="23" t="s">
        <v>16</v>
      </c>
      <c r="H197" s="23" t="s">
        <v>16</v>
      </c>
    </row>
    <row r="198" spans="1:8">
      <c r="A198" s="53"/>
      <c r="C198" s="28"/>
      <c r="D198" s="28"/>
      <c r="E198" s="23" t="s">
        <v>16</v>
      </c>
      <c r="F198" s="23" t="s">
        <v>16</v>
      </c>
      <c r="G198" s="23" t="s">
        <v>16</v>
      </c>
      <c r="H198" s="23" t="s">
        <v>16</v>
      </c>
    </row>
    <row r="199" spans="1:8">
      <c r="A199" s="53"/>
      <c r="C199" s="28"/>
      <c r="D199" s="28"/>
      <c r="E199" s="23" t="s">
        <v>16</v>
      </c>
      <c r="F199" s="23" t="s">
        <v>16</v>
      </c>
      <c r="G199" s="23" t="s">
        <v>16</v>
      </c>
      <c r="H199" s="23" t="s">
        <v>16</v>
      </c>
    </row>
    <row r="200" spans="1:8">
      <c r="A200" s="53"/>
      <c r="C200" s="28"/>
      <c r="D200" s="28"/>
      <c r="E200" s="23" t="s">
        <v>16</v>
      </c>
      <c r="F200" s="23" t="s">
        <v>16</v>
      </c>
      <c r="G200" s="23" t="s">
        <v>16</v>
      </c>
      <c r="H200" s="23" t="s">
        <v>16</v>
      </c>
    </row>
    <row r="201" spans="1:8">
      <c r="A201" s="53"/>
      <c r="C201" s="28"/>
      <c r="D201" s="28"/>
      <c r="E201" s="23" t="s">
        <v>16</v>
      </c>
      <c r="F201" s="23" t="s">
        <v>16</v>
      </c>
      <c r="G201" s="23" t="s">
        <v>16</v>
      </c>
      <c r="H201" s="23" t="s">
        <v>16</v>
      </c>
    </row>
    <row r="202" spans="1:8">
      <c r="A202" s="53"/>
      <c r="C202" s="28"/>
      <c r="D202" s="28"/>
      <c r="E202" s="23" t="s">
        <v>16</v>
      </c>
      <c r="F202" s="23" t="s">
        <v>16</v>
      </c>
      <c r="G202" s="23" t="s">
        <v>16</v>
      </c>
      <c r="H202" s="23" t="s">
        <v>16</v>
      </c>
    </row>
    <row r="203" spans="1:8">
      <c r="A203" s="53"/>
      <c r="C203" s="28"/>
      <c r="D203" s="28"/>
      <c r="E203" s="23"/>
      <c r="F203" s="23"/>
      <c r="G203" s="23"/>
      <c r="H203" s="23"/>
    </row>
    <row r="204" spans="1:8">
      <c r="A204" s="53"/>
      <c r="C204" s="28"/>
      <c r="D204" s="28"/>
      <c r="E204" s="23"/>
      <c r="F204" s="23"/>
      <c r="G204" s="23"/>
      <c r="H204" s="23"/>
    </row>
    <row r="205" spans="1:8">
      <c r="A205" s="53"/>
      <c r="C205" s="28"/>
      <c r="D205" s="28"/>
      <c r="E205" s="23"/>
      <c r="F205" s="23"/>
      <c r="G205" s="23"/>
      <c r="H205" s="23"/>
    </row>
    <row r="206" spans="1:8">
      <c r="A206" s="53"/>
      <c r="C206" s="28"/>
      <c r="D206" s="28"/>
      <c r="E206" s="23"/>
      <c r="F206" s="23"/>
      <c r="G206" s="23"/>
      <c r="H206" s="23"/>
    </row>
    <row r="207" spans="1:8">
      <c r="A207" s="53"/>
      <c r="C207" s="28"/>
      <c r="D207" s="28"/>
      <c r="E207" s="23"/>
      <c r="F207" s="23"/>
      <c r="G207" s="23"/>
      <c r="H207" s="23"/>
    </row>
    <row r="208" spans="1:8">
      <c r="A208" s="53"/>
      <c r="C208" s="28"/>
      <c r="D208" s="28"/>
      <c r="E208" s="23"/>
      <c r="F208" s="23"/>
      <c r="G208" s="23"/>
      <c r="H208" s="23"/>
    </row>
    <row r="209" spans="1:8">
      <c r="A209" s="53"/>
      <c r="C209" s="28"/>
      <c r="D209" s="28"/>
      <c r="E209" s="23"/>
      <c r="F209" s="23"/>
      <c r="G209" s="23"/>
      <c r="H209" s="23"/>
    </row>
    <row r="210" spans="1:8">
      <c r="A210" s="53"/>
      <c r="C210" s="28"/>
      <c r="D210" s="28"/>
      <c r="E210" s="23"/>
      <c r="F210" s="23"/>
      <c r="G210" s="23"/>
      <c r="H210" s="23"/>
    </row>
    <row r="211" spans="1:8">
      <c r="A211" s="53"/>
      <c r="C211" s="28"/>
      <c r="D211" s="28"/>
      <c r="E211" s="23"/>
      <c r="F211" s="23"/>
      <c r="G211" s="23"/>
      <c r="H211" s="23"/>
    </row>
    <row r="212" spans="1:8">
      <c r="A212" s="53"/>
      <c r="C212" s="28"/>
      <c r="D212" s="28"/>
      <c r="E212" s="23"/>
      <c r="F212" s="23"/>
      <c r="G212" s="23"/>
      <c r="H212" s="23"/>
    </row>
    <row r="213" spans="1:8">
      <c r="A213" s="53"/>
      <c r="C213" s="28"/>
      <c r="D213" s="28"/>
      <c r="E213" s="23"/>
      <c r="F213" s="23"/>
      <c r="G213" s="23"/>
      <c r="H213" s="23"/>
    </row>
    <row r="214" spans="1:8">
      <c r="A214" s="53"/>
      <c r="C214" s="28"/>
      <c r="D214" s="28"/>
      <c r="E214" s="23"/>
      <c r="F214" s="23"/>
      <c r="G214" s="23"/>
      <c r="H214" s="23"/>
    </row>
    <row r="215" spans="1:8">
      <c r="A215" s="53"/>
      <c r="C215" s="28"/>
      <c r="D215" s="28"/>
      <c r="E215" s="23"/>
      <c r="F215" s="23"/>
      <c r="G215" s="23"/>
      <c r="H215" s="23"/>
    </row>
    <row r="216" spans="1:8">
      <c r="A216" s="53"/>
      <c r="C216" s="28"/>
      <c r="D216" s="28"/>
      <c r="E216" s="23"/>
      <c r="F216" s="23"/>
      <c r="G216" s="23"/>
      <c r="H216" s="23"/>
    </row>
    <row r="217" spans="1:8">
      <c r="A217" s="53"/>
      <c r="C217" s="28"/>
      <c r="D217" s="28"/>
      <c r="E217" s="23"/>
      <c r="F217" s="23"/>
      <c r="G217" s="23"/>
      <c r="H217" s="23"/>
    </row>
    <row r="218" spans="1:8">
      <c r="A218" s="53"/>
      <c r="C218" s="28"/>
      <c r="D218" s="28"/>
      <c r="E218" s="23"/>
      <c r="F218" s="23"/>
      <c r="G218" s="23"/>
      <c r="H218" s="23"/>
    </row>
    <row r="219" spans="1:8">
      <c r="A219" s="53"/>
      <c r="C219" s="28"/>
      <c r="D219" s="28"/>
      <c r="E219" s="23"/>
      <c r="F219" s="23"/>
      <c r="G219" s="23"/>
      <c r="H219" s="23"/>
    </row>
    <row r="220" spans="1:8">
      <c r="A220" s="53"/>
      <c r="C220" s="28"/>
      <c r="D220" s="28"/>
      <c r="E220" s="23"/>
      <c r="F220" s="23"/>
      <c r="G220" s="23"/>
      <c r="H220" s="23"/>
    </row>
    <row r="221" spans="1:8">
      <c r="A221" s="53"/>
      <c r="C221" s="28"/>
      <c r="D221" s="28"/>
      <c r="E221" s="23"/>
      <c r="F221" s="23"/>
      <c r="G221" s="23"/>
      <c r="H221" s="23"/>
    </row>
    <row r="222" spans="1:8">
      <c r="A222" s="53"/>
      <c r="C222" s="28"/>
      <c r="D222" s="28"/>
      <c r="E222" s="50"/>
      <c r="F222" s="50"/>
      <c r="G222" s="50"/>
      <c r="H222" s="50"/>
    </row>
    <row r="223" spans="1:8">
      <c r="A223" s="53"/>
      <c r="C223" s="28"/>
      <c r="D223" s="28"/>
      <c r="E223" s="50"/>
      <c r="F223" s="50"/>
      <c r="G223" s="50"/>
      <c r="H223" s="50"/>
    </row>
    <row r="224" spans="1:8">
      <c r="A224" s="53"/>
      <c r="C224" s="28"/>
      <c r="D224" s="28"/>
      <c r="E224" s="50"/>
      <c r="F224" s="50"/>
      <c r="G224" s="50"/>
      <c r="H224" s="50"/>
    </row>
    <row r="225" spans="1:8">
      <c r="A225" s="53"/>
      <c r="C225" s="28"/>
      <c r="D225" s="28"/>
      <c r="E225" s="50"/>
      <c r="F225" s="50"/>
      <c r="G225" s="50"/>
      <c r="H225" s="50"/>
    </row>
    <row r="226" spans="1:8">
      <c r="A226" s="53"/>
      <c r="C226" s="28"/>
      <c r="D226" s="28"/>
      <c r="E226" s="50"/>
      <c r="F226" s="50"/>
      <c r="G226" s="50"/>
      <c r="H226" s="50"/>
    </row>
    <row r="227" spans="1:8">
      <c r="A227" s="53"/>
      <c r="C227" s="28"/>
      <c r="D227" s="28"/>
      <c r="E227" s="50"/>
      <c r="F227" s="50"/>
      <c r="G227" s="50"/>
      <c r="H227" s="50"/>
    </row>
    <row r="228" spans="1:8">
      <c r="A228" s="53"/>
      <c r="C228" s="28"/>
      <c r="D228" s="28"/>
      <c r="E228" s="50"/>
      <c r="F228" s="50"/>
      <c r="G228" s="50"/>
      <c r="H228" s="50"/>
    </row>
    <row r="229" spans="1:8">
      <c r="A229" s="53"/>
      <c r="C229" s="28"/>
      <c r="D229" s="28"/>
      <c r="E229" s="50"/>
      <c r="F229" s="50"/>
      <c r="G229" s="50"/>
      <c r="H229" s="50"/>
    </row>
    <row r="230" spans="1:8">
      <c r="A230" s="53"/>
      <c r="C230" s="28"/>
      <c r="D230" s="28"/>
      <c r="E230" s="50"/>
      <c r="F230" s="50"/>
      <c r="G230" s="50"/>
      <c r="H230" s="50"/>
    </row>
    <row r="231" spans="1:8">
      <c r="A231" s="53"/>
      <c r="C231" s="28"/>
      <c r="D231" s="28"/>
      <c r="E231" s="50"/>
      <c r="F231" s="50"/>
      <c r="G231" s="50"/>
      <c r="H231" s="50"/>
    </row>
    <row r="232" spans="1:8">
      <c r="A232" s="53"/>
      <c r="C232" s="28"/>
      <c r="D232" s="28"/>
      <c r="E232" s="50"/>
      <c r="F232" s="50"/>
      <c r="G232" s="50"/>
      <c r="H232" s="50"/>
    </row>
    <row r="233" spans="1:8">
      <c r="A233" s="53"/>
      <c r="C233" s="28"/>
      <c r="D233" s="28"/>
      <c r="E233" s="50"/>
      <c r="F233" s="50"/>
      <c r="G233" s="50"/>
      <c r="H233" s="50"/>
    </row>
    <row r="234" spans="1:8">
      <c r="A234" s="53"/>
      <c r="C234" s="28"/>
      <c r="D234" s="28"/>
      <c r="E234" s="50"/>
      <c r="F234" s="50"/>
      <c r="G234" s="50"/>
      <c r="H234" s="50"/>
    </row>
    <row r="235" spans="1:8">
      <c r="A235" s="53"/>
      <c r="C235" s="28"/>
      <c r="D235" s="28"/>
      <c r="E235" s="50"/>
      <c r="F235" s="50"/>
      <c r="G235" s="50"/>
      <c r="H235" s="50"/>
    </row>
    <row r="236" spans="1:8">
      <c r="A236" s="53"/>
      <c r="C236" s="28"/>
      <c r="D236" s="28"/>
      <c r="E236" s="50"/>
      <c r="F236" s="50"/>
      <c r="G236" s="50"/>
      <c r="H236" s="50"/>
    </row>
    <row r="237" spans="1:8">
      <c r="A237" s="53"/>
      <c r="C237" s="28"/>
      <c r="D237" s="28"/>
      <c r="E237" s="50"/>
      <c r="F237" s="50"/>
      <c r="G237" s="50"/>
      <c r="H237" s="50"/>
    </row>
    <row r="238" spans="1:8">
      <c r="A238" s="53"/>
      <c r="C238" s="28"/>
      <c r="D238" s="28"/>
      <c r="E238" s="50"/>
      <c r="F238" s="50"/>
      <c r="G238" s="50"/>
      <c r="H238" s="50"/>
    </row>
    <row r="239" spans="1:8">
      <c r="A239" s="53"/>
      <c r="C239" s="28"/>
      <c r="D239" s="28"/>
      <c r="E239" s="50"/>
      <c r="F239" s="50"/>
      <c r="G239" s="50"/>
      <c r="H239" s="50"/>
    </row>
    <row r="240" spans="1:8">
      <c r="A240" s="53"/>
      <c r="C240" s="28"/>
      <c r="D240" s="28"/>
      <c r="E240" s="50"/>
      <c r="F240" s="50"/>
      <c r="G240" s="50"/>
      <c r="H240" s="50"/>
    </row>
    <row r="241" spans="1:8">
      <c r="A241" s="53"/>
      <c r="C241" s="28"/>
      <c r="D241" s="28"/>
      <c r="E241" s="50"/>
      <c r="F241" s="50"/>
      <c r="G241" s="50"/>
      <c r="H241" s="50"/>
    </row>
    <row r="242" spans="1:8">
      <c r="A242" s="53"/>
      <c r="C242" s="28"/>
      <c r="D242" s="28"/>
      <c r="E242" s="50"/>
      <c r="F242" s="50"/>
      <c r="G242" s="50"/>
      <c r="H242" s="50"/>
    </row>
    <row r="243" spans="1:8">
      <c r="A243" s="53"/>
      <c r="C243" s="28"/>
      <c r="D243" s="28"/>
      <c r="E243" s="50"/>
      <c r="F243" s="50"/>
      <c r="G243" s="50"/>
      <c r="H243" s="50"/>
    </row>
    <row r="244" spans="1:8">
      <c r="A244" s="53"/>
      <c r="C244" s="28"/>
      <c r="D244" s="28"/>
      <c r="E244" s="50"/>
      <c r="F244" s="50"/>
      <c r="G244" s="50"/>
      <c r="H244" s="50"/>
    </row>
    <row r="245" spans="1:8">
      <c r="A245" s="53"/>
      <c r="C245" s="28"/>
      <c r="D245" s="28"/>
      <c r="E245" s="50"/>
      <c r="F245" s="50"/>
      <c r="G245" s="50"/>
      <c r="H245" s="50"/>
    </row>
    <row r="246" spans="1:8">
      <c r="A246" s="53"/>
      <c r="C246" s="28"/>
      <c r="D246" s="28"/>
      <c r="E246" s="50"/>
      <c r="F246" s="50"/>
      <c r="G246" s="50"/>
      <c r="H246" s="50"/>
    </row>
    <row r="247" spans="1:8">
      <c r="A247" s="53"/>
      <c r="C247" s="28"/>
      <c r="D247" s="28"/>
      <c r="E247" s="50"/>
      <c r="F247" s="50"/>
      <c r="G247" s="50"/>
      <c r="H247" s="50"/>
    </row>
    <row r="248" spans="1:8">
      <c r="A248" s="53"/>
      <c r="C248" s="28"/>
      <c r="D248" s="28"/>
      <c r="E248" s="50"/>
      <c r="F248" s="50"/>
      <c r="G248" s="50"/>
      <c r="H248" s="50"/>
    </row>
    <row r="249" spans="1:8">
      <c r="A249" s="53"/>
      <c r="C249" s="28"/>
      <c r="D249" s="28"/>
      <c r="E249" s="50"/>
      <c r="F249" s="50"/>
      <c r="G249" s="50"/>
      <c r="H249" s="50"/>
    </row>
    <row r="250" spans="1:8">
      <c r="A250" s="53"/>
      <c r="C250" s="28"/>
      <c r="D250" s="28"/>
      <c r="E250" s="50"/>
      <c r="F250" s="50"/>
      <c r="G250" s="50"/>
      <c r="H250" s="50"/>
    </row>
    <row r="251" spans="1:8">
      <c r="A251" s="53"/>
      <c r="C251" s="28"/>
      <c r="D251" s="28"/>
      <c r="E251" s="50"/>
      <c r="F251" s="50"/>
      <c r="G251" s="50"/>
      <c r="H251" s="50"/>
    </row>
    <row r="252" spans="1:8">
      <c r="A252" s="53"/>
      <c r="C252" s="28"/>
      <c r="D252" s="28"/>
      <c r="E252" s="50"/>
      <c r="F252" s="50"/>
      <c r="G252" s="50"/>
      <c r="H252" s="50"/>
    </row>
    <row r="253" spans="1:8">
      <c r="A253" s="53"/>
      <c r="C253" s="28"/>
      <c r="D253" s="28"/>
      <c r="E253" s="50"/>
      <c r="F253" s="50"/>
      <c r="G253" s="50"/>
      <c r="H253" s="50"/>
    </row>
    <row r="254" spans="1:8">
      <c r="A254" s="53"/>
      <c r="C254" s="28"/>
      <c r="D254" s="28"/>
      <c r="E254" s="50"/>
      <c r="F254" s="50"/>
      <c r="G254" s="50"/>
      <c r="H254" s="50"/>
    </row>
    <row r="255" spans="1:8">
      <c r="A255" s="53"/>
      <c r="C255" s="28"/>
      <c r="D255" s="28"/>
      <c r="E255" s="50"/>
      <c r="F255" s="50"/>
      <c r="G255" s="50"/>
      <c r="H255" s="50"/>
    </row>
    <row r="256" spans="1:8">
      <c r="A256" s="53"/>
      <c r="C256" s="28"/>
      <c r="D256" s="28"/>
      <c r="E256" s="50"/>
      <c r="F256" s="50"/>
      <c r="G256" s="50"/>
      <c r="H256" s="50"/>
    </row>
    <row r="257" spans="1:8">
      <c r="A257" s="53"/>
      <c r="C257" s="28"/>
      <c r="D257" s="28"/>
      <c r="E257" s="50"/>
      <c r="F257" s="50"/>
      <c r="G257" s="50"/>
      <c r="H257" s="50"/>
    </row>
    <row r="258" spans="1:8">
      <c r="A258" s="53"/>
      <c r="C258" s="28"/>
      <c r="D258" s="28"/>
      <c r="E258" s="50"/>
      <c r="F258" s="50"/>
      <c r="G258" s="50"/>
      <c r="H258" s="50"/>
    </row>
    <row r="259" spans="1:8">
      <c r="A259" s="53"/>
      <c r="C259" s="28"/>
      <c r="D259" s="28"/>
      <c r="E259" s="50"/>
      <c r="F259" s="50"/>
      <c r="G259" s="50"/>
      <c r="H259" s="50"/>
    </row>
    <row r="260" spans="1:8">
      <c r="A260" s="53"/>
      <c r="C260" s="28"/>
      <c r="D260" s="28"/>
      <c r="E260" s="50"/>
      <c r="F260" s="50"/>
      <c r="G260" s="50"/>
      <c r="H260" s="50"/>
    </row>
    <row r="261" spans="1:8">
      <c r="A261" s="53"/>
      <c r="C261" s="28"/>
      <c r="D261" s="28"/>
      <c r="E261" s="50"/>
      <c r="F261" s="50"/>
      <c r="G261" s="50"/>
      <c r="H261" s="50"/>
    </row>
    <row r="262" spans="1:8">
      <c r="A262" s="53"/>
      <c r="C262" s="28"/>
      <c r="D262" s="28"/>
      <c r="E262" s="50"/>
      <c r="F262" s="50"/>
      <c r="G262" s="50"/>
      <c r="H262" s="50"/>
    </row>
    <row r="263" spans="1:8">
      <c r="A263" s="53"/>
      <c r="C263" s="28"/>
      <c r="D263" s="28"/>
      <c r="E263" s="50"/>
      <c r="F263" s="50"/>
      <c r="G263" s="50"/>
      <c r="H263" s="50"/>
    </row>
    <row r="264" spans="1:8">
      <c r="A264" s="53"/>
      <c r="C264" s="28"/>
      <c r="D264" s="28"/>
      <c r="E264" s="50"/>
      <c r="F264" s="50"/>
      <c r="G264" s="50"/>
      <c r="H264" s="50"/>
    </row>
    <row r="265" spans="1:8">
      <c r="A265" s="53"/>
      <c r="C265" s="28"/>
      <c r="D265" s="28"/>
      <c r="E265" s="50"/>
      <c r="F265" s="50"/>
      <c r="G265" s="50"/>
      <c r="H265" s="50"/>
    </row>
    <row r="266" spans="1:8">
      <c r="A266" s="53"/>
      <c r="C266" s="28"/>
      <c r="D266" s="28"/>
      <c r="E266" s="50"/>
      <c r="F266" s="50"/>
      <c r="G266" s="50"/>
      <c r="H266" s="50"/>
    </row>
    <row r="267" spans="1:8">
      <c r="A267" s="53"/>
      <c r="C267" s="28"/>
      <c r="D267" s="28"/>
      <c r="E267" s="50"/>
      <c r="F267" s="50"/>
      <c r="G267" s="50"/>
      <c r="H267" s="50"/>
    </row>
    <row r="268" spans="1:8">
      <c r="A268" s="53"/>
      <c r="C268" s="28"/>
      <c r="D268" s="28"/>
      <c r="E268" s="50"/>
      <c r="F268" s="50"/>
      <c r="G268" s="50"/>
      <c r="H268" s="50"/>
    </row>
    <row r="269" spans="1:8">
      <c r="A269" s="53"/>
      <c r="C269" s="28"/>
      <c r="D269" s="28"/>
      <c r="E269" s="50"/>
      <c r="F269" s="50"/>
      <c r="G269" s="50"/>
      <c r="H269" s="50"/>
    </row>
    <row r="270" spans="1:8">
      <c r="A270" s="53"/>
      <c r="C270" s="28"/>
      <c r="D270" s="28"/>
      <c r="E270" s="50"/>
      <c r="F270" s="50"/>
      <c r="G270" s="50"/>
      <c r="H270" s="50"/>
    </row>
    <row r="271" spans="1:8">
      <c r="A271" s="53"/>
      <c r="C271" s="28"/>
      <c r="D271" s="28"/>
      <c r="E271" s="50"/>
      <c r="F271" s="50"/>
      <c r="G271" s="50"/>
      <c r="H271" s="50"/>
    </row>
    <row r="272" spans="1:8">
      <c r="A272" s="53"/>
      <c r="C272" s="28"/>
      <c r="D272" s="28"/>
      <c r="E272" s="50"/>
      <c r="F272" s="50"/>
      <c r="G272" s="50"/>
      <c r="H272" s="50"/>
    </row>
    <row r="273" spans="1:8">
      <c r="A273" s="53"/>
      <c r="C273" s="28"/>
      <c r="D273" s="28"/>
      <c r="E273" s="50"/>
      <c r="F273" s="50"/>
      <c r="G273" s="50"/>
      <c r="H273" s="50"/>
    </row>
    <row r="274" spans="1:8">
      <c r="A274" s="53"/>
      <c r="C274" s="28"/>
      <c r="D274" s="28"/>
      <c r="E274" s="50"/>
      <c r="F274" s="50"/>
      <c r="G274" s="50"/>
      <c r="H274" s="50"/>
    </row>
    <row r="275" spans="1:8">
      <c r="A275" s="53"/>
      <c r="C275" s="28"/>
      <c r="D275" s="28"/>
      <c r="E275" s="50"/>
      <c r="F275" s="50"/>
      <c r="G275" s="50"/>
      <c r="H275" s="50"/>
    </row>
    <row r="276" spans="1:8">
      <c r="A276" s="53"/>
      <c r="C276" s="28"/>
      <c r="D276" s="28"/>
      <c r="E276" s="50"/>
      <c r="F276" s="50"/>
      <c r="G276" s="50"/>
      <c r="H276" s="50"/>
    </row>
    <row r="277" spans="1:8">
      <c r="A277" s="53"/>
      <c r="C277" s="28"/>
      <c r="D277" s="28"/>
      <c r="E277" s="50"/>
      <c r="F277" s="50"/>
      <c r="G277" s="50"/>
      <c r="H277" s="50"/>
    </row>
    <row r="278" spans="1:8">
      <c r="A278" s="53"/>
      <c r="C278" s="28"/>
      <c r="D278" s="28"/>
      <c r="E278" s="50"/>
      <c r="F278" s="50"/>
      <c r="G278" s="50"/>
      <c r="H278" s="50"/>
    </row>
    <row r="279" spans="1:8">
      <c r="A279" s="53"/>
      <c r="C279" s="28"/>
      <c r="D279" s="28"/>
      <c r="E279" s="50"/>
      <c r="F279" s="50"/>
      <c r="G279" s="50"/>
      <c r="H279" s="50"/>
    </row>
    <row r="280" spans="1:8">
      <c r="A280" s="53"/>
      <c r="C280" s="28"/>
      <c r="D280" s="28"/>
      <c r="E280" s="50"/>
      <c r="F280" s="50"/>
      <c r="G280" s="50"/>
      <c r="H280" s="50"/>
    </row>
    <row r="281" spans="1:8">
      <c r="A281" s="53"/>
      <c r="C281" s="28"/>
      <c r="D281" s="28"/>
      <c r="E281" s="50"/>
      <c r="F281" s="50"/>
      <c r="G281" s="50"/>
      <c r="H281" s="50"/>
    </row>
    <row r="282" spans="1:8">
      <c r="A282" s="53"/>
      <c r="C282" s="28"/>
      <c r="D282" s="28"/>
      <c r="E282" s="50"/>
      <c r="F282" s="50"/>
      <c r="G282" s="50"/>
      <c r="H282" s="50"/>
    </row>
    <row r="283" spans="1:8">
      <c r="A283" s="53"/>
      <c r="C283" s="28"/>
      <c r="D283" s="28"/>
      <c r="E283" s="50"/>
      <c r="F283" s="50"/>
      <c r="G283" s="50"/>
      <c r="H283" s="50"/>
    </row>
    <row r="284" spans="1:8">
      <c r="A284" s="53"/>
      <c r="C284" s="28"/>
      <c r="D284" s="28"/>
      <c r="E284" s="50"/>
      <c r="F284" s="50"/>
      <c r="G284" s="50"/>
      <c r="H284" s="50"/>
    </row>
    <row r="285" spans="1:8">
      <c r="A285" s="53"/>
      <c r="C285" s="28"/>
      <c r="D285" s="28"/>
      <c r="E285" s="50"/>
      <c r="F285" s="50"/>
      <c r="G285" s="50"/>
      <c r="H285" s="50"/>
    </row>
    <row r="286" spans="1:8">
      <c r="A286" s="53"/>
      <c r="C286" s="28"/>
      <c r="D286" s="28"/>
      <c r="E286" s="50"/>
      <c r="F286" s="50"/>
      <c r="G286" s="50"/>
      <c r="H286" s="50"/>
    </row>
    <row r="287" spans="1:8">
      <c r="A287" s="53"/>
      <c r="C287" s="28"/>
      <c r="D287" s="28"/>
      <c r="E287" s="50"/>
      <c r="F287" s="50"/>
      <c r="G287" s="50"/>
      <c r="H287" s="50"/>
    </row>
    <row r="288" spans="1:8">
      <c r="A288" s="53"/>
      <c r="C288" s="28"/>
      <c r="D288" s="28"/>
      <c r="E288" s="50"/>
      <c r="F288" s="50"/>
      <c r="G288" s="50"/>
      <c r="H288" s="50"/>
    </row>
    <row r="289" spans="1:8">
      <c r="A289" s="53"/>
      <c r="C289" s="28"/>
      <c r="D289" s="28"/>
      <c r="E289" s="50"/>
      <c r="F289" s="50"/>
      <c r="G289" s="50"/>
      <c r="H289" s="50"/>
    </row>
    <row r="290" spans="1:8">
      <c r="A290" s="53"/>
      <c r="C290" s="28"/>
      <c r="D290" s="28"/>
      <c r="E290" s="50"/>
      <c r="F290" s="50"/>
      <c r="G290" s="50"/>
      <c r="H290" s="50"/>
    </row>
    <row r="291" spans="1:8">
      <c r="A291" s="53"/>
      <c r="C291" s="28"/>
      <c r="D291" s="28"/>
      <c r="E291" s="50"/>
      <c r="F291" s="50"/>
      <c r="G291" s="50"/>
      <c r="H291" s="50"/>
    </row>
    <row r="292" spans="1:8">
      <c r="A292" s="53"/>
      <c r="C292" s="28"/>
      <c r="D292" s="28"/>
      <c r="E292" s="50"/>
      <c r="F292" s="50"/>
      <c r="G292" s="50"/>
      <c r="H292" s="50"/>
    </row>
    <row r="293" spans="1:8">
      <c r="A293" s="53"/>
      <c r="C293" s="28"/>
      <c r="D293" s="28"/>
      <c r="E293" s="50"/>
      <c r="F293" s="50"/>
      <c r="G293" s="50"/>
      <c r="H293" s="50"/>
    </row>
    <row r="294" spans="1:8">
      <c r="A294" s="53"/>
      <c r="C294" s="28"/>
      <c r="D294" s="28"/>
      <c r="E294" s="50"/>
      <c r="F294" s="50"/>
      <c r="G294" s="50"/>
      <c r="H294" s="50"/>
    </row>
    <row r="295" spans="1:8">
      <c r="A295" s="53"/>
      <c r="C295" s="28"/>
      <c r="D295" s="28"/>
      <c r="E295" s="50"/>
      <c r="F295" s="50"/>
      <c r="G295" s="50"/>
      <c r="H295" s="50"/>
    </row>
    <row r="296" spans="1:8">
      <c r="A296" s="53"/>
      <c r="C296" s="28"/>
      <c r="D296" s="28"/>
      <c r="E296" s="50"/>
      <c r="F296" s="50"/>
      <c r="G296" s="50"/>
      <c r="H296" s="50"/>
    </row>
    <row r="297" spans="1:8">
      <c r="A297" s="53"/>
      <c r="C297" s="28"/>
      <c r="D297" s="28"/>
      <c r="E297" s="50"/>
      <c r="F297" s="50"/>
      <c r="G297" s="50"/>
      <c r="H297" s="50"/>
    </row>
    <row r="298" spans="1:8">
      <c r="A298" s="53"/>
      <c r="C298" s="28"/>
      <c r="D298" s="28"/>
      <c r="E298" s="50"/>
      <c r="F298" s="50"/>
      <c r="G298" s="50"/>
      <c r="H298" s="50"/>
    </row>
    <row r="299" spans="1:8">
      <c r="A299" s="53"/>
      <c r="C299" s="28"/>
      <c r="D299" s="28"/>
      <c r="E299" s="50"/>
      <c r="F299" s="50"/>
      <c r="G299" s="50"/>
      <c r="H299" s="50"/>
    </row>
    <row r="300" spans="1:8">
      <c r="A300" s="53"/>
      <c r="C300" s="28"/>
      <c r="D300" s="28"/>
      <c r="E300" s="50"/>
      <c r="F300" s="50"/>
      <c r="G300" s="50"/>
      <c r="H300" s="50"/>
    </row>
    <row r="301" spans="1:8">
      <c r="A301" s="53"/>
      <c r="C301" s="28"/>
      <c r="D301" s="28"/>
      <c r="E301" s="50"/>
      <c r="F301" s="50"/>
      <c r="G301" s="50"/>
      <c r="H301" s="50"/>
    </row>
    <row r="302" spans="1:8">
      <c r="A302" s="53"/>
      <c r="C302" s="28"/>
      <c r="D302" s="28"/>
      <c r="E302" s="50"/>
      <c r="F302" s="50"/>
      <c r="G302" s="50"/>
      <c r="H302" s="50"/>
    </row>
    <row r="303" spans="1:8">
      <c r="A303" s="53"/>
      <c r="C303" s="28"/>
      <c r="D303" s="28"/>
      <c r="E303" s="50"/>
      <c r="F303" s="50"/>
      <c r="G303" s="50"/>
      <c r="H303" s="50"/>
    </row>
    <row r="304" spans="1:8">
      <c r="A304" s="53"/>
      <c r="C304" s="28"/>
      <c r="D304" s="28"/>
      <c r="E304" s="50"/>
      <c r="F304" s="50"/>
      <c r="G304" s="50"/>
      <c r="H304" s="50"/>
    </row>
    <row r="305" spans="1:8">
      <c r="A305" s="53"/>
      <c r="C305" s="28"/>
      <c r="D305" s="28"/>
      <c r="E305" s="50"/>
      <c r="F305" s="50"/>
      <c r="G305" s="50"/>
      <c r="H305" s="50"/>
    </row>
    <row r="306" spans="1:8">
      <c r="A306" s="53"/>
      <c r="C306" s="28"/>
      <c r="D306" s="28"/>
      <c r="E306" s="50"/>
      <c r="F306" s="50"/>
      <c r="G306" s="50"/>
      <c r="H306" s="50"/>
    </row>
    <row r="307" spans="1:8">
      <c r="A307" s="53"/>
      <c r="C307" s="28"/>
      <c r="D307" s="28"/>
      <c r="E307" s="50"/>
      <c r="F307" s="50"/>
      <c r="G307" s="50"/>
      <c r="H307" s="50"/>
    </row>
    <row r="308" spans="1:8">
      <c r="A308" s="53"/>
      <c r="C308" s="28"/>
      <c r="D308" s="28"/>
      <c r="E308" s="50"/>
      <c r="F308" s="50"/>
      <c r="G308" s="50"/>
      <c r="H308" s="50"/>
    </row>
    <row r="309" spans="1:8">
      <c r="A309" s="53"/>
      <c r="C309" s="28"/>
      <c r="D309" s="28"/>
      <c r="E309" s="50"/>
      <c r="F309" s="50"/>
      <c r="G309" s="50"/>
      <c r="H309" s="50"/>
    </row>
    <row r="310" spans="1:8">
      <c r="A310" s="53"/>
      <c r="C310" s="28"/>
      <c r="D310" s="28"/>
      <c r="E310" s="50"/>
      <c r="F310" s="50"/>
      <c r="G310" s="50"/>
      <c r="H310" s="50"/>
    </row>
    <row r="311" spans="1:8">
      <c r="A311" s="53"/>
      <c r="C311" s="28"/>
      <c r="D311" s="28"/>
      <c r="E311" s="50"/>
      <c r="F311" s="50"/>
      <c r="G311" s="50"/>
      <c r="H311" s="50"/>
    </row>
    <row r="312" spans="1:8">
      <c r="A312" s="53"/>
      <c r="C312" s="28"/>
      <c r="D312" s="28"/>
      <c r="E312" s="50"/>
      <c r="F312" s="50"/>
      <c r="G312" s="50"/>
      <c r="H312" s="50"/>
    </row>
    <row r="313" spans="1:8">
      <c r="A313" s="53"/>
      <c r="C313" s="28"/>
      <c r="D313" s="28"/>
      <c r="E313" s="50"/>
      <c r="F313" s="50"/>
      <c r="G313" s="50"/>
      <c r="H313" s="50"/>
    </row>
    <row r="314" spans="1:8">
      <c r="A314" s="53"/>
      <c r="C314" s="28"/>
      <c r="D314" s="28"/>
      <c r="E314" s="50"/>
      <c r="F314" s="50"/>
      <c r="G314" s="50"/>
      <c r="H314" s="50"/>
    </row>
    <row r="315" spans="1:8">
      <c r="A315" s="53"/>
      <c r="C315" s="28"/>
      <c r="D315" s="28"/>
      <c r="E315" s="50"/>
      <c r="F315" s="50"/>
      <c r="G315" s="50"/>
      <c r="H315" s="50"/>
    </row>
    <row r="316" spans="1:8">
      <c r="A316" s="53"/>
      <c r="C316" s="28"/>
      <c r="D316" s="28"/>
      <c r="E316" s="50"/>
      <c r="F316" s="50"/>
      <c r="G316" s="50"/>
      <c r="H316" s="50"/>
    </row>
    <row r="317" spans="1:8">
      <c r="A317" s="53"/>
      <c r="C317" s="28"/>
      <c r="D317" s="28"/>
      <c r="E317" s="50"/>
      <c r="F317" s="50"/>
      <c r="G317" s="50"/>
      <c r="H317" s="50"/>
    </row>
    <row r="318" spans="1:8">
      <c r="A318" s="53"/>
      <c r="C318" s="28"/>
      <c r="D318" s="28"/>
      <c r="E318" s="50"/>
      <c r="F318" s="50"/>
      <c r="G318" s="50"/>
      <c r="H318" s="50"/>
    </row>
    <row r="319" spans="1:8">
      <c r="A319" s="53"/>
      <c r="C319" s="28"/>
      <c r="D319" s="28"/>
      <c r="E319" s="50"/>
      <c r="F319" s="50"/>
      <c r="G319" s="50"/>
      <c r="H319" s="50"/>
    </row>
    <row r="320" spans="1:8">
      <c r="A320" s="53"/>
      <c r="C320" s="28"/>
      <c r="D320" s="28"/>
      <c r="E320" s="50"/>
      <c r="F320" s="50"/>
      <c r="G320" s="50"/>
      <c r="H320" s="50"/>
    </row>
    <row r="321" spans="1:8">
      <c r="A321" s="53"/>
      <c r="C321" s="28"/>
      <c r="D321" s="28"/>
      <c r="E321" s="50"/>
      <c r="F321" s="50"/>
      <c r="G321" s="50"/>
      <c r="H321" s="50"/>
    </row>
    <row r="322" spans="1:8">
      <c r="A322" s="53"/>
      <c r="C322" s="28"/>
      <c r="D322" s="28"/>
      <c r="E322" s="50"/>
      <c r="F322" s="50"/>
      <c r="G322" s="50"/>
      <c r="H322" s="50"/>
    </row>
    <row r="323" spans="1:8">
      <c r="A323" s="53"/>
      <c r="C323" s="28"/>
      <c r="D323" s="28"/>
      <c r="E323" s="50"/>
      <c r="F323" s="50"/>
      <c r="G323" s="50"/>
      <c r="H323" s="50"/>
    </row>
    <row r="324" spans="1:8">
      <c r="A324" s="53"/>
      <c r="C324" s="28"/>
      <c r="D324" s="28"/>
      <c r="E324" s="50"/>
      <c r="F324" s="50"/>
      <c r="G324" s="50"/>
      <c r="H324" s="50"/>
    </row>
    <row r="325" spans="1:8">
      <c r="A325" s="53"/>
      <c r="C325" s="28"/>
      <c r="D325" s="28"/>
      <c r="E325" s="50"/>
      <c r="F325" s="50"/>
      <c r="G325" s="50"/>
      <c r="H325" s="50"/>
    </row>
    <row r="326" spans="1:8">
      <c r="A326" s="53"/>
      <c r="C326" s="28"/>
      <c r="D326" s="28"/>
      <c r="E326" s="50"/>
      <c r="F326" s="50"/>
      <c r="G326" s="50"/>
      <c r="H326" s="50"/>
    </row>
    <row r="327" spans="1:8">
      <c r="A327" s="53"/>
      <c r="C327" s="28"/>
      <c r="D327" s="28"/>
      <c r="E327" s="50"/>
      <c r="F327" s="50"/>
      <c r="G327" s="50"/>
      <c r="H327" s="50"/>
    </row>
    <row r="328" spans="1:8">
      <c r="A328" s="53"/>
      <c r="C328" s="28"/>
      <c r="D328" s="28"/>
      <c r="E328" s="50"/>
      <c r="F328" s="50"/>
      <c r="G328" s="50"/>
      <c r="H328" s="50"/>
    </row>
    <row r="329" spans="1:8">
      <c r="A329" s="53"/>
      <c r="C329" s="28"/>
      <c r="D329" s="28"/>
      <c r="E329" s="50"/>
      <c r="F329" s="50"/>
      <c r="G329" s="50"/>
      <c r="H329" s="50"/>
    </row>
    <row r="330" spans="1:8">
      <c r="A330" s="53"/>
      <c r="C330" s="28"/>
      <c r="D330" s="28"/>
      <c r="E330" s="50"/>
      <c r="F330" s="50"/>
      <c r="G330" s="50"/>
      <c r="H330" s="50"/>
    </row>
    <row r="331" spans="1:8">
      <c r="A331" s="53"/>
      <c r="C331" s="28"/>
      <c r="D331" s="28"/>
      <c r="E331" s="50"/>
      <c r="F331" s="50"/>
      <c r="G331" s="50"/>
      <c r="H331" s="50"/>
    </row>
    <row r="332" spans="1:8">
      <c r="A332" s="53"/>
      <c r="C332" s="28"/>
      <c r="D332" s="28"/>
      <c r="E332" s="50"/>
      <c r="F332" s="50"/>
      <c r="G332" s="50"/>
      <c r="H332" s="50"/>
    </row>
    <row r="333" spans="1:8">
      <c r="A333" s="53"/>
      <c r="C333" s="28"/>
      <c r="D333" s="28"/>
      <c r="E333" s="50"/>
      <c r="F333" s="50"/>
      <c r="G333" s="50"/>
      <c r="H333" s="50"/>
    </row>
    <row r="334" spans="1:8">
      <c r="A334" s="53"/>
      <c r="C334" s="28"/>
      <c r="D334" s="28"/>
      <c r="E334" s="50"/>
      <c r="F334" s="50"/>
      <c r="G334" s="50"/>
      <c r="H334" s="50"/>
    </row>
    <row r="335" spans="1:8">
      <c r="A335" s="53"/>
      <c r="C335" s="28"/>
      <c r="D335" s="28"/>
      <c r="E335" s="50"/>
      <c r="F335" s="50"/>
      <c r="G335" s="50"/>
      <c r="H335" s="50"/>
    </row>
    <row r="336" spans="1:8">
      <c r="A336" s="53"/>
      <c r="C336" s="28"/>
      <c r="D336" s="28"/>
      <c r="E336" s="50"/>
      <c r="F336" s="50"/>
      <c r="G336" s="50"/>
      <c r="H336" s="50"/>
    </row>
    <row r="337" spans="1:8">
      <c r="A337" s="53"/>
      <c r="C337" s="28"/>
      <c r="D337" s="28"/>
      <c r="E337" s="50"/>
      <c r="F337" s="50"/>
      <c r="G337" s="50"/>
      <c r="H337" s="50"/>
    </row>
    <row r="338" spans="1:8">
      <c r="A338" s="53"/>
      <c r="C338" s="28"/>
      <c r="D338" s="28"/>
      <c r="E338" s="50"/>
      <c r="F338" s="50"/>
      <c r="G338" s="50"/>
      <c r="H338" s="50"/>
    </row>
    <row r="339" spans="1:8">
      <c r="A339" s="53"/>
      <c r="C339" s="28"/>
      <c r="D339" s="28"/>
      <c r="E339" s="50"/>
      <c r="F339" s="50"/>
      <c r="G339" s="50"/>
      <c r="H339" s="50"/>
    </row>
    <row r="340" spans="1:8">
      <c r="A340" s="53"/>
      <c r="C340" s="28"/>
      <c r="D340" s="28"/>
      <c r="E340" s="50"/>
      <c r="F340" s="50"/>
      <c r="G340" s="50"/>
      <c r="H340" s="50"/>
    </row>
    <row r="341" spans="1:8">
      <c r="A341" s="53"/>
      <c r="C341" s="28"/>
      <c r="D341" s="28"/>
      <c r="E341" s="50"/>
      <c r="F341" s="50"/>
      <c r="G341" s="50"/>
      <c r="H341" s="50"/>
    </row>
    <row r="342" spans="1:8">
      <c r="A342" s="53"/>
      <c r="C342" s="28"/>
      <c r="D342" s="28"/>
      <c r="E342" s="50"/>
      <c r="F342" s="50"/>
      <c r="G342" s="50"/>
      <c r="H342" s="50"/>
    </row>
    <row r="343" spans="1:8">
      <c r="A343" s="53"/>
      <c r="C343" s="28"/>
      <c r="D343" s="28"/>
      <c r="E343" s="50"/>
      <c r="F343" s="50"/>
      <c r="G343" s="50"/>
      <c r="H343" s="50"/>
    </row>
    <row r="344" spans="1:8">
      <c r="A344" s="53"/>
      <c r="C344" s="28"/>
      <c r="D344" s="28"/>
      <c r="E344" s="50"/>
      <c r="F344" s="50"/>
      <c r="G344" s="50"/>
      <c r="H344" s="50"/>
    </row>
    <row r="345" spans="1:8">
      <c r="A345" s="53"/>
      <c r="C345" s="28"/>
      <c r="D345" s="28"/>
      <c r="E345" s="50"/>
      <c r="F345" s="50"/>
      <c r="G345" s="50"/>
      <c r="H345" s="50"/>
    </row>
    <row r="346" spans="1:8">
      <c r="A346" s="53"/>
      <c r="C346" s="28"/>
      <c r="D346" s="28"/>
      <c r="E346" s="50"/>
      <c r="F346" s="50"/>
      <c r="G346" s="50"/>
      <c r="H346" s="50"/>
    </row>
    <row r="347" spans="1:8">
      <c r="A347" s="53"/>
      <c r="C347" s="28"/>
      <c r="D347" s="28"/>
      <c r="E347" s="50"/>
      <c r="F347" s="50"/>
      <c r="G347" s="50"/>
      <c r="H347" s="50"/>
    </row>
    <row r="348" spans="1:8">
      <c r="A348" s="53"/>
      <c r="C348" s="28"/>
      <c r="D348" s="28"/>
      <c r="E348" s="50"/>
      <c r="F348" s="50"/>
      <c r="G348" s="50"/>
      <c r="H348" s="50"/>
    </row>
    <row r="349" spans="1:8">
      <c r="A349" s="53"/>
      <c r="C349" s="28"/>
      <c r="D349" s="28"/>
      <c r="E349" s="50"/>
      <c r="F349" s="50"/>
      <c r="G349" s="50"/>
      <c r="H349" s="50"/>
    </row>
    <row r="350" spans="1:8">
      <c r="A350" s="53"/>
      <c r="C350" s="28"/>
      <c r="D350" s="28"/>
      <c r="E350" s="50"/>
      <c r="F350" s="50"/>
      <c r="G350" s="50"/>
      <c r="H350" s="50"/>
    </row>
    <row r="351" spans="1:8">
      <c r="A351" s="53"/>
      <c r="C351" s="28"/>
      <c r="D351" s="28"/>
      <c r="E351" s="50"/>
      <c r="F351" s="50"/>
      <c r="G351" s="50"/>
      <c r="H351" s="50"/>
    </row>
    <row r="352" spans="1:8">
      <c r="A352" s="53"/>
      <c r="C352" s="28"/>
      <c r="D352" s="28"/>
      <c r="E352" s="50"/>
      <c r="F352" s="50"/>
      <c r="G352" s="50"/>
      <c r="H352" s="50"/>
    </row>
    <row r="353" spans="1:8">
      <c r="A353" s="53"/>
      <c r="C353" s="28"/>
      <c r="D353" s="28"/>
      <c r="E353" s="50"/>
      <c r="F353" s="50"/>
      <c r="G353" s="50"/>
      <c r="H353" s="50"/>
    </row>
    <row r="354" spans="1:8">
      <c r="A354" s="53"/>
      <c r="C354" s="28"/>
      <c r="D354" s="28"/>
      <c r="E354" s="50"/>
      <c r="F354" s="50"/>
      <c r="G354" s="50"/>
      <c r="H354" s="50"/>
    </row>
    <row r="355" spans="1:8">
      <c r="A355" s="53"/>
      <c r="C355" s="28"/>
      <c r="D355" s="28"/>
      <c r="E355" s="50"/>
      <c r="F355" s="50"/>
      <c r="G355" s="50"/>
      <c r="H355" s="50"/>
    </row>
    <row r="356" spans="1:8">
      <c r="A356" s="53"/>
      <c r="C356" s="28"/>
      <c r="D356" s="28"/>
      <c r="E356" s="50"/>
      <c r="F356" s="50"/>
      <c r="G356" s="50"/>
      <c r="H356" s="50"/>
    </row>
    <row r="357" spans="1:8">
      <c r="A357" s="53"/>
      <c r="C357" s="28"/>
      <c r="D357" s="28"/>
      <c r="E357" s="50"/>
      <c r="F357" s="50"/>
      <c r="G357" s="50"/>
      <c r="H357" s="50"/>
    </row>
    <row r="358" spans="1:8">
      <c r="A358" s="53"/>
      <c r="C358" s="28"/>
      <c r="D358" s="28"/>
      <c r="E358" s="50"/>
      <c r="F358" s="50"/>
      <c r="G358" s="50"/>
      <c r="H358" s="50"/>
    </row>
    <row r="359" spans="1:8">
      <c r="A359" s="53"/>
      <c r="C359" s="28"/>
      <c r="D359" s="28"/>
      <c r="E359" s="50"/>
      <c r="F359" s="50"/>
      <c r="G359" s="50"/>
      <c r="H359" s="50"/>
    </row>
    <row r="360" spans="1:8">
      <c r="A360" s="53"/>
      <c r="C360" s="28"/>
      <c r="D360" s="28"/>
      <c r="E360" s="50"/>
      <c r="F360" s="50"/>
      <c r="G360" s="50"/>
      <c r="H360" s="50"/>
    </row>
    <row r="361" spans="1:8">
      <c r="A361" s="53"/>
      <c r="C361" s="28"/>
      <c r="D361" s="28"/>
      <c r="E361" s="50"/>
      <c r="F361" s="50"/>
      <c r="G361" s="50"/>
      <c r="H361" s="50"/>
    </row>
    <row r="362" spans="1:8">
      <c r="A362" s="53"/>
      <c r="C362" s="28"/>
      <c r="D362" s="28"/>
      <c r="E362" s="50"/>
      <c r="F362" s="50"/>
      <c r="G362" s="50"/>
      <c r="H362" s="50"/>
    </row>
    <row r="363" spans="1:8">
      <c r="A363" s="53"/>
      <c r="C363" s="28"/>
      <c r="D363" s="28"/>
      <c r="E363" s="50"/>
      <c r="F363" s="50"/>
      <c r="G363" s="50"/>
      <c r="H363" s="50"/>
    </row>
    <row r="364" spans="1:8">
      <c r="A364" s="53"/>
      <c r="C364" s="28"/>
      <c r="D364" s="28"/>
      <c r="E364" s="50"/>
      <c r="F364" s="50"/>
      <c r="G364" s="50"/>
      <c r="H364" s="50"/>
    </row>
    <row r="365" spans="1:8">
      <c r="A365" s="53"/>
      <c r="C365" s="28"/>
      <c r="D365" s="28"/>
      <c r="E365" s="50"/>
      <c r="F365" s="50"/>
      <c r="G365" s="50"/>
      <c r="H365" s="50"/>
    </row>
    <row r="366" spans="1:8">
      <c r="A366" s="53"/>
      <c r="C366" s="28"/>
      <c r="D366" s="28"/>
      <c r="E366" s="50"/>
      <c r="F366" s="50"/>
      <c r="G366" s="50"/>
      <c r="H366" s="50"/>
    </row>
    <row r="367" spans="1:8">
      <c r="A367" s="53"/>
      <c r="C367" s="28"/>
      <c r="D367" s="28"/>
      <c r="E367" s="50"/>
      <c r="F367" s="50"/>
      <c r="G367" s="50"/>
      <c r="H367" s="50"/>
    </row>
    <row r="368" spans="1:8">
      <c r="A368" s="53"/>
      <c r="C368" s="28"/>
      <c r="D368" s="28"/>
      <c r="E368" s="50"/>
      <c r="F368" s="50"/>
      <c r="G368" s="50"/>
      <c r="H368" s="50"/>
    </row>
    <row r="369" spans="1:8">
      <c r="A369" s="53"/>
      <c r="C369" s="28"/>
      <c r="D369" s="28"/>
      <c r="E369" s="50"/>
      <c r="F369" s="50"/>
      <c r="G369" s="50"/>
      <c r="H369" s="50"/>
    </row>
    <row r="370" spans="1:8">
      <c r="A370" s="53"/>
      <c r="C370" s="28"/>
      <c r="D370" s="28"/>
      <c r="E370" s="50"/>
      <c r="F370" s="50"/>
      <c r="G370" s="50"/>
      <c r="H370" s="50"/>
    </row>
    <row r="371" spans="1:8">
      <c r="A371" s="53"/>
      <c r="C371" s="28"/>
      <c r="D371" s="28"/>
      <c r="E371" s="50"/>
      <c r="F371" s="50"/>
      <c r="G371" s="50"/>
      <c r="H371" s="50"/>
    </row>
    <row r="372" spans="1:8">
      <c r="A372" s="53"/>
      <c r="C372" s="28"/>
      <c r="D372" s="28"/>
      <c r="E372" s="50"/>
      <c r="F372" s="50"/>
      <c r="G372" s="50"/>
      <c r="H372" s="50"/>
    </row>
    <row r="373" spans="1:8">
      <c r="A373" s="53"/>
      <c r="C373" s="28"/>
      <c r="D373" s="28"/>
      <c r="E373" s="50"/>
      <c r="F373" s="50"/>
      <c r="G373" s="50"/>
      <c r="H373" s="50"/>
    </row>
    <row r="374" spans="1:8">
      <c r="A374" s="53"/>
      <c r="C374" s="28"/>
      <c r="D374" s="28"/>
      <c r="E374" s="50"/>
      <c r="F374" s="50"/>
      <c r="G374" s="50"/>
      <c r="H374" s="50"/>
    </row>
    <row r="375" spans="1:8">
      <c r="A375" s="53"/>
      <c r="C375" s="28"/>
      <c r="D375" s="28"/>
      <c r="E375" s="50"/>
      <c r="F375" s="50"/>
      <c r="G375" s="50"/>
      <c r="H375" s="50"/>
    </row>
    <row r="376" spans="1:8">
      <c r="A376" s="53"/>
      <c r="C376" s="28"/>
      <c r="D376" s="28"/>
      <c r="E376" s="50"/>
      <c r="F376" s="50"/>
      <c r="G376" s="50"/>
      <c r="H376" s="50"/>
    </row>
    <row r="377" spans="1:8">
      <c r="A377" s="53"/>
      <c r="C377" s="28"/>
      <c r="D377" s="28"/>
      <c r="E377" s="50"/>
      <c r="F377" s="50"/>
      <c r="G377" s="50"/>
      <c r="H377" s="50"/>
    </row>
    <row r="378" spans="1:8">
      <c r="A378" s="53"/>
      <c r="C378" s="28"/>
      <c r="D378" s="28"/>
      <c r="E378" s="50"/>
      <c r="F378" s="50"/>
      <c r="G378" s="50"/>
      <c r="H378" s="50"/>
    </row>
    <row r="379" spans="1:8">
      <c r="A379" s="53"/>
      <c r="C379" s="28"/>
      <c r="D379" s="28"/>
      <c r="E379" s="50"/>
      <c r="F379" s="50"/>
      <c r="G379" s="50"/>
      <c r="H379" s="50"/>
    </row>
    <row r="380" spans="1:8">
      <c r="A380" s="53"/>
      <c r="C380" s="28"/>
      <c r="D380" s="28"/>
      <c r="E380" s="50"/>
      <c r="F380" s="50"/>
      <c r="G380" s="50"/>
      <c r="H380" s="50"/>
    </row>
    <row r="381" spans="1:8">
      <c r="A381" s="53"/>
      <c r="C381" s="28"/>
      <c r="D381" s="28"/>
      <c r="E381" s="50"/>
      <c r="F381" s="50"/>
      <c r="G381" s="50"/>
      <c r="H381" s="50"/>
    </row>
    <row r="382" spans="1:8">
      <c r="A382" s="53"/>
      <c r="C382" s="28"/>
      <c r="D382" s="28"/>
      <c r="E382" s="50"/>
      <c r="F382" s="50"/>
      <c r="G382" s="50"/>
      <c r="H382" s="50"/>
    </row>
    <row r="383" spans="1:8">
      <c r="A383" s="53"/>
      <c r="C383" s="28"/>
      <c r="D383" s="28"/>
      <c r="E383" s="50"/>
      <c r="F383" s="50"/>
      <c r="G383" s="50"/>
      <c r="H383" s="50"/>
    </row>
    <row r="384" spans="1:8">
      <c r="A384" s="53"/>
      <c r="C384" s="28"/>
      <c r="D384" s="28"/>
      <c r="E384" s="50"/>
      <c r="F384" s="50"/>
      <c r="G384" s="50"/>
      <c r="H384" s="50"/>
    </row>
    <row r="385" spans="1:8">
      <c r="A385" s="53"/>
      <c r="C385" s="28"/>
      <c r="D385" s="28"/>
      <c r="E385" s="50"/>
      <c r="F385" s="50"/>
      <c r="G385" s="50"/>
      <c r="H385" s="50"/>
    </row>
    <row r="386" spans="1:8">
      <c r="A386" s="53"/>
      <c r="C386" s="28"/>
      <c r="D386" s="28"/>
      <c r="E386" s="50"/>
      <c r="F386" s="50"/>
      <c r="G386" s="50"/>
      <c r="H386" s="50"/>
    </row>
    <row r="387" spans="1:8">
      <c r="A387" s="53"/>
      <c r="C387" s="28"/>
      <c r="D387" s="28"/>
      <c r="E387" s="50"/>
      <c r="F387" s="50"/>
      <c r="G387" s="50"/>
      <c r="H387" s="50"/>
    </row>
    <row r="388" spans="1:8">
      <c r="A388" s="53"/>
      <c r="C388" s="28"/>
      <c r="D388" s="28"/>
      <c r="E388" s="50"/>
      <c r="F388" s="50"/>
      <c r="G388" s="50"/>
      <c r="H388" s="50"/>
    </row>
    <row r="389" spans="1:8">
      <c r="A389" s="53"/>
      <c r="C389" s="28"/>
      <c r="D389" s="28"/>
      <c r="E389" s="50"/>
      <c r="F389" s="50"/>
      <c r="G389" s="50"/>
      <c r="H389" s="50"/>
    </row>
    <row r="390" spans="1:8">
      <c r="A390" s="53"/>
      <c r="C390" s="28"/>
      <c r="D390" s="28"/>
      <c r="E390" s="50"/>
      <c r="F390" s="50"/>
      <c r="G390" s="50"/>
      <c r="H390" s="50"/>
    </row>
    <row r="391" spans="1:8">
      <c r="A391" s="53"/>
      <c r="C391" s="28"/>
      <c r="D391" s="28"/>
      <c r="E391" s="50"/>
      <c r="F391" s="50"/>
      <c r="G391" s="50"/>
      <c r="H391" s="50"/>
    </row>
    <row r="392" spans="1:8">
      <c r="A392" s="53"/>
      <c r="C392" s="28"/>
      <c r="D392" s="28"/>
      <c r="E392" s="50"/>
      <c r="F392" s="50"/>
      <c r="G392" s="50"/>
      <c r="H392" s="50"/>
    </row>
    <row r="393" spans="1:8">
      <c r="A393" s="53"/>
      <c r="C393" s="28"/>
      <c r="D393" s="28"/>
      <c r="E393" s="50"/>
      <c r="F393" s="50"/>
      <c r="G393" s="50"/>
      <c r="H393" s="50"/>
    </row>
    <row r="394" spans="1:8">
      <c r="A394" s="53"/>
      <c r="C394" s="28"/>
      <c r="D394" s="28"/>
      <c r="E394" s="50"/>
      <c r="F394" s="50"/>
      <c r="G394" s="50"/>
      <c r="H394" s="50"/>
    </row>
    <row r="395" spans="1:8">
      <c r="A395" s="53"/>
      <c r="C395" s="28"/>
      <c r="D395" s="28"/>
      <c r="E395" s="50"/>
      <c r="F395" s="50"/>
      <c r="G395" s="50"/>
      <c r="H395" s="50"/>
    </row>
    <row r="396" spans="1:8">
      <c r="A396" s="53"/>
      <c r="C396" s="28"/>
      <c r="D396" s="28"/>
      <c r="E396" s="50"/>
      <c r="F396" s="50"/>
      <c r="G396" s="50"/>
      <c r="H396" s="50"/>
    </row>
    <row r="397" spans="1:8">
      <c r="A397" s="53"/>
      <c r="C397" s="28"/>
      <c r="D397" s="28"/>
      <c r="E397" s="50"/>
      <c r="F397" s="50"/>
      <c r="G397" s="50"/>
      <c r="H397" s="50"/>
    </row>
    <row r="398" spans="1:8">
      <c r="A398" s="53"/>
      <c r="C398" s="28"/>
      <c r="D398" s="28"/>
      <c r="E398" s="50"/>
      <c r="F398" s="50"/>
      <c r="G398" s="50"/>
      <c r="H398" s="50"/>
    </row>
    <row r="399" spans="1:8">
      <c r="A399" s="53"/>
      <c r="C399" s="28"/>
      <c r="D399" s="28"/>
      <c r="E399" s="50"/>
      <c r="F399" s="50"/>
      <c r="G399" s="50"/>
      <c r="H399" s="50"/>
    </row>
    <row r="400" spans="1:8">
      <c r="A400" s="53"/>
      <c r="C400" s="28"/>
      <c r="D400" s="28"/>
      <c r="E400" s="50"/>
      <c r="F400" s="50"/>
      <c r="G400" s="50"/>
      <c r="H400" s="50"/>
    </row>
    <row r="401" spans="1:8">
      <c r="A401" s="53"/>
      <c r="C401" s="28"/>
      <c r="D401" s="28"/>
      <c r="E401" s="50"/>
      <c r="F401" s="50"/>
      <c r="G401" s="50"/>
      <c r="H401" s="50"/>
    </row>
    <row r="402" spans="1:8">
      <c r="A402" s="53"/>
      <c r="C402" s="28"/>
      <c r="D402" s="28"/>
      <c r="E402" s="50"/>
      <c r="F402" s="50"/>
      <c r="G402" s="50"/>
      <c r="H402" s="50"/>
    </row>
    <row r="403" spans="1:8">
      <c r="A403" s="53"/>
      <c r="C403" s="28"/>
      <c r="D403" s="28"/>
      <c r="E403" s="50"/>
      <c r="F403" s="50"/>
      <c r="G403" s="50"/>
      <c r="H403" s="50"/>
    </row>
    <row r="404" spans="1:8">
      <c r="A404" s="53"/>
      <c r="C404" s="28"/>
      <c r="D404" s="28"/>
      <c r="E404" s="50"/>
      <c r="F404" s="50"/>
      <c r="G404" s="50"/>
      <c r="H404" s="50"/>
    </row>
    <row r="405" spans="1:8">
      <c r="A405" s="53"/>
      <c r="C405" s="28"/>
      <c r="D405" s="28"/>
      <c r="E405" s="50"/>
      <c r="F405" s="50"/>
      <c r="G405" s="50"/>
      <c r="H405" s="50"/>
    </row>
    <row r="406" spans="1:8">
      <c r="A406" s="53"/>
      <c r="C406" s="28"/>
      <c r="D406" s="28"/>
      <c r="E406" s="50"/>
      <c r="F406" s="50"/>
      <c r="G406" s="50"/>
      <c r="H406" s="50"/>
    </row>
    <row r="407" spans="1:8">
      <c r="A407" s="53"/>
      <c r="C407" s="28"/>
      <c r="D407" s="28"/>
      <c r="E407" s="50"/>
      <c r="F407" s="50"/>
      <c r="G407" s="50"/>
      <c r="H407" s="50"/>
    </row>
    <row r="408" spans="1:8">
      <c r="A408" s="53"/>
      <c r="C408" s="28"/>
      <c r="D408" s="28"/>
      <c r="E408" s="50"/>
      <c r="F408" s="50"/>
      <c r="G408" s="50"/>
      <c r="H408" s="50"/>
    </row>
    <row r="409" spans="1:8">
      <c r="A409" s="53"/>
      <c r="C409" s="28"/>
      <c r="D409" s="28"/>
      <c r="E409" s="50"/>
      <c r="F409" s="50"/>
      <c r="G409" s="50"/>
      <c r="H409" s="50"/>
    </row>
    <row r="410" spans="1:8">
      <c r="A410" s="53"/>
      <c r="C410" s="28"/>
      <c r="D410" s="28"/>
      <c r="E410" s="50"/>
      <c r="F410" s="50"/>
      <c r="G410" s="50"/>
      <c r="H410" s="50"/>
    </row>
    <row r="411" spans="1:8">
      <c r="A411" s="53"/>
      <c r="C411" s="28"/>
      <c r="D411" s="28"/>
      <c r="E411" s="50"/>
      <c r="F411" s="50"/>
      <c r="G411" s="50"/>
      <c r="H411" s="50"/>
    </row>
    <row r="412" spans="1:8">
      <c r="A412" s="53"/>
      <c r="C412" s="28"/>
      <c r="D412" s="28"/>
      <c r="E412" s="50"/>
      <c r="F412" s="50"/>
      <c r="G412" s="50"/>
      <c r="H412" s="50"/>
    </row>
    <row r="413" spans="1:8">
      <c r="A413" s="53"/>
      <c r="C413" s="28"/>
      <c r="D413" s="28"/>
      <c r="E413" s="50"/>
      <c r="F413" s="50"/>
      <c r="G413" s="50"/>
      <c r="H413" s="50"/>
    </row>
    <row r="414" spans="1:8">
      <c r="A414" s="53"/>
      <c r="C414" s="28"/>
      <c r="D414" s="28"/>
      <c r="E414" s="50"/>
      <c r="F414" s="50"/>
      <c r="G414" s="50"/>
      <c r="H414" s="50"/>
    </row>
    <row r="415" spans="1:8">
      <c r="A415" s="53"/>
      <c r="C415" s="28"/>
      <c r="D415" s="28"/>
      <c r="E415" s="50"/>
      <c r="F415" s="50"/>
      <c r="G415" s="50"/>
      <c r="H415" s="50"/>
    </row>
    <row r="416" spans="1:8">
      <c r="A416" s="53"/>
      <c r="C416" s="28"/>
      <c r="D416" s="28"/>
      <c r="E416" s="50"/>
      <c r="F416" s="50"/>
      <c r="G416" s="50"/>
      <c r="H416" s="50"/>
    </row>
    <row r="417" spans="1:8">
      <c r="A417" s="53"/>
      <c r="C417" s="28"/>
      <c r="D417" s="28"/>
      <c r="E417" s="50"/>
      <c r="F417" s="50"/>
      <c r="G417" s="50"/>
      <c r="H417" s="50"/>
    </row>
    <row r="418" spans="1:8">
      <c r="A418" s="53"/>
      <c r="C418" s="28"/>
      <c r="D418" s="28"/>
      <c r="E418" s="50"/>
      <c r="F418" s="50"/>
      <c r="G418" s="50"/>
      <c r="H418" s="50"/>
    </row>
    <row r="419" spans="1:8">
      <c r="A419" s="53"/>
      <c r="C419" s="28"/>
      <c r="D419" s="28"/>
      <c r="E419" s="50"/>
      <c r="F419" s="50"/>
      <c r="G419" s="50"/>
      <c r="H419" s="50"/>
    </row>
    <row r="420" spans="1:8">
      <c r="A420" s="53"/>
      <c r="C420" s="28"/>
      <c r="D420" s="28"/>
      <c r="E420" s="50"/>
      <c r="F420" s="50"/>
      <c r="G420" s="50"/>
      <c r="H420" s="50"/>
    </row>
    <row r="421" spans="1:8">
      <c r="A421" s="53"/>
      <c r="C421" s="28"/>
      <c r="D421" s="28"/>
      <c r="E421" s="50"/>
      <c r="F421" s="50"/>
      <c r="G421" s="50"/>
      <c r="H421" s="50"/>
    </row>
    <row r="422" spans="1:8">
      <c r="A422" s="53"/>
      <c r="C422" s="28"/>
      <c r="D422" s="28"/>
      <c r="E422" s="50"/>
      <c r="F422" s="50"/>
      <c r="G422" s="50"/>
      <c r="H422" s="50"/>
    </row>
    <row r="423" spans="1:8">
      <c r="A423" s="53"/>
      <c r="C423" s="28"/>
      <c r="D423" s="28"/>
      <c r="E423" s="50"/>
      <c r="F423" s="50"/>
      <c r="G423" s="50"/>
      <c r="H423" s="50"/>
    </row>
    <row r="424" spans="1:8">
      <c r="A424" s="53"/>
      <c r="C424" s="28"/>
      <c r="D424" s="28"/>
      <c r="E424" s="50"/>
      <c r="F424" s="50"/>
      <c r="G424" s="50"/>
      <c r="H424" s="50"/>
    </row>
    <row r="425" spans="1:8">
      <c r="A425" s="53"/>
      <c r="C425" s="28"/>
      <c r="D425" s="28"/>
      <c r="E425" s="50"/>
      <c r="F425" s="50"/>
      <c r="G425" s="50"/>
      <c r="H425" s="50"/>
    </row>
    <row r="426" spans="1:8">
      <c r="A426" s="53"/>
      <c r="C426" s="28"/>
      <c r="D426" s="28"/>
      <c r="E426" s="50"/>
      <c r="F426" s="50"/>
      <c r="G426" s="50"/>
      <c r="H426" s="50"/>
    </row>
    <row r="427" spans="1:8">
      <c r="A427" s="53"/>
      <c r="C427" s="28"/>
      <c r="D427" s="28"/>
      <c r="E427" s="50"/>
      <c r="F427" s="50"/>
      <c r="G427" s="50"/>
      <c r="H427" s="50"/>
    </row>
    <row r="428" spans="1:8">
      <c r="A428" s="53"/>
      <c r="C428" s="28"/>
      <c r="D428" s="28"/>
      <c r="E428" s="50"/>
      <c r="F428" s="50"/>
      <c r="G428" s="50"/>
      <c r="H428" s="50"/>
    </row>
    <row r="429" spans="1:8">
      <c r="A429" s="53"/>
      <c r="C429" s="28"/>
      <c r="D429" s="28"/>
      <c r="E429" s="50"/>
      <c r="F429" s="50"/>
      <c r="G429" s="50"/>
      <c r="H429" s="50"/>
    </row>
    <row r="430" spans="1:8">
      <c r="A430" s="53"/>
      <c r="C430" s="28"/>
      <c r="D430" s="28"/>
      <c r="E430" s="50"/>
      <c r="F430" s="50"/>
      <c r="G430" s="50"/>
      <c r="H430" s="50"/>
    </row>
    <row r="431" spans="1:8">
      <c r="A431" s="53"/>
      <c r="C431" s="28"/>
      <c r="D431" s="28"/>
      <c r="E431" s="50"/>
      <c r="F431" s="50"/>
      <c r="G431" s="50"/>
      <c r="H431" s="50"/>
    </row>
    <row r="432" spans="1:8">
      <c r="A432" s="53"/>
      <c r="C432" s="28"/>
      <c r="D432" s="28"/>
      <c r="E432" s="50"/>
      <c r="F432" s="50"/>
      <c r="G432" s="50"/>
      <c r="H432" s="50"/>
    </row>
    <row r="433" spans="1:8">
      <c r="A433" s="53"/>
      <c r="C433" s="28"/>
      <c r="D433" s="28"/>
      <c r="E433" s="50"/>
      <c r="F433" s="50"/>
      <c r="G433" s="50"/>
      <c r="H433" s="50"/>
    </row>
    <row r="434" spans="1:8">
      <c r="A434" s="53"/>
      <c r="C434" s="28"/>
      <c r="D434" s="28"/>
      <c r="E434" s="50"/>
      <c r="F434" s="50"/>
      <c r="G434" s="50"/>
      <c r="H434" s="50"/>
    </row>
    <row r="435" spans="1:8">
      <c r="A435" s="53"/>
      <c r="C435" s="28"/>
      <c r="D435" s="28"/>
      <c r="E435" s="50"/>
      <c r="F435" s="50"/>
      <c r="G435" s="50"/>
      <c r="H435" s="50"/>
    </row>
    <row r="436" spans="1:8">
      <c r="A436" s="53"/>
      <c r="C436" s="28"/>
      <c r="D436" s="28"/>
      <c r="E436" s="50"/>
      <c r="F436" s="50"/>
      <c r="G436" s="50"/>
      <c r="H436" s="50"/>
    </row>
    <row r="437" spans="1:8">
      <c r="A437" s="53"/>
      <c r="C437" s="28"/>
      <c r="D437" s="28"/>
      <c r="E437" s="50"/>
      <c r="F437" s="50"/>
      <c r="G437" s="50"/>
      <c r="H437" s="50"/>
    </row>
    <row r="438" spans="1:8">
      <c r="A438" s="53"/>
      <c r="C438" s="28"/>
      <c r="D438" s="28"/>
      <c r="E438" s="50"/>
      <c r="F438" s="50"/>
      <c r="G438" s="50"/>
      <c r="H438" s="50"/>
    </row>
    <row r="439" spans="1:8">
      <c r="A439" s="53"/>
      <c r="C439" s="28"/>
      <c r="D439" s="28"/>
      <c r="E439" s="50"/>
      <c r="F439" s="50"/>
      <c r="G439" s="50"/>
      <c r="H439" s="50"/>
    </row>
    <row r="440" spans="1:8">
      <c r="A440" s="53"/>
      <c r="C440" s="28"/>
      <c r="D440" s="28"/>
      <c r="E440" s="50"/>
      <c r="F440" s="50"/>
      <c r="G440" s="50"/>
      <c r="H440" s="50"/>
    </row>
    <row r="441" spans="1:8">
      <c r="A441" s="53"/>
      <c r="C441" s="28"/>
      <c r="D441" s="28"/>
      <c r="E441" s="50"/>
      <c r="F441" s="50"/>
      <c r="G441" s="50"/>
      <c r="H441" s="50"/>
    </row>
    <row r="442" spans="1:8">
      <c r="A442" s="53"/>
      <c r="C442" s="28"/>
      <c r="D442" s="28"/>
      <c r="E442" s="50"/>
      <c r="F442" s="50"/>
      <c r="G442" s="50"/>
      <c r="H442" s="50"/>
    </row>
    <row r="443" spans="1:8">
      <c r="A443" s="53"/>
      <c r="C443" s="28"/>
      <c r="D443" s="28"/>
      <c r="E443" s="50"/>
      <c r="F443" s="50"/>
      <c r="G443" s="50"/>
      <c r="H443" s="50"/>
    </row>
    <row r="444" spans="1:8">
      <c r="A444" s="53"/>
      <c r="C444" s="28"/>
      <c r="D444" s="28"/>
      <c r="E444" s="50"/>
      <c r="F444" s="50"/>
      <c r="G444" s="50"/>
      <c r="H444" s="50"/>
    </row>
    <row r="445" spans="1:8">
      <c r="A445" s="53"/>
      <c r="C445" s="28"/>
      <c r="D445" s="28"/>
      <c r="E445" s="50"/>
      <c r="F445" s="50"/>
      <c r="G445" s="50"/>
      <c r="H445" s="50"/>
    </row>
    <row r="446" spans="1:8">
      <c r="A446" s="53"/>
      <c r="C446" s="28"/>
      <c r="D446" s="28"/>
      <c r="E446" s="50"/>
      <c r="F446" s="50"/>
      <c r="G446" s="50"/>
      <c r="H446" s="50"/>
    </row>
    <row r="447" spans="1:8">
      <c r="A447" s="53"/>
      <c r="C447" s="28"/>
      <c r="D447" s="28"/>
      <c r="E447" s="50"/>
      <c r="F447" s="50"/>
      <c r="G447" s="50"/>
      <c r="H447" s="50"/>
    </row>
    <row r="448" spans="1:8">
      <c r="A448" s="53"/>
      <c r="C448" s="28"/>
      <c r="D448" s="28"/>
      <c r="E448" s="50"/>
      <c r="F448" s="50"/>
      <c r="G448" s="50"/>
      <c r="H448" s="50"/>
    </row>
    <row r="449" spans="1:8">
      <c r="A449" s="53"/>
      <c r="C449" s="28"/>
      <c r="D449" s="28"/>
      <c r="E449" s="50"/>
      <c r="F449" s="50"/>
      <c r="G449" s="50"/>
      <c r="H449" s="50"/>
    </row>
    <row r="450" spans="1:8">
      <c r="A450" s="53"/>
      <c r="C450" s="28"/>
      <c r="D450" s="28"/>
      <c r="E450" s="50"/>
      <c r="F450" s="50"/>
      <c r="G450" s="50"/>
      <c r="H450" s="50"/>
    </row>
    <row r="451" spans="1:8">
      <c r="A451" s="53"/>
      <c r="C451" s="28"/>
      <c r="D451" s="28"/>
      <c r="E451" s="50"/>
      <c r="F451" s="50"/>
      <c r="G451" s="50"/>
      <c r="H451" s="50"/>
    </row>
    <row r="452" spans="1:8">
      <c r="A452" s="53"/>
      <c r="C452" s="28"/>
      <c r="D452" s="28"/>
      <c r="E452" s="50"/>
      <c r="F452" s="50"/>
      <c r="G452" s="50"/>
      <c r="H452" s="50"/>
    </row>
    <row r="453" spans="1:8">
      <c r="A453" s="53"/>
      <c r="C453" s="28"/>
      <c r="D453" s="28"/>
      <c r="E453" s="50"/>
      <c r="F453" s="50"/>
      <c r="G453" s="50"/>
      <c r="H453" s="50"/>
    </row>
    <row r="454" spans="1:8">
      <c r="A454" s="53"/>
      <c r="C454" s="28"/>
      <c r="D454" s="28"/>
      <c r="E454" s="50"/>
      <c r="F454" s="50"/>
      <c r="G454" s="50"/>
      <c r="H454" s="50"/>
    </row>
    <row r="455" spans="1:8">
      <c r="A455" s="53"/>
      <c r="C455" s="28"/>
      <c r="D455" s="28"/>
      <c r="E455" s="50"/>
      <c r="F455" s="50"/>
      <c r="G455" s="50"/>
      <c r="H455" s="50"/>
    </row>
    <row r="456" spans="1:8">
      <c r="A456" s="53"/>
      <c r="C456" s="28"/>
      <c r="D456" s="28"/>
      <c r="E456" s="50"/>
      <c r="F456" s="50"/>
      <c r="G456" s="50"/>
      <c r="H456" s="50"/>
    </row>
    <row r="457" spans="1:8">
      <c r="A457" s="53"/>
      <c r="C457" s="28"/>
      <c r="D457" s="28"/>
      <c r="E457" s="50"/>
      <c r="F457" s="50"/>
      <c r="G457" s="50"/>
      <c r="H457" s="50"/>
    </row>
    <row r="458" spans="1:8">
      <c r="A458" s="53"/>
      <c r="C458" s="28"/>
      <c r="D458" s="28"/>
      <c r="E458" s="50"/>
      <c r="F458" s="50"/>
      <c r="G458" s="50"/>
      <c r="H458" s="50"/>
    </row>
    <row r="459" spans="1:8">
      <c r="A459" s="53"/>
      <c r="C459" s="28"/>
      <c r="D459" s="28"/>
      <c r="E459" s="50"/>
      <c r="F459" s="50"/>
      <c r="G459" s="50"/>
      <c r="H459" s="50"/>
    </row>
    <row r="460" spans="1:8">
      <c r="A460" s="53"/>
      <c r="C460" s="28"/>
      <c r="D460" s="28"/>
      <c r="E460" s="50"/>
      <c r="F460" s="50"/>
      <c r="G460" s="50"/>
      <c r="H460" s="50"/>
    </row>
    <row r="461" spans="1:8">
      <c r="A461" s="53"/>
      <c r="C461" s="28"/>
      <c r="D461" s="28"/>
      <c r="E461" s="50"/>
      <c r="F461" s="50"/>
      <c r="G461" s="50"/>
      <c r="H461" s="50"/>
    </row>
    <row r="462" spans="1:8">
      <c r="A462" s="53"/>
      <c r="C462" s="28"/>
      <c r="D462" s="28"/>
      <c r="E462" s="50"/>
      <c r="F462" s="50"/>
      <c r="G462" s="50"/>
      <c r="H462" s="50"/>
    </row>
    <row r="463" spans="1:8">
      <c r="A463" s="53"/>
      <c r="C463" s="28"/>
      <c r="D463" s="28"/>
      <c r="E463" s="50"/>
      <c r="F463" s="50"/>
      <c r="G463" s="50"/>
      <c r="H463" s="50"/>
    </row>
    <row r="464" spans="1:8">
      <c r="A464" s="53"/>
      <c r="C464" s="28"/>
      <c r="D464" s="28"/>
      <c r="E464" s="50"/>
      <c r="F464" s="50"/>
      <c r="G464" s="50"/>
      <c r="H464" s="50"/>
    </row>
    <row r="465" spans="1:8">
      <c r="A465" s="53"/>
      <c r="C465" s="28"/>
      <c r="D465" s="28"/>
      <c r="E465" s="50"/>
      <c r="F465" s="50"/>
      <c r="G465" s="50"/>
      <c r="H465" s="50"/>
    </row>
    <row r="466" spans="1:8">
      <c r="A466" s="53"/>
      <c r="C466" s="28"/>
      <c r="D466" s="28"/>
      <c r="E466" s="50"/>
      <c r="F466" s="50"/>
      <c r="G466" s="50"/>
      <c r="H466" s="50"/>
    </row>
    <row r="467" spans="1:8">
      <c r="A467" s="53"/>
      <c r="C467" s="28"/>
      <c r="D467" s="28"/>
      <c r="E467" s="50"/>
      <c r="F467" s="50"/>
      <c r="G467" s="50"/>
      <c r="H467" s="50"/>
    </row>
    <row r="468" spans="1:8">
      <c r="A468" s="53"/>
      <c r="C468" s="28"/>
      <c r="D468" s="28"/>
      <c r="E468" s="50"/>
      <c r="F468" s="50"/>
      <c r="G468" s="50"/>
      <c r="H468" s="50"/>
    </row>
    <row r="469" spans="1:8">
      <c r="A469" s="53"/>
      <c r="C469" s="28"/>
      <c r="D469" s="28"/>
      <c r="E469" s="50"/>
      <c r="F469" s="50"/>
      <c r="G469" s="50"/>
      <c r="H469" s="50"/>
    </row>
    <row r="470" spans="1:8">
      <c r="A470" s="53"/>
      <c r="C470" s="28"/>
      <c r="D470" s="28"/>
      <c r="E470" s="50"/>
      <c r="F470" s="50"/>
      <c r="G470" s="50"/>
      <c r="H470" s="50"/>
    </row>
    <row r="471" spans="1:8">
      <c r="A471" s="53"/>
      <c r="C471" s="28"/>
      <c r="D471" s="28"/>
      <c r="E471" s="50"/>
      <c r="F471" s="50"/>
      <c r="G471" s="50"/>
      <c r="H471" s="50"/>
    </row>
    <row r="472" spans="1:8">
      <c r="A472" s="53"/>
      <c r="C472" s="28"/>
      <c r="D472" s="28"/>
      <c r="E472" s="50"/>
      <c r="F472" s="50"/>
      <c r="G472" s="50"/>
      <c r="H472" s="50"/>
    </row>
    <row r="473" spans="1:8">
      <c r="A473" s="53"/>
      <c r="C473" s="28"/>
      <c r="D473" s="28"/>
      <c r="E473" s="50"/>
      <c r="F473" s="50"/>
      <c r="G473" s="50"/>
      <c r="H473" s="50"/>
    </row>
    <row r="474" spans="1:8">
      <c r="A474" s="53"/>
      <c r="C474" s="28"/>
      <c r="D474" s="28"/>
      <c r="E474" s="50"/>
      <c r="F474" s="50"/>
      <c r="G474" s="50"/>
      <c r="H474" s="50"/>
    </row>
    <row r="475" spans="1:8">
      <c r="A475" s="53"/>
      <c r="C475" s="28"/>
      <c r="D475" s="28"/>
      <c r="E475" s="50"/>
      <c r="F475" s="50"/>
      <c r="G475" s="50"/>
      <c r="H475" s="50"/>
    </row>
    <row r="476" spans="1:8">
      <c r="A476" s="53"/>
      <c r="C476" s="28"/>
      <c r="D476" s="28"/>
      <c r="E476" s="50"/>
      <c r="F476" s="50"/>
      <c r="G476" s="50"/>
      <c r="H476" s="50"/>
    </row>
    <row r="477" spans="1:8">
      <c r="A477" s="53"/>
      <c r="C477" s="28"/>
      <c r="D477" s="28"/>
      <c r="E477" s="50"/>
      <c r="F477" s="50"/>
      <c r="G477" s="50"/>
      <c r="H477" s="50"/>
    </row>
    <row r="478" spans="1:8">
      <c r="A478" s="53"/>
      <c r="C478" s="28"/>
      <c r="D478" s="28"/>
      <c r="E478" s="50"/>
      <c r="F478" s="50"/>
      <c r="G478" s="50"/>
      <c r="H478" s="50"/>
    </row>
    <row r="479" spans="1:8">
      <c r="A479" s="53"/>
      <c r="C479" s="28"/>
      <c r="D479" s="28"/>
      <c r="E479" s="50"/>
      <c r="F479" s="50"/>
      <c r="G479" s="50"/>
      <c r="H479" s="50"/>
    </row>
    <row r="480" spans="1:8">
      <c r="A480" s="53"/>
      <c r="C480" s="28"/>
      <c r="D480" s="28"/>
      <c r="E480" s="50"/>
      <c r="F480" s="50"/>
      <c r="G480" s="50"/>
      <c r="H480" s="50"/>
    </row>
    <row r="481" spans="1:8">
      <c r="A481" s="53"/>
      <c r="C481" s="28"/>
      <c r="D481" s="28"/>
      <c r="E481" s="50"/>
      <c r="F481" s="50"/>
      <c r="G481" s="50"/>
      <c r="H481" s="50"/>
    </row>
    <row r="482" spans="1:8">
      <c r="A482" s="53"/>
      <c r="C482" s="28"/>
      <c r="D482" s="28"/>
      <c r="E482" s="50"/>
      <c r="F482" s="50"/>
      <c r="G482" s="50"/>
      <c r="H482" s="50"/>
    </row>
    <row r="483" spans="1:8">
      <c r="A483" s="53"/>
      <c r="C483" s="28"/>
      <c r="D483" s="28"/>
      <c r="E483" s="50"/>
      <c r="F483" s="50"/>
      <c r="G483" s="50"/>
      <c r="H483" s="50"/>
    </row>
    <row r="484" spans="1:8">
      <c r="A484" s="53"/>
      <c r="C484" s="28"/>
      <c r="D484" s="28"/>
      <c r="E484" s="50"/>
      <c r="F484" s="50"/>
      <c r="G484" s="50"/>
      <c r="H484" s="50"/>
    </row>
    <row r="485" spans="1:8">
      <c r="A485" s="53"/>
      <c r="C485" s="28"/>
      <c r="D485" s="28"/>
      <c r="E485" s="50"/>
      <c r="F485" s="50"/>
      <c r="G485" s="50"/>
      <c r="H485" s="50"/>
    </row>
    <row r="486" spans="1:8">
      <c r="A486" s="53"/>
      <c r="C486" s="28"/>
      <c r="D486" s="28"/>
      <c r="E486" s="50"/>
      <c r="F486" s="50"/>
      <c r="G486" s="50"/>
      <c r="H486" s="50"/>
    </row>
    <row r="487" spans="1:8">
      <c r="A487" s="53"/>
      <c r="C487" s="28"/>
      <c r="D487" s="28"/>
      <c r="E487" s="50"/>
      <c r="F487" s="50"/>
      <c r="G487" s="50"/>
      <c r="H487" s="50"/>
    </row>
    <row r="488" spans="1:8">
      <c r="A488" s="53"/>
      <c r="C488" s="28"/>
      <c r="D488" s="28"/>
      <c r="E488" s="50"/>
      <c r="F488" s="50"/>
      <c r="G488" s="50"/>
      <c r="H488" s="50"/>
    </row>
    <row r="489" spans="1:8">
      <c r="A489" s="53"/>
      <c r="C489" s="28"/>
      <c r="D489" s="28"/>
      <c r="E489" s="50"/>
      <c r="F489" s="50"/>
      <c r="G489" s="50"/>
      <c r="H489" s="50"/>
    </row>
    <row r="490" spans="1:8">
      <c r="A490" s="53"/>
      <c r="C490" s="28"/>
      <c r="D490" s="28"/>
      <c r="E490" s="50"/>
      <c r="F490" s="50"/>
      <c r="G490" s="50"/>
      <c r="H490" s="50"/>
    </row>
    <row r="491" spans="1:8">
      <c r="A491" s="53"/>
      <c r="C491" s="28"/>
      <c r="D491" s="28"/>
      <c r="E491" s="50"/>
      <c r="F491" s="50"/>
      <c r="G491" s="50"/>
      <c r="H491" s="50"/>
    </row>
    <row r="492" spans="1:8">
      <c r="A492" s="53"/>
      <c r="C492" s="28"/>
      <c r="D492" s="28"/>
      <c r="E492" s="50"/>
      <c r="F492" s="50"/>
      <c r="G492" s="50"/>
      <c r="H492" s="50"/>
    </row>
    <row r="493" spans="1:8">
      <c r="A493" s="53"/>
      <c r="C493" s="28"/>
      <c r="D493" s="28"/>
      <c r="E493" s="50"/>
      <c r="F493" s="50"/>
      <c r="G493" s="50"/>
      <c r="H493" s="50"/>
    </row>
    <row r="494" spans="1:8">
      <c r="A494" s="53"/>
      <c r="C494" s="28"/>
      <c r="D494" s="28"/>
      <c r="E494" s="50"/>
      <c r="F494" s="50"/>
      <c r="G494" s="50"/>
      <c r="H494" s="50"/>
    </row>
    <row r="495" spans="1:8">
      <c r="A495" s="53"/>
      <c r="C495" s="28"/>
      <c r="D495" s="28"/>
      <c r="E495" s="50"/>
      <c r="F495" s="50"/>
      <c r="G495" s="50"/>
      <c r="H495" s="50"/>
    </row>
    <row r="496" spans="1:8">
      <c r="A496" s="53"/>
      <c r="C496" s="28"/>
      <c r="D496" s="28"/>
      <c r="E496" s="50"/>
      <c r="F496" s="50"/>
      <c r="G496" s="50"/>
      <c r="H496" s="50"/>
    </row>
    <row r="497" spans="1:8">
      <c r="A497" s="53"/>
      <c r="C497" s="28"/>
      <c r="D497" s="28"/>
      <c r="E497" s="50"/>
      <c r="F497" s="50"/>
      <c r="G497" s="50"/>
      <c r="H497" s="50"/>
    </row>
    <row r="498" spans="1:8">
      <c r="A498" s="53"/>
      <c r="C498" s="28"/>
      <c r="D498" s="28"/>
      <c r="E498" s="50"/>
      <c r="F498" s="50"/>
      <c r="G498" s="50"/>
      <c r="H498" s="50"/>
    </row>
    <row r="499" spans="1:8">
      <c r="A499" s="53"/>
      <c r="C499" s="28"/>
      <c r="D499" s="28"/>
      <c r="E499" s="50"/>
      <c r="F499" s="50"/>
      <c r="G499" s="50"/>
      <c r="H499" s="50"/>
    </row>
    <row r="500" spans="1:8">
      <c r="A500" s="53"/>
      <c r="C500" s="28"/>
      <c r="D500" s="28"/>
      <c r="E500" s="50"/>
      <c r="F500" s="50"/>
      <c r="G500" s="50"/>
      <c r="H500" s="50"/>
    </row>
    <row r="501" spans="1:8">
      <c r="A501" s="53"/>
      <c r="C501" s="28"/>
      <c r="D501" s="28"/>
      <c r="E501" s="50"/>
      <c r="F501" s="50"/>
      <c r="G501" s="50"/>
      <c r="H501" s="50"/>
    </row>
    <row r="502" spans="1:8">
      <c r="A502" s="53"/>
      <c r="C502" s="28"/>
      <c r="D502" s="28"/>
      <c r="E502" s="50"/>
      <c r="F502" s="50"/>
      <c r="G502" s="50"/>
      <c r="H502" s="50"/>
    </row>
    <row r="503" spans="1:8">
      <c r="A503" s="53"/>
      <c r="C503" s="28"/>
      <c r="D503" s="28"/>
      <c r="E503" s="50"/>
      <c r="F503" s="50"/>
      <c r="G503" s="50"/>
      <c r="H503" s="50"/>
    </row>
    <row r="504" spans="1:8">
      <c r="A504" s="53"/>
      <c r="C504" s="28"/>
      <c r="D504" s="28"/>
      <c r="E504" s="50"/>
      <c r="F504" s="50"/>
      <c r="G504" s="50"/>
      <c r="H504" s="50"/>
    </row>
    <row r="505" spans="1:8">
      <c r="A505" s="53"/>
      <c r="C505" s="28"/>
      <c r="D505" s="28"/>
      <c r="E505" s="50"/>
      <c r="F505" s="50"/>
      <c r="G505" s="50"/>
      <c r="H505" s="50"/>
    </row>
    <row r="506" spans="1:8">
      <c r="A506" s="53"/>
      <c r="C506" s="28"/>
      <c r="D506" s="28"/>
      <c r="E506" s="50"/>
      <c r="F506" s="50"/>
      <c r="G506" s="50"/>
      <c r="H506" s="50"/>
    </row>
    <row r="507" spans="1:8">
      <c r="A507" s="53"/>
      <c r="C507" s="28"/>
      <c r="D507" s="28"/>
      <c r="E507" s="50"/>
      <c r="F507" s="50"/>
      <c r="G507" s="50"/>
      <c r="H507" s="50"/>
    </row>
    <row r="508" spans="1:8">
      <c r="A508" s="53"/>
      <c r="C508" s="28"/>
      <c r="D508" s="28"/>
      <c r="E508" s="50"/>
      <c r="F508" s="50"/>
      <c r="G508" s="50"/>
      <c r="H508" s="50"/>
    </row>
    <row r="509" spans="1:8">
      <c r="A509" s="53"/>
      <c r="C509" s="28"/>
      <c r="D509" s="28"/>
      <c r="E509" s="50"/>
      <c r="F509" s="50"/>
      <c r="G509" s="50"/>
      <c r="H509" s="50"/>
    </row>
    <row r="510" spans="1:8">
      <c r="A510" s="53"/>
      <c r="C510" s="28"/>
      <c r="D510" s="28"/>
      <c r="E510" s="50"/>
      <c r="F510" s="50"/>
      <c r="G510" s="50"/>
      <c r="H510" s="50"/>
    </row>
    <row r="511" spans="1:8">
      <c r="A511" s="53"/>
      <c r="C511" s="28"/>
      <c r="D511" s="28"/>
      <c r="E511" s="50"/>
      <c r="F511" s="50"/>
      <c r="G511" s="50"/>
      <c r="H511" s="50"/>
    </row>
    <row r="512" spans="1:8">
      <c r="A512" s="53"/>
      <c r="C512" s="28"/>
      <c r="D512" s="28"/>
      <c r="E512" s="50"/>
      <c r="F512" s="50"/>
      <c r="G512" s="50"/>
      <c r="H512" s="50"/>
    </row>
    <row r="513" spans="1:8">
      <c r="A513" s="53"/>
      <c r="C513" s="28"/>
      <c r="D513" s="28"/>
      <c r="E513" s="50"/>
      <c r="F513" s="50"/>
      <c r="G513" s="50"/>
      <c r="H513" s="50"/>
    </row>
    <row r="514" spans="1:8">
      <c r="A514" s="53"/>
      <c r="C514" s="28"/>
      <c r="D514" s="28"/>
      <c r="E514" s="50"/>
      <c r="F514" s="50"/>
      <c r="G514" s="50"/>
      <c r="H514" s="50"/>
    </row>
    <row r="515" spans="1:8">
      <c r="A515" s="53"/>
      <c r="C515" s="28"/>
      <c r="D515" s="28"/>
      <c r="E515" s="50"/>
      <c r="F515" s="50"/>
      <c r="G515" s="50"/>
      <c r="H515" s="50"/>
    </row>
    <row r="516" spans="1:8">
      <c r="A516" s="53"/>
      <c r="C516" s="28"/>
      <c r="D516" s="28"/>
      <c r="E516" s="50"/>
      <c r="F516" s="50"/>
      <c r="G516" s="50"/>
      <c r="H516" s="50"/>
    </row>
    <row r="517" spans="1:8">
      <c r="A517" s="53"/>
      <c r="C517" s="28"/>
      <c r="D517" s="28"/>
      <c r="E517" s="50"/>
      <c r="F517" s="50"/>
      <c r="G517" s="50"/>
      <c r="H517" s="50"/>
    </row>
    <row r="518" spans="1:8">
      <c r="A518" s="53"/>
      <c r="C518" s="28"/>
      <c r="D518" s="28"/>
      <c r="E518" s="50"/>
      <c r="F518" s="50"/>
      <c r="G518" s="50"/>
      <c r="H518" s="50"/>
    </row>
    <row r="519" spans="1:8">
      <c r="A519" s="53"/>
      <c r="C519" s="28"/>
      <c r="D519" s="28"/>
      <c r="E519" s="50"/>
      <c r="F519" s="50"/>
      <c r="G519" s="50"/>
      <c r="H519" s="50"/>
    </row>
    <row r="520" spans="1:8">
      <c r="A520" s="53"/>
      <c r="C520" s="28"/>
      <c r="D520" s="28"/>
      <c r="E520" s="50"/>
      <c r="F520" s="50"/>
      <c r="G520" s="50"/>
      <c r="H520" s="50"/>
    </row>
    <row r="521" spans="1:8">
      <c r="A521" s="53"/>
      <c r="C521" s="28"/>
      <c r="D521" s="28"/>
      <c r="E521" s="50"/>
      <c r="F521" s="50"/>
      <c r="G521" s="50"/>
      <c r="H521" s="50"/>
    </row>
    <row r="522" spans="1:8">
      <c r="A522" s="53"/>
      <c r="C522" s="28"/>
      <c r="D522" s="28"/>
      <c r="E522" s="50"/>
      <c r="F522" s="50"/>
      <c r="G522" s="50"/>
      <c r="H522" s="50"/>
    </row>
    <row r="523" spans="1:8">
      <c r="A523" s="53"/>
      <c r="C523" s="28"/>
      <c r="D523" s="28"/>
      <c r="E523" s="50"/>
      <c r="F523" s="50"/>
      <c r="G523" s="50"/>
      <c r="H523" s="50"/>
    </row>
    <row r="524" spans="1:8">
      <c r="A524" s="53"/>
      <c r="C524" s="28"/>
      <c r="D524" s="28"/>
      <c r="E524" s="50"/>
      <c r="F524" s="50"/>
      <c r="G524" s="50"/>
      <c r="H524" s="50"/>
    </row>
    <row r="525" spans="1:8">
      <c r="A525" s="53"/>
      <c r="C525" s="28"/>
      <c r="D525" s="28"/>
      <c r="E525" s="50"/>
      <c r="F525" s="50"/>
      <c r="G525" s="50"/>
      <c r="H525" s="50"/>
    </row>
    <row r="526" spans="1:8">
      <c r="A526" s="53"/>
      <c r="C526" s="28"/>
      <c r="D526" s="28"/>
      <c r="E526" s="50"/>
      <c r="F526" s="50"/>
      <c r="G526" s="50"/>
      <c r="H526" s="50"/>
    </row>
    <row r="527" spans="1:8">
      <c r="A527" s="53"/>
      <c r="C527" s="28"/>
      <c r="D527" s="28"/>
      <c r="E527" s="50"/>
      <c r="F527" s="50"/>
      <c r="G527" s="50"/>
      <c r="H527" s="50"/>
    </row>
    <row r="528" spans="1:8">
      <c r="A528" s="53"/>
      <c r="C528" s="28"/>
      <c r="D528" s="28"/>
      <c r="E528" s="50"/>
      <c r="F528" s="50"/>
      <c r="G528" s="50"/>
      <c r="H528" s="50"/>
    </row>
    <row r="529" spans="1:8">
      <c r="A529" s="53"/>
      <c r="C529" s="28"/>
      <c r="D529" s="28"/>
      <c r="E529" s="50"/>
      <c r="F529" s="50"/>
      <c r="G529" s="50"/>
      <c r="H529" s="50"/>
    </row>
    <row r="530" spans="1:8">
      <c r="A530" s="53"/>
      <c r="C530" s="28"/>
      <c r="D530" s="28"/>
      <c r="E530" s="50"/>
      <c r="F530" s="50"/>
      <c r="G530" s="50"/>
      <c r="H530" s="50"/>
    </row>
    <row r="531" spans="1:8">
      <c r="A531" s="53"/>
      <c r="C531" s="28"/>
      <c r="D531" s="28"/>
      <c r="E531" s="50"/>
      <c r="F531" s="50"/>
      <c r="G531" s="50"/>
      <c r="H531" s="50"/>
    </row>
    <row r="532" spans="1:8">
      <c r="A532" s="53"/>
      <c r="C532" s="28"/>
      <c r="D532" s="28"/>
      <c r="E532" s="50"/>
      <c r="F532" s="50"/>
      <c r="G532" s="50"/>
      <c r="H532" s="50"/>
    </row>
    <row r="533" spans="1:8">
      <c r="A533" s="53"/>
      <c r="C533" s="28"/>
      <c r="D533" s="28"/>
      <c r="E533" s="50"/>
      <c r="F533" s="50"/>
      <c r="G533" s="50"/>
      <c r="H533" s="50"/>
    </row>
    <row r="534" spans="1:8">
      <c r="A534" s="53"/>
      <c r="C534" s="28"/>
      <c r="D534" s="28"/>
      <c r="E534" s="50"/>
      <c r="F534" s="50"/>
      <c r="G534" s="50"/>
      <c r="H534" s="50"/>
    </row>
    <row r="535" spans="1:8">
      <c r="A535" s="53"/>
      <c r="C535" s="28"/>
      <c r="D535" s="28"/>
      <c r="E535" s="50"/>
      <c r="F535" s="50"/>
      <c r="G535" s="50"/>
      <c r="H535" s="50"/>
    </row>
    <row r="536" spans="1:8">
      <c r="A536" s="53"/>
      <c r="C536" s="28"/>
      <c r="D536" s="28"/>
      <c r="E536" s="50"/>
      <c r="F536" s="50"/>
      <c r="G536" s="50"/>
      <c r="H536" s="50"/>
    </row>
    <row r="537" spans="1:8">
      <c r="A537" s="53"/>
      <c r="C537" s="28"/>
      <c r="D537" s="28"/>
      <c r="E537" s="50"/>
      <c r="F537" s="50"/>
      <c r="G537" s="50"/>
      <c r="H537" s="50"/>
    </row>
    <row r="538" spans="1:8">
      <c r="A538" s="53"/>
      <c r="C538" s="28"/>
      <c r="D538" s="28"/>
      <c r="E538" s="50"/>
      <c r="F538" s="50"/>
      <c r="G538" s="50"/>
      <c r="H538" s="50"/>
    </row>
    <row r="539" spans="1:8">
      <c r="A539" s="53"/>
      <c r="C539" s="28"/>
      <c r="D539" s="28"/>
      <c r="E539" s="50"/>
      <c r="F539" s="50"/>
      <c r="G539" s="50"/>
      <c r="H539" s="50"/>
    </row>
    <row r="540" spans="1:8">
      <c r="A540" s="53"/>
      <c r="C540" s="28"/>
      <c r="D540" s="28"/>
      <c r="E540" s="50"/>
      <c r="F540" s="50"/>
      <c r="G540" s="50"/>
      <c r="H540" s="50"/>
    </row>
    <row r="541" spans="1:8">
      <c r="A541" s="53"/>
      <c r="C541" s="28"/>
      <c r="D541" s="28"/>
      <c r="E541" s="50"/>
      <c r="F541" s="50"/>
      <c r="G541" s="50"/>
      <c r="H541" s="50"/>
    </row>
    <row r="542" spans="1:8">
      <c r="A542" s="53"/>
      <c r="C542" s="28"/>
      <c r="D542" s="28"/>
      <c r="E542" s="50"/>
      <c r="F542" s="50"/>
      <c r="G542" s="50"/>
      <c r="H542" s="50"/>
    </row>
    <row r="543" spans="1:8">
      <c r="A543" s="53"/>
      <c r="C543" s="28"/>
      <c r="D543" s="28"/>
      <c r="E543" s="50"/>
      <c r="F543" s="50"/>
      <c r="G543" s="50"/>
      <c r="H543" s="50"/>
    </row>
    <row r="544" spans="1:8">
      <c r="A544" s="53"/>
      <c r="C544" s="28"/>
      <c r="D544" s="28"/>
      <c r="E544" s="50"/>
      <c r="F544" s="50"/>
      <c r="G544" s="50"/>
      <c r="H544" s="50"/>
    </row>
    <row r="545" spans="1:8">
      <c r="A545" s="53"/>
      <c r="C545" s="28"/>
      <c r="D545" s="28"/>
      <c r="E545" s="50"/>
      <c r="F545" s="50"/>
      <c r="G545" s="50"/>
      <c r="H545" s="50"/>
    </row>
    <row r="546" spans="1:8">
      <c r="A546" s="53"/>
      <c r="C546" s="28"/>
      <c r="D546" s="28"/>
      <c r="E546" s="50"/>
      <c r="F546" s="50"/>
      <c r="G546" s="50"/>
      <c r="H546" s="50"/>
    </row>
    <row r="547" spans="1:8">
      <c r="A547" s="53"/>
      <c r="C547" s="28"/>
      <c r="D547" s="28"/>
      <c r="E547" s="50"/>
      <c r="F547" s="50"/>
      <c r="G547" s="50"/>
      <c r="H547" s="50"/>
    </row>
    <row r="548" spans="1:8">
      <c r="A548" s="53"/>
      <c r="C548" s="28"/>
      <c r="D548" s="28"/>
      <c r="E548" s="50"/>
      <c r="F548" s="50"/>
      <c r="G548" s="50"/>
      <c r="H548" s="50"/>
    </row>
    <row r="549" spans="1:8">
      <c r="A549" s="53"/>
      <c r="C549" s="28"/>
      <c r="D549" s="28"/>
      <c r="E549" s="50"/>
      <c r="F549" s="50"/>
      <c r="G549" s="50"/>
      <c r="H549" s="50"/>
    </row>
    <row r="550" spans="1:8">
      <c r="A550" s="53"/>
      <c r="C550" s="28"/>
      <c r="D550" s="28"/>
      <c r="E550" s="50"/>
      <c r="F550" s="50"/>
      <c r="G550" s="50"/>
      <c r="H550" s="50"/>
    </row>
    <row r="551" spans="1:8">
      <c r="A551" s="53"/>
      <c r="C551" s="28"/>
      <c r="D551" s="28"/>
      <c r="E551" s="50"/>
      <c r="F551" s="50"/>
      <c r="G551" s="50"/>
      <c r="H551" s="50"/>
    </row>
    <row r="552" spans="1:8">
      <c r="A552" s="53"/>
      <c r="C552" s="28"/>
      <c r="D552" s="28"/>
      <c r="E552" s="50"/>
      <c r="F552" s="50"/>
      <c r="G552" s="50"/>
      <c r="H552" s="50"/>
    </row>
    <row r="553" spans="1:8">
      <c r="A553" s="53"/>
      <c r="C553" s="28"/>
      <c r="D553" s="28"/>
      <c r="E553" s="50"/>
      <c r="F553" s="50"/>
      <c r="G553" s="50"/>
      <c r="H553" s="50"/>
    </row>
    <row r="554" spans="1:8">
      <c r="A554" s="53"/>
      <c r="C554" s="28"/>
      <c r="D554" s="28"/>
      <c r="E554" s="50"/>
      <c r="F554" s="50"/>
      <c r="G554" s="50"/>
      <c r="H554" s="50"/>
    </row>
    <row r="555" spans="1:8">
      <c r="A555" s="53"/>
      <c r="C555" s="28"/>
      <c r="D555" s="28"/>
      <c r="E555" s="50"/>
      <c r="F555" s="50"/>
      <c r="G555" s="50"/>
      <c r="H555" s="50"/>
    </row>
    <row r="556" spans="1:8">
      <c r="A556" s="53"/>
      <c r="C556" s="28"/>
      <c r="D556" s="28"/>
      <c r="E556" s="50"/>
      <c r="F556" s="50"/>
      <c r="G556" s="50"/>
      <c r="H556" s="50"/>
    </row>
    <row r="557" spans="1:8">
      <c r="A557" s="53"/>
      <c r="C557" s="28"/>
      <c r="D557" s="28"/>
      <c r="E557" s="50"/>
      <c r="F557" s="50"/>
      <c r="G557" s="50"/>
      <c r="H557" s="50"/>
    </row>
    <row r="558" spans="1:8">
      <c r="A558" s="53"/>
      <c r="C558" s="28"/>
      <c r="D558" s="28"/>
      <c r="E558" s="50"/>
      <c r="F558" s="50"/>
      <c r="G558" s="50"/>
      <c r="H558" s="50"/>
    </row>
    <row r="559" spans="1:8">
      <c r="A559" s="53"/>
      <c r="C559" s="28"/>
      <c r="D559" s="28"/>
      <c r="E559" s="50"/>
      <c r="F559" s="50"/>
      <c r="G559" s="50"/>
      <c r="H559" s="50"/>
    </row>
    <row r="560" spans="1:8">
      <c r="A560" s="53"/>
      <c r="C560" s="28"/>
      <c r="D560" s="28"/>
      <c r="E560" s="50"/>
      <c r="F560" s="50"/>
      <c r="G560" s="50"/>
      <c r="H560" s="50"/>
    </row>
    <row r="561" spans="1:8">
      <c r="A561" s="53"/>
      <c r="C561" s="28"/>
      <c r="D561" s="28"/>
      <c r="E561" s="50"/>
      <c r="F561" s="50"/>
      <c r="G561" s="50"/>
      <c r="H561" s="50"/>
    </row>
    <row r="562" spans="1:8">
      <c r="A562" s="53"/>
      <c r="C562" s="28"/>
      <c r="D562" s="28"/>
      <c r="E562" s="50"/>
      <c r="F562" s="50"/>
      <c r="G562" s="50"/>
      <c r="H562" s="50"/>
    </row>
    <row r="563" spans="1:8">
      <c r="A563" s="53"/>
      <c r="C563" s="28"/>
      <c r="D563" s="28"/>
      <c r="E563" s="50"/>
      <c r="F563" s="50"/>
      <c r="G563" s="50"/>
      <c r="H563" s="50"/>
    </row>
    <row r="564" spans="1:8">
      <c r="A564" s="53"/>
      <c r="C564" s="28"/>
      <c r="D564" s="28"/>
      <c r="E564" s="50"/>
      <c r="F564" s="50"/>
      <c r="G564" s="50"/>
      <c r="H564" s="50"/>
    </row>
    <row r="565" spans="1:8">
      <c r="A565" s="53"/>
      <c r="C565" s="28"/>
      <c r="D565" s="28"/>
      <c r="E565" s="50"/>
      <c r="F565" s="50"/>
      <c r="G565" s="50"/>
      <c r="H565" s="50"/>
    </row>
    <row r="566" spans="1:8">
      <c r="A566" s="53"/>
      <c r="C566" s="28"/>
      <c r="D566" s="28"/>
      <c r="E566" s="50"/>
      <c r="F566" s="50"/>
      <c r="G566" s="50"/>
      <c r="H566" s="50"/>
    </row>
    <row r="567" spans="1:8">
      <c r="A567" s="53"/>
      <c r="C567" s="28"/>
      <c r="D567" s="28"/>
      <c r="E567" s="50"/>
      <c r="F567" s="50"/>
      <c r="G567" s="50"/>
      <c r="H567" s="50"/>
    </row>
    <row r="568" spans="1:8">
      <c r="A568" s="53"/>
      <c r="C568" s="28"/>
      <c r="D568" s="28"/>
      <c r="E568" s="50"/>
      <c r="F568" s="50"/>
      <c r="G568" s="50"/>
      <c r="H568" s="50"/>
    </row>
    <row r="569" spans="1:8">
      <c r="A569" s="53"/>
      <c r="C569" s="28"/>
      <c r="D569" s="28"/>
      <c r="E569" s="50"/>
      <c r="F569" s="50"/>
      <c r="G569" s="50"/>
      <c r="H569" s="50"/>
    </row>
    <row r="570" spans="1:8">
      <c r="A570" s="53"/>
      <c r="C570" s="28"/>
      <c r="D570" s="28"/>
      <c r="E570" s="50"/>
      <c r="F570" s="50"/>
      <c r="G570" s="50"/>
      <c r="H570" s="50"/>
    </row>
    <row r="571" spans="1:8">
      <c r="A571" s="53"/>
      <c r="C571" s="28"/>
      <c r="D571" s="28"/>
      <c r="E571" s="50"/>
      <c r="F571" s="50"/>
      <c r="G571" s="50"/>
      <c r="H571" s="50"/>
    </row>
    <row r="572" spans="1:8">
      <c r="A572" s="53"/>
      <c r="C572" s="28"/>
      <c r="D572" s="28"/>
      <c r="E572" s="50"/>
      <c r="F572" s="50"/>
      <c r="G572" s="50"/>
      <c r="H572" s="50"/>
    </row>
    <row r="573" spans="1:8">
      <c r="A573" s="53"/>
      <c r="C573" s="28"/>
      <c r="D573" s="28"/>
      <c r="E573" s="50"/>
      <c r="F573" s="50"/>
      <c r="G573" s="50"/>
      <c r="H573" s="50"/>
    </row>
    <row r="574" spans="1:8">
      <c r="A574" s="53"/>
      <c r="C574" s="28"/>
      <c r="D574" s="28"/>
      <c r="E574" s="50"/>
      <c r="F574" s="50"/>
      <c r="G574" s="50"/>
      <c r="H574" s="50"/>
    </row>
    <row r="575" spans="1:8">
      <c r="A575" s="53"/>
      <c r="C575" s="28"/>
      <c r="D575" s="28"/>
      <c r="E575" s="50"/>
      <c r="F575" s="50"/>
      <c r="G575" s="50"/>
      <c r="H575" s="50"/>
    </row>
    <row r="576" spans="1:8">
      <c r="A576" s="53"/>
      <c r="C576" s="28"/>
      <c r="D576" s="28"/>
      <c r="E576" s="50"/>
      <c r="F576" s="50"/>
      <c r="G576" s="50"/>
      <c r="H576" s="50"/>
    </row>
    <row r="577" spans="1:8">
      <c r="A577" s="53"/>
      <c r="C577" s="28"/>
      <c r="D577" s="28"/>
      <c r="E577" s="50"/>
      <c r="F577" s="50"/>
      <c r="G577" s="50"/>
      <c r="H577" s="50"/>
    </row>
    <row r="578" spans="1:8">
      <c r="A578" s="53"/>
      <c r="C578" s="28"/>
      <c r="D578" s="28"/>
      <c r="E578" s="50"/>
      <c r="F578" s="50"/>
      <c r="G578" s="50"/>
      <c r="H578" s="50"/>
    </row>
    <row r="579" spans="1:8">
      <c r="A579" s="53"/>
      <c r="C579" s="28"/>
      <c r="D579" s="28"/>
      <c r="E579" s="50"/>
      <c r="F579" s="50"/>
      <c r="G579" s="50"/>
      <c r="H579" s="50"/>
    </row>
    <row r="580" spans="1:8">
      <c r="A580" s="53"/>
      <c r="C580" s="28"/>
      <c r="D580" s="28"/>
      <c r="E580" s="50"/>
      <c r="F580" s="50"/>
      <c r="G580" s="50"/>
      <c r="H580" s="50"/>
    </row>
    <row r="581" spans="1:8">
      <c r="A581" s="53"/>
      <c r="C581" s="28"/>
      <c r="D581" s="28"/>
      <c r="E581" s="50"/>
      <c r="F581" s="50"/>
      <c r="G581" s="50"/>
      <c r="H581" s="50"/>
    </row>
    <row r="582" spans="1:8">
      <c r="A582" s="53"/>
      <c r="C582" s="28"/>
      <c r="D582" s="28"/>
      <c r="E582" s="50"/>
      <c r="F582" s="50"/>
      <c r="G582" s="50"/>
      <c r="H582" s="50"/>
    </row>
    <row r="583" spans="1:8">
      <c r="A583" s="53"/>
      <c r="C583" s="28"/>
      <c r="D583" s="28"/>
      <c r="E583" s="50"/>
      <c r="F583" s="50"/>
      <c r="G583" s="50"/>
      <c r="H583" s="50"/>
    </row>
    <row r="584" spans="1:8">
      <c r="A584" s="53"/>
      <c r="C584" s="28"/>
      <c r="D584" s="28"/>
      <c r="E584" s="50"/>
      <c r="F584" s="50"/>
      <c r="G584" s="50"/>
      <c r="H584" s="50"/>
    </row>
    <row r="585" spans="1:8">
      <c r="A585" s="53"/>
      <c r="C585" s="28"/>
      <c r="D585" s="28"/>
      <c r="E585" s="50"/>
      <c r="F585" s="50"/>
      <c r="G585" s="50"/>
      <c r="H585" s="50"/>
    </row>
    <row r="586" spans="1:8">
      <c r="A586" s="53"/>
      <c r="C586" s="28"/>
      <c r="D586" s="28"/>
      <c r="E586" s="50"/>
      <c r="F586" s="50"/>
      <c r="G586" s="50"/>
      <c r="H586" s="50"/>
    </row>
    <row r="587" spans="1:8">
      <c r="A587" s="53"/>
      <c r="C587" s="28"/>
      <c r="D587" s="28"/>
      <c r="E587" s="50"/>
      <c r="F587" s="50"/>
      <c r="G587" s="50"/>
      <c r="H587" s="50"/>
    </row>
    <row r="588" spans="1:8">
      <c r="A588" s="53"/>
      <c r="C588" s="28"/>
      <c r="D588" s="28"/>
      <c r="E588" s="50"/>
      <c r="F588" s="50"/>
      <c r="G588" s="50"/>
      <c r="H588" s="50"/>
    </row>
    <row r="589" spans="1:8">
      <c r="A589" s="53"/>
      <c r="C589" s="28"/>
      <c r="D589" s="28"/>
      <c r="E589" s="50"/>
      <c r="F589" s="50"/>
      <c r="G589" s="50"/>
      <c r="H589" s="50"/>
    </row>
    <row r="590" spans="1:8">
      <c r="A590" s="53"/>
      <c r="C590" s="28"/>
      <c r="D590" s="28"/>
      <c r="E590" s="50"/>
      <c r="F590" s="50"/>
      <c r="G590" s="50"/>
      <c r="H590" s="50"/>
    </row>
    <row r="591" spans="1:8">
      <c r="A591" s="53"/>
      <c r="C591" s="28"/>
      <c r="D591" s="28"/>
      <c r="E591" s="50"/>
      <c r="F591" s="50"/>
      <c r="G591" s="50"/>
      <c r="H591" s="50"/>
    </row>
    <row r="592" spans="1:8">
      <c r="A592" s="53"/>
      <c r="C592" s="28"/>
      <c r="D592" s="28"/>
      <c r="E592" s="50"/>
      <c r="F592" s="50"/>
      <c r="G592" s="50"/>
      <c r="H592" s="50"/>
    </row>
    <row r="593" spans="1:8">
      <c r="A593" s="53"/>
      <c r="C593" s="28"/>
      <c r="D593" s="28"/>
      <c r="E593" s="50"/>
      <c r="F593" s="50"/>
      <c r="G593" s="50"/>
      <c r="H593" s="50"/>
    </row>
    <row r="594" spans="1:8">
      <c r="A594" s="53"/>
      <c r="C594" s="28"/>
      <c r="D594" s="28"/>
      <c r="E594" s="50"/>
      <c r="F594" s="50"/>
      <c r="G594" s="50"/>
      <c r="H594" s="50"/>
    </row>
    <row r="595" spans="1:8">
      <c r="A595" s="53"/>
      <c r="C595" s="28"/>
      <c r="D595" s="28"/>
      <c r="E595" s="50"/>
      <c r="F595" s="50"/>
      <c r="G595" s="50"/>
      <c r="H595" s="50"/>
    </row>
    <row r="596" spans="1:8">
      <c r="A596" s="53"/>
      <c r="C596" s="28"/>
      <c r="D596" s="28"/>
      <c r="E596" s="50"/>
      <c r="F596" s="50"/>
      <c r="G596" s="50"/>
      <c r="H596" s="50"/>
    </row>
    <row r="597" spans="1:8">
      <c r="A597" s="53"/>
      <c r="C597" s="28"/>
      <c r="D597" s="28"/>
      <c r="E597" s="50"/>
      <c r="F597" s="50"/>
      <c r="G597" s="50"/>
      <c r="H597" s="50"/>
    </row>
    <row r="598" spans="1:8">
      <c r="A598" s="53"/>
      <c r="C598" s="28"/>
      <c r="D598" s="28"/>
      <c r="E598" s="50"/>
      <c r="F598" s="50"/>
      <c r="G598" s="50"/>
      <c r="H598" s="50"/>
    </row>
    <row r="599" spans="1:8">
      <c r="A599" s="53"/>
      <c r="C599" s="28"/>
      <c r="D599" s="28"/>
      <c r="E599" s="50"/>
      <c r="F599" s="50"/>
      <c r="G599" s="50"/>
      <c r="H599" s="50"/>
    </row>
    <row r="600" spans="1:8">
      <c r="A600" s="53"/>
      <c r="C600" s="28"/>
      <c r="D600" s="28"/>
      <c r="E600" s="50"/>
      <c r="F600" s="50"/>
      <c r="G600" s="50"/>
      <c r="H600" s="50"/>
    </row>
    <row r="601" spans="1:8">
      <c r="A601" s="53"/>
      <c r="C601" s="28"/>
      <c r="D601" s="28"/>
      <c r="E601" s="50"/>
      <c r="F601" s="50"/>
      <c r="G601" s="50"/>
      <c r="H601" s="50"/>
    </row>
    <row r="602" spans="1:8">
      <c r="A602" s="53"/>
      <c r="C602" s="28"/>
      <c r="D602" s="28"/>
      <c r="E602" s="50"/>
      <c r="F602" s="50"/>
      <c r="G602" s="50"/>
      <c r="H602" s="50"/>
    </row>
    <row r="603" spans="1:8">
      <c r="A603" s="53"/>
      <c r="C603" s="28"/>
      <c r="D603" s="28"/>
      <c r="E603" s="50"/>
      <c r="F603" s="50"/>
      <c r="G603" s="50"/>
      <c r="H603" s="50"/>
    </row>
    <row r="604" spans="1:8">
      <c r="A604" s="53"/>
      <c r="C604" s="28"/>
      <c r="D604" s="28"/>
      <c r="E604" s="50"/>
      <c r="F604" s="50"/>
      <c r="G604" s="50"/>
      <c r="H604" s="50"/>
    </row>
    <row r="605" spans="1:8">
      <c r="A605" s="53"/>
      <c r="C605" s="28"/>
      <c r="D605" s="28"/>
      <c r="E605" s="50"/>
      <c r="F605" s="50"/>
      <c r="G605" s="50"/>
      <c r="H605" s="50"/>
    </row>
    <row r="606" spans="1:8">
      <c r="A606" s="53"/>
      <c r="C606" s="28"/>
      <c r="D606" s="28"/>
      <c r="E606" s="50"/>
      <c r="F606" s="50"/>
      <c r="G606" s="50"/>
      <c r="H606" s="50"/>
    </row>
    <row r="607" spans="1:8">
      <c r="A607" s="53"/>
      <c r="C607" s="28"/>
      <c r="D607" s="28"/>
      <c r="E607" s="50"/>
      <c r="F607" s="50"/>
      <c r="G607" s="50"/>
      <c r="H607" s="50"/>
    </row>
    <row r="608" spans="1:8">
      <c r="A608" s="53"/>
      <c r="C608" s="28"/>
      <c r="D608" s="28"/>
      <c r="E608" s="50"/>
      <c r="F608" s="50"/>
      <c r="G608" s="50"/>
      <c r="H608" s="50"/>
    </row>
    <row r="609" spans="1:8">
      <c r="A609" s="53"/>
      <c r="C609" s="28"/>
      <c r="D609" s="28"/>
      <c r="E609" s="50"/>
      <c r="F609" s="50"/>
      <c r="G609" s="50"/>
      <c r="H609" s="50"/>
    </row>
    <row r="610" spans="1:8">
      <c r="A610" s="53"/>
      <c r="C610" s="28"/>
      <c r="D610" s="28"/>
      <c r="E610" s="50"/>
      <c r="F610" s="50"/>
      <c r="G610" s="50"/>
      <c r="H610" s="50"/>
    </row>
    <row r="611" spans="1:8">
      <c r="A611" s="53"/>
      <c r="C611" s="28"/>
      <c r="D611" s="28"/>
      <c r="E611" s="50"/>
      <c r="F611" s="50"/>
      <c r="G611" s="50"/>
      <c r="H611" s="50"/>
    </row>
    <row r="612" spans="1:8">
      <c r="A612" s="53"/>
      <c r="C612" s="28"/>
      <c r="D612" s="28"/>
      <c r="E612" s="50"/>
      <c r="F612" s="50"/>
      <c r="G612" s="50"/>
      <c r="H612" s="50"/>
    </row>
    <row r="613" spans="1:8">
      <c r="A613" s="53"/>
      <c r="C613" s="28"/>
      <c r="D613" s="28"/>
      <c r="E613" s="50"/>
      <c r="F613" s="50"/>
      <c r="G613" s="50"/>
      <c r="H613" s="50"/>
    </row>
    <row r="614" spans="1:8">
      <c r="A614" s="53"/>
      <c r="C614" s="28"/>
      <c r="D614" s="28"/>
      <c r="E614" s="50"/>
      <c r="F614" s="50"/>
      <c r="G614" s="50"/>
      <c r="H614" s="50"/>
    </row>
    <row r="615" spans="1:8">
      <c r="A615" s="53"/>
      <c r="C615" s="28"/>
      <c r="D615" s="28"/>
      <c r="E615" s="50"/>
      <c r="F615" s="50"/>
      <c r="G615" s="50"/>
      <c r="H615" s="50"/>
    </row>
    <row r="616" spans="1:8">
      <c r="A616" s="53"/>
      <c r="C616" s="28"/>
      <c r="D616" s="28"/>
      <c r="E616" s="50"/>
      <c r="F616" s="50"/>
      <c r="G616" s="50"/>
      <c r="H616" s="50"/>
    </row>
    <row r="617" spans="1:8">
      <c r="A617" s="53"/>
      <c r="C617" s="28"/>
      <c r="D617" s="28"/>
      <c r="E617" s="50"/>
      <c r="F617" s="50"/>
      <c r="G617" s="50"/>
      <c r="H617" s="50"/>
    </row>
    <row r="618" spans="1:8">
      <c r="A618" s="53"/>
      <c r="C618" s="28"/>
      <c r="D618" s="28"/>
      <c r="E618" s="50"/>
      <c r="F618" s="50"/>
      <c r="G618" s="50"/>
      <c r="H618" s="50"/>
    </row>
    <row r="619" spans="1:8">
      <c r="A619" s="53"/>
      <c r="C619" s="28"/>
      <c r="D619" s="28"/>
      <c r="E619" s="50"/>
      <c r="F619" s="50"/>
      <c r="G619" s="50"/>
      <c r="H619" s="50"/>
    </row>
    <row r="620" spans="1:8">
      <c r="A620" s="53"/>
      <c r="C620" s="28"/>
      <c r="D620" s="28"/>
      <c r="E620" s="50"/>
      <c r="F620" s="50"/>
      <c r="G620" s="50"/>
      <c r="H620" s="50"/>
    </row>
    <row r="621" spans="1:8">
      <c r="A621" s="53"/>
      <c r="C621" s="28"/>
      <c r="D621" s="28"/>
      <c r="E621" s="50"/>
      <c r="F621" s="50"/>
      <c r="G621" s="50"/>
      <c r="H621" s="50"/>
    </row>
    <row r="622" spans="1:8">
      <c r="A622" s="53"/>
      <c r="C622" s="28"/>
      <c r="D622" s="28"/>
      <c r="E622" s="50"/>
      <c r="F622" s="50"/>
      <c r="G622" s="50"/>
      <c r="H622" s="50"/>
    </row>
    <row r="623" spans="1:8">
      <c r="A623" s="53"/>
      <c r="C623" s="28"/>
      <c r="D623" s="28"/>
      <c r="E623" s="50"/>
      <c r="F623" s="50"/>
      <c r="G623" s="50"/>
      <c r="H623" s="50"/>
    </row>
    <row r="624" spans="1:8">
      <c r="A624" s="53"/>
      <c r="C624" s="28"/>
      <c r="D624" s="28"/>
      <c r="E624" s="50"/>
      <c r="F624" s="50"/>
      <c r="G624" s="50"/>
      <c r="H624" s="50"/>
    </row>
    <row r="625" spans="1:8">
      <c r="A625" s="53"/>
      <c r="C625" s="28"/>
      <c r="D625" s="28"/>
      <c r="E625" s="50"/>
      <c r="F625" s="50"/>
      <c r="G625" s="50"/>
      <c r="H625" s="50"/>
    </row>
    <row r="626" spans="1:8">
      <c r="A626" s="53"/>
      <c r="C626" s="28"/>
      <c r="D626" s="28"/>
      <c r="E626" s="50"/>
      <c r="F626" s="50"/>
      <c r="G626" s="50"/>
      <c r="H626" s="50"/>
    </row>
    <row r="627" spans="1:8">
      <c r="A627" s="53"/>
      <c r="C627" s="28"/>
      <c r="D627" s="28"/>
      <c r="E627" s="50"/>
      <c r="F627" s="50"/>
      <c r="G627" s="50"/>
      <c r="H627" s="50"/>
    </row>
    <row r="628" spans="1:8">
      <c r="A628" s="53"/>
      <c r="C628" s="28"/>
      <c r="D628" s="28"/>
      <c r="E628" s="50"/>
      <c r="F628" s="50"/>
      <c r="G628" s="50"/>
      <c r="H628" s="50"/>
    </row>
    <row r="629" spans="1:8">
      <c r="A629" s="53"/>
      <c r="C629" s="28"/>
      <c r="D629" s="28"/>
      <c r="E629" s="50"/>
      <c r="F629" s="50"/>
      <c r="G629" s="50"/>
      <c r="H629" s="50"/>
    </row>
    <row r="630" spans="1:8">
      <c r="A630" s="53"/>
      <c r="C630" s="28"/>
      <c r="D630" s="28"/>
      <c r="E630" s="50"/>
      <c r="F630" s="50"/>
      <c r="G630" s="50"/>
      <c r="H630" s="50"/>
    </row>
    <row r="631" spans="1:8">
      <c r="A631" s="53"/>
      <c r="C631" s="28"/>
      <c r="D631" s="28"/>
      <c r="E631" s="50"/>
      <c r="F631" s="50"/>
      <c r="G631" s="50"/>
      <c r="H631" s="50"/>
    </row>
    <row r="632" spans="1:8">
      <c r="A632" s="53"/>
      <c r="C632" s="28"/>
      <c r="D632" s="28"/>
      <c r="E632" s="50"/>
      <c r="F632" s="50"/>
      <c r="G632" s="50"/>
      <c r="H632" s="50"/>
    </row>
    <row r="633" spans="1:8">
      <c r="A633" s="53"/>
      <c r="C633" s="28"/>
      <c r="D633" s="28"/>
      <c r="E633" s="50"/>
      <c r="F633" s="50"/>
      <c r="G633" s="50"/>
      <c r="H633" s="50"/>
    </row>
    <row r="634" spans="1:8">
      <c r="A634" s="53"/>
      <c r="C634" s="28"/>
      <c r="D634" s="28"/>
      <c r="E634" s="50"/>
      <c r="F634" s="50"/>
      <c r="G634" s="50"/>
      <c r="H634" s="50"/>
    </row>
    <row r="635" spans="1:8">
      <c r="A635" s="53"/>
      <c r="C635" s="28"/>
      <c r="D635" s="28"/>
      <c r="E635" s="50"/>
      <c r="F635" s="50"/>
      <c r="G635" s="50"/>
      <c r="H635" s="50"/>
    </row>
    <row r="636" spans="1:8">
      <c r="A636" s="53"/>
      <c r="C636" s="28"/>
      <c r="D636" s="28"/>
      <c r="E636" s="50"/>
      <c r="F636" s="50"/>
      <c r="G636" s="50"/>
      <c r="H636" s="50"/>
    </row>
    <row r="637" spans="1:8">
      <c r="A637" s="53"/>
      <c r="C637" s="28"/>
      <c r="D637" s="28"/>
      <c r="E637" s="50"/>
      <c r="F637" s="50"/>
      <c r="G637" s="50"/>
      <c r="H637" s="50"/>
    </row>
    <row r="638" spans="1:8">
      <c r="A638" s="53"/>
      <c r="C638" s="28"/>
      <c r="D638" s="28"/>
      <c r="E638" s="50"/>
      <c r="F638" s="50"/>
      <c r="G638" s="50"/>
      <c r="H638" s="50"/>
    </row>
    <row r="639" spans="1:8">
      <c r="A639" s="53"/>
      <c r="C639" s="28"/>
      <c r="D639" s="28"/>
      <c r="E639" s="50"/>
      <c r="F639" s="50"/>
      <c r="G639" s="50"/>
      <c r="H639" s="50"/>
    </row>
    <row r="640" spans="1:8">
      <c r="A640" s="53"/>
      <c r="C640" s="28"/>
      <c r="D640" s="28"/>
      <c r="E640" s="50"/>
      <c r="F640" s="50"/>
      <c r="G640" s="50"/>
      <c r="H640" s="50"/>
    </row>
    <row r="641" spans="1:8">
      <c r="A641" s="53"/>
      <c r="C641" s="28"/>
      <c r="D641" s="28"/>
      <c r="E641" s="50"/>
      <c r="F641" s="50"/>
      <c r="G641" s="50"/>
      <c r="H641" s="50"/>
    </row>
    <row r="642" spans="1:8">
      <c r="A642" s="53"/>
      <c r="C642" s="28"/>
      <c r="D642" s="28"/>
      <c r="E642" s="50"/>
      <c r="F642" s="50"/>
      <c r="G642" s="50"/>
      <c r="H642" s="50"/>
    </row>
    <row r="643" spans="1:8">
      <c r="A643" s="53"/>
      <c r="C643" s="28"/>
      <c r="D643" s="28"/>
      <c r="E643" s="50"/>
      <c r="F643" s="50"/>
      <c r="G643" s="50"/>
      <c r="H643" s="50"/>
    </row>
    <row r="644" spans="1:8">
      <c r="A644" s="53"/>
      <c r="C644" s="28"/>
      <c r="D644" s="28"/>
      <c r="E644" s="50"/>
      <c r="F644" s="50"/>
      <c r="G644" s="50"/>
      <c r="H644" s="50"/>
    </row>
    <row r="645" spans="1:8">
      <c r="A645" s="53"/>
      <c r="C645" s="28"/>
      <c r="D645" s="28"/>
      <c r="E645" s="50"/>
      <c r="F645" s="50"/>
      <c r="G645" s="50"/>
      <c r="H645" s="50"/>
    </row>
    <row r="646" spans="1:8">
      <c r="A646" s="53"/>
      <c r="C646" s="28"/>
      <c r="D646" s="28"/>
      <c r="E646" s="50"/>
      <c r="F646" s="50"/>
      <c r="G646" s="50"/>
      <c r="H646" s="50"/>
    </row>
    <row r="647" spans="1:8">
      <c r="A647" s="53"/>
      <c r="C647" s="28"/>
      <c r="D647" s="28"/>
      <c r="E647" s="50"/>
      <c r="F647" s="50"/>
      <c r="G647" s="50"/>
      <c r="H647" s="50"/>
    </row>
    <row r="648" spans="1:8">
      <c r="A648" s="53"/>
      <c r="C648" s="28"/>
      <c r="D648" s="28"/>
      <c r="E648" s="50"/>
      <c r="F648" s="50"/>
      <c r="G648" s="50"/>
      <c r="H648" s="50"/>
    </row>
    <row r="649" spans="1:8">
      <c r="A649" s="53"/>
      <c r="C649" s="28"/>
      <c r="D649" s="28"/>
      <c r="E649" s="50"/>
      <c r="F649" s="50"/>
      <c r="G649" s="50"/>
      <c r="H649" s="50"/>
    </row>
    <row r="650" spans="1:8">
      <c r="A650" s="53"/>
      <c r="C650" s="28"/>
      <c r="D650" s="28"/>
      <c r="E650" s="50"/>
      <c r="F650" s="50"/>
      <c r="G650" s="50"/>
      <c r="H650" s="50"/>
    </row>
    <row r="651" spans="1:8">
      <c r="A651" s="53"/>
      <c r="C651" s="28"/>
      <c r="D651" s="28"/>
      <c r="E651" s="50"/>
      <c r="F651" s="50"/>
      <c r="G651" s="50"/>
      <c r="H651" s="50"/>
    </row>
    <row r="652" spans="1:8">
      <c r="A652" s="53"/>
      <c r="C652" s="28"/>
      <c r="D652" s="28"/>
      <c r="E652" s="50"/>
      <c r="F652" s="50"/>
      <c r="G652" s="50"/>
      <c r="H652" s="50"/>
    </row>
    <row r="653" spans="1:8">
      <c r="A653" s="53"/>
      <c r="C653" s="28"/>
      <c r="D653" s="28"/>
      <c r="E653" s="50"/>
      <c r="F653" s="50"/>
      <c r="G653" s="50"/>
      <c r="H653" s="50"/>
    </row>
    <row r="654" spans="1:8">
      <c r="A654" s="53"/>
      <c r="C654" s="28"/>
      <c r="D654" s="28"/>
      <c r="E654" s="50"/>
      <c r="F654" s="50"/>
      <c r="G654" s="50"/>
      <c r="H654" s="50"/>
    </row>
    <row r="655" spans="1:8">
      <c r="A655" s="53"/>
      <c r="C655" s="28"/>
      <c r="D655" s="28"/>
      <c r="E655" s="50"/>
      <c r="F655" s="50"/>
      <c r="G655" s="50"/>
      <c r="H655" s="50"/>
    </row>
    <row r="656" spans="1:8">
      <c r="A656" s="53"/>
      <c r="C656" s="28"/>
      <c r="D656" s="28"/>
      <c r="E656" s="50"/>
      <c r="F656" s="50"/>
      <c r="G656" s="50"/>
      <c r="H656" s="50"/>
    </row>
    <row r="657" spans="1:8">
      <c r="A657" s="53"/>
      <c r="C657" s="28"/>
      <c r="D657" s="28"/>
      <c r="E657" s="50"/>
      <c r="F657" s="50"/>
      <c r="G657" s="50"/>
      <c r="H657" s="50"/>
    </row>
    <row r="658" spans="1:8">
      <c r="A658" s="53"/>
      <c r="C658" s="28"/>
      <c r="D658" s="28"/>
      <c r="E658" s="50"/>
      <c r="F658" s="50"/>
      <c r="G658" s="50"/>
      <c r="H658" s="50"/>
    </row>
    <row r="659" spans="1:8">
      <c r="A659" s="53"/>
      <c r="C659" s="28"/>
      <c r="D659" s="28"/>
      <c r="E659" s="50"/>
      <c r="F659" s="50"/>
      <c r="G659" s="50"/>
      <c r="H659" s="50"/>
    </row>
    <row r="660" spans="1:8">
      <c r="A660" s="53"/>
      <c r="C660" s="28"/>
      <c r="D660" s="28"/>
      <c r="E660" s="50"/>
      <c r="F660" s="50"/>
      <c r="G660" s="50"/>
      <c r="H660" s="50"/>
    </row>
    <row r="661" spans="1:8">
      <c r="A661" s="53"/>
      <c r="C661" s="28"/>
      <c r="D661" s="28"/>
      <c r="E661" s="50"/>
      <c r="F661" s="50"/>
      <c r="G661" s="50"/>
      <c r="H661" s="50"/>
    </row>
    <row r="662" spans="1:8">
      <c r="A662" s="53"/>
      <c r="C662" s="28"/>
      <c r="D662" s="28"/>
      <c r="E662" s="50"/>
      <c r="F662" s="50"/>
      <c r="G662" s="50"/>
      <c r="H662" s="50"/>
    </row>
    <row r="663" spans="1:8">
      <c r="A663" s="53"/>
      <c r="C663" s="28"/>
      <c r="D663" s="28"/>
      <c r="E663" s="50"/>
      <c r="F663" s="50"/>
      <c r="G663" s="50"/>
      <c r="H663" s="50"/>
    </row>
    <row r="664" spans="1:8">
      <c r="A664" s="53"/>
      <c r="C664" s="28"/>
      <c r="D664" s="28"/>
      <c r="E664" s="50"/>
      <c r="F664" s="50"/>
      <c r="G664" s="50"/>
      <c r="H664" s="50"/>
    </row>
    <row r="665" spans="1:8">
      <c r="A665" s="53"/>
      <c r="C665" s="28"/>
      <c r="D665" s="28"/>
      <c r="E665" s="50"/>
      <c r="F665" s="50"/>
      <c r="G665" s="50"/>
      <c r="H665" s="50"/>
    </row>
    <row r="666" spans="1:8">
      <c r="A666" s="53"/>
      <c r="C666" s="28"/>
      <c r="D666" s="28"/>
      <c r="E666" s="50"/>
      <c r="F666" s="50"/>
      <c r="G666" s="50"/>
      <c r="H666" s="50"/>
    </row>
    <row r="667" spans="1:8">
      <c r="A667" s="53"/>
      <c r="C667" s="28"/>
      <c r="D667" s="28"/>
      <c r="E667" s="50"/>
      <c r="F667" s="50"/>
      <c r="G667" s="50"/>
      <c r="H667" s="50"/>
    </row>
    <row r="668" spans="1:8">
      <c r="A668" s="53"/>
      <c r="C668" s="28"/>
      <c r="D668" s="28"/>
      <c r="E668" s="50"/>
      <c r="F668" s="50"/>
      <c r="G668" s="50"/>
      <c r="H668" s="50"/>
    </row>
    <row r="669" spans="1:8">
      <c r="A669" s="53"/>
      <c r="C669" s="28"/>
      <c r="D669" s="28"/>
      <c r="E669" s="50"/>
      <c r="F669" s="50"/>
      <c r="G669" s="50"/>
      <c r="H669" s="50"/>
    </row>
    <row r="670" spans="1:8">
      <c r="A670" s="53"/>
      <c r="C670" s="28"/>
      <c r="D670" s="28"/>
      <c r="E670" s="50"/>
      <c r="F670" s="50"/>
      <c r="G670" s="50"/>
      <c r="H670" s="50"/>
    </row>
    <row r="671" spans="1:8">
      <c r="A671" s="53"/>
      <c r="C671" s="28"/>
      <c r="D671" s="28"/>
      <c r="E671" s="50"/>
      <c r="F671" s="50"/>
      <c r="G671" s="50"/>
      <c r="H671" s="50"/>
    </row>
    <row r="672" spans="1:8">
      <c r="A672" s="53"/>
      <c r="C672" s="28"/>
      <c r="D672" s="28"/>
      <c r="E672" s="50"/>
      <c r="F672" s="50"/>
      <c r="G672" s="50"/>
      <c r="H672" s="50"/>
    </row>
    <row r="673" spans="1:8">
      <c r="A673" s="53"/>
      <c r="C673" s="28"/>
      <c r="D673" s="28"/>
      <c r="E673" s="50"/>
      <c r="F673" s="50"/>
      <c r="G673" s="50"/>
      <c r="H673" s="50"/>
    </row>
    <row r="674" spans="1:8">
      <c r="A674" s="53"/>
      <c r="C674" s="28"/>
      <c r="D674" s="28"/>
      <c r="E674" s="50"/>
      <c r="F674" s="50"/>
      <c r="G674" s="50"/>
      <c r="H674" s="50"/>
    </row>
    <row r="675" spans="1:8">
      <c r="A675" s="53"/>
      <c r="C675" s="28"/>
      <c r="D675" s="28"/>
      <c r="E675" s="50"/>
      <c r="F675" s="50"/>
      <c r="G675" s="50"/>
      <c r="H675" s="50"/>
    </row>
    <row r="676" spans="1:8">
      <c r="A676" s="53"/>
      <c r="C676" s="28"/>
      <c r="D676" s="28"/>
      <c r="E676" s="50"/>
      <c r="F676" s="50"/>
      <c r="G676" s="50"/>
      <c r="H676" s="50"/>
    </row>
    <row r="677" spans="1:8">
      <c r="A677" s="53"/>
      <c r="C677" s="28"/>
      <c r="D677" s="28"/>
      <c r="E677" s="50"/>
      <c r="F677" s="50"/>
      <c r="G677" s="50"/>
      <c r="H677" s="50"/>
    </row>
    <row r="678" spans="1:8">
      <c r="A678" s="53"/>
      <c r="C678" s="28"/>
      <c r="D678" s="28"/>
      <c r="E678" s="50"/>
      <c r="F678" s="50"/>
      <c r="G678" s="50"/>
      <c r="H678" s="50"/>
    </row>
    <row r="679" spans="1:8">
      <c r="A679" s="53"/>
      <c r="C679" s="28"/>
      <c r="D679" s="28"/>
      <c r="E679" s="50"/>
      <c r="F679" s="50"/>
      <c r="G679" s="50"/>
      <c r="H679" s="50"/>
    </row>
    <row r="680" spans="1:8">
      <c r="A680" s="53"/>
      <c r="C680" s="28"/>
      <c r="D680" s="28"/>
      <c r="E680" s="50"/>
      <c r="F680" s="50"/>
      <c r="G680" s="50"/>
      <c r="H680" s="50"/>
    </row>
    <row r="681" spans="1:8">
      <c r="A681" s="53"/>
      <c r="C681" s="28"/>
      <c r="D681" s="28"/>
      <c r="E681" s="50"/>
      <c r="F681" s="50"/>
      <c r="G681" s="50"/>
      <c r="H681" s="50"/>
    </row>
    <row r="682" spans="1:8">
      <c r="A682" s="53"/>
      <c r="C682" s="28"/>
      <c r="D682" s="28"/>
      <c r="E682" s="50"/>
      <c r="F682" s="50"/>
      <c r="G682" s="50"/>
      <c r="H682" s="50"/>
    </row>
    <row r="683" spans="1:8">
      <c r="A683" s="53"/>
      <c r="C683" s="28"/>
      <c r="D683" s="28"/>
      <c r="E683" s="50"/>
      <c r="F683" s="50"/>
      <c r="G683" s="50"/>
      <c r="H683" s="50"/>
    </row>
    <row r="684" spans="1:8">
      <c r="A684" s="53"/>
      <c r="C684" s="28"/>
      <c r="D684" s="28"/>
      <c r="E684" s="50"/>
      <c r="F684" s="50"/>
      <c r="G684" s="50"/>
      <c r="H684" s="50"/>
    </row>
    <row r="685" spans="1:8">
      <c r="A685" s="53"/>
      <c r="C685" s="28"/>
      <c r="D685" s="28"/>
      <c r="E685" s="50"/>
      <c r="F685" s="50"/>
      <c r="G685" s="50"/>
      <c r="H685" s="50"/>
    </row>
    <row r="686" spans="1:8">
      <c r="A686" s="53"/>
      <c r="C686" s="28"/>
      <c r="D686" s="28"/>
      <c r="E686" s="50"/>
      <c r="F686" s="50"/>
      <c r="G686" s="50"/>
      <c r="H686" s="50"/>
    </row>
    <row r="687" spans="1:8">
      <c r="A687" s="53"/>
      <c r="C687" s="28"/>
      <c r="D687" s="28"/>
      <c r="E687" s="50"/>
      <c r="F687" s="50"/>
      <c r="G687" s="50"/>
      <c r="H687" s="50"/>
    </row>
    <row r="688" spans="1:8">
      <c r="A688" s="53"/>
      <c r="C688" s="28"/>
      <c r="D688" s="28"/>
      <c r="E688" s="50"/>
      <c r="F688" s="50"/>
      <c r="G688" s="50"/>
      <c r="H688" s="50"/>
    </row>
    <row r="689" spans="1:8">
      <c r="A689" s="53"/>
      <c r="C689" s="28"/>
      <c r="D689" s="28"/>
      <c r="E689" s="50"/>
      <c r="F689" s="50"/>
      <c r="G689" s="50"/>
      <c r="H689" s="50"/>
    </row>
    <row r="690" spans="1:8">
      <c r="A690" s="53"/>
      <c r="C690" s="28"/>
      <c r="D690" s="28"/>
      <c r="E690" s="50"/>
      <c r="F690" s="50"/>
      <c r="G690" s="50"/>
      <c r="H690" s="50"/>
    </row>
    <row r="691" spans="1:8">
      <c r="A691" s="53"/>
      <c r="C691" s="28"/>
      <c r="D691" s="28"/>
      <c r="E691" s="50"/>
      <c r="F691" s="50"/>
      <c r="G691" s="50"/>
      <c r="H691" s="50"/>
    </row>
    <row r="692" spans="1:8">
      <c r="A692" s="53"/>
      <c r="C692" s="28"/>
      <c r="D692" s="28"/>
      <c r="E692" s="50"/>
      <c r="F692" s="50"/>
      <c r="G692" s="50"/>
      <c r="H692" s="50"/>
    </row>
    <row r="693" spans="1:8">
      <c r="A693" s="53"/>
      <c r="C693" s="28"/>
      <c r="D693" s="28"/>
      <c r="E693" s="50"/>
      <c r="F693" s="50"/>
      <c r="G693" s="50"/>
      <c r="H693" s="50"/>
    </row>
    <row r="694" spans="1:8">
      <c r="A694" s="53"/>
      <c r="C694" s="28"/>
      <c r="D694" s="28"/>
      <c r="E694" s="50"/>
      <c r="F694" s="50"/>
      <c r="G694" s="50"/>
      <c r="H694" s="50"/>
    </row>
    <row r="695" spans="1:8">
      <c r="A695" s="53"/>
      <c r="C695" s="28"/>
      <c r="D695" s="28"/>
      <c r="E695" s="50"/>
      <c r="F695" s="50"/>
      <c r="G695" s="50"/>
      <c r="H695" s="50"/>
    </row>
    <row r="696" spans="1:8">
      <c r="A696" s="53"/>
      <c r="C696" s="28"/>
      <c r="D696" s="28"/>
      <c r="E696" s="50"/>
      <c r="F696" s="50"/>
      <c r="G696" s="50"/>
      <c r="H696" s="50"/>
    </row>
    <row r="697" spans="1:8">
      <c r="A697" s="53"/>
      <c r="C697" s="28"/>
      <c r="D697" s="28"/>
      <c r="E697" s="50"/>
      <c r="F697" s="50"/>
      <c r="G697" s="50"/>
      <c r="H697" s="50"/>
    </row>
    <row r="698" spans="1:8">
      <c r="A698" s="53"/>
      <c r="C698" s="28"/>
      <c r="D698" s="28"/>
      <c r="E698" s="50"/>
      <c r="F698" s="50"/>
      <c r="G698" s="50"/>
      <c r="H698" s="50"/>
    </row>
    <row r="699" spans="1:8">
      <c r="A699" s="53"/>
      <c r="C699" s="28"/>
      <c r="D699" s="28"/>
      <c r="E699" s="50"/>
      <c r="F699" s="50"/>
      <c r="G699" s="50"/>
      <c r="H699" s="50"/>
    </row>
    <row r="700" spans="1:8">
      <c r="A700" s="53"/>
      <c r="C700" s="28"/>
      <c r="D700" s="28"/>
      <c r="E700" s="50"/>
      <c r="F700" s="50"/>
      <c r="G700" s="50"/>
      <c r="H700" s="50"/>
    </row>
    <row r="701" spans="1:8">
      <c r="A701" s="53"/>
      <c r="C701" s="28"/>
      <c r="D701" s="28"/>
      <c r="E701" s="50"/>
      <c r="F701" s="50"/>
      <c r="G701" s="50"/>
      <c r="H701" s="50"/>
    </row>
    <row r="702" spans="1:8">
      <c r="A702" s="53"/>
      <c r="C702" s="28"/>
      <c r="D702" s="28"/>
      <c r="E702" s="50"/>
      <c r="F702" s="50"/>
      <c r="G702" s="50"/>
      <c r="H702" s="50"/>
    </row>
    <row r="703" spans="1:8">
      <c r="A703" s="53"/>
      <c r="C703" s="28"/>
      <c r="D703" s="28"/>
      <c r="E703" s="50"/>
      <c r="F703" s="50"/>
      <c r="G703" s="50"/>
      <c r="H703" s="50"/>
    </row>
    <row r="704" spans="1:8">
      <c r="A704" s="53"/>
      <c r="C704" s="28"/>
      <c r="D704" s="28"/>
      <c r="E704" s="50"/>
      <c r="F704" s="50"/>
      <c r="G704" s="50"/>
      <c r="H704" s="50"/>
    </row>
    <row r="705" spans="1:8">
      <c r="A705" s="53"/>
      <c r="C705" s="28"/>
      <c r="D705" s="28"/>
      <c r="E705" s="50"/>
      <c r="F705" s="50"/>
      <c r="G705" s="50"/>
      <c r="H705" s="50"/>
    </row>
    <row r="706" spans="1:8">
      <c r="A706" s="53"/>
      <c r="C706" s="28"/>
      <c r="D706" s="28"/>
      <c r="E706" s="50"/>
      <c r="F706" s="50"/>
      <c r="G706" s="50"/>
      <c r="H706" s="50"/>
    </row>
    <row r="707" spans="1:8">
      <c r="A707" s="53"/>
      <c r="C707" s="28"/>
      <c r="D707" s="28"/>
      <c r="E707" s="50"/>
      <c r="F707" s="50"/>
      <c r="G707" s="50"/>
      <c r="H707" s="50"/>
    </row>
    <row r="708" spans="1:8">
      <c r="A708" s="53"/>
      <c r="C708" s="28"/>
      <c r="D708" s="28"/>
      <c r="E708" s="50"/>
      <c r="F708" s="50"/>
      <c r="G708" s="50"/>
      <c r="H708" s="50"/>
    </row>
  </sheetData>
  <autoFilter xmlns:etc="http://www.wps.cn/officeDocument/2017/etCustomData" ref="A4:H202"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8">
    <pageSetUpPr fitToPage="1"/>
  </sheetPr>
  <dimension ref="A1:I895"/>
  <sheetViews>
    <sheetView showGridLines="0" view="pageBreakPreview" zoomScale="90" zoomScaleNormal="100" topLeftCell="A20" workbookViewId="0">
      <selection activeCell="E27" sqref="E27"/>
    </sheetView>
  </sheetViews>
  <sheetFormatPr defaultColWidth="9.25" defaultRowHeight="13.8"/>
  <cols>
    <col min="1" max="1" width="7.62962962962963" style="31" customWidth="1"/>
    <col min="2" max="2" width="39.5" style="27" customWidth="1"/>
    <col min="3" max="4" width="30.75" style="32" customWidth="1"/>
    <col min="5" max="8" width="13.8796296296296" style="45" customWidth="1"/>
    <col min="9" max="16384" width="9.25" style="31"/>
  </cols>
  <sheetData>
    <row r="1" spans="1:9">
      <c r="A1" s="6" t="s">
        <v>2864</v>
      </c>
      <c r="B1" s="6"/>
      <c r="C1" s="7"/>
      <c r="D1" s="7"/>
      <c r="E1" s="6"/>
      <c r="F1" s="6"/>
      <c r="G1" s="6"/>
      <c r="H1" s="6"/>
    </row>
    <row r="2" spans="1:9">
      <c r="A2" s="8" t="s">
        <v>4</v>
      </c>
      <c r="B2" s="8"/>
      <c r="C2" s="8"/>
      <c r="D2" s="8"/>
      <c r="E2" s="34"/>
      <c r="F2" s="34"/>
      <c r="G2" s="34"/>
      <c r="H2" s="34"/>
    </row>
    <row r="3" spans="1:9">
      <c r="A3" s="9" t="s">
        <v>5</v>
      </c>
      <c r="B3" s="9" t="s">
        <v>6</v>
      </c>
      <c r="C3" s="9" t="s">
        <v>7</v>
      </c>
      <c r="D3" s="9"/>
      <c r="E3" s="10" t="s">
        <v>8</v>
      </c>
      <c r="F3" s="10"/>
      <c r="G3" s="10"/>
      <c r="H3" s="10"/>
    </row>
    <row r="4" spans="1:9">
      <c r="A4" s="11"/>
      <c r="B4" s="11"/>
      <c r="C4" s="9" t="s">
        <v>9</v>
      </c>
      <c r="D4" s="9" t="s">
        <v>10</v>
      </c>
      <c r="E4" s="10" t="s">
        <v>11</v>
      </c>
      <c r="F4" s="10" t="s">
        <v>12</v>
      </c>
      <c r="G4" s="10" t="s">
        <v>13</v>
      </c>
      <c r="H4" s="10" t="s">
        <v>14</v>
      </c>
    </row>
    <row r="5" spans="1:9">
      <c r="A5" s="13" t="s">
        <v>140</v>
      </c>
      <c r="B5" s="13"/>
      <c r="C5" s="15"/>
      <c r="D5" s="15"/>
      <c r="E5" s="10" t="s">
        <v>16</v>
      </c>
      <c r="F5" s="10" t="s">
        <v>16</v>
      </c>
      <c r="G5" s="10" t="s">
        <v>16</v>
      </c>
      <c r="H5" s="10" t="s">
        <v>16</v>
      </c>
    </row>
    <row r="6" spans="1:9">
      <c r="A6" s="46">
        <v>1</v>
      </c>
      <c r="B6" s="20" t="s">
        <v>145</v>
      </c>
      <c r="C6" s="15"/>
      <c r="D6" s="15"/>
      <c r="E6" s="9" t="s">
        <v>16</v>
      </c>
      <c r="F6" s="9" t="s">
        <v>16</v>
      </c>
      <c r="G6" s="9" t="s">
        <v>16</v>
      </c>
      <c r="H6" s="9" t="s">
        <v>16</v>
      </c>
      <c r="I6" s="31">
        <f>COUNT(E7:E21)</f>
        <v>12</v>
      </c>
    </row>
    <row r="7" spans="1:9">
      <c r="A7" s="36"/>
      <c r="B7" s="18" t="s">
        <v>2865</v>
      </c>
      <c r="C7" s="15"/>
      <c r="D7" s="15"/>
      <c r="E7" s="21">
        <v>700000</v>
      </c>
      <c r="F7" s="21">
        <v>490000</v>
      </c>
      <c r="G7" s="21">
        <v>345000</v>
      </c>
      <c r="H7" s="22">
        <v>0</v>
      </c>
    </row>
    <row r="8" spans="1:9">
      <c r="A8" s="36"/>
      <c r="B8" s="18" t="s">
        <v>2866</v>
      </c>
      <c r="C8" s="15"/>
      <c r="D8" s="15"/>
      <c r="E8" s="21">
        <v>550000</v>
      </c>
      <c r="F8" s="21">
        <v>385000</v>
      </c>
      <c r="G8" s="21">
        <v>275000</v>
      </c>
      <c r="H8" s="22">
        <v>0</v>
      </c>
    </row>
    <row r="9" spans="1:9">
      <c r="A9" s="36"/>
      <c r="B9" s="18" t="s">
        <v>2867</v>
      </c>
      <c r="C9" s="15"/>
      <c r="D9" s="15"/>
      <c r="E9" s="23">
        <v>550000</v>
      </c>
      <c r="F9" s="23">
        <v>385000</v>
      </c>
      <c r="G9" s="23">
        <v>275000</v>
      </c>
      <c r="H9" s="23">
        <v>0</v>
      </c>
    </row>
    <row r="10" spans="1:9">
      <c r="A10" s="36"/>
      <c r="B10" s="18" t="s">
        <v>2868</v>
      </c>
      <c r="C10" s="15"/>
      <c r="D10" s="15"/>
      <c r="E10" s="23">
        <v>550000</v>
      </c>
      <c r="F10" s="23">
        <v>385000</v>
      </c>
      <c r="G10" s="23">
        <v>275000</v>
      </c>
      <c r="H10" s="23">
        <v>0</v>
      </c>
    </row>
    <row r="11" spans="1:9">
      <c r="A11" s="36">
        <v>2</v>
      </c>
      <c r="B11" s="18" t="s">
        <v>2853</v>
      </c>
      <c r="C11" s="15"/>
      <c r="D11" s="15"/>
      <c r="E11" s="23">
        <v>435000</v>
      </c>
      <c r="F11" s="23">
        <v>305000</v>
      </c>
      <c r="G11" s="23">
        <v>215000</v>
      </c>
      <c r="H11" s="23">
        <v>0</v>
      </c>
    </row>
    <row r="12" ht="27.6" spans="1:9">
      <c r="A12" s="36">
        <v>3</v>
      </c>
      <c r="B12" s="18" t="s">
        <v>2869</v>
      </c>
      <c r="C12" s="15"/>
      <c r="D12" s="15"/>
      <c r="E12" s="23">
        <v>435000</v>
      </c>
      <c r="F12" s="23">
        <v>305000</v>
      </c>
      <c r="G12" s="23">
        <v>215000</v>
      </c>
      <c r="H12" s="23">
        <v>0</v>
      </c>
    </row>
    <row r="13" spans="1:9">
      <c r="A13" s="47" t="s">
        <v>167</v>
      </c>
      <c r="B13" s="47"/>
      <c r="C13" s="40"/>
      <c r="D13" s="40"/>
      <c r="E13" s="23" t="s">
        <v>16</v>
      </c>
      <c r="F13" s="23" t="s">
        <v>16</v>
      </c>
      <c r="G13" s="23" t="s">
        <v>16</v>
      </c>
      <c r="H13" s="23" t="s">
        <v>16</v>
      </c>
    </row>
    <row r="14" ht="27.6" spans="1:9">
      <c r="A14" s="36"/>
      <c r="B14" s="15" t="s">
        <v>2870</v>
      </c>
      <c r="C14" s="48"/>
      <c r="D14" s="48"/>
      <c r="E14" s="23" t="s">
        <v>16</v>
      </c>
      <c r="F14" s="23" t="s">
        <v>16</v>
      </c>
      <c r="G14" s="23" t="s">
        <v>16</v>
      </c>
      <c r="H14" s="23" t="s">
        <v>16</v>
      </c>
    </row>
    <row r="15" ht="151.8" spans="1:9">
      <c r="A15" s="36">
        <v>4</v>
      </c>
      <c r="B15" s="20" t="s">
        <v>2871</v>
      </c>
      <c r="C15" s="48"/>
      <c r="D15" s="48"/>
      <c r="E15" s="23">
        <v>235000</v>
      </c>
      <c r="F15" s="23">
        <v>160000</v>
      </c>
      <c r="G15" s="23">
        <v>0</v>
      </c>
      <c r="H15" s="23">
        <v>0</v>
      </c>
    </row>
    <row r="16" ht="248.4" spans="1:9">
      <c r="A16" s="36">
        <v>5</v>
      </c>
      <c r="B16" s="20" t="s">
        <v>2872</v>
      </c>
      <c r="C16" s="48"/>
      <c r="D16" s="48"/>
      <c r="E16" s="23">
        <v>200000</v>
      </c>
      <c r="F16" s="23">
        <v>135000</v>
      </c>
      <c r="G16" s="23">
        <v>0</v>
      </c>
      <c r="H16" s="23">
        <v>0</v>
      </c>
    </row>
    <row r="17" spans="1:8">
      <c r="A17" s="36">
        <v>6</v>
      </c>
      <c r="B17" s="18" t="s">
        <v>843</v>
      </c>
      <c r="C17" s="48"/>
      <c r="D17" s="48"/>
      <c r="E17" s="23">
        <v>115000</v>
      </c>
      <c r="F17" s="23">
        <v>0</v>
      </c>
      <c r="G17" s="23">
        <v>0</v>
      </c>
      <c r="H17" s="23">
        <v>0</v>
      </c>
    </row>
    <row r="18" spans="1:8">
      <c r="A18" s="36"/>
      <c r="B18" s="15" t="s">
        <v>2873</v>
      </c>
      <c r="C18" s="48"/>
      <c r="D18" s="48"/>
      <c r="E18" s="23" t="s">
        <v>16</v>
      </c>
      <c r="F18" s="23" t="s">
        <v>16</v>
      </c>
      <c r="G18" s="23" t="s">
        <v>16</v>
      </c>
      <c r="H18" s="23" t="s">
        <v>16</v>
      </c>
    </row>
    <row r="19" ht="151.8" spans="1:8">
      <c r="A19" s="36">
        <v>7</v>
      </c>
      <c r="B19" s="20" t="s">
        <v>2874</v>
      </c>
      <c r="C19" s="48"/>
      <c r="D19" s="48"/>
      <c r="E19" s="23">
        <v>365000</v>
      </c>
      <c r="F19" s="23">
        <v>255000</v>
      </c>
      <c r="G19" s="23">
        <v>0</v>
      </c>
      <c r="H19" s="23">
        <v>0</v>
      </c>
    </row>
    <row r="20" ht="179.4" spans="1:8">
      <c r="A20" s="36">
        <v>8</v>
      </c>
      <c r="B20" s="20" t="s">
        <v>2875</v>
      </c>
      <c r="C20" s="48"/>
      <c r="D20" s="48"/>
      <c r="E20" s="23">
        <v>300000</v>
      </c>
      <c r="F20" s="23">
        <v>210000</v>
      </c>
      <c r="G20" s="23">
        <v>0</v>
      </c>
      <c r="H20" s="23">
        <v>0</v>
      </c>
    </row>
    <row r="21" spans="1:8">
      <c r="A21" s="36">
        <v>9</v>
      </c>
      <c r="B21" s="18" t="s">
        <v>843</v>
      </c>
      <c r="C21" s="48"/>
      <c r="D21" s="48"/>
      <c r="E21" s="23">
        <v>175000</v>
      </c>
      <c r="F21" s="23">
        <v>0</v>
      </c>
      <c r="G21" s="23">
        <v>0</v>
      </c>
      <c r="H21" s="23">
        <v>0</v>
      </c>
    </row>
    <row r="22" spans="1:8">
      <c r="A22" s="20"/>
      <c r="B22" s="20"/>
      <c r="C22" s="18"/>
      <c r="D22" s="18"/>
      <c r="E22" s="23" t="s">
        <v>16</v>
      </c>
      <c r="F22" s="23" t="s">
        <v>16</v>
      </c>
      <c r="G22" s="23" t="s">
        <v>16</v>
      </c>
      <c r="H22" s="23" t="s">
        <v>16</v>
      </c>
    </row>
    <row r="23" spans="1:8">
      <c r="A23" s="20"/>
      <c r="B23" s="20"/>
      <c r="C23" s="18"/>
      <c r="D23" s="18"/>
      <c r="E23" s="23" t="s">
        <v>16</v>
      </c>
      <c r="F23" s="23" t="s">
        <v>16</v>
      </c>
      <c r="G23" s="23" t="s">
        <v>16</v>
      </c>
      <c r="H23" s="23" t="s">
        <v>16</v>
      </c>
    </row>
    <row r="24" spans="1:8">
      <c r="A24" s="20"/>
      <c r="B24" s="20"/>
      <c r="C24" s="18"/>
      <c r="D24" s="18"/>
      <c r="E24" s="23" t="s">
        <v>16</v>
      </c>
      <c r="F24" s="23" t="s">
        <v>16</v>
      </c>
      <c r="G24" s="23" t="s">
        <v>16</v>
      </c>
      <c r="H24" s="23" t="s">
        <v>16</v>
      </c>
    </row>
    <row r="25" spans="1:8">
      <c r="A25" s="20"/>
      <c r="B25" s="20"/>
      <c r="C25" s="18"/>
      <c r="D25" s="18"/>
      <c r="E25" s="23" t="s">
        <v>16</v>
      </c>
      <c r="F25" s="23" t="s">
        <v>16</v>
      </c>
      <c r="G25" s="23" t="s">
        <v>16</v>
      </c>
      <c r="H25" s="23" t="s">
        <v>16</v>
      </c>
    </row>
    <row r="26" spans="1:8">
      <c r="A26" s="20"/>
      <c r="B26" s="20"/>
      <c r="C26" s="18"/>
      <c r="D26" s="18"/>
      <c r="E26" s="23" t="s">
        <v>16</v>
      </c>
      <c r="F26" s="23" t="s">
        <v>16</v>
      </c>
      <c r="G26" s="23" t="s">
        <v>16</v>
      </c>
      <c r="H26" s="23" t="s">
        <v>16</v>
      </c>
    </row>
    <row r="27" spans="1:8">
      <c r="A27" s="20"/>
      <c r="B27" s="20"/>
      <c r="C27" s="18"/>
      <c r="D27" s="18"/>
      <c r="E27" s="23" t="s">
        <v>16</v>
      </c>
      <c r="F27" s="23" t="s">
        <v>16</v>
      </c>
      <c r="G27" s="23" t="s">
        <v>16</v>
      </c>
      <c r="H27" s="23" t="s">
        <v>16</v>
      </c>
    </row>
    <row r="28" spans="1:8">
      <c r="A28" s="20"/>
      <c r="B28" s="20"/>
      <c r="C28" s="18"/>
      <c r="D28" s="18"/>
      <c r="E28" s="23" t="s">
        <v>16</v>
      </c>
      <c r="F28" s="23" t="s">
        <v>16</v>
      </c>
      <c r="G28" s="23" t="s">
        <v>16</v>
      </c>
      <c r="H28" s="23" t="s">
        <v>16</v>
      </c>
    </row>
    <row r="29" spans="1:8">
      <c r="A29" s="20"/>
      <c r="B29" s="20"/>
      <c r="C29" s="18"/>
      <c r="D29" s="18"/>
      <c r="E29" s="23" t="s">
        <v>16</v>
      </c>
      <c r="F29" s="23" t="s">
        <v>16</v>
      </c>
      <c r="G29" s="23" t="s">
        <v>16</v>
      </c>
      <c r="H29" s="23" t="s">
        <v>16</v>
      </c>
    </row>
    <row r="30" spans="1:8">
      <c r="A30" s="16"/>
      <c r="B30" s="20"/>
      <c r="C30" s="18"/>
      <c r="D30" s="18"/>
      <c r="E30" s="23" t="s">
        <v>16</v>
      </c>
      <c r="F30" s="23" t="s">
        <v>16</v>
      </c>
      <c r="G30" s="23" t="s">
        <v>16</v>
      </c>
      <c r="H30" s="23" t="s">
        <v>16</v>
      </c>
    </row>
    <row r="31" spans="1:8">
      <c r="A31" s="20"/>
      <c r="B31" s="20"/>
      <c r="C31" s="18"/>
      <c r="D31" s="18"/>
      <c r="E31" s="23" t="s">
        <v>16</v>
      </c>
      <c r="F31" s="23" t="s">
        <v>16</v>
      </c>
      <c r="G31" s="23" t="s">
        <v>16</v>
      </c>
      <c r="H31" s="23" t="s">
        <v>16</v>
      </c>
    </row>
    <row r="32" spans="1:8">
      <c r="A32" s="20"/>
      <c r="B32" s="20"/>
      <c r="C32" s="18"/>
      <c r="D32" s="18"/>
      <c r="E32" s="23" t="s">
        <v>16</v>
      </c>
      <c r="F32" s="23" t="s">
        <v>16</v>
      </c>
      <c r="G32" s="23" t="s">
        <v>16</v>
      </c>
      <c r="H32" s="23" t="s">
        <v>16</v>
      </c>
    </row>
    <row r="33" spans="1:8">
      <c r="A33" s="20"/>
      <c r="B33" s="20"/>
      <c r="C33" s="18"/>
      <c r="D33" s="18"/>
      <c r="E33" s="23" t="s">
        <v>16</v>
      </c>
      <c r="F33" s="23" t="s">
        <v>16</v>
      </c>
      <c r="G33" s="23" t="s">
        <v>16</v>
      </c>
      <c r="H33" s="23" t="s">
        <v>16</v>
      </c>
    </row>
    <row r="34" spans="1:8">
      <c r="A34" s="20"/>
      <c r="B34" s="20"/>
      <c r="C34" s="18"/>
      <c r="D34" s="18"/>
      <c r="E34" s="23" t="s">
        <v>16</v>
      </c>
      <c r="F34" s="23" t="s">
        <v>16</v>
      </c>
      <c r="G34" s="23" t="s">
        <v>16</v>
      </c>
      <c r="H34" s="23" t="s">
        <v>16</v>
      </c>
    </row>
    <row r="35" spans="1:8">
      <c r="A35" s="20"/>
      <c r="B35" s="20"/>
      <c r="C35" s="18"/>
      <c r="D35" s="18"/>
      <c r="E35" s="23" t="s">
        <v>16</v>
      </c>
      <c r="F35" s="23" t="s">
        <v>16</v>
      </c>
      <c r="G35" s="23" t="s">
        <v>16</v>
      </c>
      <c r="H35" s="23" t="s">
        <v>16</v>
      </c>
    </row>
    <row r="36" spans="1:8">
      <c r="A36" s="20"/>
      <c r="B36" s="20"/>
      <c r="C36" s="18"/>
      <c r="D36" s="18"/>
      <c r="E36" s="23" t="s">
        <v>16</v>
      </c>
      <c r="F36" s="23" t="s">
        <v>16</v>
      </c>
      <c r="G36" s="23" t="s">
        <v>16</v>
      </c>
      <c r="H36" s="23" t="s">
        <v>16</v>
      </c>
    </row>
    <row r="37" spans="1:8">
      <c r="A37" s="20"/>
      <c r="B37" s="20"/>
      <c r="C37" s="18"/>
      <c r="D37" s="18"/>
      <c r="E37" s="23" t="s">
        <v>16</v>
      </c>
      <c r="F37" s="23" t="s">
        <v>16</v>
      </c>
      <c r="G37" s="23" t="s">
        <v>16</v>
      </c>
      <c r="H37" s="23" t="s">
        <v>16</v>
      </c>
    </row>
    <row r="38" spans="1:8">
      <c r="A38" s="20"/>
      <c r="B38" s="20"/>
      <c r="C38" s="18"/>
      <c r="D38" s="18"/>
      <c r="E38" s="23" t="s">
        <v>16</v>
      </c>
      <c r="F38" s="23" t="s">
        <v>16</v>
      </c>
      <c r="G38" s="23" t="s">
        <v>16</v>
      </c>
      <c r="H38" s="23" t="s">
        <v>16</v>
      </c>
    </row>
    <row r="39" spans="1:8">
      <c r="A39" s="20"/>
      <c r="B39" s="20"/>
      <c r="C39" s="18"/>
      <c r="D39" s="18"/>
      <c r="E39" s="23" t="s">
        <v>16</v>
      </c>
      <c r="F39" s="23" t="s">
        <v>16</v>
      </c>
      <c r="G39" s="23" t="s">
        <v>16</v>
      </c>
      <c r="H39" s="23" t="s">
        <v>16</v>
      </c>
    </row>
    <row r="40" spans="1:8">
      <c r="A40" s="20"/>
      <c r="B40" s="20"/>
      <c r="C40" s="18"/>
      <c r="D40" s="18"/>
      <c r="E40" s="23" t="s">
        <v>16</v>
      </c>
      <c r="F40" s="23" t="s">
        <v>16</v>
      </c>
      <c r="G40" s="23" t="s">
        <v>16</v>
      </c>
      <c r="H40" s="23" t="s">
        <v>16</v>
      </c>
    </row>
    <row r="41" spans="1:8">
      <c r="A41" s="20"/>
      <c r="B41" s="20"/>
      <c r="C41" s="18"/>
      <c r="D41" s="18"/>
      <c r="E41" s="23" t="s">
        <v>16</v>
      </c>
      <c r="F41" s="23" t="s">
        <v>16</v>
      </c>
      <c r="G41" s="23" t="s">
        <v>16</v>
      </c>
      <c r="H41" s="23" t="s">
        <v>16</v>
      </c>
    </row>
    <row r="42" spans="1:8">
      <c r="A42" s="20"/>
      <c r="B42" s="20"/>
      <c r="C42" s="18"/>
      <c r="D42" s="18"/>
      <c r="E42" s="23" t="s">
        <v>16</v>
      </c>
      <c r="F42" s="23" t="s">
        <v>16</v>
      </c>
      <c r="G42" s="23" t="s">
        <v>16</v>
      </c>
      <c r="H42" s="23" t="s">
        <v>16</v>
      </c>
    </row>
    <row r="43" spans="1:8">
      <c r="A43" s="20"/>
      <c r="B43" s="20"/>
      <c r="C43" s="18"/>
      <c r="D43" s="18"/>
      <c r="E43" s="23" t="s">
        <v>16</v>
      </c>
      <c r="F43" s="23" t="s">
        <v>16</v>
      </c>
      <c r="G43" s="23" t="s">
        <v>16</v>
      </c>
      <c r="H43" s="23" t="s">
        <v>16</v>
      </c>
    </row>
    <row r="44" spans="1:8">
      <c r="A44" s="20"/>
      <c r="B44" s="20"/>
      <c r="C44" s="18"/>
      <c r="D44" s="18"/>
      <c r="E44" s="23" t="s">
        <v>16</v>
      </c>
      <c r="F44" s="23" t="s">
        <v>16</v>
      </c>
      <c r="G44" s="23" t="s">
        <v>16</v>
      </c>
      <c r="H44" s="23" t="s">
        <v>16</v>
      </c>
    </row>
    <row r="45" spans="1:8">
      <c r="A45" s="20"/>
      <c r="B45" s="20"/>
      <c r="C45" s="18"/>
      <c r="D45" s="18"/>
      <c r="E45" s="23" t="s">
        <v>16</v>
      </c>
      <c r="F45" s="23" t="s">
        <v>16</v>
      </c>
      <c r="G45" s="23" t="s">
        <v>16</v>
      </c>
      <c r="H45" s="23" t="s">
        <v>16</v>
      </c>
    </row>
    <row r="46" spans="1:8">
      <c r="A46" s="20"/>
      <c r="B46" s="20"/>
      <c r="C46" s="18"/>
      <c r="D46" s="18"/>
      <c r="E46" s="23" t="s">
        <v>16</v>
      </c>
      <c r="F46" s="23" t="s">
        <v>16</v>
      </c>
      <c r="G46" s="23" t="s">
        <v>16</v>
      </c>
      <c r="H46" s="23" t="s">
        <v>16</v>
      </c>
    </row>
    <row r="47" spans="1:8">
      <c r="A47" s="20"/>
      <c r="B47" s="20"/>
      <c r="C47" s="18"/>
      <c r="D47" s="18"/>
      <c r="E47" s="23" t="s">
        <v>16</v>
      </c>
      <c r="F47" s="23" t="s">
        <v>16</v>
      </c>
      <c r="G47" s="23" t="s">
        <v>16</v>
      </c>
      <c r="H47" s="23" t="s">
        <v>16</v>
      </c>
    </row>
    <row r="48" spans="1:8">
      <c r="A48" s="20"/>
      <c r="B48" s="20"/>
      <c r="C48" s="18"/>
      <c r="D48" s="18"/>
      <c r="E48" s="23" t="s">
        <v>16</v>
      </c>
      <c r="F48" s="23" t="s">
        <v>16</v>
      </c>
      <c r="G48" s="23" t="s">
        <v>16</v>
      </c>
      <c r="H48" s="23" t="s">
        <v>16</v>
      </c>
    </row>
    <row r="49" spans="1:8">
      <c r="A49" s="20"/>
      <c r="B49" s="20"/>
      <c r="C49" s="18"/>
      <c r="D49" s="18"/>
      <c r="E49" s="23" t="s">
        <v>16</v>
      </c>
      <c r="F49" s="23" t="s">
        <v>16</v>
      </c>
      <c r="G49" s="23" t="s">
        <v>16</v>
      </c>
      <c r="H49" s="23" t="s">
        <v>16</v>
      </c>
    </row>
    <row r="50" spans="1:8">
      <c r="A50" s="20"/>
      <c r="B50" s="20"/>
      <c r="C50" s="18"/>
      <c r="D50" s="18"/>
      <c r="E50" s="23" t="s">
        <v>16</v>
      </c>
      <c r="F50" s="23" t="s">
        <v>16</v>
      </c>
      <c r="G50" s="23" t="s">
        <v>16</v>
      </c>
      <c r="H50" s="23" t="s">
        <v>16</v>
      </c>
    </row>
    <row r="51" spans="1:8">
      <c r="A51" s="20"/>
      <c r="B51" s="49"/>
      <c r="C51" s="41"/>
      <c r="D51" s="41"/>
      <c r="E51" s="23" t="s">
        <v>16</v>
      </c>
      <c r="F51" s="23" t="s">
        <v>16</v>
      </c>
      <c r="G51" s="23" t="s">
        <v>16</v>
      </c>
      <c r="H51" s="23" t="s">
        <v>16</v>
      </c>
    </row>
    <row r="52" spans="1:8">
      <c r="A52" s="20"/>
      <c r="B52" s="20"/>
      <c r="C52" s="18"/>
      <c r="D52" s="18"/>
      <c r="E52" s="23" t="s">
        <v>16</v>
      </c>
      <c r="F52" s="23" t="s">
        <v>16</v>
      </c>
      <c r="G52" s="23" t="s">
        <v>16</v>
      </c>
      <c r="H52" s="23" t="s">
        <v>16</v>
      </c>
    </row>
    <row r="53" spans="1:8">
      <c r="A53" s="20"/>
      <c r="B53" s="20"/>
      <c r="C53" s="18"/>
      <c r="D53" s="18"/>
      <c r="E53" s="23" t="s">
        <v>16</v>
      </c>
      <c r="F53" s="23" t="s">
        <v>16</v>
      </c>
      <c r="G53" s="23" t="s">
        <v>16</v>
      </c>
      <c r="H53" s="23" t="s">
        <v>16</v>
      </c>
    </row>
    <row r="54" spans="1:8">
      <c r="A54" s="20"/>
      <c r="B54" s="20"/>
      <c r="C54" s="18"/>
      <c r="D54" s="18"/>
      <c r="E54" s="23" t="s">
        <v>16</v>
      </c>
      <c r="F54" s="23" t="s">
        <v>16</v>
      </c>
      <c r="G54" s="23" t="s">
        <v>16</v>
      </c>
      <c r="H54" s="23" t="s">
        <v>16</v>
      </c>
    </row>
    <row r="55" spans="1:8">
      <c r="A55" s="20"/>
      <c r="B55" s="20"/>
      <c r="C55" s="18"/>
      <c r="D55" s="18"/>
      <c r="E55" s="23" t="s">
        <v>16</v>
      </c>
      <c r="F55" s="23" t="s">
        <v>16</v>
      </c>
      <c r="G55" s="23" t="s">
        <v>16</v>
      </c>
      <c r="H55" s="23" t="s">
        <v>16</v>
      </c>
    </row>
    <row r="56" spans="1:8">
      <c r="A56" s="20"/>
      <c r="B56" s="20"/>
      <c r="C56" s="18"/>
      <c r="D56" s="18"/>
      <c r="E56" s="23" t="s">
        <v>16</v>
      </c>
      <c r="F56" s="23" t="s">
        <v>16</v>
      </c>
      <c r="G56" s="23" t="s">
        <v>16</v>
      </c>
      <c r="H56" s="23" t="s">
        <v>16</v>
      </c>
    </row>
    <row r="57" spans="1:8">
      <c r="A57" s="20"/>
      <c r="B57" s="20"/>
      <c r="C57" s="18"/>
      <c r="D57" s="18"/>
      <c r="E57" s="23" t="s">
        <v>16</v>
      </c>
      <c r="F57" s="23" t="s">
        <v>16</v>
      </c>
      <c r="G57" s="23" t="s">
        <v>16</v>
      </c>
      <c r="H57" s="23" t="s">
        <v>16</v>
      </c>
    </row>
    <row r="58" spans="1:8">
      <c r="A58" s="20"/>
      <c r="B58" s="20"/>
      <c r="C58" s="18"/>
      <c r="D58" s="18"/>
      <c r="E58" s="23" t="s">
        <v>16</v>
      </c>
      <c r="F58" s="23" t="s">
        <v>16</v>
      </c>
      <c r="G58" s="23" t="s">
        <v>16</v>
      </c>
      <c r="H58" s="23" t="s">
        <v>16</v>
      </c>
    </row>
    <row r="59" spans="1:8">
      <c r="A59" s="20"/>
      <c r="B59" s="20"/>
      <c r="C59" s="18"/>
      <c r="D59" s="18"/>
      <c r="E59" s="23" t="s">
        <v>16</v>
      </c>
      <c r="F59" s="23" t="s">
        <v>16</v>
      </c>
      <c r="G59" s="23" t="s">
        <v>16</v>
      </c>
      <c r="H59" s="23" t="s">
        <v>16</v>
      </c>
    </row>
    <row r="60" spans="1:8">
      <c r="A60" s="20"/>
      <c r="B60" s="20"/>
      <c r="C60" s="18"/>
      <c r="D60" s="18"/>
      <c r="E60" s="23" t="s">
        <v>16</v>
      </c>
      <c r="F60" s="23" t="s">
        <v>16</v>
      </c>
      <c r="G60" s="23" t="s">
        <v>16</v>
      </c>
      <c r="H60" s="23" t="s">
        <v>16</v>
      </c>
    </row>
    <row r="61" spans="1:8">
      <c r="A61" s="20"/>
      <c r="B61" s="20"/>
      <c r="C61" s="18"/>
      <c r="D61" s="18"/>
      <c r="E61" s="23" t="s">
        <v>16</v>
      </c>
      <c r="F61" s="23" t="s">
        <v>16</v>
      </c>
      <c r="G61" s="23" t="s">
        <v>16</v>
      </c>
      <c r="H61" s="23" t="s">
        <v>16</v>
      </c>
    </row>
    <row r="62" spans="1:8">
      <c r="A62" s="20"/>
      <c r="B62" s="20"/>
      <c r="C62" s="18"/>
      <c r="D62" s="18"/>
      <c r="E62" s="23" t="s">
        <v>16</v>
      </c>
      <c r="F62" s="23" t="s">
        <v>16</v>
      </c>
      <c r="G62" s="23" t="s">
        <v>16</v>
      </c>
      <c r="H62" s="23" t="s">
        <v>16</v>
      </c>
    </row>
    <row r="63" spans="1:8">
      <c r="A63" s="20"/>
      <c r="B63" s="20"/>
      <c r="C63" s="18"/>
      <c r="D63" s="18"/>
      <c r="E63" s="23" t="s">
        <v>16</v>
      </c>
      <c r="F63" s="23" t="s">
        <v>16</v>
      </c>
      <c r="G63" s="23" t="s">
        <v>16</v>
      </c>
      <c r="H63" s="23" t="s">
        <v>16</v>
      </c>
    </row>
    <row r="64" spans="1:8">
      <c r="A64" s="20"/>
      <c r="B64" s="20"/>
      <c r="C64" s="18"/>
      <c r="D64" s="18"/>
      <c r="E64" s="23" t="s">
        <v>16</v>
      </c>
      <c r="F64" s="23" t="s">
        <v>16</v>
      </c>
      <c r="G64" s="23" t="s">
        <v>16</v>
      </c>
      <c r="H64" s="23" t="s">
        <v>16</v>
      </c>
    </row>
    <row r="65" spans="1:8">
      <c r="A65" s="20"/>
      <c r="B65" s="20"/>
      <c r="C65" s="18"/>
      <c r="D65" s="18"/>
      <c r="E65" s="23" t="s">
        <v>16</v>
      </c>
      <c r="F65" s="23" t="s">
        <v>16</v>
      </c>
      <c r="G65" s="23" t="s">
        <v>16</v>
      </c>
      <c r="H65" s="23" t="s">
        <v>16</v>
      </c>
    </row>
    <row r="66" spans="1:8">
      <c r="A66" s="20"/>
      <c r="B66" s="20"/>
      <c r="C66" s="18"/>
      <c r="D66" s="18"/>
      <c r="E66" s="23" t="s">
        <v>16</v>
      </c>
      <c r="F66" s="23" t="s">
        <v>16</v>
      </c>
      <c r="G66" s="23" t="s">
        <v>16</v>
      </c>
      <c r="H66" s="23" t="s">
        <v>16</v>
      </c>
    </row>
    <row r="67" spans="1:8">
      <c r="A67" s="20"/>
      <c r="B67" s="20"/>
      <c r="C67" s="18"/>
      <c r="D67" s="18"/>
      <c r="E67" s="23" t="s">
        <v>16</v>
      </c>
      <c r="F67" s="23" t="s">
        <v>16</v>
      </c>
      <c r="G67" s="23" t="s">
        <v>16</v>
      </c>
      <c r="H67" s="23" t="s">
        <v>16</v>
      </c>
    </row>
    <row r="68" spans="1:8">
      <c r="A68" s="20"/>
      <c r="B68" s="20"/>
      <c r="C68" s="18"/>
      <c r="D68" s="18"/>
      <c r="E68" s="23" t="s">
        <v>16</v>
      </c>
      <c r="F68" s="23" t="s">
        <v>16</v>
      </c>
      <c r="G68" s="23" t="s">
        <v>16</v>
      </c>
      <c r="H68" s="23" t="s">
        <v>16</v>
      </c>
    </row>
    <row r="69" spans="1:8">
      <c r="A69" s="20"/>
      <c r="B69" s="20"/>
      <c r="C69" s="18"/>
      <c r="D69" s="18"/>
      <c r="E69" s="23" t="s">
        <v>16</v>
      </c>
      <c r="F69" s="23" t="s">
        <v>16</v>
      </c>
      <c r="G69" s="23" t="s">
        <v>16</v>
      </c>
      <c r="H69" s="23" t="s">
        <v>16</v>
      </c>
    </row>
    <row r="70" spans="1:8">
      <c r="A70" s="20"/>
      <c r="B70" s="20"/>
      <c r="C70" s="18"/>
      <c r="D70" s="18"/>
      <c r="E70" s="23" t="s">
        <v>16</v>
      </c>
      <c r="F70" s="23" t="s">
        <v>16</v>
      </c>
      <c r="G70" s="23" t="s">
        <v>16</v>
      </c>
      <c r="H70" s="23" t="s">
        <v>16</v>
      </c>
    </row>
    <row r="71" spans="1:8">
      <c r="A71" s="20"/>
      <c r="B71" s="20"/>
      <c r="C71" s="18"/>
      <c r="D71" s="18"/>
      <c r="E71" s="23" t="s">
        <v>16</v>
      </c>
      <c r="F71" s="23" t="s">
        <v>16</v>
      </c>
      <c r="G71" s="23" t="s">
        <v>16</v>
      </c>
      <c r="H71" s="23" t="s">
        <v>16</v>
      </c>
    </row>
    <row r="72" spans="1:8">
      <c r="A72" s="20"/>
      <c r="B72" s="20"/>
      <c r="C72" s="18"/>
      <c r="D72" s="18"/>
      <c r="E72" s="23" t="s">
        <v>16</v>
      </c>
      <c r="F72" s="23" t="s">
        <v>16</v>
      </c>
      <c r="G72" s="23" t="s">
        <v>16</v>
      </c>
      <c r="H72" s="23" t="s">
        <v>16</v>
      </c>
    </row>
    <row r="73" spans="1:8">
      <c r="A73" s="20"/>
      <c r="B73" s="20"/>
      <c r="C73" s="18"/>
      <c r="D73" s="18"/>
      <c r="E73" s="23" t="s">
        <v>16</v>
      </c>
      <c r="F73" s="23" t="s">
        <v>16</v>
      </c>
      <c r="G73" s="23" t="s">
        <v>16</v>
      </c>
      <c r="H73" s="23" t="s">
        <v>16</v>
      </c>
    </row>
    <row r="74" spans="1:8">
      <c r="A74" s="20"/>
      <c r="B74" s="20"/>
      <c r="C74" s="18"/>
      <c r="D74" s="18"/>
      <c r="E74" s="23" t="s">
        <v>16</v>
      </c>
      <c r="F74" s="23" t="s">
        <v>16</v>
      </c>
      <c r="G74" s="23" t="s">
        <v>16</v>
      </c>
      <c r="H74" s="23" t="s">
        <v>16</v>
      </c>
    </row>
    <row r="75" spans="1:8">
      <c r="A75" s="20"/>
      <c r="B75" s="20"/>
      <c r="C75" s="18"/>
      <c r="D75" s="18"/>
      <c r="E75" s="23" t="s">
        <v>16</v>
      </c>
      <c r="F75" s="23" t="s">
        <v>16</v>
      </c>
      <c r="G75" s="23" t="s">
        <v>16</v>
      </c>
      <c r="H75" s="23" t="s">
        <v>16</v>
      </c>
    </row>
    <row r="76" spans="1:8">
      <c r="A76" s="20"/>
      <c r="B76" s="20"/>
      <c r="C76" s="18"/>
      <c r="D76" s="18"/>
      <c r="E76" s="23" t="s">
        <v>16</v>
      </c>
      <c r="F76" s="23" t="s">
        <v>16</v>
      </c>
      <c r="G76" s="23" t="s">
        <v>16</v>
      </c>
      <c r="H76" s="23" t="s">
        <v>16</v>
      </c>
    </row>
    <row r="77" spans="1:8">
      <c r="A77" s="20"/>
      <c r="B77" s="20"/>
      <c r="C77" s="18"/>
      <c r="D77" s="18"/>
      <c r="E77" s="23" t="s">
        <v>16</v>
      </c>
      <c r="F77" s="23" t="s">
        <v>16</v>
      </c>
      <c r="G77" s="23" t="s">
        <v>16</v>
      </c>
      <c r="H77" s="23" t="s">
        <v>16</v>
      </c>
    </row>
    <row r="78" spans="1:8">
      <c r="A78" s="20"/>
      <c r="B78" s="20"/>
      <c r="C78" s="18"/>
      <c r="D78" s="18"/>
      <c r="E78" s="23" t="s">
        <v>16</v>
      </c>
      <c r="F78" s="23" t="s">
        <v>16</v>
      </c>
      <c r="G78" s="23" t="s">
        <v>16</v>
      </c>
      <c r="H78" s="23" t="s">
        <v>16</v>
      </c>
    </row>
    <row r="79" spans="1:8">
      <c r="A79" s="20"/>
      <c r="B79" s="42"/>
      <c r="C79" s="43"/>
      <c r="D79" s="43"/>
      <c r="E79" s="23" t="s">
        <v>16</v>
      </c>
      <c r="F79" s="23" t="s">
        <v>16</v>
      </c>
      <c r="G79" s="23" t="s">
        <v>16</v>
      </c>
      <c r="H79" s="23" t="s">
        <v>16</v>
      </c>
    </row>
    <row r="80" spans="1:8">
      <c r="A80" s="20"/>
      <c r="B80" s="20"/>
      <c r="C80" s="18"/>
      <c r="D80" s="18"/>
      <c r="E80" s="23" t="s">
        <v>16</v>
      </c>
      <c r="F80" s="23" t="s">
        <v>16</v>
      </c>
      <c r="G80" s="23" t="s">
        <v>16</v>
      </c>
      <c r="H80" s="23" t="s">
        <v>16</v>
      </c>
    </row>
    <row r="81" spans="1:8">
      <c r="A81" s="20"/>
      <c r="B81" s="20"/>
      <c r="C81" s="18"/>
      <c r="D81" s="18"/>
      <c r="E81" s="23" t="s">
        <v>16</v>
      </c>
      <c r="F81" s="23" t="s">
        <v>16</v>
      </c>
      <c r="G81" s="23" t="s">
        <v>16</v>
      </c>
      <c r="H81" s="23" t="s">
        <v>16</v>
      </c>
    </row>
    <row r="82" spans="1:8">
      <c r="A82" s="20"/>
      <c r="B82" s="20"/>
      <c r="C82" s="18"/>
      <c r="D82" s="18"/>
      <c r="E82" s="23" t="s">
        <v>16</v>
      </c>
      <c r="F82" s="23" t="s">
        <v>16</v>
      </c>
      <c r="G82" s="23" t="s">
        <v>16</v>
      </c>
      <c r="H82" s="23" t="s">
        <v>16</v>
      </c>
    </row>
    <row r="83" spans="1:8">
      <c r="A83" s="27"/>
      <c r="C83" s="28"/>
      <c r="D83" s="28"/>
      <c r="E83" s="23" t="s">
        <v>16</v>
      </c>
      <c r="F83" s="23" t="s">
        <v>16</v>
      </c>
      <c r="G83" s="23" t="s">
        <v>16</v>
      </c>
      <c r="H83" s="23" t="s">
        <v>16</v>
      </c>
    </row>
    <row r="84" spans="1:8">
      <c r="A84" s="27"/>
      <c r="C84" s="28"/>
      <c r="D84" s="28"/>
      <c r="E84" s="23" t="s">
        <v>16</v>
      </c>
      <c r="F84" s="23" t="s">
        <v>16</v>
      </c>
      <c r="G84" s="23" t="s">
        <v>16</v>
      </c>
      <c r="H84" s="23" t="s">
        <v>16</v>
      </c>
    </row>
    <row r="85" spans="1:8">
      <c r="A85" s="27"/>
      <c r="C85" s="28"/>
      <c r="D85" s="28"/>
      <c r="E85" s="23" t="s">
        <v>16</v>
      </c>
      <c r="F85" s="23" t="s">
        <v>16</v>
      </c>
      <c r="G85" s="23" t="s">
        <v>16</v>
      </c>
      <c r="H85" s="23" t="s">
        <v>16</v>
      </c>
    </row>
    <row r="86" spans="1:8">
      <c r="A86" s="27"/>
      <c r="C86" s="28"/>
      <c r="D86" s="28"/>
      <c r="E86" s="23" t="s">
        <v>16</v>
      </c>
      <c r="F86" s="23" t="s">
        <v>16</v>
      </c>
      <c r="G86" s="23" t="s">
        <v>16</v>
      </c>
      <c r="H86" s="23" t="s">
        <v>16</v>
      </c>
    </row>
    <row r="87" spans="1:8">
      <c r="A87" s="27"/>
      <c r="C87" s="28"/>
      <c r="D87" s="28"/>
      <c r="E87" s="23" t="s">
        <v>16</v>
      </c>
      <c r="F87" s="23" t="s">
        <v>16</v>
      </c>
      <c r="G87" s="23" t="s">
        <v>16</v>
      </c>
      <c r="H87" s="23" t="s">
        <v>16</v>
      </c>
    </row>
    <row r="88" spans="1:8">
      <c r="A88" s="27"/>
      <c r="C88" s="28"/>
      <c r="D88" s="28"/>
      <c r="E88" s="23" t="s">
        <v>16</v>
      </c>
      <c r="F88" s="23" t="s">
        <v>16</v>
      </c>
      <c r="G88" s="23" t="s">
        <v>16</v>
      </c>
      <c r="H88" s="23" t="s">
        <v>16</v>
      </c>
    </row>
    <row r="89" spans="1:8">
      <c r="A89" s="27"/>
      <c r="C89" s="28"/>
      <c r="D89" s="28"/>
      <c r="E89" s="23" t="s">
        <v>16</v>
      </c>
      <c r="F89" s="23" t="s">
        <v>16</v>
      </c>
      <c r="G89" s="23" t="s">
        <v>16</v>
      </c>
      <c r="H89" s="23" t="s">
        <v>16</v>
      </c>
    </row>
    <row r="90" spans="1:8">
      <c r="A90" s="27"/>
      <c r="C90" s="28"/>
      <c r="D90" s="2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c r="F201" s="23"/>
      <c r="G201" s="23"/>
      <c r="H201" s="23"/>
    </row>
    <row r="202" spans="1:8">
      <c r="A202" s="27"/>
      <c r="C202" s="28"/>
      <c r="D202" s="28"/>
      <c r="E202" s="23"/>
      <c r="F202" s="23"/>
      <c r="G202" s="23"/>
      <c r="H202" s="23"/>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50"/>
      <c r="F222" s="50"/>
      <c r="G222" s="50"/>
      <c r="H222" s="50"/>
    </row>
    <row r="223" spans="1:8">
      <c r="A223" s="27"/>
      <c r="C223" s="28"/>
      <c r="D223" s="28"/>
      <c r="E223" s="50"/>
      <c r="F223" s="50"/>
      <c r="G223" s="50"/>
      <c r="H223" s="50"/>
    </row>
    <row r="224" spans="1:8">
      <c r="A224" s="27"/>
      <c r="C224" s="28"/>
      <c r="D224" s="28"/>
      <c r="E224" s="50"/>
      <c r="F224" s="50"/>
      <c r="G224" s="50"/>
      <c r="H224" s="50"/>
    </row>
    <row r="225" spans="1:8">
      <c r="A225" s="27"/>
      <c r="C225" s="28"/>
      <c r="D225" s="28"/>
      <c r="E225" s="50"/>
      <c r="F225" s="50"/>
      <c r="G225" s="50"/>
      <c r="H225" s="50"/>
    </row>
    <row r="226" spans="1:8">
      <c r="A226" s="27"/>
      <c r="C226" s="28"/>
      <c r="D226" s="28"/>
      <c r="E226" s="50"/>
      <c r="F226" s="50"/>
      <c r="G226" s="50"/>
      <c r="H226" s="50"/>
    </row>
    <row r="227" spans="1:8">
      <c r="A227" s="27"/>
      <c r="C227" s="28"/>
      <c r="D227" s="28"/>
      <c r="E227" s="50"/>
      <c r="F227" s="50"/>
      <c r="G227" s="50"/>
      <c r="H227" s="50"/>
    </row>
    <row r="228" spans="1:8">
      <c r="A228" s="27"/>
      <c r="C228" s="28"/>
      <c r="D228" s="28"/>
      <c r="E228" s="50"/>
      <c r="F228" s="50"/>
      <c r="G228" s="50"/>
      <c r="H228" s="50"/>
    </row>
    <row r="229" spans="1:8">
      <c r="A229" s="27"/>
      <c r="C229" s="28"/>
      <c r="D229" s="28"/>
      <c r="E229" s="50"/>
      <c r="F229" s="50"/>
      <c r="G229" s="50"/>
      <c r="H229" s="50"/>
    </row>
    <row r="230" spans="1:8">
      <c r="A230" s="27"/>
      <c r="C230" s="28"/>
      <c r="D230" s="28"/>
      <c r="E230" s="50"/>
      <c r="F230" s="50"/>
      <c r="G230" s="50"/>
      <c r="H230" s="50"/>
    </row>
    <row r="231" spans="1:8">
      <c r="A231" s="27"/>
      <c r="C231" s="28"/>
      <c r="D231" s="28"/>
      <c r="E231" s="50"/>
      <c r="F231" s="50"/>
      <c r="G231" s="50"/>
      <c r="H231" s="50"/>
    </row>
    <row r="232" spans="1:8">
      <c r="A232" s="27"/>
      <c r="C232" s="28"/>
      <c r="D232" s="28"/>
      <c r="E232" s="50"/>
      <c r="F232" s="50"/>
      <c r="G232" s="50"/>
      <c r="H232" s="50"/>
    </row>
    <row r="233" spans="1:8">
      <c r="A233" s="27"/>
      <c r="C233" s="28"/>
      <c r="D233" s="28"/>
      <c r="E233" s="50"/>
      <c r="F233" s="50"/>
      <c r="G233" s="50"/>
      <c r="H233" s="50"/>
    </row>
    <row r="234" spans="1:8">
      <c r="A234" s="27"/>
      <c r="C234" s="28"/>
      <c r="D234" s="28"/>
      <c r="E234" s="50"/>
      <c r="F234" s="50"/>
      <c r="G234" s="50"/>
      <c r="H234" s="50"/>
    </row>
    <row r="235" spans="1:8">
      <c r="A235" s="27"/>
      <c r="C235" s="28"/>
      <c r="D235" s="28"/>
      <c r="E235" s="50"/>
      <c r="F235" s="50"/>
      <c r="G235" s="50"/>
      <c r="H235" s="50"/>
    </row>
    <row r="236" spans="1:8">
      <c r="A236" s="27"/>
      <c r="C236" s="28"/>
      <c r="D236" s="28"/>
      <c r="E236" s="50"/>
      <c r="F236" s="50"/>
      <c r="G236" s="50"/>
      <c r="H236" s="50"/>
    </row>
    <row r="237" spans="1:8">
      <c r="A237" s="27"/>
      <c r="C237" s="28"/>
      <c r="D237" s="28"/>
      <c r="E237" s="50"/>
      <c r="F237" s="50"/>
      <c r="G237" s="50"/>
      <c r="H237" s="50"/>
    </row>
    <row r="238" spans="1:8">
      <c r="A238" s="27"/>
      <c r="C238" s="28"/>
      <c r="D238" s="28"/>
      <c r="E238" s="50"/>
      <c r="F238" s="50"/>
      <c r="G238" s="50"/>
      <c r="H238" s="50"/>
    </row>
    <row r="239" spans="1:8">
      <c r="A239" s="27"/>
      <c r="C239" s="28"/>
      <c r="D239" s="28"/>
      <c r="E239" s="50"/>
      <c r="F239" s="50"/>
      <c r="G239" s="50"/>
      <c r="H239" s="50"/>
    </row>
    <row r="240" spans="1:8">
      <c r="A240" s="27"/>
      <c r="C240" s="28"/>
      <c r="D240" s="28"/>
      <c r="E240" s="50"/>
      <c r="F240" s="50"/>
      <c r="G240" s="50"/>
      <c r="H240" s="50"/>
    </row>
    <row r="241" spans="1:8">
      <c r="A241" s="27"/>
      <c r="C241" s="28"/>
      <c r="D241" s="28"/>
      <c r="E241" s="50"/>
      <c r="F241" s="50"/>
      <c r="G241" s="50"/>
      <c r="H241" s="50"/>
    </row>
    <row r="242" spans="1:8">
      <c r="A242" s="27"/>
      <c r="C242" s="28"/>
      <c r="D242" s="28"/>
      <c r="E242" s="50"/>
      <c r="F242" s="50"/>
      <c r="G242" s="50"/>
      <c r="H242" s="50"/>
    </row>
    <row r="243" spans="1:8">
      <c r="A243" s="27"/>
      <c r="C243" s="28"/>
      <c r="D243" s="28"/>
      <c r="E243" s="50"/>
      <c r="F243" s="50"/>
      <c r="G243" s="50"/>
      <c r="H243" s="50"/>
    </row>
    <row r="244" spans="1:8">
      <c r="A244" s="27"/>
      <c r="C244" s="28"/>
      <c r="D244" s="28"/>
      <c r="E244" s="50"/>
      <c r="F244" s="50"/>
      <c r="G244" s="50"/>
      <c r="H244" s="50"/>
    </row>
    <row r="245" spans="1:8">
      <c r="A245" s="27"/>
      <c r="C245" s="28"/>
      <c r="D245" s="28"/>
      <c r="E245" s="50"/>
      <c r="F245" s="50"/>
      <c r="G245" s="50"/>
      <c r="H245" s="50"/>
    </row>
    <row r="246" spans="1:8">
      <c r="A246" s="27"/>
      <c r="C246" s="28"/>
      <c r="D246" s="28"/>
      <c r="E246" s="50"/>
      <c r="F246" s="50"/>
      <c r="G246" s="50"/>
      <c r="H246" s="50"/>
    </row>
    <row r="247" spans="1:8">
      <c r="A247" s="27"/>
      <c r="C247" s="28"/>
      <c r="D247" s="28"/>
      <c r="E247" s="50"/>
      <c r="F247" s="50"/>
      <c r="G247" s="50"/>
      <c r="H247" s="50"/>
    </row>
    <row r="248" spans="1:8">
      <c r="A248" s="27"/>
      <c r="C248" s="28"/>
      <c r="D248" s="28"/>
      <c r="E248" s="50"/>
      <c r="F248" s="50"/>
      <c r="G248" s="50"/>
      <c r="H248" s="50"/>
    </row>
    <row r="249" spans="1:8">
      <c r="A249" s="27"/>
      <c r="C249" s="28"/>
      <c r="D249" s="28"/>
      <c r="E249" s="50"/>
      <c r="F249" s="50"/>
      <c r="G249" s="50"/>
      <c r="H249" s="50"/>
    </row>
    <row r="250" spans="1:8">
      <c r="A250" s="27"/>
      <c r="C250" s="28"/>
      <c r="D250" s="28"/>
      <c r="E250" s="50"/>
      <c r="F250" s="50"/>
      <c r="G250" s="50"/>
      <c r="H250" s="50"/>
    </row>
    <row r="251" spans="1:8">
      <c r="A251" s="27"/>
      <c r="C251" s="28"/>
      <c r="D251" s="28"/>
      <c r="E251" s="50"/>
      <c r="F251" s="50"/>
      <c r="G251" s="50"/>
      <c r="H251" s="50"/>
    </row>
    <row r="252" spans="1:8">
      <c r="A252" s="27"/>
      <c r="C252" s="28"/>
      <c r="D252" s="28"/>
      <c r="E252" s="50"/>
      <c r="F252" s="50"/>
      <c r="G252" s="50"/>
      <c r="H252" s="50"/>
    </row>
    <row r="253" spans="1:8">
      <c r="A253" s="27"/>
      <c r="C253" s="28"/>
      <c r="D253" s="28"/>
      <c r="E253" s="50"/>
      <c r="F253" s="50"/>
      <c r="G253" s="50"/>
      <c r="H253" s="50"/>
    </row>
    <row r="254" spans="1:8">
      <c r="A254" s="27"/>
      <c r="C254" s="28"/>
      <c r="D254" s="28"/>
      <c r="E254" s="50"/>
      <c r="F254" s="50"/>
      <c r="G254" s="50"/>
      <c r="H254" s="50"/>
    </row>
    <row r="255" spans="1:8">
      <c r="A255" s="27"/>
      <c r="C255" s="28"/>
      <c r="D255" s="28"/>
      <c r="E255" s="50"/>
      <c r="F255" s="50"/>
      <c r="G255" s="50"/>
      <c r="H255" s="50"/>
    </row>
    <row r="256" spans="1:8">
      <c r="A256" s="27"/>
      <c r="C256" s="28"/>
      <c r="D256" s="28"/>
      <c r="E256" s="50"/>
      <c r="F256" s="50"/>
      <c r="G256" s="50"/>
      <c r="H256" s="50"/>
    </row>
    <row r="257" spans="1:8">
      <c r="A257" s="27"/>
      <c r="C257" s="28"/>
      <c r="D257" s="28"/>
      <c r="E257" s="50"/>
      <c r="F257" s="50"/>
      <c r="G257" s="50"/>
      <c r="H257" s="50"/>
    </row>
    <row r="258" spans="1:8">
      <c r="A258" s="27"/>
      <c r="C258" s="28"/>
      <c r="D258" s="28"/>
      <c r="E258" s="50"/>
      <c r="F258" s="50"/>
      <c r="G258" s="50"/>
      <c r="H258" s="50"/>
    </row>
    <row r="259" spans="1:8">
      <c r="A259" s="27"/>
      <c r="C259" s="28"/>
      <c r="D259" s="28"/>
      <c r="E259" s="50"/>
      <c r="F259" s="50"/>
      <c r="G259" s="50"/>
      <c r="H259" s="50"/>
    </row>
    <row r="260" spans="1:8">
      <c r="A260" s="27"/>
      <c r="C260" s="28"/>
      <c r="D260" s="28"/>
      <c r="E260" s="50"/>
      <c r="F260" s="50"/>
      <c r="G260" s="50"/>
      <c r="H260" s="50"/>
    </row>
    <row r="261" spans="1:8">
      <c r="A261" s="27"/>
      <c r="C261" s="28"/>
      <c r="D261" s="28"/>
      <c r="E261" s="50"/>
      <c r="F261" s="50"/>
      <c r="G261" s="50"/>
      <c r="H261" s="50"/>
    </row>
    <row r="262" spans="1:8">
      <c r="A262" s="27"/>
      <c r="C262" s="28"/>
      <c r="D262" s="28"/>
      <c r="E262" s="50"/>
      <c r="F262" s="50"/>
      <c r="G262" s="50"/>
      <c r="H262" s="50"/>
    </row>
    <row r="263" spans="1:8">
      <c r="A263" s="27"/>
      <c r="C263" s="28"/>
      <c r="D263" s="28"/>
      <c r="E263" s="50"/>
      <c r="F263" s="50"/>
      <c r="G263" s="50"/>
      <c r="H263" s="50"/>
    </row>
    <row r="264" spans="1:8">
      <c r="A264" s="27"/>
      <c r="C264" s="28"/>
      <c r="D264" s="28"/>
      <c r="E264" s="50"/>
      <c r="F264" s="50"/>
      <c r="G264" s="50"/>
      <c r="H264" s="50"/>
    </row>
    <row r="265" spans="1:8">
      <c r="A265" s="27"/>
      <c r="C265" s="28"/>
      <c r="D265" s="28"/>
      <c r="E265" s="50"/>
      <c r="F265" s="50"/>
      <c r="G265" s="50"/>
      <c r="H265" s="50"/>
    </row>
    <row r="266" spans="1:8">
      <c r="A266" s="27"/>
      <c r="C266" s="28"/>
      <c r="D266" s="28"/>
      <c r="E266" s="50"/>
      <c r="F266" s="50"/>
      <c r="G266" s="50"/>
      <c r="H266" s="50"/>
    </row>
    <row r="267" spans="1:8">
      <c r="A267" s="27"/>
      <c r="C267" s="28"/>
      <c r="D267" s="28"/>
      <c r="E267" s="50"/>
      <c r="F267" s="50"/>
      <c r="G267" s="50"/>
      <c r="H267" s="50"/>
    </row>
    <row r="268" spans="1:8">
      <c r="A268" s="27"/>
      <c r="C268" s="28"/>
      <c r="D268" s="28"/>
      <c r="E268" s="50"/>
      <c r="F268" s="50"/>
      <c r="G268" s="50"/>
      <c r="H268" s="50"/>
    </row>
    <row r="269" spans="1:8">
      <c r="A269" s="27"/>
      <c r="C269" s="28"/>
      <c r="D269" s="28"/>
      <c r="E269" s="50"/>
      <c r="F269" s="50"/>
      <c r="G269" s="50"/>
      <c r="H269" s="50"/>
    </row>
    <row r="270" spans="1:8">
      <c r="A270" s="27"/>
      <c r="C270" s="28"/>
      <c r="D270" s="28"/>
      <c r="E270" s="50"/>
      <c r="F270" s="50"/>
      <c r="G270" s="50"/>
      <c r="H270" s="50"/>
    </row>
    <row r="271" spans="1:8">
      <c r="A271" s="27"/>
      <c r="C271" s="28"/>
      <c r="D271" s="28"/>
      <c r="E271" s="50"/>
      <c r="F271" s="50"/>
      <c r="G271" s="50"/>
      <c r="H271" s="50"/>
    </row>
    <row r="272" spans="1:8">
      <c r="A272" s="27"/>
      <c r="C272" s="28"/>
      <c r="D272" s="28"/>
      <c r="E272" s="50"/>
      <c r="F272" s="50"/>
      <c r="G272" s="50"/>
      <c r="H272" s="50"/>
    </row>
    <row r="273" spans="1:8">
      <c r="A273" s="27"/>
      <c r="C273" s="28"/>
      <c r="D273" s="28"/>
      <c r="E273" s="50"/>
      <c r="F273" s="50"/>
      <c r="G273" s="50"/>
      <c r="H273" s="50"/>
    </row>
    <row r="274" spans="1:8">
      <c r="A274" s="27"/>
      <c r="C274" s="28"/>
      <c r="D274" s="28"/>
      <c r="E274" s="50"/>
      <c r="F274" s="50"/>
      <c r="G274" s="50"/>
      <c r="H274" s="50"/>
    </row>
    <row r="275" spans="1:8">
      <c r="A275" s="27"/>
      <c r="C275" s="28"/>
      <c r="D275" s="28"/>
      <c r="E275" s="50"/>
      <c r="F275" s="50"/>
      <c r="G275" s="50"/>
      <c r="H275" s="50"/>
    </row>
    <row r="276" spans="1:8">
      <c r="A276" s="27"/>
      <c r="C276" s="28"/>
      <c r="D276" s="28"/>
      <c r="E276" s="50"/>
      <c r="F276" s="50"/>
      <c r="G276" s="50"/>
      <c r="H276" s="50"/>
    </row>
    <row r="277" spans="1:8">
      <c r="A277" s="27"/>
      <c r="C277" s="28"/>
      <c r="D277" s="28"/>
      <c r="E277" s="50"/>
      <c r="F277" s="50"/>
      <c r="G277" s="50"/>
      <c r="H277" s="50"/>
    </row>
    <row r="278" spans="1:8">
      <c r="A278" s="27"/>
      <c r="C278" s="28"/>
      <c r="D278" s="28"/>
      <c r="E278" s="50"/>
      <c r="F278" s="50"/>
      <c r="G278" s="50"/>
      <c r="H278" s="50"/>
    </row>
    <row r="279" spans="1:8">
      <c r="A279" s="27"/>
      <c r="C279" s="28"/>
      <c r="D279" s="28"/>
      <c r="E279" s="50"/>
      <c r="F279" s="50"/>
      <c r="G279" s="50"/>
      <c r="H279" s="50"/>
    </row>
    <row r="280" spans="1:8">
      <c r="A280" s="27"/>
      <c r="C280" s="28"/>
      <c r="D280" s="28"/>
      <c r="E280" s="50"/>
      <c r="F280" s="50"/>
      <c r="G280" s="50"/>
      <c r="H280" s="50"/>
    </row>
    <row r="281" spans="1:8">
      <c r="A281" s="27"/>
      <c r="C281" s="28"/>
      <c r="D281" s="28"/>
      <c r="E281" s="50"/>
      <c r="F281" s="50"/>
      <c r="G281" s="50"/>
      <c r="H281" s="50"/>
    </row>
    <row r="282" spans="1:8">
      <c r="A282" s="27"/>
      <c r="C282" s="28"/>
      <c r="D282" s="28"/>
      <c r="E282" s="50"/>
      <c r="F282" s="50"/>
      <c r="G282" s="50"/>
      <c r="H282" s="50"/>
    </row>
    <row r="283" spans="1:8">
      <c r="A283" s="27"/>
      <c r="C283" s="28"/>
      <c r="D283" s="28"/>
      <c r="E283" s="50"/>
      <c r="F283" s="50"/>
      <c r="G283" s="50"/>
      <c r="H283" s="50"/>
    </row>
    <row r="284" spans="1:8">
      <c r="A284" s="27"/>
      <c r="C284" s="28"/>
      <c r="D284" s="28"/>
      <c r="E284" s="50"/>
      <c r="F284" s="50"/>
      <c r="G284" s="50"/>
      <c r="H284" s="50"/>
    </row>
    <row r="285" spans="1:8">
      <c r="A285" s="27"/>
      <c r="C285" s="28"/>
      <c r="D285" s="28"/>
      <c r="E285" s="50"/>
      <c r="F285" s="50"/>
      <c r="G285" s="50"/>
      <c r="H285" s="50"/>
    </row>
    <row r="286" spans="1:8">
      <c r="A286" s="27"/>
      <c r="C286" s="28"/>
      <c r="D286" s="28"/>
      <c r="E286" s="50"/>
      <c r="F286" s="50"/>
      <c r="G286" s="50"/>
      <c r="H286" s="50"/>
    </row>
    <row r="287" spans="1:8">
      <c r="A287" s="27"/>
      <c r="C287" s="28"/>
      <c r="D287" s="28"/>
      <c r="E287" s="50"/>
      <c r="F287" s="50"/>
      <c r="G287" s="50"/>
      <c r="H287" s="50"/>
    </row>
    <row r="288" spans="1:8">
      <c r="A288" s="27"/>
      <c r="C288" s="28"/>
      <c r="D288" s="28"/>
      <c r="E288" s="50"/>
      <c r="F288" s="50"/>
      <c r="G288" s="50"/>
      <c r="H288" s="50"/>
    </row>
    <row r="289" spans="1:8">
      <c r="A289" s="27"/>
      <c r="C289" s="28"/>
      <c r="D289" s="28"/>
      <c r="E289" s="50"/>
      <c r="F289" s="50"/>
      <c r="G289" s="50"/>
      <c r="H289" s="50"/>
    </row>
    <row r="290" spans="1:8">
      <c r="A290" s="27"/>
      <c r="C290" s="28"/>
      <c r="D290" s="28"/>
      <c r="E290" s="50"/>
      <c r="F290" s="50"/>
      <c r="G290" s="50"/>
      <c r="H290" s="50"/>
    </row>
    <row r="291" spans="1:8">
      <c r="A291" s="27"/>
      <c r="C291" s="28"/>
      <c r="D291" s="28"/>
      <c r="E291" s="50"/>
      <c r="F291" s="50"/>
      <c r="G291" s="50"/>
      <c r="H291" s="50"/>
    </row>
    <row r="292" spans="1:8">
      <c r="A292" s="27"/>
      <c r="C292" s="28"/>
      <c r="D292" s="28"/>
      <c r="E292" s="50"/>
      <c r="F292" s="50"/>
      <c r="G292" s="50"/>
      <c r="H292" s="50"/>
    </row>
    <row r="293" spans="1:8">
      <c r="A293" s="27"/>
      <c r="C293" s="28"/>
      <c r="D293" s="28"/>
      <c r="E293" s="50"/>
      <c r="F293" s="50"/>
      <c r="G293" s="50"/>
      <c r="H293" s="50"/>
    </row>
    <row r="294" spans="1:8">
      <c r="A294" s="27"/>
      <c r="C294" s="28"/>
      <c r="D294" s="28"/>
      <c r="E294" s="50"/>
      <c r="F294" s="50"/>
      <c r="G294" s="50"/>
      <c r="H294" s="50"/>
    </row>
    <row r="295" spans="1:8">
      <c r="A295" s="27"/>
      <c r="C295" s="28"/>
      <c r="D295" s="28"/>
      <c r="E295" s="50"/>
      <c r="F295" s="50"/>
      <c r="G295" s="50"/>
      <c r="H295" s="50"/>
    </row>
    <row r="296" spans="1:8">
      <c r="A296" s="27"/>
      <c r="C296" s="28"/>
      <c r="D296" s="28"/>
      <c r="E296" s="50"/>
      <c r="F296" s="50"/>
      <c r="G296" s="50"/>
      <c r="H296" s="50"/>
    </row>
    <row r="297" spans="1:8">
      <c r="A297" s="27"/>
      <c r="C297" s="28"/>
      <c r="D297" s="28"/>
      <c r="E297" s="50"/>
      <c r="F297" s="50"/>
      <c r="G297" s="50"/>
      <c r="H297" s="50"/>
    </row>
    <row r="298" spans="1:8">
      <c r="A298" s="27"/>
      <c r="C298" s="28"/>
      <c r="D298" s="28"/>
      <c r="E298" s="50"/>
      <c r="F298" s="50"/>
      <c r="G298" s="50"/>
      <c r="H298" s="50"/>
    </row>
    <row r="299" spans="1:8">
      <c r="A299" s="27"/>
      <c r="C299" s="28"/>
      <c r="D299" s="28"/>
      <c r="E299" s="50"/>
      <c r="F299" s="50"/>
      <c r="G299" s="50"/>
      <c r="H299" s="50"/>
    </row>
    <row r="300" spans="1:8">
      <c r="A300" s="27"/>
      <c r="C300" s="28"/>
      <c r="D300" s="28"/>
      <c r="E300" s="50"/>
      <c r="F300" s="50"/>
      <c r="G300" s="50"/>
      <c r="H300" s="50"/>
    </row>
    <row r="301" spans="1:8">
      <c r="A301" s="27"/>
      <c r="C301" s="28"/>
      <c r="D301" s="28"/>
      <c r="E301" s="50"/>
      <c r="F301" s="50"/>
      <c r="G301" s="50"/>
      <c r="H301" s="50"/>
    </row>
    <row r="302" spans="1:8">
      <c r="A302" s="27"/>
      <c r="C302" s="28"/>
      <c r="D302" s="28"/>
      <c r="E302" s="50"/>
      <c r="F302" s="50"/>
      <c r="G302" s="50"/>
      <c r="H302" s="50"/>
    </row>
    <row r="303" spans="1:8">
      <c r="A303" s="27"/>
      <c r="C303" s="28"/>
      <c r="D303" s="28"/>
      <c r="E303" s="50"/>
      <c r="F303" s="50"/>
      <c r="G303" s="50"/>
      <c r="H303" s="50"/>
    </row>
    <row r="304" spans="1:8">
      <c r="A304" s="27"/>
      <c r="C304" s="28"/>
      <c r="D304" s="28"/>
      <c r="E304" s="50"/>
      <c r="F304" s="50"/>
      <c r="G304" s="50"/>
      <c r="H304" s="50"/>
    </row>
    <row r="305" spans="1:8">
      <c r="A305" s="27"/>
      <c r="C305" s="28"/>
      <c r="D305" s="28"/>
      <c r="E305" s="50"/>
      <c r="F305" s="50"/>
      <c r="G305" s="50"/>
      <c r="H305" s="50"/>
    </row>
    <row r="306" spans="1:8">
      <c r="A306" s="27"/>
      <c r="C306" s="28"/>
      <c r="D306" s="28"/>
      <c r="E306" s="50"/>
      <c r="F306" s="50"/>
      <c r="G306" s="50"/>
      <c r="H306" s="50"/>
    </row>
    <row r="307" spans="1:8">
      <c r="A307" s="27"/>
      <c r="C307" s="28"/>
      <c r="D307" s="28"/>
      <c r="E307" s="50"/>
      <c r="F307" s="50"/>
      <c r="G307" s="50"/>
      <c r="H307" s="50"/>
    </row>
    <row r="308" spans="1:8">
      <c r="A308" s="27"/>
      <c r="C308" s="28"/>
      <c r="D308" s="28"/>
      <c r="E308" s="50"/>
      <c r="F308" s="50"/>
      <c r="G308" s="50"/>
      <c r="H308" s="50"/>
    </row>
    <row r="309" spans="1:8">
      <c r="A309" s="27"/>
      <c r="C309" s="28"/>
      <c r="D309" s="28"/>
      <c r="E309" s="50"/>
      <c r="F309" s="50"/>
      <c r="G309" s="50"/>
      <c r="H309" s="50"/>
    </row>
    <row r="310" spans="1:8">
      <c r="A310" s="27"/>
      <c r="C310" s="28"/>
      <c r="D310" s="28"/>
      <c r="E310" s="50"/>
      <c r="F310" s="50"/>
      <c r="G310" s="50"/>
      <c r="H310" s="50"/>
    </row>
    <row r="311" spans="1:8">
      <c r="A311" s="27"/>
      <c r="C311" s="28"/>
      <c r="D311" s="28"/>
      <c r="E311" s="50"/>
      <c r="F311" s="50"/>
      <c r="G311" s="50"/>
      <c r="H311" s="50"/>
    </row>
    <row r="312" spans="1:8">
      <c r="A312" s="27"/>
      <c r="C312" s="28"/>
      <c r="D312" s="28"/>
      <c r="E312" s="50"/>
      <c r="F312" s="50"/>
      <c r="G312" s="50"/>
      <c r="H312" s="50"/>
    </row>
    <row r="313" spans="1:8">
      <c r="A313" s="27"/>
      <c r="C313" s="28"/>
      <c r="D313" s="28"/>
      <c r="E313" s="50"/>
      <c r="F313" s="50"/>
      <c r="G313" s="50"/>
      <c r="H313" s="50"/>
    </row>
    <row r="314" spans="1:8">
      <c r="A314" s="27"/>
      <c r="C314" s="28"/>
      <c r="D314" s="28"/>
      <c r="E314" s="50"/>
      <c r="F314" s="50"/>
      <c r="G314" s="50"/>
      <c r="H314" s="50"/>
    </row>
    <row r="315" spans="1:8">
      <c r="A315" s="27"/>
      <c r="C315" s="28"/>
      <c r="D315" s="28"/>
      <c r="E315" s="50"/>
      <c r="F315" s="50"/>
      <c r="G315" s="50"/>
      <c r="H315" s="50"/>
    </row>
    <row r="316" spans="1:8">
      <c r="A316" s="27"/>
      <c r="C316" s="28"/>
      <c r="D316" s="28"/>
      <c r="E316" s="50"/>
      <c r="F316" s="50"/>
      <c r="G316" s="50"/>
      <c r="H316" s="50"/>
    </row>
    <row r="317" spans="1:8">
      <c r="A317" s="27"/>
      <c r="C317" s="28"/>
      <c r="D317" s="28"/>
      <c r="E317" s="50"/>
      <c r="F317" s="50"/>
      <c r="G317" s="50"/>
      <c r="H317" s="50"/>
    </row>
    <row r="318" spans="1:8">
      <c r="A318" s="27"/>
      <c r="C318" s="28"/>
      <c r="D318" s="28"/>
      <c r="E318" s="50"/>
      <c r="F318" s="50"/>
      <c r="G318" s="50"/>
      <c r="H318" s="50"/>
    </row>
    <row r="319" spans="1:8">
      <c r="A319" s="27"/>
      <c r="C319" s="28"/>
      <c r="D319" s="28"/>
      <c r="E319" s="50"/>
      <c r="F319" s="50"/>
      <c r="G319" s="50"/>
      <c r="H319" s="50"/>
    </row>
    <row r="320" spans="1:8">
      <c r="A320" s="27"/>
      <c r="C320" s="28"/>
      <c r="D320" s="28"/>
      <c r="E320" s="50"/>
      <c r="F320" s="50"/>
      <c r="G320" s="50"/>
      <c r="H320" s="50"/>
    </row>
    <row r="321" spans="1:8">
      <c r="A321" s="27"/>
      <c r="C321" s="28"/>
      <c r="D321" s="28"/>
      <c r="E321" s="50"/>
      <c r="F321" s="50"/>
      <c r="G321" s="50"/>
      <c r="H321" s="50"/>
    </row>
    <row r="322" spans="1:8">
      <c r="A322" s="27"/>
      <c r="C322" s="28"/>
      <c r="D322" s="28"/>
      <c r="E322" s="50"/>
      <c r="F322" s="50"/>
      <c r="G322" s="50"/>
      <c r="H322" s="50"/>
    </row>
    <row r="323" spans="1:8">
      <c r="A323" s="27"/>
      <c r="C323" s="28"/>
      <c r="D323" s="28"/>
      <c r="E323" s="50"/>
      <c r="F323" s="50"/>
      <c r="G323" s="50"/>
      <c r="H323" s="50"/>
    </row>
    <row r="324" spans="1:8">
      <c r="A324" s="27"/>
      <c r="C324" s="28"/>
      <c r="D324" s="28"/>
      <c r="E324" s="50"/>
      <c r="F324" s="50"/>
      <c r="G324" s="50"/>
      <c r="H324" s="50"/>
    </row>
    <row r="325" spans="1:8">
      <c r="A325" s="27"/>
      <c r="C325" s="28"/>
      <c r="D325" s="28"/>
      <c r="E325" s="50"/>
      <c r="F325" s="50"/>
      <c r="G325" s="50"/>
      <c r="H325" s="50"/>
    </row>
    <row r="326" spans="1:8">
      <c r="A326" s="27"/>
      <c r="C326" s="28"/>
      <c r="D326" s="28"/>
      <c r="E326" s="50"/>
      <c r="F326" s="50"/>
      <c r="G326" s="50"/>
      <c r="H326" s="50"/>
    </row>
    <row r="327" spans="1:8">
      <c r="A327" s="27"/>
      <c r="C327" s="28"/>
      <c r="D327" s="28"/>
      <c r="E327" s="50"/>
      <c r="F327" s="50"/>
      <c r="G327" s="50"/>
      <c r="H327" s="50"/>
    </row>
    <row r="328" spans="1:8">
      <c r="A328" s="27"/>
      <c r="C328" s="28"/>
      <c r="D328" s="28"/>
      <c r="E328" s="50"/>
      <c r="F328" s="50"/>
      <c r="G328" s="50"/>
      <c r="H328" s="50"/>
    </row>
    <row r="329" spans="1:8">
      <c r="A329" s="27"/>
      <c r="C329" s="28"/>
      <c r="D329" s="28"/>
      <c r="E329" s="50"/>
      <c r="F329" s="50"/>
      <c r="G329" s="50"/>
      <c r="H329" s="50"/>
    </row>
    <row r="330" spans="1:8">
      <c r="A330" s="27"/>
      <c r="C330" s="28"/>
      <c r="D330" s="28"/>
      <c r="E330" s="50"/>
      <c r="F330" s="50"/>
      <c r="G330" s="50"/>
      <c r="H330" s="50"/>
    </row>
    <row r="331" spans="1:8">
      <c r="A331" s="27"/>
      <c r="C331" s="28"/>
      <c r="D331" s="28"/>
      <c r="E331" s="50"/>
      <c r="F331" s="50"/>
      <c r="G331" s="50"/>
      <c r="H331" s="50"/>
    </row>
    <row r="332" spans="1:8">
      <c r="A332" s="27"/>
      <c r="C332" s="28"/>
      <c r="D332" s="28"/>
      <c r="E332" s="50"/>
      <c r="F332" s="50"/>
      <c r="G332" s="50"/>
      <c r="H332" s="50"/>
    </row>
    <row r="333" spans="1:8">
      <c r="A333" s="27"/>
      <c r="C333" s="28"/>
      <c r="D333" s="28"/>
      <c r="E333" s="50"/>
      <c r="F333" s="50"/>
      <c r="G333" s="50"/>
      <c r="H333" s="50"/>
    </row>
    <row r="334" spans="1:8">
      <c r="A334" s="27"/>
      <c r="C334" s="28"/>
      <c r="D334" s="28"/>
      <c r="E334" s="50"/>
      <c r="F334" s="50"/>
      <c r="G334" s="50"/>
      <c r="H334" s="50"/>
    </row>
    <row r="335" spans="1:8">
      <c r="A335" s="27"/>
      <c r="C335" s="28"/>
      <c r="D335" s="28"/>
      <c r="E335" s="50"/>
      <c r="F335" s="50"/>
      <c r="G335" s="50"/>
      <c r="H335" s="50"/>
    </row>
    <row r="336" spans="1:8">
      <c r="A336" s="27"/>
      <c r="C336" s="28"/>
      <c r="D336" s="28"/>
      <c r="E336" s="50"/>
      <c r="F336" s="50"/>
      <c r="G336" s="50"/>
      <c r="H336" s="50"/>
    </row>
    <row r="337" spans="1:8">
      <c r="A337" s="27"/>
      <c r="C337" s="28"/>
      <c r="D337" s="28"/>
      <c r="E337" s="50"/>
      <c r="F337" s="50"/>
      <c r="G337" s="50"/>
      <c r="H337" s="50"/>
    </row>
    <row r="338" spans="1:8">
      <c r="A338" s="27"/>
      <c r="C338" s="28"/>
      <c r="D338" s="28"/>
      <c r="E338" s="50"/>
      <c r="F338" s="50"/>
      <c r="G338" s="50"/>
      <c r="H338" s="50"/>
    </row>
    <row r="339" spans="1:8">
      <c r="A339" s="27"/>
      <c r="C339" s="28"/>
      <c r="D339" s="28"/>
      <c r="E339" s="50"/>
      <c r="F339" s="50"/>
      <c r="G339" s="50"/>
      <c r="H339" s="50"/>
    </row>
    <row r="340" spans="1:8">
      <c r="A340" s="27"/>
      <c r="C340" s="28"/>
      <c r="D340" s="28"/>
      <c r="E340" s="50"/>
      <c r="F340" s="50"/>
      <c r="G340" s="50"/>
      <c r="H340" s="50"/>
    </row>
    <row r="341" spans="1:8">
      <c r="A341" s="27"/>
      <c r="C341" s="28"/>
      <c r="D341" s="28"/>
      <c r="E341" s="50"/>
      <c r="F341" s="50"/>
      <c r="G341" s="50"/>
      <c r="H341" s="50"/>
    </row>
    <row r="342" spans="1:8">
      <c r="A342" s="27"/>
      <c r="C342" s="28"/>
      <c r="D342" s="28"/>
      <c r="E342" s="50"/>
      <c r="F342" s="50"/>
      <c r="G342" s="50"/>
      <c r="H342" s="50"/>
    </row>
    <row r="343" spans="1:8">
      <c r="A343" s="27"/>
      <c r="C343" s="28"/>
      <c r="D343" s="28"/>
      <c r="E343" s="50"/>
      <c r="F343" s="50"/>
      <c r="G343" s="50"/>
      <c r="H343" s="50"/>
    </row>
    <row r="344" spans="1:8">
      <c r="A344" s="27"/>
      <c r="C344" s="28"/>
      <c r="D344" s="28"/>
      <c r="E344" s="50"/>
      <c r="F344" s="50"/>
      <c r="G344" s="50"/>
      <c r="H344" s="50"/>
    </row>
    <row r="345" spans="1:8">
      <c r="A345" s="27"/>
      <c r="C345" s="28"/>
      <c r="D345" s="28"/>
      <c r="E345" s="50"/>
      <c r="F345" s="50"/>
      <c r="G345" s="50"/>
      <c r="H345" s="50"/>
    </row>
    <row r="346" spans="1:8">
      <c r="A346" s="27"/>
      <c r="C346" s="28"/>
      <c r="D346" s="28"/>
      <c r="E346" s="50"/>
      <c r="F346" s="50"/>
      <c r="G346" s="50"/>
      <c r="H346" s="50"/>
    </row>
    <row r="347" spans="1:8">
      <c r="A347" s="27"/>
      <c r="C347" s="28"/>
      <c r="D347" s="28"/>
      <c r="E347" s="50"/>
      <c r="F347" s="50"/>
      <c r="G347" s="50"/>
      <c r="H347" s="50"/>
    </row>
    <row r="348" spans="1:8">
      <c r="A348" s="27"/>
      <c r="C348" s="28"/>
      <c r="D348" s="28"/>
      <c r="E348" s="50"/>
      <c r="F348" s="50"/>
      <c r="G348" s="50"/>
      <c r="H348" s="50"/>
    </row>
    <row r="349" spans="1:8">
      <c r="A349" s="27"/>
      <c r="C349" s="28"/>
      <c r="D349" s="28"/>
      <c r="E349" s="50"/>
      <c r="F349" s="50"/>
      <c r="G349" s="50"/>
      <c r="H349" s="50"/>
    </row>
    <row r="350" spans="1:8">
      <c r="A350" s="27"/>
      <c r="C350" s="28"/>
      <c r="D350" s="28"/>
      <c r="E350" s="50"/>
      <c r="F350" s="50"/>
      <c r="G350" s="50"/>
      <c r="H350" s="50"/>
    </row>
    <row r="351" spans="1:8">
      <c r="A351" s="27"/>
      <c r="C351" s="28"/>
      <c r="D351" s="28"/>
      <c r="E351" s="50"/>
      <c r="F351" s="50"/>
      <c r="G351" s="50"/>
      <c r="H351" s="50"/>
    </row>
    <row r="352" spans="1:8">
      <c r="A352" s="27"/>
      <c r="C352" s="28"/>
      <c r="D352" s="28"/>
      <c r="E352" s="50"/>
      <c r="F352" s="50"/>
      <c r="G352" s="50"/>
      <c r="H352" s="50"/>
    </row>
    <row r="353" spans="1:8">
      <c r="A353" s="27"/>
      <c r="C353" s="28"/>
      <c r="D353" s="28"/>
      <c r="E353" s="50"/>
      <c r="F353" s="50"/>
      <c r="G353" s="50"/>
      <c r="H353" s="50"/>
    </row>
    <row r="354" spans="1:8">
      <c r="A354" s="27"/>
      <c r="C354" s="28"/>
      <c r="D354" s="28"/>
      <c r="E354" s="50"/>
      <c r="F354" s="50"/>
      <c r="G354" s="50"/>
      <c r="H354" s="50"/>
    </row>
    <row r="355" spans="1:8">
      <c r="A355" s="27"/>
      <c r="C355" s="28"/>
      <c r="D355" s="28"/>
      <c r="E355" s="50"/>
      <c r="F355" s="50"/>
      <c r="G355" s="50"/>
      <c r="H355" s="50"/>
    </row>
    <row r="356" spans="1:8">
      <c r="A356" s="27"/>
      <c r="C356" s="28"/>
      <c r="D356" s="28"/>
      <c r="E356" s="50"/>
      <c r="F356" s="50"/>
      <c r="G356" s="50"/>
      <c r="H356" s="50"/>
    </row>
    <row r="357" spans="1:8">
      <c r="A357" s="27"/>
      <c r="C357" s="28"/>
      <c r="D357" s="28"/>
      <c r="E357" s="50"/>
      <c r="F357" s="50"/>
      <c r="G357" s="50"/>
      <c r="H357" s="50"/>
    </row>
    <row r="358" spans="1:8">
      <c r="A358" s="27"/>
      <c r="C358" s="28"/>
      <c r="D358" s="28"/>
      <c r="E358" s="50"/>
      <c r="F358" s="50"/>
      <c r="G358" s="50"/>
      <c r="H358" s="50"/>
    </row>
    <row r="359" spans="1:8">
      <c r="A359" s="27"/>
      <c r="C359" s="28"/>
      <c r="D359" s="28"/>
      <c r="E359" s="50"/>
      <c r="F359" s="50"/>
      <c r="G359" s="50"/>
      <c r="H359" s="50"/>
    </row>
    <row r="360" spans="1:8">
      <c r="A360" s="27"/>
      <c r="C360" s="28"/>
      <c r="D360" s="28"/>
      <c r="E360" s="50"/>
      <c r="F360" s="50"/>
      <c r="G360" s="50"/>
      <c r="H360" s="50"/>
    </row>
    <row r="361" spans="1:8">
      <c r="A361" s="27"/>
      <c r="C361" s="28"/>
      <c r="D361" s="28"/>
      <c r="E361" s="50"/>
      <c r="F361" s="50"/>
      <c r="G361" s="50"/>
      <c r="H361" s="50"/>
    </row>
    <row r="362" spans="1:8">
      <c r="A362" s="27"/>
      <c r="C362" s="28"/>
      <c r="D362" s="28"/>
      <c r="E362" s="50"/>
      <c r="F362" s="50"/>
      <c r="G362" s="50"/>
      <c r="H362" s="50"/>
    </row>
    <row r="363" spans="1:8">
      <c r="A363" s="27"/>
      <c r="C363" s="28"/>
      <c r="D363" s="28"/>
      <c r="E363" s="50"/>
      <c r="F363" s="50"/>
      <c r="G363" s="50"/>
      <c r="H363" s="50"/>
    </row>
    <row r="364" spans="1:8">
      <c r="A364" s="27"/>
      <c r="C364" s="28"/>
      <c r="D364" s="28"/>
      <c r="E364" s="50"/>
      <c r="F364" s="50"/>
      <c r="G364" s="50"/>
      <c r="H364" s="50"/>
    </row>
    <row r="365" spans="1:8">
      <c r="A365" s="27"/>
      <c r="C365" s="28"/>
      <c r="D365" s="28"/>
      <c r="E365" s="50"/>
      <c r="F365" s="50"/>
      <c r="G365" s="50"/>
      <c r="H365" s="50"/>
    </row>
    <row r="366" spans="1:8">
      <c r="A366" s="27"/>
      <c r="C366" s="28"/>
      <c r="D366" s="28"/>
      <c r="E366" s="50"/>
      <c r="F366" s="50"/>
      <c r="G366" s="50"/>
      <c r="H366" s="50"/>
    </row>
    <row r="367" spans="1:8">
      <c r="A367" s="27"/>
      <c r="C367" s="28"/>
      <c r="D367" s="28"/>
      <c r="E367" s="50"/>
      <c r="F367" s="50"/>
      <c r="G367" s="50"/>
      <c r="H367" s="50"/>
    </row>
    <row r="368" spans="1:8">
      <c r="A368" s="27"/>
      <c r="C368" s="28"/>
      <c r="D368" s="28"/>
      <c r="E368" s="50"/>
      <c r="F368" s="50"/>
      <c r="G368" s="50"/>
      <c r="H368" s="50"/>
    </row>
    <row r="369" spans="1:8">
      <c r="A369" s="27"/>
      <c r="C369" s="28"/>
      <c r="D369" s="28"/>
      <c r="E369" s="50"/>
      <c r="F369" s="50"/>
      <c r="G369" s="50"/>
      <c r="H369" s="50"/>
    </row>
    <row r="370" spans="1:8">
      <c r="A370" s="27"/>
      <c r="C370" s="28"/>
      <c r="D370" s="28"/>
      <c r="E370" s="50"/>
      <c r="F370" s="50"/>
      <c r="G370" s="50"/>
      <c r="H370" s="50"/>
    </row>
    <row r="371" spans="1:8">
      <c r="A371" s="27"/>
      <c r="C371" s="28"/>
      <c r="D371" s="28"/>
      <c r="E371" s="50"/>
      <c r="F371" s="50"/>
      <c r="G371" s="50"/>
      <c r="H371" s="50"/>
    </row>
    <row r="372" spans="1:8">
      <c r="A372" s="27"/>
      <c r="C372" s="28"/>
      <c r="D372" s="28"/>
      <c r="E372" s="50"/>
      <c r="F372" s="50"/>
      <c r="G372" s="50"/>
      <c r="H372" s="50"/>
    </row>
    <row r="373" spans="1:8">
      <c r="A373" s="27"/>
      <c r="C373" s="28"/>
      <c r="D373" s="28"/>
      <c r="E373" s="50"/>
      <c r="F373" s="50"/>
      <c r="G373" s="50"/>
      <c r="H373" s="50"/>
    </row>
    <row r="374" spans="1:8">
      <c r="A374" s="27"/>
      <c r="C374" s="28"/>
      <c r="D374" s="28"/>
      <c r="E374" s="50"/>
      <c r="F374" s="50"/>
      <c r="G374" s="50"/>
      <c r="H374" s="50"/>
    </row>
    <row r="375" spans="1:8">
      <c r="A375" s="27"/>
      <c r="C375" s="28"/>
      <c r="D375" s="28"/>
      <c r="E375" s="50"/>
      <c r="F375" s="50"/>
      <c r="G375" s="50"/>
      <c r="H375" s="50"/>
    </row>
    <row r="376" spans="1:8">
      <c r="A376" s="27"/>
      <c r="C376" s="28"/>
      <c r="D376" s="28"/>
      <c r="E376" s="50"/>
      <c r="F376" s="50"/>
      <c r="G376" s="50"/>
      <c r="H376" s="50"/>
    </row>
    <row r="377" spans="1:8">
      <c r="A377" s="27"/>
      <c r="C377" s="28"/>
      <c r="D377" s="28"/>
      <c r="E377" s="50"/>
      <c r="F377" s="50"/>
      <c r="G377" s="50"/>
      <c r="H377" s="50"/>
    </row>
    <row r="378" spans="1:8">
      <c r="A378" s="27"/>
      <c r="C378" s="28"/>
      <c r="D378" s="28"/>
      <c r="E378" s="50"/>
      <c r="F378" s="50"/>
      <c r="G378" s="50"/>
      <c r="H378" s="50"/>
    </row>
    <row r="379" spans="1:8">
      <c r="A379" s="27"/>
      <c r="C379" s="28"/>
      <c r="D379" s="28"/>
      <c r="E379" s="50"/>
      <c r="F379" s="50"/>
      <c r="G379" s="50"/>
      <c r="H379" s="50"/>
    </row>
    <row r="380" spans="1:8">
      <c r="A380" s="27"/>
      <c r="C380" s="28"/>
      <c r="D380" s="28"/>
      <c r="E380" s="50"/>
      <c r="F380" s="50"/>
      <c r="G380" s="50"/>
      <c r="H380" s="50"/>
    </row>
    <row r="381" spans="1:8">
      <c r="A381" s="27"/>
      <c r="C381" s="28"/>
      <c r="D381" s="28"/>
      <c r="E381" s="50"/>
      <c r="F381" s="50"/>
      <c r="G381" s="50"/>
      <c r="H381" s="50"/>
    </row>
    <row r="382" spans="1:8">
      <c r="A382" s="27"/>
      <c r="C382" s="28"/>
      <c r="D382" s="28"/>
      <c r="E382" s="50"/>
      <c r="F382" s="50"/>
      <c r="G382" s="50"/>
      <c r="H382" s="50"/>
    </row>
    <row r="383" spans="1:8">
      <c r="A383" s="27"/>
      <c r="C383" s="28"/>
      <c r="D383" s="28"/>
      <c r="E383" s="50"/>
      <c r="F383" s="50"/>
      <c r="G383" s="50"/>
      <c r="H383" s="50"/>
    </row>
    <row r="384" spans="1:8">
      <c r="A384" s="27"/>
      <c r="C384" s="28"/>
      <c r="D384" s="28"/>
      <c r="E384" s="50"/>
      <c r="F384" s="50"/>
      <c r="G384" s="50"/>
      <c r="H384" s="50"/>
    </row>
    <row r="385" spans="1:8">
      <c r="A385" s="27"/>
      <c r="C385" s="28"/>
      <c r="D385" s="28"/>
      <c r="E385" s="50"/>
      <c r="F385" s="50"/>
      <c r="G385" s="50"/>
      <c r="H385" s="50"/>
    </row>
    <row r="386" spans="1:8">
      <c r="A386" s="27"/>
      <c r="C386" s="28"/>
      <c r="D386" s="28"/>
      <c r="E386" s="50"/>
      <c r="F386" s="50"/>
      <c r="G386" s="50"/>
      <c r="H386" s="50"/>
    </row>
    <row r="387" spans="1:8">
      <c r="A387" s="27"/>
      <c r="C387" s="28"/>
      <c r="D387" s="28"/>
      <c r="E387" s="50"/>
      <c r="F387" s="50"/>
      <c r="G387" s="50"/>
      <c r="H387" s="50"/>
    </row>
    <row r="388" spans="1:8">
      <c r="A388" s="27"/>
      <c r="C388" s="28"/>
      <c r="D388" s="28"/>
      <c r="E388" s="50"/>
      <c r="F388" s="50"/>
      <c r="G388" s="50"/>
      <c r="H388" s="50"/>
    </row>
    <row r="389" spans="1:8">
      <c r="A389" s="27"/>
      <c r="C389" s="28"/>
      <c r="D389" s="28"/>
      <c r="E389" s="50"/>
      <c r="F389" s="50"/>
      <c r="G389" s="50"/>
      <c r="H389" s="50"/>
    </row>
    <row r="390" spans="1:8">
      <c r="A390" s="27"/>
      <c r="C390" s="28"/>
      <c r="D390" s="28"/>
      <c r="E390" s="50"/>
      <c r="F390" s="50"/>
      <c r="G390" s="50"/>
      <c r="H390" s="50"/>
    </row>
    <row r="391" spans="1:8">
      <c r="A391" s="27"/>
      <c r="C391" s="28"/>
      <c r="D391" s="28"/>
      <c r="E391" s="50"/>
      <c r="F391" s="50"/>
      <c r="G391" s="50"/>
      <c r="H391" s="50"/>
    </row>
    <row r="392" spans="1:8">
      <c r="A392" s="27"/>
      <c r="C392" s="28"/>
      <c r="D392" s="28"/>
      <c r="E392" s="50"/>
      <c r="F392" s="50"/>
      <c r="G392" s="50"/>
      <c r="H392" s="50"/>
    </row>
    <row r="393" spans="1:8">
      <c r="A393" s="27"/>
      <c r="C393" s="28"/>
      <c r="D393" s="28"/>
      <c r="E393" s="50"/>
      <c r="F393" s="50"/>
      <c r="G393" s="50"/>
      <c r="H393" s="50"/>
    </row>
    <row r="394" spans="1:8">
      <c r="A394" s="27"/>
      <c r="C394" s="28"/>
      <c r="D394" s="28"/>
      <c r="E394" s="50"/>
      <c r="F394" s="50"/>
      <c r="G394" s="50"/>
      <c r="H394" s="50"/>
    </row>
    <row r="395" spans="1:8">
      <c r="A395" s="27"/>
      <c r="C395" s="28"/>
      <c r="D395" s="28"/>
      <c r="E395" s="50"/>
      <c r="F395" s="50"/>
      <c r="G395" s="50"/>
      <c r="H395" s="50"/>
    </row>
    <row r="396" spans="1:8">
      <c r="A396" s="27"/>
      <c r="C396" s="28"/>
      <c r="D396" s="28"/>
      <c r="E396" s="50"/>
      <c r="F396" s="50"/>
      <c r="G396" s="50"/>
      <c r="H396" s="50"/>
    </row>
    <row r="397" spans="1:8">
      <c r="A397" s="27"/>
      <c r="C397" s="28"/>
      <c r="D397" s="28"/>
      <c r="E397" s="50"/>
      <c r="F397" s="50"/>
      <c r="G397" s="50"/>
      <c r="H397" s="50"/>
    </row>
    <row r="398" spans="1:8">
      <c r="A398" s="27"/>
      <c r="C398" s="28"/>
      <c r="D398" s="28"/>
      <c r="E398" s="50"/>
      <c r="F398" s="50"/>
      <c r="G398" s="50"/>
      <c r="H398" s="50"/>
    </row>
    <row r="399" spans="1:8">
      <c r="A399" s="27"/>
      <c r="C399" s="28"/>
      <c r="D399" s="28"/>
      <c r="E399" s="50"/>
      <c r="F399" s="50"/>
      <c r="G399" s="50"/>
      <c r="H399" s="50"/>
    </row>
    <row r="400" spans="1:8">
      <c r="A400" s="27"/>
      <c r="C400" s="28"/>
      <c r="D400" s="28"/>
      <c r="E400" s="50"/>
      <c r="F400" s="50"/>
      <c r="G400" s="50"/>
      <c r="H400" s="50"/>
    </row>
    <row r="401" spans="1:8">
      <c r="A401" s="27"/>
      <c r="C401" s="28"/>
      <c r="D401" s="28"/>
      <c r="E401" s="50"/>
      <c r="F401" s="50"/>
      <c r="G401" s="50"/>
      <c r="H401" s="50"/>
    </row>
    <row r="402" spans="1:8">
      <c r="A402" s="27"/>
      <c r="C402" s="28"/>
      <c r="D402" s="28"/>
      <c r="E402" s="50"/>
      <c r="F402" s="50"/>
      <c r="G402" s="50"/>
      <c r="H402" s="50"/>
    </row>
    <row r="403" spans="1:8">
      <c r="A403" s="27"/>
      <c r="C403" s="28"/>
      <c r="D403" s="28"/>
      <c r="E403" s="50"/>
      <c r="F403" s="50"/>
      <c r="G403" s="50"/>
      <c r="H403" s="50"/>
    </row>
    <row r="404" spans="1:8">
      <c r="A404" s="27"/>
      <c r="C404" s="28"/>
      <c r="D404" s="28"/>
      <c r="E404" s="50"/>
      <c r="F404" s="50"/>
      <c r="G404" s="50"/>
      <c r="H404" s="50"/>
    </row>
    <row r="405" spans="1:8">
      <c r="A405" s="27"/>
      <c r="C405" s="28"/>
      <c r="D405" s="28"/>
      <c r="E405" s="50"/>
      <c r="F405" s="50"/>
      <c r="G405" s="50"/>
      <c r="H405" s="50"/>
    </row>
    <row r="406" spans="1:8">
      <c r="A406" s="27"/>
      <c r="C406" s="28"/>
      <c r="D406" s="28"/>
      <c r="E406" s="50"/>
      <c r="F406" s="50"/>
      <c r="G406" s="50"/>
      <c r="H406" s="50"/>
    </row>
    <row r="407" spans="1:8">
      <c r="A407" s="27"/>
      <c r="C407" s="28"/>
      <c r="D407" s="28"/>
      <c r="E407" s="50"/>
      <c r="F407" s="50"/>
      <c r="G407" s="50"/>
      <c r="H407" s="50"/>
    </row>
    <row r="408" spans="1:8">
      <c r="A408" s="27"/>
      <c r="C408" s="28"/>
      <c r="D408" s="28"/>
      <c r="E408" s="50"/>
      <c r="F408" s="50"/>
      <c r="G408" s="50"/>
      <c r="H408" s="50"/>
    </row>
    <row r="409" spans="1:8">
      <c r="A409" s="27"/>
      <c r="C409" s="28"/>
      <c r="D409" s="28"/>
      <c r="E409" s="50"/>
      <c r="F409" s="50"/>
      <c r="G409" s="50"/>
      <c r="H409" s="50"/>
    </row>
    <row r="410" spans="1:8">
      <c r="A410" s="27"/>
      <c r="C410" s="28"/>
      <c r="D410" s="28"/>
      <c r="E410" s="50"/>
      <c r="F410" s="50"/>
      <c r="G410" s="50"/>
      <c r="H410" s="50"/>
    </row>
    <row r="411" spans="1:8">
      <c r="A411" s="27"/>
      <c r="C411" s="28"/>
      <c r="D411" s="28"/>
      <c r="E411" s="50"/>
      <c r="F411" s="50"/>
      <c r="G411" s="50"/>
      <c r="H411" s="50"/>
    </row>
    <row r="412" spans="1:8">
      <c r="A412" s="27"/>
      <c r="C412" s="28"/>
      <c r="D412" s="28"/>
      <c r="E412" s="50"/>
      <c r="F412" s="50"/>
      <c r="G412" s="50"/>
      <c r="H412" s="50"/>
    </row>
    <row r="413" spans="1:8">
      <c r="A413" s="27"/>
      <c r="C413" s="28"/>
      <c r="D413" s="28"/>
      <c r="E413" s="50"/>
      <c r="F413" s="50"/>
      <c r="G413" s="50"/>
      <c r="H413" s="50"/>
    </row>
    <row r="414" spans="1:8">
      <c r="A414" s="27"/>
      <c r="C414" s="28"/>
      <c r="D414" s="28"/>
      <c r="E414" s="50"/>
      <c r="F414" s="50"/>
      <c r="G414" s="50"/>
      <c r="H414" s="50"/>
    </row>
    <row r="415" spans="1:8">
      <c r="A415" s="27"/>
      <c r="C415" s="28"/>
      <c r="D415" s="28"/>
      <c r="E415" s="50"/>
      <c r="F415" s="50"/>
      <c r="G415" s="50"/>
      <c r="H415" s="50"/>
    </row>
    <row r="416" spans="1:8">
      <c r="A416" s="27"/>
      <c r="C416" s="28"/>
      <c r="D416" s="28"/>
      <c r="E416" s="50"/>
      <c r="F416" s="50"/>
      <c r="G416" s="50"/>
      <c r="H416" s="50"/>
    </row>
    <row r="417" spans="1:8">
      <c r="A417" s="27"/>
      <c r="C417" s="28"/>
      <c r="D417" s="28"/>
      <c r="E417" s="50"/>
      <c r="F417" s="50"/>
      <c r="G417" s="50"/>
      <c r="H417" s="50"/>
    </row>
    <row r="418" spans="1:8">
      <c r="A418" s="27"/>
      <c r="C418" s="28"/>
      <c r="D418" s="28"/>
      <c r="E418" s="50"/>
      <c r="F418" s="50"/>
      <c r="G418" s="50"/>
      <c r="H418" s="50"/>
    </row>
    <row r="419" spans="1:8">
      <c r="A419" s="27"/>
      <c r="C419" s="28"/>
      <c r="D419" s="28"/>
      <c r="E419" s="50"/>
      <c r="F419" s="50"/>
      <c r="G419" s="50"/>
      <c r="H419" s="50"/>
    </row>
    <row r="420" spans="1:8">
      <c r="A420" s="27"/>
      <c r="C420" s="28"/>
      <c r="D420" s="28"/>
      <c r="E420" s="50"/>
      <c r="F420" s="50"/>
      <c r="G420" s="50"/>
      <c r="H420" s="50"/>
    </row>
    <row r="421" spans="1:8">
      <c r="A421" s="27"/>
      <c r="C421" s="28"/>
      <c r="D421" s="28"/>
      <c r="E421" s="50"/>
      <c r="F421" s="50"/>
      <c r="G421" s="50"/>
      <c r="H421" s="50"/>
    </row>
    <row r="422" spans="1:8">
      <c r="A422" s="27"/>
      <c r="C422" s="28"/>
      <c r="D422" s="28"/>
      <c r="E422" s="50"/>
      <c r="F422" s="50"/>
      <c r="G422" s="50"/>
      <c r="H422" s="50"/>
    </row>
    <row r="423" spans="1:8">
      <c r="A423" s="27"/>
      <c r="C423" s="28"/>
      <c r="D423" s="28"/>
      <c r="E423" s="50"/>
      <c r="F423" s="50"/>
      <c r="G423" s="50"/>
      <c r="H423" s="50"/>
    </row>
    <row r="424" spans="1:8">
      <c r="A424" s="27"/>
      <c r="C424" s="28"/>
      <c r="D424" s="28"/>
      <c r="E424" s="50"/>
      <c r="F424" s="50"/>
      <c r="G424" s="50"/>
      <c r="H424" s="50"/>
    </row>
    <row r="425" spans="1:8">
      <c r="A425" s="27"/>
      <c r="C425" s="28"/>
      <c r="D425" s="28"/>
      <c r="E425" s="50"/>
      <c r="F425" s="50"/>
      <c r="G425" s="50"/>
      <c r="H425" s="50"/>
    </row>
    <row r="426" spans="1:8">
      <c r="A426" s="27"/>
      <c r="C426" s="28"/>
      <c r="D426" s="28"/>
      <c r="E426" s="50"/>
      <c r="F426" s="50"/>
      <c r="G426" s="50"/>
      <c r="H426" s="50"/>
    </row>
    <row r="427" spans="1:8">
      <c r="A427" s="27"/>
      <c r="C427" s="28"/>
      <c r="D427" s="28"/>
      <c r="E427" s="50"/>
      <c r="F427" s="50"/>
      <c r="G427" s="50"/>
      <c r="H427" s="50"/>
    </row>
    <row r="428" spans="1:8">
      <c r="A428" s="27"/>
      <c r="C428" s="28"/>
      <c r="D428" s="28"/>
      <c r="E428" s="50"/>
      <c r="F428" s="50"/>
      <c r="G428" s="50"/>
      <c r="H428" s="50"/>
    </row>
    <row r="429" spans="1:8">
      <c r="A429" s="27"/>
      <c r="C429" s="28"/>
      <c r="D429" s="28"/>
      <c r="E429" s="50"/>
      <c r="F429" s="50"/>
      <c r="G429" s="50"/>
      <c r="H429" s="50"/>
    </row>
    <row r="430" spans="1:8">
      <c r="A430" s="27"/>
      <c r="C430" s="28"/>
      <c r="D430" s="28"/>
      <c r="E430" s="50"/>
      <c r="F430" s="50"/>
      <c r="G430" s="50"/>
      <c r="H430" s="50"/>
    </row>
    <row r="431" spans="1:8">
      <c r="A431" s="27"/>
      <c r="C431" s="28"/>
      <c r="D431" s="28"/>
      <c r="E431" s="50"/>
      <c r="F431" s="50"/>
      <c r="G431" s="50"/>
      <c r="H431" s="50"/>
    </row>
    <row r="432" spans="1:8">
      <c r="A432" s="27"/>
      <c r="C432" s="28"/>
      <c r="D432" s="28"/>
      <c r="E432" s="50"/>
      <c r="F432" s="50"/>
      <c r="G432" s="50"/>
      <c r="H432" s="50"/>
    </row>
    <row r="433" spans="1:8">
      <c r="A433" s="27"/>
      <c r="C433" s="28"/>
      <c r="D433" s="28"/>
      <c r="E433" s="50"/>
      <c r="F433" s="50"/>
      <c r="G433" s="50"/>
      <c r="H433" s="50"/>
    </row>
    <row r="434" spans="1:8">
      <c r="A434" s="27"/>
      <c r="C434" s="28"/>
      <c r="D434" s="28"/>
      <c r="E434" s="50"/>
      <c r="F434" s="50"/>
      <c r="G434" s="50"/>
      <c r="H434" s="50"/>
    </row>
    <row r="435" spans="1:8">
      <c r="A435" s="27"/>
      <c r="C435" s="28"/>
      <c r="D435" s="28"/>
      <c r="E435" s="50"/>
      <c r="F435" s="50"/>
      <c r="G435" s="50"/>
      <c r="H435" s="50"/>
    </row>
    <row r="436" spans="1:8">
      <c r="A436" s="27"/>
      <c r="C436" s="28"/>
      <c r="D436" s="28"/>
      <c r="E436" s="50"/>
      <c r="F436" s="50"/>
      <c r="G436" s="50"/>
      <c r="H436" s="50"/>
    </row>
    <row r="437" spans="1:8">
      <c r="A437" s="27"/>
      <c r="C437" s="28"/>
      <c r="D437" s="28"/>
      <c r="E437" s="50"/>
      <c r="F437" s="50"/>
      <c r="G437" s="50"/>
      <c r="H437" s="50"/>
    </row>
    <row r="438" spans="1:8">
      <c r="A438" s="27"/>
      <c r="C438" s="28"/>
      <c r="D438" s="28"/>
      <c r="E438" s="50"/>
      <c r="F438" s="50"/>
      <c r="G438" s="50"/>
      <c r="H438" s="50"/>
    </row>
    <row r="439" spans="1:8">
      <c r="A439" s="27"/>
      <c r="C439" s="28"/>
      <c r="D439" s="28"/>
      <c r="E439" s="50"/>
      <c r="F439" s="50"/>
      <c r="G439" s="50"/>
      <c r="H439" s="50"/>
    </row>
    <row r="440" spans="1:8">
      <c r="A440" s="27"/>
      <c r="C440" s="28"/>
      <c r="D440" s="28"/>
      <c r="E440" s="50"/>
      <c r="F440" s="50"/>
      <c r="G440" s="50"/>
      <c r="H440" s="50"/>
    </row>
    <row r="441" spans="1:8">
      <c r="A441" s="27"/>
      <c r="C441" s="28"/>
      <c r="D441" s="28"/>
      <c r="E441" s="50"/>
      <c r="F441" s="50"/>
      <c r="G441" s="50"/>
      <c r="H441" s="50"/>
    </row>
    <row r="442" spans="1:8">
      <c r="A442" s="27"/>
      <c r="C442" s="28"/>
      <c r="D442" s="28"/>
      <c r="E442" s="50"/>
      <c r="F442" s="50"/>
      <c r="G442" s="50"/>
      <c r="H442" s="50"/>
    </row>
    <row r="443" spans="1:8">
      <c r="A443" s="27"/>
      <c r="C443" s="28"/>
      <c r="D443" s="28"/>
      <c r="E443" s="50"/>
      <c r="F443" s="50"/>
      <c r="G443" s="50"/>
      <c r="H443" s="50"/>
    </row>
    <row r="444" spans="1:8">
      <c r="A444" s="27"/>
      <c r="C444" s="28"/>
      <c r="D444" s="28"/>
      <c r="E444" s="50"/>
      <c r="F444" s="50"/>
      <c r="G444" s="50"/>
      <c r="H444" s="50"/>
    </row>
    <row r="445" spans="1:8">
      <c r="A445" s="27"/>
      <c r="C445" s="28"/>
      <c r="D445" s="28"/>
      <c r="E445" s="50"/>
      <c r="F445" s="50"/>
      <c r="G445" s="50"/>
      <c r="H445" s="50"/>
    </row>
    <row r="446" spans="1:8">
      <c r="A446" s="27"/>
      <c r="C446" s="28"/>
      <c r="D446" s="28"/>
      <c r="E446" s="50"/>
      <c r="F446" s="50"/>
      <c r="G446" s="50"/>
      <c r="H446" s="50"/>
    </row>
    <row r="447" spans="1:8">
      <c r="A447" s="27"/>
      <c r="C447" s="28"/>
      <c r="D447" s="28"/>
      <c r="E447" s="50"/>
      <c r="F447" s="50"/>
      <c r="G447" s="50"/>
      <c r="H447" s="50"/>
    </row>
    <row r="448" spans="1:8">
      <c r="A448" s="27"/>
      <c r="C448" s="28"/>
      <c r="D448" s="28"/>
      <c r="E448" s="50"/>
      <c r="F448" s="50"/>
      <c r="G448" s="50"/>
      <c r="H448" s="50"/>
    </row>
    <row r="449" spans="1:8">
      <c r="A449" s="27"/>
      <c r="C449" s="28"/>
      <c r="D449" s="28"/>
      <c r="E449" s="50"/>
      <c r="F449" s="50"/>
      <c r="G449" s="50"/>
      <c r="H449" s="50"/>
    </row>
    <row r="450" spans="1:8">
      <c r="A450" s="27"/>
      <c r="C450" s="28"/>
      <c r="D450" s="28"/>
      <c r="E450" s="50"/>
      <c r="F450" s="50"/>
      <c r="G450" s="50"/>
      <c r="H450" s="50"/>
    </row>
    <row r="451" spans="1:8">
      <c r="A451" s="27"/>
      <c r="C451" s="28"/>
      <c r="D451" s="28"/>
      <c r="E451" s="50"/>
      <c r="F451" s="50"/>
      <c r="G451" s="50"/>
      <c r="H451" s="50"/>
    </row>
    <row r="452" spans="1:8">
      <c r="A452" s="27"/>
      <c r="C452" s="28"/>
      <c r="D452" s="28"/>
      <c r="E452" s="50"/>
      <c r="F452" s="50"/>
      <c r="G452" s="50"/>
      <c r="H452" s="50"/>
    </row>
    <row r="453" spans="1:8">
      <c r="A453" s="27"/>
      <c r="C453" s="28"/>
      <c r="D453" s="28"/>
      <c r="E453" s="50"/>
      <c r="F453" s="50"/>
      <c r="G453" s="50"/>
      <c r="H453" s="50"/>
    </row>
    <row r="454" spans="1:8">
      <c r="A454" s="27"/>
      <c r="C454" s="28"/>
      <c r="D454" s="28"/>
      <c r="E454" s="50"/>
      <c r="F454" s="50"/>
      <c r="G454" s="50"/>
      <c r="H454" s="50"/>
    </row>
    <row r="455" spans="1:8">
      <c r="A455" s="27"/>
      <c r="C455" s="28"/>
      <c r="D455" s="28"/>
      <c r="E455" s="50"/>
      <c r="F455" s="50"/>
      <c r="G455" s="50"/>
      <c r="H455" s="50"/>
    </row>
    <row r="456" spans="1:8">
      <c r="A456" s="27"/>
      <c r="C456" s="28"/>
      <c r="D456" s="28"/>
      <c r="E456" s="50"/>
      <c r="F456" s="50"/>
      <c r="G456" s="50"/>
      <c r="H456" s="50"/>
    </row>
    <row r="457" spans="1:8">
      <c r="A457" s="27"/>
      <c r="C457" s="28"/>
      <c r="D457" s="28"/>
      <c r="E457" s="50"/>
      <c r="F457" s="50"/>
      <c r="G457" s="50"/>
      <c r="H457" s="50"/>
    </row>
    <row r="458" spans="1:8">
      <c r="A458" s="27"/>
      <c r="C458" s="28"/>
      <c r="D458" s="28"/>
      <c r="E458" s="50"/>
      <c r="F458" s="50"/>
      <c r="G458" s="50"/>
      <c r="H458" s="50"/>
    </row>
    <row r="459" spans="1:8">
      <c r="A459" s="27"/>
      <c r="C459" s="28"/>
      <c r="D459" s="28"/>
      <c r="E459" s="50"/>
      <c r="F459" s="50"/>
      <c r="G459" s="50"/>
      <c r="H459" s="50"/>
    </row>
    <row r="460" spans="1:8">
      <c r="A460" s="27"/>
      <c r="C460" s="28"/>
      <c r="D460" s="28"/>
      <c r="E460" s="50"/>
      <c r="F460" s="50"/>
      <c r="G460" s="50"/>
      <c r="H460" s="50"/>
    </row>
    <row r="461" spans="1:8">
      <c r="A461" s="27"/>
      <c r="C461" s="28"/>
      <c r="D461" s="28"/>
      <c r="E461" s="50"/>
      <c r="F461" s="50"/>
      <c r="G461" s="50"/>
      <c r="H461" s="50"/>
    </row>
    <row r="462" spans="1:8">
      <c r="A462" s="27"/>
      <c r="C462" s="28"/>
      <c r="D462" s="28"/>
      <c r="E462" s="50"/>
      <c r="F462" s="50"/>
      <c r="G462" s="50"/>
      <c r="H462" s="50"/>
    </row>
    <row r="463" spans="1:8">
      <c r="A463" s="27"/>
      <c r="C463" s="28"/>
      <c r="D463" s="28"/>
      <c r="E463" s="50"/>
      <c r="F463" s="50"/>
      <c r="G463" s="50"/>
      <c r="H463" s="50"/>
    </row>
    <row r="464" spans="1:8">
      <c r="A464" s="27"/>
      <c r="C464" s="28"/>
      <c r="D464" s="28"/>
      <c r="E464" s="50"/>
      <c r="F464" s="50"/>
      <c r="G464" s="50"/>
      <c r="H464" s="50"/>
    </row>
    <row r="465" spans="1:8">
      <c r="A465" s="27"/>
      <c r="C465" s="28"/>
      <c r="D465" s="28"/>
      <c r="E465" s="50"/>
      <c r="F465" s="50"/>
      <c r="G465" s="50"/>
      <c r="H465" s="50"/>
    </row>
    <row r="466" spans="1:8">
      <c r="A466" s="27"/>
      <c r="C466" s="28"/>
      <c r="D466" s="28"/>
      <c r="E466" s="50"/>
      <c r="F466" s="50"/>
      <c r="G466" s="50"/>
      <c r="H466" s="50"/>
    </row>
    <row r="467" spans="1:8">
      <c r="A467" s="27"/>
      <c r="C467" s="28"/>
      <c r="D467" s="28"/>
      <c r="E467" s="50"/>
      <c r="F467" s="50"/>
      <c r="G467" s="50"/>
      <c r="H467" s="50"/>
    </row>
    <row r="468" spans="1:8">
      <c r="A468" s="27"/>
      <c r="C468" s="28"/>
      <c r="D468" s="28"/>
      <c r="E468" s="50"/>
      <c r="F468" s="50"/>
      <c r="G468" s="50"/>
      <c r="H468" s="50"/>
    </row>
    <row r="469" spans="1:8">
      <c r="A469" s="27"/>
      <c r="C469" s="28"/>
      <c r="D469" s="28"/>
      <c r="E469" s="50"/>
      <c r="F469" s="50"/>
      <c r="G469" s="50"/>
      <c r="H469" s="50"/>
    </row>
    <row r="470" spans="1:8">
      <c r="A470" s="27"/>
      <c r="C470" s="28"/>
      <c r="D470" s="28"/>
      <c r="E470" s="50"/>
      <c r="F470" s="50"/>
      <c r="G470" s="50"/>
      <c r="H470" s="50"/>
    </row>
    <row r="471" spans="1:8">
      <c r="A471" s="27"/>
      <c r="C471" s="28"/>
      <c r="D471" s="28"/>
      <c r="E471" s="50"/>
      <c r="F471" s="50"/>
      <c r="G471" s="50"/>
      <c r="H471" s="50"/>
    </row>
    <row r="472" spans="1:8">
      <c r="A472" s="27"/>
      <c r="C472" s="28"/>
      <c r="D472" s="28"/>
      <c r="E472" s="50"/>
      <c r="F472" s="50"/>
      <c r="G472" s="50"/>
      <c r="H472" s="50"/>
    </row>
    <row r="473" spans="1:8">
      <c r="A473" s="27"/>
      <c r="C473" s="28"/>
      <c r="D473" s="28"/>
      <c r="E473" s="50"/>
      <c r="F473" s="50"/>
      <c r="G473" s="50"/>
      <c r="H473" s="50"/>
    </row>
    <row r="474" spans="1:8">
      <c r="A474" s="27"/>
      <c r="C474" s="28"/>
      <c r="D474" s="28"/>
      <c r="E474" s="50"/>
      <c r="F474" s="50"/>
      <c r="G474" s="50"/>
      <c r="H474" s="50"/>
    </row>
    <row r="475" spans="1:8">
      <c r="A475" s="27"/>
      <c r="C475" s="28"/>
      <c r="D475" s="28"/>
      <c r="E475" s="50"/>
      <c r="F475" s="50"/>
      <c r="G475" s="50"/>
      <c r="H475" s="50"/>
    </row>
    <row r="476" spans="1:8">
      <c r="A476" s="27"/>
      <c r="C476" s="28"/>
      <c r="D476" s="28"/>
      <c r="E476" s="50"/>
      <c r="F476" s="50"/>
      <c r="G476" s="50"/>
      <c r="H476" s="50"/>
    </row>
    <row r="477" spans="1:8">
      <c r="A477" s="27"/>
      <c r="C477" s="28"/>
      <c r="D477" s="28"/>
      <c r="E477" s="50"/>
      <c r="F477" s="50"/>
      <c r="G477" s="50"/>
      <c r="H477" s="50"/>
    </row>
    <row r="478" spans="1:8">
      <c r="A478" s="27"/>
      <c r="C478" s="28"/>
      <c r="D478" s="28"/>
      <c r="E478" s="50"/>
      <c r="F478" s="50"/>
      <c r="G478" s="50"/>
      <c r="H478" s="50"/>
    </row>
    <row r="479" spans="1:8">
      <c r="A479" s="27"/>
      <c r="C479" s="28"/>
      <c r="D479" s="28"/>
      <c r="E479" s="50"/>
      <c r="F479" s="50"/>
      <c r="G479" s="50"/>
      <c r="H479" s="50"/>
    </row>
    <row r="480" spans="1:8">
      <c r="A480" s="27"/>
      <c r="C480" s="28"/>
      <c r="D480" s="28"/>
      <c r="E480" s="50"/>
      <c r="F480" s="50"/>
      <c r="G480" s="50"/>
      <c r="H480" s="50"/>
    </row>
    <row r="481" spans="1:8">
      <c r="A481" s="27"/>
      <c r="C481" s="28"/>
      <c r="D481" s="28"/>
      <c r="E481" s="50"/>
      <c r="F481" s="50"/>
      <c r="G481" s="50"/>
      <c r="H481" s="50"/>
    </row>
    <row r="482" spans="1:8">
      <c r="A482" s="27"/>
      <c r="C482" s="28"/>
      <c r="D482" s="28"/>
      <c r="E482" s="50"/>
      <c r="F482" s="50"/>
      <c r="G482" s="50"/>
      <c r="H482" s="50"/>
    </row>
    <row r="483" spans="1:8">
      <c r="A483" s="27"/>
      <c r="C483" s="28"/>
      <c r="D483" s="28"/>
      <c r="E483" s="50"/>
      <c r="F483" s="50"/>
      <c r="G483" s="50"/>
      <c r="H483" s="50"/>
    </row>
    <row r="484" spans="1:8">
      <c r="A484" s="27"/>
      <c r="C484" s="28"/>
      <c r="D484" s="28"/>
      <c r="E484" s="50"/>
      <c r="F484" s="50"/>
      <c r="G484" s="50"/>
      <c r="H484" s="50"/>
    </row>
    <row r="485" spans="1:8">
      <c r="A485" s="27"/>
      <c r="C485" s="28"/>
      <c r="D485" s="28"/>
      <c r="E485" s="50"/>
      <c r="F485" s="50"/>
      <c r="G485" s="50"/>
      <c r="H485" s="50"/>
    </row>
    <row r="486" spans="1:8">
      <c r="A486" s="27"/>
      <c r="C486" s="28"/>
      <c r="D486" s="28"/>
      <c r="E486" s="50"/>
      <c r="F486" s="50"/>
      <c r="G486" s="50"/>
      <c r="H486" s="50"/>
    </row>
    <row r="487" spans="1:8">
      <c r="A487" s="27"/>
      <c r="C487" s="28"/>
      <c r="D487" s="28"/>
      <c r="E487" s="50"/>
      <c r="F487" s="50"/>
      <c r="G487" s="50"/>
      <c r="H487" s="50"/>
    </row>
    <row r="488" spans="1:8">
      <c r="A488" s="27"/>
      <c r="C488" s="28"/>
      <c r="D488" s="28"/>
      <c r="E488" s="50"/>
      <c r="F488" s="50"/>
      <c r="G488" s="50"/>
      <c r="H488" s="50"/>
    </row>
    <row r="489" spans="1:8">
      <c r="A489" s="27"/>
      <c r="C489" s="28"/>
      <c r="D489" s="28"/>
      <c r="E489" s="50"/>
      <c r="F489" s="50"/>
      <c r="G489" s="50"/>
      <c r="H489" s="50"/>
    </row>
    <row r="490" spans="1:8">
      <c r="A490" s="27"/>
      <c r="C490" s="28"/>
      <c r="D490" s="28"/>
      <c r="E490" s="50"/>
      <c r="F490" s="50"/>
      <c r="G490" s="50"/>
      <c r="H490" s="50"/>
    </row>
    <row r="491" spans="1:8">
      <c r="A491" s="27"/>
      <c r="C491" s="28"/>
      <c r="D491" s="28"/>
      <c r="E491" s="50"/>
      <c r="F491" s="50"/>
      <c r="G491" s="50"/>
      <c r="H491" s="50"/>
    </row>
    <row r="492" spans="1:8">
      <c r="A492" s="27"/>
      <c r="C492" s="28"/>
      <c r="D492" s="28"/>
      <c r="E492" s="50"/>
      <c r="F492" s="50"/>
      <c r="G492" s="50"/>
      <c r="H492" s="50"/>
    </row>
    <row r="493" spans="1:8">
      <c r="A493" s="27"/>
      <c r="C493" s="28"/>
      <c r="D493" s="28"/>
      <c r="E493" s="50"/>
      <c r="F493" s="50"/>
      <c r="G493" s="50"/>
      <c r="H493" s="50"/>
    </row>
    <row r="494" spans="1:8">
      <c r="A494" s="27"/>
      <c r="C494" s="28"/>
      <c r="D494" s="28"/>
      <c r="E494" s="50"/>
      <c r="F494" s="50"/>
      <c r="G494" s="50"/>
      <c r="H494" s="50"/>
    </row>
    <row r="495" spans="1:8">
      <c r="A495" s="27"/>
      <c r="C495" s="28"/>
      <c r="D495" s="28"/>
      <c r="E495" s="50"/>
      <c r="F495" s="50"/>
      <c r="G495" s="50"/>
      <c r="H495" s="50"/>
    </row>
    <row r="496" spans="1:8">
      <c r="A496" s="27"/>
      <c r="C496" s="28"/>
      <c r="D496" s="28"/>
      <c r="E496" s="50"/>
      <c r="F496" s="50"/>
      <c r="G496" s="50"/>
      <c r="H496" s="50"/>
    </row>
    <row r="497" spans="1:8">
      <c r="A497" s="27"/>
      <c r="C497" s="28"/>
      <c r="D497" s="28"/>
      <c r="E497" s="50"/>
      <c r="F497" s="50"/>
      <c r="G497" s="50"/>
      <c r="H497" s="50"/>
    </row>
    <row r="498" spans="1:8">
      <c r="A498" s="27"/>
      <c r="C498" s="28"/>
      <c r="D498" s="28"/>
      <c r="E498" s="50"/>
      <c r="F498" s="50"/>
      <c r="G498" s="50"/>
      <c r="H498" s="50"/>
    </row>
    <row r="499" spans="1:8">
      <c r="A499" s="27"/>
      <c r="C499" s="28"/>
      <c r="D499" s="28"/>
      <c r="E499" s="50"/>
      <c r="F499" s="50"/>
      <c r="G499" s="50"/>
      <c r="H499" s="50"/>
    </row>
    <row r="500" spans="1:8">
      <c r="A500" s="27"/>
      <c r="C500" s="28"/>
      <c r="D500" s="28"/>
      <c r="E500" s="50"/>
      <c r="F500" s="50"/>
      <c r="G500" s="50"/>
      <c r="H500" s="50"/>
    </row>
    <row r="501" spans="1:8">
      <c r="A501" s="27"/>
      <c r="C501" s="28"/>
      <c r="D501" s="28"/>
      <c r="E501" s="50"/>
      <c r="F501" s="50"/>
      <c r="G501" s="50"/>
      <c r="H501" s="50"/>
    </row>
    <row r="502" spans="1:8">
      <c r="A502" s="27"/>
      <c r="C502" s="28"/>
      <c r="D502" s="28"/>
      <c r="E502" s="50"/>
      <c r="F502" s="50"/>
      <c r="G502" s="50"/>
      <c r="H502" s="50"/>
    </row>
    <row r="503" spans="1:8">
      <c r="A503" s="27"/>
      <c r="C503" s="28"/>
      <c r="D503" s="28"/>
      <c r="E503" s="50"/>
      <c r="F503" s="50"/>
      <c r="G503" s="50"/>
      <c r="H503" s="50"/>
    </row>
    <row r="504" spans="1:8">
      <c r="A504" s="27"/>
      <c r="C504" s="28"/>
      <c r="D504" s="28"/>
      <c r="E504" s="50"/>
      <c r="F504" s="50"/>
      <c r="G504" s="50"/>
      <c r="H504" s="50"/>
    </row>
    <row r="505" spans="1:8">
      <c r="A505" s="27"/>
      <c r="C505" s="28"/>
      <c r="D505" s="28"/>
      <c r="E505" s="50"/>
      <c r="F505" s="50"/>
      <c r="G505" s="50"/>
      <c r="H505" s="50"/>
    </row>
    <row r="506" spans="1:8">
      <c r="A506" s="27"/>
      <c r="C506" s="28"/>
      <c r="D506" s="28"/>
      <c r="E506" s="50"/>
      <c r="F506" s="50"/>
      <c r="G506" s="50"/>
      <c r="H506" s="50"/>
    </row>
    <row r="507" spans="1:8">
      <c r="A507" s="27"/>
      <c r="C507" s="28"/>
      <c r="D507" s="28"/>
      <c r="E507" s="50"/>
      <c r="F507" s="50"/>
      <c r="G507" s="50"/>
      <c r="H507" s="50"/>
    </row>
    <row r="508" spans="1:8">
      <c r="A508" s="27"/>
      <c r="C508" s="28"/>
      <c r="D508" s="28"/>
      <c r="E508" s="50"/>
      <c r="F508" s="50"/>
      <c r="G508" s="50"/>
      <c r="H508" s="50"/>
    </row>
    <row r="509" spans="1:8">
      <c r="A509" s="27"/>
      <c r="C509" s="28"/>
      <c r="D509" s="28"/>
      <c r="E509" s="50"/>
      <c r="F509" s="50"/>
      <c r="G509" s="50"/>
      <c r="H509" s="50"/>
    </row>
    <row r="510" spans="1:8">
      <c r="A510" s="27"/>
      <c r="C510" s="28"/>
      <c r="D510" s="28"/>
      <c r="E510" s="50"/>
      <c r="F510" s="50"/>
      <c r="G510" s="50"/>
      <c r="H510" s="50"/>
    </row>
    <row r="511" spans="1:8">
      <c r="A511" s="27"/>
      <c r="C511" s="28"/>
      <c r="D511" s="28"/>
      <c r="E511" s="50"/>
      <c r="F511" s="50"/>
      <c r="G511" s="50"/>
      <c r="H511" s="50"/>
    </row>
    <row r="512" spans="1:8">
      <c r="A512" s="27"/>
      <c r="C512" s="28"/>
      <c r="D512" s="28"/>
      <c r="E512" s="50"/>
      <c r="F512" s="50"/>
      <c r="G512" s="50"/>
      <c r="H512" s="50"/>
    </row>
    <row r="513" spans="1:8">
      <c r="A513" s="27"/>
      <c r="C513" s="28"/>
      <c r="D513" s="28"/>
      <c r="E513" s="50"/>
      <c r="F513" s="50"/>
      <c r="G513" s="50"/>
      <c r="H513" s="50"/>
    </row>
    <row r="514" spans="1:8">
      <c r="A514" s="27"/>
      <c r="C514" s="28"/>
      <c r="D514" s="28"/>
      <c r="E514" s="50"/>
      <c r="F514" s="50"/>
      <c r="G514" s="50"/>
      <c r="H514" s="50"/>
    </row>
    <row r="515" spans="1:8">
      <c r="A515" s="27"/>
      <c r="C515" s="28"/>
      <c r="D515" s="28"/>
      <c r="E515" s="50"/>
      <c r="F515" s="50"/>
      <c r="G515" s="50"/>
      <c r="H515" s="50"/>
    </row>
    <row r="516" spans="1:8">
      <c r="A516" s="27"/>
      <c r="C516" s="28"/>
      <c r="D516" s="28"/>
      <c r="E516" s="50"/>
      <c r="F516" s="50"/>
      <c r="G516" s="50"/>
      <c r="H516" s="50"/>
    </row>
    <row r="517" spans="1:8">
      <c r="A517" s="27"/>
      <c r="C517" s="28"/>
      <c r="D517" s="28"/>
      <c r="E517" s="50"/>
      <c r="F517" s="50"/>
      <c r="G517" s="50"/>
      <c r="H517" s="50"/>
    </row>
    <row r="518" spans="1:8">
      <c r="A518" s="27"/>
      <c r="C518" s="28"/>
      <c r="D518" s="28"/>
      <c r="E518" s="50"/>
      <c r="F518" s="50"/>
      <c r="G518" s="50"/>
      <c r="H518" s="50"/>
    </row>
    <row r="519" spans="1:8">
      <c r="A519" s="27"/>
      <c r="C519" s="28"/>
      <c r="D519" s="28"/>
      <c r="E519" s="50"/>
      <c r="F519" s="50"/>
      <c r="G519" s="50"/>
      <c r="H519" s="50"/>
    </row>
    <row r="520" spans="1:8">
      <c r="A520" s="27"/>
      <c r="C520" s="28"/>
      <c r="D520" s="28"/>
      <c r="E520" s="50"/>
      <c r="F520" s="50"/>
      <c r="G520" s="50"/>
      <c r="H520" s="50"/>
    </row>
    <row r="521" spans="1:8">
      <c r="A521" s="27"/>
      <c r="C521" s="28"/>
      <c r="D521" s="28"/>
      <c r="E521" s="50"/>
      <c r="F521" s="50"/>
      <c r="G521" s="50"/>
      <c r="H521" s="50"/>
    </row>
    <row r="522" spans="1:8">
      <c r="A522" s="27"/>
      <c r="C522" s="28"/>
      <c r="D522" s="28"/>
      <c r="E522" s="50"/>
      <c r="F522" s="50"/>
      <c r="G522" s="50"/>
      <c r="H522" s="50"/>
    </row>
    <row r="523" spans="1:8">
      <c r="A523" s="27"/>
      <c r="C523" s="28"/>
      <c r="D523" s="28"/>
      <c r="E523" s="50"/>
      <c r="F523" s="50"/>
      <c r="G523" s="50"/>
      <c r="H523" s="50"/>
    </row>
    <row r="524" spans="1:8">
      <c r="A524" s="27"/>
      <c r="C524" s="28"/>
      <c r="D524" s="28"/>
      <c r="E524" s="50"/>
      <c r="F524" s="50"/>
      <c r="G524" s="50"/>
      <c r="H524" s="50"/>
    </row>
    <row r="525" spans="1:8">
      <c r="A525" s="27"/>
      <c r="C525" s="28"/>
      <c r="D525" s="28"/>
      <c r="E525" s="50"/>
      <c r="F525" s="50"/>
      <c r="G525" s="50"/>
      <c r="H525" s="50"/>
    </row>
    <row r="526" spans="1:8">
      <c r="A526" s="27"/>
      <c r="C526" s="28"/>
      <c r="D526" s="28"/>
      <c r="E526" s="50"/>
      <c r="F526" s="50"/>
      <c r="G526" s="50"/>
      <c r="H526" s="50"/>
    </row>
    <row r="527" spans="1:8">
      <c r="A527" s="27"/>
      <c r="C527" s="28"/>
      <c r="D527" s="28"/>
      <c r="E527" s="50"/>
      <c r="F527" s="50"/>
      <c r="G527" s="50"/>
      <c r="H527" s="50"/>
    </row>
    <row r="528" spans="1:8">
      <c r="A528" s="27"/>
      <c r="C528" s="28"/>
      <c r="D528" s="28"/>
      <c r="E528" s="50"/>
      <c r="F528" s="50"/>
      <c r="G528" s="50"/>
      <c r="H528" s="50"/>
    </row>
    <row r="529" spans="1:8">
      <c r="A529" s="27"/>
      <c r="C529" s="28"/>
      <c r="D529" s="28"/>
      <c r="E529" s="50"/>
      <c r="F529" s="50"/>
      <c r="G529" s="50"/>
      <c r="H529" s="50"/>
    </row>
    <row r="530" spans="1:8">
      <c r="A530" s="27"/>
      <c r="C530" s="28"/>
      <c r="D530" s="28"/>
      <c r="E530" s="50"/>
      <c r="F530" s="50"/>
      <c r="G530" s="50"/>
      <c r="H530" s="50"/>
    </row>
    <row r="531" spans="1:8">
      <c r="A531" s="27"/>
      <c r="C531" s="28"/>
      <c r="D531" s="28"/>
      <c r="E531" s="50"/>
      <c r="F531" s="50"/>
      <c r="G531" s="50"/>
      <c r="H531" s="50"/>
    </row>
    <row r="532" spans="1:8">
      <c r="A532" s="27"/>
      <c r="C532" s="28"/>
      <c r="D532" s="28"/>
      <c r="E532" s="50"/>
      <c r="F532" s="50"/>
      <c r="G532" s="50"/>
      <c r="H532" s="50"/>
    </row>
    <row r="533" spans="1:8">
      <c r="A533" s="27"/>
      <c r="C533" s="28"/>
      <c r="D533" s="28"/>
      <c r="E533" s="50"/>
      <c r="F533" s="50"/>
      <c r="G533" s="50"/>
      <c r="H533" s="50"/>
    </row>
    <row r="534" spans="1:8">
      <c r="A534" s="27"/>
      <c r="C534" s="28"/>
      <c r="D534" s="28"/>
      <c r="E534" s="50"/>
      <c r="F534" s="50"/>
      <c r="G534" s="50"/>
      <c r="H534" s="50"/>
    </row>
    <row r="535" spans="1:8">
      <c r="A535" s="27"/>
      <c r="C535" s="28"/>
      <c r="D535" s="28"/>
      <c r="E535" s="50"/>
      <c r="F535" s="50"/>
      <c r="G535" s="50"/>
      <c r="H535" s="50"/>
    </row>
    <row r="536" spans="1:8">
      <c r="A536" s="27"/>
      <c r="C536" s="28"/>
      <c r="D536" s="28"/>
      <c r="E536" s="50"/>
      <c r="F536" s="50"/>
      <c r="G536" s="50"/>
      <c r="H536" s="50"/>
    </row>
    <row r="537" spans="1:8">
      <c r="A537" s="27"/>
      <c r="C537" s="28"/>
      <c r="D537" s="28"/>
      <c r="E537" s="50"/>
      <c r="F537" s="50"/>
      <c r="G537" s="50"/>
      <c r="H537" s="50"/>
    </row>
    <row r="538" spans="1:8">
      <c r="A538" s="27"/>
      <c r="C538" s="28"/>
      <c r="D538" s="28"/>
      <c r="E538" s="50"/>
      <c r="F538" s="50"/>
      <c r="G538" s="50"/>
      <c r="H538" s="50"/>
    </row>
    <row r="539" spans="1:8">
      <c r="A539" s="27"/>
      <c r="C539" s="28"/>
      <c r="D539" s="28"/>
      <c r="E539" s="50"/>
      <c r="F539" s="50"/>
      <c r="G539" s="50"/>
      <c r="H539" s="50"/>
    </row>
    <row r="540" spans="1:8">
      <c r="A540" s="27"/>
      <c r="C540" s="28"/>
      <c r="D540" s="28"/>
      <c r="E540" s="50"/>
      <c r="F540" s="50"/>
      <c r="G540" s="50"/>
      <c r="H540" s="50"/>
    </row>
    <row r="541" spans="1:8">
      <c r="A541" s="27"/>
      <c r="C541" s="28"/>
      <c r="D541" s="28"/>
      <c r="E541" s="50"/>
      <c r="F541" s="50"/>
      <c r="G541" s="50"/>
      <c r="H541" s="50"/>
    </row>
    <row r="542" spans="1:8">
      <c r="A542" s="27"/>
      <c r="C542" s="28"/>
      <c r="D542" s="28"/>
      <c r="E542" s="50"/>
      <c r="F542" s="50"/>
      <c r="G542" s="50"/>
      <c r="H542" s="50"/>
    </row>
    <row r="543" spans="1:8">
      <c r="A543" s="27"/>
      <c r="C543" s="28"/>
      <c r="D543" s="28"/>
      <c r="E543" s="50"/>
      <c r="F543" s="50"/>
      <c r="G543" s="50"/>
      <c r="H543" s="50"/>
    </row>
    <row r="544" spans="1:8">
      <c r="A544" s="27"/>
      <c r="C544" s="28"/>
      <c r="D544" s="28"/>
      <c r="E544" s="50"/>
      <c r="F544" s="50"/>
      <c r="G544" s="50"/>
      <c r="H544" s="50"/>
    </row>
    <row r="545" spans="1:8">
      <c r="A545" s="27"/>
      <c r="C545" s="28"/>
      <c r="D545" s="28"/>
      <c r="E545" s="50"/>
      <c r="F545" s="50"/>
      <c r="G545" s="50"/>
      <c r="H545" s="50"/>
    </row>
    <row r="546" spans="1:8">
      <c r="A546" s="27"/>
      <c r="C546" s="28"/>
      <c r="D546" s="28"/>
      <c r="E546" s="50"/>
      <c r="F546" s="50"/>
      <c r="G546" s="50"/>
      <c r="H546" s="50"/>
    </row>
    <row r="547" spans="1:8">
      <c r="A547" s="27"/>
      <c r="C547" s="28"/>
      <c r="D547" s="28"/>
      <c r="E547" s="50"/>
      <c r="F547" s="50"/>
      <c r="G547" s="50"/>
      <c r="H547" s="50"/>
    </row>
    <row r="548" spans="1:8">
      <c r="A548" s="27"/>
      <c r="C548" s="28"/>
      <c r="D548" s="28"/>
      <c r="E548" s="50"/>
      <c r="F548" s="50"/>
      <c r="G548" s="50"/>
      <c r="H548" s="50"/>
    </row>
    <row r="549" spans="1:8">
      <c r="A549" s="27"/>
      <c r="C549" s="28"/>
      <c r="D549" s="28"/>
      <c r="E549" s="50"/>
      <c r="F549" s="50"/>
      <c r="G549" s="50"/>
      <c r="H549" s="50"/>
    </row>
    <row r="550" spans="1:8">
      <c r="A550" s="27"/>
      <c r="C550" s="28"/>
      <c r="D550" s="28"/>
      <c r="E550" s="50"/>
      <c r="F550" s="50"/>
      <c r="G550" s="50"/>
      <c r="H550" s="50"/>
    </row>
    <row r="551" spans="1:8">
      <c r="A551" s="27"/>
      <c r="C551" s="28"/>
      <c r="D551" s="28"/>
      <c r="E551" s="50"/>
      <c r="F551" s="50"/>
      <c r="G551" s="50"/>
      <c r="H551" s="50"/>
    </row>
    <row r="552" spans="1:8">
      <c r="A552" s="27"/>
      <c r="C552" s="28"/>
      <c r="D552" s="28"/>
      <c r="E552" s="50"/>
      <c r="F552" s="50"/>
      <c r="G552" s="50"/>
      <c r="H552" s="50"/>
    </row>
    <row r="553" spans="1:8">
      <c r="A553" s="27"/>
      <c r="C553" s="28"/>
      <c r="D553" s="28"/>
      <c r="E553" s="50"/>
      <c r="F553" s="50"/>
      <c r="G553" s="50"/>
      <c r="H553" s="50"/>
    </row>
    <row r="554" spans="1:8">
      <c r="A554" s="27"/>
      <c r="C554" s="28"/>
      <c r="D554" s="28"/>
      <c r="E554" s="50"/>
      <c r="F554" s="50"/>
      <c r="G554" s="50"/>
      <c r="H554" s="50"/>
    </row>
    <row r="555" spans="1:8">
      <c r="A555" s="27"/>
      <c r="C555" s="28"/>
      <c r="D555" s="28"/>
      <c r="E555" s="50"/>
      <c r="F555" s="50"/>
      <c r="G555" s="50"/>
      <c r="H555" s="50"/>
    </row>
    <row r="556" spans="1:8">
      <c r="A556" s="27"/>
      <c r="C556" s="28"/>
      <c r="D556" s="28"/>
      <c r="E556" s="50"/>
      <c r="F556" s="50"/>
      <c r="G556" s="50"/>
      <c r="H556" s="50"/>
    </row>
    <row r="557" spans="1:8">
      <c r="A557" s="27"/>
      <c r="C557" s="28"/>
      <c r="D557" s="28"/>
      <c r="E557" s="50"/>
      <c r="F557" s="50"/>
      <c r="G557" s="50"/>
      <c r="H557" s="50"/>
    </row>
    <row r="558" spans="1:8">
      <c r="A558" s="27"/>
      <c r="C558" s="28"/>
      <c r="D558" s="28"/>
      <c r="E558" s="50"/>
      <c r="F558" s="50"/>
      <c r="G558" s="50"/>
      <c r="H558" s="50"/>
    </row>
    <row r="559" spans="1:8">
      <c r="A559" s="27"/>
      <c r="C559" s="28"/>
      <c r="D559" s="28"/>
      <c r="E559" s="50"/>
      <c r="F559" s="50"/>
      <c r="G559" s="50"/>
      <c r="H559" s="50"/>
    </row>
    <row r="560" spans="1:8">
      <c r="A560" s="27"/>
      <c r="C560" s="28"/>
      <c r="D560" s="28"/>
      <c r="E560" s="50"/>
      <c r="F560" s="50"/>
      <c r="G560" s="50"/>
      <c r="H560" s="50"/>
    </row>
    <row r="561" spans="1:8">
      <c r="A561" s="27"/>
      <c r="C561" s="28"/>
      <c r="D561" s="28"/>
      <c r="E561" s="50"/>
      <c r="F561" s="50"/>
      <c r="G561" s="50"/>
      <c r="H561" s="50"/>
    </row>
    <row r="562" spans="1:8">
      <c r="A562" s="27"/>
      <c r="C562" s="28"/>
      <c r="D562" s="28"/>
      <c r="E562" s="50"/>
      <c r="F562" s="50"/>
      <c r="G562" s="50"/>
      <c r="H562" s="50"/>
    </row>
    <row r="563" spans="1:8">
      <c r="A563" s="27"/>
      <c r="C563" s="28"/>
      <c r="D563" s="28"/>
      <c r="E563" s="50"/>
      <c r="F563" s="50"/>
      <c r="G563" s="50"/>
      <c r="H563" s="50"/>
    </row>
    <row r="564" spans="1:8">
      <c r="A564" s="27"/>
      <c r="C564" s="28"/>
      <c r="D564" s="28"/>
      <c r="E564" s="50"/>
      <c r="F564" s="50"/>
      <c r="G564" s="50"/>
      <c r="H564" s="50"/>
    </row>
    <row r="565" spans="1:8">
      <c r="A565" s="27"/>
      <c r="C565" s="28"/>
      <c r="D565" s="28"/>
      <c r="E565" s="50"/>
      <c r="F565" s="50"/>
      <c r="G565" s="50"/>
      <c r="H565" s="50"/>
    </row>
    <row r="566" spans="1:8">
      <c r="A566" s="27"/>
      <c r="C566" s="28"/>
      <c r="D566" s="28"/>
      <c r="E566" s="50"/>
      <c r="F566" s="50"/>
      <c r="G566" s="50"/>
      <c r="H566" s="50"/>
    </row>
    <row r="567" spans="1:8">
      <c r="A567" s="27"/>
      <c r="C567" s="28"/>
      <c r="D567" s="28"/>
      <c r="E567" s="50"/>
      <c r="F567" s="50"/>
      <c r="G567" s="50"/>
      <c r="H567" s="50"/>
    </row>
    <row r="568" spans="1:8">
      <c r="A568" s="27"/>
      <c r="C568" s="28"/>
      <c r="D568" s="28"/>
      <c r="E568" s="50"/>
      <c r="F568" s="50"/>
      <c r="G568" s="50"/>
      <c r="H568" s="50"/>
    </row>
    <row r="569" spans="1:8">
      <c r="A569" s="27"/>
      <c r="C569" s="28"/>
      <c r="D569" s="28"/>
      <c r="E569" s="50"/>
      <c r="F569" s="50"/>
      <c r="G569" s="50"/>
      <c r="H569" s="50"/>
    </row>
    <row r="570" spans="1:8">
      <c r="A570" s="27"/>
      <c r="C570" s="28"/>
      <c r="D570" s="28"/>
      <c r="E570" s="50"/>
      <c r="F570" s="50"/>
      <c r="G570" s="50"/>
      <c r="H570" s="50"/>
    </row>
    <row r="571" spans="1:8">
      <c r="A571" s="27"/>
      <c r="C571" s="28"/>
      <c r="D571" s="28"/>
      <c r="E571" s="50"/>
      <c r="F571" s="50"/>
      <c r="G571" s="50"/>
      <c r="H571" s="50"/>
    </row>
    <row r="572" spans="1:8">
      <c r="A572" s="27"/>
      <c r="C572" s="28"/>
      <c r="D572" s="28"/>
      <c r="E572" s="50"/>
      <c r="F572" s="50"/>
      <c r="G572" s="50"/>
      <c r="H572" s="50"/>
    </row>
    <row r="573" spans="1:8">
      <c r="A573" s="27"/>
      <c r="C573" s="28"/>
      <c r="D573" s="28"/>
      <c r="E573" s="50"/>
      <c r="F573" s="50"/>
      <c r="G573" s="50"/>
      <c r="H573" s="50"/>
    </row>
    <row r="574" spans="1:8">
      <c r="A574" s="27"/>
      <c r="C574" s="28"/>
      <c r="D574" s="28"/>
      <c r="E574" s="50"/>
      <c r="F574" s="50"/>
      <c r="G574" s="50"/>
      <c r="H574" s="50"/>
    </row>
    <row r="575" spans="1:8">
      <c r="A575" s="27"/>
      <c r="C575" s="28"/>
      <c r="D575" s="28"/>
      <c r="E575" s="50"/>
      <c r="F575" s="50"/>
      <c r="G575" s="50"/>
      <c r="H575" s="50"/>
    </row>
    <row r="576" spans="1:8">
      <c r="A576" s="27"/>
      <c r="C576" s="28"/>
      <c r="D576" s="28"/>
      <c r="E576" s="50"/>
      <c r="F576" s="50"/>
      <c r="G576" s="50"/>
      <c r="H576" s="50"/>
    </row>
    <row r="577" spans="1:8">
      <c r="A577" s="27"/>
      <c r="C577" s="28"/>
      <c r="D577" s="28"/>
      <c r="E577" s="50"/>
      <c r="F577" s="50"/>
      <c r="G577" s="50"/>
      <c r="H577" s="50"/>
    </row>
    <row r="578" spans="1:8">
      <c r="A578" s="27"/>
      <c r="C578" s="28"/>
      <c r="D578" s="28"/>
      <c r="E578" s="50"/>
      <c r="F578" s="50"/>
      <c r="G578" s="50"/>
      <c r="H578" s="50"/>
    </row>
    <row r="579" spans="1:8">
      <c r="A579" s="27"/>
      <c r="C579" s="28"/>
      <c r="D579" s="28"/>
      <c r="E579" s="50"/>
      <c r="F579" s="50"/>
      <c r="G579" s="50"/>
      <c r="H579" s="50"/>
    </row>
    <row r="580" spans="1:8">
      <c r="A580" s="27"/>
      <c r="C580" s="28"/>
      <c r="D580" s="28"/>
      <c r="E580" s="50"/>
      <c r="F580" s="50"/>
      <c r="G580" s="50"/>
      <c r="H580" s="50"/>
    </row>
    <row r="581" spans="1:8">
      <c r="A581" s="27"/>
      <c r="C581" s="28"/>
      <c r="D581" s="28"/>
      <c r="E581" s="50"/>
      <c r="F581" s="50"/>
      <c r="G581" s="50"/>
      <c r="H581" s="50"/>
    </row>
    <row r="582" spans="1:8">
      <c r="A582" s="27"/>
      <c r="C582" s="28"/>
      <c r="D582" s="28"/>
      <c r="E582" s="50"/>
      <c r="F582" s="50"/>
      <c r="G582" s="50"/>
      <c r="H582" s="50"/>
    </row>
    <row r="583" spans="1:8">
      <c r="A583" s="27"/>
      <c r="C583" s="28"/>
      <c r="D583" s="28"/>
      <c r="E583" s="50"/>
      <c r="F583" s="50"/>
      <c r="G583" s="50"/>
      <c r="H583" s="50"/>
    </row>
    <row r="584" spans="1:8">
      <c r="A584" s="27"/>
      <c r="C584" s="28"/>
      <c r="D584" s="28"/>
      <c r="E584" s="50"/>
      <c r="F584" s="50"/>
      <c r="G584" s="50"/>
      <c r="H584" s="50"/>
    </row>
    <row r="585" spans="1:8">
      <c r="A585" s="27"/>
      <c r="C585" s="28"/>
      <c r="D585" s="28"/>
      <c r="E585" s="50"/>
      <c r="F585" s="50"/>
      <c r="G585" s="50"/>
      <c r="H585" s="50"/>
    </row>
    <row r="586" spans="1:8">
      <c r="A586" s="27"/>
      <c r="C586" s="28"/>
      <c r="D586" s="28"/>
      <c r="E586" s="50"/>
      <c r="F586" s="50"/>
      <c r="G586" s="50"/>
      <c r="H586" s="50"/>
    </row>
    <row r="587" spans="1:8">
      <c r="A587" s="27"/>
      <c r="C587" s="28"/>
      <c r="D587" s="28"/>
      <c r="E587" s="50"/>
      <c r="F587" s="50"/>
      <c r="G587" s="50"/>
      <c r="H587" s="50"/>
    </row>
    <row r="588" spans="1:8">
      <c r="A588" s="27"/>
      <c r="C588" s="28"/>
      <c r="D588" s="28"/>
      <c r="E588" s="50"/>
      <c r="F588" s="50"/>
      <c r="G588" s="50"/>
      <c r="H588" s="50"/>
    </row>
    <row r="589" spans="1:8">
      <c r="A589" s="27"/>
      <c r="C589" s="28"/>
      <c r="D589" s="28"/>
      <c r="E589" s="50"/>
      <c r="F589" s="50"/>
      <c r="G589" s="50"/>
      <c r="H589" s="50"/>
    </row>
    <row r="590" spans="1:8">
      <c r="A590" s="27"/>
      <c r="C590" s="28"/>
      <c r="D590" s="28"/>
      <c r="E590" s="50"/>
      <c r="F590" s="50"/>
      <c r="G590" s="50"/>
      <c r="H590" s="50"/>
    </row>
    <row r="591" spans="1:8">
      <c r="A591" s="27"/>
      <c r="C591" s="28"/>
      <c r="D591" s="28"/>
      <c r="E591" s="50"/>
      <c r="F591" s="50"/>
      <c r="G591" s="50"/>
      <c r="H591" s="50"/>
    </row>
    <row r="592" spans="1:8">
      <c r="A592" s="27"/>
      <c r="C592" s="28"/>
      <c r="D592" s="28"/>
      <c r="E592" s="50"/>
      <c r="F592" s="50"/>
      <c r="G592" s="50"/>
      <c r="H592" s="50"/>
    </row>
    <row r="593" spans="1:8">
      <c r="A593" s="27"/>
      <c r="C593" s="28"/>
      <c r="D593" s="28"/>
      <c r="E593" s="50"/>
      <c r="F593" s="50"/>
      <c r="G593" s="50"/>
      <c r="H593" s="50"/>
    </row>
    <row r="594" spans="1:8">
      <c r="A594" s="27"/>
      <c r="C594" s="28"/>
      <c r="D594" s="28"/>
      <c r="E594" s="50"/>
      <c r="F594" s="50"/>
      <c r="G594" s="50"/>
      <c r="H594" s="50"/>
    </row>
    <row r="595" spans="1:8">
      <c r="A595" s="27"/>
      <c r="C595" s="28"/>
      <c r="D595" s="28"/>
      <c r="E595" s="50"/>
      <c r="F595" s="50"/>
      <c r="G595" s="50"/>
      <c r="H595" s="50"/>
    </row>
    <row r="596" spans="1:8">
      <c r="A596" s="27"/>
      <c r="C596" s="28"/>
      <c r="D596" s="28"/>
      <c r="E596" s="50"/>
      <c r="F596" s="50"/>
      <c r="G596" s="50"/>
      <c r="H596" s="50"/>
    </row>
    <row r="597" spans="1:8">
      <c r="A597" s="27"/>
      <c r="C597" s="28"/>
      <c r="D597" s="28"/>
      <c r="E597" s="50"/>
      <c r="F597" s="50"/>
      <c r="G597" s="50"/>
      <c r="H597" s="50"/>
    </row>
    <row r="598" spans="1:8">
      <c r="A598" s="27"/>
      <c r="C598" s="28"/>
      <c r="D598" s="28"/>
      <c r="E598" s="50"/>
      <c r="F598" s="50"/>
      <c r="G598" s="50"/>
      <c r="H598" s="50"/>
    </row>
    <row r="599" spans="1:8">
      <c r="A599" s="27"/>
      <c r="C599" s="28"/>
      <c r="D599" s="28"/>
      <c r="E599" s="50"/>
      <c r="F599" s="50"/>
      <c r="G599" s="50"/>
      <c r="H599" s="50"/>
    </row>
    <row r="600" spans="1:8">
      <c r="A600" s="27"/>
      <c r="C600" s="28"/>
      <c r="D600" s="28"/>
      <c r="E600" s="50"/>
      <c r="F600" s="50"/>
      <c r="G600" s="50"/>
      <c r="H600" s="50"/>
    </row>
    <row r="601" spans="1:8">
      <c r="A601" s="27"/>
      <c r="C601" s="28"/>
      <c r="D601" s="28"/>
      <c r="E601" s="50"/>
      <c r="F601" s="50"/>
      <c r="G601" s="50"/>
      <c r="H601" s="50"/>
    </row>
    <row r="602" spans="1:8">
      <c r="A602" s="27"/>
      <c r="C602" s="28"/>
      <c r="D602" s="28"/>
      <c r="E602" s="50"/>
      <c r="F602" s="50"/>
      <c r="G602" s="50"/>
      <c r="H602" s="50"/>
    </row>
    <row r="603" spans="1:8">
      <c r="A603" s="27"/>
      <c r="C603" s="28"/>
      <c r="D603" s="28"/>
      <c r="E603" s="50"/>
      <c r="F603" s="50"/>
      <c r="G603" s="50"/>
      <c r="H603" s="50"/>
    </row>
    <row r="604" spans="1:8">
      <c r="A604" s="27"/>
      <c r="C604" s="28"/>
      <c r="D604" s="28"/>
      <c r="E604" s="50"/>
      <c r="F604" s="50"/>
      <c r="G604" s="50"/>
      <c r="H604" s="50"/>
    </row>
    <row r="605" spans="1:8">
      <c r="A605" s="27"/>
      <c r="C605" s="28"/>
      <c r="D605" s="28"/>
      <c r="E605" s="50"/>
      <c r="F605" s="50"/>
      <c r="G605" s="50"/>
      <c r="H605" s="50"/>
    </row>
    <row r="606" spans="1:8">
      <c r="A606" s="27"/>
      <c r="C606" s="28"/>
      <c r="D606" s="28"/>
      <c r="E606" s="50"/>
      <c r="F606" s="50"/>
      <c r="G606" s="50"/>
      <c r="H606" s="50"/>
    </row>
    <row r="607" spans="1:8">
      <c r="A607" s="27"/>
      <c r="C607" s="28"/>
      <c r="D607" s="28"/>
      <c r="E607" s="50"/>
      <c r="F607" s="50"/>
      <c r="G607" s="50"/>
      <c r="H607" s="50"/>
    </row>
    <row r="608" spans="1:8">
      <c r="A608" s="27"/>
      <c r="C608" s="28"/>
      <c r="D608" s="28"/>
      <c r="E608" s="50"/>
      <c r="F608" s="50"/>
      <c r="G608" s="50"/>
      <c r="H608" s="50"/>
    </row>
    <row r="609" spans="1:8">
      <c r="A609" s="27"/>
      <c r="C609" s="28"/>
      <c r="D609" s="28"/>
      <c r="E609" s="50"/>
      <c r="F609" s="50"/>
      <c r="G609" s="50"/>
      <c r="H609" s="50"/>
    </row>
    <row r="610" spans="1:8">
      <c r="A610" s="27"/>
      <c r="C610" s="28"/>
      <c r="D610" s="28"/>
      <c r="E610" s="50"/>
      <c r="F610" s="50"/>
      <c r="G610" s="50"/>
      <c r="H610" s="50"/>
    </row>
    <row r="611" spans="1:8">
      <c r="A611" s="27"/>
      <c r="C611" s="28"/>
      <c r="D611" s="28"/>
      <c r="E611" s="50"/>
      <c r="F611" s="50"/>
      <c r="G611" s="50"/>
      <c r="H611" s="50"/>
    </row>
    <row r="612" spans="1:8">
      <c r="A612" s="27"/>
      <c r="C612" s="28"/>
      <c r="D612" s="28"/>
      <c r="E612" s="50"/>
      <c r="F612" s="50"/>
      <c r="G612" s="50"/>
      <c r="H612" s="50"/>
    </row>
    <row r="613" spans="1:8">
      <c r="A613" s="27"/>
      <c r="C613" s="28"/>
      <c r="D613" s="28"/>
      <c r="E613" s="50"/>
      <c r="F613" s="50"/>
      <c r="G613" s="50"/>
      <c r="H613" s="50"/>
    </row>
    <row r="614" spans="1:8">
      <c r="A614" s="27"/>
      <c r="C614" s="28"/>
      <c r="D614" s="28"/>
      <c r="E614" s="50"/>
      <c r="F614" s="50"/>
      <c r="G614" s="50"/>
      <c r="H614" s="50"/>
    </row>
    <row r="615" spans="1:8">
      <c r="A615" s="27"/>
      <c r="C615" s="28"/>
      <c r="D615" s="28"/>
      <c r="E615" s="50"/>
      <c r="F615" s="50"/>
      <c r="G615" s="50"/>
      <c r="H615" s="50"/>
    </row>
    <row r="616" spans="1:8">
      <c r="A616" s="27"/>
      <c r="C616" s="28"/>
      <c r="D616" s="28"/>
      <c r="E616" s="50"/>
      <c r="F616" s="50"/>
      <c r="G616" s="50"/>
      <c r="H616" s="50"/>
    </row>
    <row r="617" spans="1:8">
      <c r="A617" s="27"/>
      <c r="C617" s="28"/>
      <c r="D617" s="28"/>
      <c r="E617" s="50"/>
      <c r="F617" s="50"/>
      <c r="G617" s="50"/>
      <c r="H617" s="50"/>
    </row>
    <row r="618" spans="1:8">
      <c r="A618" s="27"/>
      <c r="C618" s="28"/>
      <c r="D618" s="28"/>
      <c r="E618" s="50"/>
      <c r="F618" s="50"/>
      <c r="G618" s="50"/>
      <c r="H618" s="50"/>
    </row>
    <row r="619" spans="1:8">
      <c r="A619" s="27"/>
      <c r="C619" s="28"/>
      <c r="D619" s="28"/>
      <c r="E619" s="50"/>
      <c r="F619" s="50"/>
      <c r="G619" s="50"/>
      <c r="H619" s="50"/>
    </row>
    <row r="620" spans="1:8">
      <c r="A620" s="27"/>
      <c r="C620" s="28"/>
      <c r="D620" s="28"/>
      <c r="E620" s="50"/>
      <c r="F620" s="50"/>
      <c r="G620" s="50"/>
      <c r="H620" s="50"/>
    </row>
    <row r="621" spans="1:8">
      <c r="A621" s="27"/>
      <c r="C621" s="28"/>
      <c r="D621" s="28"/>
      <c r="E621" s="50"/>
      <c r="F621" s="50"/>
      <c r="G621" s="50"/>
      <c r="H621" s="50"/>
    </row>
    <row r="622" spans="1:8">
      <c r="A622" s="27"/>
      <c r="C622" s="28"/>
      <c r="D622" s="28"/>
      <c r="E622" s="50"/>
      <c r="F622" s="50"/>
      <c r="G622" s="50"/>
      <c r="H622" s="50"/>
    </row>
    <row r="623" spans="1:8">
      <c r="A623" s="27"/>
      <c r="C623" s="28"/>
      <c r="D623" s="28"/>
      <c r="E623" s="50"/>
      <c r="F623" s="50"/>
      <c r="G623" s="50"/>
      <c r="H623" s="50"/>
    </row>
    <row r="624" spans="1:8">
      <c r="A624" s="27"/>
      <c r="C624" s="28"/>
      <c r="D624" s="28"/>
      <c r="E624" s="50"/>
      <c r="F624" s="50"/>
      <c r="G624" s="50"/>
      <c r="H624" s="50"/>
    </row>
    <row r="625" spans="1:8">
      <c r="A625" s="27"/>
      <c r="C625" s="28"/>
      <c r="D625" s="28"/>
      <c r="E625" s="50"/>
      <c r="F625" s="50"/>
      <c r="G625" s="50"/>
      <c r="H625" s="50"/>
    </row>
    <row r="626" spans="1:8">
      <c r="A626" s="27"/>
      <c r="C626" s="28"/>
      <c r="D626" s="28"/>
      <c r="E626" s="50"/>
      <c r="F626" s="50"/>
      <c r="G626" s="50"/>
      <c r="H626" s="50"/>
    </row>
    <row r="627" spans="1:8">
      <c r="A627" s="27"/>
      <c r="C627" s="28"/>
      <c r="D627" s="28"/>
      <c r="E627" s="50"/>
      <c r="F627" s="50"/>
      <c r="G627" s="50"/>
      <c r="H627" s="50"/>
    </row>
    <row r="628" spans="1:8">
      <c r="A628" s="27"/>
      <c r="C628" s="28"/>
      <c r="D628" s="28"/>
      <c r="E628" s="50"/>
      <c r="F628" s="50"/>
      <c r="G628" s="50"/>
      <c r="H628" s="50"/>
    </row>
    <row r="629" spans="1:8">
      <c r="A629" s="27"/>
      <c r="C629" s="28"/>
      <c r="D629" s="28"/>
      <c r="E629" s="50"/>
      <c r="F629" s="50"/>
      <c r="G629" s="50"/>
      <c r="H629" s="50"/>
    </row>
    <row r="630" spans="1:8">
      <c r="A630" s="27"/>
      <c r="C630" s="28"/>
      <c r="D630" s="28"/>
      <c r="E630" s="50"/>
      <c r="F630" s="50"/>
      <c r="G630" s="50"/>
      <c r="H630" s="50"/>
    </row>
    <row r="631" spans="1:8">
      <c r="A631" s="27"/>
      <c r="C631" s="28"/>
      <c r="D631" s="28"/>
      <c r="E631" s="50"/>
      <c r="F631" s="50"/>
      <c r="G631" s="50"/>
      <c r="H631" s="50"/>
    </row>
    <row r="632" spans="1:8">
      <c r="A632" s="27"/>
      <c r="C632" s="28"/>
      <c r="D632" s="28"/>
      <c r="E632" s="50"/>
      <c r="F632" s="50"/>
      <c r="G632" s="50"/>
      <c r="H632" s="50"/>
    </row>
    <row r="633" spans="1:8">
      <c r="A633" s="27"/>
      <c r="C633" s="28"/>
      <c r="D633" s="28"/>
      <c r="E633" s="50"/>
      <c r="F633" s="50"/>
      <c r="G633" s="50"/>
      <c r="H633" s="50"/>
    </row>
    <row r="634" spans="1:8">
      <c r="A634" s="27"/>
      <c r="C634" s="28"/>
      <c r="D634" s="28"/>
      <c r="E634" s="50"/>
      <c r="F634" s="50"/>
      <c r="G634" s="50"/>
      <c r="H634" s="50"/>
    </row>
    <row r="635" spans="1:8">
      <c r="A635" s="27"/>
      <c r="C635" s="28"/>
      <c r="D635" s="28"/>
      <c r="E635" s="50"/>
      <c r="F635" s="50"/>
      <c r="G635" s="50"/>
      <c r="H635" s="50"/>
    </row>
    <row r="636" spans="1:8">
      <c r="A636" s="27"/>
      <c r="C636" s="28"/>
      <c r="D636" s="28"/>
      <c r="E636" s="50"/>
      <c r="F636" s="50"/>
      <c r="G636" s="50"/>
      <c r="H636" s="50"/>
    </row>
    <row r="637" spans="1:8">
      <c r="A637" s="27"/>
      <c r="C637" s="28"/>
      <c r="D637" s="28"/>
      <c r="E637" s="50"/>
      <c r="F637" s="50"/>
      <c r="G637" s="50"/>
      <c r="H637" s="50"/>
    </row>
    <row r="638" spans="1:8">
      <c r="A638" s="27"/>
      <c r="C638" s="28"/>
      <c r="D638" s="28"/>
      <c r="E638" s="50"/>
      <c r="F638" s="50"/>
      <c r="G638" s="50"/>
      <c r="H638" s="50"/>
    </row>
    <row r="639" spans="1:8">
      <c r="A639" s="27"/>
      <c r="C639" s="28"/>
      <c r="D639" s="28"/>
      <c r="E639" s="50"/>
      <c r="F639" s="50"/>
      <c r="G639" s="50"/>
      <c r="H639" s="50"/>
    </row>
    <row r="640" spans="1:8">
      <c r="A640" s="27"/>
      <c r="C640" s="28"/>
      <c r="D640" s="28"/>
      <c r="E640" s="50"/>
      <c r="F640" s="50"/>
      <c r="G640" s="50"/>
      <c r="H640" s="50"/>
    </row>
    <row r="641" spans="1:8">
      <c r="A641" s="27"/>
      <c r="C641" s="28"/>
      <c r="D641" s="28"/>
      <c r="E641" s="50"/>
      <c r="F641" s="50"/>
      <c r="G641" s="50"/>
      <c r="H641" s="50"/>
    </row>
    <row r="642" spans="1:8">
      <c r="A642" s="27"/>
      <c r="C642" s="28"/>
      <c r="D642" s="28"/>
      <c r="E642" s="50"/>
      <c r="F642" s="50"/>
      <c r="G642" s="50"/>
      <c r="H642" s="50"/>
    </row>
    <row r="643" spans="1:8">
      <c r="A643" s="27"/>
      <c r="C643" s="28"/>
      <c r="D643" s="28"/>
      <c r="E643" s="50"/>
      <c r="F643" s="50"/>
      <c r="G643" s="50"/>
      <c r="H643" s="50"/>
    </row>
    <row r="644" spans="1:8">
      <c r="A644" s="27"/>
      <c r="C644" s="28"/>
      <c r="D644" s="28"/>
      <c r="E644" s="50"/>
      <c r="F644" s="50"/>
      <c r="G644" s="50"/>
      <c r="H644" s="50"/>
    </row>
    <row r="645" spans="1:8">
      <c r="A645" s="27"/>
      <c r="C645" s="28"/>
      <c r="D645" s="28"/>
      <c r="E645" s="50"/>
      <c r="F645" s="50"/>
      <c r="G645" s="50"/>
      <c r="H645" s="50"/>
    </row>
    <row r="646" spans="1:8">
      <c r="A646" s="27"/>
      <c r="C646" s="28"/>
      <c r="D646" s="28"/>
      <c r="E646" s="50"/>
      <c r="F646" s="50"/>
      <c r="G646" s="50"/>
      <c r="H646" s="50"/>
    </row>
    <row r="647" spans="1:8">
      <c r="A647" s="27"/>
      <c r="C647" s="28"/>
      <c r="D647" s="28"/>
      <c r="E647" s="50"/>
      <c r="F647" s="50"/>
      <c r="G647" s="50"/>
      <c r="H647" s="50"/>
    </row>
    <row r="648" spans="1:8">
      <c r="A648" s="27"/>
      <c r="C648" s="28"/>
      <c r="D648" s="28"/>
      <c r="E648" s="50"/>
      <c r="F648" s="50"/>
      <c r="G648" s="50"/>
      <c r="H648" s="50"/>
    </row>
    <row r="649" spans="1:8">
      <c r="A649" s="27"/>
      <c r="C649" s="28"/>
      <c r="D649" s="28"/>
      <c r="E649" s="50"/>
      <c r="F649" s="50"/>
      <c r="G649" s="50"/>
      <c r="H649" s="50"/>
    </row>
    <row r="650" spans="1:8">
      <c r="A650" s="27"/>
      <c r="C650" s="28"/>
      <c r="D650" s="28"/>
      <c r="E650" s="50"/>
      <c r="F650" s="50"/>
      <c r="G650" s="50"/>
      <c r="H650" s="50"/>
    </row>
    <row r="651" spans="1:8">
      <c r="A651" s="27"/>
      <c r="C651" s="28"/>
      <c r="D651" s="28"/>
      <c r="E651" s="50"/>
      <c r="F651" s="50"/>
      <c r="G651" s="50"/>
      <c r="H651" s="50"/>
    </row>
    <row r="652" spans="1:8">
      <c r="A652" s="27"/>
      <c r="C652" s="28"/>
      <c r="D652" s="28"/>
      <c r="E652" s="50"/>
      <c r="F652" s="50"/>
      <c r="G652" s="50"/>
      <c r="H652" s="50"/>
    </row>
    <row r="653" spans="1:8">
      <c r="A653" s="27"/>
      <c r="C653" s="28"/>
      <c r="D653" s="28"/>
      <c r="E653" s="50"/>
      <c r="F653" s="50"/>
      <c r="G653" s="50"/>
      <c r="H653" s="50"/>
    </row>
    <row r="654" spans="1:8">
      <c r="A654" s="27"/>
      <c r="C654" s="28"/>
      <c r="D654" s="28"/>
      <c r="E654" s="50"/>
      <c r="F654" s="50"/>
      <c r="G654" s="50"/>
      <c r="H654" s="50"/>
    </row>
    <row r="655" spans="1:8">
      <c r="A655" s="27"/>
      <c r="C655" s="28"/>
      <c r="D655" s="28"/>
      <c r="E655" s="50"/>
      <c r="F655" s="50"/>
      <c r="G655" s="50"/>
      <c r="H655" s="50"/>
    </row>
    <row r="656" spans="1:8">
      <c r="A656" s="27"/>
      <c r="C656" s="28"/>
      <c r="D656" s="28"/>
      <c r="E656" s="50"/>
      <c r="F656" s="50"/>
      <c r="G656" s="50"/>
      <c r="H656" s="50"/>
    </row>
    <row r="657" spans="1:8">
      <c r="A657" s="27"/>
      <c r="C657" s="28"/>
      <c r="D657" s="28"/>
      <c r="E657" s="50"/>
      <c r="F657" s="50"/>
      <c r="G657" s="50"/>
      <c r="H657" s="50"/>
    </row>
    <row r="658" spans="1:8">
      <c r="A658" s="27"/>
      <c r="C658" s="28"/>
      <c r="D658" s="28"/>
      <c r="E658" s="50"/>
      <c r="F658" s="50"/>
      <c r="G658" s="50"/>
      <c r="H658" s="50"/>
    </row>
    <row r="659" spans="1:8">
      <c r="A659" s="27"/>
      <c r="C659" s="28"/>
      <c r="D659" s="28"/>
      <c r="E659" s="50"/>
      <c r="F659" s="50"/>
      <c r="G659" s="50"/>
      <c r="H659" s="50"/>
    </row>
    <row r="660" spans="1:8">
      <c r="A660" s="27"/>
      <c r="C660" s="28"/>
      <c r="D660" s="28"/>
      <c r="E660" s="50"/>
      <c r="F660" s="50"/>
      <c r="G660" s="50"/>
      <c r="H660" s="50"/>
    </row>
    <row r="661" spans="1:8">
      <c r="A661" s="27"/>
      <c r="C661" s="28"/>
      <c r="D661" s="28"/>
      <c r="E661" s="50"/>
      <c r="F661" s="50"/>
      <c r="G661" s="50"/>
      <c r="H661" s="50"/>
    </row>
    <row r="662" spans="1:8">
      <c r="A662" s="27"/>
      <c r="C662" s="28"/>
      <c r="D662" s="28"/>
      <c r="E662" s="50"/>
      <c r="F662" s="50"/>
      <c r="G662" s="50"/>
      <c r="H662" s="50"/>
    </row>
    <row r="663" spans="1:8">
      <c r="A663" s="27"/>
      <c r="C663" s="28"/>
      <c r="D663" s="28"/>
      <c r="E663" s="50"/>
      <c r="F663" s="50"/>
      <c r="G663" s="50"/>
      <c r="H663" s="50"/>
    </row>
    <row r="664" spans="1:8">
      <c r="A664" s="27"/>
      <c r="C664" s="28"/>
      <c r="D664" s="28"/>
      <c r="E664" s="50"/>
      <c r="F664" s="50"/>
      <c r="G664" s="50"/>
      <c r="H664" s="50"/>
    </row>
    <row r="665" spans="1:8">
      <c r="A665" s="27"/>
      <c r="C665" s="28"/>
      <c r="D665" s="28"/>
      <c r="E665" s="50"/>
      <c r="F665" s="50"/>
      <c r="G665" s="50"/>
      <c r="H665" s="50"/>
    </row>
    <row r="666" spans="1:8">
      <c r="A666" s="27"/>
      <c r="C666" s="28"/>
      <c r="D666" s="28"/>
      <c r="E666" s="50"/>
      <c r="F666" s="50"/>
      <c r="G666" s="50"/>
      <c r="H666" s="50"/>
    </row>
    <row r="667" spans="1:8">
      <c r="A667" s="27"/>
      <c r="C667" s="28"/>
      <c r="D667" s="28"/>
      <c r="E667" s="50"/>
      <c r="F667" s="50"/>
      <c r="G667" s="50"/>
      <c r="H667" s="50"/>
    </row>
    <row r="668" spans="1:8">
      <c r="A668" s="27"/>
      <c r="C668" s="28"/>
      <c r="D668" s="28"/>
      <c r="E668" s="50"/>
      <c r="F668" s="50"/>
      <c r="G668" s="50"/>
      <c r="H668" s="50"/>
    </row>
    <row r="669" spans="1:8">
      <c r="A669" s="27"/>
      <c r="C669" s="28"/>
      <c r="D669" s="28"/>
      <c r="E669" s="50"/>
      <c r="F669" s="50"/>
      <c r="G669" s="50"/>
      <c r="H669" s="50"/>
    </row>
    <row r="670" spans="1:8">
      <c r="A670" s="27"/>
      <c r="C670" s="28"/>
      <c r="D670" s="28"/>
      <c r="E670" s="50"/>
      <c r="F670" s="50"/>
      <c r="G670" s="50"/>
      <c r="H670" s="50"/>
    </row>
    <row r="671" spans="1:8">
      <c r="A671" s="27"/>
      <c r="C671" s="28"/>
      <c r="D671" s="28"/>
      <c r="E671" s="50"/>
      <c r="F671" s="50"/>
      <c r="G671" s="50"/>
      <c r="H671" s="50"/>
    </row>
    <row r="672" spans="1:8">
      <c r="A672" s="27"/>
      <c r="C672" s="28"/>
      <c r="D672" s="28"/>
      <c r="E672" s="50"/>
      <c r="F672" s="50"/>
      <c r="G672" s="50"/>
      <c r="H672" s="50"/>
    </row>
    <row r="673" spans="1:8">
      <c r="A673" s="27"/>
      <c r="C673" s="28"/>
      <c r="D673" s="28"/>
      <c r="E673" s="50"/>
      <c r="F673" s="50"/>
      <c r="G673" s="50"/>
      <c r="H673" s="50"/>
    </row>
    <row r="674" spans="1:8">
      <c r="A674" s="27"/>
      <c r="C674" s="28"/>
      <c r="D674" s="28"/>
      <c r="E674" s="50"/>
      <c r="F674" s="50"/>
      <c r="G674" s="50"/>
      <c r="H674" s="50"/>
    </row>
    <row r="675" spans="1:8">
      <c r="A675" s="27"/>
      <c r="C675" s="28"/>
      <c r="D675" s="28"/>
      <c r="E675" s="50"/>
      <c r="F675" s="50"/>
      <c r="G675" s="50"/>
      <c r="H675" s="50"/>
    </row>
    <row r="676" spans="1:8">
      <c r="A676" s="27"/>
      <c r="C676" s="28"/>
      <c r="D676" s="28"/>
      <c r="E676" s="50"/>
      <c r="F676" s="50"/>
      <c r="G676" s="50"/>
      <c r="H676" s="50"/>
    </row>
    <row r="677" spans="1:8">
      <c r="A677" s="27"/>
      <c r="C677" s="28"/>
      <c r="D677" s="28"/>
      <c r="E677" s="50"/>
      <c r="F677" s="50"/>
      <c r="G677" s="50"/>
      <c r="H677" s="50"/>
    </row>
    <row r="678" spans="1:8">
      <c r="A678" s="27"/>
      <c r="C678" s="28"/>
      <c r="D678" s="28"/>
      <c r="E678" s="50"/>
      <c r="F678" s="50"/>
      <c r="G678" s="50"/>
      <c r="H678" s="50"/>
    </row>
    <row r="679" spans="1:8">
      <c r="A679" s="27"/>
      <c r="C679" s="28"/>
      <c r="D679" s="28"/>
      <c r="E679" s="50"/>
      <c r="F679" s="50"/>
      <c r="G679" s="50"/>
      <c r="H679" s="50"/>
    </row>
    <row r="680" spans="1:8">
      <c r="A680" s="27"/>
      <c r="C680" s="28"/>
      <c r="D680" s="28"/>
      <c r="E680" s="50"/>
      <c r="F680" s="50"/>
      <c r="G680" s="50"/>
      <c r="H680" s="50"/>
    </row>
    <row r="681" spans="1:8">
      <c r="A681" s="27"/>
      <c r="C681" s="28"/>
      <c r="D681" s="28"/>
      <c r="E681" s="50"/>
      <c r="F681" s="50"/>
      <c r="G681" s="50"/>
      <c r="H681" s="50"/>
    </row>
    <row r="682" spans="1:8">
      <c r="A682" s="27"/>
      <c r="C682" s="28"/>
      <c r="D682" s="28"/>
      <c r="E682" s="50"/>
      <c r="F682" s="50"/>
      <c r="G682" s="50"/>
      <c r="H682" s="50"/>
    </row>
    <row r="683" spans="1:8">
      <c r="A683" s="27"/>
      <c r="C683" s="28"/>
      <c r="D683" s="28"/>
      <c r="E683" s="50"/>
      <c r="F683" s="50"/>
      <c r="G683" s="50"/>
      <c r="H683" s="50"/>
    </row>
    <row r="684" spans="1:8">
      <c r="A684" s="27"/>
      <c r="C684" s="28"/>
      <c r="D684" s="28"/>
      <c r="E684" s="50"/>
      <c r="F684" s="50"/>
      <c r="G684" s="50"/>
      <c r="H684" s="50"/>
    </row>
    <row r="685" spans="1:8">
      <c r="A685" s="27"/>
      <c r="C685" s="28"/>
      <c r="D685" s="28"/>
      <c r="E685" s="50"/>
      <c r="F685" s="50"/>
      <c r="G685" s="50"/>
      <c r="H685" s="50"/>
    </row>
    <row r="686" spans="1:8">
      <c r="A686" s="27"/>
      <c r="C686" s="28"/>
      <c r="D686" s="28"/>
      <c r="E686" s="50"/>
      <c r="F686" s="50"/>
      <c r="G686" s="50"/>
      <c r="H686" s="50"/>
    </row>
    <row r="687" spans="1:8">
      <c r="A687" s="27"/>
      <c r="C687" s="28"/>
      <c r="D687" s="28"/>
      <c r="E687" s="50"/>
      <c r="F687" s="50"/>
      <c r="G687" s="50"/>
      <c r="H687" s="50"/>
    </row>
    <row r="688" spans="1:8">
      <c r="A688" s="27"/>
      <c r="C688" s="28"/>
      <c r="D688" s="28"/>
      <c r="E688" s="50"/>
      <c r="F688" s="50"/>
      <c r="G688" s="50"/>
      <c r="H688" s="50"/>
    </row>
    <row r="689" spans="1:8">
      <c r="A689" s="27"/>
      <c r="C689" s="28"/>
      <c r="D689" s="28"/>
      <c r="E689" s="50"/>
      <c r="F689" s="50"/>
      <c r="G689" s="50"/>
      <c r="H689" s="50"/>
    </row>
    <row r="690" spans="1:8">
      <c r="A690" s="27"/>
      <c r="C690" s="28"/>
      <c r="D690" s="28"/>
      <c r="E690" s="50"/>
      <c r="F690" s="50"/>
      <c r="G690" s="50"/>
      <c r="H690" s="50"/>
    </row>
    <row r="691" spans="1:8">
      <c r="A691" s="27"/>
      <c r="C691" s="28"/>
      <c r="D691" s="28"/>
      <c r="E691" s="50"/>
      <c r="F691" s="50"/>
      <c r="G691" s="50"/>
      <c r="H691" s="50"/>
    </row>
    <row r="692" spans="1:8">
      <c r="A692" s="27"/>
      <c r="C692" s="28"/>
      <c r="D692" s="28"/>
      <c r="E692" s="50"/>
      <c r="F692" s="50"/>
      <c r="G692" s="50"/>
      <c r="H692" s="50"/>
    </row>
    <row r="693" spans="1:8">
      <c r="A693" s="27"/>
      <c r="C693" s="28"/>
      <c r="D693" s="28"/>
      <c r="E693" s="50"/>
      <c r="F693" s="50"/>
      <c r="G693" s="50"/>
      <c r="H693" s="50"/>
    </row>
    <row r="694" spans="1:8">
      <c r="A694" s="27"/>
      <c r="C694" s="28"/>
      <c r="D694" s="28"/>
      <c r="E694" s="50"/>
      <c r="F694" s="50"/>
      <c r="G694" s="50"/>
      <c r="H694" s="50"/>
    </row>
    <row r="695" spans="1:8">
      <c r="A695" s="27"/>
      <c r="C695" s="28"/>
      <c r="D695" s="28"/>
      <c r="E695" s="50"/>
      <c r="F695" s="50"/>
      <c r="G695" s="50"/>
      <c r="H695" s="50"/>
    </row>
    <row r="696" spans="1:8">
      <c r="A696" s="27"/>
      <c r="C696" s="28"/>
      <c r="D696" s="28"/>
      <c r="E696" s="50"/>
      <c r="F696" s="50"/>
      <c r="G696" s="50"/>
      <c r="H696" s="50"/>
    </row>
    <row r="697" spans="1:8">
      <c r="A697" s="27"/>
      <c r="C697" s="28"/>
      <c r="D697" s="28"/>
      <c r="E697" s="50"/>
      <c r="F697" s="50"/>
      <c r="G697" s="50"/>
      <c r="H697" s="50"/>
    </row>
    <row r="698" spans="1:8">
      <c r="A698" s="27"/>
      <c r="C698" s="28"/>
      <c r="D698" s="28"/>
      <c r="E698" s="50"/>
      <c r="F698" s="50"/>
      <c r="G698" s="50"/>
      <c r="H698" s="50"/>
    </row>
    <row r="699" spans="1:8">
      <c r="A699" s="27"/>
      <c r="C699" s="28"/>
      <c r="D699" s="28"/>
      <c r="E699" s="50"/>
      <c r="F699" s="50"/>
      <c r="G699" s="50"/>
      <c r="H699" s="50"/>
    </row>
    <row r="700" spans="1:8">
      <c r="A700" s="27"/>
      <c r="C700" s="28"/>
      <c r="D700" s="28"/>
      <c r="E700" s="50"/>
      <c r="F700" s="50"/>
      <c r="G700" s="50"/>
      <c r="H700" s="50"/>
    </row>
    <row r="701" spans="1:8">
      <c r="A701" s="27"/>
      <c r="C701" s="28"/>
      <c r="D701" s="28"/>
      <c r="E701" s="50"/>
      <c r="F701" s="50"/>
      <c r="G701" s="50"/>
      <c r="H701" s="50"/>
    </row>
    <row r="702" spans="1:8">
      <c r="A702" s="27"/>
      <c r="C702" s="28"/>
      <c r="D702" s="28"/>
      <c r="E702" s="50"/>
      <c r="F702" s="50"/>
      <c r="G702" s="50"/>
      <c r="H702" s="50"/>
    </row>
    <row r="703" spans="1:8">
      <c r="A703" s="27"/>
      <c r="C703" s="28"/>
      <c r="D703" s="28"/>
      <c r="E703" s="50"/>
      <c r="F703" s="50"/>
      <c r="G703" s="50"/>
      <c r="H703" s="50"/>
    </row>
    <row r="704" spans="1:8">
      <c r="A704" s="27"/>
      <c r="C704" s="28"/>
      <c r="D704" s="28"/>
      <c r="E704" s="50"/>
      <c r="F704" s="50"/>
      <c r="G704" s="50"/>
      <c r="H704" s="50"/>
    </row>
    <row r="705" spans="1:8">
      <c r="A705" s="27"/>
      <c r="C705" s="28"/>
      <c r="D705" s="28"/>
      <c r="E705" s="50"/>
      <c r="F705" s="50"/>
      <c r="G705" s="50"/>
      <c r="H705" s="50"/>
    </row>
    <row r="706" spans="1:8">
      <c r="A706" s="27"/>
      <c r="C706" s="28"/>
      <c r="D706" s="28"/>
      <c r="E706" s="50"/>
      <c r="F706" s="50"/>
      <c r="G706" s="50"/>
      <c r="H706" s="50"/>
    </row>
    <row r="707" spans="1:8">
      <c r="A707" s="27"/>
      <c r="C707" s="28"/>
      <c r="D707" s="28"/>
      <c r="E707" s="50"/>
      <c r="F707" s="50"/>
      <c r="G707" s="50"/>
      <c r="H707" s="50"/>
    </row>
    <row r="708" spans="1:8">
      <c r="A708" s="27"/>
      <c r="C708" s="28"/>
      <c r="D708" s="28"/>
      <c r="E708" s="50"/>
      <c r="F708" s="50"/>
      <c r="G708" s="50"/>
      <c r="H708" s="50"/>
    </row>
    <row r="709" spans="1:8">
      <c r="A709" s="27"/>
      <c r="C709" s="28"/>
      <c r="D709" s="28"/>
      <c r="E709" s="50"/>
      <c r="F709" s="50"/>
      <c r="G709" s="50"/>
      <c r="H709" s="50"/>
    </row>
    <row r="710" spans="1:8">
      <c r="A710" s="27"/>
      <c r="C710" s="28"/>
      <c r="D710" s="28"/>
      <c r="E710" s="50"/>
      <c r="F710" s="50"/>
      <c r="G710" s="50"/>
      <c r="H710" s="50"/>
    </row>
    <row r="711" spans="1:8">
      <c r="A711" s="27"/>
      <c r="C711" s="28"/>
      <c r="D711" s="28"/>
      <c r="E711" s="50"/>
      <c r="F711" s="50"/>
      <c r="G711" s="50"/>
      <c r="H711" s="50"/>
    </row>
    <row r="712" spans="1:8">
      <c r="A712" s="27"/>
      <c r="C712" s="28"/>
      <c r="D712" s="28"/>
      <c r="E712" s="50"/>
      <c r="F712" s="50"/>
      <c r="G712" s="50"/>
      <c r="H712" s="50"/>
    </row>
    <row r="713" spans="1:8">
      <c r="A713" s="27"/>
      <c r="C713" s="28"/>
      <c r="D713" s="28"/>
      <c r="E713" s="50"/>
      <c r="F713" s="50"/>
      <c r="G713" s="50"/>
      <c r="H713" s="50"/>
    </row>
    <row r="714" spans="1:8">
      <c r="A714" s="27"/>
      <c r="C714" s="28"/>
      <c r="D714" s="28"/>
      <c r="E714" s="50"/>
      <c r="F714" s="50"/>
      <c r="G714" s="50"/>
      <c r="H714" s="50"/>
    </row>
    <row r="715" spans="1:8">
      <c r="A715" s="27"/>
      <c r="C715" s="28"/>
      <c r="D715" s="28"/>
      <c r="E715" s="50"/>
      <c r="F715" s="50"/>
      <c r="G715" s="50"/>
      <c r="H715" s="50"/>
    </row>
    <row r="716" spans="1:8">
      <c r="A716" s="27"/>
      <c r="C716" s="28"/>
      <c r="D716" s="28"/>
      <c r="E716" s="50"/>
      <c r="F716" s="50"/>
      <c r="G716" s="50"/>
      <c r="H716" s="50"/>
    </row>
    <row r="717" spans="1:8">
      <c r="A717" s="27"/>
      <c r="C717" s="28"/>
      <c r="D717" s="28"/>
      <c r="E717" s="50"/>
      <c r="F717" s="50"/>
      <c r="G717" s="50"/>
      <c r="H717" s="50"/>
    </row>
    <row r="718" spans="1:8">
      <c r="A718" s="27"/>
      <c r="C718" s="28"/>
      <c r="D718" s="28"/>
      <c r="E718" s="50"/>
      <c r="F718" s="50"/>
      <c r="G718" s="50"/>
      <c r="H718" s="50"/>
    </row>
    <row r="719" spans="1:8">
      <c r="A719" s="27"/>
      <c r="C719" s="28"/>
      <c r="D719" s="28"/>
      <c r="E719" s="50"/>
      <c r="F719" s="50"/>
      <c r="G719" s="50"/>
      <c r="H719" s="50"/>
    </row>
    <row r="720" spans="1:8">
      <c r="A720" s="27"/>
      <c r="C720" s="28"/>
      <c r="D720" s="28"/>
      <c r="E720" s="50"/>
      <c r="F720" s="50"/>
      <c r="G720" s="50"/>
      <c r="H720" s="50"/>
    </row>
    <row r="721" spans="1:8">
      <c r="A721" s="27"/>
      <c r="C721" s="28"/>
      <c r="D721" s="28"/>
      <c r="E721" s="50"/>
      <c r="F721" s="50"/>
      <c r="G721" s="50"/>
      <c r="H721" s="50"/>
    </row>
    <row r="722" spans="1:8">
      <c r="A722" s="27"/>
      <c r="C722" s="28"/>
      <c r="D722" s="28"/>
      <c r="E722" s="50"/>
      <c r="F722" s="50"/>
      <c r="G722" s="50"/>
      <c r="H722" s="50"/>
    </row>
    <row r="723" spans="1:8">
      <c r="A723" s="27"/>
      <c r="C723" s="28"/>
      <c r="D723" s="28"/>
      <c r="E723" s="50"/>
      <c r="F723" s="50"/>
      <c r="G723" s="50"/>
      <c r="H723" s="50"/>
    </row>
    <row r="724" spans="1:8">
      <c r="A724" s="27"/>
      <c r="C724" s="28"/>
      <c r="D724" s="28"/>
      <c r="E724" s="50"/>
      <c r="F724" s="50"/>
      <c r="G724" s="50"/>
      <c r="H724" s="50"/>
    </row>
    <row r="725" spans="1:8">
      <c r="A725" s="27"/>
      <c r="C725" s="28"/>
      <c r="D725" s="28"/>
      <c r="E725" s="50"/>
      <c r="F725" s="50"/>
      <c r="G725" s="50"/>
      <c r="H725" s="50"/>
    </row>
    <row r="726" spans="1:8">
      <c r="A726" s="27"/>
      <c r="C726" s="28"/>
      <c r="D726" s="28"/>
      <c r="E726" s="50"/>
      <c r="F726" s="50"/>
      <c r="G726" s="50"/>
      <c r="H726" s="50"/>
    </row>
    <row r="727" spans="1:8">
      <c r="A727" s="27"/>
      <c r="C727" s="28"/>
      <c r="D727" s="28"/>
      <c r="E727" s="50"/>
      <c r="F727" s="50"/>
      <c r="G727" s="50"/>
      <c r="H727" s="50"/>
    </row>
    <row r="728" spans="1:8">
      <c r="A728" s="27"/>
      <c r="C728" s="28"/>
      <c r="D728" s="28"/>
      <c r="E728" s="50"/>
      <c r="F728" s="50"/>
      <c r="G728" s="50"/>
      <c r="H728" s="50"/>
    </row>
    <row r="729" spans="1:8">
      <c r="A729" s="27"/>
      <c r="C729" s="28"/>
      <c r="D729" s="28"/>
      <c r="E729" s="50"/>
      <c r="F729" s="50"/>
      <c r="G729" s="50"/>
      <c r="H729" s="50"/>
    </row>
    <row r="730" spans="1:8">
      <c r="A730" s="27"/>
      <c r="C730" s="28"/>
      <c r="D730" s="28"/>
      <c r="E730" s="50"/>
      <c r="F730" s="50"/>
      <c r="G730" s="50"/>
      <c r="H730" s="50"/>
    </row>
    <row r="731" spans="1:8">
      <c r="A731" s="27"/>
      <c r="C731" s="28"/>
      <c r="D731" s="28"/>
      <c r="E731" s="50"/>
      <c r="F731" s="50"/>
      <c r="G731" s="50"/>
      <c r="H731" s="50"/>
    </row>
    <row r="732" spans="1:8">
      <c r="A732" s="27"/>
      <c r="C732" s="28"/>
      <c r="D732" s="28"/>
      <c r="E732" s="50"/>
      <c r="F732" s="50"/>
      <c r="G732" s="50"/>
      <c r="H732" s="50"/>
    </row>
    <row r="733" spans="1:8">
      <c r="A733" s="27"/>
      <c r="C733" s="28"/>
      <c r="D733" s="28"/>
      <c r="E733" s="50"/>
      <c r="F733" s="50"/>
      <c r="G733" s="50"/>
      <c r="H733" s="50"/>
    </row>
    <row r="734" spans="1:8">
      <c r="A734" s="27"/>
      <c r="C734" s="28"/>
      <c r="D734" s="28"/>
      <c r="E734" s="50"/>
      <c r="F734" s="50"/>
      <c r="G734" s="50"/>
      <c r="H734" s="50"/>
    </row>
    <row r="735" spans="1:8">
      <c r="A735" s="27"/>
      <c r="C735" s="28"/>
      <c r="D735" s="28"/>
      <c r="E735" s="50"/>
      <c r="F735" s="50"/>
      <c r="G735" s="50"/>
      <c r="H735" s="50"/>
    </row>
    <row r="736" spans="1:8">
      <c r="A736" s="27"/>
      <c r="C736" s="28"/>
      <c r="D736" s="28"/>
      <c r="E736" s="50"/>
      <c r="F736" s="50"/>
      <c r="G736" s="50"/>
      <c r="H736" s="50"/>
    </row>
    <row r="737" spans="1:8">
      <c r="A737" s="27"/>
      <c r="C737" s="28"/>
      <c r="D737" s="28"/>
      <c r="E737" s="50"/>
      <c r="F737" s="50"/>
      <c r="G737" s="50"/>
      <c r="H737" s="50"/>
    </row>
    <row r="738" spans="1:8">
      <c r="A738" s="27"/>
      <c r="C738" s="28"/>
      <c r="D738" s="28"/>
      <c r="E738" s="50"/>
      <c r="F738" s="50"/>
      <c r="G738" s="50"/>
      <c r="H738" s="50"/>
    </row>
    <row r="739" spans="1:8">
      <c r="A739" s="27"/>
      <c r="C739" s="28"/>
      <c r="D739" s="28"/>
      <c r="E739" s="50"/>
      <c r="F739" s="50"/>
      <c r="G739" s="50"/>
      <c r="H739" s="50"/>
    </row>
    <row r="740" spans="1:8">
      <c r="A740" s="27"/>
      <c r="C740" s="28"/>
      <c r="D740" s="28"/>
      <c r="E740" s="50"/>
      <c r="F740" s="50"/>
      <c r="G740" s="50"/>
      <c r="H740" s="50"/>
    </row>
    <row r="741" spans="1:8">
      <c r="A741" s="27"/>
      <c r="C741" s="28"/>
      <c r="D741" s="28"/>
      <c r="E741" s="50"/>
      <c r="F741" s="50"/>
      <c r="G741" s="50"/>
      <c r="H741" s="50"/>
    </row>
    <row r="742" spans="1:8">
      <c r="A742" s="27"/>
      <c r="C742" s="28"/>
      <c r="D742" s="28"/>
      <c r="E742" s="50"/>
      <c r="F742" s="50"/>
      <c r="G742" s="50"/>
      <c r="H742" s="50"/>
    </row>
    <row r="743" spans="1:8">
      <c r="A743" s="27"/>
      <c r="C743" s="28"/>
      <c r="D743" s="28"/>
      <c r="E743" s="50"/>
      <c r="F743" s="50"/>
      <c r="G743" s="50"/>
      <c r="H743" s="50"/>
    </row>
    <row r="744" spans="1:8">
      <c r="A744" s="27"/>
      <c r="C744" s="28"/>
      <c r="D744" s="28"/>
      <c r="E744" s="50"/>
      <c r="F744" s="50"/>
      <c r="G744" s="50"/>
      <c r="H744" s="50"/>
    </row>
    <row r="745" spans="1:8">
      <c r="A745" s="27"/>
      <c r="C745" s="28"/>
      <c r="D745" s="28"/>
      <c r="E745" s="50"/>
      <c r="F745" s="50"/>
      <c r="G745" s="50"/>
      <c r="H745" s="50"/>
    </row>
    <row r="746" spans="1:8">
      <c r="A746" s="27"/>
      <c r="C746" s="28"/>
      <c r="D746" s="28"/>
      <c r="E746" s="50"/>
      <c r="F746" s="50"/>
      <c r="G746" s="50"/>
      <c r="H746" s="50"/>
    </row>
    <row r="747" spans="1:8">
      <c r="A747" s="27"/>
      <c r="C747" s="28"/>
      <c r="D747" s="28"/>
      <c r="E747" s="50"/>
      <c r="F747" s="50"/>
      <c r="G747" s="50"/>
      <c r="H747" s="50"/>
    </row>
    <row r="748" spans="1:8">
      <c r="A748" s="27"/>
      <c r="C748" s="28"/>
      <c r="D748" s="28"/>
      <c r="E748" s="50"/>
      <c r="F748" s="50"/>
      <c r="G748" s="50"/>
      <c r="H748" s="50"/>
    </row>
    <row r="749" spans="1:8">
      <c r="A749" s="27"/>
      <c r="C749" s="28"/>
      <c r="D749" s="28"/>
      <c r="E749" s="50"/>
      <c r="F749" s="50"/>
      <c r="G749" s="50"/>
      <c r="H749" s="50"/>
    </row>
    <row r="750" spans="1:8">
      <c r="A750" s="27"/>
      <c r="C750" s="28"/>
      <c r="D750" s="28"/>
      <c r="E750" s="50"/>
      <c r="F750" s="50"/>
      <c r="G750" s="50"/>
      <c r="H750" s="50"/>
    </row>
    <row r="751" spans="1:8">
      <c r="A751" s="27"/>
      <c r="C751" s="28"/>
      <c r="D751" s="28"/>
      <c r="E751" s="50"/>
      <c r="F751" s="50"/>
      <c r="G751" s="50"/>
      <c r="H751" s="50"/>
    </row>
    <row r="752" spans="1:8">
      <c r="A752" s="27"/>
      <c r="C752" s="28"/>
      <c r="D752" s="28"/>
      <c r="E752" s="50"/>
      <c r="F752" s="50"/>
      <c r="G752" s="50"/>
      <c r="H752" s="50"/>
    </row>
    <row r="753" spans="1:8">
      <c r="A753" s="27"/>
      <c r="C753" s="28"/>
      <c r="D753" s="28"/>
      <c r="E753" s="50"/>
      <c r="F753" s="50"/>
      <c r="G753" s="50"/>
      <c r="H753" s="50"/>
    </row>
    <row r="754" spans="1:8">
      <c r="A754" s="27"/>
      <c r="C754" s="28"/>
      <c r="D754" s="28"/>
      <c r="E754" s="50"/>
      <c r="F754" s="50"/>
      <c r="G754" s="50"/>
      <c r="H754" s="50"/>
    </row>
    <row r="755" spans="1:8">
      <c r="A755" s="27"/>
      <c r="C755" s="28"/>
      <c r="D755" s="28"/>
      <c r="E755" s="50"/>
      <c r="F755" s="50"/>
      <c r="G755" s="50"/>
      <c r="H755" s="50"/>
    </row>
    <row r="756" spans="1:8">
      <c r="A756" s="27"/>
      <c r="C756" s="28"/>
      <c r="D756" s="28"/>
      <c r="E756" s="50"/>
      <c r="F756" s="50"/>
      <c r="G756" s="50"/>
      <c r="H756" s="50"/>
    </row>
    <row r="757" spans="1:8">
      <c r="A757" s="27"/>
      <c r="C757" s="28"/>
      <c r="D757" s="28"/>
      <c r="E757" s="50"/>
      <c r="F757" s="50"/>
      <c r="G757" s="50"/>
      <c r="H757" s="50"/>
    </row>
    <row r="758" spans="1:8">
      <c r="A758" s="27"/>
      <c r="C758" s="28"/>
      <c r="D758" s="28"/>
      <c r="E758" s="50"/>
      <c r="F758" s="50"/>
      <c r="G758" s="50"/>
      <c r="H758" s="50"/>
    </row>
    <row r="759" spans="1:8">
      <c r="A759" s="27"/>
      <c r="C759" s="28"/>
      <c r="D759" s="28"/>
      <c r="E759" s="50"/>
      <c r="F759" s="50"/>
      <c r="G759" s="50"/>
      <c r="H759" s="50"/>
    </row>
    <row r="760" spans="1:8">
      <c r="A760" s="27"/>
      <c r="C760" s="28"/>
      <c r="D760" s="28"/>
      <c r="E760" s="50"/>
      <c r="F760" s="50"/>
      <c r="G760" s="50"/>
      <c r="H760" s="50"/>
    </row>
    <row r="761" spans="1:8">
      <c r="A761" s="27"/>
      <c r="C761" s="28"/>
      <c r="D761" s="28"/>
      <c r="E761" s="50"/>
      <c r="F761" s="50"/>
      <c r="G761" s="50"/>
      <c r="H761" s="50"/>
    </row>
    <row r="762" spans="1:8">
      <c r="A762" s="27"/>
      <c r="C762" s="28"/>
      <c r="D762" s="28"/>
      <c r="E762" s="50"/>
      <c r="F762" s="50"/>
      <c r="G762" s="50"/>
      <c r="H762" s="50"/>
    </row>
    <row r="763" spans="1:8">
      <c r="A763" s="27"/>
      <c r="C763" s="28"/>
      <c r="D763" s="28"/>
      <c r="E763" s="50"/>
      <c r="F763" s="50"/>
      <c r="G763" s="50"/>
      <c r="H763" s="50"/>
    </row>
    <row r="764" spans="1:8">
      <c r="A764" s="27"/>
      <c r="C764" s="28"/>
      <c r="D764" s="28"/>
      <c r="E764" s="50"/>
      <c r="F764" s="50"/>
      <c r="G764" s="50"/>
      <c r="H764" s="50"/>
    </row>
    <row r="765" spans="1:8">
      <c r="A765" s="27"/>
      <c r="C765" s="28"/>
      <c r="D765" s="28"/>
      <c r="E765" s="50"/>
      <c r="F765" s="50"/>
      <c r="G765" s="50"/>
      <c r="H765" s="50"/>
    </row>
    <row r="766" spans="1:8">
      <c r="A766" s="27"/>
      <c r="C766" s="28"/>
      <c r="D766" s="28"/>
      <c r="E766" s="50"/>
      <c r="F766" s="50"/>
      <c r="G766" s="50"/>
      <c r="H766" s="50"/>
    </row>
    <row r="767" spans="1:8">
      <c r="A767" s="27"/>
      <c r="C767" s="28"/>
      <c r="D767" s="28"/>
      <c r="E767" s="50"/>
      <c r="F767" s="50"/>
      <c r="G767" s="50"/>
      <c r="H767" s="50"/>
    </row>
    <row r="768" spans="1:8">
      <c r="A768" s="27"/>
      <c r="C768" s="28"/>
      <c r="D768" s="28"/>
      <c r="E768" s="50"/>
      <c r="F768" s="50"/>
      <c r="G768" s="50"/>
      <c r="H768" s="50"/>
    </row>
    <row r="769" spans="1:8">
      <c r="A769" s="27"/>
      <c r="C769" s="28"/>
      <c r="D769" s="28"/>
      <c r="E769" s="50"/>
      <c r="F769" s="50"/>
      <c r="G769" s="50"/>
      <c r="H769" s="50"/>
    </row>
    <row r="770" spans="1:8">
      <c r="A770" s="27"/>
      <c r="C770" s="28"/>
      <c r="D770" s="28"/>
      <c r="E770" s="50"/>
      <c r="F770" s="50"/>
      <c r="G770" s="50"/>
      <c r="H770" s="50"/>
    </row>
    <row r="771" spans="1:8">
      <c r="A771" s="27"/>
      <c r="C771" s="28"/>
      <c r="D771" s="28"/>
      <c r="E771" s="50"/>
      <c r="F771" s="50"/>
      <c r="G771" s="50"/>
      <c r="H771" s="50"/>
    </row>
    <row r="772" spans="1:8">
      <c r="A772" s="27"/>
      <c r="C772" s="28"/>
      <c r="D772" s="28"/>
      <c r="E772" s="50"/>
      <c r="F772" s="50"/>
      <c r="G772" s="50"/>
      <c r="H772" s="50"/>
    </row>
    <row r="773" spans="1:8">
      <c r="A773" s="27"/>
      <c r="C773" s="28"/>
      <c r="D773" s="28"/>
      <c r="E773" s="50"/>
      <c r="F773" s="50"/>
      <c r="G773" s="50"/>
      <c r="H773" s="50"/>
    </row>
    <row r="774" spans="1:8">
      <c r="A774" s="27"/>
      <c r="C774" s="28"/>
      <c r="D774" s="28"/>
      <c r="E774" s="50"/>
      <c r="F774" s="50"/>
      <c r="G774" s="50"/>
      <c r="H774" s="50"/>
    </row>
    <row r="775" spans="1:8">
      <c r="A775" s="27"/>
      <c r="C775" s="28"/>
      <c r="D775" s="28"/>
      <c r="E775" s="50"/>
      <c r="F775" s="50"/>
      <c r="G775" s="50"/>
      <c r="H775" s="50"/>
    </row>
    <row r="776" spans="1:8">
      <c r="A776" s="27"/>
      <c r="C776" s="28"/>
      <c r="D776" s="28"/>
      <c r="E776" s="50"/>
      <c r="F776" s="50"/>
      <c r="G776" s="50"/>
      <c r="H776" s="50"/>
    </row>
    <row r="777" spans="1:8">
      <c r="A777" s="27"/>
      <c r="C777" s="28"/>
      <c r="D777" s="28"/>
      <c r="E777" s="50"/>
      <c r="F777" s="50"/>
      <c r="G777" s="50"/>
      <c r="H777" s="50"/>
    </row>
    <row r="778" spans="1:8">
      <c r="A778" s="27"/>
      <c r="C778" s="28"/>
      <c r="D778" s="28"/>
      <c r="E778" s="50"/>
      <c r="F778" s="50"/>
      <c r="G778" s="50"/>
      <c r="H778" s="50"/>
    </row>
    <row r="779" spans="1:8">
      <c r="A779" s="27"/>
      <c r="C779" s="28"/>
      <c r="D779" s="28"/>
      <c r="E779" s="50"/>
      <c r="F779" s="50"/>
      <c r="G779" s="50"/>
      <c r="H779" s="50"/>
    </row>
    <row r="780" spans="1:8">
      <c r="A780" s="27"/>
      <c r="C780" s="28"/>
      <c r="D780" s="28"/>
      <c r="E780" s="50"/>
      <c r="F780" s="50"/>
      <c r="G780" s="50"/>
      <c r="H780" s="50"/>
    </row>
    <row r="781" spans="1:8">
      <c r="A781" s="27"/>
      <c r="C781" s="28"/>
      <c r="D781" s="28"/>
      <c r="E781" s="50"/>
      <c r="F781" s="50"/>
      <c r="G781" s="50"/>
      <c r="H781" s="50"/>
    </row>
    <row r="782" spans="1:8">
      <c r="A782" s="27"/>
      <c r="C782" s="28"/>
      <c r="D782" s="28"/>
      <c r="E782" s="50"/>
      <c r="F782" s="50"/>
      <c r="G782" s="50"/>
      <c r="H782" s="50"/>
    </row>
    <row r="783" spans="1:8">
      <c r="A783" s="27"/>
      <c r="C783" s="28"/>
      <c r="D783" s="28"/>
      <c r="E783" s="50"/>
      <c r="F783" s="50"/>
      <c r="G783" s="50"/>
      <c r="H783" s="50"/>
    </row>
    <row r="784" spans="1:8">
      <c r="A784" s="27"/>
      <c r="C784" s="28"/>
      <c r="D784" s="28"/>
      <c r="E784" s="50"/>
      <c r="F784" s="50"/>
      <c r="G784" s="50"/>
      <c r="H784" s="50"/>
    </row>
    <row r="785" spans="1:8">
      <c r="A785" s="27"/>
      <c r="C785" s="28"/>
      <c r="D785" s="28"/>
      <c r="E785" s="50"/>
      <c r="F785" s="50"/>
      <c r="G785" s="50"/>
      <c r="H785" s="50"/>
    </row>
    <row r="786" spans="1:8">
      <c r="A786" s="27"/>
      <c r="C786" s="28"/>
      <c r="D786" s="28"/>
      <c r="E786" s="50"/>
      <c r="F786" s="50"/>
      <c r="G786" s="50"/>
      <c r="H786" s="50"/>
    </row>
    <row r="787" spans="1:8">
      <c r="A787" s="27"/>
      <c r="C787" s="28"/>
      <c r="D787" s="28"/>
      <c r="E787" s="50"/>
      <c r="F787" s="50"/>
      <c r="G787" s="50"/>
      <c r="H787" s="50"/>
    </row>
    <row r="788" spans="1:8">
      <c r="A788" s="27"/>
      <c r="C788" s="28"/>
      <c r="D788" s="28"/>
      <c r="E788" s="50"/>
      <c r="F788" s="50"/>
      <c r="G788" s="50"/>
      <c r="H788" s="50"/>
    </row>
    <row r="789" spans="1:8">
      <c r="A789" s="27"/>
      <c r="C789" s="28"/>
      <c r="D789" s="28"/>
      <c r="E789" s="50"/>
      <c r="F789" s="50"/>
      <c r="G789" s="50"/>
      <c r="H789" s="50"/>
    </row>
    <row r="790" spans="1:8">
      <c r="A790" s="27"/>
      <c r="C790" s="28"/>
      <c r="D790" s="28"/>
      <c r="E790" s="50"/>
      <c r="F790" s="50"/>
      <c r="G790" s="50"/>
      <c r="H790" s="50"/>
    </row>
    <row r="791" spans="1:8">
      <c r="A791" s="27"/>
      <c r="C791" s="28"/>
      <c r="D791" s="28"/>
      <c r="E791" s="50"/>
      <c r="F791" s="50"/>
      <c r="G791" s="50"/>
      <c r="H791" s="50"/>
    </row>
    <row r="792" spans="1:8">
      <c r="A792" s="27"/>
      <c r="C792" s="28"/>
      <c r="D792" s="28"/>
      <c r="E792" s="50"/>
      <c r="F792" s="50"/>
      <c r="G792" s="50"/>
      <c r="H792" s="50"/>
    </row>
    <row r="793" spans="1:8">
      <c r="A793" s="27"/>
      <c r="C793" s="28"/>
      <c r="D793" s="28"/>
      <c r="E793" s="50"/>
      <c r="F793" s="50"/>
      <c r="G793" s="50"/>
      <c r="H793" s="50"/>
    </row>
    <row r="794" spans="1:8">
      <c r="A794" s="27"/>
      <c r="C794" s="28"/>
      <c r="D794" s="28"/>
      <c r="E794" s="50"/>
      <c r="F794" s="50"/>
      <c r="G794" s="50"/>
      <c r="H794" s="50"/>
    </row>
    <row r="795" spans="1:8">
      <c r="A795" s="27"/>
      <c r="C795" s="28"/>
      <c r="D795" s="28"/>
      <c r="E795" s="50"/>
      <c r="F795" s="50"/>
      <c r="G795" s="50"/>
      <c r="H795" s="50"/>
    </row>
    <row r="796" spans="1:8">
      <c r="A796" s="27"/>
      <c r="C796" s="28"/>
      <c r="D796" s="28"/>
      <c r="E796" s="50"/>
      <c r="F796" s="50"/>
      <c r="G796" s="50"/>
      <c r="H796" s="50"/>
    </row>
    <row r="797" spans="1:8">
      <c r="A797" s="27"/>
      <c r="C797" s="28"/>
      <c r="D797" s="28"/>
      <c r="E797" s="50"/>
      <c r="F797" s="50"/>
      <c r="G797" s="50"/>
      <c r="H797" s="50"/>
    </row>
    <row r="798" spans="1:8">
      <c r="A798" s="27"/>
      <c r="C798" s="28"/>
      <c r="D798" s="28"/>
      <c r="E798" s="50"/>
      <c r="F798" s="50"/>
      <c r="G798" s="50"/>
      <c r="H798" s="50"/>
    </row>
    <row r="799" spans="1:8">
      <c r="A799" s="27"/>
      <c r="C799" s="28"/>
      <c r="D799" s="28"/>
      <c r="E799" s="50"/>
      <c r="F799" s="50"/>
      <c r="G799" s="50"/>
      <c r="H799" s="50"/>
    </row>
    <row r="800" spans="1:8">
      <c r="A800" s="27"/>
      <c r="C800" s="28"/>
      <c r="D800" s="28"/>
      <c r="E800" s="50"/>
      <c r="F800" s="50"/>
      <c r="G800" s="50"/>
      <c r="H800" s="50"/>
    </row>
    <row r="801" spans="1:8">
      <c r="A801" s="27"/>
      <c r="C801" s="28"/>
      <c r="D801" s="28"/>
      <c r="E801" s="50"/>
      <c r="F801" s="50"/>
      <c r="G801" s="50"/>
      <c r="H801" s="50"/>
    </row>
    <row r="802" spans="1:8">
      <c r="A802" s="27"/>
      <c r="C802" s="28"/>
      <c r="D802" s="28"/>
      <c r="E802" s="50"/>
      <c r="F802" s="50"/>
      <c r="G802" s="50"/>
      <c r="H802" s="50"/>
    </row>
    <row r="803" spans="1:8">
      <c r="A803" s="27"/>
      <c r="C803" s="28"/>
      <c r="D803" s="28"/>
      <c r="E803" s="50"/>
      <c r="F803" s="50"/>
      <c r="G803" s="50"/>
      <c r="H803" s="50"/>
    </row>
    <row r="804" spans="1:8">
      <c r="A804" s="27"/>
      <c r="C804" s="28"/>
      <c r="D804" s="28"/>
      <c r="E804" s="50"/>
      <c r="F804" s="50"/>
      <c r="G804" s="50"/>
      <c r="H804" s="50"/>
    </row>
    <row r="805" spans="1:8">
      <c r="A805" s="27"/>
      <c r="C805" s="28"/>
      <c r="D805" s="28"/>
      <c r="E805" s="50"/>
      <c r="F805" s="50"/>
      <c r="G805" s="50"/>
      <c r="H805" s="50"/>
    </row>
    <row r="806" spans="1:8">
      <c r="A806" s="27"/>
      <c r="C806" s="28"/>
      <c r="D806" s="28"/>
      <c r="E806" s="50"/>
      <c r="F806" s="50"/>
      <c r="G806" s="50"/>
      <c r="H806" s="50"/>
    </row>
    <row r="807" spans="1:8">
      <c r="A807" s="27"/>
      <c r="C807" s="28"/>
      <c r="D807" s="28"/>
      <c r="E807" s="50"/>
      <c r="F807" s="50"/>
      <c r="G807" s="50"/>
      <c r="H807" s="50"/>
    </row>
    <row r="808" spans="1:8">
      <c r="A808" s="27"/>
      <c r="C808" s="28"/>
      <c r="D808" s="28"/>
      <c r="E808" s="50"/>
      <c r="F808" s="50"/>
      <c r="G808" s="50"/>
      <c r="H808" s="50"/>
    </row>
    <row r="809" spans="1:8">
      <c r="A809" s="27"/>
      <c r="C809" s="28"/>
      <c r="D809" s="28"/>
      <c r="E809" s="50"/>
      <c r="F809" s="50"/>
      <c r="G809" s="50"/>
      <c r="H809" s="50"/>
    </row>
    <row r="810" spans="1:8">
      <c r="A810" s="27"/>
      <c r="C810" s="28"/>
      <c r="D810" s="28"/>
      <c r="E810" s="50"/>
      <c r="F810" s="50"/>
      <c r="G810" s="50"/>
      <c r="H810" s="50"/>
    </row>
    <row r="811" spans="1:8">
      <c r="A811" s="27"/>
      <c r="C811" s="28"/>
      <c r="D811" s="28"/>
      <c r="E811" s="50"/>
      <c r="F811" s="50"/>
      <c r="G811" s="50"/>
      <c r="H811" s="50"/>
    </row>
    <row r="812" spans="1:8">
      <c r="A812" s="27"/>
      <c r="C812" s="28"/>
      <c r="D812" s="28"/>
      <c r="E812" s="50"/>
      <c r="F812" s="50"/>
      <c r="G812" s="50"/>
      <c r="H812" s="50"/>
    </row>
    <row r="813" spans="1:8">
      <c r="A813" s="27"/>
      <c r="C813" s="28"/>
      <c r="D813" s="28"/>
      <c r="E813" s="50"/>
      <c r="F813" s="50"/>
      <c r="G813" s="50"/>
      <c r="H813" s="50"/>
    </row>
    <row r="814" spans="1:8">
      <c r="A814" s="27"/>
      <c r="C814" s="28"/>
      <c r="D814" s="28"/>
      <c r="E814" s="50"/>
      <c r="F814" s="50"/>
      <c r="G814" s="50"/>
      <c r="H814" s="50"/>
    </row>
    <row r="815" spans="1:8">
      <c r="A815" s="27"/>
      <c r="C815" s="28"/>
      <c r="D815" s="28"/>
      <c r="E815" s="50"/>
      <c r="F815" s="50"/>
      <c r="G815" s="50"/>
      <c r="H815" s="50"/>
    </row>
    <row r="816" spans="1:8">
      <c r="A816" s="27"/>
      <c r="C816" s="28"/>
      <c r="D816" s="28"/>
      <c r="E816" s="50"/>
      <c r="F816" s="50"/>
      <c r="G816" s="50"/>
      <c r="H816" s="50"/>
    </row>
    <row r="817" spans="1:8">
      <c r="A817" s="27"/>
      <c r="C817" s="28"/>
      <c r="D817" s="28"/>
      <c r="E817" s="50"/>
      <c r="F817" s="50"/>
      <c r="G817" s="50"/>
      <c r="H817" s="50"/>
    </row>
    <row r="818" spans="1:8">
      <c r="A818" s="27"/>
      <c r="C818" s="28"/>
      <c r="D818" s="28"/>
      <c r="E818" s="50"/>
      <c r="F818" s="50"/>
      <c r="G818" s="50"/>
      <c r="H818" s="50"/>
    </row>
    <row r="819" spans="1:8">
      <c r="A819" s="27"/>
      <c r="C819" s="28"/>
      <c r="D819" s="28"/>
      <c r="E819" s="50"/>
      <c r="F819" s="50"/>
      <c r="G819" s="50"/>
      <c r="H819" s="50"/>
    </row>
    <row r="820" spans="1:8">
      <c r="A820" s="27"/>
      <c r="C820" s="28"/>
      <c r="D820" s="28"/>
      <c r="E820" s="50"/>
      <c r="F820" s="50"/>
      <c r="G820" s="50"/>
      <c r="H820" s="50"/>
    </row>
    <row r="821" spans="1:8">
      <c r="A821" s="27"/>
      <c r="C821" s="28"/>
      <c r="D821" s="28"/>
      <c r="E821" s="50"/>
      <c r="F821" s="50"/>
      <c r="G821" s="50"/>
      <c r="H821" s="50"/>
    </row>
    <row r="822" spans="1:8">
      <c r="A822" s="27"/>
      <c r="C822" s="28"/>
      <c r="D822" s="28"/>
      <c r="E822" s="50"/>
      <c r="F822" s="50"/>
      <c r="G822" s="50"/>
      <c r="H822" s="50"/>
    </row>
    <row r="823" spans="1:8">
      <c r="A823" s="27"/>
      <c r="C823" s="28"/>
      <c r="D823" s="28"/>
      <c r="E823" s="50"/>
      <c r="F823" s="50"/>
      <c r="G823" s="50"/>
      <c r="H823" s="50"/>
    </row>
    <row r="824" spans="1:8">
      <c r="A824" s="27"/>
      <c r="C824" s="28"/>
      <c r="D824" s="28"/>
      <c r="E824" s="50"/>
      <c r="F824" s="50"/>
      <c r="G824" s="50"/>
      <c r="H824" s="50"/>
    </row>
    <row r="825" spans="1:8">
      <c r="A825" s="27"/>
      <c r="C825" s="28"/>
      <c r="D825" s="28"/>
      <c r="E825" s="50"/>
      <c r="F825" s="50"/>
      <c r="G825" s="50"/>
      <c r="H825" s="50"/>
    </row>
    <row r="826" spans="1:8">
      <c r="A826" s="27"/>
      <c r="C826" s="28"/>
      <c r="D826" s="28"/>
      <c r="E826" s="50"/>
      <c r="F826" s="50"/>
      <c r="G826" s="50"/>
      <c r="H826" s="50"/>
    </row>
    <row r="827" spans="1:8">
      <c r="A827" s="27"/>
      <c r="C827" s="28"/>
      <c r="D827" s="28"/>
      <c r="E827" s="50"/>
      <c r="F827" s="50"/>
      <c r="G827" s="50"/>
      <c r="H827" s="50"/>
    </row>
    <row r="828" spans="1:8">
      <c r="A828" s="27"/>
      <c r="C828" s="28"/>
      <c r="D828" s="28"/>
      <c r="E828" s="50"/>
      <c r="F828" s="50"/>
      <c r="G828" s="50"/>
      <c r="H828" s="50"/>
    </row>
    <row r="829" spans="1:8">
      <c r="A829" s="27"/>
      <c r="C829" s="28"/>
      <c r="D829" s="28"/>
      <c r="E829" s="50"/>
      <c r="F829" s="50"/>
      <c r="G829" s="50"/>
      <c r="H829" s="50"/>
    </row>
    <row r="830" spans="1:8">
      <c r="A830" s="27"/>
      <c r="C830" s="28"/>
      <c r="D830" s="28"/>
      <c r="E830" s="50"/>
      <c r="F830" s="50"/>
      <c r="G830" s="50"/>
      <c r="H830" s="50"/>
    </row>
    <row r="831" spans="1:8">
      <c r="A831" s="27"/>
      <c r="C831" s="28"/>
      <c r="D831" s="28"/>
      <c r="E831" s="50"/>
      <c r="F831" s="50"/>
      <c r="G831" s="50"/>
      <c r="H831" s="50"/>
    </row>
    <row r="832" spans="1:8">
      <c r="A832" s="27"/>
      <c r="C832" s="28"/>
      <c r="D832" s="28"/>
      <c r="E832" s="50"/>
      <c r="F832" s="50"/>
      <c r="G832" s="50"/>
      <c r="H832" s="50"/>
    </row>
    <row r="833" spans="1:8">
      <c r="A833" s="27"/>
      <c r="C833" s="28"/>
      <c r="D833" s="28"/>
      <c r="E833" s="50"/>
      <c r="F833" s="50"/>
      <c r="G833" s="50"/>
      <c r="H833" s="50"/>
    </row>
    <row r="834" spans="1:8">
      <c r="A834" s="27"/>
      <c r="C834" s="28"/>
      <c r="D834" s="28"/>
      <c r="E834" s="50"/>
      <c r="F834" s="50"/>
      <c r="G834" s="50"/>
      <c r="H834" s="50"/>
    </row>
    <row r="835" spans="1:8">
      <c r="A835" s="27"/>
      <c r="C835" s="28"/>
      <c r="D835" s="28"/>
      <c r="E835" s="50"/>
      <c r="F835" s="50"/>
      <c r="G835" s="50"/>
      <c r="H835" s="50"/>
    </row>
    <row r="836" spans="1:8">
      <c r="A836" s="27"/>
      <c r="C836" s="28"/>
      <c r="D836" s="28"/>
      <c r="E836" s="50"/>
      <c r="F836" s="50"/>
      <c r="G836" s="50"/>
      <c r="H836" s="50"/>
    </row>
    <row r="837" spans="1:8">
      <c r="A837" s="27"/>
      <c r="C837" s="28"/>
      <c r="D837" s="28"/>
      <c r="E837" s="50"/>
      <c r="F837" s="50"/>
      <c r="G837" s="50"/>
      <c r="H837" s="50"/>
    </row>
    <row r="838" spans="1:8">
      <c r="A838" s="27"/>
      <c r="C838" s="28"/>
      <c r="D838" s="28"/>
      <c r="E838" s="50"/>
      <c r="F838" s="50"/>
      <c r="G838" s="50"/>
      <c r="H838" s="50"/>
    </row>
    <row r="839" spans="1:8">
      <c r="A839" s="27"/>
      <c r="C839" s="28"/>
      <c r="D839" s="28"/>
      <c r="E839" s="50"/>
      <c r="F839" s="50"/>
      <c r="G839" s="50"/>
      <c r="H839" s="50"/>
    </row>
    <row r="840" spans="1:8">
      <c r="A840" s="27"/>
      <c r="C840" s="28"/>
      <c r="D840" s="28"/>
      <c r="E840" s="50"/>
      <c r="F840" s="50"/>
      <c r="G840" s="50"/>
      <c r="H840" s="50"/>
    </row>
    <row r="841" spans="1:8">
      <c r="A841" s="27"/>
      <c r="C841" s="28"/>
      <c r="D841" s="28"/>
      <c r="E841" s="50"/>
      <c r="F841" s="50"/>
      <c r="G841" s="50"/>
      <c r="H841" s="50"/>
    </row>
    <row r="842" spans="1:8">
      <c r="A842" s="27"/>
      <c r="C842" s="28"/>
      <c r="D842" s="28"/>
      <c r="E842" s="50"/>
      <c r="F842" s="50"/>
      <c r="G842" s="50"/>
      <c r="H842" s="50"/>
    </row>
    <row r="843" spans="1:8">
      <c r="A843" s="27"/>
      <c r="C843" s="28"/>
      <c r="D843" s="28"/>
      <c r="E843" s="50"/>
      <c r="F843" s="50"/>
      <c r="G843" s="50"/>
      <c r="H843" s="50"/>
    </row>
    <row r="844" spans="1:8">
      <c r="A844" s="27"/>
      <c r="C844" s="28"/>
      <c r="D844" s="28"/>
      <c r="E844" s="50"/>
      <c r="F844" s="50"/>
      <c r="G844" s="50"/>
      <c r="H844" s="50"/>
    </row>
    <row r="845" spans="1:8">
      <c r="A845" s="27"/>
      <c r="C845" s="28"/>
      <c r="D845" s="28"/>
      <c r="E845" s="50"/>
      <c r="F845" s="50"/>
      <c r="G845" s="50"/>
      <c r="H845" s="50"/>
    </row>
    <row r="846" spans="1:8">
      <c r="A846" s="27"/>
      <c r="C846" s="28"/>
      <c r="D846" s="28"/>
      <c r="E846" s="50"/>
      <c r="F846" s="50"/>
      <c r="G846" s="50"/>
      <c r="H846" s="50"/>
    </row>
    <row r="847" spans="1:8">
      <c r="A847" s="27"/>
      <c r="C847" s="28"/>
      <c r="D847" s="28"/>
      <c r="E847" s="50"/>
      <c r="F847" s="50"/>
      <c r="G847" s="50"/>
      <c r="H847" s="50"/>
    </row>
    <row r="848" spans="1:8">
      <c r="A848" s="27"/>
      <c r="C848" s="28"/>
      <c r="D848" s="28"/>
      <c r="E848" s="50"/>
      <c r="F848" s="50"/>
      <c r="G848" s="50"/>
      <c r="H848" s="50"/>
    </row>
    <row r="849" spans="1:8">
      <c r="A849" s="27"/>
      <c r="C849" s="28"/>
      <c r="D849" s="28"/>
      <c r="E849" s="50"/>
      <c r="F849" s="50"/>
      <c r="G849" s="50"/>
      <c r="H849" s="50"/>
    </row>
    <row r="850" spans="1:8">
      <c r="A850" s="27"/>
      <c r="C850" s="28"/>
      <c r="D850" s="28"/>
      <c r="E850" s="50"/>
      <c r="F850" s="50"/>
      <c r="G850" s="50"/>
      <c r="H850" s="50"/>
    </row>
    <row r="851" spans="1:8">
      <c r="A851" s="27"/>
      <c r="C851" s="28"/>
      <c r="D851" s="28"/>
      <c r="E851" s="50"/>
      <c r="F851" s="50"/>
      <c r="G851" s="50"/>
      <c r="H851" s="50"/>
    </row>
    <row r="852" spans="1:8">
      <c r="A852" s="27"/>
      <c r="C852" s="28"/>
      <c r="D852" s="28"/>
      <c r="E852" s="50"/>
      <c r="F852" s="50"/>
      <c r="G852" s="50"/>
      <c r="H852" s="50"/>
    </row>
    <row r="853" spans="1:8">
      <c r="A853" s="27"/>
      <c r="C853" s="28"/>
      <c r="D853" s="28"/>
      <c r="E853" s="50"/>
      <c r="F853" s="50"/>
      <c r="G853" s="50"/>
      <c r="H853" s="50"/>
    </row>
    <row r="854" spans="1:8">
      <c r="A854" s="27"/>
      <c r="C854" s="28"/>
      <c r="D854" s="28"/>
      <c r="E854" s="50"/>
      <c r="F854" s="50"/>
      <c r="G854" s="50"/>
      <c r="H854" s="50"/>
    </row>
    <row r="855" spans="1:8">
      <c r="A855" s="27"/>
      <c r="C855" s="28"/>
      <c r="D855" s="28"/>
      <c r="E855" s="50"/>
      <c r="F855" s="50"/>
      <c r="G855" s="50"/>
      <c r="H855" s="50"/>
    </row>
    <row r="856" spans="1:8">
      <c r="A856" s="27"/>
      <c r="C856" s="28"/>
      <c r="D856" s="28"/>
      <c r="E856" s="50"/>
      <c r="F856" s="50"/>
      <c r="G856" s="50"/>
      <c r="H856" s="50"/>
    </row>
    <row r="857" spans="1:8">
      <c r="A857" s="27"/>
      <c r="C857" s="28"/>
      <c r="D857" s="28"/>
      <c r="E857" s="50"/>
      <c r="F857" s="50"/>
      <c r="G857" s="50"/>
      <c r="H857" s="50"/>
    </row>
    <row r="858" spans="1:8">
      <c r="A858" s="27"/>
      <c r="C858" s="28"/>
      <c r="D858" s="28"/>
      <c r="E858" s="50"/>
      <c r="F858" s="50"/>
      <c r="G858" s="50"/>
      <c r="H858" s="50"/>
    </row>
    <row r="859" spans="1:8">
      <c r="A859" s="27"/>
      <c r="C859" s="28"/>
      <c r="D859" s="28"/>
      <c r="E859" s="50"/>
      <c r="F859" s="50"/>
      <c r="G859" s="50"/>
      <c r="H859" s="50"/>
    </row>
    <row r="860" spans="1:8">
      <c r="A860" s="27"/>
      <c r="C860" s="28"/>
      <c r="D860" s="28"/>
      <c r="E860" s="50"/>
      <c r="F860" s="50"/>
      <c r="G860" s="50"/>
      <c r="H860" s="50"/>
    </row>
    <row r="861" spans="1:8">
      <c r="A861" s="27"/>
      <c r="C861" s="28"/>
      <c r="D861" s="28"/>
      <c r="E861" s="50"/>
      <c r="F861" s="50"/>
      <c r="G861" s="50"/>
      <c r="H861" s="50"/>
    </row>
    <row r="862" spans="1:8">
      <c r="A862" s="27"/>
      <c r="C862" s="28"/>
      <c r="D862" s="28"/>
      <c r="E862" s="50"/>
      <c r="F862" s="50"/>
      <c r="G862" s="50"/>
      <c r="H862" s="50"/>
    </row>
    <row r="863" spans="1:8">
      <c r="A863" s="27"/>
      <c r="C863" s="28"/>
      <c r="D863" s="28"/>
      <c r="E863" s="50"/>
      <c r="F863" s="50"/>
      <c r="G863" s="50"/>
      <c r="H863" s="50"/>
    </row>
    <row r="864" spans="1:8">
      <c r="A864" s="27"/>
      <c r="C864" s="28"/>
      <c r="D864" s="28"/>
      <c r="E864" s="50"/>
      <c r="F864" s="50"/>
      <c r="G864" s="50"/>
      <c r="H864" s="50"/>
    </row>
    <row r="865" spans="1:8">
      <c r="A865" s="27"/>
      <c r="C865" s="28"/>
      <c r="D865" s="28"/>
      <c r="E865" s="50"/>
      <c r="F865" s="50"/>
      <c r="G865" s="50"/>
      <c r="H865" s="50"/>
    </row>
    <row r="866" spans="1:8">
      <c r="A866" s="27"/>
      <c r="C866" s="28"/>
      <c r="D866" s="28"/>
      <c r="E866" s="50"/>
      <c r="F866" s="50"/>
      <c r="G866" s="50"/>
      <c r="H866" s="50"/>
    </row>
    <row r="867" spans="1:8">
      <c r="A867" s="27"/>
      <c r="C867" s="28"/>
      <c r="D867" s="28"/>
      <c r="E867" s="50"/>
      <c r="F867" s="50"/>
      <c r="G867" s="50"/>
      <c r="H867" s="50"/>
    </row>
    <row r="868" spans="1:8">
      <c r="A868" s="27"/>
      <c r="C868" s="28"/>
      <c r="D868" s="28"/>
      <c r="E868" s="50"/>
      <c r="F868" s="50"/>
      <c r="G868" s="50"/>
      <c r="H868" s="50"/>
    </row>
    <row r="869" spans="1:8">
      <c r="A869" s="27"/>
      <c r="C869" s="28"/>
      <c r="D869" s="28"/>
      <c r="E869" s="50"/>
      <c r="F869" s="50"/>
      <c r="G869" s="50"/>
      <c r="H869" s="50"/>
    </row>
    <row r="870" spans="1:8">
      <c r="A870" s="27"/>
      <c r="C870" s="28"/>
      <c r="D870" s="28"/>
      <c r="E870" s="50"/>
      <c r="F870" s="50"/>
      <c r="G870" s="50"/>
      <c r="H870" s="50"/>
    </row>
    <row r="871" spans="1:8">
      <c r="A871" s="27"/>
      <c r="C871" s="28"/>
      <c r="D871" s="28"/>
      <c r="E871" s="50"/>
      <c r="F871" s="50"/>
      <c r="G871" s="50"/>
      <c r="H871" s="50"/>
    </row>
    <row r="872" spans="1:8">
      <c r="A872" s="27"/>
      <c r="C872" s="28"/>
      <c r="D872" s="28"/>
      <c r="E872" s="50"/>
      <c r="F872" s="50"/>
      <c r="G872" s="50"/>
      <c r="H872" s="50"/>
    </row>
    <row r="873" spans="1:8">
      <c r="A873" s="27"/>
      <c r="C873" s="28"/>
      <c r="D873" s="28"/>
      <c r="E873" s="50"/>
      <c r="F873" s="50"/>
      <c r="G873" s="50"/>
      <c r="H873" s="50"/>
    </row>
    <row r="874" spans="1:8">
      <c r="A874" s="27"/>
      <c r="C874" s="28"/>
      <c r="D874" s="28"/>
      <c r="E874" s="50"/>
      <c r="F874" s="50"/>
      <c r="G874" s="50"/>
      <c r="H874" s="50"/>
    </row>
    <row r="875" spans="1:8">
      <c r="A875" s="27"/>
      <c r="C875" s="28"/>
      <c r="D875" s="28"/>
      <c r="E875" s="50"/>
      <c r="F875" s="50"/>
      <c r="G875" s="50"/>
      <c r="H875" s="50"/>
    </row>
    <row r="876" spans="1:8">
      <c r="A876" s="27"/>
      <c r="C876" s="28"/>
      <c r="D876" s="28"/>
      <c r="E876" s="50"/>
      <c r="F876" s="50"/>
      <c r="G876" s="50"/>
      <c r="H876" s="50"/>
    </row>
    <row r="877" spans="1:8">
      <c r="A877" s="27"/>
      <c r="C877" s="28"/>
      <c r="D877" s="28"/>
      <c r="E877" s="50"/>
      <c r="F877" s="50"/>
      <c r="G877" s="50"/>
      <c r="H877" s="50"/>
    </row>
    <row r="878" spans="1:8">
      <c r="A878" s="27"/>
      <c r="C878" s="28"/>
      <c r="D878" s="28"/>
      <c r="E878" s="50"/>
      <c r="F878" s="50"/>
      <c r="G878" s="50"/>
      <c r="H878" s="50"/>
    </row>
    <row r="879" spans="1:8">
      <c r="A879" s="27"/>
      <c r="C879" s="28"/>
      <c r="D879" s="28"/>
      <c r="E879" s="50"/>
      <c r="F879" s="50"/>
      <c r="G879" s="50"/>
      <c r="H879" s="50"/>
    </row>
    <row r="880" spans="1:8">
      <c r="A880" s="27"/>
      <c r="C880" s="28"/>
      <c r="D880" s="28"/>
      <c r="E880" s="50"/>
      <c r="F880" s="50"/>
      <c r="G880" s="50"/>
      <c r="H880" s="50"/>
    </row>
    <row r="881" spans="1:8">
      <c r="A881" s="27"/>
      <c r="C881" s="28"/>
      <c r="D881" s="28"/>
      <c r="E881" s="50"/>
      <c r="F881" s="50"/>
      <c r="G881" s="50"/>
      <c r="H881" s="50"/>
    </row>
    <row r="882" spans="1:8">
      <c r="A882" s="27"/>
      <c r="C882" s="28"/>
      <c r="D882" s="28"/>
      <c r="E882" s="50"/>
      <c r="F882" s="50"/>
      <c r="G882" s="50"/>
      <c r="H882" s="50"/>
    </row>
    <row r="883" spans="1:8">
      <c r="A883" s="27"/>
      <c r="C883" s="28"/>
      <c r="D883" s="28"/>
      <c r="E883" s="50"/>
      <c r="F883" s="50"/>
      <c r="G883" s="50"/>
      <c r="H883" s="50"/>
    </row>
    <row r="884" spans="1:8">
      <c r="A884" s="27"/>
      <c r="C884" s="28"/>
      <c r="D884" s="28"/>
      <c r="E884" s="50"/>
      <c r="F884" s="50"/>
      <c r="G884" s="50"/>
      <c r="H884" s="50"/>
    </row>
    <row r="885" spans="1:8">
      <c r="A885" s="27"/>
      <c r="C885" s="28"/>
      <c r="D885" s="28"/>
      <c r="E885" s="50"/>
      <c r="F885" s="50"/>
      <c r="G885" s="50"/>
      <c r="H885" s="50"/>
    </row>
    <row r="886" spans="1:8">
      <c r="A886" s="27"/>
      <c r="C886" s="28"/>
      <c r="D886" s="28"/>
      <c r="E886" s="50"/>
      <c r="F886" s="50"/>
      <c r="G886" s="50"/>
      <c r="H886" s="50"/>
    </row>
    <row r="887" spans="1:8">
      <c r="A887" s="27"/>
      <c r="C887" s="28"/>
      <c r="D887" s="28"/>
      <c r="E887" s="50"/>
      <c r="F887" s="50"/>
      <c r="G887" s="50"/>
      <c r="H887" s="50"/>
    </row>
    <row r="888" spans="1:8">
      <c r="A888" s="27"/>
      <c r="C888" s="28"/>
      <c r="D888" s="28"/>
      <c r="E888" s="50"/>
      <c r="F888" s="50"/>
      <c r="G888" s="50"/>
      <c r="H888" s="50"/>
    </row>
    <row r="889" spans="1:8">
      <c r="A889" s="27"/>
      <c r="C889" s="28"/>
      <c r="D889" s="28"/>
      <c r="E889" s="50"/>
      <c r="F889" s="50"/>
      <c r="G889" s="50"/>
      <c r="H889" s="50"/>
    </row>
    <row r="890" spans="1:8">
      <c r="A890" s="27"/>
      <c r="C890" s="28"/>
      <c r="D890" s="28"/>
      <c r="E890" s="50"/>
      <c r="F890" s="50"/>
      <c r="G890" s="50"/>
      <c r="H890" s="50"/>
    </row>
    <row r="891" spans="1:8">
      <c r="A891" s="27"/>
      <c r="C891" s="28"/>
      <c r="D891" s="28"/>
      <c r="E891" s="50"/>
      <c r="F891" s="50"/>
      <c r="G891" s="50"/>
      <c r="H891" s="50"/>
    </row>
    <row r="892" spans="1:8">
      <c r="A892" s="27"/>
      <c r="C892" s="28"/>
      <c r="D892" s="28"/>
      <c r="E892" s="50"/>
      <c r="F892" s="50"/>
      <c r="G892" s="50"/>
      <c r="H892" s="50"/>
    </row>
    <row r="893" spans="1:8">
      <c r="A893" s="27"/>
      <c r="C893" s="28"/>
      <c r="D893" s="28"/>
      <c r="E893" s="50"/>
      <c r="F893" s="50"/>
      <c r="G893" s="50"/>
      <c r="H893" s="50"/>
    </row>
    <row r="894" spans="1:8">
      <c r="A894" s="27"/>
      <c r="C894" s="28"/>
      <c r="D894" s="28"/>
      <c r="E894" s="50"/>
      <c r="F894" s="50"/>
      <c r="G894" s="50"/>
      <c r="H894" s="50"/>
    </row>
    <row r="895" spans="1:8">
      <c r="A895" s="27"/>
      <c r="C895" s="28"/>
      <c r="D895" s="28"/>
      <c r="E895" s="50"/>
      <c r="F895" s="50"/>
      <c r="G895" s="50"/>
      <c r="H895" s="50"/>
    </row>
  </sheetData>
  <autoFilter xmlns:etc="http://www.wps.cn/officeDocument/2017/etCustomData" ref="A4:H200"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17" max="7"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9">
    <tabColor rgb="FFC00000"/>
    <pageSetUpPr fitToPage="1"/>
  </sheetPr>
  <dimension ref="A1:I945"/>
  <sheetViews>
    <sheetView showGridLines="0" view="pageBreakPreview" zoomScale="90" zoomScaleNormal="100" topLeftCell="A38" workbookViewId="0">
      <selection activeCell="E27" sqref="E27"/>
    </sheetView>
  </sheetViews>
  <sheetFormatPr defaultColWidth="9.25" defaultRowHeight="13.8"/>
  <cols>
    <col min="1" max="1" width="7.62962962962963" style="31" customWidth="1"/>
    <col min="2" max="2" width="39.5" style="27" customWidth="1"/>
    <col min="3" max="4" width="30.75" style="32" customWidth="1"/>
    <col min="5" max="8" width="13.8796296296296" style="33" customWidth="1"/>
    <col min="9" max="16384" width="9.25" style="31"/>
  </cols>
  <sheetData>
    <row r="1" spans="1:8">
      <c r="A1" s="6" t="s">
        <v>2876</v>
      </c>
      <c r="B1" s="6"/>
      <c r="C1" s="7"/>
      <c r="D1" s="7"/>
      <c r="E1" s="6"/>
      <c r="F1" s="6"/>
      <c r="G1" s="6"/>
      <c r="H1" s="6"/>
    </row>
    <row r="2" spans="1:8">
      <c r="A2" s="8" t="s">
        <v>4</v>
      </c>
      <c r="B2" s="8"/>
      <c r="C2" s="8"/>
      <c r="D2" s="8"/>
      <c r="E2" s="34"/>
      <c r="F2" s="34"/>
      <c r="G2" s="34"/>
      <c r="H2" s="34"/>
    </row>
    <row r="3" spans="1:8">
      <c r="A3" s="9" t="s">
        <v>5</v>
      </c>
      <c r="B3" s="9" t="s">
        <v>6</v>
      </c>
      <c r="C3" s="9" t="s">
        <v>7</v>
      </c>
      <c r="D3" s="9"/>
      <c r="E3" s="35" t="s">
        <v>8</v>
      </c>
      <c r="F3" s="35"/>
      <c r="G3" s="35"/>
      <c r="H3" s="35"/>
    </row>
    <row r="4" spans="1:8">
      <c r="A4" s="11"/>
      <c r="B4" s="11"/>
      <c r="C4" s="9" t="s">
        <v>9</v>
      </c>
      <c r="D4" s="9" t="s">
        <v>10</v>
      </c>
      <c r="E4" s="35" t="s">
        <v>11</v>
      </c>
      <c r="F4" s="35" t="s">
        <v>12</v>
      </c>
      <c r="G4" s="35" t="s">
        <v>13</v>
      </c>
      <c r="H4" s="35" t="s">
        <v>14</v>
      </c>
    </row>
    <row r="5" spans="1:8">
      <c r="A5" s="15" t="s">
        <v>15</v>
      </c>
      <c r="B5" s="15"/>
      <c r="C5" s="15"/>
      <c r="D5" s="15"/>
      <c r="E5" s="35" t="s">
        <v>16</v>
      </c>
      <c r="F5" s="35" t="s">
        <v>16</v>
      </c>
      <c r="G5" s="35" t="s">
        <v>16</v>
      </c>
      <c r="H5" s="35" t="s">
        <v>16</v>
      </c>
    </row>
    <row r="6" ht="27.6" spans="1:8">
      <c r="A6" s="36">
        <v>1</v>
      </c>
      <c r="B6" s="18" t="s">
        <v>2877</v>
      </c>
      <c r="C6" s="18" t="s">
        <v>2878</v>
      </c>
      <c r="D6" s="18" t="s">
        <v>2879</v>
      </c>
      <c r="E6" s="37">
        <v>1200000</v>
      </c>
      <c r="F6" s="38">
        <v>800000</v>
      </c>
      <c r="G6" s="38">
        <v>700000</v>
      </c>
      <c r="H6" s="38">
        <v>550000</v>
      </c>
    </row>
    <row r="7" ht="41.4" spans="1:8">
      <c r="A7" s="36">
        <v>2</v>
      </c>
      <c r="B7" s="18" t="s">
        <v>2880</v>
      </c>
      <c r="C7" s="18" t="s">
        <v>2881</v>
      </c>
      <c r="D7" s="18" t="s">
        <v>2882</v>
      </c>
      <c r="E7" s="37">
        <v>950000</v>
      </c>
      <c r="F7" s="38">
        <v>650000</v>
      </c>
      <c r="G7" s="38">
        <v>600000</v>
      </c>
      <c r="H7" s="38">
        <v>465000</v>
      </c>
    </row>
    <row r="8" ht="27.6" spans="1:8">
      <c r="A8" s="36">
        <v>3</v>
      </c>
      <c r="B8" s="18" t="s">
        <v>2883</v>
      </c>
      <c r="C8" s="18" t="s">
        <v>2884</v>
      </c>
      <c r="D8" s="18" t="s">
        <v>2885</v>
      </c>
      <c r="E8" s="37">
        <v>1050000</v>
      </c>
      <c r="F8" s="38">
        <v>700000</v>
      </c>
      <c r="G8" s="38">
        <v>600000</v>
      </c>
      <c r="H8" s="38">
        <v>500000</v>
      </c>
    </row>
    <row r="9" ht="27.6" spans="1:8">
      <c r="A9" s="36"/>
      <c r="B9" s="18" t="s">
        <v>2886</v>
      </c>
      <c r="C9" s="18" t="s">
        <v>2887</v>
      </c>
      <c r="D9" s="18" t="s">
        <v>2888</v>
      </c>
      <c r="E9" s="23">
        <v>1100000</v>
      </c>
      <c r="F9" s="23">
        <v>750000</v>
      </c>
      <c r="G9" s="23">
        <v>650000</v>
      </c>
      <c r="H9" s="23">
        <v>500000</v>
      </c>
    </row>
    <row r="10" ht="41.4" spans="1:8">
      <c r="A10" s="36">
        <v>4</v>
      </c>
      <c r="B10" s="18" t="s">
        <v>2889</v>
      </c>
      <c r="C10" s="18" t="s">
        <v>2890</v>
      </c>
      <c r="D10" s="18" t="s">
        <v>2891</v>
      </c>
      <c r="E10" s="23">
        <v>1550000</v>
      </c>
      <c r="F10" s="23">
        <v>900000</v>
      </c>
      <c r="G10" s="23">
        <v>800000</v>
      </c>
      <c r="H10" s="23">
        <v>650000</v>
      </c>
    </row>
    <row r="11" ht="27.6" spans="1:8">
      <c r="A11" s="36">
        <v>5</v>
      </c>
      <c r="B11" s="18" t="s">
        <v>2892</v>
      </c>
      <c r="C11" s="18" t="s">
        <v>2893</v>
      </c>
      <c r="D11" s="18" t="s">
        <v>2894</v>
      </c>
      <c r="E11" s="23">
        <v>1250000</v>
      </c>
      <c r="F11" s="23">
        <v>800000</v>
      </c>
      <c r="G11" s="23">
        <v>700000</v>
      </c>
      <c r="H11" s="23">
        <v>600000</v>
      </c>
    </row>
    <row r="12" ht="27.6" spans="1:8">
      <c r="A12" s="36">
        <v>6</v>
      </c>
      <c r="B12" s="18" t="s">
        <v>2895</v>
      </c>
      <c r="C12" s="18" t="s">
        <v>2896</v>
      </c>
      <c r="D12" s="18" t="s">
        <v>2897</v>
      </c>
      <c r="E12" s="23">
        <v>950000</v>
      </c>
      <c r="F12" s="23">
        <v>650000</v>
      </c>
      <c r="G12" s="23">
        <v>600000</v>
      </c>
      <c r="H12" s="23">
        <v>465000</v>
      </c>
    </row>
    <row r="13" ht="27.6" spans="1:8">
      <c r="A13" s="36">
        <v>7</v>
      </c>
      <c r="B13" s="18" t="s">
        <v>2898</v>
      </c>
      <c r="C13" s="18" t="s">
        <v>2899</v>
      </c>
      <c r="D13" s="18" t="s">
        <v>2900</v>
      </c>
      <c r="E13" s="23">
        <v>1550000</v>
      </c>
      <c r="F13" s="23">
        <v>900000</v>
      </c>
      <c r="G13" s="23">
        <v>800000</v>
      </c>
      <c r="H13" s="23">
        <v>650000</v>
      </c>
    </row>
    <row r="14" ht="41.4" spans="1:8">
      <c r="A14" s="36">
        <v>8</v>
      </c>
      <c r="B14" s="18" t="s">
        <v>2901</v>
      </c>
      <c r="C14" s="18" t="s">
        <v>2902</v>
      </c>
      <c r="D14" s="18" t="s">
        <v>2903</v>
      </c>
      <c r="E14" s="23">
        <v>1200000</v>
      </c>
      <c r="F14" s="23">
        <v>800000</v>
      </c>
      <c r="G14" s="23">
        <v>700000</v>
      </c>
      <c r="H14" s="23">
        <v>550000</v>
      </c>
    </row>
    <row r="15" ht="27.6" spans="1:8">
      <c r="A15" s="36">
        <v>9</v>
      </c>
      <c r="B15" s="18" t="s">
        <v>2904</v>
      </c>
      <c r="C15" s="18" t="s">
        <v>2905</v>
      </c>
      <c r="D15" s="18" t="s">
        <v>2906</v>
      </c>
      <c r="E15" s="23">
        <v>1050000</v>
      </c>
      <c r="F15" s="23">
        <v>700000</v>
      </c>
      <c r="G15" s="23">
        <v>600000</v>
      </c>
      <c r="H15" s="23">
        <v>500000</v>
      </c>
    </row>
    <row r="16" ht="27.6" spans="1:8">
      <c r="A16" s="36">
        <v>10</v>
      </c>
      <c r="B16" s="18" t="s">
        <v>2907</v>
      </c>
      <c r="C16" s="18" t="s">
        <v>2908</v>
      </c>
      <c r="D16" s="18" t="s">
        <v>2909</v>
      </c>
      <c r="E16" s="23">
        <v>1250000</v>
      </c>
      <c r="F16" s="23">
        <v>800000</v>
      </c>
      <c r="G16" s="23">
        <v>700000</v>
      </c>
      <c r="H16" s="23">
        <v>600000</v>
      </c>
    </row>
    <row r="17" ht="27.6" spans="1:8">
      <c r="A17" s="36"/>
      <c r="B17" s="18" t="s">
        <v>2907</v>
      </c>
      <c r="C17" s="18" t="s">
        <v>2909</v>
      </c>
      <c r="D17" s="18" t="s">
        <v>2910</v>
      </c>
      <c r="E17" s="23">
        <v>950000</v>
      </c>
      <c r="F17" s="23">
        <v>650000</v>
      </c>
      <c r="G17" s="23">
        <v>600000</v>
      </c>
      <c r="H17" s="23">
        <v>465000</v>
      </c>
    </row>
    <row r="18" ht="41.4" spans="1:8">
      <c r="A18" s="36">
        <v>11</v>
      </c>
      <c r="B18" s="18" t="s">
        <v>2911</v>
      </c>
      <c r="C18" s="18" t="s">
        <v>2912</v>
      </c>
      <c r="D18" s="18" t="s">
        <v>2913</v>
      </c>
      <c r="E18" s="23">
        <v>1100000</v>
      </c>
      <c r="F18" s="23">
        <v>750000</v>
      </c>
      <c r="G18" s="23">
        <v>650000</v>
      </c>
      <c r="H18" s="23">
        <v>500000</v>
      </c>
    </row>
    <row r="19" ht="27.6" spans="1:8">
      <c r="A19" s="36">
        <v>12</v>
      </c>
      <c r="B19" s="18" t="s">
        <v>2914</v>
      </c>
      <c r="C19" s="18" t="s">
        <v>2915</v>
      </c>
      <c r="D19" s="18" t="s">
        <v>2916</v>
      </c>
      <c r="E19" s="23">
        <v>1050000</v>
      </c>
      <c r="F19" s="23">
        <v>700000</v>
      </c>
      <c r="G19" s="23">
        <v>600000</v>
      </c>
      <c r="H19" s="23">
        <v>500000</v>
      </c>
    </row>
    <row r="20" ht="27.6" spans="1:8">
      <c r="A20" s="36">
        <v>13</v>
      </c>
      <c r="B20" s="18" t="s">
        <v>2917</v>
      </c>
      <c r="C20" s="18" t="s">
        <v>2918</v>
      </c>
      <c r="D20" s="18" t="s">
        <v>2919</v>
      </c>
      <c r="E20" s="23">
        <v>1450000</v>
      </c>
      <c r="F20" s="23">
        <v>1000000</v>
      </c>
      <c r="G20" s="23">
        <v>900000</v>
      </c>
      <c r="H20" s="23">
        <v>700000</v>
      </c>
    </row>
    <row r="21" ht="27.6" spans="1:8">
      <c r="A21" s="36"/>
      <c r="B21" s="18" t="s">
        <v>2917</v>
      </c>
      <c r="C21" s="18" t="s">
        <v>2919</v>
      </c>
      <c r="D21" s="18" t="s">
        <v>2920</v>
      </c>
      <c r="E21" s="23">
        <v>2200000</v>
      </c>
      <c r="F21" s="23">
        <v>1550000</v>
      </c>
      <c r="G21" s="23">
        <v>900000</v>
      </c>
      <c r="H21" s="23">
        <v>700000</v>
      </c>
    </row>
    <row r="22" ht="41.4" spans="1:8">
      <c r="A22" s="36">
        <v>14</v>
      </c>
      <c r="B22" s="18" t="s">
        <v>2921</v>
      </c>
      <c r="C22" s="18" t="s">
        <v>2922</v>
      </c>
      <c r="D22" s="18" t="s">
        <v>2923</v>
      </c>
      <c r="E22" s="23">
        <v>1100000</v>
      </c>
      <c r="F22" s="23">
        <v>750000</v>
      </c>
      <c r="G22" s="23">
        <v>650000</v>
      </c>
      <c r="H22" s="23">
        <v>500000</v>
      </c>
    </row>
    <row r="23" ht="27.6" spans="1:8">
      <c r="A23" s="36">
        <v>15</v>
      </c>
      <c r="B23" s="18" t="s">
        <v>2924</v>
      </c>
      <c r="C23" s="18" t="s">
        <v>2925</v>
      </c>
      <c r="D23" s="18" t="s">
        <v>2926</v>
      </c>
      <c r="E23" s="23">
        <v>1100000</v>
      </c>
      <c r="F23" s="23">
        <v>750000</v>
      </c>
      <c r="G23" s="23">
        <v>650000</v>
      </c>
      <c r="H23" s="23">
        <v>500000</v>
      </c>
    </row>
    <row r="24" ht="27.6" spans="1:8">
      <c r="A24" s="36"/>
      <c r="B24" s="18" t="s">
        <v>2927</v>
      </c>
      <c r="C24" s="18" t="s">
        <v>2926</v>
      </c>
      <c r="D24" s="18" t="s">
        <v>2928</v>
      </c>
      <c r="E24" s="23">
        <v>1000000</v>
      </c>
      <c r="F24" s="23">
        <v>700000</v>
      </c>
      <c r="G24" s="23">
        <v>600000</v>
      </c>
      <c r="H24" s="23">
        <v>490000</v>
      </c>
    </row>
    <row r="25" ht="41.4" spans="1:8">
      <c r="A25" s="36">
        <v>16</v>
      </c>
      <c r="B25" s="18" t="s">
        <v>2929</v>
      </c>
      <c r="C25" s="18" t="s">
        <v>2930</v>
      </c>
      <c r="D25" s="18" t="s">
        <v>2931</v>
      </c>
      <c r="E25" s="23">
        <v>1550000</v>
      </c>
      <c r="F25" s="23">
        <v>900000</v>
      </c>
      <c r="G25" s="23">
        <v>800000</v>
      </c>
      <c r="H25" s="23">
        <v>650000</v>
      </c>
    </row>
    <row r="26" ht="41.4" spans="1:8">
      <c r="A26" s="36"/>
      <c r="B26" s="18" t="s">
        <v>2929</v>
      </c>
      <c r="C26" s="18" t="s">
        <v>2932</v>
      </c>
      <c r="D26" s="18" t="s">
        <v>2933</v>
      </c>
      <c r="E26" s="23">
        <v>2200000</v>
      </c>
      <c r="F26" s="23">
        <v>1550000</v>
      </c>
      <c r="G26" s="23">
        <v>900000</v>
      </c>
      <c r="H26" s="23">
        <v>700000</v>
      </c>
    </row>
    <row r="27" ht="41.4" spans="1:8">
      <c r="A27" s="36"/>
      <c r="B27" s="18" t="s">
        <v>2929</v>
      </c>
      <c r="C27" s="18" t="s">
        <v>2934</v>
      </c>
      <c r="D27" s="18" t="s">
        <v>2935</v>
      </c>
      <c r="E27" s="23">
        <v>3700000</v>
      </c>
      <c r="F27" s="23">
        <v>2200000</v>
      </c>
      <c r="G27" s="23">
        <v>1300000</v>
      </c>
      <c r="H27" s="23">
        <v>1050000</v>
      </c>
    </row>
    <row r="28" spans="1:8">
      <c r="A28" s="36"/>
      <c r="B28" s="18" t="s">
        <v>2929</v>
      </c>
      <c r="C28" s="18" t="s">
        <v>2936</v>
      </c>
      <c r="D28" s="18" t="s">
        <v>2937</v>
      </c>
      <c r="E28" s="23">
        <v>3700000</v>
      </c>
      <c r="F28" s="23">
        <v>2200000</v>
      </c>
      <c r="G28" s="23">
        <v>1300000</v>
      </c>
      <c r="H28" s="23">
        <v>1050000</v>
      </c>
    </row>
    <row r="29" spans="1:8">
      <c r="A29" s="36"/>
      <c r="B29" s="18" t="s">
        <v>2929</v>
      </c>
      <c r="C29" s="18" t="s">
        <v>2937</v>
      </c>
      <c r="D29" s="18" t="s">
        <v>2938</v>
      </c>
      <c r="E29" s="23">
        <v>1450000</v>
      </c>
      <c r="F29" s="23">
        <v>1000000</v>
      </c>
      <c r="G29" s="23">
        <v>900000</v>
      </c>
      <c r="H29" s="23">
        <v>700000</v>
      </c>
    </row>
    <row r="30" ht="27.6" spans="1:8">
      <c r="A30" s="36">
        <v>17</v>
      </c>
      <c r="B30" s="18" t="s">
        <v>2939</v>
      </c>
      <c r="C30" s="18" t="s">
        <v>2940</v>
      </c>
      <c r="D30" s="18" t="s">
        <v>2941</v>
      </c>
      <c r="E30" s="23">
        <v>1300000</v>
      </c>
      <c r="F30" s="23">
        <v>850000</v>
      </c>
      <c r="G30" s="23">
        <v>800000</v>
      </c>
      <c r="H30" s="23">
        <v>650000</v>
      </c>
    </row>
    <row r="31" ht="27.6" spans="1:8">
      <c r="A31" s="36">
        <v>18</v>
      </c>
      <c r="B31" s="18" t="s">
        <v>2942</v>
      </c>
      <c r="C31" s="18" t="s">
        <v>2943</v>
      </c>
      <c r="D31" s="18" t="s">
        <v>2944</v>
      </c>
      <c r="E31" s="23">
        <v>1200000</v>
      </c>
      <c r="F31" s="23">
        <v>800000</v>
      </c>
      <c r="G31" s="23">
        <v>700000</v>
      </c>
      <c r="H31" s="23">
        <v>550000</v>
      </c>
    </row>
    <row r="32" ht="27.6" spans="1:8">
      <c r="A32" s="36"/>
      <c r="B32" s="18" t="s">
        <v>2942</v>
      </c>
      <c r="C32" s="18" t="s">
        <v>2944</v>
      </c>
      <c r="D32" s="18" t="s">
        <v>2945</v>
      </c>
      <c r="E32" s="23">
        <v>1250000</v>
      </c>
      <c r="F32" s="23">
        <v>800000</v>
      </c>
      <c r="G32" s="23">
        <v>700000</v>
      </c>
      <c r="H32" s="23">
        <v>600000</v>
      </c>
    </row>
    <row r="33" ht="41.4" spans="1:9">
      <c r="A33" s="36">
        <v>19</v>
      </c>
      <c r="B33" s="18" t="s">
        <v>2946</v>
      </c>
      <c r="C33" s="18" t="s">
        <v>2947</v>
      </c>
      <c r="D33" s="18" t="s">
        <v>2948</v>
      </c>
      <c r="E33" s="23">
        <v>1100000</v>
      </c>
      <c r="F33" s="23">
        <v>750000</v>
      </c>
      <c r="G33" s="23">
        <v>650000</v>
      </c>
      <c r="H33" s="23">
        <v>500000</v>
      </c>
    </row>
    <row r="34" ht="41.4" spans="1:9">
      <c r="A34" s="36"/>
      <c r="B34" s="18" t="s">
        <v>2946</v>
      </c>
      <c r="C34" s="18" t="s">
        <v>2948</v>
      </c>
      <c r="D34" s="18" t="s">
        <v>2949</v>
      </c>
      <c r="E34" s="23">
        <v>950000</v>
      </c>
      <c r="F34" s="23">
        <v>650000</v>
      </c>
      <c r="G34" s="23">
        <v>600000</v>
      </c>
      <c r="H34" s="23">
        <v>465000</v>
      </c>
    </row>
    <row r="35" ht="27.6" spans="1:9">
      <c r="A35" s="36">
        <v>20</v>
      </c>
      <c r="B35" s="18" t="s">
        <v>2950</v>
      </c>
      <c r="C35" s="18" t="s">
        <v>2951</v>
      </c>
      <c r="D35" s="18" t="s">
        <v>2952</v>
      </c>
      <c r="E35" s="23">
        <v>1450000</v>
      </c>
      <c r="F35" s="23">
        <v>1000000</v>
      </c>
      <c r="G35" s="23">
        <v>900000</v>
      </c>
      <c r="H35" s="23">
        <v>700000</v>
      </c>
    </row>
    <row r="36" ht="27.6" spans="1:9">
      <c r="A36" s="36"/>
      <c r="B36" s="18" t="s">
        <v>2953</v>
      </c>
      <c r="C36" s="18" t="s">
        <v>2954</v>
      </c>
      <c r="D36" s="18" t="s">
        <v>2955</v>
      </c>
      <c r="E36" s="23">
        <v>1350000</v>
      </c>
      <c r="F36" s="23">
        <v>950000</v>
      </c>
      <c r="G36" s="23">
        <v>850000</v>
      </c>
      <c r="H36" s="23">
        <v>700000</v>
      </c>
    </row>
    <row r="37" ht="27.6" spans="1:9">
      <c r="A37" s="36">
        <v>21</v>
      </c>
      <c r="B37" s="18" t="s">
        <v>2956</v>
      </c>
      <c r="C37" s="18" t="s">
        <v>2957</v>
      </c>
      <c r="D37" s="18" t="s">
        <v>2958</v>
      </c>
      <c r="E37" s="23">
        <v>1250000</v>
      </c>
      <c r="F37" s="23">
        <v>800000</v>
      </c>
      <c r="G37" s="23">
        <v>700000</v>
      </c>
      <c r="H37" s="23">
        <v>600000</v>
      </c>
    </row>
    <row r="38" ht="41.4" spans="1:9">
      <c r="A38" s="36">
        <v>22</v>
      </c>
      <c r="B38" s="18" t="s">
        <v>2959</v>
      </c>
      <c r="C38" s="18" t="s">
        <v>2960</v>
      </c>
      <c r="D38" s="18" t="s">
        <v>2961</v>
      </c>
      <c r="E38" s="23">
        <v>1000000</v>
      </c>
      <c r="F38" s="23">
        <v>700000</v>
      </c>
      <c r="G38" s="23">
        <v>600000</v>
      </c>
      <c r="H38" s="23">
        <v>490000</v>
      </c>
    </row>
    <row r="39" ht="27.6" spans="1:9">
      <c r="A39" s="36"/>
      <c r="B39" s="18" t="s">
        <v>2959</v>
      </c>
      <c r="C39" s="18" t="s">
        <v>2962</v>
      </c>
      <c r="D39" s="18" t="s">
        <v>2963</v>
      </c>
      <c r="E39" s="23">
        <v>1250000</v>
      </c>
      <c r="F39" s="23">
        <v>800000</v>
      </c>
      <c r="G39" s="23">
        <v>700000</v>
      </c>
      <c r="H39" s="23">
        <v>600000</v>
      </c>
    </row>
    <row r="40" ht="41.4" spans="1:9">
      <c r="A40" s="36">
        <v>23</v>
      </c>
      <c r="B40" s="18" t="s">
        <v>2964</v>
      </c>
      <c r="C40" s="18" t="s">
        <v>2965</v>
      </c>
      <c r="D40" s="18" t="s">
        <v>2966</v>
      </c>
      <c r="E40" s="23">
        <v>1100000</v>
      </c>
      <c r="F40" s="23">
        <v>750000</v>
      </c>
      <c r="G40" s="23">
        <v>650000</v>
      </c>
      <c r="H40" s="23">
        <v>500000</v>
      </c>
    </row>
    <row r="41" ht="27.6" spans="1:9">
      <c r="A41" s="36">
        <v>24</v>
      </c>
      <c r="B41" s="18" t="s">
        <v>2967</v>
      </c>
      <c r="C41" s="18" t="s">
        <v>2968</v>
      </c>
      <c r="D41" s="18"/>
      <c r="E41" s="23">
        <v>1250000</v>
      </c>
      <c r="F41" s="23">
        <v>800000</v>
      </c>
      <c r="G41" s="23">
        <v>700000</v>
      </c>
      <c r="H41" s="23">
        <v>600000</v>
      </c>
    </row>
    <row r="42" spans="1:9">
      <c r="A42" s="36">
        <v>25</v>
      </c>
      <c r="B42" s="18" t="s">
        <v>2969</v>
      </c>
      <c r="C42" s="18" t="s">
        <v>2970</v>
      </c>
      <c r="D42" s="18" t="s">
        <v>2971</v>
      </c>
      <c r="E42" s="23">
        <v>950000</v>
      </c>
      <c r="F42" s="23">
        <v>650000</v>
      </c>
      <c r="G42" s="23">
        <v>600000</v>
      </c>
      <c r="H42" s="23">
        <v>465000</v>
      </c>
    </row>
    <row r="43" s="30" customFormat="1" ht="14.4" spans="1:9">
      <c r="A43" s="39" t="s">
        <v>136</v>
      </c>
      <c r="B43" s="18"/>
      <c r="C43" s="18"/>
      <c r="D43" s="18"/>
      <c r="E43" s="23"/>
      <c r="F43" s="23"/>
      <c r="G43" s="23"/>
      <c r="H43" s="23"/>
      <c r="I43" s="31"/>
    </row>
    <row r="44" spans="1:9">
      <c r="A44" s="36">
        <v>26</v>
      </c>
      <c r="B44" s="17" t="s">
        <v>137</v>
      </c>
      <c r="C44" s="18"/>
      <c r="D44" s="18"/>
      <c r="E44" s="23">
        <v>950000</v>
      </c>
      <c r="F44" s="23">
        <v>650000</v>
      </c>
      <c r="G44" s="23">
        <v>600000</v>
      </c>
      <c r="H44" s="23">
        <v>465000</v>
      </c>
      <c r="I44" s="31" t="s">
        <v>1068</v>
      </c>
    </row>
    <row r="45" spans="1:9">
      <c r="A45" s="40" t="s">
        <v>205</v>
      </c>
      <c r="B45" s="18"/>
      <c r="C45" s="18"/>
      <c r="D45" s="18"/>
      <c r="E45" s="23" t="s">
        <v>16</v>
      </c>
      <c r="F45" s="23" t="s">
        <v>16</v>
      </c>
      <c r="G45" s="23" t="s">
        <v>16</v>
      </c>
      <c r="H45" s="23" t="s">
        <v>16</v>
      </c>
    </row>
    <row r="46" ht="55.2" spans="1:9">
      <c r="A46" s="36">
        <v>27</v>
      </c>
      <c r="B46" s="18" t="s">
        <v>2972</v>
      </c>
      <c r="C46" s="18"/>
      <c r="D46" s="18"/>
      <c r="E46" s="23">
        <v>1050000</v>
      </c>
      <c r="F46" s="23">
        <v>650000</v>
      </c>
      <c r="G46" s="23">
        <v>445000</v>
      </c>
      <c r="H46" s="23">
        <v>0</v>
      </c>
      <c r="I46" s="31" t="s">
        <v>1854</v>
      </c>
    </row>
    <row r="47" spans="1:9">
      <c r="A47" s="36">
        <v>28</v>
      </c>
      <c r="B47" s="18" t="s">
        <v>2540</v>
      </c>
      <c r="C47" s="18"/>
      <c r="D47" s="18"/>
      <c r="E47" s="23" t="s">
        <v>16</v>
      </c>
      <c r="F47" s="23" t="s">
        <v>16</v>
      </c>
      <c r="G47" s="23" t="s">
        <v>16</v>
      </c>
      <c r="H47" s="23" t="s">
        <v>16</v>
      </c>
    </row>
    <row r="48" ht="41.4" spans="1:9">
      <c r="A48" s="36"/>
      <c r="B48" s="18" t="s">
        <v>2973</v>
      </c>
      <c r="C48" s="18"/>
      <c r="D48" s="18"/>
      <c r="E48" s="23">
        <v>1000000</v>
      </c>
      <c r="F48" s="23">
        <v>600000</v>
      </c>
      <c r="G48" s="23">
        <v>425000</v>
      </c>
      <c r="H48" s="23">
        <v>0</v>
      </c>
    </row>
    <row r="49" ht="55.2" spans="1:9">
      <c r="A49" s="36"/>
      <c r="B49" s="18" t="s">
        <v>2974</v>
      </c>
      <c r="C49" s="18"/>
      <c r="D49" s="18"/>
      <c r="E49" s="23">
        <v>1000000</v>
      </c>
      <c r="F49" s="23">
        <v>500000</v>
      </c>
      <c r="G49" s="23">
        <v>340000</v>
      </c>
      <c r="H49" s="23">
        <v>0</v>
      </c>
    </row>
    <row r="50" ht="69" spans="1:9">
      <c r="A50" s="36">
        <v>29</v>
      </c>
      <c r="B50" s="18" t="s">
        <v>2975</v>
      </c>
      <c r="C50" s="18"/>
      <c r="D50" s="18"/>
      <c r="E50" s="23">
        <v>750000</v>
      </c>
      <c r="F50" s="23">
        <v>445000</v>
      </c>
      <c r="G50" s="23">
        <v>310000</v>
      </c>
      <c r="H50" s="23">
        <v>0</v>
      </c>
    </row>
    <row r="51" ht="41.4" spans="1:9">
      <c r="A51" s="36">
        <v>30</v>
      </c>
      <c r="B51" s="18" t="s">
        <v>2976</v>
      </c>
      <c r="C51" s="18"/>
      <c r="D51" s="18"/>
      <c r="E51" s="23">
        <v>335000</v>
      </c>
      <c r="F51" s="23">
        <v>275000</v>
      </c>
      <c r="G51" s="23">
        <v>230000</v>
      </c>
      <c r="H51" s="23">
        <v>0</v>
      </c>
    </row>
    <row r="52" ht="41.4" spans="1:9">
      <c r="A52" s="36">
        <v>31</v>
      </c>
      <c r="B52" s="18" t="s">
        <v>2977</v>
      </c>
      <c r="C52" s="18"/>
      <c r="D52" s="18"/>
      <c r="E52" s="23">
        <v>335000</v>
      </c>
      <c r="F52" s="23">
        <v>275000</v>
      </c>
      <c r="G52" s="23">
        <v>230000</v>
      </c>
      <c r="H52" s="23">
        <v>0</v>
      </c>
    </row>
    <row r="53" ht="41.4" spans="1:9">
      <c r="A53" s="36">
        <v>32</v>
      </c>
      <c r="B53" s="41" t="s">
        <v>2978</v>
      </c>
      <c r="C53" s="41"/>
      <c r="D53" s="41"/>
      <c r="E53" s="23">
        <v>335000</v>
      </c>
      <c r="F53" s="23">
        <v>275000</v>
      </c>
      <c r="G53" s="23">
        <v>230000</v>
      </c>
      <c r="H53" s="23">
        <v>0</v>
      </c>
    </row>
    <row r="54" ht="55.2" spans="1:9">
      <c r="A54" s="36">
        <v>33</v>
      </c>
      <c r="B54" s="18" t="s">
        <v>2979</v>
      </c>
      <c r="C54" s="18"/>
      <c r="D54" s="18"/>
      <c r="E54" s="23">
        <v>335000</v>
      </c>
      <c r="F54" s="23">
        <v>275000</v>
      </c>
      <c r="G54" s="23">
        <v>230000</v>
      </c>
      <c r="H54" s="23">
        <v>0</v>
      </c>
    </row>
    <row r="55" ht="41.4" spans="1:9">
      <c r="A55" s="36">
        <v>34</v>
      </c>
      <c r="B55" s="18" t="s">
        <v>2980</v>
      </c>
      <c r="C55" s="18"/>
      <c r="D55" s="18"/>
      <c r="E55" s="23">
        <v>1000000</v>
      </c>
      <c r="F55" s="23">
        <v>600000</v>
      </c>
      <c r="G55" s="23">
        <v>430000</v>
      </c>
      <c r="H55" s="23">
        <v>0</v>
      </c>
      <c r="I55" s="31" t="s">
        <v>1854</v>
      </c>
    </row>
    <row r="56" ht="41.4" spans="1:9">
      <c r="A56" s="36">
        <v>35</v>
      </c>
      <c r="B56" s="18" t="s">
        <v>2981</v>
      </c>
      <c r="C56" s="18"/>
      <c r="D56" s="18"/>
      <c r="E56" s="23">
        <v>950000</v>
      </c>
      <c r="F56" s="23">
        <v>600000</v>
      </c>
      <c r="G56" s="23">
        <v>405000</v>
      </c>
      <c r="H56" s="23">
        <v>0</v>
      </c>
    </row>
    <row r="57" ht="55.2" spans="1:9">
      <c r="A57" s="36">
        <v>36</v>
      </c>
      <c r="B57" s="18" t="s">
        <v>2982</v>
      </c>
      <c r="C57" s="18"/>
      <c r="D57" s="18"/>
      <c r="E57" s="23">
        <v>400000</v>
      </c>
      <c r="F57" s="23">
        <v>235000</v>
      </c>
      <c r="G57" s="23">
        <v>175000</v>
      </c>
      <c r="H57" s="23">
        <v>0</v>
      </c>
    </row>
    <row r="58" spans="1:9">
      <c r="A58" s="36">
        <v>37</v>
      </c>
      <c r="B58" s="18" t="s">
        <v>2983</v>
      </c>
      <c r="C58" s="18"/>
      <c r="D58" s="18"/>
      <c r="E58" s="23" t="s">
        <v>16</v>
      </c>
      <c r="F58" s="23" t="s">
        <v>16</v>
      </c>
      <c r="G58" s="23" t="s">
        <v>16</v>
      </c>
      <c r="H58" s="23" t="s">
        <v>16</v>
      </c>
    </row>
    <row r="59" ht="41.4" spans="1:9">
      <c r="A59" s="36"/>
      <c r="B59" s="18" t="s">
        <v>2984</v>
      </c>
      <c r="C59" s="18"/>
      <c r="D59" s="18"/>
      <c r="E59" s="23">
        <v>400000</v>
      </c>
      <c r="F59" s="23">
        <v>235000</v>
      </c>
      <c r="G59" s="23">
        <v>175000</v>
      </c>
      <c r="H59" s="23">
        <v>0</v>
      </c>
    </row>
    <row r="60" ht="41.4" spans="1:9">
      <c r="A60" s="36"/>
      <c r="B60" s="18" t="s">
        <v>2985</v>
      </c>
      <c r="C60" s="18"/>
      <c r="D60" s="18"/>
      <c r="E60" s="23">
        <v>440000</v>
      </c>
      <c r="F60" s="23">
        <v>255000</v>
      </c>
      <c r="G60" s="23">
        <v>185000</v>
      </c>
      <c r="H60" s="23">
        <v>0</v>
      </c>
    </row>
    <row r="61" ht="69" spans="1:9">
      <c r="A61" s="36"/>
      <c r="B61" s="18" t="s">
        <v>2986</v>
      </c>
      <c r="C61" s="18"/>
      <c r="D61" s="18"/>
      <c r="E61" s="23">
        <v>480000</v>
      </c>
      <c r="F61" s="23">
        <v>285000</v>
      </c>
      <c r="G61" s="23">
        <v>200000</v>
      </c>
      <c r="H61" s="23">
        <v>0</v>
      </c>
    </row>
    <row r="62" ht="41.4" spans="1:9">
      <c r="A62" s="36">
        <v>38</v>
      </c>
      <c r="B62" s="18" t="s">
        <v>2987</v>
      </c>
      <c r="C62" s="18"/>
      <c r="D62" s="18"/>
      <c r="E62" s="23">
        <v>400000</v>
      </c>
      <c r="F62" s="23">
        <v>235000</v>
      </c>
      <c r="G62" s="23">
        <v>175000</v>
      </c>
      <c r="H62" s="23">
        <v>0</v>
      </c>
    </row>
    <row r="63" ht="55.2" spans="1:9">
      <c r="A63" s="36">
        <v>39</v>
      </c>
      <c r="B63" s="18" t="s">
        <v>2988</v>
      </c>
      <c r="C63" s="18"/>
      <c r="D63" s="18"/>
      <c r="E63" s="23">
        <v>400000</v>
      </c>
      <c r="F63" s="23">
        <v>235000</v>
      </c>
      <c r="G63" s="23">
        <v>175000</v>
      </c>
      <c r="H63" s="23">
        <v>0</v>
      </c>
    </row>
    <row r="64" ht="55.2" spans="1:9">
      <c r="A64" s="36">
        <v>40</v>
      </c>
      <c r="B64" s="18" t="s">
        <v>2989</v>
      </c>
      <c r="C64" s="18"/>
      <c r="D64" s="18"/>
      <c r="E64" s="23">
        <v>400000</v>
      </c>
      <c r="F64" s="23">
        <v>235000</v>
      </c>
      <c r="G64" s="23">
        <v>175000</v>
      </c>
      <c r="H64" s="23">
        <v>0</v>
      </c>
    </row>
    <row r="65" spans="1:9">
      <c r="A65" s="40" t="s">
        <v>217</v>
      </c>
      <c r="B65" s="20"/>
      <c r="C65" s="18"/>
      <c r="D65" s="18"/>
      <c r="E65" s="23" t="s">
        <v>16</v>
      </c>
      <c r="F65" s="23" t="s">
        <v>16</v>
      </c>
      <c r="G65" s="23" t="s">
        <v>16</v>
      </c>
      <c r="H65" s="23" t="s">
        <v>16</v>
      </c>
    </row>
    <row r="66" ht="400.2" spans="1:9">
      <c r="A66" s="36">
        <v>41</v>
      </c>
      <c r="B66" s="20" t="s">
        <v>2990</v>
      </c>
      <c r="C66" s="18"/>
      <c r="D66" s="18"/>
      <c r="E66" s="23">
        <v>285000</v>
      </c>
      <c r="F66" s="23">
        <v>200000</v>
      </c>
      <c r="G66" s="23">
        <v>0</v>
      </c>
      <c r="H66" s="23">
        <v>0</v>
      </c>
    </row>
    <row r="67" ht="331.2" spans="1:9">
      <c r="A67" s="36">
        <v>42</v>
      </c>
      <c r="B67" s="20" t="s">
        <v>2991</v>
      </c>
      <c r="C67" s="18"/>
      <c r="D67" s="18"/>
      <c r="E67" s="23">
        <v>200000</v>
      </c>
      <c r="F67" s="23">
        <v>150000</v>
      </c>
      <c r="G67" s="23">
        <v>0</v>
      </c>
      <c r="H67" s="23">
        <v>0</v>
      </c>
      <c r="I67" s="31" t="s">
        <v>1854</v>
      </c>
    </row>
    <row r="68" spans="1:9">
      <c r="A68" s="20"/>
      <c r="B68" s="20"/>
      <c r="C68" s="18"/>
      <c r="D68" s="18"/>
      <c r="E68" s="23" t="s">
        <v>16</v>
      </c>
      <c r="F68" s="23" t="s">
        <v>16</v>
      </c>
      <c r="G68" s="23" t="s">
        <v>16</v>
      </c>
      <c r="H68" s="23" t="s">
        <v>16</v>
      </c>
    </row>
    <row r="69" spans="1:9">
      <c r="A69" s="20"/>
      <c r="B69" s="20"/>
      <c r="C69" s="18"/>
      <c r="D69" s="18"/>
      <c r="E69" s="23" t="s">
        <v>16</v>
      </c>
      <c r="F69" s="23" t="s">
        <v>16</v>
      </c>
      <c r="G69" s="23" t="s">
        <v>16</v>
      </c>
      <c r="H69" s="23" t="s">
        <v>16</v>
      </c>
    </row>
    <row r="70" spans="1:9">
      <c r="A70" s="20"/>
      <c r="B70" s="20"/>
      <c r="C70" s="18"/>
      <c r="D70" s="18"/>
      <c r="E70" s="23" t="s">
        <v>16</v>
      </c>
      <c r="F70" s="23" t="s">
        <v>16</v>
      </c>
      <c r="G70" s="23" t="s">
        <v>16</v>
      </c>
      <c r="H70" s="23" t="s">
        <v>16</v>
      </c>
    </row>
    <row r="71" spans="1:9">
      <c r="A71" s="20"/>
      <c r="B71" s="20"/>
      <c r="C71" s="18"/>
      <c r="D71" s="18"/>
      <c r="E71" s="23" t="s">
        <v>16</v>
      </c>
      <c r="F71" s="23" t="s">
        <v>16</v>
      </c>
      <c r="G71" s="23" t="s">
        <v>16</v>
      </c>
      <c r="H71" s="23" t="s">
        <v>16</v>
      </c>
    </row>
    <row r="72" spans="1:9">
      <c r="A72" s="20"/>
      <c r="B72" s="20"/>
      <c r="C72" s="18"/>
      <c r="D72" s="18"/>
      <c r="E72" s="23" t="s">
        <v>16</v>
      </c>
      <c r="F72" s="23" t="s">
        <v>16</v>
      </c>
      <c r="G72" s="23" t="s">
        <v>16</v>
      </c>
      <c r="H72" s="23" t="s">
        <v>16</v>
      </c>
    </row>
    <row r="73" spans="1:9">
      <c r="A73" s="20"/>
      <c r="B73" s="20"/>
      <c r="C73" s="18"/>
      <c r="D73" s="18"/>
      <c r="E73" s="23" t="s">
        <v>16</v>
      </c>
      <c r="F73" s="23" t="s">
        <v>16</v>
      </c>
      <c r="G73" s="23" t="s">
        <v>16</v>
      </c>
      <c r="H73" s="23" t="s">
        <v>16</v>
      </c>
    </row>
    <row r="74" spans="1:9">
      <c r="A74" s="20"/>
      <c r="B74" s="20"/>
      <c r="C74" s="18"/>
      <c r="D74" s="18"/>
      <c r="E74" s="23" t="s">
        <v>16</v>
      </c>
      <c r="F74" s="23" t="s">
        <v>16</v>
      </c>
      <c r="G74" s="23" t="s">
        <v>16</v>
      </c>
      <c r="H74" s="23" t="s">
        <v>16</v>
      </c>
    </row>
    <row r="75" spans="1:9">
      <c r="A75" s="20"/>
      <c r="B75" s="20"/>
      <c r="C75" s="18"/>
      <c r="D75" s="18"/>
      <c r="E75" s="23" t="s">
        <v>16</v>
      </c>
      <c r="F75" s="23" t="s">
        <v>16</v>
      </c>
      <c r="G75" s="23" t="s">
        <v>16</v>
      </c>
      <c r="H75" s="23" t="s">
        <v>16</v>
      </c>
    </row>
    <row r="76" spans="1:9">
      <c r="A76" s="20"/>
      <c r="B76" s="20"/>
      <c r="C76" s="18"/>
      <c r="D76" s="18"/>
      <c r="E76" s="23" t="s">
        <v>16</v>
      </c>
      <c r="F76" s="23" t="s">
        <v>16</v>
      </c>
      <c r="G76" s="23" t="s">
        <v>16</v>
      </c>
      <c r="H76" s="23" t="s">
        <v>16</v>
      </c>
    </row>
    <row r="77" spans="1:9">
      <c r="A77" s="20"/>
      <c r="B77" s="20"/>
      <c r="C77" s="18"/>
      <c r="D77" s="18"/>
      <c r="E77" s="23" t="s">
        <v>16</v>
      </c>
      <c r="F77" s="23" t="s">
        <v>16</v>
      </c>
      <c r="G77" s="23" t="s">
        <v>16</v>
      </c>
      <c r="H77" s="23" t="s">
        <v>16</v>
      </c>
    </row>
    <row r="78" spans="1:9">
      <c r="A78" s="20"/>
      <c r="B78" s="20"/>
      <c r="C78" s="18"/>
      <c r="D78" s="18"/>
      <c r="E78" s="23" t="s">
        <v>16</v>
      </c>
      <c r="F78" s="23" t="s">
        <v>16</v>
      </c>
      <c r="G78" s="23" t="s">
        <v>16</v>
      </c>
      <c r="H78" s="23" t="s">
        <v>16</v>
      </c>
    </row>
    <row r="79" spans="1:9">
      <c r="A79" s="20"/>
      <c r="B79" s="20"/>
      <c r="C79" s="18"/>
      <c r="D79" s="18"/>
      <c r="E79" s="23" t="s">
        <v>16</v>
      </c>
      <c r="F79" s="23" t="s">
        <v>16</v>
      </c>
      <c r="G79" s="23" t="s">
        <v>16</v>
      </c>
      <c r="H79" s="23" t="s">
        <v>16</v>
      </c>
    </row>
    <row r="80" spans="1:9">
      <c r="A80" s="20"/>
      <c r="B80" s="20"/>
      <c r="C80" s="18"/>
      <c r="D80" s="18"/>
      <c r="E80" s="23" t="s">
        <v>16</v>
      </c>
      <c r="F80" s="23" t="s">
        <v>16</v>
      </c>
      <c r="G80" s="23" t="s">
        <v>16</v>
      </c>
      <c r="H80" s="23" t="s">
        <v>16</v>
      </c>
    </row>
    <row r="81" spans="1:8">
      <c r="A81" s="20"/>
      <c r="B81" s="42"/>
      <c r="C81" s="43"/>
      <c r="D81" s="43"/>
      <c r="E81" s="23" t="s">
        <v>16</v>
      </c>
      <c r="F81" s="23" t="s">
        <v>16</v>
      </c>
      <c r="G81" s="23" t="s">
        <v>16</v>
      </c>
      <c r="H81" s="23" t="s">
        <v>16</v>
      </c>
    </row>
    <row r="82" spans="1:8">
      <c r="A82" s="20"/>
      <c r="B82" s="20"/>
      <c r="C82" s="18"/>
      <c r="D82" s="18"/>
      <c r="E82" s="23" t="s">
        <v>16</v>
      </c>
      <c r="F82" s="23" t="s">
        <v>16</v>
      </c>
      <c r="G82" s="23" t="s">
        <v>16</v>
      </c>
      <c r="H82" s="23" t="s">
        <v>16</v>
      </c>
    </row>
    <row r="83" spans="1:8">
      <c r="A83" s="20"/>
      <c r="B83" s="20"/>
      <c r="C83" s="18"/>
      <c r="D83" s="18"/>
      <c r="E83" s="23" t="s">
        <v>16</v>
      </c>
      <c r="F83" s="23" t="s">
        <v>16</v>
      </c>
      <c r="G83" s="23" t="s">
        <v>16</v>
      </c>
      <c r="H83" s="23" t="s">
        <v>16</v>
      </c>
    </row>
    <row r="84" spans="1:8">
      <c r="A84" s="20"/>
      <c r="B84" s="20"/>
      <c r="C84" s="18"/>
      <c r="D84" s="18"/>
      <c r="E84" s="23" t="s">
        <v>16</v>
      </c>
      <c r="F84" s="23" t="s">
        <v>16</v>
      </c>
      <c r="G84" s="23" t="s">
        <v>16</v>
      </c>
      <c r="H84" s="23" t="s">
        <v>16</v>
      </c>
    </row>
    <row r="85" spans="1:8">
      <c r="A85" s="27"/>
      <c r="C85" s="28"/>
      <c r="D85" s="28"/>
      <c r="E85" s="23" t="s">
        <v>16</v>
      </c>
      <c r="F85" s="23" t="s">
        <v>16</v>
      </c>
      <c r="G85" s="23" t="s">
        <v>16</v>
      </c>
      <c r="H85" s="23" t="s">
        <v>16</v>
      </c>
    </row>
    <row r="86" spans="1:8">
      <c r="A86" s="27"/>
      <c r="C86" s="28"/>
      <c r="D86" s="28"/>
      <c r="E86" s="23" t="s">
        <v>16</v>
      </c>
      <c r="F86" s="23" t="s">
        <v>16</v>
      </c>
      <c r="G86" s="23" t="s">
        <v>16</v>
      </c>
      <c r="H86" s="23" t="s">
        <v>16</v>
      </c>
    </row>
    <row r="87" spans="1:8">
      <c r="A87" s="27"/>
      <c r="C87" s="28"/>
      <c r="D87" s="28"/>
      <c r="E87" s="23" t="s">
        <v>16</v>
      </c>
      <c r="F87" s="23" t="s">
        <v>16</v>
      </c>
      <c r="G87" s="23" t="s">
        <v>16</v>
      </c>
      <c r="H87" s="23" t="s">
        <v>16</v>
      </c>
    </row>
    <row r="88" spans="1:8">
      <c r="A88" s="27"/>
      <c r="C88" s="28"/>
      <c r="D88" s="28"/>
      <c r="E88" s="23" t="s">
        <v>16</v>
      </c>
      <c r="F88" s="23" t="s">
        <v>16</v>
      </c>
      <c r="G88" s="23" t="s">
        <v>16</v>
      </c>
      <c r="H88" s="23" t="s">
        <v>16</v>
      </c>
    </row>
    <row r="89" spans="1:8">
      <c r="A89" s="27"/>
      <c r="C89" s="28"/>
      <c r="D89" s="28"/>
      <c r="E89" s="23" t="s">
        <v>16</v>
      </c>
      <c r="F89" s="23" t="s">
        <v>16</v>
      </c>
      <c r="G89" s="23" t="s">
        <v>16</v>
      </c>
      <c r="H89" s="23" t="s">
        <v>16</v>
      </c>
    </row>
    <row r="90" spans="1:8">
      <c r="A90" s="27"/>
      <c r="C90" s="28"/>
      <c r="D90" s="28"/>
      <c r="E90" s="23" t="s">
        <v>16</v>
      </c>
      <c r="F90" s="23" t="s">
        <v>16</v>
      </c>
      <c r="G90" s="23" t="s">
        <v>16</v>
      </c>
      <c r="H90" s="23" t="s">
        <v>16</v>
      </c>
    </row>
    <row r="91" spans="1:8">
      <c r="A91" s="27"/>
      <c r="C91" s="28"/>
      <c r="D91" s="28"/>
      <c r="E91" s="23" t="s">
        <v>16</v>
      </c>
      <c r="F91" s="23" t="s">
        <v>16</v>
      </c>
      <c r="G91" s="23" t="s">
        <v>16</v>
      </c>
      <c r="H91" s="23" t="s">
        <v>16</v>
      </c>
    </row>
    <row r="92" spans="1:8">
      <c r="A92" s="27"/>
      <c r="C92" s="28"/>
      <c r="D92" s="28"/>
      <c r="E92" s="23" t="s">
        <v>16</v>
      </c>
      <c r="F92" s="23" t="s">
        <v>16</v>
      </c>
      <c r="G92" s="23" t="s">
        <v>16</v>
      </c>
      <c r="H92" s="23" t="s">
        <v>16</v>
      </c>
    </row>
    <row r="93" spans="1:8">
      <c r="A93" s="27"/>
      <c r="C93" s="28"/>
      <c r="D93" s="28"/>
      <c r="E93" s="23" t="s">
        <v>16</v>
      </c>
      <c r="F93" s="23" t="s">
        <v>16</v>
      </c>
      <c r="G93" s="23" t="s">
        <v>16</v>
      </c>
      <c r="H93" s="23" t="s">
        <v>16</v>
      </c>
    </row>
    <row r="94" spans="1:8">
      <c r="A94" s="27"/>
      <c r="C94" s="28"/>
      <c r="D94" s="28"/>
      <c r="E94" s="23" t="s">
        <v>16</v>
      </c>
      <c r="F94" s="23" t="s">
        <v>16</v>
      </c>
      <c r="G94" s="23" t="s">
        <v>16</v>
      </c>
      <c r="H94" s="23" t="s">
        <v>16</v>
      </c>
    </row>
    <row r="95" spans="1:8">
      <c r="A95" s="27"/>
      <c r="C95" s="28"/>
      <c r="D95" s="28"/>
      <c r="E95" s="23" t="s">
        <v>16</v>
      </c>
      <c r="F95" s="23" t="s">
        <v>16</v>
      </c>
      <c r="G95" s="23" t="s">
        <v>16</v>
      </c>
      <c r="H95" s="23" t="s">
        <v>16</v>
      </c>
    </row>
    <row r="96" spans="1:8">
      <c r="A96" s="27"/>
      <c r="C96" s="28"/>
      <c r="D96" s="28"/>
      <c r="E96" s="23" t="s">
        <v>16</v>
      </c>
      <c r="F96" s="23" t="s">
        <v>16</v>
      </c>
      <c r="G96" s="23" t="s">
        <v>16</v>
      </c>
      <c r="H96" s="23" t="s">
        <v>16</v>
      </c>
    </row>
    <row r="97" spans="1:8">
      <c r="A97" s="27"/>
      <c r="C97" s="28"/>
      <c r="D97" s="28"/>
      <c r="E97" s="23" t="s">
        <v>16</v>
      </c>
      <c r="F97" s="23" t="s">
        <v>16</v>
      </c>
      <c r="G97" s="23" t="s">
        <v>16</v>
      </c>
      <c r="H97" s="23" t="s">
        <v>16</v>
      </c>
    </row>
    <row r="98" spans="1:8">
      <c r="A98" s="27"/>
      <c r="C98" s="28"/>
      <c r="D98" s="28"/>
      <c r="E98" s="23" t="s">
        <v>16</v>
      </c>
      <c r="F98" s="23" t="s">
        <v>16</v>
      </c>
      <c r="G98" s="23" t="s">
        <v>16</v>
      </c>
      <c r="H98" s="23" t="s">
        <v>16</v>
      </c>
    </row>
    <row r="99" spans="1:8">
      <c r="A99" s="27"/>
      <c r="C99" s="28"/>
      <c r="D99" s="28"/>
      <c r="E99" s="23" t="s">
        <v>16</v>
      </c>
      <c r="F99" s="23" t="s">
        <v>16</v>
      </c>
      <c r="G99" s="23" t="s">
        <v>16</v>
      </c>
      <c r="H99" s="23" t="s">
        <v>16</v>
      </c>
    </row>
    <row r="100" spans="1:8">
      <c r="A100" s="27"/>
      <c r="C100" s="28"/>
      <c r="D100" s="28"/>
      <c r="E100" s="23" t="s">
        <v>16</v>
      </c>
      <c r="F100" s="23" t="s">
        <v>16</v>
      </c>
      <c r="G100" s="23" t="s">
        <v>16</v>
      </c>
      <c r="H100" s="23" t="s">
        <v>16</v>
      </c>
    </row>
    <row r="101" spans="1:8">
      <c r="A101" s="27"/>
      <c r="C101" s="28"/>
      <c r="D101" s="28"/>
      <c r="E101" s="23" t="s">
        <v>16</v>
      </c>
      <c r="F101" s="23" t="s">
        <v>16</v>
      </c>
      <c r="G101" s="23" t="s">
        <v>16</v>
      </c>
      <c r="H101" s="23" t="s">
        <v>16</v>
      </c>
    </row>
    <row r="102" spans="1:8">
      <c r="A102" s="27"/>
      <c r="C102" s="28"/>
      <c r="D102" s="28"/>
      <c r="E102" s="23" t="s">
        <v>16</v>
      </c>
      <c r="F102" s="23" t="s">
        <v>16</v>
      </c>
      <c r="G102" s="23" t="s">
        <v>16</v>
      </c>
      <c r="H102" s="23" t="s">
        <v>16</v>
      </c>
    </row>
    <row r="103" spans="1:8">
      <c r="A103" s="27"/>
      <c r="C103" s="28"/>
      <c r="D103" s="28"/>
      <c r="E103" s="23" t="s">
        <v>16</v>
      </c>
      <c r="F103" s="23" t="s">
        <v>16</v>
      </c>
      <c r="G103" s="23" t="s">
        <v>16</v>
      </c>
      <c r="H103" s="23" t="s">
        <v>16</v>
      </c>
    </row>
    <row r="104" spans="1:8">
      <c r="A104" s="27"/>
      <c r="C104" s="28"/>
      <c r="D104" s="28"/>
      <c r="E104" s="23" t="s">
        <v>16</v>
      </c>
      <c r="F104" s="23" t="s">
        <v>16</v>
      </c>
      <c r="G104" s="23" t="s">
        <v>16</v>
      </c>
      <c r="H104" s="23" t="s">
        <v>16</v>
      </c>
    </row>
    <row r="105" spans="1:8">
      <c r="A105" s="27"/>
      <c r="C105" s="28"/>
      <c r="D105" s="28"/>
      <c r="E105" s="23" t="s">
        <v>16</v>
      </c>
      <c r="F105" s="23" t="s">
        <v>16</v>
      </c>
      <c r="G105" s="23" t="s">
        <v>16</v>
      </c>
      <c r="H105" s="23" t="s">
        <v>16</v>
      </c>
    </row>
    <row r="106" spans="1:8">
      <c r="A106" s="27"/>
      <c r="C106" s="28"/>
      <c r="D106" s="28"/>
      <c r="E106" s="23" t="s">
        <v>16</v>
      </c>
      <c r="F106" s="23" t="s">
        <v>16</v>
      </c>
      <c r="G106" s="23" t="s">
        <v>16</v>
      </c>
      <c r="H106" s="23" t="s">
        <v>16</v>
      </c>
    </row>
    <row r="107" spans="1:8">
      <c r="A107" s="27"/>
      <c r="C107" s="28"/>
      <c r="D107" s="28"/>
      <c r="E107" s="23" t="s">
        <v>16</v>
      </c>
      <c r="F107" s="23" t="s">
        <v>16</v>
      </c>
      <c r="G107" s="23" t="s">
        <v>16</v>
      </c>
      <c r="H107" s="23" t="s">
        <v>16</v>
      </c>
    </row>
    <row r="108" spans="1:8">
      <c r="A108" s="27"/>
      <c r="C108" s="28"/>
      <c r="D108" s="28"/>
      <c r="E108" s="23" t="s">
        <v>16</v>
      </c>
      <c r="F108" s="23" t="s">
        <v>16</v>
      </c>
      <c r="G108" s="23" t="s">
        <v>16</v>
      </c>
      <c r="H108" s="23" t="s">
        <v>16</v>
      </c>
    </row>
    <row r="109" spans="1:8">
      <c r="A109" s="27"/>
      <c r="C109" s="28"/>
      <c r="D109" s="28"/>
      <c r="E109" s="23" t="s">
        <v>16</v>
      </c>
      <c r="F109" s="23" t="s">
        <v>16</v>
      </c>
      <c r="G109" s="23" t="s">
        <v>16</v>
      </c>
      <c r="H109" s="23" t="s">
        <v>16</v>
      </c>
    </row>
    <row r="110" spans="1:8">
      <c r="A110" s="27"/>
      <c r="C110" s="28"/>
      <c r="D110" s="28"/>
      <c r="E110" s="23" t="s">
        <v>16</v>
      </c>
      <c r="F110" s="23" t="s">
        <v>16</v>
      </c>
      <c r="G110" s="23" t="s">
        <v>16</v>
      </c>
      <c r="H110" s="23" t="s">
        <v>16</v>
      </c>
    </row>
    <row r="111" spans="1:8">
      <c r="A111" s="27"/>
      <c r="C111" s="28"/>
      <c r="D111" s="28"/>
      <c r="E111" s="23" t="s">
        <v>16</v>
      </c>
      <c r="F111" s="23" t="s">
        <v>16</v>
      </c>
      <c r="G111" s="23" t="s">
        <v>16</v>
      </c>
      <c r="H111" s="23" t="s">
        <v>16</v>
      </c>
    </row>
    <row r="112" spans="1:8">
      <c r="A112" s="27"/>
      <c r="C112" s="28"/>
      <c r="D112" s="28"/>
      <c r="E112" s="23" t="s">
        <v>16</v>
      </c>
      <c r="F112" s="23" t="s">
        <v>16</v>
      </c>
      <c r="G112" s="23" t="s">
        <v>16</v>
      </c>
      <c r="H112" s="23" t="s">
        <v>16</v>
      </c>
    </row>
    <row r="113" spans="1:8">
      <c r="A113" s="27"/>
      <c r="C113" s="28"/>
      <c r="D113" s="28"/>
      <c r="E113" s="23" t="s">
        <v>16</v>
      </c>
      <c r="F113" s="23" t="s">
        <v>16</v>
      </c>
      <c r="G113" s="23" t="s">
        <v>16</v>
      </c>
      <c r="H113" s="23" t="s">
        <v>16</v>
      </c>
    </row>
    <row r="114" spans="1:8">
      <c r="A114" s="27"/>
      <c r="C114" s="28"/>
      <c r="D114" s="28"/>
      <c r="E114" s="23" t="s">
        <v>16</v>
      </c>
      <c r="F114" s="23" t="s">
        <v>16</v>
      </c>
      <c r="G114" s="23" t="s">
        <v>16</v>
      </c>
      <c r="H114" s="23" t="s">
        <v>16</v>
      </c>
    </row>
    <row r="115" spans="1:8">
      <c r="A115" s="27"/>
      <c r="C115" s="28"/>
      <c r="D115" s="28"/>
      <c r="E115" s="23" t="s">
        <v>16</v>
      </c>
      <c r="F115" s="23" t="s">
        <v>16</v>
      </c>
      <c r="G115" s="23" t="s">
        <v>16</v>
      </c>
      <c r="H115" s="23" t="s">
        <v>16</v>
      </c>
    </row>
    <row r="116" spans="1:8">
      <c r="A116" s="27"/>
      <c r="C116" s="28"/>
      <c r="D116" s="28"/>
      <c r="E116" s="23" t="s">
        <v>16</v>
      </c>
      <c r="F116" s="23" t="s">
        <v>16</v>
      </c>
      <c r="G116" s="23" t="s">
        <v>16</v>
      </c>
      <c r="H116" s="23" t="s">
        <v>16</v>
      </c>
    </row>
    <row r="117" spans="1:8">
      <c r="A117" s="27"/>
      <c r="C117" s="28"/>
      <c r="D117" s="28"/>
      <c r="E117" s="23" t="s">
        <v>16</v>
      </c>
      <c r="F117" s="23" t="s">
        <v>16</v>
      </c>
      <c r="G117" s="23" t="s">
        <v>16</v>
      </c>
      <c r="H117" s="23" t="s">
        <v>16</v>
      </c>
    </row>
    <row r="118" spans="1:8">
      <c r="A118" s="27"/>
      <c r="C118" s="28"/>
      <c r="D118" s="28"/>
      <c r="E118" s="23" t="s">
        <v>16</v>
      </c>
      <c r="F118" s="23" t="s">
        <v>16</v>
      </c>
      <c r="G118" s="23" t="s">
        <v>16</v>
      </c>
      <c r="H118" s="23" t="s">
        <v>16</v>
      </c>
    </row>
    <row r="119" spans="1:8">
      <c r="A119" s="27"/>
      <c r="C119" s="28"/>
      <c r="D119" s="28"/>
      <c r="E119" s="23" t="s">
        <v>16</v>
      </c>
      <c r="F119" s="23" t="s">
        <v>16</v>
      </c>
      <c r="G119" s="23" t="s">
        <v>16</v>
      </c>
      <c r="H119" s="23" t="s">
        <v>16</v>
      </c>
    </row>
    <row r="120" spans="1:8">
      <c r="A120" s="27"/>
      <c r="C120" s="28"/>
      <c r="D120" s="28"/>
      <c r="E120" s="23" t="s">
        <v>16</v>
      </c>
      <c r="F120" s="23" t="s">
        <v>16</v>
      </c>
      <c r="G120" s="23" t="s">
        <v>16</v>
      </c>
      <c r="H120" s="23" t="s">
        <v>16</v>
      </c>
    </row>
    <row r="121" spans="1:8">
      <c r="A121" s="27"/>
      <c r="C121" s="28"/>
      <c r="D121" s="28"/>
      <c r="E121" s="23" t="s">
        <v>16</v>
      </c>
      <c r="F121" s="23" t="s">
        <v>16</v>
      </c>
      <c r="G121" s="23" t="s">
        <v>16</v>
      </c>
      <c r="H121" s="23" t="s">
        <v>16</v>
      </c>
    </row>
    <row r="122" spans="1:8">
      <c r="A122" s="27"/>
      <c r="C122" s="28"/>
      <c r="D122" s="28"/>
      <c r="E122" s="23" t="s">
        <v>16</v>
      </c>
      <c r="F122" s="23" t="s">
        <v>16</v>
      </c>
      <c r="G122" s="23" t="s">
        <v>16</v>
      </c>
      <c r="H122" s="23" t="s">
        <v>16</v>
      </c>
    </row>
    <row r="123" spans="1:8">
      <c r="A123" s="27"/>
      <c r="C123" s="28"/>
      <c r="D123" s="28"/>
      <c r="E123" s="23" t="s">
        <v>16</v>
      </c>
      <c r="F123" s="23" t="s">
        <v>16</v>
      </c>
      <c r="G123" s="23" t="s">
        <v>16</v>
      </c>
      <c r="H123" s="23" t="s">
        <v>16</v>
      </c>
    </row>
    <row r="124" spans="1:8">
      <c r="A124" s="27"/>
      <c r="C124" s="28"/>
      <c r="D124" s="28"/>
      <c r="E124" s="23" t="s">
        <v>16</v>
      </c>
      <c r="F124" s="23" t="s">
        <v>16</v>
      </c>
      <c r="G124" s="23" t="s">
        <v>16</v>
      </c>
      <c r="H124" s="23" t="s">
        <v>16</v>
      </c>
    </row>
    <row r="125" spans="1:8">
      <c r="A125" s="27"/>
      <c r="C125" s="28"/>
      <c r="D125" s="28"/>
      <c r="E125" s="23" t="s">
        <v>16</v>
      </c>
      <c r="F125" s="23" t="s">
        <v>16</v>
      </c>
      <c r="G125" s="23" t="s">
        <v>16</v>
      </c>
      <c r="H125" s="23" t="s">
        <v>16</v>
      </c>
    </row>
    <row r="126" spans="1:8">
      <c r="A126" s="27"/>
      <c r="C126" s="28"/>
      <c r="D126" s="28"/>
      <c r="E126" s="23" t="s">
        <v>16</v>
      </c>
      <c r="F126" s="23" t="s">
        <v>16</v>
      </c>
      <c r="G126" s="23" t="s">
        <v>16</v>
      </c>
      <c r="H126" s="23" t="s">
        <v>16</v>
      </c>
    </row>
    <row r="127" spans="1:8">
      <c r="A127" s="27"/>
      <c r="C127" s="28"/>
      <c r="D127" s="28"/>
      <c r="E127" s="23" t="s">
        <v>16</v>
      </c>
      <c r="F127" s="23" t="s">
        <v>16</v>
      </c>
      <c r="G127" s="23" t="s">
        <v>16</v>
      </c>
      <c r="H127" s="23" t="s">
        <v>16</v>
      </c>
    </row>
    <row r="128" spans="1:8">
      <c r="A128" s="27"/>
      <c r="C128" s="28"/>
      <c r="D128" s="28"/>
      <c r="E128" s="23" t="s">
        <v>16</v>
      </c>
      <c r="F128" s="23" t="s">
        <v>16</v>
      </c>
      <c r="G128" s="23" t="s">
        <v>16</v>
      </c>
      <c r="H128" s="23" t="s">
        <v>16</v>
      </c>
    </row>
    <row r="129" spans="1:8">
      <c r="A129" s="27"/>
      <c r="C129" s="28"/>
      <c r="D129" s="28"/>
      <c r="E129" s="23" t="s">
        <v>16</v>
      </c>
      <c r="F129" s="23" t="s">
        <v>16</v>
      </c>
      <c r="G129" s="23" t="s">
        <v>16</v>
      </c>
      <c r="H129" s="23" t="s">
        <v>16</v>
      </c>
    </row>
    <row r="130" spans="1:8">
      <c r="A130" s="27"/>
      <c r="C130" s="28"/>
      <c r="D130" s="28"/>
      <c r="E130" s="23" t="s">
        <v>16</v>
      </c>
      <c r="F130" s="23" t="s">
        <v>16</v>
      </c>
      <c r="G130" s="23" t="s">
        <v>16</v>
      </c>
      <c r="H130" s="23" t="s">
        <v>16</v>
      </c>
    </row>
    <row r="131" spans="1:8">
      <c r="A131" s="27"/>
      <c r="C131" s="28"/>
      <c r="D131" s="28"/>
      <c r="E131" s="23" t="s">
        <v>16</v>
      </c>
      <c r="F131" s="23" t="s">
        <v>16</v>
      </c>
      <c r="G131" s="23" t="s">
        <v>16</v>
      </c>
      <c r="H131" s="23" t="s">
        <v>16</v>
      </c>
    </row>
    <row r="132" spans="1:8">
      <c r="A132" s="27"/>
      <c r="C132" s="28"/>
      <c r="D132" s="28"/>
      <c r="E132" s="23" t="s">
        <v>16</v>
      </c>
      <c r="F132" s="23" t="s">
        <v>16</v>
      </c>
      <c r="G132" s="23" t="s">
        <v>16</v>
      </c>
      <c r="H132" s="23" t="s">
        <v>16</v>
      </c>
    </row>
    <row r="133" spans="1:8">
      <c r="A133" s="27"/>
      <c r="C133" s="28"/>
      <c r="D133" s="28"/>
      <c r="E133" s="23" t="s">
        <v>16</v>
      </c>
      <c r="F133" s="23" t="s">
        <v>16</v>
      </c>
      <c r="G133" s="23" t="s">
        <v>16</v>
      </c>
      <c r="H133" s="23" t="s">
        <v>16</v>
      </c>
    </row>
    <row r="134" spans="1:8">
      <c r="A134" s="27"/>
      <c r="C134" s="28"/>
      <c r="D134" s="28"/>
      <c r="E134" s="23" t="s">
        <v>16</v>
      </c>
      <c r="F134" s="23" t="s">
        <v>16</v>
      </c>
      <c r="G134" s="23" t="s">
        <v>16</v>
      </c>
      <c r="H134" s="23" t="s">
        <v>16</v>
      </c>
    </row>
    <row r="135" spans="1:8">
      <c r="A135" s="27"/>
      <c r="C135" s="28"/>
      <c r="D135" s="28"/>
      <c r="E135" s="23" t="s">
        <v>16</v>
      </c>
      <c r="F135" s="23" t="s">
        <v>16</v>
      </c>
      <c r="G135" s="23" t="s">
        <v>16</v>
      </c>
      <c r="H135" s="23" t="s">
        <v>16</v>
      </c>
    </row>
    <row r="136" spans="1:8">
      <c r="A136" s="27"/>
      <c r="C136" s="28"/>
      <c r="D136" s="28"/>
      <c r="E136" s="23" t="s">
        <v>16</v>
      </c>
      <c r="F136" s="23" t="s">
        <v>16</v>
      </c>
      <c r="G136" s="23" t="s">
        <v>16</v>
      </c>
      <c r="H136" s="23" t="s">
        <v>16</v>
      </c>
    </row>
    <row r="137" spans="1:8">
      <c r="A137" s="27"/>
      <c r="C137" s="28"/>
      <c r="D137" s="28"/>
      <c r="E137" s="23" t="s">
        <v>16</v>
      </c>
      <c r="F137" s="23" t="s">
        <v>16</v>
      </c>
      <c r="G137" s="23" t="s">
        <v>16</v>
      </c>
      <c r="H137" s="23" t="s">
        <v>16</v>
      </c>
    </row>
    <row r="138" spans="1:8">
      <c r="A138" s="27"/>
      <c r="C138" s="28"/>
      <c r="D138" s="28"/>
      <c r="E138" s="23" t="s">
        <v>16</v>
      </c>
      <c r="F138" s="23" t="s">
        <v>16</v>
      </c>
      <c r="G138" s="23" t="s">
        <v>16</v>
      </c>
      <c r="H138" s="23" t="s">
        <v>16</v>
      </c>
    </row>
    <row r="139" spans="1:8">
      <c r="A139" s="27"/>
      <c r="C139" s="28"/>
      <c r="D139" s="28"/>
      <c r="E139" s="23" t="s">
        <v>16</v>
      </c>
      <c r="F139" s="23" t="s">
        <v>16</v>
      </c>
      <c r="G139" s="23" t="s">
        <v>16</v>
      </c>
      <c r="H139" s="23" t="s">
        <v>16</v>
      </c>
    </row>
    <row r="140" spans="1:8">
      <c r="A140" s="27"/>
      <c r="C140" s="28"/>
      <c r="D140" s="28"/>
      <c r="E140" s="23" t="s">
        <v>16</v>
      </c>
      <c r="F140" s="23" t="s">
        <v>16</v>
      </c>
      <c r="G140" s="23" t="s">
        <v>16</v>
      </c>
      <c r="H140" s="23" t="s">
        <v>16</v>
      </c>
    </row>
    <row r="141" spans="1:8">
      <c r="A141" s="27"/>
      <c r="C141" s="28"/>
      <c r="D141" s="28"/>
      <c r="E141" s="23" t="s">
        <v>16</v>
      </c>
      <c r="F141" s="23" t="s">
        <v>16</v>
      </c>
      <c r="G141" s="23" t="s">
        <v>16</v>
      </c>
      <c r="H141" s="23" t="s">
        <v>16</v>
      </c>
    </row>
    <row r="142" spans="1:8">
      <c r="A142" s="27"/>
      <c r="C142" s="28"/>
      <c r="D142" s="28"/>
      <c r="E142" s="23" t="s">
        <v>16</v>
      </c>
      <c r="F142" s="23" t="s">
        <v>16</v>
      </c>
      <c r="G142" s="23" t="s">
        <v>16</v>
      </c>
      <c r="H142" s="23" t="s">
        <v>16</v>
      </c>
    </row>
    <row r="143" spans="1:8">
      <c r="A143" s="27"/>
      <c r="C143" s="28"/>
      <c r="D143" s="28"/>
      <c r="E143" s="23" t="s">
        <v>16</v>
      </c>
      <c r="F143" s="23" t="s">
        <v>16</v>
      </c>
      <c r="G143" s="23" t="s">
        <v>16</v>
      </c>
      <c r="H143" s="23" t="s">
        <v>16</v>
      </c>
    </row>
    <row r="144" spans="1:8">
      <c r="A144" s="27"/>
      <c r="C144" s="28"/>
      <c r="D144" s="28"/>
      <c r="E144" s="23" t="s">
        <v>16</v>
      </c>
      <c r="F144" s="23" t="s">
        <v>16</v>
      </c>
      <c r="G144" s="23" t="s">
        <v>16</v>
      </c>
      <c r="H144" s="23" t="s">
        <v>16</v>
      </c>
    </row>
    <row r="145" spans="1:8">
      <c r="A145" s="27"/>
      <c r="C145" s="28"/>
      <c r="D145" s="28"/>
      <c r="E145" s="23" t="s">
        <v>16</v>
      </c>
      <c r="F145" s="23" t="s">
        <v>16</v>
      </c>
      <c r="G145" s="23" t="s">
        <v>16</v>
      </c>
      <c r="H145" s="23" t="s">
        <v>16</v>
      </c>
    </row>
    <row r="146" spans="1:8">
      <c r="A146" s="27"/>
      <c r="C146" s="28"/>
      <c r="D146" s="28"/>
      <c r="E146" s="23" t="s">
        <v>16</v>
      </c>
      <c r="F146" s="23" t="s">
        <v>16</v>
      </c>
      <c r="G146" s="23" t="s">
        <v>16</v>
      </c>
      <c r="H146" s="23" t="s">
        <v>16</v>
      </c>
    </row>
    <row r="147" spans="1:8">
      <c r="A147" s="27"/>
      <c r="C147" s="28"/>
      <c r="D147" s="28"/>
      <c r="E147" s="23" t="s">
        <v>16</v>
      </c>
      <c r="F147" s="23" t="s">
        <v>16</v>
      </c>
      <c r="G147" s="23" t="s">
        <v>16</v>
      </c>
      <c r="H147" s="23" t="s">
        <v>16</v>
      </c>
    </row>
    <row r="148" spans="1:8">
      <c r="A148" s="27"/>
      <c r="C148" s="28"/>
      <c r="D148" s="28"/>
      <c r="E148" s="23" t="s">
        <v>16</v>
      </c>
      <c r="F148" s="23" t="s">
        <v>16</v>
      </c>
      <c r="G148" s="23" t="s">
        <v>16</v>
      </c>
      <c r="H148" s="23" t="s">
        <v>16</v>
      </c>
    </row>
    <row r="149" spans="1:8">
      <c r="A149" s="27"/>
      <c r="C149" s="28"/>
      <c r="D149" s="28"/>
      <c r="E149" s="23" t="s">
        <v>16</v>
      </c>
      <c r="F149" s="23" t="s">
        <v>16</v>
      </c>
      <c r="G149" s="23" t="s">
        <v>16</v>
      </c>
      <c r="H149" s="23" t="s">
        <v>16</v>
      </c>
    </row>
    <row r="150" spans="1:8">
      <c r="A150" s="27"/>
      <c r="C150" s="28"/>
      <c r="D150" s="28"/>
      <c r="E150" s="23" t="s">
        <v>16</v>
      </c>
      <c r="F150" s="23" t="s">
        <v>16</v>
      </c>
      <c r="G150" s="23" t="s">
        <v>16</v>
      </c>
      <c r="H150" s="23" t="s">
        <v>16</v>
      </c>
    </row>
    <row r="151" spans="1:8">
      <c r="A151" s="27"/>
      <c r="C151" s="28"/>
      <c r="D151" s="28"/>
      <c r="E151" s="23" t="s">
        <v>16</v>
      </c>
      <c r="F151" s="23" t="s">
        <v>16</v>
      </c>
      <c r="G151" s="23" t="s">
        <v>16</v>
      </c>
      <c r="H151" s="23" t="s">
        <v>16</v>
      </c>
    </row>
    <row r="152" spans="1:8">
      <c r="A152" s="27"/>
      <c r="C152" s="28"/>
      <c r="D152" s="28"/>
      <c r="E152" s="23" t="s">
        <v>16</v>
      </c>
      <c r="F152" s="23" t="s">
        <v>16</v>
      </c>
      <c r="G152" s="23" t="s">
        <v>16</v>
      </c>
      <c r="H152" s="23" t="s">
        <v>16</v>
      </c>
    </row>
    <row r="153" spans="1:8">
      <c r="A153" s="27"/>
      <c r="C153" s="28"/>
      <c r="D153" s="28"/>
      <c r="E153" s="23" t="s">
        <v>16</v>
      </c>
      <c r="F153" s="23" t="s">
        <v>16</v>
      </c>
      <c r="G153" s="23" t="s">
        <v>16</v>
      </c>
      <c r="H153" s="23" t="s">
        <v>16</v>
      </c>
    </row>
    <row r="154" spans="1:8">
      <c r="A154" s="27"/>
      <c r="C154" s="28"/>
      <c r="D154" s="28"/>
      <c r="E154" s="23" t="s">
        <v>16</v>
      </c>
      <c r="F154" s="23" t="s">
        <v>16</v>
      </c>
      <c r="G154" s="23" t="s">
        <v>16</v>
      </c>
      <c r="H154" s="23" t="s">
        <v>16</v>
      </c>
    </row>
    <row r="155" spans="1:8">
      <c r="A155" s="27"/>
      <c r="C155" s="28"/>
      <c r="D155" s="28"/>
      <c r="E155" s="23" t="s">
        <v>16</v>
      </c>
      <c r="F155" s="23" t="s">
        <v>16</v>
      </c>
      <c r="G155" s="23" t="s">
        <v>16</v>
      </c>
      <c r="H155" s="23" t="s">
        <v>16</v>
      </c>
    </row>
    <row r="156" spans="1:8">
      <c r="A156" s="27"/>
      <c r="C156" s="28"/>
      <c r="D156" s="28"/>
      <c r="E156" s="23" t="s">
        <v>16</v>
      </c>
      <c r="F156" s="23" t="s">
        <v>16</v>
      </c>
      <c r="G156" s="23" t="s">
        <v>16</v>
      </c>
      <c r="H156" s="23" t="s">
        <v>16</v>
      </c>
    </row>
    <row r="157" spans="1:8">
      <c r="A157" s="27"/>
      <c r="C157" s="28"/>
      <c r="D157" s="28"/>
      <c r="E157" s="23" t="s">
        <v>16</v>
      </c>
      <c r="F157" s="23" t="s">
        <v>16</v>
      </c>
      <c r="G157" s="23" t="s">
        <v>16</v>
      </c>
      <c r="H157" s="23" t="s">
        <v>16</v>
      </c>
    </row>
    <row r="158" spans="1:8">
      <c r="A158" s="27"/>
      <c r="C158" s="28"/>
      <c r="D158" s="28"/>
      <c r="E158" s="23" t="s">
        <v>16</v>
      </c>
      <c r="F158" s="23" t="s">
        <v>16</v>
      </c>
      <c r="G158" s="23" t="s">
        <v>16</v>
      </c>
      <c r="H158" s="23" t="s">
        <v>16</v>
      </c>
    </row>
    <row r="159" spans="1:8">
      <c r="A159" s="27"/>
      <c r="C159" s="28"/>
      <c r="D159" s="28"/>
      <c r="E159" s="23" t="s">
        <v>16</v>
      </c>
      <c r="F159" s="23" t="s">
        <v>16</v>
      </c>
      <c r="G159" s="23" t="s">
        <v>16</v>
      </c>
      <c r="H159" s="23" t="s">
        <v>16</v>
      </c>
    </row>
    <row r="160" spans="1:8">
      <c r="A160" s="27"/>
      <c r="C160" s="28"/>
      <c r="D160" s="28"/>
      <c r="E160" s="23" t="s">
        <v>16</v>
      </c>
      <c r="F160" s="23" t="s">
        <v>16</v>
      </c>
      <c r="G160" s="23" t="s">
        <v>16</v>
      </c>
      <c r="H160" s="23" t="s">
        <v>16</v>
      </c>
    </row>
    <row r="161" spans="1:8">
      <c r="A161" s="27"/>
      <c r="C161" s="28"/>
      <c r="D161" s="28"/>
      <c r="E161" s="23" t="s">
        <v>16</v>
      </c>
      <c r="F161" s="23" t="s">
        <v>16</v>
      </c>
      <c r="G161" s="23" t="s">
        <v>16</v>
      </c>
      <c r="H161" s="23" t="s">
        <v>16</v>
      </c>
    </row>
    <row r="162" spans="1:8">
      <c r="A162" s="27"/>
      <c r="C162" s="28"/>
      <c r="D162" s="28"/>
      <c r="E162" s="23" t="s">
        <v>16</v>
      </c>
      <c r="F162" s="23" t="s">
        <v>16</v>
      </c>
      <c r="G162" s="23" t="s">
        <v>16</v>
      </c>
      <c r="H162" s="23" t="s">
        <v>16</v>
      </c>
    </row>
    <row r="163" spans="1:8">
      <c r="A163" s="27"/>
      <c r="C163" s="28"/>
      <c r="D163" s="28"/>
      <c r="E163" s="23" t="s">
        <v>16</v>
      </c>
      <c r="F163" s="23" t="s">
        <v>16</v>
      </c>
      <c r="G163" s="23" t="s">
        <v>16</v>
      </c>
      <c r="H163" s="23" t="s">
        <v>16</v>
      </c>
    </row>
    <row r="164" spans="1:8">
      <c r="A164" s="27"/>
      <c r="C164" s="28"/>
      <c r="D164" s="28"/>
      <c r="E164" s="23" t="s">
        <v>16</v>
      </c>
      <c r="F164" s="23" t="s">
        <v>16</v>
      </c>
      <c r="G164" s="23" t="s">
        <v>16</v>
      </c>
      <c r="H164" s="23" t="s">
        <v>16</v>
      </c>
    </row>
    <row r="165" spans="1:8">
      <c r="A165" s="27"/>
      <c r="C165" s="28"/>
      <c r="D165" s="28"/>
      <c r="E165" s="23" t="s">
        <v>16</v>
      </c>
      <c r="F165" s="23" t="s">
        <v>16</v>
      </c>
      <c r="G165" s="23" t="s">
        <v>16</v>
      </c>
      <c r="H165" s="23" t="s">
        <v>16</v>
      </c>
    </row>
    <row r="166" spans="1:8">
      <c r="A166" s="27"/>
      <c r="C166" s="28"/>
      <c r="D166" s="28"/>
      <c r="E166" s="23" t="s">
        <v>16</v>
      </c>
      <c r="F166" s="23" t="s">
        <v>16</v>
      </c>
      <c r="G166" s="23" t="s">
        <v>16</v>
      </c>
      <c r="H166" s="23" t="s">
        <v>16</v>
      </c>
    </row>
    <row r="167" spans="1:8">
      <c r="A167" s="27"/>
      <c r="C167" s="28"/>
      <c r="D167" s="28"/>
      <c r="E167" s="23" t="s">
        <v>16</v>
      </c>
      <c r="F167" s="23" t="s">
        <v>16</v>
      </c>
      <c r="G167" s="23" t="s">
        <v>16</v>
      </c>
      <c r="H167" s="23" t="s">
        <v>16</v>
      </c>
    </row>
    <row r="168" spans="1:8">
      <c r="A168" s="27"/>
      <c r="C168" s="28"/>
      <c r="D168" s="28"/>
      <c r="E168" s="23" t="s">
        <v>16</v>
      </c>
      <c r="F168" s="23" t="s">
        <v>16</v>
      </c>
      <c r="G168" s="23" t="s">
        <v>16</v>
      </c>
      <c r="H168" s="23" t="s">
        <v>16</v>
      </c>
    </row>
    <row r="169" spans="1:8">
      <c r="A169" s="27"/>
      <c r="C169" s="28"/>
      <c r="D169" s="28"/>
      <c r="E169" s="23" t="s">
        <v>16</v>
      </c>
      <c r="F169" s="23" t="s">
        <v>16</v>
      </c>
      <c r="G169" s="23" t="s">
        <v>16</v>
      </c>
      <c r="H169" s="23" t="s">
        <v>16</v>
      </c>
    </row>
    <row r="170" spans="1:8">
      <c r="A170" s="27"/>
      <c r="C170" s="28"/>
      <c r="D170" s="28"/>
      <c r="E170" s="23" t="s">
        <v>16</v>
      </c>
      <c r="F170" s="23" t="s">
        <v>16</v>
      </c>
      <c r="G170" s="23" t="s">
        <v>16</v>
      </c>
      <c r="H170" s="23" t="s">
        <v>16</v>
      </c>
    </row>
    <row r="171" spans="1:8">
      <c r="A171" s="27"/>
      <c r="C171" s="28"/>
      <c r="D171" s="28"/>
      <c r="E171" s="23" t="s">
        <v>16</v>
      </c>
      <c r="F171" s="23" t="s">
        <v>16</v>
      </c>
      <c r="G171" s="23" t="s">
        <v>16</v>
      </c>
      <c r="H171" s="23" t="s">
        <v>16</v>
      </c>
    </row>
    <row r="172" spans="1:8">
      <c r="A172" s="27"/>
      <c r="C172" s="28"/>
      <c r="D172" s="28"/>
      <c r="E172" s="23" t="s">
        <v>16</v>
      </c>
      <c r="F172" s="23" t="s">
        <v>16</v>
      </c>
      <c r="G172" s="23" t="s">
        <v>16</v>
      </c>
      <c r="H172" s="23" t="s">
        <v>16</v>
      </c>
    </row>
    <row r="173" spans="1:8">
      <c r="A173" s="27"/>
      <c r="C173" s="28"/>
      <c r="D173" s="28"/>
      <c r="E173" s="23" t="s">
        <v>16</v>
      </c>
      <c r="F173" s="23" t="s">
        <v>16</v>
      </c>
      <c r="G173" s="23" t="s">
        <v>16</v>
      </c>
      <c r="H173" s="23" t="s">
        <v>16</v>
      </c>
    </row>
    <row r="174" spans="1:8">
      <c r="A174" s="27"/>
      <c r="C174" s="28"/>
      <c r="D174" s="28"/>
      <c r="E174" s="23" t="s">
        <v>16</v>
      </c>
      <c r="F174" s="23" t="s">
        <v>16</v>
      </c>
      <c r="G174" s="23" t="s">
        <v>16</v>
      </c>
      <c r="H174" s="23" t="s">
        <v>16</v>
      </c>
    </row>
    <row r="175" spans="1:8">
      <c r="A175" s="27"/>
      <c r="C175" s="28"/>
      <c r="D175" s="28"/>
      <c r="E175" s="23" t="s">
        <v>16</v>
      </c>
      <c r="F175" s="23" t="s">
        <v>16</v>
      </c>
      <c r="G175" s="23" t="s">
        <v>16</v>
      </c>
      <c r="H175" s="23" t="s">
        <v>16</v>
      </c>
    </row>
    <row r="176" spans="1:8">
      <c r="A176" s="27"/>
      <c r="C176" s="28"/>
      <c r="D176" s="28"/>
      <c r="E176" s="23" t="s">
        <v>16</v>
      </c>
      <c r="F176" s="23" t="s">
        <v>16</v>
      </c>
      <c r="G176" s="23" t="s">
        <v>16</v>
      </c>
      <c r="H176" s="23" t="s">
        <v>16</v>
      </c>
    </row>
    <row r="177" spans="1:8">
      <c r="A177" s="27"/>
      <c r="C177" s="28"/>
      <c r="D177" s="28"/>
      <c r="E177" s="23" t="s">
        <v>16</v>
      </c>
      <c r="F177" s="23" t="s">
        <v>16</v>
      </c>
      <c r="G177" s="23" t="s">
        <v>16</v>
      </c>
      <c r="H177" s="23" t="s">
        <v>16</v>
      </c>
    </row>
    <row r="178" spans="1:8">
      <c r="A178" s="27"/>
      <c r="C178" s="28"/>
      <c r="D178" s="28"/>
      <c r="E178" s="23" t="s">
        <v>16</v>
      </c>
      <c r="F178" s="23" t="s">
        <v>16</v>
      </c>
      <c r="G178" s="23" t="s">
        <v>16</v>
      </c>
      <c r="H178" s="23" t="s">
        <v>16</v>
      </c>
    </row>
    <row r="179" spans="1:8">
      <c r="A179" s="27"/>
      <c r="C179" s="28"/>
      <c r="D179" s="28"/>
      <c r="E179" s="23" t="s">
        <v>16</v>
      </c>
      <c r="F179" s="23" t="s">
        <v>16</v>
      </c>
      <c r="G179" s="23" t="s">
        <v>16</v>
      </c>
      <c r="H179" s="23" t="s">
        <v>16</v>
      </c>
    </row>
    <row r="180" spans="1:8">
      <c r="A180" s="27"/>
      <c r="C180" s="28"/>
      <c r="D180" s="28"/>
      <c r="E180" s="23" t="s">
        <v>16</v>
      </c>
      <c r="F180" s="23" t="s">
        <v>16</v>
      </c>
      <c r="G180" s="23" t="s">
        <v>16</v>
      </c>
      <c r="H180" s="23" t="s">
        <v>16</v>
      </c>
    </row>
    <row r="181" spans="1:8">
      <c r="A181" s="27"/>
      <c r="C181" s="28"/>
      <c r="D181" s="28"/>
      <c r="E181" s="23" t="s">
        <v>16</v>
      </c>
      <c r="F181" s="23" t="s">
        <v>16</v>
      </c>
      <c r="G181" s="23" t="s">
        <v>16</v>
      </c>
      <c r="H181" s="23" t="s">
        <v>16</v>
      </c>
    </row>
    <row r="182" spans="1:8">
      <c r="A182" s="27"/>
      <c r="C182" s="28"/>
      <c r="D182" s="28"/>
      <c r="E182" s="23" t="s">
        <v>16</v>
      </c>
      <c r="F182" s="23" t="s">
        <v>16</v>
      </c>
      <c r="G182" s="23" t="s">
        <v>16</v>
      </c>
      <c r="H182" s="23" t="s">
        <v>16</v>
      </c>
    </row>
    <row r="183" spans="1:8">
      <c r="A183" s="27"/>
      <c r="C183" s="28"/>
      <c r="D183" s="28"/>
      <c r="E183" s="23" t="s">
        <v>16</v>
      </c>
      <c r="F183" s="23" t="s">
        <v>16</v>
      </c>
      <c r="G183" s="23" t="s">
        <v>16</v>
      </c>
      <c r="H183" s="23" t="s">
        <v>16</v>
      </c>
    </row>
    <row r="184" spans="1:8">
      <c r="A184" s="27"/>
      <c r="C184" s="28"/>
      <c r="D184" s="28"/>
      <c r="E184" s="23" t="s">
        <v>16</v>
      </c>
      <c r="F184" s="23" t="s">
        <v>16</v>
      </c>
      <c r="G184" s="23" t="s">
        <v>16</v>
      </c>
      <c r="H184" s="23" t="s">
        <v>16</v>
      </c>
    </row>
    <row r="185" spans="1:8">
      <c r="A185" s="27"/>
      <c r="C185" s="28"/>
      <c r="D185" s="28"/>
      <c r="E185" s="23" t="s">
        <v>16</v>
      </c>
      <c r="F185" s="23" t="s">
        <v>16</v>
      </c>
      <c r="G185" s="23" t="s">
        <v>16</v>
      </c>
      <c r="H185" s="23" t="s">
        <v>16</v>
      </c>
    </row>
    <row r="186" spans="1:8">
      <c r="A186" s="27"/>
      <c r="C186" s="28"/>
      <c r="D186" s="28"/>
      <c r="E186" s="23" t="s">
        <v>16</v>
      </c>
      <c r="F186" s="23" t="s">
        <v>16</v>
      </c>
      <c r="G186" s="23" t="s">
        <v>16</v>
      </c>
      <c r="H186" s="23" t="s">
        <v>16</v>
      </c>
    </row>
    <row r="187" spans="1:8">
      <c r="A187" s="27"/>
      <c r="C187" s="28"/>
      <c r="D187" s="28"/>
      <c r="E187" s="23" t="s">
        <v>16</v>
      </c>
      <c r="F187" s="23" t="s">
        <v>16</v>
      </c>
      <c r="G187" s="23" t="s">
        <v>16</v>
      </c>
      <c r="H187" s="23" t="s">
        <v>16</v>
      </c>
    </row>
    <row r="188" spans="1:8">
      <c r="A188" s="27"/>
      <c r="C188" s="28"/>
      <c r="D188" s="28"/>
      <c r="E188" s="23" t="s">
        <v>16</v>
      </c>
      <c r="F188" s="23" t="s">
        <v>16</v>
      </c>
      <c r="G188" s="23" t="s">
        <v>16</v>
      </c>
      <c r="H188" s="23" t="s">
        <v>16</v>
      </c>
    </row>
    <row r="189" spans="1:8">
      <c r="A189" s="27"/>
      <c r="C189" s="28"/>
      <c r="D189" s="28"/>
      <c r="E189" s="23" t="s">
        <v>16</v>
      </c>
      <c r="F189" s="23" t="s">
        <v>16</v>
      </c>
      <c r="G189" s="23" t="s">
        <v>16</v>
      </c>
      <c r="H189" s="23" t="s">
        <v>16</v>
      </c>
    </row>
    <row r="190" spans="1:8">
      <c r="A190" s="27"/>
      <c r="C190" s="28"/>
      <c r="D190" s="28"/>
      <c r="E190" s="23" t="s">
        <v>16</v>
      </c>
      <c r="F190" s="23" t="s">
        <v>16</v>
      </c>
      <c r="G190" s="23" t="s">
        <v>16</v>
      </c>
      <c r="H190" s="23" t="s">
        <v>16</v>
      </c>
    </row>
    <row r="191" spans="1:8">
      <c r="A191" s="27"/>
      <c r="C191" s="28"/>
      <c r="D191" s="28"/>
      <c r="E191" s="23" t="s">
        <v>16</v>
      </c>
      <c r="F191" s="23" t="s">
        <v>16</v>
      </c>
      <c r="G191" s="23" t="s">
        <v>16</v>
      </c>
      <c r="H191" s="23" t="s">
        <v>16</v>
      </c>
    </row>
    <row r="192" spans="1:8">
      <c r="A192" s="27"/>
      <c r="C192" s="28"/>
      <c r="D192" s="28"/>
      <c r="E192" s="23" t="s">
        <v>16</v>
      </c>
      <c r="F192" s="23" t="s">
        <v>16</v>
      </c>
      <c r="G192" s="23" t="s">
        <v>16</v>
      </c>
      <c r="H192" s="23" t="s">
        <v>16</v>
      </c>
    </row>
    <row r="193" spans="1:8">
      <c r="A193" s="27"/>
      <c r="C193" s="28"/>
      <c r="D193" s="28"/>
      <c r="E193" s="23" t="s">
        <v>16</v>
      </c>
      <c r="F193" s="23" t="s">
        <v>16</v>
      </c>
      <c r="G193" s="23" t="s">
        <v>16</v>
      </c>
      <c r="H193" s="23" t="s">
        <v>16</v>
      </c>
    </row>
    <row r="194" spans="1:8">
      <c r="A194" s="27"/>
      <c r="C194" s="28"/>
      <c r="D194" s="28"/>
      <c r="E194" s="23" t="s">
        <v>16</v>
      </c>
      <c r="F194" s="23" t="s">
        <v>16</v>
      </c>
      <c r="G194" s="23" t="s">
        <v>16</v>
      </c>
      <c r="H194" s="23" t="s">
        <v>16</v>
      </c>
    </row>
    <row r="195" spans="1:8">
      <c r="A195" s="27"/>
      <c r="C195" s="28"/>
      <c r="D195" s="28"/>
      <c r="E195" s="23" t="s">
        <v>16</v>
      </c>
      <c r="F195" s="23" t="s">
        <v>16</v>
      </c>
      <c r="G195" s="23" t="s">
        <v>16</v>
      </c>
      <c r="H195" s="23" t="s">
        <v>16</v>
      </c>
    </row>
    <row r="196" spans="1:8">
      <c r="A196" s="27"/>
      <c r="C196" s="28"/>
      <c r="D196" s="28"/>
      <c r="E196" s="23" t="s">
        <v>16</v>
      </c>
      <c r="F196" s="23" t="s">
        <v>16</v>
      </c>
      <c r="G196" s="23" t="s">
        <v>16</v>
      </c>
      <c r="H196" s="23" t="s">
        <v>16</v>
      </c>
    </row>
    <row r="197" spans="1:8">
      <c r="A197" s="27"/>
      <c r="C197" s="28"/>
      <c r="D197" s="28"/>
      <c r="E197" s="23" t="s">
        <v>16</v>
      </c>
      <c r="F197" s="23" t="s">
        <v>16</v>
      </c>
      <c r="G197" s="23" t="s">
        <v>16</v>
      </c>
      <c r="H197" s="23" t="s">
        <v>16</v>
      </c>
    </row>
    <row r="198" spans="1:8">
      <c r="A198" s="27"/>
      <c r="C198" s="28"/>
      <c r="D198" s="28"/>
      <c r="E198" s="23" t="s">
        <v>16</v>
      </c>
      <c r="F198" s="23" t="s">
        <v>16</v>
      </c>
      <c r="G198" s="23" t="s">
        <v>16</v>
      </c>
      <c r="H198" s="23" t="s">
        <v>16</v>
      </c>
    </row>
    <row r="199" spans="1:8">
      <c r="A199" s="27"/>
      <c r="C199" s="28"/>
      <c r="D199" s="28"/>
      <c r="E199" s="23" t="s">
        <v>16</v>
      </c>
      <c r="F199" s="23" t="s">
        <v>16</v>
      </c>
      <c r="G199" s="23" t="s">
        <v>16</v>
      </c>
      <c r="H199" s="23" t="s">
        <v>16</v>
      </c>
    </row>
    <row r="200" spans="1:8">
      <c r="A200" s="27"/>
      <c r="C200" s="28"/>
      <c r="D200" s="28"/>
      <c r="E200" s="23" t="s">
        <v>16</v>
      </c>
      <c r="F200" s="23" t="s">
        <v>16</v>
      </c>
      <c r="G200" s="23" t="s">
        <v>16</v>
      </c>
      <c r="H200" s="23" t="s">
        <v>16</v>
      </c>
    </row>
    <row r="201" spans="1:8">
      <c r="A201" s="27"/>
      <c r="C201" s="28"/>
      <c r="D201" s="28"/>
      <c r="E201" s="23" t="s">
        <v>16</v>
      </c>
      <c r="F201" s="23" t="s">
        <v>16</v>
      </c>
      <c r="G201" s="23" t="s">
        <v>16</v>
      </c>
      <c r="H201" s="23" t="s">
        <v>16</v>
      </c>
    </row>
    <row r="202" spans="1:8">
      <c r="A202" s="27"/>
      <c r="C202" s="28"/>
      <c r="D202" s="28"/>
      <c r="E202" s="23" t="s">
        <v>16</v>
      </c>
      <c r="F202" s="23" t="s">
        <v>16</v>
      </c>
      <c r="G202" s="23" t="s">
        <v>16</v>
      </c>
      <c r="H202" s="23" t="s">
        <v>16</v>
      </c>
    </row>
    <row r="203" spans="1:8">
      <c r="A203" s="27"/>
      <c r="C203" s="28"/>
      <c r="D203" s="28"/>
      <c r="E203" s="23"/>
      <c r="F203" s="23"/>
      <c r="G203" s="23"/>
      <c r="H203" s="23"/>
    </row>
    <row r="204" spans="1:8">
      <c r="A204" s="27"/>
      <c r="C204" s="28"/>
      <c r="D204" s="28"/>
      <c r="E204" s="23"/>
      <c r="F204" s="23"/>
      <c r="G204" s="23"/>
      <c r="H204" s="23"/>
    </row>
    <row r="205" spans="1:8">
      <c r="A205" s="27"/>
      <c r="C205" s="28"/>
      <c r="D205" s="28"/>
      <c r="E205" s="23"/>
      <c r="F205" s="23"/>
      <c r="G205" s="23"/>
      <c r="H205" s="23"/>
    </row>
    <row r="206" spans="1:8">
      <c r="A206" s="27"/>
      <c r="C206" s="28"/>
      <c r="D206" s="28"/>
      <c r="E206" s="23"/>
      <c r="F206" s="23"/>
      <c r="G206" s="23"/>
      <c r="H206" s="23"/>
    </row>
    <row r="207" spans="1:8">
      <c r="A207" s="27"/>
      <c r="C207" s="28"/>
      <c r="D207" s="28"/>
      <c r="E207" s="23"/>
      <c r="F207" s="23"/>
      <c r="G207" s="23"/>
      <c r="H207" s="23"/>
    </row>
    <row r="208" spans="1:8">
      <c r="A208" s="27"/>
      <c r="C208" s="28"/>
      <c r="D208" s="28"/>
      <c r="E208" s="23"/>
      <c r="F208" s="23"/>
      <c r="G208" s="23"/>
      <c r="H208" s="23"/>
    </row>
    <row r="209" spans="1:8">
      <c r="A209" s="27"/>
      <c r="C209" s="28"/>
      <c r="D209" s="28"/>
      <c r="E209" s="23"/>
      <c r="F209" s="23"/>
      <c r="G209" s="23"/>
      <c r="H209" s="23"/>
    </row>
    <row r="210" spans="1:8">
      <c r="A210" s="27"/>
      <c r="C210" s="28"/>
      <c r="D210" s="28"/>
      <c r="E210" s="23"/>
      <c r="F210" s="23"/>
      <c r="G210" s="23"/>
      <c r="H210" s="23"/>
    </row>
    <row r="211" spans="1:8">
      <c r="A211" s="27"/>
      <c r="C211" s="28"/>
      <c r="D211" s="28"/>
      <c r="E211" s="23"/>
      <c r="F211" s="23"/>
      <c r="G211" s="23"/>
      <c r="H211" s="23"/>
    </row>
    <row r="212" spans="1:8">
      <c r="A212" s="27"/>
      <c r="C212" s="28"/>
      <c r="D212" s="28"/>
      <c r="E212" s="23"/>
      <c r="F212" s="23"/>
      <c r="G212" s="23"/>
      <c r="H212" s="23"/>
    </row>
    <row r="213" spans="1:8">
      <c r="A213" s="27"/>
      <c r="C213" s="28"/>
      <c r="D213" s="28"/>
      <c r="E213" s="23"/>
      <c r="F213" s="23"/>
      <c r="G213" s="23"/>
      <c r="H213" s="23"/>
    </row>
    <row r="214" spans="1:8">
      <c r="A214" s="27"/>
      <c r="C214" s="28"/>
      <c r="D214" s="28"/>
      <c r="E214" s="23"/>
      <c r="F214" s="23"/>
      <c r="G214" s="23"/>
      <c r="H214" s="23"/>
    </row>
    <row r="215" spans="1:8">
      <c r="A215" s="27"/>
      <c r="C215" s="28"/>
      <c r="D215" s="28"/>
      <c r="E215" s="23"/>
      <c r="F215" s="23"/>
      <c r="G215" s="23"/>
      <c r="H215" s="23"/>
    </row>
    <row r="216" spans="1:8">
      <c r="A216" s="27"/>
      <c r="C216" s="28"/>
      <c r="D216" s="28"/>
      <c r="E216" s="23"/>
      <c r="F216" s="23"/>
      <c r="G216" s="23"/>
      <c r="H216" s="23"/>
    </row>
    <row r="217" spans="1:8">
      <c r="A217" s="27"/>
      <c r="C217" s="28"/>
      <c r="D217" s="28"/>
      <c r="E217" s="23"/>
      <c r="F217" s="23"/>
      <c r="G217" s="23"/>
      <c r="H217" s="23"/>
    </row>
    <row r="218" spans="1:8">
      <c r="A218" s="27"/>
      <c r="C218" s="28"/>
      <c r="D218" s="28"/>
      <c r="E218" s="23"/>
      <c r="F218" s="23"/>
      <c r="G218" s="23"/>
      <c r="H218" s="23"/>
    </row>
    <row r="219" spans="1:8">
      <c r="A219" s="27"/>
      <c r="C219" s="28"/>
      <c r="D219" s="28"/>
      <c r="E219" s="23"/>
      <c r="F219" s="23"/>
      <c r="G219" s="23"/>
      <c r="H219" s="23"/>
    </row>
    <row r="220" spans="1:8">
      <c r="A220" s="27"/>
      <c r="C220" s="28"/>
      <c r="D220" s="28"/>
      <c r="E220" s="23"/>
      <c r="F220" s="23"/>
      <c r="G220" s="23"/>
      <c r="H220" s="23"/>
    </row>
    <row r="221" spans="1:8">
      <c r="A221" s="27"/>
      <c r="C221" s="28"/>
      <c r="D221" s="28"/>
      <c r="E221" s="23"/>
      <c r="F221" s="23"/>
      <c r="G221" s="23"/>
      <c r="H221" s="23"/>
    </row>
    <row r="222" spans="1:8">
      <c r="A222" s="27"/>
      <c r="C222" s="28"/>
      <c r="D222" s="28"/>
      <c r="E222" s="44"/>
      <c r="F222" s="44"/>
      <c r="G222" s="44"/>
      <c r="H222" s="44"/>
    </row>
    <row r="223" spans="1:8">
      <c r="A223" s="27"/>
      <c r="C223" s="28"/>
      <c r="D223" s="28"/>
      <c r="E223" s="44"/>
      <c r="F223" s="44"/>
      <c r="G223" s="44"/>
      <c r="H223" s="44"/>
    </row>
    <row r="224" spans="1:8">
      <c r="A224" s="27"/>
      <c r="C224" s="28"/>
      <c r="D224" s="28"/>
      <c r="E224" s="44"/>
      <c r="F224" s="44"/>
      <c r="G224" s="44"/>
      <c r="H224" s="44"/>
    </row>
    <row r="225" spans="1:8">
      <c r="A225" s="27"/>
      <c r="C225" s="28"/>
      <c r="D225" s="28"/>
      <c r="E225" s="44"/>
      <c r="F225" s="44"/>
      <c r="G225" s="44"/>
      <c r="H225" s="44"/>
    </row>
    <row r="226" spans="1:8">
      <c r="A226" s="27"/>
      <c r="C226" s="28"/>
      <c r="D226" s="28"/>
      <c r="E226" s="44"/>
      <c r="F226" s="44"/>
      <c r="G226" s="44"/>
      <c r="H226" s="44"/>
    </row>
    <row r="227" spans="1:8">
      <c r="A227" s="27"/>
      <c r="C227" s="28"/>
      <c r="D227" s="28"/>
      <c r="E227" s="44"/>
      <c r="F227" s="44"/>
      <c r="G227" s="44"/>
      <c r="H227" s="44"/>
    </row>
    <row r="228" spans="1:8">
      <c r="A228" s="27"/>
      <c r="C228" s="28"/>
      <c r="D228" s="28"/>
      <c r="E228" s="44"/>
      <c r="F228" s="44"/>
      <c r="G228" s="44"/>
      <c r="H228" s="44"/>
    </row>
    <row r="229" spans="1:8">
      <c r="A229" s="27"/>
      <c r="C229" s="28"/>
      <c r="D229" s="28"/>
      <c r="E229" s="44"/>
      <c r="F229" s="44"/>
      <c r="G229" s="44"/>
      <c r="H229" s="44"/>
    </row>
    <row r="230" spans="1:8">
      <c r="A230" s="27"/>
      <c r="C230" s="28"/>
      <c r="D230" s="28"/>
      <c r="E230" s="44"/>
      <c r="F230" s="44"/>
      <c r="G230" s="44"/>
      <c r="H230" s="44"/>
    </row>
    <row r="231" spans="1:8">
      <c r="A231" s="27"/>
      <c r="C231" s="28"/>
      <c r="D231" s="28"/>
      <c r="E231" s="44"/>
      <c r="F231" s="44"/>
      <c r="G231" s="44"/>
      <c r="H231" s="44"/>
    </row>
    <row r="232" spans="1:8">
      <c r="A232" s="27"/>
      <c r="C232" s="28"/>
      <c r="D232" s="28"/>
      <c r="E232" s="44"/>
      <c r="F232" s="44"/>
      <c r="G232" s="44"/>
      <c r="H232" s="44"/>
    </row>
    <row r="233" spans="1:8">
      <c r="A233" s="27"/>
      <c r="C233" s="28"/>
      <c r="D233" s="28"/>
      <c r="E233" s="44"/>
      <c r="F233" s="44"/>
      <c r="G233" s="44"/>
      <c r="H233" s="44"/>
    </row>
    <row r="234" spans="1:8">
      <c r="A234" s="27"/>
      <c r="C234" s="28"/>
      <c r="D234" s="28"/>
      <c r="E234" s="44"/>
      <c r="F234" s="44"/>
      <c r="G234" s="44"/>
      <c r="H234" s="44"/>
    </row>
    <row r="235" spans="1:8">
      <c r="A235" s="27"/>
      <c r="C235" s="28"/>
      <c r="D235" s="28"/>
      <c r="E235" s="44"/>
      <c r="F235" s="44"/>
      <c r="G235" s="44"/>
      <c r="H235" s="44"/>
    </row>
    <row r="236" spans="1:8">
      <c r="A236" s="27"/>
      <c r="C236" s="28"/>
      <c r="D236" s="28"/>
      <c r="E236" s="44"/>
      <c r="F236" s="44"/>
      <c r="G236" s="44"/>
      <c r="H236" s="44"/>
    </row>
    <row r="237" spans="1:8">
      <c r="A237" s="27"/>
      <c r="C237" s="28"/>
      <c r="D237" s="28"/>
      <c r="E237" s="44"/>
      <c r="F237" s="44"/>
      <c r="G237" s="44"/>
      <c r="H237" s="44"/>
    </row>
    <row r="238" spans="1:8">
      <c r="A238" s="27"/>
      <c r="C238" s="28"/>
      <c r="D238" s="28"/>
      <c r="E238" s="44"/>
      <c r="F238" s="44"/>
      <c r="G238" s="44"/>
      <c r="H238" s="44"/>
    </row>
    <row r="239" spans="1:8">
      <c r="A239" s="27"/>
      <c r="C239" s="28"/>
      <c r="D239" s="28"/>
      <c r="E239" s="44"/>
      <c r="F239" s="44"/>
      <c r="G239" s="44"/>
      <c r="H239" s="44"/>
    </row>
    <row r="240" spans="1:8">
      <c r="A240" s="27"/>
      <c r="C240" s="28"/>
      <c r="D240" s="28"/>
      <c r="E240" s="44"/>
      <c r="F240" s="44"/>
      <c r="G240" s="44"/>
      <c r="H240" s="44"/>
    </row>
    <row r="241" spans="1:8">
      <c r="A241" s="27"/>
      <c r="C241" s="28"/>
      <c r="D241" s="28"/>
      <c r="E241" s="44"/>
      <c r="F241" s="44"/>
      <c r="G241" s="44"/>
      <c r="H241" s="44"/>
    </row>
    <row r="242" spans="1:8">
      <c r="A242" s="27"/>
      <c r="C242" s="28"/>
      <c r="D242" s="28"/>
      <c r="E242" s="44"/>
      <c r="F242" s="44"/>
      <c r="G242" s="44"/>
      <c r="H242" s="44"/>
    </row>
    <row r="243" spans="1:8">
      <c r="A243" s="27"/>
      <c r="C243" s="28"/>
      <c r="D243" s="28"/>
      <c r="E243" s="44"/>
      <c r="F243" s="44"/>
      <c r="G243" s="44"/>
      <c r="H243" s="44"/>
    </row>
    <row r="244" spans="1:8">
      <c r="A244" s="27"/>
      <c r="C244" s="28"/>
      <c r="D244" s="28"/>
      <c r="E244" s="44"/>
      <c r="F244" s="44"/>
      <c r="G244" s="44"/>
      <c r="H244" s="44"/>
    </row>
    <row r="245" spans="1:8">
      <c r="A245" s="27"/>
      <c r="C245" s="28"/>
      <c r="D245" s="28"/>
      <c r="E245" s="44"/>
      <c r="F245" s="44"/>
      <c r="G245" s="44"/>
      <c r="H245" s="44"/>
    </row>
    <row r="246" spans="1:8">
      <c r="A246" s="27"/>
      <c r="C246" s="28"/>
      <c r="D246" s="28"/>
      <c r="E246" s="44"/>
      <c r="F246" s="44"/>
      <c r="G246" s="44"/>
      <c r="H246" s="44"/>
    </row>
    <row r="247" spans="1:8">
      <c r="A247" s="27"/>
      <c r="C247" s="28"/>
      <c r="D247" s="28"/>
      <c r="E247" s="44"/>
      <c r="F247" s="44"/>
      <c r="G247" s="44"/>
      <c r="H247" s="44"/>
    </row>
    <row r="248" spans="1:8">
      <c r="A248" s="27"/>
      <c r="C248" s="28"/>
      <c r="D248" s="28"/>
      <c r="E248" s="44"/>
      <c r="F248" s="44"/>
      <c r="G248" s="44"/>
      <c r="H248" s="44"/>
    </row>
    <row r="249" spans="1:8">
      <c r="A249" s="27"/>
      <c r="C249" s="28"/>
      <c r="D249" s="28"/>
      <c r="E249" s="44"/>
      <c r="F249" s="44"/>
      <c r="G249" s="44"/>
      <c r="H249" s="44"/>
    </row>
    <row r="250" spans="1:8">
      <c r="A250" s="27"/>
      <c r="C250" s="28"/>
      <c r="D250" s="28"/>
      <c r="E250" s="44"/>
      <c r="F250" s="44"/>
      <c r="G250" s="44"/>
      <c r="H250" s="44"/>
    </row>
    <row r="251" spans="1:8">
      <c r="A251" s="27"/>
      <c r="C251" s="28"/>
      <c r="D251" s="28"/>
      <c r="E251" s="44"/>
      <c r="F251" s="44"/>
      <c r="G251" s="44"/>
      <c r="H251" s="44"/>
    </row>
    <row r="252" spans="1:8">
      <c r="A252" s="27"/>
      <c r="C252" s="28"/>
      <c r="D252" s="28"/>
      <c r="E252" s="44"/>
      <c r="F252" s="44"/>
      <c r="G252" s="44"/>
      <c r="H252" s="44"/>
    </row>
    <row r="253" spans="1:8">
      <c r="A253" s="27"/>
      <c r="C253" s="28"/>
      <c r="D253" s="28"/>
      <c r="E253" s="44"/>
      <c r="F253" s="44"/>
      <c r="G253" s="44"/>
      <c r="H253" s="44"/>
    </row>
    <row r="254" spans="1:8">
      <c r="A254" s="27"/>
      <c r="C254" s="28"/>
      <c r="D254" s="28"/>
      <c r="E254" s="44"/>
      <c r="F254" s="44"/>
      <c r="G254" s="44"/>
      <c r="H254" s="44"/>
    </row>
    <row r="255" spans="1:8">
      <c r="A255" s="27"/>
      <c r="C255" s="28"/>
      <c r="D255" s="28"/>
      <c r="E255" s="44"/>
      <c r="F255" s="44"/>
      <c r="G255" s="44"/>
      <c r="H255" s="44"/>
    </row>
    <row r="256" spans="1:8">
      <c r="A256" s="27"/>
      <c r="C256" s="28"/>
      <c r="D256" s="28"/>
      <c r="E256" s="44"/>
      <c r="F256" s="44"/>
      <c r="G256" s="44"/>
      <c r="H256" s="44"/>
    </row>
    <row r="257" spans="1:8">
      <c r="A257" s="27"/>
      <c r="C257" s="28"/>
      <c r="D257" s="28"/>
      <c r="E257" s="44"/>
      <c r="F257" s="44"/>
      <c r="G257" s="44"/>
      <c r="H257" s="44"/>
    </row>
    <row r="258" spans="1:8">
      <c r="A258" s="27"/>
      <c r="C258" s="28"/>
      <c r="D258" s="28"/>
      <c r="E258" s="44"/>
      <c r="F258" s="44"/>
      <c r="G258" s="44"/>
      <c r="H258" s="44"/>
    </row>
    <row r="259" spans="1:8">
      <c r="A259" s="27"/>
      <c r="C259" s="28"/>
      <c r="D259" s="28"/>
      <c r="E259" s="44"/>
      <c r="F259" s="44"/>
      <c r="G259" s="44"/>
      <c r="H259" s="44"/>
    </row>
    <row r="260" spans="1:8">
      <c r="A260" s="27"/>
      <c r="C260" s="28"/>
      <c r="D260" s="28"/>
      <c r="E260" s="44"/>
      <c r="F260" s="44"/>
      <c r="G260" s="44"/>
      <c r="H260" s="44"/>
    </row>
    <row r="261" spans="1:8">
      <c r="A261" s="27"/>
      <c r="C261" s="28"/>
      <c r="D261" s="28"/>
      <c r="E261" s="44"/>
      <c r="F261" s="44"/>
      <c r="G261" s="44"/>
      <c r="H261" s="44"/>
    </row>
    <row r="262" spans="1:8">
      <c r="A262" s="27"/>
      <c r="C262" s="28"/>
      <c r="D262" s="28"/>
      <c r="E262" s="44"/>
      <c r="F262" s="44"/>
      <c r="G262" s="44"/>
      <c r="H262" s="44"/>
    </row>
    <row r="263" spans="1:8">
      <c r="A263" s="27"/>
      <c r="C263" s="28"/>
      <c r="D263" s="28"/>
      <c r="E263" s="44"/>
      <c r="F263" s="44"/>
      <c r="G263" s="44"/>
      <c r="H263" s="44"/>
    </row>
    <row r="264" spans="1:8">
      <c r="A264" s="27"/>
      <c r="C264" s="28"/>
      <c r="D264" s="28"/>
      <c r="E264" s="44"/>
      <c r="F264" s="44"/>
      <c r="G264" s="44"/>
      <c r="H264" s="44"/>
    </row>
    <row r="265" spans="1:8">
      <c r="A265" s="27"/>
      <c r="C265" s="28"/>
      <c r="D265" s="28"/>
      <c r="E265" s="44"/>
      <c r="F265" s="44"/>
      <c r="G265" s="44"/>
      <c r="H265" s="44"/>
    </row>
    <row r="266" spans="1:8">
      <c r="A266" s="27"/>
      <c r="C266" s="28"/>
      <c r="D266" s="28"/>
      <c r="E266" s="44"/>
      <c r="F266" s="44"/>
      <c r="G266" s="44"/>
      <c r="H266" s="44"/>
    </row>
    <row r="267" spans="1:8">
      <c r="A267" s="27"/>
      <c r="C267" s="28"/>
      <c r="D267" s="28"/>
      <c r="E267" s="44"/>
      <c r="F267" s="44"/>
      <c r="G267" s="44"/>
      <c r="H267" s="44"/>
    </row>
    <row r="268" spans="1:8">
      <c r="A268" s="27"/>
      <c r="C268" s="28"/>
      <c r="D268" s="28"/>
      <c r="E268" s="44"/>
      <c r="F268" s="44"/>
      <c r="G268" s="44"/>
      <c r="H268" s="44"/>
    </row>
    <row r="269" spans="1:8">
      <c r="A269" s="27"/>
      <c r="C269" s="28"/>
      <c r="D269" s="28"/>
      <c r="E269" s="44"/>
      <c r="F269" s="44"/>
      <c r="G269" s="44"/>
      <c r="H269" s="44"/>
    </row>
    <row r="270" spans="1:8">
      <c r="A270" s="27"/>
      <c r="C270" s="28"/>
      <c r="D270" s="28"/>
      <c r="E270" s="44"/>
      <c r="F270" s="44"/>
      <c r="G270" s="44"/>
      <c r="H270" s="44"/>
    </row>
    <row r="271" spans="1:8">
      <c r="A271" s="27"/>
      <c r="C271" s="28"/>
      <c r="D271" s="28"/>
      <c r="E271" s="44"/>
      <c r="F271" s="44"/>
      <c r="G271" s="44"/>
      <c r="H271" s="44"/>
    </row>
    <row r="272" spans="1:8">
      <c r="A272" s="27"/>
      <c r="C272" s="28"/>
      <c r="D272" s="28"/>
      <c r="E272" s="44"/>
      <c r="F272" s="44"/>
      <c r="G272" s="44"/>
      <c r="H272" s="44"/>
    </row>
    <row r="273" spans="1:8">
      <c r="A273" s="27"/>
      <c r="C273" s="28"/>
      <c r="D273" s="28"/>
      <c r="E273" s="44"/>
      <c r="F273" s="44"/>
      <c r="G273" s="44"/>
      <c r="H273" s="44"/>
    </row>
    <row r="274" spans="1:8">
      <c r="A274" s="27"/>
      <c r="C274" s="28"/>
      <c r="D274" s="28"/>
      <c r="E274" s="44"/>
      <c r="F274" s="44"/>
      <c r="G274" s="44"/>
      <c r="H274" s="44"/>
    </row>
    <row r="275" spans="1:8">
      <c r="A275" s="27"/>
      <c r="C275" s="28"/>
      <c r="D275" s="28"/>
      <c r="E275" s="44"/>
      <c r="F275" s="44"/>
      <c r="G275" s="44"/>
      <c r="H275" s="44"/>
    </row>
    <row r="276" spans="1:8">
      <c r="A276" s="27"/>
      <c r="C276" s="28"/>
      <c r="D276" s="28"/>
      <c r="E276" s="44"/>
      <c r="F276" s="44"/>
      <c r="G276" s="44"/>
      <c r="H276" s="44"/>
    </row>
    <row r="277" spans="1:8">
      <c r="A277" s="27"/>
      <c r="C277" s="28"/>
      <c r="D277" s="28"/>
      <c r="E277" s="44"/>
      <c r="F277" s="44"/>
      <c r="G277" s="44"/>
      <c r="H277" s="44"/>
    </row>
    <row r="278" spans="1:8">
      <c r="A278" s="27"/>
      <c r="C278" s="28"/>
      <c r="D278" s="28"/>
      <c r="E278" s="44"/>
      <c r="F278" s="44"/>
      <c r="G278" s="44"/>
      <c r="H278" s="44"/>
    </row>
    <row r="279" spans="1:8">
      <c r="A279" s="27"/>
      <c r="C279" s="28"/>
      <c r="D279" s="28"/>
      <c r="E279" s="44"/>
      <c r="F279" s="44"/>
      <c r="G279" s="44"/>
      <c r="H279" s="44"/>
    </row>
    <row r="280" spans="1:8">
      <c r="A280" s="27"/>
      <c r="C280" s="28"/>
      <c r="D280" s="28"/>
      <c r="E280" s="44"/>
      <c r="F280" s="44"/>
      <c r="G280" s="44"/>
      <c r="H280" s="44"/>
    </row>
    <row r="281" spans="1:8">
      <c r="A281" s="27"/>
      <c r="C281" s="28"/>
      <c r="D281" s="28"/>
      <c r="E281" s="44"/>
      <c r="F281" s="44"/>
      <c r="G281" s="44"/>
      <c r="H281" s="44"/>
    </row>
    <row r="282" spans="1:8">
      <c r="A282" s="27"/>
      <c r="C282" s="28"/>
      <c r="D282" s="28"/>
      <c r="E282" s="44"/>
      <c r="F282" s="44"/>
      <c r="G282" s="44"/>
      <c r="H282" s="44"/>
    </row>
    <row r="283" spans="1:8">
      <c r="A283" s="27"/>
      <c r="C283" s="28"/>
      <c r="D283" s="28"/>
      <c r="E283" s="44"/>
      <c r="F283" s="44"/>
      <c r="G283" s="44"/>
      <c r="H283" s="44"/>
    </row>
    <row r="284" spans="1:8">
      <c r="A284" s="27"/>
      <c r="C284" s="28"/>
      <c r="D284" s="28"/>
      <c r="E284" s="44"/>
      <c r="F284" s="44"/>
      <c r="G284" s="44"/>
      <c r="H284" s="44"/>
    </row>
    <row r="285" spans="1:8">
      <c r="A285" s="27"/>
      <c r="C285" s="28"/>
      <c r="D285" s="28"/>
      <c r="E285" s="44"/>
      <c r="F285" s="44"/>
      <c r="G285" s="44"/>
      <c r="H285" s="44"/>
    </row>
    <row r="286" spans="1:8">
      <c r="A286" s="27"/>
      <c r="C286" s="28"/>
      <c r="D286" s="28"/>
      <c r="E286" s="44"/>
      <c r="F286" s="44"/>
      <c r="G286" s="44"/>
      <c r="H286" s="44"/>
    </row>
    <row r="287" spans="1:8">
      <c r="A287" s="27"/>
      <c r="C287" s="28"/>
      <c r="D287" s="28"/>
      <c r="E287" s="44"/>
      <c r="F287" s="44"/>
      <c r="G287" s="44"/>
      <c r="H287" s="44"/>
    </row>
    <row r="288" spans="1:8">
      <c r="A288" s="27"/>
      <c r="C288" s="28"/>
      <c r="D288" s="28"/>
      <c r="E288" s="44"/>
      <c r="F288" s="44"/>
      <c r="G288" s="44"/>
      <c r="H288" s="44"/>
    </row>
    <row r="289" spans="1:8">
      <c r="A289" s="27"/>
      <c r="C289" s="28"/>
      <c r="D289" s="28"/>
      <c r="E289" s="44"/>
      <c r="F289" s="44"/>
      <c r="G289" s="44"/>
      <c r="H289" s="44"/>
    </row>
    <row r="290" spans="1:8">
      <c r="A290" s="27"/>
      <c r="C290" s="28"/>
      <c r="D290" s="28"/>
      <c r="E290" s="44"/>
      <c r="F290" s="44"/>
      <c r="G290" s="44"/>
      <c r="H290" s="44"/>
    </row>
    <row r="291" spans="1:8">
      <c r="A291" s="27"/>
      <c r="C291" s="28"/>
      <c r="D291" s="28"/>
      <c r="E291" s="44"/>
      <c r="F291" s="44"/>
      <c r="G291" s="44"/>
      <c r="H291" s="44"/>
    </row>
    <row r="292" spans="1:8">
      <c r="A292" s="27"/>
      <c r="C292" s="28"/>
      <c r="D292" s="28"/>
      <c r="E292" s="44"/>
      <c r="F292" s="44"/>
      <c r="G292" s="44"/>
      <c r="H292" s="44"/>
    </row>
    <row r="293" spans="1:8">
      <c r="A293" s="27"/>
      <c r="C293" s="28"/>
      <c r="D293" s="28"/>
      <c r="E293" s="44"/>
      <c r="F293" s="44"/>
      <c r="G293" s="44"/>
      <c r="H293" s="44"/>
    </row>
    <row r="294" spans="1:8">
      <c r="A294" s="27"/>
      <c r="C294" s="28"/>
      <c r="D294" s="28"/>
      <c r="E294" s="44"/>
      <c r="F294" s="44"/>
      <c r="G294" s="44"/>
      <c r="H294" s="44"/>
    </row>
    <row r="295" spans="1:8">
      <c r="A295" s="27"/>
      <c r="C295" s="28"/>
      <c r="D295" s="28"/>
      <c r="E295" s="44"/>
      <c r="F295" s="44"/>
      <c r="G295" s="44"/>
      <c r="H295" s="44"/>
    </row>
    <row r="296" spans="1:8">
      <c r="A296" s="27"/>
      <c r="C296" s="28"/>
      <c r="D296" s="28"/>
      <c r="E296" s="44"/>
      <c r="F296" s="44"/>
      <c r="G296" s="44"/>
      <c r="H296" s="44"/>
    </row>
    <row r="297" spans="1:8">
      <c r="A297" s="27"/>
      <c r="C297" s="28"/>
      <c r="D297" s="28"/>
      <c r="E297" s="44"/>
      <c r="F297" s="44"/>
      <c r="G297" s="44"/>
      <c r="H297" s="44"/>
    </row>
    <row r="298" spans="1:8">
      <c r="A298" s="27"/>
      <c r="C298" s="28"/>
      <c r="D298" s="28"/>
      <c r="E298" s="44"/>
      <c r="F298" s="44"/>
      <c r="G298" s="44"/>
      <c r="H298" s="44"/>
    </row>
    <row r="299" spans="1:8">
      <c r="A299" s="27"/>
      <c r="C299" s="28"/>
      <c r="D299" s="28"/>
      <c r="E299" s="44"/>
      <c r="F299" s="44"/>
      <c r="G299" s="44"/>
      <c r="H299" s="44"/>
    </row>
    <row r="300" spans="1:8">
      <c r="A300" s="27"/>
      <c r="C300" s="28"/>
      <c r="D300" s="28"/>
      <c r="E300" s="44"/>
      <c r="F300" s="44"/>
      <c r="G300" s="44"/>
      <c r="H300" s="44"/>
    </row>
    <row r="301" spans="1:8">
      <c r="A301" s="27"/>
      <c r="C301" s="28"/>
      <c r="D301" s="28"/>
      <c r="E301" s="44"/>
      <c r="F301" s="44"/>
      <c r="G301" s="44"/>
      <c r="H301" s="44"/>
    </row>
    <row r="302" spans="1:8">
      <c r="A302" s="27"/>
      <c r="C302" s="28"/>
      <c r="D302" s="28"/>
      <c r="E302" s="44"/>
      <c r="F302" s="44"/>
      <c r="G302" s="44"/>
      <c r="H302" s="44"/>
    </row>
    <row r="303" spans="1:8">
      <c r="A303" s="27"/>
      <c r="C303" s="28"/>
      <c r="D303" s="28"/>
      <c r="E303" s="44"/>
      <c r="F303" s="44"/>
      <c r="G303" s="44"/>
      <c r="H303" s="44"/>
    </row>
    <row r="304" spans="1:8">
      <c r="A304" s="27"/>
      <c r="C304" s="28"/>
      <c r="D304" s="28"/>
      <c r="E304" s="44"/>
      <c r="F304" s="44"/>
      <c r="G304" s="44"/>
      <c r="H304" s="44"/>
    </row>
    <row r="305" spans="1:8">
      <c r="A305" s="27"/>
      <c r="C305" s="28"/>
      <c r="D305" s="28"/>
      <c r="E305" s="44"/>
      <c r="F305" s="44"/>
      <c r="G305" s="44"/>
      <c r="H305" s="44"/>
    </row>
    <row r="306" spans="1:8">
      <c r="A306" s="27"/>
      <c r="C306" s="28"/>
      <c r="D306" s="28"/>
      <c r="E306" s="44"/>
      <c r="F306" s="44"/>
      <c r="G306" s="44"/>
      <c r="H306" s="44"/>
    </row>
    <row r="307" spans="1:8">
      <c r="A307" s="27"/>
      <c r="C307" s="28"/>
      <c r="D307" s="28"/>
      <c r="E307" s="44"/>
      <c r="F307" s="44"/>
      <c r="G307" s="44"/>
      <c r="H307" s="44"/>
    </row>
    <row r="308" spans="1:8">
      <c r="A308" s="27"/>
      <c r="C308" s="28"/>
      <c r="D308" s="28"/>
      <c r="E308" s="44"/>
      <c r="F308" s="44"/>
      <c r="G308" s="44"/>
      <c r="H308" s="44"/>
    </row>
    <row r="309" spans="1:8">
      <c r="A309" s="27"/>
      <c r="C309" s="28"/>
      <c r="D309" s="28"/>
      <c r="E309" s="44"/>
      <c r="F309" s="44"/>
      <c r="G309" s="44"/>
      <c r="H309" s="44"/>
    </row>
    <row r="310" spans="1:8">
      <c r="A310" s="27"/>
      <c r="C310" s="28"/>
      <c r="D310" s="28"/>
      <c r="E310" s="44"/>
      <c r="F310" s="44"/>
      <c r="G310" s="44"/>
      <c r="H310" s="44"/>
    </row>
    <row r="311" spans="1:8">
      <c r="A311" s="27"/>
      <c r="C311" s="28"/>
      <c r="D311" s="28"/>
      <c r="E311" s="44"/>
      <c r="F311" s="44"/>
      <c r="G311" s="44"/>
      <c r="H311" s="44"/>
    </row>
    <row r="312" spans="1:8">
      <c r="A312" s="27"/>
      <c r="C312" s="28"/>
      <c r="D312" s="28"/>
      <c r="E312" s="44"/>
      <c r="F312" s="44"/>
      <c r="G312" s="44"/>
      <c r="H312" s="44"/>
    </row>
    <row r="313" spans="1:8">
      <c r="A313" s="27"/>
      <c r="C313" s="28"/>
      <c r="D313" s="28"/>
      <c r="E313" s="44"/>
      <c r="F313" s="44"/>
      <c r="G313" s="44"/>
      <c r="H313" s="44"/>
    </row>
    <row r="314" spans="1:8">
      <c r="A314" s="27"/>
      <c r="C314" s="28"/>
      <c r="D314" s="28"/>
      <c r="E314" s="44"/>
      <c r="F314" s="44"/>
      <c r="G314" s="44"/>
      <c r="H314" s="44"/>
    </row>
    <row r="315" spans="1:8">
      <c r="A315" s="27"/>
      <c r="C315" s="28"/>
      <c r="D315" s="28"/>
      <c r="E315" s="44"/>
      <c r="F315" s="44"/>
      <c r="G315" s="44"/>
      <c r="H315" s="44"/>
    </row>
    <row r="316" spans="1:8">
      <c r="A316" s="27"/>
      <c r="C316" s="28"/>
      <c r="D316" s="28"/>
      <c r="E316" s="44"/>
      <c r="F316" s="44"/>
      <c r="G316" s="44"/>
      <c r="H316" s="44"/>
    </row>
    <row r="317" spans="1:8">
      <c r="A317" s="27"/>
      <c r="C317" s="28"/>
      <c r="D317" s="28"/>
      <c r="E317" s="44"/>
      <c r="F317" s="44"/>
      <c r="G317" s="44"/>
      <c r="H317" s="44"/>
    </row>
    <row r="318" spans="1:8">
      <c r="A318" s="27"/>
      <c r="C318" s="28"/>
      <c r="D318" s="28"/>
      <c r="E318" s="44"/>
      <c r="F318" s="44"/>
      <c r="G318" s="44"/>
      <c r="H318" s="44"/>
    </row>
    <row r="319" spans="1:8">
      <c r="A319" s="27"/>
      <c r="C319" s="28"/>
      <c r="D319" s="28"/>
      <c r="E319" s="44"/>
      <c r="F319" s="44"/>
      <c r="G319" s="44"/>
      <c r="H319" s="44"/>
    </row>
    <row r="320" spans="1:8">
      <c r="A320" s="27"/>
      <c r="C320" s="28"/>
      <c r="D320" s="28"/>
      <c r="E320" s="44"/>
      <c r="F320" s="44"/>
      <c r="G320" s="44"/>
      <c r="H320" s="44"/>
    </row>
    <row r="321" spans="1:8">
      <c r="A321" s="27"/>
      <c r="C321" s="28"/>
      <c r="D321" s="28"/>
      <c r="E321" s="44"/>
      <c r="F321" s="44"/>
      <c r="G321" s="44"/>
      <c r="H321" s="44"/>
    </row>
    <row r="322" spans="1:8">
      <c r="A322" s="27"/>
      <c r="C322" s="28"/>
      <c r="D322" s="28"/>
      <c r="E322" s="44"/>
      <c r="F322" s="44"/>
      <c r="G322" s="44"/>
      <c r="H322" s="44"/>
    </row>
    <row r="323" spans="1:8">
      <c r="A323" s="27"/>
      <c r="C323" s="28"/>
      <c r="D323" s="28"/>
      <c r="E323" s="44"/>
      <c r="F323" s="44"/>
      <c r="G323" s="44"/>
      <c r="H323" s="44"/>
    </row>
    <row r="324" spans="1:8">
      <c r="A324" s="27"/>
      <c r="C324" s="28"/>
      <c r="D324" s="28"/>
      <c r="E324" s="44"/>
      <c r="F324" s="44"/>
      <c r="G324" s="44"/>
      <c r="H324" s="44"/>
    </row>
    <row r="325" spans="1:8">
      <c r="A325" s="27"/>
      <c r="C325" s="28"/>
      <c r="D325" s="28"/>
      <c r="E325" s="44"/>
      <c r="F325" s="44"/>
      <c r="G325" s="44"/>
      <c r="H325" s="44"/>
    </row>
    <row r="326" spans="1:8">
      <c r="A326" s="27"/>
      <c r="C326" s="28"/>
      <c r="D326" s="28"/>
      <c r="E326" s="44"/>
      <c r="F326" s="44"/>
      <c r="G326" s="44"/>
      <c r="H326" s="44"/>
    </row>
    <row r="327" spans="1:8">
      <c r="A327" s="27"/>
      <c r="C327" s="28"/>
      <c r="D327" s="28"/>
      <c r="E327" s="44"/>
      <c r="F327" s="44"/>
      <c r="G327" s="44"/>
      <c r="H327" s="44"/>
    </row>
    <row r="328" spans="1:8">
      <c r="A328" s="27"/>
      <c r="C328" s="28"/>
      <c r="D328" s="28"/>
      <c r="E328" s="44"/>
      <c r="F328" s="44"/>
      <c r="G328" s="44"/>
      <c r="H328" s="44"/>
    </row>
    <row r="329" spans="1:8">
      <c r="A329" s="27"/>
      <c r="C329" s="28"/>
      <c r="D329" s="28"/>
      <c r="E329" s="44"/>
      <c r="F329" s="44"/>
      <c r="G329" s="44"/>
      <c r="H329" s="44"/>
    </row>
    <row r="330" spans="1:8">
      <c r="A330" s="27"/>
      <c r="C330" s="28"/>
      <c r="D330" s="28"/>
      <c r="E330" s="44"/>
      <c r="F330" s="44"/>
      <c r="G330" s="44"/>
      <c r="H330" s="44"/>
    </row>
    <row r="331" spans="1:8">
      <c r="A331" s="27"/>
      <c r="C331" s="28"/>
      <c r="D331" s="28"/>
      <c r="E331" s="44"/>
      <c r="F331" s="44"/>
      <c r="G331" s="44"/>
      <c r="H331" s="44"/>
    </row>
    <row r="332" spans="1:8">
      <c r="A332" s="27"/>
      <c r="C332" s="28"/>
      <c r="D332" s="28"/>
      <c r="E332" s="44"/>
      <c r="F332" s="44"/>
      <c r="G332" s="44"/>
      <c r="H332" s="44"/>
    </row>
    <row r="333" spans="1:8">
      <c r="A333" s="27"/>
      <c r="C333" s="28"/>
      <c r="D333" s="28"/>
      <c r="E333" s="44"/>
      <c r="F333" s="44"/>
      <c r="G333" s="44"/>
      <c r="H333" s="44"/>
    </row>
    <row r="334" spans="1:8">
      <c r="A334" s="27"/>
      <c r="C334" s="28"/>
      <c r="D334" s="28"/>
      <c r="E334" s="44"/>
      <c r="F334" s="44"/>
      <c r="G334" s="44"/>
      <c r="H334" s="44"/>
    </row>
    <row r="335" spans="1:8">
      <c r="A335" s="27"/>
      <c r="C335" s="28"/>
      <c r="D335" s="28"/>
      <c r="E335" s="44"/>
      <c r="F335" s="44"/>
      <c r="G335" s="44"/>
      <c r="H335" s="44"/>
    </row>
    <row r="336" spans="1:8">
      <c r="A336" s="27"/>
      <c r="C336" s="28"/>
      <c r="D336" s="28"/>
      <c r="E336" s="44"/>
      <c r="F336" s="44"/>
      <c r="G336" s="44"/>
      <c r="H336" s="44"/>
    </row>
    <row r="337" spans="1:8">
      <c r="A337" s="27"/>
      <c r="C337" s="28"/>
      <c r="D337" s="28"/>
      <c r="E337" s="44"/>
      <c r="F337" s="44"/>
      <c r="G337" s="44"/>
      <c r="H337" s="44"/>
    </row>
    <row r="338" spans="1:8">
      <c r="A338" s="27"/>
      <c r="C338" s="28"/>
      <c r="D338" s="28"/>
      <c r="E338" s="44"/>
      <c r="F338" s="44"/>
      <c r="G338" s="44"/>
      <c r="H338" s="44"/>
    </row>
    <row r="339" spans="1:8">
      <c r="A339" s="27"/>
      <c r="C339" s="28"/>
      <c r="D339" s="28"/>
      <c r="E339" s="44"/>
      <c r="F339" s="44"/>
      <c r="G339" s="44"/>
      <c r="H339" s="44"/>
    </row>
    <row r="340" spans="1:8">
      <c r="A340" s="27"/>
      <c r="C340" s="28"/>
      <c r="D340" s="28"/>
      <c r="E340" s="44"/>
      <c r="F340" s="44"/>
      <c r="G340" s="44"/>
      <c r="H340" s="44"/>
    </row>
    <row r="341" spans="1:8">
      <c r="A341" s="27"/>
      <c r="C341" s="28"/>
      <c r="D341" s="28"/>
      <c r="E341" s="44"/>
      <c r="F341" s="44"/>
      <c r="G341" s="44"/>
      <c r="H341" s="44"/>
    </row>
    <row r="342" spans="1:8">
      <c r="A342" s="27"/>
      <c r="C342" s="28"/>
      <c r="D342" s="28"/>
      <c r="E342" s="44"/>
      <c r="F342" s="44"/>
      <c r="G342" s="44"/>
      <c r="H342" s="44"/>
    </row>
    <row r="343" spans="1:8">
      <c r="A343" s="27"/>
      <c r="C343" s="28"/>
      <c r="D343" s="28"/>
      <c r="E343" s="44"/>
      <c r="F343" s="44"/>
      <c r="G343" s="44"/>
      <c r="H343" s="44"/>
    </row>
    <row r="344" spans="1:8">
      <c r="A344" s="27"/>
      <c r="C344" s="28"/>
      <c r="D344" s="28"/>
      <c r="E344" s="44"/>
      <c r="F344" s="44"/>
      <c r="G344" s="44"/>
      <c r="H344" s="44"/>
    </row>
    <row r="345" spans="1:8">
      <c r="A345" s="27"/>
      <c r="C345" s="28"/>
      <c r="D345" s="28"/>
      <c r="E345" s="44"/>
      <c r="F345" s="44"/>
      <c r="G345" s="44"/>
      <c r="H345" s="44"/>
    </row>
    <row r="346" spans="1:8">
      <c r="A346" s="27"/>
      <c r="C346" s="28"/>
      <c r="D346" s="28"/>
      <c r="E346" s="44"/>
      <c r="F346" s="44"/>
      <c r="G346" s="44"/>
      <c r="H346" s="44"/>
    </row>
    <row r="347" spans="1:8">
      <c r="A347" s="27"/>
      <c r="C347" s="28"/>
      <c r="D347" s="28"/>
      <c r="E347" s="44"/>
      <c r="F347" s="44"/>
      <c r="G347" s="44"/>
      <c r="H347" s="44"/>
    </row>
    <row r="348" spans="1:8">
      <c r="A348" s="27"/>
      <c r="C348" s="28"/>
      <c r="D348" s="28"/>
      <c r="E348" s="44"/>
      <c r="F348" s="44"/>
      <c r="G348" s="44"/>
      <c r="H348" s="44"/>
    </row>
    <row r="349" spans="1:8">
      <c r="A349" s="27"/>
      <c r="C349" s="28"/>
      <c r="D349" s="28"/>
      <c r="E349" s="44"/>
      <c r="F349" s="44"/>
      <c r="G349" s="44"/>
      <c r="H349" s="44"/>
    </row>
    <row r="350" spans="1:8">
      <c r="A350" s="27"/>
      <c r="C350" s="28"/>
      <c r="D350" s="28"/>
      <c r="E350" s="44"/>
      <c r="F350" s="44"/>
      <c r="G350" s="44"/>
      <c r="H350" s="44"/>
    </row>
    <row r="351" spans="1:8">
      <c r="A351" s="27"/>
      <c r="C351" s="28"/>
      <c r="D351" s="28"/>
      <c r="E351" s="44"/>
      <c r="F351" s="44"/>
      <c r="G351" s="44"/>
      <c r="H351" s="44"/>
    </row>
    <row r="352" spans="1:8">
      <c r="A352" s="27"/>
      <c r="C352" s="28"/>
      <c r="D352" s="28"/>
      <c r="E352" s="44"/>
      <c r="F352" s="44"/>
      <c r="G352" s="44"/>
      <c r="H352" s="44"/>
    </row>
    <row r="353" spans="1:8">
      <c r="A353" s="27"/>
      <c r="C353" s="28"/>
      <c r="D353" s="28"/>
      <c r="E353" s="44"/>
      <c r="F353" s="44"/>
      <c r="G353" s="44"/>
      <c r="H353" s="44"/>
    </row>
    <row r="354" spans="1:8">
      <c r="A354" s="27"/>
      <c r="C354" s="28"/>
      <c r="D354" s="28"/>
      <c r="E354" s="44"/>
      <c r="F354" s="44"/>
      <c r="G354" s="44"/>
      <c r="H354" s="44"/>
    </row>
    <row r="355" spans="1:8">
      <c r="A355" s="27"/>
      <c r="C355" s="28"/>
      <c r="D355" s="28"/>
      <c r="E355" s="44"/>
      <c r="F355" s="44"/>
      <c r="G355" s="44"/>
      <c r="H355" s="44"/>
    </row>
    <row r="356" spans="1:8">
      <c r="A356" s="27"/>
      <c r="C356" s="28"/>
      <c r="D356" s="28"/>
      <c r="E356" s="44"/>
      <c r="F356" s="44"/>
      <c r="G356" s="44"/>
      <c r="H356" s="44"/>
    </row>
    <row r="357" spans="1:8">
      <c r="A357" s="27"/>
      <c r="C357" s="28"/>
      <c r="D357" s="28"/>
      <c r="E357" s="44"/>
      <c r="F357" s="44"/>
      <c r="G357" s="44"/>
      <c r="H357" s="44"/>
    </row>
    <row r="358" spans="1:8">
      <c r="A358" s="27"/>
      <c r="C358" s="28"/>
      <c r="D358" s="28"/>
      <c r="E358" s="44"/>
      <c r="F358" s="44"/>
      <c r="G358" s="44"/>
      <c r="H358" s="44"/>
    </row>
    <row r="359" spans="1:8">
      <c r="A359" s="27"/>
      <c r="C359" s="28"/>
      <c r="D359" s="28"/>
      <c r="E359" s="44"/>
      <c r="F359" s="44"/>
      <c r="G359" s="44"/>
      <c r="H359" s="44"/>
    </row>
    <row r="360" spans="1:8">
      <c r="A360" s="27"/>
      <c r="C360" s="28"/>
      <c r="D360" s="28"/>
      <c r="E360" s="44"/>
      <c r="F360" s="44"/>
      <c r="G360" s="44"/>
      <c r="H360" s="44"/>
    </row>
    <row r="361" spans="1:8">
      <c r="A361" s="27"/>
      <c r="C361" s="28"/>
      <c r="D361" s="28"/>
      <c r="E361" s="44"/>
      <c r="F361" s="44"/>
      <c r="G361" s="44"/>
      <c r="H361" s="44"/>
    </row>
    <row r="362" spans="1:8">
      <c r="A362" s="27"/>
      <c r="C362" s="28"/>
      <c r="D362" s="28"/>
      <c r="E362" s="44"/>
      <c r="F362" s="44"/>
      <c r="G362" s="44"/>
      <c r="H362" s="44"/>
    </row>
    <row r="363" spans="1:8">
      <c r="A363" s="27"/>
      <c r="C363" s="28"/>
      <c r="D363" s="28"/>
      <c r="E363" s="44"/>
      <c r="F363" s="44"/>
      <c r="G363" s="44"/>
      <c r="H363" s="44"/>
    </row>
    <row r="364" spans="1:8">
      <c r="A364" s="27"/>
      <c r="C364" s="28"/>
      <c r="D364" s="28"/>
      <c r="E364" s="44"/>
      <c r="F364" s="44"/>
      <c r="G364" s="44"/>
      <c r="H364" s="44"/>
    </row>
    <row r="365" spans="1:8">
      <c r="A365" s="27"/>
      <c r="C365" s="28"/>
      <c r="D365" s="28"/>
      <c r="E365" s="44"/>
      <c r="F365" s="44"/>
      <c r="G365" s="44"/>
      <c r="H365" s="44"/>
    </row>
    <row r="366" spans="1:8">
      <c r="A366" s="27"/>
      <c r="C366" s="28"/>
      <c r="D366" s="28"/>
      <c r="E366" s="44"/>
      <c r="F366" s="44"/>
      <c r="G366" s="44"/>
      <c r="H366" s="44"/>
    </row>
    <row r="367" spans="1:8">
      <c r="A367" s="27"/>
      <c r="C367" s="28"/>
      <c r="D367" s="28"/>
      <c r="E367" s="44"/>
      <c r="F367" s="44"/>
      <c r="G367" s="44"/>
      <c r="H367" s="44"/>
    </row>
    <row r="368" spans="1:8">
      <c r="A368" s="27"/>
      <c r="C368" s="28"/>
      <c r="D368" s="28"/>
      <c r="E368" s="44"/>
      <c r="F368" s="44"/>
      <c r="G368" s="44"/>
      <c r="H368" s="44"/>
    </row>
    <row r="369" spans="1:8">
      <c r="A369" s="27"/>
      <c r="C369" s="28"/>
      <c r="D369" s="28"/>
      <c r="E369" s="44"/>
      <c r="F369" s="44"/>
      <c r="G369" s="44"/>
      <c r="H369" s="44"/>
    </row>
    <row r="370" spans="1:8">
      <c r="A370" s="27"/>
      <c r="C370" s="28"/>
      <c r="D370" s="28"/>
      <c r="E370" s="44"/>
      <c r="F370" s="44"/>
      <c r="G370" s="44"/>
      <c r="H370" s="44"/>
    </row>
    <row r="371" spans="1:8">
      <c r="A371" s="27"/>
      <c r="C371" s="28"/>
      <c r="D371" s="28"/>
      <c r="E371" s="44"/>
      <c r="F371" s="44"/>
      <c r="G371" s="44"/>
      <c r="H371" s="44"/>
    </row>
    <row r="372" spans="1:8">
      <c r="A372" s="27"/>
      <c r="C372" s="28"/>
      <c r="D372" s="28"/>
      <c r="E372" s="44"/>
      <c r="F372" s="44"/>
      <c r="G372" s="44"/>
      <c r="H372" s="44"/>
    </row>
    <row r="373" spans="1:8">
      <c r="A373" s="27"/>
      <c r="C373" s="28"/>
      <c r="D373" s="28"/>
      <c r="E373" s="44"/>
      <c r="F373" s="44"/>
      <c r="G373" s="44"/>
      <c r="H373" s="44"/>
    </row>
    <row r="374" spans="1:8">
      <c r="A374" s="27"/>
      <c r="C374" s="28"/>
      <c r="D374" s="28"/>
      <c r="E374" s="44"/>
      <c r="F374" s="44"/>
      <c r="G374" s="44"/>
      <c r="H374" s="44"/>
    </row>
    <row r="375" spans="1:8">
      <c r="A375" s="27"/>
      <c r="C375" s="28"/>
      <c r="D375" s="28"/>
      <c r="E375" s="44"/>
      <c r="F375" s="44"/>
      <c r="G375" s="44"/>
      <c r="H375" s="44"/>
    </row>
    <row r="376" spans="1:8">
      <c r="A376" s="27"/>
      <c r="C376" s="28"/>
      <c r="D376" s="28"/>
      <c r="E376" s="44"/>
      <c r="F376" s="44"/>
      <c r="G376" s="44"/>
      <c r="H376" s="44"/>
    </row>
    <row r="377" spans="1:8">
      <c r="A377" s="27"/>
      <c r="C377" s="28"/>
      <c r="D377" s="28"/>
      <c r="E377" s="44"/>
      <c r="F377" s="44"/>
      <c r="G377" s="44"/>
      <c r="H377" s="44"/>
    </row>
    <row r="378" spans="1:8">
      <c r="A378" s="27"/>
      <c r="C378" s="28"/>
      <c r="D378" s="28"/>
      <c r="E378" s="44"/>
      <c r="F378" s="44"/>
      <c r="G378" s="44"/>
      <c r="H378" s="44"/>
    </row>
    <row r="379" spans="1:8">
      <c r="A379" s="27"/>
      <c r="C379" s="28"/>
      <c r="D379" s="28"/>
      <c r="E379" s="44"/>
      <c r="F379" s="44"/>
      <c r="G379" s="44"/>
      <c r="H379" s="44"/>
    </row>
    <row r="380" spans="1:8">
      <c r="A380" s="27"/>
      <c r="C380" s="28"/>
      <c r="D380" s="28"/>
      <c r="E380" s="44"/>
      <c r="F380" s="44"/>
      <c r="G380" s="44"/>
      <c r="H380" s="44"/>
    </row>
    <row r="381" spans="1:8">
      <c r="A381" s="27"/>
      <c r="C381" s="28"/>
      <c r="D381" s="28"/>
      <c r="E381" s="44"/>
      <c r="F381" s="44"/>
      <c r="G381" s="44"/>
      <c r="H381" s="44"/>
    </row>
    <row r="382" spans="1:8">
      <c r="A382" s="27"/>
      <c r="C382" s="28"/>
      <c r="D382" s="28"/>
      <c r="E382" s="44"/>
      <c r="F382" s="44"/>
      <c r="G382" s="44"/>
      <c r="H382" s="44"/>
    </row>
    <row r="383" spans="1:8">
      <c r="A383" s="27"/>
      <c r="C383" s="28"/>
      <c r="D383" s="28"/>
      <c r="E383" s="44"/>
      <c r="F383" s="44"/>
      <c r="G383" s="44"/>
      <c r="H383" s="44"/>
    </row>
    <row r="384" spans="1:8">
      <c r="A384" s="27"/>
      <c r="C384" s="28"/>
      <c r="D384" s="28"/>
      <c r="E384" s="44"/>
      <c r="F384" s="44"/>
      <c r="G384" s="44"/>
      <c r="H384" s="44"/>
    </row>
    <row r="385" spans="1:8">
      <c r="A385" s="27"/>
      <c r="C385" s="28"/>
      <c r="D385" s="28"/>
      <c r="E385" s="44"/>
      <c r="F385" s="44"/>
      <c r="G385" s="44"/>
      <c r="H385" s="44"/>
    </row>
    <row r="386" spans="1:8">
      <c r="A386" s="27"/>
      <c r="C386" s="28"/>
      <c r="D386" s="28"/>
      <c r="E386" s="44"/>
      <c r="F386" s="44"/>
      <c r="G386" s="44"/>
      <c r="H386" s="44"/>
    </row>
    <row r="387" spans="1:8">
      <c r="A387" s="27"/>
      <c r="C387" s="28"/>
      <c r="D387" s="28"/>
      <c r="E387" s="44"/>
      <c r="F387" s="44"/>
      <c r="G387" s="44"/>
      <c r="H387" s="44"/>
    </row>
    <row r="388" spans="1:8">
      <c r="A388" s="27"/>
      <c r="C388" s="28"/>
      <c r="D388" s="28"/>
      <c r="E388" s="44"/>
      <c r="F388" s="44"/>
      <c r="G388" s="44"/>
      <c r="H388" s="44"/>
    </row>
    <row r="389" spans="1:8">
      <c r="A389" s="27"/>
      <c r="C389" s="28"/>
      <c r="D389" s="28"/>
      <c r="E389" s="44"/>
      <c r="F389" s="44"/>
      <c r="G389" s="44"/>
      <c r="H389" s="44"/>
    </row>
    <row r="390" spans="1:8">
      <c r="A390" s="27"/>
      <c r="C390" s="28"/>
      <c r="D390" s="28"/>
      <c r="E390" s="44"/>
      <c r="F390" s="44"/>
      <c r="G390" s="44"/>
      <c r="H390" s="44"/>
    </row>
    <row r="391" spans="1:8">
      <c r="A391" s="27"/>
      <c r="C391" s="28"/>
      <c r="D391" s="28"/>
      <c r="E391" s="44"/>
      <c r="F391" s="44"/>
      <c r="G391" s="44"/>
      <c r="H391" s="44"/>
    </row>
    <row r="392" spans="1:8">
      <c r="A392" s="27"/>
      <c r="C392" s="28"/>
      <c r="D392" s="28"/>
      <c r="E392" s="44"/>
      <c r="F392" s="44"/>
      <c r="G392" s="44"/>
      <c r="H392" s="44"/>
    </row>
    <row r="393" spans="1:8">
      <c r="A393" s="27"/>
      <c r="C393" s="28"/>
      <c r="D393" s="28"/>
      <c r="E393" s="44"/>
      <c r="F393" s="44"/>
      <c r="G393" s="44"/>
      <c r="H393" s="44"/>
    </row>
    <row r="394" spans="1:8">
      <c r="A394" s="27"/>
      <c r="C394" s="28"/>
      <c r="D394" s="28"/>
      <c r="E394" s="44"/>
      <c r="F394" s="44"/>
      <c r="G394" s="44"/>
      <c r="H394" s="44"/>
    </row>
    <row r="395" spans="1:8">
      <c r="A395" s="27"/>
      <c r="C395" s="28"/>
      <c r="D395" s="28"/>
      <c r="E395" s="44"/>
      <c r="F395" s="44"/>
      <c r="G395" s="44"/>
      <c r="H395" s="44"/>
    </row>
    <row r="396" spans="1:8">
      <c r="A396" s="27"/>
      <c r="C396" s="28"/>
      <c r="D396" s="28"/>
      <c r="E396" s="44"/>
      <c r="F396" s="44"/>
      <c r="G396" s="44"/>
      <c r="H396" s="44"/>
    </row>
    <row r="397" spans="1:8">
      <c r="A397" s="27"/>
      <c r="C397" s="28"/>
      <c r="D397" s="28"/>
      <c r="E397" s="44"/>
      <c r="F397" s="44"/>
      <c r="G397" s="44"/>
      <c r="H397" s="44"/>
    </row>
    <row r="398" spans="1:8">
      <c r="A398" s="27"/>
      <c r="C398" s="28"/>
      <c r="D398" s="28"/>
      <c r="E398" s="44"/>
      <c r="F398" s="44"/>
      <c r="G398" s="44"/>
      <c r="H398" s="44"/>
    </row>
    <row r="399" spans="1:8">
      <c r="A399" s="27"/>
      <c r="C399" s="28"/>
      <c r="D399" s="28"/>
      <c r="E399" s="44"/>
      <c r="F399" s="44"/>
      <c r="G399" s="44"/>
      <c r="H399" s="44"/>
    </row>
    <row r="400" spans="1:8">
      <c r="A400" s="27"/>
      <c r="C400" s="28"/>
      <c r="D400" s="28"/>
      <c r="E400" s="44"/>
      <c r="F400" s="44"/>
      <c r="G400" s="44"/>
      <c r="H400" s="44"/>
    </row>
    <row r="401" spans="1:8">
      <c r="A401" s="27"/>
      <c r="C401" s="28"/>
      <c r="D401" s="28"/>
      <c r="E401" s="44"/>
      <c r="F401" s="44"/>
      <c r="G401" s="44"/>
      <c r="H401" s="44"/>
    </row>
    <row r="402" spans="1:8">
      <c r="A402" s="27"/>
      <c r="C402" s="28"/>
      <c r="D402" s="28"/>
      <c r="E402" s="44"/>
      <c r="F402" s="44"/>
      <c r="G402" s="44"/>
      <c r="H402" s="44"/>
    </row>
    <row r="403" spans="1:8">
      <c r="A403" s="27"/>
      <c r="C403" s="28"/>
      <c r="D403" s="28"/>
      <c r="E403" s="44"/>
      <c r="F403" s="44"/>
      <c r="G403" s="44"/>
      <c r="H403" s="44"/>
    </row>
    <row r="404" spans="1:8">
      <c r="A404" s="27"/>
      <c r="C404" s="28"/>
      <c r="D404" s="28"/>
      <c r="E404" s="44"/>
      <c r="F404" s="44"/>
      <c r="G404" s="44"/>
      <c r="H404" s="44"/>
    </row>
    <row r="405" spans="1:8">
      <c r="A405" s="27"/>
      <c r="C405" s="28"/>
      <c r="D405" s="28"/>
      <c r="E405" s="44"/>
      <c r="F405" s="44"/>
      <c r="G405" s="44"/>
      <c r="H405" s="44"/>
    </row>
    <row r="406" spans="1:8">
      <c r="A406" s="27"/>
      <c r="C406" s="28"/>
      <c r="D406" s="28"/>
      <c r="E406" s="44"/>
      <c r="F406" s="44"/>
      <c r="G406" s="44"/>
      <c r="H406" s="44"/>
    </row>
    <row r="407" spans="1:8">
      <c r="A407" s="27"/>
      <c r="C407" s="28"/>
      <c r="D407" s="28"/>
      <c r="E407" s="44"/>
      <c r="F407" s="44"/>
      <c r="G407" s="44"/>
      <c r="H407" s="44"/>
    </row>
    <row r="408" spans="1:8">
      <c r="A408" s="27"/>
      <c r="C408" s="28"/>
      <c r="D408" s="28"/>
      <c r="E408" s="44"/>
      <c r="F408" s="44"/>
      <c r="G408" s="44"/>
      <c r="H408" s="44"/>
    </row>
    <row r="409" spans="1:8">
      <c r="A409" s="27"/>
      <c r="C409" s="28"/>
      <c r="D409" s="28"/>
      <c r="E409" s="44"/>
      <c r="F409" s="44"/>
      <c r="G409" s="44"/>
      <c r="H409" s="44"/>
    </row>
    <row r="410" spans="1:8">
      <c r="A410" s="27"/>
      <c r="C410" s="28"/>
      <c r="D410" s="28"/>
      <c r="E410" s="44"/>
      <c r="F410" s="44"/>
      <c r="G410" s="44"/>
      <c r="H410" s="44"/>
    </row>
    <row r="411" spans="1:8">
      <c r="A411" s="27"/>
      <c r="C411" s="28"/>
      <c r="D411" s="28"/>
      <c r="E411" s="44"/>
      <c r="F411" s="44"/>
      <c r="G411" s="44"/>
      <c r="H411" s="44"/>
    </row>
    <row r="412" spans="1:8">
      <c r="A412" s="27"/>
      <c r="C412" s="28"/>
      <c r="D412" s="28"/>
      <c r="E412" s="44"/>
      <c r="F412" s="44"/>
      <c r="G412" s="44"/>
      <c r="H412" s="44"/>
    </row>
    <row r="413" spans="1:8">
      <c r="A413" s="27"/>
      <c r="C413" s="28"/>
      <c r="D413" s="28"/>
      <c r="E413" s="44"/>
      <c r="F413" s="44"/>
      <c r="G413" s="44"/>
      <c r="H413" s="44"/>
    </row>
    <row r="414" spans="1:8">
      <c r="A414" s="27"/>
      <c r="C414" s="28"/>
      <c r="D414" s="28"/>
      <c r="E414" s="44"/>
      <c r="F414" s="44"/>
      <c r="G414" s="44"/>
      <c r="H414" s="44"/>
    </row>
    <row r="415" spans="1:8">
      <c r="A415" s="27"/>
      <c r="C415" s="28"/>
      <c r="D415" s="28"/>
      <c r="E415" s="44"/>
      <c r="F415" s="44"/>
      <c r="G415" s="44"/>
      <c r="H415" s="44"/>
    </row>
    <row r="416" spans="1:8">
      <c r="A416" s="27"/>
      <c r="C416" s="28"/>
      <c r="D416" s="28"/>
      <c r="E416" s="44"/>
      <c r="F416" s="44"/>
      <c r="G416" s="44"/>
      <c r="H416" s="44"/>
    </row>
    <row r="417" spans="1:8">
      <c r="A417" s="27"/>
      <c r="C417" s="28"/>
      <c r="D417" s="28"/>
      <c r="E417" s="44"/>
      <c r="F417" s="44"/>
      <c r="G417" s="44"/>
      <c r="H417" s="44"/>
    </row>
    <row r="418" spans="1:8">
      <c r="A418" s="27"/>
      <c r="C418" s="28"/>
      <c r="D418" s="28"/>
      <c r="E418" s="44"/>
      <c r="F418" s="44"/>
      <c r="G418" s="44"/>
      <c r="H418" s="44"/>
    </row>
    <row r="419" spans="1:8">
      <c r="A419" s="27"/>
      <c r="C419" s="28"/>
      <c r="D419" s="28"/>
      <c r="E419" s="44"/>
      <c r="F419" s="44"/>
      <c r="G419" s="44"/>
      <c r="H419" s="44"/>
    </row>
    <row r="420" spans="1:8">
      <c r="A420" s="27"/>
      <c r="C420" s="28"/>
      <c r="D420" s="28"/>
      <c r="E420" s="44"/>
      <c r="F420" s="44"/>
      <c r="G420" s="44"/>
      <c r="H420" s="44"/>
    </row>
    <row r="421" spans="1:8">
      <c r="A421" s="27"/>
      <c r="C421" s="28"/>
      <c r="D421" s="28"/>
      <c r="E421" s="44"/>
      <c r="F421" s="44"/>
      <c r="G421" s="44"/>
      <c r="H421" s="44"/>
    </row>
    <row r="422" spans="1:8">
      <c r="A422" s="27"/>
      <c r="C422" s="28"/>
      <c r="D422" s="28"/>
      <c r="E422" s="44"/>
      <c r="F422" s="44"/>
      <c r="G422" s="44"/>
      <c r="H422" s="44"/>
    </row>
    <row r="423" spans="1:8">
      <c r="A423" s="27"/>
      <c r="C423" s="28"/>
      <c r="D423" s="28"/>
      <c r="E423" s="44"/>
      <c r="F423" s="44"/>
      <c r="G423" s="44"/>
      <c r="H423" s="44"/>
    </row>
    <row r="424" spans="1:8">
      <c r="A424" s="27"/>
      <c r="C424" s="28"/>
      <c r="D424" s="28"/>
      <c r="E424" s="44"/>
      <c r="F424" s="44"/>
      <c r="G424" s="44"/>
      <c r="H424" s="44"/>
    </row>
    <row r="425" spans="1:8">
      <c r="A425" s="27"/>
      <c r="C425" s="28"/>
      <c r="D425" s="28"/>
      <c r="E425" s="44"/>
      <c r="F425" s="44"/>
      <c r="G425" s="44"/>
      <c r="H425" s="44"/>
    </row>
    <row r="426" spans="1:8">
      <c r="A426" s="27"/>
      <c r="C426" s="28"/>
      <c r="D426" s="28"/>
      <c r="E426" s="44"/>
      <c r="F426" s="44"/>
      <c r="G426" s="44"/>
      <c r="H426" s="44"/>
    </row>
    <row r="427" spans="1:8">
      <c r="A427" s="27"/>
      <c r="C427" s="28"/>
      <c r="D427" s="28"/>
      <c r="E427" s="44"/>
      <c r="F427" s="44"/>
      <c r="G427" s="44"/>
      <c r="H427" s="44"/>
    </row>
    <row r="428" spans="1:8">
      <c r="A428" s="27"/>
      <c r="C428" s="28"/>
      <c r="D428" s="28"/>
      <c r="E428" s="44"/>
      <c r="F428" s="44"/>
      <c r="G428" s="44"/>
      <c r="H428" s="44"/>
    </row>
    <row r="429" spans="1:8">
      <c r="A429" s="27"/>
      <c r="C429" s="28"/>
      <c r="D429" s="28"/>
      <c r="E429" s="44"/>
      <c r="F429" s="44"/>
      <c r="G429" s="44"/>
      <c r="H429" s="44"/>
    </row>
    <row r="430" spans="1:8">
      <c r="A430" s="27"/>
      <c r="C430" s="28"/>
      <c r="D430" s="28"/>
      <c r="E430" s="44"/>
      <c r="F430" s="44"/>
      <c r="G430" s="44"/>
      <c r="H430" s="44"/>
    </row>
    <row r="431" spans="1:8">
      <c r="A431" s="27"/>
      <c r="C431" s="28"/>
      <c r="D431" s="28"/>
      <c r="E431" s="44"/>
      <c r="F431" s="44"/>
      <c r="G431" s="44"/>
      <c r="H431" s="44"/>
    </row>
    <row r="432" spans="1:8">
      <c r="A432" s="27"/>
      <c r="C432" s="28"/>
      <c r="D432" s="28"/>
      <c r="E432" s="44"/>
      <c r="F432" s="44"/>
      <c r="G432" s="44"/>
      <c r="H432" s="44"/>
    </row>
    <row r="433" spans="1:8">
      <c r="A433" s="27"/>
      <c r="C433" s="28"/>
      <c r="D433" s="28"/>
      <c r="E433" s="44"/>
      <c r="F433" s="44"/>
      <c r="G433" s="44"/>
      <c r="H433" s="44"/>
    </row>
    <row r="434" spans="1:8">
      <c r="A434" s="27"/>
      <c r="C434" s="28"/>
      <c r="D434" s="28"/>
      <c r="E434" s="44"/>
      <c r="F434" s="44"/>
      <c r="G434" s="44"/>
      <c r="H434" s="44"/>
    </row>
    <row r="435" spans="1:8">
      <c r="A435" s="27"/>
      <c r="C435" s="28"/>
      <c r="D435" s="28"/>
      <c r="E435" s="44"/>
      <c r="F435" s="44"/>
      <c r="G435" s="44"/>
      <c r="H435" s="44"/>
    </row>
    <row r="436" spans="1:8">
      <c r="A436" s="27"/>
      <c r="C436" s="28"/>
      <c r="D436" s="28"/>
      <c r="E436" s="44"/>
      <c r="F436" s="44"/>
      <c r="G436" s="44"/>
      <c r="H436" s="44"/>
    </row>
    <row r="437" spans="1:8">
      <c r="A437" s="27"/>
      <c r="C437" s="28"/>
      <c r="D437" s="28"/>
      <c r="E437" s="44"/>
      <c r="F437" s="44"/>
      <c r="G437" s="44"/>
      <c r="H437" s="44"/>
    </row>
    <row r="438" spans="1:8">
      <c r="A438" s="27"/>
      <c r="C438" s="28"/>
      <c r="D438" s="28"/>
      <c r="E438" s="44"/>
      <c r="F438" s="44"/>
      <c r="G438" s="44"/>
      <c r="H438" s="44"/>
    </row>
    <row r="439" spans="1:8">
      <c r="A439" s="27"/>
      <c r="C439" s="28"/>
      <c r="D439" s="28"/>
      <c r="E439" s="44"/>
      <c r="F439" s="44"/>
      <c r="G439" s="44"/>
      <c r="H439" s="44"/>
    </row>
    <row r="440" spans="1:8">
      <c r="A440" s="27"/>
      <c r="C440" s="28"/>
      <c r="D440" s="28"/>
      <c r="E440" s="44"/>
      <c r="F440" s="44"/>
      <c r="G440" s="44"/>
      <c r="H440" s="44"/>
    </row>
    <row r="441" spans="1:8">
      <c r="A441" s="27"/>
      <c r="C441" s="28"/>
      <c r="D441" s="28"/>
      <c r="E441" s="44"/>
      <c r="F441" s="44"/>
      <c r="G441" s="44"/>
      <c r="H441" s="44"/>
    </row>
    <row r="442" spans="1:8">
      <c r="A442" s="27"/>
      <c r="C442" s="28"/>
      <c r="D442" s="28"/>
      <c r="E442" s="44"/>
      <c r="F442" s="44"/>
      <c r="G442" s="44"/>
      <c r="H442" s="44"/>
    </row>
    <row r="443" spans="1:8">
      <c r="A443" s="27"/>
      <c r="C443" s="28"/>
      <c r="D443" s="28"/>
      <c r="E443" s="44"/>
      <c r="F443" s="44"/>
      <c r="G443" s="44"/>
      <c r="H443" s="44"/>
    </row>
    <row r="444" spans="1:8">
      <c r="A444" s="27"/>
      <c r="C444" s="28"/>
      <c r="D444" s="28"/>
      <c r="E444" s="44"/>
      <c r="F444" s="44"/>
      <c r="G444" s="44"/>
      <c r="H444" s="44"/>
    </row>
    <row r="445" spans="1:8">
      <c r="A445" s="27"/>
      <c r="C445" s="28"/>
      <c r="D445" s="28"/>
      <c r="E445" s="44"/>
      <c r="F445" s="44"/>
      <c r="G445" s="44"/>
      <c r="H445" s="44"/>
    </row>
    <row r="446" spans="1:8">
      <c r="A446" s="27"/>
      <c r="C446" s="28"/>
      <c r="D446" s="28"/>
      <c r="E446" s="44"/>
      <c r="F446" s="44"/>
      <c r="G446" s="44"/>
      <c r="H446" s="44"/>
    </row>
    <row r="447" spans="1:8">
      <c r="A447" s="27"/>
      <c r="C447" s="28"/>
      <c r="D447" s="28"/>
      <c r="E447" s="44"/>
      <c r="F447" s="44"/>
      <c r="G447" s="44"/>
      <c r="H447" s="44"/>
    </row>
    <row r="448" spans="1:8">
      <c r="A448" s="27"/>
      <c r="C448" s="28"/>
      <c r="D448" s="28"/>
      <c r="E448" s="44"/>
      <c r="F448" s="44"/>
      <c r="G448" s="44"/>
      <c r="H448" s="44"/>
    </row>
    <row r="449" spans="1:8">
      <c r="A449" s="27"/>
      <c r="C449" s="28"/>
      <c r="D449" s="28"/>
      <c r="E449" s="44"/>
      <c r="F449" s="44"/>
      <c r="G449" s="44"/>
      <c r="H449" s="44"/>
    </row>
    <row r="450" spans="1:8">
      <c r="A450" s="27"/>
      <c r="C450" s="28"/>
      <c r="D450" s="28"/>
      <c r="E450" s="44"/>
      <c r="F450" s="44"/>
      <c r="G450" s="44"/>
      <c r="H450" s="44"/>
    </row>
    <row r="451" spans="1:8">
      <c r="A451" s="27"/>
      <c r="C451" s="28"/>
      <c r="D451" s="28"/>
      <c r="E451" s="44"/>
      <c r="F451" s="44"/>
      <c r="G451" s="44"/>
      <c r="H451" s="44"/>
    </row>
    <row r="452" spans="1:8">
      <c r="A452" s="27"/>
      <c r="C452" s="28"/>
      <c r="D452" s="28"/>
      <c r="E452" s="44"/>
      <c r="F452" s="44"/>
      <c r="G452" s="44"/>
      <c r="H452" s="44"/>
    </row>
    <row r="453" spans="1:8">
      <c r="A453" s="27"/>
      <c r="C453" s="28"/>
      <c r="D453" s="28"/>
      <c r="E453" s="44"/>
      <c r="F453" s="44"/>
      <c r="G453" s="44"/>
      <c r="H453" s="44"/>
    </row>
    <row r="454" spans="1:8">
      <c r="A454" s="27"/>
      <c r="C454" s="28"/>
      <c r="D454" s="28"/>
      <c r="E454" s="44"/>
      <c r="F454" s="44"/>
      <c r="G454" s="44"/>
      <c r="H454" s="44"/>
    </row>
    <row r="455" spans="1:8">
      <c r="A455" s="27"/>
      <c r="C455" s="28"/>
      <c r="D455" s="28"/>
      <c r="E455" s="44"/>
      <c r="F455" s="44"/>
      <c r="G455" s="44"/>
      <c r="H455" s="44"/>
    </row>
    <row r="456" spans="1:8">
      <c r="A456" s="27"/>
      <c r="C456" s="28"/>
      <c r="D456" s="28"/>
      <c r="E456" s="44"/>
      <c r="F456" s="44"/>
      <c r="G456" s="44"/>
      <c r="H456" s="44"/>
    </row>
    <row r="457" spans="1:8">
      <c r="A457" s="27"/>
      <c r="C457" s="28"/>
      <c r="D457" s="28"/>
      <c r="E457" s="44"/>
      <c r="F457" s="44"/>
      <c r="G457" s="44"/>
      <c r="H457" s="44"/>
    </row>
    <row r="458" spans="1:8">
      <c r="A458" s="27"/>
      <c r="C458" s="28"/>
      <c r="D458" s="28"/>
      <c r="E458" s="44"/>
      <c r="F458" s="44"/>
      <c r="G458" s="44"/>
      <c r="H458" s="44"/>
    </row>
    <row r="459" spans="1:8">
      <c r="A459" s="27"/>
      <c r="C459" s="28"/>
      <c r="D459" s="28"/>
      <c r="E459" s="44"/>
      <c r="F459" s="44"/>
      <c r="G459" s="44"/>
      <c r="H459" s="44"/>
    </row>
    <row r="460" spans="1:8">
      <c r="A460" s="27"/>
      <c r="C460" s="28"/>
      <c r="D460" s="28"/>
      <c r="E460" s="44"/>
      <c r="F460" s="44"/>
      <c r="G460" s="44"/>
      <c r="H460" s="44"/>
    </row>
    <row r="461" spans="1:8">
      <c r="A461" s="27"/>
      <c r="C461" s="28"/>
      <c r="D461" s="28"/>
      <c r="E461" s="44"/>
      <c r="F461" s="44"/>
      <c r="G461" s="44"/>
      <c r="H461" s="44"/>
    </row>
    <row r="462" spans="1:8">
      <c r="A462" s="27"/>
      <c r="C462" s="28"/>
      <c r="D462" s="28"/>
      <c r="E462" s="44"/>
      <c r="F462" s="44"/>
      <c r="G462" s="44"/>
      <c r="H462" s="44"/>
    </row>
    <row r="463" spans="1:8">
      <c r="A463" s="27"/>
      <c r="C463" s="28"/>
      <c r="D463" s="28"/>
      <c r="E463" s="44"/>
      <c r="F463" s="44"/>
      <c r="G463" s="44"/>
      <c r="H463" s="44"/>
    </row>
    <row r="464" spans="1:8">
      <c r="A464" s="27"/>
      <c r="C464" s="28"/>
      <c r="D464" s="28"/>
      <c r="E464" s="44"/>
      <c r="F464" s="44"/>
      <c r="G464" s="44"/>
      <c r="H464" s="44"/>
    </row>
    <row r="465" spans="1:8">
      <c r="A465" s="27"/>
      <c r="C465" s="28"/>
      <c r="D465" s="28"/>
      <c r="E465" s="44"/>
      <c r="F465" s="44"/>
      <c r="G465" s="44"/>
      <c r="H465" s="44"/>
    </row>
    <row r="466" spans="1:8">
      <c r="A466" s="27"/>
      <c r="C466" s="28"/>
      <c r="D466" s="28"/>
      <c r="E466" s="44"/>
      <c r="F466" s="44"/>
      <c r="G466" s="44"/>
      <c r="H466" s="44"/>
    </row>
    <row r="467" spans="1:8">
      <c r="A467" s="27"/>
      <c r="C467" s="28"/>
      <c r="D467" s="28"/>
      <c r="E467" s="44"/>
      <c r="F467" s="44"/>
      <c r="G467" s="44"/>
      <c r="H467" s="44"/>
    </row>
    <row r="468" spans="1:8">
      <c r="A468" s="27"/>
      <c r="C468" s="28"/>
      <c r="D468" s="28"/>
      <c r="E468" s="44"/>
      <c r="F468" s="44"/>
      <c r="G468" s="44"/>
      <c r="H468" s="44"/>
    </row>
    <row r="469" spans="1:8">
      <c r="A469" s="27"/>
      <c r="C469" s="28"/>
      <c r="D469" s="28"/>
      <c r="E469" s="44"/>
      <c r="F469" s="44"/>
      <c r="G469" s="44"/>
      <c r="H469" s="44"/>
    </row>
    <row r="470" spans="1:8">
      <c r="A470" s="27"/>
      <c r="C470" s="28"/>
      <c r="D470" s="28"/>
      <c r="E470" s="44"/>
      <c r="F470" s="44"/>
      <c r="G470" s="44"/>
      <c r="H470" s="44"/>
    </row>
    <row r="471" spans="1:8">
      <c r="A471" s="27"/>
      <c r="C471" s="28"/>
      <c r="D471" s="28"/>
      <c r="E471" s="44"/>
      <c r="F471" s="44"/>
      <c r="G471" s="44"/>
      <c r="H471" s="44"/>
    </row>
    <row r="472" spans="1:8">
      <c r="A472" s="27"/>
      <c r="C472" s="28"/>
      <c r="D472" s="28"/>
      <c r="E472" s="44"/>
      <c r="F472" s="44"/>
      <c r="G472" s="44"/>
      <c r="H472" s="44"/>
    </row>
    <row r="473" spans="1:8">
      <c r="A473" s="27"/>
      <c r="C473" s="28"/>
      <c r="D473" s="28"/>
      <c r="E473" s="44"/>
      <c r="F473" s="44"/>
      <c r="G473" s="44"/>
      <c r="H473" s="44"/>
    </row>
    <row r="474" spans="1:8">
      <c r="A474" s="27"/>
      <c r="C474" s="28"/>
      <c r="D474" s="28"/>
      <c r="E474" s="44"/>
      <c r="F474" s="44"/>
      <c r="G474" s="44"/>
      <c r="H474" s="44"/>
    </row>
    <row r="475" spans="1:8">
      <c r="A475" s="27"/>
      <c r="C475" s="28"/>
      <c r="D475" s="28"/>
      <c r="E475" s="44"/>
      <c r="F475" s="44"/>
      <c r="G475" s="44"/>
      <c r="H475" s="44"/>
    </row>
    <row r="476" spans="1:8">
      <c r="A476" s="27"/>
      <c r="C476" s="28"/>
      <c r="D476" s="28"/>
      <c r="E476" s="44"/>
      <c r="F476" s="44"/>
      <c r="G476" s="44"/>
      <c r="H476" s="44"/>
    </row>
    <row r="477" spans="1:8">
      <c r="A477" s="27"/>
      <c r="C477" s="28"/>
      <c r="D477" s="28"/>
      <c r="E477" s="44"/>
      <c r="F477" s="44"/>
      <c r="G477" s="44"/>
      <c r="H477" s="44"/>
    </row>
    <row r="478" spans="1:8">
      <c r="A478" s="27"/>
      <c r="C478" s="28"/>
      <c r="D478" s="28"/>
      <c r="E478" s="44"/>
      <c r="F478" s="44"/>
      <c r="G478" s="44"/>
      <c r="H478" s="44"/>
    </row>
    <row r="479" spans="1:8">
      <c r="A479" s="27"/>
      <c r="C479" s="28"/>
      <c r="D479" s="28"/>
      <c r="E479" s="44"/>
      <c r="F479" s="44"/>
      <c r="G479" s="44"/>
      <c r="H479" s="44"/>
    </row>
    <row r="480" spans="1:8">
      <c r="A480" s="27"/>
      <c r="C480" s="28"/>
      <c r="D480" s="28"/>
      <c r="E480" s="44"/>
      <c r="F480" s="44"/>
      <c r="G480" s="44"/>
      <c r="H480" s="44"/>
    </row>
    <row r="481" spans="1:8">
      <c r="A481" s="27"/>
      <c r="C481" s="28"/>
      <c r="D481" s="28"/>
      <c r="E481" s="44"/>
      <c r="F481" s="44"/>
      <c r="G481" s="44"/>
      <c r="H481" s="44"/>
    </row>
    <row r="482" spans="1:8">
      <c r="A482" s="27"/>
      <c r="C482" s="28"/>
      <c r="D482" s="28"/>
      <c r="E482" s="44"/>
      <c r="F482" s="44"/>
      <c r="G482" s="44"/>
      <c r="H482" s="44"/>
    </row>
    <row r="483" spans="1:8">
      <c r="A483" s="27"/>
      <c r="C483" s="28"/>
      <c r="D483" s="28"/>
      <c r="E483" s="44"/>
      <c r="F483" s="44"/>
      <c r="G483" s="44"/>
      <c r="H483" s="44"/>
    </row>
    <row r="484" spans="1:8">
      <c r="A484" s="27"/>
      <c r="C484" s="28"/>
      <c r="D484" s="28"/>
      <c r="E484" s="44"/>
      <c r="F484" s="44"/>
      <c r="G484" s="44"/>
      <c r="H484" s="44"/>
    </row>
    <row r="485" spans="1:8">
      <c r="A485" s="27"/>
      <c r="C485" s="28"/>
      <c r="D485" s="28"/>
      <c r="E485" s="44"/>
      <c r="F485" s="44"/>
      <c r="G485" s="44"/>
      <c r="H485" s="44"/>
    </row>
    <row r="486" spans="1:8">
      <c r="A486" s="27"/>
      <c r="C486" s="28"/>
      <c r="D486" s="28"/>
      <c r="E486" s="44"/>
      <c r="F486" s="44"/>
      <c r="G486" s="44"/>
      <c r="H486" s="44"/>
    </row>
    <row r="487" spans="1:8">
      <c r="A487" s="27"/>
      <c r="C487" s="28"/>
      <c r="D487" s="28"/>
      <c r="E487" s="44"/>
      <c r="F487" s="44"/>
      <c r="G487" s="44"/>
      <c r="H487" s="44"/>
    </row>
    <row r="488" spans="1:8">
      <c r="A488" s="27"/>
      <c r="C488" s="28"/>
      <c r="D488" s="28"/>
      <c r="E488" s="44"/>
      <c r="F488" s="44"/>
      <c r="G488" s="44"/>
      <c r="H488" s="44"/>
    </row>
    <row r="489" spans="1:8">
      <c r="A489" s="27"/>
      <c r="C489" s="28"/>
      <c r="D489" s="28"/>
      <c r="E489" s="44"/>
      <c r="F489" s="44"/>
      <c r="G489" s="44"/>
      <c r="H489" s="44"/>
    </row>
    <row r="490" spans="1:8">
      <c r="A490" s="27"/>
      <c r="C490" s="28"/>
      <c r="D490" s="28"/>
      <c r="E490" s="44"/>
      <c r="F490" s="44"/>
      <c r="G490" s="44"/>
      <c r="H490" s="44"/>
    </row>
    <row r="491" spans="1:8">
      <c r="A491" s="27"/>
      <c r="C491" s="28"/>
      <c r="D491" s="28"/>
      <c r="E491" s="44"/>
      <c r="F491" s="44"/>
      <c r="G491" s="44"/>
      <c r="H491" s="44"/>
    </row>
    <row r="492" spans="1:8">
      <c r="A492" s="27"/>
      <c r="C492" s="28"/>
      <c r="D492" s="28"/>
      <c r="E492" s="44"/>
      <c r="F492" s="44"/>
      <c r="G492" s="44"/>
      <c r="H492" s="44"/>
    </row>
    <row r="493" spans="1:8">
      <c r="A493" s="27"/>
      <c r="C493" s="28"/>
      <c r="D493" s="28"/>
      <c r="E493" s="44"/>
      <c r="F493" s="44"/>
      <c r="G493" s="44"/>
      <c r="H493" s="44"/>
    </row>
    <row r="494" spans="1:8">
      <c r="A494" s="27"/>
      <c r="C494" s="28"/>
      <c r="D494" s="28"/>
      <c r="E494" s="44"/>
      <c r="F494" s="44"/>
      <c r="G494" s="44"/>
      <c r="H494" s="44"/>
    </row>
    <row r="495" spans="1:8">
      <c r="A495" s="27"/>
      <c r="C495" s="28"/>
      <c r="D495" s="28"/>
      <c r="E495" s="44"/>
      <c r="F495" s="44"/>
      <c r="G495" s="44"/>
      <c r="H495" s="44"/>
    </row>
    <row r="496" spans="1:8">
      <c r="A496" s="27"/>
      <c r="C496" s="28"/>
      <c r="D496" s="28"/>
      <c r="E496" s="44"/>
      <c r="F496" s="44"/>
      <c r="G496" s="44"/>
      <c r="H496" s="44"/>
    </row>
    <row r="497" spans="1:8">
      <c r="A497" s="27"/>
      <c r="C497" s="28"/>
      <c r="D497" s="28"/>
      <c r="E497" s="44"/>
      <c r="F497" s="44"/>
      <c r="G497" s="44"/>
      <c r="H497" s="44"/>
    </row>
    <row r="498" spans="1:8">
      <c r="A498" s="27"/>
      <c r="C498" s="28"/>
      <c r="D498" s="28"/>
      <c r="E498" s="44"/>
      <c r="F498" s="44"/>
      <c r="G498" s="44"/>
      <c r="H498" s="44"/>
    </row>
    <row r="499" spans="1:8">
      <c r="A499" s="27"/>
      <c r="C499" s="28"/>
      <c r="D499" s="28"/>
      <c r="E499" s="44"/>
      <c r="F499" s="44"/>
      <c r="G499" s="44"/>
      <c r="H499" s="44"/>
    </row>
    <row r="500" spans="1:8">
      <c r="A500" s="27"/>
      <c r="C500" s="28"/>
      <c r="D500" s="28"/>
      <c r="E500" s="44"/>
      <c r="F500" s="44"/>
      <c r="G500" s="44"/>
      <c r="H500" s="44"/>
    </row>
    <row r="501" spans="1:8">
      <c r="A501" s="27"/>
      <c r="C501" s="28"/>
      <c r="D501" s="28"/>
      <c r="E501" s="44"/>
      <c r="F501" s="44"/>
      <c r="G501" s="44"/>
      <c r="H501" s="44"/>
    </row>
    <row r="502" spans="1:8">
      <c r="A502" s="27"/>
      <c r="C502" s="28"/>
      <c r="D502" s="28"/>
      <c r="E502" s="44"/>
      <c r="F502" s="44"/>
      <c r="G502" s="44"/>
      <c r="H502" s="44"/>
    </row>
    <row r="503" spans="1:8">
      <c r="A503" s="27"/>
      <c r="C503" s="28"/>
      <c r="D503" s="28"/>
      <c r="E503" s="44"/>
      <c r="F503" s="44"/>
      <c r="G503" s="44"/>
      <c r="H503" s="44"/>
    </row>
    <row r="504" spans="1:8">
      <c r="A504" s="27"/>
      <c r="C504" s="28"/>
      <c r="D504" s="28"/>
      <c r="E504" s="44"/>
      <c r="F504" s="44"/>
      <c r="G504" s="44"/>
      <c r="H504" s="44"/>
    </row>
    <row r="505" spans="1:8">
      <c r="A505" s="27"/>
      <c r="C505" s="28"/>
      <c r="D505" s="28"/>
      <c r="E505" s="44"/>
      <c r="F505" s="44"/>
      <c r="G505" s="44"/>
      <c r="H505" s="44"/>
    </row>
    <row r="506" spans="1:8">
      <c r="A506" s="27"/>
      <c r="C506" s="28"/>
      <c r="D506" s="28"/>
      <c r="E506" s="44"/>
      <c r="F506" s="44"/>
      <c r="G506" s="44"/>
      <c r="H506" s="44"/>
    </row>
    <row r="507" spans="1:8">
      <c r="A507" s="27"/>
      <c r="C507" s="28"/>
      <c r="D507" s="28"/>
      <c r="E507" s="44"/>
      <c r="F507" s="44"/>
      <c r="G507" s="44"/>
      <c r="H507" s="44"/>
    </row>
    <row r="508" spans="1:8">
      <c r="A508" s="27"/>
      <c r="C508" s="28"/>
      <c r="D508" s="28"/>
      <c r="E508" s="44"/>
      <c r="F508" s="44"/>
      <c r="G508" s="44"/>
      <c r="H508" s="44"/>
    </row>
    <row r="509" spans="1:8">
      <c r="A509" s="27"/>
      <c r="C509" s="28"/>
      <c r="D509" s="28"/>
      <c r="E509" s="44"/>
      <c r="F509" s="44"/>
      <c r="G509" s="44"/>
      <c r="H509" s="44"/>
    </row>
    <row r="510" spans="1:8">
      <c r="A510" s="27"/>
      <c r="C510" s="28"/>
      <c r="D510" s="28"/>
      <c r="E510" s="44"/>
      <c r="F510" s="44"/>
      <c r="G510" s="44"/>
      <c r="H510" s="44"/>
    </row>
    <row r="511" spans="1:8">
      <c r="A511" s="27"/>
      <c r="C511" s="28"/>
      <c r="D511" s="28"/>
      <c r="E511" s="44"/>
      <c r="F511" s="44"/>
      <c r="G511" s="44"/>
      <c r="H511" s="44"/>
    </row>
    <row r="512" spans="1:8">
      <c r="A512" s="27"/>
      <c r="C512" s="28"/>
      <c r="D512" s="28"/>
      <c r="E512" s="44"/>
      <c r="F512" s="44"/>
      <c r="G512" s="44"/>
      <c r="H512" s="44"/>
    </row>
    <row r="513" spans="1:8">
      <c r="A513" s="27"/>
      <c r="C513" s="28"/>
      <c r="D513" s="28"/>
      <c r="E513" s="44"/>
      <c r="F513" s="44"/>
      <c r="G513" s="44"/>
      <c r="H513" s="44"/>
    </row>
    <row r="514" spans="1:8">
      <c r="A514" s="27"/>
      <c r="C514" s="28"/>
      <c r="D514" s="28"/>
      <c r="E514" s="44"/>
      <c r="F514" s="44"/>
      <c r="G514" s="44"/>
      <c r="H514" s="44"/>
    </row>
    <row r="515" spans="1:8">
      <c r="A515" s="27"/>
      <c r="C515" s="28"/>
      <c r="D515" s="28"/>
      <c r="E515" s="44"/>
      <c r="F515" s="44"/>
      <c r="G515" s="44"/>
      <c r="H515" s="44"/>
    </row>
    <row r="516" spans="1:8">
      <c r="A516" s="27"/>
      <c r="C516" s="28"/>
      <c r="D516" s="28"/>
      <c r="E516" s="44"/>
      <c r="F516" s="44"/>
      <c r="G516" s="44"/>
      <c r="H516" s="44"/>
    </row>
    <row r="517" spans="1:8">
      <c r="A517" s="27"/>
      <c r="C517" s="28"/>
      <c r="D517" s="28"/>
      <c r="E517" s="44"/>
      <c r="F517" s="44"/>
      <c r="G517" s="44"/>
      <c r="H517" s="44"/>
    </row>
    <row r="518" spans="1:8">
      <c r="A518" s="27"/>
      <c r="C518" s="28"/>
      <c r="D518" s="28"/>
      <c r="E518" s="44"/>
      <c r="F518" s="44"/>
      <c r="G518" s="44"/>
      <c r="H518" s="44"/>
    </row>
    <row r="519" spans="1:8">
      <c r="A519" s="27"/>
      <c r="C519" s="28"/>
      <c r="D519" s="28"/>
      <c r="E519" s="44"/>
      <c r="F519" s="44"/>
      <c r="G519" s="44"/>
      <c r="H519" s="44"/>
    </row>
    <row r="520" spans="1:8">
      <c r="A520" s="27"/>
      <c r="C520" s="28"/>
      <c r="D520" s="28"/>
      <c r="E520" s="44"/>
      <c r="F520" s="44"/>
      <c r="G520" s="44"/>
      <c r="H520" s="44"/>
    </row>
    <row r="521" spans="1:8">
      <c r="A521" s="27"/>
      <c r="C521" s="28"/>
      <c r="D521" s="28"/>
      <c r="E521" s="44"/>
      <c r="F521" s="44"/>
      <c r="G521" s="44"/>
      <c r="H521" s="44"/>
    </row>
    <row r="522" spans="1:8">
      <c r="A522" s="27"/>
      <c r="C522" s="28"/>
      <c r="D522" s="28"/>
      <c r="E522" s="44"/>
      <c r="F522" s="44"/>
      <c r="G522" s="44"/>
      <c r="H522" s="44"/>
    </row>
    <row r="523" spans="1:8">
      <c r="A523" s="27"/>
      <c r="C523" s="28"/>
      <c r="D523" s="28"/>
      <c r="E523" s="44"/>
      <c r="F523" s="44"/>
      <c r="G523" s="44"/>
      <c r="H523" s="44"/>
    </row>
    <row r="524" spans="1:8">
      <c r="A524" s="27"/>
      <c r="C524" s="28"/>
      <c r="D524" s="28"/>
      <c r="E524" s="44"/>
      <c r="F524" s="44"/>
      <c r="G524" s="44"/>
      <c r="H524" s="44"/>
    </row>
    <row r="525" spans="1:8">
      <c r="A525" s="27"/>
      <c r="C525" s="28"/>
      <c r="D525" s="28"/>
      <c r="E525" s="44"/>
      <c r="F525" s="44"/>
      <c r="G525" s="44"/>
      <c r="H525" s="44"/>
    </row>
    <row r="526" spans="1:8">
      <c r="A526" s="27"/>
      <c r="C526" s="28"/>
      <c r="D526" s="28"/>
      <c r="E526" s="44"/>
      <c r="F526" s="44"/>
      <c r="G526" s="44"/>
      <c r="H526" s="44"/>
    </row>
    <row r="527" spans="1:8">
      <c r="A527" s="27"/>
      <c r="C527" s="28"/>
      <c r="D527" s="28"/>
      <c r="E527" s="44"/>
      <c r="F527" s="44"/>
      <c r="G527" s="44"/>
      <c r="H527" s="44"/>
    </row>
    <row r="528" spans="1:8">
      <c r="A528" s="27"/>
      <c r="C528" s="28"/>
      <c r="D528" s="28"/>
      <c r="E528" s="44"/>
      <c r="F528" s="44"/>
      <c r="G528" s="44"/>
      <c r="H528" s="44"/>
    </row>
    <row r="529" spans="1:8">
      <c r="A529" s="27"/>
      <c r="C529" s="28"/>
      <c r="D529" s="28"/>
      <c r="E529" s="44"/>
      <c r="F529" s="44"/>
      <c r="G529" s="44"/>
      <c r="H529" s="44"/>
    </row>
    <row r="530" spans="1:8">
      <c r="A530" s="27"/>
      <c r="C530" s="28"/>
      <c r="D530" s="28"/>
      <c r="E530" s="44"/>
      <c r="F530" s="44"/>
      <c r="G530" s="44"/>
      <c r="H530" s="44"/>
    </row>
    <row r="531" spans="1:8">
      <c r="A531" s="27"/>
      <c r="C531" s="28"/>
      <c r="D531" s="28"/>
      <c r="E531" s="44"/>
      <c r="F531" s="44"/>
      <c r="G531" s="44"/>
      <c r="H531" s="44"/>
    </row>
    <row r="532" spans="1:8">
      <c r="A532" s="27"/>
      <c r="C532" s="28"/>
      <c r="D532" s="28"/>
      <c r="E532" s="44"/>
      <c r="F532" s="44"/>
      <c r="G532" s="44"/>
      <c r="H532" s="44"/>
    </row>
    <row r="533" spans="1:8">
      <c r="A533" s="27"/>
      <c r="C533" s="28"/>
      <c r="D533" s="28"/>
      <c r="E533" s="44"/>
      <c r="F533" s="44"/>
      <c r="G533" s="44"/>
      <c r="H533" s="44"/>
    </row>
    <row r="534" spans="1:8">
      <c r="A534" s="27"/>
      <c r="C534" s="28"/>
      <c r="D534" s="28"/>
      <c r="E534" s="44"/>
      <c r="F534" s="44"/>
      <c r="G534" s="44"/>
      <c r="H534" s="44"/>
    </row>
    <row r="535" spans="1:8">
      <c r="A535" s="27"/>
      <c r="C535" s="28"/>
      <c r="D535" s="28"/>
      <c r="E535" s="44"/>
      <c r="F535" s="44"/>
      <c r="G535" s="44"/>
      <c r="H535" s="44"/>
    </row>
    <row r="536" spans="1:8">
      <c r="A536" s="27"/>
      <c r="C536" s="28"/>
      <c r="D536" s="28"/>
      <c r="E536" s="44"/>
      <c r="F536" s="44"/>
      <c r="G536" s="44"/>
      <c r="H536" s="44"/>
    </row>
    <row r="537" spans="1:8">
      <c r="A537" s="27"/>
      <c r="C537" s="28"/>
      <c r="D537" s="28"/>
      <c r="E537" s="44"/>
      <c r="F537" s="44"/>
      <c r="G537" s="44"/>
      <c r="H537" s="44"/>
    </row>
    <row r="538" spans="1:8">
      <c r="A538" s="27"/>
      <c r="C538" s="28"/>
      <c r="D538" s="28"/>
      <c r="E538" s="44"/>
      <c r="F538" s="44"/>
      <c r="G538" s="44"/>
      <c r="H538" s="44"/>
    </row>
    <row r="539" spans="1:8">
      <c r="A539" s="27"/>
      <c r="C539" s="28"/>
      <c r="D539" s="28"/>
      <c r="E539" s="44"/>
      <c r="F539" s="44"/>
      <c r="G539" s="44"/>
      <c r="H539" s="44"/>
    </row>
    <row r="540" spans="1:8">
      <c r="A540" s="27"/>
      <c r="C540" s="28"/>
      <c r="D540" s="28"/>
      <c r="E540" s="44"/>
      <c r="F540" s="44"/>
      <c r="G540" s="44"/>
      <c r="H540" s="44"/>
    </row>
    <row r="541" spans="1:8">
      <c r="A541" s="27"/>
      <c r="C541" s="28"/>
      <c r="D541" s="28"/>
      <c r="E541" s="44"/>
      <c r="F541" s="44"/>
      <c r="G541" s="44"/>
      <c r="H541" s="44"/>
    </row>
    <row r="542" spans="1:8">
      <c r="A542" s="27"/>
      <c r="C542" s="28"/>
      <c r="D542" s="28"/>
      <c r="E542" s="44"/>
      <c r="F542" s="44"/>
      <c r="G542" s="44"/>
      <c r="H542" s="44"/>
    </row>
    <row r="543" spans="1:8">
      <c r="A543" s="27"/>
      <c r="C543" s="28"/>
      <c r="D543" s="28"/>
      <c r="E543" s="44"/>
      <c r="F543" s="44"/>
      <c r="G543" s="44"/>
      <c r="H543" s="44"/>
    </row>
    <row r="544" spans="1:8">
      <c r="A544" s="27"/>
      <c r="C544" s="28"/>
      <c r="D544" s="28"/>
      <c r="E544" s="44"/>
      <c r="F544" s="44"/>
      <c r="G544" s="44"/>
      <c r="H544" s="44"/>
    </row>
    <row r="545" spans="1:8">
      <c r="A545" s="27"/>
      <c r="C545" s="28"/>
      <c r="D545" s="28"/>
      <c r="E545" s="44"/>
      <c r="F545" s="44"/>
      <c r="G545" s="44"/>
      <c r="H545" s="44"/>
    </row>
    <row r="546" spans="1:8">
      <c r="A546" s="27"/>
      <c r="C546" s="28"/>
      <c r="D546" s="28"/>
      <c r="E546" s="44"/>
      <c r="F546" s="44"/>
      <c r="G546" s="44"/>
      <c r="H546" s="44"/>
    </row>
    <row r="547" spans="1:8">
      <c r="A547" s="27"/>
      <c r="C547" s="28"/>
      <c r="D547" s="28"/>
      <c r="E547" s="44"/>
      <c r="F547" s="44"/>
      <c r="G547" s="44"/>
      <c r="H547" s="44"/>
    </row>
    <row r="548" spans="1:8">
      <c r="A548" s="27"/>
      <c r="C548" s="28"/>
      <c r="D548" s="28"/>
      <c r="E548" s="44"/>
      <c r="F548" s="44"/>
      <c r="G548" s="44"/>
      <c r="H548" s="44"/>
    </row>
    <row r="549" spans="1:8">
      <c r="A549" s="27"/>
      <c r="C549" s="28"/>
      <c r="D549" s="28"/>
      <c r="E549" s="44"/>
      <c r="F549" s="44"/>
      <c r="G549" s="44"/>
      <c r="H549" s="44"/>
    </row>
    <row r="550" spans="1:8">
      <c r="A550" s="27"/>
      <c r="C550" s="28"/>
      <c r="D550" s="28"/>
      <c r="E550" s="44"/>
      <c r="F550" s="44"/>
      <c r="G550" s="44"/>
      <c r="H550" s="44"/>
    </row>
    <row r="551" spans="1:8">
      <c r="A551" s="27"/>
      <c r="C551" s="28"/>
      <c r="D551" s="28"/>
      <c r="E551" s="44"/>
      <c r="F551" s="44"/>
      <c r="G551" s="44"/>
      <c r="H551" s="44"/>
    </row>
    <row r="552" spans="1:8">
      <c r="A552" s="27"/>
      <c r="C552" s="28"/>
      <c r="D552" s="28"/>
      <c r="E552" s="44"/>
      <c r="F552" s="44"/>
      <c r="G552" s="44"/>
      <c r="H552" s="44"/>
    </row>
    <row r="553" spans="1:8">
      <c r="A553" s="27"/>
      <c r="C553" s="28"/>
      <c r="D553" s="28"/>
      <c r="E553" s="44"/>
      <c r="F553" s="44"/>
      <c r="G553" s="44"/>
      <c r="H553" s="44"/>
    </row>
    <row r="554" spans="1:8">
      <c r="A554" s="27"/>
      <c r="C554" s="28"/>
      <c r="D554" s="28"/>
      <c r="E554" s="44"/>
      <c r="F554" s="44"/>
      <c r="G554" s="44"/>
      <c r="H554" s="44"/>
    </row>
    <row r="555" spans="1:8">
      <c r="A555" s="27"/>
      <c r="C555" s="28"/>
      <c r="D555" s="28"/>
      <c r="E555" s="44"/>
      <c r="F555" s="44"/>
      <c r="G555" s="44"/>
      <c r="H555" s="44"/>
    </row>
    <row r="556" spans="1:8">
      <c r="A556" s="27"/>
      <c r="C556" s="28"/>
      <c r="D556" s="28"/>
      <c r="E556" s="44"/>
      <c r="F556" s="44"/>
      <c r="G556" s="44"/>
      <c r="H556" s="44"/>
    </row>
    <row r="557" spans="1:8">
      <c r="A557" s="27"/>
      <c r="C557" s="28"/>
      <c r="D557" s="28"/>
      <c r="E557" s="44"/>
      <c r="F557" s="44"/>
      <c r="G557" s="44"/>
      <c r="H557" s="44"/>
    </row>
    <row r="558" spans="1:8">
      <c r="A558" s="27"/>
      <c r="C558" s="28"/>
      <c r="D558" s="28"/>
      <c r="E558" s="44"/>
      <c r="F558" s="44"/>
      <c r="G558" s="44"/>
      <c r="H558" s="44"/>
    </row>
    <row r="559" spans="1:8">
      <c r="A559" s="27"/>
      <c r="C559" s="28"/>
      <c r="D559" s="28"/>
      <c r="E559" s="44"/>
      <c r="F559" s="44"/>
      <c r="G559" s="44"/>
      <c r="H559" s="44"/>
    </row>
    <row r="560" spans="1:8">
      <c r="A560" s="27"/>
      <c r="C560" s="28"/>
      <c r="D560" s="28"/>
      <c r="E560" s="44"/>
      <c r="F560" s="44"/>
      <c r="G560" s="44"/>
      <c r="H560" s="44"/>
    </row>
    <row r="561" spans="1:8">
      <c r="A561" s="27"/>
      <c r="C561" s="28"/>
      <c r="D561" s="28"/>
      <c r="E561" s="44"/>
      <c r="F561" s="44"/>
      <c r="G561" s="44"/>
      <c r="H561" s="44"/>
    </row>
    <row r="562" spans="1:8">
      <c r="A562" s="27"/>
      <c r="C562" s="28"/>
      <c r="D562" s="28"/>
      <c r="E562" s="44"/>
      <c r="F562" s="44"/>
      <c r="G562" s="44"/>
      <c r="H562" s="44"/>
    </row>
    <row r="563" spans="1:8">
      <c r="A563" s="27"/>
      <c r="C563" s="28"/>
      <c r="D563" s="28"/>
      <c r="E563" s="44"/>
      <c r="F563" s="44"/>
      <c r="G563" s="44"/>
      <c r="H563" s="44"/>
    </row>
    <row r="564" spans="1:8">
      <c r="A564" s="27"/>
      <c r="C564" s="28"/>
      <c r="D564" s="28"/>
      <c r="E564" s="44"/>
      <c r="F564" s="44"/>
      <c r="G564" s="44"/>
      <c r="H564" s="44"/>
    </row>
    <row r="565" spans="1:8">
      <c r="A565" s="27"/>
      <c r="C565" s="28"/>
      <c r="D565" s="28"/>
      <c r="E565" s="44"/>
      <c r="F565" s="44"/>
      <c r="G565" s="44"/>
      <c r="H565" s="44"/>
    </row>
    <row r="566" spans="1:8">
      <c r="A566" s="27"/>
      <c r="C566" s="28"/>
      <c r="D566" s="28"/>
      <c r="E566" s="44"/>
      <c r="F566" s="44"/>
      <c r="G566" s="44"/>
      <c r="H566" s="44"/>
    </row>
    <row r="567" spans="1:8">
      <c r="A567" s="27"/>
      <c r="C567" s="28"/>
      <c r="D567" s="28"/>
      <c r="E567" s="44"/>
      <c r="F567" s="44"/>
      <c r="G567" s="44"/>
      <c r="H567" s="44"/>
    </row>
    <row r="568" spans="1:8">
      <c r="A568" s="27"/>
      <c r="C568" s="28"/>
      <c r="D568" s="28"/>
      <c r="E568" s="44"/>
      <c r="F568" s="44"/>
      <c r="G568" s="44"/>
      <c r="H568" s="44"/>
    </row>
    <row r="569" spans="1:8">
      <c r="A569" s="27"/>
      <c r="C569" s="28"/>
      <c r="D569" s="28"/>
      <c r="E569" s="44"/>
      <c r="F569" s="44"/>
      <c r="G569" s="44"/>
      <c r="H569" s="44"/>
    </row>
    <row r="570" spans="1:8">
      <c r="A570" s="27"/>
      <c r="C570" s="28"/>
      <c r="D570" s="28"/>
      <c r="E570" s="44"/>
      <c r="F570" s="44"/>
      <c r="G570" s="44"/>
      <c r="H570" s="44"/>
    </row>
    <row r="571" spans="1:8">
      <c r="A571" s="27"/>
      <c r="C571" s="28"/>
      <c r="D571" s="28"/>
      <c r="E571" s="44"/>
      <c r="F571" s="44"/>
      <c r="G571" s="44"/>
      <c r="H571" s="44"/>
    </row>
    <row r="572" spans="1:8">
      <c r="A572" s="27"/>
      <c r="C572" s="28"/>
      <c r="D572" s="28"/>
      <c r="E572" s="44"/>
      <c r="F572" s="44"/>
      <c r="G572" s="44"/>
      <c r="H572" s="44"/>
    </row>
    <row r="573" spans="1:8">
      <c r="A573" s="27"/>
      <c r="C573" s="28"/>
      <c r="D573" s="28"/>
      <c r="E573" s="44"/>
      <c r="F573" s="44"/>
      <c r="G573" s="44"/>
      <c r="H573" s="44"/>
    </row>
    <row r="574" spans="1:8">
      <c r="A574" s="27"/>
      <c r="C574" s="28"/>
      <c r="D574" s="28"/>
      <c r="E574" s="44"/>
      <c r="F574" s="44"/>
      <c r="G574" s="44"/>
      <c r="H574" s="44"/>
    </row>
    <row r="575" spans="1:8">
      <c r="A575" s="27"/>
      <c r="C575" s="28"/>
      <c r="D575" s="28"/>
      <c r="E575" s="44"/>
      <c r="F575" s="44"/>
      <c r="G575" s="44"/>
      <c r="H575" s="44"/>
    </row>
    <row r="576" spans="1:8">
      <c r="A576" s="27"/>
      <c r="C576" s="28"/>
      <c r="D576" s="28"/>
      <c r="E576" s="44"/>
      <c r="F576" s="44"/>
      <c r="G576" s="44"/>
      <c r="H576" s="44"/>
    </row>
    <row r="577" spans="1:8">
      <c r="A577" s="27"/>
      <c r="C577" s="28"/>
      <c r="D577" s="28"/>
      <c r="E577" s="44"/>
      <c r="F577" s="44"/>
      <c r="G577" s="44"/>
      <c r="H577" s="44"/>
    </row>
    <row r="578" spans="1:8">
      <c r="A578" s="27"/>
      <c r="C578" s="28"/>
      <c r="D578" s="28"/>
      <c r="E578" s="44"/>
      <c r="F578" s="44"/>
      <c r="G578" s="44"/>
      <c r="H578" s="44"/>
    </row>
    <row r="579" spans="1:8">
      <c r="A579" s="27"/>
      <c r="C579" s="28"/>
      <c r="D579" s="28"/>
      <c r="E579" s="44"/>
      <c r="F579" s="44"/>
      <c r="G579" s="44"/>
      <c r="H579" s="44"/>
    </row>
    <row r="580" spans="1:8">
      <c r="A580" s="27"/>
      <c r="C580" s="28"/>
      <c r="D580" s="28"/>
      <c r="E580" s="44"/>
      <c r="F580" s="44"/>
      <c r="G580" s="44"/>
      <c r="H580" s="44"/>
    </row>
    <row r="581" spans="1:8">
      <c r="A581" s="27"/>
      <c r="C581" s="28"/>
      <c r="D581" s="28"/>
      <c r="E581" s="44"/>
      <c r="F581" s="44"/>
      <c r="G581" s="44"/>
      <c r="H581" s="44"/>
    </row>
    <row r="582" spans="1:8">
      <c r="A582" s="27"/>
      <c r="C582" s="28"/>
      <c r="D582" s="28"/>
      <c r="E582" s="44"/>
      <c r="F582" s="44"/>
      <c r="G582" s="44"/>
      <c r="H582" s="44"/>
    </row>
    <row r="583" spans="1:8">
      <c r="A583" s="27"/>
      <c r="C583" s="28"/>
      <c r="D583" s="28"/>
      <c r="E583" s="44"/>
      <c r="F583" s="44"/>
      <c r="G583" s="44"/>
      <c r="H583" s="44"/>
    </row>
    <row r="584" spans="1:8">
      <c r="A584" s="27"/>
      <c r="C584" s="28"/>
      <c r="D584" s="28"/>
      <c r="E584" s="44"/>
      <c r="F584" s="44"/>
      <c r="G584" s="44"/>
      <c r="H584" s="44"/>
    </row>
    <row r="585" spans="1:8">
      <c r="A585" s="27"/>
      <c r="C585" s="28"/>
      <c r="D585" s="28"/>
      <c r="E585" s="44"/>
      <c r="F585" s="44"/>
      <c r="G585" s="44"/>
      <c r="H585" s="44"/>
    </row>
    <row r="586" spans="1:8">
      <c r="A586" s="27"/>
      <c r="C586" s="28"/>
      <c r="D586" s="28"/>
      <c r="E586" s="44"/>
      <c r="F586" s="44"/>
      <c r="G586" s="44"/>
      <c r="H586" s="44"/>
    </row>
    <row r="587" spans="1:8">
      <c r="A587" s="27"/>
      <c r="C587" s="28"/>
      <c r="D587" s="28"/>
      <c r="E587" s="44"/>
      <c r="F587" s="44"/>
      <c r="G587" s="44"/>
      <c r="H587" s="44"/>
    </row>
    <row r="588" spans="1:8">
      <c r="A588" s="27"/>
      <c r="C588" s="28"/>
      <c r="D588" s="28"/>
      <c r="E588" s="44"/>
      <c r="F588" s="44"/>
      <c r="G588" s="44"/>
      <c r="H588" s="44"/>
    </row>
    <row r="589" spans="1:8">
      <c r="A589" s="27"/>
      <c r="C589" s="28"/>
      <c r="D589" s="28"/>
      <c r="E589" s="44"/>
      <c r="F589" s="44"/>
      <c r="G589" s="44"/>
      <c r="H589" s="44"/>
    </row>
    <row r="590" spans="1:8">
      <c r="A590" s="27"/>
      <c r="C590" s="28"/>
      <c r="D590" s="28"/>
      <c r="E590" s="44"/>
      <c r="F590" s="44"/>
      <c r="G590" s="44"/>
      <c r="H590" s="44"/>
    </row>
    <row r="591" spans="1:8">
      <c r="A591" s="27"/>
      <c r="C591" s="28"/>
      <c r="D591" s="28"/>
      <c r="E591" s="44"/>
      <c r="F591" s="44"/>
      <c r="G591" s="44"/>
      <c r="H591" s="44"/>
    </row>
    <row r="592" spans="1:8">
      <c r="A592" s="27"/>
      <c r="C592" s="28"/>
      <c r="D592" s="28"/>
      <c r="E592" s="44"/>
      <c r="F592" s="44"/>
      <c r="G592" s="44"/>
      <c r="H592" s="44"/>
    </row>
    <row r="593" spans="1:8">
      <c r="A593" s="27"/>
      <c r="C593" s="28"/>
      <c r="D593" s="28"/>
      <c r="E593" s="44"/>
      <c r="F593" s="44"/>
      <c r="G593" s="44"/>
      <c r="H593" s="44"/>
    </row>
    <row r="594" spans="1:8">
      <c r="A594" s="27"/>
      <c r="C594" s="28"/>
      <c r="D594" s="28"/>
      <c r="E594" s="44"/>
      <c r="F594" s="44"/>
      <c r="G594" s="44"/>
      <c r="H594" s="44"/>
    </row>
    <row r="595" spans="1:8">
      <c r="A595" s="27"/>
      <c r="C595" s="28"/>
      <c r="D595" s="28"/>
      <c r="E595" s="44"/>
      <c r="F595" s="44"/>
      <c r="G595" s="44"/>
      <c r="H595" s="44"/>
    </row>
    <row r="596" spans="1:8">
      <c r="A596" s="27"/>
      <c r="C596" s="28"/>
      <c r="D596" s="28"/>
      <c r="E596" s="44"/>
      <c r="F596" s="44"/>
      <c r="G596" s="44"/>
      <c r="H596" s="44"/>
    </row>
    <row r="597" spans="1:8">
      <c r="A597" s="27"/>
      <c r="C597" s="28"/>
      <c r="D597" s="28"/>
      <c r="E597" s="44"/>
      <c r="F597" s="44"/>
      <c r="G597" s="44"/>
      <c r="H597" s="44"/>
    </row>
    <row r="598" spans="1:8">
      <c r="A598" s="27"/>
      <c r="C598" s="28"/>
      <c r="D598" s="28"/>
      <c r="E598" s="44"/>
      <c r="F598" s="44"/>
      <c r="G598" s="44"/>
      <c r="H598" s="44"/>
    </row>
    <row r="599" spans="1:8">
      <c r="A599" s="27"/>
      <c r="C599" s="28"/>
      <c r="D599" s="28"/>
      <c r="E599" s="44"/>
      <c r="F599" s="44"/>
      <c r="G599" s="44"/>
      <c r="H599" s="44"/>
    </row>
    <row r="600" spans="1:8">
      <c r="A600" s="27"/>
      <c r="C600" s="28"/>
      <c r="D600" s="28"/>
      <c r="E600" s="44"/>
      <c r="F600" s="44"/>
      <c r="G600" s="44"/>
      <c r="H600" s="44"/>
    </row>
    <row r="601" spans="1:8">
      <c r="A601" s="27"/>
      <c r="C601" s="28"/>
      <c r="D601" s="28"/>
      <c r="E601" s="44"/>
      <c r="F601" s="44"/>
      <c r="G601" s="44"/>
      <c r="H601" s="44"/>
    </row>
    <row r="602" spans="1:8">
      <c r="A602" s="27"/>
      <c r="C602" s="28"/>
      <c r="D602" s="28"/>
      <c r="E602" s="44"/>
      <c r="F602" s="44"/>
      <c r="G602" s="44"/>
      <c r="H602" s="44"/>
    </row>
    <row r="603" spans="1:8">
      <c r="A603" s="27"/>
      <c r="C603" s="28"/>
      <c r="D603" s="28"/>
      <c r="E603" s="44"/>
      <c r="F603" s="44"/>
      <c r="G603" s="44"/>
      <c r="H603" s="44"/>
    </row>
    <row r="604" spans="1:8">
      <c r="A604" s="27"/>
      <c r="C604" s="28"/>
      <c r="D604" s="28"/>
      <c r="E604" s="44"/>
      <c r="F604" s="44"/>
      <c r="G604" s="44"/>
      <c r="H604" s="44"/>
    </row>
    <row r="605" spans="1:8">
      <c r="A605" s="27"/>
      <c r="C605" s="28"/>
      <c r="D605" s="28"/>
      <c r="E605" s="44"/>
      <c r="F605" s="44"/>
      <c r="G605" s="44"/>
      <c r="H605" s="44"/>
    </row>
    <row r="606" spans="1:8">
      <c r="A606" s="27"/>
      <c r="C606" s="28"/>
      <c r="D606" s="28"/>
      <c r="E606" s="44"/>
      <c r="F606" s="44"/>
      <c r="G606" s="44"/>
      <c r="H606" s="44"/>
    </row>
    <row r="607" spans="1:8">
      <c r="A607" s="27"/>
      <c r="C607" s="28"/>
      <c r="D607" s="28"/>
      <c r="E607" s="44"/>
      <c r="F607" s="44"/>
      <c r="G607" s="44"/>
      <c r="H607" s="44"/>
    </row>
    <row r="608" spans="1:8">
      <c r="A608" s="27"/>
      <c r="C608" s="28"/>
      <c r="D608" s="28"/>
      <c r="E608" s="44"/>
      <c r="F608" s="44"/>
      <c r="G608" s="44"/>
      <c r="H608" s="44"/>
    </row>
    <row r="609" spans="1:8">
      <c r="A609" s="27"/>
      <c r="C609" s="28"/>
      <c r="D609" s="28"/>
      <c r="E609" s="44"/>
      <c r="F609" s="44"/>
      <c r="G609" s="44"/>
      <c r="H609" s="44"/>
    </row>
    <row r="610" spans="1:8">
      <c r="A610" s="27"/>
      <c r="C610" s="28"/>
      <c r="D610" s="28"/>
      <c r="E610" s="44"/>
      <c r="F610" s="44"/>
      <c r="G610" s="44"/>
      <c r="H610" s="44"/>
    </row>
    <row r="611" spans="1:8">
      <c r="A611" s="27"/>
      <c r="C611" s="28"/>
      <c r="D611" s="28"/>
      <c r="E611" s="44"/>
      <c r="F611" s="44"/>
      <c r="G611" s="44"/>
      <c r="H611" s="44"/>
    </row>
    <row r="612" spans="1:8">
      <c r="A612" s="27"/>
      <c r="C612" s="28"/>
      <c r="D612" s="28"/>
      <c r="E612" s="44"/>
      <c r="F612" s="44"/>
      <c r="G612" s="44"/>
      <c r="H612" s="44"/>
    </row>
    <row r="613" spans="1:8">
      <c r="A613" s="27"/>
      <c r="C613" s="28"/>
      <c r="D613" s="28"/>
      <c r="E613" s="44"/>
      <c r="F613" s="44"/>
      <c r="G613" s="44"/>
      <c r="H613" s="44"/>
    </row>
    <row r="614" spans="1:8">
      <c r="A614" s="27"/>
      <c r="C614" s="28"/>
      <c r="D614" s="28"/>
      <c r="E614" s="44"/>
      <c r="F614" s="44"/>
      <c r="G614" s="44"/>
      <c r="H614" s="44"/>
    </row>
    <row r="615" spans="1:8">
      <c r="A615" s="27"/>
      <c r="C615" s="28"/>
      <c r="D615" s="28"/>
      <c r="E615" s="44"/>
      <c r="F615" s="44"/>
      <c r="G615" s="44"/>
      <c r="H615" s="44"/>
    </row>
    <row r="616" spans="1:8">
      <c r="A616" s="27"/>
      <c r="C616" s="28"/>
      <c r="D616" s="28"/>
      <c r="E616" s="44"/>
      <c r="F616" s="44"/>
      <c r="G616" s="44"/>
      <c r="H616" s="44"/>
    </row>
    <row r="617" spans="1:8">
      <c r="A617" s="27"/>
      <c r="C617" s="28"/>
      <c r="D617" s="28"/>
      <c r="E617" s="44"/>
      <c r="F617" s="44"/>
      <c r="G617" s="44"/>
      <c r="H617" s="44"/>
    </row>
    <row r="618" spans="1:8">
      <c r="A618" s="27"/>
      <c r="C618" s="28"/>
      <c r="D618" s="28"/>
      <c r="E618" s="44"/>
      <c r="F618" s="44"/>
      <c r="G618" s="44"/>
      <c r="H618" s="44"/>
    </row>
    <row r="619" spans="1:8">
      <c r="A619" s="27"/>
      <c r="C619" s="28"/>
      <c r="D619" s="28"/>
      <c r="E619" s="44"/>
      <c r="F619" s="44"/>
      <c r="G619" s="44"/>
      <c r="H619" s="44"/>
    </row>
    <row r="620" spans="1:8">
      <c r="A620" s="27"/>
      <c r="C620" s="28"/>
      <c r="D620" s="28"/>
      <c r="E620" s="44"/>
      <c r="F620" s="44"/>
      <c r="G620" s="44"/>
      <c r="H620" s="44"/>
    </row>
    <row r="621" spans="1:8">
      <c r="A621" s="27"/>
      <c r="C621" s="28"/>
      <c r="D621" s="28"/>
      <c r="E621" s="44"/>
      <c r="F621" s="44"/>
      <c r="G621" s="44"/>
      <c r="H621" s="44"/>
    </row>
    <row r="622" spans="1:8">
      <c r="A622" s="27"/>
      <c r="C622" s="28"/>
      <c r="D622" s="28"/>
      <c r="E622" s="44"/>
      <c r="F622" s="44"/>
      <c r="G622" s="44"/>
      <c r="H622" s="44"/>
    </row>
    <row r="623" spans="1:8">
      <c r="A623" s="27"/>
      <c r="C623" s="28"/>
      <c r="D623" s="28"/>
      <c r="E623" s="44"/>
      <c r="F623" s="44"/>
      <c r="G623" s="44"/>
      <c r="H623" s="44"/>
    </row>
    <row r="624" spans="1:8">
      <c r="A624" s="27"/>
      <c r="C624" s="28"/>
      <c r="D624" s="28"/>
      <c r="E624" s="44"/>
      <c r="F624" s="44"/>
      <c r="G624" s="44"/>
      <c r="H624" s="44"/>
    </row>
    <row r="625" spans="1:8">
      <c r="A625" s="27"/>
      <c r="C625" s="28"/>
      <c r="D625" s="28"/>
      <c r="E625" s="44"/>
      <c r="F625" s="44"/>
      <c r="G625" s="44"/>
      <c r="H625" s="44"/>
    </row>
    <row r="626" spans="1:8">
      <c r="A626" s="27"/>
      <c r="C626" s="28"/>
      <c r="D626" s="28"/>
      <c r="E626" s="44"/>
      <c r="F626" s="44"/>
      <c r="G626" s="44"/>
      <c r="H626" s="44"/>
    </row>
    <row r="627" spans="1:8">
      <c r="A627" s="27"/>
      <c r="C627" s="28"/>
      <c r="D627" s="28"/>
      <c r="E627" s="44"/>
      <c r="F627" s="44"/>
      <c r="G627" s="44"/>
      <c r="H627" s="44"/>
    </row>
    <row r="628" spans="1:8">
      <c r="A628" s="27"/>
      <c r="C628" s="28"/>
      <c r="D628" s="28"/>
      <c r="E628" s="44"/>
      <c r="F628" s="44"/>
      <c r="G628" s="44"/>
      <c r="H628" s="44"/>
    </row>
    <row r="629" spans="1:8">
      <c r="A629" s="27"/>
      <c r="C629" s="28"/>
      <c r="D629" s="28"/>
      <c r="E629" s="44"/>
      <c r="F629" s="44"/>
      <c r="G629" s="44"/>
      <c r="H629" s="44"/>
    </row>
    <row r="630" spans="1:8">
      <c r="A630" s="27"/>
      <c r="C630" s="28"/>
      <c r="D630" s="28"/>
      <c r="E630" s="44"/>
      <c r="F630" s="44"/>
      <c r="G630" s="44"/>
      <c r="H630" s="44"/>
    </row>
    <row r="631" spans="1:8">
      <c r="A631" s="27"/>
      <c r="C631" s="28"/>
      <c r="D631" s="28"/>
      <c r="E631" s="44"/>
      <c r="F631" s="44"/>
      <c r="G631" s="44"/>
      <c r="H631" s="44"/>
    </row>
    <row r="632" spans="1:8">
      <c r="A632" s="27"/>
      <c r="C632" s="28"/>
      <c r="D632" s="28"/>
      <c r="E632" s="44"/>
      <c r="F632" s="44"/>
      <c r="G632" s="44"/>
      <c r="H632" s="44"/>
    </row>
    <row r="633" spans="1:8">
      <c r="A633" s="27"/>
      <c r="C633" s="28"/>
      <c r="D633" s="28"/>
      <c r="E633" s="44"/>
      <c r="F633" s="44"/>
      <c r="G633" s="44"/>
      <c r="H633" s="44"/>
    </row>
    <row r="634" spans="1:8">
      <c r="A634" s="27"/>
      <c r="C634" s="28"/>
      <c r="D634" s="28"/>
      <c r="E634" s="44"/>
      <c r="F634" s="44"/>
      <c r="G634" s="44"/>
      <c r="H634" s="44"/>
    </row>
    <row r="635" spans="1:8">
      <c r="A635" s="27"/>
      <c r="C635" s="28"/>
      <c r="D635" s="28"/>
      <c r="E635" s="44"/>
      <c r="F635" s="44"/>
      <c r="G635" s="44"/>
      <c r="H635" s="44"/>
    </row>
    <row r="636" spans="1:8">
      <c r="A636" s="27"/>
      <c r="C636" s="28"/>
      <c r="D636" s="28"/>
      <c r="E636" s="44"/>
      <c r="F636" s="44"/>
      <c r="G636" s="44"/>
      <c r="H636" s="44"/>
    </row>
    <row r="637" spans="1:8">
      <c r="A637" s="27"/>
      <c r="C637" s="28"/>
      <c r="D637" s="28"/>
      <c r="E637" s="44"/>
      <c r="F637" s="44"/>
      <c r="G637" s="44"/>
      <c r="H637" s="44"/>
    </row>
    <row r="638" spans="1:8">
      <c r="A638" s="27"/>
      <c r="C638" s="28"/>
      <c r="D638" s="28"/>
      <c r="E638" s="44"/>
      <c r="F638" s="44"/>
      <c r="G638" s="44"/>
      <c r="H638" s="44"/>
    </row>
    <row r="639" spans="1:8">
      <c r="A639" s="27"/>
      <c r="C639" s="28"/>
      <c r="D639" s="28"/>
      <c r="E639" s="44"/>
      <c r="F639" s="44"/>
      <c r="G639" s="44"/>
      <c r="H639" s="44"/>
    </row>
    <row r="640" spans="1:8">
      <c r="A640" s="27"/>
      <c r="C640" s="28"/>
      <c r="D640" s="28"/>
      <c r="E640" s="44"/>
      <c r="F640" s="44"/>
      <c r="G640" s="44"/>
      <c r="H640" s="44"/>
    </row>
    <row r="641" spans="1:8">
      <c r="A641" s="27"/>
      <c r="C641" s="28"/>
      <c r="D641" s="28"/>
      <c r="E641" s="44"/>
      <c r="F641" s="44"/>
      <c r="G641" s="44"/>
      <c r="H641" s="44"/>
    </row>
    <row r="642" spans="1:8">
      <c r="A642" s="27"/>
      <c r="C642" s="28"/>
      <c r="D642" s="28"/>
      <c r="E642" s="44"/>
      <c r="F642" s="44"/>
      <c r="G642" s="44"/>
      <c r="H642" s="44"/>
    </row>
    <row r="643" spans="1:8">
      <c r="A643" s="27"/>
      <c r="C643" s="28"/>
      <c r="D643" s="28"/>
      <c r="E643" s="44"/>
      <c r="F643" s="44"/>
      <c r="G643" s="44"/>
      <c r="H643" s="44"/>
    </row>
    <row r="644" spans="1:8">
      <c r="A644" s="27"/>
      <c r="C644" s="28"/>
      <c r="D644" s="28"/>
      <c r="E644" s="44"/>
      <c r="F644" s="44"/>
      <c r="G644" s="44"/>
      <c r="H644" s="44"/>
    </row>
    <row r="645" spans="1:8">
      <c r="A645" s="27"/>
      <c r="C645" s="28"/>
      <c r="D645" s="28"/>
      <c r="E645" s="44"/>
      <c r="F645" s="44"/>
      <c r="G645" s="44"/>
      <c r="H645" s="44"/>
    </row>
    <row r="646" spans="1:8">
      <c r="A646" s="27"/>
      <c r="C646" s="28"/>
      <c r="D646" s="28"/>
      <c r="E646" s="44"/>
      <c r="F646" s="44"/>
      <c r="G646" s="44"/>
      <c r="H646" s="44"/>
    </row>
    <row r="647" spans="1:8">
      <c r="A647" s="27"/>
      <c r="C647" s="28"/>
      <c r="D647" s="28"/>
      <c r="E647" s="44"/>
      <c r="F647" s="44"/>
      <c r="G647" s="44"/>
      <c r="H647" s="44"/>
    </row>
    <row r="648" spans="1:8">
      <c r="A648" s="27"/>
      <c r="C648" s="28"/>
      <c r="D648" s="28"/>
      <c r="E648" s="44"/>
      <c r="F648" s="44"/>
      <c r="G648" s="44"/>
      <c r="H648" s="44"/>
    </row>
    <row r="649" spans="1:8">
      <c r="A649" s="27"/>
      <c r="C649" s="28"/>
      <c r="D649" s="28"/>
      <c r="E649" s="44"/>
      <c r="F649" s="44"/>
      <c r="G649" s="44"/>
      <c r="H649" s="44"/>
    </row>
    <row r="650" spans="1:8">
      <c r="A650" s="27"/>
      <c r="C650" s="28"/>
      <c r="D650" s="28"/>
      <c r="E650" s="44"/>
      <c r="F650" s="44"/>
      <c r="G650" s="44"/>
      <c r="H650" s="44"/>
    </row>
    <row r="651" spans="1:8">
      <c r="A651" s="27"/>
      <c r="C651" s="28"/>
      <c r="D651" s="28"/>
      <c r="E651" s="44"/>
      <c r="F651" s="44"/>
      <c r="G651" s="44"/>
      <c r="H651" s="44"/>
    </row>
    <row r="652" spans="1:8">
      <c r="A652" s="27"/>
      <c r="C652" s="28"/>
      <c r="D652" s="28"/>
      <c r="E652" s="44"/>
      <c r="F652" s="44"/>
      <c r="G652" s="44"/>
      <c r="H652" s="44"/>
    </row>
    <row r="653" spans="1:8">
      <c r="A653" s="27"/>
      <c r="C653" s="28"/>
      <c r="D653" s="28"/>
      <c r="E653" s="44"/>
      <c r="F653" s="44"/>
      <c r="G653" s="44"/>
      <c r="H653" s="44"/>
    </row>
    <row r="654" spans="1:8">
      <c r="A654" s="27"/>
      <c r="C654" s="28"/>
      <c r="D654" s="28"/>
      <c r="E654" s="44"/>
      <c r="F654" s="44"/>
      <c r="G654" s="44"/>
      <c r="H654" s="44"/>
    </row>
    <row r="655" spans="1:8">
      <c r="A655" s="27"/>
      <c r="C655" s="28"/>
      <c r="D655" s="28"/>
      <c r="E655" s="44"/>
      <c r="F655" s="44"/>
      <c r="G655" s="44"/>
      <c r="H655" s="44"/>
    </row>
    <row r="656" spans="1:8">
      <c r="A656" s="27"/>
      <c r="C656" s="28"/>
      <c r="D656" s="28"/>
      <c r="E656" s="44"/>
      <c r="F656" s="44"/>
      <c r="G656" s="44"/>
      <c r="H656" s="44"/>
    </row>
    <row r="657" spans="1:8">
      <c r="A657" s="27"/>
      <c r="C657" s="28"/>
      <c r="D657" s="28"/>
      <c r="E657" s="44"/>
      <c r="F657" s="44"/>
      <c r="G657" s="44"/>
      <c r="H657" s="44"/>
    </row>
    <row r="658" spans="1:8">
      <c r="A658" s="27"/>
      <c r="C658" s="28"/>
      <c r="D658" s="28"/>
      <c r="E658" s="44"/>
      <c r="F658" s="44"/>
      <c r="G658" s="44"/>
      <c r="H658" s="44"/>
    </row>
    <row r="659" spans="1:8">
      <c r="A659" s="27"/>
      <c r="C659" s="28"/>
      <c r="D659" s="28"/>
      <c r="E659" s="44"/>
      <c r="F659" s="44"/>
      <c r="G659" s="44"/>
      <c r="H659" s="44"/>
    </row>
    <row r="660" spans="1:8">
      <c r="A660" s="27"/>
      <c r="C660" s="28"/>
      <c r="D660" s="28"/>
      <c r="E660" s="44"/>
      <c r="F660" s="44"/>
      <c r="G660" s="44"/>
      <c r="H660" s="44"/>
    </row>
    <row r="661" spans="1:8">
      <c r="A661" s="27"/>
      <c r="C661" s="28"/>
      <c r="D661" s="28"/>
      <c r="E661" s="44"/>
      <c r="F661" s="44"/>
      <c r="G661" s="44"/>
      <c r="H661" s="44"/>
    </row>
    <row r="662" spans="1:8">
      <c r="A662" s="27"/>
      <c r="C662" s="28"/>
      <c r="D662" s="28"/>
      <c r="E662" s="44"/>
      <c r="F662" s="44"/>
      <c r="G662" s="44"/>
      <c r="H662" s="44"/>
    </row>
    <row r="663" spans="1:8">
      <c r="A663" s="27"/>
      <c r="C663" s="28"/>
      <c r="D663" s="28"/>
      <c r="E663" s="44"/>
      <c r="F663" s="44"/>
      <c r="G663" s="44"/>
      <c r="H663" s="44"/>
    </row>
    <row r="664" spans="1:8">
      <c r="A664" s="27"/>
      <c r="C664" s="28"/>
      <c r="D664" s="28"/>
      <c r="E664" s="44"/>
      <c r="F664" s="44"/>
      <c r="G664" s="44"/>
      <c r="H664" s="44"/>
    </row>
    <row r="665" spans="1:8">
      <c r="A665" s="27"/>
      <c r="C665" s="28"/>
      <c r="D665" s="28"/>
      <c r="E665" s="44"/>
      <c r="F665" s="44"/>
      <c r="G665" s="44"/>
      <c r="H665" s="44"/>
    </row>
    <row r="666" spans="1:8">
      <c r="A666" s="27"/>
      <c r="C666" s="28"/>
      <c r="D666" s="28"/>
      <c r="E666" s="44"/>
      <c r="F666" s="44"/>
      <c r="G666" s="44"/>
      <c r="H666" s="44"/>
    </row>
    <row r="667" spans="1:8">
      <c r="A667" s="27"/>
      <c r="C667" s="28"/>
      <c r="D667" s="28"/>
      <c r="E667" s="44"/>
      <c r="F667" s="44"/>
      <c r="G667" s="44"/>
      <c r="H667" s="44"/>
    </row>
    <row r="668" spans="1:8">
      <c r="A668" s="27"/>
      <c r="C668" s="28"/>
      <c r="D668" s="28"/>
      <c r="E668" s="44"/>
      <c r="F668" s="44"/>
      <c r="G668" s="44"/>
      <c r="H668" s="44"/>
    </row>
    <row r="669" spans="1:8">
      <c r="A669" s="27"/>
      <c r="C669" s="28"/>
      <c r="D669" s="28"/>
      <c r="E669" s="44"/>
      <c r="F669" s="44"/>
      <c r="G669" s="44"/>
      <c r="H669" s="44"/>
    </row>
    <row r="670" spans="1:8">
      <c r="A670" s="27"/>
      <c r="C670" s="28"/>
      <c r="D670" s="28"/>
      <c r="E670" s="44"/>
      <c r="F670" s="44"/>
      <c r="G670" s="44"/>
      <c r="H670" s="44"/>
    </row>
    <row r="671" spans="1:8">
      <c r="A671" s="27"/>
      <c r="C671" s="28"/>
      <c r="D671" s="28"/>
      <c r="E671" s="44"/>
      <c r="F671" s="44"/>
      <c r="G671" s="44"/>
      <c r="H671" s="44"/>
    </row>
    <row r="672" spans="1:8">
      <c r="A672" s="27"/>
      <c r="C672" s="28"/>
      <c r="D672" s="28"/>
      <c r="E672" s="44"/>
      <c r="F672" s="44"/>
      <c r="G672" s="44"/>
      <c r="H672" s="44"/>
    </row>
    <row r="673" spans="1:8">
      <c r="A673" s="27"/>
      <c r="C673" s="28"/>
      <c r="D673" s="28"/>
      <c r="E673" s="44"/>
      <c r="F673" s="44"/>
      <c r="G673" s="44"/>
      <c r="H673" s="44"/>
    </row>
    <row r="674" spans="1:8">
      <c r="A674" s="27"/>
      <c r="C674" s="28"/>
      <c r="D674" s="28"/>
      <c r="E674" s="44"/>
      <c r="F674" s="44"/>
      <c r="G674" s="44"/>
      <c r="H674" s="44"/>
    </row>
    <row r="675" spans="1:8">
      <c r="A675" s="27"/>
      <c r="C675" s="28"/>
      <c r="D675" s="28"/>
      <c r="E675" s="44"/>
      <c r="F675" s="44"/>
      <c r="G675" s="44"/>
      <c r="H675" s="44"/>
    </row>
    <row r="676" spans="1:8">
      <c r="A676" s="27"/>
      <c r="C676" s="28"/>
      <c r="D676" s="28"/>
      <c r="E676" s="44"/>
      <c r="F676" s="44"/>
      <c r="G676" s="44"/>
      <c r="H676" s="44"/>
    </row>
    <row r="677" spans="1:8">
      <c r="A677" s="27"/>
      <c r="C677" s="28"/>
      <c r="D677" s="28"/>
      <c r="E677" s="44"/>
      <c r="F677" s="44"/>
      <c r="G677" s="44"/>
      <c r="H677" s="44"/>
    </row>
    <row r="678" spans="1:8">
      <c r="A678" s="27"/>
      <c r="C678" s="28"/>
      <c r="D678" s="28"/>
      <c r="E678" s="44"/>
      <c r="F678" s="44"/>
      <c r="G678" s="44"/>
      <c r="H678" s="44"/>
    </row>
    <row r="679" spans="1:8">
      <c r="A679" s="27"/>
      <c r="C679" s="28"/>
      <c r="D679" s="28"/>
      <c r="E679" s="44"/>
      <c r="F679" s="44"/>
      <c r="G679" s="44"/>
      <c r="H679" s="44"/>
    </row>
    <row r="680" spans="1:8">
      <c r="A680" s="27"/>
      <c r="C680" s="28"/>
      <c r="D680" s="28"/>
      <c r="E680" s="44"/>
      <c r="F680" s="44"/>
      <c r="G680" s="44"/>
      <c r="H680" s="44"/>
    </row>
    <row r="681" spans="1:8">
      <c r="A681" s="27"/>
      <c r="C681" s="28"/>
      <c r="D681" s="28"/>
      <c r="E681" s="44"/>
      <c r="F681" s="44"/>
      <c r="G681" s="44"/>
      <c r="H681" s="44"/>
    </row>
    <row r="682" spans="1:8">
      <c r="A682" s="27"/>
      <c r="C682" s="28"/>
      <c r="D682" s="28"/>
      <c r="E682" s="44"/>
      <c r="F682" s="44"/>
      <c r="G682" s="44"/>
      <c r="H682" s="44"/>
    </row>
    <row r="683" spans="1:8">
      <c r="A683" s="27"/>
      <c r="C683" s="28"/>
      <c r="D683" s="28"/>
      <c r="E683" s="44"/>
      <c r="F683" s="44"/>
      <c r="G683" s="44"/>
      <c r="H683" s="44"/>
    </row>
    <row r="684" spans="1:8">
      <c r="A684" s="27"/>
      <c r="C684" s="28"/>
      <c r="D684" s="28"/>
      <c r="E684" s="44"/>
      <c r="F684" s="44"/>
      <c r="G684" s="44"/>
      <c r="H684" s="44"/>
    </row>
    <row r="685" spans="1:8">
      <c r="A685" s="27"/>
      <c r="C685" s="28"/>
      <c r="D685" s="28"/>
      <c r="E685" s="44"/>
      <c r="F685" s="44"/>
      <c r="G685" s="44"/>
      <c r="H685" s="44"/>
    </row>
    <row r="686" spans="1:8">
      <c r="A686" s="27"/>
      <c r="C686" s="28"/>
      <c r="D686" s="28"/>
      <c r="E686" s="44"/>
      <c r="F686" s="44"/>
      <c r="G686" s="44"/>
      <c r="H686" s="44"/>
    </row>
    <row r="687" spans="1:8">
      <c r="A687" s="27"/>
      <c r="C687" s="28"/>
      <c r="D687" s="28"/>
      <c r="E687" s="44"/>
      <c r="F687" s="44"/>
      <c r="G687" s="44"/>
      <c r="H687" s="44"/>
    </row>
    <row r="688" spans="1:8">
      <c r="A688" s="27"/>
      <c r="C688" s="28"/>
      <c r="D688" s="28"/>
      <c r="E688" s="44"/>
      <c r="F688" s="44"/>
      <c r="G688" s="44"/>
      <c r="H688" s="44"/>
    </row>
    <row r="689" spans="1:8">
      <c r="A689" s="27"/>
      <c r="C689" s="28"/>
      <c r="D689" s="28"/>
      <c r="E689" s="44"/>
      <c r="F689" s="44"/>
      <c r="G689" s="44"/>
      <c r="H689" s="44"/>
    </row>
    <row r="690" spans="1:8">
      <c r="A690" s="27"/>
      <c r="C690" s="28"/>
      <c r="D690" s="28"/>
      <c r="E690" s="44"/>
      <c r="F690" s="44"/>
      <c r="G690" s="44"/>
      <c r="H690" s="44"/>
    </row>
    <row r="691" spans="1:8">
      <c r="A691" s="27"/>
      <c r="C691" s="28"/>
      <c r="D691" s="28"/>
      <c r="E691" s="44"/>
      <c r="F691" s="44"/>
      <c r="G691" s="44"/>
      <c r="H691" s="44"/>
    </row>
    <row r="692" spans="1:8">
      <c r="A692" s="27"/>
      <c r="C692" s="28"/>
      <c r="D692" s="28"/>
      <c r="E692" s="44"/>
      <c r="F692" s="44"/>
      <c r="G692" s="44"/>
      <c r="H692" s="44"/>
    </row>
    <row r="693" spans="1:8">
      <c r="A693" s="27"/>
      <c r="C693" s="28"/>
      <c r="D693" s="28"/>
      <c r="E693" s="44"/>
      <c r="F693" s="44"/>
      <c r="G693" s="44"/>
      <c r="H693" s="44"/>
    </row>
    <row r="694" spans="1:8">
      <c r="A694" s="27"/>
      <c r="C694" s="28"/>
      <c r="D694" s="28"/>
      <c r="E694" s="44"/>
      <c r="F694" s="44"/>
      <c r="G694" s="44"/>
      <c r="H694" s="44"/>
    </row>
    <row r="695" spans="1:8">
      <c r="A695" s="27"/>
      <c r="C695" s="28"/>
      <c r="D695" s="28"/>
      <c r="E695" s="44"/>
      <c r="F695" s="44"/>
      <c r="G695" s="44"/>
      <c r="H695" s="44"/>
    </row>
    <row r="696" spans="1:8">
      <c r="A696" s="27"/>
      <c r="C696" s="28"/>
      <c r="D696" s="28"/>
      <c r="E696" s="44"/>
      <c r="F696" s="44"/>
      <c r="G696" s="44"/>
      <c r="H696" s="44"/>
    </row>
    <row r="697" spans="1:8">
      <c r="A697" s="27"/>
      <c r="C697" s="28"/>
      <c r="D697" s="28"/>
      <c r="E697" s="44"/>
      <c r="F697" s="44"/>
      <c r="G697" s="44"/>
      <c r="H697" s="44"/>
    </row>
    <row r="698" spans="1:8">
      <c r="A698" s="27"/>
      <c r="C698" s="28"/>
      <c r="D698" s="28"/>
      <c r="E698" s="44"/>
      <c r="F698" s="44"/>
      <c r="G698" s="44"/>
      <c r="H698" s="44"/>
    </row>
    <row r="699" spans="1:8">
      <c r="A699" s="27"/>
      <c r="C699" s="28"/>
      <c r="D699" s="28"/>
      <c r="E699" s="44"/>
      <c r="F699" s="44"/>
      <c r="G699" s="44"/>
      <c r="H699" s="44"/>
    </row>
    <row r="700" spans="1:8">
      <c r="A700" s="27"/>
      <c r="C700" s="28"/>
      <c r="D700" s="28"/>
      <c r="E700" s="44"/>
      <c r="F700" s="44"/>
      <c r="G700" s="44"/>
      <c r="H700" s="44"/>
    </row>
    <row r="701" spans="1:8">
      <c r="A701" s="27"/>
      <c r="C701" s="28"/>
      <c r="D701" s="28"/>
      <c r="E701" s="44"/>
      <c r="F701" s="44"/>
      <c r="G701" s="44"/>
      <c r="H701" s="44"/>
    </row>
    <row r="702" spans="1:8">
      <c r="A702" s="27"/>
      <c r="C702" s="28"/>
      <c r="D702" s="28"/>
      <c r="E702" s="44"/>
      <c r="F702" s="44"/>
      <c r="G702" s="44"/>
      <c r="H702" s="44"/>
    </row>
    <row r="703" spans="1:8">
      <c r="A703" s="27"/>
      <c r="C703" s="28"/>
      <c r="D703" s="28"/>
      <c r="E703" s="44"/>
      <c r="F703" s="44"/>
      <c r="G703" s="44"/>
      <c r="H703" s="44"/>
    </row>
    <row r="704" spans="1:8">
      <c r="A704" s="27"/>
      <c r="C704" s="28"/>
      <c r="D704" s="28"/>
      <c r="E704" s="44"/>
      <c r="F704" s="44"/>
      <c r="G704" s="44"/>
      <c r="H704" s="44"/>
    </row>
    <row r="705" spans="1:8">
      <c r="A705" s="27"/>
      <c r="C705" s="28"/>
      <c r="D705" s="28"/>
      <c r="E705" s="44"/>
      <c r="F705" s="44"/>
      <c r="G705" s="44"/>
      <c r="H705" s="44"/>
    </row>
    <row r="706" spans="1:8">
      <c r="A706" s="27"/>
      <c r="C706" s="28"/>
      <c r="D706" s="28"/>
      <c r="E706" s="44"/>
      <c r="F706" s="44"/>
      <c r="G706" s="44"/>
      <c r="H706" s="44"/>
    </row>
    <row r="707" spans="1:8">
      <c r="A707" s="27"/>
      <c r="C707" s="28"/>
      <c r="D707" s="28"/>
      <c r="E707" s="44"/>
      <c r="F707" s="44"/>
      <c r="G707" s="44"/>
      <c r="H707" s="44"/>
    </row>
    <row r="708" spans="1:8">
      <c r="A708" s="27"/>
      <c r="C708" s="28"/>
      <c r="D708" s="28"/>
      <c r="E708" s="44"/>
      <c r="F708" s="44"/>
      <c r="G708" s="44"/>
      <c r="H708" s="44"/>
    </row>
    <row r="709" spans="1:8">
      <c r="A709" s="27"/>
      <c r="C709" s="28"/>
      <c r="D709" s="28"/>
      <c r="E709" s="44"/>
      <c r="F709" s="44"/>
      <c r="G709" s="44"/>
      <c r="H709" s="44"/>
    </row>
    <row r="710" spans="1:8">
      <c r="A710" s="27"/>
      <c r="C710" s="28"/>
      <c r="D710" s="28"/>
      <c r="E710" s="44"/>
      <c r="F710" s="44"/>
      <c r="G710" s="44"/>
      <c r="H710" s="44"/>
    </row>
    <row r="711" spans="1:8">
      <c r="A711" s="27"/>
      <c r="C711" s="28"/>
      <c r="D711" s="28"/>
      <c r="E711" s="44"/>
      <c r="F711" s="44"/>
      <c r="G711" s="44"/>
      <c r="H711" s="44"/>
    </row>
    <row r="712" spans="1:8">
      <c r="A712" s="27"/>
      <c r="C712" s="28"/>
      <c r="D712" s="28"/>
      <c r="E712" s="44"/>
      <c r="F712" s="44"/>
      <c r="G712" s="44"/>
      <c r="H712" s="44"/>
    </row>
    <row r="713" spans="1:8">
      <c r="A713" s="27"/>
      <c r="C713" s="28"/>
      <c r="D713" s="28"/>
      <c r="E713" s="44"/>
      <c r="F713" s="44"/>
      <c r="G713" s="44"/>
      <c r="H713" s="44"/>
    </row>
    <row r="714" spans="1:8">
      <c r="A714" s="27"/>
      <c r="C714" s="28"/>
      <c r="D714" s="28"/>
      <c r="E714" s="44"/>
      <c r="F714" s="44"/>
      <c r="G714" s="44"/>
      <c r="H714" s="44"/>
    </row>
    <row r="715" spans="1:8">
      <c r="A715" s="27"/>
      <c r="C715" s="28"/>
      <c r="D715" s="28"/>
      <c r="E715" s="44"/>
      <c r="F715" s="44"/>
      <c r="G715" s="44"/>
      <c r="H715" s="44"/>
    </row>
    <row r="716" spans="1:8">
      <c r="A716" s="27"/>
      <c r="C716" s="28"/>
      <c r="D716" s="28"/>
      <c r="E716" s="44"/>
      <c r="F716" s="44"/>
      <c r="G716" s="44"/>
      <c r="H716" s="44"/>
    </row>
    <row r="717" spans="1:8">
      <c r="A717" s="27"/>
      <c r="C717" s="28"/>
      <c r="D717" s="28"/>
      <c r="E717" s="44"/>
      <c r="F717" s="44"/>
      <c r="G717" s="44"/>
      <c r="H717" s="44"/>
    </row>
    <row r="718" spans="1:8">
      <c r="A718" s="27"/>
      <c r="C718" s="28"/>
      <c r="D718" s="28"/>
      <c r="E718" s="44"/>
      <c r="F718" s="44"/>
      <c r="G718" s="44"/>
      <c r="H718" s="44"/>
    </row>
    <row r="719" spans="1:8">
      <c r="A719" s="27"/>
      <c r="C719" s="28"/>
      <c r="D719" s="28"/>
      <c r="E719" s="44"/>
      <c r="F719" s="44"/>
      <c r="G719" s="44"/>
      <c r="H719" s="44"/>
    </row>
    <row r="720" spans="1:8">
      <c r="A720" s="27"/>
      <c r="C720" s="28"/>
      <c r="D720" s="28"/>
      <c r="E720" s="44"/>
      <c r="F720" s="44"/>
      <c r="G720" s="44"/>
      <c r="H720" s="44"/>
    </row>
    <row r="721" spans="1:8">
      <c r="A721" s="27"/>
      <c r="C721" s="28"/>
      <c r="D721" s="28"/>
      <c r="E721" s="44"/>
      <c r="F721" s="44"/>
      <c r="G721" s="44"/>
      <c r="H721" s="44"/>
    </row>
    <row r="722" spans="1:8">
      <c r="A722" s="27"/>
      <c r="C722" s="28"/>
      <c r="D722" s="28"/>
      <c r="E722" s="44"/>
      <c r="F722" s="44"/>
      <c r="G722" s="44"/>
      <c r="H722" s="44"/>
    </row>
    <row r="723" spans="1:8">
      <c r="A723" s="27"/>
      <c r="C723" s="28"/>
      <c r="D723" s="28"/>
      <c r="E723" s="44"/>
      <c r="F723" s="44"/>
      <c r="G723" s="44"/>
      <c r="H723" s="44"/>
    </row>
    <row r="724" spans="1:8">
      <c r="A724" s="27"/>
      <c r="C724" s="28"/>
      <c r="D724" s="28"/>
      <c r="E724" s="44"/>
      <c r="F724" s="44"/>
      <c r="G724" s="44"/>
      <c r="H724" s="44"/>
    </row>
    <row r="725" spans="1:8">
      <c r="A725" s="27"/>
      <c r="C725" s="28"/>
      <c r="D725" s="28"/>
      <c r="E725" s="44"/>
      <c r="F725" s="44"/>
      <c r="G725" s="44"/>
      <c r="H725" s="44"/>
    </row>
    <row r="726" spans="1:8">
      <c r="A726" s="27"/>
      <c r="C726" s="28"/>
      <c r="D726" s="28"/>
      <c r="E726" s="44"/>
      <c r="F726" s="44"/>
      <c r="G726" s="44"/>
      <c r="H726" s="44"/>
    </row>
    <row r="727" spans="1:8">
      <c r="A727" s="27"/>
      <c r="C727" s="28"/>
      <c r="D727" s="28"/>
      <c r="E727" s="44"/>
      <c r="F727" s="44"/>
      <c r="G727" s="44"/>
      <c r="H727" s="44"/>
    </row>
    <row r="728" spans="1:8">
      <c r="A728" s="27"/>
      <c r="C728" s="28"/>
      <c r="D728" s="28"/>
      <c r="E728" s="44"/>
      <c r="F728" s="44"/>
      <c r="G728" s="44"/>
      <c r="H728" s="44"/>
    </row>
    <row r="729" spans="1:8">
      <c r="A729" s="27"/>
      <c r="C729" s="28"/>
      <c r="D729" s="28"/>
      <c r="E729" s="44"/>
      <c r="F729" s="44"/>
      <c r="G729" s="44"/>
      <c r="H729" s="44"/>
    </row>
    <row r="730" spans="1:8">
      <c r="A730" s="27"/>
      <c r="C730" s="28"/>
      <c r="D730" s="28"/>
      <c r="E730" s="44"/>
      <c r="F730" s="44"/>
      <c r="G730" s="44"/>
      <c r="H730" s="44"/>
    </row>
    <row r="731" spans="1:8">
      <c r="A731" s="27"/>
      <c r="C731" s="28"/>
      <c r="D731" s="28"/>
      <c r="E731" s="44"/>
      <c r="F731" s="44"/>
      <c r="G731" s="44"/>
      <c r="H731" s="44"/>
    </row>
    <row r="732" spans="1:8">
      <c r="A732" s="27"/>
      <c r="C732" s="28"/>
      <c r="D732" s="28"/>
      <c r="E732" s="44"/>
      <c r="F732" s="44"/>
      <c r="G732" s="44"/>
      <c r="H732" s="44"/>
    </row>
    <row r="733" spans="1:8">
      <c r="A733" s="27"/>
      <c r="C733" s="28"/>
      <c r="D733" s="28"/>
      <c r="E733" s="44"/>
      <c r="F733" s="44"/>
      <c r="G733" s="44"/>
      <c r="H733" s="44"/>
    </row>
    <row r="734" spans="1:8">
      <c r="A734" s="27"/>
      <c r="C734" s="28"/>
      <c r="D734" s="28"/>
      <c r="E734" s="44"/>
      <c r="F734" s="44"/>
      <c r="G734" s="44"/>
      <c r="H734" s="44"/>
    </row>
    <row r="735" spans="1:8">
      <c r="A735" s="27"/>
      <c r="C735" s="28"/>
      <c r="D735" s="28"/>
      <c r="E735" s="44"/>
      <c r="F735" s="44"/>
      <c r="G735" s="44"/>
      <c r="H735" s="44"/>
    </row>
    <row r="736" spans="1:8">
      <c r="A736" s="27"/>
      <c r="C736" s="28"/>
      <c r="D736" s="28"/>
      <c r="E736" s="44"/>
      <c r="F736" s="44"/>
      <c r="G736" s="44"/>
      <c r="H736" s="44"/>
    </row>
    <row r="737" spans="1:8">
      <c r="A737" s="27"/>
      <c r="C737" s="28"/>
      <c r="D737" s="28"/>
      <c r="E737" s="44"/>
      <c r="F737" s="44"/>
      <c r="G737" s="44"/>
      <c r="H737" s="44"/>
    </row>
    <row r="738" spans="1:8">
      <c r="A738" s="27"/>
      <c r="C738" s="28"/>
      <c r="D738" s="28"/>
      <c r="E738" s="44"/>
      <c r="F738" s="44"/>
      <c r="G738" s="44"/>
      <c r="H738" s="44"/>
    </row>
    <row r="739" spans="1:8">
      <c r="A739" s="27"/>
      <c r="C739" s="28"/>
      <c r="D739" s="28"/>
      <c r="E739" s="44"/>
      <c r="F739" s="44"/>
      <c r="G739" s="44"/>
      <c r="H739" s="44"/>
    </row>
    <row r="740" spans="1:8">
      <c r="A740" s="27"/>
      <c r="C740" s="28"/>
      <c r="D740" s="28"/>
      <c r="E740" s="44"/>
      <c r="F740" s="44"/>
      <c r="G740" s="44"/>
      <c r="H740" s="44"/>
    </row>
    <row r="741" spans="1:8">
      <c r="A741" s="27"/>
      <c r="C741" s="28"/>
      <c r="D741" s="28"/>
      <c r="E741" s="44"/>
      <c r="F741" s="44"/>
      <c r="G741" s="44"/>
      <c r="H741" s="44"/>
    </row>
    <row r="742" spans="1:8">
      <c r="A742" s="27"/>
      <c r="C742" s="28"/>
      <c r="D742" s="28"/>
      <c r="E742" s="44"/>
      <c r="F742" s="44"/>
      <c r="G742" s="44"/>
      <c r="H742" s="44"/>
    </row>
    <row r="743" spans="1:8">
      <c r="A743" s="27"/>
      <c r="C743" s="28"/>
      <c r="D743" s="28"/>
      <c r="E743" s="44"/>
      <c r="F743" s="44"/>
      <c r="G743" s="44"/>
      <c r="H743" s="44"/>
    </row>
    <row r="744" spans="1:8">
      <c r="A744" s="27"/>
      <c r="C744" s="28"/>
      <c r="D744" s="28"/>
      <c r="E744" s="44"/>
      <c r="F744" s="44"/>
      <c r="G744" s="44"/>
      <c r="H744" s="44"/>
    </row>
    <row r="745" spans="1:8">
      <c r="A745" s="27"/>
      <c r="C745" s="28"/>
      <c r="D745" s="28"/>
      <c r="E745" s="44"/>
      <c r="F745" s="44"/>
      <c r="G745" s="44"/>
      <c r="H745" s="44"/>
    </row>
    <row r="746" spans="1:8">
      <c r="A746" s="27"/>
      <c r="C746" s="28"/>
      <c r="D746" s="28"/>
      <c r="E746" s="44"/>
      <c r="F746" s="44"/>
      <c r="G746" s="44"/>
      <c r="H746" s="44"/>
    </row>
    <row r="747" spans="1:8">
      <c r="A747" s="27"/>
      <c r="C747" s="28"/>
      <c r="D747" s="28"/>
      <c r="E747" s="44"/>
      <c r="F747" s="44"/>
      <c r="G747" s="44"/>
      <c r="H747" s="44"/>
    </row>
    <row r="748" spans="1:8">
      <c r="A748" s="27"/>
      <c r="C748" s="28"/>
      <c r="D748" s="28"/>
      <c r="E748" s="44"/>
      <c r="F748" s="44"/>
      <c r="G748" s="44"/>
      <c r="H748" s="44"/>
    </row>
    <row r="749" spans="1:8">
      <c r="A749" s="27"/>
      <c r="C749" s="28"/>
      <c r="D749" s="28"/>
      <c r="E749" s="44"/>
      <c r="F749" s="44"/>
      <c r="G749" s="44"/>
      <c r="H749" s="44"/>
    </row>
    <row r="750" spans="1:8">
      <c r="A750" s="27"/>
      <c r="C750" s="28"/>
      <c r="D750" s="28"/>
      <c r="E750" s="44"/>
      <c r="F750" s="44"/>
      <c r="G750" s="44"/>
      <c r="H750" s="44"/>
    </row>
    <row r="751" spans="1:8">
      <c r="A751" s="27"/>
      <c r="C751" s="28"/>
      <c r="D751" s="28"/>
      <c r="E751" s="44"/>
      <c r="F751" s="44"/>
      <c r="G751" s="44"/>
      <c r="H751" s="44"/>
    </row>
    <row r="752" spans="1:8">
      <c r="A752" s="27"/>
      <c r="C752" s="28"/>
      <c r="D752" s="28"/>
      <c r="E752" s="44"/>
      <c r="F752" s="44"/>
      <c r="G752" s="44"/>
      <c r="H752" s="44"/>
    </row>
    <row r="753" spans="1:8">
      <c r="A753" s="27"/>
      <c r="C753" s="28"/>
      <c r="D753" s="28"/>
      <c r="E753" s="44"/>
      <c r="F753" s="44"/>
      <c r="G753" s="44"/>
      <c r="H753" s="44"/>
    </row>
    <row r="754" spans="1:8">
      <c r="A754" s="27"/>
      <c r="C754" s="28"/>
      <c r="D754" s="28"/>
      <c r="E754" s="44"/>
      <c r="F754" s="44"/>
      <c r="G754" s="44"/>
      <c r="H754" s="44"/>
    </row>
    <row r="755" spans="1:8">
      <c r="A755" s="27"/>
      <c r="C755" s="28"/>
      <c r="D755" s="28"/>
      <c r="E755" s="44"/>
      <c r="F755" s="44"/>
      <c r="G755" s="44"/>
      <c r="H755" s="44"/>
    </row>
    <row r="756" spans="1:8">
      <c r="A756" s="27"/>
      <c r="C756" s="28"/>
      <c r="D756" s="28"/>
      <c r="E756" s="44"/>
      <c r="F756" s="44"/>
      <c r="G756" s="44"/>
      <c r="H756" s="44"/>
    </row>
    <row r="757" spans="1:8">
      <c r="A757" s="27"/>
      <c r="C757" s="28"/>
      <c r="D757" s="28"/>
      <c r="E757" s="44"/>
      <c r="F757" s="44"/>
      <c r="G757" s="44"/>
      <c r="H757" s="44"/>
    </row>
    <row r="758" spans="1:8">
      <c r="A758" s="27"/>
      <c r="C758" s="28"/>
      <c r="D758" s="28"/>
      <c r="E758" s="44"/>
      <c r="F758" s="44"/>
      <c r="G758" s="44"/>
      <c r="H758" s="44"/>
    </row>
    <row r="759" spans="1:8">
      <c r="A759" s="27"/>
      <c r="C759" s="28"/>
      <c r="D759" s="28"/>
      <c r="E759" s="44"/>
      <c r="F759" s="44"/>
      <c r="G759" s="44"/>
      <c r="H759" s="44"/>
    </row>
    <row r="760" spans="1:8">
      <c r="A760" s="27"/>
      <c r="C760" s="28"/>
      <c r="D760" s="28"/>
      <c r="E760" s="44"/>
      <c r="F760" s="44"/>
      <c r="G760" s="44"/>
      <c r="H760" s="44"/>
    </row>
    <row r="761" spans="1:8">
      <c r="A761" s="27"/>
      <c r="C761" s="28"/>
      <c r="D761" s="28"/>
      <c r="E761" s="44"/>
      <c r="F761" s="44"/>
      <c r="G761" s="44"/>
      <c r="H761" s="44"/>
    </row>
    <row r="762" spans="1:8">
      <c r="A762" s="27"/>
      <c r="C762" s="28"/>
      <c r="D762" s="28"/>
      <c r="E762" s="44"/>
      <c r="F762" s="44"/>
      <c r="G762" s="44"/>
      <c r="H762" s="44"/>
    </row>
    <row r="763" spans="1:8">
      <c r="A763" s="27"/>
      <c r="C763" s="28"/>
      <c r="D763" s="28"/>
      <c r="E763" s="44"/>
      <c r="F763" s="44"/>
      <c r="G763" s="44"/>
      <c r="H763" s="44"/>
    </row>
    <row r="764" spans="1:8">
      <c r="A764" s="27"/>
      <c r="C764" s="28"/>
      <c r="D764" s="28"/>
      <c r="E764" s="44"/>
      <c r="F764" s="44"/>
      <c r="G764" s="44"/>
      <c r="H764" s="44"/>
    </row>
    <row r="765" spans="1:8">
      <c r="A765" s="27"/>
      <c r="C765" s="28"/>
      <c r="D765" s="28"/>
      <c r="E765" s="44"/>
      <c r="F765" s="44"/>
      <c r="G765" s="44"/>
      <c r="H765" s="44"/>
    </row>
    <row r="766" spans="1:8">
      <c r="A766" s="27"/>
      <c r="C766" s="28"/>
      <c r="D766" s="28"/>
      <c r="E766" s="44"/>
      <c r="F766" s="44"/>
      <c r="G766" s="44"/>
      <c r="H766" s="44"/>
    </row>
    <row r="767" spans="1:8">
      <c r="A767" s="27"/>
      <c r="C767" s="28"/>
      <c r="D767" s="28"/>
      <c r="E767" s="44"/>
      <c r="F767" s="44"/>
      <c r="G767" s="44"/>
      <c r="H767" s="44"/>
    </row>
    <row r="768" spans="1:8">
      <c r="A768" s="27"/>
      <c r="C768" s="28"/>
      <c r="D768" s="28"/>
      <c r="E768" s="44"/>
      <c r="F768" s="44"/>
      <c r="G768" s="44"/>
      <c r="H768" s="44"/>
    </row>
    <row r="769" spans="1:8">
      <c r="A769" s="27"/>
      <c r="C769" s="28"/>
      <c r="D769" s="28"/>
      <c r="E769" s="44"/>
      <c r="F769" s="44"/>
      <c r="G769" s="44"/>
      <c r="H769" s="44"/>
    </row>
    <row r="770" spans="1:8">
      <c r="A770" s="27"/>
      <c r="C770" s="28"/>
      <c r="D770" s="28"/>
      <c r="E770" s="44"/>
      <c r="F770" s="44"/>
      <c r="G770" s="44"/>
      <c r="H770" s="44"/>
    </row>
    <row r="771" spans="1:8">
      <c r="A771" s="27"/>
      <c r="C771" s="28"/>
      <c r="D771" s="28"/>
      <c r="E771" s="44"/>
      <c r="F771" s="44"/>
      <c r="G771" s="44"/>
      <c r="H771" s="44"/>
    </row>
    <row r="772" spans="1:8">
      <c r="A772" s="27"/>
      <c r="C772" s="28"/>
      <c r="D772" s="28"/>
      <c r="E772" s="44"/>
      <c r="F772" s="44"/>
      <c r="G772" s="44"/>
      <c r="H772" s="44"/>
    </row>
    <row r="773" spans="1:8">
      <c r="A773" s="27"/>
      <c r="C773" s="28"/>
      <c r="D773" s="28"/>
      <c r="E773" s="44"/>
      <c r="F773" s="44"/>
      <c r="G773" s="44"/>
      <c r="H773" s="44"/>
    </row>
    <row r="774" spans="1:8">
      <c r="A774" s="27"/>
      <c r="C774" s="28"/>
      <c r="D774" s="28"/>
      <c r="E774" s="44"/>
      <c r="F774" s="44"/>
      <c r="G774" s="44"/>
      <c r="H774" s="44"/>
    </row>
    <row r="775" spans="1:8">
      <c r="A775" s="27"/>
      <c r="C775" s="28"/>
      <c r="D775" s="28"/>
      <c r="E775" s="44"/>
      <c r="F775" s="44"/>
      <c r="G775" s="44"/>
      <c r="H775" s="44"/>
    </row>
    <row r="776" spans="1:8">
      <c r="A776" s="27"/>
      <c r="C776" s="28"/>
      <c r="D776" s="28"/>
      <c r="E776" s="44"/>
      <c r="F776" s="44"/>
      <c r="G776" s="44"/>
      <c r="H776" s="44"/>
    </row>
    <row r="777" spans="1:8">
      <c r="A777" s="27"/>
      <c r="C777" s="28"/>
      <c r="D777" s="28"/>
      <c r="E777" s="44"/>
      <c r="F777" s="44"/>
      <c r="G777" s="44"/>
      <c r="H777" s="44"/>
    </row>
    <row r="778" spans="1:8">
      <c r="A778" s="27"/>
      <c r="C778" s="28"/>
      <c r="D778" s="28"/>
      <c r="E778" s="44"/>
      <c r="F778" s="44"/>
      <c r="G778" s="44"/>
      <c r="H778" s="44"/>
    </row>
    <row r="779" spans="1:8">
      <c r="A779" s="27"/>
      <c r="C779" s="28"/>
      <c r="D779" s="28"/>
      <c r="E779" s="44"/>
      <c r="F779" s="44"/>
      <c r="G779" s="44"/>
      <c r="H779" s="44"/>
    </row>
    <row r="780" spans="1:8">
      <c r="A780" s="27"/>
      <c r="C780" s="28"/>
      <c r="D780" s="28"/>
      <c r="E780" s="44"/>
      <c r="F780" s="44"/>
      <c r="G780" s="44"/>
      <c r="H780" s="44"/>
    </row>
    <row r="781" spans="1:8">
      <c r="A781" s="27"/>
      <c r="C781" s="28"/>
      <c r="D781" s="28"/>
      <c r="E781" s="44"/>
      <c r="F781" s="44"/>
      <c r="G781" s="44"/>
      <c r="H781" s="44"/>
    </row>
    <row r="782" spans="1:8">
      <c r="A782" s="27"/>
      <c r="C782" s="28"/>
      <c r="D782" s="28"/>
      <c r="E782" s="44"/>
      <c r="F782" s="44"/>
      <c r="G782" s="44"/>
      <c r="H782" s="44"/>
    </row>
    <row r="783" spans="1:8">
      <c r="A783" s="27"/>
      <c r="C783" s="28"/>
      <c r="D783" s="28"/>
      <c r="E783" s="44"/>
      <c r="F783" s="44"/>
      <c r="G783" s="44"/>
      <c r="H783" s="44"/>
    </row>
    <row r="784" spans="1:8">
      <c r="A784" s="27"/>
      <c r="C784" s="28"/>
      <c r="D784" s="28"/>
      <c r="E784" s="44"/>
      <c r="F784" s="44"/>
      <c r="G784" s="44"/>
      <c r="H784" s="44"/>
    </row>
    <row r="785" spans="1:8">
      <c r="A785" s="27"/>
      <c r="C785" s="28"/>
      <c r="D785" s="28"/>
      <c r="E785" s="44"/>
      <c r="F785" s="44"/>
      <c r="G785" s="44"/>
      <c r="H785" s="44"/>
    </row>
    <row r="786" spans="1:8">
      <c r="A786" s="27"/>
      <c r="C786" s="28"/>
      <c r="D786" s="28"/>
      <c r="E786" s="44"/>
      <c r="F786" s="44"/>
      <c r="G786" s="44"/>
      <c r="H786" s="44"/>
    </row>
    <row r="787" spans="1:8">
      <c r="A787" s="27"/>
      <c r="C787" s="28"/>
      <c r="D787" s="28"/>
      <c r="E787" s="44"/>
      <c r="F787" s="44"/>
      <c r="G787" s="44"/>
      <c r="H787" s="44"/>
    </row>
    <row r="788" spans="1:8">
      <c r="A788" s="27"/>
      <c r="C788" s="28"/>
      <c r="D788" s="28"/>
      <c r="E788" s="44"/>
      <c r="F788" s="44"/>
      <c r="G788" s="44"/>
      <c r="H788" s="44"/>
    </row>
    <row r="789" spans="1:8">
      <c r="A789" s="27"/>
      <c r="C789" s="28"/>
      <c r="D789" s="28"/>
      <c r="E789" s="44"/>
      <c r="F789" s="44"/>
      <c r="G789" s="44"/>
      <c r="H789" s="44"/>
    </row>
    <row r="790" spans="1:8">
      <c r="A790" s="27"/>
      <c r="C790" s="28"/>
      <c r="D790" s="28"/>
      <c r="E790" s="44"/>
      <c r="F790" s="44"/>
      <c r="G790" s="44"/>
      <c r="H790" s="44"/>
    </row>
    <row r="791" spans="1:8">
      <c r="A791" s="27"/>
      <c r="C791" s="28"/>
      <c r="D791" s="28"/>
      <c r="E791" s="44"/>
      <c r="F791" s="44"/>
      <c r="G791" s="44"/>
      <c r="H791" s="44"/>
    </row>
    <row r="792" spans="1:8">
      <c r="A792" s="27"/>
      <c r="C792" s="28"/>
      <c r="D792" s="28"/>
      <c r="E792" s="44"/>
      <c r="F792" s="44"/>
      <c r="G792" s="44"/>
      <c r="H792" s="44"/>
    </row>
    <row r="793" spans="1:8">
      <c r="A793" s="27"/>
      <c r="C793" s="28"/>
      <c r="D793" s="28"/>
      <c r="E793" s="44"/>
      <c r="F793" s="44"/>
      <c r="G793" s="44"/>
      <c r="H793" s="44"/>
    </row>
    <row r="794" spans="1:8">
      <c r="A794" s="27"/>
      <c r="C794" s="28"/>
      <c r="D794" s="28"/>
      <c r="E794" s="44"/>
      <c r="F794" s="44"/>
      <c r="G794" s="44"/>
      <c r="H794" s="44"/>
    </row>
    <row r="795" spans="1:8">
      <c r="A795" s="27"/>
      <c r="C795" s="28"/>
      <c r="D795" s="28"/>
      <c r="E795" s="44"/>
      <c r="F795" s="44"/>
      <c r="G795" s="44"/>
      <c r="H795" s="44"/>
    </row>
    <row r="796" spans="1:8">
      <c r="A796" s="27"/>
      <c r="C796" s="28"/>
      <c r="D796" s="28"/>
      <c r="E796" s="44"/>
      <c r="F796" s="44"/>
      <c r="G796" s="44"/>
      <c r="H796" s="44"/>
    </row>
    <row r="797" spans="1:8">
      <c r="A797" s="27"/>
      <c r="C797" s="28"/>
      <c r="D797" s="28"/>
      <c r="E797" s="44"/>
      <c r="F797" s="44"/>
      <c r="G797" s="44"/>
      <c r="H797" s="44"/>
    </row>
    <row r="798" spans="1:8">
      <c r="A798" s="27"/>
      <c r="C798" s="28"/>
      <c r="D798" s="28"/>
      <c r="E798" s="44"/>
      <c r="F798" s="44"/>
      <c r="G798" s="44"/>
      <c r="H798" s="44"/>
    </row>
    <row r="799" spans="1:8">
      <c r="A799" s="27"/>
      <c r="C799" s="28"/>
      <c r="D799" s="28"/>
      <c r="E799" s="44"/>
      <c r="F799" s="44"/>
      <c r="G799" s="44"/>
      <c r="H799" s="44"/>
    </row>
    <row r="800" spans="1:8">
      <c r="A800" s="27"/>
      <c r="C800" s="28"/>
      <c r="D800" s="28"/>
      <c r="E800" s="44"/>
      <c r="F800" s="44"/>
      <c r="G800" s="44"/>
      <c r="H800" s="44"/>
    </row>
    <row r="801" spans="1:8">
      <c r="A801" s="27"/>
      <c r="C801" s="28"/>
      <c r="D801" s="28"/>
      <c r="E801" s="44"/>
      <c r="F801" s="44"/>
      <c r="G801" s="44"/>
      <c r="H801" s="44"/>
    </row>
    <row r="802" spans="1:8">
      <c r="A802" s="27"/>
      <c r="C802" s="28"/>
      <c r="D802" s="28"/>
      <c r="E802" s="44"/>
      <c r="F802" s="44"/>
      <c r="G802" s="44"/>
      <c r="H802" s="44"/>
    </row>
    <row r="803" spans="1:8">
      <c r="A803" s="27"/>
      <c r="C803" s="28"/>
      <c r="D803" s="28"/>
      <c r="E803" s="44"/>
      <c r="F803" s="44"/>
      <c r="G803" s="44"/>
      <c r="H803" s="44"/>
    </row>
    <row r="804" spans="1:8">
      <c r="A804" s="27"/>
      <c r="C804" s="28"/>
      <c r="D804" s="28"/>
      <c r="E804" s="44"/>
      <c r="F804" s="44"/>
      <c r="G804" s="44"/>
      <c r="H804" s="44"/>
    </row>
    <row r="805" spans="1:8">
      <c r="A805" s="27"/>
      <c r="C805" s="28"/>
      <c r="D805" s="28"/>
      <c r="E805" s="44"/>
      <c r="F805" s="44"/>
      <c r="G805" s="44"/>
      <c r="H805" s="44"/>
    </row>
    <row r="806" spans="1:8">
      <c r="A806" s="27"/>
      <c r="C806" s="28"/>
      <c r="D806" s="28"/>
      <c r="E806" s="44"/>
      <c r="F806" s="44"/>
      <c r="G806" s="44"/>
      <c r="H806" s="44"/>
    </row>
    <row r="807" spans="1:8">
      <c r="A807" s="27"/>
      <c r="C807" s="28"/>
      <c r="D807" s="28"/>
      <c r="E807" s="44"/>
      <c r="F807" s="44"/>
      <c r="G807" s="44"/>
      <c r="H807" s="44"/>
    </row>
    <row r="808" spans="1:8">
      <c r="A808" s="27"/>
      <c r="C808" s="28"/>
      <c r="D808" s="28"/>
      <c r="E808" s="44"/>
      <c r="F808" s="44"/>
      <c r="G808" s="44"/>
      <c r="H808" s="44"/>
    </row>
    <row r="809" spans="1:8">
      <c r="A809" s="27"/>
      <c r="C809" s="28"/>
      <c r="D809" s="28"/>
      <c r="E809" s="44"/>
      <c r="F809" s="44"/>
      <c r="G809" s="44"/>
      <c r="H809" s="44"/>
    </row>
    <row r="810" spans="1:8">
      <c r="A810" s="27"/>
      <c r="C810" s="28"/>
      <c r="D810" s="28"/>
      <c r="E810" s="44"/>
      <c r="F810" s="44"/>
      <c r="G810" s="44"/>
      <c r="H810" s="44"/>
    </row>
    <row r="811" spans="1:8">
      <c r="A811" s="27"/>
      <c r="C811" s="28"/>
      <c r="D811" s="28"/>
      <c r="E811" s="44"/>
      <c r="F811" s="44"/>
      <c r="G811" s="44"/>
      <c r="H811" s="44"/>
    </row>
    <row r="812" spans="1:8">
      <c r="A812" s="27"/>
      <c r="C812" s="28"/>
      <c r="D812" s="28"/>
      <c r="E812" s="44"/>
      <c r="F812" s="44"/>
      <c r="G812" s="44"/>
      <c r="H812" s="44"/>
    </row>
    <row r="813" spans="1:8">
      <c r="A813" s="27"/>
      <c r="C813" s="28"/>
      <c r="D813" s="28"/>
      <c r="E813" s="44"/>
      <c r="F813" s="44"/>
      <c r="G813" s="44"/>
      <c r="H813" s="44"/>
    </row>
    <row r="814" spans="1:8">
      <c r="A814" s="27"/>
      <c r="C814" s="28"/>
      <c r="D814" s="28"/>
      <c r="E814" s="44"/>
      <c r="F814" s="44"/>
      <c r="G814" s="44"/>
      <c r="H814" s="44"/>
    </row>
    <row r="815" spans="1:8">
      <c r="A815" s="27"/>
      <c r="C815" s="28"/>
      <c r="D815" s="28"/>
      <c r="E815" s="44"/>
      <c r="F815" s="44"/>
      <c r="G815" s="44"/>
      <c r="H815" s="44"/>
    </row>
    <row r="816" spans="1:8">
      <c r="A816" s="27"/>
      <c r="C816" s="28"/>
      <c r="D816" s="28"/>
      <c r="E816" s="44"/>
      <c r="F816" s="44"/>
      <c r="G816" s="44"/>
      <c r="H816" s="44"/>
    </row>
    <row r="817" spans="1:8">
      <c r="A817" s="27"/>
      <c r="C817" s="28"/>
      <c r="D817" s="28"/>
      <c r="E817" s="44"/>
      <c r="F817" s="44"/>
      <c r="G817" s="44"/>
      <c r="H817" s="44"/>
    </row>
    <row r="818" spans="1:8">
      <c r="A818" s="27"/>
      <c r="C818" s="28"/>
      <c r="D818" s="28"/>
      <c r="E818" s="44"/>
      <c r="F818" s="44"/>
      <c r="G818" s="44"/>
      <c r="H818" s="44"/>
    </row>
    <row r="819" spans="1:8">
      <c r="A819" s="27"/>
      <c r="C819" s="28"/>
      <c r="D819" s="28"/>
      <c r="E819" s="44"/>
      <c r="F819" s="44"/>
      <c r="G819" s="44"/>
      <c r="H819" s="44"/>
    </row>
    <row r="820" spans="1:8">
      <c r="A820" s="27"/>
      <c r="C820" s="28"/>
      <c r="D820" s="28"/>
      <c r="E820" s="44"/>
      <c r="F820" s="44"/>
      <c r="G820" s="44"/>
      <c r="H820" s="44"/>
    </row>
    <row r="821" spans="1:8">
      <c r="A821" s="27"/>
      <c r="C821" s="28"/>
      <c r="D821" s="28"/>
      <c r="E821" s="44"/>
      <c r="F821" s="44"/>
      <c r="G821" s="44"/>
      <c r="H821" s="44"/>
    </row>
    <row r="822" spans="1:8">
      <c r="A822" s="27"/>
      <c r="C822" s="28"/>
      <c r="D822" s="28"/>
      <c r="E822" s="44"/>
      <c r="F822" s="44"/>
      <c r="G822" s="44"/>
      <c r="H822" s="44"/>
    </row>
    <row r="823" spans="1:8">
      <c r="A823" s="27"/>
      <c r="C823" s="28"/>
      <c r="D823" s="28"/>
      <c r="E823" s="44"/>
      <c r="F823" s="44"/>
      <c r="G823" s="44"/>
      <c r="H823" s="44"/>
    </row>
    <row r="824" spans="1:8">
      <c r="A824" s="27"/>
      <c r="C824" s="28"/>
      <c r="D824" s="28"/>
      <c r="E824" s="44"/>
      <c r="F824" s="44"/>
      <c r="G824" s="44"/>
      <c r="H824" s="44"/>
    </row>
    <row r="825" spans="1:8">
      <c r="A825" s="27"/>
      <c r="C825" s="28"/>
      <c r="D825" s="28"/>
      <c r="E825" s="44"/>
      <c r="F825" s="44"/>
      <c r="G825" s="44"/>
      <c r="H825" s="44"/>
    </row>
    <row r="826" spans="1:8">
      <c r="A826" s="27"/>
      <c r="C826" s="28"/>
      <c r="D826" s="28"/>
      <c r="E826" s="44"/>
      <c r="F826" s="44"/>
      <c r="G826" s="44"/>
      <c r="H826" s="44"/>
    </row>
    <row r="827" spans="1:8">
      <c r="A827" s="27"/>
      <c r="C827" s="28"/>
      <c r="D827" s="28"/>
      <c r="E827" s="44"/>
      <c r="F827" s="44"/>
      <c r="G827" s="44"/>
      <c r="H827" s="44"/>
    </row>
    <row r="828" spans="1:8">
      <c r="A828" s="27"/>
      <c r="C828" s="28"/>
      <c r="D828" s="28"/>
      <c r="E828" s="44"/>
      <c r="F828" s="44"/>
      <c r="G828" s="44"/>
      <c r="H828" s="44"/>
    </row>
    <row r="829" spans="1:8">
      <c r="A829" s="27"/>
      <c r="C829" s="28"/>
      <c r="D829" s="28"/>
      <c r="E829" s="44"/>
      <c r="F829" s="44"/>
      <c r="G829" s="44"/>
      <c r="H829" s="44"/>
    </row>
    <row r="830" spans="1:8">
      <c r="A830" s="27"/>
      <c r="C830" s="28"/>
      <c r="D830" s="28"/>
      <c r="E830" s="44"/>
      <c r="F830" s="44"/>
      <c r="G830" s="44"/>
      <c r="H830" s="44"/>
    </row>
    <row r="831" spans="1:8">
      <c r="A831" s="27"/>
      <c r="C831" s="28"/>
      <c r="D831" s="28"/>
      <c r="E831" s="44"/>
      <c r="F831" s="44"/>
      <c r="G831" s="44"/>
      <c r="H831" s="44"/>
    </row>
    <row r="832" spans="1:8">
      <c r="A832" s="27"/>
      <c r="C832" s="28"/>
      <c r="D832" s="28"/>
      <c r="E832" s="44"/>
      <c r="F832" s="44"/>
      <c r="G832" s="44"/>
      <c r="H832" s="44"/>
    </row>
    <row r="833" spans="1:8">
      <c r="A833" s="27"/>
      <c r="C833" s="28"/>
      <c r="D833" s="28"/>
      <c r="E833" s="44"/>
      <c r="F833" s="44"/>
      <c r="G833" s="44"/>
      <c r="H833" s="44"/>
    </row>
    <row r="834" spans="1:8">
      <c r="A834" s="27"/>
      <c r="C834" s="28"/>
      <c r="D834" s="28"/>
      <c r="E834" s="44"/>
      <c r="F834" s="44"/>
      <c r="G834" s="44"/>
      <c r="H834" s="44"/>
    </row>
    <row r="835" spans="1:8">
      <c r="A835" s="27"/>
      <c r="C835" s="28"/>
      <c r="D835" s="28"/>
      <c r="E835" s="44"/>
      <c r="F835" s="44"/>
      <c r="G835" s="44"/>
      <c r="H835" s="44"/>
    </row>
    <row r="836" spans="1:8">
      <c r="A836" s="27"/>
      <c r="C836" s="28"/>
      <c r="D836" s="28"/>
      <c r="E836" s="44"/>
      <c r="F836" s="44"/>
      <c r="G836" s="44"/>
      <c r="H836" s="44"/>
    </row>
    <row r="837" spans="1:8">
      <c r="A837" s="27"/>
      <c r="C837" s="28"/>
      <c r="D837" s="28"/>
      <c r="E837" s="44"/>
      <c r="F837" s="44"/>
      <c r="G837" s="44"/>
      <c r="H837" s="44"/>
    </row>
    <row r="838" spans="1:8">
      <c r="A838" s="27"/>
      <c r="C838" s="28"/>
      <c r="D838" s="28"/>
      <c r="E838" s="44"/>
      <c r="F838" s="44"/>
      <c r="G838" s="44"/>
      <c r="H838" s="44"/>
    </row>
    <row r="839" spans="1:8">
      <c r="A839" s="27"/>
      <c r="C839" s="28"/>
      <c r="D839" s="28"/>
      <c r="E839" s="44"/>
      <c r="F839" s="44"/>
      <c r="G839" s="44"/>
      <c r="H839" s="44"/>
    </row>
    <row r="840" spans="1:8">
      <c r="A840" s="27"/>
      <c r="C840" s="28"/>
      <c r="D840" s="28"/>
      <c r="E840" s="44"/>
      <c r="F840" s="44"/>
      <c r="G840" s="44"/>
      <c r="H840" s="44"/>
    </row>
    <row r="841" spans="1:8">
      <c r="A841" s="27"/>
      <c r="C841" s="28"/>
      <c r="D841" s="28"/>
      <c r="E841" s="44"/>
      <c r="F841" s="44"/>
      <c r="G841" s="44"/>
      <c r="H841" s="44"/>
    </row>
    <row r="842" spans="1:8">
      <c r="A842" s="27"/>
      <c r="C842" s="28"/>
      <c r="D842" s="28"/>
      <c r="E842" s="44"/>
      <c r="F842" s="44"/>
      <c r="G842" s="44"/>
      <c r="H842" s="44"/>
    </row>
    <row r="843" spans="1:8">
      <c r="A843" s="27"/>
      <c r="C843" s="28"/>
      <c r="D843" s="28"/>
      <c r="E843" s="44"/>
      <c r="F843" s="44"/>
      <c r="G843" s="44"/>
      <c r="H843" s="44"/>
    </row>
    <row r="844" spans="1:8">
      <c r="A844" s="27"/>
      <c r="C844" s="28"/>
      <c r="D844" s="28"/>
      <c r="E844" s="44"/>
      <c r="F844" s="44"/>
      <c r="G844" s="44"/>
      <c r="H844" s="44"/>
    </row>
    <row r="845" spans="1:8">
      <c r="A845" s="27"/>
      <c r="C845" s="28"/>
      <c r="D845" s="28"/>
      <c r="E845" s="44"/>
      <c r="F845" s="44"/>
      <c r="G845" s="44"/>
      <c r="H845" s="44"/>
    </row>
    <row r="846" spans="1:8">
      <c r="A846" s="27"/>
      <c r="C846" s="28"/>
      <c r="D846" s="28"/>
      <c r="E846" s="44"/>
      <c r="F846" s="44"/>
      <c r="G846" s="44"/>
      <c r="H846" s="44"/>
    </row>
    <row r="847" spans="1:8">
      <c r="A847" s="27"/>
      <c r="C847" s="28"/>
      <c r="D847" s="28"/>
      <c r="E847" s="44"/>
      <c r="F847" s="44"/>
      <c r="G847" s="44"/>
      <c r="H847" s="44"/>
    </row>
    <row r="848" spans="1:8">
      <c r="A848" s="27"/>
      <c r="C848" s="28"/>
      <c r="D848" s="28"/>
      <c r="E848" s="44"/>
      <c r="F848" s="44"/>
      <c r="G848" s="44"/>
      <c r="H848" s="44"/>
    </row>
    <row r="849" spans="1:8">
      <c r="A849" s="27"/>
      <c r="C849" s="28"/>
      <c r="D849" s="28"/>
      <c r="E849" s="44"/>
      <c r="F849" s="44"/>
      <c r="G849" s="44"/>
      <c r="H849" s="44"/>
    </row>
    <row r="850" spans="1:8">
      <c r="A850" s="27"/>
      <c r="C850" s="28"/>
      <c r="D850" s="28"/>
      <c r="E850" s="44"/>
      <c r="F850" s="44"/>
      <c r="G850" s="44"/>
      <c r="H850" s="44"/>
    </row>
    <row r="851" spans="1:8">
      <c r="A851" s="27"/>
      <c r="C851" s="28"/>
      <c r="D851" s="28"/>
      <c r="E851" s="44"/>
      <c r="F851" s="44"/>
      <c r="G851" s="44"/>
      <c r="H851" s="44"/>
    </row>
    <row r="852" spans="1:8">
      <c r="A852" s="27"/>
      <c r="C852" s="28"/>
      <c r="D852" s="28"/>
      <c r="E852" s="44"/>
      <c r="F852" s="44"/>
      <c r="G852" s="44"/>
      <c r="H852" s="44"/>
    </row>
    <row r="853" spans="1:8">
      <c r="A853" s="27"/>
      <c r="C853" s="28"/>
      <c r="D853" s="28"/>
      <c r="E853" s="44"/>
      <c r="F853" s="44"/>
      <c r="G853" s="44"/>
      <c r="H853" s="44"/>
    </row>
    <row r="854" spans="1:8">
      <c r="A854" s="27"/>
      <c r="C854" s="28"/>
      <c r="D854" s="28"/>
      <c r="E854" s="44"/>
      <c r="F854" s="44"/>
      <c r="G854" s="44"/>
      <c r="H854" s="44"/>
    </row>
    <row r="855" spans="1:8">
      <c r="A855" s="27"/>
      <c r="C855" s="28"/>
      <c r="D855" s="28"/>
      <c r="E855" s="44"/>
      <c r="F855" s="44"/>
      <c r="G855" s="44"/>
      <c r="H855" s="44"/>
    </row>
    <row r="856" spans="1:8">
      <c r="A856" s="27"/>
      <c r="C856" s="28"/>
      <c r="D856" s="28"/>
      <c r="E856" s="44"/>
      <c r="F856" s="44"/>
      <c r="G856" s="44"/>
      <c r="H856" s="44"/>
    </row>
    <row r="857" spans="1:8">
      <c r="A857" s="27"/>
      <c r="C857" s="28"/>
      <c r="D857" s="28"/>
      <c r="E857" s="44"/>
      <c r="F857" s="44"/>
      <c r="G857" s="44"/>
      <c r="H857" s="44"/>
    </row>
    <row r="858" spans="1:8">
      <c r="A858" s="27"/>
      <c r="C858" s="28"/>
      <c r="D858" s="28"/>
      <c r="E858" s="44"/>
      <c r="F858" s="44"/>
      <c r="G858" s="44"/>
      <c r="H858" s="44"/>
    </row>
    <row r="859" spans="1:8">
      <c r="A859" s="27"/>
      <c r="C859" s="28"/>
      <c r="D859" s="28"/>
      <c r="E859" s="44"/>
      <c r="F859" s="44"/>
      <c r="G859" s="44"/>
      <c r="H859" s="44"/>
    </row>
    <row r="860" spans="1:8">
      <c r="A860" s="27"/>
      <c r="C860" s="28"/>
      <c r="D860" s="28"/>
      <c r="E860" s="44"/>
      <c r="F860" s="44"/>
      <c r="G860" s="44"/>
      <c r="H860" s="44"/>
    </row>
    <row r="861" spans="1:8">
      <c r="A861" s="27"/>
      <c r="C861" s="28"/>
      <c r="D861" s="28"/>
      <c r="E861" s="44"/>
      <c r="F861" s="44"/>
      <c r="G861" s="44"/>
      <c r="H861" s="44"/>
    </row>
    <row r="862" spans="1:8">
      <c r="A862" s="27"/>
      <c r="C862" s="28"/>
      <c r="D862" s="28"/>
      <c r="E862" s="44"/>
      <c r="F862" s="44"/>
      <c r="G862" s="44"/>
      <c r="H862" s="44"/>
    </row>
    <row r="863" spans="1:8">
      <c r="A863" s="27"/>
      <c r="C863" s="28"/>
      <c r="D863" s="28"/>
      <c r="E863" s="44"/>
      <c r="F863" s="44"/>
      <c r="G863" s="44"/>
      <c r="H863" s="44"/>
    </row>
    <row r="864" spans="1:8">
      <c r="A864" s="27"/>
      <c r="C864" s="28"/>
      <c r="D864" s="28"/>
      <c r="E864" s="44"/>
      <c r="F864" s="44"/>
      <c r="G864" s="44"/>
      <c r="H864" s="44"/>
    </row>
    <row r="865" spans="1:8">
      <c r="A865" s="27"/>
      <c r="C865" s="28"/>
      <c r="D865" s="28"/>
      <c r="E865" s="44"/>
      <c r="F865" s="44"/>
      <c r="G865" s="44"/>
      <c r="H865" s="44"/>
    </row>
    <row r="866" spans="1:8">
      <c r="A866" s="27"/>
      <c r="C866" s="28"/>
      <c r="D866" s="28"/>
      <c r="E866" s="44"/>
      <c r="F866" s="44"/>
      <c r="G866" s="44"/>
      <c r="H866" s="44"/>
    </row>
    <row r="867" spans="1:8">
      <c r="A867" s="27"/>
      <c r="C867" s="28"/>
      <c r="D867" s="28"/>
      <c r="E867" s="44"/>
      <c r="F867" s="44"/>
      <c r="G867" s="44"/>
      <c r="H867" s="44"/>
    </row>
    <row r="868" spans="1:8">
      <c r="A868" s="27"/>
      <c r="C868" s="28"/>
      <c r="D868" s="28"/>
      <c r="E868" s="44"/>
      <c r="F868" s="44"/>
      <c r="G868" s="44"/>
      <c r="H868" s="44"/>
    </row>
    <row r="869" spans="1:8">
      <c r="A869" s="27"/>
      <c r="C869" s="28"/>
      <c r="D869" s="28"/>
      <c r="E869" s="44"/>
      <c r="F869" s="44"/>
      <c r="G869" s="44"/>
      <c r="H869" s="44"/>
    </row>
    <row r="870" spans="1:8">
      <c r="A870" s="27"/>
      <c r="C870" s="28"/>
      <c r="D870" s="28"/>
      <c r="E870" s="44"/>
      <c r="F870" s="44"/>
      <c r="G870" s="44"/>
      <c r="H870" s="44"/>
    </row>
    <row r="871" spans="1:8">
      <c r="A871" s="27"/>
      <c r="C871" s="28"/>
      <c r="D871" s="28"/>
      <c r="E871" s="44"/>
      <c r="F871" s="44"/>
      <c r="G871" s="44"/>
      <c r="H871" s="44"/>
    </row>
    <row r="872" spans="1:8">
      <c r="A872" s="27"/>
      <c r="C872" s="28"/>
      <c r="D872" s="28"/>
      <c r="E872" s="44"/>
      <c r="F872" s="44"/>
      <c r="G872" s="44"/>
      <c r="H872" s="44"/>
    </row>
    <row r="873" spans="1:8">
      <c r="A873" s="27"/>
      <c r="C873" s="28"/>
      <c r="D873" s="28"/>
      <c r="E873" s="44"/>
      <c r="F873" s="44"/>
      <c r="G873" s="44"/>
      <c r="H873" s="44"/>
    </row>
    <row r="874" spans="1:8">
      <c r="A874" s="27"/>
      <c r="C874" s="28"/>
      <c r="D874" s="28"/>
      <c r="E874" s="44"/>
      <c r="F874" s="44"/>
      <c r="G874" s="44"/>
      <c r="H874" s="44"/>
    </row>
    <row r="875" spans="1:8">
      <c r="A875" s="27"/>
      <c r="C875" s="28"/>
      <c r="D875" s="28"/>
      <c r="E875" s="44"/>
      <c r="F875" s="44"/>
      <c r="G875" s="44"/>
      <c r="H875" s="44"/>
    </row>
    <row r="876" spans="1:8">
      <c r="A876" s="27"/>
      <c r="C876" s="28"/>
      <c r="D876" s="28"/>
      <c r="E876" s="44"/>
      <c r="F876" s="44"/>
      <c r="G876" s="44"/>
      <c r="H876" s="44"/>
    </row>
    <row r="877" spans="1:8">
      <c r="A877" s="27"/>
      <c r="C877" s="28"/>
      <c r="D877" s="28"/>
      <c r="E877" s="44"/>
      <c r="F877" s="44"/>
      <c r="G877" s="44"/>
      <c r="H877" s="44"/>
    </row>
    <row r="878" spans="1:8">
      <c r="A878" s="27"/>
      <c r="C878" s="28"/>
      <c r="D878" s="28"/>
      <c r="E878" s="44"/>
      <c r="F878" s="44"/>
      <c r="G878" s="44"/>
      <c r="H878" s="44"/>
    </row>
    <row r="879" spans="1:8">
      <c r="A879" s="27"/>
      <c r="C879" s="28"/>
      <c r="D879" s="28"/>
      <c r="E879" s="44"/>
      <c r="F879" s="44"/>
      <c r="G879" s="44"/>
      <c r="H879" s="44"/>
    </row>
    <row r="880" spans="1:8">
      <c r="A880" s="27"/>
      <c r="C880" s="28"/>
      <c r="D880" s="28"/>
      <c r="E880" s="44"/>
      <c r="F880" s="44"/>
      <c r="G880" s="44"/>
      <c r="H880" s="44"/>
    </row>
    <row r="881" spans="1:8">
      <c r="A881" s="27"/>
      <c r="C881" s="28"/>
      <c r="D881" s="28"/>
      <c r="E881" s="44"/>
      <c r="F881" s="44"/>
      <c r="G881" s="44"/>
      <c r="H881" s="44"/>
    </row>
    <row r="882" spans="1:8">
      <c r="A882" s="27"/>
      <c r="C882" s="28"/>
      <c r="D882" s="28"/>
      <c r="E882" s="44"/>
      <c r="F882" s="44"/>
      <c r="G882" s="44"/>
      <c r="H882" s="44"/>
    </row>
    <row r="883" spans="1:8">
      <c r="A883" s="27"/>
      <c r="C883" s="28"/>
      <c r="D883" s="28"/>
      <c r="E883" s="44"/>
      <c r="F883" s="44"/>
      <c r="G883" s="44"/>
      <c r="H883" s="44"/>
    </row>
    <row r="884" spans="1:8">
      <c r="A884" s="27"/>
      <c r="C884" s="28"/>
      <c r="D884" s="28"/>
      <c r="E884" s="44"/>
      <c r="F884" s="44"/>
      <c r="G884" s="44"/>
      <c r="H884" s="44"/>
    </row>
    <row r="885" spans="1:8">
      <c r="A885" s="27"/>
      <c r="C885" s="28"/>
      <c r="D885" s="28"/>
      <c r="E885" s="44"/>
      <c r="F885" s="44"/>
      <c r="G885" s="44"/>
      <c r="H885" s="44"/>
    </row>
    <row r="886" spans="1:8">
      <c r="A886" s="27"/>
      <c r="C886" s="28"/>
      <c r="D886" s="28"/>
      <c r="E886" s="44"/>
      <c r="F886" s="44"/>
      <c r="G886" s="44"/>
      <c r="H886" s="44"/>
    </row>
    <row r="887" spans="1:8">
      <c r="A887" s="27"/>
      <c r="C887" s="28"/>
      <c r="D887" s="28"/>
      <c r="E887" s="44"/>
      <c r="F887" s="44"/>
      <c r="G887" s="44"/>
      <c r="H887" s="44"/>
    </row>
    <row r="888" spans="1:8">
      <c r="A888" s="27"/>
      <c r="C888" s="28"/>
      <c r="D888" s="28"/>
      <c r="E888" s="44"/>
      <c r="F888" s="44"/>
      <c r="G888" s="44"/>
      <c r="H888" s="44"/>
    </row>
    <row r="889" spans="1:8">
      <c r="A889" s="27"/>
      <c r="C889" s="28"/>
      <c r="D889" s="28"/>
      <c r="E889" s="44"/>
      <c r="F889" s="44"/>
      <c r="G889" s="44"/>
      <c r="H889" s="44"/>
    </row>
    <row r="890" spans="1:8">
      <c r="A890" s="27"/>
      <c r="C890" s="28"/>
      <c r="D890" s="28"/>
      <c r="E890" s="44"/>
      <c r="F890" s="44"/>
      <c r="G890" s="44"/>
      <c r="H890" s="44"/>
    </row>
    <row r="891" spans="1:8">
      <c r="A891" s="27"/>
      <c r="C891" s="28"/>
      <c r="D891" s="28"/>
      <c r="E891" s="44"/>
      <c r="F891" s="44"/>
      <c r="G891" s="44"/>
      <c r="H891" s="44"/>
    </row>
    <row r="892" spans="1:8">
      <c r="A892" s="27"/>
      <c r="C892" s="28"/>
      <c r="D892" s="28"/>
      <c r="E892" s="44"/>
      <c r="F892" s="44"/>
      <c r="G892" s="44"/>
      <c r="H892" s="44"/>
    </row>
    <row r="893" spans="1:8">
      <c r="A893" s="27"/>
      <c r="C893" s="28"/>
      <c r="D893" s="28"/>
      <c r="E893" s="44"/>
      <c r="F893" s="44"/>
      <c r="G893" s="44"/>
      <c r="H893" s="44"/>
    </row>
    <row r="894" spans="1:8">
      <c r="A894" s="27"/>
      <c r="C894" s="28"/>
      <c r="D894" s="28"/>
      <c r="E894" s="44"/>
      <c r="F894" s="44"/>
      <c r="G894" s="44"/>
      <c r="H894" s="44"/>
    </row>
    <row r="895" spans="1:8">
      <c r="A895" s="27"/>
      <c r="C895" s="28"/>
      <c r="D895" s="28"/>
      <c r="E895" s="44"/>
      <c r="F895" s="44"/>
      <c r="G895" s="44"/>
      <c r="H895" s="44"/>
    </row>
    <row r="896" spans="1:8">
      <c r="A896" s="27"/>
      <c r="C896" s="28"/>
      <c r="D896" s="28"/>
      <c r="E896" s="44"/>
      <c r="F896" s="44"/>
      <c r="G896" s="44"/>
      <c r="H896" s="44"/>
    </row>
    <row r="897" spans="1:8">
      <c r="A897" s="27"/>
      <c r="C897" s="28"/>
      <c r="D897" s="28"/>
      <c r="E897" s="44"/>
      <c r="F897" s="44"/>
      <c r="G897" s="44"/>
      <c r="H897" s="44"/>
    </row>
    <row r="898" spans="1:8">
      <c r="A898" s="27"/>
      <c r="C898" s="28"/>
      <c r="D898" s="28"/>
      <c r="E898" s="44"/>
      <c r="F898" s="44"/>
      <c r="G898" s="44"/>
      <c r="H898" s="44"/>
    </row>
    <row r="899" spans="1:8">
      <c r="A899" s="27"/>
      <c r="C899" s="28"/>
      <c r="D899" s="28"/>
      <c r="E899" s="44"/>
      <c r="F899" s="44"/>
      <c r="G899" s="44"/>
      <c r="H899" s="44"/>
    </row>
    <row r="900" spans="1:8">
      <c r="A900" s="27"/>
      <c r="C900" s="28"/>
      <c r="D900" s="28"/>
      <c r="E900" s="44"/>
      <c r="F900" s="44"/>
      <c r="G900" s="44"/>
      <c r="H900" s="44"/>
    </row>
    <row r="901" spans="1:8">
      <c r="A901" s="27"/>
      <c r="C901" s="28"/>
      <c r="D901" s="28"/>
      <c r="E901" s="44"/>
      <c r="F901" s="44"/>
      <c r="G901" s="44"/>
      <c r="H901" s="44"/>
    </row>
    <row r="902" spans="1:8">
      <c r="A902" s="27"/>
      <c r="C902" s="28"/>
      <c r="D902" s="28"/>
      <c r="E902" s="44"/>
      <c r="F902" s="44"/>
      <c r="G902" s="44"/>
      <c r="H902" s="44"/>
    </row>
    <row r="903" spans="1:8">
      <c r="A903" s="27"/>
      <c r="C903" s="28"/>
      <c r="D903" s="28"/>
      <c r="E903" s="44"/>
      <c r="F903" s="44"/>
      <c r="G903" s="44"/>
      <c r="H903" s="44"/>
    </row>
    <row r="904" spans="1:8">
      <c r="A904" s="27"/>
      <c r="C904" s="28"/>
      <c r="D904" s="28"/>
      <c r="E904" s="44"/>
      <c r="F904" s="44"/>
      <c r="G904" s="44"/>
      <c r="H904" s="44"/>
    </row>
    <row r="905" spans="1:8">
      <c r="A905" s="27"/>
      <c r="C905" s="28"/>
      <c r="D905" s="28"/>
      <c r="E905" s="44"/>
      <c r="F905" s="44"/>
      <c r="G905" s="44"/>
      <c r="H905" s="44"/>
    </row>
    <row r="906" spans="1:8">
      <c r="A906" s="27"/>
      <c r="C906" s="28"/>
      <c r="D906" s="28"/>
      <c r="E906" s="44"/>
      <c r="F906" s="44"/>
      <c r="G906" s="44"/>
      <c r="H906" s="44"/>
    </row>
    <row r="907" spans="1:8">
      <c r="A907" s="27"/>
      <c r="C907" s="28"/>
      <c r="D907" s="28"/>
      <c r="E907" s="44"/>
      <c r="F907" s="44"/>
      <c r="G907" s="44"/>
      <c r="H907" s="44"/>
    </row>
    <row r="908" spans="1:8">
      <c r="A908" s="27"/>
      <c r="C908" s="28"/>
      <c r="D908" s="28"/>
      <c r="E908" s="44"/>
      <c r="F908" s="44"/>
      <c r="G908" s="44"/>
      <c r="H908" s="44"/>
    </row>
    <row r="909" spans="1:8">
      <c r="A909" s="27"/>
      <c r="C909" s="28"/>
      <c r="D909" s="28"/>
      <c r="E909" s="44"/>
      <c r="F909" s="44"/>
      <c r="G909" s="44"/>
      <c r="H909" s="44"/>
    </row>
    <row r="910" spans="1:8">
      <c r="A910" s="27"/>
      <c r="C910" s="28"/>
      <c r="D910" s="28"/>
      <c r="E910" s="44"/>
      <c r="F910" s="44"/>
      <c r="G910" s="44"/>
      <c r="H910" s="44"/>
    </row>
    <row r="911" spans="1:8">
      <c r="A911" s="27"/>
      <c r="C911" s="28"/>
      <c r="D911" s="28"/>
      <c r="E911" s="44"/>
      <c r="F911" s="44"/>
      <c r="G911" s="44"/>
      <c r="H911" s="44"/>
    </row>
    <row r="912" spans="1:8">
      <c r="A912" s="27"/>
      <c r="C912" s="28"/>
      <c r="D912" s="28"/>
      <c r="E912" s="44"/>
      <c r="F912" s="44"/>
      <c r="G912" s="44"/>
      <c r="H912" s="44"/>
    </row>
    <row r="913" spans="1:8">
      <c r="A913" s="27"/>
      <c r="C913" s="28"/>
      <c r="D913" s="28"/>
      <c r="E913" s="44"/>
      <c r="F913" s="44"/>
      <c r="G913" s="44"/>
      <c r="H913" s="44"/>
    </row>
    <row r="914" spans="1:8">
      <c r="A914" s="27"/>
      <c r="C914" s="28"/>
      <c r="D914" s="28"/>
      <c r="E914" s="44"/>
      <c r="F914" s="44"/>
      <c r="G914" s="44"/>
      <c r="H914" s="44"/>
    </row>
    <row r="915" spans="1:8">
      <c r="A915" s="27"/>
      <c r="C915" s="28"/>
      <c r="D915" s="28"/>
      <c r="E915" s="44"/>
      <c r="F915" s="44"/>
      <c r="G915" s="44"/>
      <c r="H915" s="44"/>
    </row>
    <row r="916" spans="1:8">
      <c r="A916" s="27"/>
      <c r="C916" s="28"/>
      <c r="D916" s="28"/>
      <c r="E916" s="44"/>
      <c r="F916" s="44"/>
      <c r="G916" s="44"/>
      <c r="H916" s="44"/>
    </row>
    <row r="917" spans="1:8">
      <c r="A917" s="27"/>
      <c r="C917" s="28"/>
      <c r="D917" s="28"/>
      <c r="E917" s="44"/>
      <c r="F917" s="44"/>
      <c r="G917" s="44"/>
      <c r="H917" s="44"/>
    </row>
    <row r="918" spans="1:8">
      <c r="A918" s="27"/>
      <c r="C918" s="28"/>
      <c r="D918" s="28"/>
      <c r="E918" s="44"/>
      <c r="F918" s="44"/>
      <c r="G918" s="44"/>
      <c r="H918" s="44"/>
    </row>
    <row r="919" spans="1:8">
      <c r="A919" s="27"/>
      <c r="C919" s="28"/>
      <c r="D919" s="28"/>
      <c r="E919" s="44"/>
      <c r="F919" s="44"/>
      <c r="G919" s="44"/>
      <c r="H919" s="44"/>
    </row>
    <row r="920" spans="1:8">
      <c r="A920" s="27"/>
      <c r="C920" s="28"/>
      <c r="D920" s="28"/>
      <c r="E920" s="44"/>
      <c r="F920" s="44"/>
      <c r="G920" s="44"/>
      <c r="H920" s="44"/>
    </row>
    <row r="921" spans="1:8">
      <c r="A921" s="27"/>
      <c r="C921" s="28"/>
      <c r="D921" s="28"/>
      <c r="E921" s="44"/>
      <c r="F921" s="44"/>
      <c r="G921" s="44"/>
      <c r="H921" s="44"/>
    </row>
    <row r="922" spans="1:8">
      <c r="A922" s="27"/>
      <c r="C922" s="28"/>
      <c r="D922" s="28"/>
      <c r="E922" s="44"/>
      <c r="F922" s="44"/>
      <c r="G922" s="44"/>
      <c r="H922" s="44"/>
    </row>
    <row r="923" spans="1:8">
      <c r="A923" s="27"/>
      <c r="C923" s="28"/>
      <c r="D923" s="28"/>
      <c r="E923" s="44"/>
      <c r="F923" s="44"/>
      <c r="G923" s="44"/>
      <c r="H923" s="44"/>
    </row>
    <row r="924" spans="1:8">
      <c r="A924" s="27"/>
      <c r="C924" s="28"/>
      <c r="D924" s="28"/>
      <c r="E924" s="44"/>
      <c r="F924" s="44"/>
      <c r="G924" s="44"/>
      <c r="H924" s="44"/>
    </row>
    <row r="925" spans="1:8">
      <c r="A925" s="27"/>
      <c r="C925" s="28"/>
      <c r="D925" s="28"/>
      <c r="E925" s="44"/>
      <c r="F925" s="44"/>
      <c r="G925" s="44"/>
      <c r="H925" s="44"/>
    </row>
    <row r="926" spans="1:8">
      <c r="A926" s="27"/>
      <c r="C926" s="28"/>
      <c r="D926" s="28"/>
      <c r="E926" s="44"/>
      <c r="F926" s="44"/>
      <c r="G926" s="44"/>
      <c r="H926" s="44"/>
    </row>
    <row r="927" spans="1:8">
      <c r="A927" s="27"/>
      <c r="C927" s="28"/>
      <c r="D927" s="28"/>
      <c r="E927" s="44"/>
      <c r="F927" s="44"/>
      <c r="G927" s="44"/>
      <c r="H927" s="44"/>
    </row>
    <row r="928" spans="1:8">
      <c r="A928" s="27"/>
      <c r="C928" s="28"/>
      <c r="D928" s="28"/>
      <c r="E928" s="44"/>
      <c r="F928" s="44"/>
      <c r="G928" s="44"/>
      <c r="H928" s="44"/>
    </row>
    <row r="929" spans="1:8">
      <c r="A929" s="27"/>
      <c r="C929" s="28"/>
      <c r="D929" s="28"/>
      <c r="E929" s="44"/>
      <c r="F929" s="44"/>
      <c r="G929" s="44"/>
      <c r="H929" s="44"/>
    </row>
    <row r="930" spans="1:8">
      <c r="A930" s="27"/>
      <c r="C930" s="28"/>
      <c r="D930" s="28"/>
      <c r="E930" s="44"/>
      <c r="F930" s="44"/>
      <c r="G930" s="44"/>
      <c r="H930" s="44"/>
    </row>
    <row r="931" spans="1:8">
      <c r="A931" s="27"/>
      <c r="C931" s="28"/>
      <c r="D931" s="28"/>
      <c r="E931" s="44"/>
      <c r="F931" s="44"/>
      <c r="G931" s="44"/>
      <c r="H931" s="44"/>
    </row>
    <row r="932" spans="1:8">
      <c r="A932" s="27"/>
      <c r="C932" s="28"/>
      <c r="D932" s="28"/>
      <c r="E932" s="44"/>
      <c r="F932" s="44"/>
      <c r="G932" s="44"/>
      <c r="H932" s="44"/>
    </row>
    <row r="933" spans="1:8">
      <c r="A933" s="27"/>
      <c r="C933" s="28"/>
      <c r="D933" s="28"/>
      <c r="E933" s="44"/>
      <c r="F933" s="44"/>
      <c r="G933" s="44"/>
      <c r="H933" s="44"/>
    </row>
    <row r="934" spans="1:8">
      <c r="A934" s="27"/>
      <c r="C934" s="28"/>
      <c r="D934" s="28"/>
      <c r="E934" s="44"/>
      <c r="F934" s="44"/>
      <c r="G934" s="44"/>
      <c r="H934" s="44"/>
    </row>
    <row r="935" spans="1:8">
      <c r="A935" s="27"/>
      <c r="C935" s="28"/>
      <c r="D935" s="28"/>
      <c r="E935" s="44"/>
      <c r="F935" s="44"/>
      <c r="G935" s="44"/>
      <c r="H935" s="44"/>
    </row>
    <row r="936" spans="1:8">
      <c r="A936" s="27"/>
      <c r="C936" s="28"/>
      <c r="D936" s="28"/>
      <c r="E936" s="44"/>
      <c r="F936" s="44"/>
      <c r="G936" s="44"/>
      <c r="H936" s="44"/>
    </row>
    <row r="937" spans="1:8">
      <c r="A937" s="27"/>
      <c r="C937" s="28"/>
      <c r="D937" s="28"/>
      <c r="E937" s="44"/>
      <c r="F937" s="44"/>
      <c r="G937" s="44"/>
      <c r="H937" s="44"/>
    </row>
    <row r="938" spans="1:8">
      <c r="A938" s="27"/>
      <c r="C938" s="28"/>
      <c r="D938" s="28"/>
      <c r="E938" s="44"/>
      <c r="F938" s="44"/>
      <c r="G938" s="44"/>
      <c r="H938" s="44"/>
    </row>
    <row r="939" spans="1:8">
      <c r="A939" s="27"/>
      <c r="C939" s="28"/>
      <c r="D939" s="28"/>
      <c r="E939" s="44"/>
      <c r="F939" s="44"/>
      <c r="G939" s="44"/>
      <c r="H939" s="44"/>
    </row>
    <row r="940" spans="1:8">
      <c r="A940" s="27"/>
      <c r="C940" s="28"/>
      <c r="D940" s="28"/>
      <c r="E940" s="44"/>
      <c r="F940" s="44"/>
      <c r="G940" s="44"/>
      <c r="H940" s="44"/>
    </row>
    <row r="941" spans="1:8">
      <c r="A941" s="27"/>
      <c r="C941" s="28"/>
      <c r="D941" s="28"/>
      <c r="E941" s="44"/>
      <c r="F941" s="44"/>
      <c r="G941" s="44"/>
      <c r="H941" s="44"/>
    </row>
    <row r="942" spans="1:8">
      <c r="A942" s="27"/>
      <c r="C942" s="28"/>
      <c r="D942" s="28"/>
      <c r="E942" s="44"/>
      <c r="F942" s="44"/>
      <c r="G942" s="44"/>
      <c r="H942" s="44"/>
    </row>
    <row r="943" spans="1:8">
      <c r="A943" s="27"/>
      <c r="C943" s="28"/>
      <c r="D943" s="28"/>
      <c r="E943" s="44"/>
      <c r="F943" s="44"/>
      <c r="G943" s="44"/>
      <c r="H943" s="44"/>
    </row>
    <row r="944" spans="1:8">
      <c r="A944" s="27"/>
      <c r="C944" s="28"/>
      <c r="D944" s="28"/>
      <c r="E944" s="44"/>
      <c r="F944" s="44"/>
      <c r="G944" s="44"/>
      <c r="H944" s="44"/>
    </row>
    <row r="945" spans="1:8">
      <c r="A945" s="27"/>
      <c r="C945" s="28"/>
      <c r="D945" s="28"/>
      <c r="E945" s="44"/>
      <c r="F945" s="44"/>
      <c r="G945" s="44"/>
      <c r="H945" s="44"/>
    </row>
  </sheetData>
  <autoFilter xmlns:etc="http://www.wps.cn/officeDocument/2017/etCustomData" ref="A4:I202" etc:filterBottomFollowUsedRange="0">
    <extLst/>
  </autoFilter>
  <mergeCells count="6">
    <mergeCell ref="A2:H2"/>
    <mergeCell ref="C3:D3"/>
    <mergeCell ref="E3:H3"/>
    <mergeCell ref="A5:B5"/>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0">
    <tabColor rgb="FF00B0F0"/>
    <pageSetUpPr fitToPage="1"/>
  </sheetPr>
  <dimension ref="A1:I877"/>
  <sheetViews>
    <sheetView zoomScale="90" zoomScaleNormal="90" workbookViewId="0">
      <pane ySplit="4" topLeftCell="A19" activePane="bottomLeft" state="frozen"/>
      <selection/>
      <selection pane="bottomLeft" activeCell="E27" sqref="E27"/>
    </sheetView>
  </sheetViews>
  <sheetFormatPr defaultColWidth="9.5" defaultRowHeight="13.8"/>
  <cols>
    <col min="1" max="1" width="7.62962962962963" style="3" customWidth="1"/>
    <col min="2" max="2" width="39.5" style="3" customWidth="1"/>
    <col min="3" max="4" width="30.75" style="4" customWidth="1"/>
    <col min="5" max="8" width="13.8796296296296" style="5" customWidth="1"/>
    <col min="9" max="9" width="10.5" style="3" customWidth="1"/>
    <col min="10" max="16384" width="9.5" style="3"/>
  </cols>
  <sheetData>
    <row r="1" spans="1:8">
      <c r="A1" s="6" t="s">
        <v>2992</v>
      </c>
      <c r="B1" s="6"/>
      <c r="C1" s="7"/>
      <c r="D1" s="7"/>
      <c r="E1" s="6"/>
      <c r="F1" s="6"/>
      <c r="G1" s="6"/>
      <c r="H1" s="6"/>
    </row>
    <row r="2" spans="1:8">
      <c r="A2" s="8" t="s">
        <v>460</v>
      </c>
      <c r="B2" s="8"/>
      <c r="C2" s="8"/>
      <c r="D2" s="8"/>
      <c r="E2" s="8"/>
      <c r="F2" s="8"/>
      <c r="G2" s="8"/>
      <c r="H2" s="8"/>
    </row>
    <row r="3" s="1" customFormat="1" spans="1:8">
      <c r="A3" s="9" t="s">
        <v>5</v>
      </c>
      <c r="B3" s="9" t="s">
        <v>6</v>
      </c>
      <c r="C3" s="9" t="s">
        <v>7</v>
      </c>
      <c r="D3" s="9"/>
      <c r="E3" s="10" t="s">
        <v>8</v>
      </c>
      <c r="F3" s="10"/>
      <c r="G3" s="10"/>
      <c r="H3" s="10"/>
    </row>
    <row r="4" spans="1:8">
      <c r="A4" s="11"/>
      <c r="B4" s="11"/>
      <c r="C4" s="9" t="s">
        <v>9</v>
      </c>
      <c r="D4" s="9" t="s">
        <v>10</v>
      </c>
      <c r="E4" s="12" t="s">
        <v>11</v>
      </c>
      <c r="F4" s="12" t="s">
        <v>12</v>
      </c>
      <c r="G4" s="10" t="s">
        <v>13</v>
      </c>
      <c r="H4" s="10" t="s">
        <v>14</v>
      </c>
    </row>
    <row r="5" spans="1:8">
      <c r="A5" s="13" t="s">
        <v>2993</v>
      </c>
      <c r="B5" s="14"/>
      <c r="C5" s="15"/>
      <c r="D5" s="15"/>
      <c r="E5" s="10" t="s">
        <v>16</v>
      </c>
      <c r="F5" s="10" t="s">
        <v>16</v>
      </c>
      <c r="G5" s="10" t="s">
        <v>16</v>
      </c>
      <c r="H5" s="10" t="s">
        <v>16</v>
      </c>
    </row>
    <row r="6" spans="1:8">
      <c r="A6" s="16">
        <v>1</v>
      </c>
      <c r="B6" s="17" t="s">
        <v>145</v>
      </c>
      <c r="C6" s="18"/>
      <c r="D6" s="18"/>
      <c r="E6" s="19" t="s">
        <v>16</v>
      </c>
      <c r="F6" s="19" t="s">
        <v>16</v>
      </c>
      <c r="G6" s="19" t="s">
        <v>16</v>
      </c>
      <c r="H6" s="19" t="s">
        <v>16</v>
      </c>
    </row>
    <row r="7" s="2" customFormat="1" spans="1:8">
      <c r="A7" s="16"/>
      <c r="B7" s="20" t="s">
        <v>2994</v>
      </c>
      <c r="C7" s="18"/>
      <c r="D7" s="18"/>
      <c r="E7" s="21">
        <v>650000</v>
      </c>
      <c r="F7" s="21">
        <v>455000</v>
      </c>
      <c r="G7" s="21">
        <v>315000</v>
      </c>
      <c r="H7" s="22">
        <v>0</v>
      </c>
    </row>
    <row r="8" s="2" customFormat="1" spans="1:8">
      <c r="A8" s="16"/>
      <c r="B8" s="20" t="s">
        <v>2995</v>
      </c>
      <c r="C8" s="18"/>
      <c r="D8" s="18"/>
      <c r="E8" s="21">
        <v>600000</v>
      </c>
      <c r="F8" s="21">
        <v>420000</v>
      </c>
      <c r="G8" s="21">
        <v>295000</v>
      </c>
      <c r="H8" s="22">
        <v>0</v>
      </c>
    </row>
    <row r="9" s="2" customFormat="1" spans="1:8">
      <c r="A9" s="16"/>
      <c r="B9" s="20" t="s">
        <v>2996</v>
      </c>
      <c r="C9" s="18"/>
      <c r="D9" s="18"/>
      <c r="E9" s="23">
        <v>285000</v>
      </c>
      <c r="F9" s="23">
        <v>200000</v>
      </c>
      <c r="G9" s="23">
        <v>140000</v>
      </c>
      <c r="H9" s="23">
        <v>0</v>
      </c>
    </row>
    <row r="10" s="2" customFormat="1" spans="1:8">
      <c r="A10" s="16"/>
      <c r="B10" s="20" t="s">
        <v>2997</v>
      </c>
      <c r="C10" s="18"/>
      <c r="D10" s="18"/>
      <c r="E10" s="23">
        <v>285000</v>
      </c>
      <c r="F10" s="23">
        <v>200000</v>
      </c>
      <c r="G10" s="23">
        <v>140000</v>
      </c>
      <c r="H10" s="23">
        <v>0</v>
      </c>
    </row>
    <row r="11" s="2" customFormat="1" spans="1:8">
      <c r="A11" s="16">
        <v>2</v>
      </c>
      <c r="B11" s="20" t="s">
        <v>2998</v>
      </c>
      <c r="C11" s="18"/>
      <c r="D11" s="18"/>
      <c r="E11" s="23" t="s">
        <v>16</v>
      </c>
      <c r="F11" s="23" t="s">
        <v>16</v>
      </c>
      <c r="G11" s="23" t="s">
        <v>16</v>
      </c>
      <c r="H11" s="23" t="s">
        <v>16</v>
      </c>
    </row>
    <row r="12" s="2" customFormat="1" spans="1:8">
      <c r="A12" s="16"/>
      <c r="B12" s="20" t="s">
        <v>2994</v>
      </c>
      <c r="C12" s="18"/>
      <c r="D12" s="18"/>
      <c r="E12" s="23">
        <v>215000</v>
      </c>
      <c r="F12" s="23">
        <v>150000</v>
      </c>
      <c r="G12" s="23">
        <v>110000</v>
      </c>
      <c r="H12" s="23">
        <v>0</v>
      </c>
    </row>
    <row r="13" s="2" customFormat="1" spans="1:8">
      <c r="A13" s="16"/>
      <c r="B13" s="20" t="s">
        <v>2995</v>
      </c>
      <c r="C13" s="18"/>
      <c r="D13" s="18"/>
      <c r="E13" s="23">
        <v>215000</v>
      </c>
      <c r="F13" s="23">
        <v>150000</v>
      </c>
      <c r="G13" s="23">
        <v>110000</v>
      </c>
      <c r="H13" s="23">
        <v>0</v>
      </c>
    </row>
    <row r="14" s="2" customFormat="1" spans="1:8">
      <c r="A14" s="16"/>
      <c r="B14" s="20" t="s">
        <v>2996</v>
      </c>
      <c r="C14" s="18"/>
      <c r="D14" s="18"/>
      <c r="E14" s="23">
        <v>205000</v>
      </c>
      <c r="F14" s="23">
        <v>145000</v>
      </c>
      <c r="G14" s="23">
        <v>105000</v>
      </c>
      <c r="H14" s="23">
        <v>0</v>
      </c>
    </row>
    <row r="15" s="2" customFormat="1" spans="1:8">
      <c r="A15" s="16"/>
      <c r="B15" s="20" t="s">
        <v>2997</v>
      </c>
      <c r="C15" s="18"/>
      <c r="D15" s="18"/>
      <c r="E15" s="23">
        <v>205000</v>
      </c>
      <c r="F15" s="23">
        <v>145000</v>
      </c>
      <c r="G15" s="23">
        <v>105000</v>
      </c>
      <c r="H15" s="23">
        <v>0</v>
      </c>
    </row>
    <row r="16" spans="1:8">
      <c r="A16" s="13" t="s">
        <v>167</v>
      </c>
      <c r="B16" s="14"/>
      <c r="C16" s="15"/>
      <c r="D16" s="15"/>
      <c r="E16" s="23" t="s">
        <v>16</v>
      </c>
      <c r="F16" s="23" t="s">
        <v>16</v>
      </c>
      <c r="G16" s="23" t="s">
        <v>16</v>
      </c>
      <c r="H16" s="23" t="s">
        <v>16</v>
      </c>
    </row>
    <row r="17" spans="1:9">
      <c r="A17" s="16"/>
      <c r="B17" s="11" t="s">
        <v>2999</v>
      </c>
      <c r="C17" s="15"/>
      <c r="D17" s="15"/>
      <c r="E17" s="23" t="s">
        <v>16</v>
      </c>
      <c r="F17" s="23" t="s">
        <v>16</v>
      </c>
      <c r="G17" s="23" t="s">
        <v>16</v>
      </c>
      <c r="H17" s="23" t="s">
        <v>16</v>
      </c>
    </row>
    <row r="18" s="2" customFormat="1" ht="27.6" spans="1:9">
      <c r="A18" s="16">
        <v>9</v>
      </c>
      <c r="B18" s="20" t="s">
        <v>3000</v>
      </c>
      <c r="C18" s="18"/>
      <c r="D18" s="18"/>
      <c r="E18" s="23">
        <v>270000</v>
      </c>
      <c r="F18" s="23">
        <v>215000</v>
      </c>
      <c r="G18" s="23">
        <v>0</v>
      </c>
      <c r="H18" s="23">
        <v>0</v>
      </c>
    </row>
    <row r="19" s="2" customFormat="1" ht="41.4" spans="1:9">
      <c r="A19" s="16">
        <v>10</v>
      </c>
      <c r="B19" s="20" t="s">
        <v>3001</v>
      </c>
      <c r="C19" s="18"/>
      <c r="D19" s="18"/>
      <c r="E19" s="23">
        <v>215000</v>
      </c>
      <c r="F19" s="23">
        <v>170000</v>
      </c>
      <c r="G19" s="23">
        <v>0</v>
      </c>
      <c r="H19" s="23">
        <v>0</v>
      </c>
    </row>
    <row r="20" s="2" customFormat="1" spans="1:9">
      <c r="A20" s="16">
        <v>11</v>
      </c>
      <c r="B20" s="20" t="s">
        <v>843</v>
      </c>
      <c r="C20" s="18"/>
      <c r="D20" s="18"/>
      <c r="E20" s="23">
        <v>105000</v>
      </c>
      <c r="F20" s="23">
        <v>0</v>
      </c>
      <c r="G20" s="23">
        <v>0</v>
      </c>
      <c r="H20" s="23">
        <v>0</v>
      </c>
    </row>
    <row r="21" s="2" customFormat="1" spans="1:9">
      <c r="A21" s="16"/>
      <c r="B21" s="11" t="s">
        <v>3002</v>
      </c>
      <c r="C21" s="15"/>
      <c r="D21" s="15"/>
      <c r="E21" s="23" t="s">
        <v>16</v>
      </c>
      <c r="F21" s="23" t="s">
        <v>16</v>
      </c>
      <c r="G21" s="23" t="s">
        <v>16</v>
      </c>
      <c r="H21" s="23" t="s">
        <v>16</v>
      </c>
    </row>
    <row r="22" s="2" customFormat="1" ht="27.6" spans="1:9">
      <c r="A22" s="16">
        <f>A28+1</f>
        <v>15</v>
      </c>
      <c r="B22" s="20" t="s">
        <v>3003</v>
      </c>
      <c r="C22" s="18"/>
      <c r="D22" s="18"/>
      <c r="E22" s="23">
        <v>270000</v>
      </c>
      <c r="F22" s="23">
        <v>215000</v>
      </c>
      <c r="G22" s="23">
        <v>0</v>
      </c>
      <c r="H22" s="23">
        <v>0</v>
      </c>
    </row>
    <row r="23" s="2" customFormat="1" ht="41.4" spans="1:9">
      <c r="A23" s="16">
        <f>A22+1</f>
        <v>16</v>
      </c>
      <c r="B23" s="20" t="s">
        <v>2500</v>
      </c>
      <c r="C23" s="18"/>
      <c r="D23" s="18"/>
      <c r="E23" s="23">
        <v>215000</v>
      </c>
      <c r="F23" s="23">
        <v>170000</v>
      </c>
      <c r="G23" s="23">
        <v>0</v>
      </c>
      <c r="H23" s="23">
        <v>0</v>
      </c>
    </row>
    <row r="24" s="2" customFormat="1" spans="1:9">
      <c r="A24" s="16">
        <f>A23+1</f>
        <v>17</v>
      </c>
      <c r="B24" s="20" t="s">
        <v>3004</v>
      </c>
      <c r="C24" s="18"/>
      <c r="D24" s="18"/>
      <c r="E24" s="23">
        <v>105000</v>
      </c>
      <c r="F24" s="23">
        <v>0</v>
      </c>
      <c r="G24" s="23">
        <v>0</v>
      </c>
      <c r="H24" s="23">
        <v>0</v>
      </c>
    </row>
    <row r="25" spans="1:9">
      <c r="A25" s="16"/>
      <c r="B25" s="11" t="s">
        <v>3005</v>
      </c>
      <c r="C25" s="15"/>
      <c r="D25" s="15"/>
      <c r="E25" s="23" t="s">
        <v>16</v>
      </c>
      <c r="F25" s="23" t="s">
        <v>16</v>
      </c>
      <c r="G25" s="23" t="s">
        <v>16</v>
      </c>
      <c r="H25" s="23" t="s">
        <v>16</v>
      </c>
    </row>
    <row r="26" s="2" customFormat="1" ht="110.4" spans="1:9">
      <c r="A26" s="16">
        <v>12</v>
      </c>
      <c r="B26" s="220" t="s">
        <v>3006</v>
      </c>
      <c r="C26" s="18"/>
      <c r="D26" s="18"/>
      <c r="E26" s="23">
        <v>270000</v>
      </c>
      <c r="F26" s="23">
        <v>215000</v>
      </c>
      <c r="G26" s="23">
        <v>0</v>
      </c>
      <c r="H26" s="23">
        <v>0</v>
      </c>
    </row>
    <row r="27" s="2" customFormat="1" ht="41.4" spans="1:9">
      <c r="A27" s="16">
        <v>13</v>
      </c>
      <c r="B27" s="220" t="s">
        <v>3007</v>
      </c>
      <c r="C27" s="18"/>
      <c r="D27" s="18"/>
      <c r="E27" s="23">
        <v>215000</v>
      </c>
      <c r="F27" s="23">
        <v>170000</v>
      </c>
      <c r="G27" s="23">
        <v>0</v>
      </c>
      <c r="H27" s="23">
        <v>0</v>
      </c>
    </row>
    <row r="28" s="2" customFormat="1" spans="1:9">
      <c r="A28" s="16">
        <f>A27+1</f>
        <v>14</v>
      </c>
      <c r="B28" s="20" t="s">
        <v>843</v>
      </c>
      <c r="C28" s="18"/>
      <c r="D28" s="18"/>
      <c r="E28" s="23">
        <v>105000</v>
      </c>
      <c r="F28" s="23">
        <v>0</v>
      </c>
      <c r="G28" s="23">
        <v>0</v>
      </c>
      <c r="H28" s="23">
        <v>0</v>
      </c>
    </row>
    <row r="29" spans="1:9">
      <c r="E29" s="24" t="s">
        <v>16</v>
      </c>
      <c r="F29" s="24" t="s">
        <v>16</v>
      </c>
      <c r="G29" s="24" t="s">
        <v>16</v>
      </c>
      <c r="H29" s="24" t="s">
        <v>16</v>
      </c>
      <c r="I29" s="2"/>
    </row>
    <row r="30" ht="31.5" customHeight="1" spans="1:9">
      <c r="A30" s="25" t="s">
        <v>3008</v>
      </c>
      <c r="B30" s="25"/>
      <c r="C30" s="25"/>
      <c r="D30" s="25"/>
      <c r="E30" s="24"/>
      <c r="F30" s="24"/>
      <c r="G30" s="24"/>
      <c r="H30" s="24"/>
    </row>
    <row r="31" spans="1:9">
      <c r="E31" s="26" t="s">
        <v>16</v>
      </c>
      <c r="F31" s="26" t="s">
        <v>16</v>
      </c>
      <c r="G31" s="26" t="s">
        <v>16</v>
      </c>
      <c r="H31" s="26" t="s">
        <v>16</v>
      </c>
    </row>
    <row r="32" spans="1:9">
      <c r="E32" s="23" t="s">
        <v>16</v>
      </c>
      <c r="F32" s="23" t="s">
        <v>16</v>
      </c>
      <c r="G32" s="23" t="s">
        <v>16</v>
      </c>
      <c r="H32" s="23" t="s">
        <v>16</v>
      </c>
    </row>
    <row r="33" spans="5:8">
      <c r="E33" s="23" t="s">
        <v>16</v>
      </c>
      <c r="F33" s="23" t="s">
        <v>16</v>
      </c>
      <c r="G33" s="23" t="s">
        <v>16</v>
      </c>
      <c r="H33" s="23" t="s">
        <v>16</v>
      </c>
    </row>
    <row r="34" spans="5:8">
      <c r="E34" s="23" t="s">
        <v>16</v>
      </c>
      <c r="F34" s="23" t="s">
        <v>16</v>
      </c>
      <c r="G34" s="23" t="s">
        <v>16</v>
      </c>
      <c r="H34" s="23" t="s">
        <v>16</v>
      </c>
    </row>
    <row r="35" spans="5:8">
      <c r="E35" s="23" t="s">
        <v>16</v>
      </c>
      <c r="F35" s="23" t="s">
        <v>16</v>
      </c>
      <c r="G35" s="23" t="s">
        <v>16</v>
      </c>
      <c r="H35" s="23" t="s">
        <v>16</v>
      </c>
    </row>
    <row r="36" spans="5:8">
      <c r="E36" s="23" t="s">
        <v>16</v>
      </c>
      <c r="F36" s="23" t="s">
        <v>16</v>
      </c>
      <c r="G36" s="23" t="s">
        <v>16</v>
      </c>
      <c r="H36" s="23" t="s">
        <v>16</v>
      </c>
    </row>
    <row r="37" spans="5:8">
      <c r="E37" s="23" t="s">
        <v>16</v>
      </c>
      <c r="F37" s="23" t="s">
        <v>16</v>
      </c>
      <c r="G37" s="23" t="s">
        <v>16</v>
      </c>
      <c r="H37" s="23" t="s">
        <v>16</v>
      </c>
    </row>
    <row r="38" spans="5:8">
      <c r="E38" s="23" t="s">
        <v>16</v>
      </c>
      <c r="F38" s="23" t="s">
        <v>16</v>
      </c>
      <c r="G38" s="23" t="s">
        <v>16</v>
      </c>
      <c r="H38" s="23" t="s">
        <v>16</v>
      </c>
    </row>
    <row r="39" spans="5:8">
      <c r="E39" s="23" t="s">
        <v>16</v>
      </c>
      <c r="F39" s="23" t="s">
        <v>16</v>
      </c>
      <c r="G39" s="23" t="s">
        <v>16</v>
      </c>
      <c r="H39" s="23" t="s">
        <v>16</v>
      </c>
    </row>
    <row r="40" spans="5:8">
      <c r="E40" s="23" t="s">
        <v>16</v>
      </c>
      <c r="F40" s="23" t="s">
        <v>16</v>
      </c>
      <c r="G40" s="23" t="s">
        <v>16</v>
      </c>
      <c r="H40" s="23" t="s">
        <v>16</v>
      </c>
    </row>
    <row r="41" spans="5:8">
      <c r="E41" s="23" t="s">
        <v>16</v>
      </c>
      <c r="F41" s="23" t="s">
        <v>16</v>
      </c>
      <c r="G41" s="23" t="s">
        <v>16</v>
      </c>
      <c r="H41" s="23" t="s">
        <v>16</v>
      </c>
    </row>
    <row r="42" spans="5:8">
      <c r="E42" s="23" t="s">
        <v>16</v>
      </c>
      <c r="F42" s="23" t="s">
        <v>16</v>
      </c>
      <c r="G42" s="23" t="s">
        <v>16</v>
      </c>
      <c r="H42" s="23" t="s">
        <v>16</v>
      </c>
    </row>
    <row r="43" spans="5:8">
      <c r="E43" s="23" t="s">
        <v>16</v>
      </c>
      <c r="F43" s="23" t="s">
        <v>16</v>
      </c>
      <c r="G43" s="23" t="s">
        <v>16</v>
      </c>
      <c r="H43" s="23" t="s">
        <v>16</v>
      </c>
    </row>
    <row r="44" spans="5:8">
      <c r="E44" s="23" t="s">
        <v>16</v>
      </c>
      <c r="F44" s="23" t="s">
        <v>16</v>
      </c>
      <c r="G44" s="23" t="s">
        <v>16</v>
      </c>
      <c r="H44" s="23" t="s">
        <v>16</v>
      </c>
    </row>
    <row r="45" spans="5:8">
      <c r="E45" s="23" t="s">
        <v>16</v>
      </c>
      <c r="F45" s="23" t="s">
        <v>16</v>
      </c>
      <c r="G45" s="23" t="s">
        <v>16</v>
      </c>
      <c r="H45" s="23" t="s">
        <v>16</v>
      </c>
    </row>
    <row r="46" spans="5:8">
      <c r="E46" s="23" t="s">
        <v>16</v>
      </c>
      <c r="F46" s="23" t="s">
        <v>16</v>
      </c>
      <c r="G46" s="23" t="s">
        <v>16</v>
      </c>
      <c r="H46" s="23" t="s">
        <v>16</v>
      </c>
    </row>
    <row r="47" spans="5:8">
      <c r="E47" s="23" t="s">
        <v>16</v>
      </c>
      <c r="F47" s="23" t="s">
        <v>16</v>
      </c>
      <c r="G47" s="23" t="s">
        <v>16</v>
      </c>
      <c r="H47" s="23" t="s">
        <v>16</v>
      </c>
    </row>
    <row r="48" spans="5:8">
      <c r="E48" s="23" t="s">
        <v>16</v>
      </c>
      <c r="F48" s="23" t="s">
        <v>16</v>
      </c>
      <c r="G48" s="23" t="s">
        <v>16</v>
      </c>
      <c r="H48" s="23" t="s">
        <v>16</v>
      </c>
    </row>
    <row r="49" spans="1:8">
      <c r="E49" s="23" t="s">
        <v>16</v>
      </c>
      <c r="F49" s="23" t="s">
        <v>16</v>
      </c>
      <c r="G49" s="23" t="s">
        <v>16</v>
      </c>
      <c r="H49" s="23" t="s">
        <v>16</v>
      </c>
    </row>
    <row r="50" spans="1:8">
      <c r="A50" s="27"/>
      <c r="B50" s="27"/>
      <c r="C50" s="28"/>
      <c r="D50" s="28"/>
      <c r="E50" s="23" t="s">
        <v>16</v>
      </c>
      <c r="F50" s="23" t="s">
        <v>16</v>
      </c>
      <c r="G50" s="23" t="s">
        <v>16</v>
      </c>
      <c r="H50" s="23" t="s">
        <v>16</v>
      </c>
    </row>
    <row r="51" spans="1:8">
      <c r="A51" s="27"/>
      <c r="B51" s="27"/>
      <c r="C51" s="28"/>
      <c r="D51" s="28"/>
      <c r="E51" s="23" t="s">
        <v>16</v>
      </c>
      <c r="F51" s="23" t="s">
        <v>16</v>
      </c>
      <c r="G51" s="23" t="s">
        <v>16</v>
      </c>
      <c r="H51" s="23" t="s">
        <v>16</v>
      </c>
    </row>
    <row r="52" spans="1:8">
      <c r="A52" s="27"/>
      <c r="B52" s="20"/>
      <c r="C52" s="18"/>
      <c r="D52" s="18"/>
      <c r="E52" s="23" t="s">
        <v>16</v>
      </c>
      <c r="F52" s="23" t="s">
        <v>16</v>
      </c>
      <c r="G52" s="23" t="s">
        <v>16</v>
      </c>
      <c r="H52" s="23" t="s">
        <v>16</v>
      </c>
    </row>
    <row r="53" spans="1:8">
      <c r="A53" s="27"/>
      <c r="B53" s="20"/>
      <c r="C53" s="18"/>
      <c r="D53" s="18"/>
      <c r="E53" s="23" t="s">
        <v>16</v>
      </c>
      <c r="F53" s="23" t="s">
        <v>16</v>
      </c>
      <c r="G53" s="23" t="s">
        <v>16</v>
      </c>
      <c r="H53" s="23" t="s">
        <v>16</v>
      </c>
    </row>
    <row r="54" spans="1:8">
      <c r="A54" s="27"/>
      <c r="B54" s="20"/>
      <c r="C54" s="18"/>
      <c r="D54" s="18"/>
      <c r="E54" s="23" t="s">
        <v>16</v>
      </c>
      <c r="F54" s="23" t="s">
        <v>16</v>
      </c>
      <c r="G54" s="23" t="s">
        <v>16</v>
      </c>
      <c r="H54" s="23" t="s">
        <v>16</v>
      </c>
    </row>
    <row r="55" spans="1:8">
      <c r="A55" s="27"/>
      <c r="B55" s="20"/>
      <c r="C55" s="18"/>
      <c r="D55" s="18"/>
      <c r="E55" s="23" t="s">
        <v>16</v>
      </c>
      <c r="F55" s="23" t="s">
        <v>16</v>
      </c>
      <c r="G55" s="23" t="s">
        <v>16</v>
      </c>
      <c r="H55" s="23" t="s">
        <v>16</v>
      </c>
    </row>
    <row r="56" spans="1:8">
      <c r="A56" s="27"/>
      <c r="B56" s="20"/>
      <c r="C56" s="18"/>
      <c r="D56" s="18"/>
      <c r="E56" s="23" t="s">
        <v>16</v>
      </c>
      <c r="F56" s="23" t="s">
        <v>16</v>
      </c>
      <c r="G56" s="23" t="s">
        <v>16</v>
      </c>
      <c r="H56" s="23" t="s">
        <v>16</v>
      </c>
    </row>
    <row r="57" spans="1:8">
      <c r="A57" s="27"/>
      <c r="B57" s="20"/>
      <c r="C57" s="18"/>
      <c r="D57" s="18"/>
      <c r="E57" s="23" t="s">
        <v>16</v>
      </c>
      <c r="F57" s="23" t="s">
        <v>16</v>
      </c>
      <c r="G57" s="23" t="s">
        <v>16</v>
      </c>
      <c r="H57" s="23" t="s">
        <v>16</v>
      </c>
    </row>
    <row r="58" spans="1:8">
      <c r="A58" s="27"/>
      <c r="B58" s="20"/>
      <c r="C58" s="18"/>
      <c r="D58" s="18"/>
      <c r="E58" s="23" t="s">
        <v>16</v>
      </c>
      <c r="F58" s="23" t="s">
        <v>16</v>
      </c>
      <c r="G58" s="23" t="s">
        <v>16</v>
      </c>
      <c r="H58" s="23" t="s">
        <v>16</v>
      </c>
    </row>
    <row r="59" spans="1:8">
      <c r="A59" s="27"/>
      <c r="B59" s="20"/>
      <c r="C59" s="18"/>
      <c r="D59" s="18"/>
      <c r="E59" s="23" t="s">
        <v>16</v>
      </c>
      <c r="F59" s="23" t="s">
        <v>16</v>
      </c>
      <c r="G59" s="23" t="s">
        <v>16</v>
      </c>
      <c r="H59" s="23" t="s">
        <v>16</v>
      </c>
    </row>
    <row r="60" spans="1:8">
      <c r="A60" s="27"/>
      <c r="B60" s="20"/>
      <c r="C60" s="18"/>
      <c r="D60" s="18"/>
      <c r="E60" s="23" t="s">
        <v>16</v>
      </c>
      <c r="F60" s="23" t="s">
        <v>16</v>
      </c>
      <c r="G60" s="23" t="s">
        <v>16</v>
      </c>
      <c r="H60" s="23" t="s">
        <v>16</v>
      </c>
    </row>
    <row r="61" spans="1:8">
      <c r="A61" s="27"/>
      <c r="B61" s="20"/>
      <c r="C61" s="18"/>
      <c r="D61" s="28"/>
      <c r="E61" s="23" t="s">
        <v>16</v>
      </c>
      <c r="F61" s="23" t="s">
        <v>16</v>
      </c>
      <c r="G61" s="23" t="s">
        <v>16</v>
      </c>
      <c r="H61" s="23" t="s">
        <v>16</v>
      </c>
    </row>
    <row r="62" spans="1:8">
      <c r="A62" s="27"/>
      <c r="B62" s="20"/>
      <c r="C62" s="18"/>
      <c r="D62" s="18"/>
      <c r="E62" s="23" t="s">
        <v>16</v>
      </c>
      <c r="F62" s="23" t="s">
        <v>16</v>
      </c>
      <c r="G62" s="23" t="s">
        <v>16</v>
      </c>
      <c r="H62" s="23" t="s">
        <v>16</v>
      </c>
    </row>
    <row r="63" spans="1:8">
      <c r="A63" s="27"/>
      <c r="B63" s="20"/>
      <c r="C63" s="18"/>
      <c r="D63" s="18"/>
      <c r="E63" s="23" t="s">
        <v>16</v>
      </c>
      <c r="F63" s="23" t="s">
        <v>16</v>
      </c>
      <c r="G63" s="23" t="s">
        <v>16</v>
      </c>
      <c r="H63" s="23" t="s">
        <v>16</v>
      </c>
    </row>
    <row r="64" spans="1:8">
      <c r="A64" s="27"/>
      <c r="B64" s="20"/>
      <c r="C64" s="18"/>
      <c r="D64" s="18"/>
      <c r="E64" s="23" t="s">
        <v>16</v>
      </c>
      <c r="F64" s="23" t="s">
        <v>16</v>
      </c>
      <c r="G64" s="23" t="s">
        <v>16</v>
      </c>
      <c r="H64" s="23" t="s">
        <v>16</v>
      </c>
    </row>
    <row r="65" spans="1:8">
      <c r="A65" s="27"/>
      <c r="B65" s="20"/>
      <c r="C65" s="18"/>
      <c r="D65" s="18"/>
      <c r="E65" s="23" t="s">
        <v>16</v>
      </c>
      <c r="F65" s="23" t="s">
        <v>16</v>
      </c>
      <c r="G65" s="23" t="s">
        <v>16</v>
      </c>
      <c r="H65" s="23" t="s">
        <v>16</v>
      </c>
    </row>
    <row r="66" spans="1:8">
      <c r="A66" s="27"/>
      <c r="B66" s="20"/>
      <c r="C66" s="18"/>
      <c r="D66" s="18"/>
      <c r="E66" s="23" t="s">
        <v>16</v>
      </c>
      <c r="F66" s="23" t="s">
        <v>16</v>
      </c>
      <c r="G66" s="23" t="s">
        <v>16</v>
      </c>
      <c r="H66" s="23" t="s">
        <v>16</v>
      </c>
    </row>
    <row r="67" spans="1:8">
      <c r="A67" s="27"/>
      <c r="B67" s="20"/>
      <c r="C67" s="18"/>
      <c r="D67" s="18"/>
      <c r="E67" s="23" t="s">
        <v>16</v>
      </c>
      <c r="F67" s="23" t="s">
        <v>16</v>
      </c>
      <c r="G67" s="23" t="s">
        <v>16</v>
      </c>
      <c r="H67" s="23" t="s">
        <v>16</v>
      </c>
    </row>
    <row r="68" spans="1:8">
      <c r="A68" s="27"/>
      <c r="B68" s="20"/>
      <c r="C68" s="18"/>
      <c r="D68" s="18"/>
      <c r="E68" s="23" t="s">
        <v>16</v>
      </c>
      <c r="F68" s="23" t="s">
        <v>16</v>
      </c>
      <c r="G68" s="23" t="s">
        <v>16</v>
      </c>
      <c r="H68" s="23" t="s">
        <v>16</v>
      </c>
    </row>
    <row r="69" spans="1:8">
      <c r="A69" s="27"/>
      <c r="B69" s="20"/>
      <c r="C69" s="18"/>
      <c r="D69" s="18"/>
      <c r="E69" s="23" t="s">
        <v>16</v>
      </c>
      <c r="F69" s="23" t="s">
        <v>16</v>
      </c>
      <c r="G69" s="23" t="s">
        <v>16</v>
      </c>
      <c r="H69" s="23" t="s">
        <v>16</v>
      </c>
    </row>
    <row r="70" spans="1:8">
      <c r="A70" s="27"/>
      <c r="B70" s="20"/>
      <c r="C70" s="18"/>
      <c r="D70" s="18"/>
      <c r="E70" s="23" t="s">
        <v>16</v>
      </c>
      <c r="F70" s="23" t="s">
        <v>16</v>
      </c>
      <c r="G70" s="23" t="s">
        <v>16</v>
      </c>
      <c r="H70" s="23" t="s">
        <v>16</v>
      </c>
    </row>
    <row r="71" spans="1:8">
      <c r="A71" s="27"/>
      <c r="B71" s="20"/>
      <c r="C71" s="18"/>
      <c r="D71" s="18"/>
      <c r="E71" s="23" t="s">
        <v>16</v>
      </c>
      <c r="F71" s="23" t="s">
        <v>16</v>
      </c>
      <c r="G71" s="23" t="s">
        <v>16</v>
      </c>
      <c r="H71" s="23" t="s">
        <v>16</v>
      </c>
    </row>
    <row r="72" spans="1:8">
      <c r="A72" s="27"/>
      <c r="B72" s="20"/>
      <c r="C72" s="18"/>
      <c r="D72" s="18"/>
      <c r="E72" s="23" t="s">
        <v>16</v>
      </c>
      <c r="F72" s="23" t="s">
        <v>16</v>
      </c>
      <c r="G72" s="23" t="s">
        <v>16</v>
      </c>
      <c r="H72" s="23" t="s">
        <v>16</v>
      </c>
    </row>
    <row r="73" spans="1:8">
      <c r="A73" s="27"/>
      <c r="B73" s="20"/>
      <c r="C73" s="18"/>
      <c r="D73" s="18"/>
      <c r="E73" s="23" t="s">
        <v>16</v>
      </c>
      <c r="F73" s="23" t="s">
        <v>16</v>
      </c>
      <c r="G73" s="23" t="s">
        <v>16</v>
      </c>
      <c r="H73" s="23" t="s">
        <v>16</v>
      </c>
    </row>
    <row r="74" spans="1:8">
      <c r="A74" s="27"/>
      <c r="B74" s="20"/>
      <c r="C74" s="18"/>
      <c r="D74" s="18"/>
      <c r="E74" s="23" t="s">
        <v>16</v>
      </c>
      <c r="F74" s="23" t="s">
        <v>16</v>
      </c>
      <c r="G74" s="23" t="s">
        <v>16</v>
      </c>
      <c r="H74" s="23" t="s">
        <v>16</v>
      </c>
    </row>
    <row r="75" spans="1:8">
      <c r="A75" s="27"/>
      <c r="B75" s="20"/>
      <c r="C75" s="18"/>
      <c r="D75" s="18"/>
      <c r="E75" s="23" t="s">
        <v>16</v>
      </c>
      <c r="F75" s="23" t="s">
        <v>16</v>
      </c>
      <c r="G75" s="23" t="s">
        <v>16</v>
      </c>
      <c r="H75" s="23" t="s">
        <v>16</v>
      </c>
    </row>
    <row r="76" spans="1:8">
      <c r="A76" s="27"/>
      <c r="B76" s="20"/>
      <c r="C76" s="18"/>
      <c r="D76" s="18"/>
      <c r="E76" s="23" t="s">
        <v>16</v>
      </c>
      <c r="F76" s="23" t="s">
        <v>16</v>
      </c>
      <c r="G76" s="23" t="s">
        <v>16</v>
      </c>
      <c r="H76" s="23" t="s">
        <v>16</v>
      </c>
    </row>
    <row r="77" spans="1:8">
      <c r="A77" s="27"/>
      <c r="B77" s="20"/>
      <c r="C77" s="18"/>
      <c r="D77" s="18"/>
      <c r="E77" s="23" t="s">
        <v>16</v>
      </c>
      <c r="F77" s="23" t="s">
        <v>16</v>
      </c>
      <c r="G77" s="23" t="s">
        <v>16</v>
      </c>
      <c r="H77" s="23" t="s">
        <v>16</v>
      </c>
    </row>
    <row r="78" spans="1:8">
      <c r="A78" s="27"/>
      <c r="B78" s="20"/>
      <c r="C78" s="18"/>
      <c r="D78" s="18"/>
      <c r="E78" s="23" t="s">
        <v>16</v>
      </c>
      <c r="F78" s="23" t="s">
        <v>16</v>
      </c>
      <c r="G78" s="23" t="s">
        <v>16</v>
      </c>
      <c r="H78" s="23" t="s">
        <v>16</v>
      </c>
    </row>
    <row r="79" spans="1:8">
      <c r="A79" s="27"/>
      <c r="B79" s="27"/>
      <c r="C79" s="28"/>
      <c r="D79" s="28"/>
      <c r="E79" s="23" t="s">
        <v>16</v>
      </c>
      <c r="F79" s="23" t="s">
        <v>16</v>
      </c>
      <c r="G79" s="23" t="s">
        <v>16</v>
      </c>
      <c r="H79" s="23" t="s">
        <v>16</v>
      </c>
    </row>
    <row r="80" spans="1:8">
      <c r="A80" s="27"/>
      <c r="B80" s="27"/>
      <c r="C80" s="28"/>
      <c r="D80" s="28"/>
      <c r="E80" s="23" t="s">
        <v>16</v>
      </c>
      <c r="F80" s="23" t="s">
        <v>16</v>
      </c>
      <c r="G80" s="23" t="s">
        <v>16</v>
      </c>
      <c r="H80" s="23" t="s">
        <v>16</v>
      </c>
    </row>
    <row r="81" spans="1:8">
      <c r="A81" s="27"/>
      <c r="B81" s="27"/>
      <c r="C81" s="28"/>
      <c r="D81" s="28"/>
      <c r="E81" s="23" t="s">
        <v>16</v>
      </c>
      <c r="F81" s="23" t="s">
        <v>16</v>
      </c>
      <c r="G81" s="23" t="s">
        <v>16</v>
      </c>
      <c r="H81" s="23" t="s">
        <v>16</v>
      </c>
    </row>
    <row r="82" spans="1:8">
      <c r="A82" s="27"/>
      <c r="B82" s="27"/>
      <c r="C82" s="28"/>
      <c r="D82" s="28"/>
      <c r="E82" s="23" t="s">
        <v>16</v>
      </c>
      <c r="F82" s="23" t="s">
        <v>16</v>
      </c>
      <c r="G82" s="23" t="s">
        <v>16</v>
      </c>
      <c r="H82" s="23" t="s">
        <v>16</v>
      </c>
    </row>
    <row r="83" spans="1:8">
      <c r="A83" s="27"/>
      <c r="B83" s="27"/>
      <c r="C83" s="28"/>
      <c r="D83" s="28"/>
      <c r="E83" s="23" t="s">
        <v>16</v>
      </c>
      <c r="F83" s="23" t="s">
        <v>16</v>
      </c>
      <c r="G83" s="23" t="s">
        <v>16</v>
      </c>
      <c r="H83" s="23" t="s">
        <v>16</v>
      </c>
    </row>
    <row r="84" spans="1:8">
      <c r="A84" s="27"/>
      <c r="B84" s="27"/>
      <c r="C84" s="28"/>
      <c r="D84" s="28"/>
      <c r="E84" s="23" t="s">
        <v>16</v>
      </c>
      <c r="F84" s="23" t="s">
        <v>16</v>
      </c>
      <c r="G84" s="23" t="s">
        <v>16</v>
      </c>
      <c r="H84" s="23" t="s">
        <v>16</v>
      </c>
    </row>
    <row r="85" spans="1:8">
      <c r="A85" s="27"/>
      <c r="B85" s="27"/>
      <c r="C85" s="28"/>
      <c r="D85" s="28"/>
      <c r="E85" s="23" t="s">
        <v>16</v>
      </c>
      <c r="F85" s="23" t="s">
        <v>16</v>
      </c>
      <c r="G85" s="23" t="s">
        <v>16</v>
      </c>
      <c r="H85" s="23" t="s">
        <v>16</v>
      </c>
    </row>
    <row r="86" spans="1:8">
      <c r="A86" s="27"/>
      <c r="B86" s="27"/>
      <c r="C86" s="28"/>
      <c r="D86" s="28"/>
      <c r="E86" s="23" t="s">
        <v>16</v>
      </c>
      <c r="F86" s="23" t="s">
        <v>16</v>
      </c>
      <c r="G86" s="23" t="s">
        <v>16</v>
      </c>
      <c r="H86" s="23" t="s">
        <v>16</v>
      </c>
    </row>
    <row r="87" spans="1:8">
      <c r="A87" s="27"/>
      <c r="B87" s="27"/>
      <c r="C87" s="28"/>
      <c r="D87" s="28"/>
      <c r="E87" s="23" t="s">
        <v>16</v>
      </c>
      <c r="F87" s="23" t="s">
        <v>16</v>
      </c>
      <c r="G87" s="23" t="s">
        <v>16</v>
      </c>
      <c r="H87" s="23" t="s">
        <v>16</v>
      </c>
    </row>
    <row r="88" spans="1:8">
      <c r="A88" s="27"/>
      <c r="B88" s="27"/>
      <c r="C88" s="28"/>
      <c r="D88" s="28"/>
      <c r="E88" s="23" t="s">
        <v>16</v>
      </c>
      <c r="F88" s="23" t="s">
        <v>16</v>
      </c>
      <c r="G88" s="23" t="s">
        <v>16</v>
      </c>
      <c r="H88" s="23" t="s">
        <v>16</v>
      </c>
    </row>
    <row r="89" spans="1:8">
      <c r="A89" s="27"/>
      <c r="B89" s="27"/>
      <c r="C89" s="28"/>
      <c r="D89" s="28"/>
      <c r="E89" s="23" t="s">
        <v>16</v>
      </c>
      <c r="F89" s="23" t="s">
        <v>16</v>
      </c>
      <c r="G89" s="23" t="s">
        <v>16</v>
      </c>
      <c r="H89" s="23" t="s">
        <v>16</v>
      </c>
    </row>
    <row r="90" spans="1:8">
      <c r="A90" s="27"/>
      <c r="B90" s="27"/>
      <c r="C90" s="28"/>
      <c r="D90" s="28"/>
      <c r="E90" s="23" t="s">
        <v>16</v>
      </c>
      <c r="F90" s="23" t="s">
        <v>16</v>
      </c>
      <c r="G90" s="23" t="s">
        <v>16</v>
      </c>
      <c r="H90" s="23" t="s">
        <v>16</v>
      </c>
    </row>
    <row r="91" spans="1:8">
      <c r="A91" s="27"/>
      <c r="B91" s="27"/>
      <c r="C91" s="28"/>
      <c r="D91" s="28"/>
      <c r="E91" s="23" t="s">
        <v>16</v>
      </c>
      <c r="F91" s="23" t="s">
        <v>16</v>
      </c>
      <c r="G91" s="23" t="s">
        <v>16</v>
      </c>
      <c r="H91" s="23" t="s">
        <v>16</v>
      </c>
    </row>
    <row r="92" spans="1:8">
      <c r="A92" s="27"/>
      <c r="B92" s="27"/>
      <c r="C92" s="28"/>
      <c r="D92" s="28"/>
      <c r="E92" s="23" t="s">
        <v>16</v>
      </c>
      <c r="F92" s="23" t="s">
        <v>16</v>
      </c>
      <c r="G92" s="23" t="s">
        <v>16</v>
      </c>
      <c r="H92" s="23" t="s">
        <v>16</v>
      </c>
    </row>
    <row r="93" spans="1:8">
      <c r="A93" s="27"/>
      <c r="B93" s="27"/>
      <c r="C93" s="28"/>
      <c r="D93" s="28"/>
      <c r="E93" s="23" t="s">
        <v>16</v>
      </c>
      <c r="F93" s="23" t="s">
        <v>16</v>
      </c>
      <c r="G93" s="23" t="s">
        <v>16</v>
      </c>
      <c r="H93" s="23" t="s">
        <v>16</v>
      </c>
    </row>
    <row r="94" spans="1:8">
      <c r="A94" s="27"/>
      <c r="B94" s="27"/>
      <c r="C94" s="28"/>
      <c r="D94" s="28"/>
      <c r="E94" s="23" t="s">
        <v>16</v>
      </c>
      <c r="F94" s="23" t="s">
        <v>16</v>
      </c>
      <c r="G94" s="23" t="s">
        <v>16</v>
      </c>
      <c r="H94" s="23" t="s">
        <v>16</v>
      </c>
    </row>
    <row r="95" spans="1:8">
      <c r="A95" s="27"/>
      <c r="B95" s="27"/>
      <c r="C95" s="28"/>
      <c r="D95" s="28"/>
      <c r="E95" s="23" t="s">
        <v>16</v>
      </c>
      <c r="F95" s="23" t="s">
        <v>16</v>
      </c>
      <c r="G95" s="23" t="s">
        <v>16</v>
      </c>
      <c r="H95" s="23" t="s">
        <v>16</v>
      </c>
    </row>
    <row r="96" spans="1:8">
      <c r="A96" s="27"/>
      <c r="B96" s="27"/>
      <c r="C96" s="28"/>
      <c r="D96" s="28"/>
      <c r="E96" s="23" t="s">
        <v>16</v>
      </c>
      <c r="F96" s="23" t="s">
        <v>16</v>
      </c>
      <c r="G96" s="23" t="s">
        <v>16</v>
      </c>
      <c r="H96" s="23" t="s">
        <v>16</v>
      </c>
    </row>
    <row r="97" spans="1:8">
      <c r="A97" s="27"/>
      <c r="B97" s="27"/>
      <c r="C97" s="28"/>
      <c r="D97" s="28"/>
      <c r="E97" s="23" t="s">
        <v>16</v>
      </c>
      <c r="F97" s="23" t="s">
        <v>16</v>
      </c>
      <c r="G97" s="23" t="s">
        <v>16</v>
      </c>
      <c r="H97" s="23" t="s">
        <v>16</v>
      </c>
    </row>
    <row r="98" spans="1:8">
      <c r="A98" s="27"/>
      <c r="B98" s="27"/>
      <c r="C98" s="28"/>
      <c r="D98" s="28"/>
      <c r="E98" s="23" t="s">
        <v>16</v>
      </c>
      <c r="F98" s="23" t="s">
        <v>16</v>
      </c>
      <c r="G98" s="23" t="s">
        <v>16</v>
      </c>
      <c r="H98" s="23" t="s">
        <v>16</v>
      </c>
    </row>
    <row r="99" spans="1:8">
      <c r="A99" s="27"/>
      <c r="B99" s="27"/>
      <c r="C99" s="28"/>
      <c r="D99" s="28"/>
      <c r="E99" s="23" t="s">
        <v>16</v>
      </c>
      <c r="F99" s="23" t="s">
        <v>16</v>
      </c>
      <c r="G99" s="23" t="s">
        <v>16</v>
      </c>
      <c r="H99" s="23" t="s">
        <v>16</v>
      </c>
    </row>
    <row r="100" spans="1:8">
      <c r="A100" s="27"/>
      <c r="B100" s="27"/>
      <c r="C100" s="28"/>
      <c r="D100" s="28"/>
      <c r="E100" s="23" t="s">
        <v>16</v>
      </c>
      <c r="F100" s="23" t="s">
        <v>16</v>
      </c>
      <c r="G100" s="23" t="s">
        <v>16</v>
      </c>
      <c r="H100" s="23" t="s">
        <v>16</v>
      </c>
    </row>
    <row r="101" spans="1:8">
      <c r="A101" s="27"/>
      <c r="B101" s="27"/>
      <c r="C101" s="28"/>
      <c r="D101" s="28"/>
      <c r="E101" s="23" t="s">
        <v>16</v>
      </c>
      <c r="F101" s="23" t="s">
        <v>16</v>
      </c>
      <c r="G101" s="23" t="s">
        <v>16</v>
      </c>
      <c r="H101" s="23" t="s">
        <v>16</v>
      </c>
    </row>
    <row r="102" spans="1:8">
      <c r="A102" s="27"/>
      <c r="B102" s="27"/>
      <c r="C102" s="28"/>
      <c r="D102" s="28"/>
      <c r="E102" s="23" t="s">
        <v>16</v>
      </c>
      <c r="F102" s="23" t="s">
        <v>16</v>
      </c>
      <c r="G102" s="23" t="s">
        <v>16</v>
      </c>
      <c r="H102" s="23" t="s">
        <v>16</v>
      </c>
    </row>
    <row r="103" spans="1:8">
      <c r="A103" s="27"/>
      <c r="B103" s="27"/>
      <c r="C103" s="28"/>
      <c r="D103" s="28"/>
      <c r="E103" s="23" t="s">
        <v>16</v>
      </c>
      <c r="F103" s="23" t="s">
        <v>16</v>
      </c>
      <c r="G103" s="23" t="s">
        <v>16</v>
      </c>
      <c r="H103" s="23" t="s">
        <v>16</v>
      </c>
    </row>
    <row r="104" spans="1:8">
      <c r="A104" s="27"/>
      <c r="B104" s="27"/>
      <c r="C104" s="28"/>
      <c r="D104" s="28"/>
      <c r="E104" s="23" t="s">
        <v>16</v>
      </c>
      <c r="F104" s="23" t="s">
        <v>16</v>
      </c>
      <c r="G104" s="23" t="s">
        <v>16</v>
      </c>
      <c r="H104" s="23" t="s">
        <v>16</v>
      </c>
    </row>
    <row r="105" spans="1:8">
      <c r="A105" s="27"/>
      <c r="B105" s="27"/>
      <c r="C105" s="28"/>
      <c r="D105" s="28"/>
      <c r="E105" s="23" t="s">
        <v>16</v>
      </c>
      <c r="F105" s="23" t="s">
        <v>16</v>
      </c>
      <c r="G105" s="23" t="s">
        <v>16</v>
      </c>
      <c r="H105" s="23" t="s">
        <v>16</v>
      </c>
    </row>
    <row r="106" spans="1:8">
      <c r="A106" s="27"/>
      <c r="B106" s="27"/>
      <c r="C106" s="28"/>
      <c r="D106" s="28"/>
      <c r="E106" s="23" t="s">
        <v>16</v>
      </c>
      <c r="F106" s="23" t="s">
        <v>16</v>
      </c>
      <c r="G106" s="23" t="s">
        <v>16</v>
      </c>
      <c r="H106" s="23" t="s">
        <v>16</v>
      </c>
    </row>
    <row r="107" spans="1:8">
      <c r="A107" s="27"/>
      <c r="B107" s="27"/>
      <c r="C107" s="28"/>
      <c r="D107" s="28"/>
      <c r="E107" s="23" t="s">
        <v>16</v>
      </c>
      <c r="F107" s="23" t="s">
        <v>16</v>
      </c>
      <c r="G107" s="23" t="s">
        <v>16</v>
      </c>
      <c r="H107" s="23" t="s">
        <v>16</v>
      </c>
    </row>
    <row r="108" spans="1:8">
      <c r="A108" s="27"/>
      <c r="B108" s="27"/>
      <c r="C108" s="28"/>
      <c r="D108" s="28"/>
      <c r="E108" s="23" t="s">
        <v>16</v>
      </c>
      <c r="F108" s="23" t="s">
        <v>16</v>
      </c>
      <c r="G108" s="23" t="s">
        <v>16</v>
      </c>
      <c r="H108" s="23" t="s">
        <v>16</v>
      </c>
    </row>
    <row r="109" spans="1:8">
      <c r="A109" s="27"/>
      <c r="B109" s="27"/>
      <c r="C109" s="28"/>
      <c r="D109" s="28"/>
      <c r="E109" s="23" t="s">
        <v>16</v>
      </c>
      <c r="F109" s="23" t="s">
        <v>16</v>
      </c>
      <c r="G109" s="23" t="s">
        <v>16</v>
      </c>
      <c r="H109" s="23" t="s">
        <v>16</v>
      </c>
    </row>
    <row r="110" spans="1:8">
      <c r="A110" s="27"/>
      <c r="B110" s="27"/>
      <c r="C110" s="28"/>
      <c r="D110" s="28"/>
      <c r="E110" s="23" t="s">
        <v>16</v>
      </c>
      <c r="F110" s="23" t="s">
        <v>16</v>
      </c>
      <c r="G110" s="23" t="s">
        <v>16</v>
      </c>
      <c r="H110" s="23" t="s">
        <v>16</v>
      </c>
    </row>
    <row r="111" spans="1:8">
      <c r="A111" s="27"/>
      <c r="B111" s="27"/>
      <c r="C111" s="28"/>
      <c r="D111" s="28"/>
      <c r="E111" s="23" t="s">
        <v>16</v>
      </c>
      <c r="F111" s="23" t="s">
        <v>16</v>
      </c>
      <c r="G111" s="23" t="s">
        <v>16</v>
      </c>
      <c r="H111" s="23" t="s">
        <v>16</v>
      </c>
    </row>
    <row r="112" spans="1:8">
      <c r="A112" s="27"/>
      <c r="B112" s="27"/>
      <c r="C112" s="28"/>
      <c r="D112" s="28"/>
      <c r="E112" s="23" t="s">
        <v>16</v>
      </c>
      <c r="F112" s="23" t="s">
        <v>16</v>
      </c>
      <c r="G112" s="23" t="s">
        <v>16</v>
      </c>
      <c r="H112" s="23" t="s">
        <v>16</v>
      </c>
    </row>
    <row r="113" spans="1:8">
      <c r="A113" s="27"/>
      <c r="B113" s="27"/>
      <c r="C113" s="28"/>
      <c r="D113" s="28"/>
      <c r="E113" s="23" t="s">
        <v>16</v>
      </c>
      <c r="F113" s="23" t="s">
        <v>16</v>
      </c>
      <c r="G113" s="23" t="s">
        <v>16</v>
      </c>
      <c r="H113" s="23" t="s">
        <v>16</v>
      </c>
    </row>
    <row r="114" spans="1:8">
      <c r="A114" s="27"/>
      <c r="B114" s="27"/>
      <c r="C114" s="28"/>
      <c r="D114" s="28"/>
      <c r="E114" s="23" t="s">
        <v>16</v>
      </c>
      <c r="F114" s="23" t="s">
        <v>16</v>
      </c>
      <c r="G114" s="23" t="s">
        <v>16</v>
      </c>
      <c r="H114" s="23" t="s">
        <v>16</v>
      </c>
    </row>
    <row r="115" spans="1:8">
      <c r="A115" s="27"/>
      <c r="B115" s="27"/>
      <c r="C115" s="28"/>
      <c r="D115" s="28"/>
      <c r="E115" s="23" t="s">
        <v>16</v>
      </c>
      <c r="F115" s="23" t="s">
        <v>16</v>
      </c>
      <c r="G115" s="23" t="s">
        <v>16</v>
      </c>
      <c r="H115" s="23" t="s">
        <v>16</v>
      </c>
    </row>
    <row r="116" spans="1:8">
      <c r="A116" s="27"/>
      <c r="B116" s="27"/>
      <c r="C116" s="28"/>
      <c r="D116" s="28"/>
      <c r="E116" s="23" t="s">
        <v>16</v>
      </c>
      <c r="F116" s="23" t="s">
        <v>16</v>
      </c>
      <c r="G116" s="23" t="s">
        <v>16</v>
      </c>
      <c r="H116" s="23" t="s">
        <v>16</v>
      </c>
    </row>
    <row r="117" spans="1:8">
      <c r="A117" s="27"/>
      <c r="B117" s="27"/>
      <c r="C117" s="28"/>
      <c r="D117" s="28"/>
      <c r="E117" s="23" t="s">
        <v>16</v>
      </c>
      <c r="F117" s="23" t="s">
        <v>16</v>
      </c>
      <c r="G117" s="23" t="s">
        <v>16</v>
      </c>
      <c r="H117" s="23" t="s">
        <v>16</v>
      </c>
    </row>
    <row r="118" spans="1:8">
      <c r="A118" s="27"/>
      <c r="B118" s="27"/>
      <c r="C118" s="28"/>
      <c r="D118" s="28"/>
      <c r="E118" s="23" t="s">
        <v>16</v>
      </c>
      <c r="F118" s="23" t="s">
        <v>16</v>
      </c>
      <c r="G118" s="23" t="s">
        <v>16</v>
      </c>
      <c r="H118" s="23" t="s">
        <v>16</v>
      </c>
    </row>
    <row r="119" spans="1:8">
      <c r="A119" s="27"/>
      <c r="B119" s="27"/>
      <c r="C119" s="28"/>
      <c r="D119" s="28"/>
      <c r="E119" s="23" t="s">
        <v>16</v>
      </c>
      <c r="F119" s="23" t="s">
        <v>16</v>
      </c>
      <c r="G119" s="23" t="s">
        <v>16</v>
      </c>
      <c r="H119" s="23" t="s">
        <v>16</v>
      </c>
    </row>
    <row r="120" spans="1:8">
      <c r="A120" s="27"/>
      <c r="B120" s="27"/>
      <c r="C120" s="28"/>
      <c r="D120" s="28"/>
      <c r="E120" s="23" t="s">
        <v>16</v>
      </c>
      <c r="F120" s="23" t="s">
        <v>16</v>
      </c>
      <c r="G120" s="23" t="s">
        <v>16</v>
      </c>
      <c r="H120" s="23" t="s">
        <v>16</v>
      </c>
    </row>
    <row r="121" spans="1:8">
      <c r="A121" s="27"/>
      <c r="B121" s="27"/>
      <c r="C121" s="28"/>
      <c r="D121" s="28"/>
      <c r="E121" s="23" t="s">
        <v>16</v>
      </c>
      <c r="F121" s="23" t="s">
        <v>16</v>
      </c>
      <c r="G121" s="23" t="s">
        <v>16</v>
      </c>
      <c r="H121" s="23" t="s">
        <v>16</v>
      </c>
    </row>
    <row r="122" spans="1:8">
      <c r="A122" s="27"/>
      <c r="B122" s="27"/>
      <c r="C122" s="28"/>
      <c r="D122" s="28"/>
      <c r="E122" s="23" t="s">
        <v>16</v>
      </c>
      <c r="F122" s="23" t="s">
        <v>16</v>
      </c>
      <c r="G122" s="23" t="s">
        <v>16</v>
      </c>
      <c r="H122" s="23" t="s">
        <v>16</v>
      </c>
    </row>
    <row r="123" spans="1:8">
      <c r="A123" s="27"/>
      <c r="B123" s="27"/>
      <c r="C123" s="28"/>
      <c r="D123" s="28"/>
      <c r="E123" s="23" t="s">
        <v>16</v>
      </c>
      <c r="F123" s="23" t="s">
        <v>16</v>
      </c>
      <c r="G123" s="23" t="s">
        <v>16</v>
      </c>
      <c r="H123" s="23" t="s">
        <v>16</v>
      </c>
    </row>
    <row r="124" spans="1:8">
      <c r="A124" s="27"/>
      <c r="B124" s="27"/>
      <c r="C124" s="28"/>
      <c r="D124" s="28"/>
      <c r="E124" s="23" t="s">
        <v>16</v>
      </c>
      <c r="F124" s="23" t="s">
        <v>16</v>
      </c>
      <c r="G124" s="23" t="s">
        <v>16</v>
      </c>
      <c r="H124" s="23" t="s">
        <v>16</v>
      </c>
    </row>
    <row r="125" spans="1:8">
      <c r="A125" s="27"/>
      <c r="B125" s="27"/>
      <c r="C125" s="28"/>
      <c r="D125" s="28"/>
      <c r="E125" s="23" t="s">
        <v>16</v>
      </c>
      <c r="F125" s="23" t="s">
        <v>16</v>
      </c>
      <c r="G125" s="23" t="s">
        <v>16</v>
      </c>
      <c r="H125" s="23" t="s">
        <v>16</v>
      </c>
    </row>
    <row r="126" spans="1:8">
      <c r="A126" s="27"/>
      <c r="B126" s="27"/>
      <c r="C126" s="28"/>
      <c r="D126" s="28"/>
      <c r="E126" s="23" t="s">
        <v>16</v>
      </c>
      <c r="F126" s="23" t="s">
        <v>16</v>
      </c>
      <c r="G126" s="23" t="s">
        <v>16</v>
      </c>
      <c r="H126" s="23" t="s">
        <v>16</v>
      </c>
    </row>
    <row r="127" spans="1:8">
      <c r="A127" s="27"/>
      <c r="B127" s="27"/>
      <c r="C127" s="28"/>
      <c r="D127" s="28"/>
      <c r="E127" s="23" t="s">
        <v>16</v>
      </c>
      <c r="F127" s="23" t="s">
        <v>16</v>
      </c>
      <c r="G127" s="23" t="s">
        <v>16</v>
      </c>
      <c r="H127" s="23" t="s">
        <v>16</v>
      </c>
    </row>
    <row r="128" spans="1:8">
      <c r="A128" s="27"/>
      <c r="B128" s="27"/>
      <c r="C128" s="28"/>
      <c r="D128" s="28"/>
      <c r="E128" s="23" t="s">
        <v>16</v>
      </c>
      <c r="F128" s="23" t="s">
        <v>16</v>
      </c>
      <c r="G128" s="23" t="s">
        <v>16</v>
      </c>
      <c r="H128" s="23" t="s">
        <v>16</v>
      </c>
    </row>
    <row r="129" spans="1:8">
      <c r="A129" s="27"/>
      <c r="B129" s="27"/>
      <c r="C129" s="28"/>
      <c r="D129" s="28"/>
      <c r="E129" s="23" t="s">
        <v>16</v>
      </c>
      <c r="F129" s="23" t="s">
        <v>16</v>
      </c>
      <c r="G129" s="23" t="s">
        <v>16</v>
      </c>
      <c r="H129" s="23" t="s">
        <v>16</v>
      </c>
    </row>
    <row r="130" spans="1:8">
      <c r="A130" s="27"/>
      <c r="B130" s="27"/>
      <c r="C130" s="28"/>
      <c r="D130" s="28"/>
      <c r="E130" s="23" t="s">
        <v>16</v>
      </c>
      <c r="F130" s="23" t="s">
        <v>16</v>
      </c>
      <c r="G130" s="23" t="s">
        <v>16</v>
      </c>
      <c r="H130" s="23" t="s">
        <v>16</v>
      </c>
    </row>
    <row r="131" spans="1:8">
      <c r="A131" s="27"/>
      <c r="B131" s="27"/>
      <c r="C131" s="28"/>
      <c r="D131" s="28"/>
      <c r="E131" s="23" t="s">
        <v>16</v>
      </c>
      <c r="F131" s="23" t="s">
        <v>16</v>
      </c>
      <c r="G131" s="23" t="s">
        <v>16</v>
      </c>
      <c r="H131" s="23" t="s">
        <v>16</v>
      </c>
    </row>
    <row r="132" spans="1:8">
      <c r="A132" s="27"/>
      <c r="B132" s="27"/>
      <c r="C132" s="28"/>
      <c r="D132" s="28"/>
      <c r="E132" s="23" t="s">
        <v>16</v>
      </c>
      <c r="F132" s="23" t="s">
        <v>16</v>
      </c>
      <c r="G132" s="23" t="s">
        <v>16</v>
      </c>
      <c r="H132" s="23" t="s">
        <v>16</v>
      </c>
    </row>
    <row r="133" spans="1:8">
      <c r="A133" s="27"/>
      <c r="B133" s="27"/>
      <c r="C133" s="28"/>
      <c r="D133" s="28"/>
      <c r="E133" s="23" t="s">
        <v>16</v>
      </c>
      <c r="F133" s="23" t="s">
        <v>16</v>
      </c>
      <c r="G133" s="23" t="s">
        <v>16</v>
      </c>
      <c r="H133" s="23" t="s">
        <v>16</v>
      </c>
    </row>
    <row r="134" spans="1:8">
      <c r="A134" s="27"/>
      <c r="B134" s="27"/>
      <c r="C134" s="28"/>
      <c r="D134" s="28"/>
      <c r="E134" s="23" t="s">
        <v>16</v>
      </c>
      <c r="F134" s="23" t="s">
        <v>16</v>
      </c>
      <c r="G134" s="23" t="s">
        <v>16</v>
      </c>
      <c r="H134" s="23" t="s">
        <v>16</v>
      </c>
    </row>
    <row r="135" spans="1:8">
      <c r="A135" s="27"/>
      <c r="B135" s="27"/>
      <c r="C135" s="28"/>
      <c r="D135" s="28"/>
      <c r="E135" s="23" t="s">
        <v>16</v>
      </c>
      <c r="F135" s="23" t="s">
        <v>16</v>
      </c>
      <c r="G135" s="23" t="s">
        <v>16</v>
      </c>
      <c r="H135" s="23" t="s">
        <v>16</v>
      </c>
    </row>
    <row r="136" spans="1:8">
      <c r="A136" s="27"/>
      <c r="B136" s="27"/>
      <c r="C136" s="28"/>
      <c r="D136" s="28"/>
      <c r="E136" s="23" t="s">
        <v>16</v>
      </c>
      <c r="F136" s="23" t="s">
        <v>16</v>
      </c>
      <c r="G136" s="23" t="s">
        <v>16</v>
      </c>
      <c r="H136" s="23" t="s">
        <v>16</v>
      </c>
    </row>
    <row r="137" spans="1:8">
      <c r="A137" s="27"/>
      <c r="B137" s="27"/>
      <c r="C137" s="28"/>
      <c r="D137" s="28"/>
      <c r="E137" s="23" t="s">
        <v>16</v>
      </c>
      <c r="F137" s="23" t="s">
        <v>16</v>
      </c>
      <c r="G137" s="23" t="s">
        <v>16</v>
      </c>
      <c r="H137" s="23" t="s">
        <v>16</v>
      </c>
    </row>
    <row r="138" spans="1:8">
      <c r="A138" s="27"/>
      <c r="B138" s="27"/>
      <c r="C138" s="28"/>
      <c r="D138" s="28"/>
      <c r="E138" s="23" t="s">
        <v>16</v>
      </c>
      <c r="F138" s="23" t="s">
        <v>16</v>
      </c>
      <c r="G138" s="23" t="s">
        <v>16</v>
      </c>
      <c r="H138" s="23" t="s">
        <v>16</v>
      </c>
    </row>
    <row r="139" spans="1:8">
      <c r="A139" s="27"/>
      <c r="B139" s="27"/>
      <c r="C139" s="28"/>
      <c r="D139" s="28"/>
      <c r="E139" s="23" t="s">
        <v>16</v>
      </c>
      <c r="F139" s="23" t="s">
        <v>16</v>
      </c>
      <c r="G139" s="23" t="s">
        <v>16</v>
      </c>
      <c r="H139" s="23" t="s">
        <v>16</v>
      </c>
    </row>
    <row r="140" spans="1:8">
      <c r="A140" s="27"/>
      <c r="B140" s="27"/>
      <c r="C140" s="28"/>
      <c r="D140" s="28"/>
      <c r="E140" s="23" t="s">
        <v>16</v>
      </c>
      <c r="F140" s="23" t="s">
        <v>16</v>
      </c>
      <c r="G140" s="23" t="s">
        <v>16</v>
      </c>
      <c r="H140" s="23" t="s">
        <v>16</v>
      </c>
    </row>
    <row r="141" spans="1:8">
      <c r="A141" s="27"/>
      <c r="B141" s="27"/>
      <c r="C141" s="28"/>
      <c r="D141" s="28"/>
      <c r="E141" s="23" t="s">
        <v>16</v>
      </c>
      <c r="F141" s="23" t="s">
        <v>16</v>
      </c>
      <c r="G141" s="23" t="s">
        <v>16</v>
      </c>
      <c r="H141" s="23" t="s">
        <v>16</v>
      </c>
    </row>
    <row r="142" spans="1:8">
      <c r="A142" s="27"/>
      <c r="B142" s="27"/>
      <c r="C142" s="28"/>
      <c r="D142" s="28"/>
      <c r="E142" s="23" t="s">
        <v>16</v>
      </c>
      <c r="F142" s="23" t="s">
        <v>16</v>
      </c>
      <c r="G142" s="23" t="s">
        <v>16</v>
      </c>
      <c r="H142" s="23" t="s">
        <v>16</v>
      </c>
    </row>
    <row r="143" spans="1:8">
      <c r="A143" s="27"/>
      <c r="B143" s="27"/>
      <c r="C143" s="28"/>
      <c r="D143" s="28"/>
      <c r="E143" s="23" t="s">
        <v>16</v>
      </c>
      <c r="F143" s="23" t="s">
        <v>16</v>
      </c>
      <c r="G143" s="23" t="s">
        <v>16</v>
      </c>
      <c r="H143" s="23" t="s">
        <v>16</v>
      </c>
    </row>
    <row r="144" spans="1:8">
      <c r="A144" s="27"/>
      <c r="B144" s="27"/>
      <c r="C144" s="28"/>
      <c r="D144" s="28"/>
      <c r="E144" s="23" t="s">
        <v>16</v>
      </c>
      <c r="F144" s="23" t="s">
        <v>16</v>
      </c>
      <c r="G144" s="23" t="s">
        <v>16</v>
      </c>
      <c r="H144" s="23" t="s">
        <v>16</v>
      </c>
    </row>
    <row r="145" spans="1:8">
      <c r="A145" s="27"/>
      <c r="B145" s="27"/>
      <c r="C145" s="28"/>
      <c r="D145" s="28"/>
      <c r="E145" s="23" t="s">
        <v>16</v>
      </c>
      <c r="F145" s="23" t="s">
        <v>16</v>
      </c>
      <c r="G145" s="23" t="s">
        <v>16</v>
      </c>
      <c r="H145" s="23" t="s">
        <v>16</v>
      </c>
    </row>
    <row r="146" spans="1:8">
      <c r="A146" s="27"/>
      <c r="B146" s="27"/>
      <c r="C146" s="28"/>
      <c r="D146" s="28"/>
      <c r="E146" s="23" t="s">
        <v>16</v>
      </c>
      <c r="F146" s="23" t="s">
        <v>16</v>
      </c>
      <c r="G146" s="23" t="s">
        <v>16</v>
      </c>
      <c r="H146" s="23" t="s">
        <v>16</v>
      </c>
    </row>
    <row r="147" spans="1:8">
      <c r="A147" s="27"/>
      <c r="B147" s="27"/>
      <c r="C147" s="28"/>
      <c r="D147" s="28"/>
      <c r="E147" s="23" t="s">
        <v>16</v>
      </c>
      <c r="F147" s="23" t="s">
        <v>16</v>
      </c>
      <c r="G147" s="23" t="s">
        <v>16</v>
      </c>
      <c r="H147" s="23" t="s">
        <v>16</v>
      </c>
    </row>
    <row r="148" spans="1:8">
      <c r="A148" s="27"/>
      <c r="B148" s="27"/>
      <c r="C148" s="28"/>
      <c r="D148" s="28"/>
      <c r="E148" s="23" t="s">
        <v>16</v>
      </c>
      <c r="F148" s="23" t="s">
        <v>16</v>
      </c>
      <c r="G148" s="23" t="s">
        <v>16</v>
      </c>
      <c r="H148" s="23" t="s">
        <v>16</v>
      </c>
    </row>
    <row r="149" spans="1:8">
      <c r="A149" s="27"/>
      <c r="B149" s="27"/>
      <c r="C149" s="28"/>
      <c r="D149" s="28"/>
      <c r="E149" s="23" t="s">
        <v>16</v>
      </c>
      <c r="F149" s="23" t="s">
        <v>16</v>
      </c>
      <c r="G149" s="23" t="s">
        <v>16</v>
      </c>
      <c r="H149" s="23" t="s">
        <v>16</v>
      </c>
    </row>
    <row r="150" spans="1:8">
      <c r="A150" s="27"/>
      <c r="B150" s="27"/>
      <c r="C150" s="28"/>
      <c r="D150" s="28"/>
      <c r="E150" s="23" t="s">
        <v>16</v>
      </c>
      <c r="F150" s="23" t="s">
        <v>16</v>
      </c>
      <c r="G150" s="23" t="s">
        <v>16</v>
      </c>
      <c r="H150" s="23" t="s">
        <v>16</v>
      </c>
    </row>
    <row r="151" spans="1:8">
      <c r="A151" s="27"/>
      <c r="B151" s="27"/>
      <c r="C151" s="28"/>
      <c r="D151" s="28"/>
      <c r="E151" s="23" t="s">
        <v>16</v>
      </c>
      <c r="F151" s="23" t="s">
        <v>16</v>
      </c>
      <c r="G151" s="23" t="s">
        <v>16</v>
      </c>
      <c r="H151" s="23" t="s">
        <v>16</v>
      </c>
    </row>
    <row r="152" spans="1:8">
      <c r="A152" s="27"/>
      <c r="B152" s="27"/>
      <c r="C152" s="28"/>
      <c r="D152" s="28"/>
      <c r="E152" s="23" t="s">
        <v>16</v>
      </c>
      <c r="F152" s="23" t="s">
        <v>16</v>
      </c>
      <c r="G152" s="23" t="s">
        <v>16</v>
      </c>
      <c r="H152" s="23" t="s">
        <v>16</v>
      </c>
    </row>
    <row r="153" spans="1:8">
      <c r="A153" s="27"/>
      <c r="B153" s="27"/>
      <c r="C153" s="28"/>
      <c r="D153" s="28"/>
      <c r="E153" s="23" t="s">
        <v>16</v>
      </c>
      <c r="F153" s="23" t="s">
        <v>16</v>
      </c>
      <c r="G153" s="23" t="s">
        <v>16</v>
      </c>
      <c r="H153" s="23" t="s">
        <v>16</v>
      </c>
    </row>
    <row r="154" spans="1:8">
      <c r="A154" s="27"/>
      <c r="B154" s="27"/>
      <c r="C154" s="28"/>
      <c r="D154" s="28"/>
      <c r="E154" s="23" t="s">
        <v>16</v>
      </c>
      <c r="F154" s="23" t="s">
        <v>16</v>
      </c>
      <c r="G154" s="23" t="s">
        <v>16</v>
      </c>
      <c r="H154" s="23" t="s">
        <v>16</v>
      </c>
    </row>
    <row r="155" spans="1:8">
      <c r="A155" s="27"/>
      <c r="B155" s="27"/>
      <c r="C155" s="28"/>
      <c r="D155" s="28"/>
      <c r="E155" s="23" t="s">
        <v>16</v>
      </c>
      <c r="F155" s="23" t="s">
        <v>16</v>
      </c>
      <c r="G155" s="23" t="s">
        <v>16</v>
      </c>
      <c r="H155" s="23" t="s">
        <v>16</v>
      </c>
    </row>
    <row r="156" spans="1:8">
      <c r="A156" s="27"/>
      <c r="B156" s="27"/>
      <c r="C156" s="28"/>
      <c r="D156" s="28"/>
      <c r="E156" s="23" t="s">
        <v>16</v>
      </c>
      <c r="F156" s="23" t="s">
        <v>16</v>
      </c>
      <c r="G156" s="23" t="s">
        <v>16</v>
      </c>
      <c r="H156" s="23" t="s">
        <v>16</v>
      </c>
    </row>
    <row r="157" spans="1:8">
      <c r="A157" s="27"/>
      <c r="B157" s="27"/>
      <c r="C157" s="28"/>
      <c r="D157" s="28"/>
      <c r="E157" s="23" t="s">
        <v>16</v>
      </c>
      <c r="F157" s="23" t="s">
        <v>16</v>
      </c>
      <c r="G157" s="23" t="s">
        <v>16</v>
      </c>
      <c r="H157" s="23" t="s">
        <v>16</v>
      </c>
    </row>
    <row r="158" spans="1:8">
      <c r="A158" s="27"/>
      <c r="B158" s="27"/>
      <c r="C158" s="28"/>
      <c r="D158" s="28"/>
      <c r="E158" s="23" t="s">
        <v>16</v>
      </c>
      <c r="F158" s="23" t="s">
        <v>16</v>
      </c>
      <c r="G158" s="23" t="s">
        <v>16</v>
      </c>
      <c r="H158" s="23" t="s">
        <v>16</v>
      </c>
    </row>
    <row r="159" spans="1:8">
      <c r="A159" s="27"/>
      <c r="B159" s="27"/>
      <c r="C159" s="28"/>
      <c r="D159" s="28"/>
      <c r="E159" s="23" t="s">
        <v>16</v>
      </c>
      <c r="F159" s="23" t="s">
        <v>16</v>
      </c>
      <c r="G159" s="23" t="s">
        <v>16</v>
      </c>
      <c r="H159" s="23" t="s">
        <v>16</v>
      </c>
    </row>
    <row r="160" spans="1:8">
      <c r="A160" s="27"/>
      <c r="B160" s="27"/>
      <c r="C160" s="28"/>
      <c r="D160" s="28"/>
      <c r="E160" s="23" t="s">
        <v>16</v>
      </c>
      <c r="F160" s="23" t="s">
        <v>16</v>
      </c>
      <c r="G160" s="23" t="s">
        <v>16</v>
      </c>
      <c r="H160" s="23" t="s">
        <v>16</v>
      </c>
    </row>
    <row r="161" spans="1:8">
      <c r="A161" s="27"/>
      <c r="B161" s="27"/>
      <c r="C161" s="28"/>
      <c r="D161" s="28"/>
      <c r="E161" s="23" t="s">
        <v>16</v>
      </c>
      <c r="F161" s="23" t="s">
        <v>16</v>
      </c>
      <c r="G161" s="23" t="s">
        <v>16</v>
      </c>
      <c r="H161" s="23" t="s">
        <v>16</v>
      </c>
    </row>
    <row r="162" spans="1:8">
      <c r="A162" s="27"/>
      <c r="B162" s="27"/>
      <c r="C162" s="28"/>
      <c r="D162" s="28"/>
      <c r="E162" s="23" t="s">
        <v>16</v>
      </c>
      <c r="F162" s="23" t="s">
        <v>16</v>
      </c>
      <c r="G162" s="23" t="s">
        <v>16</v>
      </c>
      <c r="H162" s="23" t="s">
        <v>16</v>
      </c>
    </row>
    <row r="163" spans="1:8">
      <c r="A163" s="27"/>
      <c r="B163" s="27"/>
      <c r="C163" s="28"/>
      <c r="D163" s="28"/>
      <c r="E163" s="23" t="s">
        <v>16</v>
      </c>
      <c r="F163" s="23" t="s">
        <v>16</v>
      </c>
      <c r="G163" s="23" t="s">
        <v>16</v>
      </c>
      <c r="H163" s="23" t="s">
        <v>16</v>
      </c>
    </row>
    <row r="164" spans="1:8">
      <c r="A164" s="27"/>
      <c r="B164" s="27"/>
      <c r="C164" s="28"/>
      <c r="D164" s="28"/>
      <c r="E164" s="23" t="s">
        <v>16</v>
      </c>
      <c r="F164" s="23" t="s">
        <v>16</v>
      </c>
      <c r="G164" s="23" t="s">
        <v>16</v>
      </c>
      <c r="H164" s="23" t="s">
        <v>16</v>
      </c>
    </row>
    <row r="165" spans="1:8">
      <c r="A165" s="27"/>
      <c r="B165" s="27"/>
      <c r="C165" s="28"/>
      <c r="D165" s="28"/>
      <c r="E165" s="23" t="s">
        <v>16</v>
      </c>
      <c r="F165" s="23" t="s">
        <v>16</v>
      </c>
      <c r="G165" s="23" t="s">
        <v>16</v>
      </c>
      <c r="H165" s="23" t="s">
        <v>16</v>
      </c>
    </row>
    <row r="166" spans="1:8">
      <c r="A166" s="27"/>
      <c r="B166" s="27"/>
      <c r="C166" s="28"/>
      <c r="D166" s="28"/>
      <c r="E166" s="23" t="s">
        <v>16</v>
      </c>
      <c r="F166" s="23" t="s">
        <v>16</v>
      </c>
      <c r="G166" s="23" t="s">
        <v>16</v>
      </c>
      <c r="H166" s="23" t="s">
        <v>16</v>
      </c>
    </row>
    <row r="167" spans="1:8">
      <c r="A167" s="27"/>
      <c r="B167" s="27"/>
      <c r="C167" s="28"/>
      <c r="D167" s="28"/>
      <c r="E167" s="23" t="s">
        <v>16</v>
      </c>
      <c r="F167" s="23" t="s">
        <v>16</v>
      </c>
      <c r="G167" s="23" t="s">
        <v>16</v>
      </c>
      <c r="H167" s="23" t="s">
        <v>16</v>
      </c>
    </row>
    <row r="168" spans="1:8">
      <c r="A168" s="27"/>
      <c r="B168" s="27"/>
      <c r="C168" s="28"/>
      <c r="D168" s="28"/>
      <c r="E168" s="23" t="s">
        <v>16</v>
      </c>
      <c r="F168" s="23" t="s">
        <v>16</v>
      </c>
      <c r="G168" s="23" t="s">
        <v>16</v>
      </c>
      <c r="H168" s="23" t="s">
        <v>16</v>
      </c>
    </row>
    <row r="169" spans="1:8">
      <c r="A169" s="27"/>
      <c r="B169" s="27"/>
      <c r="C169" s="28"/>
      <c r="D169" s="28"/>
      <c r="E169" s="23" t="s">
        <v>16</v>
      </c>
      <c r="F169" s="23" t="s">
        <v>16</v>
      </c>
      <c r="G169" s="23" t="s">
        <v>16</v>
      </c>
      <c r="H169" s="23" t="s">
        <v>16</v>
      </c>
    </row>
    <row r="170" spans="1:8">
      <c r="A170" s="27"/>
      <c r="B170" s="27"/>
      <c r="C170" s="28"/>
      <c r="D170" s="28"/>
      <c r="E170" s="23" t="s">
        <v>16</v>
      </c>
      <c r="F170" s="23" t="s">
        <v>16</v>
      </c>
      <c r="G170" s="23" t="s">
        <v>16</v>
      </c>
      <c r="H170" s="23" t="s">
        <v>16</v>
      </c>
    </row>
    <row r="171" spans="1:8">
      <c r="A171" s="27"/>
      <c r="B171" s="27"/>
      <c r="C171" s="28"/>
      <c r="D171" s="28"/>
      <c r="E171" s="23" t="s">
        <v>16</v>
      </c>
      <c r="F171" s="23" t="s">
        <v>16</v>
      </c>
      <c r="G171" s="23" t="s">
        <v>16</v>
      </c>
      <c r="H171" s="23" t="s">
        <v>16</v>
      </c>
    </row>
    <row r="172" spans="1:8">
      <c r="A172" s="27"/>
      <c r="B172" s="27"/>
      <c r="C172" s="28"/>
      <c r="D172" s="28"/>
      <c r="E172" s="23" t="s">
        <v>16</v>
      </c>
      <c r="F172" s="23" t="s">
        <v>16</v>
      </c>
      <c r="G172" s="23" t="s">
        <v>16</v>
      </c>
      <c r="H172" s="23" t="s">
        <v>16</v>
      </c>
    </row>
    <row r="173" spans="1:8">
      <c r="A173" s="27"/>
      <c r="B173" s="27"/>
      <c r="C173" s="28"/>
      <c r="D173" s="28"/>
      <c r="E173" s="23" t="s">
        <v>16</v>
      </c>
      <c r="F173" s="23" t="s">
        <v>16</v>
      </c>
      <c r="G173" s="23" t="s">
        <v>16</v>
      </c>
      <c r="H173" s="23" t="s">
        <v>16</v>
      </c>
    </row>
    <row r="174" spans="1:8">
      <c r="A174" s="27"/>
      <c r="B174" s="27"/>
      <c r="C174" s="28"/>
      <c r="D174" s="28"/>
      <c r="E174" s="23" t="s">
        <v>16</v>
      </c>
      <c r="F174" s="23" t="s">
        <v>16</v>
      </c>
      <c r="G174" s="23" t="s">
        <v>16</v>
      </c>
      <c r="H174" s="23" t="s">
        <v>16</v>
      </c>
    </row>
    <row r="175" spans="1:8">
      <c r="A175" s="27"/>
      <c r="B175" s="27"/>
      <c r="C175" s="28"/>
      <c r="D175" s="28"/>
      <c r="E175" s="23" t="s">
        <v>16</v>
      </c>
      <c r="F175" s="23" t="s">
        <v>16</v>
      </c>
      <c r="G175" s="23" t="s">
        <v>16</v>
      </c>
      <c r="H175" s="23" t="s">
        <v>16</v>
      </c>
    </row>
    <row r="176" spans="1:8">
      <c r="A176" s="27"/>
      <c r="B176" s="27"/>
      <c r="C176" s="28"/>
      <c r="D176" s="28"/>
      <c r="E176" s="23" t="s">
        <v>16</v>
      </c>
      <c r="F176" s="23" t="s">
        <v>16</v>
      </c>
      <c r="G176" s="23" t="s">
        <v>16</v>
      </c>
      <c r="H176" s="23" t="s">
        <v>16</v>
      </c>
    </row>
    <row r="177" spans="1:8">
      <c r="A177" s="27"/>
      <c r="B177" s="27"/>
      <c r="C177" s="28"/>
      <c r="D177" s="28"/>
      <c r="E177" s="23" t="s">
        <v>16</v>
      </c>
      <c r="F177" s="23" t="s">
        <v>16</v>
      </c>
      <c r="G177" s="23" t="s">
        <v>16</v>
      </c>
      <c r="H177" s="23" t="s">
        <v>16</v>
      </c>
    </row>
    <row r="178" spans="1:8">
      <c r="A178" s="27"/>
      <c r="B178" s="27"/>
      <c r="C178" s="28"/>
      <c r="D178" s="28"/>
      <c r="E178" s="23" t="s">
        <v>16</v>
      </c>
      <c r="F178" s="23" t="s">
        <v>16</v>
      </c>
      <c r="G178" s="23" t="s">
        <v>16</v>
      </c>
      <c r="H178" s="23" t="s">
        <v>16</v>
      </c>
    </row>
    <row r="179" spans="1:8">
      <c r="A179" s="27"/>
      <c r="B179" s="27"/>
      <c r="C179" s="28"/>
      <c r="D179" s="28"/>
      <c r="E179" s="23" t="s">
        <v>16</v>
      </c>
      <c r="F179" s="23" t="s">
        <v>16</v>
      </c>
      <c r="G179" s="23" t="s">
        <v>16</v>
      </c>
      <c r="H179" s="23" t="s">
        <v>16</v>
      </c>
    </row>
    <row r="180" spans="1:8">
      <c r="A180" s="27"/>
      <c r="B180" s="27"/>
      <c r="C180" s="28"/>
      <c r="D180" s="28"/>
      <c r="E180" s="23" t="s">
        <v>16</v>
      </c>
      <c r="F180" s="23" t="s">
        <v>16</v>
      </c>
      <c r="G180" s="23" t="s">
        <v>16</v>
      </c>
      <c r="H180" s="23" t="s">
        <v>16</v>
      </c>
    </row>
    <row r="181" spans="1:8">
      <c r="A181" s="27"/>
      <c r="B181" s="27"/>
      <c r="C181" s="28"/>
      <c r="D181" s="28"/>
      <c r="E181" s="23" t="s">
        <v>16</v>
      </c>
      <c r="F181" s="23" t="s">
        <v>16</v>
      </c>
      <c r="G181" s="23" t="s">
        <v>16</v>
      </c>
      <c r="H181" s="23" t="s">
        <v>16</v>
      </c>
    </row>
    <row r="182" spans="1:8">
      <c r="A182" s="27"/>
      <c r="B182" s="27"/>
      <c r="C182" s="28"/>
      <c r="D182" s="28"/>
      <c r="E182" s="23" t="s">
        <v>16</v>
      </c>
      <c r="F182" s="23" t="s">
        <v>16</v>
      </c>
      <c r="G182" s="23" t="s">
        <v>16</v>
      </c>
      <c r="H182" s="23" t="s">
        <v>16</v>
      </c>
    </row>
    <row r="183" spans="1:8">
      <c r="A183" s="27"/>
      <c r="B183" s="27"/>
      <c r="C183" s="28"/>
      <c r="D183" s="28"/>
      <c r="E183" s="23" t="s">
        <v>16</v>
      </c>
      <c r="F183" s="23" t="s">
        <v>16</v>
      </c>
      <c r="G183" s="23" t="s">
        <v>16</v>
      </c>
      <c r="H183" s="23" t="s">
        <v>16</v>
      </c>
    </row>
    <row r="184" spans="1:8">
      <c r="A184" s="27"/>
      <c r="B184" s="27"/>
      <c r="C184" s="28"/>
      <c r="D184" s="28"/>
      <c r="E184" s="23" t="s">
        <v>16</v>
      </c>
      <c r="F184" s="23" t="s">
        <v>16</v>
      </c>
      <c r="G184" s="23" t="s">
        <v>16</v>
      </c>
      <c r="H184" s="23" t="s">
        <v>16</v>
      </c>
    </row>
    <row r="185" spans="1:8">
      <c r="A185" s="27"/>
      <c r="B185" s="27"/>
      <c r="C185" s="28"/>
      <c r="D185" s="28"/>
      <c r="E185" s="23" t="s">
        <v>16</v>
      </c>
      <c r="F185" s="23" t="s">
        <v>16</v>
      </c>
      <c r="G185" s="23" t="s">
        <v>16</v>
      </c>
      <c r="H185" s="23" t="s">
        <v>16</v>
      </c>
    </row>
    <row r="186" spans="1:8">
      <c r="A186" s="27"/>
      <c r="B186" s="27"/>
      <c r="C186" s="28"/>
      <c r="D186" s="28"/>
      <c r="E186" s="23" t="s">
        <v>16</v>
      </c>
      <c r="F186" s="23" t="s">
        <v>16</v>
      </c>
      <c r="G186" s="23" t="s">
        <v>16</v>
      </c>
      <c r="H186" s="23" t="s">
        <v>16</v>
      </c>
    </row>
    <row r="187" spans="1:8">
      <c r="A187" s="27"/>
      <c r="B187" s="27"/>
      <c r="C187" s="28"/>
      <c r="D187" s="28"/>
      <c r="E187" s="23" t="s">
        <v>16</v>
      </c>
      <c r="F187" s="23" t="s">
        <v>16</v>
      </c>
      <c r="G187" s="23" t="s">
        <v>16</v>
      </c>
      <c r="H187" s="23" t="s">
        <v>16</v>
      </c>
    </row>
    <row r="188" spans="1:8">
      <c r="A188" s="27"/>
      <c r="B188" s="27"/>
      <c r="C188" s="28"/>
      <c r="D188" s="28"/>
      <c r="E188" s="23" t="s">
        <v>16</v>
      </c>
      <c r="F188" s="23" t="s">
        <v>16</v>
      </c>
      <c r="G188" s="23" t="s">
        <v>16</v>
      </c>
      <c r="H188" s="23" t="s">
        <v>16</v>
      </c>
    </row>
    <row r="189" spans="1:8">
      <c r="A189" s="27"/>
      <c r="B189" s="27"/>
      <c r="C189" s="28"/>
      <c r="D189" s="28"/>
      <c r="E189" s="23" t="s">
        <v>16</v>
      </c>
      <c r="F189" s="23" t="s">
        <v>16</v>
      </c>
      <c r="G189" s="23" t="s">
        <v>16</v>
      </c>
      <c r="H189" s="23" t="s">
        <v>16</v>
      </c>
    </row>
    <row r="190" spans="1:8">
      <c r="A190" s="27"/>
      <c r="B190" s="27"/>
      <c r="C190" s="28"/>
      <c r="D190" s="28"/>
      <c r="E190" s="23" t="s">
        <v>16</v>
      </c>
      <c r="F190" s="23" t="s">
        <v>16</v>
      </c>
      <c r="G190" s="23" t="s">
        <v>16</v>
      </c>
      <c r="H190" s="23" t="s">
        <v>16</v>
      </c>
    </row>
    <row r="191" spans="1:8">
      <c r="A191" s="27"/>
      <c r="B191" s="27"/>
      <c r="C191" s="28"/>
      <c r="D191" s="28"/>
      <c r="E191" s="23" t="s">
        <v>16</v>
      </c>
      <c r="F191" s="23" t="s">
        <v>16</v>
      </c>
      <c r="G191" s="23" t="s">
        <v>16</v>
      </c>
      <c r="H191" s="23" t="s">
        <v>16</v>
      </c>
    </row>
    <row r="192" spans="1:8">
      <c r="A192" s="27"/>
      <c r="B192" s="27"/>
      <c r="C192" s="28"/>
      <c r="D192" s="28"/>
      <c r="E192" s="23" t="s">
        <v>16</v>
      </c>
      <c r="F192" s="23" t="s">
        <v>16</v>
      </c>
      <c r="G192" s="23" t="s">
        <v>16</v>
      </c>
      <c r="H192" s="23" t="s">
        <v>16</v>
      </c>
    </row>
    <row r="193" spans="1:8">
      <c r="A193" s="27"/>
      <c r="B193" s="27"/>
      <c r="C193" s="28"/>
      <c r="D193" s="28"/>
      <c r="E193" s="23" t="s">
        <v>16</v>
      </c>
      <c r="F193" s="23" t="s">
        <v>16</v>
      </c>
      <c r="G193" s="23" t="s">
        <v>16</v>
      </c>
      <c r="H193" s="23" t="s">
        <v>16</v>
      </c>
    </row>
    <row r="194" spans="1:8">
      <c r="A194" s="27"/>
      <c r="B194" s="27"/>
      <c r="C194" s="28"/>
      <c r="D194" s="28"/>
      <c r="E194" s="23" t="s">
        <v>16</v>
      </c>
      <c r="F194" s="23" t="s">
        <v>16</v>
      </c>
      <c r="G194" s="23" t="s">
        <v>16</v>
      </c>
      <c r="H194" s="23" t="s">
        <v>16</v>
      </c>
    </row>
    <row r="195" spans="1:8">
      <c r="A195" s="27"/>
      <c r="B195" s="27"/>
      <c r="C195" s="28"/>
      <c r="D195" s="28"/>
      <c r="E195" s="23" t="s">
        <v>16</v>
      </c>
      <c r="F195" s="23" t="s">
        <v>16</v>
      </c>
      <c r="G195" s="23" t="s">
        <v>16</v>
      </c>
      <c r="H195" s="23" t="s">
        <v>16</v>
      </c>
    </row>
    <row r="196" spans="1:8">
      <c r="A196" s="27"/>
      <c r="B196" s="27"/>
      <c r="C196" s="28"/>
      <c r="D196" s="28"/>
      <c r="E196" s="23" t="s">
        <v>16</v>
      </c>
      <c r="F196" s="23" t="s">
        <v>16</v>
      </c>
      <c r="G196" s="23" t="s">
        <v>16</v>
      </c>
      <c r="H196" s="23" t="s">
        <v>16</v>
      </c>
    </row>
    <row r="197" spans="1:8">
      <c r="A197" s="27"/>
      <c r="B197" s="27"/>
      <c r="C197" s="28"/>
      <c r="D197" s="28"/>
      <c r="E197" s="23" t="s">
        <v>16</v>
      </c>
      <c r="F197" s="23" t="s">
        <v>16</v>
      </c>
      <c r="G197" s="23" t="s">
        <v>16</v>
      </c>
      <c r="H197" s="23" t="s">
        <v>16</v>
      </c>
    </row>
    <row r="198" spans="1:8">
      <c r="A198" s="27"/>
      <c r="B198" s="27"/>
      <c r="C198" s="28"/>
      <c r="D198" s="28"/>
      <c r="E198" s="23" t="s">
        <v>16</v>
      </c>
      <c r="F198" s="23" t="s">
        <v>16</v>
      </c>
      <c r="G198" s="23" t="s">
        <v>16</v>
      </c>
      <c r="H198" s="23" t="s">
        <v>16</v>
      </c>
    </row>
    <row r="199" spans="1:8">
      <c r="A199" s="27"/>
      <c r="B199" s="27"/>
      <c r="C199" s="28"/>
      <c r="D199" s="28"/>
      <c r="E199" s="23" t="s">
        <v>16</v>
      </c>
      <c r="F199" s="23" t="s">
        <v>16</v>
      </c>
      <c r="G199" s="23" t="s">
        <v>16</v>
      </c>
      <c r="H199" s="23" t="s">
        <v>16</v>
      </c>
    </row>
    <row r="200" spans="1:8">
      <c r="A200" s="27"/>
      <c r="B200" s="27"/>
      <c r="C200" s="28"/>
      <c r="D200" s="28"/>
      <c r="E200" s="23" t="s">
        <v>16</v>
      </c>
      <c r="F200" s="23" t="s">
        <v>16</v>
      </c>
      <c r="G200" s="23" t="s">
        <v>16</v>
      </c>
      <c r="H200" s="23" t="s">
        <v>16</v>
      </c>
    </row>
    <row r="201" spans="1:8">
      <c r="A201" s="27"/>
      <c r="B201" s="27"/>
      <c r="C201" s="28"/>
      <c r="D201" s="28"/>
      <c r="E201" s="23"/>
      <c r="F201" s="23"/>
      <c r="G201" s="23"/>
      <c r="H201" s="23"/>
    </row>
    <row r="202" spans="1:8">
      <c r="A202" s="27"/>
      <c r="B202" s="27"/>
      <c r="C202" s="28"/>
      <c r="D202" s="28"/>
      <c r="E202" s="23"/>
      <c r="F202" s="23"/>
      <c r="G202" s="23"/>
      <c r="H202" s="23"/>
    </row>
    <row r="203" spans="1:8">
      <c r="A203" s="27"/>
      <c r="B203" s="27"/>
      <c r="C203" s="28"/>
      <c r="D203" s="28"/>
      <c r="E203" s="23"/>
      <c r="F203" s="23"/>
      <c r="G203" s="23"/>
      <c r="H203" s="23"/>
    </row>
    <row r="204" spans="1:8">
      <c r="A204" s="27"/>
      <c r="B204" s="27"/>
      <c r="C204" s="28"/>
      <c r="D204" s="28"/>
      <c r="E204" s="23"/>
      <c r="F204" s="23"/>
      <c r="G204" s="23"/>
      <c r="H204" s="23"/>
    </row>
    <row r="205" spans="1:8">
      <c r="A205" s="27"/>
      <c r="B205" s="27"/>
      <c r="C205" s="28"/>
      <c r="D205" s="28"/>
      <c r="E205" s="23"/>
      <c r="F205" s="23"/>
      <c r="G205" s="23"/>
      <c r="H205" s="23"/>
    </row>
    <row r="206" spans="1:8">
      <c r="A206" s="27"/>
      <c r="B206" s="27"/>
      <c r="C206" s="28"/>
      <c r="D206" s="28"/>
      <c r="E206" s="23"/>
      <c r="F206" s="23"/>
      <c r="G206" s="23"/>
      <c r="H206" s="23"/>
    </row>
    <row r="207" spans="1:8">
      <c r="A207" s="27"/>
      <c r="B207" s="27"/>
      <c r="C207" s="28"/>
      <c r="D207" s="28"/>
      <c r="E207" s="23"/>
      <c r="F207" s="23"/>
      <c r="G207" s="23"/>
      <c r="H207" s="23"/>
    </row>
    <row r="208" spans="1:8">
      <c r="A208" s="27"/>
      <c r="B208" s="27"/>
      <c r="C208" s="28"/>
      <c r="D208" s="28"/>
      <c r="E208" s="23"/>
      <c r="F208" s="23"/>
      <c r="G208" s="23"/>
      <c r="H208" s="23"/>
    </row>
    <row r="209" spans="1:8">
      <c r="A209" s="27"/>
      <c r="B209" s="27"/>
      <c r="C209" s="28"/>
      <c r="D209" s="28"/>
      <c r="E209" s="23"/>
      <c r="F209" s="23"/>
      <c r="G209" s="23"/>
      <c r="H209" s="23"/>
    </row>
    <row r="210" spans="1:8">
      <c r="A210" s="27"/>
      <c r="B210" s="27"/>
      <c r="C210" s="28"/>
      <c r="D210" s="28"/>
      <c r="E210" s="23"/>
      <c r="F210" s="23"/>
      <c r="G210" s="23"/>
      <c r="H210" s="23"/>
    </row>
    <row r="211" spans="1:8">
      <c r="A211" s="27"/>
      <c r="B211" s="27"/>
      <c r="C211" s="28"/>
      <c r="D211" s="28"/>
      <c r="E211" s="23"/>
      <c r="F211" s="23"/>
      <c r="G211" s="23"/>
      <c r="H211" s="23"/>
    </row>
    <row r="212" spans="1:8">
      <c r="A212" s="27"/>
      <c r="B212" s="27"/>
      <c r="C212" s="28"/>
      <c r="D212" s="28"/>
      <c r="E212" s="23"/>
      <c r="F212" s="23"/>
      <c r="G212" s="23"/>
      <c r="H212" s="23"/>
    </row>
    <row r="213" spans="1:8">
      <c r="A213" s="27"/>
      <c r="B213" s="27"/>
      <c r="C213" s="28"/>
      <c r="D213" s="28"/>
      <c r="E213" s="23"/>
      <c r="F213" s="23"/>
      <c r="G213" s="23"/>
      <c r="H213" s="23"/>
    </row>
    <row r="214" spans="1:8">
      <c r="A214" s="27"/>
      <c r="B214" s="27"/>
      <c r="C214" s="28"/>
      <c r="D214" s="28"/>
      <c r="E214" s="23"/>
      <c r="F214" s="23"/>
      <c r="G214" s="23"/>
      <c r="H214" s="23"/>
    </row>
    <row r="215" spans="1:8">
      <c r="A215" s="27"/>
      <c r="B215" s="27"/>
      <c r="C215" s="28"/>
      <c r="D215" s="28"/>
      <c r="E215" s="23"/>
      <c r="F215" s="23"/>
      <c r="G215" s="23"/>
      <c r="H215" s="23"/>
    </row>
    <row r="216" spans="1:8">
      <c r="A216" s="27"/>
      <c r="B216" s="27"/>
      <c r="C216" s="28"/>
      <c r="D216" s="28"/>
      <c r="E216" s="23"/>
      <c r="F216" s="23"/>
      <c r="G216" s="23"/>
      <c r="H216" s="23"/>
    </row>
    <row r="217" spans="1:8">
      <c r="A217" s="27"/>
      <c r="B217" s="27"/>
      <c r="C217" s="28"/>
      <c r="D217" s="28"/>
      <c r="E217" s="23"/>
      <c r="F217" s="23"/>
      <c r="G217" s="23"/>
      <c r="H217" s="23"/>
    </row>
    <row r="218" spans="1:8">
      <c r="A218" s="27"/>
      <c r="B218" s="27"/>
      <c r="C218" s="28"/>
      <c r="D218" s="28"/>
      <c r="E218" s="23"/>
      <c r="F218" s="23"/>
      <c r="G218" s="23"/>
      <c r="H218" s="23"/>
    </row>
    <row r="219" spans="1:8">
      <c r="A219" s="27"/>
      <c r="B219" s="27"/>
      <c r="C219" s="28"/>
      <c r="D219" s="28"/>
      <c r="E219" s="23"/>
      <c r="F219" s="23"/>
      <c r="G219" s="23"/>
      <c r="H219" s="23"/>
    </row>
    <row r="220" spans="1:8">
      <c r="A220" s="27"/>
      <c r="B220" s="27"/>
      <c r="C220" s="28"/>
      <c r="D220" s="28"/>
      <c r="E220" s="23"/>
      <c r="F220" s="23"/>
      <c r="G220" s="23"/>
      <c r="H220" s="23"/>
    </row>
    <row r="221" spans="1:8">
      <c r="A221" s="27"/>
      <c r="B221" s="27"/>
      <c r="C221" s="28"/>
      <c r="D221" s="28"/>
      <c r="E221" s="23"/>
      <c r="F221" s="23"/>
      <c r="G221" s="23"/>
      <c r="H221" s="23"/>
    </row>
    <row r="222" spans="1:8">
      <c r="A222" s="27"/>
      <c r="B222" s="27"/>
      <c r="C222" s="28"/>
      <c r="D222" s="28"/>
      <c r="E222" s="29"/>
      <c r="F222" s="29"/>
      <c r="G222" s="29"/>
      <c r="H222" s="29"/>
    </row>
    <row r="223" spans="1:8">
      <c r="A223" s="27"/>
      <c r="B223" s="27"/>
      <c r="C223" s="28"/>
      <c r="D223" s="28"/>
      <c r="E223" s="29"/>
      <c r="F223" s="29"/>
      <c r="G223" s="29"/>
      <c r="H223" s="29"/>
    </row>
    <row r="224" spans="1:8">
      <c r="A224" s="27"/>
      <c r="B224" s="27"/>
      <c r="C224" s="28"/>
      <c r="D224" s="28"/>
      <c r="E224" s="29"/>
      <c r="F224" s="29"/>
      <c r="G224" s="29"/>
      <c r="H224" s="29"/>
    </row>
    <row r="225" spans="1:8">
      <c r="A225" s="27"/>
      <c r="B225" s="27"/>
      <c r="C225" s="28"/>
      <c r="D225" s="28"/>
      <c r="E225" s="29"/>
      <c r="F225" s="29"/>
      <c r="G225" s="29"/>
      <c r="H225" s="29"/>
    </row>
    <row r="226" spans="1:8">
      <c r="A226" s="27"/>
      <c r="B226" s="27"/>
      <c r="C226" s="28"/>
      <c r="D226" s="28"/>
      <c r="E226" s="29"/>
      <c r="F226" s="29"/>
      <c r="G226" s="29"/>
      <c r="H226" s="29"/>
    </row>
    <row r="227" spans="1:8">
      <c r="A227" s="27"/>
      <c r="B227" s="27"/>
      <c r="C227" s="28"/>
      <c r="D227" s="28"/>
      <c r="E227" s="29"/>
      <c r="F227" s="29"/>
      <c r="G227" s="29"/>
      <c r="H227" s="29"/>
    </row>
    <row r="228" spans="1:8">
      <c r="A228" s="27"/>
      <c r="B228" s="27"/>
      <c r="C228" s="28"/>
      <c r="D228" s="28"/>
      <c r="E228" s="29"/>
      <c r="F228" s="29"/>
      <c r="G228" s="29"/>
      <c r="H228" s="29"/>
    </row>
    <row r="229" spans="1:8">
      <c r="A229" s="27"/>
      <c r="B229" s="27"/>
      <c r="C229" s="28"/>
      <c r="D229" s="28"/>
      <c r="E229" s="29"/>
      <c r="F229" s="29"/>
      <c r="G229" s="29"/>
      <c r="H229" s="29"/>
    </row>
    <row r="230" spans="1:8">
      <c r="A230" s="27"/>
      <c r="B230" s="27"/>
      <c r="C230" s="28"/>
      <c r="D230" s="28"/>
      <c r="E230" s="29"/>
      <c r="F230" s="29"/>
      <c r="G230" s="29"/>
      <c r="H230" s="29"/>
    </row>
    <row r="231" spans="1:8">
      <c r="A231" s="27"/>
      <c r="B231" s="27"/>
      <c r="C231" s="28"/>
      <c r="D231" s="28"/>
      <c r="E231" s="29"/>
      <c r="F231" s="29"/>
      <c r="G231" s="29"/>
      <c r="H231" s="29"/>
    </row>
    <row r="232" spans="1:8">
      <c r="A232" s="27"/>
      <c r="B232" s="27"/>
      <c r="C232" s="28"/>
      <c r="D232" s="28"/>
      <c r="E232" s="29"/>
      <c r="F232" s="29"/>
      <c r="G232" s="29"/>
      <c r="H232" s="29"/>
    </row>
    <row r="233" spans="1:8">
      <c r="A233" s="27"/>
      <c r="B233" s="27"/>
      <c r="C233" s="28"/>
      <c r="D233" s="28"/>
      <c r="E233" s="29"/>
      <c r="F233" s="29"/>
      <c r="G233" s="29"/>
      <c r="H233" s="29"/>
    </row>
    <row r="234" spans="1:8">
      <c r="A234" s="27"/>
      <c r="B234" s="27"/>
      <c r="C234" s="28"/>
      <c r="D234" s="28"/>
      <c r="E234" s="29"/>
      <c r="F234" s="29"/>
      <c r="G234" s="29"/>
      <c r="H234" s="29"/>
    </row>
    <row r="235" spans="1:8">
      <c r="A235" s="27"/>
      <c r="B235" s="27"/>
      <c r="C235" s="28"/>
      <c r="D235" s="28"/>
      <c r="E235" s="29"/>
      <c r="F235" s="29"/>
      <c r="G235" s="29"/>
      <c r="H235" s="29"/>
    </row>
    <row r="236" spans="1:8">
      <c r="A236" s="27"/>
      <c r="B236" s="27"/>
      <c r="C236" s="28"/>
      <c r="D236" s="28"/>
      <c r="E236" s="29"/>
      <c r="F236" s="29"/>
      <c r="G236" s="29"/>
      <c r="H236" s="29"/>
    </row>
    <row r="237" spans="1:8">
      <c r="A237" s="27"/>
      <c r="B237" s="27"/>
      <c r="C237" s="28"/>
      <c r="D237" s="28"/>
      <c r="E237" s="29"/>
      <c r="F237" s="29"/>
      <c r="G237" s="29"/>
      <c r="H237" s="29"/>
    </row>
    <row r="238" spans="1:8">
      <c r="A238" s="27"/>
      <c r="B238" s="27"/>
      <c r="C238" s="28"/>
      <c r="D238" s="28"/>
      <c r="E238" s="29"/>
      <c r="F238" s="29"/>
      <c r="G238" s="29"/>
      <c r="H238" s="29"/>
    </row>
    <row r="239" spans="1:8">
      <c r="A239" s="27"/>
      <c r="B239" s="27"/>
      <c r="C239" s="28"/>
      <c r="D239" s="28"/>
      <c r="E239" s="29"/>
      <c r="F239" s="29"/>
      <c r="G239" s="29"/>
      <c r="H239" s="29"/>
    </row>
    <row r="240" spans="1:8">
      <c r="A240" s="27"/>
      <c r="B240" s="27"/>
      <c r="C240" s="28"/>
      <c r="D240" s="28"/>
      <c r="E240" s="29"/>
      <c r="F240" s="29"/>
      <c r="G240" s="29"/>
      <c r="H240" s="29"/>
    </row>
    <row r="241" spans="1:8">
      <c r="A241" s="27"/>
      <c r="B241" s="27"/>
      <c r="C241" s="28"/>
      <c r="D241" s="28"/>
      <c r="E241" s="29"/>
      <c r="F241" s="29"/>
      <c r="G241" s="29"/>
      <c r="H241" s="29"/>
    </row>
    <row r="242" spans="1:8">
      <c r="A242" s="27"/>
      <c r="B242" s="27"/>
      <c r="C242" s="28"/>
      <c r="D242" s="28"/>
      <c r="E242" s="29"/>
      <c r="F242" s="29"/>
      <c r="G242" s="29"/>
      <c r="H242" s="29"/>
    </row>
    <row r="243" spans="1:8">
      <c r="A243" s="27"/>
      <c r="B243" s="27"/>
      <c r="C243" s="28"/>
      <c r="D243" s="28"/>
      <c r="E243" s="29"/>
      <c r="F243" s="29"/>
      <c r="G243" s="29"/>
      <c r="H243" s="29"/>
    </row>
    <row r="244" spans="1:8">
      <c r="A244" s="27"/>
      <c r="B244" s="27"/>
      <c r="C244" s="28"/>
      <c r="D244" s="28"/>
      <c r="E244" s="29"/>
      <c r="F244" s="29"/>
      <c r="G244" s="29"/>
      <c r="H244" s="29"/>
    </row>
    <row r="245" spans="1:8">
      <c r="A245" s="27"/>
      <c r="B245" s="27"/>
      <c r="C245" s="28"/>
      <c r="D245" s="28"/>
      <c r="E245" s="29"/>
      <c r="F245" s="29"/>
      <c r="G245" s="29"/>
      <c r="H245" s="29"/>
    </row>
    <row r="246" spans="1:8">
      <c r="A246" s="27"/>
      <c r="B246" s="27"/>
      <c r="C246" s="28"/>
      <c r="D246" s="28"/>
      <c r="E246" s="29"/>
      <c r="F246" s="29"/>
      <c r="G246" s="29"/>
      <c r="H246" s="29"/>
    </row>
    <row r="247" spans="1:8">
      <c r="A247" s="27"/>
      <c r="B247" s="27"/>
      <c r="C247" s="28"/>
      <c r="D247" s="28"/>
      <c r="E247" s="29"/>
      <c r="F247" s="29"/>
      <c r="G247" s="29"/>
      <c r="H247" s="29"/>
    </row>
    <row r="248" spans="1:8">
      <c r="A248" s="27"/>
      <c r="B248" s="27"/>
      <c r="C248" s="28"/>
      <c r="D248" s="28"/>
      <c r="E248" s="29"/>
      <c r="F248" s="29"/>
      <c r="G248" s="29"/>
      <c r="H248" s="29"/>
    </row>
    <row r="249" spans="1:8">
      <c r="A249" s="27"/>
      <c r="B249" s="27"/>
      <c r="C249" s="28"/>
      <c r="D249" s="28"/>
      <c r="E249" s="29"/>
      <c r="F249" s="29"/>
      <c r="G249" s="29"/>
      <c r="H249" s="29"/>
    </row>
    <row r="250" spans="1:8">
      <c r="A250" s="27"/>
      <c r="B250" s="27"/>
      <c r="C250" s="28"/>
      <c r="D250" s="28"/>
      <c r="E250" s="29"/>
      <c r="F250" s="29"/>
      <c r="G250" s="29"/>
      <c r="H250" s="29"/>
    </row>
    <row r="251" spans="1:8">
      <c r="A251" s="27"/>
      <c r="B251" s="27"/>
      <c r="C251" s="28"/>
      <c r="D251" s="28"/>
      <c r="E251" s="29"/>
      <c r="F251" s="29"/>
      <c r="G251" s="29"/>
      <c r="H251" s="29"/>
    </row>
    <row r="252" spans="1:8">
      <c r="A252" s="27"/>
      <c r="B252" s="27"/>
      <c r="C252" s="28"/>
      <c r="D252" s="28"/>
      <c r="E252" s="29"/>
      <c r="F252" s="29"/>
      <c r="G252" s="29"/>
      <c r="H252" s="29"/>
    </row>
    <row r="253" spans="1:8">
      <c r="A253" s="27"/>
      <c r="B253" s="27"/>
      <c r="C253" s="28"/>
      <c r="D253" s="28"/>
      <c r="E253" s="29"/>
      <c r="F253" s="29"/>
      <c r="G253" s="29"/>
      <c r="H253" s="29"/>
    </row>
    <row r="254" spans="1:8">
      <c r="A254" s="27"/>
      <c r="B254" s="27"/>
      <c r="C254" s="28"/>
      <c r="D254" s="28"/>
      <c r="E254" s="29"/>
      <c r="F254" s="29"/>
      <c r="G254" s="29"/>
      <c r="H254" s="29"/>
    </row>
    <row r="255" spans="1:8">
      <c r="A255" s="27"/>
      <c r="B255" s="27"/>
      <c r="C255" s="28"/>
      <c r="D255" s="28"/>
      <c r="E255" s="29"/>
      <c r="F255" s="29"/>
      <c r="G255" s="29"/>
      <c r="H255" s="29"/>
    </row>
    <row r="256" spans="1:8">
      <c r="A256" s="27"/>
      <c r="B256" s="27"/>
      <c r="C256" s="28"/>
      <c r="D256" s="28"/>
      <c r="E256" s="29"/>
      <c r="F256" s="29"/>
      <c r="G256" s="29"/>
      <c r="H256" s="29"/>
    </row>
    <row r="257" spans="1:8">
      <c r="A257" s="27"/>
      <c r="B257" s="27"/>
      <c r="C257" s="28"/>
      <c r="D257" s="28"/>
      <c r="E257" s="29"/>
      <c r="F257" s="29"/>
      <c r="G257" s="29"/>
      <c r="H257" s="29"/>
    </row>
    <row r="258" spans="1:8">
      <c r="A258" s="27"/>
      <c r="B258" s="27"/>
      <c r="C258" s="28"/>
      <c r="D258" s="28"/>
      <c r="E258" s="29"/>
      <c r="F258" s="29"/>
      <c r="G258" s="29"/>
      <c r="H258" s="29"/>
    </row>
    <row r="259" spans="1:8">
      <c r="A259" s="27"/>
      <c r="B259" s="27"/>
      <c r="C259" s="28"/>
      <c r="D259" s="28"/>
      <c r="E259" s="29"/>
      <c r="F259" s="29"/>
      <c r="G259" s="29"/>
      <c r="H259" s="29"/>
    </row>
    <row r="260" spans="1:8">
      <c r="A260" s="27"/>
      <c r="B260" s="27"/>
      <c r="C260" s="28"/>
      <c r="D260" s="28"/>
      <c r="E260" s="29"/>
      <c r="F260" s="29"/>
      <c r="G260" s="29"/>
      <c r="H260" s="29"/>
    </row>
    <row r="261" spans="1:8">
      <c r="A261" s="27"/>
      <c r="B261" s="27"/>
      <c r="C261" s="28"/>
      <c r="D261" s="28"/>
      <c r="E261" s="29"/>
      <c r="F261" s="29"/>
      <c r="G261" s="29"/>
      <c r="H261" s="29"/>
    </row>
    <row r="262" spans="1:8">
      <c r="A262" s="27"/>
      <c r="B262" s="27"/>
      <c r="C262" s="28"/>
      <c r="D262" s="28"/>
      <c r="E262" s="29"/>
      <c r="F262" s="29"/>
      <c r="G262" s="29"/>
      <c r="H262" s="29"/>
    </row>
    <row r="263" spans="1:8">
      <c r="A263" s="27"/>
      <c r="B263" s="27"/>
      <c r="C263" s="28"/>
      <c r="D263" s="28"/>
      <c r="E263" s="29"/>
      <c r="F263" s="29"/>
      <c r="G263" s="29"/>
      <c r="H263" s="29"/>
    </row>
    <row r="264" spans="1:8">
      <c r="A264" s="27"/>
      <c r="B264" s="27"/>
      <c r="C264" s="28"/>
      <c r="D264" s="28"/>
      <c r="E264" s="29"/>
      <c r="F264" s="29"/>
      <c r="G264" s="29"/>
      <c r="H264" s="29"/>
    </row>
    <row r="265" spans="1:8">
      <c r="A265" s="27"/>
      <c r="B265" s="27"/>
      <c r="C265" s="28"/>
      <c r="D265" s="28"/>
      <c r="E265" s="29"/>
      <c r="F265" s="29"/>
      <c r="G265" s="29"/>
      <c r="H265" s="29"/>
    </row>
    <row r="266" spans="1:8">
      <c r="A266" s="27"/>
      <c r="B266" s="27"/>
      <c r="C266" s="28"/>
      <c r="D266" s="28"/>
      <c r="E266" s="29"/>
      <c r="F266" s="29"/>
      <c r="G266" s="29"/>
      <c r="H266" s="29"/>
    </row>
    <row r="267" spans="1:8">
      <c r="A267" s="27"/>
      <c r="B267" s="27"/>
      <c r="C267" s="28"/>
      <c r="D267" s="28"/>
      <c r="E267" s="29"/>
      <c r="F267" s="29"/>
      <c r="G267" s="29"/>
      <c r="H267" s="29"/>
    </row>
    <row r="268" spans="1:8">
      <c r="A268" s="27"/>
      <c r="B268" s="27"/>
      <c r="C268" s="28"/>
      <c r="D268" s="28"/>
      <c r="E268" s="29"/>
      <c r="F268" s="29"/>
      <c r="G268" s="29"/>
      <c r="H268" s="29"/>
    </row>
    <row r="269" spans="1:8">
      <c r="A269" s="27"/>
      <c r="B269" s="27"/>
      <c r="C269" s="28"/>
      <c r="D269" s="28"/>
      <c r="E269" s="29"/>
      <c r="F269" s="29"/>
      <c r="G269" s="29"/>
      <c r="H269" s="29"/>
    </row>
    <row r="270" spans="1:8">
      <c r="A270" s="27"/>
      <c r="B270" s="27"/>
      <c r="C270" s="28"/>
      <c r="D270" s="28"/>
      <c r="E270" s="29"/>
      <c r="F270" s="29"/>
      <c r="G270" s="29"/>
      <c r="H270" s="29"/>
    </row>
    <row r="271" spans="1:8">
      <c r="A271" s="27"/>
      <c r="B271" s="27"/>
      <c r="C271" s="28"/>
      <c r="D271" s="28"/>
      <c r="E271" s="29"/>
      <c r="F271" s="29"/>
      <c r="G271" s="29"/>
      <c r="H271" s="29"/>
    </row>
    <row r="272" spans="1:8">
      <c r="A272" s="27"/>
      <c r="B272" s="27"/>
      <c r="C272" s="28"/>
      <c r="D272" s="28"/>
      <c r="E272" s="29"/>
      <c r="F272" s="29"/>
      <c r="G272" s="29"/>
      <c r="H272" s="29"/>
    </row>
    <row r="273" spans="1:8">
      <c r="A273" s="27"/>
      <c r="B273" s="27"/>
      <c r="C273" s="28"/>
      <c r="D273" s="28"/>
      <c r="E273" s="29"/>
      <c r="F273" s="29"/>
      <c r="G273" s="29"/>
      <c r="H273" s="29"/>
    </row>
    <row r="274" spans="1:8">
      <c r="A274" s="27"/>
      <c r="B274" s="27"/>
      <c r="C274" s="28"/>
      <c r="D274" s="28"/>
      <c r="E274" s="29"/>
      <c r="F274" s="29"/>
      <c r="G274" s="29"/>
      <c r="H274" s="29"/>
    </row>
    <row r="275" spans="1:8">
      <c r="A275" s="27"/>
      <c r="B275" s="27"/>
      <c r="C275" s="28"/>
      <c r="D275" s="28"/>
      <c r="E275" s="29"/>
      <c r="F275" s="29"/>
      <c r="G275" s="29"/>
      <c r="H275" s="29"/>
    </row>
    <row r="276" spans="1:8">
      <c r="A276" s="27"/>
      <c r="B276" s="27"/>
      <c r="C276" s="28"/>
      <c r="D276" s="28"/>
      <c r="E276" s="29"/>
      <c r="F276" s="29"/>
      <c r="G276" s="29"/>
      <c r="H276" s="29"/>
    </row>
    <row r="277" spans="1:8">
      <c r="A277" s="27"/>
      <c r="B277" s="27"/>
      <c r="C277" s="28"/>
      <c r="D277" s="28"/>
      <c r="E277" s="29"/>
      <c r="F277" s="29"/>
      <c r="G277" s="29"/>
      <c r="H277" s="29"/>
    </row>
    <row r="278" spans="1:8">
      <c r="A278" s="27"/>
      <c r="B278" s="27"/>
      <c r="C278" s="28"/>
      <c r="D278" s="28"/>
      <c r="E278" s="29"/>
      <c r="F278" s="29"/>
      <c r="G278" s="29"/>
      <c r="H278" s="29"/>
    </row>
    <row r="279" spans="1:8">
      <c r="A279" s="27"/>
      <c r="B279" s="27"/>
      <c r="C279" s="28"/>
      <c r="D279" s="28"/>
      <c r="E279" s="29"/>
      <c r="F279" s="29"/>
      <c r="G279" s="29"/>
      <c r="H279" s="29"/>
    </row>
    <row r="280" spans="1:8">
      <c r="A280" s="27"/>
      <c r="B280" s="27"/>
      <c r="C280" s="28"/>
      <c r="D280" s="28"/>
      <c r="E280" s="29"/>
      <c r="F280" s="29"/>
      <c r="G280" s="29"/>
      <c r="H280" s="29"/>
    </row>
    <row r="281" spans="1:8">
      <c r="A281" s="27"/>
      <c r="B281" s="27"/>
      <c r="C281" s="28"/>
      <c r="D281" s="28"/>
      <c r="E281" s="29"/>
      <c r="F281" s="29"/>
      <c r="G281" s="29"/>
      <c r="H281" s="29"/>
    </row>
    <row r="282" spans="1:8">
      <c r="A282" s="27"/>
      <c r="B282" s="27"/>
      <c r="C282" s="28"/>
      <c r="D282" s="28"/>
      <c r="E282" s="29"/>
      <c r="F282" s="29"/>
      <c r="G282" s="29"/>
      <c r="H282" s="29"/>
    </row>
    <row r="283" spans="1:8">
      <c r="A283" s="27"/>
      <c r="B283" s="27"/>
      <c r="C283" s="28"/>
      <c r="D283" s="28"/>
      <c r="E283" s="29"/>
      <c r="F283" s="29"/>
      <c r="G283" s="29"/>
      <c r="H283" s="29"/>
    </row>
    <row r="284" spans="1:8">
      <c r="A284" s="27"/>
      <c r="B284" s="27"/>
      <c r="C284" s="28"/>
      <c r="D284" s="28"/>
      <c r="E284" s="29"/>
      <c r="F284" s="29"/>
      <c r="G284" s="29"/>
      <c r="H284" s="29"/>
    </row>
    <row r="285" spans="1:8">
      <c r="A285" s="27"/>
      <c r="B285" s="27"/>
      <c r="C285" s="28"/>
      <c r="D285" s="28"/>
      <c r="E285" s="29"/>
      <c r="F285" s="29"/>
      <c r="G285" s="29"/>
      <c r="H285" s="29"/>
    </row>
    <row r="286" spans="1:8">
      <c r="A286" s="27"/>
      <c r="B286" s="27"/>
      <c r="C286" s="28"/>
      <c r="D286" s="28"/>
      <c r="E286" s="29"/>
      <c r="F286" s="29"/>
      <c r="G286" s="29"/>
      <c r="H286" s="29"/>
    </row>
    <row r="287" spans="1:8">
      <c r="A287" s="27"/>
      <c r="B287" s="27"/>
      <c r="C287" s="28"/>
      <c r="D287" s="28"/>
      <c r="E287" s="29"/>
      <c r="F287" s="29"/>
      <c r="G287" s="29"/>
      <c r="H287" s="29"/>
    </row>
    <row r="288" spans="1:8">
      <c r="A288" s="27"/>
      <c r="B288" s="27"/>
      <c r="C288" s="28"/>
      <c r="D288" s="28"/>
      <c r="E288" s="29"/>
      <c r="F288" s="29"/>
      <c r="G288" s="29"/>
      <c r="H288" s="29"/>
    </row>
    <row r="289" spans="1:8">
      <c r="A289" s="27"/>
      <c r="B289" s="27"/>
      <c r="C289" s="28"/>
      <c r="D289" s="28"/>
      <c r="E289" s="29"/>
      <c r="F289" s="29"/>
      <c r="G289" s="29"/>
      <c r="H289" s="29"/>
    </row>
    <row r="290" spans="1:8">
      <c r="A290" s="27"/>
      <c r="B290" s="27"/>
      <c r="C290" s="28"/>
      <c r="D290" s="28"/>
      <c r="E290" s="29"/>
      <c r="F290" s="29"/>
      <c r="G290" s="29"/>
      <c r="H290" s="29"/>
    </row>
    <row r="291" spans="1:8">
      <c r="A291" s="27"/>
      <c r="B291" s="27"/>
      <c r="C291" s="28"/>
      <c r="D291" s="28"/>
      <c r="E291" s="29"/>
      <c r="F291" s="29"/>
      <c r="G291" s="29"/>
      <c r="H291" s="29"/>
    </row>
    <row r="292" spans="1:8">
      <c r="A292" s="27"/>
      <c r="B292" s="27"/>
      <c r="C292" s="28"/>
      <c r="D292" s="28"/>
      <c r="E292" s="29"/>
      <c r="F292" s="29"/>
      <c r="G292" s="29"/>
      <c r="H292" s="29"/>
    </row>
    <row r="293" spans="1:8">
      <c r="A293" s="27"/>
      <c r="B293" s="27"/>
      <c r="C293" s="28"/>
      <c r="D293" s="28"/>
      <c r="E293" s="29"/>
      <c r="F293" s="29"/>
      <c r="G293" s="29"/>
      <c r="H293" s="29"/>
    </row>
    <row r="294" spans="1:8">
      <c r="A294" s="27"/>
      <c r="B294" s="27"/>
      <c r="C294" s="28"/>
      <c r="D294" s="28"/>
      <c r="E294" s="29"/>
      <c r="F294" s="29"/>
      <c r="G294" s="29"/>
      <c r="H294" s="29"/>
    </row>
    <row r="295" spans="1:8">
      <c r="A295" s="27"/>
      <c r="B295" s="27"/>
      <c r="C295" s="28"/>
      <c r="D295" s="28"/>
      <c r="E295" s="29"/>
      <c r="F295" s="29"/>
      <c r="G295" s="29"/>
      <c r="H295" s="29"/>
    </row>
    <row r="296" spans="1:8">
      <c r="A296" s="27"/>
      <c r="B296" s="27"/>
      <c r="C296" s="28"/>
      <c r="D296" s="28"/>
      <c r="E296" s="29"/>
      <c r="F296" s="29"/>
      <c r="G296" s="29"/>
      <c r="H296" s="29"/>
    </row>
    <row r="297" spans="1:8">
      <c r="A297" s="27"/>
      <c r="B297" s="27"/>
      <c r="C297" s="28"/>
      <c r="D297" s="28"/>
      <c r="E297" s="29"/>
      <c r="F297" s="29"/>
      <c r="G297" s="29"/>
      <c r="H297" s="29"/>
    </row>
    <row r="298" spans="1:8">
      <c r="A298" s="27"/>
      <c r="B298" s="27"/>
      <c r="C298" s="28"/>
      <c r="D298" s="28"/>
      <c r="E298" s="29"/>
      <c r="F298" s="29"/>
      <c r="G298" s="29"/>
      <c r="H298" s="29"/>
    </row>
    <row r="299" spans="1:8">
      <c r="A299" s="27"/>
      <c r="B299" s="27"/>
      <c r="C299" s="28"/>
      <c r="D299" s="28"/>
      <c r="E299" s="29"/>
      <c r="F299" s="29"/>
      <c r="G299" s="29"/>
      <c r="H299" s="29"/>
    </row>
    <row r="300" spans="1:8">
      <c r="A300" s="27"/>
      <c r="B300" s="27"/>
      <c r="C300" s="28"/>
      <c r="D300" s="28"/>
      <c r="E300" s="29"/>
      <c r="F300" s="29"/>
      <c r="G300" s="29"/>
      <c r="H300" s="29"/>
    </row>
    <row r="301" spans="1:8">
      <c r="A301" s="27"/>
      <c r="B301" s="27"/>
      <c r="C301" s="28"/>
      <c r="D301" s="28"/>
      <c r="E301" s="29"/>
      <c r="F301" s="29"/>
      <c r="G301" s="29"/>
      <c r="H301" s="29"/>
    </row>
    <row r="302" spans="1:8">
      <c r="A302" s="27"/>
      <c r="B302" s="27"/>
      <c r="C302" s="28"/>
      <c r="D302" s="28"/>
      <c r="E302" s="29"/>
      <c r="F302" s="29"/>
      <c r="G302" s="29"/>
      <c r="H302" s="29"/>
    </row>
    <row r="303" spans="1:8">
      <c r="A303" s="27"/>
      <c r="B303" s="27"/>
      <c r="C303" s="28"/>
      <c r="D303" s="28"/>
      <c r="E303" s="29"/>
      <c r="F303" s="29"/>
      <c r="G303" s="29"/>
      <c r="H303" s="29"/>
    </row>
    <row r="304" spans="1:8">
      <c r="A304" s="27"/>
      <c r="B304" s="27"/>
      <c r="C304" s="28"/>
      <c r="D304" s="28"/>
      <c r="E304" s="29"/>
      <c r="F304" s="29"/>
      <c r="G304" s="29"/>
      <c r="H304" s="29"/>
    </row>
    <row r="305" spans="1:8">
      <c r="A305" s="27"/>
      <c r="B305" s="27"/>
      <c r="C305" s="28"/>
      <c r="D305" s="28"/>
      <c r="E305" s="29"/>
      <c r="F305" s="29"/>
      <c r="G305" s="29"/>
      <c r="H305" s="29"/>
    </row>
    <row r="306" spans="1:8">
      <c r="A306" s="27"/>
      <c r="B306" s="27"/>
      <c r="C306" s="28"/>
      <c r="D306" s="28"/>
      <c r="E306" s="29"/>
      <c r="F306" s="29"/>
      <c r="G306" s="29"/>
      <c r="H306" s="29"/>
    </row>
    <row r="307" spans="1:8">
      <c r="A307" s="27"/>
      <c r="B307" s="27"/>
      <c r="C307" s="28"/>
      <c r="D307" s="28"/>
      <c r="E307" s="29"/>
      <c r="F307" s="29"/>
      <c r="G307" s="29"/>
      <c r="H307" s="29"/>
    </row>
    <row r="308" spans="1:8">
      <c r="A308" s="27"/>
      <c r="B308" s="27"/>
      <c r="C308" s="28"/>
      <c r="D308" s="28"/>
      <c r="E308" s="29"/>
      <c r="F308" s="29"/>
      <c r="G308" s="29"/>
      <c r="H308" s="29"/>
    </row>
    <row r="309" spans="1:8">
      <c r="A309" s="27"/>
      <c r="B309" s="27"/>
      <c r="C309" s="28"/>
      <c r="D309" s="28"/>
      <c r="E309" s="29"/>
      <c r="F309" s="29"/>
      <c r="G309" s="29"/>
      <c r="H309" s="29"/>
    </row>
    <row r="310" spans="1:8">
      <c r="A310" s="27"/>
      <c r="B310" s="27"/>
      <c r="C310" s="28"/>
      <c r="D310" s="28"/>
      <c r="E310" s="29"/>
      <c r="F310" s="29"/>
      <c r="G310" s="29"/>
      <c r="H310" s="29"/>
    </row>
    <row r="311" spans="1:8">
      <c r="A311" s="27"/>
      <c r="B311" s="27"/>
      <c r="C311" s="28"/>
      <c r="D311" s="28"/>
      <c r="E311" s="29"/>
      <c r="F311" s="29"/>
      <c r="G311" s="29"/>
      <c r="H311" s="29"/>
    </row>
    <row r="312" spans="1:8">
      <c r="A312" s="27"/>
      <c r="B312" s="27"/>
      <c r="C312" s="28"/>
      <c r="D312" s="28"/>
      <c r="E312" s="29"/>
      <c r="F312" s="29"/>
      <c r="G312" s="29"/>
      <c r="H312" s="29"/>
    </row>
    <row r="313" spans="1:8">
      <c r="A313" s="27"/>
      <c r="B313" s="27"/>
      <c r="C313" s="28"/>
      <c r="D313" s="28"/>
      <c r="E313" s="29"/>
      <c r="F313" s="29"/>
      <c r="G313" s="29"/>
      <c r="H313" s="29"/>
    </row>
    <row r="314" spans="1:8">
      <c r="A314" s="27"/>
      <c r="B314" s="27"/>
      <c r="C314" s="28"/>
      <c r="D314" s="28"/>
      <c r="E314" s="29"/>
      <c r="F314" s="29"/>
      <c r="G314" s="29"/>
      <c r="H314" s="29"/>
    </row>
    <row r="315" spans="1:8">
      <c r="A315" s="27"/>
      <c r="B315" s="27"/>
      <c r="C315" s="28"/>
      <c r="D315" s="28"/>
      <c r="E315" s="29"/>
      <c r="F315" s="29"/>
      <c r="G315" s="29"/>
      <c r="H315" s="29"/>
    </row>
    <row r="316" spans="1:8">
      <c r="A316" s="27"/>
      <c r="B316" s="27"/>
      <c r="C316" s="28"/>
      <c r="D316" s="28"/>
      <c r="E316" s="29"/>
      <c r="F316" s="29"/>
      <c r="G316" s="29"/>
      <c r="H316" s="29"/>
    </row>
    <row r="317" spans="1:8">
      <c r="A317" s="27"/>
      <c r="B317" s="27"/>
      <c r="C317" s="28"/>
      <c r="D317" s="28"/>
      <c r="E317" s="29"/>
      <c r="F317" s="29"/>
      <c r="G317" s="29"/>
      <c r="H317" s="29"/>
    </row>
    <row r="318" spans="1:8">
      <c r="A318" s="27"/>
      <c r="B318" s="27"/>
      <c r="C318" s="28"/>
      <c r="D318" s="28"/>
      <c r="E318" s="29"/>
      <c r="F318" s="29"/>
      <c r="G318" s="29"/>
      <c r="H318" s="29"/>
    </row>
    <row r="319" spans="1:8">
      <c r="A319" s="27"/>
      <c r="B319" s="27"/>
      <c r="C319" s="28"/>
      <c r="D319" s="28"/>
      <c r="E319" s="29"/>
      <c r="F319" s="29"/>
      <c r="G319" s="29"/>
      <c r="H319" s="29"/>
    </row>
    <row r="320" spans="1:8">
      <c r="A320" s="27"/>
      <c r="B320" s="27"/>
      <c r="C320" s="28"/>
      <c r="D320" s="28"/>
      <c r="E320" s="29"/>
      <c r="F320" s="29"/>
      <c r="G320" s="29"/>
      <c r="H320" s="29"/>
    </row>
    <row r="321" spans="1:8">
      <c r="A321" s="27"/>
      <c r="B321" s="27"/>
      <c r="C321" s="28"/>
      <c r="D321" s="28"/>
      <c r="E321" s="29"/>
      <c r="F321" s="29"/>
      <c r="G321" s="29"/>
      <c r="H321" s="29"/>
    </row>
    <row r="322" spans="1:8">
      <c r="A322" s="27"/>
      <c r="B322" s="27"/>
      <c r="C322" s="28"/>
      <c r="D322" s="28"/>
      <c r="E322" s="29"/>
      <c r="F322" s="29"/>
      <c r="G322" s="29"/>
      <c r="H322" s="29"/>
    </row>
    <row r="323" spans="1:8">
      <c r="A323" s="27"/>
      <c r="B323" s="27"/>
      <c r="C323" s="28"/>
      <c r="D323" s="28"/>
      <c r="E323" s="29"/>
      <c r="F323" s="29"/>
      <c r="G323" s="29"/>
      <c r="H323" s="29"/>
    </row>
    <row r="324" spans="1:8">
      <c r="A324" s="27"/>
      <c r="B324" s="27"/>
      <c r="C324" s="28"/>
      <c r="D324" s="28"/>
      <c r="E324" s="29"/>
      <c r="F324" s="29"/>
      <c r="G324" s="29"/>
      <c r="H324" s="29"/>
    </row>
    <row r="325" spans="1:8">
      <c r="A325" s="27"/>
      <c r="B325" s="27"/>
      <c r="C325" s="28"/>
      <c r="D325" s="28"/>
      <c r="E325" s="29"/>
      <c r="F325" s="29"/>
      <c r="G325" s="29"/>
      <c r="H325" s="29"/>
    </row>
    <row r="326" spans="1:8">
      <c r="A326" s="27"/>
      <c r="B326" s="27"/>
      <c r="C326" s="28"/>
      <c r="D326" s="28"/>
      <c r="E326" s="29"/>
      <c r="F326" s="29"/>
      <c r="G326" s="29"/>
      <c r="H326" s="29"/>
    </row>
    <row r="327" spans="1:8">
      <c r="A327" s="27"/>
      <c r="B327" s="27"/>
      <c r="C327" s="28"/>
      <c r="D327" s="28"/>
      <c r="E327" s="29"/>
      <c r="F327" s="29"/>
      <c r="G327" s="29"/>
      <c r="H327" s="29"/>
    </row>
    <row r="328" spans="1:8">
      <c r="A328" s="27"/>
      <c r="B328" s="27"/>
      <c r="C328" s="28"/>
      <c r="D328" s="28"/>
      <c r="E328" s="29"/>
      <c r="F328" s="29"/>
      <c r="G328" s="29"/>
      <c r="H328" s="29"/>
    </row>
    <row r="329" spans="1:8">
      <c r="A329" s="27"/>
      <c r="B329" s="27"/>
      <c r="C329" s="28"/>
      <c r="D329" s="28"/>
      <c r="E329" s="29"/>
      <c r="F329" s="29"/>
      <c r="G329" s="29"/>
      <c r="H329" s="29"/>
    </row>
    <row r="330" spans="1:8">
      <c r="A330" s="27"/>
      <c r="B330" s="27"/>
      <c r="C330" s="28"/>
      <c r="D330" s="28"/>
      <c r="E330" s="29"/>
      <c r="F330" s="29"/>
      <c r="G330" s="29"/>
      <c r="H330" s="29"/>
    </row>
    <row r="331" spans="1:8">
      <c r="A331" s="27"/>
      <c r="B331" s="27"/>
      <c r="C331" s="28"/>
      <c r="D331" s="28"/>
      <c r="E331" s="29"/>
      <c r="F331" s="29"/>
      <c r="G331" s="29"/>
      <c r="H331" s="29"/>
    </row>
    <row r="332" spans="1:8">
      <c r="A332" s="27"/>
      <c r="B332" s="27"/>
      <c r="C332" s="28"/>
      <c r="D332" s="28"/>
      <c r="E332" s="29"/>
      <c r="F332" s="29"/>
      <c r="G332" s="29"/>
      <c r="H332" s="29"/>
    </row>
    <row r="333" spans="1:8">
      <c r="A333" s="27"/>
      <c r="B333" s="27"/>
      <c r="C333" s="28"/>
      <c r="D333" s="28"/>
      <c r="E333" s="29"/>
      <c r="F333" s="29"/>
      <c r="G333" s="29"/>
      <c r="H333" s="29"/>
    </row>
    <row r="334" spans="1:8">
      <c r="A334" s="27"/>
      <c r="B334" s="27"/>
      <c r="C334" s="28"/>
      <c r="D334" s="28"/>
      <c r="E334" s="29"/>
      <c r="F334" s="29"/>
      <c r="G334" s="29"/>
      <c r="H334" s="29"/>
    </row>
    <row r="335" spans="1:8">
      <c r="A335" s="27"/>
      <c r="B335" s="27"/>
      <c r="C335" s="28"/>
      <c r="D335" s="28"/>
      <c r="E335" s="29"/>
      <c r="F335" s="29"/>
      <c r="G335" s="29"/>
      <c r="H335" s="29"/>
    </row>
    <row r="336" spans="1:8">
      <c r="A336" s="27"/>
      <c r="B336" s="27"/>
      <c r="C336" s="28"/>
      <c r="D336" s="28"/>
      <c r="E336" s="29"/>
      <c r="F336" s="29"/>
      <c r="G336" s="29"/>
      <c r="H336" s="29"/>
    </row>
    <row r="337" spans="1:8">
      <c r="A337" s="27"/>
      <c r="B337" s="27"/>
      <c r="C337" s="28"/>
      <c r="D337" s="28"/>
      <c r="E337" s="29"/>
      <c r="F337" s="29"/>
      <c r="G337" s="29"/>
      <c r="H337" s="29"/>
    </row>
    <row r="338" spans="1:8">
      <c r="A338" s="27"/>
      <c r="B338" s="27"/>
      <c r="C338" s="28"/>
      <c r="D338" s="28"/>
      <c r="E338" s="29"/>
      <c r="F338" s="29"/>
      <c r="G338" s="29"/>
      <c r="H338" s="29"/>
    </row>
    <row r="339" spans="1:8">
      <c r="A339" s="27"/>
      <c r="B339" s="27"/>
      <c r="C339" s="28"/>
      <c r="D339" s="28"/>
      <c r="E339" s="29"/>
      <c r="F339" s="29"/>
      <c r="G339" s="29"/>
      <c r="H339" s="29"/>
    </row>
    <row r="340" spans="1:8">
      <c r="A340" s="27"/>
      <c r="B340" s="27"/>
      <c r="C340" s="28"/>
      <c r="D340" s="28"/>
      <c r="E340" s="29"/>
      <c r="F340" s="29"/>
      <c r="G340" s="29"/>
      <c r="H340" s="29"/>
    </row>
    <row r="341" spans="1:8">
      <c r="A341" s="27"/>
      <c r="B341" s="27"/>
      <c r="C341" s="28"/>
      <c r="D341" s="28"/>
      <c r="E341" s="29"/>
      <c r="F341" s="29"/>
      <c r="G341" s="29"/>
      <c r="H341" s="29"/>
    </row>
    <row r="342" spans="1:8">
      <c r="A342" s="27"/>
      <c r="B342" s="27"/>
      <c r="C342" s="28"/>
      <c r="D342" s="28"/>
      <c r="E342" s="29"/>
      <c r="F342" s="29"/>
      <c r="G342" s="29"/>
      <c r="H342" s="29"/>
    </row>
    <row r="343" spans="1:8">
      <c r="A343" s="27"/>
      <c r="B343" s="27"/>
      <c r="C343" s="28"/>
      <c r="D343" s="28"/>
      <c r="E343" s="29"/>
      <c r="F343" s="29"/>
      <c r="G343" s="29"/>
      <c r="H343" s="29"/>
    </row>
    <row r="344" spans="1:8">
      <c r="A344" s="27"/>
      <c r="B344" s="27"/>
      <c r="C344" s="28"/>
      <c r="D344" s="28"/>
      <c r="E344" s="29"/>
      <c r="F344" s="29"/>
      <c r="G344" s="29"/>
      <c r="H344" s="29"/>
    </row>
    <row r="345" spans="1:8">
      <c r="A345" s="27"/>
      <c r="B345" s="27"/>
      <c r="C345" s="28"/>
      <c r="D345" s="28"/>
      <c r="E345" s="29"/>
      <c r="F345" s="29"/>
      <c r="G345" s="29"/>
      <c r="H345" s="29"/>
    </row>
    <row r="346" spans="1:8">
      <c r="A346" s="27"/>
      <c r="B346" s="27"/>
      <c r="C346" s="28"/>
      <c r="D346" s="28"/>
      <c r="E346" s="29"/>
      <c r="F346" s="29"/>
      <c r="G346" s="29"/>
      <c r="H346" s="29"/>
    </row>
    <row r="347" spans="1:8">
      <c r="A347" s="27"/>
      <c r="B347" s="27"/>
      <c r="C347" s="28"/>
      <c r="D347" s="28"/>
      <c r="E347" s="29"/>
      <c r="F347" s="29"/>
      <c r="G347" s="29"/>
      <c r="H347" s="29"/>
    </row>
    <row r="348" spans="1:8">
      <c r="A348" s="27"/>
      <c r="B348" s="27"/>
      <c r="C348" s="28"/>
      <c r="D348" s="28"/>
      <c r="E348" s="29"/>
      <c r="F348" s="29"/>
      <c r="G348" s="29"/>
      <c r="H348" s="29"/>
    </row>
    <row r="349" spans="1:8">
      <c r="A349" s="27"/>
      <c r="B349" s="27"/>
      <c r="C349" s="28"/>
      <c r="D349" s="28"/>
      <c r="E349" s="29"/>
      <c r="F349" s="29"/>
      <c r="G349" s="29"/>
      <c r="H349" s="29"/>
    </row>
    <row r="350" spans="1:8">
      <c r="A350" s="27"/>
      <c r="B350" s="27"/>
      <c r="C350" s="28"/>
      <c r="D350" s="28"/>
      <c r="E350" s="29"/>
      <c r="F350" s="29"/>
      <c r="G350" s="29"/>
      <c r="H350" s="29"/>
    </row>
    <row r="351" spans="1:8">
      <c r="A351" s="27"/>
      <c r="B351" s="27"/>
      <c r="C351" s="28"/>
      <c r="D351" s="28"/>
      <c r="E351" s="29"/>
      <c r="F351" s="29"/>
      <c r="G351" s="29"/>
      <c r="H351" s="29"/>
    </row>
    <row r="352" spans="1:8">
      <c r="A352" s="27"/>
      <c r="B352" s="27"/>
      <c r="C352" s="28"/>
      <c r="D352" s="28"/>
      <c r="E352" s="29"/>
      <c r="F352" s="29"/>
      <c r="G352" s="29"/>
      <c r="H352" s="29"/>
    </row>
    <row r="353" spans="1:8">
      <c r="A353" s="27"/>
      <c r="B353" s="27"/>
      <c r="C353" s="28"/>
      <c r="D353" s="28"/>
      <c r="E353" s="29"/>
      <c r="F353" s="29"/>
      <c r="G353" s="29"/>
      <c r="H353" s="29"/>
    </row>
    <row r="354" spans="1:8">
      <c r="A354" s="27"/>
      <c r="B354" s="27"/>
      <c r="C354" s="28"/>
      <c r="D354" s="28"/>
      <c r="E354" s="29"/>
      <c r="F354" s="29"/>
      <c r="G354" s="29"/>
      <c r="H354" s="29"/>
    </row>
    <row r="355" spans="1:8">
      <c r="A355" s="27"/>
      <c r="B355" s="27"/>
      <c r="C355" s="28"/>
      <c r="D355" s="28"/>
      <c r="E355" s="29"/>
      <c r="F355" s="29"/>
      <c r="G355" s="29"/>
      <c r="H355" s="29"/>
    </row>
    <row r="356" spans="1:8">
      <c r="A356" s="27"/>
      <c r="B356" s="27"/>
      <c r="C356" s="28"/>
      <c r="D356" s="28"/>
      <c r="E356" s="29"/>
      <c r="F356" s="29"/>
      <c r="G356" s="29"/>
      <c r="H356" s="29"/>
    </row>
    <row r="357" spans="1:8">
      <c r="A357" s="27"/>
      <c r="B357" s="27"/>
      <c r="C357" s="28"/>
      <c r="D357" s="28"/>
      <c r="E357" s="29"/>
      <c r="F357" s="29"/>
      <c r="G357" s="29"/>
      <c r="H357" s="29"/>
    </row>
    <row r="358" spans="1:8">
      <c r="A358" s="27"/>
      <c r="B358" s="27"/>
      <c r="C358" s="28"/>
      <c r="D358" s="28"/>
      <c r="E358" s="29"/>
      <c r="F358" s="29"/>
      <c r="G358" s="29"/>
      <c r="H358" s="29"/>
    </row>
    <row r="359" spans="1:8">
      <c r="A359" s="27"/>
      <c r="B359" s="27"/>
      <c r="C359" s="28"/>
      <c r="D359" s="28"/>
      <c r="E359" s="29"/>
      <c r="F359" s="29"/>
      <c r="G359" s="29"/>
      <c r="H359" s="29"/>
    </row>
    <row r="360" spans="1:8">
      <c r="A360" s="27"/>
      <c r="B360" s="27"/>
      <c r="C360" s="28"/>
      <c r="D360" s="28"/>
      <c r="E360" s="29"/>
      <c r="F360" s="29"/>
      <c r="G360" s="29"/>
      <c r="H360" s="29"/>
    </row>
    <row r="361" spans="1:8">
      <c r="A361" s="27"/>
      <c r="B361" s="27"/>
      <c r="C361" s="28"/>
      <c r="D361" s="28"/>
      <c r="E361" s="29"/>
      <c r="F361" s="29"/>
      <c r="G361" s="29"/>
      <c r="H361" s="29"/>
    </row>
    <row r="362" spans="1:8">
      <c r="A362" s="27"/>
      <c r="B362" s="27"/>
      <c r="C362" s="28"/>
      <c r="D362" s="28"/>
      <c r="E362" s="29"/>
      <c r="F362" s="29"/>
      <c r="G362" s="29"/>
      <c r="H362" s="29"/>
    </row>
    <row r="363" spans="1:8">
      <c r="A363" s="27"/>
      <c r="B363" s="27"/>
      <c r="C363" s="28"/>
      <c r="D363" s="28"/>
      <c r="E363" s="29"/>
      <c r="F363" s="29"/>
      <c r="G363" s="29"/>
      <c r="H363" s="29"/>
    </row>
    <row r="364" spans="1:8">
      <c r="A364" s="27"/>
      <c r="B364" s="27"/>
      <c r="C364" s="28"/>
      <c r="D364" s="28"/>
      <c r="E364" s="29"/>
      <c r="F364" s="29"/>
      <c r="G364" s="29"/>
      <c r="H364" s="29"/>
    </row>
    <row r="365" spans="1:8">
      <c r="A365" s="27"/>
      <c r="B365" s="27"/>
      <c r="C365" s="28"/>
      <c r="D365" s="28"/>
      <c r="E365" s="29"/>
      <c r="F365" s="29"/>
      <c r="G365" s="29"/>
      <c r="H365" s="29"/>
    </row>
    <row r="366" spans="1:8">
      <c r="A366" s="27"/>
      <c r="B366" s="27"/>
      <c r="C366" s="28"/>
      <c r="D366" s="28"/>
      <c r="E366" s="29"/>
      <c r="F366" s="29"/>
      <c r="G366" s="29"/>
      <c r="H366" s="29"/>
    </row>
    <row r="367" spans="1:8">
      <c r="A367" s="27"/>
      <c r="B367" s="27"/>
      <c r="C367" s="28"/>
      <c r="D367" s="28"/>
      <c r="E367" s="29"/>
      <c r="F367" s="29"/>
      <c r="G367" s="29"/>
      <c r="H367" s="29"/>
    </row>
    <row r="368" spans="1:8">
      <c r="A368" s="27"/>
      <c r="B368" s="27"/>
      <c r="C368" s="28"/>
      <c r="D368" s="28"/>
      <c r="E368" s="29"/>
      <c r="F368" s="29"/>
      <c r="G368" s="29"/>
      <c r="H368" s="29"/>
    </row>
    <row r="369" spans="1:8">
      <c r="A369" s="27"/>
      <c r="B369" s="27"/>
      <c r="C369" s="28"/>
      <c r="D369" s="28"/>
      <c r="E369" s="29"/>
      <c r="F369" s="29"/>
      <c r="G369" s="29"/>
      <c r="H369" s="29"/>
    </row>
    <row r="370" spans="1:8">
      <c r="A370" s="27"/>
      <c r="B370" s="27"/>
      <c r="C370" s="28"/>
      <c r="D370" s="28"/>
      <c r="E370" s="29"/>
      <c r="F370" s="29"/>
      <c r="G370" s="29"/>
      <c r="H370" s="29"/>
    </row>
    <row r="371" spans="1:8">
      <c r="A371" s="27"/>
      <c r="B371" s="27"/>
      <c r="C371" s="28"/>
      <c r="D371" s="28"/>
      <c r="E371" s="29"/>
      <c r="F371" s="29"/>
      <c r="G371" s="29"/>
      <c r="H371" s="29"/>
    </row>
    <row r="372" spans="1:8">
      <c r="A372" s="27"/>
      <c r="B372" s="27"/>
      <c r="C372" s="28"/>
      <c r="D372" s="28"/>
      <c r="E372" s="29"/>
      <c r="F372" s="29"/>
      <c r="G372" s="29"/>
      <c r="H372" s="29"/>
    </row>
    <row r="373" spans="1:8">
      <c r="A373" s="27"/>
      <c r="B373" s="27"/>
      <c r="C373" s="28"/>
      <c r="D373" s="28"/>
      <c r="E373" s="29"/>
      <c r="F373" s="29"/>
      <c r="G373" s="29"/>
      <c r="H373" s="29"/>
    </row>
    <row r="374" spans="1:8">
      <c r="A374" s="27"/>
      <c r="B374" s="27"/>
      <c r="C374" s="28"/>
      <c r="D374" s="28"/>
      <c r="E374" s="29"/>
      <c r="F374" s="29"/>
      <c r="G374" s="29"/>
      <c r="H374" s="29"/>
    </row>
    <row r="375" spans="1:8">
      <c r="A375" s="27"/>
      <c r="B375" s="27"/>
      <c r="C375" s="28"/>
      <c r="D375" s="28"/>
      <c r="E375" s="29"/>
      <c r="F375" s="29"/>
      <c r="G375" s="29"/>
      <c r="H375" s="29"/>
    </row>
    <row r="376" spans="1:8">
      <c r="A376" s="27"/>
      <c r="B376" s="27"/>
      <c r="C376" s="28"/>
      <c r="D376" s="28"/>
      <c r="E376" s="29"/>
      <c r="F376" s="29"/>
      <c r="G376" s="29"/>
      <c r="H376" s="29"/>
    </row>
    <row r="377" spans="1:8">
      <c r="A377" s="27"/>
      <c r="B377" s="27"/>
      <c r="C377" s="28"/>
      <c r="D377" s="28"/>
      <c r="E377" s="29"/>
      <c r="F377" s="29"/>
      <c r="G377" s="29"/>
      <c r="H377" s="29"/>
    </row>
    <row r="378" spans="1:8">
      <c r="A378" s="27"/>
      <c r="B378" s="27"/>
      <c r="C378" s="28"/>
      <c r="D378" s="28"/>
      <c r="E378" s="29"/>
      <c r="F378" s="29"/>
      <c r="G378" s="29"/>
      <c r="H378" s="29"/>
    </row>
    <row r="379" spans="1:8">
      <c r="A379" s="27"/>
      <c r="B379" s="27"/>
      <c r="C379" s="28"/>
      <c r="D379" s="28"/>
      <c r="E379" s="29"/>
      <c r="F379" s="29"/>
      <c r="G379" s="29"/>
      <c r="H379" s="29"/>
    </row>
    <row r="380" spans="1:8">
      <c r="A380" s="27"/>
      <c r="B380" s="27"/>
      <c r="C380" s="28"/>
      <c r="D380" s="28"/>
      <c r="E380" s="29"/>
      <c r="F380" s="29"/>
      <c r="G380" s="29"/>
      <c r="H380" s="29"/>
    </row>
    <row r="381" spans="1:8">
      <c r="A381" s="27"/>
      <c r="B381" s="27"/>
      <c r="C381" s="28"/>
      <c r="D381" s="28"/>
      <c r="E381" s="29"/>
      <c r="F381" s="29"/>
      <c r="G381" s="29"/>
      <c r="H381" s="29"/>
    </row>
    <row r="382" spans="1:8">
      <c r="A382" s="27"/>
      <c r="B382" s="27"/>
      <c r="C382" s="28"/>
      <c r="D382" s="28"/>
      <c r="E382" s="29"/>
      <c r="F382" s="29"/>
      <c r="G382" s="29"/>
      <c r="H382" s="29"/>
    </row>
    <row r="383" spans="1:8">
      <c r="A383" s="27"/>
      <c r="B383" s="27"/>
      <c r="C383" s="28"/>
      <c r="D383" s="28"/>
      <c r="E383" s="29"/>
      <c r="F383" s="29"/>
      <c r="G383" s="29"/>
      <c r="H383" s="29"/>
    </row>
    <row r="384" spans="1:8">
      <c r="A384" s="27"/>
      <c r="B384" s="27"/>
      <c r="C384" s="28"/>
      <c r="D384" s="28"/>
      <c r="E384" s="29"/>
      <c r="F384" s="29"/>
      <c r="G384" s="29"/>
      <c r="H384" s="29"/>
    </row>
    <row r="385" spans="1:8">
      <c r="A385" s="27"/>
      <c r="B385" s="27"/>
      <c r="C385" s="28"/>
      <c r="D385" s="28"/>
      <c r="E385" s="29"/>
      <c r="F385" s="29"/>
      <c r="G385" s="29"/>
      <c r="H385" s="29"/>
    </row>
    <row r="386" spans="1:8">
      <c r="A386" s="27"/>
      <c r="B386" s="27"/>
      <c r="C386" s="28"/>
      <c r="D386" s="28"/>
      <c r="E386" s="29"/>
      <c r="F386" s="29"/>
      <c r="G386" s="29"/>
      <c r="H386" s="29"/>
    </row>
    <row r="387" spans="1:8">
      <c r="A387" s="27"/>
      <c r="B387" s="27"/>
      <c r="C387" s="28"/>
      <c r="D387" s="28"/>
      <c r="E387" s="29"/>
      <c r="F387" s="29"/>
      <c r="G387" s="29"/>
      <c r="H387" s="29"/>
    </row>
    <row r="388" spans="1:8">
      <c r="A388" s="27"/>
      <c r="B388" s="27"/>
      <c r="C388" s="28"/>
      <c r="D388" s="28"/>
      <c r="E388" s="29"/>
      <c r="F388" s="29"/>
      <c r="G388" s="29"/>
      <c r="H388" s="29"/>
    </row>
    <row r="389" spans="1:8">
      <c r="A389" s="27"/>
      <c r="B389" s="27"/>
      <c r="C389" s="28"/>
      <c r="D389" s="28"/>
      <c r="E389" s="29"/>
      <c r="F389" s="29"/>
      <c r="G389" s="29"/>
      <c r="H389" s="29"/>
    </row>
    <row r="390" spans="1:8">
      <c r="A390" s="27"/>
      <c r="B390" s="27"/>
      <c r="C390" s="28"/>
      <c r="D390" s="28"/>
      <c r="E390" s="29"/>
      <c r="F390" s="29"/>
      <c r="G390" s="29"/>
      <c r="H390" s="29"/>
    </row>
    <row r="391" spans="1:8">
      <c r="A391" s="27"/>
      <c r="B391" s="27"/>
      <c r="C391" s="28"/>
      <c r="D391" s="28"/>
      <c r="E391" s="29"/>
      <c r="F391" s="29"/>
      <c r="G391" s="29"/>
      <c r="H391" s="29"/>
    </row>
    <row r="392" spans="1:8">
      <c r="A392" s="27"/>
      <c r="B392" s="27"/>
      <c r="C392" s="28"/>
      <c r="D392" s="28"/>
      <c r="E392" s="29"/>
      <c r="F392" s="29"/>
      <c r="G392" s="29"/>
      <c r="H392" s="29"/>
    </row>
    <row r="393" spans="1:8">
      <c r="A393" s="27"/>
      <c r="B393" s="27"/>
      <c r="C393" s="28"/>
      <c r="D393" s="28"/>
      <c r="E393" s="29"/>
      <c r="F393" s="29"/>
      <c r="G393" s="29"/>
      <c r="H393" s="29"/>
    </row>
    <row r="394" spans="1:8">
      <c r="A394" s="27"/>
      <c r="B394" s="27"/>
      <c r="C394" s="28"/>
      <c r="D394" s="28"/>
      <c r="E394" s="29"/>
      <c r="F394" s="29"/>
      <c r="G394" s="29"/>
      <c r="H394" s="29"/>
    </row>
    <row r="395" spans="1:8">
      <c r="A395" s="27"/>
      <c r="B395" s="27"/>
      <c r="C395" s="28"/>
      <c r="D395" s="28"/>
      <c r="E395" s="29"/>
      <c r="F395" s="29"/>
      <c r="G395" s="29"/>
      <c r="H395" s="29"/>
    </row>
    <row r="396" spans="1:8">
      <c r="A396" s="27"/>
      <c r="B396" s="27"/>
      <c r="C396" s="28"/>
      <c r="D396" s="28"/>
      <c r="E396" s="29"/>
      <c r="F396" s="29"/>
      <c r="G396" s="29"/>
      <c r="H396" s="29"/>
    </row>
    <row r="397" spans="1:8">
      <c r="A397" s="27"/>
      <c r="B397" s="27"/>
      <c r="C397" s="28"/>
      <c r="D397" s="28"/>
      <c r="E397" s="29"/>
      <c r="F397" s="29"/>
      <c r="G397" s="29"/>
      <c r="H397" s="29"/>
    </row>
    <row r="398" spans="1:8">
      <c r="A398" s="27"/>
      <c r="B398" s="27"/>
      <c r="C398" s="28"/>
      <c r="D398" s="28"/>
      <c r="E398" s="29"/>
      <c r="F398" s="29"/>
      <c r="G398" s="29"/>
      <c r="H398" s="29"/>
    </row>
    <row r="399" spans="1:8">
      <c r="A399" s="27"/>
      <c r="B399" s="27"/>
      <c r="C399" s="28"/>
      <c r="D399" s="28"/>
      <c r="E399" s="29"/>
      <c r="F399" s="29"/>
      <c r="G399" s="29"/>
      <c r="H399" s="29"/>
    </row>
    <row r="400" spans="1:8">
      <c r="A400" s="27"/>
      <c r="B400" s="27"/>
      <c r="C400" s="28"/>
      <c r="D400" s="28"/>
      <c r="E400" s="29"/>
      <c r="F400" s="29"/>
      <c r="G400" s="29"/>
      <c r="H400" s="29"/>
    </row>
    <row r="401" spans="1:8">
      <c r="A401" s="27"/>
      <c r="B401" s="27"/>
      <c r="C401" s="28"/>
      <c r="D401" s="28"/>
      <c r="E401" s="29"/>
      <c r="F401" s="29"/>
      <c r="G401" s="29"/>
      <c r="H401" s="29"/>
    </row>
    <row r="402" spans="1:8">
      <c r="A402" s="27"/>
      <c r="B402" s="27"/>
      <c r="C402" s="28"/>
      <c r="D402" s="28"/>
      <c r="E402" s="29"/>
      <c r="F402" s="29"/>
      <c r="G402" s="29"/>
      <c r="H402" s="29"/>
    </row>
    <row r="403" spans="1:8">
      <c r="A403" s="27"/>
      <c r="B403" s="27"/>
      <c r="C403" s="28"/>
      <c r="D403" s="28"/>
      <c r="E403" s="29"/>
      <c r="F403" s="29"/>
      <c r="G403" s="29"/>
      <c r="H403" s="29"/>
    </row>
    <row r="404" spans="1:8">
      <c r="A404" s="27"/>
      <c r="B404" s="27"/>
      <c r="C404" s="28"/>
      <c r="D404" s="28"/>
      <c r="E404" s="29"/>
      <c r="F404" s="29"/>
      <c r="G404" s="29"/>
      <c r="H404" s="29"/>
    </row>
    <row r="405" spans="1:8">
      <c r="A405" s="27"/>
      <c r="B405" s="27"/>
      <c r="C405" s="28"/>
      <c r="D405" s="28"/>
      <c r="E405" s="29"/>
      <c r="F405" s="29"/>
      <c r="G405" s="29"/>
      <c r="H405" s="29"/>
    </row>
    <row r="406" spans="1:8">
      <c r="A406" s="27"/>
      <c r="B406" s="27"/>
      <c r="C406" s="28"/>
      <c r="D406" s="28"/>
      <c r="E406" s="29"/>
      <c r="F406" s="29"/>
      <c r="G406" s="29"/>
      <c r="H406" s="29"/>
    </row>
    <row r="407" spans="1:8">
      <c r="A407" s="27"/>
      <c r="B407" s="27"/>
      <c r="C407" s="28"/>
      <c r="D407" s="28"/>
      <c r="E407" s="29"/>
      <c r="F407" s="29"/>
      <c r="G407" s="29"/>
      <c r="H407" s="29"/>
    </row>
    <row r="408" spans="1:8">
      <c r="A408" s="27"/>
      <c r="B408" s="27"/>
      <c r="C408" s="28"/>
      <c r="D408" s="28"/>
      <c r="E408" s="29"/>
      <c r="F408" s="29"/>
      <c r="G408" s="29"/>
      <c r="H408" s="29"/>
    </row>
    <row r="409" spans="1:8">
      <c r="A409" s="27"/>
      <c r="B409" s="27"/>
      <c r="C409" s="28"/>
      <c r="D409" s="28"/>
      <c r="E409" s="29"/>
      <c r="F409" s="29"/>
      <c r="G409" s="29"/>
      <c r="H409" s="29"/>
    </row>
    <row r="410" spans="1:8">
      <c r="A410" s="27"/>
      <c r="B410" s="27"/>
      <c r="C410" s="28"/>
      <c r="D410" s="28"/>
      <c r="E410" s="29"/>
      <c r="F410" s="29"/>
      <c r="G410" s="29"/>
      <c r="H410" s="29"/>
    </row>
    <row r="411" spans="1:8">
      <c r="A411" s="27"/>
      <c r="B411" s="27"/>
      <c r="C411" s="28"/>
      <c r="D411" s="28"/>
      <c r="E411" s="29"/>
      <c r="F411" s="29"/>
      <c r="G411" s="29"/>
      <c r="H411" s="29"/>
    </row>
    <row r="412" spans="1:8">
      <c r="A412" s="27"/>
      <c r="B412" s="27"/>
      <c r="C412" s="28"/>
      <c r="D412" s="28"/>
      <c r="E412" s="29"/>
      <c r="F412" s="29"/>
      <c r="G412" s="29"/>
      <c r="H412" s="29"/>
    </row>
    <row r="413" spans="1:8">
      <c r="A413" s="27"/>
      <c r="B413" s="27"/>
      <c r="C413" s="28"/>
      <c r="D413" s="28"/>
      <c r="E413" s="29"/>
      <c r="F413" s="29"/>
      <c r="G413" s="29"/>
      <c r="H413" s="29"/>
    </row>
    <row r="414" spans="1:8">
      <c r="A414" s="27"/>
      <c r="B414" s="27"/>
      <c r="C414" s="28"/>
      <c r="D414" s="28"/>
      <c r="E414" s="29"/>
      <c r="F414" s="29"/>
      <c r="G414" s="29"/>
      <c r="H414" s="29"/>
    </row>
    <row r="415" spans="1:8">
      <c r="A415" s="27"/>
      <c r="B415" s="27"/>
      <c r="C415" s="28"/>
      <c r="D415" s="28"/>
      <c r="E415" s="29"/>
      <c r="F415" s="29"/>
      <c r="G415" s="29"/>
      <c r="H415" s="29"/>
    </row>
    <row r="416" spans="1:8">
      <c r="A416" s="27"/>
      <c r="B416" s="27"/>
      <c r="C416" s="28"/>
      <c r="D416" s="28"/>
      <c r="E416" s="29"/>
      <c r="F416" s="29"/>
      <c r="G416" s="29"/>
      <c r="H416" s="29"/>
    </row>
    <row r="417" spans="1:8">
      <c r="A417" s="27"/>
      <c r="B417" s="27"/>
      <c r="C417" s="28"/>
      <c r="D417" s="28"/>
      <c r="E417" s="29"/>
      <c r="F417" s="29"/>
      <c r="G417" s="29"/>
      <c r="H417" s="29"/>
    </row>
    <row r="418" spans="1:8">
      <c r="A418" s="27"/>
      <c r="B418" s="27"/>
      <c r="C418" s="28"/>
      <c r="D418" s="28"/>
      <c r="E418" s="29"/>
      <c r="F418" s="29"/>
      <c r="G418" s="29"/>
      <c r="H418" s="29"/>
    </row>
    <row r="419" spans="1:8">
      <c r="A419" s="27"/>
      <c r="B419" s="27"/>
      <c r="C419" s="28"/>
      <c r="D419" s="28"/>
      <c r="E419" s="29"/>
      <c r="F419" s="29"/>
      <c r="G419" s="29"/>
      <c r="H419" s="29"/>
    </row>
    <row r="420" spans="1:8">
      <c r="A420" s="27"/>
      <c r="B420" s="27"/>
      <c r="C420" s="28"/>
      <c r="D420" s="28"/>
      <c r="E420" s="29"/>
      <c r="F420" s="29"/>
      <c r="G420" s="29"/>
      <c r="H420" s="29"/>
    </row>
    <row r="421" spans="1:8">
      <c r="A421" s="27"/>
      <c r="B421" s="27"/>
      <c r="C421" s="28"/>
      <c r="D421" s="28"/>
      <c r="E421" s="29"/>
      <c r="F421" s="29"/>
      <c r="G421" s="29"/>
      <c r="H421" s="29"/>
    </row>
    <row r="422" spans="1:8">
      <c r="A422" s="27"/>
      <c r="B422" s="27"/>
      <c r="C422" s="28"/>
      <c r="D422" s="28"/>
      <c r="E422" s="29"/>
      <c r="F422" s="29"/>
      <c r="G422" s="29"/>
      <c r="H422" s="29"/>
    </row>
    <row r="423" spans="1:8">
      <c r="A423" s="27"/>
      <c r="B423" s="27"/>
      <c r="C423" s="28"/>
      <c r="D423" s="28"/>
      <c r="E423" s="29"/>
      <c r="F423" s="29"/>
      <c r="G423" s="29"/>
      <c r="H423" s="29"/>
    </row>
    <row r="424" spans="1:8">
      <c r="A424" s="27"/>
      <c r="B424" s="27"/>
      <c r="C424" s="28"/>
      <c r="D424" s="28"/>
      <c r="E424" s="29"/>
      <c r="F424" s="29"/>
      <c r="G424" s="29"/>
      <c r="H424" s="29"/>
    </row>
    <row r="425" spans="1:8">
      <c r="A425" s="27"/>
      <c r="B425" s="27"/>
      <c r="C425" s="28"/>
      <c r="D425" s="28"/>
      <c r="E425" s="29"/>
      <c r="F425" s="29"/>
      <c r="G425" s="29"/>
      <c r="H425" s="29"/>
    </row>
    <row r="426" spans="1:8">
      <c r="A426" s="27"/>
      <c r="B426" s="27"/>
      <c r="C426" s="28"/>
      <c r="D426" s="28"/>
      <c r="E426" s="29"/>
      <c r="F426" s="29"/>
      <c r="G426" s="29"/>
      <c r="H426" s="29"/>
    </row>
    <row r="427" spans="1:8">
      <c r="A427" s="27"/>
      <c r="B427" s="27"/>
      <c r="C427" s="28"/>
      <c r="D427" s="28"/>
      <c r="E427" s="29"/>
      <c r="F427" s="29"/>
      <c r="G427" s="29"/>
      <c r="H427" s="29"/>
    </row>
    <row r="428" spans="1:8">
      <c r="A428" s="27"/>
      <c r="B428" s="27"/>
      <c r="C428" s="28"/>
      <c r="D428" s="28"/>
      <c r="E428" s="29"/>
      <c r="F428" s="29"/>
      <c r="G428" s="29"/>
      <c r="H428" s="29"/>
    </row>
    <row r="429" spans="1:8">
      <c r="A429" s="27"/>
      <c r="B429" s="27"/>
      <c r="C429" s="28"/>
      <c r="D429" s="28"/>
      <c r="E429" s="29"/>
      <c r="F429" s="29"/>
      <c r="G429" s="29"/>
      <c r="H429" s="29"/>
    </row>
    <row r="430" spans="1:8">
      <c r="A430" s="27"/>
      <c r="B430" s="27"/>
      <c r="C430" s="28"/>
      <c r="D430" s="28"/>
      <c r="E430" s="29"/>
      <c r="F430" s="29"/>
      <c r="G430" s="29"/>
      <c r="H430" s="29"/>
    </row>
    <row r="431" spans="1:8">
      <c r="A431" s="27"/>
      <c r="B431" s="27"/>
      <c r="C431" s="28"/>
      <c r="D431" s="28"/>
      <c r="E431" s="29"/>
      <c r="F431" s="29"/>
      <c r="G431" s="29"/>
      <c r="H431" s="29"/>
    </row>
    <row r="432" spans="1:8">
      <c r="A432" s="27"/>
      <c r="B432" s="27"/>
      <c r="C432" s="28"/>
      <c r="D432" s="28"/>
      <c r="E432" s="29"/>
      <c r="F432" s="29"/>
      <c r="G432" s="29"/>
      <c r="H432" s="29"/>
    </row>
    <row r="433" spans="1:8">
      <c r="A433" s="27"/>
      <c r="B433" s="27"/>
      <c r="C433" s="28"/>
      <c r="D433" s="28"/>
      <c r="E433" s="29"/>
      <c r="F433" s="29"/>
      <c r="G433" s="29"/>
      <c r="H433" s="29"/>
    </row>
    <row r="434" spans="1:8">
      <c r="A434" s="27"/>
      <c r="B434" s="27"/>
      <c r="C434" s="28"/>
      <c r="D434" s="28"/>
      <c r="E434" s="29"/>
      <c r="F434" s="29"/>
      <c r="G434" s="29"/>
      <c r="H434" s="29"/>
    </row>
    <row r="435" spans="1:8">
      <c r="A435" s="27"/>
      <c r="B435" s="27"/>
      <c r="C435" s="28"/>
      <c r="D435" s="28"/>
      <c r="E435" s="29"/>
      <c r="F435" s="29"/>
      <c r="G435" s="29"/>
      <c r="H435" s="29"/>
    </row>
    <row r="436" spans="1:8">
      <c r="A436" s="27"/>
      <c r="B436" s="27"/>
      <c r="C436" s="28"/>
      <c r="D436" s="28"/>
      <c r="E436" s="29"/>
      <c r="F436" s="29"/>
      <c r="G436" s="29"/>
      <c r="H436" s="29"/>
    </row>
    <row r="437" spans="1:8">
      <c r="A437" s="27"/>
      <c r="B437" s="27"/>
      <c r="C437" s="28"/>
      <c r="D437" s="28"/>
      <c r="E437" s="29"/>
      <c r="F437" s="29"/>
      <c r="G437" s="29"/>
      <c r="H437" s="29"/>
    </row>
    <row r="438" spans="1:8">
      <c r="A438" s="27"/>
      <c r="B438" s="27"/>
      <c r="C438" s="28"/>
      <c r="D438" s="28"/>
      <c r="E438" s="29"/>
      <c r="F438" s="29"/>
      <c r="G438" s="29"/>
      <c r="H438" s="29"/>
    </row>
    <row r="439" spans="1:8">
      <c r="A439" s="27"/>
      <c r="B439" s="27"/>
      <c r="C439" s="28"/>
      <c r="D439" s="28"/>
      <c r="E439" s="29"/>
      <c r="F439" s="29"/>
      <c r="G439" s="29"/>
      <c r="H439" s="29"/>
    </row>
    <row r="440" spans="1:8">
      <c r="A440" s="27"/>
      <c r="B440" s="27"/>
      <c r="C440" s="28"/>
      <c r="D440" s="28"/>
      <c r="E440" s="29"/>
      <c r="F440" s="29"/>
      <c r="G440" s="29"/>
      <c r="H440" s="29"/>
    </row>
    <row r="441" spans="1:8">
      <c r="A441" s="27"/>
      <c r="B441" s="27"/>
      <c r="C441" s="28"/>
      <c r="D441" s="28"/>
      <c r="E441" s="29"/>
      <c r="F441" s="29"/>
      <c r="G441" s="29"/>
      <c r="H441" s="29"/>
    </row>
    <row r="442" spans="1:8">
      <c r="A442" s="27"/>
      <c r="B442" s="27"/>
      <c r="C442" s="28"/>
      <c r="D442" s="28"/>
      <c r="E442" s="29"/>
      <c r="F442" s="29"/>
      <c r="G442" s="29"/>
      <c r="H442" s="29"/>
    </row>
    <row r="443" spans="1:8">
      <c r="A443" s="27"/>
      <c r="B443" s="27"/>
      <c r="C443" s="28"/>
      <c r="D443" s="28"/>
      <c r="E443" s="29"/>
      <c r="F443" s="29"/>
      <c r="G443" s="29"/>
      <c r="H443" s="29"/>
    </row>
    <row r="444" spans="1:8">
      <c r="A444" s="27"/>
      <c r="B444" s="27"/>
      <c r="C444" s="28"/>
      <c r="D444" s="28"/>
      <c r="E444" s="29"/>
      <c r="F444" s="29"/>
      <c r="G444" s="29"/>
      <c r="H444" s="29"/>
    </row>
    <row r="445" spans="1:8">
      <c r="A445" s="27"/>
      <c r="B445" s="27"/>
      <c r="C445" s="28"/>
      <c r="D445" s="28"/>
      <c r="E445" s="29"/>
      <c r="F445" s="29"/>
      <c r="G445" s="29"/>
      <c r="H445" s="29"/>
    </row>
    <row r="446" spans="1:8">
      <c r="A446" s="27"/>
      <c r="B446" s="27"/>
      <c r="C446" s="28"/>
      <c r="D446" s="28"/>
      <c r="E446" s="29"/>
      <c r="F446" s="29"/>
      <c r="G446" s="29"/>
      <c r="H446" s="29"/>
    </row>
    <row r="447" spans="1:8">
      <c r="A447" s="27"/>
      <c r="B447" s="27"/>
      <c r="C447" s="28"/>
      <c r="D447" s="28"/>
      <c r="E447" s="29"/>
      <c r="F447" s="29"/>
      <c r="G447" s="29"/>
      <c r="H447" s="29"/>
    </row>
    <row r="448" spans="1:8">
      <c r="A448" s="27"/>
      <c r="B448" s="27"/>
      <c r="C448" s="28"/>
      <c r="D448" s="28"/>
      <c r="E448" s="29"/>
      <c r="F448" s="29"/>
      <c r="G448" s="29"/>
      <c r="H448" s="29"/>
    </row>
    <row r="449" spans="1:8">
      <c r="A449" s="27"/>
      <c r="B449" s="27"/>
      <c r="C449" s="28"/>
      <c r="D449" s="28"/>
      <c r="E449" s="29"/>
      <c r="F449" s="29"/>
      <c r="G449" s="29"/>
      <c r="H449" s="29"/>
    </row>
    <row r="450" spans="1:8">
      <c r="A450" s="27"/>
      <c r="B450" s="27"/>
      <c r="C450" s="28"/>
      <c r="D450" s="28"/>
      <c r="E450" s="29"/>
      <c r="F450" s="29"/>
      <c r="G450" s="29"/>
      <c r="H450" s="29"/>
    </row>
    <row r="451" spans="1:8">
      <c r="A451" s="27"/>
      <c r="B451" s="27"/>
      <c r="C451" s="28"/>
      <c r="D451" s="28"/>
      <c r="E451" s="29"/>
      <c r="F451" s="29"/>
      <c r="G451" s="29"/>
      <c r="H451" s="29"/>
    </row>
    <row r="452" spans="1:8">
      <c r="A452" s="27"/>
      <c r="B452" s="27"/>
      <c r="C452" s="28"/>
      <c r="D452" s="28"/>
      <c r="E452" s="29"/>
      <c r="F452" s="29"/>
      <c r="G452" s="29"/>
      <c r="H452" s="29"/>
    </row>
    <row r="453" spans="1:8">
      <c r="A453" s="27"/>
      <c r="B453" s="27"/>
      <c r="C453" s="28"/>
      <c r="D453" s="28"/>
      <c r="E453" s="29"/>
      <c r="F453" s="29"/>
      <c r="G453" s="29"/>
      <c r="H453" s="29"/>
    </row>
    <row r="454" spans="1:8">
      <c r="A454" s="27"/>
      <c r="B454" s="27"/>
      <c r="C454" s="28"/>
      <c r="D454" s="28"/>
      <c r="E454" s="29"/>
      <c r="F454" s="29"/>
      <c r="G454" s="29"/>
      <c r="H454" s="29"/>
    </row>
    <row r="455" spans="1:8">
      <c r="A455" s="27"/>
      <c r="B455" s="27"/>
      <c r="C455" s="28"/>
      <c r="D455" s="28"/>
      <c r="E455" s="29"/>
      <c r="F455" s="29"/>
      <c r="G455" s="29"/>
      <c r="H455" s="29"/>
    </row>
    <row r="456" spans="1:8">
      <c r="A456" s="27"/>
      <c r="B456" s="27"/>
      <c r="C456" s="28"/>
      <c r="D456" s="28"/>
      <c r="E456" s="29"/>
      <c r="F456" s="29"/>
      <c r="G456" s="29"/>
      <c r="H456" s="29"/>
    </row>
    <row r="457" spans="1:8">
      <c r="A457" s="27"/>
      <c r="B457" s="27"/>
      <c r="C457" s="28"/>
      <c r="D457" s="28"/>
      <c r="E457" s="29"/>
      <c r="F457" s="29"/>
      <c r="G457" s="29"/>
      <c r="H457" s="29"/>
    </row>
    <row r="458" spans="1:8">
      <c r="A458" s="27"/>
      <c r="B458" s="27"/>
      <c r="C458" s="28"/>
      <c r="D458" s="28"/>
      <c r="E458" s="29"/>
      <c r="F458" s="29"/>
      <c r="G458" s="29"/>
      <c r="H458" s="29"/>
    </row>
    <row r="459" spans="1:8">
      <c r="A459" s="27"/>
      <c r="B459" s="27"/>
      <c r="C459" s="28"/>
      <c r="D459" s="28"/>
      <c r="E459" s="29"/>
      <c r="F459" s="29"/>
      <c r="G459" s="29"/>
      <c r="H459" s="29"/>
    </row>
    <row r="460" spans="1:8">
      <c r="A460" s="27"/>
      <c r="B460" s="27"/>
      <c r="C460" s="28"/>
      <c r="D460" s="28"/>
      <c r="E460" s="29"/>
      <c r="F460" s="29"/>
      <c r="G460" s="29"/>
      <c r="H460" s="29"/>
    </row>
    <row r="461" spans="1:8">
      <c r="A461" s="27"/>
      <c r="B461" s="27"/>
      <c r="C461" s="28"/>
      <c r="D461" s="28"/>
      <c r="E461" s="29"/>
      <c r="F461" s="29"/>
      <c r="G461" s="29"/>
      <c r="H461" s="29"/>
    </row>
    <row r="462" spans="1:8">
      <c r="A462" s="27"/>
      <c r="B462" s="27"/>
      <c r="C462" s="28"/>
      <c r="D462" s="28"/>
      <c r="E462" s="29"/>
      <c r="F462" s="29"/>
      <c r="G462" s="29"/>
      <c r="H462" s="29"/>
    </row>
    <row r="463" spans="1:8">
      <c r="A463" s="27"/>
      <c r="B463" s="27"/>
      <c r="C463" s="28"/>
      <c r="D463" s="28"/>
      <c r="E463" s="29"/>
      <c r="F463" s="29"/>
      <c r="G463" s="29"/>
      <c r="H463" s="29"/>
    </row>
    <row r="464" spans="1:8">
      <c r="A464" s="27"/>
      <c r="B464" s="27"/>
      <c r="C464" s="28"/>
      <c r="D464" s="28"/>
      <c r="E464" s="29"/>
      <c r="F464" s="29"/>
      <c r="G464" s="29"/>
      <c r="H464" s="29"/>
    </row>
    <row r="465" spans="1:8">
      <c r="A465" s="27"/>
      <c r="B465" s="27"/>
      <c r="C465" s="28"/>
      <c r="D465" s="28"/>
      <c r="E465" s="29"/>
      <c r="F465" s="29"/>
      <c r="G465" s="29"/>
      <c r="H465" s="29"/>
    </row>
    <row r="466" spans="1:8">
      <c r="A466" s="27"/>
      <c r="B466" s="27"/>
      <c r="C466" s="28"/>
      <c r="D466" s="28"/>
      <c r="E466" s="29"/>
      <c r="F466" s="29"/>
      <c r="G466" s="29"/>
      <c r="H466" s="29"/>
    </row>
    <row r="467" spans="1:8">
      <c r="A467" s="27"/>
      <c r="B467" s="27"/>
      <c r="C467" s="28"/>
      <c r="D467" s="28"/>
      <c r="E467" s="29"/>
      <c r="F467" s="29"/>
      <c r="G467" s="29"/>
      <c r="H467" s="29"/>
    </row>
    <row r="468" spans="1:8">
      <c r="A468" s="27"/>
      <c r="B468" s="27"/>
      <c r="C468" s="28"/>
      <c r="D468" s="28"/>
      <c r="E468" s="29"/>
      <c r="F468" s="29"/>
      <c r="G468" s="29"/>
      <c r="H468" s="29"/>
    </row>
    <row r="469" spans="1:8">
      <c r="A469" s="27"/>
      <c r="B469" s="27"/>
      <c r="C469" s="28"/>
      <c r="D469" s="28"/>
      <c r="E469" s="29"/>
      <c r="F469" s="29"/>
      <c r="G469" s="29"/>
      <c r="H469" s="29"/>
    </row>
    <row r="470" spans="1:8">
      <c r="A470" s="27"/>
      <c r="B470" s="27"/>
      <c r="C470" s="28"/>
      <c r="D470" s="28"/>
      <c r="E470" s="29"/>
      <c r="F470" s="29"/>
      <c r="G470" s="29"/>
      <c r="H470" s="29"/>
    </row>
    <row r="471" spans="1:8">
      <c r="A471" s="27"/>
      <c r="B471" s="27"/>
      <c r="C471" s="28"/>
      <c r="D471" s="28"/>
      <c r="E471" s="29"/>
      <c r="F471" s="29"/>
      <c r="G471" s="29"/>
      <c r="H471" s="29"/>
    </row>
    <row r="472" spans="1:8">
      <c r="A472" s="27"/>
      <c r="B472" s="27"/>
      <c r="C472" s="28"/>
      <c r="D472" s="28"/>
      <c r="E472" s="29"/>
      <c r="F472" s="29"/>
      <c r="G472" s="29"/>
      <c r="H472" s="29"/>
    </row>
    <row r="473" spans="1:8">
      <c r="A473" s="27"/>
      <c r="B473" s="27"/>
      <c r="C473" s="28"/>
      <c r="D473" s="28"/>
      <c r="E473" s="29"/>
      <c r="F473" s="29"/>
      <c r="G473" s="29"/>
      <c r="H473" s="29"/>
    </row>
    <row r="474" spans="1:8">
      <c r="A474" s="27"/>
      <c r="B474" s="27"/>
      <c r="C474" s="28"/>
      <c r="D474" s="28"/>
      <c r="E474" s="29"/>
      <c r="F474" s="29"/>
      <c r="G474" s="29"/>
      <c r="H474" s="29"/>
    </row>
    <row r="475" spans="1:8">
      <c r="A475" s="27"/>
      <c r="B475" s="27"/>
      <c r="C475" s="28"/>
      <c r="D475" s="28"/>
      <c r="E475" s="29"/>
      <c r="F475" s="29"/>
      <c r="G475" s="29"/>
      <c r="H475" s="29"/>
    </row>
    <row r="476" spans="1:8">
      <c r="A476" s="27"/>
      <c r="B476" s="27"/>
      <c r="C476" s="28"/>
      <c r="D476" s="28"/>
      <c r="E476" s="29"/>
      <c r="F476" s="29"/>
      <c r="G476" s="29"/>
      <c r="H476" s="29"/>
    </row>
    <row r="477" spans="1:8">
      <c r="A477" s="27"/>
      <c r="B477" s="27"/>
      <c r="C477" s="28"/>
      <c r="D477" s="28"/>
      <c r="E477" s="29"/>
      <c r="F477" s="29"/>
      <c r="G477" s="29"/>
      <c r="H477" s="29"/>
    </row>
    <row r="478" spans="1:8">
      <c r="A478" s="27"/>
      <c r="B478" s="27"/>
      <c r="C478" s="28"/>
      <c r="D478" s="28"/>
      <c r="E478" s="29"/>
      <c r="F478" s="29"/>
      <c r="G478" s="29"/>
      <c r="H478" s="29"/>
    </row>
    <row r="479" spans="1:8">
      <c r="A479" s="27"/>
      <c r="B479" s="27"/>
      <c r="C479" s="28"/>
      <c r="D479" s="28"/>
      <c r="E479" s="29"/>
      <c r="F479" s="29"/>
      <c r="G479" s="29"/>
      <c r="H479" s="29"/>
    </row>
    <row r="480" spans="1:8">
      <c r="A480" s="27"/>
      <c r="B480" s="27"/>
      <c r="C480" s="28"/>
      <c r="D480" s="28"/>
      <c r="E480" s="29"/>
      <c r="F480" s="29"/>
      <c r="G480" s="29"/>
      <c r="H480" s="29"/>
    </row>
    <row r="481" spans="1:8">
      <c r="A481" s="27"/>
      <c r="B481" s="27"/>
      <c r="C481" s="28"/>
      <c r="D481" s="28"/>
      <c r="E481" s="29"/>
      <c r="F481" s="29"/>
      <c r="G481" s="29"/>
      <c r="H481" s="29"/>
    </row>
    <row r="482" spans="1:8">
      <c r="A482" s="27"/>
      <c r="B482" s="27"/>
      <c r="C482" s="28"/>
      <c r="D482" s="28"/>
      <c r="E482" s="29"/>
      <c r="F482" s="29"/>
      <c r="G482" s="29"/>
      <c r="H482" s="29"/>
    </row>
    <row r="483" spans="1:8">
      <c r="A483" s="27"/>
      <c r="B483" s="27"/>
      <c r="C483" s="28"/>
      <c r="D483" s="28"/>
      <c r="E483" s="29"/>
      <c r="F483" s="29"/>
      <c r="G483" s="29"/>
      <c r="H483" s="29"/>
    </row>
    <row r="484" spans="1:8">
      <c r="A484" s="27"/>
      <c r="B484" s="27"/>
      <c r="C484" s="28"/>
      <c r="D484" s="28"/>
      <c r="E484" s="29"/>
      <c r="F484" s="29"/>
      <c r="G484" s="29"/>
      <c r="H484" s="29"/>
    </row>
    <row r="485" spans="1:8">
      <c r="A485" s="27"/>
      <c r="B485" s="27"/>
      <c r="C485" s="28"/>
      <c r="D485" s="28"/>
      <c r="E485" s="29"/>
      <c r="F485" s="29"/>
      <c r="G485" s="29"/>
      <c r="H485" s="29"/>
    </row>
    <row r="486" spans="1:8">
      <c r="A486" s="27"/>
      <c r="B486" s="27"/>
      <c r="C486" s="28"/>
      <c r="D486" s="28"/>
      <c r="E486" s="29"/>
      <c r="F486" s="29"/>
      <c r="G486" s="29"/>
      <c r="H486" s="29"/>
    </row>
    <row r="487" spans="1:8">
      <c r="A487" s="27"/>
      <c r="B487" s="27"/>
      <c r="C487" s="28"/>
      <c r="D487" s="28"/>
      <c r="E487" s="29"/>
      <c r="F487" s="29"/>
      <c r="G487" s="29"/>
      <c r="H487" s="29"/>
    </row>
    <row r="488" spans="1:8">
      <c r="A488" s="27"/>
      <c r="B488" s="27"/>
      <c r="C488" s="28"/>
      <c r="D488" s="28"/>
      <c r="E488" s="29"/>
      <c r="F488" s="29"/>
      <c r="G488" s="29"/>
      <c r="H488" s="29"/>
    </row>
    <row r="489" spans="1:8">
      <c r="A489" s="27"/>
      <c r="B489" s="27"/>
      <c r="C489" s="28"/>
      <c r="D489" s="28"/>
      <c r="E489" s="29"/>
      <c r="F489" s="29"/>
      <c r="G489" s="29"/>
      <c r="H489" s="29"/>
    </row>
    <row r="490" spans="1:8">
      <c r="A490" s="27"/>
      <c r="B490" s="27"/>
      <c r="C490" s="28"/>
      <c r="D490" s="28"/>
      <c r="E490" s="29"/>
      <c r="F490" s="29"/>
      <c r="G490" s="29"/>
      <c r="H490" s="29"/>
    </row>
    <row r="491" spans="1:8">
      <c r="A491" s="27"/>
      <c r="B491" s="27"/>
      <c r="C491" s="28"/>
      <c r="D491" s="28"/>
      <c r="E491" s="29"/>
      <c r="F491" s="29"/>
      <c r="G491" s="29"/>
      <c r="H491" s="29"/>
    </row>
    <row r="492" spans="1:8">
      <c r="A492" s="27"/>
      <c r="B492" s="27"/>
      <c r="C492" s="28"/>
      <c r="D492" s="28"/>
      <c r="E492" s="29"/>
      <c r="F492" s="29"/>
      <c r="G492" s="29"/>
      <c r="H492" s="29"/>
    </row>
    <row r="493" spans="1:8">
      <c r="A493" s="27"/>
      <c r="B493" s="27"/>
      <c r="C493" s="28"/>
      <c r="D493" s="28"/>
      <c r="E493" s="29"/>
      <c r="F493" s="29"/>
      <c r="G493" s="29"/>
      <c r="H493" s="29"/>
    </row>
    <row r="494" spans="1:8">
      <c r="A494" s="27"/>
      <c r="B494" s="27"/>
      <c r="C494" s="28"/>
      <c r="D494" s="28"/>
      <c r="E494" s="29"/>
      <c r="F494" s="29"/>
      <c r="G494" s="29"/>
      <c r="H494" s="29"/>
    </row>
    <row r="495" spans="1:8">
      <c r="A495" s="27"/>
      <c r="B495" s="27"/>
      <c r="C495" s="28"/>
      <c r="D495" s="28"/>
      <c r="E495" s="29"/>
      <c r="F495" s="29"/>
      <c r="G495" s="29"/>
      <c r="H495" s="29"/>
    </row>
    <row r="496" spans="1:8">
      <c r="A496" s="27"/>
      <c r="B496" s="27"/>
      <c r="C496" s="28"/>
      <c r="D496" s="28"/>
      <c r="E496" s="29"/>
      <c r="F496" s="29"/>
      <c r="G496" s="29"/>
      <c r="H496" s="29"/>
    </row>
    <row r="497" spans="1:8">
      <c r="A497" s="27"/>
      <c r="B497" s="27"/>
      <c r="C497" s="28"/>
      <c r="D497" s="28"/>
      <c r="E497" s="29"/>
      <c r="F497" s="29"/>
      <c r="G497" s="29"/>
      <c r="H497" s="29"/>
    </row>
    <row r="498" spans="1:8">
      <c r="A498" s="27"/>
      <c r="B498" s="27"/>
      <c r="C498" s="28"/>
      <c r="D498" s="28"/>
      <c r="E498" s="29"/>
      <c r="F498" s="29"/>
      <c r="G498" s="29"/>
      <c r="H498" s="29"/>
    </row>
    <row r="499" spans="1:8">
      <c r="A499" s="27"/>
      <c r="B499" s="27"/>
      <c r="C499" s="28"/>
      <c r="D499" s="28"/>
      <c r="E499" s="29"/>
      <c r="F499" s="29"/>
      <c r="G499" s="29"/>
      <c r="H499" s="29"/>
    </row>
    <row r="500" spans="1:8">
      <c r="A500" s="27"/>
      <c r="B500" s="27"/>
      <c r="C500" s="28"/>
      <c r="D500" s="28"/>
      <c r="E500" s="29"/>
      <c r="F500" s="29"/>
      <c r="G500" s="29"/>
      <c r="H500" s="29"/>
    </row>
    <row r="501" spans="1:8">
      <c r="A501" s="27"/>
      <c r="B501" s="27"/>
      <c r="C501" s="28"/>
      <c r="D501" s="28"/>
      <c r="E501" s="29"/>
      <c r="F501" s="29"/>
      <c r="G501" s="29"/>
      <c r="H501" s="29"/>
    </row>
    <row r="502" spans="1:8">
      <c r="A502" s="27"/>
      <c r="B502" s="27"/>
      <c r="C502" s="28"/>
      <c r="D502" s="28"/>
      <c r="E502" s="29"/>
      <c r="F502" s="29"/>
      <c r="G502" s="29"/>
      <c r="H502" s="29"/>
    </row>
    <row r="503" spans="1:8">
      <c r="A503" s="27"/>
      <c r="B503" s="27"/>
      <c r="C503" s="28"/>
      <c r="D503" s="28"/>
      <c r="E503" s="29"/>
      <c r="F503" s="29"/>
      <c r="G503" s="29"/>
      <c r="H503" s="29"/>
    </row>
    <row r="504" spans="1:8">
      <c r="A504" s="27"/>
      <c r="B504" s="27"/>
      <c r="C504" s="28"/>
      <c r="D504" s="28"/>
      <c r="E504" s="29"/>
      <c r="F504" s="29"/>
      <c r="G504" s="29"/>
      <c r="H504" s="29"/>
    </row>
    <row r="505" spans="1:8">
      <c r="A505" s="27"/>
      <c r="B505" s="27"/>
      <c r="C505" s="28"/>
      <c r="D505" s="28"/>
      <c r="E505" s="29"/>
      <c r="F505" s="29"/>
      <c r="G505" s="29"/>
      <c r="H505" s="29"/>
    </row>
    <row r="506" spans="1:8">
      <c r="A506" s="27"/>
      <c r="B506" s="27"/>
      <c r="C506" s="28"/>
      <c r="D506" s="28"/>
      <c r="E506" s="29"/>
      <c r="F506" s="29"/>
      <c r="G506" s="29"/>
      <c r="H506" s="29"/>
    </row>
    <row r="507" spans="1:8">
      <c r="A507" s="27"/>
      <c r="B507" s="27"/>
      <c r="C507" s="28"/>
      <c r="D507" s="28"/>
      <c r="E507" s="29"/>
      <c r="F507" s="29"/>
      <c r="G507" s="29"/>
      <c r="H507" s="29"/>
    </row>
    <row r="508" spans="1:8">
      <c r="A508" s="27"/>
      <c r="B508" s="27"/>
      <c r="C508" s="28"/>
      <c r="D508" s="28"/>
      <c r="E508" s="29"/>
      <c r="F508" s="29"/>
      <c r="G508" s="29"/>
      <c r="H508" s="29"/>
    </row>
    <row r="509" spans="1:8">
      <c r="A509" s="27"/>
      <c r="B509" s="27"/>
      <c r="C509" s="28"/>
      <c r="D509" s="28"/>
      <c r="E509" s="29"/>
      <c r="F509" s="29"/>
      <c r="G509" s="29"/>
      <c r="H509" s="29"/>
    </row>
    <row r="510" spans="1:8">
      <c r="A510" s="27"/>
      <c r="B510" s="27"/>
      <c r="C510" s="28"/>
      <c r="D510" s="28"/>
      <c r="E510" s="29"/>
      <c r="F510" s="29"/>
      <c r="G510" s="29"/>
      <c r="H510" s="29"/>
    </row>
    <row r="511" spans="1:8">
      <c r="A511" s="27"/>
      <c r="B511" s="27"/>
      <c r="C511" s="28"/>
      <c r="D511" s="28"/>
      <c r="E511" s="29"/>
      <c r="F511" s="29"/>
      <c r="G511" s="29"/>
      <c r="H511" s="29"/>
    </row>
    <row r="512" spans="1:8">
      <c r="A512" s="27"/>
      <c r="B512" s="27"/>
      <c r="C512" s="28"/>
      <c r="D512" s="28"/>
      <c r="E512" s="29"/>
      <c r="F512" s="29"/>
      <c r="G512" s="29"/>
      <c r="H512" s="29"/>
    </row>
    <row r="513" spans="1:8">
      <c r="A513" s="27"/>
      <c r="B513" s="27"/>
      <c r="C513" s="28"/>
      <c r="D513" s="28"/>
      <c r="E513" s="29"/>
      <c r="F513" s="29"/>
      <c r="G513" s="29"/>
      <c r="H513" s="29"/>
    </row>
    <row r="514" spans="1:8">
      <c r="A514" s="27"/>
      <c r="B514" s="27"/>
      <c r="C514" s="28"/>
      <c r="D514" s="28"/>
      <c r="E514" s="29"/>
      <c r="F514" s="29"/>
      <c r="G514" s="29"/>
      <c r="H514" s="29"/>
    </row>
    <row r="515" spans="1:8">
      <c r="A515" s="27"/>
      <c r="B515" s="27"/>
      <c r="C515" s="28"/>
      <c r="D515" s="28"/>
      <c r="E515" s="29"/>
      <c r="F515" s="29"/>
      <c r="G515" s="29"/>
      <c r="H515" s="29"/>
    </row>
    <row r="516" spans="1:8">
      <c r="A516" s="27"/>
      <c r="B516" s="27"/>
      <c r="C516" s="28"/>
      <c r="D516" s="28"/>
      <c r="E516" s="29"/>
      <c r="F516" s="29"/>
      <c r="G516" s="29"/>
      <c r="H516" s="29"/>
    </row>
    <row r="517" spans="1:8">
      <c r="A517" s="27"/>
      <c r="B517" s="27"/>
      <c r="C517" s="28"/>
      <c r="D517" s="28"/>
      <c r="E517" s="29"/>
      <c r="F517" s="29"/>
      <c r="G517" s="29"/>
      <c r="H517" s="29"/>
    </row>
    <row r="518" spans="1:8">
      <c r="A518" s="27"/>
      <c r="B518" s="27"/>
      <c r="C518" s="28"/>
      <c r="D518" s="28"/>
      <c r="E518" s="29"/>
      <c r="F518" s="29"/>
      <c r="G518" s="29"/>
      <c r="H518" s="29"/>
    </row>
    <row r="519" spans="1:8">
      <c r="A519" s="27"/>
      <c r="B519" s="27"/>
      <c r="C519" s="28"/>
      <c r="D519" s="28"/>
      <c r="E519" s="29"/>
      <c r="F519" s="29"/>
      <c r="G519" s="29"/>
      <c r="H519" s="29"/>
    </row>
    <row r="520" spans="1:8">
      <c r="A520" s="27"/>
      <c r="B520" s="27"/>
      <c r="C520" s="28"/>
      <c r="D520" s="28"/>
      <c r="E520" s="29"/>
      <c r="F520" s="29"/>
      <c r="G520" s="29"/>
      <c r="H520" s="29"/>
    </row>
    <row r="521" spans="1:8">
      <c r="A521" s="27"/>
      <c r="B521" s="27"/>
      <c r="C521" s="28"/>
      <c r="D521" s="28"/>
      <c r="E521" s="29"/>
      <c r="F521" s="29"/>
      <c r="G521" s="29"/>
      <c r="H521" s="29"/>
    </row>
    <row r="522" spans="1:8">
      <c r="A522" s="27"/>
      <c r="B522" s="27"/>
      <c r="C522" s="28"/>
      <c r="D522" s="28"/>
      <c r="E522" s="29"/>
      <c r="F522" s="29"/>
      <c r="G522" s="29"/>
      <c r="H522" s="29"/>
    </row>
    <row r="523" spans="1:8">
      <c r="A523" s="27"/>
      <c r="B523" s="27"/>
      <c r="C523" s="28"/>
      <c r="D523" s="28"/>
      <c r="E523" s="29"/>
      <c r="F523" s="29"/>
      <c r="G523" s="29"/>
      <c r="H523" s="29"/>
    </row>
    <row r="524" spans="1:8">
      <c r="A524" s="27"/>
      <c r="B524" s="27"/>
      <c r="C524" s="28"/>
      <c r="D524" s="28"/>
      <c r="E524" s="29"/>
      <c r="F524" s="29"/>
      <c r="G524" s="29"/>
      <c r="H524" s="29"/>
    </row>
    <row r="525" spans="1:8">
      <c r="A525" s="27"/>
      <c r="B525" s="27"/>
      <c r="C525" s="28"/>
      <c r="D525" s="28"/>
      <c r="E525" s="29"/>
      <c r="F525" s="29"/>
      <c r="G525" s="29"/>
      <c r="H525" s="29"/>
    </row>
    <row r="526" spans="1:8">
      <c r="A526" s="27"/>
      <c r="B526" s="27"/>
      <c r="C526" s="28"/>
      <c r="D526" s="28"/>
      <c r="E526" s="29"/>
      <c r="F526" s="29"/>
      <c r="G526" s="29"/>
      <c r="H526" s="29"/>
    </row>
    <row r="527" spans="1:8">
      <c r="A527" s="27"/>
      <c r="B527" s="27"/>
      <c r="C527" s="28"/>
      <c r="D527" s="28"/>
      <c r="E527" s="29"/>
      <c r="F527" s="29"/>
      <c r="G527" s="29"/>
      <c r="H527" s="29"/>
    </row>
    <row r="528" spans="1:8">
      <c r="A528" s="27"/>
      <c r="B528" s="27"/>
      <c r="C528" s="28"/>
      <c r="D528" s="28"/>
      <c r="E528" s="29"/>
      <c r="F528" s="29"/>
      <c r="G528" s="29"/>
      <c r="H528" s="29"/>
    </row>
    <row r="529" spans="1:8">
      <c r="A529" s="27"/>
      <c r="B529" s="27"/>
      <c r="C529" s="28"/>
      <c r="D529" s="28"/>
      <c r="E529" s="29"/>
      <c r="F529" s="29"/>
      <c r="G529" s="29"/>
      <c r="H529" s="29"/>
    </row>
    <row r="530" spans="1:8">
      <c r="A530" s="27"/>
      <c r="B530" s="27"/>
      <c r="C530" s="28"/>
      <c r="D530" s="28"/>
      <c r="E530" s="29"/>
      <c r="F530" s="29"/>
      <c r="G530" s="29"/>
      <c r="H530" s="29"/>
    </row>
    <row r="531" spans="1:8">
      <c r="A531" s="27"/>
      <c r="B531" s="27"/>
      <c r="C531" s="28"/>
      <c r="D531" s="28"/>
      <c r="E531" s="29"/>
      <c r="F531" s="29"/>
      <c r="G531" s="29"/>
      <c r="H531" s="29"/>
    </row>
    <row r="532" spans="1:8">
      <c r="A532" s="27"/>
      <c r="B532" s="27"/>
      <c r="C532" s="28"/>
      <c r="D532" s="28"/>
      <c r="E532" s="29"/>
      <c r="F532" s="29"/>
      <c r="G532" s="29"/>
      <c r="H532" s="29"/>
    </row>
    <row r="533" spans="1:8">
      <c r="A533" s="27"/>
      <c r="B533" s="27"/>
      <c r="C533" s="28"/>
      <c r="D533" s="28"/>
      <c r="E533" s="29"/>
      <c r="F533" s="29"/>
      <c r="G533" s="29"/>
      <c r="H533" s="29"/>
    </row>
    <row r="534" spans="1:8">
      <c r="A534" s="27"/>
      <c r="B534" s="27"/>
      <c r="C534" s="28"/>
      <c r="D534" s="28"/>
      <c r="E534" s="29"/>
      <c r="F534" s="29"/>
      <c r="G534" s="29"/>
      <c r="H534" s="29"/>
    </row>
    <row r="535" spans="1:8">
      <c r="A535" s="27"/>
      <c r="B535" s="27"/>
      <c r="C535" s="28"/>
      <c r="D535" s="28"/>
      <c r="E535" s="29"/>
      <c r="F535" s="29"/>
      <c r="G535" s="29"/>
      <c r="H535" s="29"/>
    </row>
    <row r="536" spans="1:8">
      <c r="A536" s="27"/>
      <c r="B536" s="27"/>
      <c r="C536" s="28"/>
      <c r="D536" s="28"/>
      <c r="E536" s="29"/>
      <c r="F536" s="29"/>
      <c r="G536" s="29"/>
      <c r="H536" s="29"/>
    </row>
    <row r="537" spans="1:8">
      <c r="A537" s="27"/>
      <c r="B537" s="27"/>
      <c r="C537" s="28"/>
      <c r="D537" s="28"/>
      <c r="E537" s="29"/>
      <c r="F537" s="29"/>
      <c r="G537" s="29"/>
      <c r="H537" s="29"/>
    </row>
    <row r="538" spans="1:8">
      <c r="A538" s="27"/>
      <c r="B538" s="27"/>
      <c r="C538" s="28"/>
      <c r="D538" s="28"/>
      <c r="E538" s="29"/>
      <c r="F538" s="29"/>
      <c r="G538" s="29"/>
      <c r="H538" s="29"/>
    </row>
    <row r="539" spans="1:8">
      <c r="A539" s="27"/>
      <c r="B539" s="27"/>
      <c r="C539" s="28"/>
      <c r="D539" s="28"/>
      <c r="E539" s="29"/>
      <c r="F539" s="29"/>
      <c r="G539" s="29"/>
      <c r="H539" s="29"/>
    </row>
    <row r="540" spans="1:8">
      <c r="A540" s="27"/>
      <c r="B540" s="27"/>
      <c r="C540" s="28"/>
      <c r="D540" s="28"/>
      <c r="E540" s="29"/>
      <c r="F540" s="29"/>
      <c r="G540" s="29"/>
      <c r="H540" s="29"/>
    </row>
    <row r="541" spans="1:8">
      <c r="A541" s="27"/>
      <c r="B541" s="27"/>
      <c r="C541" s="28"/>
      <c r="D541" s="28"/>
      <c r="E541" s="29"/>
      <c r="F541" s="29"/>
      <c r="G541" s="29"/>
      <c r="H541" s="29"/>
    </row>
    <row r="542" spans="1:8">
      <c r="A542" s="27"/>
      <c r="B542" s="27"/>
      <c r="C542" s="28"/>
      <c r="D542" s="28"/>
      <c r="E542" s="29"/>
      <c r="F542" s="29"/>
      <c r="G542" s="29"/>
      <c r="H542" s="29"/>
    </row>
    <row r="543" spans="1:8">
      <c r="A543" s="27"/>
      <c r="B543" s="27"/>
      <c r="C543" s="28"/>
      <c r="D543" s="28"/>
      <c r="E543" s="29"/>
      <c r="F543" s="29"/>
      <c r="G543" s="29"/>
      <c r="H543" s="29"/>
    </row>
    <row r="544" spans="1:8">
      <c r="A544" s="27"/>
      <c r="B544" s="27"/>
      <c r="C544" s="28"/>
      <c r="D544" s="28"/>
      <c r="E544" s="29"/>
      <c r="F544" s="29"/>
      <c r="G544" s="29"/>
      <c r="H544" s="29"/>
    </row>
    <row r="545" spans="1:8">
      <c r="A545" s="27"/>
      <c r="B545" s="27"/>
      <c r="C545" s="28"/>
      <c r="D545" s="28"/>
      <c r="E545" s="29"/>
      <c r="F545" s="29"/>
      <c r="G545" s="29"/>
      <c r="H545" s="29"/>
    </row>
    <row r="546" spans="1:8">
      <c r="A546" s="27"/>
      <c r="B546" s="27"/>
      <c r="C546" s="28"/>
      <c r="D546" s="28"/>
      <c r="E546" s="29"/>
      <c r="F546" s="29"/>
      <c r="G546" s="29"/>
      <c r="H546" s="29"/>
    </row>
    <row r="547" spans="1:8">
      <c r="A547" s="27"/>
      <c r="B547" s="27"/>
      <c r="C547" s="28"/>
      <c r="D547" s="28"/>
      <c r="E547" s="29"/>
      <c r="F547" s="29"/>
      <c r="G547" s="29"/>
      <c r="H547" s="29"/>
    </row>
    <row r="548" spans="1:8">
      <c r="A548" s="27"/>
      <c r="B548" s="27"/>
      <c r="C548" s="28"/>
      <c r="D548" s="28"/>
      <c r="E548" s="29"/>
      <c r="F548" s="29"/>
      <c r="G548" s="29"/>
      <c r="H548" s="29"/>
    </row>
    <row r="549" spans="1:8">
      <c r="A549" s="27"/>
      <c r="B549" s="27"/>
      <c r="C549" s="28"/>
      <c r="D549" s="28"/>
      <c r="E549" s="29"/>
      <c r="F549" s="29"/>
      <c r="G549" s="29"/>
      <c r="H549" s="29"/>
    </row>
    <row r="550" spans="1:8">
      <c r="A550" s="27"/>
      <c r="B550" s="27"/>
      <c r="C550" s="28"/>
      <c r="D550" s="28"/>
      <c r="E550" s="29"/>
      <c r="F550" s="29"/>
      <c r="G550" s="29"/>
      <c r="H550" s="29"/>
    </row>
    <row r="551" spans="1:8">
      <c r="A551" s="27"/>
      <c r="B551" s="27"/>
      <c r="C551" s="28"/>
      <c r="D551" s="28"/>
      <c r="E551" s="29"/>
      <c r="F551" s="29"/>
      <c r="G551" s="29"/>
      <c r="H551" s="29"/>
    </row>
    <row r="552" spans="1:8">
      <c r="A552" s="27"/>
      <c r="B552" s="27"/>
      <c r="C552" s="28"/>
      <c r="D552" s="28"/>
      <c r="E552" s="29"/>
      <c r="F552" s="29"/>
      <c r="G552" s="29"/>
      <c r="H552" s="29"/>
    </row>
    <row r="553" spans="1:8">
      <c r="A553" s="27"/>
      <c r="B553" s="27"/>
      <c r="C553" s="28"/>
      <c r="D553" s="28"/>
      <c r="E553" s="29"/>
      <c r="F553" s="29"/>
      <c r="G553" s="29"/>
      <c r="H553" s="29"/>
    </row>
    <row r="554" spans="1:8">
      <c r="A554" s="27"/>
      <c r="B554" s="27"/>
      <c r="C554" s="28"/>
      <c r="D554" s="28"/>
      <c r="E554" s="29"/>
      <c r="F554" s="29"/>
      <c r="G554" s="29"/>
      <c r="H554" s="29"/>
    </row>
    <row r="555" spans="1:8">
      <c r="A555" s="27"/>
      <c r="B555" s="27"/>
      <c r="C555" s="28"/>
      <c r="D555" s="28"/>
      <c r="E555" s="29"/>
      <c r="F555" s="29"/>
      <c r="G555" s="29"/>
      <c r="H555" s="29"/>
    </row>
    <row r="556" spans="1:8">
      <c r="A556" s="27"/>
      <c r="B556" s="27"/>
      <c r="C556" s="28"/>
      <c r="D556" s="28"/>
      <c r="E556" s="29"/>
      <c r="F556" s="29"/>
      <c r="G556" s="29"/>
      <c r="H556" s="29"/>
    </row>
    <row r="557" spans="1:8">
      <c r="A557" s="27"/>
      <c r="B557" s="27"/>
      <c r="C557" s="28"/>
      <c r="D557" s="28"/>
      <c r="E557" s="29"/>
      <c r="F557" s="29"/>
      <c r="G557" s="29"/>
      <c r="H557" s="29"/>
    </row>
    <row r="558" spans="1:8">
      <c r="A558" s="27"/>
      <c r="B558" s="27"/>
      <c r="C558" s="28"/>
      <c r="D558" s="28"/>
      <c r="E558" s="29"/>
      <c r="F558" s="29"/>
      <c r="G558" s="29"/>
      <c r="H558" s="29"/>
    </row>
    <row r="559" spans="1:8">
      <c r="A559" s="27"/>
      <c r="B559" s="27"/>
      <c r="C559" s="28"/>
      <c r="D559" s="28"/>
      <c r="E559" s="29"/>
      <c r="F559" s="29"/>
      <c r="G559" s="29"/>
      <c r="H559" s="29"/>
    </row>
    <row r="560" spans="1:8">
      <c r="A560" s="27"/>
      <c r="B560" s="27"/>
      <c r="C560" s="28"/>
      <c r="D560" s="28"/>
      <c r="E560" s="29"/>
      <c r="F560" s="29"/>
      <c r="G560" s="29"/>
      <c r="H560" s="29"/>
    </row>
    <row r="561" spans="1:8">
      <c r="A561" s="27"/>
      <c r="B561" s="27"/>
      <c r="C561" s="28"/>
      <c r="D561" s="28"/>
      <c r="E561" s="29"/>
      <c r="F561" s="29"/>
      <c r="G561" s="29"/>
      <c r="H561" s="29"/>
    </row>
    <row r="562" spans="1:8">
      <c r="A562" s="27"/>
      <c r="B562" s="27"/>
      <c r="C562" s="28"/>
      <c r="D562" s="28"/>
      <c r="E562" s="29"/>
      <c r="F562" s="29"/>
      <c r="G562" s="29"/>
      <c r="H562" s="29"/>
    </row>
    <row r="563" spans="1:8">
      <c r="A563" s="27"/>
      <c r="B563" s="27"/>
      <c r="C563" s="28"/>
      <c r="D563" s="28"/>
      <c r="E563" s="29"/>
      <c r="F563" s="29"/>
      <c r="G563" s="29"/>
      <c r="H563" s="29"/>
    </row>
    <row r="564" spans="1:8">
      <c r="A564" s="27"/>
      <c r="B564" s="27"/>
      <c r="C564" s="28"/>
      <c r="D564" s="28"/>
      <c r="E564" s="29"/>
      <c r="F564" s="29"/>
      <c r="G564" s="29"/>
      <c r="H564" s="29"/>
    </row>
    <row r="565" spans="1:8">
      <c r="A565" s="27"/>
      <c r="B565" s="27"/>
      <c r="C565" s="28"/>
      <c r="D565" s="28"/>
      <c r="E565" s="29"/>
      <c r="F565" s="29"/>
      <c r="G565" s="29"/>
      <c r="H565" s="29"/>
    </row>
    <row r="566" spans="1:8">
      <c r="A566" s="27"/>
      <c r="B566" s="27"/>
      <c r="C566" s="28"/>
      <c r="D566" s="28"/>
      <c r="E566" s="29"/>
      <c r="F566" s="29"/>
      <c r="G566" s="29"/>
      <c r="H566" s="29"/>
    </row>
    <row r="567" spans="1:8">
      <c r="A567" s="27"/>
      <c r="B567" s="27"/>
      <c r="C567" s="28"/>
      <c r="D567" s="28"/>
      <c r="E567" s="29"/>
      <c r="F567" s="29"/>
      <c r="G567" s="29"/>
      <c r="H567" s="29"/>
    </row>
    <row r="568" spans="1:8">
      <c r="A568" s="27"/>
      <c r="B568" s="27"/>
      <c r="C568" s="28"/>
      <c r="D568" s="28"/>
      <c r="E568" s="29"/>
      <c r="F568" s="29"/>
      <c r="G568" s="29"/>
      <c r="H568" s="29"/>
    </row>
    <row r="569" spans="1:8">
      <c r="A569" s="27"/>
      <c r="B569" s="27"/>
      <c r="C569" s="28"/>
      <c r="D569" s="28"/>
      <c r="E569" s="29"/>
      <c r="F569" s="29"/>
      <c r="G569" s="29"/>
      <c r="H569" s="29"/>
    </row>
    <row r="570" spans="1:8">
      <c r="A570" s="27"/>
      <c r="B570" s="27"/>
      <c r="C570" s="28"/>
      <c r="D570" s="28"/>
      <c r="E570" s="29"/>
      <c r="F570" s="29"/>
      <c r="G570" s="29"/>
      <c r="H570" s="29"/>
    </row>
    <row r="571" spans="1:8">
      <c r="A571" s="27"/>
      <c r="B571" s="27"/>
      <c r="C571" s="28"/>
      <c r="D571" s="28"/>
      <c r="E571" s="29"/>
      <c r="F571" s="29"/>
      <c r="G571" s="29"/>
      <c r="H571" s="29"/>
    </row>
    <row r="572" spans="1:8">
      <c r="A572" s="27"/>
      <c r="B572" s="27"/>
      <c r="C572" s="28"/>
      <c r="D572" s="28"/>
      <c r="E572" s="29"/>
      <c r="F572" s="29"/>
      <c r="G572" s="29"/>
      <c r="H572" s="29"/>
    </row>
    <row r="573" spans="1:8">
      <c r="A573" s="27"/>
      <c r="B573" s="27"/>
      <c r="C573" s="28"/>
      <c r="D573" s="28"/>
      <c r="E573" s="29"/>
      <c r="F573" s="29"/>
      <c r="G573" s="29"/>
      <c r="H573" s="29"/>
    </row>
    <row r="574" spans="1:8">
      <c r="A574" s="27"/>
      <c r="B574" s="27"/>
      <c r="C574" s="28"/>
      <c r="D574" s="28"/>
      <c r="E574" s="29"/>
      <c r="F574" s="29"/>
      <c r="G574" s="29"/>
      <c r="H574" s="29"/>
    </row>
    <row r="575" spans="1:8">
      <c r="A575" s="27"/>
      <c r="B575" s="27"/>
      <c r="C575" s="28"/>
      <c r="D575" s="28"/>
      <c r="E575" s="29"/>
      <c r="F575" s="29"/>
      <c r="G575" s="29"/>
      <c r="H575" s="29"/>
    </row>
    <row r="576" spans="1:8">
      <c r="A576" s="27"/>
      <c r="B576" s="27"/>
      <c r="C576" s="28"/>
      <c r="D576" s="28"/>
      <c r="E576" s="29"/>
      <c r="F576" s="29"/>
      <c r="G576" s="29"/>
      <c r="H576" s="29"/>
    </row>
    <row r="577" spans="1:8">
      <c r="A577" s="27"/>
      <c r="B577" s="27"/>
      <c r="C577" s="28"/>
      <c r="D577" s="28"/>
      <c r="E577" s="29"/>
      <c r="F577" s="29"/>
      <c r="G577" s="29"/>
      <c r="H577" s="29"/>
    </row>
    <row r="578" spans="1:8">
      <c r="A578" s="27"/>
      <c r="B578" s="27"/>
      <c r="C578" s="28"/>
      <c r="D578" s="28"/>
      <c r="E578" s="29"/>
      <c r="F578" s="29"/>
      <c r="G578" s="29"/>
      <c r="H578" s="29"/>
    </row>
    <row r="579" spans="1:8">
      <c r="A579" s="27"/>
      <c r="B579" s="27"/>
      <c r="C579" s="28"/>
      <c r="D579" s="28"/>
      <c r="E579" s="29"/>
      <c r="F579" s="29"/>
      <c r="G579" s="29"/>
      <c r="H579" s="29"/>
    </row>
    <row r="580" spans="1:8">
      <c r="A580" s="27"/>
      <c r="B580" s="27"/>
      <c r="C580" s="28"/>
      <c r="D580" s="28"/>
      <c r="E580" s="29"/>
      <c r="F580" s="29"/>
      <c r="G580" s="29"/>
      <c r="H580" s="29"/>
    </row>
    <row r="581" spans="1:8">
      <c r="A581" s="27"/>
      <c r="B581" s="27"/>
      <c r="C581" s="28"/>
      <c r="D581" s="28"/>
      <c r="E581" s="29"/>
      <c r="F581" s="29"/>
      <c r="G581" s="29"/>
      <c r="H581" s="29"/>
    </row>
    <row r="582" spans="1:8">
      <c r="A582" s="27"/>
      <c r="B582" s="27"/>
      <c r="C582" s="28"/>
      <c r="D582" s="28"/>
      <c r="E582" s="29"/>
      <c r="F582" s="29"/>
      <c r="G582" s="29"/>
      <c r="H582" s="29"/>
    </row>
    <row r="583" spans="1:8">
      <c r="A583" s="27"/>
      <c r="B583" s="27"/>
      <c r="C583" s="28"/>
      <c r="D583" s="28"/>
      <c r="E583" s="29"/>
      <c r="F583" s="29"/>
      <c r="G583" s="29"/>
      <c r="H583" s="29"/>
    </row>
    <row r="584" spans="1:8">
      <c r="A584" s="27"/>
      <c r="B584" s="27"/>
      <c r="C584" s="28"/>
      <c r="D584" s="28"/>
      <c r="E584" s="29"/>
      <c r="F584" s="29"/>
      <c r="G584" s="29"/>
      <c r="H584" s="29"/>
    </row>
    <row r="585" spans="1:8">
      <c r="A585" s="27"/>
      <c r="B585" s="27"/>
      <c r="C585" s="28"/>
      <c r="D585" s="28"/>
      <c r="E585" s="29"/>
      <c r="F585" s="29"/>
      <c r="G585" s="29"/>
      <c r="H585" s="29"/>
    </row>
    <row r="586" spans="1:8">
      <c r="A586" s="27"/>
      <c r="B586" s="27"/>
      <c r="C586" s="28"/>
      <c r="D586" s="28"/>
      <c r="E586" s="29"/>
      <c r="F586" s="29"/>
      <c r="G586" s="29"/>
      <c r="H586" s="29"/>
    </row>
    <row r="587" spans="1:8">
      <c r="A587" s="27"/>
      <c r="B587" s="27"/>
      <c r="C587" s="28"/>
      <c r="D587" s="28"/>
      <c r="E587" s="29"/>
      <c r="F587" s="29"/>
      <c r="G587" s="29"/>
      <c r="H587" s="29"/>
    </row>
    <row r="588" spans="1:8">
      <c r="A588" s="27"/>
      <c r="B588" s="27"/>
      <c r="C588" s="28"/>
      <c r="D588" s="28"/>
      <c r="E588" s="29"/>
      <c r="F588" s="29"/>
      <c r="G588" s="29"/>
      <c r="H588" s="29"/>
    </row>
    <row r="589" spans="1:8">
      <c r="A589" s="27"/>
      <c r="B589" s="27"/>
      <c r="C589" s="28"/>
      <c r="D589" s="28"/>
      <c r="E589" s="29"/>
      <c r="F589" s="29"/>
      <c r="G589" s="29"/>
      <c r="H589" s="29"/>
    </row>
    <row r="590" spans="1:8">
      <c r="A590" s="27"/>
      <c r="B590" s="27"/>
      <c r="C590" s="28"/>
      <c r="D590" s="28"/>
      <c r="E590" s="29"/>
      <c r="F590" s="29"/>
      <c r="G590" s="29"/>
      <c r="H590" s="29"/>
    </row>
    <row r="591" spans="1:8">
      <c r="A591" s="27"/>
      <c r="B591" s="27"/>
      <c r="C591" s="28"/>
      <c r="D591" s="28"/>
      <c r="E591" s="29"/>
      <c r="F591" s="29"/>
      <c r="G591" s="29"/>
      <c r="H591" s="29"/>
    </row>
    <row r="592" spans="1:8">
      <c r="A592" s="27"/>
      <c r="B592" s="27"/>
      <c r="C592" s="28"/>
      <c r="D592" s="28"/>
      <c r="E592" s="29"/>
      <c r="F592" s="29"/>
      <c r="G592" s="29"/>
      <c r="H592" s="29"/>
    </row>
    <row r="593" spans="1:8">
      <c r="A593" s="27"/>
      <c r="B593" s="27"/>
      <c r="C593" s="28"/>
      <c r="D593" s="28"/>
      <c r="E593" s="29"/>
      <c r="F593" s="29"/>
      <c r="G593" s="29"/>
      <c r="H593" s="29"/>
    </row>
    <row r="594" spans="1:8">
      <c r="A594" s="27"/>
      <c r="B594" s="27"/>
      <c r="C594" s="28"/>
      <c r="D594" s="28"/>
      <c r="E594" s="29"/>
      <c r="F594" s="29"/>
      <c r="G594" s="29"/>
      <c r="H594" s="29"/>
    </row>
    <row r="595" spans="1:8">
      <c r="A595" s="27"/>
      <c r="B595" s="27"/>
      <c r="C595" s="28"/>
      <c r="D595" s="28"/>
      <c r="E595" s="29"/>
      <c r="F595" s="29"/>
      <c r="G595" s="29"/>
      <c r="H595" s="29"/>
    </row>
    <row r="596" spans="1:8">
      <c r="A596" s="27"/>
      <c r="B596" s="27"/>
      <c r="C596" s="28"/>
      <c r="D596" s="28"/>
      <c r="E596" s="29"/>
      <c r="F596" s="29"/>
      <c r="G596" s="29"/>
      <c r="H596" s="29"/>
    </row>
    <row r="597" spans="1:8">
      <c r="A597" s="27"/>
      <c r="B597" s="27"/>
      <c r="C597" s="28"/>
      <c r="D597" s="28"/>
      <c r="E597" s="29"/>
      <c r="F597" s="29"/>
      <c r="G597" s="29"/>
      <c r="H597" s="29"/>
    </row>
    <row r="598" spans="1:8">
      <c r="A598" s="27"/>
      <c r="B598" s="27"/>
      <c r="C598" s="28"/>
      <c r="D598" s="28"/>
      <c r="E598" s="29"/>
      <c r="F598" s="29"/>
      <c r="G598" s="29"/>
      <c r="H598" s="29"/>
    </row>
    <row r="599" spans="1:8">
      <c r="A599" s="27"/>
      <c r="B599" s="27"/>
      <c r="C599" s="28"/>
      <c r="D599" s="28"/>
      <c r="E599" s="29"/>
      <c r="F599" s="29"/>
      <c r="G599" s="29"/>
      <c r="H599" s="29"/>
    </row>
    <row r="600" spans="1:8">
      <c r="A600" s="27"/>
      <c r="B600" s="27"/>
      <c r="C600" s="28"/>
      <c r="D600" s="28"/>
      <c r="E600" s="29"/>
      <c r="F600" s="29"/>
      <c r="G600" s="29"/>
      <c r="H600" s="29"/>
    </row>
    <row r="601" spans="1:8">
      <c r="A601" s="27"/>
      <c r="B601" s="27"/>
      <c r="C601" s="28"/>
      <c r="D601" s="28"/>
      <c r="E601" s="29"/>
      <c r="F601" s="29"/>
      <c r="G601" s="29"/>
      <c r="H601" s="29"/>
    </row>
    <row r="602" spans="1:8">
      <c r="A602" s="27"/>
      <c r="B602" s="27"/>
      <c r="C602" s="28"/>
      <c r="D602" s="28"/>
      <c r="E602" s="29"/>
      <c r="F602" s="29"/>
      <c r="G602" s="29"/>
      <c r="H602" s="29"/>
    </row>
    <row r="603" spans="1:8">
      <c r="A603" s="27"/>
      <c r="B603" s="27"/>
      <c r="C603" s="28"/>
      <c r="D603" s="28"/>
      <c r="E603" s="29"/>
      <c r="F603" s="29"/>
      <c r="G603" s="29"/>
      <c r="H603" s="29"/>
    </row>
    <row r="604" spans="1:8">
      <c r="A604" s="27"/>
      <c r="B604" s="27"/>
      <c r="C604" s="28"/>
      <c r="D604" s="28"/>
      <c r="E604" s="29"/>
      <c r="F604" s="29"/>
      <c r="G604" s="29"/>
      <c r="H604" s="29"/>
    </row>
    <row r="605" spans="1:8">
      <c r="A605" s="27"/>
      <c r="B605" s="27"/>
      <c r="C605" s="28"/>
      <c r="D605" s="28"/>
      <c r="E605" s="29"/>
      <c r="F605" s="29"/>
      <c r="G605" s="29"/>
      <c r="H605" s="29"/>
    </row>
    <row r="606" spans="1:8">
      <c r="A606" s="27"/>
      <c r="B606" s="27"/>
      <c r="C606" s="28"/>
      <c r="D606" s="28"/>
      <c r="E606" s="29"/>
      <c r="F606" s="29"/>
      <c r="G606" s="29"/>
      <c r="H606" s="29"/>
    </row>
    <row r="607" spans="1:8">
      <c r="A607" s="27"/>
      <c r="B607" s="27"/>
      <c r="C607" s="28"/>
      <c r="D607" s="28"/>
      <c r="E607" s="29"/>
      <c r="F607" s="29"/>
      <c r="G607" s="29"/>
      <c r="H607" s="29"/>
    </row>
    <row r="608" spans="1:8">
      <c r="A608" s="27"/>
      <c r="B608" s="27"/>
      <c r="C608" s="28"/>
      <c r="D608" s="28"/>
      <c r="E608" s="29"/>
      <c r="F608" s="29"/>
      <c r="G608" s="29"/>
      <c r="H608" s="29"/>
    </row>
    <row r="609" spans="1:8">
      <c r="A609" s="27"/>
      <c r="B609" s="27"/>
      <c r="C609" s="28"/>
      <c r="D609" s="28"/>
      <c r="E609" s="29"/>
      <c r="F609" s="29"/>
      <c r="G609" s="29"/>
      <c r="H609" s="29"/>
    </row>
    <row r="610" spans="1:8">
      <c r="A610" s="27"/>
      <c r="B610" s="27"/>
      <c r="C610" s="28"/>
      <c r="D610" s="28"/>
      <c r="E610" s="29"/>
      <c r="F610" s="29"/>
      <c r="G610" s="29"/>
      <c r="H610" s="29"/>
    </row>
    <row r="611" spans="1:8">
      <c r="A611" s="27"/>
      <c r="B611" s="27"/>
      <c r="C611" s="28"/>
      <c r="D611" s="28"/>
      <c r="E611" s="29"/>
      <c r="F611" s="29"/>
      <c r="G611" s="29"/>
      <c r="H611" s="29"/>
    </row>
    <row r="612" spans="1:8">
      <c r="A612" s="27"/>
      <c r="B612" s="27"/>
      <c r="C612" s="28"/>
      <c r="D612" s="28"/>
      <c r="E612" s="29"/>
      <c r="F612" s="29"/>
      <c r="G612" s="29"/>
      <c r="H612" s="29"/>
    </row>
    <row r="613" spans="1:8">
      <c r="A613" s="27"/>
      <c r="B613" s="27"/>
      <c r="C613" s="28"/>
      <c r="D613" s="28"/>
      <c r="E613" s="29"/>
      <c r="F613" s="29"/>
      <c r="G613" s="29"/>
      <c r="H613" s="29"/>
    </row>
    <row r="614" spans="1:8">
      <c r="A614" s="27"/>
      <c r="B614" s="27"/>
      <c r="C614" s="28"/>
      <c r="D614" s="28"/>
      <c r="E614" s="29"/>
      <c r="F614" s="29"/>
      <c r="G614" s="29"/>
      <c r="H614" s="29"/>
    </row>
    <row r="615" spans="1:8">
      <c r="A615" s="27"/>
      <c r="B615" s="27"/>
      <c r="C615" s="28"/>
      <c r="D615" s="28"/>
      <c r="E615" s="29"/>
      <c r="F615" s="29"/>
      <c r="G615" s="29"/>
      <c r="H615" s="29"/>
    </row>
    <row r="616" spans="1:8">
      <c r="A616" s="27"/>
      <c r="B616" s="27"/>
      <c r="C616" s="28"/>
      <c r="D616" s="28"/>
      <c r="E616" s="29"/>
      <c r="F616" s="29"/>
      <c r="G616" s="29"/>
      <c r="H616" s="29"/>
    </row>
    <row r="617" spans="1:8">
      <c r="A617" s="27"/>
      <c r="B617" s="27"/>
      <c r="C617" s="28"/>
      <c r="D617" s="28"/>
      <c r="E617" s="29"/>
      <c r="F617" s="29"/>
      <c r="G617" s="29"/>
      <c r="H617" s="29"/>
    </row>
    <row r="618" spans="1:8">
      <c r="A618" s="27"/>
      <c r="B618" s="27"/>
      <c r="C618" s="28"/>
      <c r="D618" s="28"/>
      <c r="E618" s="29"/>
      <c r="F618" s="29"/>
      <c r="G618" s="29"/>
      <c r="H618" s="29"/>
    </row>
    <row r="619" spans="1:8">
      <c r="A619" s="27"/>
      <c r="B619" s="27"/>
      <c r="C619" s="28"/>
      <c r="D619" s="28"/>
      <c r="E619" s="29"/>
      <c r="F619" s="29"/>
      <c r="G619" s="29"/>
      <c r="H619" s="29"/>
    </row>
    <row r="620" spans="1:8">
      <c r="A620" s="27"/>
      <c r="B620" s="27"/>
      <c r="C620" s="28"/>
      <c r="D620" s="28"/>
      <c r="E620" s="29"/>
      <c r="F620" s="29"/>
      <c r="G620" s="29"/>
      <c r="H620" s="29"/>
    </row>
    <row r="621" spans="1:8">
      <c r="A621" s="27"/>
      <c r="B621" s="27"/>
      <c r="C621" s="28"/>
      <c r="D621" s="28"/>
      <c r="E621" s="29"/>
      <c r="F621" s="29"/>
      <c r="G621" s="29"/>
      <c r="H621" s="29"/>
    </row>
    <row r="622" spans="1:8">
      <c r="A622" s="27"/>
      <c r="B622" s="27"/>
      <c r="C622" s="28"/>
      <c r="D622" s="28"/>
      <c r="E622" s="29"/>
      <c r="F622" s="29"/>
      <c r="G622" s="29"/>
      <c r="H622" s="29"/>
    </row>
    <row r="623" spans="1:8">
      <c r="A623" s="27"/>
      <c r="B623" s="27"/>
      <c r="C623" s="28"/>
      <c r="D623" s="28"/>
      <c r="E623" s="29"/>
      <c r="F623" s="29"/>
      <c r="G623" s="29"/>
      <c r="H623" s="29"/>
    </row>
    <row r="624" spans="1:8">
      <c r="A624" s="27"/>
      <c r="B624" s="27"/>
      <c r="C624" s="28"/>
      <c r="D624" s="28"/>
      <c r="E624" s="29"/>
      <c r="F624" s="29"/>
      <c r="G624" s="29"/>
      <c r="H624" s="29"/>
    </row>
    <row r="625" spans="1:8">
      <c r="A625" s="27"/>
      <c r="B625" s="27"/>
      <c r="C625" s="28"/>
      <c r="D625" s="28"/>
      <c r="E625" s="29"/>
      <c r="F625" s="29"/>
      <c r="G625" s="29"/>
      <c r="H625" s="29"/>
    </row>
    <row r="626" spans="1:8">
      <c r="A626" s="27"/>
      <c r="B626" s="27"/>
      <c r="C626" s="28"/>
      <c r="D626" s="28"/>
      <c r="E626" s="29"/>
      <c r="F626" s="29"/>
      <c r="G626" s="29"/>
      <c r="H626" s="29"/>
    </row>
    <row r="627" spans="1:8">
      <c r="A627" s="27"/>
      <c r="B627" s="27"/>
      <c r="C627" s="28"/>
      <c r="D627" s="28"/>
      <c r="E627" s="29"/>
      <c r="F627" s="29"/>
      <c r="G627" s="29"/>
      <c r="H627" s="29"/>
    </row>
    <row r="628" spans="1:8">
      <c r="A628" s="27"/>
      <c r="B628" s="27"/>
      <c r="C628" s="28"/>
      <c r="D628" s="28"/>
      <c r="E628" s="29"/>
      <c r="F628" s="29"/>
      <c r="G628" s="29"/>
      <c r="H628" s="29"/>
    </row>
    <row r="629" spans="1:8">
      <c r="A629" s="27"/>
      <c r="B629" s="27"/>
      <c r="C629" s="28"/>
      <c r="D629" s="28"/>
      <c r="E629" s="29"/>
      <c r="F629" s="29"/>
      <c r="G629" s="29"/>
      <c r="H629" s="29"/>
    </row>
    <row r="630" spans="1:8">
      <c r="A630" s="27"/>
      <c r="B630" s="27"/>
      <c r="C630" s="28"/>
      <c r="D630" s="28"/>
      <c r="E630" s="29"/>
      <c r="F630" s="29"/>
      <c r="G630" s="29"/>
      <c r="H630" s="29"/>
    </row>
    <row r="631" spans="1:8">
      <c r="A631" s="27"/>
      <c r="B631" s="27"/>
      <c r="C631" s="28"/>
      <c r="D631" s="28"/>
      <c r="E631" s="29"/>
      <c r="F631" s="29"/>
      <c r="G631" s="29"/>
      <c r="H631" s="29"/>
    </row>
    <row r="632" spans="1:8">
      <c r="A632" s="27"/>
      <c r="B632" s="27"/>
      <c r="C632" s="28"/>
      <c r="D632" s="28"/>
      <c r="E632" s="29"/>
      <c r="F632" s="29"/>
      <c r="G632" s="29"/>
      <c r="H632" s="29"/>
    </row>
    <row r="633" spans="1:8">
      <c r="A633" s="27"/>
      <c r="B633" s="27"/>
      <c r="C633" s="28"/>
      <c r="D633" s="28"/>
      <c r="E633" s="29"/>
      <c r="F633" s="29"/>
      <c r="G633" s="29"/>
      <c r="H633" s="29"/>
    </row>
    <row r="634" spans="1:8">
      <c r="A634" s="27"/>
      <c r="B634" s="27"/>
      <c r="C634" s="28"/>
      <c r="D634" s="28"/>
      <c r="E634" s="29"/>
      <c r="F634" s="29"/>
      <c r="G634" s="29"/>
      <c r="H634" s="29"/>
    </row>
    <row r="635" spans="1:8">
      <c r="A635" s="27"/>
      <c r="B635" s="27"/>
      <c r="C635" s="28"/>
      <c r="D635" s="28"/>
      <c r="E635" s="29"/>
      <c r="F635" s="29"/>
      <c r="G635" s="29"/>
      <c r="H635" s="29"/>
    </row>
    <row r="636" spans="1:8">
      <c r="A636" s="27"/>
      <c r="B636" s="27"/>
      <c r="C636" s="28"/>
      <c r="D636" s="28"/>
      <c r="E636" s="29"/>
      <c r="F636" s="29"/>
      <c r="G636" s="29"/>
      <c r="H636" s="29"/>
    </row>
    <row r="637" spans="1:8">
      <c r="A637" s="27"/>
      <c r="B637" s="27"/>
      <c r="C637" s="28"/>
      <c r="D637" s="28"/>
      <c r="E637" s="29"/>
      <c r="F637" s="29"/>
      <c r="G637" s="29"/>
      <c r="H637" s="29"/>
    </row>
    <row r="638" spans="1:8">
      <c r="A638" s="27"/>
      <c r="B638" s="27"/>
      <c r="C638" s="28"/>
      <c r="D638" s="28"/>
      <c r="E638" s="29"/>
      <c r="F638" s="29"/>
      <c r="G638" s="29"/>
      <c r="H638" s="29"/>
    </row>
    <row r="639" spans="1:8">
      <c r="A639" s="27"/>
      <c r="B639" s="27"/>
      <c r="C639" s="28"/>
      <c r="D639" s="28"/>
      <c r="E639" s="29"/>
      <c r="F639" s="29"/>
      <c r="G639" s="29"/>
      <c r="H639" s="29"/>
    </row>
    <row r="640" spans="1:8">
      <c r="A640" s="27"/>
      <c r="B640" s="27"/>
      <c r="C640" s="28"/>
      <c r="D640" s="28"/>
      <c r="E640" s="29"/>
      <c r="F640" s="29"/>
      <c r="G640" s="29"/>
      <c r="H640" s="29"/>
    </row>
    <row r="641" spans="1:8">
      <c r="A641" s="27"/>
      <c r="B641" s="27"/>
      <c r="C641" s="28"/>
      <c r="D641" s="28"/>
      <c r="E641" s="29"/>
      <c r="F641" s="29"/>
      <c r="G641" s="29"/>
      <c r="H641" s="29"/>
    </row>
    <row r="642" spans="1:8">
      <c r="A642" s="27"/>
      <c r="B642" s="27"/>
      <c r="C642" s="28"/>
      <c r="D642" s="28"/>
      <c r="E642" s="29"/>
      <c r="F642" s="29"/>
      <c r="G642" s="29"/>
      <c r="H642" s="29"/>
    </row>
    <row r="643" spans="1:8">
      <c r="A643" s="27"/>
      <c r="B643" s="27"/>
      <c r="C643" s="28"/>
      <c r="D643" s="28"/>
      <c r="E643" s="29"/>
      <c r="F643" s="29"/>
      <c r="G643" s="29"/>
      <c r="H643" s="29"/>
    </row>
    <row r="644" spans="1:8">
      <c r="A644" s="27"/>
      <c r="B644" s="27"/>
      <c r="C644" s="28"/>
      <c r="D644" s="28"/>
      <c r="E644" s="29"/>
      <c r="F644" s="29"/>
      <c r="G644" s="29"/>
      <c r="H644" s="29"/>
    </row>
    <row r="645" spans="1:8">
      <c r="A645" s="27"/>
      <c r="B645" s="27"/>
      <c r="C645" s="28"/>
      <c r="D645" s="28"/>
      <c r="E645" s="29"/>
      <c r="F645" s="29"/>
      <c r="G645" s="29"/>
      <c r="H645" s="29"/>
    </row>
    <row r="646" spans="1:8">
      <c r="A646" s="27"/>
      <c r="B646" s="27"/>
      <c r="C646" s="28"/>
      <c r="D646" s="28"/>
      <c r="E646" s="29"/>
      <c r="F646" s="29"/>
      <c r="G646" s="29"/>
      <c r="H646" s="29"/>
    </row>
    <row r="647" spans="1:8">
      <c r="A647" s="27"/>
      <c r="B647" s="27"/>
      <c r="C647" s="28"/>
      <c r="D647" s="28"/>
      <c r="E647" s="29"/>
      <c r="F647" s="29"/>
      <c r="G647" s="29"/>
      <c r="H647" s="29"/>
    </row>
    <row r="648" spans="1:8">
      <c r="A648" s="27"/>
      <c r="B648" s="27"/>
      <c r="C648" s="28"/>
      <c r="D648" s="28"/>
      <c r="E648" s="29"/>
      <c r="F648" s="29"/>
      <c r="G648" s="29"/>
      <c r="H648" s="29"/>
    </row>
    <row r="649" spans="1:8">
      <c r="A649" s="27"/>
      <c r="B649" s="27"/>
      <c r="C649" s="28"/>
      <c r="D649" s="28"/>
      <c r="E649" s="29"/>
      <c r="F649" s="29"/>
      <c r="G649" s="29"/>
      <c r="H649" s="29"/>
    </row>
    <row r="650" spans="1:8">
      <c r="A650" s="27"/>
      <c r="B650" s="27"/>
      <c r="C650" s="28"/>
      <c r="D650" s="28"/>
      <c r="E650" s="29"/>
      <c r="F650" s="29"/>
      <c r="G650" s="29"/>
      <c r="H650" s="29"/>
    </row>
    <row r="651" spans="1:8">
      <c r="A651" s="27"/>
      <c r="B651" s="27"/>
      <c r="C651" s="28"/>
      <c r="D651" s="28"/>
      <c r="E651" s="29"/>
      <c r="F651" s="29"/>
      <c r="G651" s="29"/>
      <c r="H651" s="29"/>
    </row>
    <row r="652" spans="1:8">
      <c r="A652" s="27"/>
      <c r="B652" s="27"/>
      <c r="C652" s="28"/>
      <c r="D652" s="28"/>
      <c r="E652" s="29"/>
      <c r="F652" s="29"/>
      <c r="G652" s="29"/>
      <c r="H652" s="29"/>
    </row>
    <row r="653" spans="1:8">
      <c r="A653" s="27"/>
      <c r="B653" s="27"/>
      <c r="C653" s="28"/>
      <c r="D653" s="28"/>
      <c r="E653" s="29"/>
      <c r="F653" s="29"/>
      <c r="G653" s="29"/>
      <c r="H653" s="29"/>
    </row>
    <row r="654" spans="1:8">
      <c r="A654" s="27"/>
      <c r="B654" s="27"/>
      <c r="C654" s="28"/>
      <c r="D654" s="28"/>
      <c r="E654" s="29"/>
      <c r="F654" s="29"/>
      <c r="G654" s="29"/>
      <c r="H654" s="29"/>
    </row>
    <row r="655" spans="1:8">
      <c r="A655" s="27"/>
      <c r="B655" s="27"/>
      <c r="C655" s="28"/>
      <c r="D655" s="28"/>
      <c r="E655" s="29"/>
      <c r="F655" s="29"/>
      <c r="G655" s="29"/>
      <c r="H655" s="29"/>
    </row>
    <row r="656" spans="1:8">
      <c r="A656" s="27"/>
      <c r="B656" s="27"/>
      <c r="C656" s="28"/>
      <c r="D656" s="28"/>
      <c r="E656" s="29"/>
      <c r="F656" s="29"/>
      <c r="G656" s="29"/>
      <c r="H656" s="29"/>
    </row>
    <row r="657" spans="1:8">
      <c r="A657" s="27"/>
      <c r="B657" s="27"/>
      <c r="C657" s="28"/>
      <c r="D657" s="28"/>
      <c r="E657" s="29"/>
      <c r="F657" s="29"/>
      <c r="G657" s="29"/>
      <c r="H657" s="29"/>
    </row>
    <row r="658" spans="1:8">
      <c r="A658" s="27"/>
      <c r="B658" s="27"/>
      <c r="C658" s="28"/>
      <c r="D658" s="28"/>
      <c r="E658" s="29"/>
      <c r="F658" s="29"/>
      <c r="G658" s="29"/>
      <c r="H658" s="29"/>
    </row>
    <row r="659" spans="1:8">
      <c r="A659" s="27"/>
      <c r="B659" s="27"/>
      <c r="C659" s="28"/>
      <c r="D659" s="28"/>
      <c r="E659" s="29"/>
      <c r="F659" s="29"/>
      <c r="G659" s="29"/>
      <c r="H659" s="29"/>
    </row>
    <row r="660" spans="1:8">
      <c r="A660" s="27"/>
      <c r="B660" s="27"/>
      <c r="C660" s="28"/>
      <c r="D660" s="28"/>
      <c r="E660" s="29"/>
      <c r="F660" s="29"/>
      <c r="G660" s="29"/>
      <c r="H660" s="29"/>
    </row>
    <row r="661" spans="1:8">
      <c r="A661" s="27"/>
      <c r="B661" s="27"/>
      <c r="C661" s="28"/>
      <c r="D661" s="28"/>
      <c r="E661" s="29"/>
      <c r="F661" s="29"/>
      <c r="G661" s="29"/>
      <c r="H661" s="29"/>
    </row>
    <row r="662" spans="1:8">
      <c r="A662" s="27"/>
      <c r="B662" s="27"/>
      <c r="C662" s="28"/>
      <c r="D662" s="28"/>
      <c r="E662" s="29"/>
      <c r="F662" s="29"/>
      <c r="G662" s="29"/>
      <c r="H662" s="29"/>
    </row>
    <row r="663" spans="1:8">
      <c r="A663" s="27"/>
      <c r="B663" s="27"/>
      <c r="C663" s="28"/>
      <c r="D663" s="28"/>
      <c r="E663" s="29"/>
      <c r="F663" s="29"/>
      <c r="G663" s="29"/>
      <c r="H663" s="29"/>
    </row>
    <row r="664" spans="1:8">
      <c r="A664" s="27"/>
      <c r="B664" s="27"/>
      <c r="C664" s="28"/>
      <c r="D664" s="28"/>
      <c r="E664" s="29"/>
      <c r="F664" s="29"/>
      <c r="G664" s="29"/>
      <c r="H664" s="29"/>
    </row>
    <row r="665" spans="1:8">
      <c r="A665" s="27"/>
      <c r="B665" s="27"/>
      <c r="C665" s="28"/>
      <c r="D665" s="28"/>
      <c r="E665" s="29"/>
      <c r="F665" s="29"/>
      <c r="G665" s="29"/>
      <c r="H665" s="29"/>
    </row>
    <row r="666" spans="1:8">
      <c r="A666" s="27"/>
      <c r="B666" s="27"/>
      <c r="C666" s="28"/>
      <c r="D666" s="28"/>
      <c r="E666" s="29"/>
      <c r="F666" s="29"/>
      <c r="G666" s="29"/>
      <c r="H666" s="29"/>
    </row>
    <row r="667" spans="1:8">
      <c r="A667" s="27"/>
      <c r="B667" s="27"/>
      <c r="C667" s="28"/>
      <c r="D667" s="28"/>
      <c r="E667" s="29"/>
      <c r="F667" s="29"/>
      <c r="G667" s="29"/>
      <c r="H667" s="29"/>
    </row>
    <row r="668" spans="1:8">
      <c r="A668" s="27"/>
      <c r="B668" s="27"/>
      <c r="C668" s="28"/>
      <c r="D668" s="28"/>
      <c r="E668" s="29"/>
      <c r="F668" s="29"/>
      <c r="G668" s="29"/>
      <c r="H668" s="29"/>
    </row>
    <row r="669" spans="1:8">
      <c r="A669" s="27"/>
      <c r="B669" s="27"/>
      <c r="C669" s="28"/>
      <c r="D669" s="28"/>
      <c r="E669" s="29"/>
      <c r="F669" s="29"/>
      <c r="G669" s="29"/>
      <c r="H669" s="29"/>
    </row>
    <row r="670" spans="1:8">
      <c r="A670" s="27"/>
      <c r="B670" s="27"/>
      <c r="C670" s="28"/>
      <c r="D670" s="28"/>
      <c r="E670" s="29"/>
      <c r="F670" s="29"/>
      <c r="G670" s="29"/>
      <c r="H670" s="29"/>
    </row>
    <row r="671" spans="1:8">
      <c r="A671" s="27"/>
      <c r="B671" s="27"/>
      <c r="C671" s="28"/>
      <c r="D671" s="28"/>
      <c r="E671" s="29"/>
      <c r="F671" s="29"/>
      <c r="G671" s="29"/>
      <c r="H671" s="29"/>
    </row>
    <row r="672" spans="1:8">
      <c r="A672" s="27"/>
      <c r="B672" s="27"/>
      <c r="C672" s="28"/>
      <c r="D672" s="28"/>
      <c r="E672" s="29"/>
      <c r="F672" s="29"/>
      <c r="G672" s="29"/>
      <c r="H672" s="29"/>
    </row>
    <row r="673" spans="1:8">
      <c r="A673" s="27"/>
      <c r="B673" s="27"/>
      <c r="C673" s="28"/>
      <c r="D673" s="28"/>
      <c r="E673" s="29"/>
      <c r="F673" s="29"/>
      <c r="G673" s="29"/>
      <c r="H673" s="29"/>
    </row>
    <row r="674" spans="1:8">
      <c r="A674" s="27"/>
      <c r="B674" s="27"/>
      <c r="C674" s="28"/>
      <c r="D674" s="28"/>
      <c r="E674" s="29"/>
      <c r="F674" s="29"/>
      <c r="G674" s="29"/>
      <c r="H674" s="29"/>
    </row>
    <row r="675" spans="1:8">
      <c r="A675" s="27"/>
      <c r="B675" s="27"/>
      <c r="C675" s="28"/>
      <c r="D675" s="28"/>
      <c r="E675" s="29"/>
      <c r="F675" s="29"/>
      <c r="G675" s="29"/>
      <c r="H675" s="29"/>
    </row>
    <row r="676" spans="1:8">
      <c r="A676" s="27"/>
      <c r="B676" s="27"/>
      <c r="C676" s="28"/>
      <c r="D676" s="28"/>
      <c r="E676" s="29"/>
      <c r="F676" s="29"/>
      <c r="G676" s="29"/>
      <c r="H676" s="29"/>
    </row>
    <row r="677" spans="1:8">
      <c r="A677" s="27"/>
      <c r="B677" s="27"/>
      <c r="C677" s="28"/>
      <c r="D677" s="28"/>
      <c r="E677" s="29"/>
      <c r="F677" s="29"/>
      <c r="G677" s="29"/>
      <c r="H677" s="29"/>
    </row>
    <row r="678" spans="1:8">
      <c r="A678" s="27"/>
      <c r="B678" s="27"/>
      <c r="C678" s="28"/>
      <c r="D678" s="28"/>
      <c r="E678" s="29"/>
      <c r="F678" s="29"/>
      <c r="G678" s="29"/>
      <c r="H678" s="29"/>
    </row>
    <row r="679" spans="1:8">
      <c r="A679" s="27"/>
      <c r="B679" s="27"/>
      <c r="C679" s="28"/>
      <c r="D679" s="28"/>
      <c r="E679" s="29"/>
      <c r="F679" s="29"/>
      <c r="G679" s="29"/>
      <c r="H679" s="29"/>
    </row>
    <row r="680" spans="1:8">
      <c r="A680" s="27"/>
      <c r="B680" s="27"/>
      <c r="C680" s="28"/>
      <c r="D680" s="28"/>
      <c r="E680" s="29"/>
      <c r="F680" s="29"/>
      <c r="G680" s="29"/>
      <c r="H680" s="29"/>
    </row>
    <row r="681" spans="1:8">
      <c r="A681" s="27"/>
      <c r="B681" s="27"/>
      <c r="C681" s="28"/>
      <c r="D681" s="28"/>
      <c r="E681" s="29"/>
      <c r="F681" s="29"/>
      <c r="G681" s="29"/>
      <c r="H681" s="29"/>
    </row>
    <row r="682" spans="1:8">
      <c r="A682" s="27"/>
      <c r="B682" s="27"/>
      <c r="C682" s="28"/>
      <c r="D682" s="28"/>
      <c r="E682" s="29"/>
      <c r="F682" s="29"/>
      <c r="G682" s="29"/>
      <c r="H682" s="29"/>
    </row>
    <row r="683" spans="1:8">
      <c r="A683" s="27"/>
      <c r="B683" s="27"/>
      <c r="C683" s="28"/>
      <c r="D683" s="28"/>
      <c r="E683" s="29"/>
      <c r="F683" s="29"/>
      <c r="G683" s="29"/>
      <c r="H683" s="29"/>
    </row>
    <row r="684" spans="1:8">
      <c r="A684" s="27"/>
      <c r="B684" s="27"/>
      <c r="C684" s="28"/>
      <c r="D684" s="28"/>
      <c r="E684" s="29"/>
      <c r="F684" s="29"/>
      <c r="G684" s="29"/>
      <c r="H684" s="29"/>
    </row>
    <row r="685" spans="1:8">
      <c r="A685" s="27"/>
      <c r="B685" s="27"/>
      <c r="C685" s="28"/>
      <c r="D685" s="28"/>
      <c r="E685" s="29"/>
      <c r="F685" s="29"/>
      <c r="G685" s="29"/>
      <c r="H685" s="29"/>
    </row>
    <row r="686" spans="1:8">
      <c r="A686" s="27"/>
      <c r="B686" s="27"/>
      <c r="C686" s="28"/>
      <c r="D686" s="28"/>
      <c r="E686" s="29"/>
      <c r="F686" s="29"/>
      <c r="G686" s="29"/>
      <c r="H686" s="29"/>
    </row>
    <row r="687" spans="1:8">
      <c r="A687" s="27"/>
      <c r="B687" s="27"/>
      <c r="C687" s="28"/>
      <c r="D687" s="28"/>
      <c r="E687" s="29"/>
      <c r="F687" s="29"/>
      <c r="G687" s="29"/>
      <c r="H687" s="29"/>
    </row>
    <row r="688" spans="1:8">
      <c r="A688" s="27"/>
      <c r="B688" s="27"/>
      <c r="C688" s="28"/>
      <c r="D688" s="28"/>
      <c r="E688" s="29"/>
      <c r="F688" s="29"/>
      <c r="G688" s="29"/>
      <c r="H688" s="29"/>
    </row>
    <row r="689" spans="1:8">
      <c r="A689" s="27"/>
      <c r="B689" s="27"/>
      <c r="C689" s="28"/>
      <c r="D689" s="28"/>
      <c r="E689" s="29"/>
      <c r="F689" s="29"/>
      <c r="G689" s="29"/>
      <c r="H689" s="29"/>
    </row>
    <row r="690" spans="1:8">
      <c r="A690" s="27"/>
      <c r="B690" s="27"/>
      <c r="C690" s="28"/>
      <c r="D690" s="28"/>
      <c r="E690" s="29"/>
      <c r="F690" s="29"/>
      <c r="G690" s="29"/>
      <c r="H690" s="29"/>
    </row>
    <row r="691" spans="1:8">
      <c r="A691" s="27"/>
      <c r="B691" s="27"/>
      <c r="C691" s="28"/>
      <c r="D691" s="28"/>
      <c r="E691" s="29"/>
      <c r="F691" s="29"/>
      <c r="G691" s="29"/>
      <c r="H691" s="29"/>
    </row>
    <row r="692" spans="1:8">
      <c r="A692" s="27"/>
      <c r="B692" s="27"/>
      <c r="C692" s="28"/>
      <c r="D692" s="28"/>
      <c r="E692" s="29"/>
      <c r="F692" s="29"/>
      <c r="G692" s="29"/>
      <c r="H692" s="29"/>
    </row>
    <row r="693" spans="1:8">
      <c r="A693" s="27"/>
      <c r="B693" s="27"/>
      <c r="C693" s="28"/>
      <c r="D693" s="28"/>
      <c r="E693" s="29"/>
      <c r="F693" s="29"/>
      <c r="G693" s="29"/>
      <c r="H693" s="29"/>
    </row>
    <row r="694" spans="1:8">
      <c r="A694" s="27"/>
      <c r="B694" s="27"/>
      <c r="C694" s="28"/>
      <c r="D694" s="28"/>
      <c r="E694" s="29"/>
      <c r="F694" s="29"/>
      <c r="G694" s="29"/>
      <c r="H694" s="29"/>
    </row>
    <row r="695" spans="1:8">
      <c r="A695" s="27"/>
      <c r="B695" s="27"/>
      <c r="C695" s="28"/>
      <c r="D695" s="28"/>
      <c r="E695" s="29"/>
      <c r="F695" s="29"/>
      <c r="G695" s="29"/>
      <c r="H695" s="29"/>
    </row>
    <row r="696" spans="1:8">
      <c r="A696" s="27"/>
      <c r="B696" s="27"/>
      <c r="C696" s="28"/>
      <c r="D696" s="28"/>
      <c r="E696" s="29"/>
      <c r="F696" s="29"/>
      <c r="G696" s="29"/>
      <c r="H696" s="29"/>
    </row>
    <row r="697" spans="1:8">
      <c r="A697" s="27"/>
      <c r="B697" s="27"/>
      <c r="C697" s="28"/>
      <c r="D697" s="28"/>
      <c r="E697" s="29"/>
      <c r="F697" s="29"/>
      <c r="G697" s="29"/>
      <c r="H697" s="29"/>
    </row>
    <row r="698" spans="1:8">
      <c r="A698" s="27"/>
      <c r="B698" s="27"/>
      <c r="C698" s="28"/>
      <c r="D698" s="28"/>
      <c r="E698" s="29"/>
      <c r="F698" s="29"/>
      <c r="G698" s="29"/>
      <c r="H698" s="29"/>
    </row>
    <row r="699" spans="1:8">
      <c r="A699" s="27"/>
      <c r="B699" s="27"/>
      <c r="C699" s="28"/>
      <c r="D699" s="28"/>
      <c r="E699" s="29"/>
      <c r="F699" s="29"/>
      <c r="G699" s="29"/>
      <c r="H699" s="29"/>
    </row>
    <row r="700" spans="1:8">
      <c r="A700" s="27"/>
      <c r="B700" s="27"/>
      <c r="C700" s="28"/>
      <c r="D700" s="28"/>
      <c r="E700" s="29"/>
      <c r="F700" s="29"/>
      <c r="G700" s="29"/>
      <c r="H700" s="29"/>
    </row>
    <row r="701" spans="1:8">
      <c r="A701" s="27"/>
      <c r="B701" s="27"/>
      <c r="C701" s="28"/>
      <c r="D701" s="28"/>
      <c r="E701" s="29"/>
      <c r="F701" s="29"/>
      <c r="G701" s="29"/>
      <c r="H701" s="29"/>
    </row>
    <row r="702" spans="1:8">
      <c r="A702" s="27"/>
      <c r="B702" s="27"/>
      <c r="C702" s="28"/>
      <c r="D702" s="28"/>
      <c r="E702" s="29"/>
      <c r="F702" s="29"/>
      <c r="G702" s="29"/>
      <c r="H702" s="29"/>
    </row>
    <row r="703" spans="1:8">
      <c r="A703" s="27"/>
      <c r="B703" s="27"/>
      <c r="C703" s="28"/>
      <c r="D703" s="28"/>
      <c r="E703" s="29"/>
      <c r="F703" s="29"/>
      <c r="G703" s="29"/>
      <c r="H703" s="29"/>
    </row>
    <row r="704" spans="1:8">
      <c r="A704" s="27"/>
      <c r="B704" s="27"/>
      <c r="C704" s="28"/>
      <c r="D704" s="28"/>
      <c r="E704" s="29"/>
      <c r="F704" s="29"/>
      <c r="G704" s="29"/>
      <c r="H704" s="29"/>
    </row>
    <row r="705" spans="1:8">
      <c r="A705" s="27"/>
      <c r="B705" s="27"/>
      <c r="C705" s="28"/>
      <c r="D705" s="28"/>
      <c r="E705" s="29"/>
      <c r="F705" s="29"/>
      <c r="G705" s="29"/>
      <c r="H705" s="29"/>
    </row>
    <row r="706" spans="1:8">
      <c r="A706" s="27"/>
      <c r="B706" s="27"/>
      <c r="C706" s="28"/>
      <c r="D706" s="28"/>
      <c r="E706" s="29"/>
      <c r="F706" s="29"/>
      <c r="G706" s="29"/>
      <c r="H706" s="29"/>
    </row>
    <row r="707" spans="1:8">
      <c r="A707" s="27"/>
      <c r="B707" s="27"/>
      <c r="C707" s="28"/>
      <c r="D707" s="28"/>
      <c r="E707" s="29"/>
      <c r="F707" s="29"/>
      <c r="G707" s="29"/>
      <c r="H707" s="29"/>
    </row>
    <row r="708" spans="1:8">
      <c r="A708" s="27"/>
      <c r="B708" s="27"/>
      <c r="C708" s="28"/>
      <c r="D708" s="28"/>
      <c r="E708" s="29"/>
      <c r="F708" s="29"/>
      <c r="G708" s="29"/>
      <c r="H708" s="29"/>
    </row>
    <row r="709" spans="1:8">
      <c r="A709" s="27"/>
      <c r="B709" s="27"/>
      <c r="C709" s="28"/>
      <c r="D709" s="28"/>
      <c r="E709" s="29"/>
      <c r="F709" s="29"/>
      <c r="G709" s="29"/>
      <c r="H709" s="29"/>
    </row>
    <row r="710" spans="1:8">
      <c r="A710" s="27"/>
      <c r="B710" s="27"/>
      <c r="C710" s="28"/>
      <c r="D710" s="28"/>
      <c r="E710" s="29"/>
      <c r="F710" s="29"/>
      <c r="G710" s="29"/>
      <c r="H710" s="29"/>
    </row>
    <row r="711" spans="1:8">
      <c r="A711" s="27"/>
      <c r="B711" s="27"/>
      <c r="C711" s="28"/>
      <c r="D711" s="28"/>
      <c r="E711" s="29"/>
      <c r="F711" s="29"/>
      <c r="G711" s="29"/>
      <c r="H711" s="29"/>
    </row>
    <row r="712" spans="1:8">
      <c r="A712" s="27"/>
      <c r="B712" s="27"/>
      <c r="C712" s="28"/>
      <c r="D712" s="28"/>
      <c r="E712" s="29"/>
      <c r="F712" s="29"/>
      <c r="G712" s="29"/>
      <c r="H712" s="29"/>
    </row>
    <row r="713" spans="1:8">
      <c r="A713" s="27"/>
      <c r="B713" s="27"/>
      <c r="C713" s="28"/>
      <c r="D713" s="28"/>
      <c r="E713" s="29"/>
      <c r="F713" s="29"/>
      <c r="G713" s="29"/>
      <c r="H713" s="29"/>
    </row>
    <row r="714" spans="1:8">
      <c r="A714" s="27"/>
      <c r="B714" s="27"/>
      <c r="C714" s="28"/>
      <c r="D714" s="28"/>
      <c r="E714" s="29"/>
      <c r="F714" s="29"/>
      <c r="G714" s="29"/>
      <c r="H714" s="29"/>
    </row>
    <row r="715" spans="1:8">
      <c r="A715" s="27"/>
      <c r="B715" s="27"/>
      <c r="C715" s="28"/>
      <c r="D715" s="28"/>
      <c r="E715" s="29"/>
      <c r="F715" s="29"/>
      <c r="G715" s="29"/>
      <c r="H715" s="29"/>
    </row>
    <row r="716" spans="1:8">
      <c r="A716" s="27"/>
      <c r="B716" s="27"/>
      <c r="C716" s="28"/>
      <c r="D716" s="28"/>
      <c r="E716" s="29"/>
      <c r="F716" s="29"/>
      <c r="G716" s="29"/>
      <c r="H716" s="29"/>
    </row>
    <row r="717" spans="1:8">
      <c r="A717" s="27"/>
      <c r="B717" s="27"/>
      <c r="C717" s="28"/>
      <c r="D717" s="28"/>
      <c r="E717" s="29"/>
      <c r="F717" s="29"/>
      <c r="G717" s="29"/>
      <c r="H717" s="29"/>
    </row>
    <row r="718" spans="1:8">
      <c r="A718" s="27"/>
      <c r="B718" s="27"/>
      <c r="C718" s="28"/>
      <c r="D718" s="28"/>
      <c r="E718" s="29"/>
      <c r="F718" s="29"/>
      <c r="G718" s="29"/>
      <c r="H718" s="29"/>
    </row>
    <row r="719" spans="1:8">
      <c r="A719" s="27"/>
      <c r="B719" s="27"/>
      <c r="C719" s="28"/>
      <c r="D719" s="28"/>
      <c r="E719" s="29"/>
      <c r="F719" s="29"/>
      <c r="G719" s="29"/>
      <c r="H719" s="29"/>
    </row>
    <row r="720" spans="1:8">
      <c r="A720" s="27"/>
      <c r="B720" s="27"/>
      <c r="C720" s="28"/>
      <c r="D720" s="28"/>
      <c r="E720" s="29"/>
      <c r="F720" s="29"/>
      <c r="G720" s="29"/>
      <c r="H720" s="29"/>
    </row>
    <row r="721" spans="1:8">
      <c r="A721" s="27"/>
      <c r="B721" s="27"/>
      <c r="C721" s="28"/>
      <c r="D721" s="28"/>
      <c r="E721" s="29"/>
      <c r="F721" s="29"/>
      <c r="G721" s="29"/>
      <c r="H721" s="29"/>
    </row>
    <row r="722" spans="1:8">
      <c r="A722" s="27"/>
      <c r="B722" s="27"/>
      <c r="C722" s="28"/>
      <c r="D722" s="28"/>
      <c r="E722" s="29"/>
      <c r="F722" s="29"/>
      <c r="G722" s="29"/>
      <c r="H722" s="29"/>
    </row>
    <row r="723" spans="1:8">
      <c r="A723" s="27"/>
      <c r="B723" s="27"/>
      <c r="C723" s="28"/>
      <c r="D723" s="28"/>
      <c r="E723" s="29"/>
      <c r="F723" s="29"/>
      <c r="G723" s="29"/>
      <c r="H723" s="29"/>
    </row>
    <row r="724" spans="1:8">
      <c r="A724" s="27"/>
      <c r="B724" s="27"/>
      <c r="C724" s="28"/>
      <c r="D724" s="28"/>
      <c r="E724" s="29"/>
      <c r="F724" s="29"/>
      <c r="G724" s="29"/>
      <c r="H724" s="29"/>
    </row>
    <row r="725" spans="1:8">
      <c r="A725" s="27"/>
      <c r="B725" s="27"/>
      <c r="C725" s="28"/>
      <c r="D725" s="28"/>
      <c r="E725" s="29"/>
      <c r="F725" s="29"/>
      <c r="G725" s="29"/>
      <c r="H725" s="29"/>
    </row>
    <row r="726" spans="1:8">
      <c r="A726" s="27"/>
      <c r="B726" s="27"/>
      <c r="C726" s="28"/>
      <c r="D726" s="28"/>
      <c r="E726" s="29"/>
      <c r="F726" s="29"/>
      <c r="G726" s="29"/>
      <c r="H726" s="29"/>
    </row>
    <row r="727" spans="1:8">
      <c r="A727" s="27"/>
      <c r="B727" s="27"/>
      <c r="C727" s="28"/>
      <c r="D727" s="28"/>
      <c r="E727" s="29"/>
      <c r="F727" s="29"/>
      <c r="G727" s="29"/>
      <c r="H727" s="29"/>
    </row>
    <row r="728" spans="1:8">
      <c r="A728" s="27"/>
      <c r="B728" s="27"/>
      <c r="C728" s="28"/>
      <c r="D728" s="28"/>
      <c r="E728" s="29"/>
      <c r="F728" s="29"/>
      <c r="G728" s="29"/>
      <c r="H728" s="29"/>
    </row>
    <row r="729" spans="1:8">
      <c r="A729" s="27"/>
      <c r="B729" s="27"/>
      <c r="C729" s="28"/>
      <c r="D729" s="28"/>
      <c r="E729" s="29"/>
      <c r="F729" s="29"/>
      <c r="G729" s="29"/>
      <c r="H729" s="29"/>
    </row>
    <row r="730" spans="1:8">
      <c r="A730" s="27"/>
      <c r="B730" s="27"/>
      <c r="C730" s="28"/>
      <c r="D730" s="28"/>
      <c r="E730" s="29"/>
      <c r="F730" s="29"/>
      <c r="G730" s="29"/>
      <c r="H730" s="29"/>
    </row>
    <row r="731" spans="1:8">
      <c r="A731" s="27"/>
      <c r="B731" s="27"/>
      <c r="C731" s="28"/>
      <c r="D731" s="28"/>
      <c r="E731" s="29"/>
      <c r="F731" s="29"/>
      <c r="G731" s="29"/>
      <c r="H731" s="29"/>
    </row>
    <row r="732" spans="1:8">
      <c r="A732" s="27"/>
      <c r="B732" s="27"/>
      <c r="C732" s="28"/>
      <c r="D732" s="28"/>
      <c r="E732" s="29"/>
      <c r="F732" s="29"/>
      <c r="G732" s="29"/>
      <c r="H732" s="29"/>
    </row>
    <row r="733" spans="1:8">
      <c r="A733" s="27"/>
      <c r="B733" s="27"/>
      <c r="C733" s="28"/>
      <c r="D733" s="28"/>
      <c r="E733" s="29"/>
      <c r="F733" s="29"/>
      <c r="G733" s="29"/>
      <c r="H733" s="29"/>
    </row>
    <row r="734" spans="1:8">
      <c r="A734" s="27"/>
      <c r="B734" s="27"/>
      <c r="C734" s="28"/>
      <c r="D734" s="28"/>
      <c r="E734" s="29"/>
      <c r="F734" s="29"/>
      <c r="G734" s="29"/>
      <c r="H734" s="29"/>
    </row>
    <row r="735" spans="1:8">
      <c r="A735" s="27"/>
      <c r="B735" s="27"/>
      <c r="C735" s="28"/>
      <c r="D735" s="28"/>
      <c r="E735" s="29"/>
      <c r="F735" s="29"/>
      <c r="G735" s="29"/>
      <c r="H735" s="29"/>
    </row>
    <row r="736" spans="1:8">
      <c r="A736" s="27"/>
      <c r="B736" s="27"/>
      <c r="C736" s="28"/>
      <c r="D736" s="28"/>
      <c r="E736" s="29"/>
      <c r="F736" s="29"/>
      <c r="G736" s="29"/>
      <c r="H736" s="29"/>
    </row>
    <row r="737" spans="1:8">
      <c r="A737" s="27"/>
      <c r="B737" s="27"/>
      <c r="C737" s="28"/>
      <c r="D737" s="28"/>
      <c r="E737" s="29"/>
      <c r="F737" s="29"/>
      <c r="G737" s="29"/>
      <c r="H737" s="29"/>
    </row>
    <row r="738" spans="1:8">
      <c r="A738" s="27"/>
      <c r="B738" s="27"/>
      <c r="C738" s="28"/>
      <c r="D738" s="28"/>
      <c r="E738" s="29"/>
      <c r="F738" s="29"/>
      <c r="G738" s="29"/>
      <c r="H738" s="29"/>
    </row>
    <row r="739" spans="1:8">
      <c r="A739" s="27"/>
      <c r="B739" s="27"/>
      <c r="C739" s="28"/>
      <c r="D739" s="28"/>
      <c r="E739" s="29"/>
      <c r="F739" s="29"/>
      <c r="G739" s="29"/>
      <c r="H739" s="29"/>
    </row>
    <row r="740" spans="1:8">
      <c r="A740" s="27"/>
      <c r="B740" s="27"/>
      <c r="C740" s="28"/>
      <c r="D740" s="28"/>
      <c r="E740" s="29"/>
      <c r="F740" s="29"/>
      <c r="G740" s="29"/>
      <c r="H740" s="29"/>
    </row>
    <row r="741" spans="1:8">
      <c r="A741" s="27"/>
      <c r="B741" s="27"/>
      <c r="C741" s="28"/>
      <c r="D741" s="28"/>
      <c r="E741" s="29"/>
      <c r="F741" s="29"/>
      <c r="G741" s="29"/>
      <c r="H741" s="29"/>
    </row>
    <row r="742" spans="1:8">
      <c r="A742" s="27"/>
      <c r="B742" s="27"/>
      <c r="C742" s="28"/>
      <c r="D742" s="28"/>
      <c r="E742" s="29"/>
      <c r="F742" s="29"/>
      <c r="G742" s="29"/>
      <c r="H742" s="29"/>
    </row>
    <row r="743" spans="1:8">
      <c r="A743" s="27"/>
      <c r="B743" s="27"/>
      <c r="C743" s="28"/>
      <c r="D743" s="28"/>
      <c r="E743" s="29"/>
      <c r="F743" s="29"/>
      <c r="G743" s="29"/>
      <c r="H743" s="29"/>
    </row>
    <row r="744" spans="1:8">
      <c r="A744" s="27"/>
      <c r="B744" s="27"/>
      <c r="C744" s="28"/>
      <c r="D744" s="28"/>
      <c r="E744" s="29"/>
      <c r="F744" s="29"/>
      <c r="G744" s="29"/>
      <c r="H744" s="29"/>
    </row>
    <row r="745" spans="1:8">
      <c r="A745" s="27"/>
      <c r="B745" s="27"/>
      <c r="C745" s="28"/>
      <c r="D745" s="28"/>
      <c r="E745" s="29"/>
      <c r="F745" s="29"/>
      <c r="G745" s="29"/>
      <c r="H745" s="29"/>
    </row>
    <row r="746" spans="1:8">
      <c r="A746" s="27"/>
      <c r="B746" s="27"/>
      <c r="C746" s="28"/>
      <c r="D746" s="28"/>
      <c r="E746" s="29"/>
      <c r="F746" s="29"/>
      <c r="G746" s="29"/>
      <c r="H746" s="29"/>
    </row>
    <row r="747" spans="1:8">
      <c r="A747" s="27"/>
      <c r="B747" s="27"/>
      <c r="C747" s="28"/>
      <c r="D747" s="28"/>
      <c r="E747" s="29"/>
      <c r="F747" s="29"/>
      <c r="G747" s="29"/>
      <c r="H747" s="29"/>
    </row>
    <row r="748" spans="1:8">
      <c r="A748" s="27"/>
      <c r="B748" s="27"/>
      <c r="C748" s="28"/>
      <c r="D748" s="28"/>
      <c r="E748" s="29"/>
      <c r="F748" s="29"/>
      <c r="G748" s="29"/>
      <c r="H748" s="29"/>
    </row>
    <row r="749" spans="1:8">
      <c r="A749" s="27"/>
      <c r="B749" s="27"/>
      <c r="C749" s="28"/>
      <c r="D749" s="28"/>
      <c r="E749" s="29"/>
      <c r="F749" s="29"/>
      <c r="G749" s="29"/>
      <c r="H749" s="29"/>
    </row>
    <row r="750" spans="1:8">
      <c r="A750" s="27"/>
      <c r="B750" s="27"/>
      <c r="C750" s="28"/>
      <c r="D750" s="28"/>
      <c r="E750" s="29"/>
      <c r="F750" s="29"/>
      <c r="G750" s="29"/>
      <c r="H750" s="29"/>
    </row>
    <row r="751" spans="1:8">
      <c r="A751" s="27"/>
      <c r="B751" s="27"/>
      <c r="C751" s="28"/>
      <c r="D751" s="28"/>
      <c r="E751" s="29"/>
      <c r="F751" s="29"/>
      <c r="G751" s="29"/>
      <c r="H751" s="29"/>
    </row>
    <row r="752" spans="1:8">
      <c r="A752" s="27"/>
      <c r="B752" s="27"/>
      <c r="C752" s="28"/>
      <c r="D752" s="28"/>
      <c r="E752" s="29"/>
      <c r="F752" s="29"/>
      <c r="G752" s="29"/>
      <c r="H752" s="29"/>
    </row>
    <row r="753" spans="1:8">
      <c r="A753" s="27"/>
      <c r="B753" s="27"/>
      <c r="C753" s="28"/>
      <c r="D753" s="28"/>
      <c r="E753" s="29"/>
      <c r="F753" s="29"/>
      <c r="G753" s="29"/>
      <c r="H753" s="29"/>
    </row>
    <row r="754" spans="1:8">
      <c r="A754" s="27"/>
      <c r="B754" s="27"/>
      <c r="C754" s="28"/>
      <c r="D754" s="28"/>
      <c r="E754" s="29"/>
      <c r="F754" s="29"/>
      <c r="G754" s="29"/>
      <c r="H754" s="29"/>
    </row>
    <row r="755" spans="1:8">
      <c r="A755" s="27"/>
      <c r="B755" s="27"/>
      <c r="C755" s="28"/>
      <c r="D755" s="28"/>
      <c r="E755" s="29"/>
      <c r="F755" s="29"/>
      <c r="G755" s="29"/>
      <c r="H755" s="29"/>
    </row>
    <row r="756" spans="1:8">
      <c r="A756" s="27"/>
      <c r="B756" s="27"/>
      <c r="C756" s="28"/>
      <c r="D756" s="28"/>
      <c r="E756" s="29"/>
      <c r="F756" s="29"/>
      <c r="G756" s="29"/>
      <c r="H756" s="29"/>
    </row>
    <row r="757" spans="1:8">
      <c r="A757" s="27"/>
      <c r="B757" s="27"/>
      <c r="C757" s="28"/>
      <c r="D757" s="28"/>
      <c r="E757" s="29"/>
      <c r="F757" s="29"/>
      <c r="G757" s="29"/>
      <c r="H757" s="29"/>
    </row>
    <row r="758" spans="1:8">
      <c r="A758" s="27"/>
      <c r="B758" s="27"/>
      <c r="C758" s="28"/>
      <c r="D758" s="28"/>
      <c r="E758" s="29"/>
      <c r="F758" s="29"/>
      <c r="G758" s="29"/>
      <c r="H758" s="29"/>
    </row>
    <row r="759" spans="1:8">
      <c r="A759" s="27"/>
      <c r="B759" s="27"/>
      <c r="C759" s="28"/>
      <c r="D759" s="28"/>
      <c r="E759" s="29"/>
      <c r="F759" s="29"/>
      <c r="G759" s="29"/>
      <c r="H759" s="29"/>
    </row>
    <row r="760" spans="1:8">
      <c r="A760" s="27"/>
      <c r="B760" s="27"/>
      <c r="C760" s="28"/>
      <c r="D760" s="28"/>
      <c r="E760" s="29"/>
      <c r="F760" s="29"/>
      <c r="G760" s="29"/>
      <c r="H760" s="29"/>
    </row>
    <row r="761" spans="1:8">
      <c r="A761" s="27"/>
      <c r="B761" s="27"/>
      <c r="C761" s="28"/>
      <c r="D761" s="28"/>
      <c r="E761" s="29"/>
      <c r="F761" s="29"/>
      <c r="G761" s="29"/>
      <c r="H761" s="29"/>
    </row>
    <row r="762" spans="1:8">
      <c r="A762" s="27"/>
      <c r="B762" s="27"/>
      <c r="C762" s="28"/>
      <c r="D762" s="28"/>
      <c r="E762" s="29"/>
      <c r="F762" s="29"/>
      <c r="G762" s="29"/>
      <c r="H762" s="29"/>
    </row>
    <row r="763" spans="1:8">
      <c r="A763" s="27"/>
      <c r="B763" s="27"/>
      <c r="C763" s="28"/>
      <c r="D763" s="28"/>
      <c r="E763" s="29"/>
      <c r="F763" s="29"/>
      <c r="G763" s="29"/>
      <c r="H763" s="29"/>
    </row>
    <row r="764" spans="1:8">
      <c r="A764" s="27"/>
      <c r="B764" s="27"/>
      <c r="C764" s="28"/>
      <c r="D764" s="28"/>
      <c r="E764" s="29"/>
      <c r="F764" s="29"/>
      <c r="G764" s="29"/>
      <c r="H764" s="29"/>
    </row>
    <row r="765" spans="1:8">
      <c r="A765" s="27"/>
      <c r="B765" s="27"/>
      <c r="C765" s="28"/>
      <c r="D765" s="28"/>
      <c r="E765" s="29"/>
      <c r="F765" s="29"/>
      <c r="G765" s="29"/>
      <c r="H765" s="29"/>
    </row>
    <row r="766" spans="1:8">
      <c r="A766" s="27"/>
      <c r="B766" s="27"/>
      <c r="C766" s="28"/>
      <c r="D766" s="28"/>
      <c r="E766" s="29"/>
      <c r="F766" s="29"/>
      <c r="G766" s="29"/>
      <c r="H766" s="29"/>
    </row>
    <row r="767" spans="1:8">
      <c r="A767" s="27"/>
      <c r="B767" s="27"/>
      <c r="C767" s="28"/>
      <c r="D767" s="28"/>
      <c r="E767" s="29"/>
      <c r="F767" s="29"/>
      <c r="G767" s="29"/>
      <c r="H767" s="29"/>
    </row>
    <row r="768" spans="1:8">
      <c r="A768" s="27"/>
      <c r="B768" s="27"/>
      <c r="C768" s="28"/>
      <c r="D768" s="28"/>
      <c r="E768" s="29"/>
      <c r="F768" s="29"/>
      <c r="G768" s="29"/>
      <c r="H768" s="29"/>
    </row>
    <row r="769" spans="1:8">
      <c r="A769" s="27"/>
      <c r="B769" s="27"/>
      <c r="C769" s="28"/>
      <c r="D769" s="28"/>
      <c r="E769" s="29"/>
      <c r="F769" s="29"/>
      <c r="G769" s="29"/>
      <c r="H769" s="29"/>
    </row>
    <row r="770" spans="1:8">
      <c r="A770" s="27"/>
      <c r="B770" s="27"/>
      <c r="C770" s="28"/>
      <c r="D770" s="28"/>
      <c r="E770" s="29"/>
      <c r="F770" s="29"/>
      <c r="G770" s="29"/>
      <c r="H770" s="29"/>
    </row>
    <row r="771" spans="1:8">
      <c r="A771" s="27"/>
      <c r="B771" s="27"/>
      <c r="C771" s="28"/>
      <c r="D771" s="28"/>
      <c r="E771" s="29"/>
      <c r="F771" s="29"/>
      <c r="G771" s="29"/>
      <c r="H771" s="29"/>
    </row>
    <row r="772" spans="1:8">
      <c r="A772" s="27"/>
      <c r="B772" s="27"/>
      <c r="C772" s="28"/>
      <c r="D772" s="28"/>
      <c r="E772" s="29"/>
      <c r="F772" s="29"/>
      <c r="G772" s="29"/>
      <c r="H772" s="29"/>
    </row>
    <row r="773" spans="1:8">
      <c r="A773" s="27"/>
      <c r="B773" s="27"/>
      <c r="C773" s="28"/>
      <c r="D773" s="28"/>
      <c r="E773" s="29"/>
      <c r="F773" s="29"/>
      <c r="G773" s="29"/>
      <c r="H773" s="29"/>
    </row>
    <row r="774" spans="1:8">
      <c r="A774" s="27"/>
      <c r="B774" s="27"/>
      <c r="C774" s="28"/>
      <c r="D774" s="28"/>
      <c r="E774" s="29"/>
      <c r="F774" s="29"/>
      <c r="G774" s="29"/>
      <c r="H774" s="29"/>
    </row>
    <row r="775" spans="1:8">
      <c r="A775" s="27"/>
      <c r="B775" s="27"/>
      <c r="C775" s="28"/>
      <c r="D775" s="28"/>
      <c r="E775" s="29"/>
      <c r="F775" s="29"/>
      <c r="G775" s="29"/>
      <c r="H775" s="29"/>
    </row>
    <row r="776" spans="1:8">
      <c r="A776" s="27"/>
      <c r="B776" s="27"/>
      <c r="C776" s="28"/>
      <c r="D776" s="28"/>
      <c r="E776" s="29"/>
      <c r="F776" s="29"/>
      <c r="G776" s="29"/>
      <c r="H776" s="29"/>
    </row>
    <row r="777" spans="1:8">
      <c r="A777" s="27"/>
      <c r="B777" s="27"/>
      <c r="C777" s="28"/>
      <c r="D777" s="28"/>
      <c r="E777" s="29"/>
      <c r="F777" s="29"/>
      <c r="G777" s="29"/>
      <c r="H777" s="29"/>
    </row>
    <row r="778" spans="1:8">
      <c r="A778" s="27"/>
      <c r="B778" s="27"/>
      <c r="C778" s="28"/>
      <c r="D778" s="28"/>
      <c r="E778" s="29"/>
      <c r="F778" s="29"/>
      <c r="G778" s="29"/>
      <c r="H778" s="29"/>
    </row>
    <row r="779" spans="1:8">
      <c r="A779" s="27"/>
      <c r="B779" s="27"/>
      <c r="C779" s="28"/>
      <c r="D779" s="28"/>
      <c r="E779" s="29"/>
      <c r="F779" s="29"/>
      <c r="G779" s="29"/>
      <c r="H779" s="29"/>
    </row>
    <row r="780" spans="1:8">
      <c r="A780" s="27"/>
      <c r="B780" s="27"/>
      <c r="C780" s="28"/>
      <c r="D780" s="28"/>
      <c r="E780" s="29"/>
      <c r="F780" s="29"/>
      <c r="G780" s="29"/>
      <c r="H780" s="29"/>
    </row>
    <row r="781" spans="1:8">
      <c r="A781" s="27"/>
      <c r="B781" s="27"/>
      <c r="C781" s="28"/>
      <c r="D781" s="28"/>
      <c r="E781" s="29"/>
      <c r="F781" s="29"/>
      <c r="G781" s="29"/>
      <c r="H781" s="29"/>
    </row>
    <row r="782" spans="1:8">
      <c r="A782" s="27"/>
      <c r="B782" s="27"/>
      <c r="C782" s="28"/>
      <c r="D782" s="28"/>
      <c r="E782" s="29"/>
      <c r="F782" s="29"/>
      <c r="G782" s="29"/>
      <c r="H782" s="29"/>
    </row>
    <row r="783" spans="1:8">
      <c r="A783" s="27"/>
      <c r="B783" s="27"/>
      <c r="C783" s="28"/>
      <c r="D783" s="28"/>
      <c r="E783" s="29"/>
      <c r="F783" s="29"/>
      <c r="G783" s="29"/>
      <c r="H783" s="29"/>
    </row>
    <row r="784" spans="1:8">
      <c r="A784" s="27"/>
      <c r="B784" s="27"/>
      <c r="C784" s="28"/>
      <c r="D784" s="28"/>
      <c r="E784" s="29"/>
      <c r="F784" s="29"/>
      <c r="G784" s="29"/>
      <c r="H784" s="29"/>
    </row>
    <row r="785" spans="1:8">
      <c r="A785" s="27"/>
      <c r="B785" s="27"/>
      <c r="C785" s="28"/>
      <c r="D785" s="28"/>
      <c r="E785" s="29"/>
      <c r="F785" s="29"/>
      <c r="G785" s="29"/>
      <c r="H785" s="29"/>
    </row>
    <row r="786" spans="1:8">
      <c r="A786" s="27"/>
      <c r="B786" s="27"/>
      <c r="C786" s="28"/>
      <c r="D786" s="28"/>
      <c r="E786" s="29"/>
      <c r="F786" s="29"/>
      <c r="G786" s="29"/>
      <c r="H786" s="29"/>
    </row>
    <row r="787" spans="1:8">
      <c r="A787" s="27"/>
      <c r="B787" s="27"/>
      <c r="C787" s="28"/>
      <c r="D787" s="28"/>
      <c r="E787" s="29"/>
      <c r="F787" s="29"/>
      <c r="G787" s="29"/>
      <c r="H787" s="29"/>
    </row>
    <row r="788" spans="1:8">
      <c r="A788" s="27"/>
      <c r="B788" s="27"/>
      <c r="C788" s="28"/>
      <c r="D788" s="28"/>
      <c r="E788" s="29"/>
      <c r="F788" s="29"/>
      <c r="G788" s="29"/>
      <c r="H788" s="29"/>
    </row>
    <row r="789" spans="1:8">
      <c r="A789" s="27"/>
      <c r="B789" s="27"/>
      <c r="C789" s="28"/>
      <c r="D789" s="28"/>
      <c r="E789" s="29"/>
      <c r="F789" s="29"/>
      <c r="G789" s="29"/>
      <c r="H789" s="29"/>
    </row>
    <row r="790" spans="1:8">
      <c r="A790" s="27"/>
      <c r="B790" s="27"/>
      <c r="C790" s="28"/>
      <c r="D790" s="28"/>
      <c r="E790" s="29"/>
      <c r="F790" s="29"/>
      <c r="G790" s="29"/>
      <c r="H790" s="29"/>
    </row>
    <row r="791" spans="1:8">
      <c r="A791" s="27"/>
      <c r="B791" s="27"/>
      <c r="C791" s="28"/>
      <c r="D791" s="28"/>
      <c r="E791" s="29"/>
      <c r="F791" s="29"/>
      <c r="G791" s="29"/>
      <c r="H791" s="29"/>
    </row>
    <row r="792" spans="1:8">
      <c r="A792" s="27"/>
      <c r="B792" s="27"/>
      <c r="C792" s="28"/>
      <c r="D792" s="28"/>
      <c r="E792" s="29"/>
      <c r="F792" s="29"/>
      <c r="G792" s="29"/>
      <c r="H792" s="29"/>
    </row>
    <row r="793" spans="1:8">
      <c r="A793" s="27"/>
      <c r="B793" s="27"/>
      <c r="C793" s="28"/>
      <c r="D793" s="28"/>
      <c r="E793" s="29"/>
      <c r="F793" s="29"/>
      <c r="G793" s="29"/>
      <c r="H793" s="29"/>
    </row>
    <row r="794" spans="1:8">
      <c r="A794" s="27"/>
      <c r="B794" s="27"/>
      <c r="C794" s="28"/>
      <c r="D794" s="28"/>
      <c r="E794" s="29"/>
      <c r="F794" s="29"/>
      <c r="G794" s="29"/>
      <c r="H794" s="29"/>
    </row>
    <row r="795" spans="1:8">
      <c r="A795" s="27"/>
      <c r="B795" s="27"/>
      <c r="C795" s="28"/>
      <c r="D795" s="28"/>
      <c r="E795" s="29"/>
      <c r="F795" s="29"/>
      <c r="G795" s="29"/>
      <c r="H795" s="29"/>
    </row>
    <row r="796" spans="1:8">
      <c r="A796" s="27"/>
      <c r="B796" s="27"/>
      <c r="C796" s="28"/>
      <c r="D796" s="28"/>
      <c r="E796" s="29"/>
      <c r="F796" s="29"/>
      <c r="G796" s="29"/>
      <c r="H796" s="29"/>
    </row>
    <row r="797" spans="1:8">
      <c r="A797" s="27"/>
      <c r="B797" s="27"/>
      <c r="C797" s="28"/>
      <c r="D797" s="28"/>
      <c r="E797" s="29"/>
      <c r="F797" s="29"/>
      <c r="G797" s="29"/>
      <c r="H797" s="29"/>
    </row>
    <row r="798" spans="1:8">
      <c r="A798" s="27"/>
      <c r="B798" s="27"/>
      <c r="C798" s="28"/>
      <c r="D798" s="28"/>
      <c r="E798" s="29"/>
      <c r="F798" s="29"/>
      <c r="G798" s="29"/>
      <c r="H798" s="29"/>
    </row>
    <row r="799" spans="1:8">
      <c r="A799" s="27"/>
      <c r="B799" s="27"/>
      <c r="C799" s="28"/>
      <c r="D799" s="28"/>
      <c r="E799" s="29"/>
      <c r="F799" s="29"/>
      <c r="G799" s="29"/>
      <c r="H799" s="29"/>
    </row>
    <row r="800" spans="1:8">
      <c r="A800" s="27"/>
      <c r="B800" s="27"/>
      <c r="C800" s="28"/>
      <c r="D800" s="28"/>
      <c r="E800" s="29"/>
      <c r="F800" s="29"/>
      <c r="G800" s="29"/>
      <c r="H800" s="29"/>
    </row>
    <row r="801" spans="1:8">
      <c r="A801" s="27"/>
      <c r="B801" s="27"/>
      <c r="C801" s="28"/>
      <c r="D801" s="28"/>
      <c r="E801" s="29"/>
      <c r="F801" s="29"/>
      <c r="G801" s="29"/>
      <c r="H801" s="29"/>
    </row>
    <row r="802" spans="1:8">
      <c r="A802" s="27"/>
      <c r="B802" s="27"/>
      <c r="C802" s="28"/>
      <c r="D802" s="28"/>
      <c r="E802" s="29"/>
      <c r="F802" s="29"/>
      <c r="G802" s="29"/>
      <c r="H802" s="29"/>
    </row>
    <row r="803" spans="1:8">
      <c r="A803" s="27"/>
      <c r="B803" s="27"/>
      <c r="C803" s="28"/>
      <c r="D803" s="28"/>
      <c r="E803" s="29"/>
      <c r="F803" s="29"/>
      <c r="G803" s="29"/>
      <c r="H803" s="29"/>
    </row>
    <row r="804" spans="1:8">
      <c r="A804" s="27"/>
      <c r="B804" s="27"/>
      <c r="C804" s="28"/>
      <c r="D804" s="28"/>
      <c r="E804" s="29"/>
      <c r="F804" s="29"/>
      <c r="G804" s="29"/>
      <c r="H804" s="29"/>
    </row>
    <row r="805" spans="1:8">
      <c r="A805" s="27"/>
      <c r="B805" s="27"/>
      <c r="C805" s="28"/>
      <c r="D805" s="28"/>
      <c r="E805" s="29"/>
      <c r="F805" s="29"/>
      <c r="G805" s="29"/>
      <c r="H805" s="29"/>
    </row>
    <row r="806" spans="1:8">
      <c r="A806" s="27"/>
      <c r="B806" s="27"/>
      <c r="C806" s="28"/>
      <c r="D806" s="28"/>
      <c r="E806" s="29"/>
      <c r="F806" s="29"/>
      <c r="G806" s="29"/>
      <c r="H806" s="29"/>
    </row>
    <row r="807" spans="1:8">
      <c r="A807" s="27"/>
      <c r="B807" s="27"/>
      <c r="C807" s="28"/>
      <c r="D807" s="28"/>
      <c r="E807" s="29"/>
      <c r="F807" s="29"/>
      <c r="G807" s="29"/>
      <c r="H807" s="29"/>
    </row>
    <row r="808" spans="1:8">
      <c r="A808" s="27"/>
      <c r="B808" s="27"/>
      <c r="C808" s="28"/>
      <c r="D808" s="28"/>
      <c r="E808" s="29"/>
      <c r="F808" s="29"/>
      <c r="G808" s="29"/>
      <c r="H808" s="29"/>
    </row>
    <row r="809" spans="1:8">
      <c r="A809" s="27"/>
      <c r="B809" s="27"/>
      <c r="C809" s="28"/>
      <c r="D809" s="28"/>
      <c r="E809" s="29"/>
      <c r="F809" s="29"/>
      <c r="G809" s="29"/>
      <c r="H809" s="29"/>
    </row>
    <row r="810" spans="1:8">
      <c r="A810" s="27"/>
      <c r="B810" s="27"/>
      <c r="C810" s="28"/>
      <c r="D810" s="28"/>
      <c r="E810" s="29"/>
      <c r="F810" s="29"/>
      <c r="G810" s="29"/>
      <c r="H810" s="29"/>
    </row>
    <row r="811" spans="1:8">
      <c r="A811" s="27"/>
      <c r="B811" s="27"/>
      <c r="C811" s="28"/>
      <c r="D811" s="28"/>
      <c r="E811" s="29"/>
      <c r="F811" s="29"/>
      <c r="G811" s="29"/>
      <c r="H811" s="29"/>
    </row>
    <row r="812" spans="1:8">
      <c r="A812" s="27"/>
      <c r="B812" s="27"/>
      <c r="C812" s="28"/>
      <c r="D812" s="28"/>
      <c r="E812" s="29"/>
      <c r="F812" s="29"/>
      <c r="G812" s="29"/>
      <c r="H812" s="29"/>
    </row>
    <row r="813" spans="1:8">
      <c r="A813" s="27"/>
      <c r="B813" s="27"/>
      <c r="C813" s="28"/>
      <c r="D813" s="28"/>
      <c r="E813" s="29"/>
      <c r="F813" s="29"/>
      <c r="G813" s="29"/>
      <c r="H813" s="29"/>
    </row>
    <row r="814" spans="1:8">
      <c r="A814" s="27"/>
      <c r="B814" s="27"/>
      <c r="C814" s="28"/>
      <c r="D814" s="28"/>
      <c r="E814" s="29"/>
      <c r="F814" s="29"/>
      <c r="G814" s="29"/>
      <c r="H814" s="29"/>
    </row>
    <row r="815" spans="1:8">
      <c r="A815" s="27"/>
      <c r="B815" s="27"/>
      <c r="C815" s="28"/>
      <c r="D815" s="28"/>
      <c r="E815" s="29"/>
      <c r="F815" s="29"/>
      <c r="G815" s="29"/>
      <c r="H815" s="29"/>
    </row>
    <row r="816" spans="1:8">
      <c r="A816" s="27"/>
      <c r="B816" s="27"/>
      <c r="C816" s="28"/>
      <c r="D816" s="28"/>
      <c r="E816" s="29"/>
      <c r="F816" s="29"/>
      <c r="G816" s="29"/>
      <c r="H816" s="29"/>
    </row>
    <row r="817" spans="1:8">
      <c r="A817" s="27"/>
      <c r="B817" s="27"/>
      <c r="C817" s="28"/>
      <c r="D817" s="28"/>
      <c r="E817" s="29"/>
      <c r="F817" s="29"/>
      <c r="G817" s="29"/>
      <c r="H817" s="29"/>
    </row>
    <row r="818" spans="1:8">
      <c r="A818" s="27"/>
      <c r="B818" s="27"/>
      <c r="C818" s="28"/>
      <c r="D818" s="28"/>
      <c r="E818" s="29"/>
      <c r="F818" s="29"/>
      <c r="G818" s="29"/>
      <c r="H818" s="29"/>
    </row>
    <row r="819" spans="1:8">
      <c r="A819" s="27"/>
      <c r="B819" s="27"/>
      <c r="C819" s="28"/>
      <c r="D819" s="28"/>
      <c r="E819" s="29"/>
      <c r="F819" s="29"/>
      <c r="G819" s="29"/>
      <c r="H819" s="29"/>
    </row>
    <row r="820" spans="1:8">
      <c r="A820" s="27"/>
      <c r="B820" s="27"/>
      <c r="C820" s="28"/>
      <c r="D820" s="28"/>
      <c r="E820" s="29"/>
      <c r="F820" s="29"/>
      <c r="G820" s="29"/>
      <c r="H820" s="29"/>
    </row>
    <row r="821" spans="1:8">
      <c r="A821" s="27"/>
      <c r="B821" s="27"/>
      <c r="C821" s="28"/>
      <c r="D821" s="28"/>
      <c r="E821" s="29"/>
      <c r="F821" s="29"/>
      <c r="G821" s="29"/>
      <c r="H821" s="29"/>
    </row>
    <row r="822" spans="1:8">
      <c r="A822" s="27"/>
      <c r="B822" s="27"/>
      <c r="C822" s="28"/>
      <c r="D822" s="28"/>
      <c r="E822" s="29"/>
      <c r="F822" s="29"/>
      <c r="G822" s="29"/>
      <c r="H822" s="29"/>
    </row>
    <row r="823" spans="1:8">
      <c r="A823" s="27"/>
      <c r="B823" s="27"/>
      <c r="C823" s="28"/>
      <c r="D823" s="28"/>
      <c r="E823" s="29"/>
      <c r="F823" s="29"/>
      <c r="G823" s="29"/>
      <c r="H823" s="29"/>
    </row>
    <row r="824" spans="1:8">
      <c r="A824" s="27"/>
      <c r="B824" s="27"/>
      <c r="C824" s="28"/>
      <c r="D824" s="28"/>
      <c r="E824" s="29"/>
      <c r="F824" s="29"/>
      <c r="G824" s="29"/>
      <c r="H824" s="29"/>
    </row>
    <row r="825" spans="1:8">
      <c r="A825" s="27"/>
      <c r="B825" s="27"/>
      <c r="C825" s="28"/>
      <c r="D825" s="28"/>
      <c r="E825" s="29"/>
      <c r="F825" s="29"/>
      <c r="G825" s="29"/>
      <c r="H825" s="29"/>
    </row>
    <row r="826" spans="1:8">
      <c r="A826" s="27"/>
      <c r="B826" s="27"/>
      <c r="C826" s="28"/>
      <c r="D826" s="28"/>
      <c r="E826" s="29"/>
      <c r="F826" s="29"/>
      <c r="G826" s="29"/>
      <c r="H826" s="29"/>
    </row>
    <row r="827" spans="1:8">
      <c r="A827" s="27"/>
      <c r="B827" s="27"/>
      <c r="C827" s="28"/>
      <c r="D827" s="28"/>
      <c r="E827" s="29"/>
      <c r="F827" s="29"/>
      <c r="G827" s="29"/>
      <c r="H827" s="29"/>
    </row>
    <row r="828" spans="1:8">
      <c r="A828" s="27"/>
      <c r="B828" s="27"/>
      <c r="C828" s="28"/>
      <c r="D828" s="28"/>
      <c r="E828" s="29"/>
      <c r="F828" s="29"/>
      <c r="G828" s="29"/>
      <c r="H828" s="29"/>
    </row>
    <row r="829" spans="1:8">
      <c r="A829" s="27"/>
      <c r="B829" s="27"/>
      <c r="C829" s="28"/>
      <c r="D829" s="28"/>
      <c r="E829" s="29"/>
      <c r="F829" s="29"/>
      <c r="G829" s="29"/>
      <c r="H829" s="29"/>
    </row>
    <row r="830" spans="1:8">
      <c r="A830" s="27"/>
      <c r="B830" s="27"/>
      <c r="C830" s="28"/>
      <c r="D830" s="28"/>
      <c r="E830" s="29"/>
      <c r="F830" s="29"/>
      <c r="G830" s="29"/>
      <c r="H830" s="29"/>
    </row>
    <row r="831" spans="1:8">
      <c r="A831" s="27"/>
      <c r="B831" s="27"/>
      <c r="C831" s="28"/>
      <c r="D831" s="28"/>
      <c r="E831" s="29"/>
      <c r="F831" s="29"/>
      <c r="G831" s="29"/>
      <c r="H831" s="29"/>
    </row>
    <row r="832" spans="1:8">
      <c r="A832" s="27"/>
      <c r="B832" s="27"/>
      <c r="C832" s="28"/>
      <c r="D832" s="28"/>
      <c r="E832" s="29"/>
      <c r="F832" s="29"/>
      <c r="G832" s="29"/>
      <c r="H832" s="29"/>
    </row>
    <row r="833" spans="1:8">
      <c r="A833" s="27"/>
      <c r="B833" s="27"/>
      <c r="C833" s="28"/>
      <c r="D833" s="28"/>
      <c r="E833" s="29"/>
      <c r="F833" s="29"/>
      <c r="G833" s="29"/>
      <c r="H833" s="29"/>
    </row>
    <row r="834" spans="1:8">
      <c r="A834" s="27"/>
      <c r="B834" s="27"/>
      <c r="C834" s="28"/>
      <c r="D834" s="28"/>
      <c r="E834" s="29"/>
      <c r="F834" s="29"/>
      <c r="G834" s="29"/>
      <c r="H834" s="29"/>
    </row>
    <row r="835" spans="1:8">
      <c r="A835" s="27"/>
      <c r="B835" s="27"/>
      <c r="C835" s="28"/>
      <c r="D835" s="28"/>
      <c r="E835" s="29"/>
      <c r="F835" s="29"/>
      <c r="G835" s="29"/>
      <c r="H835" s="29"/>
    </row>
    <row r="836" spans="1:8">
      <c r="A836" s="27"/>
      <c r="B836" s="27"/>
      <c r="C836" s="28"/>
      <c r="D836" s="28"/>
      <c r="E836" s="29"/>
      <c r="F836" s="29"/>
      <c r="G836" s="29"/>
      <c r="H836" s="29"/>
    </row>
    <row r="837" spans="1:8">
      <c r="A837" s="27"/>
      <c r="B837" s="27"/>
      <c r="C837" s="28"/>
      <c r="D837" s="28"/>
      <c r="E837" s="29"/>
      <c r="F837" s="29"/>
      <c r="G837" s="29"/>
      <c r="H837" s="29"/>
    </row>
    <row r="838" spans="1:8">
      <c r="A838" s="27"/>
      <c r="B838" s="27"/>
      <c r="C838" s="28"/>
      <c r="D838" s="28"/>
      <c r="E838" s="29"/>
      <c r="F838" s="29"/>
      <c r="G838" s="29"/>
      <c r="H838" s="29"/>
    </row>
    <row r="839" spans="1:8">
      <c r="A839" s="27"/>
      <c r="B839" s="27"/>
      <c r="C839" s="28"/>
      <c r="D839" s="28"/>
      <c r="E839" s="29"/>
      <c r="F839" s="29"/>
      <c r="G839" s="29"/>
      <c r="H839" s="29"/>
    </row>
    <row r="840" spans="1:8">
      <c r="A840" s="27"/>
      <c r="B840" s="27"/>
      <c r="C840" s="28"/>
      <c r="D840" s="28"/>
      <c r="E840" s="29"/>
      <c r="F840" s="29"/>
      <c r="G840" s="29"/>
      <c r="H840" s="29"/>
    </row>
    <row r="841" spans="1:8">
      <c r="A841" s="27"/>
      <c r="B841" s="27"/>
      <c r="C841" s="28"/>
      <c r="D841" s="28"/>
      <c r="E841" s="29"/>
      <c r="F841" s="29"/>
      <c r="G841" s="29"/>
      <c r="H841" s="29"/>
    </row>
    <row r="842" spans="1:8">
      <c r="A842" s="27"/>
      <c r="B842" s="27"/>
      <c r="C842" s="28"/>
      <c r="D842" s="28"/>
      <c r="E842" s="29"/>
      <c r="F842" s="29"/>
      <c r="G842" s="29"/>
      <c r="H842" s="29"/>
    </row>
    <row r="843" spans="1:8">
      <c r="A843" s="27"/>
      <c r="B843" s="27"/>
      <c r="C843" s="28"/>
      <c r="D843" s="28"/>
      <c r="E843" s="29"/>
      <c r="F843" s="29"/>
      <c r="G843" s="29"/>
      <c r="H843" s="29"/>
    </row>
    <row r="844" spans="1:8">
      <c r="A844" s="27"/>
      <c r="B844" s="27"/>
      <c r="C844" s="28"/>
      <c r="D844" s="28"/>
      <c r="E844" s="29"/>
      <c r="F844" s="29"/>
      <c r="G844" s="29"/>
      <c r="H844" s="29"/>
    </row>
    <row r="845" spans="1:8">
      <c r="A845" s="27"/>
      <c r="B845" s="27"/>
      <c r="C845" s="28"/>
      <c r="D845" s="28"/>
      <c r="E845" s="29"/>
      <c r="F845" s="29"/>
      <c r="G845" s="29"/>
      <c r="H845" s="29"/>
    </row>
    <row r="846" spans="1:8">
      <c r="A846" s="27"/>
      <c r="B846" s="27"/>
      <c r="C846" s="28"/>
      <c r="D846" s="28"/>
      <c r="E846" s="29"/>
      <c r="F846" s="29"/>
      <c r="G846" s="29"/>
      <c r="H846" s="29"/>
    </row>
    <row r="847" spans="1:8">
      <c r="A847" s="27"/>
      <c r="B847" s="27"/>
      <c r="C847" s="28"/>
      <c r="D847" s="28"/>
      <c r="E847" s="29"/>
      <c r="F847" s="29"/>
      <c r="G847" s="29"/>
      <c r="H847" s="29"/>
    </row>
    <row r="848" spans="1:8">
      <c r="A848" s="27"/>
      <c r="B848" s="27"/>
      <c r="C848" s="28"/>
      <c r="D848" s="28"/>
      <c r="E848" s="29"/>
      <c r="F848" s="29"/>
      <c r="G848" s="29"/>
      <c r="H848" s="29"/>
    </row>
    <row r="849" spans="1:8">
      <c r="A849" s="27"/>
      <c r="B849" s="27"/>
      <c r="C849" s="28"/>
      <c r="D849" s="28"/>
      <c r="E849" s="29"/>
      <c r="F849" s="29"/>
      <c r="G849" s="29"/>
      <c r="H849" s="29"/>
    </row>
    <row r="850" spans="1:8">
      <c r="A850" s="27"/>
      <c r="B850" s="27"/>
      <c r="C850" s="28"/>
      <c r="D850" s="28"/>
      <c r="E850" s="29"/>
      <c r="F850" s="29"/>
      <c r="G850" s="29"/>
      <c r="H850" s="29"/>
    </row>
    <row r="851" spans="1:8">
      <c r="A851" s="27"/>
      <c r="B851" s="27"/>
      <c r="C851" s="28"/>
      <c r="D851" s="28"/>
      <c r="E851" s="29"/>
      <c r="F851" s="29"/>
      <c r="G851" s="29"/>
      <c r="H851" s="29"/>
    </row>
    <row r="852" spans="1:8">
      <c r="A852" s="27"/>
      <c r="B852" s="27"/>
      <c r="C852" s="28"/>
      <c r="D852" s="28"/>
      <c r="E852" s="29"/>
      <c r="F852" s="29"/>
      <c r="G852" s="29"/>
      <c r="H852" s="29"/>
    </row>
    <row r="853" spans="1:8">
      <c r="A853" s="27"/>
      <c r="B853" s="27"/>
      <c r="C853" s="28"/>
      <c r="D853" s="28"/>
      <c r="E853" s="29"/>
      <c r="F853" s="29"/>
      <c r="G853" s="29"/>
      <c r="H853" s="29"/>
    </row>
    <row r="854" spans="1:8">
      <c r="A854" s="27"/>
      <c r="B854" s="27"/>
      <c r="C854" s="28"/>
      <c r="D854" s="28"/>
      <c r="E854" s="29"/>
      <c r="F854" s="29"/>
      <c r="G854" s="29"/>
      <c r="H854" s="29"/>
    </row>
    <row r="855" spans="1:8">
      <c r="A855" s="27"/>
      <c r="B855" s="27"/>
      <c r="C855" s="28"/>
      <c r="D855" s="28"/>
      <c r="E855" s="29"/>
      <c r="F855" s="29"/>
      <c r="G855" s="29"/>
      <c r="H855" s="29"/>
    </row>
    <row r="856" spans="1:8">
      <c r="A856" s="27"/>
      <c r="B856" s="27"/>
      <c r="C856" s="28"/>
      <c r="D856" s="28"/>
      <c r="E856" s="29"/>
      <c r="F856" s="29"/>
      <c r="G856" s="29"/>
      <c r="H856" s="29"/>
    </row>
    <row r="857" spans="1:8">
      <c r="A857" s="27"/>
      <c r="B857" s="27"/>
      <c r="C857" s="28"/>
      <c r="D857" s="28"/>
      <c r="E857" s="29"/>
      <c r="F857" s="29"/>
      <c r="G857" s="29"/>
      <c r="H857" s="29"/>
    </row>
    <row r="858" spans="1:8">
      <c r="A858" s="27"/>
      <c r="B858" s="27"/>
      <c r="C858" s="28"/>
      <c r="D858" s="28"/>
      <c r="E858" s="29"/>
      <c r="F858" s="29"/>
      <c r="G858" s="29"/>
      <c r="H858" s="29"/>
    </row>
    <row r="859" spans="1:8">
      <c r="A859" s="27"/>
      <c r="B859" s="27"/>
      <c r="C859" s="28"/>
      <c r="D859" s="28"/>
      <c r="E859" s="29"/>
      <c r="F859" s="29"/>
      <c r="G859" s="29"/>
      <c r="H859" s="29"/>
    </row>
    <row r="860" spans="1:8">
      <c r="A860" s="27"/>
      <c r="B860" s="27"/>
      <c r="C860" s="28"/>
      <c r="D860" s="28"/>
      <c r="E860" s="29"/>
      <c r="F860" s="29"/>
      <c r="G860" s="29"/>
      <c r="H860" s="29"/>
    </row>
    <row r="861" spans="1:8">
      <c r="A861" s="27"/>
      <c r="B861" s="27"/>
      <c r="C861" s="28"/>
      <c r="D861" s="28"/>
      <c r="E861" s="29"/>
      <c r="F861" s="29"/>
      <c r="G861" s="29"/>
      <c r="H861" s="29"/>
    </row>
    <row r="862" spans="1:8">
      <c r="A862" s="27"/>
      <c r="B862" s="27"/>
      <c r="C862" s="28"/>
      <c r="D862" s="28"/>
      <c r="E862" s="29"/>
      <c r="F862" s="29"/>
      <c r="G862" s="29"/>
      <c r="H862" s="29"/>
    </row>
    <row r="863" spans="1:8">
      <c r="A863" s="27"/>
      <c r="B863" s="27"/>
      <c r="C863" s="28"/>
      <c r="D863" s="28"/>
      <c r="E863" s="29"/>
      <c r="F863" s="29"/>
      <c r="G863" s="29"/>
      <c r="H863" s="29"/>
    </row>
    <row r="864" spans="1:8">
      <c r="A864" s="27"/>
      <c r="B864" s="27"/>
      <c r="C864" s="28"/>
      <c r="D864" s="28"/>
      <c r="E864" s="29"/>
      <c r="F864" s="29"/>
      <c r="G864" s="29"/>
      <c r="H864" s="29"/>
    </row>
    <row r="865" spans="1:8">
      <c r="A865" s="27"/>
      <c r="B865" s="27"/>
      <c r="C865" s="28"/>
      <c r="D865" s="28"/>
      <c r="E865" s="29"/>
      <c r="F865" s="29"/>
      <c r="G865" s="29"/>
      <c r="H865" s="29"/>
    </row>
    <row r="866" spans="1:8">
      <c r="A866" s="27"/>
      <c r="B866" s="27"/>
      <c r="C866" s="28"/>
      <c r="D866" s="28"/>
      <c r="E866" s="29"/>
      <c r="F866" s="29"/>
      <c r="G866" s="29"/>
      <c r="H866" s="29"/>
    </row>
    <row r="867" spans="1:8">
      <c r="A867" s="27"/>
      <c r="B867" s="27"/>
      <c r="C867" s="28"/>
      <c r="D867" s="28"/>
      <c r="E867" s="29"/>
      <c r="F867" s="29"/>
      <c r="G867" s="29"/>
      <c r="H867" s="29"/>
    </row>
    <row r="868" spans="1:8">
      <c r="A868" s="27"/>
      <c r="B868" s="27"/>
      <c r="C868" s="28"/>
      <c r="D868" s="28"/>
      <c r="E868" s="29"/>
      <c r="F868" s="29"/>
      <c r="G868" s="29"/>
      <c r="H868" s="29"/>
    </row>
    <row r="869" spans="1:8">
      <c r="A869" s="27"/>
      <c r="B869" s="27"/>
      <c r="C869" s="28"/>
      <c r="D869" s="28"/>
      <c r="E869" s="29"/>
      <c r="F869" s="29"/>
      <c r="G869" s="29"/>
      <c r="H869" s="29"/>
    </row>
    <row r="870" spans="1:8">
      <c r="A870" s="27"/>
      <c r="B870" s="27"/>
      <c r="C870" s="28"/>
      <c r="D870" s="28"/>
      <c r="E870" s="29"/>
      <c r="F870" s="29"/>
      <c r="G870" s="29"/>
      <c r="H870" s="29"/>
    </row>
    <row r="871" spans="1:8">
      <c r="A871" s="27"/>
      <c r="B871" s="27"/>
      <c r="C871" s="28"/>
      <c r="D871" s="28"/>
      <c r="E871" s="29"/>
      <c r="F871" s="29"/>
      <c r="G871" s="29"/>
      <c r="H871" s="29"/>
    </row>
    <row r="872" spans="1:8">
      <c r="A872" s="27"/>
      <c r="B872" s="27"/>
      <c r="C872" s="28"/>
      <c r="D872" s="28"/>
      <c r="E872" s="29"/>
      <c r="F872" s="29"/>
      <c r="G872" s="29"/>
      <c r="H872" s="29"/>
    </row>
    <row r="873" spans="1:8">
      <c r="A873" s="27"/>
      <c r="B873" s="27"/>
      <c r="C873" s="28"/>
      <c r="D873" s="28"/>
      <c r="E873" s="29"/>
      <c r="F873" s="29"/>
      <c r="G873" s="29"/>
      <c r="H873" s="29"/>
    </row>
    <row r="874" spans="1:8">
      <c r="A874" s="27"/>
      <c r="B874" s="27"/>
      <c r="C874" s="28"/>
      <c r="D874" s="28"/>
      <c r="E874" s="29"/>
      <c r="F874" s="29"/>
      <c r="G874" s="29"/>
      <c r="H874" s="29"/>
    </row>
    <row r="875" spans="1:8">
      <c r="A875" s="27"/>
      <c r="B875" s="27"/>
      <c r="C875" s="28"/>
      <c r="D875" s="28"/>
      <c r="E875" s="29"/>
      <c r="F875" s="29"/>
      <c r="G875" s="29"/>
      <c r="H875" s="29"/>
    </row>
    <row r="876" spans="1:8">
      <c r="A876" s="27"/>
      <c r="B876" s="27"/>
      <c r="C876" s="28"/>
      <c r="D876" s="28"/>
      <c r="E876" s="29"/>
      <c r="F876" s="29"/>
      <c r="G876" s="29"/>
      <c r="H876" s="29"/>
    </row>
    <row r="877" spans="1:8">
      <c r="A877" s="27"/>
      <c r="B877" s="27"/>
      <c r="C877" s="28"/>
      <c r="D877" s="28"/>
      <c r="E877" s="29"/>
      <c r="F877" s="29"/>
      <c r="G877" s="29"/>
      <c r="H877" s="29"/>
    </row>
  </sheetData>
  <mergeCells count="6">
    <mergeCell ref="A2:H2"/>
    <mergeCell ref="C3:D3"/>
    <mergeCell ref="E3:H3"/>
    <mergeCell ref="A30:H30"/>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40</vt:i4>
      </vt:variant>
    </vt:vector>
  </HeadingPairs>
  <TitlesOfParts>
    <vt:vector size="40" baseType="lpstr">
      <vt:lpstr>1. PHƯỜNG AN CỰU</vt:lpstr>
      <vt:lpstr>2. PHƯỜNG DƯƠNG NỖ</vt:lpstr>
      <vt:lpstr>3. PHƯỜNG HÓA CHÂU</vt:lpstr>
      <vt:lpstr>4. PHƯỜNG HƯƠNG AN</vt:lpstr>
      <vt:lpstr>5. PHƯỜNG HƯƠNG THỦY</vt:lpstr>
      <vt:lpstr>6. PHƯỜNG HƯƠNG TRÀ</vt:lpstr>
      <vt:lpstr>7. PHƯỜNG KIM LONG</vt:lpstr>
      <vt:lpstr>8. PHƯỜNG KIM TRÀ</vt:lpstr>
      <vt:lpstr>9. PHƯỜNG MỸ THƯỢNG</vt:lpstr>
      <vt:lpstr>10. PHƯỜNG PHONG DINH</vt:lpstr>
      <vt:lpstr>11. PHƯỜNG PHONG ĐIỀN</vt:lpstr>
      <vt:lpstr>12. PHƯỜNG PHONG PHÚ</vt:lpstr>
      <vt:lpstr>13. PHƯỜNG PHONG QUẢNG</vt:lpstr>
      <vt:lpstr>14. PHƯỜNG PHONG THÁI</vt:lpstr>
      <vt:lpstr>15. PHƯỜNG PHÚ BÀI</vt:lpstr>
      <vt:lpstr>16. PHƯỜNG PHÚ XUÂN</vt:lpstr>
      <vt:lpstr>17. PHƯỜNG THANH THỦY</vt:lpstr>
      <vt:lpstr>18. PHƯỜNG THUẬN AN</vt:lpstr>
      <vt:lpstr>19. PHƯỜNG THUẬN HÓA</vt:lpstr>
      <vt:lpstr>20. PHƯỜNG THỦY XUÂN</vt:lpstr>
      <vt:lpstr>21. PHƯỜNG VỸ DẠ</vt:lpstr>
      <vt:lpstr>22. XÃ A LƯỚI 1</vt:lpstr>
      <vt:lpstr>23. XÃ A LƯỚI 2</vt:lpstr>
      <vt:lpstr>24. XÃ A LƯỚI 3</vt:lpstr>
      <vt:lpstr>25. XÃ A LƯỚI 4</vt:lpstr>
      <vt:lpstr>26. XÃ A LƯỚI 5</vt:lpstr>
      <vt:lpstr>27. XÃ BÌNH ĐIỀN</vt:lpstr>
      <vt:lpstr>28. XÃ CHÂN MÂY - LĂNG CÔ</vt:lpstr>
      <vt:lpstr>29. XÃ ĐAN ĐIỀN</vt:lpstr>
      <vt:lpstr>30. XÃ HƯNG LỘC</vt:lpstr>
      <vt:lpstr>31. XÃ KHE TRE</vt:lpstr>
      <vt:lpstr>32. XÃ LONG QUẢNG</vt:lpstr>
      <vt:lpstr>33. XÃ LỘC AN</vt:lpstr>
      <vt:lpstr>34. XÃ NAM ĐÔNG</vt:lpstr>
      <vt:lpstr>35. XÃ PHÚ HỒ</vt:lpstr>
      <vt:lpstr>36. XÃ PHÚ LỘC</vt:lpstr>
      <vt:lpstr>37. XÃ PHÚ VANG</vt:lpstr>
      <vt:lpstr>38. XÃ PHÚ VINH</vt:lpstr>
      <vt:lpstr>39. XÃ QUẢNG ĐIỀN</vt:lpstr>
      <vt:lpstr>40. XÃ VINH LỘC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HP</cp:lastModifiedBy>
  <dcterms:created xsi:type="dcterms:W3CDTF">2015-06-05T18:17:00Z</dcterms:created>
  <cp:lastPrinted>2026-06-01T10:47:00Z</cp:lastPrinted>
  <dcterms:modified xsi:type="dcterms:W3CDTF">2026-06-02T03:00:25Z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DD6C4F17D1AA411D98439D4BE8B51656_12</vt:lpwstr>
  </property>
  <property fmtid="{D5CDD505-2E9C-101B-9397-08002B2CF9AE}" pid="3" name="KSOProductBuildVer">
    <vt:lpwstr>1033-12.1.0.26880</vt:lpwstr>
  </property>
  <property fmtid="{D5CDD505-2E9C-101B-9397-08002B2CF9AE}" pid="4" name="CalculationRule">
    <vt:i4>0</vt:i4>
  </property>
  <property fmtid="{D5CDD505-2E9C-101B-9397-08002B2CF9AE}" pid="5" name="MSIP_Label_defa4170-0d19-0005-0004-bc88714345d2_Enabled">
    <vt:lpwstr>true</vt:lpwstr>
  </property>
  <property fmtid="{D5CDD505-2E9C-101B-9397-08002B2CF9AE}" pid="6" name="MSIP_Label_defa4170-0d19-0005-0004-bc88714345d2_SetDate">
    <vt:lpwstr>2026-06-01T09:56:45Z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2f0e51b5-231d-472e-a156-1c6df06f72e7</vt:lpwstr>
  </property>
  <property fmtid="{D5CDD505-2E9C-101B-9397-08002B2CF9AE}" pid="10" name="MSIP_Label_defa4170-0d19-0005-0004-bc88714345d2_ActionId">
    <vt:lpwstr>41dbd6a6-d8d0-4ac8-89a1-4a60647e5e09</vt:lpwstr>
  </property>
  <property fmtid="{D5CDD505-2E9C-101B-9397-08002B2CF9AE}" pid="11" name="MSIP_Label_defa4170-0d19-0005-0004-bc88714345d2_ContentBits">
    <vt:lpwstr>0</vt:lpwstr>
  </property>
  <property fmtid="{D5CDD505-2E9C-101B-9397-08002B2CF9AE}" pid="12" name="MSIP_Label_defa4170-0d19-0005-0004-bc88714345d2_Tag">
    <vt:lpwstr>10, 3, 0, 1</vt:lpwstr>
  </property>
</Properties>
</file>